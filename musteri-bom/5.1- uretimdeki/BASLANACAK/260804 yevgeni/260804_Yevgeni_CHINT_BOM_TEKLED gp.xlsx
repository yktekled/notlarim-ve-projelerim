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4 yevgeni\"/>
    </mc:Choice>
  </mc:AlternateContent>
  <xr:revisionPtr revIDLastSave="0" documentId="13_ncr:1_{EC41E3A9-0F34-4EE6-95DF-05FD4FEB260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INT BOM" sheetId="1" r:id="rId1"/>
    <sheet name="Sayfa1" sheetId="3" r:id="rId2"/>
    <sheet name="KONTROL" sheetId="2" r:id="rId3"/>
  </sheets>
  <definedNames>
    <definedName name="_xlnm._FilterDatabase" localSheetId="0" hidden="1">'CHINT BOM'!$A$1:$M$55</definedName>
    <definedName name="_xlnm._FilterDatabase" localSheetId="1" hidden="1">Sayfa1!$A$1:$K$4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D3" i="3"/>
  <c r="D4" i="3"/>
  <c r="C3" i="3"/>
  <c r="C4" i="3"/>
  <c r="C2" i="3"/>
  <c r="D2" i="3" s="1"/>
  <c r="E2" i="3" s="1"/>
  <c r="L3" i="3"/>
  <c r="L4" i="3"/>
  <c r="L2" i="3"/>
  <c r="G40" i="1"/>
  <c r="G21" i="1"/>
  <c r="G3" i="1"/>
  <c r="G42" i="1"/>
  <c r="H42" i="1" s="1"/>
  <c r="G52" i="1"/>
  <c r="G51" i="1"/>
  <c r="H51" i="1" s="1"/>
  <c r="G50" i="1"/>
  <c r="H50" i="1" s="1"/>
  <c r="G49" i="1"/>
  <c r="H49" i="1" s="1"/>
  <c r="G48" i="1"/>
  <c r="H48" i="1" s="1"/>
  <c r="G35" i="1"/>
  <c r="H35" i="1" s="1"/>
  <c r="G34" i="1"/>
  <c r="H34" i="1" s="1"/>
  <c r="G33" i="1"/>
  <c r="H33" i="1" s="1"/>
  <c r="G32" i="1"/>
  <c r="H32" i="1" s="1"/>
  <c r="G31" i="1"/>
  <c r="H31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47" i="1"/>
  <c r="H47" i="1" s="1"/>
  <c r="G46" i="1"/>
  <c r="H46" i="1" s="1"/>
  <c r="G45" i="1"/>
  <c r="H45" i="1" s="1"/>
  <c r="G44" i="1"/>
  <c r="H44" i="1" s="1"/>
  <c r="G43" i="1"/>
  <c r="H43" i="1" s="1"/>
  <c r="G41" i="1"/>
  <c r="H4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H52" i="1"/>
  <c r="H40" i="1"/>
  <c r="H21" i="1"/>
  <c r="I54" i="1"/>
  <c r="I37" i="1"/>
  <c r="H37" i="1" s="1"/>
  <c r="H3" i="1"/>
  <c r="I18" i="1"/>
  <c r="H18" i="1" s="1"/>
  <c r="F36" i="1" l="1"/>
  <c r="G36" i="1" s="1"/>
  <c r="H36" i="1" s="1"/>
  <c r="H38" i="1" s="1"/>
  <c r="H54" i="1"/>
  <c r="F53" i="1" s="1"/>
  <c r="G53" i="1" s="1"/>
  <c r="H53" i="1" s="1"/>
  <c r="H55" i="1" s="1"/>
  <c r="F17" i="1"/>
  <c r="G17" i="1" s="1"/>
  <c r="H17" i="1" s="1"/>
  <c r="H19" i="1" l="1"/>
  <c r="H56" i="1" s="1"/>
</calcChain>
</file>

<file path=xl/sharedStrings.xml><?xml version="1.0" encoding="utf-8"?>
<sst xmlns="http://schemas.openxmlformats.org/spreadsheetml/2006/main" count="411" uniqueCount="142">
  <si>
    <t>№</t>
  </si>
  <si>
    <t>Model / seri</t>
  </si>
  <si>
    <t>Açıklama</t>
  </si>
  <si>
    <t>ВРУ</t>
  </si>
  <si>
    <t>компл.</t>
  </si>
  <si>
    <t>Özel imalat</t>
  </si>
  <si>
    <t>шт.</t>
  </si>
  <si>
    <t>Derinlik KONTROL</t>
  </si>
  <si>
    <t>CHINT</t>
  </si>
  <si>
    <t>NXM-250S/3P 200A</t>
  </si>
  <si>
    <t>Ana şalter</t>
  </si>
  <si>
    <t>NXM-125S/3P 63A</t>
  </si>
  <si>
    <t>Projede 15kA; daha yüksek Icu</t>
  </si>
  <si>
    <t>NXB-63 3P C25</t>
  </si>
  <si>
    <t>NXB-63 3P C50</t>
  </si>
  <si>
    <t>NXB-63 3P C40</t>
  </si>
  <si>
    <t>NXB-63 1P C6</t>
  </si>
  <si>
    <t>Faz sinyal koruması</t>
  </si>
  <si>
    <t>ND16-22DS/4 AC230V</t>
  </si>
  <si>
    <t>A-B-C</t>
  </si>
  <si>
    <t>Cu-ETP</t>
  </si>
  <si>
    <t>м</t>
  </si>
  <si>
    <t>3 faz toplam</t>
  </si>
  <si>
    <t>SM-40</t>
  </si>
  <si>
    <t>PVC</t>
  </si>
  <si>
    <t>Шина N/PE с винтами, 22 точки</t>
  </si>
  <si>
    <t>N/PE</t>
  </si>
  <si>
    <t>Монтажный материал</t>
  </si>
  <si>
    <t>Монтажные работы</t>
  </si>
  <si>
    <t>ЩР-1</t>
  </si>
  <si>
    <t>NXB-63 1P C25</t>
  </si>
  <si>
    <t>Aydınlatma kumanda</t>
  </si>
  <si>
    <t>Aydınlatma grup şalteri</t>
  </si>
  <si>
    <t>NXB-63 1P C16</t>
  </si>
  <si>
    <t>Poz. 3-11 ve 29-30</t>
  </si>
  <si>
    <t>NXB-63 3P C32</t>
  </si>
  <si>
    <t>Grup şalteri</t>
  </si>
  <si>
    <t>Диф. 1P+N C16, 30mA, тип AC, 6kA</t>
  </si>
  <si>
    <t>NXBLE-32 1P+N C16 30mA AC</t>
  </si>
  <si>
    <t>Poz. 13-23</t>
  </si>
  <si>
    <t>NXB-63 1P C10</t>
  </si>
  <si>
    <t>Poz. 24-28</t>
  </si>
  <si>
    <t>4P dağıtım bloğu</t>
  </si>
  <si>
    <t>Шина N, 22 точки</t>
  </si>
  <si>
    <t>N</t>
  </si>
  <si>
    <t>Шина PE, 22 точки</t>
  </si>
  <si>
    <t>PE</t>
  </si>
  <si>
    <t>AVK 4</t>
  </si>
  <si>
    <t>Çizimde 3x20 sıra</t>
  </si>
  <si>
    <t>ЩЧП-1</t>
  </si>
  <si>
    <t>NH40-63/3CS</t>
  </si>
  <si>
    <t>TDM МП-63 analoğu; kod KONTROL</t>
  </si>
  <si>
    <t>ЩЧП-2 çıkışı</t>
  </si>
  <si>
    <t>Poz. 2-14</t>
  </si>
  <si>
    <t>Yedek poz. 15-18</t>
  </si>
  <si>
    <t>Normal/bypass giriş</t>
  </si>
  <si>
    <t>KONTROL NOKTASI</t>
  </si>
  <si>
    <t>DURUM</t>
  </si>
  <si>
    <t>Korpus derinliği</t>
  </si>
  <si>
    <t>Projede ön görünüşte belirtilmemiş; 220/250 mm üretim öncesi teyit</t>
  </si>
  <si>
    <t>ВРУ 63A çıkış kesme kapasitesi</t>
  </si>
  <si>
    <t>Projede 15kA; CHINT NXM-125S daha yüksek Icu ile seçildi</t>
  </si>
  <si>
    <t>ЩР-1 shunt trip</t>
  </si>
  <si>
    <t>SHT aksesuarının seçilen NXB-63 gövdeyle uyumu tedarikçi teyidi</t>
  </si>
  <si>
    <t>ЩЧП-1 I-0-II seçici</t>
  </si>
  <si>
    <t>NH40-63/3CS ürün kodu ve geçiş tipi tedarikçi teyidi</t>
  </si>
  <si>
    <t>Klemens adetleri</t>
  </si>
  <si>
    <t>Ön görünüşteki sıra sayısına göre; saha kablo sonlandırma yöntemine göre teyit</t>
  </si>
  <si>
    <t>UPS</t>
  </si>
  <si>
    <t>Müşteri kapsamı; BOM’a dahil edilmedi</t>
  </si>
  <si>
    <t>цена1</t>
  </si>
  <si>
    <t>цена</t>
  </si>
  <si>
    <t>Наименование1</t>
  </si>
  <si>
    <t>Тип</t>
  </si>
  <si>
    <t>Артикул</t>
  </si>
  <si>
    <t>Номенклатура</t>
  </si>
  <si>
    <t>Кол-во</t>
  </si>
  <si>
    <t>Ед.изм.</t>
  </si>
  <si>
    <t>Завод</t>
  </si>
  <si>
    <t>dif</t>
  </si>
  <si>
    <t>izolator</t>
  </si>
  <si>
    <t>kab kanal</t>
  </si>
  <si>
    <t>r kelemens</t>
  </si>
  <si>
    <t>korpus</t>
  </si>
  <si>
    <t>mcb</t>
  </si>
  <si>
    <t>pereklichatel</t>
  </si>
  <si>
    <t>loobar 4*100a</t>
  </si>
  <si>
    <t>siny lamb</t>
  </si>
  <si>
    <t>tms</t>
  </si>
  <si>
    <t>bara</t>
  </si>
  <si>
    <t>notr</t>
  </si>
  <si>
    <t>toprak</t>
  </si>
  <si>
    <t>pano</t>
  </si>
  <si>
    <t>TEKLED ELECTRIC</t>
  </si>
  <si>
    <t>сумм.</t>
  </si>
  <si>
    <t>PYS</t>
  </si>
  <si>
    <t>130300473_</t>
  </si>
  <si>
    <t>Шина медн.3х20х4000</t>
  </si>
  <si>
    <t>130500106_</t>
  </si>
  <si>
    <t>Изолятор SM40 с болтом (М8) 475А 12кВ UNIT (10/200)</t>
  </si>
  <si>
    <t>270300150_</t>
  </si>
  <si>
    <t>Кабель.канал перф.  60х60 ИМПАКТ IEK (16)</t>
  </si>
  <si>
    <t>270300105_</t>
  </si>
  <si>
    <t>Кабель.канал перф.  40х60 ИМПАКТ IEK (24)</t>
  </si>
  <si>
    <t>714-15121</t>
  </si>
  <si>
    <t>Щит мет. ЩРн-3-2 PR (650x500x220) IP31 (TS)</t>
  </si>
  <si>
    <t>130200399_</t>
  </si>
  <si>
    <t>Шина "N" нулевая ШНК 3L+PEN  4х7  100А на DIN-рейку в корпусе UNIT (1/100) NEW</t>
  </si>
  <si>
    <t>296709</t>
  </si>
  <si>
    <t>Авт. выкл. NXB-63S 1P 10А 4.5kA х-ка C (R)</t>
  </si>
  <si>
    <t>296710</t>
  </si>
  <si>
    <t>Авт. выкл. NXB-63S 1P 16А 4.5kA х-ка C (R)</t>
  </si>
  <si>
    <t>296712</t>
  </si>
  <si>
    <t>Авт. выкл. NXB-63S 1P 25А 4.5kA х-ка C (R)</t>
  </si>
  <si>
    <t>296708</t>
  </si>
  <si>
    <t>Авт. выкл. NXB-63S 1P 6А 4.5kA х-ка C (R)</t>
  </si>
  <si>
    <t>814172</t>
  </si>
  <si>
    <t>Авт. выкл. NXB-63 3P 25A 6кА х-ка C (R)</t>
  </si>
  <si>
    <t>296830</t>
  </si>
  <si>
    <t>Авт. выкл. NXB-63S 3P 32А 4.5kA х-ка C (R)</t>
  </si>
  <si>
    <t>814174</t>
  </si>
  <si>
    <t>Авт. выкл. NXB-63 3P 40A 6кА х-ка C (R)</t>
  </si>
  <si>
    <t>814175</t>
  </si>
  <si>
    <t>Авт. выкл. NXB-63 3P 50A 6кА х-ка C (R)</t>
  </si>
  <si>
    <t>619-03104</t>
  </si>
  <si>
    <t>Перекидной выключатель типа MCB MCBCO 63A 4P (TEKLED ELECTRIC)</t>
  </si>
  <si>
    <t>130301153_</t>
  </si>
  <si>
    <t>ЗНИ  4мм ² (35А) серый UNIT (100/2000)</t>
  </si>
  <si>
    <t>593075</t>
  </si>
  <si>
    <t>Индикатор ND16-22D/2 красный AC/DC230В (R)</t>
  </si>
  <si>
    <t>131367</t>
  </si>
  <si>
    <t>Авт. выкл. NXM-250S/3Р 200A 36кА (R)</t>
  </si>
  <si>
    <t>205889</t>
  </si>
  <si>
    <t>Авт. выкл. NXM-63S/3P 25кА 63A (R)</t>
  </si>
  <si>
    <t>TEKLED</t>
  </si>
  <si>
    <t>KAZTEK</t>
  </si>
  <si>
    <t>Toplam ВРУ</t>
  </si>
  <si>
    <t>Toplam ЩР-1</t>
  </si>
  <si>
    <t>Toplam ЩЧП-1</t>
  </si>
  <si>
    <t>Genel Toplam</t>
  </si>
  <si>
    <t>Met. Щит ЩРн-pr  (1500х700х300) S/U IP31 (TS)</t>
  </si>
  <si>
    <t>714-15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</si>
</sst>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sz val="11"/>
      <name val="Carlito"/>
      <charset val="162"/>
    </font>
    <font>
      <b/>
      <sz val="11"/>
      <color rgb="FF7F0000"/>
      <name val="Arial"/>
      <family val="2"/>
      <charset val="162"/>
    </font>
    <font>
      <sz val="11"/>
      <name val="Arial"/>
      <family val="2"/>
      <charset val="162"/>
    </font>
    <font>
      <b/>
      <sz val="11"/>
      <color rgb="FF9C6500"/>
      <name val="Arial"/>
      <family val="2"/>
      <charset val="162"/>
    </font>
    <font>
      <b/>
      <sz val="12"/>
      <color rgb="FFFFFFFF"/>
      <name val="Carlito"/>
      <charset val="162"/>
    </font>
    <font>
      <sz val="12"/>
      <name val="Carlito"/>
      <charset val="162"/>
    </font>
    <font>
      <b/>
      <sz val="10"/>
      <color theme="1"/>
      <name val="Calibri"/>
      <family val="2"/>
      <scheme val="minor"/>
    </font>
    <font>
      <b/>
      <sz val="1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zoomScale="70" zoomScaleNormal="70" workbookViewId="0">
      <selection activeCell="N19" sqref="N19"/>
    </sheetView>
  </sheetViews>
  <sheetFormatPr defaultRowHeight="14.25" outlineLevelRow="2"/>
  <cols>
    <col min="1" max="1" width="7" style="3" customWidth="1"/>
    <col min="2" max="4" width="16" style="9" customWidth="1"/>
    <col min="5" max="5" width="48" style="3" customWidth="1"/>
    <col min="6" max="8" width="20.625" style="3" customWidth="1"/>
    <col min="9" max="10" width="10" style="9" customWidth="1"/>
    <col min="11" max="11" width="16" style="9" customWidth="1"/>
    <col min="12" max="12" width="31" style="3" customWidth="1"/>
    <col min="13" max="13" width="28" style="3" customWidth="1"/>
    <col min="14" max="14" width="20.625" style="3" customWidth="1"/>
    <col min="15" max="16384" width="9" style="3"/>
  </cols>
  <sheetData>
    <row r="1" spans="1:14" s="11" customFormat="1" ht="38.1" customHeight="1">
      <c r="A1" s="10" t="s">
        <v>0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70</v>
      </c>
      <c r="G1" s="10" t="s">
        <v>71</v>
      </c>
      <c r="H1" s="10" t="s">
        <v>94</v>
      </c>
      <c r="I1" s="10" t="s">
        <v>76</v>
      </c>
      <c r="J1" s="10" t="s">
        <v>77</v>
      </c>
      <c r="K1" s="10" t="s">
        <v>78</v>
      </c>
      <c r="L1" s="10" t="s">
        <v>1</v>
      </c>
      <c r="M1" s="10" t="s">
        <v>2</v>
      </c>
      <c r="N1" s="10" t="s">
        <v>94</v>
      </c>
    </row>
    <row r="2" spans="1:14" ht="30" customHeight="1" outlineLevel="2">
      <c r="A2" s="4">
        <v>1</v>
      </c>
      <c r="B2" s="5" t="s">
        <v>3</v>
      </c>
      <c r="C2" s="5" t="s">
        <v>92</v>
      </c>
      <c r="D2" s="5"/>
      <c r="E2" s="4" t="s">
        <v>3</v>
      </c>
      <c r="F2" s="4"/>
      <c r="G2" s="4"/>
      <c r="H2" s="4"/>
      <c r="I2" s="5">
        <v>1</v>
      </c>
      <c r="J2" s="5" t="s">
        <v>4</v>
      </c>
      <c r="K2" s="5" t="s">
        <v>93</v>
      </c>
      <c r="L2" s="4"/>
      <c r="M2" s="4"/>
      <c r="N2" s="4"/>
    </row>
    <row r="3" spans="1:14" ht="30" customHeight="1" outlineLevel="2">
      <c r="A3" s="6">
        <v>2</v>
      </c>
      <c r="B3" s="7" t="s">
        <v>3</v>
      </c>
      <c r="C3" s="7" t="s">
        <v>83</v>
      </c>
      <c r="D3" s="7" t="s">
        <v>141</v>
      </c>
      <c r="E3" s="6" t="s">
        <v>140</v>
      </c>
      <c r="F3" s="6">
        <v>80000</v>
      </c>
      <c r="G3" s="6">
        <f>0.6*F3</f>
        <v>48000</v>
      </c>
      <c r="H3" s="6">
        <f>I3*G3</f>
        <v>48000</v>
      </c>
      <c r="I3" s="7">
        <v>1</v>
      </c>
      <c r="J3" s="7" t="s">
        <v>6</v>
      </c>
      <c r="K3" s="7" t="s">
        <v>135</v>
      </c>
      <c r="L3" s="6" t="s">
        <v>5</v>
      </c>
      <c r="M3" s="8" t="s">
        <v>7</v>
      </c>
      <c r="N3" s="6">
        <v>48000</v>
      </c>
    </row>
    <row r="4" spans="1:14" ht="30" customHeight="1" outlineLevel="2">
      <c r="A4" s="6">
        <v>3</v>
      </c>
      <c r="B4" s="7" t="s">
        <v>3</v>
      </c>
      <c r="C4" s="7" t="s">
        <v>88</v>
      </c>
      <c r="D4" s="7" t="s">
        <v>130</v>
      </c>
      <c r="E4" s="6" t="s">
        <v>131</v>
      </c>
      <c r="F4" s="6">
        <v>34800</v>
      </c>
      <c r="G4" s="6">
        <f>0.6*F4</f>
        <v>20880</v>
      </c>
      <c r="H4" s="6">
        <f t="shared" ref="H4:H18" si="0">I4*G4</f>
        <v>20880</v>
      </c>
      <c r="I4" s="7">
        <v>1</v>
      </c>
      <c r="J4" s="7" t="s">
        <v>6</v>
      </c>
      <c r="K4" s="7" t="s">
        <v>8</v>
      </c>
      <c r="L4" s="6" t="s">
        <v>9</v>
      </c>
      <c r="M4" s="6" t="s">
        <v>10</v>
      </c>
      <c r="N4" s="6">
        <v>20880</v>
      </c>
    </row>
    <row r="5" spans="1:14" ht="30" customHeight="1" outlineLevel="2">
      <c r="A5" s="6">
        <v>4</v>
      </c>
      <c r="B5" s="7" t="s">
        <v>3</v>
      </c>
      <c r="C5" s="7" t="s">
        <v>88</v>
      </c>
      <c r="D5" s="7" t="s">
        <v>132</v>
      </c>
      <c r="E5" s="6" t="s">
        <v>133</v>
      </c>
      <c r="F5" s="6">
        <v>17405</v>
      </c>
      <c r="G5" s="6">
        <f t="shared" ref="G5:G10" si="1">0.6*F5</f>
        <v>10443</v>
      </c>
      <c r="H5" s="6">
        <f t="shared" si="0"/>
        <v>62658</v>
      </c>
      <c r="I5" s="7">
        <v>6</v>
      </c>
      <c r="J5" s="7" t="s">
        <v>6</v>
      </c>
      <c r="K5" s="7" t="s">
        <v>8</v>
      </c>
      <c r="L5" s="6" t="s">
        <v>11</v>
      </c>
      <c r="M5" s="6" t="s">
        <v>12</v>
      </c>
      <c r="N5" s="6">
        <v>62658</v>
      </c>
    </row>
    <row r="6" spans="1:14" ht="30" customHeight="1" outlineLevel="2">
      <c r="A6" s="6">
        <v>5</v>
      </c>
      <c r="B6" s="7" t="s">
        <v>3</v>
      </c>
      <c r="C6" s="7" t="s">
        <v>84</v>
      </c>
      <c r="D6" s="7" t="s">
        <v>116</v>
      </c>
      <c r="E6" s="6" t="s">
        <v>117</v>
      </c>
      <c r="F6" s="6">
        <v>5334</v>
      </c>
      <c r="G6" s="6">
        <f t="shared" si="1"/>
        <v>3200.4</v>
      </c>
      <c r="H6" s="6">
        <f t="shared" si="0"/>
        <v>3200.4</v>
      </c>
      <c r="I6" s="7">
        <v>1</v>
      </c>
      <c r="J6" s="7" t="s">
        <v>6</v>
      </c>
      <c r="K6" s="7" t="s">
        <v>8</v>
      </c>
      <c r="L6" s="6" t="s">
        <v>13</v>
      </c>
      <c r="M6" s="6"/>
      <c r="N6" s="6">
        <v>3200.4</v>
      </c>
    </row>
    <row r="7" spans="1:14" ht="30" customHeight="1" outlineLevel="2">
      <c r="A7" s="6">
        <v>6</v>
      </c>
      <c r="B7" s="7" t="s">
        <v>3</v>
      </c>
      <c r="C7" s="7" t="s">
        <v>84</v>
      </c>
      <c r="D7" s="7" t="s">
        <v>122</v>
      </c>
      <c r="E7" s="6" t="s">
        <v>123</v>
      </c>
      <c r="F7" s="6">
        <v>5719</v>
      </c>
      <c r="G7" s="6">
        <f t="shared" si="1"/>
        <v>3431.4</v>
      </c>
      <c r="H7" s="6">
        <f t="shared" si="0"/>
        <v>3431.4</v>
      </c>
      <c r="I7" s="7">
        <v>1</v>
      </c>
      <c r="J7" s="7" t="s">
        <v>6</v>
      </c>
      <c r="K7" s="7" t="s">
        <v>8</v>
      </c>
      <c r="L7" s="6" t="s">
        <v>14</v>
      </c>
      <c r="M7" s="6"/>
      <c r="N7" s="6">
        <v>3431.4</v>
      </c>
    </row>
    <row r="8" spans="1:14" ht="30" customHeight="1" outlineLevel="2">
      <c r="A8" s="6">
        <v>7</v>
      </c>
      <c r="B8" s="7" t="s">
        <v>3</v>
      </c>
      <c r="C8" s="7" t="s">
        <v>84</v>
      </c>
      <c r="D8" s="7" t="s">
        <v>120</v>
      </c>
      <c r="E8" s="6" t="s">
        <v>121</v>
      </c>
      <c r="F8" s="6">
        <v>5647</v>
      </c>
      <c r="G8" s="6">
        <f t="shared" si="1"/>
        <v>3388.2</v>
      </c>
      <c r="H8" s="6">
        <f t="shared" si="0"/>
        <v>3388.2</v>
      </c>
      <c r="I8" s="7">
        <v>1</v>
      </c>
      <c r="J8" s="7" t="s">
        <v>6</v>
      </c>
      <c r="K8" s="7" t="s">
        <v>8</v>
      </c>
      <c r="L8" s="6" t="s">
        <v>15</v>
      </c>
      <c r="M8" s="6"/>
      <c r="N8" s="6">
        <v>3388.2</v>
      </c>
    </row>
    <row r="9" spans="1:14" ht="30" customHeight="1" outlineLevel="2">
      <c r="A9" s="6">
        <v>8</v>
      </c>
      <c r="B9" s="7" t="s">
        <v>3</v>
      </c>
      <c r="C9" s="7" t="s">
        <v>84</v>
      </c>
      <c r="D9" s="7" t="s">
        <v>114</v>
      </c>
      <c r="E9" s="6" t="s">
        <v>115</v>
      </c>
      <c r="F9" s="6">
        <v>975</v>
      </c>
      <c r="G9" s="6">
        <f t="shared" si="1"/>
        <v>585</v>
      </c>
      <c r="H9" s="6">
        <f t="shared" si="0"/>
        <v>1755</v>
      </c>
      <c r="I9" s="7">
        <v>3</v>
      </c>
      <c r="J9" s="7" t="s">
        <v>6</v>
      </c>
      <c r="K9" s="7" t="s">
        <v>8</v>
      </c>
      <c r="L9" s="6" t="s">
        <v>16</v>
      </c>
      <c r="M9" s="6" t="s">
        <v>17</v>
      </c>
      <c r="N9" s="6">
        <v>1755</v>
      </c>
    </row>
    <row r="10" spans="1:14" ht="30" customHeight="1" outlineLevel="2">
      <c r="A10" s="6">
        <v>9</v>
      </c>
      <c r="B10" s="7" t="s">
        <v>3</v>
      </c>
      <c r="C10" s="7" t="s">
        <v>87</v>
      </c>
      <c r="D10" s="7" t="s">
        <v>128</v>
      </c>
      <c r="E10" s="6" t="s">
        <v>129</v>
      </c>
      <c r="F10" s="6">
        <v>571</v>
      </c>
      <c r="G10" s="6">
        <f t="shared" si="1"/>
        <v>342.59999999999997</v>
      </c>
      <c r="H10" s="6">
        <f t="shared" si="0"/>
        <v>1027.8</v>
      </c>
      <c r="I10" s="7">
        <v>3</v>
      </c>
      <c r="J10" s="7" t="s">
        <v>6</v>
      </c>
      <c r="K10" s="7" t="s">
        <v>8</v>
      </c>
      <c r="L10" s="6" t="s">
        <v>18</v>
      </c>
      <c r="M10" s="6" t="s">
        <v>19</v>
      </c>
      <c r="N10" s="6">
        <v>1027.8</v>
      </c>
    </row>
    <row r="11" spans="1:14" ht="30" customHeight="1" outlineLevel="2">
      <c r="A11" s="6">
        <v>10</v>
      </c>
      <c r="B11" s="7" t="s">
        <v>3</v>
      </c>
      <c r="C11" s="7" t="s">
        <v>89</v>
      </c>
      <c r="D11" s="7" t="s">
        <v>96</v>
      </c>
      <c r="E11" s="6" t="s">
        <v>97</v>
      </c>
      <c r="F11" s="6">
        <v>5538</v>
      </c>
      <c r="G11" s="6">
        <f>F11</f>
        <v>5538</v>
      </c>
      <c r="H11" s="6">
        <f t="shared" si="0"/>
        <v>9968.4</v>
      </c>
      <c r="I11" s="7">
        <v>1.8</v>
      </c>
      <c r="J11" s="7" t="s">
        <v>21</v>
      </c>
      <c r="K11" s="7" t="s">
        <v>95</v>
      </c>
      <c r="L11" s="6" t="s">
        <v>20</v>
      </c>
      <c r="M11" s="6" t="s">
        <v>22</v>
      </c>
      <c r="N11" s="6">
        <v>9968.4</v>
      </c>
    </row>
    <row r="12" spans="1:14" ht="30" customHeight="1" outlineLevel="2">
      <c r="A12" s="6">
        <v>11</v>
      </c>
      <c r="B12" s="7" t="s">
        <v>3</v>
      </c>
      <c r="C12" s="7" t="s">
        <v>89</v>
      </c>
      <c r="D12" s="7" t="s">
        <v>96</v>
      </c>
      <c r="E12" s="6" t="s">
        <v>97</v>
      </c>
      <c r="F12" s="6">
        <v>5538</v>
      </c>
      <c r="G12" s="6">
        <f t="shared" ref="G12:G16" si="2">F12</f>
        <v>5538</v>
      </c>
      <c r="H12" s="6">
        <f t="shared" si="0"/>
        <v>3322.7999999999997</v>
      </c>
      <c r="I12" s="7">
        <v>0.6</v>
      </c>
      <c r="J12" s="7" t="s">
        <v>21</v>
      </c>
      <c r="K12" s="7" t="s">
        <v>95</v>
      </c>
      <c r="L12" s="6" t="s">
        <v>20</v>
      </c>
      <c r="M12" s="6"/>
      <c r="N12" s="6">
        <v>3322.7999999999997</v>
      </c>
    </row>
    <row r="13" spans="1:14" ht="30" customHeight="1" outlineLevel="2">
      <c r="A13" s="6">
        <v>12</v>
      </c>
      <c r="B13" s="7" t="s">
        <v>3</v>
      </c>
      <c r="C13" s="7" t="s">
        <v>89</v>
      </c>
      <c r="D13" s="7" t="s">
        <v>96</v>
      </c>
      <c r="E13" s="6" t="s">
        <v>97</v>
      </c>
      <c r="F13" s="6">
        <v>5538</v>
      </c>
      <c r="G13" s="6">
        <f t="shared" si="2"/>
        <v>5538</v>
      </c>
      <c r="H13" s="6">
        <f t="shared" si="0"/>
        <v>3322.7999999999997</v>
      </c>
      <c r="I13" s="7">
        <v>0.6</v>
      </c>
      <c r="J13" s="7" t="s">
        <v>21</v>
      </c>
      <c r="K13" s="7" t="s">
        <v>95</v>
      </c>
      <c r="L13" s="6" t="s">
        <v>20</v>
      </c>
      <c r="M13" s="6"/>
      <c r="N13" s="6">
        <v>3322.7999999999997</v>
      </c>
    </row>
    <row r="14" spans="1:14" ht="30" customHeight="1" outlineLevel="2">
      <c r="A14" s="6">
        <v>13</v>
      </c>
      <c r="B14" s="7" t="s">
        <v>3</v>
      </c>
      <c r="C14" s="7" t="s">
        <v>80</v>
      </c>
      <c r="D14" s="7" t="s">
        <v>98</v>
      </c>
      <c r="E14" s="6" t="s">
        <v>99</v>
      </c>
      <c r="F14" s="6">
        <v>343</v>
      </c>
      <c r="G14" s="6">
        <f t="shared" si="2"/>
        <v>343</v>
      </c>
      <c r="H14" s="6">
        <f t="shared" si="0"/>
        <v>4116</v>
      </c>
      <c r="I14" s="7">
        <v>12</v>
      </c>
      <c r="J14" s="7" t="s">
        <v>6</v>
      </c>
      <c r="K14" s="7" t="s">
        <v>95</v>
      </c>
      <c r="L14" s="6" t="s">
        <v>23</v>
      </c>
      <c r="M14" s="6"/>
      <c r="N14" s="6">
        <v>4116</v>
      </c>
    </row>
    <row r="15" spans="1:14" ht="30" customHeight="1" outlineLevel="2">
      <c r="A15" s="6">
        <v>15</v>
      </c>
      <c r="B15" s="7" t="s">
        <v>3</v>
      </c>
      <c r="C15" s="7" t="s">
        <v>81</v>
      </c>
      <c r="D15" s="7" t="s">
        <v>100</v>
      </c>
      <c r="E15" s="6" t="s">
        <v>101</v>
      </c>
      <c r="F15" s="6">
        <v>3143</v>
      </c>
      <c r="G15" s="6">
        <f t="shared" si="2"/>
        <v>3143</v>
      </c>
      <c r="H15" s="6">
        <f t="shared" si="0"/>
        <v>15715</v>
      </c>
      <c r="I15" s="7">
        <v>5</v>
      </c>
      <c r="J15" s="7" t="s">
        <v>21</v>
      </c>
      <c r="K15" s="7" t="s">
        <v>95</v>
      </c>
      <c r="L15" s="6" t="s">
        <v>24</v>
      </c>
      <c r="M15" s="6"/>
      <c r="N15" s="6">
        <v>15715</v>
      </c>
    </row>
    <row r="16" spans="1:14" ht="30" customHeight="1" outlineLevel="2">
      <c r="A16" s="6">
        <v>16</v>
      </c>
      <c r="B16" s="7" t="s">
        <v>3</v>
      </c>
      <c r="C16" s="7" t="s">
        <v>90</v>
      </c>
      <c r="D16" s="7"/>
      <c r="E16" s="6" t="s">
        <v>25</v>
      </c>
      <c r="F16" s="6">
        <v>975</v>
      </c>
      <c r="G16" s="6">
        <f t="shared" si="2"/>
        <v>975</v>
      </c>
      <c r="H16" s="6">
        <f t="shared" si="0"/>
        <v>1950</v>
      </c>
      <c r="I16" s="7">
        <v>2</v>
      </c>
      <c r="J16" s="7" t="s">
        <v>6</v>
      </c>
      <c r="K16" s="7" t="s">
        <v>95</v>
      </c>
      <c r="L16" s="6" t="s">
        <v>26</v>
      </c>
      <c r="M16" s="6"/>
      <c r="N16" s="6">
        <v>1950</v>
      </c>
    </row>
    <row r="17" spans="1:14" ht="30" customHeight="1" outlineLevel="2">
      <c r="A17" s="6">
        <v>19</v>
      </c>
      <c r="B17" s="7" t="s">
        <v>3</v>
      </c>
      <c r="C17" s="7" t="s">
        <v>27</v>
      </c>
      <c r="D17" s="6"/>
      <c r="E17" s="6" t="s">
        <v>27</v>
      </c>
      <c r="F17" s="6">
        <f ca="1">OFFSET(F17,1,2)</f>
        <v>19800</v>
      </c>
      <c r="G17" s="6">
        <f ca="1">F17</f>
        <v>19800</v>
      </c>
      <c r="H17" s="6">
        <f t="shared" ca="1" si="0"/>
        <v>19800</v>
      </c>
      <c r="I17" s="7">
        <v>1</v>
      </c>
      <c r="J17" s="7" t="s">
        <v>6</v>
      </c>
      <c r="K17" s="6" t="s">
        <v>27</v>
      </c>
      <c r="L17" s="6"/>
      <c r="M17" s="6"/>
      <c r="N17" s="6">
        <v>19800</v>
      </c>
    </row>
    <row r="18" spans="1:14" ht="30" customHeight="1" outlineLevel="2">
      <c r="A18" s="6">
        <v>20</v>
      </c>
      <c r="B18" s="7" t="s">
        <v>3</v>
      </c>
      <c r="C18" s="7" t="s">
        <v>28</v>
      </c>
      <c r="D18" s="6"/>
      <c r="E18" s="6" t="s">
        <v>28</v>
      </c>
      <c r="F18" s="6">
        <v>100</v>
      </c>
      <c r="G18" s="6">
        <v>3.3</v>
      </c>
      <c r="H18" s="6">
        <f t="shared" si="0"/>
        <v>19800</v>
      </c>
      <c r="I18" s="7">
        <f>60*F18</f>
        <v>6000</v>
      </c>
      <c r="J18" s="7" t="s">
        <v>6</v>
      </c>
      <c r="K18" s="6" t="s">
        <v>28</v>
      </c>
      <c r="L18" s="6"/>
      <c r="M18" s="6"/>
      <c r="N18" s="6">
        <v>19800</v>
      </c>
    </row>
    <row r="19" spans="1:14" ht="30" customHeight="1" outlineLevel="1">
      <c r="A19" s="6"/>
      <c r="B19" s="13" t="s">
        <v>136</v>
      </c>
      <c r="C19" s="7"/>
      <c r="D19" s="6"/>
      <c r="E19" s="6"/>
      <c r="F19" s="6"/>
      <c r="G19" s="6"/>
      <c r="H19" s="6">
        <f ca="1">SUBTOTAL(9,H2:H18)</f>
        <v>222335.79999999996</v>
      </c>
      <c r="I19" s="7"/>
      <c r="J19" s="7"/>
      <c r="K19" s="6"/>
      <c r="L19" s="6"/>
      <c r="M19" s="6"/>
      <c r="N19" s="6">
        <v>222335.79999999996</v>
      </c>
    </row>
    <row r="20" spans="1:14" ht="30" customHeight="1" outlineLevel="2">
      <c r="A20" s="4">
        <v>21</v>
      </c>
      <c r="B20" s="5" t="s">
        <v>29</v>
      </c>
      <c r="C20" s="5" t="s">
        <v>92</v>
      </c>
      <c r="D20" s="5"/>
      <c r="E20" s="4" t="s">
        <v>29</v>
      </c>
      <c r="F20" s="4"/>
      <c r="G20" s="4"/>
      <c r="H20" s="4"/>
      <c r="I20" s="5">
        <v>1</v>
      </c>
      <c r="J20" s="5" t="s">
        <v>4</v>
      </c>
      <c r="K20" s="5" t="s">
        <v>93</v>
      </c>
      <c r="L20" s="4"/>
      <c r="M20" s="4"/>
      <c r="N20" s="4"/>
    </row>
    <row r="21" spans="1:14" ht="30" customHeight="1" outlineLevel="2">
      <c r="A21" s="6">
        <v>22</v>
      </c>
      <c r="B21" s="7" t="s">
        <v>29</v>
      </c>
      <c r="C21" s="7" t="s">
        <v>83</v>
      </c>
      <c r="D21" s="7" t="s">
        <v>104</v>
      </c>
      <c r="E21" s="6" t="s">
        <v>105</v>
      </c>
      <c r="F21" s="6">
        <v>23810</v>
      </c>
      <c r="G21" s="6">
        <f>0.6*F21</f>
        <v>14286</v>
      </c>
      <c r="H21" s="6">
        <f t="shared" ref="H21:H37" si="3">I21*G21</f>
        <v>14286</v>
      </c>
      <c r="I21" s="7">
        <v>1</v>
      </c>
      <c r="J21" s="7" t="s">
        <v>6</v>
      </c>
      <c r="K21" s="7" t="s">
        <v>135</v>
      </c>
      <c r="L21" s="6" t="s">
        <v>5</v>
      </c>
      <c r="M21" s="8" t="s">
        <v>7</v>
      </c>
      <c r="N21" s="6">
        <v>14286</v>
      </c>
    </row>
    <row r="22" spans="1:14" ht="30" customHeight="1" outlineLevel="2">
      <c r="A22" s="6">
        <v>23</v>
      </c>
      <c r="B22" s="7" t="s">
        <v>29</v>
      </c>
      <c r="C22" s="7" t="s">
        <v>84</v>
      </c>
      <c r="D22" s="7" t="s">
        <v>122</v>
      </c>
      <c r="E22" s="6" t="s">
        <v>123</v>
      </c>
      <c r="F22" s="6">
        <v>5719</v>
      </c>
      <c r="G22" s="6">
        <f t="shared" ref="G22:G30" si="4">0.6*F22</f>
        <v>3431.4</v>
      </c>
      <c r="H22" s="6">
        <f t="shared" si="3"/>
        <v>3431.4</v>
      </c>
      <c r="I22" s="7">
        <v>1</v>
      </c>
      <c r="J22" s="7" t="s">
        <v>6</v>
      </c>
      <c r="K22" s="7" t="s">
        <v>8</v>
      </c>
      <c r="L22" s="6" t="s">
        <v>14</v>
      </c>
      <c r="M22" s="6" t="s">
        <v>10</v>
      </c>
      <c r="N22" s="6">
        <v>3431.4</v>
      </c>
    </row>
    <row r="23" spans="1:14" ht="30" customHeight="1" outlineLevel="2">
      <c r="A23" s="6">
        <v>24</v>
      </c>
      <c r="B23" s="7" t="s">
        <v>29</v>
      </c>
      <c r="C23" s="7" t="s">
        <v>84</v>
      </c>
      <c r="D23" s="7" t="s">
        <v>114</v>
      </c>
      <c r="E23" s="6" t="s">
        <v>115</v>
      </c>
      <c r="F23" s="6">
        <v>975</v>
      </c>
      <c r="G23" s="6">
        <f t="shared" si="4"/>
        <v>585</v>
      </c>
      <c r="H23" s="6">
        <f t="shared" si="3"/>
        <v>1755</v>
      </c>
      <c r="I23" s="7">
        <v>3</v>
      </c>
      <c r="J23" s="7" t="s">
        <v>6</v>
      </c>
      <c r="K23" s="7" t="s">
        <v>8</v>
      </c>
      <c r="L23" s="6" t="s">
        <v>16</v>
      </c>
      <c r="M23" s="6" t="s">
        <v>17</v>
      </c>
      <c r="N23" s="6">
        <v>1755</v>
      </c>
    </row>
    <row r="24" spans="1:14" ht="30" customHeight="1" outlineLevel="2">
      <c r="A24" s="6">
        <v>25</v>
      </c>
      <c r="B24" s="7" t="s">
        <v>29</v>
      </c>
      <c r="C24" s="7" t="s">
        <v>87</v>
      </c>
      <c r="D24" s="7" t="s">
        <v>128</v>
      </c>
      <c r="E24" s="6" t="s">
        <v>129</v>
      </c>
      <c r="F24" s="6">
        <v>571</v>
      </c>
      <c r="G24" s="6">
        <f t="shared" si="4"/>
        <v>342.59999999999997</v>
      </c>
      <c r="H24" s="6">
        <f t="shared" si="3"/>
        <v>1027.8</v>
      </c>
      <c r="I24" s="7">
        <v>3</v>
      </c>
      <c r="J24" s="7" t="s">
        <v>6</v>
      </c>
      <c r="K24" s="7" t="s">
        <v>8</v>
      </c>
      <c r="L24" s="6" t="s">
        <v>18</v>
      </c>
      <c r="M24" s="6" t="s">
        <v>19</v>
      </c>
      <c r="N24" s="6">
        <v>1027.8</v>
      </c>
    </row>
    <row r="25" spans="1:14" ht="30" customHeight="1" outlineLevel="2">
      <c r="A25" s="6">
        <v>26</v>
      </c>
      <c r="B25" s="7" t="s">
        <v>29</v>
      </c>
      <c r="C25" s="7" t="s">
        <v>84</v>
      </c>
      <c r="D25" s="7" t="s">
        <v>112</v>
      </c>
      <c r="E25" s="6" t="s">
        <v>113</v>
      </c>
      <c r="F25" s="6">
        <v>800</v>
      </c>
      <c r="G25" s="6">
        <f t="shared" si="4"/>
        <v>480</v>
      </c>
      <c r="H25" s="6">
        <f t="shared" si="3"/>
        <v>480</v>
      </c>
      <c r="I25" s="7">
        <v>1</v>
      </c>
      <c r="J25" s="7" t="s">
        <v>6</v>
      </c>
      <c r="K25" s="7" t="s">
        <v>8</v>
      </c>
      <c r="L25" s="6" t="s">
        <v>30</v>
      </c>
      <c r="M25" s="6" t="s">
        <v>31</v>
      </c>
      <c r="N25" s="6">
        <v>480</v>
      </c>
    </row>
    <row r="26" spans="1:14" ht="30" customHeight="1" outlineLevel="2">
      <c r="A26" s="6">
        <v>27</v>
      </c>
      <c r="B26" s="7" t="s">
        <v>29</v>
      </c>
      <c r="C26" s="7" t="s">
        <v>84</v>
      </c>
      <c r="D26" s="7" t="s">
        <v>116</v>
      </c>
      <c r="E26" s="6" t="s">
        <v>117</v>
      </c>
      <c r="F26" s="6">
        <v>5334</v>
      </c>
      <c r="G26" s="6">
        <f t="shared" si="4"/>
        <v>3200.4</v>
      </c>
      <c r="H26" s="6">
        <f t="shared" si="3"/>
        <v>3200.4</v>
      </c>
      <c r="I26" s="7">
        <v>1</v>
      </c>
      <c r="J26" s="7" t="s">
        <v>6</v>
      </c>
      <c r="K26" s="7" t="s">
        <v>8</v>
      </c>
      <c r="L26" s="6" t="s">
        <v>13</v>
      </c>
      <c r="M26" s="6" t="s">
        <v>32</v>
      </c>
      <c r="N26" s="6">
        <v>3200.4</v>
      </c>
    </row>
    <row r="27" spans="1:14" ht="30" customHeight="1" outlineLevel="2">
      <c r="A27" s="6">
        <v>29</v>
      </c>
      <c r="B27" s="7" t="s">
        <v>29</v>
      </c>
      <c r="C27" s="7" t="s">
        <v>84</v>
      </c>
      <c r="D27" s="7" t="s">
        <v>110</v>
      </c>
      <c r="E27" s="6" t="s">
        <v>111</v>
      </c>
      <c r="F27" s="6">
        <v>783</v>
      </c>
      <c r="G27" s="6">
        <f t="shared" si="4"/>
        <v>469.79999999999995</v>
      </c>
      <c r="H27" s="6">
        <f t="shared" si="3"/>
        <v>5167.7999999999993</v>
      </c>
      <c r="I27" s="7">
        <v>11</v>
      </c>
      <c r="J27" s="7" t="s">
        <v>6</v>
      </c>
      <c r="K27" s="7" t="s">
        <v>8</v>
      </c>
      <c r="L27" s="6" t="s">
        <v>33</v>
      </c>
      <c r="M27" s="6" t="s">
        <v>34</v>
      </c>
      <c r="N27" s="6">
        <v>5167.7999999999993</v>
      </c>
    </row>
    <row r="28" spans="1:14" ht="30" customHeight="1" outlineLevel="2">
      <c r="A28" s="6">
        <v>30</v>
      </c>
      <c r="B28" s="7" t="s">
        <v>29</v>
      </c>
      <c r="C28" s="7" t="s">
        <v>84</v>
      </c>
      <c r="D28" s="7" t="s">
        <v>118</v>
      </c>
      <c r="E28" s="6" t="s">
        <v>119</v>
      </c>
      <c r="F28" s="6">
        <v>2606</v>
      </c>
      <c r="G28" s="6">
        <f t="shared" si="4"/>
        <v>1563.6</v>
      </c>
      <c r="H28" s="6">
        <f t="shared" si="3"/>
        <v>1563.6</v>
      </c>
      <c r="I28" s="7">
        <v>1</v>
      </c>
      <c r="J28" s="7" t="s">
        <v>6</v>
      </c>
      <c r="K28" s="7" t="s">
        <v>8</v>
      </c>
      <c r="L28" s="6" t="s">
        <v>35</v>
      </c>
      <c r="M28" s="6" t="s">
        <v>36</v>
      </c>
      <c r="N28" s="6">
        <v>1563.6</v>
      </c>
    </row>
    <row r="29" spans="1:14" ht="30" customHeight="1" outlineLevel="2">
      <c r="A29" s="6">
        <v>31</v>
      </c>
      <c r="B29" s="7" t="s">
        <v>29</v>
      </c>
      <c r="C29" s="7" t="s">
        <v>79</v>
      </c>
      <c r="D29" s="7"/>
      <c r="E29" s="6" t="s">
        <v>37</v>
      </c>
      <c r="F29" s="12">
        <v>5093</v>
      </c>
      <c r="G29" s="6">
        <f t="shared" si="4"/>
        <v>3055.7999999999997</v>
      </c>
      <c r="H29" s="6">
        <f t="shared" si="3"/>
        <v>33613.799999999996</v>
      </c>
      <c r="I29" s="7">
        <v>11</v>
      </c>
      <c r="J29" s="7" t="s">
        <v>6</v>
      </c>
      <c r="K29" s="7" t="s">
        <v>8</v>
      </c>
      <c r="L29" s="6" t="s">
        <v>38</v>
      </c>
      <c r="M29" s="6" t="s">
        <v>39</v>
      </c>
      <c r="N29" s="6">
        <v>33613.799999999996</v>
      </c>
    </row>
    <row r="30" spans="1:14" ht="30" customHeight="1" outlineLevel="2">
      <c r="A30" s="6">
        <v>32</v>
      </c>
      <c r="B30" s="7" t="s">
        <v>29</v>
      </c>
      <c r="C30" s="7" t="s">
        <v>84</v>
      </c>
      <c r="D30" s="7" t="s">
        <v>108</v>
      </c>
      <c r="E30" s="6" t="s">
        <v>109</v>
      </c>
      <c r="F30" s="6">
        <v>783</v>
      </c>
      <c r="G30" s="6">
        <f t="shared" si="4"/>
        <v>469.79999999999995</v>
      </c>
      <c r="H30" s="6">
        <f t="shared" si="3"/>
        <v>2349</v>
      </c>
      <c r="I30" s="7">
        <v>5</v>
      </c>
      <c r="J30" s="7" t="s">
        <v>6</v>
      </c>
      <c r="K30" s="7" t="s">
        <v>8</v>
      </c>
      <c r="L30" s="6" t="s">
        <v>40</v>
      </c>
      <c r="M30" s="6" t="s">
        <v>41</v>
      </c>
      <c r="N30" s="6">
        <v>2349</v>
      </c>
    </row>
    <row r="31" spans="1:14" ht="30" customHeight="1" outlineLevel="2">
      <c r="A31" s="6">
        <v>33</v>
      </c>
      <c r="B31" s="7" t="s">
        <v>29</v>
      </c>
      <c r="C31" s="7" t="s">
        <v>86</v>
      </c>
      <c r="D31" s="7" t="s">
        <v>106</v>
      </c>
      <c r="E31" s="6" t="s">
        <v>107</v>
      </c>
      <c r="F31" s="6">
        <v>2432</v>
      </c>
      <c r="G31" s="6">
        <f t="shared" ref="G31:G35" si="5">F31</f>
        <v>2432</v>
      </c>
      <c r="H31" s="6">
        <f t="shared" si="3"/>
        <v>4864</v>
      </c>
      <c r="I31" s="7">
        <v>2</v>
      </c>
      <c r="J31" s="7" t="s">
        <v>6</v>
      </c>
      <c r="K31" s="7" t="s">
        <v>95</v>
      </c>
      <c r="L31" s="6" t="s">
        <v>42</v>
      </c>
      <c r="M31" s="6"/>
      <c r="N31" s="6">
        <v>4864</v>
      </c>
    </row>
    <row r="32" spans="1:14" ht="30" customHeight="1" outlineLevel="2">
      <c r="A32" s="6">
        <v>35</v>
      </c>
      <c r="B32" s="7" t="s">
        <v>29</v>
      </c>
      <c r="C32" s="7" t="s">
        <v>81</v>
      </c>
      <c r="D32" s="7" t="s">
        <v>102</v>
      </c>
      <c r="E32" s="6" t="s">
        <v>103</v>
      </c>
      <c r="F32" s="6">
        <v>2460</v>
      </c>
      <c r="G32" s="6">
        <f t="shared" si="5"/>
        <v>2460</v>
      </c>
      <c r="H32" s="6">
        <f t="shared" si="3"/>
        <v>14760</v>
      </c>
      <c r="I32" s="7">
        <v>6</v>
      </c>
      <c r="J32" s="7" t="s">
        <v>21</v>
      </c>
      <c r="K32" s="7" t="s">
        <v>95</v>
      </c>
      <c r="L32" s="6" t="s">
        <v>24</v>
      </c>
      <c r="M32" s="6"/>
      <c r="N32" s="6">
        <v>14760</v>
      </c>
    </row>
    <row r="33" spans="1:14" ht="30" customHeight="1" outlineLevel="2">
      <c r="A33" s="6">
        <v>36</v>
      </c>
      <c r="B33" s="7" t="s">
        <v>29</v>
      </c>
      <c r="C33" s="7" t="s">
        <v>90</v>
      </c>
      <c r="D33" s="7"/>
      <c r="E33" s="6" t="s">
        <v>43</v>
      </c>
      <c r="F33" s="6">
        <v>975</v>
      </c>
      <c r="G33" s="6">
        <f t="shared" si="5"/>
        <v>975</v>
      </c>
      <c r="H33" s="6">
        <f t="shared" si="3"/>
        <v>975</v>
      </c>
      <c r="I33" s="7">
        <v>1</v>
      </c>
      <c r="J33" s="7" t="s">
        <v>6</v>
      </c>
      <c r="K33" s="7" t="s">
        <v>95</v>
      </c>
      <c r="L33" s="6" t="s">
        <v>44</v>
      </c>
      <c r="M33" s="6"/>
      <c r="N33" s="6">
        <v>975</v>
      </c>
    </row>
    <row r="34" spans="1:14" ht="30" customHeight="1" outlineLevel="2">
      <c r="A34" s="6">
        <v>37</v>
      </c>
      <c r="B34" s="7" t="s">
        <v>29</v>
      </c>
      <c r="C34" s="7" t="s">
        <v>91</v>
      </c>
      <c r="D34" s="7"/>
      <c r="E34" s="6" t="s">
        <v>45</v>
      </c>
      <c r="F34" s="6">
        <v>975</v>
      </c>
      <c r="G34" s="6">
        <f t="shared" si="5"/>
        <v>975</v>
      </c>
      <c r="H34" s="6">
        <f t="shared" si="3"/>
        <v>975</v>
      </c>
      <c r="I34" s="7">
        <v>1</v>
      </c>
      <c r="J34" s="7" t="s">
        <v>6</v>
      </c>
      <c r="K34" s="7" t="s">
        <v>95</v>
      </c>
      <c r="L34" s="6" t="s">
        <v>46</v>
      </c>
      <c r="M34" s="6"/>
      <c r="N34" s="6">
        <v>975</v>
      </c>
    </row>
    <row r="35" spans="1:14" ht="30" customHeight="1" outlineLevel="2">
      <c r="A35" s="6">
        <v>38</v>
      </c>
      <c r="B35" s="7" t="s">
        <v>29</v>
      </c>
      <c r="C35" s="7" t="s">
        <v>82</v>
      </c>
      <c r="D35" s="7" t="s">
        <v>126</v>
      </c>
      <c r="E35" s="6" t="s">
        <v>127</v>
      </c>
      <c r="F35" s="6">
        <v>91</v>
      </c>
      <c r="G35" s="6">
        <f t="shared" si="5"/>
        <v>91</v>
      </c>
      <c r="H35" s="6">
        <f t="shared" si="3"/>
        <v>5460</v>
      </c>
      <c r="I35" s="7">
        <v>60</v>
      </c>
      <c r="J35" s="7" t="s">
        <v>6</v>
      </c>
      <c r="K35" s="7" t="s">
        <v>95</v>
      </c>
      <c r="L35" s="6" t="s">
        <v>47</v>
      </c>
      <c r="M35" s="6" t="s">
        <v>48</v>
      </c>
      <c r="N35" s="6">
        <v>5460</v>
      </c>
    </row>
    <row r="36" spans="1:14" ht="30" customHeight="1" outlineLevel="2">
      <c r="A36" s="6">
        <v>41</v>
      </c>
      <c r="B36" s="7" t="s">
        <v>29</v>
      </c>
      <c r="C36" s="7" t="s">
        <v>27</v>
      </c>
      <c r="D36" s="6"/>
      <c r="E36" s="6" t="s">
        <v>27</v>
      </c>
      <c r="F36" s="6">
        <f ca="1">OFFSET(F36,1,2)</f>
        <v>21000</v>
      </c>
      <c r="G36" s="6">
        <f ca="1">F36</f>
        <v>21000</v>
      </c>
      <c r="H36" s="6">
        <f t="shared" ca="1" si="3"/>
        <v>21000</v>
      </c>
      <c r="I36" s="7">
        <v>1</v>
      </c>
      <c r="J36" s="7" t="s">
        <v>6</v>
      </c>
      <c r="K36" s="6" t="s">
        <v>27</v>
      </c>
      <c r="L36" s="6"/>
      <c r="M36" s="6"/>
      <c r="N36" s="6">
        <v>21000</v>
      </c>
    </row>
    <row r="37" spans="1:14" ht="30" customHeight="1" outlineLevel="2">
      <c r="A37" s="6">
        <v>42</v>
      </c>
      <c r="B37" s="7" t="s">
        <v>29</v>
      </c>
      <c r="C37" s="7" t="s">
        <v>28</v>
      </c>
      <c r="D37" s="6"/>
      <c r="E37" s="6" t="s">
        <v>28</v>
      </c>
      <c r="F37" s="6">
        <v>100</v>
      </c>
      <c r="G37" s="6">
        <v>3.5</v>
      </c>
      <c r="H37" s="6">
        <f t="shared" si="3"/>
        <v>21000</v>
      </c>
      <c r="I37" s="7">
        <f>60*F37</f>
        <v>6000</v>
      </c>
      <c r="J37" s="7" t="s">
        <v>6</v>
      </c>
      <c r="K37" s="6" t="s">
        <v>28</v>
      </c>
      <c r="L37" s="6"/>
      <c r="M37" s="6"/>
      <c r="N37" s="6">
        <v>21000</v>
      </c>
    </row>
    <row r="38" spans="1:14" ht="30" customHeight="1" outlineLevel="1">
      <c r="A38" s="6"/>
      <c r="B38" s="13" t="s">
        <v>137</v>
      </c>
      <c r="C38" s="7"/>
      <c r="D38" s="6"/>
      <c r="E38" s="6"/>
      <c r="F38" s="6"/>
      <c r="G38" s="6"/>
      <c r="H38" s="6">
        <f ca="1">SUBTOTAL(9,H20:H37)</f>
        <v>135908.79999999999</v>
      </c>
      <c r="I38" s="7"/>
      <c r="J38" s="7"/>
      <c r="K38" s="6"/>
      <c r="L38" s="6"/>
      <c r="M38" s="6"/>
      <c r="N38" s="6">
        <v>135908.79999999999</v>
      </c>
    </row>
    <row r="39" spans="1:14" ht="30" customHeight="1" outlineLevel="2">
      <c r="A39" s="4">
        <v>43</v>
      </c>
      <c r="B39" s="5" t="s">
        <v>49</v>
      </c>
      <c r="C39" s="5" t="s">
        <v>92</v>
      </c>
      <c r="D39" s="5"/>
      <c r="E39" s="4" t="s">
        <v>49</v>
      </c>
      <c r="F39" s="4"/>
      <c r="G39" s="4"/>
      <c r="H39" s="4"/>
      <c r="I39" s="5">
        <v>1</v>
      </c>
      <c r="J39" s="5" t="s">
        <v>4</v>
      </c>
      <c r="K39" s="5" t="s">
        <v>93</v>
      </c>
      <c r="L39" s="4"/>
      <c r="M39" s="4"/>
      <c r="N39" s="4"/>
    </row>
    <row r="40" spans="1:14" ht="30" customHeight="1" outlineLevel="2">
      <c r="A40" s="6">
        <v>44</v>
      </c>
      <c r="B40" s="7" t="s">
        <v>49</v>
      </c>
      <c r="C40" s="7" t="s">
        <v>83</v>
      </c>
      <c r="D40" s="7" t="s">
        <v>104</v>
      </c>
      <c r="E40" s="6" t="s">
        <v>105</v>
      </c>
      <c r="F40" s="6">
        <v>23810</v>
      </c>
      <c r="G40" s="6">
        <f>0.6*F40</f>
        <v>14286</v>
      </c>
      <c r="H40" s="6">
        <f t="shared" ref="H40:H54" si="6">I40*G40</f>
        <v>14286</v>
      </c>
      <c r="I40" s="7">
        <v>1</v>
      </c>
      <c r="J40" s="7" t="s">
        <v>6</v>
      </c>
      <c r="K40" s="7" t="s">
        <v>135</v>
      </c>
      <c r="L40" s="6" t="s">
        <v>5</v>
      </c>
      <c r="M40" s="8" t="s">
        <v>7</v>
      </c>
      <c r="N40" s="6">
        <v>14286</v>
      </c>
    </row>
    <row r="41" spans="1:14" ht="30" customHeight="1" outlineLevel="2">
      <c r="A41" s="6">
        <v>45</v>
      </c>
      <c r="B41" s="7" t="s">
        <v>49</v>
      </c>
      <c r="C41" s="7" t="s">
        <v>84</v>
      </c>
      <c r="D41" s="7" t="s">
        <v>122</v>
      </c>
      <c r="E41" s="6" t="s">
        <v>123</v>
      </c>
      <c r="F41" s="6">
        <v>5719</v>
      </c>
      <c r="G41" s="6">
        <f>0.6*F41</f>
        <v>3431.4</v>
      </c>
      <c r="H41" s="6">
        <f t="shared" si="6"/>
        <v>3431.4</v>
      </c>
      <c r="I41" s="7">
        <v>1</v>
      </c>
      <c r="J41" s="7" t="s">
        <v>6</v>
      </c>
      <c r="K41" s="7" t="s">
        <v>8</v>
      </c>
      <c r="L41" s="6" t="s">
        <v>14</v>
      </c>
      <c r="M41" s="6" t="s">
        <v>10</v>
      </c>
      <c r="N41" s="6">
        <v>3431.4</v>
      </c>
    </row>
    <row r="42" spans="1:14" ht="30" customHeight="1" outlineLevel="2">
      <c r="A42" s="6">
        <v>46</v>
      </c>
      <c r="B42" s="7" t="s">
        <v>49</v>
      </c>
      <c r="C42" s="7" t="s">
        <v>85</v>
      </c>
      <c r="D42" s="7" t="s">
        <v>124</v>
      </c>
      <c r="E42" s="6" t="s">
        <v>125</v>
      </c>
      <c r="F42" s="6">
        <v>8890</v>
      </c>
      <c r="G42" s="6">
        <f>0.6*F42</f>
        <v>5334</v>
      </c>
      <c r="H42" s="6">
        <f t="shared" si="6"/>
        <v>5334</v>
      </c>
      <c r="I42" s="7">
        <v>1</v>
      </c>
      <c r="J42" s="7" t="s">
        <v>6</v>
      </c>
      <c r="K42" s="7" t="s">
        <v>134</v>
      </c>
      <c r="L42" s="6" t="s">
        <v>50</v>
      </c>
      <c r="M42" s="8" t="s">
        <v>51</v>
      </c>
      <c r="N42" s="6">
        <v>5334</v>
      </c>
    </row>
    <row r="43" spans="1:14" ht="30" customHeight="1" outlineLevel="2">
      <c r="A43" s="6">
        <v>47</v>
      </c>
      <c r="B43" s="7" t="s">
        <v>49</v>
      </c>
      <c r="C43" s="7" t="s">
        <v>84</v>
      </c>
      <c r="D43" s="7" t="s">
        <v>114</v>
      </c>
      <c r="E43" s="6" t="s">
        <v>115</v>
      </c>
      <c r="F43" s="6">
        <v>975</v>
      </c>
      <c r="G43" s="6">
        <f t="shared" ref="G43:G47" si="7">0.6*F43</f>
        <v>585</v>
      </c>
      <c r="H43" s="6">
        <f t="shared" si="6"/>
        <v>1755</v>
      </c>
      <c r="I43" s="7">
        <v>3</v>
      </c>
      <c r="J43" s="7" t="s">
        <v>6</v>
      </c>
      <c r="K43" s="7" t="s">
        <v>8</v>
      </c>
      <c r="L43" s="6" t="s">
        <v>16</v>
      </c>
      <c r="M43" s="6" t="s">
        <v>17</v>
      </c>
      <c r="N43" s="6">
        <v>1755</v>
      </c>
    </row>
    <row r="44" spans="1:14" ht="30" customHeight="1" outlineLevel="2">
      <c r="A44" s="6">
        <v>48</v>
      </c>
      <c r="B44" s="7" t="s">
        <v>49</v>
      </c>
      <c r="C44" s="7" t="s">
        <v>87</v>
      </c>
      <c r="D44" s="7" t="s">
        <v>128</v>
      </c>
      <c r="E44" s="6" t="s">
        <v>129</v>
      </c>
      <c r="F44" s="6">
        <v>571</v>
      </c>
      <c r="G44" s="6">
        <f t="shared" si="7"/>
        <v>342.59999999999997</v>
      </c>
      <c r="H44" s="6">
        <f t="shared" si="6"/>
        <v>1027.8</v>
      </c>
      <c r="I44" s="7">
        <v>3</v>
      </c>
      <c r="J44" s="7" t="s">
        <v>6</v>
      </c>
      <c r="K44" s="7" t="s">
        <v>8</v>
      </c>
      <c r="L44" s="6" t="s">
        <v>18</v>
      </c>
      <c r="M44" s="6" t="s">
        <v>19</v>
      </c>
      <c r="N44" s="6">
        <v>1027.8</v>
      </c>
    </row>
    <row r="45" spans="1:14" ht="30" customHeight="1" outlineLevel="2">
      <c r="A45" s="6">
        <v>49</v>
      </c>
      <c r="B45" s="7" t="s">
        <v>49</v>
      </c>
      <c r="C45" s="7" t="s">
        <v>84</v>
      </c>
      <c r="D45" s="7" t="s">
        <v>120</v>
      </c>
      <c r="E45" s="6" t="s">
        <v>121</v>
      </c>
      <c r="F45" s="6">
        <v>5647</v>
      </c>
      <c r="G45" s="6">
        <f t="shared" si="7"/>
        <v>3388.2</v>
      </c>
      <c r="H45" s="6">
        <f t="shared" si="6"/>
        <v>3388.2</v>
      </c>
      <c r="I45" s="7">
        <v>1</v>
      </c>
      <c r="J45" s="7" t="s">
        <v>6</v>
      </c>
      <c r="K45" s="7" t="s">
        <v>8</v>
      </c>
      <c r="L45" s="6" t="s">
        <v>15</v>
      </c>
      <c r="M45" s="6" t="s">
        <v>52</v>
      </c>
      <c r="N45" s="6">
        <v>3388.2</v>
      </c>
    </row>
    <row r="46" spans="1:14" ht="30" customHeight="1" outlineLevel="2">
      <c r="A46" s="6">
        <v>50</v>
      </c>
      <c r="B46" s="7" t="s">
        <v>49</v>
      </c>
      <c r="C46" s="7" t="s">
        <v>79</v>
      </c>
      <c r="D46" s="7"/>
      <c r="E46" s="6" t="s">
        <v>37</v>
      </c>
      <c r="F46" s="12">
        <v>5093</v>
      </c>
      <c r="G46" s="6">
        <f t="shared" si="7"/>
        <v>3055.7999999999997</v>
      </c>
      <c r="H46" s="6">
        <f t="shared" si="6"/>
        <v>39725.399999999994</v>
      </c>
      <c r="I46" s="7">
        <v>13</v>
      </c>
      <c r="J46" s="7" t="s">
        <v>6</v>
      </c>
      <c r="K46" s="7" t="s">
        <v>8</v>
      </c>
      <c r="L46" s="6" t="s">
        <v>38</v>
      </c>
      <c r="M46" s="6" t="s">
        <v>53</v>
      </c>
      <c r="N46" s="6">
        <v>39725.399999999994</v>
      </c>
    </row>
    <row r="47" spans="1:14" ht="30" customHeight="1" outlineLevel="2">
      <c r="A47" s="6">
        <v>51</v>
      </c>
      <c r="B47" s="7" t="s">
        <v>49</v>
      </c>
      <c r="C47" s="7" t="s">
        <v>84</v>
      </c>
      <c r="D47" s="7" t="s">
        <v>110</v>
      </c>
      <c r="E47" s="6" t="s">
        <v>111</v>
      </c>
      <c r="F47" s="6">
        <v>783</v>
      </c>
      <c r="G47" s="6">
        <f t="shared" si="7"/>
        <v>469.79999999999995</v>
      </c>
      <c r="H47" s="6">
        <f t="shared" si="6"/>
        <v>1879.1999999999998</v>
      </c>
      <c r="I47" s="7">
        <v>4</v>
      </c>
      <c r="J47" s="7" t="s">
        <v>6</v>
      </c>
      <c r="K47" s="7" t="s">
        <v>8</v>
      </c>
      <c r="L47" s="6" t="s">
        <v>33</v>
      </c>
      <c r="M47" s="6" t="s">
        <v>54</v>
      </c>
      <c r="N47" s="6">
        <v>1879.1999999999998</v>
      </c>
    </row>
    <row r="48" spans="1:14" ht="30" customHeight="1" outlineLevel="2">
      <c r="A48" s="6">
        <v>52</v>
      </c>
      <c r="B48" s="7" t="s">
        <v>49</v>
      </c>
      <c r="C48" s="7" t="s">
        <v>86</v>
      </c>
      <c r="D48" s="7" t="s">
        <v>106</v>
      </c>
      <c r="E48" s="6" t="s">
        <v>107</v>
      </c>
      <c r="F48" s="6">
        <v>2432</v>
      </c>
      <c r="G48" s="6">
        <f t="shared" ref="G48:G52" si="8">F48</f>
        <v>2432</v>
      </c>
      <c r="H48" s="6">
        <f t="shared" si="6"/>
        <v>4864</v>
      </c>
      <c r="I48" s="7">
        <v>2</v>
      </c>
      <c r="J48" s="7" t="s">
        <v>6</v>
      </c>
      <c r="K48" s="7" t="s">
        <v>95</v>
      </c>
      <c r="L48" s="6" t="s">
        <v>42</v>
      </c>
      <c r="M48" s="6" t="s">
        <v>55</v>
      </c>
      <c r="N48" s="6">
        <v>4864</v>
      </c>
    </row>
    <row r="49" spans="1:14" ht="30" customHeight="1" outlineLevel="2">
      <c r="A49" s="6">
        <v>54</v>
      </c>
      <c r="B49" s="7" t="s">
        <v>49</v>
      </c>
      <c r="C49" s="7" t="s">
        <v>81</v>
      </c>
      <c r="D49" s="7" t="s">
        <v>102</v>
      </c>
      <c r="E49" s="6" t="s">
        <v>103</v>
      </c>
      <c r="F49" s="6">
        <v>2460</v>
      </c>
      <c r="G49" s="6">
        <f t="shared" si="8"/>
        <v>2460</v>
      </c>
      <c r="H49" s="6">
        <f t="shared" si="6"/>
        <v>12300</v>
      </c>
      <c r="I49" s="7">
        <v>5</v>
      </c>
      <c r="J49" s="7" t="s">
        <v>21</v>
      </c>
      <c r="K49" s="7" t="s">
        <v>95</v>
      </c>
      <c r="L49" s="6" t="s">
        <v>24</v>
      </c>
      <c r="M49" s="6"/>
      <c r="N49" s="6">
        <v>12300</v>
      </c>
    </row>
    <row r="50" spans="1:14" ht="30" customHeight="1" outlineLevel="2">
      <c r="A50" s="6">
        <v>55</v>
      </c>
      <c r="B50" s="7" t="s">
        <v>49</v>
      </c>
      <c r="C50" s="7" t="s">
        <v>90</v>
      </c>
      <c r="D50" s="7"/>
      <c r="E50" s="6" t="s">
        <v>43</v>
      </c>
      <c r="F50" s="6">
        <v>975</v>
      </c>
      <c r="G50" s="6">
        <f t="shared" si="8"/>
        <v>975</v>
      </c>
      <c r="H50" s="6">
        <f t="shared" si="6"/>
        <v>975</v>
      </c>
      <c r="I50" s="7">
        <v>1</v>
      </c>
      <c r="J50" s="7" t="s">
        <v>6</v>
      </c>
      <c r="K50" s="7" t="s">
        <v>95</v>
      </c>
      <c r="L50" s="6" t="s">
        <v>44</v>
      </c>
      <c r="M50" s="6"/>
      <c r="N50" s="6">
        <v>975</v>
      </c>
    </row>
    <row r="51" spans="1:14" ht="30" customHeight="1" outlineLevel="2">
      <c r="A51" s="6">
        <v>56</v>
      </c>
      <c r="B51" s="7" t="s">
        <v>49</v>
      </c>
      <c r="C51" s="7" t="s">
        <v>91</v>
      </c>
      <c r="D51" s="7"/>
      <c r="E51" s="6" t="s">
        <v>45</v>
      </c>
      <c r="F51" s="6">
        <v>975</v>
      </c>
      <c r="G51" s="6">
        <f t="shared" si="8"/>
        <v>975</v>
      </c>
      <c r="H51" s="6">
        <f t="shared" si="6"/>
        <v>975</v>
      </c>
      <c r="I51" s="7">
        <v>1</v>
      </c>
      <c r="J51" s="7" t="s">
        <v>6</v>
      </c>
      <c r="K51" s="7" t="s">
        <v>95</v>
      </c>
      <c r="L51" s="6" t="s">
        <v>46</v>
      </c>
      <c r="M51" s="6"/>
      <c r="N51" s="6">
        <v>975</v>
      </c>
    </row>
    <row r="52" spans="1:14" ht="30" customHeight="1" outlineLevel="2">
      <c r="A52" s="6">
        <v>57</v>
      </c>
      <c r="B52" s="7" t="s">
        <v>49</v>
      </c>
      <c r="C52" s="7" t="s">
        <v>82</v>
      </c>
      <c r="D52" s="7" t="s">
        <v>126</v>
      </c>
      <c r="E52" s="6" t="s">
        <v>127</v>
      </c>
      <c r="F52" s="6">
        <v>91</v>
      </c>
      <c r="G52" s="6">
        <f t="shared" si="8"/>
        <v>91</v>
      </c>
      <c r="H52" s="6">
        <f t="shared" si="6"/>
        <v>5460</v>
      </c>
      <c r="I52" s="7">
        <v>60</v>
      </c>
      <c r="J52" s="7" t="s">
        <v>6</v>
      </c>
      <c r="K52" s="7" t="s">
        <v>95</v>
      </c>
      <c r="L52" s="6" t="s">
        <v>47</v>
      </c>
      <c r="M52" s="6" t="s">
        <v>48</v>
      </c>
      <c r="N52" s="6">
        <v>5460</v>
      </c>
    </row>
    <row r="53" spans="1:14" ht="30" customHeight="1" outlineLevel="2">
      <c r="A53" s="6">
        <v>60</v>
      </c>
      <c r="B53" s="7" t="s">
        <v>49</v>
      </c>
      <c r="C53" s="7" t="s">
        <v>27</v>
      </c>
      <c r="D53" s="6"/>
      <c r="E53" s="6" t="s">
        <v>27</v>
      </c>
      <c r="F53" s="6">
        <f ca="1">OFFSET(F53,1,2)</f>
        <v>18600</v>
      </c>
      <c r="G53" s="6">
        <f ca="1">F53</f>
        <v>18600</v>
      </c>
      <c r="H53" s="6">
        <f t="shared" ca="1" si="6"/>
        <v>18600</v>
      </c>
      <c r="I53" s="7">
        <v>1</v>
      </c>
      <c r="J53" s="7" t="s">
        <v>6</v>
      </c>
      <c r="K53" s="6" t="s">
        <v>27</v>
      </c>
      <c r="L53" s="6"/>
      <c r="M53" s="6"/>
      <c r="N53" s="6">
        <v>18600</v>
      </c>
    </row>
    <row r="54" spans="1:14" ht="30" customHeight="1" outlineLevel="2">
      <c r="A54" s="6">
        <v>61</v>
      </c>
      <c r="B54" s="7" t="s">
        <v>49</v>
      </c>
      <c r="C54" s="7" t="s">
        <v>28</v>
      </c>
      <c r="D54" s="6"/>
      <c r="E54" s="6" t="s">
        <v>28</v>
      </c>
      <c r="F54" s="6">
        <v>100</v>
      </c>
      <c r="G54" s="6">
        <v>3.1</v>
      </c>
      <c r="H54" s="6">
        <f t="shared" si="6"/>
        <v>18600</v>
      </c>
      <c r="I54" s="7">
        <f>60*F54</f>
        <v>6000</v>
      </c>
      <c r="J54" s="7" t="s">
        <v>6</v>
      </c>
      <c r="K54" s="6" t="s">
        <v>28</v>
      </c>
      <c r="L54" s="6"/>
      <c r="M54" s="6"/>
      <c r="N54" s="6">
        <v>18600</v>
      </c>
    </row>
    <row r="55" spans="1:14" ht="30" customHeight="1" outlineLevel="1">
      <c r="A55" s="14"/>
      <c r="B55" s="16" t="s">
        <v>138</v>
      </c>
      <c r="C55" s="15"/>
      <c r="D55" s="14"/>
      <c r="E55" s="14"/>
      <c r="F55" s="14"/>
      <c r="G55" s="14"/>
      <c r="H55" s="14">
        <f ca="1">SUBTOTAL(9,H39:H54)</f>
        <v>132601</v>
      </c>
      <c r="I55" s="15"/>
      <c r="J55" s="15"/>
      <c r="K55" s="14"/>
      <c r="L55" s="14"/>
      <c r="M55" s="14"/>
      <c r="N55" s="14">
        <v>132601</v>
      </c>
    </row>
    <row r="56" spans="1:14" ht="30" customHeight="1">
      <c r="A56" s="14"/>
      <c r="B56" s="16" t="s">
        <v>139</v>
      </c>
      <c r="C56" s="15"/>
      <c r="D56" s="14"/>
      <c r="E56" s="14"/>
      <c r="F56" s="14"/>
      <c r="G56" s="14"/>
      <c r="H56" s="14">
        <f ca="1">SUBTOTAL(9,H2:H54)</f>
        <v>490845.59999999992</v>
      </c>
      <c r="I56" s="15"/>
      <c r="J56" s="15"/>
      <c r="K56" s="14"/>
      <c r="L56" s="14"/>
      <c r="M56" s="14"/>
      <c r="N56" s="14">
        <v>471300.59999999992</v>
      </c>
    </row>
  </sheetData>
  <autoFilter ref="A1:M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9F94-7E8D-4999-9035-2EB4BB3E1C70}">
  <dimension ref="A1:L4"/>
  <sheetViews>
    <sheetView tabSelected="1" workbookViewId="0">
      <selection activeCell="D2" sqref="D2"/>
    </sheetView>
  </sheetViews>
  <sheetFormatPr defaultRowHeight="14.25"/>
  <cols>
    <col min="2" max="2" width="15" customWidth="1"/>
    <col min="3" max="3" width="13.25" customWidth="1"/>
    <col min="4" max="4" width="14" customWidth="1"/>
    <col min="8" max="8" width="29.5" customWidth="1"/>
  </cols>
  <sheetData>
    <row r="1" spans="1:12" ht="43.5" customHeight="1">
      <c r="A1" s="10" t="s">
        <v>74</v>
      </c>
      <c r="B1" s="10" t="s">
        <v>75</v>
      </c>
      <c r="C1" s="10" t="s">
        <v>70</v>
      </c>
      <c r="D1" s="10" t="s">
        <v>71</v>
      </c>
      <c r="E1" s="10" t="s">
        <v>94</v>
      </c>
      <c r="F1" s="10" t="s">
        <v>76</v>
      </c>
      <c r="G1" s="10" t="s">
        <v>77</v>
      </c>
      <c r="H1" s="10" t="s">
        <v>78</v>
      </c>
      <c r="I1" s="10" t="s">
        <v>1</v>
      </c>
      <c r="J1" s="10" t="s">
        <v>2</v>
      </c>
      <c r="K1" s="10" t="s">
        <v>94</v>
      </c>
      <c r="L1">
        <v>2.2999999999999998</v>
      </c>
    </row>
    <row r="2" spans="1:12" ht="13.5" customHeight="1">
      <c r="A2" s="5"/>
      <c r="B2" s="4" t="s">
        <v>3</v>
      </c>
      <c r="C2" s="4">
        <f>ROUNDUP(L2,-3)</f>
        <v>512000</v>
      </c>
      <c r="D2" s="4">
        <f>0.7*C2</f>
        <v>358400</v>
      </c>
      <c r="E2" s="4">
        <f>D2*F2</f>
        <v>358400</v>
      </c>
      <c r="F2" s="5">
        <v>1</v>
      </c>
      <c r="G2" s="5" t="s">
        <v>4</v>
      </c>
      <c r="H2" s="5" t="s">
        <v>93</v>
      </c>
      <c r="I2" s="4"/>
      <c r="J2" s="4"/>
      <c r="K2" s="6">
        <v>222335.79999999996</v>
      </c>
      <c r="L2">
        <f>2.3*K2</f>
        <v>511372.33999999985</v>
      </c>
    </row>
    <row r="3" spans="1:12" ht="13.5" customHeight="1">
      <c r="A3" s="5"/>
      <c r="B3" s="4" t="s">
        <v>29</v>
      </c>
      <c r="C3" s="4">
        <f t="shared" ref="C3:C4" si="0">ROUNDUP(L3,-3)</f>
        <v>313000</v>
      </c>
      <c r="D3" s="4">
        <f t="shared" ref="D3:D4" si="1">0.7*C3</f>
        <v>219100</v>
      </c>
      <c r="E3" s="4">
        <f t="shared" ref="E3:E4" si="2">D3*F3</f>
        <v>219100</v>
      </c>
      <c r="F3" s="5">
        <v>1</v>
      </c>
      <c r="G3" s="5" t="s">
        <v>4</v>
      </c>
      <c r="H3" s="5" t="s">
        <v>93</v>
      </c>
      <c r="I3" s="4"/>
      <c r="J3" s="4"/>
      <c r="K3" s="6">
        <v>135908.79999999999</v>
      </c>
      <c r="L3">
        <f t="shared" ref="L3:L4" si="3">2.3*K3</f>
        <v>312590.23999999993</v>
      </c>
    </row>
    <row r="4" spans="1:12" ht="15">
      <c r="A4" s="5"/>
      <c r="B4" s="4" t="s">
        <v>49</v>
      </c>
      <c r="C4" s="4">
        <f t="shared" si="0"/>
        <v>305000</v>
      </c>
      <c r="D4" s="4">
        <f t="shared" si="1"/>
        <v>213500</v>
      </c>
      <c r="E4" s="4">
        <f t="shared" si="2"/>
        <v>213500</v>
      </c>
      <c r="F4" s="5">
        <v>1</v>
      </c>
      <c r="G4" s="5" t="s">
        <v>4</v>
      </c>
      <c r="H4" s="5" t="s">
        <v>93</v>
      </c>
      <c r="I4" s="4"/>
      <c r="J4" s="4"/>
      <c r="K4" s="14">
        <v>132601</v>
      </c>
      <c r="L4">
        <f t="shared" si="3"/>
        <v>304982.3</v>
      </c>
    </row>
  </sheetData>
  <autoFilter ref="A1:K4" xr:uid="{B3A59F94-7E8D-4999-9035-2EB4BB3E1C7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34" customWidth="1"/>
    <col min="2" max="2" width="90" customWidth="1"/>
  </cols>
  <sheetData>
    <row r="1" spans="1:2" ht="33.950000000000003" customHeight="1">
      <c r="A1" s="1" t="s">
        <v>56</v>
      </c>
      <c r="B1" s="1" t="s">
        <v>57</v>
      </c>
    </row>
    <row r="2" spans="1:2" ht="33.950000000000003" customHeight="1">
      <c r="A2" s="2" t="s">
        <v>58</v>
      </c>
      <c r="B2" s="2" t="s">
        <v>59</v>
      </c>
    </row>
    <row r="3" spans="1:2" ht="33.950000000000003" customHeight="1">
      <c r="A3" s="2" t="s">
        <v>60</v>
      </c>
      <c r="B3" s="2" t="s">
        <v>61</v>
      </c>
    </row>
    <row r="4" spans="1:2" ht="33.950000000000003" customHeight="1">
      <c r="A4" s="2" t="s">
        <v>62</v>
      </c>
      <c r="B4" s="2" t="s">
        <v>63</v>
      </c>
    </row>
    <row r="5" spans="1:2" ht="33.950000000000003" customHeight="1">
      <c r="A5" s="2" t="s">
        <v>64</v>
      </c>
      <c r="B5" s="2" t="s">
        <v>65</v>
      </c>
    </row>
    <row r="6" spans="1:2" ht="33.950000000000003" customHeight="1">
      <c r="A6" s="2" t="s">
        <v>66</v>
      </c>
      <c r="B6" s="2" t="s">
        <v>67</v>
      </c>
    </row>
    <row r="7" spans="1:2" ht="33.950000000000003" customHeight="1">
      <c r="A7" s="2" t="s">
        <v>68</v>
      </c>
      <c r="B7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CHINT BOM</vt:lpstr>
      <vt:lpstr>Sayfa1</vt:lpstr>
      <vt:lpstr>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2026-08-05T13:43:06Z</dcterms:modified>
</cp:coreProperties>
</file>