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4-fiyat verilen\cimkent\260818 laura chimket vru\"/>
    </mc:Choice>
  </mc:AlternateContent>
  <xr:revisionPtr revIDLastSave="0" documentId="13_ncr:1_{CE39F4F2-562C-4E7D-A8EF-9D9DCCB41B51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BOM" sheetId="1" r:id="rId1"/>
    <sheet name="СВОД" sheetId="2" r:id="rId2"/>
    <sheet name="Kurallar" sheetId="3" r:id="rId3"/>
  </sheets>
  <definedNames>
    <definedName name="_xlnm._FilterDatabase" localSheetId="0" hidden="1">BOM!$A$1:$K$90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95" i="1" l="1"/>
  <c r="I50" i="1"/>
  <c r="H50" i="1"/>
  <c r="F49" i="1"/>
  <c r="G49" i="1" s="1"/>
  <c r="H49" i="1" s="1"/>
  <c r="G48" i="1"/>
  <c r="H48" i="1" s="1"/>
  <c r="G47" i="1"/>
  <c r="H47" i="1" s="1"/>
  <c r="G46" i="1"/>
  <c r="H46" i="1" s="1"/>
  <c r="G45" i="1"/>
  <c r="H45" i="1" s="1"/>
  <c r="G44" i="1"/>
  <c r="H44" i="1" s="1"/>
  <c r="G43" i="1"/>
  <c r="H43" i="1" s="1"/>
  <c r="G42" i="1"/>
  <c r="H42" i="1" s="1"/>
  <c r="G41" i="1"/>
  <c r="H41" i="1" s="1"/>
  <c r="G40" i="1"/>
  <c r="H40" i="1" s="1"/>
  <c r="G39" i="1"/>
  <c r="H39" i="1" s="1"/>
  <c r="G38" i="1"/>
  <c r="H38" i="1" s="1"/>
  <c r="G37" i="1"/>
  <c r="H37" i="1" s="1"/>
  <c r="G36" i="1"/>
  <c r="H36" i="1" s="1"/>
  <c r="G35" i="1"/>
  <c r="H35" i="1" s="1"/>
  <c r="B34" i="1"/>
  <c r="B35" i="1" s="1"/>
  <c r="B36" i="1" s="1"/>
  <c r="B37" i="1" s="1"/>
  <c r="B38" i="1" s="1"/>
  <c r="B39" i="1" s="1"/>
  <c r="B40" i="1" s="1"/>
  <c r="B41" i="1" s="1"/>
  <c r="B42" i="1" s="1"/>
  <c r="B43" i="1" s="1"/>
  <c r="H51" i="1" l="1"/>
  <c r="F34" i="1" s="1"/>
  <c r="G34" i="1" s="1"/>
  <c r="B44" i="1"/>
  <c r="B45" i="1" s="1"/>
  <c r="B46" i="1" s="1"/>
  <c r="B47" i="1" s="1"/>
  <c r="B48" i="1" s="1"/>
  <c r="B49" i="1"/>
  <c r="B50" i="1" s="1"/>
  <c r="B51" i="1" s="1"/>
  <c r="G96" i="1" l="1"/>
  <c r="H96" i="1" s="1"/>
  <c r="I100" i="1"/>
  <c r="G100" i="1"/>
  <c r="B100" i="1"/>
  <c r="B99" i="1"/>
  <c r="H98" i="1"/>
  <c r="B98" i="1"/>
  <c r="G97" i="1"/>
  <c r="H97" i="1" s="1"/>
  <c r="B97" i="1"/>
  <c r="B96" i="1"/>
  <c r="H95" i="1"/>
  <c r="B95" i="1"/>
  <c r="G94" i="1"/>
  <c r="H94" i="1" s="1"/>
  <c r="B94" i="1"/>
  <c r="G93" i="1"/>
  <c r="H93" i="1" s="1"/>
  <c r="B93" i="1"/>
  <c r="B92" i="1"/>
  <c r="G3" i="1"/>
  <c r="H3" i="1" s="1"/>
  <c r="G79" i="1"/>
  <c r="H79" i="1" s="1"/>
  <c r="G78" i="1"/>
  <c r="H78" i="1" s="1"/>
  <c r="G77" i="1"/>
  <c r="H77" i="1" s="1"/>
  <c r="G76" i="1"/>
  <c r="H76" i="1" s="1"/>
  <c r="G74" i="1"/>
  <c r="H74" i="1" s="1"/>
  <c r="G59" i="1"/>
  <c r="H59" i="1" s="1"/>
  <c r="G58" i="1"/>
  <c r="H58" i="1" s="1"/>
  <c r="G57" i="1"/>
  <c r="H57" i="1" s="1"/>
  <c r="G56" i="1"/>
  <c r="H56" i="1" s="1"/>
  <c r="G54" i="1"/>
  <c r="H54" i="1" s="1"/>
  <c r="G27" i="1"/>
  <c r="H27" i="1" s="1"/>
  <c r="G26" i="1"/>
  <c r="H26" i="1" s="1"/>
  <c r="G25" i="1"/>
  <c r="H25" i="1" s="1"/>
  <c r="G24" i="1"/>
  <c r="H24" i="1" s="1"/>
  <c r="G23" i="1"/>
  <c r="H23" i="1" s="1"/>
  <c r="G11" i="1"/>
  <c r="H11" i="1" s="1"/>
  <c r="G7" i="1"/>
  <c r="H7" i="1" s="1"/>
  <c r="G5" i="1"/>
  <c r="H5" i="1" s="1"/>
  <c r="G75" i="1"/>
  <c r="H75" i="1" s="1"/>
  <c r="G55" i="1"/>
  <c r="H55" i="1" s="1"/>
  <c r="G8" i="1"/>
  <c r="H8" i="1" s="1"/>
  <c r="G6" i="1"/>
  <c r="H6" i="1" s="1"/>
  <c r="G85" i="1"/>
  <c r="H85" i="1" s="1"/>
  <c r="G84" i="1"/>
  <c r="H84" i="1" s="1"/>
  <c r="G83" i="1"/>
  <c r="H83" i="1" s="1"/>
  <c r="G82" i="1"/>
  <c r="H82" i="1" s="1"/>
  <c r="G65" i="1"/>
  <c r="H65" i="1" s="1"/>
  <c r="G64" i="1"/>
  <c r="H64" i="1" s="1"/>
  <c r="G63" i="1"/>
  <c r="H63" i="1" s="1"/>
  <c r="G62" i="1"/>
  <c r="H62" i="1" s="1"/>
  <c r="G13" i="1"/>
  <c r="H13" i="1" s="1"/>
  <c r="B62" i="3"/>
  <c r="J60" i="3"/>
  <c r="I60" i="3"/>
  <c r="G60" i="3"/>
  <c r="H59" i="3"/>
  <c r="G59" i="3"/>
  <c r="J59" i="3"/>
  <c r="J58" i="3"/>
  <c r="I58" i="3"/>
  <c r="H58" i="3"/>
  <c r="G58" i="3"/>
  <c r="J57" i="3"/>
  <c r="J56" i="3"/>
  <c r="I56" i="3"/>
  <c r="H56" i="3"/>
  <c r="G56" i="3"/>
  <c r="J55" i="3"/>
  <c r="I55" i="3"/>
  <c r="G55" i="3"/>
  <c r="B55" i="3"/>
  <c r="H55" i="3" s="1"/>
  <c r="H54" i="3"/>
  <c r="J53" i="3"/>
  <c r="I53" i="3"/>
  <c r="H53" i="3"/>
  <c r="G53" i="3"/>
  <c r="J52" i="3"/>
  <c r="J51" i="3"/>
  <c r="I51" i="3"/>
  <c r="H51" i="3"/>
  <c r="G51" i="3"/>
  <c r="J50" i="3"/>
  <c r="I50" i="3"/>
  <c r="H50" i="3"/>
  <c r="G50" i="3"/>
  <c r="G49" i="3"/>
  <c r="J48" i="3"/>
  <c r="I48" i="3"/>
  <c r="H48" i="3"/>
  <c r="G48" i="3"/>
  <c r="H47" i="3"/>
  <c r="G47" i="3"/>
  <c r="J47" i="3"/>
  <c r="J46" i="3"/>
  <c r="I46" i="3"/>
  <c r="H46" i="3"/>
  <c r="G46" i="3"/>
  <c r="C25" i="3"/>
  <c r="D25" i="3" s="1"/>
  <c r="C24" i="3"/>
  <c r="D24" i="3" s="1"/>
  <c r="C23" i="3"/>
  <c r="D23" i="3" s="1"/>
  <c r="C22" i="3"/>
  <c r="D22" i="3" s="1"/>
  <c r="D21" i="3"/>
  <c r="C21" i="3"/>
  <c r="C20" i="3"/>
  <c r="D20" i="3" s="1"/>
  <c r="C19" i="3"/>
  <c r="D19" i="3" s="1"/>
  <c r="C18" i="3"/>
  <c r="D18" i="3" s="1"/>
  <c r="C17" i="3"/>
  <c r="D17" i="3" s="1"/>
  <c r="C16" i="3"/>
  <c r="D16" i="3" s="1"/>
  <c r="G90" i="1"/>
  <c r="B90" i="1"/>
  <c r="B89" i="1"/>
  <c r="G88" i="1"/>
  <c r="H88" i="1" s="1"/>
  <c r="B88" i="1"/>
  <c r="G87" i="1"/>
  <c r="H87" i="1" s="1"/>
  <c r="B87" i="1"/>
  <c r="G86" i="1"/>
  <c r="H86" i="1" s="1"/>
  <c r="B86" i="1"/>
  <c r="B85" i="1"/>
  <c r="B84" i="1"/>
  <c r="B83" i="1"/>
  <c r="B82" i="1"/>
  <c r="G81" i="1"/>
  <c r="H81" i="1" s="1"/>
  <c r="B81" i="1"/>
  <c r="G80" i="1"/>
  <c r="H80" i="1" s="1"/>
  <c r="B80" i="1"/>
  <c r="B79" i="1"/>
  <c r="B78" i="1"/>
  <c r="B77" i="1"/>
  <c r="B76" i="1"/>
  <c r="B75" i="1"/>
  <c r="B74" i="1"/>
  <c r="G73" i="1"/>
  <c r="H73" i="1" s="1"/>
  <c r="B73" i="1"/>
  <c r="B72" i="1"/>
  <c r="G70" i="1"/>
  <c r="B70" i="1"/>
  <c r="B69" i="1"/>
  <c r="G68" i="1"/>
  <c r="H68" i="1" s="1"/>
  <c r="B68" i="1"/>
  <c r="G67" i="1"/>
  <c r="H67" i="1" s="1"/>
  <c r="B67" i="1"/>
  <c r="G66" i="1"/>
  <c r="H66" i="1" s="1"/>
  <c r="B66" i="1"/>
  <c r="B65" i="1"/>
  <c r="B64" i="1"/>
  <c r="B63" i="1"/>
  <c r="B62" i="1"/>
  <c r="G61" i="1"/>
  <c r="H61" i="1" s="1"/>
  <c r="B61" i="1"/>
  <c r="G60" i="1"/>
  <c r="H60" i="1" s="1"/>
  <c r="B60" i="1"/>
  <c r="B59" i="1"/>
  <c r="B58" i="1"/>
  <c r="B57" i="1"/>
  <c r="B56" i="1"/>
  <c r="B55" i="1"/>
  <c r="B54" i="1"/>
  <c r="G53" i="1"/>
  <c r="H53" i="1" s="1"/>
  <c r="B53" i="1"/>
  <c r="B52" i="1"/>
  <c r="G32" i="1"/>
  <c r="B32" i="1"/>
  <c r="B31" i="1"/>
  <c r="G30" i="1"/>
  <c r="H30" i="1" s="1"/>
  <c r="B30" i="1"/>
  <c r="G29" i="1"/>
  <c r="H29" i="1" s="1"/>
  <c r="B29" i="1"/>
  <c r="G28" i="1"/>
  <c r="H28" i="1" s="1"/>
  <c r="B28" i="1"/>
  <c r="B27" i="1"/>
  <c r="B26" i="1"/>
  <c r="B25" i="1"/>
  <c r="B24" i="1"/>
  <c r="B23" i="1"/>
  <c r="G22" i="1"/>
  <c r="H22" i="1" s="1"/>
  <c r="B22" i="1"/>
  <c r="B21" i="1"/>
  <c r="G19" i="1"/>
  <c r="B19" i="1"/>
  <c r="B18" i="1"/>
  <c r="G17" i="1"/>
  <c r="H17" i="1" s="1"/>
  <c r="B17" i="1"/>
  <c r="G16" i="1"/>
  <c r="H16" i="1" s="1"/>
  <c r="B16" i="1"/>
  <c r="G15" i="1"/>
  <c r="H15" i="1" s="1"/>
  <c r="B15" i="1"/>
  <c r="G14" i="1"/>
  <c r="H14" i="1" s="1"/>
  <c r="B14" i="1"/>
  <c r="B13" i="1"/>
  <c r="G12" i="1"/>
  <c r="H12" i="1" s="1"/>
  <c r="B12" i="1"/>
  <c r="B11" i="1"/>
  <c r="G10" i="1"/>
  <c r="H10" i="1" s="1"/>
  <c r="B10" i="1"/>
  <c r="G9" i="1"/>
  <c r="H9" i="1" s="1"/>
  <c r="B9" i="1"/>
  <c r="B8" i="1"/>
  <c r="B7" i="1"/>
  <c r="B6" i="1"/>
  <c r="B5" i="1"/>
  <c r="G4" i="1"/>
  <c r="H4" i="1" s="1"/>
  <c r="B4" i="1"/>
  <c r="B3" i="1"/>
  <c r="B2" i="1"/>
  <c r="H100" i="1" l="1"/>
  <c r="G99" i="1"/>
  <c r="H99" i="1" s="1"/>
  <c r="H101" i="1" s="1"/>
  <c r="F92" i="1" s="1"/>
  <c r="G92" i="1" s="1"/>
  <c r="G18" i="1"/>
  <c r="H18" i="1" s="1"/>
  <c r="G69" i="1"/>
  <c r="H69" i="1" s="1"/>
  <c r="G31" i="1"/>
  <c r="H31" i="1" s="1"/>
  <c r="G89" i="1"/>
  <c r="H89" i="1" s="1"/>
  <c r="G52" i="3"/>
  <c r="H60" i="3"/>
  <c r="J49" i="3"/>
  <c r="I49" i="3"/>
  <c r="I54" i="3"/>
  <c r="H49" i="3"/>
  <c r="G54" i="3"/>
  <c r="G61" i="3" s="1"/>
  <c r="G62" i="3" s="1"/>
  <c r="I19" i="1" s="1"/>
  <c r="I47" i="3"/>
  <c r="H52" i="3"/>
  <c r="J54" i="3"/>
  <c r="G57" i="3"/>
  <c r="I59" i="3"/>
  <c r="I52" i="3"/>
  <c r="H57" i="3"/>
  <c r="I57" i="3"/>
  <c r="J61" i="3" l="1"/>
  <c r="J62" i="3" s="1"/>
  <c r="I90" i="1" s="1"/>
  <c r="F90" i="1" s="1"/>
  <c r="I61" i="3"/>
  <c r="I62" i="3" s="1"/>
  <c r="I70" i="1" s="1"/>
  <c r="F70" i="1" s="1"/>
  <c r="F19" i="1"/>
  <c r="H19" i="1"/>
  <c r="H20" i="1" s="1"/>
  <c r="D3" i="2" s="1"/>
  <c r="F3" i="2" s="1"/>
  <c r="H61" i="3"/>
  <c r="H62" i="3" s="1"/>
  <c r="I32" i="1" s="1"/>
  <c r="H90" i="1" l="1"/>
  <c r="H91" i="1" s="1"/>
  <c r="D6" i="2" s="1"/>
  <c r="F6" i="2" s="1"/>
  <c r="H70" i="1"/>
  <c r="H71" i="1" s="1"/>
  <c r="D5" i="2" s="1"/>
  <c r="F5" i="2" s="1"/>
  <c r="H32" i="1"/>
  <c r="H33" i="1" s="1"/>
  <c r="D4" i="2" s="1"/>
  <c r="F4" i="2" s="1"/>
  <c r="F32" i="1"/>
  <c r="F7" i="2" l="1"/>
</calcChain>
</file>

<file path=xl/sharedStrings.xml><?xml version="1.0" encoding="utf-8"?>
<sst xmlns="http://schemas.openxmlformats.org/spreadsheetml/2006/main" count="644" uniqueCount="314">
  <si>
    <t>№</t>
  </si>
  <si>
    <t>Наименование1</t>
  </si>
  <si>
    <t>Тип мат.</t>
  </si>
  <si>
    <t>Артикул</t>
  </si>
  <si>
    <t>Номенклатура</t>
  </si>
  <si>
    <t>Цена прайс, KZT</t>
  </si>
  <si>
    <t>Цена нетто, KZT</t>
  </si>
  <si>
    <t>Сумма, KZT</t>
  </si>
  <si>
    <t>Кол-во</t>
  </si>
  <si>
    <t>Ед.изм.</t>
  </si>
  <si>
    <t>Завод</t>
  </si>
  <si>
    <t>пано</t>
  </si>
  <si>
    <t>ВРУ-1</t>
  </si>
  <si>
    <t>ВРУ-1 — Вводно-распределительное устройство ВРУ1-13-20 УХЛ4 (аналог, сборка YSF HICH)</t>
  </si>
  <si>
    <t>комплект</t>
  </si>
  <si>
    <t>korpus</t>
  </si>
  <si>
    <t>шт.</t>
  </si>
  <si>
    <t>Kaztek/TEKSAN</t>
  </si>
  <si>
    <t>TMŞ</t>
  </si>
  <si>
    <t>CHINT</t>
  </si>
  <si>
    <t>rubilnik</t>
  </si>
  <si>
    <t>tt</t>
  </si>
  <si>
    <t>256478</t>
  </si>
  <si>
    <t>Трансформатор тока BH-0.66 30 B 150/5А, кл. точн. 0,5 (аналог ТТИ-А 150/5А 5ВА)</t>
  </si>
  <si>
    <t>sayac</t>
  </si>
  <si>
    <t>ЦЭ 6850М</t>
  </si>
  <si>
    <t>Счётчик электроэнергии ЦЭ 6850М 380В 5А, электронный, АСКУЭ (Энергомера) — см. K02</t>
  </si>
  <si>
    <t>Энергомера / прочее</t>
  </si>
  <si>
    <t>blok</t>
  </si>
  <si>
    <t>LOOBAR</t>
  </si>
  <si>
    <t>м</t>
  </si>
  <si>
    <t>130500106_</t>
  </si>
  <si>
    <t>Изолятор SM40 с болтом (М8) 475А 12кВ UNIT</t>
  </si>
  <si>
    <t>montajный материал</t>
  </si>
  <si>
    <t>570003</t>
  </si>
  <si>
    <t>DIN-рейка оцинкованная TH35-7.5 100 см</t>
  </si>
  <si>
    <t>270300200_</t>
  </si>
  <si>
    <t>Кабель-канал перфорированный 60х40 ИМПАКТ IEK (2 м)</t>
  </si>
  <si>
    <t>Klemens</t>
  </si>
  <si>
    <t>kablo</t>
  </si>
  <si>
    <t>100300025_</t>
  </si>
  <si>
    <t>Провод ПВ3-2,5 белый ГОСТ</t>
  </si>
  <si>
    <t>100300100_</t>
  </si>
  <si>
    <t>Провод ПВ3-2,5 жёлто-зелёный ГОСТ</t>
  </si>
  <si>
    <t>nakonechnik</t>
  </si>
  <si>
    <t>260100016_</t>
  </si>
  <si>
    <t>Наконечник медный М 70-10-13</t>
  </si>
  <si>
    <t>260100058_</t>
  </si>
  <si>
    <t>Наконечник медно-лужёный Мл 2,5-4-2,6</t>
  </si>
  <si>
    <t>MONT-3%</t>
  </si>
  <si>
    <t>Монтажный материал (крепёж, маркировка, кабельные стяжки, наконечники НШВИ) — % от суммы материалов панели</t>
  </si>
  <si>
    <t>компл.</t>
  </si>
  <si>
    <t>montajная работа</t>
  </si>
  <si>
    <t>ISC</t>
  </si>
  <si>
    <t>Монтажные работы по сборке панели (норма времени, мин) — расчёт в листе Kurallar</t>
  </si>
  <si>
    <t>мин</t>
  </si>
  <si>
    <t>Итого ВРУ-1 (1 шт.)</t>
  </si>
  <si>
    <t>ВРУ-2</t>
  </si>
  <si>
    <t>ВРУ-2 — Распределительная панель ВРУ1-50-00 УХЛ4 (аналог, сборка YSF HICH)</t>
  </si>
  <si>
    <t>fu</t>
  </si>
  <si>
    <t>Итого ВРУ-2 (1 шт.)</t>
  </si>
  <si>
    <t>ЩС-1</t>
  </si>
  <si>
    <t>ЩС-1 — Щит силовой распределительный ЩУРн-3/48 (проект: ЩУРн-3/36зо-1-36 УХЛ3)</t>
  </si>
  <si>
    <t>716-15020</t>
  </si>
  <si>
    <t>Щит ЩУРн-3/48 с окном (540х600х165) 36 IP31 (Kaztek/TEKSAN) — см. K12, K13</t>
  </si>
  <si>
    <t>193183</t>
  </si>
  <si>
    <t>Выключатель нагрузки NXHB-125 3P 63А (аналог ВН 32 3Р, вводной)</t>
  </si>
  <si>
    <t>СЕ 301 S31</t>
  </si>
  <si>
    <t>Счётчик электроэнергии СЕ 301 S31 146 JAVZ, электронный, АСКУЭ (Энергомера) — см. K02</t>
  </si>
  <si>
    <t>OTO</t>
  </si>
  <si>
    <t>814014</t>
  </si>
  <si>
    <t>Авт. выкл. NXB-63 1P 16A х-ка C 6кА (аналог ВА47-29 1Р 16А) — гр.1…гр.8, БТП</t>
  </si>
  <si>
    <t>814017</t>
  </si>
  <si>
    <t>Авт. выкл. NXB-63 1P 32A х-ка C 6кА (аналог ВА47-29 1Р 32А) — ШУО</t>
  </si>
  <si>
    <t>814172</t>
  </si>
  <si>
    <t>Авт. выкл. NXB-63 3P 25A х-ка C 6кА (аналог ВА47-29 3Р 25А) — Н1 ШУ</t>
  </si>
  <si>
    <t>DİF</t>
  </si>
  <si>
    <t>130200366_</t>
  </si>
  <si>
    <t>Шина соединительная PIN (штырь) 1ф 63А (1 м) UNIT</t>
  </si>
  <si>
    <t>130200368_</t>
  </si>
  <si>
    <t>Шина соединительная PIN (штырь) 3ф 63А (1 м) UNIT</t>
  </si>
  <si>
    <t>130200363_</t>
  </si>
  <si>
    <t>Шина "N" нулевая 8х12 мм ШНИ 14-КС с изолятором "Стойка"</t>
  </si>
  <si>
    <t>130200401_</t>
  </si>
  <si>
    <t>Шина "PE" земля ШНИ 6х9 12-К-З на DIN-рейку в корпусном изоляторе</t>
  </si>
  <si>
    <t>100300031_</t>
  </si>
  <si>
    <t>Провод ПВ3-6 белый ГОСТ</t>
  </si>
  <si>
    <t>Итого ЩС-1 (1 шт.)</t>
  </si>
  <si>
    <t>ЩС-2</t>
  </si>
  <si>
    <t>ЩС-2 — Щит силовой распределительный ЩУРн-3/30 (проект: ЩУРн-3/24зо-1-36 УХЛ3)</t>
  </si>
  <si>
    <t>716-15015</t>
  </si>
  <si>
    <t>Щит ЩУРн-3/30 с окном (490х540х165) 36 IP31 (Kaztek/TEKSAN) — см. K12, K14</t>
  </si>
  <si>
    <t>814174</t>
  </si>
  <si>
    <t>Авт. выкл. NXB-63 3P 40A х-ка C 6кА (аналог ВА47-29 3Р 40А) — Л1 лифт</t>
  </si>
  <si>
    <t>Авт. выкл. NXB-63 3P 25A х-ка C 6кА (аналог ВА47-29 3Р 25А) — Н2 ШУ</t>
  </si>
  <si>
    <t>Авт. выкл. NXB-63 1P 16A х-ка C 6кА (аналог ВА47-29 1Р 16А + ВА47-100 1Р 16А, см. K09)</t>
  </si>
  <si>
    <t>Итого ЩС-2 (1 шт.)</t>
  </si>
  <si>
    <t>СВОД — 260818 Laura Chimkent VRU / Заявка ТМЦ №36995</t>
  </si>
  <si>
    <t>Панель</t>
  </si>
  <si>
    <t>Наименование</t>
  </si>
  <si>
    <t>Цена за 1 шт., KZT</t>
  </si>
  <si>
    <t>Кол-во, шт.</t>
  </si>
  <si>
    <t>ВРУ1-13-20 УХЛ4 (аналог) — вводная панель</t>
  </si>
  <si>
    <t>ВРУ1-50-00 УХЛ4 (аналог) — распределительная панель</t>
  </si>
  <si>
    <t>ЩУРн-3/48 (проект ЩУРн-3/36зо)</t>
  </si>
  <si>
    <t>ЩУРн-3/30 (проект ЩУРн-3/24зо)</t>
  </si>
  <si>
    <t>ИТОГО по заявке №36995</t>
  </si>
  <si>
    <t>ВНИМАНИЕ: цены счётчиков (ЦЭ 6850М, СЕ 301 S31) и АВР-101-100 отсутствуют в прайс-листах — итог НЕПОЛНЫЙ (см. Kurallar K02, K03).</t>
  </si>
  <si>
    <t>KURALLAR / KATSAYILAR — 260818 Laura Chimkent VRU (Заявка ТМЦ №36995)</t>
  </si>
  <si>
    <t>1. MARKA KATSAYILARI (sarı hücreler düzenlenebilir)</t>
  </si>
  <si>
    <t>Marka</t>
  </si>
  <si>
    <t>Katsayı</t>
  </si>
  <si>
    <t>Açıklama</t>
  </si>
  <si>
    <t>liste × 0,60 (%40 iskonto)</t>
  </si>
  <si>
    <t>EKT / IEK / UNIT</t>
  </si>
  <si>
    <t>EKT liste fiyatı, net</t>
  </si>
  <si>
    <t>Kaztek / TEKSAN</t>
  </si>
  <si>
    <t>Kaztek liste fiyatı, net</t>
  </si>
  <si>
    <t>2. GENEL PARAMETRELER</t>
  </si>
  <si>
    <t>Parametre</t>
  </si>
  <si>
    <t>Değer</t>
  </si>
  <si>
    <t>Montaj malzemesi oranı</t>
  </si>
  <si>
    <t>pano malzeme ara toplamının %3'ü</t>
  </si>
  <si>
    <t>İşçilik birim fiyat (KZT/dk)</t>
  </si>
  <si>
    <t>BOM sütun G</t>
  </si>
  <si>
    <t>İşçilik çarpanı</t>
  </si>
  <si>
    <t>test, etiketleme, kontrol</t>
  </si>
  <si>
    <t>Pano seti adedi</t>
  </si>
  <si>
    <t>Заявка №36995: 1-15 blok</t>
  </si>
  <si>
    <t>BOM tarihi</t>
  </si>
  <si>
    <t>yaş hesabı bu tarihe göre</t>
  </si>
  <si>
    <t>3. FİYAT LİSTESİ YAŞI (YAS_DURUM formülle hesaplanır)</t>
  </si>
  <si>
    <t>Marka / liste</t>
  </si>
  <si>
    <t>Liste tarihi</t>
  </si>
  <si>
    <t>Yaş (ay)</t>
  </si>
  <si>
    <t>YAS_DURUM</t>
  </si>
  <si>
    <t>Bu BOM'da kullanım</t>
  </si>
  <si>
    <t>CHINT (260728 stok+fiyat)</t>
  </si>
  <si>
    <t>Ana cihaz markası — kullanıldı</t>
  </si>
  <si>
    <t>Kaztek pano (2607_15)</t>
  </si>
  <si>
    <t>Korpuslar — kullanıldı</t>
  </si>
  <si>
    <t>EKT (19062025)</t>
  </si>
  <si>
    <t>Pano içi malzeme — UYARI ile kullanıldı</t>
  </si>
  <si>
    <t>Schneider (2025 Temmuz)</t>
  </si>
  <si>
    <t>Kullanılmadı</t>
  </si>
  <si>
    <t>ABB (2025 Kasım)</t>
  </si>
  <si>
    <t>Legrand (2025 Ekim)</t>
  </si>
  <si>
    <t>Kullanılmadı (×0,50 katsayı teyitsiz)</t>
  </si>
  <si>
    <t>CNC (250204)</t>
  </si>
  <si>
    <t>YASAK — 18 ay eşiği aşıldı, yenilenmeli</t>
  </si>
  <si>
    <t>EKF (22.02.2022)</t>
  </si>
  <si>
    <t>Fiyatlama yasak — sadece artikül referansı</t>
  </si>
  <si>
    <t>Klemsan (Kasım 2022)</t>
  </si>
  <si>
    <t>Fiyatlama yasak</t>
  </si>
  <si>
    <t>ONKA (Temmuz 2022)</t>
  </si>
  <si>
    <t>Harmony kablo prays-listi</t>
  </si>
  <si>
    <t>TARİH YOK</t>
  </si>
  <si>
    <t>Tarih belirsiz — kablo fiyatlaması yapılmadı</t>
  </si>
  <si>
    <t>4. İŞÇİLİK ZAMAN NORMLARI (dk/birim) — sarı hücreler düzenlenebilir</t>
  </si>
  <si>
    <t>Norm kalemi</t>
  </si>
  <si>
    <t>dk</t>
  </si>
  <si>
    <t>MCB 1P (otomat)</t>
  </si>
  <si>
    <t>MCB 3P (otomat)</t>
  </si>
  <si>
    <t>Diferansiyel 2P (RCBO)</t>
  </si>
  <si>
    <t>MCCB ≤250A (TMŞ)</t>
  </si>
  <si>
    <t>Perekidnoy rubilnik / переключатель 250A</t>
  </si>
  <si>
    <t>Rubilnik modüler (выкл. нагрузки)</t>
  </si>
  <si>
    <t>Sigorta yuvası (RT36 держатель)</t>
  </si>
  <si>
    <t>Sayaç + akım trafosu seti</t>
  </si>
  <si>
    <t>AVR cihazı</t>
  </si>
  <si>
    <t>Klemens (adet)</t>
  </si>
  <si>
    <t>Tarak bara (adet)</t>
  </si>
  <si>
    <t>Bakır bara (m)</t>
  </si>
  <si>
    <t>DIN ray + kablo kanalı (m)</t>
  </si>
  <si>
    <t>Korpus hazırlığı — orta (навесной)</t>
  </si>
  <si>
    <t>Korpus hazırlığı — ayaklı (напольный)</t>
  </si>
  <si>
    <t>5. İŞÇİLİK HESABI (1 pano için, dk)</t>
  </si>
  <si>
    <t>Norm dk</t>
  </si>
  <si>
    <t>ВРУ-1 ad.</t>
  </si>
  <si>
    <t>ВРУ-2 ad.</t>
  </si>
  <si>
    <t>ЩС-1 ad.</t>
  </si>
  <si>
    <t>ЩС-2 ad.</t>
  </si>
  <si>
    <t>ВРУ-1 dk</t>
  </si>
  <si>
    <t>ВРУ-2 dk</t>
  </si>
  <si>
    <t>ЩС-1 dk</t>
  </si>
  <si>
    <t>ЩС-2 dk</t>
  </si>
  <si>
    <t>Ara toplam (dk)</t>
  </si>
  <si>
    <t>Toplam işçilik (dk) — çarpan dahil</t>
  </si>
  <si>
    <t>6. NOTLAR / KONTROL EDİLECEK MADDELER</t>
  </si>
  <si>
    <t>Kod</t>
  </si>
  <si>
    <t>K01</t>
  </si>
  <si>
    <t>Proje: 03-24.2-ЭОМ, 9 katlı konut, Kızılorda. Заявка ТМЦ №36995 (13.08.2026) — her pano tipinden 15 adet.</t>
  </si>
  <si>
    <t>K02</t>
  </si>
  <si>
    <t>Sayaçlar (ЦЭ 6850М — 2 ad./ВРУ-1, СЕ 301 S31 146 JAVZ — 1 ad./ЩС) 'Энергомера' ürünü. Elimizdeki hiçbir fiyat listesinde yok → BOM'da fiyat hücresi BOŞ. Fiyat girilmeden pano toplamı eksiktir.</t>
  </si>
  <si>
    <t>K03</t>
  </si>
  <si>
    <t>АВР-101-100 (100А) otomatik yedek devreye alma cihazı fiyat listelerinde yok → fiyat hücresi BOŞ. CHINT alternatifi: NH40 serisi reverse rubilnik + АВР bloğu (art. 420123, 512 793 KZT liste) — çok pahalı, ayrıca teklif alınmalı.</t>
  </si>
  <si>
    <t>K04</t>
  </si>
  <si>
    <t>ŞEMA/SPESİFİKASYON ÇELİŞKİSİ — ППНИ-35: Şema (lst.2) 8 sigorta sembolü gösteriyor (2×100А, 1×50А, 5×40А = 24 kartuş). Опросный лист (lst.6) ise 3×100А, 1×50А, 4×40А diyor. Спецификация şemayla uyumlu (6+3+15=24). ŞEMA ESAS ALINDI.</t>
  </si>
  <si>
    <t>K05</t>
  </si>
  <si>
    <t>Л9 (ВРУ→ЩС-2, 5х70/5х25 mm²) hattı şemada koruma cihazı OLMADAN çiziliyor. ВРУ-2'de 8 sigorta pozisyonunun tamamı Л1-Л8'e ait. Л9 için ilave koruma gerekiyor mu — PROJECİYE SORULACAK.</t>
  </si>
  <si>
    <t>K06</t>
  </si>
  <si>
    <t>Kablo kesiti çelişkisi: ВРУ şemasında Л9 = АВВГнг(А)-FRLS 5х70, ЩС-2 şemasında aynı hat 'от ВРУ-1 Л9 АВВГнг(А)-FRLS-5х25 мм²'. Kablo bu BOM kapsamında değil, yine de projeye bildirilmeli.</t>
  </si>
  <si>
    <t>K07</t>
  </si>
  <si>
    <t>ВА88-33 Icu=35 kA. Seçilen CHINT NM1-250S Icu=25 kA. Binanın giriş kısa devre akımı 25 kA'nın altındaysa uygundur. 35 kA şart ise alternatif: NM8N-250S TM 3P 160А 50кА (art. 271172, liste 94 890) ve 125А (art. 271590, liste 67 739).</t>
  </si>
  <si>
    <t>K08</t>
  </si>
  <si>
    <t>ППНИ-35 габ.1: CHINT'te габ.1 (RT36-1-250) eriyen kartuşları 100А'den başlıyor; 40А ve 50А yok. Bu iki değer için габ.0 (RT36-0-160) yuva+kartuş kullanıldı. Proje 'габ.1' diyorsa yuvaların tamamı RT36-1-250 olur, ancak 40/50А kartuş temin edilemez — PROJECİYE BİLDİRİLECEK.</t>
  </si>
  <si>
    <t>K09</t>
  </si>
  <si>
    <t>ARK1 çıkışı şemada ВА47-100 1Р 16А. CHINT NXB-125 serisi 63А'den başlıyor → NXB-63 1P C16 kullanıldı (ЩС-2'de toplam 8 ad. 1P C16). Спецификация'da ЩС-2 için ВА47-100 zaten listelenmemiş.</t>
  </si>
  <si>
    <t>K10</t>
  </si>
  <si>
    <t>ВН 32 3Р (40А/50А) yerine CHINT NXHB-125 3P 63А seçildi — rubilnik ana korumadan bir kademe üstte kuralı.</t>
  </si>
  <si>
    <t>K11</t>
  </si>
  <si>
    <t>Korpus önceliği Kaztek. Kaztek listesinde 719-15015 'ВРУ 1-13 20 УХЛ4 (1700х800х450)' kalemi VAR ama FİYATI YOK (0). Bu yüzden fiyatlı Kaztek ayaklı korpus 719-15691 (1700x800x500+100mm baza IP31) kullanıldı. Tip panolar tercih edilirse EKT alternatifleri: ВРУ 1-13 20 УХЛ4 komple montajlı 290 000 KZT (art. 250800013), ВРУ-1-50 boş korpus 82 950 KZT (art. 250200159).</t>
  </si>
  <si>
    <t>K12</t>
  </si>
  <si>
    <t>Kaztek listesinde ЩУРн-3/48 ve ЩУРн-3/30 kalemleri 'S/U' (sıva altı) olarak kayıtlı, proje ise навесной (sıva üstü) istiyor. Kaztek'ten S/A versiyon TEYİT EDİLMELİ.</t>
  </si>
  <si>
    <t>K13</t>
  </si>
  <si>
    <t>ЩС-1 projede ЩУРн-3/36зо. Kaztek/EKT'de 36 modüllük ЩУРн yok → 48 modüllük seçildi (24 modül dolu, %20 yedek kuralı fazlasıyla sağlanıyor).</t>
  </si>
  <si>
    <t>K14</t>
  </si>
  <si>
    <t>ЩС-2 projede ЩУРн-3/24зо, seçilen 30 modüllük (21 modül dolu). %20 yedek kuralı sağlanıyor.</t>
  </si>
  <si>
    <t>K15</t>
  </si>
  <si>
    <t>STOK UYARISI (CHINT 28.07.2026 stok kolonu, 15 set = ihtiyaç): Akım trafosu BH-0.66 150/5 — ihtiyaç 90, stok 20. RT36-1-250 100А kartuş — ihtiyaç 90, stok 0. RT36-0-160 40А kartuş — ihtiyaç 225, stok 3. RT36-0-160 50А kartuş — ihtiyaç 45, stok 102. NH40-250/3CS — ihtiyaç 30, stok 1. Termin süreleri sipariş öncesi teyit edilmeli.</t>
  </si>
  <si>
    <t>K16</t>
  </si>
  <si>
    <t>КП-101 kumanda kutusu (10 ad.), SB-7 'Пуск' buton (10 ad.), У-614 klemens kutusu (63 ad.), Т160 buat (7 ad.) — pano İÇİ malzeme değil, saha montaj malzemesi. BOM'a dahil edilmedi.</t>
  </si>
  <si>
    <t>K17</t>
  </si>
  <si>
    <t>Заявка poz.5-13 (ПВ-3 1х6, ВВГнг kablolar 5х4/5х6/5х10/5х25/5х70, çelik ф16 ve 40х4, kablo pabucu А70) pano dışı montaj malzemesidir ve BOM'a dahil edilmedi. Harmony kablo listesinde tarih olmadığı için fiyatlandırılamadı.</t>
  </si>
  <si>
    <t>K18</t>
  </si>
  <si>
    <t>ЩЭ (etajnyi, 9 ad.), ЩК (kvartirnyi, 63 ad.), ШУО panoları Заявка №36995 kapsamında DEĞİL — BOM'a alınmadı.</t>
  </si>
  <si>
    <t>K19</t>
  </si>
  <si>
    <t>EKT fiyat listesi 19.06.2025 tarihli (&gt;12 ay) — UYARI seviyesinde. Pano içi malzeme fiyatları yenilenmiş listeyle güncellenmelidir.</t>
  </si>
  <si>
    <t>K20</t>
  </si>
  <si>
    <t>Tüm fiyatlar KZT. F sütunu = liste fiyatı, G sütunu = F × marka katsayısı. İşçilik satırında I=dakika, G=KZT/dk, F=saat.</t>
  </si>
  <si>
    <t>719-15043</t>
  </si>
  <si>
    <t>515381</t>
  </si>
  <si>
    <t>Диф. авт. выкл. NXBLE-63YH 1P+N C16 30mA тип A, 6kA (R)</t>
  </si>
  <si>
    <t>521345</t>
  </si>
  <si>
    <t>Плавкая вставка предохранителя RT36-00-160, габарит 00, 50А</t>
  </si>
  <si>
    <t>521344</t>
  </si>
  <si>
    <t>Плавкая вставка предохранителя RT36-00-160, габарит 00, 40А</t>
  </si>
  <si>
    <t>521349</t>
  </si>
  <si>
    <t>Плавкая вставка предохранителя RT36-00-160, габарит 00, 100А</t>
  </si>
  <si>
    <t>521260</t>
  </si>
  <si>
    <t>Держатель плавкой вставки RT36-00-160, габарит 00, 160А</t>
  </si>
  <si>
    <t>pys</t>
  </si>
  <si>
    <t>701-03254-1</t>
  </si>
  <si>
    <t>Клемма проходная JHUK10N (TEKLED ELECTRIC)1000/50</t>
  </si>
  <si>
    <t>701-03250-1</t>
  </si>
  <si>
    <t>Клемма проходная JHUK2.5B (TEKLED ELECTRIC)2000/100</t>
  </si>
  <si>
    <t>tekled</t>
  </si>
  <si>
    <t>Мет. Щит ВРУ 1700х800х450+10CM База</t>
  </si>
  <si>
    <t>270100160_</t>
  </si>
  <si>
    <t>Рубильник ВР-32-35  В71250-250А на 2 направления (+6камер) UNIT (1/8)</t>
  </si>
  <si>
    <t>131364</t>
  </si>
  <si>
    <t>Авт. выкл. NXM-160S/3Р 160A 36кА (R)</t>
  </si>
  <si>
    <t>131363</t>
  </si>
  <si>
    <t>Авт. выкл. NXM-125S/3Р 125A 25кА (R)</t>
  </si>
  <si>
    <t>TEKLED ELECTRIC</t>
  </si>
  <si>
    <t>130200152_</t>
  </si>
  <si>
    <t>Шина алюм АД31Т  3х30х4000</t>
  </si>
  <si>
    <t>ЩУО</t>
  </si>
  <si>
    <t>Итого ЩУО</t>
  </si>
  <si>
    <t>bh32</t>
  </si>
  <si>
    <t>Регулятор температуры Teploluxe 100 NEW (Замена вместо РТ 330)</t>
  </si>
  <si>
    <t>tregulator</t>
  </si>
  <si>
    <t>mod kontaktor</t>
  </si>
  <si>
    <t>714-15005</t>
  </si>
  <si>
    <t>Pano met.ShRn-12 b/o (313х268х120)S/U 36 IP31 (TS)</t>
  </si>
  <si>
    <t>193181</t>
  </si>
  <si>
    <t>Выключатель нагрузки NXHB-125 3P 32A (R)</t>
  </si>
  <si>
    <t>296710</t>
  </si>
  <si>
    <t>Авт. выкл. NXB-63S 1P 16А 4.5kA х-ка C (R)</t>
  </si>
  <si>
    <t>296708</t>
  </si>
  <si>
    <t>Авт. выкл. NXB-63S 1P 6А 4.5kA х-ка C (R)</t>
  </si>
  <si>
    <t>256081</t>
  </si>
  <si>
    <t>Контактор модульный NCH8-40/20 40A 2НО AC220/230В 50Гц (R)</t>
  </si>
  <si>
    <t>АВР-101-100А</t>
  </si>
  <si>
    <t>TEKSAN</t>
  </si>
  <si>
    <t>719-15450</t>
  </si>
  <si>
    <t>Корпус ЩМП5 (1000x650x300) IP54</t>
  </si>
  <si>
    <t xml:space="preserve"> ШТ. </t>
  </si>
  <si>
    <t>teksan f</t>
  </si>
  <si>
    <t>oto</t>
  </si>
  <si>
    <t>131362</t>
  </si>
  <si>
    <t>Авт. выкл. NXM-125S/3Р 100A 25кА (R)</t>
  </si>
  <si>
    <t>chint</t>
  </si>
  <si>
    <t>contactor</t>
  </si>
  <si>
    <t>235643</t>
  </si>
  <si>
    <t>Контактор NC2-115 115A 220-240В/АС3 50Гц (старый артикул)</t>
  </si>
  <si>
    <t>rele</t>
  </si>
  <si>
    <t>285448</t>
  </si>
  <si>
    <t>Промежуточное реле JZX-22F(D) 4 конт. с инд. LED 3А 220В AC (R)</t>
  </si>
  <si>
    <t>rozetka</t>
  </si>
  <si>
    <t>285976</t>
  </si>
  <si>
    <t>Розетка CZY14A для JZX-22F(D) 4 контакта</t>
  </si>
  <si>
    <t>296829</t>
  </si>
  <si>
    <t>CKF-318-1</t>
  </si>
  <si>
    <t>296825</t>
  </si>
  <si>
    <t>Авт. выкл. NXB-63S 3P 6А 4.5kA х-ка C (R)</t>
  </si>
  <si>
    <t>perekluchatel</t>
  </si>
  <si>
    <t>574849</t>
  </si>
  <si>
    <t>Переключатель NP2-BD33, 3 положения с фиксацией, 2НО IP40</t>
  </si>
  <si>
    <t>button</t>
  </si>
  <si>
    <t>574842</t>
  </si>
  <si>
    <t>Кнопка управления NP2-BA31 без подсветки зеленая 1НО IP40</t>
  </si>
  <si>
    <t>574843</t>
  </si>
  <si>
    <t>Кнопка управления NP2-BA42 без подсветки красная 1НЗ IP40</t>
  </si>
  <si>
    <t>indicator</t>
  </si>
  <si>
    <t>593077</t>
  </si>
  <si>
    <t>Индикатор ND16-22D/2 зеленый AC/DC230В (R)</t>
  </si>
  <si>
    <t>block</t>
  </si>
  <si>
    <t>576728</t>
  </si>
  <si>
    <t>Блоки контактные NP2-BE101, 1НО</t>
  </si>
  <si>
    <t>257022</t>
  </si>
  <si>
    <t>Приставка доп.контакты F4-11 к контактору NC1 и NC2 (R)</t>
  </si>
  <si>
    <t>монтажный материал</t>
  </si>
  <si>
    <t>монтажная работа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</si>
</sst>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"/>
    <numFmt numFmtId="165" formatCode="0.0%"/>
    <numFmt numFmtId="166" formatCode="dd\.mm\.yyyy"/>
    <numFmt numFmtId="167" formatCode="_-* #,##0_-;\-* #,##0_-;_-* \-??_-;_-@_-"/>
  </numFmts>
  <fonts count="14" x14ac:knownFonts="1">
    <font>
      <sz val="11"/>
      <color theme="1"/>
      <name val="Calibri"/>
      <family val="2"/>
      <charset val="1"/>
    </font>
    <font>
      <b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b/>
      <sz val="10"/>
      <color rgb="FFC00000"/>
      <name val="Arial"/>
      <family val="2"/>
      <charset val="204"/>
    </font>
    <font>
      <sz val="10"/>
      <color rgb="FF000000"/>
      <name val="Arial"/>
      <family val="2"/>
      <charset val="204"/>
    </font>
    <font>
      <sz val="11"/>
      <color theme="1"/>
      <name val="Calibri"/>
      <family val="2"/>
      <charset val="1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</font>
    <font>
      <b/>
      <sz val="9"/>
      <color theme="1"/>
      <name val="Calibri"/>
      <family val="2"/>
      <scheme val="minor"/>
    </font>
    <font>
      <sz val="9"/>
      <name val="Calibri"/>
      <family val="2"/>
      <charset val="204"/>
      <scheme val="minor"/>
    </font>
    <font>
      <sz val="9"/>
      <name val="Tahoma"/>
      <family val="2"/>
      <charset val="204"/>
    </font>
    <font>
      <b/>
      <sz val="9"/>
      <name val="Calibri"/>
      <family val="2"/>
      <charset val="204"/>
    </font>
  </fonts>
  <fills count="10">
    <fill>
      <patternFill patternType="none"/>
    </fill>
    <fill>
      <patternFill patternType="gray125"/>
    </fill>
    <fill>
      <patternFill patternType="solid">
        <fgColor rgb="FFBFBFBF"/>
        <bgColor rgb="FFD9D9D9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BFBFBF"/>
      </patternFill>
    </fill>
    <fill>
      <patternFill patternType="solid">
        <fgColor rgb="FFFFCC66"/>
        <bgColor rgb="FFFFFF00"/>
      </patternFill>
    </fill>
    <fill>
      <patternFill patternType="solid">
        <fgColor rgb="FFFFCC66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99"/>
      </patternFill>
    </fill>
  </fills>
  <borders count="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3" fontId="0" fillId="0" borderId="1" xfId="0" applyNumberFormat="1" applyBorder="1"/>
    <xf numFmtId="164" fontId="0" fillId="0" borderId="1" xfId="0" applyNumberFormat="1" applyBorder="1"/>
    <xf numFmtId="0" fontId="1" fillId="4" borderId="1" xfId="0" applyFont="1" applyFill="1" applyBorder="1"/>
    <xf numFmtId="0" fontId="1" fillId="4" borderId="1" xfId="0" applyFont="1" applyFill="1" applyBorder="1" applyAlignment="1">
      <alignment vertical="top" wrapText="1"/>
    </xf>
    <xf numFmtId="3" fontId="1" fillId="4" borderId="1" xfId="0" applyNumberFormat="1" applyFont="1" applyFill="1" applyBorder="1"/>
    <xf numFmtId="0" fontId="2" fillId="0" borderId="0" xfId="0" applyFont="1"/>
    <xf numFmtId="0" fontId="1" fillId="2" borderId="1" xfId="0" applyFont="1" applyFill="1" applyBorder="1"/>
    <xf numFmtId="0" fontId="0" fillId="4" borderId="1" xfId="0" applyFill="1" applyBorder="1"/>
    <xf numFmtId="0" fontId="3" fillId="4" borderId="1" xfId="0" applyFont="1" applyFill="1" applyBorder="1"/>
    <xf numFmtId="3" fontId="3" fillId="4" borderId="1" xfId="0" applyNumberFormat="1" applyFont="1" applyFill="1" applyBorder="1"/>
    <xf numFmtId="0" fontId="4" fillId="0" borderId="0" xfId="0" applyFont="1"/>
    <xf numFmtId="0" fontId="5" fillId="0" borderId="1" xfId="0" applyFont="1" applyBorder="1"/>
    <xf numFmtId="0" fontId="5" fillId="3" borderId="1" xfId="0" applyFont="1" applyFill="1" applyBorder="1"/>
    <xf numFmtId="165" fontId="5" fillId="3" borderId="1" xfId="0" applyNumberFormat="1" applyFont="1" applyFill="1" applyBorder="1"/>
    <xf numFmtId="166" fontId="5" fillId="3" borderId="1" xfId="0" applyNumberFormat="1" applyFont="1" applyFill="1" applyBorder="1"/>
    <xf numFmtId="166" fontId="5" fillId="0" borderId="1" xfId="0" applyNumberFormat="1" applyFont="1" applyBorder="1"/>
    <xf numFmtId="0" fontId="1" fillId="0" borderId="1" xfId="0" applyFont="1" applyBorder="1"/>
    <xf numFmtId="0" fontId="4" fillId="0" borderId="1" xfId="0" applyFont="1" applyBorder="1"/>
    <xf numFmtId="0" fontId="5" fillId="0" borderId="1" xfId="0" applyFont="1" applyBorder="1" applyAlignment="1">
      <alignment vertical="top" wrapText="1"/>
    </xf>
    <xf numFmtId="0" fontId="1" fillId="5" borderId="1" xfId="0" applyFont="1" applyFill="1" applyBorder="1"/>
    <xf numFmtId="0" fontId="0" fillId="6" borderId="1" xfId="0" applyFill="1" applyBorder="1"/>
    <xf numFmtId="0" fontId="1" fillId="6" borderId="1" xfId="0" applyFont="1" applyFill="1" applyBorder="1" applyAlignment="1">
      <alignment vertical="top" wrapText="1"/>
    </xf>
    <xf numFmtId="0" fontId="1" fillId="7" borderId="1" xfId="0" applyFont="1" applyFill="1" applyBorder="1"/>
    <xf numFmtId="0" fontId="0" fillId="8" borderId="1" xfId="0" applyFill="1" applyBorder="1"/>
    <xf numFmtId="0" fontId="1" fillId="8" borderId="1" xfId="0" applyFont="1" applyFill="1" applyBorder="1" applyAlignment="1">
      <alignment vertical="top" wrapText="1"/>
    </xf>
    <xf numFmtId="0" fontId="0" fillId="9" borderId="1" xfId="0" applyFill="1" applyBorder="1"/>
    <xf numFmtId="3" fontId="0" fillId="8" borderId="1" xfId="0" applyNumberFormat="1" applyFill="1" applyBorder="1"/>
    <xf numFmtId="0" fontId="7" fillId="9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center" vertical="center" wrapText="1"/>
    </xf>
    <xf numFmtId="3" fontId="7" fillId="9" borderId="2" xfId="1" applyNumberFormat="1" applyFont="1" applyFill="1" applyBorder="1" applyAlignment="1" applyProtection="1">
      <alignment horizontal="center" vertical="center" wrapText="1"/>
    </xf>
    <xf numFmtId="167" fontId="7" fillId="9" borderId="2" xfId="1" applyNumberFormat="1" applyFont="1" applyFill="1" applyBorder="1" applyAlignment="1" applyProtection="1">
      <alignment horizontal="center" vertical="center"/>
    </xf>
    <xf numFmtId="0" fontId="7" fillId="9" borderId="2" xfId="1" applyNumberFormat="1" applyFont="1" applyFill="1" applyBorder="1" applyAlignment="1" applyProtection="1">
      <alignment horizontal="center" vertical="center"/>
    </xf>
    <xf numFmtId="167" fontId="7" fillId="9" borderId="2" xfId="1" applyNumberFormat="1" applyFont="1" applyFill="1" applyBorder="1" applyAlignment="1" applyProtection="1">
      <alignment horizontal="center" vertical="center" wrapText="1"/>
    </xf>
    <xf numFmtId="3" fontId="7" fillId="9" borderId="2" xfId="0" applyNumberFormat="1" applyFont="1" applyFill="1" applyBorder="1" applyAlignment="1">
      <alignment horizontal="center" vertical="center" wrapText="1"/>
    </xf>
    <xf numFmtId="0" fontId="9" fillId="9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1" fontId="11" fillId="0" borderId="2" xfId="0" quotePrefix="1" applyNumberFormat="1" applyFont="1" applyBorder="1" applyAlignment="1">
      <alignment horizontal="center" vertical="center"/>
    </xf>
    <xf numFmtId="3" fontId="12" fillId="0" borderId="3" xfId="0" applyNumberFormat="1" applyFont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center" vertical="center" wrapText="1"/>
    </xf>
    <xf numFmtId="3" fontId="12" fillId="0" borderId="4" xfId="0" applyNumberFormat="1" applyFont="1" applyBorder="1" applyAlignment="1">
      <alignment horizontal="center" vertical="center" wrapText="1"/>
    </xf>
    <xf numFmtId="167" fontId="13" fillId="9" borderId="2" xfId="1" applyNumberFormat="1" applyFont="1" applyFill="1" applyBorder="1" applyAlignment="1" applyProtection="1">
      <alignment horizontal="center" vertical="center" wrapText="1"/>
    </xf>
  </cellXfs>
  <cellStyles count="2">
    <cellStyle name="Normal" xfId="0" builtinId="0"/>
    <cellStyle name="Virgül" xfId="1" builtinId="3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1"/>
  <sheetViews>
    <sheetView zoomScaleNormal="100" workbookViewId="0">
      <pane ySplit="1" topLeftCell="A2" activePane="bottomLeft" state="frozen"/>
      <selection pane="bottomLeft" activeCell="E13" sqref="E13"/>
    </sheetView>
  </sheetViews>
  <sheetFormatPr defaultColWidth="8.7109375" defaultRowHeight="15" x14ac:dyDescent="0.25"/>
  <cols>
    <col min="1" max="1" width="5" customWidth="1"/>
    <col min="2" max="2" width="20.42578125" customWidth="1"/>
    <col min="3" max="3" width="18" customWidth="1"/>
    <col min="4" max="4" width="14" customWidth="1"/>
    <col min="5" max="5" width="78" customWidth="1"/>
    <col min="6" max="7" width="14" customWidth="1"/>
    <col min="8" max="8" width="15" customWidth="1"/>
    <col min="9" max="9" width="9" customWidth="1"/>
    <col min="10" max="10" width="10" customWidth="1"/>
    <col min="11" max="11" width="24.28515625" customWidth="1"/>
  </cols>
  <sheetData>
    <row r="1" spans="1:11" ht="4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25.5" x14ac:dyDescent="0.25">
      <c r="A2" s="2"/>
      <c r="B2" s="23" t="str">
        <f>E2</f>
        <v>ВРУ-1 — Вводно-распределительное устройство ВРУ1-13-20 УХЛ4 (аналог, сборка YSF HICH)</v>
      </c>
      <c r="C2" s="24" t="s">
        <v>11</v>
      </c>
      <c r="D2" s="24" t="s">
        <v>12</v>
      </c>
      <c r="E2" s="25" t="s">
        <v>13</v>
      </c>
      <c r="F2" s="24"/>
      <c r="G2" s="24"/>
      <c r="H2" s="24"/>
      <c r="I2" s="24">
        <v>1</v>
      </c>
      <c r="J2" s="24" t="s">
        <v>14</v>
      </c>
      <c r="K2" s="24" t="s">
        <v>254</v>
      </c>
    </row>
    <row r="3" spans="1:11" x14ac:dyDescent="0.25">
      <c r="A3" s="2">
        <v>1</v>
      </c>
      <c r="B3" s="2" t="str">
        <f>E2</f>
        <v>ВРУ-1 — Вводно-распределительное устройство ВРУ1-13-20 УХЛ4 (аналог, сборка YSF HICH)</v>
      </c>
      <c r="C3" s="2" t="s">
        <v>15</v>
      </c>
      <c r="D3" s="2" t="s">
        <v>230</v>
      </c>
      <c r="E3" s="3" t="s">
        <v>247</v>
      </c>
      <c r="F3" s="4">
        <v>155000</v>
      </c>
      <c r="G3" s="4">
        <f>ROUND(F3*Kurallar!$B$6,0)</f>
        <v>93000</v>
      </c>
      <c r="H3" s="4">
        <f t="shared" ref="H3:H8" si="0">G3*I3</f>
        <v>93000</v>
      </c>
      <c r="I3" s="2">
        <v>1</v>
      </c>
      <c r="J3" s="2" t="s">
        <v>16</v>
      </c>
      <c r="K3" s="2" t="s">
        <v>17</v>
      </c>
    </row>
    <row r="4" spans="1:11" x14ac:dyDescent="0.25">
      <c r="A4" s="2">
        <v>2</v>
      </c>
      <c r="B4" s="2" t="str">
        <f>E2</f>
        <v>ВРУ-1 — Вводно-распределительное устройство ВРУ1-13-20 УХЛ4 (аналог, сборка YSF HICH)</v>
      </c>
      <c r="C4" s="2" t="s">
        <v>18</v>
      </c>
      <c r="D4" s="2" t="s">
        <v>250</v>
      </c>
      <c r="E4" s="3" t="s">
        <v>251</v>
      </c>
      <c r="F4" s="4">
        <v>27169</v>
      </c>
      <c r="G4" s="4">
        <f>ROUND(F4*Kurallar!$B$4,0)</f>
        <v>16301</v>
      </c>
      <c r="H4" s="4">
        <f t="shared" si="0"/>
        <v>16301</v>
      </c>
      <c r="I4" s="2">
        <v>1</v>
      </c>
      <c r="J4" s="2" t="s">
        <v>16</v>
      </c>
      <c r="K4" s="2" t="s">
        <v>19</v>
      </c>
    </row>
    <row r="5" spans="1:11" x14ac:dyDescent="0.25">
      <c r="A5" s="2">
        <v>3</v>
      </c>
      <c r="B5" s="2" t="str">
        <f>E2</f>
        <v>ВРУ-1 — Вводно-распределительное устройство ВРУ1-13-20 УХЛ4 (аналог, сборка YSF HICH)</v>
      </c>
      <c r="C5" s="2" t="s">
        <v>18</v>
      </c>
      <c r="D5" s="2" t="s">
        <v>252</v>
      </c>
      <c r="E5" s="3" t="s">
        <v>253</v>
      </c>
      <c r="F5" s="4">
        <v>19760</v>
      </c>
      <c r="G5" s="4">
        <f>ROUND(F5*Kurallar!$B$4,0)</f>
        <v>11856</v>
      </c>
      <c r="H5" s="4">
        <f t="shared" si="0"/>
        <v>11856</v>
      </c>
      <c r="I5" s="2">
        <v>1</v>
      </c>
      <c r="J5" s="2" t="s">
        <v>16</v>
      </c>
      <c r="K5" s="2" t="s">
        <v>19</v>
      </c>
    </row>
    <row r="6" spans="1:11" x14ac:dyDescent="0.25">
      <c r="A6" s="2">
        <v>4</v>
      </c>
      <c r="B6" s="2" t="str">
        <f>E2</f>
        <v>ВРУ-1 — Вводно-распределительное устройство ВРУ1-13-20 УХЛ4 (аналог, сборка YSF HICH)</v>
      </c>
      <c r="C6" s="2" t="s">
        <v>20</v>
      </c>
      <c r="D6" s="2" t="s">
        <v>248</v>
      </c>
      <c r="E6" s="3" t="s">
        <v>249</v>
      </c>
      <c r="F6" s="4">
        <v>16414</v>
      </c>
      <c r="G6" s="4">
        <f>F6</f>
        <v>16414</v>
      </c>
      <c r="H6" s="4">
        <f t="shared" si="0"/>
        <v>32828</v>
      </c>
      <c r="I6" s="2">
        <v>2</v>
      </c>
      <c r="J6" s="2" t="s">
        <v>16</v>
      </c>
      <c r="K6" s="2" t="s">
        <v>241</v>
      </c>
    </row>
    <row r="7" spans="1:11" x14ac:dyDescent="0.25">
      <c r="A7" s="2">
        <v>5</v>
      </c>
      <c r="B7" s="2" t="str">
        <f>E2</f>
        <v>ВРУ-1 — Вводно-распределительное устройство ВРУ1-13-20 УХЛ4 (аналог, сборка YSF HICH)</v>
      </c>
      <c r="C7" s="2" t="s">
        <v>21</v>
      </c>
      <c r="D7" s="2" t="s">
        <v>22</v>
      </c>
      <c r="E7" s="3" t="s">
        <v>23</v>
      </c>
      <c r="F7" s="4">
        <v>5682</v>
      </c>
      <c r="G7" s="4">
        <f>ROUND(F7*Kurallar!$B$4,0)</f>
        <v>3409</v>
      </c>
      <c r="H7" s="4">
        <f t="shared" si="0"/>
        <v>20454</v>
      </c>
      <c r="I7" s="2">
        <v>6</v>
      </c>
      <c r="J7" s="2" t="s">
        <v>16</v>
      </c>
      <c r="K7" s="2" t="s">
        <v>19</v>
      </c>
    </row>
    <row r="8" spans="1:11" ht="30" x14ac:dyDescent="0.25">
      <c r="A8" s="2">
        <v>6</v>
      </c>
      <c r="B8" s="2" t="str">
        <f>E2</f>
        <v>ВРУ-1 — Вводно-распределительное устройство ВРУ1-13-20 УХЛ4 (аналог, сборка YSF HICH)</v>
      </c>
      <c r="C8" s="2" t="s">
        <v>24</v>
      </c>
      <c r="D8" s="2" t="s">
        <v>25</v>
      </c>
      <c r="E8" s="3" t="s">
        <v>26</v>
      </c>
      <c r="F8" s="29">
        <v>125000</v>
      </c>
      <c r="G8" s="29">
        <f>F8</f>
        <v>125000</v>
      </c>
      <c r="H8" s="30">
        <f t="shared" si="0"/>
        <v>0</v>
      </c>
      <c r="I8" s="2">
        <v>0</v>
      </c>
      <c r="J8" s="2" t="s">
        <v>16</v>
      </c>
      <c r="K8" s="2" t="s">
        <v>27</v>
      </c>
    </row>
    <row r="9" spans="1:11" x14ac:dyDescent="0.25">
      <c r="A9" s="2">
        <v>8</v>
      </c>
      <c r="B9" s="2" t="str">
        <f>E2</f>
        <v>ВРУ-1 — Вводно-распределительное устройство ВРУ1-13-20 УХЛ4 (аналог, сборка YSF HICH)</v>
      </c>
      <c r="C9" s="2" t="s">
        <v>29</v>
      </c>
      <c r="D9" s="2" t="s">
        <v>255</v>
      </c>
      <c r="E9" s="3" t="s">
        <v>256</v>
      </c>
      <c r="F9" s="4">
        <v>724</v>
      </c>
      <c r="G9" s="4">
        <f>ROUND(F9*Kurallar!$B$5,0)</f>
        <v>724</v>
      </c>
      <c r="H9" s="4">
        <f t="shared" ref="H9:H19" si="1">G9*I9</f>
        <v>7240</v>
      </c>
      <c r="I9" s="2">
        <v>10</v>
      </c>
      <c r="J9" s="2" t="s">
        <v>30</v>
      </c>
      <c r="K9" s="2" t="s">
        <v>241</v>
      </c>
    </row>
    <row r="10" spans="1:11" x14ac:dyDescent="0.25">
      <c r="A10" s="2">
        <v>9</v>
      </c>
      <c r="B10" s="2" t="str">
        <f>E2</f>
        <v>ВРУ-1 — Вводно-распределительное устройство ВРУ1-13-20 УХЛ4 (аналог, сборка YSF HICH)</v>
      </c>
      <c r="C10" s="2" t="s">
        <v>28</v>
      </c>
      <c r="D10" s="2" t="s">
        <v>31</v>
      </c>
      <c r="E10" s="3" t="s">
        <v>32</v>
      </c>
      <c r="F10" s="4">
        <v>324</v>
      </c>
      <c r="G10" s="4">
        <f>ROUND(F10*Kurallar!$B$5,0)</f>
        <v>324</v>
      </c>
      <c r="H10" s="4">
        <f t="shared" si="1"/>
        <v>1944</v>
      </c>
      <c r="I10" s="2">
        <v>6</v>
      </c>
      <c r="J10" s="2" t="s">
        <v>16</v>
      </c>
      <c r="K10" s="2" t="s">
        <v>241</v>
      </c>
    </row>
    <row r="11" spans="1:11" x14ac:dyDescent="0.25">
      <c r="A11" s="2">
        <v>10</v>
      </c>
      <c r="B11" s="2" t="str">
        <f>E2</f>
        <v>ВРУ-1 — Вводно-распределительное устройство ВРУ1-13-20 УХЛ4 (аналог, сборка YSF HICH)</v>
      </c>
      <c r="C11" s="2" t="s">
        <v>33</v>
      </c>
      <c r="D11" s="2" t="s">
        <v>34</v>
      </c>
      <c r="E11" s="3" t="s">
        <v>35</v>
      </c>
      <c r="F11" s="4">
        <v>869</v>
      </c>
      <c r="G11" s="4">
        <f>ROUND(F11*Kurallar!$B$4,0)</f>
        <v>521</v>
      </c>
      <c r="H11" s="4">
        <f t="shared" si="1"/>
        <v>2084</v>
      </c>
      <c r="I11" s="2">
        <v>4</v>
      </c>
      <c r="J11" s="2" t="s">
        <v>16</v>
      </c>
      <c r="K11" s="2" t="s">
        <v>19</v>
      </c>
    </row>
    <row r="12" spans="1:11" x14ac:dyDescent="0.25">
      <c r="A12" s="2">
        <v>11</v>
      </c>
      <c r="B12" s="2" t="str">
        <f>E2</f>
        <v>ВРУ-1 — Вводно-распределительное устройство ВРУ1-13-20 УХЛ4 (аналог, сборка YSF HICH)</v>
      </c>
      <c r="C12" s="2" t="s">
        <v>33</v>
      </c>
      <c r="D12" s="2" t="s">
        <v>36</v>
      </c>
      <c r="E12" s="3" t="s">
        <v>37</v>
      </c>
      <c r="F12" s="4">
        <v>1801</v>
      </c>
      <c r="G12" s="4">
        <f>ROUND(F12*Kurallar!$B$5,0)</f>
        <v>1801</v>
      </c>
      <c r="H12" s="4">
        <f t="shared" si="1"/>
        <v>10806</v>
      </c>
      <c r="I12" s="2">
        <v>6</v>
      </c>
      <c r="J12" s="2" t="s">
        <v>16</v>
      </c>
      <c r="K12" s="2" t="s">
        <v>241</v>
      </c>
    </row>
    <row r="13" spans="1:11" x14ac:dyDescent="0.25">
      <c r="A13" s="2">
        <v>12</v>
      </c>
      <c r="B13" s="2" t="str">
        <f>E2</f>
        <v>ВРУ-1 — Вводно-распределительное устройство ВРУ1-13-20 УХЛ4 (аналог, сборка YSF HICH)</v>
      </c>
      <c r="C13" s="2" t="s">
        <v>38</v>
      </c>
      <c r="D13" s="2" t="s">
        <v>244</v>
      </c>
      <c r="E13" s="3" t="s">
        <v>245</v>
      </c>
      <c r="F13" s="4">
        <v>120</v>
      </c>
      <c r="G13" s="4">
        <f>0.6*F13</f>
        <v>72</v>
      </c>
      <c r="H13" s="4">
        <f t="shared" si="1"/>
        <v>2880</v>
      </c>
      <c r="I13" s="2">
        <v>40</v>
      </c>
      <c r="J13" s="2" t="s">
        <v>16</v>
      </c>
      <c r="K13" s="2" t="s">
        <v>246</v>
      </c>
    </row>
    <row r="14" spans="1:11" x14ac:dyDescent="0.25">
      <c r="A14" s="2">
        <v>13</v>
      </c>
      <c r="B14" s="2" t="str">
        <f>E2</f>
        <v>ВРУ-1 — Вводно-распределительное устройство ВРУ1-13-20 УХЛ4 (аналог, сборка YSF HICH)</v>
      </c>
      <c r="C14" s="2" t="s">
        <v>39</v>
      </c>
      <c r="D14" s="2" t="s">
        <v>40</v>
      </c>
      <c r="E14" s="3" t="s">
        <v>41</v>
      </c>
      <c r="F14" s="4">
        <v>127</v>
      </c>
      <c r="G14" s="4">
        <f>ROUND(F14*Kurallar!$B$5,0)</f>
        <v>127</v>
      </c>
      <c r="H14" s="4">
        <f t="shared" si="1"/>
        <v>7620</v>
      </c>
      <c r="I14" s="2">
        <v>60</v>
      </c>
      <c r="J14" s="2" t="s">
        <v>30</v>
      </c>
      <c r="K14" s="2" t="s">
        <v>241</v>
      </c>
    </row>
    <row r="15" spans="1:11" x14ac:dyDescent="0.25">
      <c r="A15" s="2">
        <v>14</v>
      </c>
      <c r="B15" s="2" t="str">
        <f>E2</f>
        <v>ВРУ-1 — Вводно-распределительное устройство ВРУ1-13-20 УХЛ4 (аналог, сборка YSF HICH)</v>
      </c>
      <c r="C15" s="2" t="s">
        <v>39</v>
      </c>
      <c r="D15" s="2" t="s">
        <v>42</v>
      </c>
      <c r="E15" s="3" t="s">
        <v>43</v>
      </c>
      <c r="F15" s="4">
        <v>127</v>
      </c>
      <c r="G15" s="4">
        <f>ROUND(F15*Kurallar!$B$5,0)</f>
        <v>127</v>
      </c>
      <c r="H15" s="4">
        <f t="shared" si="1"/>
        <v>2540</v>
      </c>
      <c r="I15" s="2">
        <v>20</v>
      </c>
      <c r="J15" s="2" t="s">
        <v>30</v>
      </c>
      <c r="K15" s="2" t="s">
        <v>241</v>
      </c>
    </row>
    <row r="16" spans="1:11" x14ac:dyDescent="0.25">
      <c r="A16" s="2">
        <v>15</v>
      </c>
      <c r="B16" s="2" t="str">
        <f>E2</f>
        <v>ВРУ-1 — Вводно-распределительное устройство ВРУ1-13-20 УХЛ4 (аналог, сборка YSF HICH)</v>
      </c>
      <c r="C16" s="2" t="s">
        <v>44</v>
      </c>
      <c r="D16" s="2" t="s">
        <v>45</v>
      </c>
      <c r="E16" s="3" t="s">
        <v>46</v>
      </c>
      <c r="F16" s="4">
        <v>329</v>
      </c>
      <c r="G16" s="4">
        <f>ROUND(F16*Kurallar!$B$5,0)</f>
        <v>329</v>
      </c>
      <c r="H16" s="4">
        <f t="shared" si="1"/>
        <v>9870</v>
      </c>
      <c r="I16" s="2">
        <v>30</v>
      </c>
      <c r="J16" s="2" t="s">
        <v>16</v>
      </c>
      <c r="K16" s="2" t="s">
        <v>241</v>
      </c>
    </row>
    <row r="17" spans="1:11" x14ac:dyDescent="0.25">
      <c r="A17" s="2">
        <v>16</v>
      </c>
      <c r="B17" s="2" t="str">
        <f>E2</f>
        <v>ВРУ-1 — Вводно-распределительное устройство ВРУ1-13-20 УХЛ4 (аналог, сборка YSF HICH)</v>
      </c>
      <c r="C17" s="2" t="s">
        <v>44</v>
      </c>
      <c r="D17" s="2" t="s">
        <v>47</v>
      </c>
      <c r="E17" s="3" t="s">
        <v>48</v>
      </c>
      <c r="F17" s="4">
        <v>37</v>
      </c>
      <c r="G17" s="4">
        <f>ROUND(F17*Kurallar!$B$5,0)</f>
        <v>37</v>
      </c>
      <c r="H17" s="4">
        <f t="shared" si="1"/>
        <v>3700</v>
      </c>
      <c r="I17" s="2">
        <v>100</v>
      </c>
      <c r="J17" s="2" t="s">
        <v>16</v>
      </c>
      <c r="K17" s="2" t="s">
        <v>241</v>
      </c>
    </row>
    <row r="18" spans="1:11" ht="30" x14ac:dyDescent="0.25">
      <c r="A18" s="2">
        <v>17</v>
      </c>
      <c r="B18" s="2" t="str">
        <f>E2</f>
        <v>ВРУ-1 — Вводно-распределительное устройство ВРУ1-13-20 УХЛ4 (аналог, сборка YSF HICH)</v>
      </c>
      <c r="C18" s="2" t="s">
        <v>33</v>
      </c>
      <c r="D18" s="2" t="s">
        <v>49</v>
      </c>
      <c r="E18" s="3" t="s">
        <v>50</v>
      </c>
      <c r="F18" s="2"/>
      <c r="G18" s="4">
        <f>ROUND(SUM(H3:H17)*Kurallar!$B$9,0)</f>
        <v>6694</v>
      </c>
      <c r="H18" s="4">
        <f t="shared" si="1"/>
        <v>6694</v>
      </c>
      <c r="I18" s="2">
        <v>1</v>
      </c>
      <c r="J18" s="2" t="s">
        <v>51</v>
      </c>
      <c r="K18" s="2" t="s">
        <v>33</v>
      </c>
    </row>
    <row r="19" spans="1:11" ht="30" x14ac:dyDescent="0.25">
      <c r="A19" s="2">
        <v>18</v>
      </c>
      <c r="B19" s="2" t="str">
        <f>E2</f>
        <v>ВРУ-1 — Вводно-распределительное устройство ВРУ1-13-20 УХЛ4 (аналог, сборка YSF HICH)</v>
      </c>
      <c r="C19" s="2" t="s">
        <v>52</v>
      </c>
      <c r="D19" s="2" t="s">
        <v>53</v>
      </c>
      <c r="E19" s="3" t="s">
        <v>54</v>
      </c>
      <c r="F19" s="5">
        <f>I19/60</f>
        <v>10.199999999999999</v>
      </c>
      <c r="G19" s="4">
        <f>Kurallar!$B$10</f>
        <v>100</v>
      </c>
      <c r="H19" s="4">
        <f t="shared" si="1"/>
        <v>61200</v>
      </c>
      <c r="I19" s="2">
        <f>Kurallar!G62</f>
        <v>612</v>
      </c>
      <c r="J19" s="2" t="s">
        <v>55</v>
      </c>
      <c r="K19" s="2" t="s">
        <v>52</v>
      </c>
    </row>
    <row r="20" spans="1:11" x14ac:dyDescent="0.25">
      <c r="A20" s="6"/>
      <c r="B20" s="6" t="s">
        <v>56</v>
      </c>
      <c r="C20" s="6"/>
      <c r="D20" s="6"/>
      <c r="E20" s="7"/>
      <c r="F20" s="6"/>
      <c r="G20" s="6"/>
      <c r="H20" s="8">
        <f>SUBTOTAL(9,H3:H19)</f>
        <v>291017</v>
      </c>
      <c r="I20" s="6"/>
      <c r="J20" s="6"/>
      <c r="K20" s="6"/>
    </row>
    <row r="21" spans="1:11" ht="25.5" x14ac:dyDescent="0.25">
      <c r="A21" s="2"/>
      <c r="B21" s="23" t="str">
        <f>E21</f>
        <v>ВРУ-2 — Распределительная панель ВРУ1-50-00 УХЛ4 (аналог, сборка YSF HICH)</v>
      </c>
      <c r="C21" s="24" t="s">
        <v>11</v>
      </c>
      <c r="D21" s="24" t="s">
        <v>57</v>
      </c>
      <c r="E21" s="25" t="s">
        <v>58</v>
      </c>
      <c r="F21" s="24"/>
      <c r="G21" s="24"/>
      <c r="H21" s="24"/>
      <c r="I21" s="24">
        <v>1</v>
      </c>
      <c r="J21" s="24" t="s">
        <v>14</v>
      </c>
      <c r="K21" s="24" t="s">
        <v>254</v>
      </c>
    </row>
    <row r="22" spans="1:11" x14ac:dyDescent="0.25">
      <c r="A22" s="2">
        <v>19</v>
      </c>
      <c r="B22" s="2" t="str">
        <f>E21</f>
        <v>ВРУ-2 — Распределительная панель ВРУ1-50-00 УХЛ4 (аналог, сборка YSF HICH)</v>
      </c>
      <c r="C22" s="2" t="s">
        <v>15</v>
      </c>
      <c r="D22" s="2" t="s">
        <v>230</v>
      </c>
      <c r="E22" s="3" t="s">
        <v>247</v>
      </c>
      <c r="F22" s="4">
        <v>155000</v>
      </c>
      <c r="G22" s="4">
        <f>ROUND(F22*Kurallar!$B$6,0)</f>
        <v>93000</v>
      </c>
      <c r="H22" s="4">
        <f t="shared" ref="H22:H32" si="2">G22*I22</f>
        <v>93000</v>
      </c>
      <c r="I22" s="2">
        <v>1</v>
      </c>
      <c r="J22" s="2" t="s">
        <v>16</v>
      </c>
      <c r="K22" s="2" t="s">
        <v>17</v>
      </c>
    </row>
    <row r="23" spans="1:11" x14ac:dyDescent="0.25">
      <c r="A23" s="2">
        <v>20</v>
      </c>
      <c r="B23" s="2" t="str">
        <f>E21</f>
        <v>ВРУ-2 — Распределительная панель ВРУ1-50-00 УХЛ4 (аналог, сборка YSF HICH)</v>
      </c>
      <c r="C23" s="2" t="s">
        <v>59</v>
      </c>
      <c r="D23" s="2" t="s">
        <v>239</v>
      </c>
      <c r="E23" s="3" t="s">
        <v>240</v>
      </c>
      <c r="F23" s="4">
        <v>2038</v>
      </c>
      <c r="G23" s="4">
        <f>ROUND(F23*Kurallar!$B$4,0)</f>
        <v>1223</v>
      </c>
      <c r="H23" s="4">
        <f t="shared" si="2"/>
        <v>7338</v>
      </c>
      <c r="I23" s="2">
        <v>6</v>
      </c>
      <c r="J23" s="2" t="s">
        <v>16</v>
      </c>
      <c r="K23" s="2" t="s">
        <v>19</v>
      </c>
    </row>
    <row r="24" spans="1:11" x14ac:dyDescent="0.25">
      <c r="A24" s="2">
        <v>21</v>
      </c>
      <c r="B24" s="2" t="str">
        <f>E21</f>
        <v>ВРУ-2 — Распределительная панель ВРУ1-50-00 УХЛ4 (аналог, сборка YSF HICH)</v>
      </c>
      <c r="C24" s="2" t="s">
        <v>59</v>
      </c>
      <c r="D24" s="2" t="s">
        <v>237</v>
      </c>
      <c r="E24" s="3" t="s">
        <v>238</v>
      </c>
      <c r="F24" s="4">
        <v>1545</v>
      </c>
      <c r="G24" s="4">
        <f>ROUND(F24*Kurallar!$B$4,0)</f>
        <v>927</v>
      </c>
      <c r="H24" s="4">
        <f t="shared" si="2"/>
        <v>5562</v>
      </c>
      <c r="I24" s="2">
        <v>6</v>
      </c>
      <c r="J24" s="2" t="s">
        <v>16</v>
      </c>
      <c r="K24" s="2" t="s">
        <v>19</v>
      </c>
    </row>
    <row r="25" spans="1:11" x14ac:dyDescent="0.25">
      <c r="A25" s="2">
        <v>22</v>
      </c>
      <c r="B25" s="2" t="str">
        <f>E21</f>
        <v>ВРУ-2 — Распределительная панель ВРУ1-50-00 УХЛ4 (аналог, сборка YSF HICH)</v>
      </c>
      <c r="C25" s="2" t="s">
        <v>59</v>
      </c>
      <c r="D25" s="2" t="s">
        <v>239</v>
      </c>
      <c r="E25" s="3" t="s">
        <v>240</v>
      </c>
      <c r="F25" s="4">
        <v>2038</v>
      </c>
      <c r="G25" s="4">
        <f>ROUND(F25*Kurallar!$B$4,0)</f>
        <v>1223</v>
      </c>
      <c r="H25" s="4">
        <f t="shared" si="2"/>
        <v>22014</v>
      </c>
      <c r="I25" s="2">
        <v>18</v>
      </c>
      <c r="J25" s="2" t="s">
        <v>16</v>
      </c>
      <c r="K25" s="2" t="s">
        <v>19</v>
      </c>
    </row>
    <row r="26" spans="1:11" x14ac:dyDescent="0.25">
      <c r="A26" s="2">
        <v>23</v>
      </c>
      <c r="B26" s="2" t="str">
        <f>E21</f>
        <v>ВРУ-2 — Распределительная панель ВРУ1-50-00 УХЛ4 (аналог, сборка YSF HICH)</v>
      </c>
      <c r="C26" s="2" t="s">
        <v>59</v>
      </c>
      <c r="D26" s="2" t="s">
        <v>233</v>
      </c>
      <c r="E26" s="3" t="s">
        <v>234</v>
      </c>
      <c r="F26" s="4">
        <v>1525</v>
      </c>
      <c r="G26" s="4">
        <f>ROUND(F26*Kurallar!$B$4,0)</f>
        <v>915</v>
      </c>
      <c r="H26" s="4">
        <f t="shared" si="2"/>
        <v>2745</v>
      </c>
      <c r="I26" s="2">
        <v>3</v>
      </c>
      <c r="J26" s="2" t="s">
        <v>16</v>
      </c>
      <c r="K26" s="2" t="s">
        <v>19</v>
      </c>
    </row>
    <row r="27" spans="1:11" x14ac:dyDescent="0.25">
      <c r="A27" s="2">
        <v>24</v>
      </c>
      <c r="B27" s="2" t="str">
        <f>E21</f>
        <v>ВРУ-2 — Распределительная панель ВРУ1-50-00 УХЛ4 (аналог, сборка YSF HICH)</v>
      </c>
      <c r="C27" s="2" t="s">
        <v>59</v>
      </c>
      <c r="D27" s="2" t="s">
        <v>235</v>
      </c>
      <c r="E27" s="3" t="s">
        <v>236</v>
      </c>
      <c r="F27" s="4">
        <v>1525</v>
      </c>
      <c r="G27" s="4">
        <f>ROUND(F27*Kurallar!$B$4,0)</f>
        <v>915</v>
      </c>
      <c r="H27" s="4">
        <f t="shared" si="2"/>
        <v>13725</v>
      </c>
      <c r="I27" s="2">
        <v>15</v>
      </c>
      <c r="J27" s="2" t="s">
        <v>16</v>
      </c>
      <c r="K27" s="2" t="s">
        <v>19</v>
      </c>
    </row>
    <row r="28" spans="1:11" x14ac:dyDescent="0.25">
      <c r="A28" s="2">
        <v>25</v>
      </c>
      <c r="B28" s="2" t="str">
        <f>E21</f>
        <v>ВРУ-2 — Распределительная панель ВРУ1-50-00 УХЛ4 (аналог, сборка YSF HICH)</v>
      </c>
      <c r="C28" s="2" t="s">
        <v>29</v>
      </c>
      <c r="D28" s="2" t="s">
        <v>255</v>
      </c>
      <c r="E28" s="3" t="s">
        <v>256</v>
      </c>
      <c r="F28" s="4">
        <v>724</v>
      </c>
      <c r="G28" s="4">
        <f>ROUND(F28*Kurallar!$B$5,0)</f>
        <v>724</v>
      </c>
      <c r="H28" s="4">
        <f t="shared" si="2"/>
        <v>7240</v>
      </c>
      <c r="I28" s="2">
        <v>10</v>
      </c>
      <c r="J28" s="2" t="s">
        <v>30</v>
      </c>
      <c r="K28" s="2" t="s">
        <v>241</v>
      </c>
    </row>
    <row r="29" spans="1:11" x14ac:dyDescent="0.25">
      <c r="A29" s="2">
        <v>26</v>
      </c>
      <c r="B29" s="2" t="str">
        <f>E21</f>
        <v>ВРУ-2 — Распределительная панель ВРУ1-50-00 УХЛ4 (аналог, сборка YSF HICH)</v>
      </c>
      <c r="C29" s="2" t="s">
        <v>28</v>
      </c>
      <c r="D29" s="2" t="s">
        <v>31</v>
      </c>
      <c r="E29" s="3" t="s">
        <v>32</v>
      </c>
      <c r="F29" s="4">
        <v>324</v>
      </c>
      <c r="G29" s="4">
        <f>ROUND(F29*Kurallar!$B$5,0)</f>
        <v>324</v>
      </c>
      <c r="H29" s="4">
        <f t="shared" si="2"/>
        <v>1296</v>
      </c>
      <c r="I29" s="2">
        <v>4</v>
      </c>
      <c r="J29" s="2" t="s">
        <v>16</v>
      </c>
      <c r="K29" s="2" t="s">
        <v>241</v>
      </c>
    </row>
    <row r="30" spans="1:11" x14ac:dyDescent="0.25">
      <c r="A30" s="2">
        <v>31</v>
      </c>
      <c r="B30" s="2" t="str">
        <f>E21</f>
        <v>ВРУ-2 — Распределительная панель ВРУ1-50-00 УХЛ4 (аналог, сборка YSF HICH)</v>
      </c>
      <c r="C30" s="2" t="s">
        <v>39</v>
      </c>
      <c r="D30" s="2" t="s">
        <v>42</v>
      </c>
      <c r="E30" s="3" t="s">
        <v>43</v>
      </c>
      <c r="F30" s="4">
        <v>127</v>
      </c>
      <c r="G30" s="4">
        <f>ROUND(F30*Kurallar!$B$5,0)</f>
        <v>127</v>
      </c>
      <c r="H30" s="4">
        <f t="shared" si="2"/>
        <v>1270</v>
      </c>
      <c r="I30" s="2">
        <v>10</v>
      </c>
      <c r="J30" s="2" t="s">
        <v>30</v>
      </c>
      <c r="K30" s="2" t="s">
        <v>241</v>
      </c>
    </row>
    <row r="31" spans="1:11" ht="30" x14ac:dyDescent="0.25">
      <c r="A31" s="2">
        <v>32</v>
      </c>
      <c r="B31" s="2" t="str">
        <f>E21</f>
        <v>ВРУ-2 — Распределительная панель ВРУ1-50-00 УХЛ4 (аналог, сборка YSF HICH)</v>
      </c>
      <c r="C31" s="2" t="s">
        <v>33</v>
      </c>
      <c r="D31" s="2" t="s">
        <v>49</v>
      </c>
      <c r="E31" s="3" t="s">
        <v>50</v>
      </c>
      <c r="F31" s="2"/>
      <c r="G31" s="4">
        <f>ROUND(SUM(H22:H30)*Kurallar!$B$9,0)</f>
        <v>4626</v>
      </c>
      <c r="H31" s="4">
        <f t="shared" si="2"/>
        <v>4626</v>
      </c>
      <c r="I31" s="2">
        <v>1</v>
      </c>
      <c r="J31" s="2" t="s">
        <v>51</v>
      </c>
      <c r="K31" s="2" t="s">
        <v>33</v>
      </c>
    </row>
    <row r="32" spans="1:11" ht="30" x14ac:dyDescent="0.25">
      <c r="A32" s="2">
        <v>33</v>
      </c>
      <c r="B32" s="2" t="str">
        <f>E21</f>
        <v>ВРУ-2 — Распределительная панель ВРУ1-50-00 УХЛ4 (аналог, сборка YSF HICH)</v>
      </c>
      <c r="C32" s="2" t="s">
        <v>52</v>
      </c>
      <c r="D32" s="2" t="s">
        <v>53</v>
      </c>
      <c r="E32" s="3" t="s">
        <v>54</v>
      </c>
      <c r="F32" s="5">
        <f>I32/60</f>
        <v>7.1</v>
      </c>
      <c r="G32" s="4">
        <f>Kurallar!$B$10</f>
        <v>100</v>
      </c>
      <c r="H32" s="4">
        <f t="shared" si="2"/>
        <v>42600</v>
      </c>
      <c r="I32" s="2">
        <f>Kurallar!H62</f>
        <v>426</v>
      </c>
      <c r="J32" s="2" t="s">
        <v>55</v>
      </c>
      <c r="K32" s="2" t="s">
        <v>52</v>
      </c>
    </row>
    <row r="33" spans="1:11" x14ac:dyDescent="0.25">
      <c r="A33" s="6"/>
      <c r="B33" s="6" t="s">
        <v>60</v>
      </c>
      <c r="C33" s="6"/>
      <c r="D33" s="6"/>
      <c r="E33" s="7"/>
      <c r="F33" s="6"/>
      <c r="G33" s="6"/>
      <c r="H33" s="8">
        <f>SUBTOTAL(9,H22:H32)</f>
        <v>201416</v>
      </c>
      <c r="I33" s="6"/>
      <c r="J33" s="6"/>
      <c r="K33" s="6"/>
    </row>
    <row r="34" spans="1:11" x14ac:dyDescent="0.25">
      <c r="A34" s="2"/>
      <c r="B34" s="23" t="str">
        <f>E34</f>
        <v>АВР-101-100А</v>
      </c>
      <c r="C34" s="24"/>
      <c r="D34" s="24"/>
      <c r="E34" s="25" t="s">
        <v>273</v>
      </c>
      <c r="F34" s="24">
        <f ca="1">2.3*H51</f>
        <v>528953.99999999988</v>
      </c>
      <c r="G34" s="24">
        <f ca="1">0.65*F34</f>
        <v>343820.09999999992</v>
      </c>
      <c r="H34" s="24"/>
      <c r="I34" s="24">
        <v>1</v>
      </c>
      <c r="J34" s="24" t="s">
        <v>14</v>
      </c>
      <c r="K34" s="24" t="s">
        <v>274</v>
      </c>
    </row>
    <row r="35" spans="1:11" ht="21" customHeight="1" x14ac:dyDescent="0.25">
      <c r="B35" s="31" t="str">
        <f>B34</f>
        <v>АВР-101-100А</v>
      </c>
      <c r="C35" s="32" t="s">
        <v>15</v>
      </c>
      <c r="D35" s="33" t="s">
        <v>275</v>
      </c>
      <c r="E35" s="31" t="s">
        <v>276</v>
      </c>
      <c r="F35" s="32">
        <v>40030</v>
      </c>
      <c r="G35" s="34">
        <f>F35*0.6</f>
        <v>24018</v>
      </c>
      <c r="H35" s="34">
        <f>I35*G35</f>
        <v>24018</v>
      </c>
      <c r="I35" s="35">
        <v>1</v>
      </c>
      <c r="J35" s="36" t="s">
        <v>277</v>
      </c>
      <c r="K35" s="32" t="s">
        <v>278</v>
      </c>
    </row>
    <row r="36" spans="1:11" ht="21" customHeight="1" x14ac:dyDescent="0.25">
      <c r="B36" s="31" t="str">
        <f t="shared" ref="B36:B51" si="3">B35</f>
        <v>АВР-101-100А</v>
      </c>
      <c r="C36" s="32" t="s">
        <v>279</v>
      </c>
      <c r="D36" s="33" t="s">
        <v>280</v>
      </c>
      <c r="E36" s="31" t="s">
        <v>281</v>
      </c>
      <c r="F36" s="32">
        <v>19443</v>
      </c>
      <c r="G36" s="34">
        <f t="shared" ref="G36:G37" si="4">F36*0.6</f>
        <v>11665.8</v>
      </c>
      <c r="H36" s="34">
        <f t="shared" ref="H36:H37" si="5">G36*I36</f>
        <v>23331.599999999999</v>
      </c>
      <c r="I36" s="35">
        <v>2</v>
      </c>
      <c r="J36" s="36" t="s">
        <v>277</v>
      </c>
      <c r="K36" s="32" t="s">
        <v>282</v>
      </c>
    </row>
    <row r="37" spans="1:11" ht="21" customHeight="1" x14ac:dyDescent="0.25">
      <c r="B37" s="31" t="str">
        <f t="shared" si="3"/>
        <v>АВР-101-100А</v>
      </c>
      <c r="C37" s="32" t="s">
        <v>283</v>
      </c>
      <c r="D37" s="33" t="s">
        <v>284</v>
      </c>
      <c r="E37" s="31" t="s">
        <v>285</v>
      </c>
      <c r="F37" s="32">
        <v>84983</v>
      </c>
      <c r="G37" s="34">
        <f t="shared" si="4"/>
        <v>50989.799999999996</v>
      </c>
      <c r="H37" s="34">
        <f t="shared" si="5"/>
        <v>101979.59999999999</v>
      </c>
      <c r="I37" s="35">
        <v>2</v>
      </c>
      <c r="J37" s="36" t="s">
        <v>277</v>
      </c>
      <c r="K37" s="32" t="s">
        <v>282</v>
      </c>
    </row>
    <row r="38" spans="1:11" ht="21" customHeight="1" x14ac:dyDescent="0.25">
      <c r="B38" s="31" t="str">
        <f t="shared" si="3"/>
        <v>АВР-101-100А</v>
      </c>
      <c r="C38" s="32" t="s">
        <v>286</v>
      </c>
      <c r="D38" s="33" t="s">
        <v>287</v>
      </c>
      <c r="E38" s="31" t="s">
        <v>288</v>
      </c>
      <c r="F38" s="32">
        <v>1565</v>
      </c>
      <c r="G38" s="34">
        <f>F38*0.6</f>
        <v>939</v>
      </c>
      <c r="H38" s="34">
        <f>G38*I38</f>
        <v>1878</v>
      </c>
      <c r="I38" s="35">
        <v>2</v>
      </c>
      <c r="J38" s="36" t="s">
        <v>277</v>
      </c>
      <c r="K38" s="32" t="s">
        <v>282</v>
      </c>
    </row>
    <row r="39" spans="1:11" ht="21" customHeight="1" x14ac:dyDescent="0.25">
      <c r="B39" s="31" t="str">
        <f t="shared" si="3"/>
        <v>АВР-101-100А</v>
      </c>
      <c r="C39" s="32" t="s">
        <v>289</v>
      </c>
      <c r="D39" s="33" t="s">
        <v>290</v>
      </c>
      <c r="E39" s="31" t="s">
        <v>291</v>
      </c>
      <c r="F39" s="32">
        <v>682</v>
      </c>
      <c r="G39" s="34">
        <f t="shared" ref="G39" si="6">F39*0.6</f>
        <v>409.2</v>
      </c>
      <c r="H39" s="34">
        <f t="shared" ref="H39" si="7">G39*I39</f>
        <v>818.4</v>
      </c>
      <c r="I39" s="35">
        <v>2</v>
      </c>
      <c r="J39" s="36" t="s">
        <v>277</v>
      </c>
      <c r="K39" s="32" t="s">
        <v>282</v>
      </c>
    </row>
    <row r="40" spans="1:11" ht="21" customHeight="1" x14ac:dyDescent="0.25">
      <c r="B40" s="31" t="str">
        <f t="shared" si="3"/>
        <v>АВР-101-100А</v>
      </c>
      <c r="C40" s="32" t="s">
        <v>286</v>
      </c>
      <c r="D40" s="33" t="s">
        <v>292</v>
      </c>
      <c r="E40" s="31" t="s">
        <v>293</v>
      </c>
      <c r="F40" s="32">
        <v>15000</v>
      </c>
      <c r="G40" s="34">
        <f>F40</f>
        <v>15000</v>
      </c>
      <c r="H40" s="34">
        <f>G40*I40</f>
        <v>30000</v>
      </c>
      <c r="I40" s="35">
        <v>2</v>
      </c>
      <c r="J40" s="36" t="s">
        <v>277</v>
      </c>
      <c r="K40" s="32" t="s">
        <v>241</v>
      </c>
    </row>
    <row r="41" spans="1:11" ht="21" customHeight="1" x14ac:dyDescent="0.25">
      <c r="B41" s="31" t="str">
        <f t="shared" si="3"/>
        <v>АВР-101-100А</v>
      </c>
      <c r="C41" s="32" t="s">
        <v>279</v>
      </c>
      <c r="D41" s="33" t="s">
        <v>269</v>
      </c>
      <c r="E41" s="31" t="s">
        <v>270</v>
      </c>
      <c r="F41" s="32">
        <v>975</v>
      </c>
      <c r="G41" s="34">
        <f t="shared" ref="G41" si="8">F41*0.6</f>
        <v>585</v>
      </c>
      <c r="H41" s="34">
        <f t="shared" ref="H41" si="9">G41*I41</f>
        <v>1170</v>
      </c>
      <c r="I41" s="35">
        <v>2</v>
      </c>
      <c r="J41" s="36" t="s">
        <v>277</v>
      </c>
      <c r="K41" s="32" t="s">
        <v>282</v>
      </c>
    </row>
    <row r="42" spans="1:11" ht="21" customHeight="1" x14ac:dyDescent="0.25">
      <c r="B42" s="31" t="str">
        <f t="shared" si="3"/>
        <v>АВР-101-100А</v>
      </c>
      <c r="C42" s="32" t="s">
        <v>279</v>
      </c>
      <c r="D42" s="33" t="s">
        <v>294</v>
      </c>
      <c r="E42" s="31" t="s">
        <v>295</v>
      </c>
      <c r="F42" s="32">
        <v>2873</v>
      </c>
      <c r="G42" s="34">
        <f>F42*0.6</f>
        <v>1723.8</v>
      </c>
      <c r="H42" s="34">
        <f>G42*I42</f>
        <v>3447.6</v>
      </c>
      <c r="I42" s="35">
        <v>2</v>
      </c>
      <c r="J42" s="36" t="s">
        <v>277</v>
      </c>
      <c r="K42" s="32" t="s">
        <v>282</v>
      </c>
    </row>
    <row r="43" spans="1:11" ht="21" customHeight="1" x14ac:dyDescent="0.25">
      <c r="B43" s="31" t="str">
        <f t="shared" si="3"/>
        <v>АВР-101-100А</v>
      </c>
      <c r="C43" s="32" t="s">
        <v>296</v>
      </c>
      <c r="D43" s="33" t="s">
        <v>297</v>
      </c>
      <c r="E43" s="31" t="s">
        <v>298</v>
      </c>
      <c r="F43" s="32">
        <v>1836</v>
      </c>
      <c r="G43" s="34">
        <f>F43*0.6</f>
        <v>1101.5999999999999</v>
      </c>
      <c r="H43" s="34">
        <f>G43*I43</f>
        <v>1101.5999999999999</v>
      </c>
      <c r="I43" s="35">
        <v>1</v>
      </c>
      <c r="J43" s="36" t="s">
        <v>277</v>
      </c>
      <c r="K43" s="32" t="s">
        <v>282</v>
      </c>
    </row>
    <row r="44" spans="1:11" ht="21" customHeight="1" x14ac:dyDescent="0.25">
      <c r="B44" s="31" t="str">
        <f t="shared" si="3"/>
        <v>АВР-101-100А</v>
      </c>
      <c r="C44" s="32" t="s">
        <v>299</v>
      </c>
      <c r="D44" s="33" t="s">
        <v>300</v>
      </c>
      <c r="E44" s="31" t="s">
        <v>301</v>
      </c>
      <c r="F44" s="32">
        <v>1602</v>
      </c>
      <c r="G44" s="34">
        <f t="shared" ref="G44:G45" si="10">F44*0.6</f>
        <v>961.19999999999993</v>
      </c>
      <c r="H44" s="34">
        <f t="shared" ref="H44:H45" si="11">G44*I44</f>
        <v>1922.3999999999999</v>
      </c>
      <c r="I44" s="35">
        <v>2</v>
      </c>
      <c r="J44" s="36" t="s">
        <v>277</v>
      </c>
      <c r="K44" s="32" t="s">
        <v>282</v>
      </c>
    </row>
    <row r="45" spans="1:11" ht="21" customHeight="1" x14ac:dyDescent="0.25">
      <c r="B45" s="31" t="str">
        <f t="shared" si="3"/>
        <v>АВР-101-100А</v>
      </c>
      <c r="C45" s="32" t="s">
        <v>299</v>
      </c>
      <c r="D45" s="33" t="s">
        <v>302</v>
      </c>
      <c r="E45" s="31" t="s">
        <v>303</v>
      </c>
      <c r="F45" s="32">
        <v>1621</v>
      </c>
      <c r="G45" s="34">
        <f t="shared" si="10"/>
        <v>972.59999999999991</v>
      </c>
      <c r="H45" s="34">
        <f t="shared" si="11"/>
        <v>1945.1999999999998</v>
      </c>
      <c r="I45" s="35">
        <v>2</v>
      </c>
      <c r="J45" s="36" t="s">
        <v>277</v>
      </c>
      <c r="K45" s="32" t="s">
        <v>282</v>
      </c>
    </row>
    <row r="46" spans="1:11" ht="21" customHeight="1" x14ac:dyDescent="0.25">
      <c r="B46" s="31" t="str">
        <f t="shared" si="3"/>
        <v>АВР-101-100А</v>
      </c>
      <c r="C46" s="32" t="s">
        <v>304</v>
      </c>
      <c r="D46" s="33" t="s">
        <v>305</v>
      </c>
      <c r="E46" s="31" t="s">
        <v>306</v>
      </c>
      <c r="F46" s="32">
        <v>589</v>
      </c>
      <c r="G46" s="34">
        <f>F46*0.6</f>
        <v>353.4</v>
      </c>
      <c r="H46" s="34">
        <f>G46*I46</f>
        <v>706.8</v>
      </c>
      <c r="I46" s="35">
        <v>2</v>
      </c>
      <c r="J46" s="36" t="s">
        <v>277</v>
      </c>
      <c r="K46" s="32" t="s">
        <v>282</v>
      </c>
    </row>
    <row r="47" spans="1:11" ht="21" customHeight="1" x14ac:dyDescent="0.25">
      <c r="B47" s="31" t="str">
        <f t="shared" si="3"/>
        <v>АВР-101-100А</v>
      </c>
      <c r="C47" s="32" t="s">
        <v>307</v>
      </c>
      <c r="D47" s="33" t="s">
        <v>308</v>
      </c>
      <c r="E47" s="31" t="s">
        <v>309</v>
      </c>
      <c r="F47" s="32">
        <v>350</v>
      </c>
      <c r="G47" s="34">
        <f t="shared" ref="G47:G48" si="12">F47*0.6</f>
        <v>210</v>
      </c>
      <c r="H47" s="34">
        <f t="shared" ref="H47:H49" si="13">G47*I47</f>
        <v>420</v>
      </c>
      <c r="I47" s="35">
        <v>2</v>
      </c>
      <c r="J47" s="36" t="s">
        <v>277</v>
      </c>
      <c r="K47" s="32" t="s">
        <v>282</v>
      </c>
    </row>
    <row r="48" spans="1:11" ht="21" customHeight="1" x14ac:dyDescent="0.25">
      <c r="B48" s="31" t="str">
        <f t="shared" si="3"/>
        <v>АВР-101-100А</v>
      </c>
      <c r="C48" s="32" t="s">
        <v>283</v>
      </c>
      <c r="D48" s="33" t="s">
        <v>310</v>
      </c>
      <c r="E48" s="31" t="s">
        <v>311</v>
      </c>
      <c r="F48" s="32">
        <v>1034</v>
      </c>
      <c r="G48" s="34">
        <f t="shared" si="12"/>
        <v>620.4</v>
      </c>
      <c r="H48" s="34">
        <f t="shared" si="13"/>
        <v>1240.8</v>
      </c>
      <c r="I48" s="35">
        <v>2</v>
      </c>
      <c r="J48" s="36" t="s">
        <v>277</v>
      </c>
      <c r="K48" s="32" t="s">
        <v>282</v>
      </c>
    </row>
    <row r="49" spans="1:11" ht="24" customHeight="1" x14ac:dyDescent="0.25">
      <c r="B49" s="31" t="str">
        <f>B43</f>
        <v>АВР-101-100А</v>
      </c>
      <c r="C49" s="31" t="s">
        <v>312</v>
      </c>
      <c r="D49" s="37" t="s">
        <v>312</v>
      </c>
      <c r="E49" s="31" t="s">
        <v>312</v>
      </c>
      <c r="F49" s="31">
        <f ca="1">OFFSET(F49,1,2)</f>
        <v>18000</v>
      </c>
      <c r="G49" s="34">
        <f ca="1">F49</f>
        <v>18000</v>
      </c>
      <c r="H49" s="34">
        <f t="shared" ca="1" si="13"/>
        <v>18000</v>
      </c>
      <c r="I49" s="31">
        <v>1</v>
      </c>
      <c r="J49" s="31" t="s">
        <v>277</v>
      </c>
      <c r="K49" s="31" t="s">
        <v>312</v>
      </c>
    </row>
    <row r="50" spans="1:11" ht="21" customHeight="1" x14ac:dyDescent="0.25">
      <c r="B50" s="31" t="str">
        <f t="shared" si="3"/>
        <v>АВР-101-100А</v>
      </c>
      <c r="C50" s="31" t="s">
        <v>313</v>
      </c>
      <c r="D50" s="37" t="s">
        <v>313</v>
      </c>
      <c r="E50" s="31" t="s">
        <v>313</v>
      </c>
      <c r="F50" s="31">
        <v>3</v>
      </c>
      <c r="G50" s="34">
        <v>100</v>
      </c>
      <c r="H50" s="34">
        <f>60*F50*G50</f>
        <v>18000</v>
      </c>
      <c r="I50" s="31">
        <f>60*F50</f>
        <v>180</v>
      </c>
      <c r="J50" s="31" t="s">
        <v>277</v>
      </c>
      <c r="K50" s="31" t="s">
        <v>313</v>
      </c>
    </row>
    <row r="51" spans="1:11" ht="30" customHeight="1" x14ac:dyDescent="0.25">
      <c r="B51" s="31" t="str">
        <f t="shared" si="3"/>
        <v>АВР-101-100А</v>
      </c>
      <c r="C51" s="38"/>
      <c r="D51" s="39"/>
      <c r="E51" s="40"/>
      <c r="F51" s="41"/>
      <c r="G51" s="42"/>
      <c r="H51" s="43">
        <f ca="1">SUM(H35:H50)</f>
        <v>229979.99999999997</v>
      </c>
      <c r="I51" s="39"/>
      <c r="J51" s="44"/>
      <c r="K51" s="39"/>
    </row>
    <row r="52" spans="1:11" ht="25.5" x14ac:dyDescent="0.25">
      <c r="A52" s="2"/>
      <c r="B52" s="23" t="str">
        <f>E52</f>
        <v>ЩС-1 — Щит силовой распределительный ЩУРн-3/48 (проект: ЩУРн-3/36зо-1-36 УХЛ3)</v>
      </c>
      <c r="C52" s="24" t="s">
        <v>11</v>
      </c>
      <c r="D52" s="24" t="s">
        <v>61</v>
      </c>
      <c r="E52" s="25" t="s">
        <v>62</v>
      </c>
      <c r="F52" s="24"/>
      <c r="G52" s="24"/>
      <c r="H52" s="24"/>
      <c r="I52" s="24">
        <v>1</v>
      </c>
      <c r="J52" s="24" t="s">
        <v>14</v>
      </c>
      <c r="K52" s="24" t="s">
        <v>254</v>
      </c>
    </row>
    <row r="53" spans="1:11" x14ac:dyDescent="0.25">
      <c r="A53" s="2">
        <v>34</v>
      </c>
      <c r="B53" s="26" t="str">
        <f>E52</f>
        <v>ЩС-1 — Щит силовой распределительный ЩУРн-3/48 (проект: ЩУРн-3/36зо-1-36 УХЛ3)</v>
      </c>
      <c r="C53" s="27" t="s">
        <v>15</v>
      </c>
      <c r="D53" s="27" t="s">
        <v>63</v>
      </c>
      <c r="E53" s="28" t="s">
        <v>64</v>
      </c>
      <c r="F53" s="27">
        <v>28500</v>
      </c>
      <c r="G53" s="27">
        <f>ROUND(F53*Kurallar!$B$6,0)</f>
        <v>17100</v>
      </c>
      <c r="H53" s="27">
        <f>G53*I53</f>
        <v>17100</v>
      </c>
      <c r="I53" s="27">
        <v>1</v>
      </c>
      <c r="J53" s="27" t="s">
        <v>16</v>
      </c>
      <c r="K53" s="27" t="s">
        <v>17</v>
      </c>
    </row>
    <row r="54" spans="1:11" x14ac:dyDescent="0.25">
      <c r="A54" s="2">
        <v>35</v>
      </c>
      <c r="B54" s="26" t="str">
        <f>E52</f>
        <v>ЩС-1 — Щит силовой распределительный ЩУРн-3/48 (проект: ЩУРн-3/36зо-1-36 УХЛ3)</v>
      </c>
      <c r="C54" s="27" t="s">
        <v>20</v>
      </c>
      <c r="D54" s="27" t="s">
        <v>65</v>
      </c>
      <c r="E54" s="28" t="s">
        <v>66</v>
      </c>
      <c r="F54" s="27">
        <v>4217</v>
      </c>
      <c r="G54" s="4">
        <f>ROUND(F54*Kurallar!$B$4,0)</f>
        <v>2530</v>
      </c>
      <c r="H54" s="27">
        <f>G54*I54</f>
        <v>2530</v>
      </c>
      <c r="I54" s="27">
        <v>1</v>
      </c>
      <c r="J54" s="27" t="s">
        <v>16</v>
      </c>
      <c r="K54" s="2" t="s">
        <v>19</v>
      </c>
    </row>
    <row r="55" spans="1:11" ht="25.5" x14ac:dyDescent="0.25">
      <c r="A55" s="2">
        <v>36</v>
      </c>
      <c r="B55" s="26" t="str">
        <f>E52</f>
        <v>ЩС-1 — Щит силовой распределительный ЩУРн-3/48 (проект: ЩУРн-3/36зо-1-36 УХЛ3)</v>
      </c>
      <c r="C55" s="27" t="s">
        <v>24</v>
      </c>
      <c r="D55" s="27" t="s">
        <v>67</v>
      </c>
      <c r="E55" s="28" t="s">
        <v>68</v>
      </c>
      <c r="F55" s="27">
        <v>125000</v>
      </c>
      <c r="G55" s="27">
        <f>F55</f>
        <v>125000</v>
      </c>
      <c r="H55" s="27">
        <f>G55*I55</f>
        <v>0</v>
      </c>
      <c r="I55" s="27">
        <v>0</v>
      </c>
      <c r="J55" s="27" t="s">
        <v>16</v>
      </c>
      <c r="K55" s="27" t="s">
        <v>27</v>
      </c>
    </row>
    <row r="56" spans="1:11" x14ac:dyDescent="0.25">
      <c r="A56" s="2">
        <v>37</v>
      </c>
      <c r="B56" s="26" t="str">
        <f>E52</f>
        <v>ЩС-1 — Щит силовой распределительный ЩУРн-3/48 (проект: ЩУРн-3/36зо-1-36 УХЛ3)</v>
      </c>
      <c r="C56" s="27" t="s">
        <v>69</v>
      </c>
      <c r="D56" s="27" t="s">
        <v>70</v>
      </c>
      <c r="E56" s="28" t="s">
        <v>71</v>
      </c>
      <c r="F56" s="27">
        <v>1389</v>
      </c>
      <c r="G56" s="4">
        <f>ROUND(F56*Kurallar!$B$4,0)</f>
        <v>833</v>
      </c>
      <c r="H56" s="27">
        <f t="shared" ref="H56:H70" si="14">G56*I56</f>
        <v>7497</v>
      </c>
      <c r="I56" s="27">
        <v>9</v>
      </c>
      <c r="J56" s="27" t="s">
        <v>16</v>
      </c>
      <c r="K56" s="2" t="s">
        <v>19</v>
      </c>
    </row>
    <row r="57" spans="1:11" x14ac:dyDescent="0.25">
      <c r="A57" s="2">
        <v>38</v>
      </c>
      <c r="B57" s="26" t="str">
        <f>E52</f>
        <v>ЩС-1 — Щит силовой распределительный ЩУРн-3/48 (проект: ЩУРн-3/36зо-1-36 УХЛ3)</v>
      </c>
      <c r="C57" s="27" t="s">
        <v>69</v>
      </c>
      <c r="D57" s="27" t="s">
        <v>72</v>
      </c>
      <c r="E57" s="28" t="s">
        <v>73</v>
      </c>
      <c r="F57" s="27">
        <v>1556</v>
      </c>
      <c r="G57" s="4">
        <f>ROUND(F57*Kurallar!$B$4,0)</f>
        <v>934</v>
      </c>
      <c r="H57" s="27">
        <f t="shared" si="14"/>
        <v>934</v>
      </c>
      <c r="I57" s="27">
        <v>1</v>
      </c>
      <c r="J57" s="27" t="s">
        <v>16</v>
      </c>
      <c r="K57" s="2" t="s">
        <v>19</v>
      </c>
    </row>
    <row r="58" spans="1:11" x14ac:dyDescent="0.25">
      <c r="A58" s="2">
        <v>39</v>
      </c>
      <c r="B58" s="26" t="str">
        <f>E52</f>
        <v>ЩС-1 — Щит силовой распределительный ЩУРн-3/48 (проект: ЩУРн-3/36зо-1-36 УХЛ3)</v>
      </c>
      <c r="C58" s="27" t="s">
        <v>69</v>
      </c>
      <c r="D58" s="27" t="s">
        <v>74</v>
      </c>
      <c r="E58" s="28" t="s">
        <v>75</v>
      </c>
      <c r="F58" s="27">
        <v>5334</v>
      </c>
      <c r="G58" s="4">
        <f>ROUND(F58*Kurallar!$B$4,0)</f>
        <v>3200</v>
      </c>
      <c r="H58" s="27">
        <f t="shared" si="14"/>
        <v>3200</v>
      </c>
      <c r="I58" s="27">
        <v>1</v>
      </c>
      <c r="J58" s="27" t="s">
        <v>16</v>
      </c>
      <c r="K58" s="2" t="s">
        <v>19</v>
      </c>
    </row>
    <row r="59" spans="1:11" x14ac:dyDescent="0.25">
      <c r="A59" s="2">
        <v>40</v>
      </c>
      <c r="B59" s="26" t="str">
        <f>E52</f>
        <v>ЩС-1 — Щит силовой распределительный ЩУРн-3/48 (проект: ЩУРн-3/36зо-1-36 УХЛ3)</v>
      </c>
      <c r="C59" s="27" t="s">
        <v>76</v>
      </c>
      <c r="D59" s="27" t="s">
        <v>231</v>
      </c>
      <c r="E59" s="28" t="s">
        <v>232</v>
      </c>
      <c r="F59" s="27">
        <v>5104</v>
      </c>
      <c r="G59" s="4">
        <f>ROUND(F59*Kurallar!$B$4,0)</f>
        <v>3062</v>
      </c>
      <c r="H59" s="27">
        <f t="shared" si="14"/>
        <v>12248</v>
      </c>
      <c r="I59" s="27">
        <v>4</v>
      </c>
      <c r="J59" s="27" t="s">
        <v>16</v>
      </c>
      <c r="K59" s="2" t="s">
        <v>19</v>
      </c>
    </row>
    <row r="60" spans="1:11" x14ac:dyDescent="0.25">
      <c r="A60" s="2">
        <v>41</v>
      </c>
      <c r="B60" s="26" t="str">
        <f>E52</f>
        <v>ЩС-1 — Щит силовой распределительный ЩУРн-3/48 (проект: ЩУРн-3/36зо-1-36 УХЛ3)</v>
      </c>
      <c r="C60" s="27" t="s">
        <v>29</v>
      </c>
      <c r="D60" s="27" t="s">
        <v>77</v>
      </c>
      <c r="E60" s="28" t="s">
        <v>78</v>
      </c>
      <c r="F60" s="27">
        <v>1825</v>
      </c>
      <c r="G60" s="27">
        <f>ROUND(F60*Kurallar!$B$5,0)</f>
        <v>1825</v>
      </c>
      <c r="H60" s="27">
        <f t="shared" si="14"/>
        <v>1825</v>
      </c>
      <c r="I60" s="27">
        <v>1</v>
      </c>
      <c r="J60" s="27" t="s">
        <v>16</v>
      </c>
      <c r="K60" s="2" t="s">
        <v>241</v>
      </c>
    </row>
    <row r="61" spans="1:11" x14ac:dyDescent="0.25">
      <c r="A61" s="2">
        <v>42</v>
      </c>
      <c r="B61" s="26" t="str">
        <f>E52</f>
        <v>ЩС-1 — Щит силовой распределительный ЩУРн-3/48 (проект: ЩУРн-3/36зо-1-36 УХЛ3)</v>
      </c>
      <c r="C61" s="27" t="s">
        <v>29</v>
      </c>
      <c r="D61" s="27" t="s">
        <v>79</v>
      </c>
      <c r="E61" s="28" t="s">
        <v>80</v>
      </c>
      <c r="F61" s="27">
        <v>4966</v>
      </c>
      <c r="G61" s="27">
        <f>ROUND(F61*Kurallar!$B$5,0)</f>
        <v>4966</v>
      </c>
      <c r="H61" s="27">
        <f t="shared" si="14"/>
        <v>4966</v>
      </c>
      <c r="I61" s="27">
        <v>1</v>
      </c>
      <c r="J61" s="27" t="s">
        <v>16</v>
      </c>
      <c r="K61" s="2" t="s">
        <v>241</v>
      </c>
    </row>
    <row r="62" spans="1:11" x14ac:dyDescent="0.25">
      <c r="A62" s="2">
        <v>43</v>
      </c>
      <c r="B62" s="26" t="str">
        <f>E52</f>
        <v>ЩС-1 — Щит силовой распределительный ЩУРн-3/48 (проект: ЩУРн-3/36зо-1-36 УХЛ3)</v>
      </c>
      <c r="C62" s="27" t="s">
        <v>38</v>
      </c>
      <c r="D62" s="27" t="s">
        <v>81</v>
      </c>
      <c r="E62" s="28" t="s">
        <v>82</v>
      </c>
      <c r="F62" s="27">
        <v>1094</v>
      </c>
      <c r="G62" s="27">
        <f t="shared" ref="G62:G63" si="15">0.6*F62</f>
        <v>656.4</v>
      </c>
      <c r="H62" s="27">
        <f t="shared" si="14"/>
        <v>656.4</v>
      </c>
      <c r="I62" s="27">
        <v>1</v>
      </c>
      <c r="J62" s="27" t="s">
        <v>16</v>
      </c>
      <c r="K62" s="27" t="s">
        <v>246</v>
      </c>
    </row>
    <row r="63" spans="1:11" x14ac:dyDescent="0.25">
      <c r="A63" s="2">
        <v>44</v>
      </c>
      <c r="B63" s="26" t="str">
        <f>E52</f>
        <v>ЩС-1 — Щит силовой распределительный ЩУРн-3/48 (проект: ЩУРн-3/36зо-1-36 УХЛ3)</v>
      </c>
      <c r="C63" s="27" t="s">
        <v>38</v>
      </c>
      <c r="D63" s="27" t="s">
        <v>83</v>
      </c>
      <c r="E63" s="28" t="s">
        <v>84</v>
      </c>
      <c r="F63" s="27">
        <v>547</v>
      </c>
      <c r="G63" s="27">
        <f t="shared" si="15"/>
        <v>328.2</v>
      </c>
      <c r="H63" s="27">
        <f t="shared" si="14"/>
        <v>328.2</v>
      </c>
      <c r="I63" s="27">
        <v>1</v>
      </c>
      <c r="J63" s="27" t="s">
        <v>16</v>
      </c>
      <c r="K63" s="27" t="s">
        <v>246</v>
      </c>
    </row>
    <row r="64" spans="1:11" x14ac:dyDescent="0.25">
      <c r="A64" s="2">
        <v>47</v>
      </c>
      <c r="B64" s="26" t="str">
        <f>E52</f>
        <v>ЩС-1 — Щит силовой распределительный ЩУРн-3/48 (проект: ЩУРн-3/36зо-1-36 УХЛ3)</v>
      </c>
      <c r="C64" s="27" t="s">
        <v>38</v>
      </c>
      <c r="D64" s="27" t="s">
        <v>244</v>
      </c>
      <c r="E64" s="28" t="s">
        <v>245</v>
      </c>
      <c r="F64" s="27">
        <v>120</v>
      </c>
      <c r="G64" s="27">
        <f t="shared" ref="G64:G65" si="16">0.6*F64</f>
        <v>72</v>
      </c>
      <c r="H64" s="27">
        <f t="shared" si="14"/>
        <v>720</v>
      </c>
      <c r="I64" s="27">
        <v>10</v>
      </c>
      <c r="J64" s="27" t="s">
        <v>16</v>
      </c>
      <c r="K64" s="27" t="s">
        <v>246</v>
      </c>
    </row>
    <row r="65" spans="1:11" x14ac:dyDescent="0.25">
      <c r="A65" s="2">
        <v>48</v>
      </c>
      <c r="B65" s="26" t="str">
        <f>E52</f>
        <v>ЩС-1 — Щит силовой распределительный ЩУРн-3/48 (проект: ЩУРн-3/36зо-1-36 УХЛ3)</v>
      </c>
      <c r="C65" s="27" t="s">
        <v>38</v>
      </c>
      <c r="D65" s="27" t="s">
        <v>242</v>
      </c>
      <c r="E65" s="28" t="s">
        <v>243</v>
      </c>
      <c r="F65" s="27">
        <v>325</v>
      </c>
      <c r="G65" s="27">
        <f t="shared" si="16"/>
        <v>195</v>
      </c>
      <c r="H65" s="27">
        <f t="shared" si="14"/>
        <v>975</v>
      </c>
      <c r="I65" s="27">
        <v>5</v>
      </c>
      <c r="J65" s="27" t="s">
        <v>16</v>
      </c>
      <c r="K65" s="27" t="s">
        <v>246</v>
      </c>
    </row>
    <row r="66" spans="1:11" x14ac:dyDescent="0.25">
      <c r="A66" s="2">
        <v>49</v>
      </c>
      <c r="B66" s="26" t="str">
        <f>E52</f>
        <v>ЩС-1 — Щит силовой распределительный ЩУРн-3/48 (проект: ЩУРн-3/36зо-1-36 УХЛ3)</v>
      </c>
      <c r="C66" s="27" t="s">
        <v>39</v>
      </c>
      <c r="D66" s="27" t="s">
        <v>40</v>
      </c>
      <c r="E66" s="28" t="s">
        <v>41</v>
      </c>
      <c r="F66" s="27">
        <v>127</v>
      </c>
      <c r="G66" s="27">
        <f>ROUND(F66*Kurallar!$B$5,0)</f>
        <v>127</v>
      </c>
      <c r="H66" s="27">
        <f t="shared" si="14"/>
        <v>1905</v>
      </c>
      <c r="I66" s="27">
        <v>15</v>
      </c>
      <c r="J66" s="27" t="s">
        <v>30</v>
      </c>
      <c r="K66" s="27" t="s">
        <v>241</v>
      </c>
    </row>
    <row r="67" spans="1:11" x14ac:dyDescent="0.25">
      <c r="A67" s="2">
        <v>50</v>
      </c>
      <c r="B67" s="26" t="str">
        <f>E52</f>
        <v>ЩС-1 — Щит силовой распределительный ЩУРн-3/48 (проект: ЩУРн-3/36зо-1-36 УХЛ3)</v>
      </c>
      <c r="C67" s="27" t="s">
        <v>39</v>
      </c>
      <c r="D67" s="27" t="s">
        <v>85</v>
      </c>
      <c r="E67" s="28" t="s">
        <v>86</v>
      </c>
      <c r="F67" s="27">
        <v>319</v>
      </c>
      <c r="G67" s="27">
        <f>ROUND(F67*Kurallar!$B$5,0)</f>
        <v>319</v>
      </c>
      <c r="H67" s="27">
        <f t="shared" si="14"/>
        <v>1595</v>
      </c>
      <c r="I67" s="27">
        <v>5</v>
      </c>
      <c r="J67" s="27" t="s">
        <v>30</v>
      </c>
      <c r="K67" s="27" t="s">
        <v>241</v>
      </c>
    </row>
    <row r="68" spans="1:11" x14ac:dyDescent="0.25">
      <c r="A68" s="2">
        <v>51</v>
      </c>
      <c r="B68" s="26" t="str">
        <f>E52</f>
        <v>ЩС-1 — Щит силовой распределительный ЩУРн-3/48 (проект: ЩУРн-3/36зо-1-36 УХЛ3)</v>
      </c>
      <c r="C68" s="27" t="s">
        <v>39</v>
      </c>
      <c r="D68" s="27" t="s">
        <v>42</v>
      </c>
      <c r="E68" s="28" t="s">
        <v>43</v>
      </c>
      <c r="F68" s="27">
        <v>127</v>
      </c>
      <c r="G68" s="27">
        <f>ROUND(F68*Kurallar!$B$5,0)</f>
        <v>127</v>
      </c>
      <c r="H68" s="27">
        <f t="shared" si="14"/>
        <v>635</v>
      </c>
      <c r="I68" s="27">
        <v>5</v>
      </c>
      <c r="J68" s="27" t="s">
        <v>30</v>
      </c>
      <c r="K68" s="27" t="s">
        <v>241</v>
      </c>
    </row>
    <row r="69" spans="1:11" ht="25.5" x14ac:dyDescent="0.25">
      <c r="A69" s="2">
        <v>53</v>
      </c>
      <c r="B69" s="26" t="str">
        <f>E52</f>
        <v>ЩС-1 — Щит силовой распределительный ЩУРн-3/48 (проект: ЩУРн-3/36зо-1-36 УХЛ3)</v>
      </c>
      <c r="C69" s="27" t="s">
        <v>33</v>
      </c>
      <c r="D69" s="27" t="s">
        <v>49</v>
      </c>
      <c r="E69" s="28" t="s">
        <v>50</v>
      </c>
      <c r="F69" s="27"/>
      <c r="G69" s="27">
        <f>ROUND(SUM(H53:H68)*Kurallar!$B$9,0)</f>
        <v>1713</v>
      </c>
      <c r="H69" s="27">
        <f t="shared" si="14"/>
        <v>1713</v>
      </c>
      <c r="I69" s="27">
        <v>1</v>
      </c>
      <c r="J69" s="27" t="s">
        <v>51</v>
      </c>
      <c r="K69" s="2" t="s">
        <v>33</v>
      </c>
    </row>
    <row r="70" spans="1:11" ht="25.5" x14ac:dyDescent="0.25">
      <c r="A70" s="2">
        <v>54</v>
      </c>
      <c r="B70" s="26" t="str">
        <f>E52</f>
        <v>ЩС-1 — Щит силовой распределительный ЩУРн-3/48 (проект: ЩУРн-3/36зо-1-36 УХЛ3)</v>
      </c>
      <c r="C70" s="27" t="s">
        <v>52</v>
      </c>
      <c r="D70" s="27" t="s">
        <v>53</v>
      </c>
      <c r="E70" s="28" t="s">
        <v>54</v>
      </c>
      <c r="F70" s="27">
        <f>I70/60</f>
        <v>4.5</v>
      </c>
      <c r="G70" s="27">
        <f>Kurallar!$B$10</f>
        <v>100</v>
      </c>
      <c r="H70" s="27">
        <f t="shared" si="14"/>
        <v>27000</v>
      </c>
      <c r="I70" s="27">
        <f>Kurallar!I62</f>
        <v>270</v>
      </c>
      <c r="J70" s="27" t="s">
        <v>55</v>
      </c>
      <c r="K70" s="2" t="s">
        <v>52</v>
      </c>
    </row>
    <row r="71" spans="1:11" x14ac:dyDescent="0.25">
      <c r="A71" s="6"/>
      <c r="B71" s="6" t="s">
        <v>87</v>
      </c>
      <c r="C71" s="6"/>
      <c r="D71" s="6"/>
      <c r="E71" s="7"/>
      <c r="F71" s="6"/>
      <c r="G71" s="6"/>
      <c r="H71" s="8">
        <f>SUBTOTAL(9,H53:H70)</f>
        <v>85827.6</v>
      </c>
      <c r="I71" s="6"/>
      <c r="J71" s="6"/>
      <c r="K71" s="6"/>
    </row>
    <row r="72" spans="1:11" ht="25.5" x14ac:dyDescent="0.25">
      <c r="A72" s="2"/>
      <c r="B72" s="23" t="str">
        <f>E72</f>
        <v>ЩС-2 — Щит силовой распределительный ЩУРн-3/30 (проект: ЩУРн-3/24зо-1-36 УХЛ3)</v>
      </c>
      <c r="C72" s="24" t="s">
        <v>11</v>
      </c>
      <c r="D72" s="24" t="s">
        <v>88</v>
      </c>
      <c r="E72" s="25" t="s">
        <v>89</v>
      </c>
      <c r="F72" s="24"/>
      <c r="G72" s="24"/>
      <c r="H72" s="24"/>
      <c r="I72" s="24">
        <v>1</v>
      </c>
      <c r="J72" s="24" t="s">
        <v>14</v>
      </c>
      <c r="K72" s="24" t="s">
        <v>254</v>
      </c>
    </row>
    <row r="73" spans="1:11" x14ac:dyDescent="0.25">
      <c r="A73" s="2">
        <v>55</v>
      </c>
      <c r="B73" s="2" t="str">
        <f>E72</f>
        <v>ЩС-2 — Щит силовой распределительный ЩУРн-3/30 (проект: ЩУРн-3/24зо-1-36 УХЛ3)</v>
      </c>
      <c r="C73" s="2" t="s">
        <v>15</v>
      </c>
      <c r="D73" s="2" t="s">
        <v>90</v>
      </c>
      <c r="E73" s="3" t="s">
        <v>91</v>
      </c>
      <c r="F73" s="4">
        <v>27500</v>
      </c>
      <c r="G73" s="4">
        <f>ROUND(F73*Kurallar!$B$6,0)</f>
        <v>16500</v>
      </c>
      <c r="H73" s="4">
        <f>G73*I73</f>
        <v>16500</v>
      </c>
      <c r="I73" s="2">
        <v>1</v>
      </c>
      <c r="J73" s="2" t="s">
        <v>16</v>
      </c>
      <c r="K73" s="2" t="s">
        <v>17</v>
      </c>
    </row>
    <row r="74" spans="1:11" x14ac:dyDescent="0.25">
      <c r="A74" s="2">
        <v>56</v>
      </c>
      <c r="B74" s="2" t="str">
        <f>E72</f>
        <v>ЩС-2 — Щит силовой распределительный ЩУРн-3/30 (проект: ЩУРн-3/24зо-1-36 УХЛ3)</v>
      </c>
      <c r="C74" s="2" t="s">
        <v>20</v>
      </c>
      <c r="D74" s="2" t="s">
        <v>65</v>
      </c>
      <c r="E74" s="3" t="s">
        <v>66</v>
      </c>
      <c r="F74" s="4">
        <v>4217</v>
      </c>
      <c r="G74" s="4">
        <f>ROUND(F74*Kurallar!$B$4,0)</f>
        <v>2530</v>
      </c>
      <c r="H74" s="4">
        <f>G74*I74</f>
        <v>2530</v>
      </c>
      <c r="I74" s="2">
        <v>1</v>
      </c>
      <c r="J74" s="2" t="s">
        <v>16</v>
      </c>
      <c r="K74" s="2" t="s">
        <v>19</v>
      </c>
    </row>
    <row r="75" spans="1:11" ht="30" x14ac:dyDescent="0.25">
      <c r="A75" s="2">
        <v>57</v>
      </c>
      <c r="B75" s="2" t="str">
        <f>E72</f>
        <v>ЩС-2 — Щит силовой распределительный ЩУРн-3/30 (проект: ЩУРн-3/24зо-1-36 УХЛ3)</v>
      </c>
      <c r="C75" s="2" t="s">
        <v>24</v>
      </c>
      <c r="D75" s="2" t="s">
        <v>67</v>
      </c>
      <c r="E75" s="3" t="s">
        <v>68</v>
      </c>
      <c r="F75" s="29">
        <v>125000</v>
      </c>
      <c r="G75" s="29">
        <f>F75</f>
        <v>125000</v>
      </c>
      <c r="H75" s="4">
        <f>G75*I75</f>
        <v>0</v>
      </c>
      <c r="I75" s="2">
        <v>0</v>
      </c>
      <c r="J75" s="2" t="s">
        <v>16</v>
      </c>
      <c r="K75" s="2" t="s">
        <v>27</v>
      </c>
    </row>
    <row r="76" spans="1:11" x14ac:dyDescent="0.25">
      <c r="A76" s="2">
        <v>58</v>
      </c>
      <c r="B76" s="2" t="str">
        <f>E72</f>
        <v>ЩС-2 — Щит силовой распределительный ЩУРн-3/30 (проект: ЩУРн-3/24зо-1-36 УХЛ3)</v>
      </c>
      <c r="C76" s="2" t="s">
        <v>69</v>
      </c>
      <c r="D76" s="2" t="s">
        <v>92</v>
      </c>
      <c r="E76" s="3" t="s">
        <v>93</v>
      </c>
      <c r="F76" s="4">
        <v>5647</v>
      </c>
      <c r="G76" s="4">
        <f>ROUND(F76*Kurallar!$B$4,0)</f>
        <v>3388</v>
      </c>
      <c r="H76" s="4">
        <f t="shared" ref="H76:H90" si="17">G76*I76</f>
        <v>3388</v>
      </c>
      <c r="I76" s="2">
        <v>1</v>
      </c>
      <c r="J76" s="2" t="s">
        <v>16</v>
      </c>
      <c r="K76" s="2" t="s">
        <v>19</v>
      </c>
    </row>
    <row r="77" spans="1:11" x14ac:dyDescent="0.25">
      <c r="A77" s="2">
        <v>59</v>
      </c>
      <c r="B77" s="2" t="str">
        <f>E72</f>
        <v>ЩС-2 — Щит силовой распределительный ЩУРн-3/30 (проект: ЩУРн-3/24зо-1-36 УХЛ3)</v>
      </c>
      <c r="C77" s="2" t="s">
        <v>69</v>
      </c>
      <c r="D77" s="2" t="s">
        <v>74</v>
      </c>
      <c r="E77" s="3" t="s">
        <v>94</v>
      </c>
      <c r="F77" s="4">
        <v>5334</v>
      </c>
      <c r="G77" s="4">
        <f>ROUND(F77*Kurallar!$B$4,0)</f>
        <v>3200</v>
      </c>
      <c r="H77" s="4">
        <f t="shared" si="17"/>
        <v>3200</v>
      </c>
      <c r="I77" s="2">
        <v>1</v>
      </c>
      <c r="J77" s="2" t="s">
        <v>16</v>
      </c>
      <c r="K77" s="2" t="s">
        <v>19</v>
      </c>
    </row>
    <row r="78" spans="1:11" ht="30" x14ac:dyDescent="0.25">
      <c r="A78" s="2">
        <v>60</v>
      </c>
      <c r="B78" s="2" t="str">
        <f>E72</f>
        <v>ЩС-2 — Щит силовой распределительный ЩУРн-3/30 (проект: ЩУРн-3/24зо-1-36 УХЛ3)</v>
      </c>
      <c r="C78" s="2" t="s">
        <v>69</v>
      </c>
      <c r="D78" s="2" t="s">
        <v>70</v>
      </c>
      <c r="E78" s="3" t="s">
        <v>95</v>
      </c>
      <c r="F78" s="4">
        <v>1389</v>
      </c>
      <c r="G78" s="4">
        <f>ROUND(F78*Kurallar!$B$4,0)</f>
        <v>833</v>
      </c>
      <c r="H78" s="4">
        <f t="shared" si="17"/>
        <v>6664</v>
      </c>
      <c r="I78" s="2">
        <v>8</v>
      </c>
      <c r="J78" s="2" t="s">
        <v>16</v>
      </c>
      <c r="K78" s="2" t="s">
        <v>19</v>
      </c>
    </row>
    <row r="79" spans="1:11" x14ac:dyDescent="0.25">
      <c r="A79" s="2">
        <v>61</v>
      </c>
      <c r="B79" s="2" t="str">
        <f>E72</f>
        <v>ЩС-2 — Щит силовой распределительный ЩУРн-3/30 (проект: ЩУРн-3/24зо-1-36 УХЛ3)</v>
      </c>
      <c r="C79" s="2" t="s">
        <v>76</v>
      </c>
      <c r="D79" s="2" t="s">
        <v>231</v>
      </c>
      <c r="E79" s="3" t="s">
        <v>232</v>
      </c>
      <c r="F79" s="4">
        <v>5104</v>
      </c>
      <c r="G79" s="4">
        <f>ROUND(F79*Kurallar!$B$4,0)</f>
        <v>3062</v>
      </c>
      <c r="H79" s="4">
        <f t="shared" si="17"/>
        <v>6124</v>
      </c>
      <c r="I79" s="2">
        <v>2</v>
      </c>
      <c r="J79" s="2" t="s">
        <v>16</v>
      </c>
      <c r="K79" s="2" t="s">
        <v>19</v>
      </c>
    </row>
    <row r="80" spans="1:11" x14ac:dyDescent="0.25">
      <c r="A80" s="2">
        <v>62</v>
      </c>
      <c r="B80" s="2" t="str">
        <f>E72</f>
        <v>ЩС-2 — Щит силовой распределительный ЩУРн-3/30 (проект: ЩУРн-3/24зо-1-36 УХЛ3)</v>
      </c>
      <c r="C80" s="2" t="s">
        <v>29</v>
      </c>
      <c r="D80" s="2" t="s">
        <v>77</v>
      </c>
      <c r="E80" s="3" t="s">
        <v>78</v>
      </c>
      <c r="F80" s="4">
        <v>1825</v>
      </c>
      <c r="G80" s="4">
        <f>ROUND(F80*Kurallar!$B$5,0)</f>
        <v>1825</v>
      </c>
      <c r="H80" s="4">
        <f t="shared" si="17"/>
        <v>1825</v>
      </c>
      <c r="I80" s="2">
        <v>1</v>
      </c>
      <c r="J80" s="2" t="s">
        <v>16</v>
      </c>
      <c r="K80" s="2" t="s">
        <v>241</v>
      </c>
    </row>
    <row r="81" spans="1:11" x14ac:dyDescent="0.25">
      <c r="A81" s="2">
        <v>63</v>
      </c>
      <c r="B81" s="2" t="str">
        <f>E72</f>
        <v>ЩС-2 — Щит силовой распределительный ЩУРн-3/30 (проект: ЩУРн-3/24зо-1-36 УХЛ3)</v>
      </c>
      <c r="C81" s="2" t="s">
        <v>29</v>
      </c>
      <c r="D81" s="2" t="s">
        <v>79</v>
      </c>
      <c r="E81" s="3" t="s">
        <v>80</v>
      </c>
      <c r="F81" s="4">
        <v>4966</v>
      </c>
      <c r="G81" s="4">
        <f>ROUND(F81*Kurallar!$B$5,0)</f>
        <v>4966</v>
      </c>
      <c r="H81" s="4">
        <f t="shared" si="17"/>
        <v>4966</v>
      </c>
      <c r="I81" s="2">
        <v>1</v>
      </c>
      <c r="J81" s="2" t="s">
        <v>16</v>
      </c>
      <c r="K81" s="2" t="s">
        <v>241</v>
      </c>
    </row>
    <row r="82" spans="1:11" x14ac:dyDescent="0.25">
      <c r="A82" s="2">
        <v>64</v>
      </c>
      <c r="B82" s="2" t="str">
        <f>E72</f>
        <v>ЩС-2 — Щит силовой распределительный ЩУРн-3/30 (проект: ЩУРн-3/24зо-1-36 УХЛ3)</v>
      </c>
      <c r="C82" s="2" t="s">
        <v>38</v>
      </c>
      <c r="D82" s="2" t="s">
        <v>81</v>
      </c>
      <c r="E82" s="3" t="s">
        <v>82</v>
      </c>
      <c r="F82" s="4">
        <v>1094</v>
      </c>
      <c r="G82" s="4">
        <f t="shared" ref="G82:G83" si="18">0.6*F82</f>
        <v>656.4</v>
      </c>
      <c r="H82" s="4">
        <f t="shared" si="17"/>
        <v>656.4</v>
      </c>
      <c r="I82" s="2">
        <v>1</v>
      </c>
      <c r="J82" s="2" t="s">
        <v>16</v>
      </c>
      <c r="K82" s="2" t="s">
        <v>246</v>
      </c>
    </row>
    <row r="83" spans="1:11" x14ac:dyDescent="0.25">
      <c r="A83" s="2">
        <v>65</v>
      </c>
      <c r="B83" s="2" t="str">
        <f>E72</f>
        <v>ЩС-2 — Щит силовой распределительный ЩУРн-3/30 (проект: ЩУРн-3/24зо-1-36 УХЛ3)</v>
      </c>
      <c r="C83" s="2" t="s">
        <v>38</v>
      </c>
      <c r="D83" s="2" t="s">
        <v>83</v>
      </c>
      <c r="E83" s="3" t="s">
        <v>84</v>
      </c>
      <c r="F83" s="4">
        <v>547</v>
      </c>
      <c r="G83" s="4">
        <f t="shared" si="18"/>
        <v>328.2</v>
      </c>
      <c r="H83" s="4">
        <f t="shared" si="17"/>
        <v>328.2</v>
      </c>
      <c r="I83" s="2">
        <v>1</v>
      </c>
      <c r="J83" s="2" t="s">
        <v>16</v>
      </c>
      <c r="K83" s="2" t="s">
        <v>246</v>
      </c>
    </row>
    <row r="84" spans="1:11" x14ac:dyDescent="0.25">
      <c r="A84" s="2">
        <v>68</v>
      </c>
      <c r="B84" s="2" t="str">
        <f>E72</f>
        <v>ЩС-2 — Щит силовой распределительный ЩУРн-3/30 (проект: ЩУРн-3/24зо-1-36 УХЛ3)</v>
      </c>
      <c r="C84" s="2" t="s">
        <v>38</v>
      </c>
      <c r="D84" s="2" t="s">
        <v>244</v>
      </c>
      <c r="E84" s="3" t="s">
        <v>245</v>
      </c>
      <c r="F84" s="4">
        <v>120</v>
      </c>
      <c r="G84" s="4">
        <f t="shared" ref="G84:G85" si="19">0.6*F84</f>
        <v>72</v>
      </c>
      <c r="H84" s="4">
        <f t="shared" si="17"/>
        <v>720</v>
      </c>
      <c r="I84" s="2">
        <v>10</v>
      </c>
      <c r="J84" s="2" t="s">
        <v>16</v>
      </c>
      <c r="K84" s="2" t="s">
        <v>246</v>
      </c>
    </row>
    <row r="85" spans="1:11" x14ac:dyDescent="0.25">
      <c r="A85" s="2">
        <v>69</v>
      </c>
      <c r="B85" s="2" t="str">
        <f>E72</f>
        <v>ЩС-2 — Щит силовой распределительный ЩУРн-3/30 (проект: ЩУРн-3/24зо-1-36 УХЛ3)</v>
      </c>
      <c r="C85" s="2" t="s">
        <v>38</v>
      </c>
      <c r="D85" s="2" t="s">
        <v>242</v>
      </c>
      <c r="E85" s="3" t="s">
        <v>243</v>
      </c>
      <c r="F85" s="4">
        <v>325</v>
      </c>
      <c r="G85" s="4">
        <f t="shared" si="19"/>
        <v>195</v>
      </c>
      <c r="H85" s="4">
        <f t="shared" si="17"/>
        <v>975</v>
      </c>
      <c r="I85" s="2">
        <v>5</v>
      </c>
      <c r="J85" s="2" t="s">
        <v>16</v>
      </c>
      <c r="K85" s="2" t="s">
        <v>246</v>
      </c>
    </row>
    <row r="86" spans="1:11" x14ac:dyDescent="0.25">
      <c r="A86" s="2">
        <v>70</v>
      </c>
      <c r="B86" s="2" t="str">
        <f>E72</f>
        <v>ЩС-2 — Щит силовой распределительный ЩУРн-3/30 (проект: ЩУРн-3/24зо-1-36 УХЛ3)</v>
      </c>
      <c r="C86" s="2" t="s">
        <v>39</v>
      </c>
      <c r="D86" s="2" t="s">
        <v>40</v>
      </c>
      <c r="E86" s="3" t="s">
        <v>41</v>
      </c>
      <c r="F86" s="4">
        <v>127</v>
      </c>
      <c r="G86" s="4">
        <f>ROUND(F86*Kurallar!$B$5,0)</f>
        <v>127</v>
      </c>
      <c r="H86" s="4">
        <f t="shared" si="17"/>
        <v>1905</v>
      </c>
      <c r="I86" s="2">
        <v>15</v>
      </c>
      <c r="J86" s="2" t="s">
        <v>30</v>
      </c>
      <c r="K86" s="2" t="s">
        <v>241</v>
      </c>
    </row>
    <row r="87" spans="1:11" x14ac:dyDescent="0.25">
      <c r="A87" s="2">
        <v>71</v>
      </c>
      <c r="B87" s="2" t="str">
        <f>E72</f>
        <v>ЩС-2 — Щит силовой распределительный ЩУРн-3/30 (проект: ЩУРн-3/24зо-1-36 УХЛ3)</v>
      </c>
      <c r="C87" s="2" t="s">
        <v>39</v>
      </c>
      <c r="D87" s="2" t="s">
        <v>85</v>
      </c>
      <c r="E87" s="3" t="s">
        <v>86</v>
      </c>
      <c r="F87" s="4">
        <v>319</v>
      </c>
      <c r="G87" s="4">
        <f>ROUND(F87*Kurallar!$B$5,0)</f>
        <v>319</v>
      </c>
      <c r="H87" s="4">
        <f t="shared" si="17"/>
        <v>1595</v>
      </c>
      <c r="I87" s="2">
        <v>5</v>
      </c>
      <c r="J87" s="2" t="s">
        <v>30</v>
      </c>
      <c r="K87" s="2" t="s">
        <v>241</v>
      </c>
    </row>
    <row r="88" spans="1:11" x14ac:dyDescent="0.25">
      <c r="A88" s="2">
        <v>72</v>
      </c>
      <c r="B88" s="2" t="str">
        <f>E72</f>
        <v>ЩС-2 — Щит силовой распределительный ЩУРн-3/30 (проект: ЩУРн-3/24зо-1-36 УХЛ3)</v>
      </c>
      <c r="C88" s="2" t="s">
        <v>39</v>
      </c>
      <c r="D88" s="2" t="s">
        <v>42</v>
      </c>
      <c r="E88" s="3" t="s">
        <v>43</v>
      </c>
      <c r="F88" s="4">
        <v>127</v>
      </c>
      <c r="G88" s="4">
        <f>ROUND(F88*Kurallar!$B$5,0)</f>
        <v>127</v>
      </c>
      <c r="H88" s="4">
        <f t="shared" si="17"/>
        <v>635</v>
      </c>
      <c r="I88" s="2">
        <v>5</v>
      </c>
      <c r="J88" s="2" t="s">
        <v>30</v>
      </c>
      <c r="K88" s="2" t="s">
        <v>241</v>
      </c>
    </row>
    <row r="89" spans="1:11" ht="30" x14ac:dyDescent="0.25">
      <c r="A89" s="2">
        <v>74</v>
      </c>
      <c r="B89" s="2" t="str">
        <f>E72</f>
        <v>ЩС-2 — Щит силовой распределительный ЩУРн-3/30 (проект: ЩУРн-3/24зо-1-36 УХЛ3)</v>
      </c>
      <c r="C89" s="2" t="s">
        <v>33</v>
      </c>
      <c r="D89" s="2" t="s">
        <v>49</v>
      </c>
      <c r="E89" s="3" t="s">
        <v>50</v>
      </c>
      <c r="F89" s="2"/>
      <c r="G89" s="4">
        <f>ROUND(SUM(H73:H88)*Kurallar!$B$9,0)</f>
        <v>1560</v>
      </c>
      <c r="H89" s="4">
        <f t="shared" si="17"/>
        <v>1560</v>
      </c>
      <c r="I89" s="2">
        <v>1</v>
      </c>
      <c r="J89" s="2" t="s">
        <v>51</v>
      </c>
      <c r="K89" s="2" t="s">
        <v>33</v>
      </c>
    </row>
    <row r="90" spans="1:11" ht="30" x14ac:dyDescent="0.25">
      <c r="A90" s="2">
        <v>75</v>
      </c>
      <c r="B90" s="2" t="str">
        <f>E72</f>
        <v>ЩС-2 — Щит силовой распределительный ЩУРн-3/30 (проект: ЩУРн-3/24зо-1-36 УХЛ3)</v>
      </c>
      <c r="C90" s="2" t="s">
        <v>52</v>
      </c>
      <c r="D90" s="2" t="s">
        <v>53</v>
      </c>
      <c r="E90" s="3" t="s">
        <v>54</v>
      </c>
      <c r="F90" s="5">
        <f>I90/60</f>
        <v>4.2166666666666668</v>
      </c>
      <c r="G90" s="4">
        <f>Kurallar!$B$10</f>
        <v>100</v>
      </c>
      <c r="H90" s="4">
        <f t="shared" si="17"/>
        <v>25300</v>
      </c>
      <c r="I90" s="2">
        <f>Kurallar!J62</f>
        <v>253</v>
      </c>
      <c r="J90" s="2" t="s">
        <v>55</v>
      </c>
      <c r="K90" s="2" t="s">
        <v>52</v>
      </c>
    </row>
    <row r="91" spans="1:11" x14ac:dyDescent="0.25">
      <c r="A91" s="6"/>
      <c r="B91" s="6" t="s">
        <v>96</v>
      </c>
      <c r="C91" s="6"/>
      <c r="D91" s="6"/>
      <c r="E91" s="7"/>
      <c r="F91" s="6"/>
      <c r="G91" s="6"/>
      <c r="H91" s="8">
        <f>SUBTOTAL(9,H73:H90)</f>
        <v>78871.600000000006</v>
      </c>
      <c r="I91" s="6"/>
      <c r="J91" s="6"/>
      <c r="K91" s="6"/>
    </row>
    <row r="92" spans="1:11" x14ac:dyDescent="0.25">
      <c r="A92" s="2"/>
      <c r="B92" s="23" t="str">
        <f>E92</f>
        <v>ЩУО</v>
      </c>
      <c r="C92" s="24" t="s">
        <v>11</v>
      </c>
      <c r="D92" s="25" t="s">
        <v>257</v>
      </c>
      <c r="E92" s="25" t="s">
        <v>257</v>
      </c>
      <c r="F92" s="24">
        <f>2.3*H101</f>
        <v>284960.8</v>
      </c>
      <c r="G92" s="24">
        <f>0.65*F92</f>
        <v>185224.52</v>
      </c>
      <c r="H92" s="24"/>
      <c r="I92" s="24">
        <v>1</v>
      </c>
      <c r="J92" s="24" t="s">
        <v>14</v>
      </c>
      <c r="K92" s="24" t="s">
        <v>254</v>
      </c>
    </row>
    <row r="93" spans="1:11" x14ac:dyDescent="0.25">
      <c r="A93" s="2">
        <v>55</v>
      </c>
      <c r="B93" s="2" t="str">
        <f>E92</f>
        <v>ЩУО</v>
      </c>
      <c r="C93" s="2" t="s">
        <v>15</v>
      </c>
      <c r="D93" s="2" t="s">
        <v>263</v>
      </c>
      <c r="E93" s="3" t="s">
        <v>264</v>
      </c>
      <c r="F93" s="4">
        <v>10270</v>
      </c>
      <c r="G93" s="4">
        <f>ROUND(F93*Kurallar!$B$6,0)</f>
        <v>6162</v>
      </c>
      <c r="H93" s="4">
        <f>G93*I93</f>
        <v>6162</v>
      </c>
      <c r="I93" s="2">
        <v>1</v>
      </c>
      <c r="J93" s="2" t="s">
        <v>16</v>
      </c>
      <c r="K93" s="2" t="s">
        <v>17</v>
      </c>
    </row>
    <row r="94" spans="1:11" x14ac:dyDescent="0.25">
      <c r="A94" s="2">
        <v>56</v>
      </c>
      <c r="B94" s="2" t="str">
        <f>E92</f>
        <v>ЩУО</v>
      </c>
      <c r="C94" s="2" t="s">
        <v>259</v>
      </c>
      <c r="D94" s="2" t="s">
        <v>265</v>
      </c>
      <c r="E94" s="3" t="s">
        <v>266</v>
      </c>
      <c r="F94" s="4">
        <v>3372</v>
      </c>
      <c r="G94" s="4">
        <f>ROUND(F94*Kurallar!$B$4,0)</f>
        <v>2023</v>
      </c>
      <c r="H94" s="4">
        <f>G94*I94</f>
        <v>2023</v>
      </c>
      <c r="I94" s="2">
        <v>1</v>
      </c>
      <c r="J94" s="2" t="s">
        <v>16</v>
      </c>
      <c r="K94" s="2" t="s">
        <v>19</v>
      </c>
    </row>
    <row r="95" spans="1:11" x14ac:dyDescent="0.25">
      <c r="A95" s="2">
        <v>57</v>
      </c>
      <c r="B95" s="2" t="str">
        <f>E92</f>
        <v>ЩУО</v>
      </c>
      <c r="C95" s="2" t="s">
        <v>69</v>
      </c>
      <c r="D95" s="2" t="s">
        <v>267</v>
      </c>
      <c r="E95" s="3" t="s">
        <v>268</v>
      </c>
      <c r="F95" s="29">
        <v>783</v>
      </c>
      <c r="G95" s="4">
        <f>ROUND(F95*Kurallar!$B$4,0)</f>
        <v>470</v>
      </c>
      <c r="H95" s="4">
        <f>G95*I95</f>
        <v>940</v>
      </c>
      <c r="I95" s="2">
        <v>2</v>
      </c>
      <c r="J95" s="2" t="s">
        <v>16</v>
      </c>
      <c r="K95" s="2" t="s">
        <v>27</v>
      </c>
    </row>
    <row r="96" spans="1:11" x14ac:dyDescent="0.25">
      <c r="A96" s="2">
        <v>58</v>
      </c>
      <c r="B96" s="2" t="str">
        <f>E92</f>
        <v>ЩУО</v>
      </c>
      <c r="C96" s="2" t="s">
        <v>261</v>
      </c>
      <c r="D96" s="2" t="s">
        <v>92</v>
      </c>
      <c r="E96" s="3" t="s">
        <v>260</v>
      </c>
      <c r="F96" s="4">
        <v>18880</v>
      </c>
      <c r="G96" s="4">
        <f>F96</f>
        <v>18880</v>
      </c>
      <c r="H96" s="4">
        <f t="shared" ref="H96:H100" si="20">G96*I96</f>
        <v>18880</v>
      </c>
      <c r="I96" s="2">
        <v>1</v>
      </c>
      <c r="J96" s="2" t="s">
        <v>16</v>
      </c>
      <c r="K96" s="2" t="s">
        <v>241</v>
      </c>
    </row>
    <row r="97" spans="1:11" x14ac:dyDescent="0.25">
      <c r="A97" s="2">
        <v>59</v>
      </c>
      <c r="B97" s="2" t="str">
        <f>E92</f>
        <v>ЩУО</v>
      </c>
      <c r="C97" s="2" t="s">
        <v>69</v>
      </c>
      <c r="D97" s="2" t="s">
        <v>269</v>
      </c>
      <c r="E97" s="3" t="s">
        <v>270</v>
      </c>
      <c r="F97" s="4">
        <v>975</v>
      </c>
      <c r="G97" s="4">
        <f>ROUND(F97*Kurallar!$B$4,0)</f>
        <v>585</v>
      </c>
      <c r="H97" s="4">
        <f t="shared" si="20"/>
        <v>585</v>
      </c>
      <c r="I97" s="2">
        <v>1</v>
      </c>
      <c r="J97" s="2" t="s">
        <v>16</v>
      </c>
      <c r="K97" s="2" t="s">
        <v>19</v>
      </c>
    </row>
    <row r="98" spans="1:11" x14ac:dyDescent="0.25">
      <c r="A98" s="2">
        <v>60</v>
      </c>
      <c r="B98" s="2" t="str">
        <f>E92</f>
        <v>ЩУО</v>
      </c>
      <c r="C98" s="2" t="s">
        <v>262</v>
      </c>
      <c r="D98" s="2" t="s">
        <v>271</v>
      </c>
      <c r="E98" s="3" t="s">
        <v>272</v>
      </c>
      <c r="F98" s="4">
        <v>11463</v>
      </c>
      <c r="G98" s="4">
        <v>85872</v>
      </c>
      <c r="H98" s="4">
        <f t="shared" si="20"/>
        <v>85872</v>
      </c>
      <c r="I98" s="2">
        <v>1</v>
      </c>
      <c r="J98" s="2" t="s">
        <v>16</v>
      </c>
      <c r="K98" s="2" t="s">
        <v>19</v>
      </c>
    </row>
    <row r="99" spans="1:11" ht="30" x14ac:dyDescent="0.25">
      <c r="A99" s="2">
        <v>74</v>
      </c>
      <c r="B99" s="2" t="str">
        <f>E92</f>
        <v>ЩУО</v>
      </c>
      <c r="C99" s="2" t="s">
        <v>33</v>
      </c>
      <c r="D99" s="2" t="s">
        <v>49</v>
      </c>
      <c r="E99" s="3" t="s">
        <v>50</v>
      </c>
      <c r="F99" s="2"/>
      <c r="G99" s="4">
        <f>ROUND(SUM(H93:H98)*Kurallar!$B$9,0)</f>
        <v>3434</v>
      </c>
      <c r="H99" s="4">
        <f t="shared" si="20"/>
        <v>3434</v>
      </c>
      <c r="I99" s="2">
        <v>1</v>
      </c>
      <c r="J99" s="2" t="s">
        <v>51</v>
      </c>
      <c r="K99" s="2" t="s">
        <v>33</v>
      </c>
    </row>
    <row r="100" spans="1:11" ht="30" x14ac:dyDescent="0.25">
      <c r="A100" s="2">
        <v>75</v>
      </c>
      <c r="B100" s="2" t="str">
        <f>E92</f>
        <v>ЩУО</v>
      </c>
      <c r="C100" s="2" t="s">
        <v>52</v>
      </c>
      <c r="D100" s="2" t="s">
        <v>53</v>
      </c>
      <c r="E100" s="3" t="s">
        <v>54</v>
      </c>
      <c r="F100" s="5">
        <v>1</v>
      </c>
      <c r="G100" s="4">
        <f>Kurallar!$B$10</f>
        <v>100</v>
      </c>
      <c r="H100" s="4">
        <f t="shared" si="20"/>
        <v>6000</v>
      </c>
      <c r="I100" s="2">
        <f>60*F100</f>
        <v>60</v>
      </c>
      <c r="J100" s="2" t="s">
        <v>55</v>
      </c>
      <c r="K100" s="2" t="s">
        <v>52</v>
      </c>
    </row>
    <row r="101" spans="1:11" x14ac:dyDescent="0.25">
      <c r="A101" s="6"/>
      <c r="B101" s="6" t="s">
        <v>258</v>
      </c>
      <c r="C101" s="6"/>
      <c r="D101" s="6"/>
      <c r="E101" s="7"/>
      <c r="F101" s="6"/>
      <c r="G101" s="6"/>
      <c r="H101" s="8">
        <f>SUBTOTAL(9,H93:H100)</f>
        <v>123896</v>
      </c>
      <c r="I101" s="6"/>
      <c r="J101" s="6"/>
      <c r="K101" s="6"/>
    </row>
  </sheetData>
  <autoFilter ref="A1:K90" xr:uid="{00000000-0001-0000-0000-000000000000}"/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8"/>
  <sheetViews>
    <sheetView tabSelected="1" zoomScaleNormal="100" workbookViewId="0">
      <selection activeCell="E4" sqref="E4"/>
    </sheetView>
  </sheetViews>
  <sheetFormatPr defaultColWidth="8.7109375" defaultRowHeight="15" x14ac:dyDescent="0.25"/>
  <cols>
    <col min="1" max="1" width="6" customWidth="1"/>
    <col min="2" max="2" width="10" customWidth="1"/>
    <col min="3" max="3" width="58" customWidth="1"/>
    <col min="4" max="4" width="18" customWidth="1"/>
    <col min="5" max="5" width="12" customWidth="1"/>
    <col min="6" max="6" width="18" customWidth="1"/>
  </cols>
  <sheetData>
    <row r="1" spans="1:6" ht="15.75" x14ac:dyDescent="0.25">
      <c r="A1" s="9" t="s">
        <v>97</v>
      </c>
    </row>
    <row r="2" spans="1:6" x14ac:dyDescent="0.25">
      <c r="A2" s="10" t="s">
        <v>0</v>
      </c>
      <c r="B2" s="10" t="s">
        <v>98</v>
      </c>
      <c r="C2" s="10" t="s">
        <v>99</v>
      </c>
      <c r="D2" s="10" t="s">
        <v>100</v>
      </c>
      <c r="E2" s="10" t="s">
        <v>101</v>
      </c>
      <c r="F2" s="10" t="s">
        <v>7</v>
      </c>
    </row>
    <row r="3" spans="1:6" x14ac:dyDescent="0.25">
      <c r="A3" s="2">
        <v>1</v>
      </c>
      <c r="B3" s="2" t="s">
        <v>12</v>
      </c>
      <c r="C3" s="2" t="s">
        <v>102</v>
      </c>
      <c r="D3" s="4">
        <f>BOM!H20</f>
        <v>291017</v>
      </c>
      <c r="E3" s="2">
        <v>1</v>
      </c>
      <c r="F3" s="4">
        <f>D3*E3</f>
        <v>291017</v>
      </c>
    </row>
    <row r="4" spans="1:6" x14ac:dyDescent="0.25">
      <c r="A4" s="2">
        <v>2</v>
      </c>
      <c r="B4" s="2" t="s">
        <v>57</v>
      </c>
      <c r="C4" s="2" t="s">
        <v>103</v>
      </c>
      <c r="D4" s="4">
        <f>BOM!H33</f>
        <v>201416</v>
      </c>
      <c r="E4" s="2">
        <v>1</v>
      </c>
      <c r="F4" s="4">
        <f>D4*E4</f>
        <v>201416</v>
      </c>
    </row>
    <row r="5" spans="1:6" x14ac:dyDescent="0.25">
      <c r="A5" s="2">
        <v>3</v>
      </c>
      <c r="B5" s="2" t="s">
        <v>61</v>
      </c>
      <c r="C5" s="2" t="s">
        <v>104</v>
      </c>
      <c r="D5" s="4">
        <f>BOM!H71</f>
        <v>85827.6</v>
      </c>
      <c r="E5" s="2">
        <v>1</v>
      </c>
      <c r="F5" s="4">
        <f>D5*E5</f>
        <v>85827.6</v>
      </c>
    </row>
    <row r="6" spans="1:6" x14ac:dyDescent="0.25">
      <c r="A6" s="2">
        <v>4</v>
      </c>
      <c r="B6" s="2" t="s">
        <v>88</v>
      </c>
      <c r="C6" s="2" t="s">
        <v>105</v>
      </c>
      <c r="D6" s="4">
        <f>BOM!H91</f>
        <v>78871.600000000006</v>
      </c>
      <c r="E6" s="2">
        <v>1</v>
      </c>
      <c r="F6" s="4">
        <f>D6*E6</f>
        <v>78871.600000000006</v>
      </c>
    </row>
    <row r="7" spans="1:6" x14ac:dyDescent="0.25">
      <c r="A7" s="11"/>
      <c r="B7" s="11"/>
      <c r="C7" s="12" t="s">
        <v>106</v>
      </c>
      <c r="D7" s="11"/>
      <c r="E7" s="11"/>
      <c r="F7" s="13">
        <f>SUM(F3:F6)</f>
        <v>657132.19999999995</v>
      </c>
    </row>
    <row r="8" spans="1:6" x14ac:dyDescent="0.25">
      <c r="C8" s="14" t="s">
        <v>107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84"/>
  <sheetViews>
    <sheetView topLeftCell="A33" zoomScaleNormal="100" workbookViewId="0">
      <selection activeCell="A55" sqref="A55:XFD55"/>
    </sheetView>
  </sheetViews>
  <sheetFormatPr defaultColWidth="8.7109375" defaultRowHeight="15" x14ac:dyDescent="0.25"/>
  <cols>
    <col min="1" max="1" width="42" customWidth="1"/>
    <col min="2" max="2" width="90" customWidth="1"/>
    <col min="3" max="4" width="12" customWidth="1"/>
    <col min="5" max="5" width="40" customWidth="1"/>
    <col min="6" max="10" width="12" customWidth="1"/>
  </cols>
  <sheetData>
    <row r="1" spans="1:5" ht="15.75" x14ac:dyDescent="0.25">
      <c r="A1" s="9" t="s">
        <v>108</v>
      </c>
    </row>
    <row r="2" spans="1:5" x14ac:dyDescent="0.25">
      <c r="A2" s="10" t="s">
        <v>109</v>
      </c>
    </row>
    <row r="3" spans="1:5" x14ac:dyDescent="0.25">
      <c r="A3" s="6" t="s">
        <v>110</v>
      </c>
      <c r="B3" s="6" t="s">
        <v>111</v>
      </c>
      <c r="C3" s="6" t="s">
        <v>112</v>
      </c>
    </row>
    <row r="4" spans="1:5" x14ac:dyDescent="0.25">
      <c r="A4" s="15" t="s">
        <v>19</v>
      </c>
      <c r="B4" s="16">
        <v>0.6</v>
      </c>
      <c r="C4" s="15" t="s">
        <v>113</v>
      </c>
    </row>
    <row r="5" spans="1:5" x14ac:dyDescent="0.25">
      <c r="A5" s="15" t="s">
        <v>114</v>
      </c>
      <c r="B5" s="16">
        <v>1</v>
      </c>
      <c r="C5" s="15" t="s">
        <v>115</v>
      </c>
    </row>
    <row r="6" spans="1:5" x14ac:dyDescent="0.25">
      <c r="A6" s="15" t="s">
        <v>116</v>
      </c>
      <c r="B6" s="16">
        <v>0.6</v>
      </c>
      <c r="C6" s="15" t="s">
        <v>117</v>
      </c>
    </row>
    <row r="7" spans="1:5" x14ac:dyDescent="0.25">
      <c r="A7" s="10" t="s">
        <v>118</v>
      </c>
    </row>
    <row r="8" spans="1:5" x14ac:dyDescent="0.25">
      <c r="A8" s="6" t="s">
        <v>119</v>
      </c>
      <c r="B8" s="6" t="s">
        <v>120</v>
      </c>
      <c r="C8" s="6" t="s">
        <v>112</v>
      </c>
    </row>
    <row r="9" spans="1:5" x14ac:dyDescent="0.25">
      <c r="A9" s="15" t="s">
        <v>121</v>
      </c>
      <c r="B9" s="17">
        <v>0.03</v>
      </c>
      <c r="C9" s="15" t="s">
        <v>122</v>
      </c>
    </row>
    <row r="10" spans="1:5" x14ac:dyDescent="0.25">
      <c r="A10" s="15" t="s">
        <v>123</v>
      </c>
      <c r="B10" s="16">
        <v>100</v>
      </c>
      <c r="C10" s="15" t="s">
        <v>124</v>
      </c>
    </row>
    <row r="11" spans="1:5" x14ac:dyDescent="0.25">
      <c r="A11" s="15" t="s">
        <v>125</v>
      </c>
      <c r="B11" s="16">
        <v>1.1499999999999999</v>
      </c>
      <c r="C11" s="15" t="s">
        <v>126</v>
      </c>
    </row>
    <row r="12" spans="1:5" x14ac:dyDescent="0.25">
      <c r="A12" s="15" t="s">
        <v>127</v>
      </c>
      <c r="B12" s="16">
        <v>15</v>
      </c>
      <c r="C12" s="15" t="s">
        <v>128</v>
      </c>
    </row>
    <row r="13" spans="1:5" x14ac:dyDescent="0.25">
      <c r="A13" s="15" t="s">
        <v>129</v>
      </c>
      <c r="B13" s="18">
        <v>46252</v>
      </c>
      <c r="C13" s="15" t="s">
        <v>130</v>
      </c>
    </row>
    <row r="14" spans="1:5" x14ac:dyDescent="0.25">
      <c r="A14" s="10" t="s">
        <v>131</v>
      </c>
    </row>
    <row r="15" spans="1:5" x14ac:dyDescent="0.25">
      <c r="A15" s="6" t="s">
        <v>132</v>
      </c>
      <c r="B15" s="6" t="s">
        <v>133</v>
      </c>
      <c r="C15" s="6" t="s">
        <v>134</v>
      </c>
      <c r="D15" s="6" t="s">
        <v>135</v>
      </c>
      <c r="E15" s="6" t="s">
        <v>136</v>
      </c>
    </row>
    <row r="16" spans="1:5" x14ac:dyDescent="0.25">
      <c r="A16" s="15" t="s">
        <v>137</v>
      </c>
      <c r="B16" s="19">
        <v>46231</v>
      </c>
      <c r="C16" s="15">
        <f t="shared" ref="C16:C25" si="0">ROUND((YEAR($B$13)-YEAR(B16))*12+(MONTH($B$13)-MONTH(B16))+(DAY($B$13)-DAY(B16))/30.44,1)</f>
        <v>0.7</v>
      </c>
      <c r="D16" s="20" t="str">
        <f t="shared" ref="D16:D25" si="1">IF(C16&gt;18,"YASAK",IF(C16&gt;12,"UYARI","OK"))</f>
        <v>OK</v>
      </c>
      <c r="E16" s="15" t="s">
        <v>138</v>
      </c>
    </row>
    <row r="17" spans="1:5" x14ac:dyDescent="0.25">
      <c r="A17" s="15" t="s">
        <v>139</v>
      </c>
      <c r="B17" s="19">
        <v>46218</v>
      </c>
      <c r="C17" s="15">
        <f t="shared" si="0"/>
        <v>1.1000000000000001</v>
      </c>
      <c r="D17" s="20" t="str">
        <f t="shared" si="1"/>
        <v>OK</v>
      </c>
      <c r="E17" s="15" t="s">
        <v>140</v>
      </c>
    </row>
    <row r="18" spans="1:5" x14ac:dyDescent="0.25">
      <c r="A18" s="15" t="s">
        <v>141</v>
      </c>
      <c r="B18" s="19">
        <v>45827</v>
      </c>
      <c r="C18" s="15">
        <f t="shared" si="0"/>
        <v>14</v>
      </c>
      <c r="D18" s="20" t="str">
        <f t="shared" si="1"/>
        <v>UYARI</v>
      </c>
      <c r="E18" s="15" t="s">
        <v>142</v>
      </c>
    </row>
    <row r="19" spans="1:5" x14ac:dyDescent="0.25">
      <c r="A19" s="15" t="s">
        <v>143</v>
      </c>
      <c r="B19" s="19">
        <v>45839</v>
      </c>
      <c r="C19" s="15">
        <f t="shared" si="0"/>
        <v>13.6</v>
      </c>
      <c r="D19" s="20" t="str">
        <f t="shared" si="1"/>
        <v>UYARI</v>
      </c>
      <c r="E19" s="15" t="s">
        <v>144</v>
      </c>
    </row>
    <row r="20" spans="1:5" x14ac:dyDescent="0.25">
      <c r="A20" s="15" t="s">
        <v>145</v>
      </c>
      <c r="B20" s="19">
        <v>45962</v>
      </c>
      <c r="C20" s="15">
        <f t="shared" si="0"/>
        <v>9.6</v>
      </c>
      <c r="D20" s="20" t="str">
        <f t="shared" si="1"/>
        <v>OK</v>
      </c>
      <c r="E20" s="15" t="s">
        <v>144</v>
      </c>
    </row>
    <row r="21" spans="1:5" x14ac:dyDescent="0.25">
      <c r="A21" s="15" t="s">
        <v>146</v>
      </c>
      <c r="B21" s="19">
        <v>45931</v>
      </c>
      <c r="C21" s="15">
        <f t="shared" si="0"/>
        <v>10.6</v>
      </c>
      <c r="D21" s="20" t="str">
        <f t="shared" si="1"/>
        <v>OK</v>
      </c>
      <c r="E21" s="15" t="s">
        <v>147</v>
      </c>
    </row>
    <row r="22" spans="1:5" x14ac:dyDescent="0.25">
      <c r="A22" s="15" t="s">
        <v>148</v>
      </c>
      <c r="B22" s="19">
        <v>45692</v>
      </c>
      <c r="C22" s="15">
        <f t="shared" si="0"/>
        <v>18.5</v>
      </c>
      <c r="D22" s="20" t="str">
        <f t="shared" si="1"/>
        <v>YASAK</v>
      </c>
      <c r="E22" s="15" t="s">
        <v>149</v>
      </c>
    </row>
    <row r="23" spans="1:5" x14ac:dyDescent="0.25">
      <c r="A23" s="15" t="s">
        <v>150</v>
      </c>
      <c r="B23" s="19">
        <v>44614</v>
      </c>
      <c r="C23" s="15">
        <f t="shared" si="0"/>
        <v>53.9</v>
      </c>
      <c r="D23" s="20" t="str">
        <f t="shared" si="1"/>
        <v>YASAK</v>
      </c>
      <c r="E23" s="15" t="s">
        <v>151</v>
      </c>
    </row>
    <row r="24" spans="1:5" x14ac:dyDescent="0.25">
      <c r="A24" s="15" t="s">
        <v>152</v>
      </c>
      <c r="B24" s="19">
        <v>44866</v>
      </c>
      <c r="C24" s="15">
        <f t="shared" si="0"/>
        <v>45.6</v>
      </c>
      <c r="D24" s="20" t="str">
        <f t="shared" si="1"/>
        <v>YASAK</v>
      </c>
      <c r="E24" s="15" t="s">
        <v>153</v>
      </c>
    </row>
    <row r="25" spans="1:5" x14ac:dyDescent="0.25">
      <c r="A25" s="15" t="s">
        <v>154</v>
      </c>
      <c r="B25" s="19">
        <v>44743</v>
      </c>
      <c r="C25" s="15">
        <f t="shared" si="0"/>
        <v>49.6</v>
      </c>
      <c r="D25" s="20" t="str">
        <f t="shared" si="1"/>
        <v>YASAK</v>
      </c>
      <c r="E25" s="15" t="s">
        <v>153</v>
      </c>
    </row>
    <row r="26" spans="1:5" x14ac:dyDescent="0.25">
      <c r="A26" s="15" t="s">
        <v>155</v>
      </c>
      <c r="B26" s="21" t="s">
        <v>156</v>
      </c>
      <c r="C26" s="2"/>
      <c r="D26" s="2"/>
      <c r="E26" s="15" t="s">
        <v>157</v>
      </c>
    </row>
    <row r="27" spans="1:5" x14ac:dyDescent="0.25">
      <c r="A27" s="10" t="s">
        <v>158</v>
      </c>
    </row>
    <row r="28" spans="1:5" x14ac:dyDescent="0.25">
      <c r="A28" s="6" t="s">
        <v>159</v>
      </c>
      <c r="B28" s="6" t="s">
        <v>160</v>
      </c>
    </row>
    <row r="29" spans="1:5" x14ac:dyDescent="0.25">
      <c r="A29" s="15" t="s">
        <v>161</v>
      </c>
      <c r="B29" s="16">
        <v>10</v>
      </c>
    </row>
    <row r="30" spans="1:5" x14ac:dyDescent="0.25">
      <c r="A30" s="15" t="s">
        <v>162</v>
      </c>
      <c r="B30" s="16">
        <v>18</v>
      </c>
    </row>
    <row r="31" spans="1:5" x14ac:dyDescent="0.25">
      <c r="A31" s="15" t="s">
        <v>163</v>
      </c>
      <c r="B31" s="16">
        <v>14</v>
      </c>
    </row>
    <row r="32" spans="1:5" x14ac:dyDescent="0.25">
      <c r="A32" s="15" t="s">
        <v>164</v>
      </c>
      <c r="B32" s="16">
        <v>60</v>
      </c>
    </row>
    <row r="33" spans="1:10" x14ac:dyDescent="0.25">
      <c r="A33" s="15" t="s">
        <v>165</v>
      </c>
      <c r="B33" s="16">
        <v>60</v>
      </c>
    </row>
    <row r="34" spans="1:10" x14ac:dyDescent="0.25">
      <c r="A34" s="15" t="s">
        <v>166</v>
      </c>
      <c r="B34" s="16">
        <v>45</v>
      </c>
    </row>
    <row r="35" spans="1:10" x14ac:dyDescent="0.25">
      <c r="A35" s="15" t="s">
        <v>167</v>
      </c>
      <c r="B35" s="16">
        <v>20</v>
      </c>
    </row>
    <row r="36" spans="1:10" x14ac:dyDescent="0.25">
      <c r="A36" s="15" t="s">
        <v>168</v>
      </c>
      <c r="B36" s="16">
        <v>90</v>
      </c>
    </row>
    <row r="37" spans="1:10" x14ac:dyDescent="0.25">
      <c r="A37" s="15" t="s">
        <v>169</v>
      </c>
      <c r="B37" s="16">
        <v>60</v>
      </c>
    </row>
    <row r="38" spans="1:10" x14ac:dyDescent="0.25">
      <c r="A38" s="15" t="s">
        <v>170</v>
      </c>
      <c r="B38" s="16">
        <v>4</v>
      </c>
    </row>
    <row r="39" spans="1:10" x14ac:dyDescent="0.25">
      <c r="A39" s="15" t="s">
        <v>171</v>
      </c>
      <c r="B39" s="16">
        <v>10</v>
      </c>
    </row>
    <row r="40" spans="1:10" x14ac:dyDescent="0.25">
      <c r="A40" s="15" t="s">
        <v>172</v>
      </c>
      <c r="B40" s="16">
        <v>45</v>
      </c>
    </row>
    <row r="41" spans="1:10" x14ac:dyDescent="0.25">
      <c r="A41" s="15" t="s">
        <v>173</v>
      </c>
      <c r="B41" s="16">
        <v>5</v>
      </c>
    </row>
    <row r="42" spans="1:10" x14ac:dyDescent="0.25">
      <c r="A42" s="15" t="s">
        <v>174</v>
      </c>
      <c r="B42" s="16">
        <v>45</v>
      </c>
    </row>
    <row r="43" spans="1:10" x14ac:dyDescent="0.25">
      <c r="A43" s="15" t="s">
        <v>175</v>
      </c>
      <c r="B43" s="16">
        <v>90</v>
      </c>
    </row>
    <row r="44" spans="1:10" x14ac:dyDescent="0.25">
      <c r="A44" s="10" t="s">
        <v>176</v>
      </c>
    </row>
    <row r="45" spans="1:10" x14ac:dyDescent="0.25">
      <c r="A45" s="6" t="s">
        <v>159</v>
      </c>
      <c r="B45" s="6" t="s">
        <v>177</v>
      </c>
      <c r="C45" s="6" t="s">
        <v>178</v>
      </c>
      <c r="D45" s="6" t="s">
        <v>179</v>
      </c>
      <c r="E45" s="6" t="s">
        <v>180</v>
      </c>
      <c r="F45" s="6" t="s">
        <v>181</v>
      </c>
      <c r="G45" s="6" t="s">
        <v>182</v>
      </c>
      <c r="H45" s="6" t="s">
        <v>183</v>
      </c>
      <c r="I45" s="6" t="s">
        <v>184</v>
      </c>
      <c r="J45" s="6" t="s">
        <v>185</v>
      </c>
    </row>
    <row r="46" spans="1:10" x14ac:dyDescent="0.25">
      <c r="A46" s="15" t="s">
        <v>161</v>
      </c>
      <c r="B46" s="15">
        <v>3</v>
      </c>
      <c r="C46" s="16">
        <v>0</v>
      </c>
      <c r="D46" s="16">
        <v>0</v>
      </c>
      <c r="E46" s="16">
        <v>10</v>
      </c>
      <c r="F46" s="16">
        <v>8</v>
      </c>
      <c r="G46" s="15">
        <f t="shared" ref="G46:G60" si="2">$B46*C46</f>
        <v>0</v>
      </c>
      <c r="H46" s="15">
        <f t="shared" ref="H46:H60" si="3">$B46*D46</f>
        <v>0</v>
      </c>
      <c r="I46" s="15">
        <f t="shared" ref="I46:I60" si="4">$B46*E46</f>
        <v>30</v>
      </c>
      <c r="J46" s="15">
        <f t="shared" ref="J46:J60" si="5">$B46*F46</f>
        <v>24</v>
      </c>
    </row>
    <row r="47" spans="1:10" x14ac:dyDescent="0.25">
      <c r="A47" s="15" t="s">
        <v>162</v>
      </c>
      <c r="B47" s="15">
        <v>5</v>
      </c>
      <c r="C47" s="16">
        <v>0</v>
      </c>
      <c r="D47" s="16">
        <v>0</v>
      </c>
      <c r="E47" s="16">
        <v>1</v>
      </c>
      <c r="F47" s="16">
        <v>2</v>
      </c>
      <c r="G47" s="15">
        <f t="shared" si="2"/>
        <v>0</v>
      </c>
      <c r="H47" s="15">
        <f t="shared" si="3"/>
        <v>0</v>
      </c>
      <c r="I47" s="15">
        <f t="shared" si="4"/>
        <v>5</v>
      </c>
      <c r="J47" s="15">
        <f t="shared" si="5"/>
        <v>10</v>
      </c>
    </row>
    <row r="48" spans="1:10" x14ac:dyDescent="0.25">
      <c r="A48" s="15" t="s">
        <v>163</v>
      </c>
      <c r="B48" s="15">
        <v>7</v>
      </c>
      <c r="C48" s="16">
        <v>0</v>
      </c>
      <c r="D48" s="16">
        <v>0</v>
      </c>
      <c r="E48" s="16">
        <v>4</v>
      </c>
      <c r="F48" s="16">
        <v>2</v>
      </c>
      <c r="G48" s="15">
        <f t="shared" si="2"/>
        <v>0</v>
      </c>
      <c r="H48" s="15">
        <f t="shared" si="3"/>
        <v>0</v>
      </c>
      <c r="I48" s="15">
        <f t="shared" si="4"/>
        <v>28</v>
      </c>
      <c r="J48" s="15">
        <f t="shared" si="5"/>
        <v>14</v>
      </c>
    </row>
    <row r="49" spans="1:10" x14ac:dyDescent="0.25">
      <c r="A49" s="15" t="s">
        <v>164</v>
      </c>
      <c r="B49" s="15">
        <v>30</v>
      </c>
      <c r="C49" s="16">
        <v>2</v>
      </c>
      <c r="D49" s="16">
        <v>0</v>
      </c>
      <c r="E49" s="16">
        <v>0</v>
      </c>
      <c r="F49" s="16">
        <v>0</v>
      </c>
      <c r="G49" s="15">
        <f t="shared" si="2"/>
        <v>60</v>
      </c>
      <c r="H49" s="15">
        <f t="shared" si="3"/>
        <v>0</v>
      </c>
      <c r="I49" s="15">
        <f t="shared" si="4"/>
        <v>0</v>
      </c>
      <c r="J49" s="15">
        <f t="shared" si="5"/>
        <v>0</v>
      </c>
    </row>
    <row r="50" spans="1:10" x14ac:dyDescent="0.25">
      <c r="A50" s="15" t="s">
        <v>165</v>
      </c>
      <c r="B50" s="15">
        <v>30</v>
      </c>
      <c r="C50" s="16">
        <v>2</v>
      </c>
      <c r="D50" s="16">
        <v>0</v>
      </c>
      <c r="E50" s="16">
        <v>0</v>
      </c>
      <c r="F50" s="16">
        <v>0</v>
      </c>
      <c r="G50" s="15">
        <f t="shared" si="2"/>
        <v>60</v>
      </c>
      <c r="H50" s="15">
        <f t="shared" si="3"/>
        <v>0</v>
      </c>
      <c r="I50" s="15">
        <f t="shared" si="4"/>
        <v>0</v>
      </c>
      <c r="J50" s="15">
        <f t="shared" si="5"/>
        <v>0</v>
      </c>
    </row>
    <row r="51" spans="1:10" x14ac:dyDescent="0.25">
      <c r="A51" s="15" t="s">
        <v>166</v>
      </c>
      <c r="B51" s="15">
        <v>5</v>
      </c>
      <c r="C51" s="16">
        <v>0</v>
      </c>
      <c r="D51" s="16">
        <v>0</v>
      </c>
      <c r="E51" s="16">
        <v>1</v>
      </c>
      <c r="F51" s="16">
        <v>1</v>
      </c>
      <c r="G51" s="15">
        <f t="shared" si="2"/>
        <v>0</v>
      </c>
      <c r="H51" s="15">
        <f t="shared" si="3"/>
        <v>0</v>
      </c>
      <c r="I51" s="15">
        <f t="shared" si="4"/>
        <v>5</v>
      </c>
      <c r="J51" s="15">
        <f t="shared" si="5"/>
        <v>5</v>
      </c>
    </row>
    <row r="52" spans="1:10" x14ac:dyDescent="0.25">
      <c r="A52" s="15" t="s">
        <v>167</v>
      </c>
      <c r="B52" s="15">
        <v>10</v>
      </c>
      <c r="C52" s="16">
        <v>0</v>
      </c>
      <c r="D52" s="16">
        <v>24</v>
      </c>
      <c r="E52" s="16">
        <v>0</v>
      </c>
      <c r="F52" s="16">
        <v>0</v>
      </c>
      <c r="G52" s="15">
        <f t="shared" si="2"/>
        <v>0</v>
      </c>
      <c r="H52" s="15">
        <f t="shared" si="3"/>
        <v>240</v>
      </c>
      <c r="I52" s="15">
        <f t="shared" si="4"/>
        <v>0</v>
      </c>
      <c r="J52" s="15">
        <f t="shared" si="5"/>
        <v>0</v>
      </c>
    </row>
    <row r="53" spans="1:10" x14ac:dyDescent="0.25">
      <c r="A53" s="15" t="s">
        <v>168</v>
      </c>
      <c r="B53" s="15">
        <v>40</v>
      </c>
      <c r="C53" s="16">
        <v>2</v>
      </c>
      <c r="D53" s="16">
        <v>0</v>
      </c>
      <c r="E53" s="16">
        <v>1</v>
      </c>
      <c r="F53" s="16">
        <v>1</v>
      </c>
      <c r="G53" s="15">
        <f t="shared" si="2"/>
        <v>80</v>
      </c>
      <c r="H53" s="15">
        <f t="shared" si="3"/>
        <v>0</v>
      </c>
      <c r="I53" s="15">
        <f t="shared" si="4"/>
        <v>40</v>
      </c>
      <c r="J53" s="15">
        <f t="shared" si="5"/>
        <v>40</v>
      </c>
    </row>
    <row r="54" spans="1:10" x14ac:dyDescent="0.25">
      <c r="A54" s="15" t="s">
        <v>169</v>
      </c>
      <c r="B54" s="15">
        <v>40</v>
      </c>
      <c r="C54" s="16">
        <v>1</v>
      </c>
      <c r="D54" s="16">
        <v>0</v>
      </c>
      <c r="E54" s="16">
        <v>0</v>
      </c>
      <c r="F54" s="16">
        <v>0</v>
      </c>
      <c r="G54" s="15">
        <f t="shared" si="2"/>
        <v>40</v>
      </c>
      <c r="H54" s="15">
        <f t="shared" si="3"/>
        <v>0</v>
      </c>
      <c r="I54" s="15">
        <f t="shared" si="4"/>
        <v>0</v>
      </c>
      <c r="J54" s="15">
        <f t="shared" si="5"/>
        <v>0</v>
      </c>
    </row>
    <row r="55" spans="1:10" x14ac:dyDescent="0.25">
      <c r="A55" s="15" t="s">
        <v>170</v>
      </c>
      <c r="B55" s="15">
        <f t="shared" ref="B55" si="6">B38</f>
        <v>4</v>
      </c>
      <c r="C55" s="16">
        <v>40</v>
      </c>
      <c r="D55" s="16">
        <v>0</v>
      </c>
      <c r="E55" s="16">
        <v>25</v>
      </c>
      <c r="F55" s="16">
        <v>25</v>
      </c>
      <c r="G55" s="15">
        <f t="shared" si="2"/>
        <v>160</v>
      </c>
      <c r="H55" s="15">
        <f t="shared" si="3"/>
        <v>0</v>
      </c>
      <c r="I55" s="15">
        <f t="shared" si="4"/>
        <v>100</v>
      </c>
      <c r="J55" s="15">
        <f t="shared" si="5"/>
        <v>100</v>
      </c>
    </row>
    <row r="56" spans="1:10" x14ac:dyDescent="0.25">
      <c r="A56" s="15" t="s">
        <v>171</v>
      </c>
      <c r="B56" s="15">
        <v>5</v>
      </c>
      <c r="C56" s="16">
        <v>0</v>
      </c>
      <c r="D56" s="16">
        <v>0</v>
      </c>
      <c r="E56" s="16">
        <v>2</v>
      </c>
      <c r="F56" s="16">
        <v>2</v>
      </c>
      <c r="G56" s="15">
        <f t="shared" si="2"/>
        <v>0</v>
      </c>
      <c r="H56" s="15">
        <f t="shared" si="3"/>
        <v>0</v>
      </c>
      <c r="I56" s="15">
        <f t="shared" si="4"/>
        <v>10</v>
      </c>
      <c r="J56" s="15">
        <f t="shared" si="5"/>
        <v>10</v>
      </c>
    </row>
    <row r="57" spans="1:10" x14ac:dyDescent="0.25">
      <c r="A57" s="15" t="s">
        <v>172</v>
      </c>
      <c r="B57" s="15">
        <v>10</v>
      </c>
      <c r="C57" s="16">
        <v>7</v>
      </c>
      <c r="D57" s="16">
        <v>8</v>
      </c>
      <c r="E57" s="16">
        <v>0</v>
      </c>
      <c r="F57" s="16">
        <v>0</v>
      </c>
      <c r="G57" s="15">
        <f t="shared" si="2"/>
        <v>70</v>
      </c>
      <c r="H57" s="15">
        <f t="shared" si="3"/>
        <v>80</v>
      </c>
      <c r="I57" s="15">
        <f t="shared" si="4"/>
        <v>0</v>
      </c>
      <c r="J57" s="15">
        <f t="shared" si="5"/>
        <v>0</v>
      </c>
    </row>
    <row r="58" spans="1:10" x14ac:dyDescent="0.25">
      <c r="A58" s="15" t="s">
        <v>173</v>
      </c>
      <c r="B58" s="15">
        <v>2</v>
      </c>
      <c r="C58" s="16">
        <v>16</v>
      </c>
      <c r="D58" s="16">
        <v>10</v>
      </c>
      <c r="E58" s="16">
        <v>6</v>
      </c>
      <c r="F58" s="16">
        <v>6</v>
      </c>
      <c r="G58" s="15">
        <f t="shared" si="2"/>
        <v>32</v>
      </c>
      <c r="H58" s="15">
        <f t="shared" si="3"/>
        <v>20</v>
      </c>
      <c r="I58" s="15">
        <f t="shared" si="4"/>
        <v>12</v>
      </c>
      <c r="J58" s="15">
        <f t="shared" si="5"/>
        <v>12</v>
      </c>
    </row>
    <row r="59" spans="1:10" x14ac:dyDescent="0.25">
      <c r="A59" s="15" t="s">
        <v>174</v>
      </c>
      <c r="B59" s="15">
        <v>5</v>
      </c>
      <c r="C59" s="16">
        <v>0</v>
      </c>
      <c r="D59" s="16">
        <v>0</v>
      </c>
      <c r="E59" s="16">
        <v>1</v>
      </c>
      <c r="F59" s="16">
        <v>1</v>
      </c>
      <c r="G59" s="15">
        <f t="shared" si="2"/>
        <v>0</v>
      </c>
      <c r="H59" s="15">
        <f t="shared" si="3"/>
        <v>0</v>
      </c>
      <c r="I59" s="15">
        <f t="shared" si="4"/>
        <v>5</v>
      </c>
      <c r="J59" s="15">
        <f t="shared" si="5"/>
        <v>5</v>
      </c>
    </row>
    <row r="60" spans="1:10" x14ac:dyDescent="0.25">
      <c r="A60" s="15" t="s">
        <v>175</v>
      </c>
      <c r="B60" s="15">
        <v>30</v>
      </c>
      <c r="C60" s="16">
        <v>1</v>
      </c>
      <c r="D60" s="16">
        <v>1</v>
      </c>
      <c r="E60" s="16">
        <v>0</v>
      </c>
      <c r="F60" s="16">
        <v>0</v>
      </c>
      <c r="G60" s="15">
        <f t="shared" si="2"/>
        <v>30</v>
      </c>
      <c r="H60" s="15">
        <f t="shared" si="3"/>
        <v>30</v>
      </c>
      <c r="I60" s="15">
        <f t="shared" si="4"/>
        <v>0</v>
      </c>
      <c r="J60" s="15">
        <f t="shared" si="5"/>
        <v>0</v>
      </c>
    </row>
    <row r="61" spans="1:10" x14ac:dyDescent="0.25">
      <c r="A61" s="20" t="s">
        <v>186</v>
      </c>
      <c r="B61" s="2"/>
      <c r="C61" s="2"/>
      <c r="D61" s="2"/>
      <c r="E61" s="2"/>
      <c r="F61" s="2"/>
      <c r="G61" s="20">
        <f>SUM(G46:G60)</f>
        <v>532</v>
      </c>
      <c r="H61" s="20">
        <f>SUM(H46:H60)</f>
        <v>370</v>
      </c>
      <c r="I61" s="20">
        <f>SUM(I46:I60)</f>
        <v>235</v>
      </c>
      <c r="J61" s="20">
        <f>SUM(J46:J60)</f>
        <v>220</v>
      </c>
    </row>
    <row r="62" spans="1:10" x14ac:dyDescent="0.25">
      <c r="A62" s="20" t="s">
        <v>187</v>
      </c>
      <c r="B62" s="15">
        <f>B11</f>
        <v>1.1499999999999999</v>
      </c>
      <c r="C62" s="2"/>
      <c r="D62" s="2"/>
      <c r="E62" s="2"/>
      <c r="F62" s="2"/>
      <c r="G62" s="20">
        <f>ROUND(G61*$B$11,0)</f>
        <v>612</v>
      </c>
      <c r="H62" s="20">
        <f>ROUND(H61*$B$11,0)</f>
        <v>426</v>
      </c>
      <c r="I62" s="20">
        <f>ROUND(I61*$B$11,0)</f>
        <v>270</v>
      </c>
      <c r="J62" s="20">
        <f>ROUND(J61*$B$11,0)</f>
        <v>253</v>
      </c>
    </row>
    <row r="63" spans="1:10" x14ac:dyDescent="0.25">
      <c r="A63" s="10" t="s">
        <v>188</v>
      </c>
    </row>
    <row r="64" spans="1:10" x14ac:dyDescent="0.25">
      <c r="A64" s="6" t="s">
        <v>189</v>
      </c>
      <c r="B64" s="6" t="s">
        <v>112</v>
      </c>
    </row>
    <row r="65" spans="1:2" ht="30" customHeight="1" x14ac:dyDescent="0.25">
      <c r="A65" s="20" t="s">
        <v>190</v>
      </c>
      <c r="B65" s="22" t="s">
        <v>191</v>
      </c>
    </row>
    <row r="66" spans="1:2" ht="30" customHeight="1" x14ac:dyDescent="0.25">
      <c r="A66" s="20" t="s">
        <v>192</v>
      </c>
      <c r="B66" s="22" t="s">
        <v>193</v>
      </c>
    </row>
    <row r="67" spans="1:2" ht="30" customHeight="1" x14ac:dyDescent="0.25">
      <c r="A67" s="20" t="s">
        <v>194</v>
      </c>
      <c r="B67" s="22" t="s">
        <v>195</v>
      </c>
    </row>
    <row r="68" spans="1:2" ht="30" customHeight="1" x14ac:dyDescent="0.25">
      <c r="A68" s="20" t="s">
        <v>196</v>
      </c>
      <c r="B68" s="22" t="s">
        <v>197</v>
      </c>
    </row>
    <row r="69" spans="1:2" ht="30" customHeight="1" x14ac:dyDescent="0.25">
      <c r="A69" s="20" t="s">
        <v>198</v>
      </c>
      <c r="B69" s="22" t="s">
        <v>199</v>
      </c>
    </row>
    <row r="70" spans="1:2" ht="30" customHeight="1" x14ac:dyDescent="0.25">
      <c r="A70" s="20" t="s">
        <v>200</v>
      </c>
      <c r="B70" s="22" t="s">
        <v>201</v>
      </c>
    </row>
    <row r="71" spans="1:2" ht="30" customHeight="1" x14ac:dyDescent="0.25">
      <c r="A71" s="20" t="s">
        <v>202</v>
      </c>
      <c r="B71" s="22" t="s">
        <v>203</v>
      </c>
    </row>
    <row r="72" spans="1:2" ht="30" customHeight="1" x14ac:dyDescent="0.25">
      <c r="A72" s="20" t="s">
        <v>204</v>
      </c>
      <c r="B72" s="22" t="s">
        <v>205</v>
      </c>
    </row>
    <row r="73" spans="1:2" ht="30" customHeight="1" x14ac:dyDescent="0.25">
      <c r="A73" s="20" t="s">
        <v>206</v>
      </c>
      <c r="B73" s="22" t="s">
        <v>207</v>
      </c>
    </row>
    <row r="74" spans="1:2" ht="30" customHeight="1" x14ac:dyDescent="0.25">
      <c r="A74" s="20" t="s">
        <v>208</v>
      </c>
      <c r="B74" s="22" t="s">
        <v>209</v>
      </c>
    </row>
    <row r="75" spans="1:2" ht="30" customHeight="1" x14ac:dyDescent="0.25">
      <c r="A75" s="20" t="s">
        <v>210</v>
      </c>
      <c r="B75" s="22" t="s">
        <v>211</v>
      </c>
    </row>
    <row r="76" spans="1:2" ht="30" customHeight="1" x14ac:dyDescent="0.25">
      <c r="A76" s="20" t="s">
        <v>212</v>
      </c>
      <c r="B76" s="22" t="s">
        <v>213</v>
      </c>
    </row>
    <row r="77" spans="1:2" ht="30" customHeight="1" x14ac:dyDescent="0.25">
      <c r="A77" s="20" t="s">
        <v>214</v>
      </c>
      <c r="B77" s="22" t="s">
        <v>215</v>
      </c>
    </row>
    <row r="78" spans="1:2" ht="30" customHeight="1" x14ac:dyDescent="0.25">
      <c r="A78" s="20" t="s">
        <v>216</v>
      </c>
      <c r="B78" s="22" t="s">
        <v>217</v>
      </c>
    </row>
    <row r="79" spans="1:2" ht="30" customHeight="1" x14ac:dyDescent="0.25">
      <c r="A79" s="20" t="s">
        <v>218</v>
      </c>
      <c r="B79" s="22" t="s">
        <v>219</v>
      </c>
    </row>
    <row r="80" spans="1:2" ht="30" customHeight="1" x14ac:dyDescent="0.25">
      <c r="A80" s="20" t="s">
        <v>220</v>
      </c>
      <c r="B80" s="22" t="s">
        <v>221</v>
      </c>
    </row>
    <row r="81" spans="1:2" ht="30" customHeight="1" x14ac:dyDescent="0.25">
      <c r="A81" s="20" t="s">
        <v>222</v>
      </c>
      <c r="B81" s="22" t="s">
        <v>223</v>
      </c>
    </row>
    <row r="82" spans="1:2" ht="30" customHeight="1" x14ac:dyDescent="0.25">
      <c r="A82" s="20" t="s">
        <v>224</v>
      </c>
      <c r="B82" s="22" t="s">
        <v>225</v>
      </c>
    </row>
    <row r="83" spans="1:2" ht="30" customHeight="1" x14ac:dyDescent="0.25">
      <c r="A83" s="20" t="s">
        <v>226</v>
      </c>
      <c r="B83" s="22" t="s">
        <v>227</v>
      </c>
    </row>
    <row r="84" spans="1:2" ht="30" customHeight="1" x14ac:dyDescent="0.25">
      <c r="A84" s="20" t="s">
        <v>228</v>
      </c>
      <c r="B84" s="22" t="s">
        <v>229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BOM</vt:lpstr>
      <vt:lpstr>СВОД</vt:lpstr>
      <vt:lpstr>Kurallar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YUSUF KAPLAN</cp:lastModifiedBy>
  <cp:revision>0</cp:revision>
  <dcterms:created xsi:type="dcterms:W3CDTF">2026-08-18T10:56:59Z</dcterms:created>
  <dcterms:modified xsi:type="dcterms:W3CDTF">2026-08-28T07:55:30Z</dcterms:modified>
  <dc:language>en-US</dc:language>
</cp:coreProperties>
</file>