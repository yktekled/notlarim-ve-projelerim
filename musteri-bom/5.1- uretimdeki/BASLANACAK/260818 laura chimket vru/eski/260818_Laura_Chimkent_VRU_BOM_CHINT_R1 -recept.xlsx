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0818 laura chimket vru\"/>
    </mc:Choice>
  </mc:AlternateContent>
  <xr:revisionPtr revIDLastSave="0" documentId="13_ncr:1_{E1732B57-B855-4FC4-B475-E27ED996A904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BOM" sheetId="1" r:id="rId1"/>
  </sheets>
  <definedNames>
    <definedName name="_xlnm._FilterDatabase" localSheetId="0" hidden="1">BOM!$A$1:$H$74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0" i="1" l="1"/>
  <c r="B6" i="1"/>
  <c r="B13" i="1"/>
  <c r="F42" i="1"/>
  <c r="B26" i="1"/>
  <c r="B27" i="1" s="1"/>
  <c r="B28" i="1" s="1"/>
  <c r="B29" i="1" s="1"/>
  <c r="B30" i="1" s="1"/>
  <c r="B31" i="1" s="1"/>
  <c r="B32" i="1" s="1"/>
  <c r="B33" i="1" s="1"/>
  <c r="B34" i="1" s="1"/>
  <c r="B35" i="1" s="1"/>
  <c r="B36" i="1" l="1"/>
  <c r="B37" i="1" s="1"/>
  <c r="B38" i="1" s="1"/>
  <c r="B39" i="1" s="1"/>
  <c r="B40" i="1" s="1"/>
  <c r="B41" i="1"/>
  <c r="B42" i="1" s="1"/>
  <c r="B74" i="1" l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25" i="1"/>
  <c r="B24" i="1"/>
  <c r="B23" i="1"/>
  <c r="B22" i="1"/>
  <c r="B21" i="1"/>
  <c r="B20" i="1"/>
  <c r="B19" i="1"/>
  <c r="B18" i="1"/>
  <c r="B17" i="1"/>
  <c r="B16" i="1"/>
  <c r="B15" i="1"/>
  <c r="B14" i="1"/>
  <c r="B12" i="1"/>
  <c r="B11" i="1"/>
  <c r="B9" i="1"/>
  <c r="B8" i="1"/>
  <c r="B7" i="1"/>
  <c r="B5" i="1"/>
  <c r="B4" i="1"/>
  <c r="B3" i="1"/>
  <c r="B2" i="1"/>
</calcChain>
</file>

<file path=xl/sharedStrings.xml><?xml version="1.0" encoding="utf-8"?>
<sst xmlns="http://schemas.openxmlformats.org/spreadsheetml/2006/main" count="370" uniqueCount="158">
  <si>
    <t>№</t>
  </si>
  <si>
    <t>Наименование1</t>
  </si>
  <si>
    <t>Тип мат.</t>
  </si>
  <si>
    <t>Артикул</t>
  </si>
  <si>
    <t>Номенклатура</t>
  </si>
  <si>
    <t>Кол-во</t>
  </si>
  <si>
    <t>Ед.изм.</t>
  </si>
  <si>
    <t>Завод</t>
  </si>
  <si>
    <t>пано</t>
  </si>
  <si>
    <t>ВРУ-1</t>
  </si>
  <si>
    <t>ВРУ-1 — Вводно-распределительное устройство ВРУ1-13-20 УХЛ4 (аналог, сборка YSF HICH)</t>
  </si>
  <si>
    <t>комплект</t>
  </si>
  <si>
    <t>korpus</t>
  </si>
  <si>
    <t>шт.</t>
  </si>
  <si>
    <t>Kaztek/TEKSAN</t>
  </si>
  <si>
    <t>TMŞ</t>
  </si>
  <si>
    <t>CHINT</t>
  </si>
  <si>
    <t>rubilnik</t>
  </si>
  <si>
    <t>tt</t>
  </si>
  <si>
    <t>256478</t>
  </si>
  <si>
    <t>Трансформатор тока BH-0.66 30 B 150/5А, кл. точн. 0,5 (аналог ТТИ-А 150/5А 5ВА)</t>
  </si>
  <si>
    <t>sayac</t>
  </si>
  <si>
    <t>ЦЭ 6850М</t>
  </si>
  <si>
    <t>Счётчик электроэнергии ЦЭ 6850М 380В 5А, электронный, АСКУЭ (Энергомера) — см. K02</t>
  </si>
  <si>
    <t>Энергомера / прочее</t>
  </si>
  <si>
    <t>blok</t>
  </si>
  <si>
    <t>LOOBAR</t>
  </si>
  <si>
    <t>м</t>
  </si>
  <si>
    <t>130500106_</t>
  </si>
  <si>
    <t>Изолятор SM40 с болтом (М8) 475А 12кВ UNIT</t>
  </si>
  <si>
    <t>montajный материал</t>
  </si>
  <si>
    <t>270300200_</t>
  </si>
  <si>
    <t>Klemens</t>
  </si>
  <si>
    <t>MONT-3%</t>
  </si>
  <si>
    <t>Монтажный материал (крепёж, маркировка, кабельные стяжки, наконечники НШВИ) — % от суммы материалов панели</t>
  </si>
  <si>
    <t>компл.</t>
  </si>
  <si>
    <t>ВРУ-2</t>
  </si>
  <si>
    <t>ВРУ-2 — Распределительная панель ВРУ1-50-00 УХЛ4 (аналог, сборка YSF HICH)</t>
  </si>
  <si>
    <t>fu</t>
  </si>
  <si>
    <t>ЩС-1</t>
  </si>
  <si>
    <t>ЩС-1 — Щит силовой распределительный ЩУРн-3/48 (проект: ЩУРн-3/36зо-1-36 УХЛ3)</t>
  </si>
  <si>
    <t>716-15020</t>
  </si>
  <si>
    <t>Щит ЩУРн-3/48 с окном (540х600х165) 36 IP31 (Kaztek/TEKSAN) — см. K12, K13</t>
  </si>
  <si>
    <t>193183</t>
  </si>
  <si>
    <t>Выключатель нагрузки NXHB-125 3P 63А (аналог ВН 32 3Р, вводной)</t>
  </si>
  <si>
    <t>СЕ 301 S31</t>
  </si>
  <si>
    <t>Счётчик электроэнергии СЕ 301 S31 146 JAVZ, электронный, АСКУЭ (Энергомера) — см. K02</t>
  </si>
  <si>
    <t>OTO</t>
  </si>
  <si>
    <t>814014</t>
  </si>
  <si>
    <t>Авт. выкл. NXB-63 1P 16A х-ка C 6кА (аналог ВА47-29 1Р 16А) — гр.1…гр.8, БТП</t>
  </si>
  <si>
    <t>814017</t>
  </si>
  <si>
    <t>Авт. выкл. NXB-63 1P 32A х-ка C 6кА (аналог ВА47-29 1Р 32А) — ШУО</t>
  </si>
  <si>
    <t>814172</t>
  </si>
  <si>
    <t>Авт. выкл. NXB-63 3P 25A х-ка C 6кА (аналог ВА47-29 3Р 25А) — Н1 ШУ</t>
  </si>
  <si>
    <t>DİF</t>
  </si>
  <si>
    <t>130200366_</t>
  </si>
  <si>
    <t>Шина соединительная PIN (штырь) 1ф 63А (1 м) UNIT</t>
  </si>
  <si>
    <t>130200363_</t>
  </si>
  <si>
    <t>Шина "N" нулевая 8х12 мм ШНИ 14-КС с изолятором "Стойка"</t>
  </si>
  <si>
    <t>130200401_</t>
  </si>
  <si>
    <t>Шина "PE" земля ШНИ 6х9 12-К-З на DIN-рейку в корпусном изоляторе</t>
  </si>
  <si>
    <t>ЩС-2</t>
  </si>
  <si>
    <t>ЩС-2 — Щит силовой распределительный ЩУРн-3/30 (проект: ЩУРн-3/24зо-1-36 УХЛ3)</t>
  </si>
  <si>
    <t>716-15015</t>
  </si>
  <si>
    <t>Щит ЩУРн-3/30 с окном (490х540х165) 36 IP31 (Kaztek/TEKSAN) — см. K12, K14</t>
  </si>
  <si>
    <t>814174</t>
  </si>
  <si>
    <t>Авт. выкл. NXB-63 3P 40A х-ка C 6кА (аналог ВА47-29 3Р 40А) — Л1 лифт</t>
  </si>
  <si>
    <t>Авт. выкл. NXB-63 3P 25A х-ка C 6кА (аналог ВА47-29 3Р 25А) — Н2 ШУ</t>
  </si>
  <si>
    <t>Авт. выкл. NXB-63 1P 16A х-ка C 6кА (аналог ВА47-29 1Р 16А + ВА47-100 1Р 16А, см. K09)</t>
  </si>
  <si>
    <t>719-15043</t>
  </si>
  <si>
    <t>515381</t>
  </si>
  <si>
    <t>Диф. авт. выкл. NXBLE-63YH 1P+N C16 30mA тип A, 6kA (R)</t>
  </si>
  <si>
    <t>521345</t>
  </si>
  <si>
    <t>Плавкая вставка предохранителя RT36-00-160, габарит 00, 50А</t>
  </si>
  <si>
    <t>521344</t>
  </si>
  <si>
    <t>Плавкая вставка предохранителя RT36-00-160, габарит 00, 40А</t>
  </si>
  <si>
    <t>521349</t>
  </si>
  <si>
    <t>Плавкая вставка предохранителя RT36-00-160, габарит 00, 100А</t>
  </si>
  <si>
    <t>521260</t>
  </si>
  <si>
    <t>Держатель плавкой вставки RT36-00-160, габарит 00, 160А</t>
  </si>
  <si>
    <t>pys</t>
  </si>
  <si>
    <t>tekled</t>
  </si>
  <si>
    <t>Мет. Щит ВРУ 1700х800х450+10CM База</t>
  </si>
  <si>
    <t>270100160_</t>
  </si>
  <si>
    <t>Рубильник ВР-32-35  В71250-250А на 2 направления (+6камер) UNIT (1/8)</t>
  </si>
  <si>
    <t>131364</t>
  </si>
  <si>
    <t>Авт. выкл. NXM-160S/3Р 160A 36кА (R)</t>
  </si>
  <si>
    <t>131363</t>
  </si>
  <si>
    <t>Авт. выкл. NXM-125S/3Р 125A 25кА (R)</t>
  </si>
  <si>
    <t>TEKLED ELECTRIC</t>
  </si>
  <si>
    <t>ЩУО</t>
  </si>
  <si>
    <t>bh32</t>
  </si>
  <si>
    <t>Регулятор температуры Teploluxe 100 NEW (Замена вместо РТ 330)</t>
  </si>
  <si>
    <t>tregulator</t>
  </si>
  <si>
    <t>mod kontaktor</t>
  </si>
  <si>
    <t>714-15005</t>
  </si>
  <si>
    <t>Pano met.ShRn-12 b/o (313х268х120)S/U 36 IP31 (TS)</t>
  </si>
  <si>
    <t>193181</t>
  </si>
  <si>
    <t>Выключатель нагрузки NXHB-125 3P 32A (R)</t>
  </si>
  <si>
    <t>296710</t>
  </si>
  <si>
    <t>Авт. выкл. NXB-63S 1P 16А 4.5kA х-ка C (R)</t>
  </si>
  <si>
    <t>296708</t>
  </si>
  <si>
    <t>Авт. выкл. NXB-63S 1P 6А 4.5kA х-ка C (R)</t>
  </si>
  <si>
    <t>256081</t>
  </si>
  <si>
    <t>Контактор модульный NCH8-40/20 40A 2НО AC220/230В 50Гц (R)</t>
  </si>
  <si>
    <t>АВР-101-100А</t>
  </si>
  <si>
    <t>TEKSAN</t>
  </si>
  <si>
    <t>719-15450</t>
  </si>
  <si>
    <t>Корпус ЩМП5 (1000x650x300) IP54</t>
  </si>
  <si>
    <t xml:space="preserve"> ШТ. </t>
  </si>
  <si>
    <t>teksan f</t>
  </si>
  <si>
    <t>oto</t>
  </si>
  <si>
    <t>131362</t>
  </si>
  <si>
    <t>Авт. выкл. NXM-125S/3Р 100A 25кА (R)</t>
  </si>
  <si>
    <t>chint</t>
  </si>
  <si>
    <t>contactor</t>
  </si>
  <si>
    <t>235643</t>
  </si>
  <si>
    <t>Контактор NC2-115 115A 220-240В/АС3 50Гц (старый артикул)</t>
  </si>
  <si>
    <t>rele</t>
  </si>
  <si>
    <t>285448</t>
  </si>
  <si>
    <t>Промежуточное реле JZX-22F(D) 4 конт. с инд. LED 3А 220В AC (R)</t>
  </si>
  <si>
    <t>rozetka</t>
  </si>
  <si>
    <t>285976</t>
  </si>
  <si>
    <t>Розетка CZY14A для JZX-22F(D) 4 контакта</t>
  </si>
  <si>
    <t>296825</t>
  </si>
  <si>
    <t>Авт. выкл. NXB-63S 3P 6А 4.5kA х-ка C (R)</t>
  </si>
  <si>
    <t>perekluchatel</t>
  </si>
  <si>
    <t>574849</t>
  </si>
  <si>
    <t>Переключатель NP2-BD33, 3 положения с фиксацией, 2НО IP40</t>
  </si>
  <si>
    <t>button</t>
  </si>
  <si>
    <t>574842</t>
  </si>
  <si>
    <t>Кнопка управления NP2-BA31 без подсветки зеленая 1НО IP40</t>
  </si>
  <si>
    <t>574843</t>
  </si>
  <si>
    <t>Кнопка управления NP2-BA42 без подсветки красная 1НЗ IP40</t>
  </si>
  <si>
    <t>indicator</t>
  </si>
  <si>
    <t>593077</t>
  </si>
  <si>
    <t>Индикатор ND16-22D/2 зеленый AC/DC230В (R)</t>
  </si>
  <si>
    <t>block</t>
  </si>
  <si>
    <t>576728</t>
  </si>
  <si>
    <t>Блоки контактные NP2-BE101, 1НО</t>
  </si>
  <si>
    <t>257022</t>
  </si>
  <si>
    <t>Приставка доп.контакты F4-11 к контактору NC1 и NC2 (R)</t>
  </si>
  <si>
    <t>монтажный материал</t>
  </si>
  <si>
    <t>монтажная работа</t>
  </si>
  <si>
    <t>130500107_</t>
  </si>
  <si>
    <t>Изолятор SM51 с болтом (М8) 680А 15кВ UNIT (10/200)</t>
  </si>
  <si>
    <t>lamp</t>
  </si>
  <si>
    <t>Разрядник</t>
  </si>
  <si>
    <t>Коробка клеммная испытательная переходная ККИ2-1 (латунь) EKF</t>
  </si>
  <si>
    <t>ККИ2-1</t>
  </si>
  <si>
    <t>Разрядник РВН-0,5</t>
  </si>
  <si>
    <t>130200188_</t>
  </si>
  <si>
    <t>Шина алюм АД31Т  3х20х4000</t>
  </si>
  <si>
    <t>kki2-1</t>
  </si>
  <si>
    <t>697027</t>
  </si>
  <si>
    <t>Реле контроля фаз NJYB3-8 AC380V (R)</t>
  </si>
  <si>
    <t>193182</t>
  </si>
  <si>
    <t>Выключатель нагрузки NXHB-125 3P 40A (R)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</si>
</sst>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7" formatCode="_-* #,##0_-;\-* #,##0_-;_-* \-??_-;_-@_-"/>
  </numFmts>
  <fonts count="5" x14ac:knownFonts="1">
    <font>
      <sz val="11"/>
      <color theme="1"/>
      <name val="Calibri"/>
      <family val="2"/>
      <charset val="1"/>
    </font>
    <font>
      <b/>
      <sz val="10"/>
      <color rgb="FF000000"/>
      <name val="Arial"/>
      <family val="2"/>
      <charset val="204"/>
    </font>
    <font>
      <sz val="11"/>
      <color theme="1"/>
      <name val="Calibri"/>
      <family val="2"/>
      <charset val="1"/>
    </font>
    <font>
      <b/>
      <sz val="10"/>
      <color theme="1"/>
      <name val="Calibri"/>
      <family val="2"/>
    </font>
    <font>
      <b/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BFBFBF"/>
        <bgColor rgb="FFD9D9D9"/>
      </patternFill>
    </fill>
    <fill>
      <patternFill patternType="solid">
        <fgColor rgb="FFFFCC66"/>
        <bgColor rgb="FFFFFF00"/>
      </patternFill>
    </fill>
    <fill>
      <patternFill patternType="solid">
        <fgColor rgb="FFFFCC66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99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vertical="top" wrapText="1"/>
    </xf>
    <xf numFmtId="0" fontId="1" fillId="3" borderId="1" xfId="0" applyFont="1" applyFill="1" applyBorder="1"/>
    <xf numFmtId="0" fontId="0" fillId="4" borderId="1" xfId="0" applyFill="1" applyBorder="1"/>
    <xf numFmtId="0" fontId="1" fillId="4" borderId="1" xfId="0" applyFont="1" applyFill="1" applyBorder="1" applyAlignment="1">
      <alignment vertical="top" wrapText="1"/>
    </xf>
    <xf numFmtId="0" fontId="1" fillId="5" borderId="1" xfId="0" applyFont="1" applyFill="1" applyBorder="1"/>
    <xf numFmtId="0" fontId="0" fillId="6" borderId="1" xfId="0" applyFill="1" applyBorder="1"/>
    <xf numFmtId="0" fontId="1" fillId="6" borderId="1" xfId="0" applyFont="1" applyFill="1" applyBorder="1" applyAlignment="1">
      <alignment vertical="top" wrapText="1"/>
    </xf>
    <xf numFmtId="0" fontId="3" fillId="7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3" fontId="3" fillId="7" borderId="2" xfId="1" applyNumberFormat="1" applyFont="1" applyFill="1" applyBorder="1" applyAlignment="1" applyProtection="1">
      <alignment horizontal="center" vertical="center" wrapText="1"/>
    </xf>
    <xf numFmtId="0" fontId="3" fillId="7" borderId="2" xfId="1" applyNumberFormat="1" applyFont="1" applyFill="1" applyBorder="1" applyAlignment="1" applyProtection="1">
      <alignment horizontal="center" vertical="center"/>
    </xf>
    <xf numFmtId="167" fontId="3" fillId="7" borderId="2" xfId="1" applyNumberFormat="1" applyFont="1" applyFill="1" applyBorder="1" applyAlignment="1" applyProtection="1">
      <alignment horizontal="center" vertical="center" wrapText="1"/>
    </xf>
    <xf numFmtId="3" fontId="3" fillId="7" borderId="2" xfId="0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Virgül" xfId="1" builtinId="3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4"/>
  <sheetViews>
    <sheetView tabSelected="1" zoomScaleNormal="100" workbookViewId="0">
      <pane ySplit="1" topLeftCell="A27" activePane="bottomLeft" state="frozen"/>
      <selection pane="bottomLeft" activeCell="E87" sqref="E87"/>
    </sheetView>
  </sheetViews>
  <sheetFormatPr defaultColWidth="8.7109375" defaultRowHeight="15" x14ac:dyDescent="0.25"/>
  <cols>
    <col min="1" max="1" width="5" customWidth="1"/>
    <col min="2" max="2" width="20.42578125" customWidth="1"/>
    <col min="3" max="3" width="18" customWidth="1"/>
    <col min="4" max="4" width="14" customWidth="1"/>
    <col min="5" max="5" width="78" customWidth="1"/>
    <col min="6" max="6" width="9" customWidth="1"/>
    <col min="7" max="7" width="10" customWidth="1"/>
    <col min="8" max="8" width="24.28515625" customWidth="1"/>
  </cols>
  <sheetData>
    <row r="1" spans="1:8" ht="42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5.5" x14ac:dyDescent="0.25">
      <c r="A2" s="2"/>
      <c r="B2" s="4" t="str">
        <f>E2</f>
        <v>ВРУ-1 — Вводно-распределительное устройство ВРУ1-13-20 УХЛ4 (аналог, сборка YSF HICH)</v>
      </c>
      <c r="C2" s="5" t="s">
        <v>8</v>
      </c>
      <c r="D2" s="5" t="s">
        <v>9</v>
      </c>
      <c r="E2" s="6" t="s">
        <v>10</v>
      </c>
      <c r="F2" s="5">
        <v>1</v>
      </c>
      <c r="G2" s="5" t="s">
        <v>11</v>
      </c>
      <c r="H2" s="5" t="s">
        <v>89</v>
      </c>
    </row>
    <row r="3" spans="1:8" x14ac:dyDescent="0.25">
      <c r="A3" s="2">
        <v>1</v>
      </c>
      <c r="B3" s="2" t="str">
        <f>E2</f>
        <v>ВРУ-1 — Вводно-распределительное устройство ВРУ1-13-20 УХЛ4 (аналог, сборка YSF HICH)</v>
      </c>
      <c r="C3" s="2" t="s">
        <v>12</v>
      </c>
      <c r="D3" s="2" t="s">
        <v>69</v>
      </c>
      <c r="E3" s="3" t="s">
        <v>82</v>
      </c>
      <c r="F3" s="2">
        <v>1</v>
      </c>
      <c r="G3" s="2" t="s">
        <v>13</v>
      </c>
      <c r="H3" s="2" t="s">
        <v>14</v>
      </c>
    </row>
    <row r="4" spans="1:8" x14ac:dyDescent="0.25">
      <c r="A4" s="2">
        <v>2</v>
      </c>
      <c r="B4" s="2" t="str">
        <f>E2</f>
        <v>ВРУ-1 — Вводно-распределительное устройство ВРУ1-13-20 УХЛ4 (аналог, сборка YSF HICH)</v>
      </c>
      <c r="C4" s="2" t="s">
        <v>15</v>
      </c>
      <c r="D4" s="2" t="s">
        <v>85</v>
      </c>
      <c r="E4" s="3" t="s">
        <v>86</v>
      </c>
      <c r="F4" s="2">
        <v>1</v>
      </c>
      <c r="G4" s="2" t="s">
        <v>13</v>
      </c>
      <c r="H4" s="2" t="s">
        <v>16</v>
      </c>
    </row>
    <row r="5" spans="1:8" x14ac:dyDescent="0.25">
      <c r="A5" s="2">
        <v>3</v>
      </c>
      <c r="B5" s="2" t="str">
        <f>E2</f>
        <v>ВРУ-1 — Вводно-распределительное устройство ВРУ1-13-20 УХЛ4 (аналог, сборка YSF HICH)</v>
      </c>
      <c r="C5" s="2" t="s">
        <v>15</v>
      </c>
      <c r="D5" s="2" t="s">
        <v>87</v>
      </c>
      <c r="E5" s="3" t="s">
        <v>88</v>
      </c>
      <c r="F5" s="2">
        <v>1</v>
      </c>
      <c r="G5" s="2" t="s">
        <v>13</v>
      </c>
      <c r="H5" s="2" t="s">
        <v>16</v>
      </c>
    </row>
    <row r="6" spans="1:8" x14ac:dyDescent="0.25">
      <c r="A6" s="2">
        <v>2</v>
      </c>
      <c r="B6" s="2" t="str">
        <f>E4</f>
        <v>Авт. выкл. NXM-160S/3Р 160A 36кА (R)</v>
      </c>
      <c r="C6" s="2" t="s">
        <v>111</v>
      </c>
      <c r="D6" s="2" t="s">
        <v>101</v>
      </c>
      <c r="E6" s="3" t="s">
        <v>102</v>
      </c>
      <c r="F6" s="2">
        <v>1</v>
      </c>
      <c r="G6" s="2" t="s">
        <v>13</v>
      </c>
      <c r="H6" s="2" t="s">
        <v>16</v>
      </c>
    </row>
    <row r="7" spans="1:8" x14ac:dyDescent="0.25">
      <c r="A7" s="2">
        <v>4</v>
      </c>
      <c r="B7" s="2" t="str">
        <f>E2</f>
        <v>ВРУ-1 — Вводно-распределительное устройство ВРУ1-13-20 УХЛ4 (аналог, сборка YSF HICH)</v>
      </c>
      <c r="C7" s="2" t="s">
        <v>17</v>
      </c>
      <c r="D7" s="2" t="s">
        <v>83</v>
      </c>
      <c r="E7" s="3" t="s">
        <v>84</v>
      </c>
      <c r="F7" s="2">
        <v>2</v>
      </c>
      <c r="G7" s="2" t="s">
        <v>13</v>
      </c>
      <c r="H7" s="2" t="s">
        <v>80</v>
      </c>
    </row>
    <row r="8" spans="1:8" x14ac:dyDescent="0.25">
      <c r="A8" s="2">
        <v>5</v>
      </c>
      <c r="B8" s="2" t="str">
        <f>E2</f>
        <v>ВРУ-1 — Вводно-распределительное устройство ВРУ1-13-20 УХЛ4 (аналог, сборка YSF HICH)</v>
      </c>
      <c r="C8" s="2" t="s">
        <v>18</v>
      </c>
      <c r="D8" s="2" t="s">
        <v>19</v>
      </c>
      <c r="E8" s="3" t="s">
        <v>20</v>
      </c>
      <c r="F8" s="2">
        <v>6</v>
      </c>
      <c r="G8" s="2" t="s">
        <v>13</v>
      </c>
      <c r="H8" s="2" t="s">
        <v>16</v>
      </c>
    </row>
    <row r="9" spans="1:8" ht="30" x14ac:dyDescent="0.25">
      <c r="A9" s="2">
        <v>6</v>
      </c>
      <c r="B9" s="2" t="str">
        <f>E2</f>
        <v>ВРУ-1 — Вводно-распределительное устройство ВРУ1-13-20 УХЛ4 (аналог, сборка YSF HICH)</v>
      </c>
      <c r="C9" s="2" t="s">
        <v>21</v>
      </c>
      <c r="D9" s="2" t="s">
        <v>22</v>
      </c>
      <c r="E9" s="3" t="s">
        <v>23</v>
      </c>
      <c r="F9" s="2">
        <v>0</v>
      </c>
      <c r="G9" s="2" t="s">
        <v>13</v>
      </c>
      <c r="H9" s="2" t="s">
        <v>24</v>
      </c>
    </row>
    <row r="10" spans="1:8" x14ac:dyDescent="0.25">
      <c r="A10" s="2">
        <v>2</v>
      </c>
      <c r="B10" s="2" t="str">
        <f>E8</f>
        <v>Трансформатор тока BH-0.66 30 B 150/5А, кл. точн. 0,5 (аналог ТТИ-А 150/5А 5ВА)</v>
      </c>
      <c r="C10" s="2" t="s">
        <v>146</v>
      </c>
      <c r="D10" s="2"/>
      <c r="E10" s="3" t="s">
        <v>146</v>
      </c>
      <c r="F10" s="2">
        <v>1</v>
      </c>
      <c r="G10" s="2" t="s">
        <v>13</v>
      </c>
      <c r="H10" s="2" t="s">
        <v>16</v>
      </c>
    </row>
    <row r="11" spans="1:8" x14ac:dyDescent="0.25">
      <c r="A11" s="2">
        <v>8</v>
      </c>
      <c r="B11" s="2" t="str">
        <f>E2</f>
        <v>ВРУ-1 — Вводно-распределительное устройство ВРУ1-13-20 УХЛ4 (аналог, сборка YSF HICH)</v>
      </c>
      <c r="C11" s="2" t="s">
        <v>26</v>
      </c>
      <c r="D11" s="2" t="s">
        <v>151</v>
      </c>
      <c r="E11" s="3" t="s">
        <v>152</v>
      </c>
      <c r="F11" s="2">
        <v>6</v>
      </c>
      <c r="G11" s="2" t="s">
        <v>27</v>
      </c>
      <c r="H11" s="2" t="s">
        <v>80</v>
      </c>
    </row>
    <row r="12" spans="1:8" x14ac:dyDescent="0.25">
      <c r="A12" s="2">
        <v>9</v>
      </c>
      <c r="B12" s="2" t="str">
        <f>E2</f>
        <v>ВРУ-1 — Вводно-распределительное устройство ВРУ1-13-20 УХЛ4 (аналог, сборка YSF HICH)</v>
      </c>
      <c r="C12" s="2" t="s">
        <v>25</v>
      </c>
      <c r="D12" s="2" t="s">
        <v>28</v>
      </c>
      <c r="E12" s="3" t="s">
        <v>29</v>
      </c>
      <c r="F12" s="2">
        <v>6</v>
      </c>
      <c r="G12" s="2" t="s">
        <v>13</v>
      </c>
      <c r="H12" s="2" t="s">
        <v>80</v>
      </c>
    </row>
    <row r="13" spans="1:8" x14ac:dyDescent="0.25">
      <c r="A13" s="2">
        <v>9</v>
      </c>
      <c r="B13" s="2" t="str">
        <f>E3</f>
        <v>Мет. Щит ВРУ 1700х800х450+10CM База</v>
      </c>
      <c r="C13" s="2" t="s">
        <v>25</v>
      </c>
      <c r="D13" s="2" t="s">
        <v>144</v>
      </c>
      <c r="E13" s="3" t="s">
        <v>145</v>
      </c>
      <c r="F13" s="2">
        <v>2</v>
      </c>
      <c r="G13" s="2" t="s">
        <v>13</v>
      </c>
      <c r="H13" s="2" t="s">
        <v>80</v>
      </c>
    </row>
    <row r="14" spans="1:8" x14ac:dyDescent="0.25">
      <c r="A14" s="2">
        <v>11</v>
      </c>
      <c r="B14" s="2" t="str">
        <f>E2</f>
        <v>ВРУ-1 — Вводно-распределительное устройство ВРУ1-13-20 УХЛ4 (аналог, сборка YSF HICH)</v>
      </c>
      <c r="C14" s="2" t="s">
        <v>147</v>
      </c>
      <c r="D14" s="2" t="s">
        <v>31</v>
      </c>
      <c r="E14" s="3" t="s">
        <v>150</v>
      </c>
      <c r="F14" s="2">
        <v>6</v>
      </c>
      <c r="G14" s="2" t="s">
        <v>13</v>
      </c>
      <c r="H14" s="2" t="s">
        <v>80</v>
      </c>
    </row>
    <row r="15" spans="1:8" x14ac:dyDescent="0.25">
      <c r="A15" s="2">
        <v>12</v>
      </c>
      <c r="B15" s="2" t="str">
        <f>E2</f>
        <v>ВРУ-1 — Вводно-распределительное устройство ВРУ1-13-20 УХЛ4 (аналог, сборка YSF HICH)</v>
      </c>
      <c r="C15" s="2" t="s">
        <v>149</v>
      </c>
      <c r="D15" s="2" t="s">
        <v>153</v>
      </c>
      <c r="E15" s="3" t="s">
        <v>148</v>
      </c>
      <c r="F15" s="2">
        <v>2</v>
      </c>
      <c r="G15" s="2" t="s">
        <v>13</v>
      </c>
      <c r="H15" s="2" t="s">
        <v>80</v>
      </c>
    </row>
    <row r="16" spans="1:8" ht="30" x14ac:dyDescent="0.25">
      <c r="A16" s="2">
        <v>17</v>
      </c>
      <c r="B16" s="2" t="str">
        <f>E2</f>
        <v>ВРУ-1 — Вводно-распределительное устройство ВРУ1-13-20 УХЛ4 (аналог, сборка YSF HICH)</v>
      </c>
      <c r="C16" s="2" t="s">
        <v>30</v>
      </c>
      <c r="D16" s="2" t="s">
        <v>33</v>
      </c>
      <c r="E16" s="3" t="s">
        <v>34</v>
      </c>
      <c r="F16" s="2">
        <v>1</v>
      </c>
      <c r="G16" s="2" t="s">
        <v>35</v>
      </c>
      <c r="H16" s="2" t="s">
        <v>30</v>
      </c>
    </row>
    <row r="17" spans="1:8" ht="25.5" x14ac:dyDescent="0.25">
      <c r="A17" s="2"/>
      <c r="B17" s="4" t="str">
        <f>E17</f>
        <v>ВРУ-2 — Распределительная панель ВРУ1-50-00 УХЛ4 (аналог, сборка YSF HICH)</v>
      </c>
      <c r="C17" s="5" t="s">
        <v>8</v>
      </c>
      <c r="D17" s="5" t="s">
        <v>36</v>
      </c>
      <c r="E17" s="6" t="s">
        <v>37</v>
      </c>
      <c r="F17" s="5">
        <v>1</v>
      </c>
      <c r="G17" s="5" t="s">
        <v>11</v>
      </c>
      <c r="H17" s="5" t="s">
        <v>89</v>
      </c>
    </row>
    <row r="18" spans="1:8" x14ac:dyDescent="0.25">
      <c r="A18" s="2">
        <v>19</v>
      </c>
      <c r="B18" s="2" t="str">
        <f>E17</f>
        <v>ВРУ-2 — Распределительная панель ВРУ1-50-00 УХЛ4 (аналог, сборка YSF HICH)</v>
      </c>
      <c r="C18" s="2" t="s">
        <v>12</v>
      </c>
      <c r="D18" s="2" t="s">
        <v>69</v>
      </c>
      <c r="E18" s="3" t="s">
        <v>82</v>
      </c>
      <c r="F18" s="2">
        <v>1</v>
      </c>
      <c r="G18" s="2" t="s">
        <v>13</v>
      </c>
      <c r="H18" s="2" t="s">
        <v>14</v>
      </c>
    </row>
    <row r="19" spans="1:8" x14ac:dyDescent="0.25">
      <c r="A19" s="2">
        <v>20</v>
      </c>
      <c r="B19" s="2" t="str">
        <f>E17</f>
        <v>ВРУ-2 — Распределительная панель ВРУ1-50-00 УХЛ4 (аналог, сборка YSF HICH)</v>
      </c>
      <c r="C19" s="2" t="s">
        <v>38</v>
      </c>
      <c r="D19" s="2" t="s">
        <v>78</v>
      </c>
      <c r="E19" s="3" t="s">
        <v>79</v>
      </c>
      <c r="F19" s="2">
        <v>6</v>
      </c>
      <c r="G19" s="2" t="s">
        <v>13</v>
      </c>
      <c r="H19" s="2" t="s">
        <v>16</v>
      </c>
    </row>
    <row r="20" spans="1:8" x14ac:dyDescent="0.25">
      <c r="A20" s="2">
        <v>21</v>
      </c>
      <c r="B20" s="2" t="str">
        <f>E17</f>
        <v>ВРУ-2 — Распределительная панель ВРУ1-50-00 УХЛ4 (аналог, сборка YSF HICH)</v>
      </c>
      <c r="C20" s="2" t="s">
        <v>38</v>
      </c>
      <c r="D20" s="2" t="s">
        <v>76</v>
      </c>
      <c r="E20" s="3" t="s">
        <v>77</v>
      </c>
      <c r="F20" s="2">
        <v>6</v>
      </c>
      <c r="G20" s="2" t="s">
        <v>13</v>
      </c>
      <c r="H20" s="2" t="s">
        <v>16</v>
      </c>
    </row>
    <row r="21" spans="1:8" x14ac:dyDescent="0.25">
      <c r="A21" s="2">
        <v>22</v>
      </c>
      <c r="B21" s="2" t="str">
        <f>E17</f>
        <v>ВРУ-2 — Распределительная панель ВРУ1-50-00 УХЛ4 (аналог, сборка YSF HICH)</v>
      </c>
      <c r="C21" s="2" t="s">
        <v>38</v>
      </c>
      <c r="D21" s="2" t="s">
        <v>78</v>
      </c>
      <c r="E21" s="3" t="s">
        <v>79</v>
      </c>
      <c r="F21" s="2">
        <v>18</v>
      </c>
      <c r="G21" s="2" t="s">
        <v>13</v>
      </c>
      <c r="H21" s="2" t="s">
        <v>16</v>
      </c>
    </row>
    <row r="22" spans="1:8" x14ac:dyDescent="0.25">
      <c r="A22" s="2">
        <v>23</v>
      </c>
      <c r="B22" s="2" t="str">
        <f>E17</f>
        <v>ВРУ-2 — Распределительная панель ВРУ1-50-00 УХЛ4 (аналог, сборка YSF HICH)</v>
      </c>
      <c r="C22" s="2" t="s">
        <v>38</v>
      </c>
      <c r="D22" s="2" t="s">
        <v>72</v>
      </c>
      <c r="E22" s="3" t="s">
        <v>73</v>
      </c>
      <c r="F22" s="2">
        <v>3</v>
      </c>
      <c r="G22" s="2" t="s">
        <v>13</v>
      </c>
      <c r="H22" s="2" t="s">
        <v>16</v>
      </c>
    </row>
    <row r="23" spans="1:8" x14ac:dyDescent="0.25">
      <c r="A23" s="2">
        <v>24</v>
      </c>
      <c r="B23" s="2" t="str">
        <f>E17</f>
        <v>ВРУ-2 — Распределительная панель ВРУ1-50-00 УХЛ4 (аналог, сборка YSF HICH)</v>
      </c>
      <c r="C23" s="2" t="s">
        <v>38</v>
      </c>
      <c r="D23" s="2" t="s">
        <v>74</v>
      </c>
      <c r="E23" s="3" t="s">
        <v>75</v>
      </c>
      <c r="F23" s="2">
        <v>15</v>
      </c>
      <c r="G23" s="2" t="s">
        <v>13</v>
      </c>
      <c r="H23" s="2" t="s">
        <v>16</v>
      </c>
    </row>
    <row r="24" spans="1:8" x14ac:dyDescent="0.25">
      <c r="A24" s="2">
        <v>25</v>
      </c>
      <c r="B24" s="2" t="str">
        <f>E17</f>
        <v>ВРУ-2 — Распределительная панель ВРУ1-50-00 УХЛ4 (аналог, сборка YSF HICH)</v>
      </c>
      <c r="C24" s="2" t="s">
        <v>26</v>
      </c>
      <c r="D24" s="2" t="s">
        <v>151</v>
      </c>
      <c r="E24" s="3" t="s">
        <v>152</v>
      </c>
      <c r="F24" s="2">
        <v>4</v>
      </c>
      <c r="G24" s="2" t="s">
        <v>27</v>
      </c>
      <c r="H24" s="2" t="s">
        <v>80</v>
      </c>
    </row>
    <row r="25" spans="1:8" ht="30" x14ac:dyDescent="0.25">
      <c r="A25" s="2">
        <v>32</v>
      </c>
      <c r="B25" s="2" t="str">
        <f>E17</f>
        <v>ВРУ-2 — Распределительная панель ВРУ1-50-00 УХЛ4 (аналог, сборка YSF HICH)</v>
      </c>
      <c r="C25" s="2" t="s">
        <v>30</v>
      </c>
      <c r="D25" s="2" t="s">
        <v>33</v>
      </c>
      <c r="E25" s="3" t="s">
        <v>34</v>
      </c>
      <c r="F25" s="2">
        <v>1</v>
      </c>
      <c r="G25" s="2" t="s">
        <v>35</v>
      </c>
      <c r="H25" s="2" t="s">
        <v>30</v>
      </c>
    </row>
    <row r="26" spans="1:8" x14ac:dyDescent="0.25">
      <c r="A26" s="2"/>
      <c r="B26" s="4" t="str">
        <f>E26</f>
        <v>АВР-101-100А</v>
      </c>
      <c r="C26" s="5"/>
      <c r="D26" s="5"/>
      <c r="E26" s="6" t="s">
        <v>105</v>
      </c>
      <c r="F26" s="5">
        <v>1</v>
      </c>
      <c r="G26" s="5" t="s">
        <v>11</v>
      </c>
      <c r="H26" s="5" t="s">
        <v>106</v>
      </c>
    </row>
    <row r="27" spans="1:8" ht="21" customHeight="1" x14ac:dyDescent="0.25">
      <c r="B27" s="10" t="str">
        <f>B26</f>
        <v>АВР-101-100А</v>
      </c>
      <c r="C27" s="11" t="s">
        <v>12</v>
      </c>
      <c r="D27" s="12" t="s">
        <v>107</v>
      </c>
      <c r="E27" s="10" t="s">
        <v>108</v>
      </c>
      <c r="F27" s="13">
        <v>1</v>
      </c>
      <c r="G27" s="14" t="s">
        <v>109</v>
      </c>
      <c r="H27" s="11" t="s">
        <v>110</v>
      </c>
    </row>
    <row r="28" spans="1:8" ht="21" customHeight="1" x14ac:dyDescent="0.25">
      <c r="B28" s="10" t="str">
        <f t="shared" ref="B28:B42" si="0">B27</f>
        <v>АВР-101-100А</v>
      </c>
      <c r="C28" s="11" t="s">
        <v>111</v>
      </c>
      <c r="D28" s="12" t="s">
        <v>112</v>
      </c>
      <c r="E28" s="10" t="s">
        <v>113</v>
      </c>
      <c r="F28" s="13">
        <v>2</v>
      </c>
      <c r="G28" s="14" t="s">
        <v>109</v>
      </c>
      <c r="H28" s="11" t="s">
        <v>114</v>
      </c>
    </row>
    <row r="29" spans="1:8" ht="21" customHeight="1" x14ac:dyDescent="0.25">
      <c r="B29" s="10" t="str">
        <f t="shared" si="0"/>
        <v>АВР-101-100А</v>
      </c>
      <c r="C29" s="11" t="s">
        <v>115</v>
      </c>
      <c r="D29" s="12" t="s">
        <v>116</v>
      </c>
      <c r="E29" s="10" t="s">
        <v>117</v>
      </c>
      <c r="F29" s="13">
        <v>2</v>
      </c>
      <c r="G29" s="14" t="s">
        <v>109</v>
      </c>
      <c r="H29" s="11" t="s">
        <v>114</v>
      </c>
    </row>
    <row r="30" spans="1:8" ht="21" customHeight="1" x14ac:dyDescent="0.25">
      <c r="B30" s="10" t="str">
        <f t="shared" si="0"/>
        <v>АВР-101-100А</v>
      </c>
      <c r="C30" s="11" t="s">
        <v>118</v>
      </c>
      <c r="D30" s="12" t="s">
        <v>119</v>
      </c>
      <c r="E30" s="10" t="s">
        <v>120</v>
      </c>
      <c r="F30" s="13">
        <v>2</v>
      </c>
      <c r="G30" s="14" t="s">
        <v>109</v>
      </c>
      <c r="H30" s="11" t="s">
        <v>114</v>
      </c>
    </row>
    <row r="31" spans="1:8" ht="21" customHeight="1" x14ac:dyDescent="0.25">
      <c r="B31" s="10" t="str">
        <f t="shared" si="0"/>
        <v>АВР-101-100А</v>
      </c>
      <c r="C31" s="11" t="s">
        <v>121</v>
      </c>
      <c r="D31" s="12" t="s">
        <v>122</v>
      </c>
      <c r="E31" s="10" t="s">
        <v>123</v>
      </c>
      <c r="F31" s="13">
        <v>2</v>
      </c>
      <c r="G31" s="14" t="s">
        <v>109</v>
      </c>
      <c r="H31" s="11" t="s">
        <v>114</v>
      </c>
    </row>
    <row r="32" spans="1:8" ht="21" customHeight="1" x14ac:dyDescent="0.25">
      <c r="B32" s="10" t="str">
        <f t="shared" si="0"/>
        <v>АВР-101-100А</v>
      </c>
      <c r="C32" s="11" t="s">
        <v>118</v>
      </c>
      <c r="D32" s="12" t="s">
        <v>154</v>
      </c>
      <c r="E32" s="10" t="s">
        <v>155</v>
      </c>
      <c r="F32" s="13">
        <v>2</v>
      </c>
      <c r="G32" s="14" t="s">
        <v>109</v>
      </c>
      <c r="H32" s="11" t="s">
        <v>114</v>
      </c>
    </row>
    <row r="33" spans="1:8" ht="21" customHeight="1" x14ac:dyDescent="0.25">
      <c r="B33" s="10" t="str">
        <f t="shared" si="0"/>
        <v>АВР-101-100А</v>
      </c>
      <c r="C33" s="11" t="s">
        <v>111</v>
      </c>
      <c r="D33" s="12" t="s">
        <v>101</v>
      </c>
      <c r="E33" s="10" t="s">
        <v>102</v>
      </c>
      <c r="F33" s="13">
        <v>2</v>
      </c>
      <c r="G33" s="14" t="s">
        <v>109</v>
      </c>
      <c r="H33" s="11" t="s">
        <v>114</v>
      </c>
    </row>
    <row r="34" spans="1:8" ht="21" customHeight="1" x14ac:dyDescent="0.25">
      <c r="B34" s="10" t="str">
        <f t="shared" si="0"/>
        <v>АВР-101-100А</v>
      </c>
      <c r="C34" s="11" t="s">
        <v>111</v>
      </c>
      <c r="D34" s="12" t="s">
        <v>124</v>
      </c>
      <c r="E34" s="10" t="s">
        <v>125</v>
      </c>
      <c r="F34" s="13">
        <v>2</v>
      </c>
      <c r="G34" s="14" t="s">
        <v>109</v>
      </c>
      <c r="H34" s="11" t="s">
        <v>114</v>
      </c>
    </row>
    <row r="35" spans="1:8" ht="21" customHeight="1" x14ac:dyDescent="0.25">
      <c r="B35" s="10" t="str">
        <f t="shared" si="0"/>
        <v>АВР-101-100А</v>
      </c>
      <c r="C35" s="11" t="s">
        <v>126</v>
      </c>
      <c r="D35" s="12" t="s">
        <v>127</v>
      </c>
      <c r="E35" s="10" t="s">
        <v>128</v>
      </c>
      <c r="F35" s="13">
        <v>1</v>
      </c>
      <c r="G35" s="14" t="s">
        <v>109</v>
      </c>
      <c r="H35" s="11" t="s">
        <v>114</v>
      </c>
    </row>
    <row r="36" spans="1:8" ht="21" customHeight="1" x14ac:dyDescent="0.25">
      <c r="B36" s="10" t="str">
        <f t="shared" si="0"/>
        <v>АВР-101-100А</v>
      </c>
      <c r="C36" s="11" t="s">
        <v>129</v>
      </c>
      <c r="D36" s="12" t="s">
        <v>130</v>
      </c>
      <c r="E36" s="10" t="s">
        <v>131</v>
      </c>
      <c r="F36" s="13">
        <v>2</v>
      </c>
      <c r="G36" s="14" t="s">
        <v>109</v>
      </c>
      <c r="H36" s="11" t="s">
        <v>114</v>
      </c>
    </row>
    <row r="37" spans="1:8" ht="21" customHeight="1" x14ac:dyDescent="0.25">
      <c r="B37" s="10" t="str">
        <f t="shared" si="0"/>
        <v>АВР-101-100А</v>
      </c>
      <c r="C37" s="11" t="s">
        <v>129</v>
      </c>
      <c r="D37" s="12" t="s">
        <v>132</v>
      </c>
      <c r="E37" s="10" t="s">
        <v>133</v>
      </c>
      <c r="F37" s="13">
        <v>2</v>
      </c>
      <c r="G37" s="14" t="s">
        <v>109</v>
      </c>
      <c r="H37" s="11" t="s">
        <v>114</v>
      </c>
    </row>
    <row r="38" spans="1:8" ht="21" customHeight="1" x14ac:dyDescent="0.25">
      <c r="B38" s="10" t="str">
        <f t="shared" si="0"/>
        <v>АВР-101-100А</v>
      </c>
      <c r="C38" s="11" t="s">
        <v>134</v>
      </c>
      <c r="D38" s="12" t="s">
        <v>135</v>
      </c>
      <c r="E38" s="10" t="s">
        <v>136</v>
      </c>
      <c r="F38" s="13">
        <v>2</v>
      </c>
      <c r="G38" s="14" t="s">
        <v>109</v>
      </c>
      <c r="H38" s="11" t="s">
        <v>114</v>
      </c>
    </row>
    <row r="39" spans="1:8" ht="21" customHeight="1" x14ac:dyDescent="0.25">
      <c r="B39" s="10" t="str">
        <f t="shared" si="0"/>
        <v>АВР-101-100А</v>
      </c>
      <c r="C39" s="11" t="s">
        <v>137</v>
      </c>
      <c r="D39" s="12" t="s">
        <v>138</v>
      </c>
      <c r="E39" s="10" t="s">
        <v>139</v>
      </c>
      <c r="F39" s="13">
        <v>2</v>
      </c>
      <c r="G39" s="14" t="s">
        <v>109</v>
      </c>
      <c r="H39" s="11" t="s">
        <v>114</v>
      </c>
    </row>
    <row r="40" spans="1:8" ht="21" customHeight="1" x14ac:dyDescent="0.25">
      <c r="B40" s="10" t="str">
        <f t="shared" si="0"/>
        <v>АВР-101-100А</v>
      </c>
      <c r="C40" s="11" t="s">
        <v>115</v>
      </c>
      <c r="D40" s="12" t="s">
        <v>140</v>
      </c>
      <c r="E40" s="10" t="s">
        <v>141</v>
      </c>
      <c r="F40" s="13">
        <v>2</v>
      </c>
      <c r="G40" s="14" t="s">
        <v>109</v>
      </c>
      <c r="H40" s="11" t="s">
        <v>114</v>
      </c>
    </row>
    <row r="41" spans="1:8" ht="24" customHeight="1" x14ac:dyDescent="0.25">
      <c r="B41" s="10" t="str">
        <f>B35</f>
        <v>АВР-101-100А</v>
      </c>
      <c r="C41" s="10" t="s">
        <v>142</v>
      </c>
      <c r="D41" s="15" t="s">
        <v>142</v>
      </c>
      <c r="E41" s="10" t="s">
        <v>142</v>
      </c>
      <c r="F41" s="10">
        <v>1</v>
      </c>
      <c r="G41" s="10" t="s">
        <v>109</v>
      </c>
      <c r="H41" s="10" t="s">
        <v>142</v>
      </c>
    </row>
    <row r="42" spans="1:8" ht="21" customHeight="1" x14ac:dyDescent="0.25">
      <c r="B42" s="10" t="str">
        <f t="shared" si="0"/>
        <v>АВР-101-100А</v>
      </c>
      <c r="C42" s="10" t="s">
        <v>143</v>
      </c>
      <c r="D42" s="15" t="s">
        <v>143</v>
      </c>
      <c r="E42" s="10" t="s">
        <v>143</v>
      </c>
      <c r="F42" s="10" t="e">
        <f>60*#REF!</f>
        <v>#REF!</v>
      </c>
      <c r="G42" s="10" t="s">
        <v>109</v>
      </c>
      <c r="H42" s="10" t="s">
        <v>143</v>
      </c>
    </row>
    <row r="43" spans="1:8" ht="25.5" x14ac:dyDescent="0.25">
      <c r="A43" s="2"/>
      <c r="B43" s="4" t="str">
        <f>E43</f>
        <v>ЩС-1 — Щит силовой распределительный ЩУРн-3/48 (проект: ЩУРн-3/36зо-1-36 УХЛ3)</v>
      </c>
      <c r="C43" s="5" t="s">
        <v>8</v>
      </c>
      <c r="D43" s="5" t="s">
        <v>39</v>
      </c>
      <c r="E43" s="6" t="s">
        <v>40</v>
      </c>
      <c r="F43" s="5">
        <v>1</v>
      </c>
      <c r="G43" s="5" t="s">
        <v>11</v>
      </c>
      <c r="H43" s="5" t="s">
        <v>89</v>
      </c>
    </row>
    <row r="44" spans="1:8" x14ac:dyDescent="0.25">
      <c r="A44" s="2">
        <v>34</v>
      </c>
      <c r="B44" s="7" t="str">
        <f>E43</f>
        <v>ЩС-1 — Щит силовой распределительный ЩУРн-3/48 (проект: ЩУРн-3/36зо-1-36 УХЛ3)</v>
      </c>
      <c r="C44" s="8" t="s">
        <v>12</v>
      </c>
      <c r="D44" s="8" t="s">
        <v>41</v>
      </c>
      <c r="E44" s="9" t="s">
        <v>42</v>
      </c>
      <c r="F44" s="8">
        <v>1</v>
      </c>
      <c r="G44" s="8" t="s">
        <v>13</v>
      </c>
      <c r="H44" s="8" t="s">
        <v>14</v>
      </c>
    </row>
    <row r="45" spans="1:8" x14ac:dyDescent="0.25">
      <c r="A45" s="2">
        <v>35</v>
      </c>
      <c r="B45" s="7" t="str">
        <f>E43</f>
        <v>ЩС-1 — Щит силовой распределительный ЩУРн-3/48 (проект: ЩУРн-3/36зо-1-36 УХЛ3)</v>
      </c>
      <c r="C45" s="8" t="s">
        <v>17</v>
      </c>
      <c r="D45" s="8" t="s">
        <v>156</v>
      </c>
      <c r="E45" s="9" t="s">
        <v>157</v>
      </c>
      <c r="F45" s="8">
        <v>1</v>
      </c>
      <c r="G45" s="8" t="s">
        <v>13</v>
      </c>
      <c r="H45" s="2" t="s">
        <v>16</v>
      </c>
    </row>
    <row r="46" spans="1:8" ht="25.5" x14ac:dyDescent="0.25">
      <c r="A46" s="2">
        <v>36</v>
      </c>
      <c r="B46" s="7" t="str">
        <f>E43</f>
        <v>ЩС-1 — Щит силовой распределительный ЩУРн-3/48 (проект: ЩУРн-3/36зо-1-36 УХЛ3)</v>
      </c>
      <c r="C46" s="8" t="s">
        <v>21</v>
      </c>
      <c r="D46" s="8" t="s">
        <v>45</v>
      </c>
      <c r="E46" s="9" t="s">
        <v>46</v>
      </c>
      <c r="F46" s="8">
        <v>0</v>
      </c>
      <c r="G46" s="8" t="s">
        <v>13</v>
      </c>
      <c r="H46" s="8" t="s">
        <v>24</v>
      </c>
    </row>
    <row r="47" spans="1:8" x14ac:dyDescent="0.25">
      <c r="A47" s="2">
        <v>37</v>
      </c>
      <c r="B47" s="7" t="str">
        <f>E43</f>
        <v>ЩС-1 — Щит силовой распределительный ЩУРн-3/48 (проект: ЩУРн-3/36зо-1-36 УХЛ3)</v>
      </c>
      <c r="C47" s="8" t="s">
        <v>47</v>
      </c>
      <c r="D47" s="8" t="s">
        <v>48</v>
      </c>
      <c r="E47" s="9" t="s">
        <v>49</v>
      </c>
      <c r="F47" s="8">
        <v>9</v>
      </c>
      <c r="G47" s="8" t="s">
        <v>13</v>
      </c>
      <c r="H47" s="2" t="s">
        <v>16</v>
      </c>
    </row>
    <row r="48" spans="1:8" x14ac:dyDescent="0.25">
      <c r="A48" s="2">
        <v>38</v>
      </c>
      <c r="B48" s="7" t="str">
        <f>E43</f>
        <v>ЩС-1 — Щит силовой распределительный ЩУРн-3/48 (проект: ЩУРн-3/36зо-1-36 УХЛ3)</v>
      </c>
      <c r="C48" s="8" t="s">
        <v>47</v>
      </c>
      <c r="D48" s="8" t="s">
        <v>50</v>
      </c>
      <c r="E48" s="9" t="s">
        <v>51</v>
      </c>
      <c r="F48" s="8">
        <v>1</v>
      </c>
      <c r="G48" s="8" t="s">
        <v>13</v>
      </c>
      <c r="H48" s="2" t="s">
        <v>16</v>
      </c>
    </row>
    <row r="49" spans="1:8" x14ac:dyDescent="0.25">
      <c r="A49" s="2">
        <v>39</v>
      </c>
      <c r="B49" s="7" t="str">
        <f>E43</f>
        <v>ЩС-1 — Щит силовой распределительный ЩУРн-3/48 (проект: ЩУРн-3/36зо-1-36 УХЛ3)</v>
      </c>
      <c r="C49" s="8" t="s">
        <v>47</v>
      </c>
      <c r="D49" s="8" t="s">
        <v>52</v>
      </c>
      <c r="E49" s="9" t="s">
        <v>53</v>
      </c>
      <c r="F49" s="8">
        <v>1</v>
      </c>
      <c r="G49" s="8" t="s">
        <v>13</v>
      </c>
      <c r="H49" s="2" t="s">
        <v>16</v>
      </c>
    </row>
    <row r="50" spans="1:8" x14ac:dyDescent="0.25">
      <c r="A50" s="2">
        <v>40</v>
      </c>
      <c r="B50" s="7" t="str">
        <f>E43</f>
        <v>ЩС-1 — Щит силовой распределительный ЩУРн-3/48 (проект: ЩУРн-3/36зо-1-36 УХЛ3)</v>
      </c>
      <c r="C50" s="8" t="s">
        <v>54</v>
      </c>
      <c r="D50" s="8" t="s">
        <v>70</v>
      </c>
      <c r="E50" s="9" t="s">
        <v>71</v>
      </c>
      <c r="F50" s="8">
        <v>4</v>
      </c>
      <c r="G50" s="8" t="s">
        <v>13</v>
      </c>
      <c r="H50" s="2" t="s">
        <v>16</v>
      </c>
    </row>
    <row r="51" spans="1:8" x14ac:dyDescent="0.25">
      <c r="A51" s="2">
        <v>41</v>
      </c>
      <c r="B51" s="7" t="str">
        <f>E43</f>
        <v>ЩС-1 — Щит силовой распределительный ЩУРн-3/48 (проект: ЩУРн-3/36зо-1-36 УХЛ3)</v>
      </c>
      <c r="C51" s="8" t="s">
        <v>26</v>
      </c>
      <c r="D51" s="8" t="s">
        <v>55</v>
      </c>
      <c r="E51" s="9" t="s">
        <v>56</v>
      </c>
      <c r="F51" s="8">
        <v>0.5</v>
      </c>
      <c r="G51" s="8" t="s">
        <v>13</v>
      </c>
      <c r="H51" s="2" t="s">
        <v>80</v>
      </c>
    </row>
    <row r="52" spans="1:8" x14ac:dyDescent="0.25">
      <c r="A52" s="2">
        <v>43</v>
      </c>
      <c r="B52" s="7" t="str">
        <f>E43</f>
        <v>ЩС-1 — Щит силовой распределительный ЩУРн-3/48 (проект: ЩУРн-3/36зо-1-36 УХЛ3)</v>
      </c>
      <c r="C52" s="8" t="s">
        <v>32</v>
      </c>
      <c r="D52" s="8" t="s">
        <v>57</v>
      </c>
      <c r="E52" s="9" t="s">
        <v>58</v>
      </c>
      <c r="F52" s="8">
        <v>1</v>
      </c>
      <c r="G52" s="8" t="s">
        <v>13</v>
      </c>
      <c r="H52" s="8" t="s">
        <v>81</v>
      </c>
    </row>
    <row r="53" spans="1:8" x14ac:dyDescent="0.25">
      <c r="A53" s="2">
        <v>44</v>
      </c>
      <c r="B53" s="7" t="str">
        <f>E43</f>
        <v>ЩС-1 — Щит силовой распределительный ЩУРн-3/48 (проект: ЩУРн-3/36зо-1-36 УХЛ3)</v>
      </c>
      <c r="C53" s="8" t="s">
        <v>32</v>
      </c>
      <c r="D53" s="8" t="s">
        <v>59</v>
      </c>
      <c r="E53" s="9" t="s">
        <v>60</v>
      </c>
      <c r="F53" s="8">
        <v>1</v>
      </c>
      <c r="G53" s="8" t="s">
        <v>13</v>
      </c>
      <c r="H53" s="8" t="s">
        <v>81</v>
      </c>
    </row>
    <row r="54" spans="1:8" ht="25.5" x14ac:dyDescent="0.25">
      <c r="A54" s="2">
        <v>53</v>
      </c>
      <c r="B54" s="7" t="str">
        <f>E43</f>
        <v>ЩС-1 — Щит силовой распределительный ЩУРн-3/48 (проект: ЩУРн-3/36зо-1-36 УХЛ3)</v>
      </c>
      <c r="C54" s="8" t="s">
        <v>30</v>
      </c>
      <c r="D54" s="8" t="s">
        <v>33</v>
      </c>
      <c r="E54" s="9" t="s">
        <v>34</v>
      </c>
      <c r="F54" s="8">
        <v>1</v>
      </c>
      <c r="G54" s="8" t="s">
        <v>35</v>
      </c>
      <c r="H54" s="2" t="s">
        <v>30</v>
      </c>
    </row>
    <row r="55" spans="1:8" ht="25.5" x14ac:dyDescent="0.25">
      <c r="A55" s="2"/>
      <c r="B55" s="4" t="str">
        <f>E55</f>
        <v>ЩС-2 — Щит силовой распределительный ЩУРн-3/30 (проект: ЩУРн-3/24зо-1-36 УХЛ3)</v>
      </c>
      <c r="C55" s="5" t="s">
        <v>8</v>
      </c>
      <c r="D55" s="5" t="s">
        <v>61</v>
      </c>
      <c r="E55" s="6" t="s">
        <v>62</v>
      </c>
      <c r="F55" s="5">
        <v>1</v>
      </c>
      <c r="G55" s="5" t="s">
        <v>11</v>
      </c>
      <c r="H55" s="5" t="s">
        <v>89</v>
      </c>
    </row>
    <row r="56" spans="1:8" x14ac:dyDescent="0.25">
      <c r="A56" s="2">
        <v>55</v>
      </c>
      <c r="B56" s="2" t="str">
        <f>E55</f>
        <v>ЩС-2 — Щит силовой распределительный ЩУРн-3/30 (проект: ЩУРн-3/24зо-1-36 УХЛ3)</v>
      </c>
      <c r="C56" s="2" t="s">
        <v>12</v>
      </c>
      <c r="D56" s="2" t="s">
        <v>63</v>
      </c>
      <c r="E56" s="3" t="s">
        <v>64</v>
      </c>
      <c r="F56" s="2">
        <v>1</v>
      </c>
      <c r="G56" s="2" t="s">
        <v>13</v>
      </c>
      <c r="H56" s="2" t="s">
        <v>14</v>
      </c>
    </row>
    <row r="57" spans="1:8" x14ac:dyDescent="0.25">
      <c r="A57" s="2">
        <v>56</v>
      </c>
      <c r="B57" s="2" t="str">
        <f>E55</f>
        <v>ЩС-2 — Щит силовой распределительный ЩУРн-3/30 (проект: ЩУРн-3/24зо-1-36 УХЛ3)</v>
      </c>
      <c r="C57" s="2" t="s">
        <v>17</v>
      </c>
      <c r="D57" s="2" t="s">
        <v>43</v>
      </c>
      <c r="E57" s="3" t="s">
        <v>44</v>
      </c>
      <c r="F57" s="2">
        <v>1</v>
      </c>
      <c r="G57" s="2" t="s">
        <v>13</v>
      </c>
      <c r="H57" s="2" t="s">
        <v>16</v>
      </c>
    </row>
    <row r="58" spans="1:8" ht="30" x14ac:dyDescent="0.25">
      <c r="A58" s="2">
        <v>57</v>
      </c>
      <c r="B58" s="2" t="str">
        <f>E55</f>
        <v>ЩС-2 — Щит силовой распределительный ЩУРн-3/30 (проект: ЩУРн-3/24зо-1-36 УХЛ3)</v>
      </c>
      <c r="C58" s="2" t="s">
        <v>21</v>
      </c>
      <c r="D58" s="2" t="s">
        <v>45</v>
      </c>
      <c r="E58" s="3" t="s">
        <v>46</v>
      </c>
      <c r="F58" s="2">
        <v>0</v>
      </c>
      <c r="G58" s="2" t="s">
        <v>13</v>
      </c>
      <c r="H58" s="2" t="s">
        <v>24</v>
      </c>
    </row>
    <row r="59" spans="1:8" x14ac:dyDescent="0.25">
      <c r="A59" s="2">
        <v>58</v>
      </c>
      <c r="B59" s="2" t="str">
        <f>E55</f>
        <v>ЩС-2 — Щит силовой распределительный ЩУРн-3/30 (проект: ЩУРн-3/24зо-1-36 УХЛ3)</v>
      </c>
      <c r="C59" s="2" t="s">
        <v>47</v>
      </c>
      <c r="D59" s="2" t="s">
        <v>65</v>
      </c>
      <c r="E59" s="3" t="s">
        <v>66</v>
      </c>
      <c r="F59" s="2">
        <v>1</v>
      </c>
      <c r="G59" s="2" t="s">
        <v>13</v>
      </c>
      <c r="H59" s="2" t="s">
        <v>16</v>
      </c>
    </row>
    <row r="60" spans="1:8" x14ac:dyDescent="0.25">
      <c r="A60" s="2">
        <v>59</v>
      </c>
      <c r="B60" s="2" t="str">
        <f>E55</f>
        <v>ЩС-2 — Щит силовой распределительный ЩУРн-3/30 (проект: ЩУРн-3/24зо-1-36 УХЛ3)</v>
      </c>
      <c r="C60" s="2" t="s">
        <v>47</v>
      </c>
      <c r="D60" s="2" t="s">
        <v>52</v>
      </c>
      <c r="E60" s="3" t="s">
        <v>67</v>
      </c>
      <c r="F60" s="2">
        <v>1</v>
      </c>
      <c r="G60" s="2" t="s">
        <v>13</v>
      </c>
      <c r="H60" s="2" t="s">
        <v>16</v>
      </c>
    </row>
    <row r="61" spans="1:8" ht="30" x14ac:dyDescent="0.25">
      <c r="A61" s="2">
        <v>60</v>
      </c>
      <c r="B61" s="2" t="str">
        <f>E55</f>
        <v>ЩС-2 — Щит силовой распределительный ЩУРн-3/30 (проект: ЩУРн-3/24зо-1-36 УХЛ3)</v>
      </c>
      <c r="C61" s="2" t="s">
        <v>47</v>
      </c>
      <c r="D61" s="2" t="s">
        <v>48</v>
      </c>
      <c r="E61" s="3" t="s">
        <v>68</v>
      </c>
      <c r="F61" s="2">
        <v>7</v>
      </c>
      <c r="G61" s="2" t="s">
        <v>13</v>
      </c>
      <c r="H61" s="2" t="s">
        <v>16</v>
      </c>
    </row>
    <row r="62" spans="1:8" x14ac:dyDescent="0.25">
      <c r="A62" s="2">
        <v>61</v>
      </c>
      <c r="B62" s="2" t="str">
        <f>E55</f>
        <v>ЩС-2 — Щит силовой распределительный ЩУРн-3/30 (проект: ЩУРн-3/24зо-1-36 УХЛ3)</v>
      </c>
      <c r="C62" s="2" t="s">
        <v>54</v>
      </c>
      <c r="D62" s="2" t="s">
        <v>70</v>
      </c>
      <c r="E62" s="3" t="s">
        <v>71</v>
      </c>
      <c r="F62" s="2">
        <v>2</v>
      </c>
      <c r="G62" s="2" t="s">
        <v>13</v>
      </c>
      <c r="H62" s="2" t="s">
        <v>16</v>
      </c>
    </row>
    <row r="63" spans="1:8" x14ac:dyDescent="0.25">
      <c r="A63" s="2">
        <v>62</v>
      </c>
      <c r="B63" s="2" t="str">
        <f>E55</f>
        <v>ЩС-2 — Щит силовой распределительный ЩУРн-3/30 (проект: ЩУРн-3/24зо-1-36 УХЛ3)</v>
      </c>
      <c r="C63" s="2" t="s">
        <v>26</v>
      </c>
      <c r="D63" s="2" t="s">
        <v>55</v>
      </c>
      <c r="E63" s="3" t="s">
        <v>56</v>
      </c>
      <c r="F63" s="2">
        <v>0.5</v>
      </c>
      <c r="G63" s="2" t="s">
        <v>13</v>
      </c>
      <c r="H63" s="2" t="s">
        <v>80</v>
      </c>
    </row>
    <row r="64" spans="1:8" x14ac:dyDescent="0.25">
      <c r="A64" s="2">
        <v>64</v>
      </c>
      <c r="B64" s="2" t="str">
        <f>E55</f>
        <v>ЩС-2 — Щит силовой распределительный ЩУРн-3/30 (проект: ЩУРн-3/24зо-1-36 УХЛ3)</v>
      </c>
      <c r="C64" s="2" t="s">
        <v>32</v>
      </c>
      <c r="D64" s="2" t="s">
        <v>57</v>
      </c>
      <c r="E64" s="3" t="s">
        <v>58</v>
      </c>
      <c r="F64" s="2">
        <v>1</v>
      </c>
      <c r="G64" s="2" t="s">
        <v>13</v>
      </c>
      <c r="H64" s="2" t="s">
        <v>81</v>
      </c>
    </row>
    <row r="65" spans="1:8" x14ac:dyDescent="0.25">
      <c r="A65" s="2">
        <v>65</v>
      </c>
      <c r="B65" s="2" t="str">
        <f>E55</f>
        <v>ЩС-2 — Щит силовой распределительный ЩУРн-3/30 (проект: ЩУРн-3/24зо-1-36 УХЛ3)</v>
      </c>
      <c r="C65" s="2" t="s">
        <v>32</v>
      </c>
      <c r="D65" s="2" t="s">
        <v>59</v>
      </c>
      <c r="E65" s="3" t="s">
        <v>60</v>
      </c>
      <c r="F65" s="2">
        <v>1</v>
      </c>
      <c r="G65" s="2" t="s">
        <v>13</v>
      </c>
      <c r="H65" s="2" t="s">
        <v>81</v>
      </c>
    </row>
    <row r="66" spans="1:8" ht="30" x14ac:dyDescent="0.25">
      <c r="A66" s="2">
        <v>74</v>
      </c>
      <c r="B66" s="2" t="str">
        <f>E55</f>
        <v>ЩС-2 — Щит силовой распределительный ЩУРн-3/30 (проект: ЩУРн-3/24зо-1-36 УХЛ3)</v>
      </c>
      <c r="C66" s="2" t="s">
        <v>30</v>
      </c>
      <c r="D66" s="2" t="s">
        <v>33</v>
      </c>
      <c r="E66" s="3" t="s">
        <v>34</v>
      </c>
      <c r="F66" s="2">
        <v>1</v>
      </c>
      <c r="G66" s="2" t="s">
        <v>35</v>
      </c>
      <c r="H66" s="2" t="s">
        <v>30</v>
      </c>
    </row>
    <row r="67" spans="1:8" x14ac:dyDescent="0.25">
      <c r="A67" s="2"/>
      <c r="B67" s="4" t="str">
        <f>E67</f>
        <v>ЩУО</v>
      </c>
      <c r="C67" s="5" t="s">
        <v>8</v>
      </c>
      <c r="D67" s="6" t="s">
        <v>90</v>
      </c>
      <c r="E67" s="6" t="s">
        <v>90</v>
      </c>
      <c r="F67" s="5">
        <v>1</v>
      </c>
      <c r="G67" s="5" t="s">
        <v>11</v>
      </c>
      <c r="H67" s="5" t="s">
        <v>89</v>
      </c>
    </row>
    <row r="68" spans="1:8" x14ac:dyDescent="0.25">
      <c r="A68" s="2">
        <v>55</v>
      </c>
      <c r="B68" s="2" t="str">
        <f>E67</f>
        <v>ЩУО</v>
      </c>
      <c r="C68" s="2" t="s">
        <v>12</v>
      </c>
      <c r="D68" s="2" t="s">
        <v>95</v>
      </c>
      <c r="E68" s="3" t="s">
        <v>96</v>
      </c>
      <c r="F68" s="2">
        <v>1</v>
      </c>
      <c r="G68" s="2" t="s">
        <v>13</v>
      </c>
      <c r="H68" s="2" t="s">
        <v>14</v>
      </c>
    </row>
    <row r="69" spans="1:8" x14ac:dyDescent="0.25">
      <c r="A69" s="2">
        <v>56</v>
      </c>
      <c r="B69" s="2" t="str">
        <f>E67</f>
        <v>ЩУО</v>
      </c>
      <c r="C69" s="2" t="s">
        <v>91</v>
      </c>
      <c r="D69" s="2" t="s">
        <v>97</v>
      </c>
      <c r="E69" s="3" t="s">
        <v>98</v>
      </c>
      <c r="F69" s="2">
        <v>1</v>
      </c>
      <c r="G69" s="2" t="s">
        <v>13</v>
      </c>
      <c r="H69" s="2" t="s">
        <v>16</v>
      </c>
    </row>
    <row r="70" spans="1:8" x14ac:dyDescent="0.25">
      <c r="A70" s="2">
        <v>57</v>
      </c>
      <c r="B70" s="2" t="str">
        <f>E67</f>
        <v>ЩУО</v>
      </c>
      <c r="C70" s="2" t="s">
        <v>47</v>
      </c>
      <c r="D70" s="2" t="s">
        <v>99</v>
      </c>
      <c r="E70" s="3" t="s">
        <v>100</v>
      </c>
      <c r="F70" s="2">
        <v>2</v>
      </c>
      <c r="G70" s="2" t="s">
        <v>13</v>
      </c>
      <c r="H70" s="2" t="s">
        <v>24</v>
      </c>
    </row>
    <row r="71" spans="1:8" x14ac:dyDescent="0.25">
      <c r="A71" s="2">
        <v>58</v>
      </c>
      <c r="B71" s="2" t="str">
        <f>E67</f>
        <v>ЩУО</v>
      </c>
      <c r="C71" s="2" t="s">
        <v>93</v>
      </c>
      <c r="D71" s="2" t="s">
        <v>65</v>
      </c>
      <c r="E71" s="3" t="s">
        <v>92</v>
      </c>
      <c r="F71" s="2">
        <v>1</v>
      </c>
      <c r="G71" s="2" t="s">
        <v>13</v>
      </c>
      <c r="H71" s="2" t="s">
        <v>80</v>
      </c>
    </row>
    <row r="72" spans="1:8" x14ac:dyDescent="0.25">
      <c r="A72" s="2">
        <v>59</v>
      </c>
      <c r="B72" s="2" t="str">
        <f>E67</f>
        <v>ЩУО</v>
      </c>
      <c r="C72" s="2" t="s">
        <v>47</v>
      </c>
      <c r="D72" s="2" t="s">
        <v>101</v>
      </c>
      <c r="E72" s="3" t="s">
        <v>102</v>
      </c>
      <c r="F72" s="2">
        <v>1</v>
      </c>
      <c r="G72" s="2" t="s">
        <v>13</v>
      </c>
      <c r="H72" s="2" t="s">
        <v>16</v>
      </c>
    </row>
    <row r="73" spans="1:8" x14ac:dyDescent="0.25">
      <c r="A73" s="2">
        <v>60</v>
      </c>
      <c r="B73" s="2" t="str">
        <f>E67</f>
        <v>ЩУО</v>
      </c>
      <c r="C73" s="2" t="s">
        <v>94</v>
      </c>
      <c r="D73" s="2" t="s">
        <v>103</v>
      </c>
      <c r="E73" s="3" t="s">
        <v>104</v>
      </c>
      <c r="F73" s="2">
        <v>1</v>
      </c>
      <c r="G73" s="2" t="s">
        <v>13</v>
      </c>
      <c r="H73" s="2" t="s">
        <v>16</v>
      </c>
    </row>
    <row r="74" spans="1:8" ht="30" x14ac:dyDescent="0.25">
      <c r="A74" s="2">
        <v>74</v>
      </c>
      <c r="B74" s="2" t="str">
        <f>E67</f>
        <v>ЩУО</v>
      </c>
      <c r="C74" s="2" t="s">
        <v>30</v>
      </c>
      <c r="D74" s="2" t="s">
        <v>33</v>
      </c>
      <c r="E74" s="3" t="s">
        <v>34</v>
      </c>
      <c r="F74" s="2">
        <v>1</v>
      </c>
      <c r="G74" s="2" t="s">
        <v>35</v>
      </c>
      <c r="H74" s="2" t="s">
        <v>30</v>
      </c>
    </row>
  </sheetData>
  <autoFilter ref="A1:H74" xr:uid="{00000000-0001-0000-0000-000000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YUSUF KAPLAN</cp:lastModifiedBy>
  <cp:revision>0</cp:revision>
  <dcterms:created xsi:type="dcterms:W3CDTF">2026-08-18T10:56:59Z</dcterms:created>
  <dcterms:modified xsi:type="dcterms:W3CDTF">2026-08-19T09:39:37Z</dcterms:modified>
  <dc:language>en-US</dc:language>
</cp:coreProperties>
</file>