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8 laura chimket vru\"/>
    </mc:Choice>
  </mc:AlternateContent>
  <xr:revisionPtr revIDLastSave="0" documentId="13_ncr:1_{6EC2FEBD-5CB3-4DFB-A7BC-3E329E2DDB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СВО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2" l="1"/>
  <c r="G5" i="2" l="1"/>
  <c r="G8" i="2"/>
  <c r="G4" i="2"/>
  <c r="G6" i="2"/>
  <c r="G7" i="2"/>
  <c r="G3" i="2"/>
  <c r="G9" i="2" l="1"/>
</calcChain>
</file>

<file path=xl/sharedStrings.xml><?xml version="1.0" encoding="utf-8"?>
<sst xmlns="http://schemas.openxmlformats.org/spreadsheetml/2006/main" count="28" uniqueCount="23">
  <si>
    <t>№</t>
  </si>
  <si>
    <t>Сумма, KZT</t>
  </si>
  <si>
    <t>Ед.изм.</t>
  </si>
  <si>
    <t>комплект</t>
  </si>
  <si>
    <t>ВРУ-2</t>
  </si>
  <si>
    <t>СВОД — 260818 Laura Chimkent VRU / Заявка ТМЦ №36995</t>
  </si>
  <si>
    <t>Панель</t>
  </si>
  <si>
    <t>Наименование</t>
  </si>
  <si>
    <t>Кол-во, шт.</t>
  </si>
  <si>
    <t>ЩУРн-3/48 (проект ЩУРн-3/36зо)</t>
  </si>
  <si>
    <t>ЩУРн-3/30 (проект ЩУРн-3/24зо)</t>
  </si>
  <si>
    <t>ИТОГО по заявке №36995</t>
  </si>
  <si>
    <t>ВРУ1-13-20 УХЛ4  — вводная панель</t>
  </si>
  <si>
    <t>ВРУ1-50-00 УХЛ4  — распределительная панель</t>
  </si>
  <si>
    <t>Цена  KZT</t>
  </si>
  <si>
    <t>ВРУ-1(260818 CHMK)-без счетчик</t>
  </si>
  <si>
    <t>ЩС-1(260818 CHMK)-без счетчик</t>
  </si>
  <si>
    <t>ЩС-2(260818 CHMK)-без счетчик</t>
  </si>
  <si>
    <t>АВР-101-100А</t>
  </si>
  <si>
    <t>ПР-Инд (АВР-101-100А)</t>
  </si>
  <si>
    <t>ЩУО</t>
  </si>
  <si>
    <t>ShRn-12 b/o (313х268х120)S/U 36 IP31 (TS)</t>
  </si>
  <si>
    <t>malz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</si>
</sst>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0" fillId="0" borderId="1" xfId="0" applyBorder="1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topLeftCell="B1" zoomScale="175" zoomScaleNormal="175" workbookViewId="0">
      <selection activeCell="H10" sqref="H10"/>
    </sheetView>
  </sheetViews>
  <sheetFormatPr defaultColWidth="8.7109375" defaultRowHeight="15" x14ac:dyDescent="0.25"/>
  <cols>
    <col min="1" max="1" width="6" customWidth="1"/>
    <col min="2" max="2" width="32.140625" customWidth="1"/>
    <col min="3" max="3" width="43.5703125" customWidth="1"/>
    <col min="4" max="5" width="12" customWidth="1"/>
    <col min="6" max="6" width="10.85546875" customWidth="1"/>
    <col min="7" max="7" width="11.7109375" customWidth="1"/>
    <col min="8" max="8" width="11.85546875" style="9" bestFit="1" customWidth="1"/>
    <col min="9" max="10" width="8.7109375" style="9"/>
  </cols>
  <sheetData>
    <row r="1" spans="1:8" ht="15.75" x14ac:dyDescent="0.25">
      <c r="A1" s="3" t="s">
        <v>5</v>
      </c>
    </row>
    <row r="2" spans="1:8" x14ac:dyDescent="0.25">
      <c r="A2" s="4" t="s">
        <v>0</v>
      </c>
      <c r="B2" s="4" t="s">
        <v>6</v>
      </c>
      <c r="C2" s="4" t="s">
        <v>7</v>
      </c>
      <c r="D2" s="4" t="s">
        <v>8</v>
      </c>
      <c r="E2" s="4" t="s">
        <v>2</v>
      </c>
      <c r="F2" s="4" t="s">
        <v>14</v>
      </c>
      <c r="G2" s="4" t="s">
        <v>1</v>
      </c>
      <c r="H2" s="9" t="s">
        <v>22</v>
      </c>
    </row>
    <row r="3" spans="1:8" x14ac:dyDescent="0.25">
      <c r="A3" s="1">
        <v>1</v>
      </c>
      <c r="B3" s="1" t="s">
        <v>15</v>
      </c>
      <c r="C3" s="1" t="s">
        <v>12</v>
      </c>
      <c r="D3" s="8">
        <v>1</v>
      </c>
      <c r="E3" s="8" t="s">
        <v>3</v>
      </c>
      <c r="F3" s="2">
        <v>360000</v>
      </c>
      <c r="G3" s="2">
        <f t="shared" ref="G3:G8" si="0">F3*D3</f>
        <v>360000</v>
      </c>
      <c r="H3" s="9">
        <v>248306</v>
      </c>
    </row>
    <row r="4" spans="1:8" x14ac:dyDescent="0.25">
      <c r="A4" s="1">
        <v>2</v>
      </c>
      <c r="B4" s="1" t="s">
        <v>4</v>
      </c>
      <c r="C4" s="1" t="s">
        <v>13</v>
      </c>
      <c r="D4" s="8">
        <v>1</v>
      </c>
      <c r="E4" s="8" t="s">
        <v>3</v>
      </c>
      <c r="F4" s="2">
        <v>257000</v>
      </c>
      <c r="G4" s="2">
        <f t="shared" si="0"/>
        <v>257000</v>
      </c>
      <c r="H4" s="9">
        <v>177464</v>
      </c>
    </row>
    <row r="5" spans="1:8" x14ac:dyDescent="0.25">
      <c r="A5" s="1">
        <v>3</v>
      </c>
      <c r="B5" s="1" t="s">
        <v>18</v>
      </c>
      <c r="C5" s="1" t="s">
        <v>19</v>
      </c>
      <c r="D5" s="8">
        <v>1</v>
      </c>
      <c r="E5" s="8" t="s">
        <v>3</v>
      </c>
      <c r="F5" s="2">
        <v>314000</v>
      </c>
      <c r="G5" s="2">
        <f t="shared" si="0"/>
        <v>314000</v>
      </c>
      <c r="H5" s="9">
        <v>216990</v>
      </c>
    </row>
    <row r="6" spans="1:8" x14ac:dyDescent="0.25">
      <c r="A6" s="1">
        <v>4</v>
      </c>
      <c r="B6" s="1" t="s">
        <v>16</v>
      </c>
      <c r="C6" s="1" t="s">
        <v>9</v>
      </c>
      <c r="D6" s="8">
        <v>1</v>
      </c>
      <c r="E6" s="8" t="s">
        <v>3</v>
      </c>
      <c r="F6" s="2">
        <v>66000</v>
      </c>
      <c r="G6" s="2">
        <f t="shared" si="0"/>
        <v>66000</v>
      </c>
      <c r="H6" s="9">
        <v>45827</v>
      </c>
    </row>
    <row r="7" spans="1:8" x14ac:dyDescent="0.25">
      <c r="A7" s="1">
        <v>5</v>
      </c>
      <c r="B7" s="1" t="s">
        <v>17</v>
      </c>
      <c r="C7" s="1" t="s">
        <v>10</v>
      </c>
      <c r="D7" s="8">
        <v>1</v>
      </c>
      <c r="E7" s="8" t="s">
        <v>3</v>
      </c>
      <c r="F7" s="2">
        <v>58000</v>
      </c>
      <c r="G7" s="2">
        <f t="shared" si="0"/>
        <v>58000</v>
      </c>
      <c r="H7" s="9">
        <v>40155</v>
      </c>
    </row>
    <row r="8" spans="1:8" x14ac:dyDescent="0.25">
      <c r="A8" s="1">
        <v>6</v>
      </c>
      <c r="B8" s="1" t="s">
        <v>20</v>
      </c>
      <c r="C8" s="1" t="s">
        <v>21</v>
      </c>
      <c r="D8" s="8">
        <v>1</v>
      </c>
      <c r="E8" s="8" t="s">
        <v>3</v>
      </c>
      <c r="F8" s="2">
        <v>58000</v>
      </c>
      <c r="G8" s="2">
        <f t="shared" si="0"/>
        <v>58000</v>
      </c>
      <c r="H8" s="9">
        <v>29974</v>
      </c>
    </row>
    <row r="9" spans="1:8" x14ac:dyDescent="0.25">
      <c r="A9" s="5"/>
      <c r="B9" s="5"/>
      <c r="C9" s="6" t="s">
        <v>11</v>
      </c>
      <c r="D9" s="5"/>
      <c r="E9" s="5"/>
      <c r="F9" s="5"/>
      <c r="G9" s="7">
        <f>SUM(G3:G8)</f>
        <v>1113000</v>
      </c>
      <c r="H9" s="9">
        <f>SUM(H3:H8)</f>
        <v>758716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2026-08-19T13:51:25Z</dcterms:modified>
  <dc:language>en-US</dc:language>
</cp:coreProperties>
</file>