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3 mahir bey c-b\"/>
    </mc:Choice>
  </mc:AlternateContent>
  <xr:revisionPtr revIDLastSave="0" documentId="13_ncr:1_{3DBF28BC-EBC8-47F0-9306-9285296DA255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Лист1" sheetId="2" r:id="rId1"/>
    <sheet name="fiyat calismasi burda" sheetId="1" r:id="rId2"/>
  </sheets>
  <definedNames>
    <definedName name="_xlnm._FilterDatabase" localSheetId="1" hidden="1">'fiyat calismasi burda'!$A$1:$L$30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I25" i="1" s="1"/>
  <c r="G24" i="1"/>
  <c r="H24" i="1" s="1"/>
  <c r="I24" i="1" s="1"/>
  <c r="G6" i="1"/>
  <c r="G22" i="1"/>
  <c r="H22" i="1" s="1"/>
  <c r="G5" i="1"/>
  <c r="H5" i="1" s="1"/>
  <c r="I5" i="1" s="1"/>
  <c r="J30" i="1"/>
  <c r="G3" i="1"/>
  <c r="G28" i="1"/>
  <c r="H28" i="1" s="1"/>
  <c r="I28" i="1" s="1"/>
  <c r="G26" i="1"/>
  <c r="H26" i="1" s="1"/>
  <c r="I26" i="1" s="1"/>
  <c r="G23" i="1"/>
  <c r="H23" i="1" s="1"/>
  <c r="I23" i="1" s="1"/>
  <c r="G21" i="1"/>
  <c r="H14" i="1" l="1"/>
  <c r="I14" i="1" s="1"/>
  <c r="H21" i="1"/>
  <c r="I21" i="1" s="1"/>
  <c r="I22" i="1"/>
  <c r="G20" i="1"/>
  <c r="H20" i="1" s="1"/>
  <c r="I20" i="1" s="1"/>
  <c r="G19" i="1"/>
  <c r="H19" i="1" s="1"/>
  <c r="I19" i="1" s="1"/>
  <c r="G17" i="1"/>
  <c r="H17" i="1" s="1"/>
  <c r="I17" i="1" s="1"/>
  <c r="G18" i="1"/>
  <c r="H18" i="1" s="1"/>
  <c r="I18" i="1" s="1"/>
  <c r="G16" i="1"/>
  <c r="H16" i="1" s="1"/>
  <c r="I16" i="1" s="1"/>
  <c r="G15" i="1"/>
  <c r="H15" i="1" s="1"/>
  <c r="I15" i="1" s="1"/>
  <c r="G13" i="1"/>
  <c r="H13" i="1" s="1"/>
  <c r="I13" i="1" s="1"/>
  <c r="G12" i="1"/>
  <c r="H12" i="1" s="1"/>
  <c r="I12" i="1" s="1"/>
  <c r="G11" i="1"/>
  <c r="H11" i="1" s="1"/>
  <c r="I11" i="1" s="1"/>
  <c r="G10" i="1"/>
  <c r="H10" i="1" s="1"/>
  <c r="I10" i="1" s="1"/>
  <c r="G8" i="1"/>
  <c r="H8" i="1" s="1"/>
  <c r="I8" i="1" s="1"/>
  <c r="G9" i="1"/>
  <c r="H9" i="1" s="1"/>
  <c r="I9" i="1" s="1"/>
  <c r="G7" i="1"/>
  <c r="H7" i="1" s="1"/>
  <c r="I7" i="1" s="1"/>
  <c r="H6" i="1"/>
  <c r="I6" i="1" s="1"/>
  <c r="G4" i="1"/>
  <c r="H4" i="1" s="1"/>
  <c r="I4" i="1" s="1"/>
  <c r="G27" i="1"/>
  <c r="H27" i="1" l="1"/>
  <c r="I27" i="1" s="1"/>
  <c r="B2" i="1" l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6" i="1" l="1"/>
  <c r="B27" i="1" s="1"/>
  <c r="B28" i="1" s="1"/>
  <c r="B29" i="1" s="1"/>
  <c r="B30" i="1" s="1"/>
  <c r="B24" i="1"/>
  <c r="B25" i="1" s="1"/>
  <c r="I30" i="1"/>
  <c r="F29" i="1" s="1"/>
  <c r="G29" i="1" s="1"/>
  <c r="H30" i="1"/>
  <c r="I3" i="1"/>
  <c r="H3" i="1"/>
  <c r="I29" i="1" l="1"/>
  <c r="I31" i="1" s="1"/>
  <c r="G2" i="1" s="1"/>
  <c r="H2" i="1" s="1"/>
  <c r="H29" i="1"/>
</calcChain>
</file>

<file path=xl/sharedStrings.xml><?xml version="1.0" encoding="utf-8"?>
<sst xmlns="http://schemas.openxmlformats.org/spreadsheetml/2006/main" count="152" uniqueCount="84">
  <si>
    <t>malzeme</t>
  </si>
  <si>
    <t>Артикул</t>
  </si>
  <si>
    <t>Наименование</t>
  </si>
  <si>
    <t>Цена,тг</t>
  </si>
  <si>
    <t>Кол-во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</si>
  <si>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</si>
  <si>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</si>
  <si>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</si>
  <si>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</si>
  <si>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</si>
  <si>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</si>
  <si>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</si>
  <si>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</si>
  <si>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</si>
  <si>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719-15560</t>
  </si>
  <si>
    <t>TMŞ</t>
  </si>
  <si>
    <t>KONTAKTÖR</t>
  </si>
  <si>
    <t>ABB</t>
  </si>
  <si>
    <t>2x25A 30mA A type</t>
  </si>
  <si>
    <t>Width x Height x Depth: 60 x 200 x 40 cm Freestanding Sheet Metal Panel (Cable Inlet - Cable Outlet)</t>
  </si>
  <si>
    <t>1SDA067414R1</t>
  </si>
  <si>
    <t>XT1N 160, TMD, In=63A</t>
  </si>
  <si>
    <t>2CDS213001R0254</t>
  </si>
  <si>
    <t>OTO</t>
  </si>
  <si>
    <t>SH 203-C 25</t>
  </si>
  <si>
    <t>SH 201-B 16</t>
  </si>
  <si>
    <t>2CDS211001R0165</t>
  </si>
  <si>
    <t>2CDS211001R0105</t>
  </si>
  <si>
    <t>SH 201-B 10</t>
  </si>
  <si>
    <t>2CDS211001R0065</t>
  </si>
  <si>
    <t>SH 201-B 6</t>
  </si>
  <si>
    <t xml:space="preserve">Metop Pako Şalter 1X10A 0-1 </t>
  </si>
  <si>
    <t>PAKO</t>
  </si>
  <si>
    <t>MT015-10</t>
  </si>
  <si>
    <t xml:space="preserve"> 1SBL177001R1110</t>
  </si>
  <si>
    <t>1NA AF16-30-10</t>
  </si>
  <si>
    <t>1SBL137001R1110</t>
  </si>
  <si>
    <t>1NA AF09-30-10</t>
  </si>
  <si>
    <t>2CSM200983R1801</t>
  </si>
  <si>
    <t>1 faz 6 E 91/20</t>
  </si>
  <si>
    <t>KARTUŞ SİGORTA YUVASI</t>
  </si>
  <si>
    <t>2CSM256393R1801</t>
  </si>
  <si>
    <t>2 20 E 9F8 GG2</t>
  </si>
  <si>
    <t xml:space="preserve">KARTUŞ SİGORTA  </t>
  </si>
  <si>
    <t>2CSM200943R1801</t>
  </si>
  <si>
    <t>2 E 93/20</t>
  </si>
  <si>
    <t>2CSF202004R1250</t>
  </si>
  <si>
    <t>KKR</t>
  </si>
  <si>
    <t>2,5 mm Klemens</t>
  </si>
  <si>
    <t>4 mm Klemens</t>
  </si>
  <si>
    <t>ACBP-N PANEL  (Almaty Cakes&amp;Bakes )</t>
  </si>
  <si>
    <t>parafudur</t>
  </si>
  <si>
    <t>2CTB803973R1100</t>
  </si>
  <si>
    <t>OVR T2 3N 40-275  4P SPD Parafudr</t>
  </si>
  <si>
    <t>metop</t>
  </si>
  <si>
    <t xml:space="preserve"> 1SFA619550R1041</t>
  </si>
  <si>
    <t xml:space="preserve"> CE4T-10R-01</t>
  </si>
  <si>
    <t>mantar buton</t>
  </si>
  <si>
    <t>1SFA611400R1002</t>
  </si>
  <si>
    <t>ML1-100G  Sinyal lambası (yeşil)</t>
  </si>
  <si>
    <t>sinyl lmp</t>
  </si>
  <si>
    <t>tekled</t>
  </si>
  <si>
    <t>ry klms</t>
  </si>
  <si>
    <t>Цена,тг1 e</t>
  </si>
  <si>
    <t xml:space="preserve">Цена,тг2 </t>
  </si>
  <si>
    <t>kaztek</t>
  </si>
  <si>
    <t>shunt</t>
  </si>
  <si>
    <t xml:space="preserve">1SDA066326R1 </t>
  </si>
  <si>
    <t xml:space="preserve"> SOR-C 380-440 V AC</t>
  </si>
  <si>
    <t>sayac</t>
  </si>
  <si>
    <t>IB</t>
  </si>
  <si>
    <t>ДАЛА СА4-Э720 R TX OP P П RS1 Д W (3x220/380V 5-100A)</t>
  </si>
  <si>
    <t>saiman</t>
  </si>
  <si>
    <t>2CSF204102R1250</t>
  </si>
  <si>
    <t xml:space="preserve">FH204 A-25/0.03 </t>
  </si>
  <si>
    <t>kkr</t>
  </si>
  <si>
    <t xml:space="preserve"> 2CSF202102R1250</t>
  </si>
  <si>
    <t xml:space="preserve">FH202 A-25/0.03 </t>
  </si>
  <si>
    <t>pabuc</t>
  </si>
  <si>
    <t>80a mcc</t>
  </si>
  <si>
    <t xml:space="preserve"> 1SDA067415R1</t>
  </si>
  <si>
    <t xml:space="preserve">XT1N 160, TMD, In=80A </t>
  </si>
  <si>
    <t xml:space="preserve"> 1SDA066937R1</t>
  </si>
  <si>
    <t>xt1 KIT R arkadan bağlantı 3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</si>
</sst>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charset val="204"/>
    </font>
    <font>
      <b/>
      <sz val="16"/>
      <name val="Calibri"/>
      <family val="2"/>
      <charset val="204"/>
      <scheme val="minor"/>
    </font>
    <font>
      <b/>
      <sz val="16"/>
      <color theme="1"/>
      <name val="Calibri"/>
      <family val="2"/>
      <charset val="204"/>
    </font>
    <font>
      <b/>
      <sz val="16"/>
      <color rgb="FF000000"/>
      <name val="Calibri"/>
      <family val="2"/>
    </font>
    <font>
      <sz val="10"/>
      <name val="Tahoma"/>
      <family val="2"/>
    </font>
    <font>
      <b/>
      <sz val="18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6" fillId="0" borderId="0"/>
  </cellStyleXfs>
  <cellXfs count="40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 applyProtection="1">
      <alignment horizontal="center" vertical="center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5" fontId="14" fillId="6" borderId="1" xfId="1" applyNumberFormat="1" applyFont="1" applyFill="1" applyBorder="1" applyAlignment="1" applyProtection="1">
      <alignment horizontal="center" vertical="center" wrapText="1"/>
    </xf>
    <xf numFmtId="165" fontId="12" fillId="6" borderId="1" xfId="1" applyNumberFormat="1" applyFont="1" applyFill="1" applyBorder="1" applyAlignment="1" applyProtection="1">
      <alignment horizontal="right" vertical="center"/>
    </xf>
    <xf numFmtId="166" fontId="12" fillId="6" borderId="1" xfId="1" applyNumberFormat="1" applyFont="1" applyFill="1" applyBorder="1" applyAlignment="1" applyProtection="1">
      <alignment horizontal="right" vertical="center" wrapText="1"/>
    </xf>
    <xf numFmtId="0" fontId="12" fillId="6" borderId="1" xfId="1" applyNumberFormat="1" applyFont="1" applyFill="1" applyBorder="1" applyAlignment="1" applyProtection="1">
      <alignment horizontal="center" vertical="center"/>
    </xf>
    <xf numFmtId="165" fontId="12" fillId="6" borderId="1" xfId="1" applyNumberFormat="1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2" fillId="4" borderId="1" xfId="1" applyNumberFormat="1" applyFont="1" applyFill="1" applyBorder="1" applyAlignment="1" applyProtection="1">
      <alignment horizontal="right" vertical="center"/>
    </xf>
    <xf numFmtId="166" fontId="12" fillId="4" borderId="1" xfId="1" applyNumberFormat="1" applyFont="1" applyFill="1" applyBorder="1" applyAlignment="1" applyProtection="1">
      <alignment horizontal="right" vertical="center" wrapText="1"/>
    </xf>
    <xf numFmtId="0" fontId="12" fillId="4" borderId="1" xfId="1" applyNumberFormat="1" applyFont="1" applyFill="1" applyBorder="1" applyAlignment="1" applyProtection="1">
      <alignment horizontal="center" vertical="center"/>
    </xf>
    <xf numFmtId="3" fontId="11" fillId="5" borderId="1" xfId="0" applyNumberFormat="1" applyFont="1" applyFill="1" applyBorder="1" applyAlignment="1">
      <alignment horizontal="right" vertical="center"/>
    </xf>
    <xf numFmtId="0" fontId="10" fillId="7" borderId="1" xfId="1" applyNumberFormat="1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>
      <alignment horizontal="right" vertical="center"/>
    </xf>
    <xf numFmtId="0" fontId="14" fillId="0" borderId="1" xfId="1" applyNumberFormat="1" applyFont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1" applyNumberFormat="1" applyFont="1" applyBorder="1" applyAlignment="1" applyProtection="1">
      <alignment horizontal="right" vertical="center"/>
    </xf>
    <xf numFmtId="166" fontId="12" fillId="0" borderId="1" xfId="1" applyNumberFormat="1" applyFont="1" applyBorder="1" applyAlignment="1" applyProtection="1">
      <alignment horizontal="right" vertical="center" wrapText="1"/>
    </xf>
    <xf numFmtId="0" fontId="12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3" fontId="9" fillId="2" borderId="1" xfId="1" applyNumberFormat="1" applyFont="1" applyFill="1" applyBorder="1" applyAlignment="1" applyProtection="1">
      <alignment horizontal="center" vertical="center" wrapText="1"/>
    </xf>
    <xf numFmtId="3" fontId="12" fillId="6" borderId="1" xfId="1" applyNumberFormat="1" applyFont="1" applyFill="1" applyBorder="1" applyAlignment="1" applyProtection="1">
      <alignment horizontal="right" vertical="center" wrapText="1"/>
    </xf>
    <xf numFmtId="3" fontId="12" fillId="4" borderId="1" xfId="1" applyNumberFormat="1" applyFont="1" applyFill="1" applyBorder="1" applyAlignment="1" applyProtection="1">
      <alignment horizontal="right" vertical="center" wrapText="1"/>
    </xf>
    <xf numFmtId="3" fontId="12" fillId="0" borderId="1" xfId="1" applyNumberFormat="1" applyFont="1" applyBorder="1" applyAlignment="1" applyProtection="1">
      <alignment horizontal="right" vertical="center" wrapText="1"/>
    </xf>
    <xf numFmtId="3" fontId="0" fillId="5" borderId="0" xfId="0" applyNumberFormat="1" applyFill="1"/>
    <xf numFmtId="3" fontId="17" fillId="5" borderId="0" xfId="0" applyNumberFormat="1" applyFont="1" applyFill="1"/>
  </cellXfs>
  <cellStyles count="8">
    <cellStyle name="Normal" xfId="0" builtinId="0"/>
    <cellStyle name="Normal 2" xfId="4" xr:uid="{00000000-0005-0000-0000-000001000000}"/>
    <cellStyle name="Normal 81" xfId="7" xr:uid="{00000000-0005-0000-0000-000002000000}"/>
    <cellStyle name="Virgül" xfId="1" builtinId="3"/>
    <cellStyle name="Обычный 2" xfId="2" xr:uid="{00000000-0005-0000-0000-000004000000}"/>
    <cellStyle name="Обычный 2 2" xfId="3" xr:uid="{00000000-0005-0000-0000-000005000000}"/>
    <cellStyle name="Обычный 2 2 2" xfId="6" xr:uid="{00000000-0005-0000-0000-000006000000}"/>
    <cellStyle name="Обычный 2 3" xfId="5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zoomScale="55" zoomScaleNormal="55" workbookViewId="0">
      <pane ySplit="1" topLeftCell="A2" activePane="bottomLeft" state="frozen"/>
      <selection pane="bottomLeft" activeCell="F25" sqref="F25"/>
    </sheetView>
  </sheetViews>
  <sheetFormatPr defaultColWidth="8.42578125" defaultRowHeight="21" x14ac:dyDescent="0.25"/>
  <cols>
    <col min="1" max="1" width="8.85546875" style="1" customWidth="1"/>
    <col min="2" max="2" width="38.140625" style="1" customWidth="1"/>
    <col min="3" max="3" width="17.28515625" style="1" customWidth="1"/>
    <col min="4" max="4" width="35.42578125" style="2" bestFit="1" customWidth="1"/>
    <col min="5" max="5" width="107.140625" style="2" customWidth="1"/>
    <col min="6" max="6" width="18.28515625" style="7" customWidth="1"/>
    <col min="7" max="8" width="24.5703125" style="7" customWidth="1"/>
    <col min="9" max="9" width="24.7109375" style="38" customWidth="1"/>
    <col min="10" max="10" width="13" style="8" customWidth="1"/>
    <col min="11" max="11" width="23.140625" style="1" bestFit="1" customWidth="1"/>
    <col min="12" max="12" width="32.42578125" style="1" bestFit="1" customWidth="1"/>
    <col min="13" max="16384" width="8.42578125" style="1"/>
  </cols>
  <sheetData>
    <row r="1" spans="1:12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2</v>
      </c>
      <c r="F1" s="4" t="s">
        <v>63</v>
      </c>
      <c r="G1" s="4" t="s">
        <v>64</v>
      </c>
      <c r="H1" s="4" t="s">
        <v>3</v>
      </c>
      <c r="I1" s="34" t="s">
        <v>7</v>
      </c>
      <c r="J1" s="5" t="s">
        <v>4</v>
      </c>
      <c r="K1" s="5" t="s">
        <v>5</v>
      </c>
      <c r="L1" s="5" t="s">
        <v>6</v>
      </c>
    </row>
    <row r="2" spans="1:12" s="2" customFormat="1" ht="39" customHeight="1" x14ac:dyDescent="0.25">
      <c r="A2" s="10"/>
      <c r="B2" s="12" t="str">
        <f>E2</f>
        <v>ACBP-N PANEL  (Almaty Cakes&amp;Bakes )</v>
      </c>
      <c r="C2" s="10"/>
      <c r="D2" s="13"/>
      <c r="E2" s="10" t="s">
        <v>50</v>
      </c>
      <c r="F2" s="14"/>
      <c r="G2" s="15">
        <f>2.3*I31</f>
        <v>2547336.1210160004</v>
      </c>
      <c r="H2" s="15">
        <f>0.7*G2</f>
        <v>1783135.2847112003</v>
      </c>
      <c r="I2" s="35"/>
      <c r="J2" s="16">
        <v>1</v>
      </c>
      <c r="K2" s="17" t="s">
        <v>8</v>
      </c>
      <c r="L2" s="10" t="s">
        <v>10</v>
      </c>
    </row>
    <row r="3" spans="1:12" s="2" customFormat="1" ht="39" customHeight="1" x14ac:dyDescent="0.25">
      <c r="A3" s="18">
        <v>1</v>
      </c>
      <c r="B3" s="18" t="str">
        <f t="shared" ref="B3:B30" si="0">B2</f>
        <v>ACBP-N PANEL  (Almaty Cakes&amp;Bakes )</v>
      </c>
      <c r="C3" s="18" t="s">
        <v>9</v>
      </c>
      <c r="D3" s="19" t="s">
        <v>14</v>
      </c>
      <c r="E3" s="18" t="s">
        <v>19</v>
      </c>
      <c r="F3" s="20">
        <v>145000</v>
      </c>
      <c r="G3" s="21">
        <f>0.6*F3</f>
        <v>87000</v>
      </c>
      <c r="H3" s="21">
        <f>G3</f>
        <v>87000</v>
      </c>
      <c r="I3" s="36">
        <f t="shared" ref="I3" si="1">G3*J3</f>
        <v>87000</v>
      </c>
      <c r="J3" s="22">
        <v>1</v>
      </c>
      <c r="K3" s="6" t="s">
        <v>13</v>
      </c>
      <c r="L3" s="11" t="s">
        <v>65</v>
      </c>
    </row>
    <row r="4" spans="1:12" s="2" customFormat="1" ht="39" customHeight="1" x14ac:dyDescent="0.25">
      <c r="A4" s="18">
        <v>2</v>
      </c>
      <c r="B4" s="18" t="str">
        <f t="shared" si="0"/>
        <v>ACBP-N PANEL  (Almaty Cakes&amp;Bakes )</v>
      </c>
      <c r="C4" s="27" t="s">
        <v>15</v>
      </c>
      <c r="D4" s="26" t="s">
        <v>20</v>
      </c>
      <c r="E4" s="27" t="s">
        <v>21</v>
      </c>
      <c r="F4" s="28">
        <v>212.8</v>
      </c>
      <c r="G4" s="29">
        <f>0.25*F4</f>
        <v>53.2</v>
      </c>
      <c r="H4" s="29">
        <f>G4*1.33*580</f>
        <v>41038.48000000001</v>
      </c>
      <c r="I4" s="37">
        <f>J4*H4</f>
        <v>41038.48000000001</v>
      </c>
      <c r="J4" s="30">
        <v>1</v>
      </c>
      <c r="K4" s="31" t="s">
        <v>13</v>
      </c>
      <c r="L4" s="32" t="s">
        <v>17</v>
      </c>
    </row>
    <row r="5" spans="1:12" s="2" customFormat="1" ht="39" customHeight="1" x14ac:dyDescent="0.25">
      <c r="A5" s="18">
        <v>2</v>
      </c>
      <c r="B5" s="18" t="str">
        <f t="shared" si="0"/>
        <v>ACBP-N PANEL  (Almaty Cakes&amp;Bakes )</v>
      </c>
      <c r="C5" s="27" t="s">
        <v>66</v>
      </c>
      <c r="D5" s="26" t="s">
        <v>67</v>
      </c>
      <c r="E5" s="27" t="s">
        <v>68</v>
      </c>
      <c r="F5" s="28">
        <v>115.1</v>
      </c>
      <c r="G5" s="29">
        <f>0.25*F5</f>
        <v>28.774999999999999</v>
      </c>
      <c r="H5" s="29">
        <f>G5*1.33*580</f>
        <v>22197.035</v>
      </c>
      <c r="I5" s="37">
        <f>J5*H5</f>
        <v>22197.035</v>
      </c>
      <c r="J5" s="30">
        <v>1</v>
      </c>
      <c r="K5" s="31" t="s">
        <v>13</v>
      </c>
      <c r="L5" s="32" t="s">
        <v>17</v>
      </c>
    </row>
    <row r="6" spans="1:12" s="2" customFormat="1" ht="39" customHeight="1" x14ac:dyDescent="0.25">
      <c r="A6" s="18">
        <v>3</v>
      </c>
      <c r="B6" s="18" t="str">
        <f t="shared" si="0"/>
        <v>ACBP-N PANEL  (Almaty Cakes&amp;Bakes )</v>
      </c>
      <c r="C6" s="27" t="s">
        <v>75</v>
      </c>
      <c r="D6" s="26" t="s">
        <v>73</v>
      </c>
      <c r="E6" s="27" t="s">
        <v>74</v>
      </c>
      <c r="F6" s="28">
        <v>82.14</v>
      </c>
      <c r="G6" s="29">
        <f>F6*0.32</f>
        <v>26.284800000000001</v>
      </c>
      <c r="H6" s="29">
        <f t="shared" ref="H6:H26" si="2">G6*1.33*580</f>
        <v>20276.094720000001</v>
      </c>
      <c r="I6" s="37">
        <f t="shared" ref="I6:I28" si="3">J6*H6</f>
        <v>20276.094720000001</v>
      </c>
      <c r="J6" s="30">
        <v>1</v>
      </c>
      <c r="K6" s="31" t="s">
        <v>13</v>
      </c>
      <c r="L6" s="32" t="s">
        <v>17</v>
      </c>
    </row>
    <row r="7" spans="1:12" s="2" customFormat="1" ht="49.5" customHeight="1" x14ac:dyDescent="0.25">
      <c r="A7" s="18">
        <v>4</v>
      </c>
      <c r="B7" s="18" t="str">
        <f t="shared" si="0"/>
        <v>ACBP-N PANEL  (Almaty Cakes&amp;Bakes )</v>
      </c>
      <c r="C7" s="27" t="s">
        <v>75</v>
      </c>
      <c r="D7" s="26" t="s">
        <v>76</v>
      </c>
      <c r="E7" s="27" t="s">
        <v>77</v>
      </c>
      <c r="F7" s="28">
        <v>63.22</v>
      </c>
      <c r="G7" s="29">
        <f t="shared" ref="G7:G13" si="4">F7*0.27</f>
        <v>17.069400000000002</v>
      </c>
      <c r="H7" s="29">
        <f t="shared" si="2"/>
        <v>13167.335160000002</v>
      </c>
      <c r="I7" s="37">
        <f t="shared" si="3"/>
        <v>381852.71964000008</v>
      </c>
      <c r="J7" s="30">
        <v>29</v>
      </c>
      <c r="K7" s="31" t="s">
        <v>13</v>
      </c>
      <c r="L7" s="32" t="s">
        <v>17</v>
      </c>
    </row>
    <row r="8" spans="1:12" ht="54.75" customHeight="1" x14ac:dyDescent="0.25">
      <c r="A8" s="18">
        <v>5</v>
      </c>
      <c r="B8" s="18" t="str">
        <f t="shared" si="0"/>
        <v>ACBP-N PANEL  (Almaty Cakes&amp;Bakes )</v>
      </c>
      <c r="C8" s="27" t="s">
        <v>75</v>
      </c>
      <c r="D8" s="26" t="s">
        <v>76</v>
      </c>
      <c r="E8" s="27" t="s">
        <v>77</v>
      </c>
      <c r="F8" s="28">
        <v>63.22</v>
      </c>
      <c r="G8" s="29">
        <f t="shared" si="4"/>
        <v>17.069400000000002</v>
      </c>
      <c r="H8" s="29">
        <f t="shared" si="2"/>
        <v>13167.335160000002</v>
      </c>
      <c r="I8" s="37">
        <f t="shared" si="3"/>
        <v>26334.670320000005</v>
      </c>
      <c r="J8" s="30">
        <v>2</v>
      </c>
      <c r="K8" s="31" t="s">
        <v>13</v>
      </c>
      <c r="L8" s="32" t="s">
        <v>17</v>
      </c>
    </row>
    <row r="9" spans="1:12" s="2" customFormat="1" ht="39" customHeight="1" x14ac:dyDescent="0.25">
      <c r="A9" s="18">
        <v>6</v>
      </c>
      <c r="B9" s="18" t="str">
        <f t="shared" si="0"/>
        <v>ACBP-N PANEL  (Almaty Cakes&amp;Bakes )</v>
      </c>
      <c r="C9" s="27" t="s">
        <v>75</v>
      </c>
      <c r="D9" s="26" t="s">
        <v>76</v>
      </c>
      <c r="E9" s="27" t="s">
        <v>77</v>
      </c>
      <c r="F9" s="28">
        <v>63.22</v>
      </c>
      <c r="G9" s="29">
        <f t="shared" si="4"/>
        <v>17.069400000000002</v>
      </c>
      <c r="H9" s="29">
        <f t="shared" si="2"/>
        <v>13167.335160000002</v>
      </c>
      <c r="I9" s="37">
        <f t="shared" si="3"/>
        <v>13167.335160000002</v>
      </c>
      <c r="J9" s="30">
        <v>1</v>
      </c>
      <c r="K9" s="31" t="s">
        <v>13</v>
      </c>
      <c r="L9" s="32" t="s">
        <v>17</v>
      </c>
    </row>
    <row r="10" spans="1:12" s="2" customFormat="1" ht="39" customHeight="1" x14ac:dyDescent="0.25">
      <c r="A10" s="18">
        <v>7</v>
      </c>
      <c r="B10" s="18" t="str">
        <f t="shared" si="0"/>
        <v>ACBP-N PANEL  (Almaty Cakes&amp;Bakes )</v>
      </c>
      <c r="C10" s="27" t="s">
        <v>23</v>
      </c>
      <c r="D10" s="26" t="s">
        <v>22</v>
      </c>
      <c r="E10" s="33" t="s">
        <v>24</v>
      </c>
      <c r="F10" s="28">
        <v>37.880000000000003</v>
      </c>
      <c r="G10" s="29">
        <f t="shared" si="4"/>
        <v>10.227600000000001</v>
      </c>
      <c r="H10" s="29">
        <f t="shared" si="2"/>
        <v>7889.5706400000008</v>
      </c>
      <c r="I10" s="37">
        <f t="shared" si="3"/>
        <v>15779.141280000002</v>
      </c>
      <c r="J10" s="30">
        <v>2</v>
      </c>
      <c r="K10" s="31" t="s">
        <v>13</v>
      </c>
      <c r="L10" s="32" t="s">
        <v>17</v>
      </c>
    </row>
    <row r="11" spans="1:12" s="2" customFormat="1" ht="39" customHeight="1" x14ac:dyDescent="0.25">
      <c r="A11" s="18">
        <v>8</v>
      </c>
      <c r="B11" s="18" t="str">
        <f t="shared" si="0"/>
        <v>ACBP-N PANEL  (Almaty Cakes&amp;Bakes )</v>
      </c>
      <c r="C11" s="27" t="s">
        <v>23</v>
      </c>
      <c r="D11" s="26" t="s">
        <v>26</v>
      </c>
      <c r="E11" s="27" t="s">
        <v>25</v>
      </c>
      <c r="F11" s="28">
        <v>7.65</v>
      </c>
      <c r="G11" s="29">
        <f t="shared" si="4"/>
        <v>2.0655000000000001</v>
      </c>
      <c r="H11" s="29">
        <f t="shared" si="2"/>
        <v>1593.3267000000003</v>
      </c>
      <c r="I11" s="37">
        <f t="shared" si="3"/>
        <v>1593.3267000000003</v>
      </c>
      <c r="J11" s="30">
        <v>1</v>
      </c>
      <c r="K11" s="31" t="s">
        <v>13</v>
      </c>
      <c r="L11" s="32" t="s">
        <v>17</v>
      </c>
    </row>
    <row r="12" spans="1:12" s="2" customFormat="1" ht="39" customHeight="1" x14ac:dyDescent="0.25">
      <c r="A12" s="18">
        <v>9</v>
      </c>
      <c r="B12" s="18" t="str">
        <f t="shared" si="0"/>
        <v>ACBP-N PANEL  (Almaty Cakes&amp;Bakes )</v>
      </c>
      <c r="C12" s="27" t="s">
        <v>23</v>
      </c>
      <c r="D12" s="26" t="s">
        <v>27</v>
      </c>
      <c r="E12" s="18" t="s">
        <v>28</v>
      </c>
      <c r="F12" s="28">
        <v>7.65</v>
      </c>
      <c r="G12" s="29">
        <f t="shared" si="4"/>
        <v>2.0655000000000001</v>
      </c>
      <c r="H12" s="29">
        <f t="shared" si="2"/>
        <v>1593.3267000000003</v>
      </c>
      <c r="I12" s="37">
        <f t="shared" si="3"/>
        <v>9559.9602000000014</v>
      </c>
      <c r="J12" s="22">
        <v>6</v>
      </c>
      <c r="K12" s="31" t="s">
        <v>13</v>
      </c>
      <c r="L12" s="32" t="s">
        <v>17</v>
      </c>
    </row>
    <row r="13" spans="1:12" s="2" customFormat="1" ht="39" customHeight="1" x14ac:dyDescent="0.25">
      <c r="A13" s="18">
        <v>10</v>
      </c>
      <c r="B13" s="18" t="str">
        <f t="shared" si="0"/>
        <v>ACBP-N PANEL  (Almaty Cakes&amp;Bakes )</v>
      </c>
      <c r="C13" s="27" t="s">
        <v>23</v>
      </c>
      <c r="D13" s="26" t="s">
        <v>29</v>
      </c>
      <c r="E13" s="18" t="s">
        <v>30</v>
      </c>
      <c r="F13" s="28">
        <v>9.18</v>
      </c>
      <c r="G13" s="29">
        <f t="shared" si="4"/>
        <v>2.4786000000000001</v>
      </c>
      <c r="H13" s="29">
        <f t="shared" si="2"/>
        <v>1911.9920400000003</v>
      </c>
      <c r="I13" s="37">
        <f t="shared" si="3"/>
        <v>3823.9840800000006</v>
      </c>
      <c r="J13" s="22">
        <v>2</v>
      </c>
      <c r="K13" s="31" t="s">
        <v>13</v>
      </c>
      <c r="L13" s="32" t="s">
        <v>17</v>
      </c>
    </row>
    <row r="14" spans="1:12" s="2" customFormat="1" ht="39" customHeight="1" x14ac:dyDescent="0.25">
      <c r="A14" s="18">
        <v>11</v>
      </c>
      <c r="B14" s="18" t="str">
        <f t="shared" si="0"/>
        <v>ACBP-N PANEL  (Almaty Cakes&amp;Bakes )</v>
      </c>
      <c r="C14" s="18" t="s">
        <v>32</v>
      </c>
      <c r="D14" s="26" t="s">
        <v>33</v>
      </c>
      <c r="E14" s="18" t="s">
        <v>31</v>
      </c>
      <c r="F14" s="20">
        <v>5</v>
      </c>
      <c r="G14" s="21">
        <v>5</v>
      </c>
      <c r="H14" s="29">
        <f t="shared" si="2"/>
        <v>3857</v>
      </c>
      <c r="I14" s="37">
        <f t="shared" si="3"/>
        <v>23142</v>
      </c>
      <c r="J14" s="22">
        <v>6</v>
      </c>
      <c r="K14" s="31" t="s">
        <v>13</v>
      </c>
      <c r="L14" s="32" t="s">
        <v>54</v>
      </c>
    </row>
    <row r="15" spans="1:12" s="2" customFormat="1" ht="39" customHeight="1" x14ac:dyDescent="0.25">
      <c r="A15" s="18">
        <v>3</v>
      </c>
      <c r="B15" s="18" t="str">
        <f t="shared" si="0"/>
        <v>ACBP-N PANEL  (Almaty Cakes&amp;Bakes )</v>
      </c>
      <c r="C15" s="27" t="s">
        <v>16</v>
      </c>
      <c r="D15" s="26" t="s">
        <v>34</v>
      </c>
      <c r="E15" s="27" t="s">
        <v>35</v>
      </c>
      <c r="F15" s="28">
        <v>50.42</v>
      </c>
      <c r="G15" s="29">
        <f>0.32*F15</f>
        <v>16.134399999999999</v>
      </c>
      <c r="H15" s="29">
        <f t="shared" si="2"/>
        <v>12446.076160000001</v>
      </c>
      <c r="I15" s="37">
        <f t="shared" si="3"/>
        <v>12446.076160000001</v>
      </c>
      <c r="J15" s="30">
        <v>1</v>
      </c>
      <c r="K15" s="31" t="s">
        <v>13</v>
      </c>
      <c r="L15" s="32" t="s">
        <v>17</v>
      </c>
    </row>
    <row r="16" spans="1:12" s="2" customFormat="1" ht="49.5" customHeight="1" x14ac:dyDescent="0.25">
      <c r="A16" s="18">
        <v>4</v>
      </c>
      <c r="B16" s="18" t="str">
        <f t="shared" si="0"/>
        <v>ACBP-N PANEL  (Almaty Cakes&amp;Bakes )</v>
      </c>
      <c r="C16" s="27" t="s">
        <v>16</v>
      </c>
      <c r="D16" s="26" t="s">
        <v>36</v>
      </c>
      <c r="E16" s="27" t="s">
        <v>37</v>
      </c>
      <c r="F16" s="28">
        <v>41.9</v>
      </c>
      <c r="G16" s="29">
        <f>0.32*F16</f>
        <v>13.407999999999999</v>
      </c>
      <c r="H16" s="29">
        <f t="shared" si="2"/>
        <v>10342.931200000001</v>
      </c>
      <c r="I16" s="37">
        <f t="shared" si="3"/>
        <v>51714.656000000003</v>
      </c>
      <c r="J16" s="30">
        <v>5</v>
      </c>
      <c r="K16" s="31" t="s">
        <v>13</v>
      </c>
      <c r="L16" s="32" t="s">
        <v>17</v>
      </c>
    </row>
    <row r="17" spans="1:12" ht="54.75" customHeight="1" x14ac:dyDescent="0.25">
      <c r="A17" s="18">
        <v>5</v>
      </c>
      <c r="B17" s="18" t="str">
        <f t="shared" si="0"/>
        <v>ACBP-N PANEL  (Almaty Cakes&amp;Bakes )</v>
      </c>
      <c r="C17" s="27" t="s">
        <v>43</v>
      </c>
      <c r="D17" s="27" t="s">
        <v>41</v>
      </c>
      <c r="E17" s="27" t="s">
        <v>42</v>
      </c>
      <c r="F17" s="28">
        <v>4.58</v>
      </c>
      <c r="G17" s="29">
        <f>0.32*F17</f>
        <v>1.4656</v>
      </c>
      <c r="H17" s="29">
        <f t="shared" si="2"/>
        <v>1130.56384</v>
      </c>
      <c r="I17" s="37">
        <f t="shared" si="3"/>
        <v>7913.9468800000004</v>
      </c>
      <c r="J17" s="30">
        <v>7</v>
      </c>
      <c r="K17" s="31" t="s">
        <v>13</v>
      </c>
      <c r="L17" s="32" t="s">
        <v>17</v>
      </c>
    </row>
    <row r="18" spans="1:12" s="2" customFormat="1" ht="63" x14ac:dyDescent="0.25">
      <c r="A18" s="18">
        <v>6</v>
      </c>
      <c r="B18" s="18" t="str">
        <f t="shared" si="0"/>
        <v>ACBP-N PANEL  (Almaty Cakes&amp;Bakes )</v>
      </c>
      <c r="C18" s="27" t="s">
        <v>40</v>
      </c>
      <c r="D18" s="26" t="s">
        <v>38</v>
      </c>
      <c r="E18" s="27" t="s">
        <v>39</v>
      </c>
      <c r="F18" s="28">
        <v>8.86</v>
      </c>
      <c r="G18" s="29">
        <f>0.32*F18</f>
        <v>2.8351999999999999</v>
      </c>
      <c r="H18" s="29">
        <f t="shared" si="2"/>
        <v>2187.0732800000001</v>
      </c>
      <c r="I18" s="37">
        <f t="shared" si="3"/>
        <v>8748.2931200000003</v>
      </c>
      <c r="J18" s="30">
        <v>4</v>
      </c>
      <c r="K18" s="31" t="s">
        <v>13</v>
      </c>
      <c r="L18" s="32" t="s">
        <v>17</v>
      </c>
    </row>
    <row r="19" spans="1:12" s="2" customFormat="1" ht="39" customHeight="1" x14ac:dyDescent="0.25">
      <c r="A19" s="18">
        <v>7</v>
      </c>
      <c r="B19" s="18" t="str">
        <f t="shared" si="0"/>
        <v>ACBP-N PANEL  (Almaty Cakes&amp;Bakes )</v>
      </c>
      <c r="C19" s="27" t="s">
        <v>40</v>
      </c>
      <c r="D19" s="26" t="s">
        <v>44</v>
      </c>
      <c r="E19" s="33" t="s">
        <v>45</v>
      </c>
      <c r="F19" s="28">
        <v>23.67</v>
      </c>
      <c r="G19" s="29">
        <f>0.32*F19</f>
        <v>7.5744000000000007</v>
      </c>
      <c r="H19" s="29">
        <f t="shared" si="2"/>
        <v>5842.8921600000012</v>
      </c>
      <c r="I19" s="37">
        <f t="shared" si="3"/>
        <v>5842.8921600000012</v>
      </c>
      <c r="J19" s="30">
        <v>1</v>
      </c>
      <c r="K19" s="31" t="s">
        <v>13</v>
      </c>
      <c r="L19" s="32" t="s">
        <v>17</v>
      </c>
    </row>
    <row r="20" spans="1:12" s="2" customFormat="1" ht="39" customHeight="1" x14ac:dyDescent="0.25">
      <c r="A20" s="18">
        <v>8</v>
      </c>
      <c r="B20" s="18" t="str">
        <f t="shared" si="0"/>
        <v>ACBP-N PANEL  (Almaty Cakes&amp;Bakes )</v>
      </c>
      <c r="C20" s="27" t="s">
        <v>47</v>
      </c>
      <c r="D20" s="26" t="s">
        <v>46</v>
      </c>
      <c r="E20" s="27" t="s">
        <v>18</v>
      </c>
      <c r="F20" s="28">
        <v>65.75</v>
      </c>
      <c r="G20" s="29">
        <f>0.27*F20</f>
        <v>17.752500000000001</v>
      </c>
      <c r="H20" s="29">
        <f t="shared" si="2"/>
        <v>13694.2785</v>
      </c>
      <c r="I20" s="37">
        <f t="shared" si="3"/>
        <v>13694.2785</v>
      </c>
      <c r="J20" s="30">
        <v>1</v>
      </c>
      <c r="K20" s="31" t="s">
        <v>13</v>
      </c>
      <c r="L20" s="32" t="s">
        <v>17</v>
      </c>
    </row>
    <row r="21" spans="1:12" s="2" customFormat="1" ht="39" customHeight="1" x14ac:dyDescent="0.25">
      <c r="A21" s="18">
        <v>10</v>
      </c>
      <c r="B21" s="18" t="str">
        <f t="shared" si="0"/>
        <v>ACBP-N PANEL  (Almaty Cakes&amp;Bakes )</v>
      </c>
      <c r="C21" s="18" t="s">
        <v>51</v>
      </c>
      <c r="D21" s="26" t="s">
        <v>52</v>
      </c>
      <c r="E21" s="18" t="s">
        <v>53</v>
      </c>
      <c r="F21" s="28">
        <v>361.2</v>
      </c>
      <c r="G21" s="28">
        <f>0.32*F21</f>
        <v>115.584</v>
      </c>
      <c r="H21" s="29">
        <f t="shared" si="2"/>
        <v>89161.497600000002</v>
      </c>
      <c r="I21" s="37">
        <f t="shared" si="3"/>
        <v>89161.497600000002</v>
      </c>
      <c r="J21" s="22">
        <v>1</v>
      </c>
      <c r="K21" s="31" t="s">
        <v>13</v>
      </c>
      <c r="L21" s="32" t="s">
        <v>17</v>
      </c>
    </row>
    <row r="22" spans="1:12" s="2" customFormat="1" ht="39" customHeight="1" x14ac:dyDescent="0.25">
      <c r="A22" s="18">
        <v>11</v>
      </c>
      <c r="B22" s="18" t="str">
        <f t="shared" si="0"/>
        <v>ACBP-N PANEL  (Almaty Cakes&amp;Bakes )</v>
      </c>
      <c r="C22" s="18" t="s">
        <v>69</v>
      </c>
      <c r="D22" s="26" t="s">
        <v>70</v>
      </c>
      <c r="E22" s="18" t="s">
        <v>71</v>
      </c>
      <c r="F22" s="20">
        <v>80000</v>
      </c>
      <c r="G22" s="21">
        <f>F22</f>
        <v>80000</v>
      </c>
      <c r="H22" s="29">
        <f>G22</f>
        <v>80000</v>
      </c>
      <c r="I22" s="37">
        <f t="shared" si="3"/>
        <v>80000</v>
      </c>
      <c r="J22" s="22">
        <v>1</v>
      </c>
      <c r="K22" s="31" t="s">
        <v>13</v>
      </c>
      <c r="L22" s="32" t="s">
        <v>72</v>
      </c>
    </row>
    <row r="23" spans="1:12" s="2" customFormat="1" ht="39" customHeight="1" x14ac:dyDescent="0.25">
      <c r="A23" s="18">
        <v>8</v>
      </c>
      <c r="B23" s="18" t="str">
        <f t="shared" si="0"/>
        <v>ACBP-N PANEL  (Almaty Cakes&amp;Bakes )</v>
      </c>
      <c r="C23" s="27" t="s">
        <v>57</v>
      </c>
      <c r="D23" s="26" t="s">
        <v>55</v>
      </c>
      <c r="E23" s="27" t="s">
        <v>56</v>
      </c>
      <c r="F23" s="28">
        <v>13.54</v>
      </c>
      <c r="G23" s="21">
        <f>F23*0.3</f>
        <v>4.0619999999999994</v>
      </c>
      <c r="H23" s="29">
        <f t="shared" si="2"/>
        <v>3133.4267999999997</v>
      </c>
      <c r="I23" s="37">
        <f t="shared" si="3"/>
        <v>3133.4267999999997</v>
      </c>
      <c r="J23" s="30">
        <v>1</v>
      </c>
      <c r="K23" s="31" t="s">
        <v>13</v>
      </c>
      <c r="L23" s="32" t="s">
        <v>17</v>
      </c>
    </row>
    <row r="24" spans="1:12" s="2" customFormat="1" ht="39" customHeight="1" x14ac:dyDescent="0.25">
      <c r="A24" s="18">
        <v>8</v>
      </c>
      <c r="B24" s="18" t="str">
        <f t="shared" si="0"/>
        <v>ACBP-N PANEL  (Almaty Cakes&amp;Bakes )</v>
      </c>
      <c r="C24" s="27" t="s">
        <v>78</v>
      </c>
      <c r="D24" s="26" t="s">
        <v>82</v>
      </c>
      <c r="E24" s="27" t="s">
        <v>83</v>
      </c>
      <c r="F24" s="28">
        <v>52.69</v>
      </c>
      <c r="G24" s="21">
        <f t="shared" ref="G24:G25" si="5">F24*0.3</f>
        <v>15.806999999999999</v>
      </c>
      <c r="H24" s="29">
        <f t="shared" ref="H24:H25" si="6">G24*1.33*580</f>
        <v>12193.5198</v>
      </c>
      <c r="I24" s="37">
        <f t="shared" ref="I24:I25" si="7">J24*H24</f>
        <v>24387.0396</v>
      </c>
      <c r="J24" s="30">
        <v>2</v>
      </c>
      <c r="K24" s="31" t="s">
        <v>13</v>
      </c>
      <c r="L24" s="32" t="s">
        <v>17</v>
      </c>
    </row>
    <row r="25" spans="1:12" s="2" customFormat="1" ht="39" customHeight="1" x14ac:dyDescent="0.25">
      <c r="A25" s="18">
        <v>8</v>
      </c>
      <c r="B25" s="18" t="str">
        <f t="shared" si="0"/>
        <v>ACBP-N PANEL  (Almaty Cakes&amp;Bakes )</v>
      </c>
      <c r="C25" s="27" t="s">
        <v>79</v>
      </c>
      <c r="D25" s="26" t="s">
        <v>80</v>
      </c>
      <c r="E25" s="27" t="s">
        <v>81</v>
      </c>
      <c r="F25" s="28">
        <v>246.1</v>
      </c>
      <c r="G25" s="21">
        <f t="shared" si="5"/>
        <v>73.83</v>
      </c>
      <c r="H25" s="29">
        <f t="shared" si="6"/>
        <v>56952.462</v>
      </c>
      <c r="I25" s="37">
        <f t="shared" si="7"/>
        <v>56952.462</v>
      </c>
      <c r="J25" s="30">
        <v>1</v>
      </c>
      <c r="K25" s="31" t="s">
        <v>13</v>
      </c>
      <c r="L25" s="32" t="s">
        <v>17</v>
      </c>
    </row>
    <row r="26" spans="1:12" s="2" customFormat="1" ht="39" customHeight="1" x14ac:dyDescent="0.25">
      <c r="A26" s="18">
        <v>9</v>
      </c>
      <c r="B26" s="18" t="str">
        <f>B23</f>
        <v>ACBP-N PANEL  (Almaty Cakes&amp;Bakes )</v>
      </c>
      <c r="C26" s="18" t="s">
        <v>60</v>
      </c>
      <c r="D26" s="26" t="s">
        <v>58</v>
      </c>
      <c r="E26" s="18" t="s">
        <v>59</v>
      </c>
      <c r="F26" s="28">
        <v>4.5999999999999996</v>
      </c>
      <c r="G26" s="21">
        <f>F26*0.3</f>
        <v>1.38</v>
      </c>
      <c r="H26" s="29">
        <f t="shared" si="2"/>
        <v>1064.5319999999999</v>
      </c>
      <c r="I26" s="37">
        <f t="shared" si="3"/>
        <v>4258.1279999999997</v>
      </c>
      <c r="J26" s="22">
        <v>4</v>
      </c>
      <c r="K26" s="31" t="s">
        <v>13</v>
      </c>
      <c r="L26" s="32" t="s">
        <v>17</v>
      </c>
    </row>
    <row r="27" spans="1:12" s="2" customFormat="1" ht="39" customHeight="1" x14ac:dyDescent="0.25">
      <c r="A27" s="18">
        <v>10</v>
      </c>
      <c r="B27" s="18" t="str">
        <f t="shared" si="0"/>
        <v>ACBP-N PANEL  (Almaty Cakes&amp;Bakes )</v>
      </c>
      <c r="C27" s="18" t="s">
        <v>62</v>
      </c>
      <c r="D27" s="26"/>
      <c r="E27" s="18" t="s">
        <v>48</v>
      </c>
      <c r="F27" s="28">
        <v>110</v>
      </c>
      <c r="G27" s="28">
        <f t="shared" ref="G27:H29" si="8">F27</f>
        <v>110</v>
      </c>
      <c r="H27" s="28">
        <f t="shared" si="8"/>
        <v>110</v>
      </c>
      <c r="I27" s="37">
        <f t="shared" si="3"/>
        <v>7040</v>
      </c>
      <c r="J27" s="22">
        <v>64</v>
      </c>
      <c r="K27" s="31" t="s">
        <v>13</v>
      </c>
      <c r="L27" s="32" t="s">
        <v>61</v>
      </c>
    </row>
    <row r="28" spans="1:12" s="2" customFormat="1" ht="39" customHeight="1" x14ac:dyDescent="0.25">
      <c r="A28" s="18">
        <v>11</v>
      </c>
      <c r="B28" s="18" t="str">
        <f t="shared" si="0"/>
        <v>ACBP-N PANEL  (Almaty Cakes&amp;Bakes )</v>
      </c>
      <c r="C28" s="18" t="s">
        <v>62</v>
      </c>
      <c r="D28" s="26"/>
      <c r="E28" s="18" t="s">
        <v>49</v>
      </c>
      <c r="F28" s="20">
        <v>160</v>
      </c>
      <c r="G28" s="28">
        <f t="shared" si="8"/>
        <v>160</v>
      </c>
      <c r="H28" s="28">
        <f t="shared" si="8"/>
        <v>160</v>
      </c>
      <c r="I28" s="37">
        <f t="shared" si="3"/>
        <v>480</v>
      </c>
      <c r="J28" s="22">
        <v>3</v>
      </c>
      <c r="K28" s="31" t="s">
        <v>13</v>
      </c>
      <c r="L28" s="32" t="s">
        <v>61</v>
      </c>
    </row>
    <row r="29" spans="1:12" s="2" customFormat="1" ht="39" customHeight="1" x14ac:dyDescent="0.25">
      <c r="A29" s="18">
        <v>12</v>
      </c>
      <c r="B29" s="18" t="str">
        <f t="shared" si="0"/>
        <v>ACBP-N PANEL  (Almaty Cakes&amp;Bakes )</v>
      </c>
      <c r="C29" s="9" t="s">
        <v>11</v>
      </c>
      <c r="D29" s="9" t="s">
        <v>11</v>
      </c>
      <c r="E29" s="9" t="s">
        <v>11</v>
      </c>
      <c r="F29" s="23">
        <f>I30</f>
        <v>48000</v>
      </c>
      <c r="G29" s="21">
        <f t="shared" si="8"/>
        <v>48000</v>
      </c>
      <c r="H29" s="21">
        <f t="shared" si="8"/>
        <v>48000</v>
      </c>
      <c r="I29" s="36">
        <f>G29*J29</f>
        <v>48000</v>
      </c>
      <c r="J29" s="24">
        <v>1</v>
      </c>
      <c r="K29" s="6" t="s">
        <v>13</v>
      </c>
      <c r="L29" s="6" t="s">
        <v>11</v>
      </c>
    </row>
    <row r="30" spans="1:12" s="2" customFormat="1" ht="39" customHeight="1" x14ac:dyDescent="0.25">
      <c r="A30" s="18">
        <v>13</v>
      </c>
      <c r="B30" s="18" t="str">
        <f t="shared" si="0"/>
        <v>ACBP-N PANEL  (Almaty Cakes&amp;Bakes )</v>
      </c>
      <c r="C30" s="9" t="s">
        <v>12</v>
      </c>
      <c r="D30" s="9" t="s">
        <v>12</v>
      </c>
      <c r="E30" s="9" t="s">
        <v>12</v>
      </c>
      <c r="F30" s="25">
        <v>8</v>
      </c>
      <c r="G30" s="21">
        <v>100</v>
      </c>
      <c r="H30" s="21">
        <f>G30</f>
        <v>100</v>
      </c>
      <c r="I30" s="36">
        <f>G30*J30</f>
        <v>48000</v>
      </c>
      <c r="J30" s="24">
        <f>60*F30</f>
        <v>480</v>
      </c>
      <c r="K30" s="6" t="s">
        <v>13</v>
      </c>
      <c r="L30" s="6" t="s">
        <v>12</v>
      </c>
    </row>
    <row r="31" spans="1:12" ht="54.75" customHeight="1" x14ac:dyDescent="0.35">
      <c r="I31" s="39">
        <f>SUM(I3:I30)</f>
        <v>1107537.4439200002</v>
      </c>
    </row>
  </sheetData>
  <autoFilter ref="A1:L30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Лист1</vt:lpstr>
      <vt:lpstr>fiyat calismasi burda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2026-07-04T09:32:48Z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