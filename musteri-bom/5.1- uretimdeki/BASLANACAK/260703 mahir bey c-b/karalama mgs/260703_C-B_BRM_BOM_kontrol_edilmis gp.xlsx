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648564155144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RM-03_ABP_Duzeltilmis" sheetId="1" r:id="Re6fc16e49b7f4d3c"/>
    <x:sheet xmlns:r="http://schemas.openxmlformats.org/officeDocument/2006/relationships" name="CB-02_ACBP-N" sheetId="2" r:id="R06503a9e63a343dc"/>
    <x:sheet xmlns:r="http://schemas.openxmlformats.org/officeDocument/2006/relationships" name="Satinalma_Birlesik_Duzeltilmis" sheetId="3" r:id="Rae2e339c27d74714"/>
    <x:sheet xmlns:r="http://schemas.openxmlformats.org/officeDocument/2006/relationships" name="Kontrol_Raporu" sheetId="4" r:id="R47ef9964c07e45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 &quot;EUR&quot;"/>
    <x:numFmt numFmtId="201" formatCode="#,##0 &quot;KZT&quot;"/>
    <x:numFmt numFmtId="202" formatCode="0.00"/>
    <x:numFmt numFmtId="203" formatCode="0"/>
  </x:numFmts>
  <x:fonts count="7">
    <x:font>
      <x:sz val="11"/>
      <x:name val="Carlito"/>
    </x:font>
    <x:font>
      <x:b/>
      <x:sz val="12"/>
      <x:color rgb="FFFFFFFF"/>
      <x:name val="Arial"/>
    </x:font>
    <x:font>
      <x:b/>
      <x:sz val="10"/>
      <x:color rgb="FF1F1F1F"/>
      <x:name val="Arial"/>
    </x:font>
    <x:font>
      <x:b/>
      <x:sz val="10"/>
      <x:color rgb="FFFFFFFF"/>
      <x:name val="Arial"/>
    </x:font>
    <x:font>
      <x:sz val="9"/>
      <x:color rgb="FF1F1F1F"/>
      <x:name val="Arial"/>
    </x:font>
    <x:font>
      <x:b/>
      <x:sz val="11"/>
      <x:color rgb="FF1F1F1F"/>
      <x:name val="Arial"/>
    </x:font>
    <x:font>
      <x:sz val="9"/>
      <x:color rgb="FF385723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44F7A"/>
      </x:patternFill>
    </x:fill>
    <x:fill>
      <x:patternFill patternType="solid">
        <x:fgColor rgb="FFFFD966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</x:fills>
  <x:borders count="14">
    <x:border/>
    <x:border/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top style="thin">
        <x:color rgb="FFB4C6E7"/>
      </x:top>
      <x:bottom style="thin">
        <x:color rgb="FFB4C6E7"/>
      </x:bottom>
    </x:border>
    <x:border>
      <x:top style="thin">
        <x:color rgb="FFB4C6E7"/>
      </x:top>
      <x:bottom style="thin">
        <x:color rgb="FFB4C6E7"/>
      </x:bottom>
    </x:border>
    <x:border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7F6000"/>
      </x:left>
      <x:right style="thin">
        <x:color rgb="FF7F6000"/>
      </x:right>
      <x:top style="thin">
        <x:color rgb="FF7F6000"/>
      </x:top>
      <x:bottom style="thin">
        <x:color rgb="FF7F6000"/>
      </x:bottom>
    </x:border>
    <x:border>
      <x:left style="thin">
        <x:color rgb="FF7F6000"/>
      </x:left>
      <x:right style="thin">
        <x:color rgb="FF7F6000"/>
      </x:right>
      <x:top style="thin">
        <x:color rgb="FF7F6000"/>
      </x:top>
      <x:bottom style="thin">
        <x:color rgb="FF7F6000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1" fillId="2" borderId="7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vertical="center"/>
    </x:xf>
    <x:xf numFmtId="0" fontId="2" fillId="3" borderId="3" xfId="0" applyNumberFormat="1" applyFont="1" applyFill="1" applyBorder="1" applyAlignment="1">
      <x:alignment vertical="center"/>
    </x:xf>
    <x:xf numFmtId="0" fontId="2" fillId="3" borderId="4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vertical="center"/>
    </x:xf>
    <x:xf numFmtId="0" fontId="2" fillId="3" borderId="6" xfId="0" applyNumberFormat="1" applyFont="1" applyFill="1" applyBorder="1" applyAlignment="1">
      <x:alignment vertical="center"/>
    </x:xf>
    <x:xf numFmtId="0" fontId="2" fillId="3" borderId="7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horizontal="center" wrapText="1"/>
    </x:xf>
    <x:xf numFmtId="0" fontId="3" fillId="4" borderId="8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9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horizont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0" xfId="0" applyNumberFormat="1" applyFont="1" applyFill="1" applyBorder="1"/>
    <x:xf numFmtId="0" fontId="4" fillId="0" borderId="10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1" xfId="0" applyNumberFormat="1" applyFont="1" applyFill="1" applyBorder="1"/>
    <x:xf numFmtId="0" fontId="4" fillId="0" borderId="11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2" xfId="0" applyNumberFormat="1" applyFont="1" applyFill="1" applyBorder="1"/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3" xfId="0" applyNumberFormat="1" applyFont="1" applyFill="1" applyBorder="1"/>
    <x:xf numFmtId="200" fontId="4" fillId="0" borderId="10" xfId="0" applyNumberFormat="1" applyFont="1" applyFill="1" applyBorder="1" applyAlignment="1">
      <x:alignment vertical="center" wrapText="1"/>
    </x:xf>
    <x:xf numFmtId="200" fontId="4" fillId="0" borderId="11" xfId="0" applyNumberFormat="1" applyFont="1" applyFill="1" applyBorder="1" applyAlignment="1">
      <x:alignment vertical="center" wrapText="1"/>
    </x:xf>
    <x:xf numFmtId="201" fontId="4" fillId="0" borderId="10" xfId="0" applyNumberFormat="1" applyFont="1" applyFill="1" applyBorder="1" applyAlignment="1">
      <x:alignment vertical="center" wrapText="1"/>
    </x:xf>
    <x:xf numFmtId="201" fontId="5" fillId="5" borderId="12" xfId="0" applyNumberFormat="1" applyFont="1" applyFill="1" applyBorder="1"/>
    <x:xf numFmtId="201" fontId="4" fillId="0" borderId="11" xfId="0" applyNumberFormat="1" applyFont="1" applyFill="1" applyBorder="1" applyAlignment="1">
      <x:alignment vertical="center" wrapText="1"/>
    </x:xf>
    <x:xf numFmtId="201" fontId="5" fillId="5" borderId="13" xfId="0" applyNumberFormat="1" applyFont="1" applyFill="1" applyBorder="1"/>
    <x:xf numFmtId="202" fontId="4" fillId="0" borderId="10" xfId="0" applyNumberFormat="1" applyFont="1" applyFill="1" applyBorder="1" applyAlignment="1">
      <x:alignment vertical="center" wrapText="1"/>
    </x:xf>
    <x:xf numFmtId="202" fontId="4" fillId="0" borderId="11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6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6" fillId="6" borderId="11" xfId="0" applyNumberFormat="1" applyFont="1" applyFill="1" applyBorder="1" applyAlignment="1">
      <x:alignment vertical="center" wrapText="1"/>
    </x:xf>
    <x:xf numFmtId="0" fontId="4" fillId="7" borderId="10" xfId="0" applyNumberFormat="1" applyFont="1" applyFill="1" applyBorder="1" applyAlignment="1">
      <x:alignment vertical="center" wrapText="1"/>
    </x:xf>
    <x:xf numFmtId="200" fontId="4" fillId="7" borderId="10" xfId="0" applyNumberFormat="1" applyFont="1" applyFill="1" applyBorder="1" applyAlignment="1">
      <x:alignment vertical="center" wrapText="1"/>
    </x:xf>
    <x:xf numFmtId="201" fontId="4" fillId="7" borderId="10" xfId="0" applyNumberFormat="1" applyFont="1" applyFill="1" applyBorder="1" applyAlignment="1">
      <x:alignment vertical="center" wrapText="1"/>
    </x:xf>
    <x:xf numFmtId="202" fontId="4" fillId="7" borderId="10" xfId="0" applyNumberFormat="1" applyFont="1" applyFill="1" applyBorder="1" applyAlignment="1">
      <x:alignment vertical="center" wrapText="1"/>
    </x:xf>
    <x:xf numFmtId="0" fontId="4" fillId="7" borderId="11" xfId="0" applyNumberFormat="1" applyFont="1" applyFill="1" applyBorder="1" applyAlignment="1">
      <x:alignment vertical="center" wrapText="1"/>
    </x:xf>
    <x:xf numFmtId="200" fontId="4" fillId="7" borderId="11" xfId="0" applyNumberFormat="1" applyFont="1" applyFill="1" applyBorder="1" applyAlignment="1">
      <x:alignment vertical="center" wrapText="1"/>
    </x:xf>
    <x:xf numFmtId="201" fontId="4" fillId="7" borderId="11" xfId="0" applyNumberFormat="1" applyFont="1" applyFill="1" applyBorder="1" applyAlignment="1">
      <x:alignment vertical="center" wrapText="1"/>
    </x:xf>
    <x:xf numFmtId="202" fontId="4" fillId="7" borderId="11" xfId="0" applyNumberFormat="1" applyFont="1" applyFill="1" applyBorder="1" applyAlignment="1">
      <x:alignment vertical="center" wrapText="1"/>
    </x:xf>
    <x:xf numFmtId="203" fontId="4" fillId="7" borderId="10" xfId="0" applyNumberFormat="1" applyFont="1" applyFill="1" applyBorder="1" applyAlignment="1">
      <x:alignment vertical="center" wrapText="1"/>
    </x:xf>
    <x:xf numFmtId="203" fontId="4" fillId="0" borderId="10" xfId="0" applyNumberFormat="1" applyFont="1" applyFill="1" applyBorder="1" applyAlignment="1">
      <x:alignment vertical="center" wrapText="1"/>
    </x:xf>
    <x:xf numFmtId="203" fontId="4" fillId="7" borderId="11" xfId="0" applyNumberFormat="1" applyFont="1" applyFill="1" applyBorder="1" applyAlignment="1">
      <x:alignment vertical="center" wrapText="1"/>
    </x:xf>
    <x:xf numFmtId="203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68143756014566" /><Relationship Type="http://schemas.openxmlformats.org/officeDocument/2006/relationships/theme" Target="/xl/theme/theme1.xml" Id="R5b21618fa8194347" /><Relationship Type="http://schemas.openxmlformats.org/officeDocument/2006/relationships/sharedStrings" Target="/xl/sharedStrings.xml" Id="Rc23bad4e450c4c26" /><Relationship Type="http://schemas.openxmlformats.org/officeDocument/2006/relationships/worksheet" Target="/xl/worksheets/sheet1.xml" Id="Re6fc16e49b7f4d3c" /><Relationship Type="http://schemas.openxmlformats.org/officeDocument/2006/relationships/worksheet" Target="/xl/worksheets/sheet2.xml" Id="R06503a9e63a343dc" /><Relationship Type="http://schemas.openxmlformats.org/officeDocument/2006/relationships/worksheet" Target="/xl/worksheets/sheet3.xml" Id="Rae2e339c27d74714" /><Relationship Type="http://schemas.openxmlformats.org/officeDocument/2006/relationships/worksheet" Target="/xl/worksheets/sheet4.xml" Id="R47ef9964c07e45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58" hidden="0" customWidth="1"/>
    <x:col min="5" max="5" width="12" hidden="0" customWidth="1"/>
    <x:col min="6" max="6" width="15" hidden="0" customWidth="1"/>
    <x:col min="7" max="7" width="16" hidden="0" customWidth="1"/>
    <x:col min="8" max="8" width="9" hidden="0" customWidth="1"/>
    <x:col min="9" max="9" width="10" hidden="0" customWidth="1"/>
    <x:col min="10" max="10" width="15" hidden="0" customWidth="1"/>
    <x:col min="11" max="11" width="24" hidden="0" customWidth="1"/>
    <x:col min="12" max="12" width="28" hidden="0" customWidth="1"/>
  </x:cols>
  <x:sheetData>
    <x:row r="1" ht="24" customHeight="1">
      <x:c r="A1" s="7" t="str">
        <x:v>EP34-ALM-BTA | BRM-03 ABP | DÜZELTİLMİŞ BOM | Kur: 541.37 KZT/EUR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9"/>
    </x:row>
    <x:row r="2" ht="22" customHeight="1">
      <x:c r="A2" s="23" t="str">
        <x:v>EUR/KZT kuru</x:v>
      </x:c>
      <x:c r="B2" s="24" t="n">
        <x:v>541.37</x:v>
      </x:c>
      <x:c r="C2" s="24" t="str">
        <x:v>NBK resmi kur tarihi: 03.07.2026</x:v>
      </x:c>
      <x:c r="D2" s="24" t="str">
        <x:v>ABB fiyatlama: Liste × 0,30 × 1,35 × Kur</x:v>
      </x:c>
      <x:c r="E2" s="24"/>
      <x:c r="F2" s="24"/>
      <x:c r="G2" s="24"/>
      <x:c r="H2" s="24"/>
      <x:c r="I2" s="24"/>
      <x:c r="J2" s="24"/>
      <x:c r="K2" s="24"/>
      <x:c r="L2" s="25" t="str">
        <x:v>https://nationalbank.kz/en/exchangerates/ezhednevnye-oficialnye-rynochnye-kursy-valyut</x:v>
      </x:c>
    </x:row>
    <x:row r="3" ht="22" customHeight="1">
      <x:c r="A3" s="23" t="str">
        <x:v>RCBO kalemleri A-tip RCCB + MCB olarak ayrıştırıldı. Kilitli devre için kilit aparatı ayrıca yazıldı.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5"/>
    </x:row>
    <x:row r="5" ht="32" customHeight="1">
      <x:c r="A5" s="39" t="str">
        <x:v>Panel</x:v>
      </x:c>
      <x:c r="B5" s="39" t="str">
        <x:v>Malzeme Tipi</x:v>
      </x:c>
      <x:c r="C5" s="39" t="str">
        <x:v>Ürün Kodu</x:v>
      </x:c>
      <x:c r="D5" s="39" t="str">
        <x:v>Ürün Adı / Teknik Açıklama</x:v>
      </x:c>
      <x:c r="E5" s="39" t="str">
        <x:v>Liste EUR</x:v>
      </x:c>
      <x:c r="F5" s="39" t="str">
        <x:v>KZT (birim)</x:v>
      </x:c>
      <x:c r="G5" s="39" t="str">
        <x:v>Toplam KZT</x:v>
      </x:c>
      <x:c r="H5" s="39" t="str">
        <x:v>Adet</x:v>
      </x:c>
      <x:c r="I5" s="39" t="str">
        <x:v>Birim</x:v>
      </x:c>
      <x:c r="J5" s="39" t="str">
        <x:v>Üretici</x:v>
      </x:c>
      <x:c r="K5" s="39" t="str">
        <x:v>Durum</x:v>
      </x:c>
      <x:c r="L5" s="39" t="str">
        <x:v>Kaynak</x:v>
      </x:c>
    </x:row>
    <x:row r="6">
      <x:c r="A6" s="49" t="str">
        <x:v>BRM-03 ABP PANEL</x:v>
      </x:c>
      <x:c r="B6" s="49" t="str">
        <x:v>korpus</x:v>
      </x:c>
      <x:c r="C6" s="49" t="str"/>
      <x:c r="D6" s="49" t="str">
        <x:v>Pano gövdesi 1200×2000×450 mm + 100 mm baza, serbest ayaklı, metal (TEKSAN)</x:v>
      </x:c>
      <x:c r="E6" s="60"/>
      <x:c r="F6" s="62" t="n">
        <x:v>205000</x:v>
      </x:c>
      <x:c r="G6" s="62" t="n">
        <x:f>F6*H6</x:f>
        <x:v>205000</x:v>
      </x:c>
      <x:c r="H6" s="66" t="n">
        <x:v>1</x:v>
      </x:c>
      <x:c r="I6" s="49" t="str">
        <x:v>ШТ.</x:v>
      </x:c>
      <x:c r="J6" s="49" t="str">
        <x:v>TEKSAN</x:v>
      </x:c>
      <x:c r="K6" s="69" t="str">
        <x:v>✅</x:v>
      </x:c>
      <x:c r="L6" s="49" t="str">
        <x:v>Mevcut BRM-03 BOM</x:v>
      </x:c>
    </x:row>
    <x:row r="7">
      <x:c r="A7" s="49" t="str">
        <x:v>BRM-03 ABP PANEL</x:v>
      </x:c>
      <x:c r="B7" s="49" t="str">
        <x:v>mccb</x:v>
      </x:c>
      <x:c r="C7" s="49" t="str">
        <x:v>1SDA100345R1</x:v>
      </x:c>
      <x:c r="D7" s="49" t="str">
        <x:v>XT5N 400, TMA, In=400A, 3P MCCB (ana şalter)</x:v>
      </x:c>
      <x:c r="E7" s="60" t="n">
        <x:v>1237</x:v>
      </x:c>
      <x:c r="F7" s="62" t="n">
        <x:f>E7*0.30*1.35*$B$2</x:f>
        <x:v>271218.24945</x:v>
      </x:c>
      <x:c r="G7" s="62" t="n">
        <x:f>F7*H7</x:f>
        <x:v>271218.24945</x:v>
      </x:c>
      <x:c r="H7" s="66" t="n">
        <x:v>1</x:v>
      </x:c>
      <x:c r="I7" s="49" t="str">
        <x:v>ШТ.</x:v>
      </x:c>
      <x:c r="J7" s="49" t="str">
        <x:v>ABB</x:v>
      </x:c>
      <x:c r="K7" s="69" t="str">
        <x:v>✅</x:v>
      </x:c>
      <x:c r="L7" s="49" t="str">
        <x:v>Mevcut BRM-03 BOM</x:v>
      </x:c>
    </x:row>
    <x:row r="8">
      <x:c r="A8" s="49" t="str">
        <x:v>BRM-03 ABP PANEL</x:v>
      </x:c>
      <x:c r="B8" s="49" t="str">
        <x:v>rascepitel</x:v>
      </x:c>
      <x:c r="C8" s="49" t="str">
        <x:v>1SDA054873R1</x:v>
      </x:c>
      <x:c r="D8" s="49" t="str">
        <x:v>SOR-C T4-T5-T6 220–240V AC / 220–250V DC açma bobini</x:v>
      </x:c>
      <x:c r="E8" s="60" t="n">
        <x:v>130.3</x:v>
      </x:c>
      <x:c r="F8" s="62" t="n">
        <x:f>E8*0.30*1.35*$B$2</x:f>
        <x:v>28568.906955000006</x:v>
      </x:c>
      <x:c r="G8" s="62" t="n">
        <x:f>F8*H8</x:f>
        <x:v>28568.906955000006</x:v>
      </x:c>
      <x:c r="H8" s="66" t="n">
        <x:v>1</x:v>
      </x:c>
      <x:c r="I8" s="49" t="str">
        <x:v>ШТ.</x:v>
      </x:c>
      <x:c r="J8" s="49" t="str">
        <x:v>ABB</x:v>
      </x:c>
      <x:c r="K8" s="69" t="str">
        <x:v>✅</x:v>
      </x:c>
      <x:c r="L8" s="49" t="str">
        <x:v>Mevcut BRM-03 BOM</x:v>
      </x:c>
    </x:row>
    <x:row r="9">
      <x:c r="A9" s="49" t="str">
        <x:v>BRM-03 ABP PANEL</x:v>
      </x:c>
      <x:c r="B9" s="49" t="str">
        <x:v>mccb</x:v>
      </x:c>
      <x:c r="C9" s="49" t="str">
        <x:v>1SDA066720R1</x:v>
      </x:c>
      <x:c r="D9" s="49" t="str">
        <x:v>A1C 125, TMF, In=125A, 3P MCCB</x:v>
      </x:c>
      <x:c r="E9" s="60" t="n">
        <x:v>137</x:v>
      </x:c>
      <x:c r="F9" s="62" t="n">
        <x:f>E9*0.30*1.35*$B$2</x:f>
        <x:v>30037.914450000004</x:v>
      </x:c>
      <x:c r="G9" s="62" t="n">
        <x:f>F9*H9</x:f>
        <x:v>30037.914450000004</x:v>
      </x:c>
      <x:c r="H9" s="66" t="n">
        <x:v>1</x:v>
      </x:c>
      <x:c r="I9" s="49" t="str">
        <x:v>ШТ.</x:v>
      </x:c>
      <x:c r="J9" s="49" t="str">
        <x:v>ABB</x:v>
      </x:c>
      <x:c r="K9" s="69" t="str">
        <x:v>✅</x:v>
      </x:c>
      <x:c r="L9" s="49" t="str">
        <x:v>Mevcut BRM-03 BOM</x:v>
      </x:c>
    </x:row>
    <x:row r="10">
      <x:c r="A10" s="49" t="str">
        <x:v>BRM-03 ABP PANEL</x:v>
      </x:c>
      <x:c r="B10" s="49" t="str">
        <x:v>mccb</x:v>
      </x:c>
      <x:c r="C10" s="49" t="str">
        <x:v>1SDA066719R1</x:v>
      </x:c>
      <x:c r="D10" s="49" t="str">
        <x:v>A1C 125, TMF, In=100A, 3P MCCB</x:v>
      </x:c>
      <x:c r="E10" s="60" t="n">
        <x:v>153.6</x:v>
      </x:c>
      <x:c r="F10" s="62" t="n">
        <x:f>E10*0.30*1.35*$B$2</x:f>
        <x:v>33677.54496</x:v>
      </x:c>
      <x:c r="G10" s="62" t="n">
        <x:f>F10*H10</x:f>
        <x:v>33677.54496</x:v>
      </x:c>
      <x:c r="H10" s="66" t="n">
        <x:v>1</x:v>
      </x:c>
      <x:c r="I10" s="49" t="str">
        <x:v>ШТ.</x:v>
      </x:c>
      <x:c r="J10" s="49" t="str">
        <x:v>ABB</x:v>
      </x:c>
      <x:c r="K10" s="69" t="str">
        <x:v>✅</x:v>
      </x:c>
      <x:c r="L10" s="49" t="str">
        <x:v>Mevcut BRM-03 BOM</x:v>
      </x:c>
    </x:row>
    <x:row r="11">
      <x:c r="A11" s="72" t="str">
        <x:v>BRM-03 ABP PANEL</x:v>
      </x:c>
      <x:c r="B11" s="72" t="str">
        <x:v>tt</x:v>
      </x:c>
      <x:c r="C11" s="72" t="str"/>
      <x:c r="D11" s="72" t="str">
        <x:v>Akım trafosu 400/5A, 5VA, sınıf 0.5</x:v>
      </x:c>
      <x:c r="E11" s="73"/>
      <x:c r="F11" s="74" t="n">
        <x:v>6350</x:v>
      </x:c>
      <x:c r="G11" s="74" t="n">
        <x:f>F11*H11</x:f>
        <x:v>19050</x:v>
      </x:c>
      <x:c r="H11" s="75" t="n">
        <x:v>3</x:v>
      </x:c>
      <x:c r="I11" s="72" t="str">
        <x:v>ШТ.</x:v>
      </x:c>
      <x:c r="J11" s="72" t="str">
        <x:v>IEK / eşdeğer</x:v>
      </x:c>
      <x:c r="K11" s="72" t="str">
        <x:v>⚠ ürün kodu teyit</x:v>
      </x:c>
      <x:c r="L11" s="72" t="str">
        <x:v>Mevcut BRM-03 BOM</x:v>
      </x:c>
    </x:row>
    <x:row r="12">
      <x:c r="A12" s="49" t="str">
        <x:v>BRM-03 ABP PANEL</x:v>
      </x:c>
      <x:c r="B12" s="49" t="str">
        <x:v>mcb</x:v>
      </x:c>
      <x:c r="C12" s="49" t="str">
        <x:v>2CDS211001R0064</x:v>
      </x:c>
      <x:c r="D12" s="49" t="str">
        <x:v>SH201-C2, 1P C2A 6kA (ölçüm)</x:v>
      </x:c>
      <x:c r="E12" s="60" t="n">
        <x:v>9.71</x:v>
      </x:c>
      <x:c r="F12" s="62" t="n">
        <x:f>E12*0.30*1.35*$B$2</x:f>
        <x:v>2128.9645935000003</x:v>
      </x:c>
      <x:c r="G12" s="62" t="n">
        <x:f>F12*H12</x:f>
        <x:v>8515.858374000001</x:v>
      </x:c>
      <x:c r="H12" s="66" t="n">
        <x:v>4</x:v>
      </x:c>
      <x:c r="I12" s="49" t="str">
        <x:v>ШТ.</x:v>
      </x:c>
      <x:c r="J12" s="49" t="str">
        <x:v>ABB</x:v>
      </x:c>
      <x:c r="K12" s="69" t="str">
        <x:v>✅</x:v>
      </x:c>
      <x:c r="L12" s="49" t="str">
        <x:v>Mevcut BRM-03 BOM</x:v>
      </x:c>
    </x:row>
    <x:row r="13">
      <x:c r="A13" s="49" t="str">
        <x:v>BRM-03 ABP PANEL</x:v>
      </x:c>
      <x:c r="B13" s="49" t="str">
        <x:v>mcb</x:v>
      </x:c>
      <x:c r="C13" s="49" t="str">
        <x:v>2CDS213001R0024</x:v>
      </x:c>
      <x:c r="D13" s="49" t="str">
        <x:v>SH203-C2, 3P C2A 6kA (ölçüm)</x:v>
      </x:c>
      <x:c r="E13" s="60" t="n">
        <x:v>65.41</x:v>
      </x:c>
      <x:c r="F13" s="62" t="n">
        <x:f>E13*0.30*1.35*$B$2</x:f>
        <x:v>14341.4597385</x:v>
      </x:c>
      <x:c r="G13" s="62" t="n">
        <x:f>F13*H13</x:f>
        <x:v>14341.4597385</x:v>
      </x:c>
      <x:c r="H13" s="66" t="n">
        <x:v>1</x:v>
      </x:c>
      <x:c r="I13" s="49" t="str">
        <x:v>ШТ.</x:v>
      </x:c>
      <x:c r="J13" s="49" t="str">
        <x:v>ABB</x:v>
      </x:c>
      <x:c r="K13" s="69" t="str">
        <x:v>✅</x:v>
      </x:c>
      <x:c r="L13" s="49" t="str">
        <x:v>Mevcut BRM-03 BOM</x:v>
      </x:c>
    </x:row>
    <x:row r="14">
      <x:c r="A14" s="49" t="str">
        <x:v>BRM-03 ABP PANEL</x:v>
      </x:c>
      <x:c r="B14" s="49" t="str">
        <x:v>energy_meter</x:v>
      </x:c>
      <x:c r="C14" s="49" t="str">
        <x:v>2CSG251141R4051</x:v>
      </x:c>
      <x:c r="D14" s="49" t="str">
        <x:v>M4M 20 Modbus enerji analizörü</x:v>
      </x:c>
      <x:c r="E14" s="60" t="n">
        <x:v>779.8</x:v>
      </x:c>
      <x:c r="F14" s="62" t="n">
        <x:f>E14*0.30*1.35*$B$2</x:f>
        <x:v>170974.93202999997</x:v>
      </x:c>
      <x:c r="G14" s="62" t="n">
        <x:f>F14*H14</x:f>
        <x:v>170974.93202999997</x:v>
      </x:c>
      <x:c r="H14" s="66" t="n">
        <x:v>1</x:v>
      </x:c>
      <x:c r="I14" s="49" t="str">
        <x:v>ШТ.</x:v>
      </x:c>
      <x:c r="J14" s="49" t="str">
        <x:v>ABB</x:v>
      </x:c>
      <x:c r="K14" s="69" t="str">
        <x:v>✅</x:v>
      </x:c>
      <x:c r="L14" s="49" t="str">
        <x:v>Mevcut BRM-03 BOM</x:v>
      </x:c>
    </x:row>
    <x:row r="15">
      <x:c r="A15" s="49" t="str">
        <x:v>BRM-03 ABP PANEL</x:v>
      </x:c>
      <x:c r="B15" s="49" t="str">
        <x:v>rccb</x:v>
      </x:c>
      <x:c r="C15" s="49" t="str">
        <x:v>2CSF202102R1250</x:v>
      </x:c>
      <x:c r="D15" s="49" t="str">
        <x:v>FH202 A-25/0.03, 2P 25A 30mA A-tip (C16 devreleri)</x:v>
      </x:c>
      <x:c r="E15" s="60" t="n">
        <x:v>65.75</x:v>
      </x:c>
      <x:c r="F15" s="62" t="n">
        <x:f>E15*0.30*1.35*$B$2</x:f>
        <x:v>14416.0063875</x:v>
      </x:c>
      <x:c r="G15" s="62" t="n">
        <x:f>F15*H15</x:f>
        <x:v>619888.2746625</x:v>
      </x:c>
      <x:c r="H15" s="66" t="n">
        <x:v>43</x:v>
      </x:c>
      <x:c r="I15" s="49" t="str">
        <x:v>ШТ.</x:v>
      </x:c>
      <x:c r="J15" s="49" t="str">
        <x:v>ABB</x:v>
      </x:c>
      <x:c r="K15" s="69" t="str">
        <x:v>✅</x:v>
      </x:c>
      <x:c r="L15" s="49" t="str">
        <x:v>Mevcut BRM-03 BOM</x:v>
      </x:c>
    </x:row>
    <x:row r="16">
      <x:c r="A16" s="49" t="str">
        <x:v>BRM-03 ABP PANEL</x:v>
      </x:c>
      <x:c r="B16" s="49" t="str">
        <x:v>mcb</x:v>
      </x:c>
      <x:c r="C16" s="49" t="str">
        <x:v>2CDS211001R0164</x:v>
      </x:c>
      <x:c r="D16" s="49" t="str">
        <x:v>SH201-C16, 1P C16A 6kA (FH202 ile)</x:v>
      </x:c>
      <x:c r="E16" s="60" t="n">
        <x:v>8.09</x:v>
      </x:c>
      <x:c r="F16" s="62" t="n">
        <x:f>E16*0.30*1.35*$B$2</x:f>
        <x:v>1773.7717365</x:v>
      </x:c>
      <x:c r="G16" s="62" t="n">
        <x:f>F16*H16</x:f>
        <x:v>76272.1846695</x:v>
      </x:c>
      <x:c r="H16" s="66" t="n">
        <x:v>43</x:v>
      </x:c>
      <x:c r="I16" s="49" t="str">
        <x:v>ШТ.</x:v>
      </x:c>
      <x:c r="J16" s="49" t="str">
        <x:v>ABB</x:v>
      </x:c>
      <x:c r="K16" s="69" t="str">
        <x:v>✅</x:v>
      </x:c>
      <x:c r="L16" s="49" t="str">
        <x:v>Mevcut BRM-03 BOM</x:v>
      </x:c>
    </x:row>
    <x:row r="17">
      <x:c r="A17" s="49" t="str">
        <x:v>BRM-03 ABP PANEL</x:v>
      </x:c>
      <x:c r="B17" s="49" t="str">
        <x:v>rccb</x:v>
      </x:c>
      <x:c r="C17" s="49" t="str">
        <x:v>2CSF202102R1250</x:v>
      </x:c>
      <x:c r="D17" s="49" t="str">
        <x:v>FH202 A-25/0.03, 2P 25A 30mA A-tip (C25 devreleri)</x:v>
      </x:c>
      <x:c r="E17" s="60" t="n">
        <x:v>65.75</x:v>
      </x:c>
      <x:c r="F17" s="62" t="n">
        <x:f>E17*0.30*1.35*$B$2</x:f>
        <x:v>14416.0063875</x:v>
      </x:c>
      <x:c r="G17" s="62" t="n">
        <x:f>F17*H17</x:f>
        <x:v>43248.0191625</x:v>
      </x:c>
      <x:c r="H17" s="66" t="n">
        <x:v>3</x:v>
      </x:c>
      <x:c r="I17" s="49" t="str">
        <x:v>ШТ.</x:v>
      </x:c>
      <x:c r="J17" s="49" t="str">
        <x:v>ABB</x:v>
      </x:c>
      <x:c r="K17" s="69" t="str">
        <x:v>✅</x:v>
      </x:c>
      <x:c r="L17" s="49" t="str">
        <x:v>Mevcut BRM-03 BOM</x:v>
      </x:c>
    </x:row>
    <x:row r="18">
      <x:c r="A18" s="49" t="str">
        <x:v>BRM-03 ABP PANEL</x:v>
      </x:c>
      <x:c r="B18" s="49" t="str">
        <x:v>mcb</x:v>
      </x:c>
      <x:c r="C18" s="49" t="str">
        <x:v>2CDS211001R0254</x:v>
      </x:c>
      <x:c r="D18" s="49" t="str">
        <x:v>SH201-C25, 1P C25A 6kA (FH202 ile)</x:v>
      </x:c>
      <x:c r="E18" s="60" t="n">
        <x:v>8.09</x:v>
      </x:c>
      <x:c r="F18" s="62" t="n">
        <x:f>E18*0.30*1.35*$B$2</x:f>
        <x:v>1773.7717365</x:v>
      </x:c>
      <x:c r="G18" s="62" t="n">
        <x:f>F18*H18</x:f>
        <x:v>5321.3152095000005</x:v>
      </x:c>
      <x:c r="H18" s="66" t="n">
        <x:v>3</x:v>
      </x:c>
      <x:c r="I18" s="49" t="str">
        <x:v>ШТ.</x:v>
      </x:c>
      <x:c r="J18" s="49" t="str">
        <x:v>ABB</x:v>
      </x:c>
      <x:c r="K18" s="69" t="str">
        <x:v>✅</x:v>
      </x:c>
      <x:c r="L18" s="49" t="str">
        <x:v>Mevcut BRM-03 BOM</x:v>
      </x:c>
    </x:row>
    <x:row r="19">
      <x:c r="A19" s="72" t="str">
        <x:v>BRM-03 ABP PANEL</x:v>
      </x:c>
      <x:c r="B19" s="72" t="str">
        <x:v>aksesuar</x:v>
      </x:c>
      <x:c r="C19" s="72" t="str">
        <x:v>KONTROL EDİLECEK</x:v>
      </x:c>
      <x:c r="D19" s="72" t="str">
        <x:v>Kilitli devre için MCB kilitleme aparatı</x:v>
      </x:c>
      <x:c r="E19" s="73"/>
      <x:c r="F19" s="74"/>
      <x:c r="G19" s="74"/>
      <x:c r="H19" s="75" t="n">
        <x:v>1</x:v>
      </x:c>
      <x:c r="I19" s="72" t="str">
        <x:v>ШТ.</x:v>
      </x:c>
      <x:c r="J19" s="72" t="str">
        <x:v>ABB</x:v>
      </x:c>
      <x:c r="K19" s="72" t="str">
        <x:v>⚠ ürün kodu teyit</x:v>
      </x:c>
      <x:c r="L19" s="72" t="str">
        <x:v>Mevcut BRM-03 BOM</x:v>
      </x:c>
    </x:row>
    <x:row r="20">
      <x:c r="A20" s="49" t="str">
        <x:v>BRM-03 ABP PANEL</x:v>
      </x:c>
      <x:c r="B20" s="49" t="str">
        <x:v>rccb</x:v>
      </x:c>
      <x:c r="C20" s="49" t="str">
        <x:v>2CSF204102R1250</x:v>
      </x:c>
      <x:c r="D20" s="49" t="str">
        <x:v>FH204 A-25/0.03, 4P 25A 30mA A-tip (C16 devreleri)</x:v>
      </x:c>
      <x:c r="E20" s="60" t="n">
        <x:v>85.43</x:v>
      </x:c>
      <x:c r="F20" s="62" t="n">
        <x:f>E20*0.30*1.35*$B$2</x:f>
        <x:v>18730.9418355</x:v>
      </x:c>
      <x:c r="G20" s="62" t="n">
        <x:f>F20*H20</x:f>
        <x:v>74923.767342</x:v>
      </x:c>
      <x:c r="H20" s="66" t="n">
        <x:v>4</x:v>
      </x:c>
      <x:c r="I20" s="49" t="str">
        <x:v>ШТ.</x:v>
      </x:c>
      <x:c r="J20" s="49" t="str">
        <x:v>ABB</x:v>
      </x:c>
      <x:c r="K20" s="69" t="str">
        <x:v>✅</x:v>
      </x:c>
      <x:c r="L20" s="49" t="str">
        <x:v>Mevcut BRM-03 BOM</x:v>
      </x:c>
    </x:row>
    <x:row r="21">
      <x:c r="A21" s="49" t="str">
        <x:v>BRM-03 ABP PANEL</x:v>
      </x:c>
      <x:c r="B21" s="49" t="str">
        <x:v>mcb</x:v>
      </x:c>
      <x:c r="C21" s="49" t="str">
        <x:v>2CDS213001R0164</x:v>
      </x:c>
      <x:c r="D21" s="49" t="str">
        <x:v>SH203-C16, 3P C16A 6kA (FH204 ile)</x:v>
      </x:c>
      <x:c r="E21" s="60" t="n">
        <x:v>36.42</x:v>
      </x:c>
      <x:c r="F21" s="62" t="n">
        <x:f>E21*0.30*1.35*$B$2</x:f>
        <x:v>7985.2616370000005</x:v>
      </x:c>
      <x:c r="G21" s="62" t="n">
        <x:f>F21*H21</x:f>
        <x:v>31941.046548000002</x:v>
      </x:c>
      <x:c r="H21" s="66" t="n">
        <x:v>4</x:v>
      </x:c>
      <x:c r="I21" s="49" t="str">
        <x:v>ШТ.</x:v>
      </x:c>
      <x:c r="J21" s="49" t="str">
        <x:v>ABB</x:v>
      </x:c>
      <x:c r="K21" s="69" t="str">
        <x:v>✅</x:v>
      </x:c>
      <x:c r="L21" s="49" t="str">
        <x:v>Mevcut BRM-03 BOM</x:v>
      </x:c>
    </x:row>
    <x:row r="22">
      <x:c r="A22" s="49" t="str">
        <x:v>BRM-03 ABP PANEL</x:v>
      </x:c>
      <x:c r="B22" s="49" t="str">
        <x:v>rccb</x:v>
      </x:c>
      <x:c r="C22" s="49" t="str">
        <x:v>2CSF204102R1250</x:v>
      </x:c>
      <x:c r="D22" s="49" t="str">
        <x:v>FH204 A-25/0.03, 4P 25A 30mA A-tip (C25 devreleri)</x:v>
      </x:c>
      <x:c r="E22" s="60" t="n">
        <x:v>85.43</x:v>
      </x:c>
      <x:c r="F22" s="62" t="n">
        <x:f>E22*0.30*1.35*$B$2</x:f>
        <x:v>18730.9418355</x:v>
      </x:c>
      <x:c r="G22" s="62" t="n">
        <x:f>F22*H22</x:f>
        <x:v>37461.883671</x:v>
      </x:c>
      <x:c r="H22" s="66" t="n">
        <x:v>2</x:v>
      </x:c>
      <x:c r="I22" s="49" t="str">
        <x:v>ШТ.</x:v>
      </x:c>
      <x:c r="J22" s="49" t="str">
        <x:v>ABB</x:v>
      </x:c>
      <x:c r="K22" s="69" t="str">
        <x:v>✅</x:v>
      </x:c>
      <x:c r="L22" s="49" t="str">
        <x:v>Mevcut BRM-03 BOM</x:v>
      </x:c>
    </x:row>
    <x:row r="23">
      <x:c r="A23" s="49" t="str">
        <x:v>BRM-03 ABP PANEL</x:v>
      </x:c>
      <x:c r="B23" s="49" t="str">
        <x:v>mcb</x:v>
      </x:c>
      <x:c r="C23" s="49" t="str">
        <x:v>2CDS213001R0254</x:v>
      </x:c>
      <x:c r="D23" s="49" t="str">
        <x:v>SH203-C25, 3P C25A 6kA (FH204 ile)</x:v>
      </x:c>
      <x:c r="E23" s="60" t="n">
        <x:v>36.42</x:v>
      </x:c>
      <x:c r="F23" s="62" t="n">
        <x:f>E23*0.30*1.35*$B$2</x:f>
        <x:v>7985.2616370000005</x:v>
      </x:c>
      <x:c r="G23" s="62" t="n">
        <x:f>F23*H23</x:f>
        <x:v>15970.523274000001</x:v>
      </x:c>
      <x:c r="H23" s="66" t="n">
        <x:v>2</x:v>
      </x:c>
      <x:c r="I23" s="49" t="str">
        <x:v>ШТ.</x:v>
      </x:c>
      <x:c r="J23" s="49" t="str">
        <x:v>ABB</x:v>
      </x:c>
      <x:c r="K23" s="69" t="str">
        <x:v>✅</x:v>
      </x:c>
      <x:c r="L23" s="49" t="str">
        <x:v>Mevcut BRM-03 BOM</x:v>
      </x:c>
    </x:row>
    <x:row r="24">
      <x:c r="A24" s="49" t="str">
        <x:v>BRM-03 ABP PANEL</x:v>
      </x:c>
      <x:c r="B24" s="49" t="str">
        <x:v>rccb</x:v>
      </x:c>
      <x:c r="C24" s="49" t="str">
        <x:v>2CSF204102R1400</x:v>
      </x:c>
      <x:c r="D24" s="49" t="str">
        <x:v>FH204 A-40/0.03, 4P 40A 30mA A-tip (C32 devreleri)</x:v>
      </x:c>
      <x:c r="E24" s="60" t="n">
        <x:v>89.7</x:v>
      </x:c>
      <x:c r="F24" s="62" t="n">
        <x:f>E24*0.30*1.35*$B$2</x:f>
        <x:v>19667.160045000004</x:v>
      </x:c>
      <x:c r="G24" s="62" t="n">
        <x:f>F24*H24</x:f>
        <x:v>39334.32009000001</x:v>
      </x:c>
      <x:c r="H24" s="66" t="n">
        <x:v>2</x:v>
      </x:c>
      <x:c r="I24" s="49" t="str">
        <x:v>ШТ.</x:v>
      </x:c>
      <x:c r="J24" s="49" t="str">
        <x:v>ABB</x:v>
      </x:c>
      <x:c r="K24" s="69" t="str">
        <x:v>✅</x:v>
      </x:c>
      <x:c r="L24" s="49" t="str">
        <x:v>Mevcut BRM-03 BOM</x:v>
      </x:c>
    </x:row>
    <x:row r="25">
      <x:c r="A25" s="49" t="str">
        <x:v>BRM-03 ABP PANEL</x:v>
      </x:c>
      <x:c r="B25" s="49" t="str">
        <x:v>mcb</x:v>
      </x:c>
      <x:c r="C25" s="49" t="str">
        <x:v>2CDS213001R0324</x:v>
      </x:c>
      <x:c r="D25" s="49" t="str">
        <x:v>SH203-C32, 3P C32A 6kA (FH204 ile)</x:v>
      </x:c>
      <x:c r="E25" s="60" t="n">
        <x:v>45.54</x:v>
      </x:c>
      <x:c r="F25" s="62" t="n">
        <x:f>E25*0.30*1.35*$B$2</x:f>
        <x:v>9984.865869</x:v>
      </x:c>
      <x:c r="G25" s="62" t="n">
        <x:f>F25*H25</x:f>
        <x:v>19969.731738</x:v>
      </x:c>
      <x:c r="H25" s="66" t="n">
        <x:v>2</x:v>
      </x:c>
      <x:c r="I25" s="49" t="str">
        <x:v>ШТ.</x:v>
      </x:c>
      <x:c r="J25" s="49" t="str">
        <x:v>ABB</x:v>
      </x:c>
      <x:c r="K25" s="69" t="str">
        <x:v>✅</x:v>
      </x:c>
      <x:c r="L25" s="49" t="str">
        <x:v>Mevcut BRM-03 BOM</x:v>
      </x:c>
    </x:row>
    <x:row r="26">
      <x:c r="A26" s="49" t="str">
        <x:v>BRM-03 ABP PANEL</x:v>
      </x:c>
      <x:c r="B26" s="49" t="str">
        <x:v>rccb</x:v>
      </x:c>
      <x:c r="C26" s="49" t="str">
        <x:v>2CSF204102R1400</x:v>
      </x:c>
      <x:c r="D26" s="49" t="str">
        <x:v>FH204 A-40/0.03, 4P 40A 30mA A-tip (C40 devresi)</x:v>
      </x:c>
      <x:c r="E26" s="60" t="n">
        <x:v>89.7</x:v>
      </x:c>
      <x:c r="F26" s="62" t="n">
        <x:f>E26*0.30*1.35*$B$2</x:f>
        <x:v>19667.160045000004</x:v>
      </x:c>
      <x:c r="G26" s="62" t="n">
        <x:f>F26*H26</x:f>
        <x:v>19667.160045000004</x:v>
      </x:c>
      <x:c r="H26" s="66" t="n">
        <x:v>1</x:v>
      </x:c>
      <x:c r="I26" s="49" t="str">
        <x:v>ШТ.</x:v>
      </x:c>
      <x:c r="J26" s="49" t="str">
        <x:v>ABB</x:v>
      </x:c>
      <x:c r="K26" s="69" t="str">
        <x:v>✅</x:v>
      </x:c>
      <x:c r="L26" s="49" t="str">
        <x:v>Mevcut BRM-03 BOM</x:v>
      </x:c>
    </x:row>
    <x:row r="27">
      <x:c r="A27" s="49" t="str">
        <x:v>BRM-03 ABP PANEL</x:v>
      </x:c>
      <x:c r="B27" s="49" t="str">
        <x:v>mcb</x:v>
      </x:c>
      <x:c r="C27" s="49" t="str">
        <x:v>2CDS213001R0404</x:v>
      </x:c>
      <x:c r="D27" s="49" t="str">
        <x:v>SH203-C40, 3P C40A 6kA (FH204 ile)</x:v>
      </x:c>
      <x:c r="E27" s="60" t="n">
        <x:v>47.38</x:v>
      </x:c>
      <x:c r="F27" s="62" t="n">
        <x:f>E27*0.30*1.35*$B$2</x:f>
        <x:v>10388.294793000001</x:v>
      </x:c>
      <x:c r="G27" s="62" t="n">
        <x:f>F27*H27</x:f>
        <x:v>10388.294793000001</x:v>
      </x:c>
      <x:c r="H27" s="66" t="n">
        <x:v>1</x:v>
      </x:c>
      <x:c r="I27" s="49" t="str">
        <x:v>ШТ.</x:v>
      </x:c>
      <x:c r="J27" s="49" t="str">
        <x:v>ABB</x:v>
      </x:c>
      <x:c r="K27" s="69" t="str">
        <x:v>✅</x:v>
      </x:c>
      <x:c r="L27" s="49" t="str">
        <x:v>Mevcut BRM-03 BOM</x:v>
      </x:c>
    </x:row>
    <x:row r="28">
      <x:c r="A28" s="49" t="str">
        <x:v>BRM-03 ABP PANEL</x:v>
      </x:c>
      <x:c r="B28" s="49" t="str">
        <x:v>rccb</x:v>
      </x:c>
      <x:c r="C28" s="49" t="str">
        <x:v>2CSF202102R1250</x:v>
      </x:c>
      <x:c r="D28" s="49" t="str">
        <x:v>FH202 A-25/0.03, 2P 25A 30mA A-tip (ayrı RCCB)</x:v>
      </x:c>
      <x:c r="E28" s="60" t="n">
        <x:v>65.75</x:v>
      </x:c>
      <x:c r="F28" s="62" t="n">
        <x:f>E28*0.30*1.35*$B$2</x:f>
        <x:v>14416.0063875</x:v>
      </x:c>
      <x:c r="G28" s="62" t="n">
        <x:f>F28*H28</x:f>
        <x:v>14416.0063875</x:v>
      </x:c>
      <x:c r="H28" s="66" t="n">
        <x:v>1</x:v>
      </x:c>
      <x:c r="I28" s="49" t="str">
        <x:v>ШТ.</x:v>
      </x:c>
      <x:c r="J28" s="49" t="str">
        <x:v>ABB</x:v>
      </x:c>
      <x:c r="K28" s="69" t="str">
        <x:v>✅</x:v>
      </x:c>
      <x:c r="L28" s="49" t="str">
        <x:v>Mevcut BRM-03 BOM</x:v>
      </x:c>
    </x:row>
    <x:row r="29">
      <x:c r="A29" s="49" t="str">
        <x:v>BRM-03 ABP PANEL</x:v>
      </x:c>
      <x:c r="B29" s="49" t="str">
        <x:v>rccb</x:v>
      </x:c>
      <x:c r="C29" s="49" t="str">
        <x:v>2CSF204102R1250</x:v>
      </x:c>
      <x:c r="D29" s="49" t="str">
        <x:v>FH204 A-25/0.03, 4P 25A 30mA A-tip (ayrı RCCB)</x:v>
      </x:c>
      <x:c r="E29" s="60" t="n">
        <x:v>85.43</x:v>
      </x:c>
      <x:c r="F29" s="62" t="n">
        <x:f>E29*0.30*1.35*$B$2</x:f>
        <x:v>18730.9418355</x:v>
      </x:c>
      <x:c r="G29" s="62" t="n">
        <x:f>F29*H29</x:f>
        <x:v>131116.5928485</x:v>
      </x:c>
      <x:c r="H29" s="66" t="n">
        <x:v>7</x:v>
      </x:c>
      <x:c r="I29" s="49" t="str">
        <x:v>ШТ.</x:v>
      </x:c>
      <x:c r="J29" s="49" t="str">
        <x:v>ABB</x:v>
      </x:c>
      <x:c r="K29" s="69" t="str">
        <x:v>✅</x:v>
      </x:c>
      <x:c r="L29" s="49" t="str">
        <x:v>Mevcut BRM-03 BOM</x:v>
      </x:c>
    </x:row>
    <x:row r="30">
      <x:c r="A30" s="49" t="str">
        <x:v>BRM-03 ABP PANEL</x:v>
      </x:c>
      <x:c r="B30" s="49" t="str">
        <x:v>rccb</x:v>
      </x:c>
      <x:c r="C30" s="49" t="str">
        <x:v>2CSF204102R1400</x:v>
      </x:c>
      <x:c r="D30" s="49" t="str">
        <x:v>FH204 A-40/0.03, 4P 40A 30mA A-tip (ayrı RCCB)</x:v>
      </x:c>
      <x:c r="E30" s="60" t="n">
        <x:v>89.7</x:v>
      </x:c>
      <x:c r="F30" s="62" t="n">
        <x:f>E30*0.30*1.35*$B$2</x:f>
        <x:v>19667.160045000004</x:v>
      </x:c>
      <x:c r="G30" s="62" t="n">
        <x:f>F30*H30</x:f>
        <x:v>19667.160045000004</x:v>
      </x:c>
      <x:c r="H30" s="66" t="n">
        <x:v>1</x:v>
      </x:c>
      <x:c r="I30" s="49" t="str">
        <x:v>ШТ.</x:v>
      </x:c>
      <x:c r="J30" s="49" t="str">
        <x:v>ABB</x:v>
      </x:c>
      <x:c r="K30" s="69" t="str">
        <x:v>✅</x:v>
      </x:c>
      <x:c r="L30" s="49" t="str">
        <x:v>Mevcut BRM-03 BOM</x:v>
      </x:c>
    </x:row>
    <x:row r="31">
      <x:c r="A31" s="49" t="str">
        <x:v>BRM-03 ABP PANEL</x:v>
      </x:c>
      <x:c r="B31" s="49" t="str">
        <x:v>rccb</x:v>
      </x:c>
      <x:c r="C31" s="49" t="str">
        <x:v>2CSF204102R1630</x:v>
      </x:c>
      <x:c r="D31" s="49" t="str">
        <x:v>FH204 A-63/0.03, 4P 63A 30mA A-tip</x:v>
      </x:c>
      <x:c r="E31" s="60" t="n">
        <x:v>111.1</x:v>
      </x:c>
      <x:c r="F31" s="62" t="n">
        <x:f>E31*0.30*1.35*$B$2</x:f>
        <x:v>24359.213835</x:v>
      </x:c>
      <x:c r="G31" s="62" t="n">
        <x:f>F31*H31</x:f>
        <x:v>48718.42767</x:v>
      </x:c>
      <x:c r="H31" s="66" t="n">
        <x:v>2</x:v>
      </x:c>
      <x:c r="I31" s="49" t="str">
        <x:v>ШТ.</x:v>
      </x:c>
      <x:c r="J31" s="49" t="str">
        <x:v>ABB</x:v>
      </x:c>
      <x:c r="K31" s="69" t="str">
        <x:v>✅</x:v>
      </x:c>
      <x:c r="L31" s="49" t="str">
        <x:v>Mevcut BRM-03 BOM</x:v>
      </x:c>
    </x:row>
    <x:row r="32">
      <x:c r="A32" s="49" t="str">
        <x:v>BRM-03 ABP PANEL</x:v>
      </x:c>
      <x:c r="B32" s="49" t="str">
        <x:v>rccb</x:v>
      </x:c>
      <x:c r="C32" s="49" t="str">
        <x:v>2CSF204401R1900</x:v>
      </x:c>
      <x:c r="D32" s="49" t="str">
        <x:v>F204 A-100/0.03 AP-R, 4P 100A 30mA</x:v>
      </x:c>
      <x:c r="E32" s="60" t="n">
        <x:v>493.7</x:v>
      </x:c>
      <x:c r="F32" s="62" t="n">
        <x:f>E32*0.30*1.35*$B$2</x:f>
        <x:v>108246.119445</x:v>
      </x:c>
      <x:c r="G32" s="62" t="n">
        <x:f>F32*H32</x:f>
        <x:v>108246.119445</x:v>
      </x:c>
      <x:c r="H32" s="66" t="n">
        <x:v>1</x:v>
      </x:c>
      <x:c r="I32" s="49" t="str">
        <x:v>ШТ.</x:v>
      </x:c>
      <x:c r="J32" s="49" t="str">
        <x:v>ABB</x:v>
      </x:c>
      <x:c r="K32" s="69" t="str">
        <x:v>✅</x:v>
      </x:c>
      <x:c r="L32" s="49" t="str">
        <x:v>Mevcut BRM-03 BOM</x:v>
      </x:c>
    </x:row>
    <x:row r="33">
      <x:c r="A33" s="49" t="str">
        <x:v>BRM-03 ABP PANEL</x:v>
      </x:c>
      <x:c r="B33" s="49" t="str">
        <x:v>mcb</x:v>
      </x:c>
      <x:c r="C33" s="49" t="str">
        <x:v>2CDS213001R0254</x:v>
      </x:c>
      <x:c r="D33" s="49" t="str">
        <x:v>SH203-C25, 3P C25A 6kA (direkt devre)</x:v>
      </x:c>
      <x:c r="E33" s="60" t="n">
        <x:v>36.42</x:v>
      </x:c>
      <x:c r="F33" s="62" t="n">
        <x:f>E33*0.30*1.35*$B$2</x:f>
        <x:v>7985.2616370000005</x:v>
      </x:c>
      <x:c r="G33" s="62" t="n">
        <x:f>F33*H33</x:f>
        <x:v>15970.523274000001</x:v>
      </x:c>
      <x:c r="H33" s="66" t="n">
        <x:v>2</x:v>
      </x:c>
      <x:c r="I33" s="49" t="str">
        <x:v>ШТ.</x:v>
      </x:c>
      <x:c r="J33" s="49" t="str">
        <x:v>ABB</x:v>
      </x:c>
      <x:c r="K33" s="69" t="str">
        <x:v>✅</x:v>
      </x:c>
      <x:c r="L33" s="49" t="str">
        <x:v>Mevcut BRM-03 BOM</x:v>
      </x:c>
    </x:row>
    <x:row r="34">
      <x:c r="A34" s="49" t="str">
        <x:v>BRM-03 ABP PANEL</x:v>
      </x:c>
      <x:c r="B34" s="49" t="str">
        <x:v>mcb</x:v>
      </x:c>
      <x:c r="C34" s="49" t="str">
        <x:v>2CDS213001R0504</x:v>
      </x:c>
      <x:c r="D34" s="49" t="str">
        <x:v>SH203-C50, 3P C50A 6kA</x:v>
      </x:c>
      <x:c r="E34" s="60" t="n">
        <x:v>54.63</x:v>
      </x:c>
      <x:c r="F34" s="62" t="n">
        <x:f>E34*0.30*1.35*$B$2</x:f>
        <x:v>11977.892455500001</x:v>
      </x:c>
      <x:c r="G34" s="62" t="n">
        <x:f>F34*H34</x:f>
        <x:v>23955.784911000002</x:v>
      </x:c>
      <x:c r="H34" s="66" t="n">
        <x:v>2</x:v>
      </x:c>
      <x:c r="I34" s="49" t="str">
        <x:v>ШТ.</x:v>
      </x:c>
      <x:c r="J34" s="49" t="str">
        <x:v>ABB</x:v>
      </x:c>
      <x:c r="K34" s="69" t="str">
        <x:v>✅</x:v>
      </x:c>
      <x:c r="L34" s="49" t="str">
        <x:v>Mevcut BRM-03 BOM</x:v>
      </x:c>
    </x:row>
    <x:row r="35">
      <x:c r="A35" s="49" t="str">
        <x:v>BRM-03 ABP PANEL</x:v>
      </x:c>
      <x:c r="B35" s="49" t="str">
        <x:v>mcb</x:v>
      </x:c>
      <x:c r="C35" s="49" t="str">
        <x:v>2CDS211001R0105</x:v>
      </x:c>
      <x:c r="D35" s="49" t="str">
        <x:v>SH201-B10, 1P B10A 6kA</x:v>
      </x:c>
      <x:c r="E35" s="60" t="n">
        <x:v>7.36</x:v>
      </x:c>
      <x:c r="F35" s="62" t="n">
        <x:f>E35*0.30*1.35*$B$2</x:f>
        <x:v>1613.7156960000002</x:v>
      </x:c>
      <x:c r="G35" s="62" t="n">
        <x:f>F35*H35</x:f>
        <x:v>25819.451136000003</x:v>
      </x:c>
      <x:c r="H35" s="66" t="n">
        <x:v>16</x:v>
      </x:c>
      <x:c r="I35" s="49" t="str">
        <x:v>ШТ.</x:v>
      </x:c>
      <x:c r="J35" s="49" t="str">
        <x:v>ABB</x:v>
      </x:c>
      <x:c r="K35" s="69" t="str">
        <x:v>✅</x:v>
      </x:c>
      <x:c r="L35" s="49" t="str">
        <x:v>Mevcut BRM-03 BOM</x:v>
      </x:c>
    </x:row>
    <x:row r="36">
      <x:c r="A36" s="49" t="str">
        <x:v>BRM-03 ABP PANEL</x:v>
      </x:c>
      <x:c r="B36" s="49" t="str">
        <x:v>mcb</x:v>
      </x:c>
      <x:c r="C36" s="49" t="str">
        <x:v>2CDS211001R0065</x:v>
      </x:c>
      <x:c r="D36" s="49" t="str">
        <x:v>SH201-B6, 1P B6A 6kA</x:v>
      </x:c>
      <x:c r="E36" s="60" t="n">
        <x:v>8.83</x:v>
      </x:c>
      <x:c r="F36" s="62" t="n">
        <x:f>E36*0.30*1.35*$B$2</x:f>
        <x:v>1936.0203255000001</x:v>
      </x:c>
      <x:c r="G36" s="62" t="n">
        <x:f>F36*H36</x:f>
        <x:v>5808.060976500001</x:v>
      </x:c>
      <x:c r="H36" s="66" t="n">
        <x:v>3</x:v>
      </x:c>
      <x:c r="I36" s="49" t="str">
        <x:v>ШТ.</x:v>
      </x:c>
      <x:c r="J36" s="49" t="str">
        <x:v>ABB</x:v>
      </x:c>
      <x:c r="K36" s="69" t="str">
        <x:v>✅</x:v>
      </x:c>
      <x:c r="L36" s="49" t="str">
        <x:v>Mevcut BRM-03 BOM</x:v>
      </x:c>
    </x:row>
    <x:row r="37">
      <x:c r="A37" s="72" t="str">
        <x:v>BRM-03 ABP PANEL</x:v>
      </x:c>
      <x:c r="B37" s="72" t="str">
        <x:v>contactor</x:v>
      </x:c>
      <x:c r="C37" s="72" t="str">
        <x:v>1SBL407001R1311</x:v>
      </x:c>
      <x:c r="D37" s="72" t="str">
        <x:v>AF96-30-11-13, 3P kontaktör, bobin 100–250V AC/DC</x:v>
      </x:c>
      <x:c r="E37" s="73" t="n">
        <x:v>341.2</x:v>
      </x:c>
      <x:c r="F37" s="74" t="n">
        <x:f>E37*0.30*1.35*$B$2</x:f>
        <x:v>74809.75482</x:v>
      </x:c>
      <x:c r="G37" s="74" t="n">
        <x:f>F37*H37</x:f>
        <x:v>74809.75482</x:v>
      </x:c>
      <x:c r="H37" s="75" t="n">
        <x:v>1</x:v>
      </x:c>
      <x:c r="I37" s="72" t="str">
        <x:v>ШТ.</x:v>
      </x:c>
      <x:c r="J37" s="72" t="str">
        <x:v>ABB</x:v>
      </x:c>
      <x:c r="K37" s="72" t="str">
        <x:v>⚠ liste fiyatı teyit</x:v>
      </x:c>
      <x:c r="L37" s="72" t="str">
        <x:v>Mevcut BRM-03 BOM</x:v>
      </x:c>
    </x:row>
    <x:row r="38">
      <x:c r="A38" s="49" t="str">
        <x:v>BRM-03 ABP PANEL</x:v>
      </x:c>
      <x:c r="B38" s="49" t="str">
        <x:v>contactor</x:v>
      </x:c>
      <x:c r="C38" s="49" t="str">
        <x:v>1SAE231111R0640</x:v>
      </x:c>
      <x:c r="D38" s="49" t="str">
        <x:v>ESB25-40N-06, 4NO modüler kontaktör 25A</x:v>
      </x:c>
      <x:c r="E38" s="60" t="n">
        <x:v>50.16</x:v>
      </x:c>
      <x:c r="F38" s="62" t="n">
        <x:f>E38*0.30*1.35*$B$2</x:f>
        <x:v>10997.823276</x:v>
      </x:c>
      <x:c r="G38" s="62" t="n">
        <x:f>F38*H38</x:f>
        <x:v>10997.823276</x:v>
      </x:c>
      <x:c r="H38" s="66" t="n">
        <x:v>1</x:v>
      </x:c>
      <x:c r="I38" s="49" t="str">
        <x:v>ШТ.</x:v>
      </x:c>
      <x:c r="J38" s="49" t="str">
        <x:v>ABB</x:v>
      </x:c>
      <x:c r="K38" s="69" t="str">
        <x:v>✅</x:v>
      </x:c>
      <x:c r="L38" s="49" t="str">
        <x:v>Mevcut BRM-03 BOM</x:v>
      </x:c>
    </x:row>
    <x:row r="39">
      <x:c r="A39" s="49" t="str">
        <x:v>BRM-03 ABP PANEL</x:v>
      </x:c>
      <x:c r="B39" s="49" t="str">
        <x:v>contactor</x:v>
      </x:c>
      <x:c r="C39" s="49" t="str">
        <x:v>1SBE111111R0620</x:v>
      </x:c>
      <x:c r="D39" s="49" t="str">
        <x:v>ESB16-20N-06, 2NO modüler kontaktör 16A</x:v>
      </x:c>
      <x:c r="E39" s="60" t="n">
        <x:v>35.93</x:v>
      </x:c>
      <x:c r="F39" s="62" t="n">
        <x:f>E39*0.30*1.35*$B$2</x:f>
        <x:v>7877.8267605</x:v>
      </x:c>
      <x:c r="G39" s="62" t="n">
        <x:f>F39*H39</x:f>
        <x:v>102411.7478865</x:v>
      </x:c>
      <x:c r="H39" s="66" t="n">
        <x:v>13</x:v>
      </x:c>
      <x:c r="I39" s="49" t="str">
        <x:v>ШТ.</x:v>
      </x:c>
      <x:c r="J39" s="49" t="str">
        <x:v>ABB</x:v>
      </x:c>
      <x:c r="K39" s="69" t="str">
        <x:v>✅</x:v>
      </x:c>
      <x:c r="L39" s="49" t="str">
        <x:v>Mevcut BRM-03 BOM</x:v>
      </x:c>
    </x:row>
    <x:row r="40">
      <x:c r="A40" s="49" t="str">
        <x:v>BRM-03 ABP PANEL</x:v>
      </x:c>
      <x:c r="B40" s="49" t="str">
        <x:v>pako</x:v>
      </x:c>
      <x:c r="C40" s="49" t="str">
        <x:v>MT027 25A</x:v>
      </x:c>
      <x:c r="D40" s="49" t="str">
        <x:v>METOP MT027, 25A, 1 faz kutup değiştirici, 1-0-2</x:v>
      </x:c>
      <x:c r="E40" s="60"/>
      <x:c r="F40" s="62" t="n">
        <x:v>8500</x:v>
      </x:c>
      <x:c r="G40" s="62" t="n">
        <x:f>F40*H40</x:f>
        <x:v>8500</x:v>
      </x:c>
      <x:c r="H40" s="66" t="n">
        <x:v>1</x:v>
      </x:c>
      <x:c r="I40" s="49" t="str">
        <x:v>ШТ.</x:v>
      </x:c>
      <x:c r="J40" s="49" t="str">
        <x:v>METOP</x:v>
      </x:c>
      <x:c r="K40" s="69" t="str">
        <x:v>✅</x:v>
      </x:c>
      <x:c r="L40" s="49" t="str">
        <x:v>Mevcut BRM-03 BOM</x:v>
      </x:c>
    </x:row>
    <x:row r="41">
      <x:c r="A41" s="49" t="str">
        <x:v>BRM-03 ABP PANEL</x:v>
      </x:c>
      <x:c r="B41" s="49" t="str">
        <x:v>pako</x:v>
      </x:c>
      <x:c r="C41" s="49" t="str">
        <x:v>MT015 16A</x:v>
      </x:c>
      <x:c r="D41" s="49" t="str">
        <x:v>METOP MT015, 16A, 1 faz açma-kapama, 1-0</x:v>
      </x:c>
      <x:c r="E41" s="60"/>
      <x:c r="F41" s="62" t="n">
        <x:v>8500</x:v>
      </x:c>
      <x:c r="G41" s="62" t="n">
        <x:f>F41*H41</x:f>
        <x:v>119000</x:v>
      </x:c>
      <x:c r="H41" s="66" t="n">
        <x:v>14</x:v>
      </x:c>
      <x:c r="I41" s="49" t="str">
        <x:v>ШТ.</x:v>
      </x:c>
      <x:c r="J41" s="49" t="str">
        <x:v>METOP</x:v>
      </x:c>
      <x:c r="K41" s="69" t="str">
        <x:v>✅</x:v>
      </x:c>
      <x:c r="L41" s="49" t="str">
        <x:v>Mevcut BRM-03 BOM</x:v>
      </x:c>
    </x:row>
    <x:row r="42">
      <x:c r="A42" s="49" t="str">
        <x:v>BRM-03 ABP PANEL</x:v>
      </x:c>
      <x:c r="B42" s="49" t="str">
        <x:v>mks</x:v>
      </x:c>
      <x:c r="C42" s="49" t="str">
        <x:v>1SAM250000R1006</x:v>
      </x:c>
      <x:c r="D42" s="49" t="str">
        <x:v>MS116-1.6, motor koruma 1.0–1.6A</x:v>
      </x:c>
      <x:c r="E42" s="60" t="n">
        <x:v>62.53</x:v>
      </x:c>
      <x:c r="F42" s="62" t="n">
        <x:f>E42*0.30*1.35*$B$2</x:f>
        <x:v>13710.005770500002</x:v>
      </x:c>
      <x:c r="G42" s="62" t="n">
        <x:f>F42*H42</x:f>
        <x:v>13710.005770500002</x:v>
      </x:c>
      <x:c r="H42" s="66" t="n">
        <x:v>1</x:v>
      </x:c>
      <x:c r="I42" s="49" t="str">
        <x:v>ШТ.</x:v>
      </x:c>
      <x:c r="J42" s="49" t="str">
        <x:v>ABB</x:v>
      </x:c>
      <x:c r="K42" s="69" t="str">
        <x:v>✅</x:v>
      </x:c>
      <x:c r="L42" s="49" t="str">
        <x:v>Mevcut BRM-03 BOM</x:v>
      </x:c>
    </x:row>
    <x:row r="43">
      <x:c r="A43" s="49" t="str">
        <x:v>BRM-03 ABP PANEL</x:v>
      </x:c>
      <x:c r="B43" s="49" t="str">
        <x:v>mks</x:v>
      </x:c>
      <x:c r="C43" s="49" t="str">
        <x:v>1SAM350000R1010</x:v>
      </x:c>
      <x:c r="D43" s="49" t="str">
        <x:v>MS132-10, motor koruma 6.3–10A</x:v>
      </x:c>
      <x:c r="E43" s="60" t="n">
        <x:v>67.83</x:v>
      </x:c>
      <x:c r="F43" s="62" t="n">
        <x:f>E43*0.30*1.35*$B$2</x:f>
        <x:v>14872.056475500001</x:v>
      </x:c>
      <x:c r="G43" s="62" t="n">
        <x:f>F43*H43</x:f>
        <x:v>29744.112951000003</x:v>
      </x:c>
      <x:c r="H43" s="66" t="n">
        <x:v>2</x:v>
      </x:c>
      <x:c r="I43" s="49" t="str">
        <x:v>ШТ.</x:v>
      </x:c>
      <x:c r="J43" s="49" t="str">
        <x:v>ABB</x:v>
      </x:c>
      <x:c r="K43" s="69" t="str">
        <x:v>✅</x:v>
      </x:c>
      <x:c r="L43" s="49" t="str">
        <x:v>Mevcut BRM-03 BOM</x:v>
      </x:c>
    </x:row>
    <x:row r="44">
      <x:c r="A44" s="49" t="str">
        <x:v>BRM-03 ABP PANEL</x:v>
      </x:c>
      <x:c r="B44" s="49" t="str">
        <x:v>mks</x:v>
      </x:c>
      <x:c r="C44" s="49" t="str">
        <x:v>1SAM350000R1009</x:v>
      </x:c>
      <x:c r="D44" s="49" t="str">
        <x:v>MS132-6.3, motor koruma 4–6.3A</x:v>
      </x:c>
      <x:c r="E44" s="60" t="n">
        <x:v>61.91</x:v>
      </x:c>
      <x:c r="F44" s="62" t="n">
        <x:f>E44*0.30*1.35*$B$2</x:f>
        <x:v>13574.0677635</x:v>
      </x:c>
      <x:c r="G44" s="62" t="n">
        <x:f>F44*H44</x:f>
        <x:v>13574.0677635</x:v>
      </x:c>
      <x:c r="H44" s="66" t="n">
        <x:v>1</x:v>
      </x:c>
      <x:c r="I44" s="49" t="str">
        <x:v>ШТ.</x:v>
      </x:c>
      <x:c r="J44" s="49" t="str">
        <x:v>ABB</x:v>
      </x:c>
      <x:c r="K44" s="69" t="str">
        <x:v>✅</x:v>
      </x:c>
      <x:c r="L44" s="49" t="str">
        <x:v>Mevcut BRM-03 BOM</x:v>
      </x:c>
    </x:row>
    <x:row r="45">
      <x:c r="A45" s="49" t="str">
        <x:v>BRM-03 ABP PANEL</x:v>
      </x:c>
      <x:c r="B45" s="49" t="str">
        <x:v>button</x:v>
      </x:c>
      <x:c r="C45" s="49" t="str">
        <x:v>1SFA611520R1001</x:v>
      </x:c>
      <x:c r="D45" s="49" t="str">
        <x:v>MPET3-10R acil stop buton başlığı</x:v>
      </x:c>
      <x:c r="E45" s="60" t="n">
        <x:v>16.27</x:v>
      </x:c>
      <x:c r="F45" s="62" t="n">
        <x:f>E45*0.30*1.35*$B$2</x:f>
        <x:v>3567.2764094999998</x:v>
      </x:c>
      <x:c r="G45" s="62" t="n">
        <x:f>F45*H45</x:f>
        <x:v>3567.2764094999998</x:v>
      </x:c>
      <x:c r="H45" s="66" t="n">
        <x:v>1</x:v>
      </x:c>
      <x:c r="I45" s="49" t="str">
        <x:v>ШТ.</x:v>
      </x:c>
      <x:c r="J45" s="49" t="str">
        <x:v>ABB</x:v>
      </x:c>
      <x:c r="K45" s="69" t="str">
        <x:v>✅</x:v>
      </x:c>
      <x:c r="L45" s="49" t="str">
        <x:v>Mevcut BRM-03 BOM</x:v>
      </x:c>
    </x:row>
    <x:row r="46">
      <x:c r="A46" s="49" t="str">
        <x:v>BRM-03 ABP PANEL</x:v>
      </x:c>
      <x:c r="B46" s="49" t="str">
        <x:v>button</x:v>
      </x:c>
      <x:c r="C46" s="49" t="str">
        <x:v>1SFA611605R1100</x:v>
      </x:c>
      <x:c r="D46" s="49" t="str">
        <x:v>MCBH-00 buton gövdesi</x:v>
      </x:c>
      <x:c r="E46" s="60" t="n">
        <x:v>1.14</x:v>
      </x:c>
      <x:c r="F46" s="62" t="n">
        <x:f>E46*0.30*1.35*$B$2</x:f>
        <x:v>249.950529</x:v>
      </x:c>
      <x:c r="G46" s="62" t="n">
        <x:f>F46*H46</x:f>
        <x:v>249.950529</x:v>
      </x:c>
      <x:c r="H46" s="66" t="n">
        <x:v>1</x:v>
      </x:c>
      <x:c r="I46" s="49" t="str">
        <x:v>ШТ.</x:v>
      </x:c>
      <x:c r="J46" s="49" t="str">
        <x:v>ABB</x:v>
      </x:c>
      <x:c r="K46" s="69" t="str">
        <x:v>✅</x:v>
      </x:c>
      <x:c r="L46" s="49" t="str">
        <x:v>Mevcut BRM-03 BOM</x:v>
      </x:c>
    </x:row>
    <x:row r="47">
      <x:c r="A47" s="49" t="str">
        <x:v>BRM-03 ABP PANEL</x:v>
      </x:c>
      <x:c r="B47" s="49" t="str">
        <x:v>button</x:v>
      </x:c>
      <x:c r="C47" s="49" t="str">
        <x:v>1SFA611610R1010</x:v>
      </x:c>
      <x:c r="D47" s="49" t="str">
        <x:v>MCB-01 kontak bloğu</x:v>
      </x:c>
      <x:c r="E47" s="60" t="n">
        <x:v>4.6</x:v>
      </x:c>
      <x:c r="F47" s="62" t="n">
        <x:f>E47*0.30*1.35*$B$2</x:f>
        <x:v>1008.57231</x:v>
      </x:c>
      <x:c r="G47" s="62" t="n">
        <x:f>F47*H47</x:f>
        <x:v>1008.57231</x:v>
      </x:c>
      <x:c r="H47" s="66" t="n">
        <x:v>1</x:v>
      </x:c>
      <x:c r="I47" s="49" t="str">
        <x:v>ШТ.</x:v>
      </x:c>
      <x:c r="J47" s="49" t="str">
        <x:v>ABB</x:v>
      </x:c>
      <x:c r="K47" s="69" t="str">
        <x:v>✅</x:v>
      </x:c>
      <x:c r="L47" s="49" t="str">
        <x:v>Mevcut BRM-03 BOM</x:v>
      </x:c>
    </x:row>
    <x:row r="48">
      <x:c r="A48" s="49" t="str">
        <x:v>BRM-03 ABP PANEL</x:v>
      </x:c>
      <x:c r="B48" s="49" t="str">
        <x:v>sinyal lamba</x:v>
      </x:c>
      <x:c r="C48" s="49" t="str">
        <x:v>1SFA611400R1002</x:v>
      </x:c>
      <x:c r="D48" s="49" t="str">
        <x:v>ML1-100G yeşil sinyal lambası</x:v>
      </x:c>
      <x:c r="E48" s="60" t="n">
        <x:v>4.6</x:v>
      </x:c>
      <x:c r="F48" s="62" t="n">
        <x:f>E48*0.30*1.35*$B$2</x:f>
        <x:v>1008.57231</x:v>
      </x:c>
      <x:c r="G48" s="62" t="n">
        <x:f>F48*H48</x:f>
        <x:v>4034.28924</x:v>
      </x:c>
      <x:c r="H48" s="66" t="n">
        <x:v>4</x:v>
      </x:c>
      <x:c r="I48" s="49" t="str">
        <x:v>ШТ.</x:v>
      </x:c>
      <x:c r="J48" s="49" t="str">
        <x:v>ABB</x:v>
      </x:c>
      <x:c r="K48" s="69" t="str">
        <x:v>✅</x:v>
      </x:c>
      <x:c r="L48" s="49" t="str">
        <x:v>Mevcut BRM-03 BOM</x:v>
      </x:c>
    </x:row>
    <x:row r="49">
      <x:c r="A49" s="49" t="str">
        <x:v>BRM-03 ABP PANEL</x:v>
      </x:c>
      <x:c r="B49" s="49" t="str">
        <x:v>opn/spd</x:v>
      </x:c>
      <x:c r="C49" s="49" t="str">
        <x:v>2CTB803973R1100</x:v>
      </x:c>
      <x:c r="D49" s="49" t="str">
        <x:v>OVR T2 3N 40-275, 4P Tip-2 parafudr</x:v>
      </x:c>
      <x:c r="E49" s="60" t="n">
        <x:v>361.2</x:v>
      </x:c>
      <x:c r="F49" s="62" t="n">
        <x:f>E49*0.30*1.35*$B$2</x:f>
        <x:v>79194.85182</x:v>
      </x:c>
      <x:c r="G49" s="62" t="n">
        <x:f>F49*H49</x:f>
        <x:v>79194.85182</x:v>
      </x:c>
      <x:c r="H49" s="66" t="n">
        <x:v>1</x:v>
      </x:c>
      <x:c r="I49" s="49" t="str">
        <x:v>ШТ.</x:v>
      </x:c>
      <x:c r="J49" s="49" t="str">
        <x:v>ABB</x:v>
      </x:c>
      <x:c r="K49" s="69" t="str">
        <x:v>✅</x:v>
      </x:c>
      <x:c r="L49" s="49" t="str">
        <x:v>Mevcut BRM-03 BOM</x:v>
      </x:c>
    </x:row>
    <x:row r="50">
      <x:c r="A50" s="72" t="str">
        <x:v>BRM-03 ABP PANEL</x:v>
      </x:c>
      <x:c r="B50" s="72" t="str">
        <x:v>fire</x:v>
      </x:c>
      <x:c r="C50" s="72" t="str">
        <x:v>YCFP7</x:v>
      </x:c>
      <x:c r="D50" s="72" t="str">
        <x:v>Pano içi yangın söndürme sistemi</x:v>
      </x:c>
      <x:c r="E50" s="73"/>
      <x:c r="F50" s="74" t="n">
        <x:v>6500</x:v>
      </x:c>
      <x:c r="G50" s="74" t="n">
        <x:f>F50*H50</x:f>
        <x:v>6500</x:v>
      </x:c>
      <x:c r="H50" s="75" t="n">
        <x:v>1</x:v>
      </x:c>
      <x:c r="I50" s="72" t="str">
        <x:v>set</x:v>
      </x:c>
      <x:c r="J50" s="72" t="str">
        <x:v>CNC</x:v>
      </x:c>
      <x:c r="K50" s="72" t="str">
        <x:v>⚠ tedarikçi teyit</x:v>
      </x:c>
      <x:c r="L50" s="72" t="str">
        <x:v>Mevcut BRM-03 BOM</x:v>
      </x:c>
    </x:row>
    <x:row r="51">
      <x:c r="A51" s="72" t="str">
        <x:v>BRM-03 ABP PANEL</x:v>
      </x:c>
      <x:c r="B51" s="72" t="str">
        <x:v>bara</x:v>
      </x:c>
      <x:c r="C51" s="72" t="str"/>
      <x:c r="D51" s="72" t="str">
        <x:v>N ve PE baraları; ana dağıtım barası ve bağlantı elemanları</x:v>
      </x:c>
      <x:c r="E51" s="73"/>
      <x:c r="F51" s="74"/>
      <x:c r="G51" s="74"/>
      <x:c r="H51" s="75"/>
      <x:c r="I51" s="72" t="str">
        <x:v>set</x:v>
      </x:c>
      <x:c r="J51" s="72" t="str">
        <x:v>TEKLED</x:v>
      </x:c>
      <x:c r="K51" s="72" t="str">
        <x:v>⚠ kesit/metraj üretim çiziminden</x:v>
      </x:c>
      <x:c r="L51" s="72" t="str">
        <x:v>Mevcut BRM-03 BOM</x:v>
      </x:c>
    </x:row>
    <x:row r="52">
      <x:c r="A52" s="72" t="str">
        <x:v>BRM-03 ABP PANEL</x:v>
      </x:c>
      <x:c r="B52" s="72" t="str">
        <x:v>klemens</x:v>
      </x:c>
      <x:c r="C52" s="72" t="str"/>
      <x:c r="D52" s="72" t="str">
        <x:v>Güç/kumanda klemensleri, sonlandırma ve köprüler</x:v>
      </x:c>
      <x:c r="E52" s="73"/>
      <x:c r="F52" s="74"/>
      <x:c r="G52" s="74"/>
      <x:c r="H52" s="75"/>
      <x:c r="I52" s="72" t="str">
        <x:v>set</x:v>
      </x:c>
      <x:c r="J52" s="72" t="str">
        <x:v>EKT/Klemsan</x:v>
      </x:c>
      <x:c r="K52" s="72" t="str">
        <x:v>⚠ adet üretim çiziminden</x:v>
      </x:c>
      <x:c r="L52" s="72" t="str">
        <x:v>Mevcut BRM-03 BOM</x:v>
      </x:c>
    </x:row>
    <x:row r="53">
      <x:c r="A53" s="72" t="str">
        <x:v>BRM-03 ABP PANEL</x:v>
      </x:c>
      <x:c r="B53" s="72" t="str">
        <x:v>DIN/kanal</x:v>
      </x:c>
      <x:c r="C53" s="72" t="str"/>
      <x:c r="D53" s="72" t="str">
        <x:v>DIN rayı ve kablo kanalı</x:v>
      </x:c>
      <x:c r="E53" s="73"/>
      <x:c r="F53" s="74"/>
      <x:c r="G53" s="74"/>
      <x:c r="H53" s="75"/>
      <x:c r="I53" s="72" t="str">
        <x:v>m</x:v>
      </x:c>
      <x:c r="J53" s="72" t="str">
        <x:v>EKT/Onka</x:v>
      </x:c>
      <x:c r="K53" s="72" t="str">
        <x:v>⚠ metraj üretim çiziminden</x:v>
      </x:c>
      <x:c r="L53" s="72" t="str">
        <x:v>Mevcut BRM-03 BOM</x:v>
      </x:c>
    </x:row>
    <x:row r="54">
      <x:c r="A54" s="72" t="str">
        <x:v>BRM-03 ABP PANEL</x:v>
      </x:c>
      <x:c r="B54" s="72" t="str">
        <x:v>kablaj</x:v>
      </x:c>
      <x:c r="C54" s="72" t="str"/>
      <x:c r="D54" s="72" t="str">
        <x:v>İç kablaj, pabuç, ferrül, etiket ve rakorlar</x:v>
      </x:c>
      <x:c r="E54" s="73"/>
      <x:c r="F54" s="74"/>
      <x:c r="G54" s="74"/>
      <x:c r="H54" s="75"/>
      <x:c r="I54" s="72" t="str">
        <x:v>set</x:v>
      </x:c>
      <x:c r="J54" s="72" t="str">
        <x:v>Harmony/EKT</x:v>
      </x:c>
      <x:c r="K54" s="72" t="str">
        <x:v>⚠ metraj üretim çiziminden</x:v>
      </x:c>
      <x:c r="L54" s="72" t="str">
        <x:v>Mevcut BRM-03 BOM</x:v>
      </x:c>
    </x:row>
    <x:row r="55">
      <x:c r="A55" s="49" t="str">
        <x:v>BRM-03 ABP PANEL</x:v>
      </x:c>
      <x:c r="B55" s="49" t="str">
        <x:v>montaj malz</x:v>
      </x:c>
      <x:c r="C55" s="49" t="str"/>
      <x:c r="D55" s="49" t="str">
        <x:v>Montaj malzemeleri</x:v>
      </x:c>
      <x:c r="E55" s="60"/>
      <x:c r="F55" s="62" t="n">
        <x:v>240000</x:v>
      </x:c>
      <x:c r="G55" s="62" t="n">
        <x:f>F55*H55</x:f>
        <x:v>240000</x:v>
      </x:c>
      <x:c r="H55" s="66" t="n">
        <x:v>1</x:v>
      </x:c>
      <x:c r="I55" s="49" t="str">
        <x:v>set</x:v>
      </x:c>
      <x:c r="J55" s="49" t="str">
        <x:v>TEKLED</x:v>
      </x:c>
      <x:c r="K55" s="69" t="str">
        <x:v>✅</x:v>
      </x:c>
      <x:c r="L55" s="49" t="str">
        <x:v>Mevcut BRM-03 BOM</x:v>
      </x:c>
    </x:row>
    <x:row r="56">
      <x:c r="A56" s="49" t="str">
        <x:v>BRM-03 ABP PANEL</x:v>
      </x:c>
      <x:c r="B56" s="49" t="str">
        <x:v>montaj iş</x:v>
      </x:c>
      <x:c r="C56" s="49" t="str"/>
      <x:c r="D56" s="49" t="str">
        <x:v>Montaj işçiliği</x:v>
      </x:c>
      <x:c r="E56" s="60"/>
      <x:c r="F56" s="62" t="n">
        <x:v>12000</x:v>
      </x:c>
      <x:c r="G56" s="62" t="n">
        <x:f>F56*H56</x:f>
        <x:v>240000</x:v>
      </x:c>
      <x:c r="H56" s="66" t="n">
        <x:v>20</x:v>
      </x:c>
      <x:c r="I56" s="49" t="str">
        <x:v>saat</x:v>
      </x:c>
      <x:c r="J56" s="49" t="str">
        <x:v>TEKLED</x:v>
      </x:c>
      <x:c r="K56" s="69" t="str">
        <x:v>✅</x:v>
      </x:c>
      <x:c r="L56" s="49" t="str">
        <x:v>Mevcut BRM-03 BOM</x:v>
      </x:c>
    </x:row>
    <x:row r="57">
      <x:c r="A57" s="56"/>
      <x:c r="B57" s="56"/>
      <x:c r="C57" s="56"/>
      <x:c r="D57" s="56"/>
      <x:c r="E57" s="56"/>
      <x:c r="F57" s="63" t="str">
        <x:v>FİYATI GİRİLMİŞ KALEMLER TOPLAMI:</x:v>
      </x:c>
      <x:c r="G57" s="63" t="n">
        <x:f>SUM(G6:G56)</x:f>
        <x:v>3116791.9666319997</x:v>
      </x:c>
      <x:c r="H57" s="56"/>
      <x:c r="I57" s="56"/>
      <x:c r="J57" s="56"/>
      <x:c r="K57" s="56" t="str">
        <x:v>Eksik fiyatlı/metrajı belirsiz kalemler toplama dahil değildir.</x:v>
      </x:c>
      <x:c r="L57" s="5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58" hidden="0" customWidth="1"/>
    <x:col min="5" max="5" width="12" hidden="0" customWidth="1"/>
    <x:col min="6" max="6" width="15" hidden="0" customWidth="1"/>
    <x:col min="7" max="7" width="16" hidden="0" customWidth="1"/>
    <x:col min="8" max="8" width="9" hidden="0" customWidth="1"/>
    <x:col min="9" max="9" width="10" hidden="0" customWidth="1"/>
    <x:col min="10" max="10" width="15" hidden="0" customWidth="1"/>
    <x:col min="11" max="11" width="24" hidden="0" customWidth="1"/>
    <x:col min="12" max="12" width="28" hidden="0" customWidth="1"/>
  </x:cols>
  <x:sheetData>
    <x:row r="1" ht="24" customHeight="1">
      <x:c r="A1" s="7" t="str">
        <x:v>CB-02 / ACBP-N CAKES&amp;BAKES | DÜZELTİLMİŞ BOM | Kur: 541.37 KZT/EUR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9"/>
    </x:row>
    <x:row r="2" ht="22" customHeight="1">
      <x:c r="A2" s="23" t="str">
        <x:v>EUR/KZT kuru</x:v>
      </x:c>
      <x:c r="B2" s="24" t="n">
        <x:v>541.37</x:v>
      </x:c>
      <x:c r="C2" s="24" t="str">
        <x:v>NBK resmi kur tarihi: 03.07.2026</x:v>
      </x:c>
      <x:c r="D2" s="24" t="str">
        <x:v>ABB fiyatlama: Liste × 0,30 × 1,35 × Kur</x:v>
      </x:c>
      <x:c r="E2" s="24"/>
      <x:c r="F2" s="24"/>
      <x:c r="G2" s="24"/>
      <x:c r="H2" s="24"/>
      <x:c r="I2" s="24"/>
      <x:c r="J2" s="24"/>
      <x:c r="K2" s="24"/>
      <x:c r="L2" s="25" t="str">
        <x:v>https://nationalbank.kz/en/exchangerates/ezhednevnye-oficialnye-rynochnye-kursy-valyut</x:v>
      </x:c>
    </x:row>
    <x:row r="3" ht="22" customHeight="1">
      <x:c r="A3" s="23" t="str">
        <x:v>RCBO kalemleri A-tip RCCB + MCB olarak ayrıştırıldı. Kilitli devre için kilit aparatı ayrıca yazıldı.</x:v>
      </x:c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5"/>
    </x:row>
    <x:row r="5" ht="32" customHeight="1">
      <x:c r="A5" s="39" t="str">
        <x:v>Panel</x:v>
      </x:c>
      <x:c r="B5" s="39" t="str">
        <x:v>Malzeme Tipi</x:v>
      </x:c>
      <x:c r="C5" s="39" t="str">
        <x:v>Ürün Kodu</x:v>
      </x:c>
      <x:c r="D5" s="39" t="str">
        <x:v>Ürün Adı / Teknik Açıklama</x:v>
      </x:c>
      <x:c r="E5" s="39" t="str">
        <x:v>Liste EUR</x:v>
      </x:c>
      <x:c r="F5" s="39" t="str">
        <x:v>KZT (birim)</x:v>
      </x:c>
      <x:c r="G5" s="39" t="str">
        <x:v>Toplam KZT</x:v>
      </x:c>
      <x:c r="H5" s="39" t="str">
        <x:v>Adet</x:v>
      </x:c>
      <x:c r="I5" s="39" t="str">
        <x:v>Birim</x:v>
      </x:c>
      <x:c r="J5" s="39" t="str">
        <x:v>Üretici</x:v>
      </x:c>
      <x:c r="K5" s="39" t="str">
        <x:v>Durum</x:v>
      </x:c>
      <x:c r="L5" s="39" t="str">
        <x:v>Kaynak</x:v>
      </x:c>
    </x:row>
    <x:row r="6">
      <x:c r="A6" s="72" t="str">
        <x:v>CB-02 / ACBP-N CAKES&amp;BAKES</x:v>
      </x:c>
      <x:c r="B6" s="72" t="str">
        <x:v>korpus</x:v>
      </x:c>
      <x:c r="C6" s="72" t="str"/>
      <x:c r="D6" s="72" t="str">
        <x:v>Pano gövdesi 600×2000×400 mm, serbest ayaklı metal; projede %30 genişleme payı</x:v>
      </x:c>
      <x:c r="E6" s="73"/>
      <x:c r="F6" s="74"/>
      <x:c r="G6" s="74"/>
      <x:c r="H6" s="75" t="n">
        <x:v>1</x:v>
      </x:c>
      <x:c r="I6" s="72" t="str">
        <x:v>ШТ.</x:v>
      </x:c>
      <x:c r="J6" s="72" t="str">
        <x:v>TEKSAN</x:v>
      </x:c>
      <x:c r="K6" s="72" t="str">
        <x:v>⚠ fiyat girilecek</x:v>
      </x:c>
      <x:c r="L6" s="72" t="str">
        <x:v>C-B-Pano.xls + C-B Pano.dxf</x:v>
      </x:c>
    </x:row>
    <x:row r="7">
      <x:c r="A7" s="72" t="str">
        <x:v>CB-02 / ACBP-N CAKES&amp;BAKES</x:v>
      </x:c>
      <x:c r="B7" s="72" t="str">
        <x:v>mccb</x:v>
      </x:c>
      <x:c r="C7" s="72" t="str">
        <x:v>1SDA068770R1</x:v>
      </x:c>
      <x:c r="D7" s="72" t="str">
        <x:v>A1C 125, TMF, In=63A, 3P MCCB, 25kA sınıfı (ana şalter)</x:v>
      </x:c>
      <x:c r="E7" s="73"/>
      <x:c r="F7" s="74"/>
      <x:c r="G7" s="74"/>
      <x:c r="H7" s="75" t="n">
        <x:v>1</x:v>
      </x:c>
      <x:c r="I7" s="72" t="str">
        <x:v>ШТ.</x:v>
      </x:c>
      <x:c r="J7" s="72" t="str">
        <x:v>ABB</x:v>
      </x:c>
      <x:c r="K7" s="72" t="str">
        <x:v>⚠ liste fiyatı teyit</x:v>
      </x:c>
      <x:c r="L7" s="72" t="str">
        <x:v>C-B-Pano.xls + C-B Pano.dxf</x:v>
      </x:c>
    </x:row>
    <x:row r="8">
      <x:c r="A8" s="72" t="str">
        <x:v>CB-02 / ACBP-N CAKES&amp;BAKES</x:v>
      </x:c>
      <x:c r="B8" s="72" t="str">
        <x:v>rascepitel</x:v>
      </x:c>
      <x:c r="C8" s="72" t="str">
        <x:v>1SDA066137R1</x:v>
      </x:c>
      <x:c r="D8" s="72" t="str">
        <x:v>SOR-C A1-A2 220–240V AC / 220–250V DC açma bobini</x:v>
      </x:c>
      <x:c r="E8" s="73"/>
      <x:c r="F8" s="74"/>
      <x:c r="G8" s="74"/>
      <x:c r="H8" s="75" t="n">
        <x:v>1</x:v>
      </x:c>
      <x:c r="I8" s="72" t="str">
        <x:v>ШТ.</x:v>
      </x:c>
      <x:c r="J8" s="72" t="str">
        <x:v>ABB</x:v>
      </x:c>
      <x:c r="K8" s="72" t="str">
        <x:v>⚠ liste fiyatı teyit</x:v>
      </x:c>
      <x:c r="L8" s="72" t="str">
        <x:v>C-B-Pano.xls + C-B Pano.dxf</x:v>
      </x:c>
    </x:row>
    <x:row r="9">
      <x:c r="A9" s="49" t="str">
        <x:v>CB-02 / ACBP-N CAKES&amp;BAKES</x:v>
      </x:c>
      <x:c r="B9" s="49" t="str">
        <x:v>rccb</x:v>
      </x:c>
      <x:c r="C9" s="49" t="str">
        <x:v>2CSF202102R1250</x:v>
      </x:c>
      <x:c r="D9" s="49" t="str">
        <x:v>FH202 A-25/0.03, 2P 25A 30mA A-tip (29× C16 RCBO yerine)</x:v>
      </x:c>
      <x:c r="E9" s="60" t="n">
        <x:v>65.75</x:v>
      </x:c>
      <x:c r="F9" s="62" t="n">
        <x:f>E9*0.30*1.35*$B$2</x:f>
        <x:v>14416.0063875</x:v>
      </x:c>
      <x:c r="G9" s="62" t="n">
        <x:f>F9*H9</x:f>
        <x:v>418064.1852375</x:v>
      </x:c>
      <x:c r="H9" s="66" t="n">
        <x:v>29</x:v>
      </x:c>
      <x:c r="I9" s="49" t="str">
        <x:v>ШТ.</x:v>
      </x:c>
      <x:c r="J9" s="49" t="str">
        <x:v>ABB</x:v>
      </x:c>
      <x:c r="K9" s="69" t="str">
        <x:v>✅</x:v>
      </x:c>
      <x:c r="L9" s="49" t="str">
        <x:v>C-B-Pano.xls + C-B Pano.dxf</x:v>
      </x:c>
    </x:row>
    <x:row r="10">
      <x:c r="A10" s="49" t="str">
        <x:v>CB-02 / ACBP-N CAKES&amp;BAKES</x:v>
      </x:c>
      <x:c r="B10" s="49" t="str">
        <x:v>mcb</x:v>
      </x:c>
      <x:c r="C10" s="49" t="str">
        <x:v>2CDS211001R0164</x:v>
      </x:c>
      <x:c r="D10" s="49" t="str">
        <x:v>SH201-C16, 1P C16A 6kA (FH202 ile)</x:v>
      </x:c>
      <x:c r="E10" s="60" t="n">
        <x:v>8.09</x:v>
      </x:c>
      <x:c r="F10" s="62" t="n">
        <x:f>E10*0.30*1.35*$B$2</x:f>
        <x:v>1773.7717365</x:v>
      </x:c>
      <x:c r="G10" s="62" t="n">
        <x:f>F10*H10</x:f>
        <x:v>51439.380358500006</x:v>
      </x:c>
      <x:c r="H10" s="66" t="n">
        <x:v>29</x:v>
      </x:c>
      <x:c r="I10" s="49" t="str">
        <x:v>ШТ.</x:v>
      </x:c>
      <x:c r="J10" s="49" t="str">
        <x:v>ABB</x:v>
      </x:c>
      <x:c r="K10" s="69" t="str">
        <x:v>✅</x:v>
      </x:c>
      <x:c r="L10" s="49" t="str">
        <x:v>C-B-Pano.xls + C-B Pano.dxf</x:v>
      </x:c>
    </x:row>
    <x:row r="11">
      <x:c r="A11" s="49" t="str">
        <x:v>CB-02 / ACBP-N CAKES&amp;BAKES</x:v>
      </x:c>
      <x:c r="B11" s="49" t="str">
        <x:v>rccb</x:v>
      </x:c>
      <x:c r="C11" s="49" t="str">
        <x:v>2CSF202102R1250</x:v>
      </x:c>
      <x:c r="D11" s="49" t="str">
        <x:v>FH202 A-25/0.03, 2P 25A 30mA A-tip (3× C25 RCBO yerine)</x:v>
      </x:c>
      <x:c r="E11" s="60" t="n">
        <x:v>65.75</x:v>
      </x:c>
      <x:c r="F11" s="62" t="n">
        <x:f>E11*0.30*1.35*$B$2</x:f>
        <x:v>14416.0063875</x:v>
      </x:c>
      <x:c r="G11" s="62" t="n">
        <x:f>F11*H11</x:f>
        <x:v>43248.0191625</x:v>
      </x:c>
      <x:c r="H11" s="66" t="n">
        <x:v>3</x:v>
      </x:c>
      <x:c r="I11" s="49" t="str">
        <x:v>ШТ.</x:v>
      </x:c>
      <x:c r="J11" s="49" t="str">
        <x:v>ABB</x:v>
      </x:c>
      <x:c r="K11" s="69" t="str">
        <x:v>✅</x:v>
      </x:c>
      <x:c r="L11" s="49" t="str">
        <x:v>C-B-Pano.xls + C-B Pano.dxf</x:v>
      </x:c>
    </x:row>
    <x:row r="12">
      <x:c r="A12" s="49" t="str">
        <x:v>CB-02 / ACBP-N CAKES&amp;BAKES</x:v>
      </x:c>
      <x:c r="B12" s="49" t="str">
        <x:v>mcb</x:v>
      </x:c>
      <x:c r="C12" s="49" t="str">
        <x:v>2CDS211001R0254</x:v>
      </x:c>
      <x:c r="D12" s="49" t="str">
        <x:v>SH201-C25, 1P C25A 6kA (FH202 ile)</x:v>
      </x:c>
      <x:c r="E12" s="60" t="n">
        <x:v>8.09</x:v>
      </x:c>
      <x:c r="F12" s="62" t="n">
        <x:f>E12*0.30*1.35*$B$2</x:f>
        <x:v>1773.7717365</x:v>
      </x:c>
      <x:c r="G12" s="62" t="n">
        <x:f>F12*H12</x:f>
        <x:v>5321.3152095000005</x:v>
      </x:c>
      <x:c r="H12" s="66" t="n">
        <x:v>3</x:v>
      </x:c>
      <x:c r="I12" s="49" t="str">
        <x:v>ШТ.</x:v>
      </x:c>
      <x:c r="J12" s="49" t="str">
        <x:v>ABB</x:v>
      </x:c>
      <x:c r="K12" s="69" t="str">
        <x:v>✅</x:v>
      </x:c>
      <x:c r="L12" s="49" t="str">
        <x:v>C-B-Pano.xls + C-B Pano.dxf</x:v>
      </x:c>
    </x:row>
    <x:row r="13">
      <x:c r="A13" s="72" t="str">
        <x:v>CB-02 / ACBP-N CAKES&amp;BAKES</x:v>
      </x:c>
      <x:c r="B13" s="72" t="str">
        <x:v>aksesuar</x:v>
      </x:c>
      <x:c r="C13" s="72" t="str">
        <x:v>KONTROL EDİLECEK</x:v>
      </x:c>
      <x:c r="D13" s="72" t="str">
        <x:v>Kilitli C25 devresi için MCB kilitleme aparatı</x:v>
      </x:c>
      <x:c r="E13" s="73"/>
      <x:c r="F13" s="74"/>
      <x:c r="G13" s="74"/>
      <x:c r="H13" s="75" t="n">
        <x:v>1</x:v>
      </x:c>
      <x:c r="I13" s="72" t="str">
        <x:v>ШТ.</x:v>
      </x:c>
      <x:c r="J13" s="72" t="str">
        <x:v>ABB</x:v>
      </x:c>
      <x:c r="K13" s="72" t="str">
        <x:v>⚠ ürün kodu teyit</x:v>
      </x:c>
      <x:c r="L13" s="72" t="str">
        <x:v>C-B-Pano.xls + C-B Pano.dxf</x:v>
      </x:c>
    </x:row>
    <x:row r="14">
      <x:c r="A14" s="49" t="str">
        <x:v>CB-02 / ACBP-N CAKES&amp;BAKES</x:v>
      </x:c>
      <x:c r="B14" s="49" t="str">
        <x:v>rccb</x:v>
      </x:c>
      <x:c r="C14" s="49" t="str">
        <x:v>2CSF204102R1250</x:v>
      </x:c>
      <x:c r="D14" s="49" t="str">
        <x:v>FH204 A-25/0.03, 4P 25A 30mA A-tip (4P C25 RCBO yerine)</x:v>
      </x:c>
      <x:c r="E14" s="60" t="n">
        <x:v>85.43</x:v>
      </x:c>
      <x:c r="F14" s="62" t="n">
        <x:f>E14*0.30*1.35*$B$2</x:f>
        <x:v>18730.9418355</x:v>
      </x:c>
      <x:c r="G14" s="62" t="n">
        <x:f>F14*H14</x:f>
        <x:v>18730.9418355</x:v>
      </x:c>
      <x:c r="H14" s="66" t="n">
        <x:v>1</x:v>
      </x:c>
      <x:c r="I14" s="49" t="str">
        <x:v>ШТ.</x:v>
      </x:c>
      <x:c r="J14" s="49" t="str">
        <x:v>ABB</x:v>
      </x:c>
      <x:c r="K14" s="69" t="str">
        <x:v>✅</x:v>
      </x:c>
      <x:c r="L14" s="49" t="str">
        <x:v>C-B-Pano.xls + C-B Pano.dxf</x:v>
      </x:c>
    </x:row>
    <x:row r="15">
      <x:c r="A15" s="49" t="str">
        <x:v>CB-02 / ACBP-N CAKES&amp;BAKES</x:v>
      </x:c>
      <x:c r="B15" s="49" t="str">
        <x:v>mcb</x:v>
      </x:c>
      <x:c r="C15" s="49" t="str">
        <x:v>2CDS213001R0254</x:v>
      </x:c>
      <x:c r="D15" s="49" t="str">
        <x:v>SH203-C25, 3P C25A 6kA (FH204 ile)</x:v>
      </x:c>
      <x:c r="E15" s="60" t="n">
        <x:v>36.42</x:v>
      </x:c>
      <x:c r="F15" s="62" t="n">
        <x:f>E15*0.30*1.35*$B$2</x:f>
        <x:v>7985.2616370000005</x:v>
      </x:c>
      <x:c r="G15" s="62" t="n">
        <x:f>F15*H15</x:f>
        <x:v>7985.2616370000005</x:v>
      </x:c>
      <x:c r="H15" s="66" t="n">
        <x:v>1</x:v>
      </x:c>
      <x:c r="I15" s="49" t="str">
        <x:v>ШТ.</x:v>
      </x:c>
      <x:c r="J15" s="49" t="str">
        <x:v>ABB</x:v>
      </x:c>
      <x:c r="K15" s="69" t="str">
        <x:v>✅</x:v>
      </x:c>
      <x:c r="L15" s="49" t="str">
        <x:v>C-B-Pano.xls + C-B Pano.dxf</x:v>
      </x:c>
    </x:row>
    <x:row r="16">
      <x:c r="A16" s="49" t="str">
        <x:v>CB-02 / ACBP-N CAKES&amp;BAKES</x:v>
      </x:c>
      <x:c r="B16" s="49" t="str">
        <x:v>mcb</x:v>
      </x:c>
      <x:c r="C16" s="49" t="str">
        <x:v>2CDS213001R0254</x:v>
      </x:c>
      <x:c r="D16" s="49" t="str">
        <x:v>SH203-C25, 3P C25A 6kA (direkt devre)</x:v>
      </x:c>
      <x:c r="E16" s="60" t="n">
        <x:v>36.42</x:v>
      </x:c>
      <x:c r="F16" s="62" t="n">
        <x:f>E16*0.30*1.35*$B$2</x:f>
        <x:v>7985.2616370000005</x:v>
      </x:c>
      <x:c r="G16" s="62" t="n">
        <x:f>F16*H16</x:f>
        <x:v>15970.523274000001</x:v>
      </x:c>
      <x:c r="H16" s="66" t="n">
        <x:v>2</x:v>
      </x:c>
      <x:c r="I16" s="49" t="str">
        <x:v>ШТ.</x:v>
      </x:c>
      <x:c r="J16" s="49" t="str">
        <x:v>ABB</x:v>
      </x:c>
      <x:c r="K16" s="69" t="str">
        <x:v>✅</x:v>
      </x:c>
      <x:c r="L16" s="49" t="str">
        <x:v>C-B-Pano.xls + C-B Pano.dxf</x:v>
      </x:c>
    </x:row>
    <x:row r="17">
      <x:c r="A17" s="72" t="str">
        <x:v>CB-02 / ACBP-N CAKES&amp;BAKES</x:v>
      </x:c>
      <x:c r="B17" s="72" t="str">
        <x:v>mcb</x:v>
      </x:c>
      <x:c r="C17" s="72" t="str">
        <x:v>2CDS211001R0165</x:v>
      </x:c>
      <x:c r="D17" s="72" t="str">
        <x:v>SH201-B16, 1P B16A 6kA</x:v>
      </x:c>
      <x:c r="E17" s="73"/>
      <x:c r="F17" s="74"/>
      <x:c r="G17" s="74"/>
      <x:c r="H17" s="75" t="n">
        <x:v>1</x:v>
      </x:c>
      <x:c r="I17" s="72" t="str">
        <x:v>ШТ.</x:v>
      </x:c>
      <x:c r="J17" s="72" t="str">
        <x:v>ABB</x:v>
      </x:c>
      <x:c r="K17" s="72" t="str">
        <x:v>⚠ liste fiyatı teyit</x:v>
      </x:c>
      <x:c r="L17" s="72" t="str">
        <x:v>C-B-Pano.xls + C-B Pano.dxf</x:v>
      </x:c>
    </x:row>
    <x:row r="18">
      <x:c r="A18" s="49" t="str">
        <x:v>CB-02 / ACBP-N CAKES&amp;BAKES</x:v>
      </x:c>
      <x:c r="B18" s="49" t="str">
        <x:v>mcb</x:v>
      </x:c>
      <x:c r="C18" s="49" t="str">
        <x:v>2CDS211001R0105</x:v>
      </x:c>
      <x:c r="D18" s="49" t="str">
        <x:v>SH201-B10, 1P B10A 6kA</x:v>
      </x:c>
      <x:c r="E18" s="60" t="n">
        <x:v>7.36</x:v>
      </x:c>
      <x:c r="F18" s="62" t="n">
        <x:f>E18*0.30*1.35*$B$2</x:f>
        <x:v>1613.7156960000002</x:v>
      </x:c>
      <x:c r="G18" s="62" t="n">
        <x:f>F18*H18</x:f>
        <x:v>9682.294176000001</x:v>
      </x:c>
      <x:c r="H18" s="66" t="n">
        <x:v>6</x:v>
      </x:c>
      <x:c r="I18" s="49" t="str">
        <x:v>ШТ.</x:v>
      </x:c>
      <x:c r="J18" s="49" t="str">
        <x:v>ABB</x:v>
      </x:c>
      <x:c r="K18" s="69" t="str">
        <x:v>✅</x:v>
      </x:c>
      <x:c r="L18" s="49" t="str">
        <x:v>C-B-Pano.xls + C-B Pano.dxf</x:v>
      </x:c>
    </x:row>
    <x:row r="19">
      <x:c r="A19" s="49" t="str">
        <x:v>CB-02 / ACBP-N CAKES&amp;BAKES</x:v>
      </x:c>
      <x:c r="B19" s="49" t="str">
        <x:v>mcb</x:v>
      </x:c>
      <x:c r="C19" s="49" t="str">
        <x:v>2CDS211001R0065</x:v>
      </x:c>
      <x:c r="D19" s="49" t="str">
        <x:v>SH201-B6, 1P B6A 6kA</x:v>
      </x:c>
      <x:c r="E19" s="60" t="n">
        <x:v>8.83</x:v>
      </x:c>
      <x:c r="F19" s="62" t="n">
        <x:f>E19*0.30*1.35*$B$2</x:f>
        <x:v>1936.0203255000001</x:v>
      </x:c>
      <x:c r="G19" s="62" t="n">
        <x:f>F19*H19</x:f>
        <x:v>3872.0406510000003</x:v>
      </x:c>
      <x:c r="H19" s="66" t="n">
        <x:v>2</x:v>
      </x:c>
      <x:c r="I19" s="49" t="str">
        <x:v>ШТ.</x:v>
      </x:c>
      <x:c r="J19" s="49" t="str">
        <x:v>ABB</x:v>
      </x:c>
      <x:c r="K19" s="69" t="str">
        <x:v>✅</x:v>
      </x:c>
      <x:c r="L19" s="49" t="str">
        <x:v>C-B-Pano.xls + C-B Pano.dxf</x:v>
      </x:c>
    </x:row>
    <x:row r="20">
      <x:c r="A20" s="72" t="str">
        <x:v>CB-02 / ACBP-N CAKES&amp;BAKES</x:v>
      </x:c>
      <x:c r="B20" s="72" t="str">
        <x:v>pako</x:v>
      </x:c>
      <x:c r="C20" s="72" t="str">
        <x:v>KONTROL EDİLECEK</x:v>
      </x:c>
      <x:c r="D20" s="72" t="str">
        <x:v>1P en az 10A, 1-0 konumlu pako şalter</x:v>
      </x:c>
      <x:c r="E20" s="73"/>
      <x:c r="F20" s="74"/>
      <x:c r="G20" s="74"/>
      <x:c r="H20" s="75" t="n">
        <x:v>4</x:v>
      </x:c>
      <x:c r="I20" s="72" t="str">
        <x:v>ШТ.</x:v>
      </x:c>
      <x:c r="J20" s="72" t="str">
        <x:v>ABB/Siemens/Schneider</x:v>
      </x:c>
      <x:c r="K20" s="72" t="str">
        <x:v>⚠ model teyit</x:v>
      </x:c>
      <x:c r="L20" s="72" t="str">
        <x:v>C-B-Pano.xls + C-B Pano.dxf</x:v>
      </x:c>
    </x:row>
    <x:row r="21">
      <x:c r="A21" s="72" t="str">
        <x:v>CB-02 / ACBP-N CAKES&amp;BAKES</x:v>
      </x:c>
      <x:c r="B21" s="72" t="str">
        <x:v>contactor</x:v>
      </x:c>
      <x:c r="C21" s="72" t="str">
        <x:v>1SBL177001R1310</x:v>
      </x:c>
      <x:c r="D21" s="72" t="str">
        <x:v>AF16-30-10-13, 3P kontaktör 16A sınıfı</x:v>
      </x:c>
      <x:c r="E21" s="73"/>
      <x:c r="F21" s="74"/>
      <x:c r="G21" s="74"/>
      <x:c r="H21" s="75" t="n">
        <x:v>1</x:v>
      </x:c>
      <x:c r="I21" s="72" t="str">
        <x:v>ШТ.</x:v>
      </x:c>
      <x:c r="J21" s="72" t="str">
        <x:v>ABB</x:v>
      </x:c>
      <x:c r="K21" s="72" t="str">
        <x:v>⚠ liste fiyatı teyit</x:v>
      </x:c>
      <x:c r="L21" s="72" t="str">
        <x:v>C-B-Pano.xls + C-B Pano.dxf</x:v>
      </x:c>
    </x:row>
    <x:row r="22">
      <x:c r="A22" s="49" t="str">
        <x:v>CB-02 / ACBP-N CAKES&amp;BAKES</x:v>
      </x:c>
      <x:c r="B22" s="49" t="str">
        <x:v>contactor</x:v>
      </x:c>
      <x:c r="C22" s="49" t="str">
        <x:v>1SBL137001R1310</x:v>
      </x:c>
      <x:c r="D22" s="49" t="str">
        <x:v>AF09-30-10-13, 3P kontaktör 9A</x:v>
      </x:c>
      <x:c r="E22" s="60" t="n">
        <x:v>37.91</x:v>
      </x:c>
      <x:c r="F22" s="62" t="n">
        <x:f>E22*0.30*1.35*$B$2</x:f>
        <x:v>8311.9513635</x:v>
      </x:c>
      <x:c r="G22" s="62" t="n">
        <x:f>F22*H22</x:f>
        <x:v>41559.756817500005</x:v>
      </x:c>
      <x:c r="H22" s="66" t="n">
        <x:v>5</x:v>
      </x:c>
      <x:c r="I22" s="49" t="str">
        <x:v>ШТ.</x:v>
      </x:c>
      <x:c r="J22" s="49" t="str">
        <x:v>ABB</x:v>
      </x:c>
      <x:c r="K22" s="69" t="str">
        <x:v>✅</x:v>
      </x:c>
      <x:c r="L22" s="49" t="str">
        <x:v>C-B-Pano.xls + C-B Pano.dxf</x:v>
      </x:c>
    </x:row>
    <x:row r="23">
      <x:c r="A23" s="72" t="str">
        <x:v>CB-02 / ACBP-N CAKES&amp;BAKES</x:v>
      </x:c>
      <x:c r="B23" s="72" t="str">
        <x:v>sigorta</x:v>
      </x:c>
      <x:c r="C23" s="72" t="str">
        <x:v>KONTROL EDİLECEK</x:v>
      </x:c>
      <x:c r="D23" s="72" t="str">
        <x:v>10.3×38 mm, 2A gG kartuş sigorta</x:v>
      </x:c>
      <x:c r="E23" s="73"/>
      <x:c r="F23" s="74"/>
      <x:c r="G23" s="74"/>
      <x:c r="H23" s="75" t="n">
        <x:v>7</x:v>
      </x:c>
      <x:c r="I23" s="72" t="str">
        <x:v>ШТ.</x:v>
      </x:c>
      <x:c r="J23" s="72" t="str">
        <x:v>ABB</x:v>
      </x:c>
      <x:c r="K23" s="72" t="str">
        <x:v>⚠ ürün kodu teyit</x:v>
      </x:c>
      <x:c r="L23" s="72" t="str">
        <x:v>C-B-Pano.xls + C-B Pano.dxf</x:v>
      </x:c>
    </x:row>
    <x:row r="24">
      <x:c r="A24" s="72" t="str">
        <x:v>CB-02 / ACBP-N CAKES&amp;BAKES</x:v>
      </x:c>
      <x:c r="B24" s="72" t="str">
        <x:v>sigorta altlığı</x:v>
      </x:c>
      <x:c r="C24" s="72" t="str">
        <x:v>2CSM200923R1801</x:v>
      </x:c>
      <x:c r="D24" s="72" t="str">
        <x:v>E 91/32, 1P 10×38 sigorta altlığı</x:v>
      </x:c>
      <x:c r="E24" s="73"/>
      <x:c r="F24" s="74"/>
      <x:c r="G24" s="74"/>
      <x:c r="H24" s="75" t="n">
        <x:v>4</x:v>
      </x:c>
      <x:c r="I24" s="72" t="str">
        <x:v>ШТ.</x:v>
      </x:c>
      <x:c r="J24" s="72" t="str">
        <x:v>ABB</x:v>
      </x:c>
      <x:c r="K24" s="72" t="str">
        <x:v>⚠ liste fiyatı teyit</x:v>
      </x:c>
      <x:c r="L24" s="72" t="str">
        <x:v>C-B-Pano.xls + C-B Pano.dxf</x:v>
      </x:c>
    </x:row>
    <x:row r="25">
      <x:c r="A25" s="72" t="str">
        <x:v>CB-02 / ACBP-N CAKES&amp;BAKES</x:v>
      </x:c>
      <x:c r="B25" s="72" t="str">
        <x:v>sigorta altlığı</x:v>
      </x:c>
      <x:c r="C25" s="72" t="str">
        <x:v>2CSM204753R1801</x:v>
      </x:c>
      <x:c r="D25" s="72" t="str">
        <x:v>E 93/32, 3P 10×38 sigorta altlığı</x:v>
      </x:c>
      <x:c r="E25" s="73"/>
      <x:c r="F25" s="74"/>
      <x:c r="G25" s="74"/>
      <x:c r="H25" s="75" t="n">
        <x:v>1</x:v>
      </x:c>
      <x:c r="I25" s="72" t="str">
        <x:v>ШТ.</x:v>
      </x:c>
      <x:c r="J25" s="72" t="str">
        <x:v>ABB</x:v>
      </x:c>
      <x:c r="K25" s="72" t="str">
        <x:v>⚠ liste fiyatı teyit</x:v>
      </x:c>
      <x:c r="L25" s="72" t="str">
        <x:v>C-B-Pano.xls + C-B Pano.dxf</x:v>
      </x:c>
    </x:row>
    <x:row r="26">
      <x:c r="A26" s="49" t="str">
        <x:v>CB-02 / ACBP-N CAKES&amp;BAKES</x:v>
      </x:c>
      <x:c r="B26" s="49" t="str">
        <x:v>rccb</x:v>
      </x:c>
      <x:c r="C26" s="49" t="str">
        <x:v>2CSF202102R1250</x:v>
      </x:c>
      <x:c r="D26" s="49" t="str">
        <x:v>FH202 A-25/0.03, 2P 25A 30mA A-tip (ayrı RCCB)</x:v>
      </x:c>
      <x:c r="E26" s="60" t="n">
        <x:v>65.75</x:v>
      </x:c>
      <x:c r="F26" s="62" t="n">
        <x:f>E26*0.30*1.35*$B$2</x:f>
        <x:v>14416.0063875</x:v>
      </x:c>
      <x:c r="G26" s="62" t="n">
        <x:f>F26*H26</x:f>
        <x:v>28832.012775</x:v>
      </x:c>
      <x:c r="H26" s="66" t="n">
        <x:v>2</x:v>
      </x:c>
      <x:c r="I26" s="49" t="str">
        <x:v>ШТ.</x:v>
      </x:c>
      <x:c r="J26" s="49" t="str">
        <x:v>ABB</x:v>
      </x:c>
      <x:c r="K26" s="69" t="str">
        <x:v>✅</x:v>
      </x:c>
      <x:c r="L26" s="49" t="str">
        <x:v>C-B-Pano.xls + C-B Pano.dxf</x:v>
      </x:c>
    </x:row>
    <x:row r="27">
      <x:c r="A27" s="72" t="str">
        <x:v>CB-02 / ACBP-N CAKES&amp;BAKES</x:v>
      </x:c>
      <x:c r="B27" s="72" t="str">
        <x:v>tt</x:v>
      </x:c>
      <x:c r="C27" s="72" t="str"/>
      <x:c r="D27" s="72" t="str">
        <x:v>Akım trafosu 50/5A, sınıf 0.5</x:v>
      </x:c>
      <x:c r="E27" s="73"/>
      <x:c r="F27" s="74"/>
      <x:c r="G27" s="74"/>
      <x:c r="H27" s="75" t="n">
        <x:v>3</x:v>
      </x:c>
      <x:c r="I27" s="72" t="str">
        <x:v>ШТ.</x:v>
      </x:c>
      <x:c r="J27" s="72" t="str">
        <x:v>ABB/IEK/eşdeğer</x:v>
      </x:c>
      <x:c r="K27" s="72" t="str">
        <x:v>⚠ ürün kodu ve VA değeri teyit</x:v>
      </x:c>
      <x:c r="L27" s="72" t="str">
        <x:v>C-B-Pano.xls + C-B Pano.dxf</x:v>
      </x:c>
    </x:row>
    <x:row r="28">
      <x:c r="A28" s="49" t="str">
        <x:v>CB-02 / ACBP-N CAKES&amp;BAKES</x:v>
      </x:c>
      <x:c r="B28" s="49" t="str">
        <x:v>opn/spd</x:v>
      </x:c>
      <x:c r="C28" s="49" t="str">
        <x:v>2CTB803973R1100</x:v>
      </x:c>
      <x:c r="D28" s="49" t="str">
        <x:v>OVR T2 3N 40-275, 4P Tip-2 parafudr (proje: Tip C, ≥20kA)</x:v>
      </x:c>
      <x:c r="E28" s="60" t="n">
        <x:v>361.2</x:v>
      </x:c>
      <x:c r="F28" s="62" t="n">
        <x:f>E28*0.30*1.35*$B$2</x:f>
        <x:v>79194.85182</x:v>
      </x:c>
      <x:c r="G28" s="62" t="n">
        <x:f>F28*H28</x:f>
        <x:v>79194.85182</x:v>
      </x:c>
      <x:c r="H28" s="66" t="n">
        <x:v>1</x:v>
      </x:c>
      <x:c r="I28" s="49" t="str">
        <x:v>ШТ.</x:v>
      </x:c>
      <x:c r="J28" s="49" t="str">
        <x:v>ABB</x:v>
      </x:c>
      <x:c r="K28" s="69" t="str">
        <x:v>✅</x:v>
      </x:c>
      <x:c r="L28" s="49" t="str">
        <x:v>C-B-Pano.xls + C-B Pano.dxf</x:v>
      </x:c>
    </x:row>
    <x:row r="29">
      <x:c r="A29" s="49" t="str">
        <x:v>CB-02 / ACBP-N CAKES&amp;BAKES</x:v>
      </x:c>
      <x:c r="B29" s="49" t="str">
        <x:v>energy_meter</x:v>
      </x:c>
      <x:c r="C29" s="49" t="str">
        <x:v>2CSG251141R4051</x:v>
      </x:c>
      <x:c r="D29" s="49" t="str">
        <x:v>M4M 20 Modbus enerji analizörü (X5 tipi muadil)</x:v>
      </x:c>
      <x:c r="E29" s="60" t="n">
        <x:v>779.8</x:v>
      </x:c>
      <x:c r="F29" s="62" t="n">
        <x:f>E29*0.30*1.35*$B$2</x:f>
        <x:v>170974.93202999997</x:v>
      </x:c>
      <x:c r="G29" s="62" t="n">
        <x:f>F29*H29</x:f>
        <x:v>170974.93202999997</x:v>
      </x:c>
      <x:c r="H29" s="66" t="n">
        <x:v>1</x:v>
      </x:c>
      <x:c r="I29" s="49" t="str">
        <x:v>ШТ.</x:v>
      </x:c>
      <x:c r="J29" s="49" t="str">
        <x:v>ABB</x:v>
      </x:c>
      <x:c r="K29" s="69" t="str">
        <x:v>✅</x:v>
      </x:c>
      <x:c r="L29" s="49" t="str">
        <x:v>C-B-Pano.xls + C-B Pano.dxf</x:v>
      </x:c>
    </x:row>
    <x:row r="30">
      <x:c r="A30" s="49" t="str">
        <x:v>CB-02 / ACBP-N CAKES&amp;BAKES</x:v>
      </x:c>
      <x:c r="B30" s="49" t="str">
        <x:v>button</x:v>
      </x:c>
      <x:c r="C30" s="49" t="str">
        <x:v>1SFA611520R1001</x:v>
      </x:c>
      <x:c r="D30" s="49" t="str">
        <x:v>MPET3-10R acil stop buton başlığı</x:v>
      </x:c>
      <x:c r="E30" s="60" t="n">
        <x:v>16.27</x:v>
      </x:c>
      <x:c r="F30" s="62" t="n">
        <x:f>E30*0.30*1.35*$B$2</x:f>
        <x:v>3567.2764094999998</x:v>
      </x:c>
      <x:c r="G30" s="62" t="n">
        <x:f>F30*H30</x:f>
        <x:v>3567.2764094999998</x:v>
      </x:c>
      <x:c r="H30" s="66" t="n">
        <x:v>1</x:v>
      </x:c>
      <x:c r="I30" s="49" t="str">
        <x:v>ШТ.</x:v>
      </x:c>
      <x:c r="J30" s="49" t="str">
        <x:v>ABB</x:v>
      </x:c>
      <x:c r="K30" s="69" t="str">
        <x:v>✅</x:v>
      </x:c>
      <x:c r="L30" s="49" t="str">
        <x:v>C-B-Pano.xls + C-B Pano.dxf</x:v>
      </x:c>
    </x:row>
    <x:row r="31">
      <x:c r="A31" s="49" t="str">
        <x:v>CB-02 / ACBP-N CAKES&amp;BAKES</x:v>
      </x:c>
      <x:c r="B31" s="49" t="str">
        <x:v>button</x:v>
      </x:c>
      <x:c r="C31" s="49" t="str">
        <x:v>1SFA611605R1100</x:v>
      </x:c>
      <x:c r="D31" s="49" t="str">
        <x:v>MCBH-00 buton gövdesi</x:v>
      </x:c>
      <x:c r="E31" s="60" t="n">
        <x:v>1.14</x:v>
      </x:c>
      <x:c r="F31" s="62" t="n">
        <x:f>E31*0.30*1.35*$B$2</x:f>
        <x:v>249.950529</x:v>
      </x:c>
      <x:c r="G31" s="62" t="n">
        <x:f>F31*H31</x:f>
        <x:v>249.950529</x:v>
      </x:c>
      <x:c r="H31" s="66" t="n">
        <x:v>1</x:v>
      </x:c>
      <x:c r="I31" s="49" t="str">
        <x:v>ШТ.</x:v>
      </x:c>
      <x:c r="J31" s="49" t="str">
        <x:v>ABB</x:v>
      </x:c>
      <x:c r="K31" s="69" t="str">
        <x:v>✅</x:v>
      </x:c>
      <x:c r="L31" s="49" t="str">
        <x:v>C-B-Pano.xls + C-B Pano.dxf</x:v>
      </x:c>
    </x:row>
    <x:row r="32">
      <x:c r="A32" s="49" t="str">
        <x:v>CB-02 / ACBP-N CAKES&amp;BAKES</x:v>
      </x:c>
      <x:c r="B32" s="49" t="str">
        <x:v>button</x:v>
      </x:c>
      <x:c r="C32" s="49" t="str">
        <x:v>1SFA611610R1010</x:v>
      </x:c>
      <x:c r="D32" s="49" t="str">
        <x:v>MCB-01 kontak bloğu</x:v>
      </x:c>
      <x:c r="E32" s="60" t="n">
        <x:v>4.6</x:v>
      </x:c>
      <x:c r="F32" s="62" t="n">
        <x:f>E32*0.30*1.35*$B$2</x:f>
        <x:v>1008.57231</x:v>
      </x:c>
      <x:c r="G32" s="62" t="n">
        <x:f>F32*H32</x:f>
        <x:v>1008.57231</x:v>
      </x:c>
      <x:c r="H32" s="66" t="n">
        <x:v>1</x:v>
      </x:c>
      <x:c r="I32" s="49" t="str">
        <x:v>ШТ.</x:v>
      </x:c>
      <x:c r="J32" s="49" t="str">
        <x:v>ABB</x:v>
      </x:c>
      <x:c r="K32" s="69" t="str">
        <x:v>✅</x:v>
      </x:c>
      <x:c r="L32" s="49" t="str">
        <x:v>C-B-Pano.xls + C-B Pano.dxf</x:v>
      </x:c>
    </x:row>
    <x:row r="33">
      <x:c r="A33" s="49" t="str">
        <x:v>CB-02 / ACBP-N CAKES&amp;BAKES</x:v>
      </x:c>
      <x:c r="B33" s="49" t="str">
        <x:v>sinyal lamba</x:v>
      </x:c>
      <x:c r="C33" s="49" t="str">
        <x:v>1SFA611400R1002</x:v>
      </x:c>
      <x:c r="D33" s="49" t="str">
        <x:v>ML1-100G yeşil sinyal lambası</x:v>
      </x:c>
      <x:c r="E33" s="60" t="n">
        <x:v>4.6</x:v>
      </x:c>
      <x:c r="F33" s="62" t="n">
        <x:f>E33*0.30*1.35*$B$2</x:f>
        <x:v>1008.57231</x:v>
      </x:c>
      <x:c r="G33" s="62" t="n">
        <x:f>F33*H33</x:f>
        <x:v>4034.28924</x:v>
      </x:c>
      <x:c r="H33" s="66" t="n">
        <x:v>4</x:v>
      </x:c>
      <x:c r="I33" s="49" t="str">
        <x:v>ШТ.</x:v>
      </x:c>
      <x:c r="J33" s="49" t="str">
        <x:v>ABB</x:v>
      </x:c>
      <x:c r="K33" s="69" t="str">
        <x:v>✅</x:v>
      </x:c>
      <x:c r="L33" s="49" t="str">
        <x:v>C-B-Pano.xls + C-B Pano.dxf</x:v>
      </x:c>
    </x:row>
    <x:row r="34">
      <x:c r="A34" s="72" t="str">
        <x:v>CB-02 / ACBP-N CAKES&amp;BAKES</x:v>
      </x:c>
      <x:c r="B34" s="72" t="str">
        <x:v>fire</x:v>
      </x:c>
      <x:c r="C34" s="72" t="str">
        <x:v>YCFP7</x:v>
      </x:c>
      <x:c r="D34" s="72" t="str">
        <x:v>Pano içi yangın söndürme sistemi</x:v>
      </x:c>
      <x:c r="E34" s="73"/>
      <x:c r="F34" s="74" t="n">
        <x:v>6500</x:v>
      </x:c>
      <x:c r="G34" s="74" t="n">
        <x:f>F34*H34</x:f>
        <x:v>6500</x:v>
      </x:c>
      <x:c r="H34" s="75" t="n">
        <x:v>1</x:v>
      </x:c>
      <x:c r="I34" s="72" t="str">
        <x:v>set</x:v>
      </x:c>
      <x:c r="J34" s="72" t="str">
        <x:v>CNC</x:v>
      </x:c>
      <x:c r="K34" s="72" t="str">
        <x:v>⚠ tedarikçi teyit</x:v>
      </x:c>
      <x:c r="L34" s="72" t="str">
        <x:v>DXF genel notu</x:v>
      </x:c>
    </x:row>
    <x:row r="35">
      <x:c r="A35" s="72" t="str">
        <x:v>CB-02 / ACBP-N CAKES&amp;BAKES</x:v>
      </x:c>
      <x:c r="B35" s="72" t="str">
        <x:v>bara</x:v>
      </x:c>
      <x:c r="C35" s="72" t="str"/>
      <x:c r="D35" s="72" t="str">
        <x:v>N ve PE baraları; faz dağıtım baraları ve bağlantı elemanları</x:v>
      </x:c>
      <x:c r="E35" s="73"/>
      <x:c r="F35" s="74"/>
      <x:c r="G35" s="74"/>
      <x:c r="H35" s="75"/>
      <x:c r="I35" s="72" t="str">
        <x:v>set</x:v>
      </x:c>
      <x:c r="J35" s="72" t="str">
        <x:v>TEKLED</x:v>
      </x:c>
      <x:c r="K35" s="72" t="str">
        <x:v>⚠ kesit/metraj üretim çiziminden</x:v>
      </x:c>
      <x:c r="L35" s="72" t="str">
        <x:v>C-B-Pano.xls + C-B Pano.dxf</x:v>
      </x:c>
    </x:row>
    <x:row r="36">
      <x:c r="A36" s="72" t="str">
        <x:v>CB-02 / ACBP-N CAKES&amp;BAKES</x:v>
      </x:c>
      <x:c r="B36" s="72" t="str">
        <x:v>klemens</x:v>
      </x:c>
      <x:c r="C36" s="72" t="str"/>
      <x:c r="D36" s="72" t="str">
        <x:v>Güç/kumanda klemensleri, köprüler ve sonlandırmalar</x:v>
      </x:c>
      <x:c r="E36" s="73"/>
      <x:c r="F36" s="74"/>
      <x:c r="G36" s="74"/>
      <x:c r="H36" s="75"/>
      <x:c r="I36" s="72" t="str">
        <x:v>set</x:v>
      </x:c>
      <x:c r="J36" s="72" t="str">
        <x:v>EKT/Klemsan</x:v>
      </x:c>
      <x:c r="K36" s="72" t="str">
        <x:v>⚠ adet üretim çiziminden</x:v>
      </x:c>
      <x:c r="L36" s="72" t="str">
        <x:v>C-B-Pano.xls + C-B Pano.dxf</x:v>
      </x:c>
    </x:row>
    <x:row r="37">
      <x:c r="A37" s="72" t="str">
        <x:v>CB-02 / ACBP-N CAKES&amp;BAKES</x:v>
      </x:c>
      <x:c r="B37" s="72" t="str">
        <x:v>DIN/kanal</x:v>
      </x:c>
      <x:c r="C37" s="72" t="str"/>
      <x:c r="D37" s="72" t="str">
        <x:v>DIN rayı ve kablo kanalı</x:v>
      </x:c>
      <x:c r="E37" s="73"/>
      <x:c r="F37" s="74"/>
      <x:c r="G37" s="74"/>
      <x:c r="H37" s="75"/>
      <x:c r="I37" s="72" t="str">
        <x:v>m</x:v>
      </x:c>
      <x:c r="J37" s="72" t="str">
        <x:v>EKT/Onka</x:v>
      </x:c>
      <x:c r="K37" s="72" t="str">
        <x:v>⚠ metraj üretim çiziminden</x:v>
      </x:c>
      <x:c r="L37" s="72" t="str">
        <x:v>C-B-Pano.xls + C-B Pano.dxf</x:v>
      </x:c>
    </x:row>
    <x:row r="38">
      <x:c r="A38" s="72" t="str">
        <x:v>CB-02 / ACBP-N CAKES&amp;BAKES</x:v>
      </x:c>
      <x:c r="B38" s="72" t="str">
        <x:v>kablaj</x:v>
      </x:c>
      <x:c r="C38" s="72" t="str"/>
      <x:c r="D38" s="72" t="str">
        <x:v>İç kablaj, pabuç, ferrül, etiket ve rakorlar</x:v>
      </x:c>
      <x:c r="E38" s="73"/>
      <x:c r="F38" s="74"/>
      <x:c r="G38" s="74"/>
      <x:c r="H38" s="75"/>
      <x:c r="I38" s="72" t="str">
        <x:v>set</x:v>
      </x:c>
      <x:c r="J38" s="72" t="str">
        <x:v>Harmony/EKT</x:v>
      </x:c>
      <x:c r="K38" s="72" t="str">
        <x:v>⚠ metraj üretim çiziminden</x:v>
      </x:c>
      <x:c r="L38" s="72" t="str">
        <x:v>C-B-Pano.xls + C-B Pano.dxf</x:v>
      </x:c>
    </x:row>
    <x:row r="39">
      <x:c r="A39" s="72" t="str">
        <x:v>CB-02 / ACBP-N CAKES&amp;BAKES</x:v>
      </x:c>
      <x:c r="B39" s="72" t="str">
        <x:v>montaj malz</x:v>
      </x:c>
      <x:c r="C39" s="72" t="str"/>
      <x:c r="D39" s="72" t="str">
        <x:v>Montaj malzemeleri</x:v>
      </x:c>
      <x:c r="E39" s="73"/>
      <x:c r="F39" s="74"/>
      <x:c r="G39" s="74"/>
      <x:c r="H39" s="75" t="n">
        <x:v>1</x:v>
      </x:c>
      <x:c r="I39" s="72" t="str">
        <x:v>set</x:v>
      </x:c>
      <x:c r="J39" s="72" t="str">
        <x:v>TEKLED</x:v>
      </x:c>
      <x:c r="K39" s="72" t="str">
        <x:v>⚠ teklif girilecek</x:v>
      </x:c>
      <x:c r="L39" s="72" t="str">
        <x:v>C-B-Pano.xls + C-B Pano.dxf</x:v>
      </x:c>
    </x:row>
    <x:row r="40">
      <x:c r="A40" s="72" t="str">
        <x:v>CB-02 / ACBP-N CAKES&amp;BAKES</x:v>
      </x:c>
      <x:c r="B40" s="72" t="str">
        <x:v>montaj iş</x:v>
      </x:c>
      <x:c r="C40" s="72" t="str"/>
      <x:c r="D40" s="72" t="str">
        <x:v>Montaj işçiliği</x:v>
      </x:c>
      <x:c r="E40" s="73"/>
      <x:c r="F40" s="74"/>
      <x:c r="G40" s="74"/>
      <x:c r="H40" s="75"/>
      <x:c r="I40" s="72" t="str">
        <x:v>saat</x:v>
      </x:c>
      <x:c r="J40" s="72" t="str">
        <x:v>TEKLED</x:v>
      </x:c>
      <x:c r="K40" s="72" t="str">
        <x:v>⚠ işçilik saati üretim planından</x:v>
      </x:c>
      <x:c r="L40" s="72" t="str">
        <x:v>C-B-Pano.xls + C-B Pano.dxf</x:v>
      </x:c>
    </x:row>
    <x:row r="41">
      <x:c r="A41" s="56"/>
      <x:c r="B41" s="56"/>
      <x:c r="C41" s="56"/>
      <x:c r="D41" s="56"/>
      <x:c r="E41" s="56"/>
      <x:c r="F41" s="63" t="str">
        <x:v>FİYATI GİRİLMİŞ KALEMLER TOPLAMI:</x:v>
      </x:c>
      <x:c r="G41" s="63" t="n">
        <x:f>SUM(G6:G40)</x:f>
        <x:v>910235.6034725</x:v>
      </x:c>
      <x:c r="H41" s="56"/>
      <x:c r="I41" s="56"/>
      <x:c r="J41" s="56"/>
      <x:c r="K41" s="56" t="str">
        <x:v>Eksik fiyatlı/metrajı belirsiz kalemler toplama dahil değildir.</x:v>
      </x:c>
      <x:c r="L41" s="56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14" hidden="0" customWidth="1"/>
    <x:col min="4" max="4" width="12" hidden="0" customWidth="1"/>
    <x:col min="5" max="5" width="15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16" hidden="0" customWidth="1"/>
    <x:col min="11" max="11" width="17" hidden="0" customWidth="1"/>
    <x:col min="12" max="12" width="25" hidden="0" customWidth="1"/>
    <x:col min="13" max="13" width="30" hidden="0" customWidth="1"/>
  </x:cols>
  <x:sheetData>
    <x:row r="1" ht="24" customHeight="1">
      <x:c r="A1" s="7" t="str">
        <x:v>BİRLEŞİK SATINALMA | CB-02 + BRM-03 | DÜZELTİLMİŞ r5 | Kur 541.37 KZT/EUR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9"/>
    </x:row>
    <x:row r="2">
      <x:c r="A2" s="23" t="str">
        <x:v>EUR/KZT kuru</x:v>
      </x:c>
      <x:c r="B2" s="24" t="n">
        <x:v>541.37</x:v>
      </x:c>
      <x:c r="C2" s="24" t="str">
        <x:v>NBK 03.07.2026</x:v>
      </x:c>
      <x:c r="D2" s="24" t="str">
        <x:v>ABB: Liste ×0,30 ×1,35 × Kur</x:v>
      </x:c>
      <x:c r="E2" s="24"/>
      <x:c r="F2" s="24"/>
      <x:c r="G2" s="24"/>
      <x:c r="H2" s="24"/>
      <x:c r="I2" s="24"/>
      <x:c r="J2" s="24"/>
      <x:c r="K2" s="24"/>
      <x:c r="L2" s="24"/>
      <x:c r="M2" s="25" t="str">
        <x:v>https://nationalbank.kz/en/exchangerates/ezhednevnye-oficialnye-rynochnye-kursy-valyut</x:v>
      </x:c>
    </x:row>
    <x:row r="4" ht="32" customHeight="1">
      <x:c r="A4" s="39" t="str">
        <x:v>Artikül</x:v>
      </x:c>
      <x:c r="B4" s="39" t="str">
        <x:v>Ürün Adı</x:v>
      </x:c>
      <x:c r="C4" s="39" t="str">
        <x:v>Tip</x:v>
      </x:c>
      <x:c r="D4" s="39" t="str">
        <x:v>Liste EUR</x:v>
      </x:c>
      <x:c r="E4" s="39" t="str">
        <x:v>Birim KZT</x:v>
      </x:c>
      <x:c r="F4" s="39" t="str">
        <x:v>CB-02</x:v>
      </x:c>
      <x:c r="G4" s="39" t="str">
        <x:v>BRM-03</x:v>
      </x:c>
      <x:c r="H4" s="39" t="str">
        <x:v>Toplam</x:v>
      </x:c>
      <x:c r="I4" s="39" t="str">
        <x:v>Birim</x:v>
      </x:c>
      <x:c r="J4" s="39" t="str">
        <x:v>Üretici</x:v>
      </x:c>
      <x:c r="K4" s="39" t="str">
        <x:v>Toplam KZT</x:v>
      </x:c>
      <x:c r="L4" s="39" t="str">
        <x:v>Durum</x:v>
      </x:c>
      <x:c r="M4" s="39" t="str">
        <x:v>Kaynak</x:v>
      </x:c>
    </x:row>
    <x:row r="5">
      <x:c r="A5" s="72" t="str">
        <x:v>1SDA068770R1</x:v>
      </x:c>
      <x:c r="B5" s="72" t="str">
        <x:v>A1C 125 TMF 63A, 3P MCCB</x:v>
      </x:c>
      <x:c r="C5" s="72" t="str">
        <x:v>mccb</x:v>
      </x:c>
      <x:c r="D5" s="73"/>
      <x:c r="E5" s="74"/>
      <x:c r="F5" s="80" t="n">
        <x:v>1</x:v>
      </x:c>
      <x:c r="G5" s="80" t="n">
        <x:v>0</x:v>
      </x:c>
      <x:c r="H5" s="80" t="n">
        <x:f>F5+G5</x:f>
        <x:v>1</x:v>
      </x:c>
      <x:c r="I5" s="72" t="str">
        <x:v>ШТ.</x:v>
      </x:c>
      <x:c r="J5" s="72" t="str">
        <x:v>ABB</x:v>
      </x:c>
      <x:c r="K5" s="74"/>
      <x:c r="L5" s="72" t="str">
        <x:v>⚠ Liste fiyatı teyit</x:v>
      </x:c>
      <x:c r="M5" s="72" t="str">
        <x:v>C-B-Pano.xls + C-B Pano.dxf</x:v>
      </x:c>
    </x:row>
    <x:row r="6">
      <x:c r="A6" s="72" t="str">
        <x:v>1SDA066137R1</x:v>
      </x:c>
      <x:c r="B6" s="72" t="str">
        <x:v>SOR-C A1-A2 220–240V AC açma bobini</x:v>
      </x:c>
      <x:c r="C6" s="72" t="str">
        <x:v>rascep</x:v>
      </x:c>
      <x:c r="D6" s="73"/>
      <x:c r="E6" s="74"/>
      <x:c r="F6" s="80" t="n">
        <x:v>1</x:v>
      </x:c>
      <x:c r="G6" s="80" t="n">
        <x:v>0</x:v>
      </x:c>
      <x:c r="H6" s="80" t="n">
        <x:f>F6+G6</x:f>
        <x:v>1</x:v>
      </x:c>
      <x:c r="I6" s="72" t="str">
        <x:v>ШТ.</x:v>
      </x:c>
      <x:c r="J6" s="72" t="str">
        <x:v>ABB</x:v>
      </x:c>
      <x:c r="K6" s="74"/>
      <x:c r="L6" s="72" t="str">
        <x:v>⚠ Liste fiyatı teyit</x:v>
      </x:c>
      <x:c r="M6" s="72" t="str">
        <x:v>C-B-Pano.xls + C-B Pano.dxf</x:v>
      </x:c>
    </x:row>
    <x:row r="7">
      <x:c r="A7" s="49" t="str">
        <x:v>1SDA100345R1</x:v>
      </x:c>
      <x:c r="B7" s="49" t="str">
        <x:v>XT5N 400 TMA 400A, 3P MCCB</x:v>
      </x:c>
      <x:c r="C7" s="49" t="str">
        <x:v>mccb</x:v>
      </x:c>
      <x:c r="D7" s="60" t="n">
        <x:v>1237</x:v>
      </x:c>
      <x:c r="E7" s="62" t="n">
        <x:f>D7*0.30*1.35*$B$2</x:f>
        <x:v>271218.24945</x:v>
      </x:c>
      <x:c r="F7" s="81" t="n">
        <x:v>0</x:v>
      </x:c>
      <x:c r="G7" s="81" t="n">
        <x:v>1</x:v>
      </x:c>
      <x:c r="H7" s="81" t="n">
        <x:f>F7+G7</x:f>
        <x:v>1</x:v>
      </x:c>
      <x:c r="I7" s="49" t="str">
        <x:v>ШТ.</x:v>
      </x:c>
      <x:c r="J7" s="49" t="str">
        <x:v>ABB</x:v>
      </x:c>
      <x:c r="K7" s="62" t="n">
        <x:f>E7*H7</x:f>
        <x:v>271218.24945</x:v>
      </x:c>
      <x:c r="L7" s="69" t="str">
        <x:v>✅</x:v>
      </x:c>
      <x:c r="M7" s="49" t="str">
        <x:v>Mevcut BRM-03 BOM</x:v>
      </x:c>
    </x:row>
    <x:row r="8">
      <x:c r="A8" s="49" t="str">
        <x:v>1SDA054873R1</x:v>
      </x:c>
      <x:c r="B8" s="49" t="str">
        <x:v>SOR-C T4-T5-T6 220–240V AC açma bobini</x:v>
      </x:c>
      <x:c r="C8" s="49" t="str">
        <x:v>rascep</x:v>
      </x:c>
      <x:c r="D8" s="60" t="n">
        <x:v>130.3</x:v>
      </x:c>
      <x:c r="E8" s="62" t="n">
        <x:f>D8*0.30*1.35*$B$2</x:f>
        <x:v>28568.906955000006</x:v>
      </x:c>
      <x:c r="F8" s="81" t="n">
        <x:v>0</x:v>
      </x:c>
      <x:c r="G8" s="81" t="n">
        <x:v>1</x:v>
      </x:c>
      <x:c r="H8" s="81" t="n">
        <x:f>F8+G8</x:f>
        <x:v>1</x:v>
      </x:c>
      <x:c r="I8" s="49" t="str">
        <x:v>ШТ.</x:v>
      </x:c>
      <x:c r="J8" s="49" t="str">
        <x:v>ABB</x:v>
      </x:c>
      <x:c r="K8" s="62" t="n">
        <x:f>E8*H8</x:f>
        <x:v>28568.906955000006</x:v>
      </x:c>
      <x:c r="L8" s="69" t="str">
        <x:v>✅</x:v>
      </x:c>
      <x:c r="M8" s="49" t="str">
        <x:v>Mevcut BRM-03 BOM</x:v>
      </x:c>
    </x:row>
    <x:row r="9">
      <x:c r="A9" s="49" t="str">
        <x:v>1SDA066720R1</x:v>
      </x:c>
      <x:c r="B9" s="49" t="str">
        <x:v>A1C 125 TMF 125A, 3P MCCB</x:v>
      </x:c>
      <x:c r="C9" s="49" t="str">
        <x:v>mccb</x:v>
      </x:c>
      <x:c r="D9" s="60" t="n">
        <x:v>137</x:v>
      </x:c>
      <x:c r="E9" s="62" t="n">
        <x:f>D9*0.30*1.35*$B$2</x:f>
        <x:v>30037.914450000004</x:v>
      </x:c>
      <x:c r="F9" s="81" t="n">
        <x:v>0</x:v>
      </x:c>
      <x:c r="G9" s="81" t="n">
        <x:v>1</x:v>
      </x:c>
      <x:c r="H9" s="81" t="n">
        <x:f>F9+G9</x:f>
        <x:v>1</x:v>
      </x:c>
      <x:c r="I9" s="49" t="str">
        <x:v>ШТ.</x:v>
      </x:c>
      <x:c r="J9" s="49" t="str">
        <x:v>ABB</x:v>
      </x:c>
      <x:c r="K9" s="62" t="n">
        <x:f>E9*H9</x:f>
        <x:v>30037.914450000004</x:v>
      </x:c>
      <x:c r="L9" s="69" t="str">
        <x:v>✅</x:v>
      </x:c>
      <x:c r="M9" s="49" t="str">
        <x:v>Mevcut BRM-03 BOM</x:v>
      </x:c>
    </x:row>
    <x:row r="10">
      <x:c r="A10" s="49" t="str">
        <x:v>1SDA066719R1</x:v>
      </x:c>
      <x:c r="B10" s="49" t="str">
        <x:v>A1C 125 TMF 100A, 3P MCCB</x:v>
      </x:c>
      <x:c r="C10" s="49" t="str">
        <x:v>mccb</x:v>
      </x:c>
      <x:c r="D10" s="60" t="n">
        <x:v>153.6</x:v>
      </x:c>
      <x:c r="E10" s="62" t="n">
        <x:f>D10*0.30*1.35*$B$2</x:f>
        <x:v>33677.54496</x:v>
      </x:c>
      <x:c r="F10" s="81" t="n">
        <x:v>0</x:v>
      </x:c>
      <x:c r="G10" s="81" t="n">
        <x:v>1</x:v>
      </x:c>
      <x:c r="H10" s="81" t="n">
        <x:f>F10+G10</x:f>
        <x:v>1</x:v>
      </x:c>
      <x:c r="I10" s="49" t="str">
        <x:v>ШТ.</x:v>
      </x:c>
      <x:c r="J10" s="49" t="str">
        <x:v>ABB</x:v>
      </x:c>
      <x:c r="K10" s="62" t="n">
        <x:f>E10*H10</x:f>
        <x:v>33677.54496</x:v>
      </x:c>
      <x:c r="L10" s="69" t="str">
        <x:v>✅</x:v>
      </x:c>
      <x:c r="M10" s="49" t="str">
        <x:v>Mevcut BRM-03 BOM</x:v>
      </x:c>
    </x:row>
    <x:row r="11">
      <x:c r="A11" s="49" t="str">
        <x:v>2CSF202102R1250</x:v>
      </x:c>
      <x:c r="B11" s="49" t="str">
        <x:v>FH202 A-25/0.03, 2P 25A 30mA A-tip</x:v>
      </x:c>
      <x:c r="C11" s="49" t="str">
        <x:v>rccb</x:v>
      </x:c>
      <x:c r="D11" s="60" t="n">
        <x:v>65.75</x:v>
      </x:c>
      <x:c r="E11" s="62" t="n">
        <x:f>D11*0.30*1.35*$B$2</x:f>
        <x:v>14416.0063875</x:v>
      </x:c>
      <x:c r="F11" s="81" t="n">
        <x:v>34</x:v>
      </x:c>
      <x:c r="G11" s="81" t="n">
        <x:v>47</x:v>
      </x:c>
      <x:c r="H11" s="81" t="n">
        <x:f>F11+G11</x:f>
        <x:v>81</x:v>
      </x:c>
      <x:c r="I11" s="49" t="str">
        <x:v>ШТ.</x:v>
      </x:c>
      <x:c r="J11" s="49" t="str">
        <x:v>ABB</x:v>
      </x:c>
      <x:c r="K11" s="62" t="n">
        <x:f>E11*H11</x:f>
        <x:v>1167696.5173875</x:v>
      </x:c>
      <x:c r="L11" s="69" t="str">
        <x:v>✅</x:v>
      </x:c>
      <x:c r="M11" s="49" t="str">
        <x:v>C-B-Pano.xls + C-B Pano.dxf; Mevcut BRM-03 BOM</x:v>
      </x:c>
    </x:row>
    <x:row r="12">
      <x:c r="A12" s="49" t="str">
        <x:v>2CSF204102R1250</x:v>
      </x:c>
      <x:c r="B12" s="49" t="str">
        <x:v>FH204 A-25/0.03, 4P 25A 30mA A-tip</x:v>
      </x:c>
      <x:c r="C12" s="49" t="str">
        <x:v>rccb</x:v>
      </x:c>
      <x:c r="D12" s="60" t="n">
        <x:v>85.43</x:v>
      </x:c>
      <x:c r="E12" s="62" t="n">
        <x:f>D12*0.30*1.35*$B$2</x:f>
        <x:v>18730.9418355</x:v>
      </x:c>
      <x:c r="F12" s="81" t="n">
        <x:v>1</x:v>
      </x:c>
      <x:c r="G12" s="81" t="n">
        <x:v>13</x:v>
      </x:c>
      <x:c r="H12" s="81" t="n">
        <x:f>F12+G12</x:f>
        <x:v>14</x:v>
      </x:c>
      <x:c r="I12" s="49" t="str">
        <x:v>ШТ.</x:v>
      </x:c>
      <x:c r="J12" s="49" t="str">
        <x:v>ABB</x:v>
      </x:c>
      <x:c r="K12" s="62" t="n">
        <x:f>E12*H12</x:f>
        <x:v>262233.185697</x:v>
      </x:c>
      <x:c r="L12" s="69" t="str">
        <x:v>✅</x:v>
      </x:c>
      <x:c r="M12" s="49" t="str">
        <x:v>C-B-Pano.xls + C-B Pano.dxf; Mevcut BRM-03 BOM</x:v>
      </x:c>
    </x:row>
    <x:row r="13">
      <x:c r="A13" s="49" t="str">
        <x:v>2CSF204102R1400</x:v>
      </x:c>
      <x:c r="B13" s="49" t="str">
        <x:v>FH204 A-40/0.03, 4P 40A 30mA A-tip</x:v>
      </x:c>
      <x:c r="C13" s="49" t="str">
        <x:v>rccb</x:v>
      </x:c>
      <x:c r="D13" s="60" t="n">
        <x:v>89.7</x:v>
      </x:c>
      <x:c r="E13" s="62" t="n">
        <x:f>D13*0.30*1.35*$B$2</x:f>
        <x:v>19667.160045000004</x:v>
      </x:c>
      <x:c r="F13" s="81" t="n">
        <x:v>0</x:v>
      </x:c>
      <x:c r="G13" s="81" t="n">
        <x:v>4</x:v>
      </x:c>
      <x:c r="H13" s="81" t="n">
        <x:f>F13+G13</x:f>
        <x:v>4</x:v>
      </x:c>
      <x:c r="I13" s="49" t="str">
        <x:v>ШТ.</x:v>
      </x:c>
      <x:c r="J13" s="49" t="str">
        <x:v>ABB</x:v>
      </x:c>
      <x:c r="K13" s="62" t="n">
        <x:f>E13*H13</x:f>
        <x:v>78668.64018000002</x:v>
      </x:c>
      <x:c r="L13" s="69" t="str">
        <x:v>✅</x:v>
      </x:c>
      <x:c r="M13" s="49" t="str">
        <x:v>Mevcut BRM-03 BOM</x:v>
      </x:c>
    </x:row>
    <x:row r="14">
      <x:c r="A14" s="49" t="str">
        <x:v>2CSF204102R1630</x:v>
      </x:c>
      <x:c r="B14" s="49" t="str">
        <x:v>FH204 A-63/0.03, 4P 63A 30mA A-tip</x:v>
      </x:c>
      <x:c r="C14" s="49" t="str">
        <x:v>rccb</x:v>
      </x:c>
      <x:c r="D14" s="60" t="n">
        <x:v>111.1</x:v>
      </x:c>
      <x:c r="E14" s="62" t="n">
        <x:f>D14*0.30*1.35*$B$2</x:f>
        <x:v>24359.213835</x:v>
      </x:c>
      <x:c r="F14" s="81" t="n">
        <x:v>0</x:v>
      </x:c>
      <x:c r="G14" s="81" t="n">
        <x:v>2</x:v>
      </x:c>
      <x:c r="H14" s="81" t="n">
        <x:f>F14+G14</x:f>
        <x:v>2</x:v>
      </x:c>
      <x:c r="I14" s="49" t="str">
        <x:v>ШТ.</x:v>
      </x:c>
      <x:c r="J14" s="49" t="str">
        <x:v>ABB</x:v>
      </x:c>
      <x:c r="K14" s="62" t="n">
        <x:f>E14*H14</x:f>
        <x:v>48718.42767</x:v>
      </x:c>
      <x:c r="L14" s="69" t="str">
        <x:v>✅</x:v>
      </x:c>
      <x:c r="M14" s="49" t="str">
        <x:v>Mevcut BRM-03 BOM</x:v>
      </x:c>
    </x:row>
    <x:row r="15">
      <x:c r="A15" s="49" t="str">
        <x:v>2CSF204401R1900</x:v>
      </x:c>
      <x:c r="B15" s="49" t="str">
        <x:v>F204 A-100/0.03 AP-R, 4P 100A 30mA</x:v>
      </x:c>
      <x:c r="C15" s="49" t="str">
        <x:v>rccb</x:v>
      </x:c>
      <x:c r="D15" s="60" t="n">
        <x:v>493.7</x:v>
      </x:c>
      <x:c r="E15" s="62" t="n">
        <x:f>D15*0.30*1.35*$B$2</x:f>
        <x:v>108246.119445</x:v>
      </x:c>
      <x:c r="F15" s="81" t="n">
        <x:v>0</x:v>
      </x:c>
      <x:c r="G15" s="81" t="n">
        <x:v>1</x:v>
      </x:c>
      <x:c r="H15" s="81" t="n">
        <x:f>F15+G15</x:f>
        <x:v>1</x:v>
      </x:c>
      <x:c r="I15" s="49" t="str">
        <x:v>ШТ.</x:v>
      </x:c>
      <x:c r="J15" s="49" t="str">
        <x:v>ABB</x:v>
      </x:c>
      <x:c r="K15" s="62" t="n">
        <x:f>E15*H15</x:f>
        <x:v>108246.119445</x:v>
      </x:c>
      <x:c r="L15" s="69" t="str">
        <x:v>✅</x:v>
      </x:c>
      <x:c r="M15" s="49" t="str">
        <x:v>Mevcut BRM-03 BOM</x:v>
      </x:c>
    </x:row>
    <x:row r="16">
      <x:c r="A16" s="49" t="str">
        <x:v>2CDS211001R0164</x:v>
      </x:c>
      <x:c r="B16" s="49" t="str">
        <x:v>SH201-C16, 1P C16A 6kA</x:v>
      </x:c>
      <x:c r="C16" s="49" t="str">
        <x:v>mcb</x:v>
      </x:c>
      <x:c r="D16" s="60" t="n">
        <x:v>8.09</x:v>
      </x:c>
      <x:c r="E16" s="62" t="n">
        <x:f>D16*0.30*1.35*$B$2</x:f>
        <x:v>1773.7717365</x:v>
      </x:c>
      <x:c r="F16" s="81" t="n">
        <x:v>29</x:v>
      </x:c>
      <x:c r="G16" s="81" t="n">
        <x:v>43</x:v>
      </x:c>
      <x:c r="H16" s="81" t="n">
        <x:f>F16+G16</x:f>
        <x:v>72</x:v>
      </x:c>
      <x:c r="I16" s="49" t="str">
        <x:v>ШТ.</x:v>
      </x:c>
      <x:c r="J16" s="49" t="str">
        <x:v>ABB</x:v>
      </x:c>
      <x:c r="K16" s="62" t="n">
        <x:f>E16*H16</x:f>
        <x:v>127711.56502800001</x:v>
      </x:c>
      <x:c r="L16" s="69" t="str">
        <x:v>✅</x:v>
      </x:c>
      <x:c r="M16" s="49" t="str">
        <x:v>C-B-Pano.xls + C-B Pano.dxf; Mevcut BRM-03 BOM</x:v>
      </x:c>
    </x:row>
    <x:row r="17">
      <x:c r="A17" s="49" t="str">
        <x:v>2CDS211001R0254</x:v>
      </x:c>
      <x:c r="B17" s="49" t="str">
        <x:v>SH201-C25, 1P C25A 6kA</x:v>
      </x:c>
      <x:c r="C17" s="49" t="str">
        <x:v>mcb</x:v>
      </x:c>
      <x:c r="D17" s="60" t="n">
        <x:v>8.09</x:v>
      </x:c>
      <x:c r="E17" s="62" t="n">
        <x:f>D17*0.30*1.35*$B$2</x:f>
        <x:v>1773.7717365</x:v>
      </x:c>
      <x:c r="F17" s="81" t="n">
        <x:v>3</x:v>
      </x:c>
      <x:c r="G17" s="81" t="n">
        <x:v>3</x:v>
      </x:c>
      <x:c r="H17" s="81" t="n">
        <x:f>F17+G17</x:f>
        <x:v>6</x:v>
      </x:c>
      <x:c r="I17" s="49" t="str">
        <x:v>ШТ.</x:v>
      </x:c>
      <x:c r="J17" s="49" t="str">
        <x:v>ABB</x:v>
      </x:c>
      <x:c r="K17" s="62" t="n">
        <x:f>E17*H17</x:f>
        <x:v>10642.630419000001</x:v>
      </x:c>
      <x:c r="L17" s="69" t="str">
        <x:v>✅</x:v>
      </x:c>
      <x:c r="M17" s="49" t="str">
        <x:v>C-B-Pano.xls + C-B Pano.dxf; Mevcut BRM-03 BOM</x:v>
      </x:c>
    </x:row>
    <x:row r="18">
      <x:c r="A18" s="72" t="str">
        <x:v>2CDS211001R0165</x:v>
      </x:c>
      <x:c r="B18" s="72" t="str">
        <x:v>SH201-B16, 1P B16A 6kA</x:v>
      </x:c>
      <x:c r="C18" s="72" t="str">
        <x:v>mcb</x:v>
      </x:c>
      <x:c r="D18" s="73"/>
      <x:c r="E18" s="74"/>
      <x:c r="F18" s="80" t="n">
        <x:v>1</x:v>
      </x:c>
      <x:c r="G18" s="80" t="n">
        <x:v>0</x:v>
      </x:c>
      <x:c r="H18" s="80" t="n">
        <x:f>F18+G18</x:f>
        <x:v>1</x:v>
      </x:c>
      <x:c r="I18" s="72" t="str">
        <x:v>ШТ.</x:v>
      </x:c>
      <x:c r="J18" s="72" t="str">
        <x:v>ABB</x:v>
      </x:c>
      <x:c r="K18" s="74"/>
      <x:c r="L18" s="72" t="str">
        <x:v>⚠ Liste fiyatı teyit</x:v>
      </x:c>
      <x:c r="M18" s="72" t="str">
        <x:v>C-B-Pano.xls + C-B Pano.dxf</x:v>
      </x:c>
    </x:row>
    <x:row r="19">
      <x:c r="A19" s="49" t="str">
        <x:v>2CDS211001R0105</x:v>
      </x:c>
      <x:c r="B19" s="49" t="str">
        <x:v>SH201-B10, 1P B10A 6kA</x:v>
      </x:c>
      <x:c r="C19" s="49" t="str">
        <x:v>mcb</x:v>
      </x:c>
      <x:c r="D19" s="60" t="n">
        <x:v>7.36</x:v>
      </x:c>
      <x:c r="E19" s="62" t="n">
        <x:f>D19*0.30*1.35*$B$2</x:f>
        <x:v>1613.7156960000002</x:v>
      </x:c>
      <x:c r="F19" s="81" t="n">
        <x:v>6</x:v>
      </x:c>
      <x:c r="G19" s="81" t="n">
        <x:v>16</x:v>
      </x:c>
      <x:c r="H19" s="81" t="n">
        <x:f>F19+G19</x:f>
        <x:v>22</x:v>
      </x:c>
      <x:c r="I19" s="49" t="str">
        <x:v>ШТ.</x:v>
      </x:c>
      <x:c r="J19" s="49" t="str">
        <x:v>ABB</x:v>
      </x:c>
      <x:c r="K19" s="62" t="n">
        <x:f>E19*H19</x:f>
        <x:v>35501.74531200001</x:v>
      </x:c>
      <x:c r="L19" s="69" t="str">
        <x:v>✅</x:v>
      </x:c>
      <x:c r="M19" s="49" t="str">
        <x:v>C-B-Pano.xls + C-B Pano.dxf; Mevcut BRM-03 BOM</x:v>
      </x:c>
    </x:row>
    <x:row r="20">
      <x:c r="A20" s="49" t="str">
        <x:v>2CDS211001R0065</x:v>
      </x:c>
      <x:c r="B20" s="49" t="str">
        <x:v>SH201-B6, 1P B6A 6kA</x:v>
      </x:c>
      <x:c r="C20" s="49" t="str">
        <x:v>mcb</x:v>
      </x:c>
      <x:c r="D20" s="60" t="n">
        <x:v>8.83</x:v>
      </x:c>
      <x:c r="E20" s="62" t="n">
        <x:f>D20*0.30*1.35*$B$2</x:f>
        <x:v>1936.0203255000001</x:v>
      </x:c>
      <x:c r="F20" s="81" t="n">
        <x:v>2</x:v>
      </x:c>
      <x:c r="G20" s="81" t="n">
        <x:v>3</x:v>
      </x:c>
      <x:c r="H20" s="81" t="n">
        <x:f>F20+G20</x:f>
        <x:v>5</x:v>
      </x:c>
      <x:c r="I20" s="49" t="str">
        <x:v>ШТ.</x:v>
      </x:c>
      <x:c r="J20" s="49" t="str">
        <x:v>ABB</x:v>
      </x:c>
      <x:c r="K20" s="62" t="n">
        <x:f>E20*H20</x:f>
        <x:v>9680.1016275</x:v>
      </x:c>
      <x:c r="L20" s="69" t="str">
        <x:v>✅</x:v>
      </x:c>
      <x:c r="M20" s="49" t="str">
        <x:v>C-B-Pano.xls + C-B Pano.dxf; Mevcut BRM-03 BOM</x:v>
      </x:c>
    </x:row>
    <x:row r="21">
      <x:c r="A21" s="49" t="str">
        <x:v>2CDS213001R0164</x:v>
      </x:c>
      <x:c r="B21" s="49" t="str">
        <x:v>SH203-C16, 3P C16A 6kA</x:v>
      </x:c>
      <x:c r="C21" s="49" t="str">
        <x:v>mcb</x:v>
      </x:c>
      <x:c r="D21" s="60" t="n">
        <x:v>36.42</x:v>
      </x:c>
      <x:c r="E21" s="62" t="n">
        <x:f>D21*0.30*1.35*$B$2</x:f>
        <x:v>7985.2616370000005</x:v>
      </x:c>
      <x:c r="F21" s="81" t="n">
        <x:v>0</x:v>
      </x:c>
      <x:c r="G21" s="81" t="n">
        <x:v>4</x:v>
      </x:c>
      <x:c r="H21" s="81" t="n">
        <x:f>F21+G21</x:f>
        <x:v>4</x:v>
      </x:c>
      <x:c r="I21" s="49" t="str">
        <x:v>ШТ.</x:v>
      </x:c>
      <x:c r="J21" s="49" t="str">
        <x:v>ABB</x:v>
      </x:c>
      <x:c r="K21" s="62" t="n">
        <x:f>E21*H21</x:f>
        <x:v>31941.046548000002</x:v>
      </x:c>
      <x:c r="L21" s="69" t="str">
        <x:v>✅</x:v>
      </x:c>
      <x:c r="M21" s="49" t="str">
        <x:v>Mevcut BRM-03 BOM</x:v>
      </x:c>
    </x:row>
    <x:row r="22">
      <x:c r="A22" s="49" t="str">
        <x:v>2CDS213001R0254</x:v>
      </x:c>
      <x:c r="B22" s="49" t="str">
        <x:v>SH203-C25, 3P C25A 6kA</x:v>
      </x:c>
      <x:c r="C22" s="49" t="str">
        <x:v>mcb</x:v>
      </x:c>
      <x:c r="D22" s="60" t="n">
        <x:v>36.42</x:v>
      </x:c>
      <x:c r="E22" s="62" t="n">
        <x:f>D22*0.30*1.35*$B$2</x:f>
        <x:v>7985.2616370000005</x:v>
      </x:c>
      <x:c r="F22" s="81" t="n">
        <x:v>3</x:v>
      </x:c>
      <x:c r="G22" s="81" t="n">
        <x:v>4</x:v>
      </x:c>
      <x:c r="H22" s="81" t="n">
        <x:f>F22+G22</x:f>
        <x:v>7</x:v>
      </x:c>
      <x:c r="I22" s="49" t="str">
        <x:v>ШТ.</x:v>
      </x:c>
      <x:c r="J22" s="49" t="str">
        <x:v>ABB</x:v>
      </x:c>
      <x:c r="K22" s="62" t="n">
        <x:f>E22*H22</x:f>
        <x:v>55896.831459</x:v>
      </x:c>
      <x:c r="L22" s="69" t="str">
        <x:v>✅</x:v>
      </x:c>
      <x:c r="M22" s="49" t="str">
        <x:v>C-B-Pano.xls + C-B Pano.dxf; Mevcut BRM-03 BOM</x:v>
      </x:c>
    </x:row>
    <x:row r="23">
      <x:c r="A23" s="49" t="str">
        <x:v>2CDS213001R0324</x:v>
      </x:c>
      <x:c r="B23" s="49" t="str">
        <x:v>SH203-C32, 3P C32A 6kA</x:v>
      </x:c>
      <x:c r="C23" s="49" t="str">
        <x:v>mcb</x:v>
      </x:c>
      <x:c r="D23" s="60" t="n">
        <x:v>45.54</x:v>
      </x:c>
      <x:c r="E23" s="62" t="n">
        <x:f>D23*0.30*1.35*$B$2</x:f>
        <x:v>9984.865869</x:v>
      </x:c>
      <x:c r="F23" s="81" t="n">
        <x:v>0</x:v>
      </x:c>
      <x:c r="G23" s="81" t="n">
        <x:v>2</x:v>
      </x:c>
      <x:c r="H23" s="81" t="n">
        <x:f>F23+G23</x:f>
        <x:v>2</x:v>
      </x:c>
      <x:c r="I23" s="49" t="str">
        <x:v>ШТ.</x:v>
      </x:c>
      <x:c r="J23" s="49" t="str">
        <x:v>ABB</x:v>
      </x:c>
      <x:c r="K23" s="62" t="n">
        <x:f>E23*H23</x:f>
        <x:v>19969.731738</x:v>
      </x:c>
      <x:c r="L23" s="69" t="str">
        <x:v>✅</x:v>
      </x:c>
      <x:c r="M23" s="49" t="str">
        <x:v>Mevcut BRM-03 BOM</x:v>
      </x:c>
    </x:row>
    <x:row r="24">
      <x:c r="A24" s="49" t="str">
        <x:v>2CDS213001R0404</x:v>
      </x:c>
      <x:c r="B24" s="49" t="str">
        <x:v>SH203-C40, 3P C40A 6kA</x:v>
      </x:c>
      <x:c r="C24" s="49" t="str">
        <x:v>mcb</x:v>
      </x:c>
      <x:c r="D24" s="60" t="n">
        <x:v>47.38</x:v>
      </x:c>
      <x:c r="E24" s="62" t="n">
        <x:f>D24*0.30*1.35*$B$2</x:f>
        <x:v>10388.294793000001</x:v>
      </x:c>
      <x:c r="F24" s="81" t="n">
        <x:v>0</x:v>
      </x:c>
      <x:c r="G24" s="81" t="n">
        <x:v>1</x:v>
      </x:c>
      <x:c r="H24" s="81" t="n">
        <x:f>F24+G24</x:f>
        <x:v>1</x:v>
      </x:c>
      <x:c r="I24" s="49" t="str">
        <x:v>ШТ.</x:v>
      </x:c>
      <x:c r="J24" s="49" t="str">
        <x:v>ABB</x:v>
      </x:c>
      <x:c r="K24" s="62" t="n">
        <x:f>E24*H24</x:f>
        <x:v>10388.294793000001</x:v>
      </x:c>
      <x:c r="L24" s="69" t="str">
        <x:v>✅</x:v>
      </x:c>
      <x:c r="M24" s="49" t="str">
        <x:v>Mevcut BRM-03 BOM</x:v>
      </x:c>
    </x:row>
    <x:row r="25">
      <x:c r="A25" s="49" t="str">
        <x:v>2CDS213001R0504</x:v>
      </x:c>
      <x:c r="B25" s="49" t="str">
        <x:v>SH203-C50, 3P C50A 6kA</x:v>
      </x:c>
      <x:c r="C25" s="49" t="str">
        <x:v>mcb</x:v>
      </x:c>
      <x:c r="D25" s="60" t="n">
        <x:v>54.63</x:v>
      </x:c>
      <x:c r="E25" s="62" t="n">
        <x:f>D25*0.30*1.35*$B$2</x:f>
        <x:v>11977.892455500001</x:v>
      </x:c>
      <x:c r="F25" s="81" t="n">
        <x:v>0</x:v>
      </x:c>
      <x:c r="G25" s="81" t="n">
        <x:v>2</x:v>
      </x:c>
      <x:c r="H25" s="81" t="n">
        <x:f>F25+G25</x:f>
        <x:v>2</x:v>
      </x:c>
      <x:c r="I25" s="49" t="str">
        <x:v>ШТ.</x:v>
      </x:c>
      <x:c r="J25" s="49" t="str">
        <x:v>ABB</x:v>
      </x:c>
      <x:c r="K25" s="62" t="n">
        <x:f>E25*H25</x:f>
        <x:v>23955.784911000002</x:v>
      </x:c>
      <x:c r="L25" s="69" t="str">
        <x:v>✅</x:v>
      </x:c>
      <x:c r="M25" s="49" t="str">
        <x:v>Mevcut BRM-03 BOM</x:v>
      </x:c>
    </x:row>
    <x:row r="26">
      <x:c r="A26" s="49" t="str">
        <x:v>2CDS211001R0064</x:v>
      </x:c>
      <x:c r="B26" s="49" t="str">
        <x:v>SH201-C2, 1P C2A 6kA (ölçüm)</x:v>
      </x:c>
      <x:c r="C26" s="49" t="str">
        <x:v>mcb</x:v>
      </x:c>
      <x:c r="D26" s="60" t="n">
        <x:v>9.71</x:v>
      </x:c>
      <x:c r="E26" s="62" t="n">
        <x:f>D26*0.30*1.35*$B$2</x:f>
        <x:v>2128.9645935000003</x:v>
      </x:c>
      <x:c r="F26" s="81" t="n">
        <x:v>0</x:v>
      </x:c>
      <x:c r="G26" s="81" t="n">
        <x:v>4</x:v>
      </x:c>
      <x:c r="H26" s="81" t="n">
        <x:f>F26+G26</x:f>
        <x:v>4</x:v>
      </x:c>
      <x:c r="I26" s="49" t="str">
        <x:v>ШТ.</x:v>
      </x:c>
      <x:c r="J26" s="49" t="str">
        <x:v>ABB</x:v>
      </x:c>
      <x:c r="K26" s="62" t="n">
        <x:f>E26*H26</x:f>
        <x:v>8515.858374000001</x:v>
      </x:c>
      <x:c r="L26" s="69" t="str">
        <x:v>✅</x:v>
      </x:c>
      <x:c r="M26" s="49" t="str">
        <x:v>Mevcut BRM-03 BOM</x:v>
      </x:c>
    </x:row>
    <x:row r="27">
      <x:c r="A27" s="49" t="str">
        <x:v>2CDS213001R0024</x:v>
      </x:c>
      <x:c r="B27" s="49" t="str">
        <x:v>SH203-C2, 3P C2A 6kA (ölçüm)</x:v>
      </x:c>
      <x:c r="C27" s="49" t="str">
        <x:v>mcb</x:v>
      </x:c>
      <x:c r="D27" s="60" t="n">
        <x:v>65.41</x:v>
      </x:c>
      <x:c r="E27" s="62" t="n">
        <x:f>D27*0.30*1.35*$B$2</x:f>
        <x:v>14341.4597385</x:v>
      </x:c>
      <x:c r="F27" s="81" t="n">
        <x:v>0</x:v>
      </x:c>
      <x:c r="G27" s="81" t="n">
        <x:v>1</x:v>
      </x:c>
      <x:c r="H27" s="81" t="n">
        <x:f>F27+G27</x:f>
        <x:v>1</x:v>
      </x:c>
      <x:c r="I27" s="49" t="str">
        <x:v>ШТ.</x:v>
      </x:c>
      <x:c r="J27" s="49" t="str">
        <x:v>ABB</x:v>
      </x:c>
      <x:c r="K27" s="62" t="n">
        <x:f>E27*H27</x:f>
        <x:v>14341.4597385</x:v>
      </x:c>
      <x:c r="L27" s="69" t="str">
        <x:v>✅</x:v>
      </x:c>
      <x:c r="M27" s="49" t="str">
        <x:v>Mevcut BRM-03 BOM</x:v>
      </x:c>
    </x:row>
    <x:row r="28">
      <x:c r="A28" s="49" t="str">
        <x:v>2CSG251141R4051</x:v>
      </x:c>
      <x:c r="B28" s="49" t="str">
        <x:v>M4M 20 Modbus enerji analizörü</x:v>
      </x:c>
      <x:c r="C28" s="49" t="str">
        <x:v>meter</x:v>
      </x:c>
      <x:c r="D28" s="60" t="n">
        <x:v>779.8</x:v>
      </x:c>
      <x:c r="E28" s="62" t="n">
        <x:f>D28*0.30*1.35*$B$2</x:f>
        <x:v>170974.93202999997</x:v>
      </x:c>
      <x:c r="F28" s="81" t="n">
        <x:v>1</x:v>
      </x:c>
      <x:c r="G28" s="81" t="n">
        <x:v>1</x:v>
      </x:c>
      <x:c r="H28" s="81" t="n">
        <x:f>F28+G28</x:f>
        <x:v>2</x:v>
      </x:c>
      <x:c r="I28" s="49" t="str">
        <x:v>ШТ.</x:v>
      </x:c>
      <x:c r="J28" s="49" t="str">
        <x:v>ABB</x:v>
      </x:c>
      <x:c r="K28" s="62" t="n">
        <x:f>E28*H28</x:f>
        <x:v>341949.86405999993</x:v>
      </x:c>
      <x:c r="L28" s="69" t="str">
        <x:v>✅</x:v>
      </x:c>
      <x:c r="M28" s="49" t="str">
        <x:v>C-B-Pano.xls + C-B Pano.dxf; Mevcut BRM-03 BOM</x:v>
      </x:c>
    </x:row>
    <x:row r="29">
      <x:c r="A29" s="72" t="str">
        <x:v>1SBL177001R1310</x:v>
      </x:c>
      <x:c r="B29" s="72" t="str">
        <x:v>AF16-30-10-13, 3P kontaktör</x:v>
      </x:c>
      <x:c r="C29" s="72" t="str">
        <x:v>contactor</x:v>
      </x:c>
      <x:c r="D29" s="73"/>
      <x:c r="E29" s="74"/>
      <x:c r="F29" s="80" t="n">
        <x:v>1</x:v>
      </x:c>
      <x:c r="G29" s="80" t="n">
        <x:v>0</x:v>
      </x:c>
      <x:c r="H29" s="80" t="n">
        <x:f>F29+G29</x:f>
        <x:v>1</x:v>
      </x:c>
      <x:c r="I29" s="72" t="str">
        <x:v>ШТ.</x:v>
      </x:c>
      <x:c r="J29" s="72" t="str">
        <x:v>ABB</x:v>
      </x:c>
      <x:c r="K29" s="74"/>
      <x:c r="L29" s="72" t="str">
        <x:v>⚠ Liste fiyatı teyit</x:v>
      </x:c>
      <x:c r="M29" s="72" t="str">
        <x:v>C-B-Pano.xls + C-B Pano.dxf</x:v>
      </x:c>
    </x:row>
    <x:row r="30">
      <x:c r="A30" s="49" t="str">
        <x:v>1SBL137001R1310</x:v>
      </x:c>
      <x:c r="B30" s="49" t="str">
        <x:v>AF09-30-10-13, 3P kontaktör 9A</x:v>
      </x:c>
      <x:c r="C30" s="49" t="str">
        <x:v>contactor</x:v>
      </x:c>
      <x:c r="D30" s="60" t="n">
        <x:v>37.91</x:v>
      </x:c>
      <x:c r="E30" s="62" t="n">
        <x:f>D30*0.30*1.35*$B$2</x:f>
        <x:v>8311.9513635</x:v>
      </x:c>
      <x:c r="F30" s="81" t="n">
        <x:v>5</x:v>
      </x:c>
      <x:c r="G30" s="81" t="n">
        <x:v>0</x:v>
      </x:c>
      <x:c r="H30" s="81" t="n">
        <x:f>F30+G30</x:f>
        <x:v>5</x:v>
      </x:c>
      <x:c r="I30" s="49" t="str">
        <x:v>ШТ.</x:v>
      </x:c>
      <x:c r="J30" s="49" t="str">
        <x:v>ABB</x:v>
      </x:c>
      <x:c r="K30" s="62" t="n">
        <x:f>E30*H30</x:f>
        <x:v>41559.756817500005</x:v>
      </x:c>
      <x:c r="L30" s="69" t="str">
        <x:v>✅</x:v>
      </x:c>
      <x:c r="M30" s="49" t="str">
        <x:v>C-B-Pano.xls + C-B Pano.dxf</x:v>
      </x:c>
    </x:row>
    <x:row r="31">
      <x:c r="A31" s="72" t="str">
        <x:v>1SBL407001R1311</x:v>
      </x:c>
      <x:c r="B31" s="72" t="str">
        <x:v>AF96-30-11-13, 3P kontaktör</x:v>
      </x:c>
      <x:c r="C31" s="72" t="str">
        <x:v>contactor</x:v>
      </x:c>
      <x:c r="D31" s="73" t="n">
        <x:v>341.2</x:v>
      </x:c>
      <x:c r="E31" s="74" t="n">
        <x:f>D31*0.30*1.35*$B$2</x:f>
        <x:v>74809.75482</x:v>
      </x:c>
      <x:c r="F31" s="80" t="n">
        <x:v>0</x:v>
      </x:c>
      <x:c r="G31" s="80" t="n">
        <x:v>1</x:v>
      </x:c>
      <x:c r="H31" s="80" t="n">
        <x:f>F31+G31</x:f>
        <x:v>1</x:v>
      </x:c>
      <x:c r="I31" s="72" t="str">
        <x:v>ШТ.</x:v>
      </x:c>
      <x:c r="J31" s="72" t="str">
        <x:v>ABB</x:v>
      </x:c>
      <x:c r="K31" s="74" t="n">
        <x:f>E31*H31</x:f>
        <x:v>74809.75482</x:v>
      </x:c>
      <x:c r="L31" s="72" t="str">
        <x:v>⚠ Liste fiyatı teyit</x:v>
      </x:c>
      <x:c r="M31" s="72" t="str">
        <x:v>Mevcut BRM-03 BOM</x:v>
      </x:c>
    </x:row>
    <x:row r="32">
      <x:c r="A32" s="49" t="str">
        <x:v>1SAE231111R0640</x:v>
      </x:c>
      <x:c r="B32" s="49" t="str">
        <x:v>ESB25-40N-06, 4NO modüler kontaktör 25A</x:v>
      </x:c>
      <x:c r="C32" s="49" t="str">
        <x:v>contactor</x:v>
      </x:c>
      <x:c r="D32" s="60" t="n">
        <x:v>50.16</x:v>
      </x:c>
      <x:c r="E32" s="62" t="n">
        <x:f>D32*0.30*1.35*$B$2</x:f>
        <x:v>10997.823276</x:v>
      </x:c>
      <x:c r="F32" s="81" t="n">
        <x:v>0</x:v>
      </x:c>
      <x:c r="G32" s="81" t="n">
        <x:v>1</x:v>
      </x:c>
      <x:c r="H32" s="81" t="n">
        <x:f>F32+G32</x:f>
        <x:v>1</x:v>
      </x:c>
      <x:c r="I32" s="49" t="str">
        <x:v>ШТ.</x:v>
      </x:c>
      <x:c r="J32" s="49" t="str">
        <x:v>ABB</x:v>
      </x:c>
      <x:c r="K32" s="62" t="n">
        <x:f>E32*H32</x:f>
        <x:v>10997.823276</x:v>
      </x:c>
      <x:c r="L32" s="69" t="str">
        <x:v>✅</x:v>
      </x:c>
      <x:c r="M32" s="49" t="str">
        <x:v>Mevcut BRM-03 BOM</x:v>
      </x:c>
    </x:row>
    <x:row r="33">
      <x:c r="A33" s="49" t="str">
        <x:v>1SBE111111R0620</x:v>
      </x:c>
      <x:c r="B33" s="49" t="str">
        <x:v>ESB16-20N-06, 2NO modüler kontaktör 16A</x:v>
      </x:c>
      <x:c r="C33" s="49" t="str">
        <x:v>contactor</x:v>
      </x:c>
      <x:c r="D33" s="60" t="n">
        <x:v>35.93</x:v>
      </x:c>
      <x:c r="E33" s="62" t="n">
        <x:f>D33*0.30*1.35*$B$2</x:f>
        <x:v>7877.8267605</x:v>
      </x:c>
      <x:c r="F33" s="81" t="n">
        <x:v>0</x:v>
      </x:c>
      <x:c r="G33" s="81" t="n">
        <x:v>13</x:v>
      </x:c>
      <x:c r="H33" s="81" t="n">
        <x:f>F33+G33</x:f>
        <x:v>13</x:v>
      </x:c>
      <x:c r="I33" s="49" t="str">
        <x:v>ШТ.</x:v>
      </x:c>
      <x:c r="J33" s="49" t="str">
        <x:v>ABB</x:v>
      </x:c>
      <x:c r="K33" s="62" t="n">
        <x:f>E33*H33</x:f>
        <x:v>102411.7478865</x:v>
      </x:c>
      <x:c r="L33" s="69" t="str">
        <x:v>✅</x:v>
      </x:c>
      <x:c r="M33" s="49" t="str">
        <x:v>Mevcut BRM-03 BOM</x:v>
      </x:c>
    </x:row>
    <x:row r="34">
      <x:c r="A34" s="72" t="str">
        <x:v>KONTROL EDİLECEK</x:v>
      </x:c>
      <x:c r="B34" s="72" t="str">
        <x:v>1P ≥10A, 1-0 pako şalter</x:v>
      </x:c>
      <x:c r="C34" s="72" t="str">
        <x:v>pako</x:v>
      </x:c>
      <x:c r="D34" s="73"/>
      <x:c r="E34" s="74"/>
      <x:c r="F34" s="80" t="n">
        <x:v>4</x:v>
      </x:c>
      <x:c r="G34" s="80" t="n">
        <x:v>0</x:v>
      </x:c>
      <x:c r="H34" s="80" t="n">
        <x:f>F34+G34</x:f>
        <x:v>4</x:v>
      </x:c>
      <x:c r="I34" s="72" t="str">
        <x:v>ШТ.</x:v>
      </x:c>
      <x:c r="J34" s="72" t="str">
        <x:v>ABB/Siemens/Schneider</x:v>
      </x:c>
      <x:c r="K34" s="74"/>
      <x:c r="L34" s="72" t="str">
        <x:v>⚠ Model teyit</x:v>
      </x:c>
      <x:c r="M34" s="72" t="str">
        <x:v>C-B-Pano.xls + C-B Pano.dxf</x:v>
      </x:c>
    </x:row>
    <x:row r="35">
      <x:c r="A35" s="49" t="str">
        <x:v>MT027 25A</x:v>
      </x:c>
      <x:c r="B35" s="49" t="str">
        <x:v>METOP MT027, 25A, 1-0-2 pako</x:v>
      </x:c>
      <x:c r="C35" s="49" t="str">
        <x:v>pako</x:v>
      </x:c>
      <x:c r="D35" s="60"/>
      <x:c r="E35" s="62" t="n">
        <x:v>8500</x:v>
      </x:c>
      <x:c r="F35" s="81" t="n">
        <x:v>0</x:v>
      </x:c>
      <x:c r="G35" s="81" t="n">
        <x:v>1</x:v>
      </x:c>
      <x:c r="H35" s="81" t="n">
        <x:f>F35+G35</x:f>
        <x:v>1</x:v>
      </x:c>
      <x:c r="I35" s="49" t="str">
        <x:v>ШТ.</x:v>
      </x:c>
      <x:c r="J35" s="49" t="str">
        <x:v>METOP</x:v>
      </x:c>
      <x:c r="K35" s="62" t="n">
        <x:f>E35*H35</x:f>
        <x:v>8500</x:v>
      </x:c>
      <x:c r="L35" s="69" t="str">
        <x:v>✅</x:v>
      </x:c>
      <x:c r="M35" s="49" t="str">
        <x:v>Mevcut BRM-03 BOM</x:v>
      </x:c>
    </x:row>
    <x:row r="36">
      <x:c r="A36" s="49" t="str">
        <x:v>MT015 16A</x:v>
      </x:c>
      <x:c r="B36" s="49" t="str">
        <x:v>METOP MT015, 16A, 1-0 pako</x:v>
      </x:c>
      <x:c r="C36" s="49" t="str">
        <x:v>pako</x:v>
      </x:c>
      <x:c r="D36" s="60"/>
      <x:c r="E36" s="62" t="n">
        <x:v>8500</x:v>
      </x:c>
      <x:c r="F36" s="81" t="n">
        <x:v>0</x:v>
      </x:c>
      <x:c r="G36" s="81" t="n">
        <x:v>14</x:v>
      </x:c>
      <x:c r="H36" s="81" t="n">
        <x:f>F36+G36</x:f>
        <x:v>14</x:v>
      </x:c>
      <x:c r="I36" s="49" t="str">
        <x:v>ШТ.</x:v>
      </x:c>
      <x:c r="J36" s="49" t="str">
        <x:v>METOP</x:v>
      </x:c>
      <x:c r="K36" s="62" t="n">
        <x:f>E36*H36</x:f>
        <x:v>119000</x:v>
      </x:c>
      <x:c r="L36" s="69" t="str">
        <x:v>✅</x:v>
      </x:c>
      <x:c r="M36" s="49" t="str">
        <x:v>Mevcut BRM-03 BOM</x:v>
      </x:c>
    </x:row>
    <x:row r="37">
      <x:c r="A37" s="49" t="str">
        <x:v>1SAM250000R1006</x:v>
      </x:c>
      <x:c r="B37" s="49" t="str">
        <x:v>MS116-1.6 motor koruma 1.0–1.6A</x:v>
      </x:c>
      <x:c r="C37" s="49" t="str">
        <x:v>motor</x:v>
      </x:c>
      <x:c r="D37" s="60" t="n">
        <x:v>62.53</x:v>
      </x:c>
      <x:c r="E37" s="62" t="n">
        <x:f>D37*0.30*1.35*$B$2</x:f>
        <x:v>13710.005770500002</x:v>
      </x:c>
      <x:c r="F37" s="81" t="n">
        <x:v>0</x:v>
      </x:c>
      <x:c r="G37" s="81" t="n">
        <x:v>1</x:v>
      </x:c>
      <x:c r="H37" s="81" t="n">
        <x:f>F37+G37</x:f>
        <x:v>1</x:v>
      </x:c>
      <x:c r="I37" s="49" t="str">
        <x:v>ШТ.</x:v>
      </x:c>
      <x:c r="J37" s="49" t="str">
        <x:v>ABB</x:v>
      </x:c>
      <x:c r="K37" s="62" t="n">
        <x:f>E37*H37</x:f>
        <x:v>13710.005770500002</x:v>
      </x:c>
      <x:c r="L37" s="69" t="str">
        <x:v>✅</x:v>
      </x:c>
      <x:c r="M37" s="49" t="str">
        <x:v>Mevcut BRM-03 BOM</x:v>
      </x:c>
    </x:row>
    <x:row r="38">
      <x:c r="A38" s="49" t="str">
        <x:v>1SAM350000R1010</x:v>
      </x:c>
      <x:c r="B38" s="49" t="str">
        <x:v>MS132-10 motor koruma 6.3–10A</x:v>
      </x:c>
      <x:c r="C38" s="49" t="str">
        <x:v>motor</x:v>
      </x:c>
      <x:c r="D38" s="60" t="n">
        <x:v>67.83</x:v>
      </x:c>
      <x:c r="E38" s="62" t="n">
        <x:f>D38*0.30*1.35*$B$2</x:f>
        <x:v>14872.056475500001</x:v>
      </x:c>
      <x:c r="F38" s="81" t="n">
        <x:v>0</x:v>
      </x:c>
      <x:c r="G38" s="81" t="n">
        <x:v>2</x:v>
      </x:c>
      <x:c r="H38" s="81" t="n">
        <x:f>F38+G38</x:f>
        <x:v>2</x:v>
      </x:c>
      <x:c r="I38" s="49" t="str">
        <x:v>ШТ.</x:v>
      </x:c>
      <x:c r="J38" s="49" t="str">
        <x:v>ABB</x:v>
      </x:c>
      <x:c r="K38" s="62" t="n">
        <x:f>E38*H38</x:f>
        <x:v>29744.112951000003</x:v>
      </x:c>
      <x:c r="L38" s="69" t="str">
        <x:v>✅</x:v>
      </x:c>
      <x:c r="M38" s="49" t="str">
        <x:v>Mevcut BRM-03 BOM</x:v>
      </x:c>
    </x:row>
    <x:row r="39">
      <x:c r="A39" s="49" t="str">
        <x:v>1SAM350000R1009</x:v>
      </x:c>
      <x:c r="B39" s="49" t="str">
        <x:v>MS132-6.3 motor koruma 4–6.3A</x:v>
      </x:c>
      <x:c r="C39" s="49" t="str">
        <x:v>motor</x:v>
      </x:c>
      <x:c r="D39" s="60" t="n">
        <x:v>61.91</x:v>
      </x:c>
      <x:c r="E39" s="62" t="n">
        <x:f>D39*0.30*1.35*$B$2</x:f>
        <x:v>13574.0677635</x:v>
      </x:c>
      <x:c r="F39" s="81" t="n">
        <x:v>0</x:v>
      </x:c>
      <x:c r="G39" s="81" t="n">
        <x:v>1</x:v>
      </x:c>
      <x:c r="H39" s="81" t="n">
        <x:f>F39+G39</x:f>
        <x:v>1</x:v>
      </x:c>
      <x:c r="I39" s="49" t="str">
        <x:v>ШТ.</x:v>
      </x:c>
      <x:c r="J39" s="49" t="str">
        <x:v>ABB</x:v>
      </x:c>
      <x:c r="K39" s="62" t="n">
        <x:f>E39*H39</x:f>
        <x:v>13574.0677635</x:v>
      </x:c>
      <x:c r="L39" s="69" t="str">
        <x:v>✅</x:v>
      </x:c>
      <x:c r="M39" s="49" t="str">
        <x:v>Mevcut BRM-03 BOM</x:v>
      </x:c>
    </x:row>
    <x:row r="40">
      <x:c r="A40" s="72" t="str">
        <x:v>KONTROL EDİLECEK</x:v>
      </x:c>
      <x:c r="B40" s="72" t="str">
        <x:v>10.3×38 mm 2A gG kartuş sigorta</x:v>
      </x:c>
      <x:c r="C40" s="72" t="str">
        <x:v>sigorta</x:v>
      </x:c>
      <x:c r="D40" s="73"/>
      <x:c r="E40" s="74"/>
      <x:c r="F40" s="80" t="n">
        <x:v>7</x:v>
      </x:c>
      <x:c r="G40" s="80" t="n">
        <x:v>0</x:v>
      </x:c>
      <x:c r="H40" s="80" t="n">
        <x:f>F40+G40</x:f>
        <x:v>7</x:v>
      </x:c>
      <x:c r="I40" s="72" t="str">
        <x:v>ШТ.</x:v>
      </x:c>
      <x:c r="J40" s="72" t="str">
        <x:v>ABB</x:v>
      </x:c>
      <x:c r="K40" s="74"/>
      <x:c r="L40" s="72" t="str">
        <x:v>⚠ Ürün kodu/fiyat teyit</x:v>
      </x:c>
      <x:c r="M40" s="72" t="str">
        <x:v>C-B-Pano.xls + C-B Pano.dxf</x:v>
      </x:c>
    </x:row>
    <x:row r="41">
      <x:c r="A41" s="72" t="str">
        <x:v>2CSM200923R1801</x:v>
      </x:c>
      <x:c r="B41" s="72" t="str">
        <x:v>E 91/32, 1P 10×38 sigorta altlığı</x:v>
      </x:c>
      <x:c r="C41" s="72" t="str">
        <x:v>sigorta altlığı</x:v>
      </x:c>
      <x:c r="D41" s="73"/>
      <x:c r="E41" s="74"/>
      <x:c r="F41" s="80" t="n">
        <x:v>4</x:v>
      </x:c>
      <x:c r="G41" s="80" t="n">
        <x:v>0</x:v>
      </x:c>
      <x:c r="H41" s="80" t="n">
        <x:f>F41+G41</x:f>
        <x:v>4</x:v>
      </x:c>
      <x:c r="I41" s="72" t="str">
        <x:v>ШТ.</x:v>
      </x:c>
      <x:c r="J41" s="72" t="str">
        <x:v>ABB</x:v>
      </x:c>
      <x:c r="K41" s="74"/>
      <x:c r="L41" s="72" t="str">
        <x:v>⚠ Liste fiyatı teyit</x:v>
      </x:c>
      <x:c r="M41" s="72" t="str">
        <x:v>C-B-Pano.xls + C-B Pano.dxf</x:v>
      </x:c>
    </x:row>
    <x:row r="42">
      <x:c r="A42" s="72" t="str">
        <x:v>2CSM204753R1801</x:v>
      </x:c>
      <x:c r="B42" s="72" t="str">
        <x:v>E 93/32, 3P 10×38 sigorta altlığı</x:v>
      </x:c>
      <x:c r="C42" s="72" t="str">
        <x:v>sigorta altlığı</x:v>
      </x:c>
      <x:c r="D42" s="73"/>
      <x:c r="E42" s="74"/>
      <x:c r="F42" s="80" t="n">
        <x:v>1</x:v>
      </x:c>
      <x:c r="G42" s="80" t="n">
        <x:v>0</x:v>
      </x:c>
      <x:c r="H42" s="80" t="n">
        <x:f>F42+G42</x:f>
        <x:v>1</x:v>
      </x:c>
      <x:c r="I42" s="72" t="str">
        <x:v>ШТ.</x:v>
      </x:c>
      <x:c r="J42" s="72" t="str">
        <x:v>ABB</x:v>
      </x:c>
      <x:c r="K42" s="74"/>
      <x:c r="L42" s="72" t="str">
        <x:v>⚠ Liste fiyatı teyit</x:v>
      </x:c>
      <x:c r="M42" s="72" t="str">
        <x:v>C-B-Pano.xls + C-B Pano.dxf</x:v>
      </x:c>
    </x:row>
    <x:row r="43">
      <x:c r="A43" s="72" t="str">
        <x:v>KONTROL EDİLECEK</x:v>
      </x:c>
      <x:c r="B43" s="72" t="str">
        <x:v>MCB kilitleme aparatı</x:v>
      </x:c>
      <x:c r="C43" s="72" t="str">
        <x:v>aksesuar</x:v>
      </x:c>
      <x:c r="D43" s="73"/>
      <x:c r="E43" s="74"/>
      <x:c r="F43" s="80" t="n">
        <x:v>1</x:v>
      </x:c>
      <x:c r="G43" s="80" t="n">
        <x:v>1</x:v>
      </x:c>
      <x:c r="H43" s="80" t="n">
        <x:f>F43+G43</x:f>
        <x:v>2</x:v>
      </x:c>
      <x:c r="I43" s="72" t="str">
        <x:v>ШТ.</x:v>
      </x:c>
      <x:c r="J43" s="72" t="str">
        <x:v>ABB</x:v>
      </x:c>
      <x:c r="K43" s="74"/>
      <x:c r="L43" s="72" t="str">
        <x:v>⚠ Ürün kodu teyit</x:v>
      </x:c>
      <x:c r="M43" s="72" t="str">
        <x:v>C-B-Pano.xls + C-B Pano.dxf; Mevcut BRM-03 BOM</x:v>
      </x:c>
    </x:row>
    <x:row r="44">
      <x:c r="A44" s="72" t="str">
        <x:v>KONTROL EDİLECEK</x:v>
      </x:c>
      <x:c r="B44" s="72" t="str">
        <x:v>Akım trafosu 50/5A, sınıf 0.5</x:v>
      </x:c>
      <x:c r="C44" s="72" t="str">
        <x:v>tt</x:v>
      </x:c>
      <x:c r="D44" s="73"/>
      <x:c r="E44" s="74"/>
      <x:c r="F44" s="80" t="n">
        <x:v>3</x:v>
      </x:c>
      <x:c r="G44" s="80" t="n">
        <x:v>0</x:v>
      </x:c>
      <x:c r="H44" s="80" t="n">
        <x:f>F44+G44</x:f>
        <x:v>3</x:v>
      </x:c>
      <x:c r="I44" s="72" t="str">
        <x:v>ШТ.</x:v>
      </x:c>
      <x:c r="J44" s="72" t="str">
        <x:v>ABB/IEK</x:v>
      </x:c>
      <x:c r="K44" s="74"/>
      <x:c r="L44" s="72" t="str">
        <x:v>⚠ VA ve kod teyit</x:v>
      </x:c>
      <x:c r="M44" s="72" t="str">
        <x:v>C-B-Pano.xls + C-B Pano.dxf</x:v>
      </x:c>
    </x:row>
    <x:row r="45">
      <x:c r="A45" s="72" t="str">
        <x:v>KONTROL EDİLECEK</x:v>
      </x:c>
      <x:c r="B45" s="72" t="str">
        <x:v>Akım trafosu 400/5A, 5VA, sınıf 0.5</x:v>
      </x:c>
      <x:c r="C45" s="72" t="str">
        <x:v>tt</x:v>
      </x:c>
      <x:c r="D45" s="73"/>
      <x:c r="E45" s="74" t="n">
        <x:v>6350</x:v>
      </x:c>
      <x:c r="F45" s="80" t="n">
        <x:v>0</x:v>
      </x:c>
      <x:c r="G45" s="80" t="n">
        <x:v>3</x:v>
      </x:c>
      <x:c r="H45" s="80" t="n">
        <x:f>F45+G45</x:f>
        <x:v>3</x:v>
      </x:c>
      <x:c r="I45" s="72" t="str">
        <x:v>ШТ.</x:v>
      </x:c>
      <x:c r="J45" s="72" t="str">
        <x:v>IEK/eşdeğer</x:v>
      </x:c>
      <x:c r="K45" s="74" t="n">
        <x:f>E45*H45</x:f>
        <x:v>19050</x:v>
      </x:c>
      <x:c r="L45" s="72" t="str">
        <x:v>⚠ Kod teyit</x:v>
      </x:c>
      <x:c r="M45" s="72" t="str">
        <x:v>Mevcut BRM-03 BOM</x:v>
      </x:c>
    </x:row>
    <x:row r="46">
      <x:c r="A46" s="49" t="str">
        <x:v>1SFA611520R1001</x:v>
      </x:c>
      <x:c r="B46" s="49" t="str">
        <x:v>MPET3-10R acil stop başlığı</x:v>
      </x:c>
      <x:c r="C46" s="49" t="str">
        <x:v>button</x:v>
      </x:c>
      <x:c r="D46" s="60" t="n">
        <x:v>16.27</x:v>
      </x:c>
      <x:c r="E46" s="62" t="n">
        <x:f>D46*0.30*1.35*$B$2</x:f>
        <x:v>3567.2764094999998</x:v>
      </x:c>
      <x:c r="F46" s="81" t="n">
        <x:v>1</x:v>
      </x:c>
      <x:c r="G46" s="81" t="n">
        <x:v>1</x:v>
      </x:c>
      <x:c r="H46" s="81" t="n">
        <x:f>F46+G46</x:f>
        <x:v>2</x:v>
      </x:c>
      <x:c r="I46" s="49" t="str">
        <x:v>ШТ.</x:v>
      </x:c>
      <x:c r="J46" s="49" t="str">
        <x:v>ABB</x:v>
      </x:c>
      <x:c r="K46" s="62" t="n">
        <x:f>E46*H46</x:f>
        <x:v>7134.5528189999995</x:v>
      </x:c>
      <x:c r="L46" s="69" t="str">
        <x:v>✅</x:v>
      </x:c>
      <x:c r="M46" s="49" t="str">
        <x:v>C-B-Pano.xls + C-B Pano.dxf; Mevcut BRM-03 BOM</x:v>
      </x:c>
    </x:row>
    <x:row r="47">
      <x:c r="A47" s="49" t="str">
        <x:v>1SFA611605R1100</x:v>
      </x:c>
      <x:c r="B47" s="49" t="str">
        <x:v>MCBH-00 buton gövdesi</x:v>
      </x:c>
      <x:c r="C47" s="49" t="str">
        <x:v>button</x:v>
      </x:c>
      <x:c r="D47" s="60" t="n">
        <x:v>1.14</x:v>
      </x:c>
      <x:c r="E47" s="62" t="n">
        <x:f>D47*0.30*1.35*$B$2</x:f>
        <x:v>249.950529</x:v>
      </x:c>
      <x:c r="F47" s="81" t="n">
        <x:v>1</x:v>
      </x:c>
      <x:c r="G47" s="81" t="n">
        <x:v>1</x:v>
      </x:c>
      <x:c r="H47" s="81" t="n">
        <x:f>F47+G47</x:f>
        <x:v>2</x:v>
      </x:c>
      <x:c r="I47" s="49" t="str">
        <x:v>ШТ.</x:v>
      </x:c>
      <x:c r="J47" s="49" t="str">
        <x:v>ABB</x:v>
      </x:c>
      <x:c r="K47" s="62" t="n">
        <x:f>E47*H47</x:f>
        <x:v>499.901058</x:v>
      </x:c>
      <x:c r="L47" s="69" t="str">
        <x:v>✅</x:v>
      </x:c>
      <x:c r="M47" s="49" t="str">
        <x:v>C-B-Pano.xls + C-B Pano.dxf; Mevcut BRM-03 BOM</x:v>
      </x:c>
    </x:row>
    <x:row r="48">
      <x:c r="A48" s="49" t="str">
        <x:v>1SFA611610R1010</x:v>
      </x:c>
      <x:c r="B48" s="49" t="str">
        <x:v>MCB-01 kontak bloğu</x:v>
      </x:c>
      <x:c r="C48" s="49" t="str">
        <x:v>button</x:v>
      </x:c>
      <x:c r="D48" s="60" t="n">
        <x:v>4.6</x:v>
      </x:c>
      <x:c r="E48" s="62" t="n">
        <x:f>D48*0.30*1.35*$B$2</x:f>
        <x:v>1008.57231</x:v>
      </x:c>
      <x:c r="F48" s="81" t="n">
        <x:v>1</x:v>
      </x:c>
      <x:c r="G48" s="81" t="n">
        <x:v>1</x:v>
      </x:c>
      <x:c r="H48" s="81" t="n">
        <x:f>F48+G48</x:f>
        <x:v>2</x:v>
      </x:c>
      <x:c r="I48" s="49" t="str">
        <x:v>ШТ.</x:v>
      </x:c>
      <x:c r="J48" s="49" t="str">
        <x:v>ABB</x:v>
      </x:c>
      <x:c r="K48" s="62" t="n">
        <x:f>E48*H48</x:f>
        <x:v>2017.14462</x:v>
      </x:c>
      <x:c r="L48" s="69" t="str">
        <x:v>✅</x:v>
      </x:c>
      <x:c r="M48" s="49" t="str">
        <x:v>C-B-Pano.xls + C-B Pano.dxf; Mevcut BRM-03 BOM</x:v>
      </x:c>
    </x:row>
    <x:row r="49">
      <x:c r="A49" s="49" t="str">
        <x:v>1SFA611400R1002</x:v>
      </x:c>
      <x:c r="B49" s="49" t="str">
        <x:v>ML1-100G yeşil sinyal lambası</x:v>
      </x:c>
      <x:c r="C49" s="49" t="str">
        <x:v>sinyal</x:v>
      </x:c>
      <x:c r="D49" s="60" t="n">
        <x:v>4.6</x:v>
      </x:c>
      <x:c r="E49" s="62" t="n">
        <x:f>D49*0.30*1.35*$B$2</x:f>
        <x:v>1008.57231</x:v>
      </x:c>
      <x:c r="F49" s="81" t="n">
        <x:v>4</x:v>
      </x:c>
      <x:c r="G49" s="81" t="n">
        <x:v>4</x:v>
      </x:c>
      <x:c r="H49" s="81" t="n">
        <x:f>F49+G49</x:f>
        <x:v>8</x:v>
      </x:c>
      <x:c r="I49" s="49" t="str">
        <x:v>ШТ.</x:v>
      </x:c>
      <x:c r="J49" s="49" t="str">
        <x:v>ABB</x:v>
      </x:c>
      <x:c r="K49" s="62" t="n">
        <x:f>E49*H49</x:f>
        <x:v>8068.57848</x:v>
      </x:c>
      <x:c r="L49" s="69" t="str">
        <x:v>✅</x:v>
      </x:c>
      <x:c r="M49" s="49" t="str">
        <x:v>C-B-Pano.xls + C-B Pano.dxf; Mevcut BRM-03 BOM</x:v>
      </x:c>
    </x:row>
    <x:row r="50">
      <x:c r="A50" s="49" t="str">
        <x:v>2CTB803973R1100</x:v>
      </x:c>
      <x:c r="B50" s="49" t="str">
        <x:v>OVR T2 3N 40-275, 4P Tip-2 parafudr</x:v>
      </x:c>
      <x:c r="C50" s="49" t="str">
        <x:v>spd</x:v>
      </x:c>
      <x:c r="D50" s="60" t="n">
        <x:v>361.2</x:v>
      </x:c>
      <x:c r="E50" s="62" t="n">
        <x:f>D50*0.30*1.35*$B$2</x:f>
        <x:v>79194.85182</x:v>
      </x:c>
      <x:c r="F50" s="81" t="n">
        <x:v>1</x:v>
      </x:c>
      <x:c r="G50" s="81" t="n">
        <x:v>1</x:v>
      </x:c>
      <x:c r="H50" s="81" t="n">
        <x:f>F50+G50</x:f>
        <x:v>2</x:v>
      </x:c>
      <x:c r="I50" s="49" t="str">
        <x:v>ШТ.</x:v>
      </x:c>
      <x:c r="J50" s="49" t="str">
        <x:v>ABB</x:v>
      </x:c>
      <x:c r="K50" s="62" t="n">
        <x:f>E50*H50</x:f>
        <x:v>158389.70364</x:v>
      </x:c>
      <x:c r="L50" s="69" t="str">
        <x:v>✅</x:v>
      </x:c>
      <x:c r="M50" s="49" t="str">
        <x:v>C-B-Pano.xls + C-B Pano.dxf; Mevcut BRM-03 BOM</x:v>
      </x:c>
    </x:row>
    <x:row r="51">
      <x:c r="A51" s="72" t="str">
        <x:v>YCFP7</x:v>
      </x:c>
      <x:c r="B51" s="72" t="str">
        <x:v>Pano içi yangın söndürme sistemi</x:v>
      </x:c>
      <x:c r="C51" s="72" t="str">
        <x:v>fire</x:v>
      </x:c>
      <x:c r="D51" s="73"/>
      <x:c r="E51" s="74" t="n">
        <x:v>6500</x:v>
      </x:c>
      <x:c r="F51" s="80" t="n">
        <x:v>1</x:v>
      </x:c>
      <x:c r="G51" s="80" t="n">
        <x:v>1</x:v>
      </x:c>
      <x:c r="H51" s="80" t="n">
        <x:f>F51+G51</x:f>
        <x:v>2</x:v>
      </x:c>
      <x:c r="I51" s="72" t="str">
        <x:v>set</x:v>
      </x:c>
      <x:c r="J51" s="72" t="str">
        <x:v>CNC</x:v>
      </x:c>
      <x:c r="K51" s="74" t="n">
        <x:f>E51*H51</x:f>
        <x:v>13000</x:v>
      </x:c>
      <x:c r="L51" s="72" t="str">
        <x:v>⚠ Tedarikçi teyit</x:v>
      </x:c>
      <x:c r="M51" s="72" t="str">
        <x:v>C-B-Pano.xls + C-B Pano.dxf; Mevcut BRM-03 BOM</x:v>
      </x:c>
    </x:row>
    <x:row r="52">
      <x:c r="A52" s="56"/>
      <x:c r="B52" s="56"/>
      <x:c r="C52" s="56"/>
      <x:c r="D52" s="56"/>
      <x:c r="E52" s="56"/>
      <x:c r="F52" s="56"/>
      <x:c r="G52" s="56"/>
      <x:c r="H52" s="56"/>
      <x:c r="I52" s="56"/>
      <x:c r="J52" s="56" t="str">
        <x:v>FİYATI GİRİLMİŞ KALEMLER TOPLAMI:</x:v>
      </x:c>
      <x:c r="K52" s="63" t="n">
        <x:f>SUM(K5:K51)</x:f>
        <x:v>3342027.5701045007</x:v>
      </x:c>
      <x:c r="L52" s="56" t="str">
        <x:v>Eksik fiyatlı kalemler hariç</x:v>
      </x:c>
      <x:c r="M52" s="5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34" hidden="0" customWidth="1"/>
    <x:col min="4" max="4" width="42" hidden="0" customWidth="1"/>
    <x:col min="5" max="5" width="32" hidden="0" customWidth="1"/>
    <x:col min="6" max="6" width="40" hidden="0" customWidth="1"/>
    <x:col min="7" max="7" width="18" hidden="0" customWidth="1"/>
  </x:cols>
  <x:sheetData>
    <x:row r="1" ht="24" customHeight="1">
      <x:c r="A1" s="7" t="str">
        <x:v>BOM KONTROL RAPORU — EKSİK / FAZLA / HATALI DÜZELTMELER</x:v>
      </x:c>
      <x:c r="B1" s="8"/>
      <x:c r="C1" s="8"/>
      <x:c r="D1" s="8"/>
      <x:c r="E1" s="8"/>
      <x:c r="F1" s="8"/>
      <x:c r="G1" s="9"/>
    </x:row>
    <x:row r="3" ht="30" customHeight="1">
      <x:c r="A3" s="39" t="str">
        <x:v>No</x:v>
      </x:c>
      <x:c r="B3" s="39" t="str">
        <x:v>Konu</x:v>
      </x:c>
      <x:c r="C3" s="39" t="str">
        <x:v>Eski durum</x:v>
      </x:c>
      <x:c r="D3" s="39" t="str">
        <x:v>Düzeltilmiş durum</x:v>
      </x:c>
      <x:c r="E3" s="39" t="str">
        <x:v>Etki</x:v>
      </x:c>
      <x:c r="F3" s="39" t="str">
        <x:v>Kaynak</x:v>
      </x:c>
      <x:c r="G3" s="39" t="str">
        <x:v>Durum</x:v>
      </x:c>
    </x:row>
    <x:row r="4">
      <x:c r="A4" s="49" t="n">
        <x:v>1</x:v>
      </x:c>
      <x:c r="B4" s="49" t="str">
        <x:v>CB ana MCCB</x:v>
      </x:c>
      <x:c r="C4" s="49" t="str">
        <x:v>100A A1C ve yanlış aksesuar eşleştirmesi</x:v>
      </x:c>
      <x:c r="D4" s="49" t="str">
        <x:v>63A A1C 1SDA068770R1 + SOR 1SDA066137R1</x:v>
      </x:c>
      <x:c r="E4" s="49" t="str">
        <x:v>Yanlış ürün siparişi önlendi</x:v>
      </x:c>
      <x:c r="F4" s="49" t="str">
        <x:v>C-B-Pano.xls + C-B Pano.dxf</x:v>
      </x:c>
      <x:c r="G4" s="69" t="str">
        <x:v>Düzeltildi</x:v>
      </x:c>
    </x:row>
    <x:row r="5">
      <x:c r="A5" s="49" t="n">
        <x:v>2</x:v>
      </x:c>
      <x:c r="B5" s="49" t="str">
        <x:v>CB FH202 adedi</x:v>
      </x:c>
      <x:c r="C5" s="49" t="str">
        <x:v>52</x:v>
      </x:c>
      <x:c r="D5" s="49" t="str">
        <x:v>34 = 29 C16 RCBO + 3 C25 RCBO + 2 ayrı RCCB</x:v>
      </x:c>
      <x:c r="E5" s="49" t="str">
        <x:v>18 adet fazla kaldırıldı</x:v>
      </x:c>
      <x:c r="F5" s="49" t="str">
        <x:v>C-B-Pano.xls + C-B Pano.dxf</x:v>
      </x:c>
      <x:c r="G5" s="69" t="str">
        <x:v>Düzeltildi</x:v>
      </x:c>
    </x:row>
    <x:row r="6">
      <x:c r="A6" s="49" t="n">
        <x:v>3</x:v>
      </x:c>
      <x:c r="B6" s="49" t="str">
        <x:v>CB SH201-C16 adedi</x:v>
      </x:c>
      <x:c r="C6" s="49" t="str">
        <x:v>47</x:v>
      </x:c>
      <x:c r="D6" s="49" t="str">
        <x:v>29</x:v>
      </x:c>
      <x:c r="E6" s="49" t="str">
        <x:v>18 adet fazla kaldırıldı</x:v>
      </x:c>
      <x:c r="F6" s="49" t="str">
        <x:v>C-B-Pano.xls + C-B Pano.dxf</x:v>
      </x:c>
      <x:c r="G6" s="69" t="str">
        <x:v>Düzeltildi</x:v>
      </x:c>
    </x:row>
    <x:row r="7">
      <x:c r="A7" s="49" t="n">
        <x:v>4</x:v>
      </x:c>
      <x:c r="B7" s="49" t="str">
        <x:v>CB diğer adetler</x:v>
      </x:c>
      <x:c r="C7" s="49" t="str">
        <x:v>B10=10, B6=1, pako=10, AF09=9</x:v>
      </x:c>
      <x:c r="D7" s="49" t="str">
        <x:v>B10=6, B6=2, pako=4, AF09=5</x:v>
      </x:c>
      <x:c r="E7" s="49" t="str">
        <x:v>DXF/BOQ ile eşitlendi</x:v>
      </x:c>
      <x:c r="F7" s="49" t="str">
        <x:v>C-B-Pano.xls + C-B Pano.dxf</x:v>
      </x:c>
      <x:c r="G7" s="69" t="str">
        <x:v>Düzeltildi</x:v>
      </x:c>
    </x:row>
    <x:row r="8">
      <x:c r="A8" s="49" t="n">
        <x:v>5</x:v>
      </x:c>
      <x:c r="B8" s="49" t="str">
        <x:v>CB eksik kalemler</x:v>
      </x:c>
      <x:c r="C8" s="49" t="str">
        <x:v>Kartuş sigorta, altlıklar ve 50/5A CT yoktu</x:v>
      </x:c>
      <x:c r="D8" s="49" t="str">
        <x:v>7×2A sigorta, 4×1P altlık, 1×3P altlık, 3×CT eklendi</x:v>
      </x:c>
      <x:c r="E8" s="49" t="str">
        <x:v>Eksik satın alma kalemleri tamamlandı</x:v>
      </x:c>
      <x:c r="F8" s="49" t="str">
        <x:v>C-B-Pano.xls + C-B Pano.dxf</x:v>
      </x:c>
      <x:c r="G8" s="69" t="str">
        <x:v>Düzeltildi</x:v>
      </x:c>
    </x:row>
    <x:row r="9">
      <x:c r="A9" s="72" t="n">
        <x:v>6</x:v>
      </x:c>
      <x:c r="B9" s="72" t="str">
        <x:v>Kilitli devre aksesuarı</x:v>
      </x:c>
      <x:c r="C9" s="72" t="str">
        <x:v>BOM'da yoktu</x:v>
      </x:c>
      <x:c r="D9" s="72" t="str">
        <x:v>CB ve BRM için 1'er kilitleme aparatı eklendi</x:v>
      </x:c>
      <x:c r="E9" s="72" t="str">
        <x:v>Güvenlik/işletme şartı görünür oldu</x:v>
      </x:c>
      <x:c r="F9" s="72" t="str">
        <x:v>C-B-Pano.xls + C-B Pano.dxf; Mevcut BRM-03 BOM</x:v>
      </x:c>
      <x:c r="G9" s="72" t="str">
        <x:v>Kod teyit</x:v>
      </x:c>
    </x:row>
    <x:row r="10">
      <x:c r="A10" s="49" t="n">
        <x:v>7</x:v>
      </x:c>
      <x:c r="B10" s="49" t="str">
        <x:v>BRM RCCB adetleri</x:v>
      </x:c>
      <x:c r="C10" s="49" t="str">
        <x:v>FH202=46, FH204-25=9, FH204-40=3</x:v>
      </x:c>
      <x:c r="D10" s="49" t="str">
        <x:v>FH202=47, FH204-25=13, FH204-40=4</x:v>
      </x:c>
      <x:c r="E10" s="49" t="str">
        <x:v>Detay BOM ile satın alma eşitlendi</x:v>
      </x:c>
      <x:c r="F10" s="49" t="str">
        <x:v>Mevcut BRM-03 BOM</x:v>
      </x:c>
      <x:c r="G10" s="69" t="str">
        <x:v>Düzeltildi</x:v>
      </x:c>
    </x:row>
    <x:row r="11">
      <x:c r="A11" s="49" t="n">
        <x:v>8</x:v>
      </x:c>
      <x:c r="B11" s="49" t="str">
        <x:v>BRM MCB eşleşmeleri</x:v>
      </x:c>
      <x:c r="C11" s="49" t="str">
        <x:v>Kombinasyon MCB satırlarında adet 0'dı</x:v>
      </x:c>
      <x:c r="D11" s="49" t="str">
        <x:v>C16=43, C25(1P)=3, 3P C16=4, C25=2, C32=2, C40=1</x:v>
      </x:c>
      <x:c r="E11" s="49" t="str">
        <x:v>RCCB+MCB setleri tamamlandı</x:v>
      </x:c>
      <x:c r="F11" s="49" t="str">
        <x:v>Mevcut BRM-03 BOM</x:v>
      </x:c>
      <x:c r="G11" s="69" t="str">
        <x:v>Düzeltildi</x:v>
      </x:c>
    </x:row>
    <x:row r="12">
      <x:c r="A12" s="49" t="n">
        <x:v>9</x:v>
      </x:c>
      <x:c r="B12" s="49" t="str">
        <x:v>ABB kod hatası</x:v>
      </x:c>
      <x:c r="C12" s="49" t="str">
        <x:v>1SDA066720R1 birleşik listede SOR olarak yazılmıştı</x:v>
      </x:c>
      <x:c r="D12" s="49" t="str">
        <x:v>1SDA066720R1 = A1C 125A MCCB</x:v>
      </x:c>
      <x:c r="E12" s="49" t="str">
        <x:v>Kod/ürün çakışması giderildi</x:v>
      </x:c>
      <x:c r="F12" s="49" t="str">
        <x:v>https://new.abb.com/products/1SDA066720R1/a1c-125-tmf-125-1250-3p-f-f</x:v>
      </x:c>
      <x:c r="G12" s="69" t="str">
        <x:v>Düzeltildi</x:v>
      </x:c>
    </x:row>
    <x:row r="13">
      <x:c r="A13" s="49" t="n">
        <x:v>10</x:v>
      </x:c>
      <x:c r="B13" s="49" t="str">
        <x:v>Kur</x:v>
      </x:c>
      <x:c r="C13" s="49" t="str">
        <x:v>550 ve 547.47 aynı dosyada birlikte kullanılıyordu</x:v>
      </x:c>
      <x:c r="D13" s="49" t="str">
        <x:v>541.37 KZT/EUR — 03.07.2026 NBK resmi kuru</x:v>
      </x:c>
      <x:c r="E13" s="49" t="str">
        <x:v>Tüm formüller tek kura bağlandı</x:v>
      </x:c>
      <x:c r="F13" s="49" t="str">
        <x:v>https://nationalbank.kz/en/exchangerates/ezhednevnye-oficialnye-rynochnye-kursy-valyut</x:v>
      </x:c>
      <x:c r="G13" s="69" t="str">
        <x:v>Düzeltildi</x:v>
      </x:c>
    </x:row>
    <x:row r="14">
      <x:c r="A14" s="49" t="n">
        <x:v>11</x:v>
      </x:c>
      <x:c r="B14" s="49" t="str">
        <x:v>ABB fiyat formülü</x:v>
      </x:c>
      <x:c r="C14" s="49" t="str">
        <x:v>Liste ×0.33 ×1.30</x:v>
      </x:c>
      <x:c r="D14" s="49" t="str">
        <x:v>Liste ×0.30 ×1.35</x:v>
      </x:c>
      <x:c r="E14" s="49" t="str">
        <x:v>Kullanıcının kalıcı fiyat kuralına uygun</x:v>
      </x:c>
      <x:c r="F14" s="49" t="str">
        <x:v>Kullanıcı fiyat kuralı</x:v>
      </x:c>
      <x:c r="G14" s="69" t="str">
        <x:v>Düzeltildi</x:v>
      </x:c>
    </x:row>
    <x:row r="15">
      <x:c r="A15" s="49" t="n">
        <x:v>12</x:v>
      </x:c>
      <x:c r="B15" s="49" t="str">
        <x:v>Montaj işçiliği</x:v>
      </x:c>
      <x:c r="C15" s="49" t="str">
        <x:v>Birim fiyat/adet kolonları ters ve OFFSET formülü hatalıydı</x:v>
      </x:c>
      <x:c r="D15" s="49" t="str">
        <x:v>20 saat × 12.000 KZT/saat</x:v>
      </x:c>
      <x:c r="E15" s="49" t="str">
        <x:v>Toplam 240.000 KZT doğru hesaplandı</x:v>
      </x:c>
      <x:c r="F15" s="49" t="str">
        <x:v>Mevcut BRM-03 BOM</x:v>
      </x:c>
      <x:c r="G15" s="69" t="str">
        <x:v>Düzeltildi</x:v>
      </x:c>
    </x:row>
    <x:row r="16">
      <x:c r="A16" s="72" t="n">
        <x:v>13</x:v>
      </x:c>
      <x:c r="B16" s="72" t="str">
        <x:v>Sarf ve iç yapı</x:v>
      </x:c>
      <x:c r="C16" s="72" t="str">
        <x:v>Bara, klemens, DIN/kanal, kablaj görünmüyordu</x:v>
      </x:c>
      <x:c r="D16" s="72" t="str">
        <x:v>Kontrol satırları eklendi; net metraj üretim çizimine bırakıldı</x:v>
      </x:c>
      <x:c r="E16" s="72" t="str">
        <x:v>Uydurma metraj kullanılmadı</x:v>
      </x:c>
      <x:c r="F16" s="72" t="str">
        <x:v>C-B-Pano.xls + C-B Pano.dxf; Mevcut BRM-03 BOM</x:v>
      </x:c>
      <x:c r="G16" s="72" t="str">
        <x:v>Kontrol gerekli</x:v>
      </x:c>
    </x:row>
    <x:row r="17">
      <x:c r="A17" s="72" t="n">
        <x:v>14</x:v>
      </x:c>
      <x:c r="B17" s="72" t="str">
        <x:v>Fiyatı doğrulanmayan kalemler</x:v>
      </x:c>
      <x:c r="C17" s="72" t="str">
        <x:v>Bazı yeni ürünlerde güvenilir liste fiyatı yok</x:v>
      </x:c>
      <x:c r="D17" s="72" t="str">
        <x:v>Fiyat hücreleri boş bırakıldı ve sarı işaretlendi</x:v>
      </x:c>
      <x:c r="E17" s="72" t="str">
        <x:v>Yanlış fiyat uydurulmadı</x:v>
      </x:c>
      <x:c r="F17" s="72" t="str">
        <x:v>ABB/KZ tedarikçi teklifi gerekli</x:v>
      </x:c>
      <x:c r="G17" s="72" t="str">
        <x:v>Kontrol gerekli</x:v>
      </x:c>
    </x:row>
    <x:row r="20">
      <x:c r="A20" s="39" t="str">
        <x:v>Kaynak No</x:v>
      </x:c>
      <x:c r="B20" s="39" t="str">
        <x:v>Kaynak</x:v>
      </x:c>
      <x:c r="C20" s="39" t="str">
        <x:v>Açıklama</x:v>
      </x:c>
      <x:c r="D20" s="39" t="str">
        <x:v>URL / Dosya</x:v>
      </x:c>
      <x:c r="E20" s="39"/>
      <x:c r="F20" s="39"/>
      <x:c r="G20" s="39"/>
    </x:row>
    <x:row r="21">
      <x:c r="A21" s="49" t="str">
        <x:v>S1</x:v>
      </x:c>
      <x:c r="B21" s="49" t="str">
        <x:v>C-B-Pano.xls</x:v>
      </x:c>
      <x:c r="C21" s="49" t="str">
        <x:v>ACBP-N BOQ; cihaz tipleri ve adetler</x:v>
      </x:c>
      <x:c r="D21" s="49" t="str">
        <x:v>C-B-Pano.xls</x:v>
      </x:c>
      <x:c r="E21" s="49"/>
      <x:c r="F21" s="49"/>
      <x:c r="G21" s="49"/>
    </x:row>
    <x:row r="22">
      <x:c r="A22" s="49" t="str">
        <x:v>S2</x:v>
      </x:c>
      <x:c r="B22" s="49" t="str">
        <x:v>C-B Pano.dxf</x:v>
      </x:c>
      <x:c r="C22" s="49" t="str">
        <x:v>Tek hat; sembol sayımı ve genel notlar</x:v>
      </x:c>
      <x:c r="D22" s="49" t="str">
        <x:v>C-B Pano.dxf</x:v>
      </x:c>
      <x:c r="E22" s="49"/>
      <x:c r="F22" s="49"/>
      <x:c r="G22" s="49"/>
    </x:row>
    <x:row r="23">
      <x:c r="A23" s="49" t="str">
        <x:v>S3</x:v>
      </x:c>
      <x:c r="B23" s="49" t="str">
        <x:v>NBK</x:v>
      </x:c>
      <x:c r="C23" s="49" t="str">
        <x:v>03.07.2026 EUR/KZT resmi kuru</x:v>
      </x:c>
      <x:c r="D23" s="49" t="str">
        <x:v>https://nationalbank.kz/en/exchangerates/ezhednevnye-oficialnye-rynochnye-kursy-valyut</x:v>
      </x:c>
      <x:c r="E23" s="49"/>
      <x:c r="F23" s="49"/>
      <x:c r="G23" s="49"/>
    </x:row>
    <x:row r="24">
      <x:c r="A24" s="49" t="str">
        <x:v>S4</x:v>
      </x:c>
      <x:c r="B24" s="49" t="str">
        <x:v>ABB</x:v>
      </x:c>
      <x:c r="C24" s="49" t="str">
        <x:v>A1C 63A ürün sayfası</x:v>
      </x:c>
      <x:c r="D24" s="49" t="str">
        <x:v>https://new.abb.com/products/1SDA068770R1/a1c-125-tmf-63-630-3p-f-f</x:v>
      </x:c>
      <x:c r="E24" s="49"/>
      <x:c r="F24" s="49"/>
      <x:c r="G24" s="49"/>
    </x:row>
    <x:row r="25">
      <x:c r="A25" s="49" t="str">
        <x:v>S5</x:v>
      </x:c>
      <x:c r="B25" s="49" t="str">
        <x:v>ABB</x:v>
      </x:c>
      <x:c r="C25" s="49" t="str">
        <x:v>A1-A2 SOR ürün sayfası</x:v>
      </x:c>
      <x:c r="D25" s="49" t="str">
        <x:v>https://new.abb.com/products/1SDA066137R1/sor-c-a1-a2-220-240vac-220-250vdc</x:v>
      </x:c>
      <x:c r="E25" s="49"/>
      <x:c r="F25" s="49"/>
      <x:c r="G25" s="49"/>
    </x:row>
    <x:row r="26">
      <x:c r="A26" s="49" t="str">
        <x:v>S6</x:v>
      </x:c>
      <x:c r="B26" s="49" t="str">
        <x:v>ABB</x:v>
      </x:c>
      <x:c r="C26" s="49" t="str">
        <x:v>A1C 125A ürün sayfası</x:v>
      </x:c>
      <x:c r="D26" s="49" t="str">
        <x:v>https://new.abb.com/products/1SDA066720R1/a1c-125-tmf-125-1250-3p-f-f</x:v>
      </x:c>
      <x:c r="E26" s="49"/>
      <x:c r="F26" s="49"/>
      <x:c r="G26" s="49"/>
    </x:row>
    <x:row r="27">
      <x:c r="A27" s="49" t="str">
        <x:v>S7</x:v>
      </x:c>
      <x:c r="B27" s="49" t="str">
        <x:v>ABB</x:v>
      </x:c>
      <x:c r="C27" s="49" t="str">
        <x:v>F204 A-100/0.03 AP-R ürün sayfası</x:v>
      </x:c>
      <x:c r="D27" s="49" t="str">
        <x:v>https://new.abb.com/products/2CSF204401R1900/f204-a-100-0-03-ap-r</x:v>
      </x:c>
      <x:c r="E27" s="49"/>
      <x:c r="F27" s="49"/>
      <x:c r="G27" s="49"/>
    </x:row>
    <x:row r="28">
      <x:c r="A28" s="49" t="str">
        <x:v>S8</x:v>
      </x:c>
      <x:c r="B28" s="49" t="str">
        <x:v>ABB</x:v>
      </x:c>
      <x:c r="C28" s="49" t="str">
        <x:v>MS132-10 ürün sayfası</x:v>
      </x:c>
      <x:c r="D28" s="49" t="str">
        <x:v>https://new.abb.com/products/1SAM350000R1010/ms132-10</x:v>
      </x:c>
      <x:c r="E28" s="49"/>
      <x:c r="F28" s="49"/>
      <x:c r="G28" s="49"/>
    </x:row>
    <x:row r="29">
      <x:c r="A29" s="49" t="str">
        <x:v>S9</x:v>
      </x:c>
      <x:c r="B29" s="49" t="str">
        <x:v>ABB</x:v>
      </x:c>
      <x:c r="C29" s="49" t="str">
        <x:v>MS132-6.3 ürün sayfası</x:v>
      </x:c>
      <x:c r="D29" s="49" t="str">
        <x:v>https://new.abb.com/products/1SAM350000R1009/ms132-6-3</x:v>
      </x:c>
      <x:c r="E29" s="49"/>
      <x:c r="F29" s="49"/>
      <x:c r="G29" s="49"/>
    </x:row>
  </x:sheetData>
  <x:pageMargins left="0.7" right="0.7" top="0.75" bottom="0.75" header="0.3" footer="0.3"/>
</x:worksheet>
</file>