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817 yakup bey imitatsia\"/>
    </mc:Choice>
  </mc:AlternateContent>
  <xr:revisionPtr revIDLastSave="0" documentId="13_ncr:1_{C93E06E9-2E2B-4277-BE45-F619B63756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BOM_DUZELTIL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M8" i="1"/>
  <c r="E7" i="1"/>
  <c r="E6" i="1"/>
  <c r="E5" i="1"/>
  <c r="E4" i="1"/>
  <c r="E3" i="1"/>
  <c r="F2" i="1" l="1"/>
  <c r="F3" i="1"/>
  <c r="F4" i="1"/>
  <c r="F5" i="1"/>
  <c r="F6" i="1"/>
  <c r="F7" i="1"/>
  <c r="G9" i="1"/>
  <c r="F9" i="1" s="1"/>
  <c r="E8" i="1" s="1"/>
  <c r="F8" i="1" s="1"/>
  <c r="F10" i="1" l="1"/>
  <c r="D2" i="1" l="1"/>
  <c r="D12" i="1" s="1"/>
  <c r="F11" i="1"/>
  <c r="F12" i="1" s="1"/>
</calcChain>
</file>

<file path=xl/sharedStrings.xml><?xml version="1.0" encoding="utf-8"?>
<sst xmlns="http://schemas.openxmlformats.org/spreadsheetml/2006/main" count="43" uniqueCount="34">
  <si>
    <t>PANO</t>
  </si>
  <si>
    <t>компл.</t>
  </si>
  <si>
    <t>шт</t>
  </si>
  <si>
    <t xml:space="preserve"> </t>
  </si>
  <si>
    <t>14F08</t>
  </si>
  <si>
    <t>kolodka pod rele 14F08 8PIN</t>
  </si>
  <si>
    <t>-</t>
  </si>
  <si>
    <t>719-15410</t>
  </si>
  <si>
    <t>Мет.Корпус ЩМП-1 (395х310х150) УХЛ3 IP54</t>
  </si>
  <si>
    <t>814008</t>
  </si>
  <si>
    <t>Авт. выкл. NXB-63 1P 1A 6кА х-ка C (R)</t>
  </si>
  <si>
    <t>701-03250-1</t>
  </si>
  <si>
    <t>Клемма проходная JHUK2.5B (TEKLED ELECTRIC)2000/100</t>
  </si>
  <si>
    <t xml:space="preserve">iscilik pano basi 30dk </t>
  </si>
  <si>
    <t>ortalama 1 lik kablo 20m 1 lik yuzsuk 65ad 25*25 kablo kanali 0,9m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</si>
  <si>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</si>
  <si>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</si>
  <si>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</si>
  <si>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</si>
  <si>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</si>
  <si>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</si>
  <si>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</si>
  <si>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</si>
  <si>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Цена,тг2</t>
  </si>
  <si>
    <t>kaztek</t>
  </si>
  <si>
    <t>chint</t>
  </si>
  <si>
    <t>pys</t>
  </si>
  <si>
    <t>tekled</t>
  </si>
  <si>
    <t>tekled electrik</t>
  </si>
  <si>
    <t>montaj malz</t>
  </si>
  <si>
    <t>mont. Rabota</t>
  </si>
  <si>
    <t>6-1393243-8 (RT424024)</t>
  </si>
  <si>
    <t>Реле 2 переключ.24VDC, 8A/250VAC DPDT на плату</t>
  </si>
  <si>
    <t>ЩУ-(ШИД СУЗ «Родник»)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</si>
</sst>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KZT]\ #,##0.00"/>
  </numFmts>
  <fonts count="6">
    <font>
      <sz val="11"/>
      <name val="Carlito"/>
    </font>
    <font>
      <b/>
      <sz val="10"/>
      <color rgb="FF000000"/>
      <name val="Arial"/>
      <family val="2"/>
      <charset val="204"/>
    </font>
    <font>
      <sz val="10"/>
      <color rgb="FF111827"/>
      <name val="Arial"/>
      <family val="2"/>
      <charset val="204"/>
    </font>
    <font>
      <sz val="1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BE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0" borderId="2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:H10" totalsRowCount="1" totalsRowDxfId="17" totalsRowBorderDxfId="16">
  <autoFilter ref="A1:H9" xr:uid="{00000000-000C-0000-FFFF-FFFF00000000}"/>
  <tableColumns count="8">
    <tableColumn id="3" xr3:uid="{00000000-0010-0000-0000-000003000000}" name="malzeme" dataDxfId="15" totalsRowDxfId="14"/>
    <tableColumn id="4" xr3:uid="{00000000-0010-0000-0000-000004000000}" name="Артикул" dataDxfId="13" totalsRowDxfId="12"/>
    <tableColumn id="5" xr3:uid="{00000000-0010-0000-0000-000005000000}" name="Номенклатура" dataDxfId="11" totalsRowDxfId="10"/>
    <tableColumn id="6" xr3:uid="{943F5AA8-FC53-4D5A-BD48-086C0193EA6F}" name="Цена,тг" dataDxfId="9" totalsRowDxfId="8"/>
    <tableColumn id="2" xr3:uid="{ABEBFC2A-784C-43FE-9E86-A7D7D1A7C36A}" name="Цена,тг2" dataDxfId="7" totalsRowDxfId="6"/>
    <tableColumn id="1" xr3:uid="{115441BE-D05A-43C6-AC0C-2999186B80AC}" name="СУММ." totalsRowFunction="sum" dataDxfId="5" totalsRowDxfId="4">
      <calculatedColumnFormula>BOMTable[[#This Row],[Цена,тг2]]*BOMTable[[#This Row],[Кол- во]]</calculatedColumnFormula>
    </tableColumn>
    <tableColumn id="9" xr3:uid="{00000000-0010-0000-0000-000009000000}" name="Кол- во" dataDxfId="3" totalsRowDxfId="2"/>
    <tableColumn id="10" xr3:uid="{00000000-0010-0000-0000-00000A000000}" name="Ед.изм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8" sqref="D8"/>
    </sheetView>
  </sheetViews>
  <sheetFormatPr defaultRowHeight="14.25"/>
  <cols>
    <col min="1" max="1" width="17" customWidth="1"/>
    <col min="2" max="2" width="22" customWidth="1"/>
    <col min="3" max="3" width="62.875" customWidth="1"/>
    <col min="4" max="6" width="12.375" customWidth="1"/>
    <col min="7" max="7" width="9" style="12" customWidth="1"/>
    <col min="8" max="9" width="10" style="12" customWidth="1"/>
    <col min="10" max="10" width="12" customWidth="1"/>
  </cols>
  <sheetData>
    <row r="1" spans="1:13" ht="33.950000000000003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23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13" ht="33.950000000000003" customHeight="1">
      <c r="A2" s="2" t="s">
        <v>0</v>
      </c>
      <c r="B2" s="2" t="s">
        <v>3</v>
      </c>
      <c r="C2" s="7" t="s">
        <v>33</v>
      </c>
      <c r="D2" s="2">
        <f ca="1">2.3*BOMTable[[#Totals],[СУММ.]]</f>
        <v>81916.799999999988</v>
      </c>
      <c r="E2" s="2"/>
      <c r="F2" s="2">
        <f>BOMTable[[#This Row],[Цена,тг2]]*BOMTable[[#This Row],[Кол- во]]</f>
        <v>0</v>
      </c>
      <c r="G2" s="6">
        <v>3</v>
      </c>
      <c r="H2" s="7" t="s">
        <v>1</v>
      </c>
      <c r="I2" s="7" t="s">
        <v>28</v>
      </c>
    </row>
    <row r="3" spans="1:13" ht="33.950000000000003" customHeight="1">
      <c r="A3" s="3" t="s">
        <v>3</v>
      </c>
      <c r="B3" s="4" t="s">
        <v>7</v>
      </c>
      <c r="C3" s="4" t="s">
        <v>8</v>
      </c>
      <c r="D3" s="4">
        <v>10995</v>
      </c>
      <c r="E3" s="4">
        <f>0.6*BOMTable[[#This Row],[Цена,тг]]</f>
        <v>6597</v>
      </c>
      <c r="F3" s="4">
        <f>BOMTable[[#This Row],[Цена,тг2]]*BOMTable[[#This Row],[Кол- во]]</f>
        <v>6597</v>
      </c>
      <c r="G3" s="8">
        <v>1</v>
      </c>
      <c r="H3" s="9" t="s">
        <v>2</v>
      </c>
      <c r="I3" s="9" t="s">
        <v>24</v>
      </c>
    </row>
    <row r="4" spans="1:13" ht="33.950000000000003" customHeight="1">
      <c r="A4" s="13">
        <v>1086</v>
      </c>
      <c r="B4" s="11" t="s">
        <v>9</v>
      </c>
      <c r="C4" s="5" t="s">
        <v>10</v>
      </c>
      <c r="D4" s="5">
        <v>1845</v>
      </c>
      <c r="E4" s="4">
        <f>0.6*BOMTable[[#This Row],[Цена,тг]]</f>
        <v>1107</v>
      </c>
      <c r="F4" s="5">
        <f>BOMTable[[#This Row],[Цена,тг2]]*BOMTable[[#This Row],[Кол- во]]</f>
        <v>5535</v>
      </c>
      <c r="G4" s="10">
        <v>5</v>
      </c>
      <c r="H4" s="11" t="s">
        <v>2</v>
      </c>
      <c r="I4" s="11" t="s">
        <v>25</v>
      </c>
    </row>
    <row r="5" spans="1:13" ht="33.950000000000003" customHeight="1">
      <c r="A5" s="13" t="s">
        <v>6</v>
      </c>
      <c r="B5" s="5" t="s">
        <v>31</v>
      </c>
      <c r="C5" s="5" t="s">
        <v>32</v>
      </c>
      <c r="D5" s="5">
        <v>2200</v>
      </c>
      <c r="E5" s="5">
        <f>BOMTable[[#This Row],[Цена,тг]]</f>
        <v>2200</v>
      </c>
      <c r="F5" s="5">
        <f>BOMTable[[#This Row],[Цена,тг2]]*BOMTable[[#This Row],[Кол- во]]</f>
        <v>6600</v>
      </c>
      <c r="G5" s="10">
        <v>3</v>
      </c>
      <c r="H5" s="11" t="s">
        <v>2</v>
      </c>
      <c r="I5" s="11" t="s">
        <v>26</v>
      </c>
    </row>
    <row r="6" spans="1:13" ht="33.950000000000003" customHeight="1">
      <c r="A6" s="13" t="s">
        <v>6</v>
      </c>
      <c r="B6" s="5" t="s">
        <v>4</v>
      </c>
      <c r="C6" s="5" t="s">
        <v>5</v>
      </c>
      <c r="D6" s="5">
        <v>1340</v>
      </c>
      <c r="E6" s="5">
        <f>BOMTable[[#This Row],[Цена,тг]]</f>
        <v>1340</v>
      </c>
      <c r="F6" s="5">
        <f>BOMTable[[#This Row],[Цена,тг2]]*BOMTable[[#This Row],[Кол- во]]</f>
        <v>4020</v>
      </c>
      <c r="G6" s="10">
        <v>3</v>
      </c>
      <c r="H6" s="11" t="s">
        <v>2</v>
      </c>
      <c r="I6" s="11" t="s">
        <v>26</v>
      </c>
    </row>
    <row r="7" spans="1:13" ht="33.950000000000003" customHeight="1">
      <c r="A7" s="13">
        <v>120</v>
      </c>
      <c r="B7" s="5" t="s">
        <v>11</v>
      </c>
      <c r="C7" s="5" t="s">
        <v>12</v>
      </c>
      <c r="D7" s="5">
        <v>120</v>
      </c>
      <c r="E7" s="5">
        <f>0.6*BOMTable[[#This Row],[Цена,тг]]</f>
        <v>72</v>
      </c>
      <c r="F7" s="5">
        <f>BOMTable[[#This Row],[Цена,тг2]]*BOMTable[[#This Row],[Кол- во]]</f>
        <v>864</v>
      </c>
      <c r="G7" s="10">
        <v>12</v>
      </c>
      <c r="H7" s="11" t="s">
        <v>2</v>
      </c>
      <c r="I7" s="11" t="s">
        <v>27</v>
      </c>
    </row>
    <row r="8" spans="1:13" ht="33.950000000000003" customHeight="1">
      <c r="A8" s="13"/>
      <c r="B8" s="5"/>
      <c r="C8" s="5" t="s">
        <v>14</v>
      </c>
      <c r="D8" s="5">
        <f ca="1">OFFSET(BOMTable[[#This Row],[Цена,тг]],1,2)</f>
        <v>6000</v>
      </c>
      <c r="E8" s="5">
        <f ca="1">BOMTable[[#This Row],[Цена,тг]]</f>
        <v>6000</v>
      </c>
      <c r="F8" s="5">
        <f ca="1">BOMTable[[#This Row],[Цена,тг2]]*BOMTable[[#This Row],[Кол- во]]</f>
        <v>6000</v>
      </c>
      <c r="G8" s="10">
        <v>1</v>
      </c>
      <c r="H8" s="11" t="s">
        <v>2</v>
      </c>
      <c r="I8" s="11" t="s">
        <v>29</v>
      </c>
      <c r="M8">
        <f>1.5*1.43</f>
        <v>2.145</v>
      </c>
    </row>
    <row r="9" spans="1:13" ht="33.950000000000003" customHeight="1">
      <c r="A9" s="14"/>
      <c r="B9" s="15"/>
      <c r="C9" s="15" t="s">
        <v>13</v>
      </c>
      <c r="D9" s="15">
        <v>1</v>
      </c>
      <c r="E9" s="15">
        <v>100</v>
      </c>
      <c r="F9" s="15">
        <f>BOMTable[[#This Row],[Цена,тг2]]*BOMTable[[#This Row],[Кол- во]]</f>
        <v>6000</v>
      </c>
      <c r="G9" s="16">
        <f>60*BOMTable[[#This Row],[Цена,тг]]</f>
        <v>60</v>
      </c>
      <c r="H9" s="11" t="s">
        <v>2</v>
      </c>
      <c r="I9" s="11" t="s">
        <v>30</v>
      </c>
    </row>
    <row r="10" spans="1:13">
      <c r="A10" s="17"/>
      <c r="B10" s="17"/>
      <c r="C10" s="17"/>
      <c r="D10" s="15"/>
      <c r="E10" s="15"/>
      <c r="F10" s="15">
        <f ca="1">SUBTOTAL(109,BOMTable[СУММ.])</f>
        <v>35616</v>
      </c>
      <c r="G10" s="18"/>
      <c r="H10" s="18"/>
    </row>
    <row r="11" spans="1:13">
      <c r="F11">
        <f ca="1">1.16*BOMTable[[#Totals],[СУММ.]]</f>
        <v>41314.559999999998</v>
      </c>
    </row>
    <row r="12" spans="1:13">
      <c r="D12">
        <f ca="1">D2*0.7</f>
        <v>57341.759999999987</v>
      </c>
      <c r="F12">
        <f ca="1">1.3*F11</f>
        <v>53708.928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01_BOM_DUZELTILDI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Kaztek Pano</dc:creator>
  <cp:lastModifiedBy>yusuf kaplan</cp:lastModifiedBy>
  <dcterms:created xsi:type="dcterms:W3CDTF">2026-07-22T08:22:05Z</dcterms:created>
  <dcterms:modified xsi:type="dcterms:W3CDTF">2026-09-02T13:28:04Z</dcterms:modified>
</cp:coreProperties>
</file>