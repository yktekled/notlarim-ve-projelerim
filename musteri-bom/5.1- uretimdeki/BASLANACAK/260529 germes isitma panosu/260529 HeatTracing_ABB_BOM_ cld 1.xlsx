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9 germes isitma panosu\"/>
    </mc:Choice>
  </mc:AlternateContent>
  <xr:revisionPtr revIDLastSave="0" documentId="13_ncr:1_{41CBF722-09F4-4FA3-B3A2-0357E46753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ЩРобогрев_ABB_BOM" sheetId="1" r:id="rId1"/>
  </sheets>
  <definedNames>
    <definedName name="_xlnm._FilterDatabase" localSheetId="0" hidden="1">ЩРобогрев_ABB_BOM!$A$1:$L$21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15" i="1"/>
  <c r="H15" i="1" s="1"/>
  <c r="G14" i="1"/>
  <c r="H14" i="1" s="1"/>
  <c r="G13" i="1"/>
  <c r="H13" i="1" s="1"/>
  <c r="G12" i="1"/>
  <c r="H12" i="1" s="1"/>
  <c r="G11" i="1"/>
  <c r="H11" i="1" s="1"/>
  <c r="G9" i="1"/>
  <c r="H9" i="1" s="1"/>
  <c r="G8" i="1"/>
  <c r="H8" i="1" s="1"/>
  <c r="G7" i="1"/>
  <c r="H7" i="1" s="1"/>
  <c r="G5" i="1"/>
  <c r="H5" i="1" s="1"/>
  <c r="G4" i="1"/>
  <c r="H4" i="1" s="1"/>
  <c r="H6" i="1"/>
  <c r="H16" i="1"/>
  <c r="H17" i="1"/>
  <c r="H18" i="1"/>
  <c r="H19" i="1"/>
  <c r="G10" i="1"/>
  <c r="H10" i="1" s="1"/>
  <c r="H20" i="1"/>
  <c r="J21" i="1"/>
  <c r="H21" i="1" l="1"/>
  <c r="H22" i="1" s="1"/>
  <c r="F2" i="1" s="1"/>
  <c r="G2" i="1" s="1"/>
</calcChain>
</file>

<file path=xl/sharedStrings.xml><?xml version="1.0" encoding="utf-8"?>
<sst xmlns="http://schemas.openxmlformats.org/spreadsheetml/2006/main" count="151" uniqueCount="108">
  <si>
    <t>№</t>
  </si>
  <si>
    <t>Бөлім</t>
  </si>
  <si>
    <t>Тип</t>
  </si>
  <si>
    <t>Наименование / Сипаттамасы</t>
  </si>
  <si>
    <t>Артикул</t>
  </si>
  <si>
    <t>Ед.</t>
  </si>
  <si>
    <t>Кол.</t>
  </si>
  <si>
    <t>Прайс EUR</t>
  </si>
  <si>
    <t>Нетто ₸/шт</t>
  </si>
  <si>
    <t>∑ ₸ (нетто)</t>
  </si>
  <si>
    <t>Ескертпе / Примечание</t>
  </si>
  <si>
    <t>01</t>
  </si>
  <si>
    <t>MCCB</t>
  </si>
  <si>
    <t>шт</t>
  </si>
  <si>
    <t>Вводной кабель N2XH 2×5×25мм²</t>
  </si>
  <si>
    <t>02</t>
  </si>
  <si>
    <t>MCB-1P</t>
  </si>
  <si>
    <t>Термостат бағдарламасы тізбегі</t>
  </si>
  <si>
    <t>03</t>
  </si>
  <si>
    <t>THERMOSTAT</t>
  </si>
  <si>
    <t>DEVIreg 850 (-10...+10°C) сенсор + 24VDC блок питания — RT DEVI (DEVI/Danfoss)</t>
  </si>
  <si>
    <t>140F1070 / DEVIreg 850 + сенсор кабелі + PSU</t>
  </si>
  <si>
    <t>жиын/компл.</t>
  </si>
  <si>
    <t>Цифровой термостат; датчик улицы; 24VDC PSU (STEP POWER 220AC/24DC)</t>
  </si>
  <si>
    <t>04</t>
  </si>
  <si>
    <t>MCB-3P</t>
  </si>
  <si>
    <t>ABB S203M-C25 3P C25A 10кА — 10QF (KM1 фидері, вр.1 желоб 1)</t>
  </si>
  <si>
    <t>2CDS273001R0254 / S203M-C25</t>
  </si>
  <si>
    <t>10QF* 3P 25A — вр.1 тармағы</t>
  </si>
  <si>
    <t>05</t>
  </si>
  <si>
    <t>ABB S203M-C40 3P C40A 10кА — 20QF (KM2 фидері, вр.2 желоб 2)</t>
  </si>
  <si>
    <t>2CDS273001R0404 / S203M-C40</t>
  </si>
  <si>
    <t>20QF* 3P 40A — вр.2 тармағы</t>
  </si>
  <si>
    <t>06</t>
  </si>
  <si>
    <t>ABB S203M-C32 3P C32A 10кА — 30QF (KM3 фидері, вр.3 арка)</t>
  </si>
  <si>
    <t>2CDS273001R0324 / S203M-C32</t>
  </si>
  <si>
    <t>30QF* 3P 32A — вр.3 тармағы</t>
  </si>
  <si>
    <t>07</t>
  </si>
  <si>
    <t>ABB S203M-C25 3P C25A 10кА — 40QF (KM4 фидері, вр.4 труба)</t>
  </si>
  <si>
    <t>40QF* 3P 25A — вр.4 тармағы</t>
  </si>
  <si>
    <t>08</t>
  </si>
  <si>
    <t>CONTACTOR</t>
  </si>
  <si>
    <t>KM1-25A, KM4-25A — 230VAC A1-A2, 4NO</t>
  </si>
  <si>
    <t>09</t>
  </si>
  <si>
    <t>KM2-40A — 230VAC A1-A2, 4NO</t>
  </si>
  <si>
    <t>10</t>
  </si>
  <si>
    <t>KM3-32A → ABB ESB40 (ESB32 шығарылмайды)</t>
  </si>
  <si>
    <t>11</t>
  </si>
  <si>
    <t>1/20QF,1/30QF,1/40QF(вр1) | 2/50QF,2/60QF,2/70QF(вр2) | 3/80QF,3/90QF,3/100QF(вр3) | 4/110QF,4/120QF,4/130QF(вр4) + 2 резерв</t>
  </si>
  <si>
    <t>12</t>
  </si>
  <si>
    <t>Резерв 1P 25A</t>
  </si>
  <si>
    <t>13</t>
  </si>
  <si>
    <t>BUSBAR</t>
  </si>
  <si>
    <t>—</t>
  </si>
  <si>
    <t>жиын</t>
  </si>
  <si>
    <t>N-PE busbar set + input cable lug 4×25mm²</t>
  </si>
  <si>
    <t>15</t>
  </si>
  <si>
    <t>DUCT</t>
  </si>
  <si>
    <t>Кабель каналы 40×40мм (20м)</t>
  </si>
  <si>
    <t>KK 40×40</t>
  </si>
  <si>
    <t>м</t>
  </si>
  <si>
    <t>Cable duct 40×40</t>
  </si>
  <si>
    <t>16</t>
  </si>
  <si>
    <t>Кабель каналы 60×40мм (10м)</t>
  </si>
  <si>
    <t>KK 60×40</t>
  </si>
  <si>
    <t>Cable duct 60×40 — жоғарғы қатар</t>
  </si>
  <si>
    <t>17</t>
  </si>
  <si>
    <t>TB</t>
  </si>
  <si>
    <t>80×380 + 20×420 = 30,400+8,400 = ~38,800 → 42,400</t>
  </si>
  <si>
    <t>18</t>
  </si>
  <si>
    <t>MAT</t>
  </si>
  <si>
    <t>Монтаж материал (наконечники, маркеры, стяжки, болты, WAGO клеммы)</t>
  </si>
  <si>
    <t>лот</t>
  </si>
  <si>
    <t>KONTROL: нақты тізім бойынша</t>
  </si>
  <si>
    <t>19</t>
  </si>
  <si>
    <t>KORPUS</t>
  </si>
  <si>
    <t>Набесне / navesnoe | ввод-вывод сверху | KONTROL: өлшем</t>
  </si>
  <si>
    <t>20</t>
  </si>
  <si>
    <t>LBR</t>
  </si>
  <si>
    <t>Пано жинақтау жұмысы / сборка и монтаж ЩРобогрев</t>
  </si>
  <si>
    <t>сағат</t>
  </si>
  <si>
    <t>40 сағат × 3 500 ₸ = 140 000 ₸</t>
  </si>
  <si>
    <t xml:space="preserve">ЩРобогрев </t>
  </si>
  <si>
    <t>КОМПЛ.</t>
  </si>
  <si>
    <t>М.</t>
  </si>
  <si>
    <t>130300473_</t>
  </si>
  <si>
    <t xml:space="preserve">                Шина медн.3х20х4000</t>
  </si>
  <si>
    <t xml:space="preserve"> 1SAE231111R0640 </t>
  </si>
  <si>
    <t xml:space="preserve">ESB25-40N </t>
  </si>
  <si>
    <t>1SAE341111R0640</t>
  </si>
  <si>
    <t xml:space="preserve">ESB40-40N </t>
  </si>
  <si>
    <t>MONT.RAB.</t>
  </si>
  <si>
    <t>MONT. MATERYAL</t>
  </si>
  <si>
    <t xml:space="preserve"> 2CDS211001R0064</t>
  </si>
  <si>
    <t xml:space="preserve"> SH 201-C 6 </t>
  </si>
  <si>
    <t xml:space="preserve">2CDS271001R0164 </t>
  </si>
  <si>
    <t xml:space="preserve">S 201 M-C 16 </t>
  </si>
  <si>
    <t xml:space="preserve"> 2CDS271001R0254</t>
  </si>
  <si>
    <t>S 201 M-C 25</t>
  </si>
  <si>
    <t xml:space="preserve"> 1SDA067418R1</t>
  </si>
  <si>
    <t>XT1N 160, TMD, In=160A</t>
  </si>
  <si>
    <t>130301152_</t>
  </si>
  <si>
    <t xml:space="preserve">                ЗНИ  2.5мм ² (24А) серый  UNIT (50/2500)</t>
  </si>
  <si>
    <t>PANO</t>
  </si>
  <si>
    <t>714-15114</t>
  </si>
  <si>
    <t>Щит мет. ЩРн-6-2 PR (1200x750x300) IP54 (TS)</t>
  </si>
  <si>
    <t>PYS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</si>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</sst>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sz val="8"/>
      <color theme="1"/>
      <name val="Calibri"/>
      <family val="2"/>
      <scheme val="minor"/>
    </font>
    <font>
      <b/>
      <sz val="8"/>
      <color rgb="FFC41E3A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CC0000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41E3A"/>
      </patternFill>
    </fill>
    <fill>
      <patternFill patternType="solid">
        <fgColor rgb="FF6B0000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1" fontId="1" fillId="4" borderId="2" xfId="0" applyNumberFormat="1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/>
    </xf>
    <xf numFmtId="1" fontId="1" fillId="5" borderId="2" xfId="0" applyNumberFormat="1" applyFont="1" applyFill="1" applyBorder="1" applyAlignment="1">
      <alignment horizontal="center" vertical="center"/>
    </xf>
    <xf numFmtId="3" fontId="1" fillId="5" borderId="2" xfId="0" applyNumberFormat="1" applyFont="1" applyFill="1" applyBorder="1" applyAlignment="1">
      <alignment horizontal="right" vertical="center"/>
    </xf>
    <xf numFmtId="3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1" fontId="1" fillId="6" borderId="2" xfId="0" applyNumberFormat="1" applyFont="1" applyFill="1" applyBorder="1" applyAlignment="1">
      <alignment horizontal="center" vertical="center"/>
    </xf>
    <xf numFmtId="3" fontId="1" fillId="6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3" fontId="3" fillId="0" borderId="0" xfId="0" applyNumberFormat="1" applyFont="1"/>
    <xf numFmtId="0" fontId="3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3" fillId="7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115" zoomScaleNormal="115" workbookViewId="0">
      <pane xSplit="2" ySplit="1" topLeftCell="C2" activePane="bottomRight" state="frozen"/>
      <selection pane="topRight"/>
      <selection pane="bottomLeft"/>
      <selection pane="bottomRight" activeCell="F13" sqref="F12:F13"/>
    </sheetView>
  </sheetViews>
  <sheetFormatPr defaultRowHeight="11.25" x14ac:dyDescent="0.2"/>
  <cols>
    <col min="1" max="1" width="5" style="1" customWidth="1"/>
    <col min="2" max="2" width="20" style="1" customWidth="1"/>
    <col min="3" max="3" width="15.42578125" style="1" customWidth="1"/>
    <col min="4" max="4" width="34.42578125" style="1" customWidth="1"/>
    <col min="5" max="5" width="65.5703125" style="1" customWidth="1"/>
    <col min="6" max="6" width="10" style="25" customWidth="1"/>
    <col min="7" max="8" width="14" style="25" customWidth="1"/>
    <col min="9" max="9" width="9.5703125" style="1" customWidth="1"/>
    <col min="10" max="10" width="6" style="1" customWidth="1"/>
    <col min="11" max="11" width="9.7109375" style="1" customWidth="1"/>
    <col min="12" max="12" width="37.85546875" style="1" customWidth="1"/>
    <col min="13" max="16384" width="9.140625" style="1"/>
  </cols>
  <sheetData>
    <row r="1" spans="1:12" ht="30" customHeight="1" thickBot="1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0" t="s">
        <v>7</v>
      </c>
      <c r="G1" s="30" t="s">
        <v>8</v>
      </c>
      <c r="H1" s="30" t="s">
        <v>9</v>
      </c>
      <c r="I1" s="2" t="s">
        <v>5</v>
      </c>
      <c r="J1" s="2" t="s">
        <v>6</v>
      </c>
      <c r="K1" s="2"/>
      <c r="L1" s="2" t="s">
        <v>10</v>
      </c>
    </row>
    <row r="2" spans="1:12" s="29" customFormat="1" ht="28.5" customHeight="1" x14ac:dyDescent="0.25">
      <c r="A2" s="24"/>
      <c r="B2" s="28"/>
      <c r="C2" s="28" t="s">
        <v>103</v>
      </c>
      <c r="D2" s="28"/>
      <c r="E2" s="27" t="s">
        <v>82</v>
      </c>
      <c r="F2" s="31">
        <f>2.3*H22</f>
        <v>1688128.9649599998</v>
      </c>
      <c r="G2" s="31">
        <f>0.7*F2</f>
        <v>1181690.2754719998</v>
      </c>
      <c r="H2" s="31"/>
      <c r="I2" s="28" t="s">
        <v>83</v>
      </c>
      <c r="J2" s="26">
        <v>1</v>
      </c>
      <c r="K2" s="26"/>
      <c r="L2" s="28"/>
    </row>
    <row r="3" spans="1:12" ht="15" customHeight="1" x14ac:dyDescent="0.2">
      <c r="A3" s="16" t="s">
        <v>74</v>
      </c>
      <c r="B3" s="16"/>
      <c r="C3" s="16" t="s">
        <v>75</v>
      </c>
      <c r="D3" s="18" t="s">
        <v>104</v>
      </c>
      <c r="E3" s="17" t="s">
        <v>105</v>
      </c>
      <c r="F3" s="20">
        <v>73005</v>
      </c>
      <c r="G3" s="20">
        <f>0.7*F3</f>
        <v>51103.5</v>
      </c>
      <c r="H3" s="21">
        <f>G3*J3</f>
        <v>51103.5</v>
      </c>
      <c r="I3" s="16" t="s">
        <v>13</v>
      </c>
      <c r="J3" s="19">
        <v>1</v>
      </c>
      <c r="K3" s="19"/>
      <c r="L3" s="22" t="s">
        <v>76</v>
      </c>
    </row>
    <row r="4" spans="1:12" ht="15" customHeight="1" x14ac:dyDescent="0.2">
      <c r="A4" s="3" t="s">
        <v>11</v>
      </c>
      <c r="B4" s="3"/>
      <c r="C4" s="3" t="s">
        <v>12</v>
      </c>
      <c r="D4" s="5" t="s">
        <v>99</v>
      </c>
      <c r="E4" s="4" t="s">
        <v>100</v>
      </c>
      <c r="F4" s="7">
        <v>317.89999999999998</v>
      </c>
      <c r="G4" s="7">
        <f>0.3*F4*1.3*590</f>
        <v>73148.789999999994</v>
      </c>
      <c r="H4" s="8">
        <f>G4*J4</f>
        <v>73148.789999999994</v>
      </c>
      <c r="I4" s="3" t="s">
        <v>13</v>
      </c>
      <c r="J4" s="6">
        <v>1</v>
      </c>
      <c r="K4" s="6" t="s">
        <v>107</v>
      </c>
      <c r="L4" s="4" t="s">
        <v>14</v>
      </c>
    </row>
    <row r="5" spans="1:12" ht="15" customHeight="1" x14ac:dyDescent="0.2">
      <c r="A5" s="9" t="s">
        <v>15</v>
      </c>
      <c r="B5" s="9"/>
      <c r="C5" s="9" t="s">
        <v>16</v>
      </c>
      <c r="D5" s="11" t="s">
        <v>93</v>
      </c>
      <c r="E5" s="10" t="s">
        <v>94</v>
      </c>
      <c r="F5" s="13">
        <v>9.7100000000000009</v>
      </c>
      <c r="G5" s="13">
        <f>0.3*F5*1.3*590</f>
        <v>2234.2710000000002</v>
      </c>
      <c r="H5" s="14">
        <f>G5*J5</f>
        <v>8937.0840000000007</v>
      </c>
      <c r="I5" s="9" t="s">
        <v>13</v>
      </c>
      <c r="J5" s="12">
        <v>4</v>
      </c>
      <c r="K5" s="6" t="s">
        <v>107</v>
      </c>
      <c r="L5" s="10" t="s">
        <v>17</v>
      </c>
    </row>
    <row r="6" spans="1:12" ht="15" customHeight="1" x14ac:dyDescent="0.2">
      <c r="A6" s="3" t="s">
        <v>18</v>
      </c>
      <c r="B6" s="3"/>
      <c r="C6" s="3" t="s">
        <v>19</v>
      </c>
      <c r="D6" s="5" t="s">
        <v>21</v>
      </c>
      <c r="E6" s="4" t="s">
        <v>20</v>
      </c>
      <c r="F6" s="7"/>
      <c r="G6" s="7">
        <v>310000</v>
      </c>
      <c r="H6" s="14">
        <f t="shared" ref="H6:H19" si="0">G6*J6</f>
        <v>310000</v>
      </c>
      <c r="I6" s="3" t="s">
        <v>22</v>
      </c>
      <c r="J6" s="6">
        <v>1</v>
      </c>
      <c r="K6" s="6" t="s">
        <v>106</v>
      </c>
      <c r="L6" s="4" t="s">
        <v>23</v>
      </c>
    </row>
    <row r="7" spans="1:12" ht="15" customHeight="1" x14ac:dyDescent="0.2">
      <c r="A7" s="9" t="s">
        <v>24</v>
      </c>
      <c r="B7" s="9"/>
      <c r="C7" s="9" t="s">
        <v>25</v>
      </c>
      <c r="D7" s="11" t="s">
        <v>27</v>
      </c>
      <c r="E7" s="10" t="s">
        <v>26</v>
      </c>
      <c r="F7" s="13">
        <v>63.02</v>
      </c>
      <c r="G7" s="13">
        <f>0.3*F7*1.3*590</f>
        <v>14500.902</v>
      </c>
      <c r="H7" s="14">
        <f t="shared" si="0"/>
        <v>14500.902</v>
      </c>
      <c r="I7" s="9" t="s">
        <v>13</v>
      </c>
      <c r="J7" s="12">
        <v>1</v>
      </c>
      <c r="K7" s="6" t="s">
        <v>107</v>
      </c>
      <c r="L7" s="10" t="s">
        <v>28</v>
      </c>
    </row>
    <row r="8" spans="1:12" ht="15" customHeight="1" x14ac:dyDescent="0.2">
      <c r="A8" s="3" t="s">
        <v>29</v>
      </c>
      <c r="B8" s="3"/>
      <c r="C8" s="3" t="s">
        <v>25</v>
      </c>
      <c r="D8" s="5" t="s">
        <v>31</v>
      </c>
      <c r="E8" s="4" t="s">
        <v>30</v>
      </c>
      <c r="F8" s="7">
        <v>81.89</v>
      </c>
      <c r="G8" s="13">
        <f>0.3*F8*1.3*590</f>
        <v>18842.888999999999</v>
      </c>
      <c r="H8" s="14">
        <f t="shared" si="0"/>
        <v>18842.888999999999</v>
      </c>
      <c r="I8" s="3" t="s">
        <v>13</v>
      </c>
      <c r="J8" s="6">
        <v>1</v>
      </c>
      <c r="K8" s="6" t="s">
        <v>107</v>
      </c>
      <c r="L8" s="4" t="s">
        <v>32</v>
      </c>
    </row>
    <row r="9" spans="1:12" ht="15" customHeight="1" x14ac:dyDescent="0.2">
      <c r="A9" s="9" t="s">
        <v>33</v>
      </c>
      <c r="B9" s="9"/>
      <c r="C9" s="9" t="s">
        <v>25</v>
      </c>
      <c r="D9" s="11" t="s">
        <v>35</v>
      </c>
      <c r="E9" s="10" t="s">
        <v>34</v>
      </c>
      <c r="F9" s="13">
        <v>78.75</v>
      </c>
      <c r="G9" s="13">
        <f>0.3*F9*1.3*590</f>
        <v>18120.375</v>
      </c>
      <c r="H9" s="14">
        <f t="shared" si="0"/>
        <v>18120.375</v>
      </c>
      <c r="I9" s="9" t="s">
        <v>13</v>
      </c>
      <c r="J9" s="12">
        <v>1</v>
      </c>
      <c r="K9" s="6" t="s">
        <v>107</v>
      </c>
      <c r="L9" s="10" t="s">
        <v>36</v>
      </c>
    </row>
    <row r="10" spans="1:12" ht="15" customHeight="1" x14ac:dyDescent="0.2">
      <c r="A10" s="3" t="s">
        <v>37</v>
      </c>
      <c r="B10" s="3"/>
      <c r="C10" s="3" t="s">
        <v>25</v>
      </c>
      <c r="D10" s="5" t="s">
        <v>27</v>
      </c>
      <c r="E10" s="4" t="s">
        <v>38</v>
      </c>
      <c r="F10" s="7">
        <v>63.02</v>
      </c>
      <c r="G10" s="13">
        <f t="shared" ref="G10" si="1">0.3*F10*1.33*590</f>
        <v>14835.538200000001</v>
      </c>
      <c r="H10" s="14">
        <f t="shared" si="0"/>
        <v>14835.538200000001</v>
      </c>
      <c r="I10" s="3" t="s">
        <v>13</v>
      </c>
      <c r="J10" s="6">
        <v>1</v>
      </c>
      <c r="K10" s="6" t="s">
        <v>107</v>
      </c>
      <c r="L10" s="4" t="s">
        <v>39</v>
      </c>
    </row>
    <row r="11" spans="1:12" ht="15" customHeight="1" x14ac:dyDescent="0.2">
      <c r="A11" s="9" t="s">
        <v>40</v>
      </c>
      <c r="B11" s="9"/>
      <c r="C11" s="9" t="s">
        <v>41</v>
      </c>
      <c r="D11" s="11" t="s">
        <v>87</v>
      </c>
      <c r="E11" s="10" t="s">
        <v>88</v>
      </c>
      <c r="F11" s="13">
        <v>58.06</v>
      </c>
      <c r="G11" s="13">
        <f>0.3*F11*1.3*590</f>
        <v>13359.606</v>
      </c>
      <c r="H11" s="14">
        <f t="shared" si="0"/>
        <v>26719.212</v>
      </c>
      <c r="I11" s="9" t="s">
        <v>13</v>
      </c>
      <c r="J11" s="12">
        <v>2</v>
      </c>
      <c r="K11" s="6" t="s">
        <v>107</v>
      </c>
      <c r="L11" s="10" t="s">
        <v>42</v>
      </c>
    </row>
    <row r="12" spans="1:12" ht="15" customHeight="1" x14ac:dyDescent="0.2">
      <c r="A12" s="3" t="s">
        <v>43</v>
      </c>
      <c r="B12" s="3"/>
      <c r="C12" s="3" t="s">
        <v>41</v>
      </c>
      <c r="D12" s="5" t="s">
        <v>89</v>
      </c>
      <c r="E12" s="4" t="s">
        <v>90</v>
      </c>
      <c r="F12" s="13">
        <v>124.2</v>
      </c>
      <c r="G12" s="13">
        <f>0.3*F12*1.3*590</f>
        <v>28578.420000000002</v>
      </c>
      <c r="H12" s="14">
        <f t="shared" si="0"/>
        <v>28578.420000000002</v>
      </c>
      <c r="I12" s="3" t="s">
        <v>13</v>
      </c>
      <c r="J12" s="6">
        <v>1</v>
      </c>
      <c r="K12" s="6" t="s">
        <v>107</v>
      </c>
      <c r="L12" s="4" t="s">
        <v>44</v>
      </c>
    </row>
    <row r="13" spans="1:12" ht="15" customHeight="1" x14ac:dyDescent="0.2">
      <c r="A13" s="9" t="s">
        <v>45</v>
      </c>
      <c r="B13" s="9"/>
      <c r="C13" s="9" t="s">
        <v>41</v>
      </c>
      <c r="D13" s="1" t="s">
        <v>89</v>
      </c>
      <c r="E13" s="10" t="s">
        <v>90</v>
      </c>
      <c r="F13" s="13">
        <v>124.2</v>
      </c>
      <c r="G13" s="13">
        <f>0.3*F13*1.3*590</f>
        <v>28578.420000000002</v>
      </c>
      <c r="H13" s="14">
        <f t="shared" si="0"/>
        <v>28578.420000000002</v>
      </c>
      <c r="I13" s="9" t="s">
        <v>13</v>
      </c>
      <c r="J13" s="12">
        <v>1</v>
      </c>
      <c r="K13" s="6" t="s">
        <v>107</v>
      </c>
      <c r="L13" s="10" t="s">
        <v>46</v>
      </c>
    </row>
    <row r="14" spans="1:12" ht="15" customHeight="1" x14ac:dyDescent="0.2">
      <c r="A14" s="3" t="s">
        <v>47</v>
      </c>
      <c r="B14" s="3"/>
      <c r="C14" s="3" t="s">
        <v>16</v>
      </c>
      <c r="D14" s="5" t="s">
        <v>95</v>
      </c>
      <c r="E14" s="4" t="s">
        <v>96</v>
      </c>
      <c r="F14" s="7">
        <v>13.99</v>
      </c>
      <c r="G14" s="13">
        <f>0.3*F14*1.3*590</f>
        <v>3219.0990000000002</v>
      </c>
      <c r="H14" s="14">
        <f t="shared" si="0"/>
        <v>45067.385999999999</v>
      </c>
      <c r="I14" s="3" t="s">
        <v>13</v>
      </c>
      <c r="J14" s="6">
        <v>14</v>
      </c>
      <c r="K14" s="6" t="s">
        <v>107</v>
      </c>
      <c r="L14" s="4" t="s">
        <v>48</v>
      </c>
    </row>
    <row r="15" spans="1:12" ht="15" customHeight="1" x14ac:dyDescent="0.2">
      <c r="A15" s="9" t="s">
        <v>49</v>
      </c>
      <c r="B15" s="9"/>
      <c r="C15" s="9" t="s">
        <v>16</v>
      </c>
      <c r="D15" s="11" t="s">
        <v>97</v>
      </c>
      <c r="E15" s="10" t="s">
        <v>98</v>
      </c>
      <c r="F15" s="7">
        <v>13.99</v>
      </c>
      <c r="G15" s="13">
        <f>0.3*F15*1.3*590</f>
        <v>3219.0990000000002</v>
      </c>
      <c r="H15" s="14">
        <f t="shared" si="0"/>
        <v>3219.0990000000002</v>
      </c>
      <c r="I15" s="9" t="s">
        <v>13</v>
      </c>
      <c r="J15" s="12">
        <v>1</v>
      </c>
      <c r="K15" s="6" t="s">
        <v>107</v>
      </c>
      <c r="L15" s="10" t="s">
        <v>50</v>
      </c>
    </row>
    <row r="16" spans="1:12" ht="15" customHeight="1" x14ac:dyDescent="0.2">
      <c r="A16" s="3" t="s">
        <v>51</v>
      </c>
      <c r="B16" s="3"/>
      <c r="C16" s="3" t="s">
        <v>52</v>
      </c>
      <c r="D16" s="15" t="s">
        <v>85</v>
      </c>
      <c r="E16" s="4" t="s">
        <v>86</v>
      </c>
      <c r="F16" s="7" t="s">
        <v>53</v>
      </c>
      <c r="G16" s="7">
        <v>5495</v>
      </c>
      <c r="H16" s="14">
        <f t="shared" si="0"/>
        <v>13737.5</v>
      </c>
      <c r="I16" s="3" t="s">
        <v>84</v>
      </c>
      <c r="J16" s="6">
        <v>2.5</v>
      </c>
      <c r="K16" s="6" t="s">
        <v>106</v>
      </c>
      <c r="L16" s="4" t="s">
        <v>55</v>
      </c>
    </row>
    <row r="17" spans="1:12" ht="15" customHeight="1" x14ac:dyDescent="0.2">
      <c r="A17" s="3" t="s">
        <v>56</v>
      </c>
      <c r="B17" s="3"/>
      <c r="C17" s="3" t="s">
        <v>57</v>
      </c>
      <c r="D17" s="5" t="s">
        <v>59</v>
      </c>
      <c r="E17" s="4" t="s">
        <v>58</v>
      </c>
      <c r="F17" s="7" t="s">
        <v>53</v>
      </c>
      <c r="G17" s="7">
        <v>850</v>
      </c>
      <c r="H17" s="14">
        <f t="shared" si="0"/>
        <v>3400</v>
      </c>
      <c r="I17" s="3" t="s">
        <v>60</v>
      </c>
      <c r="J17" s="6">
        <v>4</v>
      </c>
      <c r="K17" s="6" t="s">
        <v>106</v>
      </c>
      <c r="L17" s="4" t="s">
        <v>61</v>
      </c>
    </row>
    <row r="18" spans="1:12" ht="15" customHeight="1" x14ac:dyDescent="0.2">
      <c r="A18" s="9" t="s">
        <v>62</v>
      </c>
      <c r="B18" s="9"/>
      <c r="C18" s="9" t="s">
        <v>57</v>
      </c>
      <c r="D18" s="11" t="s">
        <v>64</v>
      </c>
      <c r="E18" s="10" t="s">
        <v>63</v>
      </c>
      <c r="F18" s="13" t="s">
        <v>53</v>
      </c>
      <c r="G18" s="13">
        <v>1100</v>
      </c>
      <c r="H18" s="14">
        <f t="shared" si="0"/>
        <v>4400</v>
      </c>
      <c r="I18" s="9" t="s">
        <v>60</v>
      </c>
      <c r="J18" s="12">
        <v>4</v>
      </c>
      <c r="K18" s="6" t="s">
        <v>106</v>
      </c>
      <c r="L18" s="10" t="s">
        <v>65</v>
      </c>
    </row>
    <row r="19" spans="1:12" ht="15" customHeight="1" x14ac:dyDescent="0.2">
      <c r="A19" s="3" t="s">
        <v>66</v>
      </c>
      <c r="B19" s="3"/>
      <c r="C19" s="3" t="s">
        <v>67</v>
      </c>
      <c r="D19" s="5" t="s">
        <v>101</v>
      </c>
      <c r="E19" s="4" t="s">
        <v>102</v>
      </c>
      <c r="F19" s="7" t="s">
        <v>53</v>
      </c>
      <c r="G19" s="7">
        <v>90</v>
      </c>
      <c r="H19" s="14">
        <f t="shared" si="0"/>
        <v>3780</v>
      </c>
      <c r="I19" s="3" t="s">
        <v>54</v>
      </c>
      <c r="J19" s="6">
        <v>42</v>
      </c>
      <c r="K19" s="6" t="s">
        <v>106</v>
      </c>
      <c r="L19" s="4" t="s">
        <v>68</v>
      </c>
    </row>
    <row r="20" spans="1:12" ht="15" customHeight="1" x14ac:dyDescent="0.2">
      <c r="A20" s="16" t="s">
        <v>69</v>
      </c>
      <c r="B20" s="16"/>
      <c r="C20" s="16" t="s">
        <v>70</v>
      </c>
      <c r="D20" s="18" t="s">
        <v>92</v>
      </c>
      <c r="E20" s="17" t="s">
        <v>71</v>
      </c>
      <c r="F20" s="20" t="s">
        <v>53</v>
      </c>
      <c r="G20" s="20">
        <v>25000</v>
      </c>
      <c r="H20" s="21">
        <f>G20*J20</f>
        <v>25000</v>
      </c>
      <c r="I20" s="16" t="s">
        <v>72</v>
      </c>
      <c r="J20" s="19">
        <v>1</v>
      </c>
      <c r="K20" s="19" t="s">
        <v>92</v>
      </c>
      <c r="L20" s="22" t="s">
        <v>73</v>
      </c>
    </row>
    <row r="21" spans="1:12" ht="15" customHeight="1" x14ac:dyDescent="0.2">
      <c r="A21" s="9" t="s">
        <v>77</v>
      </c>
      <c r="B21" s="9"/>
      <c r="C21" s="9" t="s">
        <v>78</v>
      </c>
      <c r="D21" s="23" t="s">
        <v>91</v>
      </c>
      <c r="E21" s="10" t="s">
        <v>79</v>
      </c>
      <c r="F21" s="13">
        <v>7</v>
      </c>
      <c r="G21" s="13">
        <v>100</v>
      </c>
      <c r="H21" s="14">
        <f>G21*J21</f>
        <v>42000</v>
      </c>
      <c r="I21" s="9" t="s">
        <v>80</v>
      </c>
      <c r="J21" s="12">
        <f>60*F21</f>
        <v>420</v>
      </c>
      <c r="K21" s="12" t="s">
        <v>91</v>
      </c>
      <c r="L21" s="10" t="s">
        <v>81</v>
      </c>
    </row>
    <row r="22" spans="1:12" x14ac:dyDescent="0.2">
      <c r="G22" s="13"/>
      <c r="H22" s="25">
        <f>SUM(H3:H21)</f>
        <v>733969.1152</v>
      </c>
    </row>
  </sheetData>
  <autoFilter ref="A1:L2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ЩРобогрев_ABB_BOM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2026-05-29T10:56:12Z</dcterms:created>
  <dcterms:modified xsi:type="dcterms:W3CDTF">2026-06-04T15:02:48Z</dcterms:modified>
</cp:coreProperties>
</file>