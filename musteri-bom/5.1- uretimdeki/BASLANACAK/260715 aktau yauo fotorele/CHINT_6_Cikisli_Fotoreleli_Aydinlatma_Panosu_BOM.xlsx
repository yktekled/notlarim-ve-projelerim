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15 aktau yauo fotorele\"/>
    </mc:Choice>
  </mc:AlternateContent>
  <xr:revisionPtr revIDLastSave="0" documentId="13_ncr:1_{32F50EF5-74DF-48DB-87CC-25F868E554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1_BOM_DUZELTILDI" sheetId="1" r:id="rId1"/>
    <sheet name="02_Satin_Alma" sheetId="2" r:id="rId2"/>
    <sheet name="03_Kontrol_Notlar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I12" i="1" s="1"/>
  <c r="F11" i="1" s="1"/>
  <c r="I9" i="1"/>
  <c r="I8" i="1"/>
  <c r="I7" i="1"/>
  <c r="I4" i="1"/>
  <c r="I5" i="1"/>
  <c r="I6" i="1"/>
  <c r="I3" i="1"/>
  <c r="J28" i="2" l="1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11" i="1"/>
  <c r="I13" i="1" s="1"/>
  <c r="I10" i="1"/>
  <c r="I2" i="1"/>
</calcChain>
</file>

<file path=xl/sharedStrings.xml><?xml version="1.0" encoding="utf-8"?>
<sst xmlns="http://schemas.openxmlformats.org/spreadsheetml/2006/main" count="382" uniqueCount="188">
  <si>
    <t>№</t>
  </si>
  <si>
    <t>Pano</t>
  </si>
  <si>
    <t>Kategori</t>
  </si>
  <si>
    <t>Ürün Kodu</t>
  </si>
  <si>
    <t>Ürün İsmi / Açıklama</t>
  </si>
  <si>
    <t>Teknik Özellik</t>
  </si>
  <si>
    <t>Projedeki Korpus Ölçüsü</t>
  </si>
  <si>
    <t>Önerilen / Seçilen Korpus</t>
  </si>
  <si>
    <t>Miktar</t>
  </si>
  <si>
    <t>Birim</t>
  </si>
  <si>
    <t>Marka/Tedarikçi</t>
  </si>
  <si>
    <t>Kaynak</t>
  </si>
  <si>
    <t>Not</t>
  </si>
  <si>
    <t>Tahmini modül</t>
  </si>
  <si>
    <t>Birim Net Fiyat</t>
  </si>
  <si>
    <t>Para</t>
  </si>
  <si>
    <t>İndirim %</t>
  </si>
  <si>
    <t>Toplam Net (1 pano)</t>
  </si>
  <si>
    <t>ЩО-ФР-6</t>
  </si>
  <si>
    <t>PANO</t>
  </si>
  <si>
    <t>Щит освещения 6 отходящих линий с фотореле</t>
  </si>
  <si>
    <t>3P+N+PE, 400/230V, 40A, IP54, AUTO-0-MANUAL, без УЗИП</t>
  </si>
  <si>
    <t>Tek hat çiziminde ölçü verilmedi</t>
  </si>
  <si>
    <t>500×400×200 mm, IP54 (ön seçim)</t>
  </si>
  <si>
    <t>компл.</t>
  </si>
  <si>
    <t>TEKLED/TEKSAN</t>
  </si>
  <si>
    <t>Tek hat şeması</t>
  </si>
  <si>
    <t>İç malzemeler 1 pano içindir; parafudr kapsam dışı</t>
  </si>
  <si>
    <t>korpus</t>
  </si>
  <si>
    <t>KONTROL</t>
  </si>
  <si>
    <t>Корпус металлический с монтажной панелью</t>
  </si>
  <si>
    <t>500×400×200 mm, IP54, kapı topraklama bağlantılı</t>
  </si>
  <si>
    <t>Belirtilmedi</t>
  </si>
  <si>
    <t>500×400×200 mm, IP54</t>
  </si>
  <si>
    <t>шт</t>
  </si>
  <si>
    <t>TEKSAN F</t>
  </si>
  <si>
    <t>Tasarım seçimi</t>
  </si>
  <si>
    <t>Kesin ürün kodu, kablo giriş yönü ve iç yerleşim onayında doğrulanacak</t>
  </si>
  <si>
    <t>KZT</t>
  </si>
  <si>
    <t>MCB</t>
  </si>
  <si>
    <t>NXB-63 3P C40</t>
  </si>
  <si>
    <t>Автоматический выключатель вводной</t>
  </si>
  <si>
    <t>3P, C40A, 6kA, 400V AC</t>
  </si>
  <si>
    <t>CHINT</t>
  </si>
  <si>
    <t>https://www.chintglobal.com/content/dam/chint/global/product-center/low-voltage/iec/final-power-distribution/mcb/nxb-63/catalog/NXB-63-MCB-Catalog.pdf</t>
  </si>
  <si>
    <t>Q1 ana giriş; 40A seçimi tek hat şemasına göre</t>
  </si>
  <si>
    <t>NXB-63 1P C2</t>
  </si>
  <si>
    <t>Автоматический выключатель цепи управления</t>
  </si>
  <si>
    <t>1P, C2A, 6kA, 230V AC</t>
  </si>
  <si>
    <t>Fotorele, kontaktör bobini ve sinyal devresi koruması</t>
  </si>
  <si>
    <t>KONTAKTÖR</t>
  </si>
  <si>
    <t>836780</t>
  </si>
  <si>
    <t>Контактор NXC-40 220V 50Hz</t>
  </si>
  <si>
    <t>40A AC-3, 3NO, 1NO+1NC, bobin 220V AC 50Hz</t>
  </si>
  <si>
    <t>https://www.chintglobal.com/content/dam/chint/global/product-center/low-voltage/iec/industrial-control/ac-contactor/nxc/catalog/NXC-AC-CONTACTOR-Catalog.pdf</t>
  </si>
  <si>
    <t>KM1; LED armatür kalkış akımı ve toplam yük ayrıca kontrol edilmeli</t>
  </si>
  <si>
    <t>NXB-63 1P+N C10</t>
  </si>
  <si>
    <t>Автоматический выключатель отходящей линии</t>
  </si>
  <si>
    <t>1P+N, C10A, 6kA, 230V AC</t>
  </si>
  <si>
    <t>QF1–QF6; C10 değeri çizime göre, kablo/yük hesabıyla doğrulanacak</t>
  </si>
  <si>
    <t>SEÇİCİ</t>
  </si>
  <si>
    <t>578131</t>
  </si>
  <si>
    <t>Переключатель AUTO-0-MANUAL NP8-20X/31 BLK</t>
  </si>
  <si>
    <t>22 mm, 3 konum, kalıcı, 2NO, siyah</t>
  </si>
  <si>
    <t>https://www.chintglobal.com/content/dam/chint/global/product-center/low-voltage/iec/industrial-control/push-button/np8/catalog/NP8-PUSH-BUTTON-Catalog.pdf</t>
  </si>
  <si>
    <t>S1; kapak üstü</t>
  </si>
  <si>
    <t>SİNYAL</t>
  </si>
  <si>
    <t>146694</t>
  </si>
  <si>
    <t>Лампа сигнальная зелёная ND16-22D/4K2</t>
  </si>
  <si>
    <t>22 mm, yeşil LED, 220V AC</t>
  </si>
  <si>
    <t>https://www.chintglobal.com/content/dam/chint/global/product-center/low-voltage/iec/industrial-control/indicator-light/nd16/catalog/ND16-INDICATOR-LIGHT-Catalog.pdf</t>
  </si>
  <si>
    <t>HL1; pano enerji sinyali</t>
  </si>
  <si>
    <t>FOTORELE</t>
  </si>
  <si>
    <t>Фотореле наружное</t>
  </si>
  <si>
    <t>220–230V AC, çıkış kontağı kontaktör bobinini sürecek, dış sensör IP65</t>
  </si>
  <si>
    <t>KONTROL EDİLECEK</t>
  </si>
  <si>
    <t>CHINT uygun ürün kodu doğrulanamadı; marka/model tedarik öncesi seçilecek</t>
  </si>
  <si>
    <t>DAĞITIM</t>
  </si>
  <si>
    <t>Распределительный блок фазный</t>
  </si>
  <si>
    <t>EKT/Klemsan</t>
  </si>
  <si>
    <t>Tasarım</t>
  </si>
  <si>
    <t>Kontaktör çıkışından 6 çıkış sigortasına faz dağıtımı</t>
  </si>
  <si>
    <t>bara</t>
  </si>
  <si>
    <t>Шина нейтральная N</t>
  </si>
  <si>
    <t>EKT</t>
  </si>
  <si>
    <t>Giriş ve 6 çıkış nötr bağlantıları için</t>
  </si>
  <si>
    <t>Шина защитного заземления PE</t>
  </si>
  <si>
    <t>Korpus, kapı ve 6 çıkış PE bağlantıları</t>
  </si>
  <si>
    <t>klemens</t>
  </si>
  <si>
    <t>Клеммник фазный</t>
  </si>
  <si>
    <t>Klemsan/Onka</t>
  </si>
  <si>
    <t>Çıkış L klemensleri</t>
  </si>
  <si>
    <t>Клеммник нейтральный</t>
  </si>
  <si>
    <t>Çıkış N klemensleri</t>
  </si>
  <si>
    <t>Клеммник PE</t>
  </si>
  <si>
    <t>Çıkış PE klemensleri</t>
  </si>
  <si>
    <t>Клеммник фотореле</t>
  </si>
  <si>
    <t>Harici fotorele bağlantısı</t>
  </si>
  <si>
    <t>klemens aksesuarı</t>
  </si>
  <si>
    <t>Аксессуары клемм</t>
  </si>
  <si>
    <t>комплект</t>
  </si>
  <si>
    <t>Klemens grubuna uygun seçilecek</t>
  </si>
  <si>
    <t>kablo girişi</t>
  </si>
  <si>
    <t>Кабельный ввод M25</t>
  </si>
  <si>
    <t>Onka</t>
  </si>
  <si>
    <t>Kablo dış çapına göre kesinleştirilecek</t>
  </si>
  <si>
    <t>Кабельный ввод M20</t>
  </si>
  <si>
    <t>Кабельный ввод M16</t>
  </si>
  <si>
    <t>DIN</t>
  </si>
  <si>
    <t>DIN-35</t>
  </si>
  <si>
    <t>DIN рейка TH35</t>
  </si>
  <si>
    <t>м</t>
  </si>
  <si>
    <t>Ön metraj; üretim yerleşim çiziminde kesinleştirilecek</t>
  </si>
  <si>
    <t>kablo kanalı</t>
  </si>
  <si>
    <t>KK-40x40</t>
  </si>
  <si>
    <t>Кабельный канал 40×40 mm</t>
  </si>
  <si>
    <t>iç kablo</t>
  </si>
  <si>
    <t>H07V-K 6mm²</t>
  </si>
  <si>
    <t>Провод силовой гибкий</t>
  </si>
  <si>
    <t>Harmony</t>
  </si>
  <si>
    <t>Ön metraj; faz dağılımı L1:QF1+QF4, L2:QF2+QF5, L3:QF3+QF6</t>
  </si>
  <si>
    <t>H07V-K 6mm² PE</t>
  </si>
  <si>
    <t>Провод защитного заземления</t>
  </si>
  <si>
    <t>Korpus, kapı ve PE barası bağlantıları</t>
  </si>
  <si>
    <t>kumanda kablosu</t>
  </si>
  <si>
    <t>H07V-K 1.5mm²</t>
  </si>
  <si>
    <t>Провод цепи управления</t>
  </si>
  <si>
    <t>etiket</t>
  </si>
  <si>
    <t>Маркировка аппаратов и проводов</t>
  </si>
  <si>
    <t>Şema referanslarına göre</t>
  </si>
  <si>
    <t>montaj malzeme</t>
  </si>
  <si>
    <t>Монтажный материал</t>
  </si>
  <si>
    <t>Pabuç, yüksük, kablo bağı, vida, somun, rondela, kapı topraklama örgüsü</t>
  </si>
  <si>
    <t>EKT/Onka</t>
  </si>
  <si>
    <t>Pano montaj sarfları</t>
  </si>
  <si>
    <t>montaj işçilik</t>
  </si>
  <si>
    <t>Монтажные работы</t>
  </si>
  <si>
    <t>Mekanik montaj, kablolama, etiketleme ve fonksiyon testi</t>
  </si>
  <si>
    <t>TEKLED</t>
  </si>
  <si>
    <t>İzolasyon, süreklilik ve AUTO-0-MANUAL fonksiyon testi</t>
  </si>
  <si>
    <t>Toplam Alım Miktarı</t>
  </si>
  <si>
    <t>Toplam Net</t>
  </si>
  <si>
    <t>Panolar</t>
  </si>
  <si>
    <t>Kural / Kontrol</t>
  </si>
  <si>
    <t>Sonuç</t>
  </si>
  <si>
    <t>Parafudr</t>
  </si>
  <si>
    <t>BOM'a eklenmedi; kullanıcı talebiyle kapsam dışı.</t>
  </si>
  <si>
    <t>Pano tipi</t>
  </si>
  <si>
    <t>6 çıkışlı, 3P+N+PE, 40A, fotoreleli, AUTO-0-MANUAL.</t>
  </si>
  <si>
    <t>Pano adı sütunu</t>
  </si>
  <si>
    <t>B sütununda her satırda ЩО-ФР-6 tekrarlandı.</t>
  </si>
  <si>
    <t>Pano satırı</t>
  </si>
  <si>
    <t>İlk satır PANO ve birim yalnızca bu satırda компл.</t>
  </si>
  <si>
    <t>Korpus</t>
  </si>
  <si>
    <t>PANO satırından sonraki ilk malzeme satırı olarak eklendi.</t>
  </si>
  <si>
    <t>Korpus ölçüsü</t>
  </si>
  <si>
    <t>500×400×200 mm IP54 ön seçimdir; kesin iç yerleşim ve kablo girişlerine göre doğrulanacak.</t>
  </si>
  <si>
    <t>Çıkış koruması</t>
  </si>
  <si>
    <t>6 adet 1P+N C10 yazıldı; yük, kablo kesiti ve LED kalkış akımına göre kesinleştirilecek.</t>
  </si>
  <si>
    <t>Kontaktör</t>
  </si>
  <si>
    <t>NXC-40, 220V 50Hz, kod 836780; LED kalkış akımı ayrıca kontrol edilmeli.</t>
  </si>
  <si>
    <t>Fotorele</t>
  </si>
  <si>
    <t>CHINT uygun kodu doğrulanmadı; KONTROL EDİLECEK olarak bırakıldı.</t>
  </si>
  <si>
    <t>Faz dengeleme</t>
  </si>
  <si>
    <t>L1: QF1+QF4, L2: QF2+QF5, L3: QF3+QF6.</t>
  </si>
  <si>
    <t>DIN / kanal / kablo</t>
  </si>
  <si>
    <t>Metrajlar ön yerleşim tahminidir; üretim çiziminde kesinleştirilecek.</t>
  </si>
  <si>
    <t>Fiyatlar</t>
  </si>
  <si>
    <t>Doğrulanmış güncel fiyat listesi verilmediği için boş bırakıldı.</t>
  </si>
  <si>
    <t>Excel yapısı</t>
  </si>
  <si>
    <t>Birleştirilmiş hücre ve boş satır yok; Excel Table kullanılmadı.</t>
  </si>
  <si>
    <t>719-15425</t>
  </si>
  <si>
    <t>Мет.Корпус ЩМП-2 (500x400x220)  IP54</t>
  </si>
  <si>
    <t>613-03012</t>
  </si>
  <si>
    <t>Автомат 3P TMC-4.5 4.5KA 40A (TEKLED ELECTRIC)80/4</t>
  </si>
  <si>
    <t>Tekled electrik</t>
  </si>
  <si>
    <t>611-03006</t>
  </si>
  <si>
    <t>Автомат 1P TMC-4.5 4.5KA 6A (TEKLED ELECTRIC)240/12</t>
  </si>
  <si>
    <t>620-36040</t>
  </si>
  <si>
    <t>VTC-40/11/S AC CONTACTOR 40A 1NO+1NC 230V(VIKO)12ш</t>
  </si>
  <si>
    <t>viko</t>
  </si>
  <si>
    <t>616-36545</t>
  </si>
  <si>
    <t>6VRBE-2C1630-AC ELEKTRONİK RCBO 6KA 2Pole 16A 30mA  AC type</t>
  </si>
  <si>
    <t>rcbo</t>
  </si>
  <si>
    <t>574849</t>
  </si>
  <si>
    <t>Переключатель NP2-BD33, 3 положения с фиксацией, 2НО IP40</t>
  </si>
  <si>
    <t>593077</t>
  </si>
  <si>
    <t>Индикатор ND16-22D/2 зеленый AC/DC230В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</si>
</sst>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0"/>
      <color rgb="FF000000"/>
      <name val="Arial"/>
      <family val="2"/>
      <charset val="204"/>
    </font>
    <font>
      <sz val="10"/>
      <color rgb="FF111827"/>
      <name val="Arial"/>
      <family val="2"/>
      <charset val="204"/>
    </font>
    <font>
      <sz val="10"/>
      <name val="Arial"/>
      <family val="2"/>
      <charset val="204"/>
    </font>
    <font>
      <b/>
      <sz val="11"/>
      <color rgb="FFFFFFFF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BE6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2" fontId="3" fillId="0" borderId="7" xfId="0" applyNumberFormat="1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vertical="center" wrapText="1"/>
    </xf>
    <xf numFmtId="4" fontId="3" fillId="0" borderId="7" xfId="0" applyNumberFormat="1" applyFont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2" fontId="1" fillId="4" borderId="9" xfId="0" applyNumberFormat="1" applyFont="1" applyFill="1" applyBorder="1" applyAlignment="1">
      <alignment vertical="center" wrapText="1"/>
    </xf>
    <xf numFmtId="4" fontId="1" fillId="4" borderId="9" xfId="0" applyNumberFormat="1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2" fontId="2" fillId="5" borderId="9" xfId="0" applyNumberFormat="1" applyFont="1" applyFill="1" applyBorder="1" applyAlignment="1">
      <alignment vertical="center" wrapText="1"/>
    </xf>
    <xf numFmtId="2" fontId="2" fillId="2" borderId="9" xfId="0" applyNumberFormat="1" applyFont="1" applyFill="1" applyBorder="1" applyAlignment="1">
      <alignment vertical="center" wrapText="1"/>
    </xf>
    <xf numFmtId="4" fontId="2" fillId="2" borderId="9" xfId="0" applyNumberFormat="1" applyFont="1" applyFill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2" fontId="3" fillId="0" borderId="9" xfId="0" applyNumberFormat="1" applyFont="1" applyBorder="1" applyAlignment="1">
      <alignment vertical="center" wrapText="1"/>
    </xf>
    <xf numFmtId="4" fontId="3" fillId="0" borderId="9" xfId="0" applyNumberFormat="1" applyFont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2" fontId="3" fillId="5" borderId="9" xfId="0" applyNumberFormat="1" applyFont="1" applyFill="1" applyBorder="1" applyAlignment="1">
      <alignment vertical="center" wrapText="1"/>
    </xf>
    <xf numFmtId="0" fontId="0" fillId="0" borderId="10" xfId="0" applyBorder="1"/>
  </cellXfs>
  <cellStyles count="1">
    <cellStyle name="Normal" xfId="0" builtinId="0"/>
  </cellStyles>
  <dxfs count="36"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Table" displayName="BOMTable" ref="A1:R13" totalsRowCount="1">
  <autoFilter ref="A1:R12" xr:uid="{00000000-000C-0000-FFFF-FFFF00000000}"/>
  <tableColumns count="18">
    <tableColumn id="1" xr3:uid="{00000000-0010-0000-0000-000001000000}" name="№" dataDxfId="35" totalsRowDxfId="17"/>
    <tableColumn id="2" xr3:uid="{00000000-0010-0000-0000-000002000000}" name="Pano" dataDxfId="34" totalsRowDxfId="16"/>
    <tableColumn id="3" xr3:uid="{00000000-0010-0000-0000-000003000000}" name="Kategori" dataDxfId="33" totalsRowDxfId="15"/>
    <tableColumn id="4" xr3:uid="{00000000-0010-0000-0000-000004000000}" name="Ürün Kodu" dataDxfId="32" totalsRowDxfId="14"/>
    <tableColumn id="5" xr3:uid="{00000000-0010-0000-0000-000005000000}" name="Ürün İsmi / Açıklama" dataDxfId="31" totalsRowDxfId="13"/>
    <tableColumn id="15" xr3:uid="{00000000-0010-0000-0000-00000F000000}" name="Birim Net Fiyat" dataDxfId="24" totalsRowDxfId="12"/>
    <tableColumn id="16" xr3:uid="{00000000-0010-0000-0000-000010000000}" name="Para" dataDxfId="23" totalsRowDxfId="11"/>
    <tableColumn id="17" xr3:uid="{00000000-0010-0000-0000-000011000000}" name="İndirim %" dataDxfId="22" totalsRowDxfId="10"/>
    <tableColumn id="18" xr3:uid="{00000000-0010-0000-0000-000012000000}" name="Toplam Net (1 pano)" totalsRowFunction="sum" dataDxfId="21" totalsRowDxfId="9"/>
    <tableColumn id="9" xr3:uid="{00000000-0010-0000-0000-000009000000}" name="Miktar" dataDxfId="20" totalsRowDxfId="8"/>
    <tableColumn id="10" xr3:uid="{00000000-0010-0000-0000-00000A000000}" name="Birim" dataDxfId="19" totalsRowDxfId="7"/>
    <tableColumn id="11" xr3:uid="{00000000-0010-0000-0000-00000B000000}" name="Marka/Tedarikçi" dataDxfId="18" totalsRowDxfId="6"/>
    <tableColumn id="6" xr3:uid="{00000000-0010-0000-0000-000006000000}" name="Teknik Özellik" dataDxfId="30" totalsRowDxfId="5"/>
    <tableColumn id="7" xr3:uid="{00000000-0010-0000-0000-000007000000}" name="Projedeki Korpus Ölçüsü" dataDxfId="29" totalsRowDxfId="4"/>
    <tableColumn id="8" xr3:uid="{00000000-0010-0000-0000-000008000000}" name="Önerilen / Seçilen Korpus" dataDxfId="28" totalsRowDxfId="3"/>
    <tableColumn id="12" xr3:uid="{00000000-0010-0000-0000-00000C000000}" name="Kaynak" dataDxfId="27" totalsRowDxfId="2"/>
    <tableColumn id="13" xr3:uid="{00000000-0010-0000-0000-00000D000000}" name="Not" dataDxfId="26" totalsRowDxfId="1"/>
    <tableColumn id="14" xr3:uid="{00000000-0010-0000-0000-00000E000000}" name="Tahmini modül" dataDxfId="25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urchaseSummary" displayName="PurchaseSummary" ref="A1:L53">
  <tableColumns count="12">
    <tableColumn id="1" xr3:uid="{00000000-0010-0000-0100-000001000000}" name="№"/>
    <tableColumn id="2" xr3:uid="{00000000-0010-0000-0100-000002000000}" name="Kategori"/>
    <tableColumn id="3" xr3:uid="{00000000-0010-0000-0100-000003000000}" name="Ürün Kodu"/>
    <tableColumn id="4" xr3:uid="{00000000-0010-0000-0100-000004000000}" name="Ürün İsmi / Açıklama"/>
    <tableColumn id="5" xr3:uid="{00000000-0010-0000-0100-000005000000}" name="Toplam Alım Miktarı"/>
    <tableColumn id="6" xr3:uid="{00000000-0010-0000-0100-000006000000}" name="Birim"/>
    <tableColumn id="7" xr3:uid="{00000000-0010-0000-0100-000007000000}" name="Marka/Tedarikçi"/>
    <tableColumn id="8" xr3:uid="{00000000-0010-0000-0100-000008000000}" name="Birim Net Fiyat"/>
    <tableColumn id="9" xr3:uid="{00000000-0010-0000-0100-000009000000}" name="Para"/>
    <tableColumn id="10" xr3:uid="{00000000-0010-0000-0100-00000A000000}" name="Toplam Net"/>
    <tableColumn id="11" xr3:uid="{00000000-0010-0000-0100-00000B000000}" name="Panolar"/>
    <tableColumn id="12" xr3:uid="{00000000-0010-0000-0100-00000C000000}" name="N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H7" sqref="H7"/>
    </sheetView>
  </sheetViews>
  <sheetFormatPr defaultRowHeight="14.25"/>
  <cols>
    <col min="1" max="1" width="5" customWidth="1"/>
    <col min="2" max="2" width="13" customWidth="1"/>
    <col min="3" max="3" width="17" customWidth="1"/>
    <col min="4" max="4" width="22" customWidth="1"/>
    <col min="5" max="5" width="36" customWidth="1"/>
    <col min="6" max="6" width="14" customWidth="1"/>
    <col min="7" max="7" width="9" customWidth="1"/>
    <col min="8" max="8" width="10" customWidth="1"/>
    <col min="9" max="9" width="17" customWidth="1"/>
    <col min="10" max="10" width="9" customWidth="1"/>
    <col min="11" max="11" width="10" customWidth="1"/>
    <col min="12" max="12" width="16" customWidth="1"/>
    <col min="13" max="13" width="32" customWidth="1"/>
    <col min="14" max="14" width="24" customWidth="1"/>
    <col min="15" max="15" width="25" customWidth="1"/>
    <col min="19" max="19" width="35" customWidth="1"/>
    <col min="20" max="20" width="42" customWidth="1"/>
    <col min="21" max="21" width="12" customWidth="1"/>
  </cols>
  <sheetData>
    <row r="1" spans="1:18" ht="33.950000000000003" customHeigh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14</v>
      </c>
      <c r="G1" s="10" t="s">
        <v>15</v>
      </c>
      <c r="H1" s="10" t="s">
        <v>16</v>
      </c>
      <c r="I1" s="11" t="s">
        <v>17</v>
      </c>
      <c r="J1" s="10" t="s">
        <v>8</v>
      </c>
      <c r="K1" s="10" t="s">
        <v>9</v>
      </c>
      <c r="L1" s="10" t="s">
        <v>10</v>
      </c>
      <c r="M1" s="10" t="s">
        <v>5</v>
      </c>
      <c r="N1" s="10" t="s">
        <v>6</v>
      </c>
      <c r="O1" s="10" t="s">
        <v>7</v>
      </c>
      <c r="P1" s="10" t="s">
        <v>11</v>
      </c>
      <c r="Q1" s="10" t="s">
        <v>12</v>
      </c>
      <c r="R1" s="10" t="s">
        <v>13</v>
      </c>
    </row>
    <row r="2" spans="1:18" ht="33.950000000000003" customHeight="1">
      <c r="A2" s="14">
        <v>1</v>
      </c>
      <c r="B2" s="14" t="s">
        <v>18</v>
      </c>
      <c r="C2" s="14" t="s">
        <v>19</v>
      </c>
      <c r="D2" s="14"/>
      <c r="E2" s="14" t="s">
        <v>20</v>
      </c>
      <c r="F2" s="16"/>
      <c r="G2" s="16"/>
      <c r="H2" s="16"/>
      <c r="I2" s="16" t="str">
        <f>IF(OR(F2="",J2=""),"",F2*J2)</f>
        <v/>
      </c>
      <c r="J2" s="15">
        <v>1</v>
      </c>
      <c r="K2" s="14" t="s">
        <v>24</v>
      </c>
      <c r="L2" s="14" t="s">
        <v>25</v>
      </c>
      <c r="M2" s="14" t="s">
        <v>21</v>
      </c>
      <c r="N2" s="14" t="s">
        <v>22</v>
      </c>
      <c r="O2" s="14" t="s">
        <v>23</v>
      </c>
      <c r="P2" s="14" t="s">
        <v>26</v>
      </c>
      <c r="Q2" s="14" t="s">
        <v>27</v>
      </c>
      <c r="R2" s="15"/>
    </row>
    <row r="3" spans="1:18" ht="33.950000000000003" customHeight="1">
      <c r="A3" s="17">
        <v>2</v>
      </c>
      <c r="B3" s="17" t="s">
        <v>18</v>
      </c>
      <c r="C3" s="17" t="s">
        <v>28</v>
      </c>
      <c r="D3" s="18" t="s">
        <v>171</v>
      </c>
      <c r="E3" s="18" t="s">
        <v>172</v>
      </c>
      <c r="F3" s="21">
        <v>17365</v>
      </c>
      <c r="G3" s="21" t="s">
        <v>38</v>
      </c>
      <c r="H3" s="21">
        <v>0.6</v>
      </c>
      <c r="I3" s="21">
        <f>IF(OR(F3="",J3=""),"",F3*J3*BOMTable[[#This Row],[İndirim %]])</f>
        <v>10419</v>
      </c>
      <c r="J3" s="19">
        <v>1</v>
      </c>
      <c r="K3" s="18" t="s">
        <v>34</v>
      </c>
      <c r="L3" s="18" t="s">
        <v>35</v>
      </c>
      <c r="M3" s="18" t="s">
        <v>31</v>
      </c>
      <c r="N3" s="18" t="s">
        <v>32</v>
      </c>
      <c r="O3" s="18" t="s">
        <v>33</v>
      </c>
      <c r="P3" s="18" t="s">
        <v>36</v>
      </c>
      <c r="Q3" s="18" t="s">
        <v>37</v>
      </c>
      <c r="R3" s="20"/>
    </row>
    <row r="4" spans="1:18" ht="33.950000000000003" customHeight="1">
      <c r="A4" s="22">
        <v>3</v>
      </c>
      <c r="B4" s="22" t="s">
        <v>18</v>
      </c>
      <c r="C4" s="22" t="s">
        <v>39</v>
      </c>
      <c r="D4" s="22" t="s">
        <v>173</v>
      </c>
      <c r="E4" s="22" t="s">
        <v>174</v>
      </c>
      <c r="F4" s="24">
        <v>2810</v>
      </c>
      <c r="G4" s="24" t="s">
        <v>38</v>
      </c>
      <c r="H4" s="21">
        <v>0.6</v>
      </c>
      <c r="I4" s="21">
        <f>IF(OR(F4="",J4=""),"",F4*J4*BOMTable[[#This Row],[İndirim %]])</f>
        <v>1686</v>
      </c>
      <c r="J4" s="23">
        <v>1</v>
      </c>
      <c r="K4" s="22" t="s">
        <v>34</v>
      </c>
      <c r="L4" s="22" t="s">
        <v>175</v>
      </c>
      <c r="M4" s="22" t="s">
        <v>42</v>
      </c>
      <c r="N4" s="22"/>
      <c r="O4" s="22"/>
      <c r="P4" s="22" t="s">
        <v>44</v>
      </c>
      <c r="Q4" s="22" t="s">
        <v>45</v>
      </c>
      <c r="R4" s="23">
        <v>3</v>
      </c>
    </row>
    <row r="5" spans="1:18" ht="33.950000000000003" customHeight="1">
      <c r="A5" s="22">
        <v>4</v>
      </c>
      <c r="B5" s="22" t="s">
        <v>18</v>
      </c>
      <c r="C5" s="22" t="s">
        <v>39</v>
      </c>
      <c r="D5" s="22" t="s">
        <v>176</v>
      </c>
      <c r="E5" s="22" t="s">
        <v>177</v>
      </c>
      <c r="F5" s="24">
        <v>890</v>
      </c>
      <c r="G5" s="24" t="s">
        <v>38</v>
      </c>
      <c r="H5" s="21">
        <v>0.6</v>
      </c>
      <c r="I5" s="21">
        <f>IF(OR(F5="",J5=""),"",F5*J5*BOMTable[[#This Row],[İndirim %]])</f>
        <v>534</v>
      </c>
      <c r="J5" s="23">
        <v>1</v>
      </c>
      <c r="K5" s="22" t="s">
        <v>34</v>
      </c>
      <c r="L5" s="22" t="s">
        <v>175</v>
      </c>
      <c r="M5" s="22" t="s">
        <v>48</v>
      </c>
      <c r="N5" s="22"/>
      <c r="O5" s="22"/>
      <c r="P5" s="22" t="s">
        <v>44</v>
      </c>
      <c r="Q5" s="22" t="s">
        <v>49</v>
      </c>
      <c r="R5" s="23">
        <v>1</v>
      </c>
    </row>
    <row r="6" spans="1:18" ht="33.950000000000003" customHeight="1">
      <c r="A6" s="22">
        <v>5</v>
      </c>
      <c r="B6" s="22" t="s">
        <v>18</v>
      </c>
      <c r="C6" s="22" t="s">
        <v>50</v>
      </c>
      <c r="D6" s="22" t="s">
        <v>178</v>
      </c>
      <c r="E6" s="22" t="s">
        <v>179</v>
      </c>
      <c r="F6" s="24">
        <v>22370</v>
      </c>
      <c r="G6" s="24" t="s">
        <v>38</v>
      </c>
      <c r="H6" s="24">
        <v>0.3</v>
      </c>
      <c r="I6" s="24">
        <f>IF(OR(F6="",J6=""),"",F6*J6*BOMTable[[#This Row],[İndirim %]])</f>
        <v>6711</v>
      </c>
      <c r="J6" s="23">
        <v>1</v>
      </c>
      <c r="K6" s="22" t="s">
        <v>34</v>
      </c>
      <c r="L6" s="22" t="s">
        <v>180</v>
      </c>
      <c r="M6" s="22" t="s">
        <v>53</v>
      </c>
      <c r="N6" s="22"/>
      <c r="O6" s="22"/>
      <c r="P6" s="22" t="s">
        <v>54</v>
      </c>
      <c r="Q6" s="22" t="s">
        <v>55</v>
      </c>
      <c r="R6" s="23"/>
    </row>
    <row r="7" spans="1:18" ht="33.950000000000003" customHeight="1">
      <c r="A7" s="22">
        <v>6</v>
      </c>
      <c r="B7" s="22" t="s">
        <v>18</v>
      </c>
      <c r="C7" s="22" t="s">
        <v>183</v>
      </c>
      <c r="D7" s="22" t="s">
        <v>181</v>
      </c>
      <c r="E7" s="22" t="s">
        <v>182</v>
      </c>
      <c r="F7" s="24">
        <v>15525</v>
      </c>
      <c r="G7" s="24" t="s">
        <v>38</v>
      </c>
      <c r="H7" s="24">
        <v>0.3</v>
      </c>
      <c r="I7" s="24">
        <f>IF(OR(F7="",J7=""),"",F7*J7*BOMTable[[#This Row],[İndirim %]])</f>
        <v>27945</v>
      </c>
      <c r="J7" s="23">
        <v>6</v>
      </c>
      <c r="K7" s="22" t="s">
        <v>34</v>
      </c>
      <c r="L7" s="22" t="s">
        <v>180</v>
      </c>
      <c r="M7" s="22" t="s">
        <v>58</v>
      </c>
      <c r="N7" s="22"/>
      <c r="O7" s="22"/>
      <c r="P7" s="22" t="s">
        <v>44</v>
      </c>
      <c r="Q7" s="22" t="s">
        <v>59</v>
      </c>
      <c r="R7" s="23">
        <v>12</v>
      </c>
    </row>
    <row r="8" spans="1:18" ht="33.950000000000003" customHeight="1">
      <c r="A8" s="22">
        <v>7</v>
      </c>
      <c r="B8" s="22" t="s">
        <v>18</v>
      </c>
      <c r="C8" s="22" t="s">
        <v>60</v>
      </c>
      <c r="D8" s="22" t="s">
        <v>184</v>
      </c>
      <c r="E8" s="22" t="s">
        <v>185</v>
      </c>
      <c r="F8" s="24">
        <v>1836</v>
      </c>
      <c r="G8" s="24" t="s">
        <v>38</v>
      </c>
      <c r="H8" s="21">
        <v>0.6</v>
      </c>
      <c r="I8" s="21">
        <f>IF(OR(F8="",J8=""),"",F8*J8*BOMTable[[#This Row],[İndirim %]])</f>
        <v>1101.5999999999999</v>
      </c>
      <c r="J8" s="23">
        <v>1</v>
      </c>
      <c r="K8" s="22" t="s">
        <v>34</v>
      </c>
      <c r="L8" s="22" t="s">
        <v>43</v>
      </c>
      <c r="M8" s="22" t="s">
        <v>63</v>
      </c>
      <c r="N8" s="22"/>
      <c r="O8" s="22"/>
      <c r="P8" s="22" t="s">
        <v>64</v>
      </c>
      <c r="Q8" s="22" t="s">
        <v>65</v>
      </c>
      <c r="R8" s="23"/>
    </row>
    <row r="9" spans="1:18" ht="33.950000000000003" customHeight="1">
      <c r="A9" s="22">
        <v>8</v>
      </c>
      <c r="B9" s="22" t="s">
        <v>18</v>
      </c>
      <c r="C9" s="22" t="s">
        <v>66</v>
      </c>
      <c r="D9" s="22" t="s">
        <v>186</v>
      </c>
      <c r="E9" s="22" t="s">
        <v>187</v>
      </c>
      <c r="F9" s="24">
        <v>589</v>
      </c>
      <c r="G9" s="24" t="s">
        <v>38</v>
      </c>
      <c r="H9" s="21">
        <v>0.6</v>
      </c>
      <c r="I9" s="21">
        <f>IF(OR(F9="",J9=""),"",F9*J9*BOMTable[[#This Row],[İndirim %]])</f>
        <v>353.4</v>
      </c>
      <c r="J9" s="23">
        <v>1</v>
      </c>
      <c r="K9" s="22" t="s">
        <v>34</v>
      </c>
      <c r="L9" s="22" t="s">
        <v>43</v>
      </c>
      <c r="M9" s="22" t="s">
        <v>69</v>
      </c>
      <c r="N9" s="22"/>
      <c r="O9" s="22"/>
      <c r="P9" s="22" t="s">
        <v>70</v>
      </c>
      <c r="Q9" s="22" t="s">
        <v>71</v>
      </c>
      <c r="R9" s="23"/>
    </row>
    <row r="10" spans="1:18" ht="33.950000000000003" customHeight="1">
      <c r="A10" s="22">
        <v>9</v>
      </c>
      <c r="B10" s="22" t="s">
        <v>18</v>
      </c>
      <c r="C10" s="22" t="s">
        <v>72</v>
      </c>
      <c r="D10" s="25" t="s">
        <v>29</v>
      </c>
      <c r="E10" s="25" t="s">
        <v>73</v>
      </c>
      <c r="F10" s="24">
        <v>6500</v>
      </c>
      <c r="G10" s="24" t="s">
        <v>38</v>
      </c>
      <c r="H10" s="24">
        <v>1</v>
      </c>
      <c r="I10" s="24">
        <f>IF(OR(F10="",J10=""),"",F10*J10)</f>
        <v>6500</v>
      </c>
      <c r="J10" s="26">
        <v>1</v>
      </c>
      <c r="K10" s="25" t="s">
        <v>34</v>
      </c>
      <c r="L10" s="25" t="s">
        <v>75</v>
      </c>
      <c r="M10" s="25" t="s">
        <v>74</v>
      </c>
      <c r="N10" s="25"/>
      <c r="O10" s="25"/>
      <c r="P10" s="25" t="s">
        <v>26</v>
      </c>
      <c r="Q10" s="25" t="s">
        <v>76</v>
      </c>
      <c r="R10" s="23"/>
    </row>
    <row r="11" spans="1:18" ht="33.950000000000003" customHeight="1">
      <c r="A11" s="22">
        <v>27</v>
      </c>
      <c r="B11" s="22" t="s">
        <v>18</v>
      </c>
      <c r="C11" s="22" t="s">
        <v>130</v>
      </c>
      <c r="D11" s="22"/>
      <c r="E11" s="22" t="s">
        <v>131</v>
      </c>
      <c r="F11" s="24">
        <f>I12</f>
        <v>9000</v>
      </c>
      <c r="G11" s="24" t="s">
        <v>38</v>
      </c>
      <c r="H11" s="24">
        <v>1</v>
      </c>
      <c r="I11" s="24">
        <f>IF(OR(F11="",J11=""),"",F11*J11)</f>
        <v>9000</v>
      </c>
      <c r="J11" s="23">
        <v>1</v>
      </c>
      <c r="K11" s="22" t="s">
        <v>130</v>
      </c>
      <c r="L11" s="22" t="s">
        <v>133</v>
      </c>
      <c r="M11" s="22" t="s">
        <v>132</v>
      </c>
      <c r="N11" s="22"/>
      <c r="O11" s="22"/>
      <c r="P11" s="22" t="s">
        <v>80</v>
      </c>
      <c r="Q11" s="22" t="s">
        <v>134</v>
      </c>
      <c r="R11" s="23"/>
    </row>
    <row r="12" spans="1:18" ht="33.950000000000003" customHeight="1">
      <c r="A12" s="22">
        <v>28</v>
      </c>
      <c r="B12" s="22" t="s">
        <v>18</v>
      </c>
      <c r="C12" s="22" t="s">
        <v>135</v>
      </c>
      <c r="D12" s="22"/>
      <c r="E12" s="22" t="s">
        <v>136</v>
      </c>
      <c r="F12" s="24">
        <v>1.5</v>
      </c>
      <c r="G12" s="24" t="s">
        <v>38</v>
      </c>
      <c r="H12" s="24">
        <v>100</v>
      </c>
      <c r="I12" s="24">
        <f>BOMTable[[#This Row],[İndirim %]]*BOMTable[[#This Row],[Miktar]]</f>
        <v>9000</v>
      </c>
      <c r="J12" s="23">
        <f>60*BOMTable[[#This Row],[Birim Net Fiyat]]</f>
        <v>90</v>
      </c>
      <c r="K12" s="22" t="s">
        <v>135</v>
      </c>
      <c r="L12" s="22" t="s">
        <v>138</v>
      </c>
      <c r="M12" s="22" t="s">
        <v>137</v>
      </c>
      <c r="N12" s="22"/>
      <c r="O12" s="22"/>
      <c r="P12" s="22" t="s">
        <v>80</v>
      </c>
      <c r="Q12" s="22" t="s">
        <v>139</v>
      </c>
      <c r="R12" s="23"/>
    </row>
    <row r="13" spans="1:18">
      <c r="A13" s="27"/>
      <c r="B13" s="27"/>
      <c r="C13" s="27"/>
      <c r="D13" s="27"/>
      <c r="E13" s="27"/>
      <c r="F13" s="27"/>
      <c r="G13" s="27"/>
      <c r="H13" s="27"/>
      <c r="I13" s="27">
        <f>SUBTOTAL(109,BOMTable[Toplam Net (1 pano)])</f>
        <v>73250</v>
      </c>
      <c r="J13" s="27"/>
      <c r="K13" s="27"/>
      <c r="L13" s="27"/>
      <c r="M13" s="27"/>
      <c r="N13" s="27"/>
      <c r="O13" s="27"/>
      <c r="P13" s="27"/>
      <c r="Q13" s="27"/>
      <c r="R13" s="2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workbookViewId="0"/>
  </sheetViews>
  <sheetFormatPr defaultRowHeight="14.25"/>
  <cols>
    <col min="1" max="1" width="5" customWidth="1"/>
    <col min="2" max="2" width="18" customWidth="1"/>
    <col min="3" max="3" width="23" customWidth="1"/>
    <col min="4" max="4" width="38" customWidth="1"/>
    <col min="5" max="5" width="13" customWidth="1"/>
    <col min="6" max="6" width="10" customWidth="1"/>
    <col min="7" max="7" width="17" customWidth="1"/>
    <col min="8" max="8" width="15" customWidth="1"/>
    <col min="9" max="9" width="9" customWidth="1"/>
    <col min="10" max="10" width="15" customWidth="1"/>
    <col min="11" max="11" width="13" customWidth="1"/>
    <col min="12" max="12" width="45" customWidth="1"/>
  </cols>
  <sheetData>
    <row r="1" spans="1:12" ht="32.1" customHeight="1">
      <c r="A1" s="9" t="s">
        <v>0</v>
      </c>
      <c r="B1" s="10" t="s">
        <v>2</v>
      </c>
      <c r="C1" s="10" t="s">
        <v>3</v>
      </c>
      <c r="D1" s="10" t="s">
        <v>4</v>
      </c>
      <c r="E1" s="10" t="s">
        <v>140</v>
      </c>
      <c r="F1" s="10" t="s">
        <v>9</v>
      </c>
      <c r="G1" s="10" t="s">
        <v>10</v>
      </c>
      <c r="H1" s="10" t="s">
        <v>14</v>
      </c>
      <c r="I1" s="10" t="s">
        <v>15</v>
      </c>
      <c r="J1" s="10" t="s">
        <v>141</v>
      </c>
      <c r="K1" s="10" t="s">
        <v>142</v>
      </c>
      <c r="L1" s="11" t="s">
        <v>12</v>
      </c>
    </row>
    <row r="2" spans="1:12" ht="32.1" customHeight="1">
      <c r="A2" s="3">
        <v>1</v>
      </c>
      <c r="B2" s="1" t="s">
        <v>28</v>
      </c>
      <c r="C2" s="1" t="s">
        <v>29</v>
      </c>
      <c r="D2" s="1" t="s">
        <v>30</v>
      </c>
      <c r="E2" s="2">
        <v>1</v>
      </c>
      <c r="F2" s="1" t="s">
        <v>34</v>
      </c>
      <c r="G2" s="1" t="s">
        <v>35</v>
      </c>
      <c r="H2" s="12"/>
      <c r="I2" s="12" t="s">
        <v>38</v>
      </c>
      <c r="J2" s="12" t="str">
        <f t="shared" ref="J2:J28" si="0">IF(OR(H2="",E2=""),"",H2*E2)</f>
        <v/>
      </c>
      <c r="K2" s="1" t="s">
        <v>18</v>
      </c>
      <c r="L2" s="7" t="s">
        <v>37</v>
      </c>
    </row>
    <row r="3" spans="1:12" ht="32.1" customHeight="1">
      <c r="A3" s="3">
        <v>2</v>
      </c>
      <c r="B3" s="1" t="s">
        <v>39</v>
      </c>
      <c r="C3" s="1" t="s">
        <v>40</v>
      </c>
      <c r="D3" s="1" t="s">
        <v>41</v>
      </c>
      <c r="E3" s="2">
        <v>1</v>
      </c>
      <c r="F3" s="1" t="s">
        <v>34</v>
      </c>
      <c r="G3" s="1" t="s">
        <v>43</v>
      </c>
      <c r="H3" s="12"/>
      <c r="I3" s="12" t="s">
        <v>38</v>
      </c>
      <c r="J3" s="12" t="str">
        <f t="shared" si="0"/>
        <v/>
      </c>
      <c r="K3" s="1" t="s">
        <v>18</v>
      </c>
      <c r="L3" s="7" t="s">
        <v>45</v>
      </c>
    </row>
    <row r="4" spans="1:12" ht="32.1" customHeight="1">
      <c r="A4" s="3">
        <v>3</v>
      </c>
      <c r="B4" s="1" t="s">
        <v>39</v>
      </c>
      <c r="C4" s="1" t="s">
        <v>46</v>
      </c>
      <c r="D4" s="1" t="s">
        <v>47</v>
      </c>
      <c r="E4" s="2">
        <v>1</v>
      </c>
      <c r="F4" s="1" t="s">
        <v>34</v>
      </c>
      <c r="G4" s="1" t="s">
        <v>43</v>
      </c>
      <c r="H4" s="12"/>
      <c r="I4" s="12" t="s">
        <v>38</v>
      </c>
      <c r="J4" s="12" t="str">
        <f t="shared" si="0"/>
        <v/>
      </c>
      <c r="K4" s="1" t="s">
        <v>18</v>
      </c>
      <c r="L4" s="7" t="s">
        <v>49</v>
      </c>
    </row>
    <row r="5" spans="1:12" ht="32.1" customHeight="1">
      <c r="A5" s="3">
        <v>4</v>
      </c>
      <c r="B5" s="1" t="s">
        <v>50</v>
      </c>
      <c r="C5" s="1" t="s">
        <v>51</v>
      </c>
      <c r="D5" s="1" t="s">
        <v>52</v>
      </c>
      <c r="E5" s="2">
        <v>1</v>
      </c>
      <c r="F5" s="1" t="s">
        <v>34</v>
      </c>
      <c r="G5" s="1" t="s">
        <v>43</v>
      </c>
      <c r="H5" s="12"/>
      <c r="I5" s="12" t="s">
        <v>38</v>
      </c>
      <c r="J5" s="12" t="str">
        <f t="shared" si="0"/>
        <v/>
      </c>
      <c r="K5" s="1" t="s">
        <v>18</v>
      </c>
      <c r="L5" s="7" t="s">
        <v>55</v>
      </c>
    </row>
    <row r="6" spans="1:12" ht="32.1" customHeight="1">
      <c r="A6" s="3">
        <v>5</v>
      </c>
      <c r="B6" s="1" t="s">
        <v>39</v>
      </c>
      <c r="C6" s="1" t="s">
        <v>56</v>
      </c>
      <c r="D6" s="1" t="s">
        <v>57</v>
      </c>
      <c r="E6" s="2">
        <v>6</v>
      </c>
      <c r="F6" s="1" t="s">
        <v>34</v>
      </c>
      <c r="G6" s="1" t="s">
        <v>43</v>
      </c>
      <c r="H6" s="12"/>
      <c r="I6" s="12" t="s">
        <v>38</v>
      </c>
      <c r="J6" s="12" t="str">
        <f t="shared" si="0"/>
        <v/>
      </c>
      <c r="K6" s="1" t="s">
        <v>18</v>
      </c>
      <c r="L6" s="7" t="s">
        <v>59</v>
      </c>
    </row>
    <row r="7" spans="1:12" ht="32.1" customHeight="1">
      <c r="A7" s="3">
        <v>6</v>
      </c>
      <c r="B7" s="1" t="s">
        <v>60</v>
      </c>
      <c r="C7" s="1" t="s">
        <v>61</v>
      </c>
      <c r="D7" s="1" t="s">
        <v>62</v>
      </c>
      <c r="E7" s="2">
        <v>1</v>
      </c>
      <c r="F7" s="1" t="s">
        <v>34</v>
      </c>
      <c r="G7" s="1" t="s">
        <v>43</v>
      </c>
      <c r="H7" s="12"/>
      <c r="I7" s="12" t="s">
        <v>38</v>
      </c>
      <c r="J7" s="12" t="str">
        <f t="shared" si="0"/>
        <v/>
      </c>
      <c r="K7" s="1" t="s">
        <v>18</v>
      </c>
      <c r="L7" s="7" t="s">
        <v>65</v>
      </c>
    </row>
    <row r="8" spans="1:12" ht="32.1" customHeight="1">
      <c r="A8" s="3">
        <v>7</v>
      </c>
      <c r="B8" s="1" t="s">
        <v>66</v>
      </c>
      <c r="C8" s="1" t="s">
        <v>67</v>
      </c>
      <c r="D8" s="1" t="s">
        <v>68</v>
      </c>
      <c r="E8" s="2">
        <v>1</v>
      </c>
      <c r="F8" s="1" t="s">
        <v>34</v>
      </c>
      <c r="G8" s="1" t="s">
        <v>43</v>
      </c>
      <c r="H8" s="12"/>
      <c r="I8" s="12" t="s">
        <v>38</v>
      </c>
      <c r="J8" s="12" t="str">
        <f t="shared" si="0"/>
        <v/>
      </c>
      <c r="K8" s="1" t="s">
        <v>18</v>
      </c>
      <c r="L8" s="7" t="s">
        <v>71</v>
      </c>
    </row>
    <row r="9" spans="1:12" ht="32.1" customHeight="1">
      <c r="A9" s="3">
        <v>8</v>
      </c>
      <c r="B9" s="1" t="s">
        <v>72</v>
      </c>
      <c r="C9" s="1" t="s">
        <v>29</v>
      </c>
      <c r="D9" s="1" t="s">
        <v>73</v>
      </c>
      <c r="E9" s="2">
        <v>1</v>
      </c>
      <c r="F9" s="1" t="s">
        <v>34</v>
      </c>
      <c r="G9" s="1" t="s">
        <v>75</v>
      </c>
      <c r="H9" s="12"/>
      <c r="I9" s="12" t="s">
        <v>38</v>
      </c>
      <c r="J9" s="12" t="str">
        <f t="shared" si="0"/>
        <v/>
      </c>
      <c r="K9" s="1" t="s">
        <v>18</v>
      </c>
      <c r="L9" s="7" t="s">
        <v>76</v>
      </c>
    </row>
    <row r="10" spans="1:12" ht="32.1" customHeight="1">
      <c r="A10" s="3">
        <v>9</v>
      </c>
      <c r="B10" s="1" t="s">
        <v>77</v>
      </c>
      <c r="C10" s="1" t="s">
        <v>29</v>
      </c>
      <c r="D10" s="1" t="s">
        <v>78</v>
      </c>
      <c r="E10" s="2">
        <v>1</v>
      </c>
      <c r="F10" s="1" t="s">
        <v>34</v>
      </c>
      <c r="G10" s="1" t="s">
        <v>79</v>
      </c>
      <c r="H10" s="12"/>
      <c r="I10" s="12" t="s">
        <v>38</v>
      </c>
      <c r="J10" s="12" t="str">
        <f t="shared" si="0"/>
        <v/>
      </c>
      <c r="K10" s="1" t="s">
        <v>18</v>
      </c>
      <c r="L10" s="7" t="s">
        <v>81</v>
      </c>
    </row>
    <row r="11" spans="1:12" ht="32.1" customHeight="1">
      <c r="A11" s="3">
        <v>10</v>
      </c>
      <c r="B11" s="1" t="s">
        <v>82</v>
      </c>
      <c r="C11" s="1" t="s">
        <v>29</v>
      </c>
      <c r="D11" s="1" t="s">
        <v>83</v>
      </c>
      <c r="E11" s="2">
        <v>1</v>
      </c>
      <c r="F11" s="1" t="s">
        <v>34</v>
      </c>
      <c r="G11" s="1" t="s">
        <v>84</v>
      </c>
      <c r="H11" s="12"/>
      <c r="I11" s="12" t="s">
        <v>38</v>
      </c>
      <c r="J11" s="12" t="str">
        <f t="shared" si="0"/>
        <v/>
      </c>
      <c r="K11" s="1" t="s">
        <v>18</v>
      </c>
      <c r="L11" s="7" t="s">
        <v>85</v>
      </c>
    </row>
    <row r="12" spans="1:12" ht="32.1" customHeight="1">
      <c r="A12" s="3">
        <v>11</v>
      </c>
      <c r="B12" s="1" t="s">
        <v>82</v>
      </c>
      <c r="C12" s="1" t="s">
        <v>29</v>
      </c>
      <c r="D12" s="1" t="s">
        <v>86</v>
      </c>
      <c r="E12" s="2">
        <v>1</v>
      </c>
      <c r="F12" s="1" t="s">
        <v>34</v>
      </c>
      <c r="G12" s="1" t="s">
        <v>84</v>
      </c>
      <c r="H12" s="12"/>
      <c r="I12" s="12" t="s">
        <v>38</v>
      </c>
      <c r="J12" s="12" t="str">
        <f t="shared" si="0"/>
        <v/>
      </c>
      <c r="K12" s="1" t="s">
        <v>18</v>
      </c>
      <c r="L12" s="7" t="s">
        <v>87</v>
      </c>
    </row>
    <row r="13" spans="1:12" ht="32.1" customHeight="1">
      <c r="A13" s="3">
        <v>12</v>
      </c>
      <c r="B13" s="1" t="s">
        <v>88</v>
      </c>
      <c r="C13" s="1" t="s">
        <v>29</v>
      </c>
      <c r="D13" s="1" t="s">
        <v>89</v>
      </c>
      <c r="E13" s="2">
        <v>6</v>
      </c>
      <c r="F13" s="1" t="s">
        <v>34</v>
      </c>
      <c r="G13" s="1" t="s">
        <v>90</v>
      </c>
      <c r="H13" s="12"/>
      <c r="I13" s="12" t="s">
        <v>38</v>
      </c>
      <c r="J13" s="12" t="str">
        <f t="shared" si="0"/>
        <v/>
      </c>
      <c r="K13" s="1" t="s">
        <v>18</v>
      </c>
      <c r="L13" s="7" t="s">
        <v>91</v>
      </c>
    </row>
    <row r="14" spans="1:12" ht="32.1" customHeight="1">
      <c r="A14" s="3">
        <v>13</v>
      </c>
      <c r="B14" s="1" t="s">
        <v>88</v>
      </c>
      <c r="C14" s="1" t="s">
        <v>29</v>
      </c>
      <c r="D14" s="1" t="s">
        <v>92</v>
      </c>
      <c r="E14" s="2">
        <v>6</v>
      </c>
      <c r="F14" s="1" t="s">
        <v>34</v>
      </c>
      <c r="G14" s="1" t="s">
        <v>90</v>
      </c>
      <c r="H14" s="12"/>
      <c r="I14" s="12" t="s">
        <v>38</v>
      </c>
      <c r="J14" s="12" t="str">
        <f t="shared" si="0"/>
        <v/>
      </c>
      <c r="K14" s="1" t="s">
        <v>18</v>
      </c>
      <c r="L14" s="7" t="s">
        <v>93</v>
      </c>
    </row>
    <row r="15" spans="1:12" ht="32.1" customHeight="1">
      <c r="A15" s="3">
        <v>14</v>
      </c>
      <c r="B15" s="1" t="s">
        <v>88</v>
      </c>
      <c r="C15" s="1" t="s">
        <v>29</v>
      </c>
      <c r="D15" s="1" t="s">
        <v>94</v>
      </c>
      <c r="E15" s="2">
        <v>6</v>
      </c>
      <c r="F15" s="1" t="s">
        <v>34</v>
      </c>
      <c r="G15" s="1" t="s">
        <v>90</v>
      </c>
      <c r="H15" s="12"/>
      <c r="I15" s="12" t="s">
        <v>38</v>
      </c>
      <c r="J15" s="12" t="str">
        <f t="shared" si="0"/>
        <v/>
      </c>
      <c r="K15" s="1" t="s">
        <v>18</v>
      </c>
      <c r="L15" s="7" t="s">
        <v>95</v>
      </c>
    </row>
    <row r="16" spans="1:12" ht="32.1" customHeight="1">
      <c r="A16" s="3">
        <v>15</v>
      </c>
      <c r="B16" s="1" t="s">
        <v>88</v>
      </c>
      <c r="C16" s="1" t="s">
        <v>29</v>
      </c>
      <c r="D16" s="1" t="s">
        <v>96</v>
      </c>
      <c r="E16" s="2">
        <v>3</v>
      </c>
      <c r="F16" s="1" t="s">
        <v>34</v>
      </c>
      <c r="G16" s="1" t="s">
        <v>90</v>
      </c>
      <c r="H16" s="12"/>
      <c r="I16" s="12" t="s">
        <v>38</v>
      </c>
      <c r="J16" s="12" t="str">
        <f t="shared" si="0"/>
        <v/>
      </c>
      <c r="K16" s="1" t="s">
        <v>18</v>
      </c>
      <c r="L16" s="7" t="s">
        <v>97</v>
      </c>
    </row>
    <row r="17" spans="1:12" ht="32.1" customHeight="1">
      <c r="A17" s="3">
        <v>16</v>
      </c>
      <c r="B17" s="1" t="s">
        <v>98</v>
      </c>
      <c r="C17" s="1" t="s">
        <v>29</v>
      </c>
      <c r="D17" s="1" t="s">
        <v>99</v>
      </c>
      <c r="E17" s="2">
        <v>1</v>
      </c>
      <c r="F17" s="1" t="s">
        <v>100</v>
      </c>
      <c r="G17" s="1" t="s">
        <v>90</v>
      </c>
      <c r="H17" s="12"/>
      <c r="I17" s="12" t="s">
        <v>38</v>
      </c>
      <c r="J17" s="12" t="str">
        <f t="shared" si="0"/>
        <v/>
      </c>
      <c r="K17" s="1" t="s">
        <v>18</v>
      </c>
      <c r="L17" s="7" t="s">
        <v>101</v>
      </c>
    </row>
    <row r="18" spans="1:12" ht="32.1" customHeight="1">
      <c r="A18" s="3">
        <v>17</v>
      </c>
      <c r="B18" s="1" t="s">
        <v>102</v>
      </c>
      <c r="C18" s="1" t="s">
        <v>29</v>
      </c>
      <c r="D18" s="1" t="s">
        <v>103</v>
      </c>
      <c r="E18" s="2">
        <v>1</v>
      </c>
      <c r="F18" s="1" t="s">
        <v>34</v>
      </c>
      <c r="G18" s="1" t="s">
        <v>104</v>
      </c>
      <c r="H18" s="12"/>
      <c r="I18" s="12" t="s">
        <v>38</v>
      </c>
      <c r="J18" s="12" t="str">
        <f t="shared" si="0"/>
        <v/>
      </c>
      <c r="K18" s="1" t="s">
        <v>18</v>
      </c>
      <c r="L18" s="7" t="s">
        <v>105</v>
      </c>
    </row>
    <row r="19" spans="1:12" ht="32.1" customHeight="1">
      <c r="A19" s="3">
        <v>18</v>
      </c>
      <c r="B19" s="1" t="s">
        <v>102</v>
      </c>
      <c r="C19" s="1" t="s">
        <v>29</v>
      </c>
      <c r="D19" s="1" t="s">
        <v>106</v>
      </c>
      <c r="E19" s="2">
        <v>6</v>
      </c>
      <c r="F19" s="1" t="s">
        <v>34</v>
      </c>
      <c r="G19" s="1" t="s">
        <v>104</v>
      </c>
      <c r="H19" s="12"/>
      <c r="I19" s="12" t="s">
        <v>38</v>
      </c>
      <c r="J19" s="12" t="str">
        <f t="shared" si="0"/>
        <v/>
      </c>
      <c r="K19" s="1" t="s">
        <v>18</v>
      </c>
      <c r="L19" s="7" t="s">
        <v>105</v>
      </c>
    </row>
    <row r="20" spans="1:12" ht="32.1" customHeight="1">
      <c r="A20" s="3">
        <v>19</v>
      </c>
      <c r="B20" s="1" t="s">
        <v>102</v>
      </c>
      <c r="C20" s="1" t="s">
        <v>29</v>
      </c>
      <c r="D20" s="1" t="s">
        <v>107</v>
      </c>
      <c r="E20" s="2">
        <v>1</v>
      </c>
      <c r="F20" s="1" t="s">
        <v>34</v>
      </c>
      <c r="G20" s="1" t="s">
        <v>104</v>
      </c>
      <c r="H20" s="12"/>
      <c r="I20" s="12" t="s">
        <v>38</v>
      </c>
      <c r="J20" s="12" t="str">
        <f t="shared" si="0"/>
        <v/>
      </c>
      <c r="K20" s="1" t="s">
        <v>18</v>
      </c>
      <c r="L20" s="7" t="s">
        <v>105</v>
      </c>
    </row>
    <row r="21" spans="1:12" ht="32.1" customHeight="1">
      <c r="A21" s="3">
        <v>20</v>
      </c>
      <c r="B21" s="1" t="s">
        <v>108</v>
      </c>
      <c r="C21" s="1" t="s">
        <v>109</v>
      </c>
      <c r="D21" s="1" t="s">
        <v>110</v>
      </c>
      <c r="E21" s="2">
        <v>1.2</v>
      </c>
      <c r="F21" s="1" t="s">
        <v>111</v>
      </c>
      <c r="G21" s="1" t="s">
        <v>84</v>
      </c>
      <c r="H21" s="12"/>
      <c r="I21" s="12" t="s">
        <v>38</v>
      </c>
      <c r="J21" s="12" t="str">
        <f t="shared" si="0"/>
        <v/>
      </c>
      <c r="K21" s="1" t="s">
        <v>18</v>
      </c>
      <c r="L21" s="7" t="s">
        <v>112</v>
      </c>
    </row>
    <row r="22" spans="1:12" ht="32.1" customHeight="1">
      <c r="A22" s="3">
        <v>21</v>
      </c>
      <c r="B22" s="1" t="s">
        <v>113</v>
      </c>
      <c r="C22" s="1" t="s">
        <v>114</v>
      </c>
      <c r="D22" s="1" t="s">
        <v>115</v>
      </c>
      <c r="E22" s="2">
        <v>2</v>
      </c>
      <c r="F22" s="1" t="s">
        <v>111</v>
      </c>
      <c r="G22" s="1" t="s">
        <v>84</v>
      </c>
      <c r="H22" s="12"/>
      <c r="I22" s="12" t="s">
        <v>38</v>
      </c>
      <c r="J22" s="12" t="str">
        <f t="shared" si="0"/>
        <v/>
      </c>
      <c r="K22" s="1" t="s">
        <v>18</v>
      </c>
      <c r="L22" s="7" t="s">
        <v>112</v>
      </c>
    </row>
    <row r="23" spans="1:12" ht="32.1" customHeight="1">
      <c r="A23" s="3">
        <v>22</v>
      </c>
      <c r="B23" s="1" t="s">
        <v>116</v>
      </c>
      <c r="C23" s="1" t="s">
        <v>117</v>
      </c>
      <c r="D23" s="1" t="s">
        <v>118</v>
      </c>
      <c r="E23" s="2">
        <v>12</v>
      </c>
      <c r="F23" s="1" t="s">
        <v>111</v>
      </c>
      <c r="G23" s="1" t="s">
        <v>119</v>
      </c>
      <c r="H23" s="12"/>
      <c r="I23" s="12" t="s">
        <v>38</v>
      </c>
      <c r="J23" s="12" t="str">
        <f t="shared" si="0"/>
        <v/>
      </c>
      <c r="K23" s="1" t="s">
        <v>18</v>
      </c>
      <c r="L23" s="7" t="s">
        <v>120</v>
      </c>
    </row>
    <row r="24" spans="1:12" ht="32.1" customHeight="1">
      <c r="A24" s="3">
        <v>23</v>
      </c>
      <c r="B24" s="1" t="s">
        <v>116</v>
      </c>
      <c r="C24" s="1" t="s">
        <v>121</v>
      </c>
      <c r="D24" s="1" t="s">
        <v>122</v>
      </c>
      <c r="E24" s="2">
        <v>3</v>
      </c>
      <c r="F24" s="1" t="s">
        <v>111</v>
      </c>
      <c r="G24" s="1" t="s">
        <v>119</v>
      </c>
      <c r="H24" s="12"/>
      <c r="I24" s="12" t="s">
        <v>38</v>
      </c>
      <c r="J24" s="12" t="str">
        <f t="shared" si="0"/>
        <v/>
      </c>
      <c r="K24" s="1" t="s">
        <v>18</v>
      </c>
      <c r="L24" s="7" t="s">
        <v>123</v>
      </c>
    </row>
    <row r="25" spans="1:12" ht="32.1" customHeight="1">
      <c r="A25" s="3">
        <v>24</v>
      </c>
      <c r="B25" s="1" t="s">
        <v>124</v>
      </c>
      <c r="C25" s="1" t="s">
        <v>125</v>
      </c>
      <c r="D25" s="1" t="s">
        <v>126</v>
      </c>
      <c r="E25" s="2">
        <v>10</v>
      </c>
      <c r="F25" s="1" t="s">
        <v>111</v>
      </c>
      <c r="G25" s="1" t="s">
        <v>119</v>
      </c>
      <c r="H25" s="12"/>
      <c r="I25" s="12" t="s">
        <v>38</v>
      </c>
      <c r="J25" s="12" t="str">
        <f t="shared" si="0"/>
        <v/>
      </c>
      <c r="K25" s="1" t="s">
        <v>18</v>
      </c>
      <c r="L25" s="7" t="s">
        <v>112</v>
      </c>
    </row>
    <row r="26" spans="1:12" ht="32.1" customHeight="1">
      <c r="A26" s="3">
        <v>25</v>
      </c>
      <c r="B26" s="1" t="s">
        <v>127</v>
      </c>
      <c r="C26" s="1" t="s">
        <v>29</v>
      </c>
      <c r="D26" s="1" t="s">
        <v>128</v>
      </c>
      <c r="E26" s="2">
        <v>1</v>
      </c>
      <c r="F26" s="1" t="s">
        <v>100</v>
      </c>
      <c r="G26" s="1" t="s">
        <v>84</v>
      </c>
      <c r="H26" s="12"/>
      <c r="I26" s="12" t="s">
        <v>38</v>
      </c>
      <c r="J26" s="12" t="str">
        <f t="shared" si="0"/>
        <v/>
      </c>
      <c r="K26" s="1" t="s">
        <v>18</v>
      </c>
      <c r="L26" s="7" t="s">
        <v>129</v>
      </c>
    </row>
    <row r="27" spans="1:12" ht="32.1" customHeight="1">
      <c r="A27" s="3">
        <v>26</v>
      </c>
      <c r="B27" s="1" t="s">
        <v>130</v>
      </c>
      <c r="C27" s="1"/>
      <c r="D27" s="1" t="s">
        <v>131</v>
      </c>
      <c r="E27" s="2">
        <v>1</v>
      </c>
      <c r="F27" s="1" t="s">
        <v>100</v>
      </c>
      <c r="G27" s="1" t="s">
        <v>133</v>
      </c>
      <c r="H27" s="12"/>
      <c r="I27" s="12" t="s">
        <v>38</v>
      </c>
      <c r="J27" s="12" t="str">
        <f t="shared" si="0"/>
        <v/>
      </c>
      <c r="K27" s="1" t="s">
        <v>18</v>
      </c>
      <c r="L27" s="7" t="s">
        <v>134</v>
      </c>
    </row>
    <row r="28" spans="1:12" ht="32.1" customHeight="1">
      <c r="A28" s="4">
        <v>27</v>
      </c>
      <c r="B28" s="5" t="s">
        <v>135</v>
      </c>
      <c r="C28" s="5"/>
      <c r="D28" s="5" t="s">
        <v>136</v>
      </c>
      <c r="E28" s="6">
        <v>1</v>
      </c>
      <c r="F28" s="5" t="s">
        <v>24</v>
      </c>
      <c r="G28" s="5" t="s">
        <v>138</v>
      </c>
      <c r="H28" s="13"/>
      <c r="I28" s="13" t="s">
        <v>38</v>
      </c>
      <c r="J28" s="13" t="str">
        <f t="shared" si="0"/>
        <v/>
      </c>
      <c r="K28" s="5" t="s">
        <v>18</v>
      </c>
      <c r="L28" s="8" t="s">
        <v>139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4.25"/>
  <cols>
    <col min="1" max="1" width="28" customWidth="1"/>
    <col min="2" max="2" width="85" customWidth="1"/>
  </cols>
  <sheetData>
    <row r="1" spans="1:2" ht="30" customHeight="1">
      <c r="A1" s="9" t="s">
        <v>143</v>
      </c>
      <c r="B1" s="11" t="s">
        <v>144</v>
      </c>
    </row>
    <row r="2" spans="1:2" ht="30" customHeight="1">
      <c r="A2" s="3" t="s">
        <v>145</v>
      </c>
      <c r="B2" s="7" t="s">
        <v>146</v>
      </c>
    </row>
    <row r="3" spans="1:2" ht="30" customHeight="1">
      <c r="A3" s="3" t="s">
        <v>147</v>
      </c>
      <c r="B3" s="7" t="s">
        <v>148</v>
      </c>
    </row>
    <row r="4" spans="1:2" ht="30" customHeight="1">
      <c r="A4" s="3" t="s">
        <v>149</v>
      </c>
      <c r="B4" s="7" t="s">
        <v>150</v>
      </c>
    </row>
    <row r="5" spans="1:2" ht="30" customHeight="1">
      <c r="A5" s="3" t="s">
        <v>151</v>
      </c>
      <c r="B5" s="7" t="s">
        <v>152</v>
      </c>
    </row>
    <row r="6" spans="1:2" ht="30" customHeight="1">
      <c r="A6" s="3" t="s">
        <v>153</v>
      </c>
      <c r="B6" s="7" t="s">
        <v>154</v>
      </c>
    </row>
    <row r="7" spans="1:2" ht="30" customHeight="1">
      <c r="A7" s="3" t="s">
        <v>155</v>
      </c>
      <c r="B7" s="7" t="s">
        <v>156</v>
      </c>
    </row>
    <row r="8" spans="1:2" ht="30" customHeight="1">
      <c r="A8" s="3" t="s">
        <v>157</v>
      </c>
      <c r="B8" s="7" t="s">
        <v>158</v>
      </c>
    </row>
    <row r="9" spans="1:2" ht="30" customHeight="1">
      <c r="A9" s="3" t="s">
        <v>159</v>
      </c>
      <c r="B9" s="7" t="s">
        <v>160</v>
      </c>
    </row>
    <row r="10" spans="1:2" ht="30" customHeight="1">
      <c r="A10" s="3" t="s">
        <v>161</v>
      </c>
      <c r="B10" s="7" t="s">
        <v>162</v>
      </c>
    </row>
    <row r="11" spans="1:2" ht="30" customHeight="1">
      <c r="A11" s="3" t="s">
        <v>163</v>
      </c>
      <c r="B11" s="7" t="s">
        <v>164</v>
      </c>
    </row>
    <row r="12" spans="1:2" ht="30" customHeight="1">
      <c r="A12" s="3" t="s">
        <v>165</v>
      </c>
      <c r="B12" s="7" t="s">
        <v>166</v>
      </c>
    </row>
    <row r="13" spans="1:2" ht="30" customHeight="1">
      <c r="A13" s="3" t="s">
        <v>167</v>
      </c>
      <c r="B13" s="7" t="s">
        <v>168</v>
      </c>
    </row>
    <row r="14" spans="1:2" ht="30" customHeight="1">
      <c r="A14" s="4" t="s">
        <v>169</v>
      </c>
      <c r="B14" s="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01_BOM_DUZELTILDI</vt:lpstr>
      <vt:lpstr>02_Satin_Alma</vt:lpstr>
      <vt:lpstr>03_Kontrol_Notlari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2026-07-15T10:15:29Z</dcterms:modified>
</cp:coreProperties>
</file>