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15 aktau yauo fotorele\"/>
    </mc:Choice>
  </mc:AlternateContent>
  <xr:revisionPtr revIDLastSave="0" documentId="13_ncr:1_{9D8E01E7-2039-4D2A-ADF4-71D0403E20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BOM_DUZELTIL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<sst xmlns="http://schemas.openxmlformats.org/spreadsheetml/2006/main" count="10" uniqueCount="10">
  <si>
    <t>Miktar</t>
  </si>
  <si>
    <t>Birim</t>
  </si>
  <si>
    <t>Marka/Tedarikçi</t>
  </si>
  <si>
    <t>ЩО-ФР-6</t>
  </si>
  <si>
    <t>компл.</t>
  </si>
  <si>
    <t>ЦЕНА</t>
  </si>
  <si>
    <t>СУММ.</t>
  </si>
  <si>
    <t>Номенклатура</t>
  </si>
  <si>
    <t>Артикул</t>
  </si>
  <si>
    <t>TEKLED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</si>
</sst>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color rgb="FF00000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6"/>
      <name val="Carlito"/>
      <charset val="16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2" fontId="1" fillId="3" borderId="3" xfId="0" applyNumberFormat="1" applyFont="1" applyFill="1" applyBorder="1" applyAlignment="1">
      <alignment vertical="center" wrapText="1"/>
    </xf>
    <xf numFmtId="4" fontId="1" fillId="3" borderId="3" xfId="0" applyNumberFormat="1" applyFont="1" applyFill="1" applyBorder="1" applyAlignment="1">
      <alignment vertical="center" wrapText="1"/>
    </xf>
    <xf numFmtId="0" fontId="0" fillId="0" borderId="4" xfId="0" applyBorder="1"/>
    <xf numFmtId="3" fontId="3" fillId="4" borderId="4" xfId="0" applyNumberFormat="1" applyFont="1" applyFill="1" applyBorder="1"/>
    <xf numFmtId="0" fontId="0" fillId="5" borderId="4" xfId="0" applyFill="1" applyBorder="1"/>
    <xf numFmtId="2" fontId="1" fillId="5" borderId="4" xfId="0" applyNumberFormat="1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6"/>
        <color auto="1"/>
        <name val="Carlito"/>
        <charset val="162"/>
        <scheme val="none"/>
      </font>
      <numFmt numFmtId="3" formatCode="#,##0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z val="10"/>
        <color rgb="FF000000"/>
        <name val="Arial"/>
        <family val="2"/>
        <charset val="204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0"/>
        <color rgb="FF000000"/>
        <name val="Arial"/>
        <family val="2"/>
        <charset val="204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0"/>
        <color rgb="FF000000"/>
        <name val="Arial"/>
        <family val="2"/>
        <charset val="204"/>
      </font>
      <numFmt numFmtId="2" formatCode="0.00"/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2</xdr:row>
      <xdr:rowOff>104775</xdr:rowOff>
    </xdr:from>
    <xdr:to>
      <xdr:col>5</xdr:col>
      <xdr:colOff>219898</xdr:colOff>
      <xdr:row>24</xdr:row>
      <xdr:rowOff>48183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2513C66-9E61-4296-5197-1CAD81FA5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962025"/>
          <a:ext cx="5896798" cy="40010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Table" displayName="BOMTable" ref="B1:G3" totalsRowCount="1">
  <autoFilter ref="B1:G2" xr:uid="{00000000-000C-0000-FFFF-FFFF00000000}"/>
  <tableColumns count="6">
    <tableColumn id="5" xr3:uid="{00000000-0010-0000-0000-000005000000}" name="Номенклатура" dataDxfId="11" totalsRowDxfId="3"/>
    <tableColumn id="9" xr3:uid="{00000000-0010-0000-0000-000009000000}" name="Miktar" dataDxfId="7" totalsRowDxfId="2"/>
    <tableColumn id="10" xr3:uid="{00000000-0010-0000-0000-00000A000000}" name="Birim" dataDxfId="6" totalsRowDxfId="1"/>
    <tableColumn id="11" xr3:uid="{00000000-0010-0000-0000-00000B000000}" name="Marka/Tedarikçi" dataDxfId="5" totalsRowDxfId="0"/>
    <tableColumn id="15" xr3:uid="{00000000-0010-0000-0000-00000F000000}" name="ЦЕНА" dataDxfId="10" totalsRowDxfId="8"/>
    <tableColumn id="18" xr3:uid="{00000000-0010-0000-0000-000012000000}" name="СУММ." totalsRowFunction="sum" dataDxfId="9" totalsRowDxfId="4">
      <calculatedColumnFormula>BOMTable[[#This Row],[ЦЕНА]]*BOMTable[[#This Row],[Miktar]]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J25" sqref="J25"/>
    </sheetView>
  </sheetViews>
  <sheetFormatPr defaultRowHeight="14.25"/>
  <cols>
    <col min="1" max="1" width="21.625" customWidth="1"/>
    <col min="2" max="2" width="36" customWidth="1"/>
    <col min="3" max="3" width="9" customWidth="1"/>
    <col min="4" max="4" width="10" customWidth="1"/>
    <col min="5" max="5" width="16" customWidth="1"/>
    <col min="6" max="6" width="14" customWidth="1"/>
    <col min="7" max="7" width="17" customWidth="1"/>
    <col min="11" max="11" width="35" customWidth="1"/>
    <col min="12" max="12" width="42" customWidth="1"/>
    <col min="13" max="13" width="12" customWidth="1"/>
  </cols>
  <sheetData>
    <row r="1" spans="1:7" ht="33.950000000000003" customHeight="1">
      <c r="A1" s="1" t="s">
        <v>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5</v>
      </c>
      <c r="G1" s="2" t="s">
        <v>6</v>
      </c>
    </row>
    <row r="2" spans="1:7" ht="33.950000000000003" customHeight="1">
      <c r="A2" s="3"/>
      <c r="B2" s="3" t="s">
        <v>3</v>
      </c>
      <c r="C2" s="4">
        <v>1</v>
      </c>
      <c r="D2" s="3" t="s">
        <v>4</v>
      </c>
      <c r="E2" s="3" t="s">
        <v>9</v>
      </c>
      <c r="F2" s="5">
        <v>168475</v>
      </c>
      <c r="G2" s="5">
        <f>BOMTable[[#This Row],[ЦЕНА]]*BOMTable[[#This Row],[Miktar]]</f>
        <v>168475</v>
      </c>
    </row>
    <row r="3" spans="1:7" ht="20.25">
      <c r="B3" s="8"/>
      <c r="C3" s="9"/>
      <c r="D3" s="10"/>
      <c r="E3" s="10"/>
      <c r="F3" s="6"/>
      <c r="G3" s="7">
        <f>SUBTOTAL(109,BOMTable[СУММ.])</f>
        <v>168475</v>
      </c>
    </row>
    <row r="4" spans="1:7">
      <c r="B4" s="11"/>
      <c r="C4" s="11"/>
      <c r="D4" s="11"/>
      <c r="E4" s="1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01_BOM_DUZELTILDI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2026-07-15T10:24:18Z</dcterms:modified>
</cp:coreProperties>
</file>