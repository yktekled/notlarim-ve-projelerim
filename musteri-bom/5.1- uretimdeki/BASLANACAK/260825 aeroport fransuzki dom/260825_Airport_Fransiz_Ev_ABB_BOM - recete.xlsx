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5 aeroport fransuzki dom\"/>
    </mc:Choice>
  </mc:AlternateContent>
  <xr:revisionPtr revIDLastSave="0" documentId="13_ncr:1_{5364251A-7367-4EFA-B726-D14ED22228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BB BOM" sheetId="1" r:id="rId1"/>
  </sheets>
  <definedNames>
    <definedName name="_xlnm._FilterDatabase" localSheetId="0" hidden="1">'ABB BOM'!$A$6:$J$6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<sst xmlns="http://schemas.openxmlformats.org/spreadsheetml/2006/main" count="85" uniqueCount="67">
  <si>
    <t>260825 AEROPORT FRANSIZ EV - ВРЩ - ABB BOM</t>
  </si>
  <si>
    <t>Proje: “Французский дом BSB” - Almatı Havalimanı, Maylina 2 | Kaynak: ЭОМ_Франц. Дом_Rev4</t>
  </si>
  <si>
    <t>PANO: ВРЩ</t>
  </si>
  <si>
    <t>3F, 400 V, 25 A</t>
  </si>
  <si>
    <t>Ру 8,7 kW | Рр 6,0 kW</t>
  </si>
  <si>
    <t>Ip 9,8 A | cosφ 0,93</t>
  </si>
  <si>
    <t>FİYAT TOPLAMI, ₸</t>
  </si>
  <si>
    <t>MODÜL KAPASİTESİ</t>
  </si>
  <si>
    <t>TAHMİNİ KULLANILAN</t>
  </si>
  <si>
    <t>YEDEK ORANI</t>
  </si>
  <si>
    <t>Birim fiyat hücreleri kullanıcı girişidir. Toplamlar otomatik hesaplanır. İç malzeme miktarları 1 pano içindir; panel adedi yalnız ilk BOM satırında gösterilir.</t>
  </si>
  <si>
    <t>Sıra</t>
  </si>
  <si>
    <t>Pano Adı</t>
  </si>
  <si>
    <t>Ürün Grubu</t>
  </si>
  <si>
    <t>Malzeme / Teknik Özellik</t>
  </si>
  <si>
    <t>Marka</t>
  </si>
  <si>
    <t>Seri / Model</t>
  </si>
  <si>
    <t>Ürün Kodu</t>
  </si>
  <si>
    <t>Birim</t>
  </si>
  <si>
    <t>Miktar</t>
  </si>
  <si>
    <t>Açıklama / Kontrol</t>
  </si>
  <si>
    <t>ВРЩ</t>
  </si>
  <si>
    <t>Щит / Panel</t>
  </si>
  <si>
    <t>Giriş-dağıtım ve enerji sayaç panosu; ABB şaltlı; 3F, 400 V; IP31 minimum</t>
  </si>
  <si>
    <t>TEKLED</t>
  </si>
  <si>
    <t>Duvar tipi, tek kapak</t>
  </si>
  <si>
    <t>-</t>
  </si>
  <si>
    <t>компл.</t>
  </si>
  <si>
    <t>Panel adedi yalnız bu satırda.</t>
  </si>
  <si>
    <t>Корпус</t>
  </si>
  <si>
    <t>Metal korpus 600x500x200 mm; IP54; montaj plakalı; tek kapak</t>
  </si>
  <si>
    <t>KONTROL EDİLECEK</t>
  </si>
  <si>
    <t>adet</t>
  </si>
  <si>
    <t>IP54, projedeki IP31 şartından üstündür; ölçü yerleşim onayında kesinleşir.</t>
  </si>
  <si>
    <t>ОТО / MCB</t>
  </si>
  <si>
    <t>Ana otomatik şalter; 3P; 25 A; C eğrisi; 6 kA</t>
  </si>
  <si>
    <t>ABB</t>
  </si>
  <si>
    <t>S203-C25</t>
  </si>
  <si>
    <t>2CDS253001R0254</t>
  </si>
  <si>
    <t>Tek hat: 3P 25 A.</t>
  </si>
  <si>
    <t>Grup otomatik şalteri; 1P; 10 A; C eğrisi; 6 kA</t>
  </si>
  <si>
    <t>S201-C10</t>
  </si>
  <si>
    <t>2CDS251001R0104</t>
  </si>
  <si>
    <t>Gr.1-7 + Gr.11 + Gr.12 = 9 adet.</t>
  </si>
  <si>
    <t>Диф. / RCBO</t>
  </si>
  <si>
    <t>Kaçak akım korumalı otomatik şalter; 1P+N; 16 A; C; 30 mA; Tip A; 6 kA; 2 modül</t>
  </si>
  <si>
    <t>DS201 C16 A30</t>
  </si>
  <si>
    <t>2CSR255180R1164</t>
  </si>
  <si>
    <t>Gr.8-10 priz devreleri.</t>
  </si>
  <si>
    <t>Счётчик</t>
  </si>
  <si>
    <t>Üç faz direkt bağlı enerji sayacı; 3x230/400 V; 50/60 A; RS-485</t>
  </si>
  <si>
    <t>Инкотекс</t>
  </si>
  <si>
    <t>Меркурий 230 RS-485</t>
  </si>
  <si>
    <t>Proje markası korunmuştur; kesin sayaç modifikasyonu onaylanmalıdır.</t>
  </si>
  <si>
    <t>EKT / muadil</t>
  </si>
  <si>
    <t>set</t>
  </si>
  <si>
    <t>Монтажный материал</t>
  </si>
  <si>
    <t>Vida, somun, pul, kablo bağı, spiral, destek ve genel montaj sarfı</t>
  </si>
  <si>
    <t>Bir pano için.</t>
  </si>
  <si>
    <t>Монтажные работы</t>
  </si>
  <si>
    <t>Pano mekanik montajı, iç kablolama, etiketleme ve rutin test</t>
  </si>
  <si>
    <t>iş</t>
  </si>
  <si>
    <t>IEC 61439 rutin doğrulama kayıtları dahil.</t>
  </si>
  <si>
    <t>250200023_</t>
  </si>
  <si>
    <t>ЩУРв-3-30зо (550x500x165) IEK</t>
  </si>
  <si>
    <t>iek</t>
  </si>
  <si>
    <t>TEKLED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</si>
</sst>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name val="Carlito"/>
    </font>
    <font>
      <b/>
      <sz val="16"/>
      <color rgb="FFFFFFFF"/>
      <name val="Carlito"/>
    </font>
    <font>
      <i/>
      <sz val="10"/>
      <color rgb="FF17365D"/>
      <name val="Carlito"/>
    </font>
    <font>
      <b/>
      <sz val="10"/>
      <color rgb="FF17365D"/>
      <name val="Carlito"/>
    </font>
    <font>
      <b/>
      <sz val="10"/>
      <color rgb="FF375623"/>
      <name val="Carlito"/>
    </font>
    <font>
      <sz val="9"/>
      <color rgb="FF7F6000"/>
      <name val="Carlito"/>
    </font>
    <font>
      <b/>
      <sz val="10"/>
      <color rgb="FFFFFFFF"/>
      <name val="Carlito"/>
    </font>
    <font>
      <sz val="9"/>
      <color rgb="FF1F2937"/>
      <name val="Carlito"/>
    </font>
    <font>
      <b/>
      <sz val="9"/>
      <color rgb="FF17365D"/>
      <name val="Carlito"/>
    </font>
    <font>
      <b/>
      <sz val="9"/>
      <color rgb="FFC00000"/>
      <name val="Carlito"/>
    </font>
    <font>
      <b/>
      <sz val="9"/>
      <color rgb="FF40404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4FB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4" fontId="3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tabSelected="1" workbookViewId="0">
      <selection activeCell="G3" sqref="G3"/>
    </sheetView>
  </sheetViews>
  <sheetFormatPr defaultRowHeight="14.25"/>
  <cols>
    <col min="1" max="1" width="7" customWidth="1"/>
    <col min="2" max="2" width="11" customWidth="1"/>
    <col min="3" max="3" width="20" customWidth="1"/>
    <col min="4" max="5" width="24" customWidth="1"/>
    <col min="6" max="6" width="10" customWidth="1"/>
    <col min="7" max="7" width="24.25" customWidth="1"/>
    <col min="8" max="8" width="16" customWidth="1"/>
    <col min="9" max="9" width="47" customWidth="1"/>
    <col min="10" max="10" width="46" customWidth="1"/>
  </cols>
  <sheetData>
    <row r="1" spans="1:10" ht="27.9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1.9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23.1" customHeight="1">
      <c r="A3" s="16" t="s">
        <v>2</v>
      </c>
      <c r="B3" s="16"/>
      <c r="C3" s="16" t="s">
        <v>3</v>
      </c>
      <c r="D3" s="16" t="s">
        <v>5</v>
      </c>
      <c r="E3" s="16"/>
      <c r="F3" s="16"/>
      <c r="G3" s="16" t="s">
        <v>6</v>
      </c>
      <c r="H3" s="16" t="s">
        <v>4</v>
      </c>
      <c r="I3" s="16"/>
      <c r="J3" s="17"/>
    </row>
    <row r="4" spans="1:10" ht="21.95" customHeight="1">
      <c r="A4" s="13" t="s">
        <v>7</v>
      </c>
      <c r="B4" s="13"/>
      <c r="C4" s="13">
        <v>36</v>
      </c>
      <c r="D4" s="13">
        <v>25</v>
      </c>
      <c r="E4" s="13"/>
      <c r="F4" s="13"/>
      <c r="G4" s="13" t="s">
        <v>9</v>
      </c>
      <c r="H4" s="13" t="s">
        <v>8</v>
      </c>
      <c r="I4" s="13"/>
      <c r="J4" s="11"/>
    </row>
    <row r="5" spans="1:10" ht="21" customHeight="1">
      <c r="A5" s="12" t="s">
        <v>10</v>
      </c>
      <c r="B5" s="12"/>
      <c r="C5" s="12"/>
      <c r="D5" s="12"/>
      <c r="E5" s="12"/>
      <c r="F5" s="12"/>
      <c r="G5" s="12"/>
      <c r="H5" s="12"/>
      <c r="I5" s="12"/>
      <c r="J5" s="12"/>
    </row>
    <row r="6" spans="1:10" ht="32.1" customHeight="1">
      <c r="A6" s="1" t="s">
        <v>11</v>
      </c>
      <c r="B6" s="1" t="s">
        <v>12</v>
      </c>
      <c r="C6" s="1" t="s">
        <v>13</v>
      </c>
      <c r="D6" s="1" t="s">
        <v>17</v>
      </c>
      <c r="E6" s="1" t="s">
        <v>16</v>
      </c>
      <c r="F6" s="1" t="s">
        <v>18</v>
      </c>
      <c r="G6" s="1" t="s">
        <v>19</v>
      </c>
      <c r="H6" s="1" t="s">
        <v>15</v>
      </c>
      <c r="I6" s="1" t="s">
        <v>14</v>
      </c>
      <c r="J6" s="1" t="s">
        <v>20</v>
      </c>
    </row>
    <row r="7" spans="1:10" ht="30" customHeight="1">
      <c r="A7" s="2">
        <v>1</v>
      </c>
      <c r="B7" s="2" t="s">
        <v>21</v>
      </c>
      <c r="C7" s="2" t="s">
        <v>22</v>
      </c>
      <c r="D7" s="2" t="s">
        <v>26</v>
      </c>
      <c r="E7" s="2" t="s">
        <v>25</v>
      </c>
      <c r="F7" s="2" t="s">
        <v>27</v>
      </c>
      <c r="G7" s="2">
        <v>1</v>
      </c>
      <c r="H7" s="2" t="s">
        <v>66</v>
      </c>
      <c r="I7" s="3" t="s">
        <v>23</v>
      </c>
      <c r="J7" s="3" t="s">
        <v>28</v>
      </c>
    </row>
    <row r="8" spans="1:10" ht="30" customHeight="1">
      <c r="A8" s="4">
        <v>2</v>
      </c>
      <c r="B8" s="4" t="s">
        <v>21</v>
      </c>
      <c r="C8" s="4" t="s">
        <v>29</v>
      </c>
      <c r="D8" s="6" t="s">
        <v>63</v>
      </c>
      <c r="E8" s="4" t="s">
        <v>64</v>
      </c>
      <c r="F8" s="4" t="s">
        <v>32</v>
      </c>
      <c r="G8" s="4">
        <v>1</v>
      </c>
      <c r="H8" s="4" t="s">
        <v>65</v>
      </c>
      <c r="I8" s="5" t="s">
        <v>30</v>
      </c>
      <c r="J8" s="5" t="s">
        <v>33</v>
      </c>
    </row>
    <row r="9" spans="1:10" ht="30" customHeight="1">
      <c r="A9" s="7">
        <v>3</v>
      </c>
      <c r="B9" s="7" t="s">
        <v>21</v>
      </c>
      <c r="C9" s="7" t="s">
        <v>34</v>
      </c>
      <c r="D9" s="7" t="s">
        <v>38</v>
      </c>
      <c r="E9" s="7" t="s">
        <v>37</v>
      </c>
      <c r="F9" s="7" t="s">
        <v>32</v>
      </c>
      <c r="G9" s="7">
        <v>1</v>
      </c>
      <c r="H9" s="7" t="s">
        <v>36</v>
      </c>
      <c r="I9" s="8" t="s">
        <v>35</v>
      </c>
      <c r="J9" s="8" t="s">
        <v>39</v>
      </c>
    </row>
    <row r="10" spans="1:10" ht="30" customHeight="1">
      <c r="A10" s="7">
        <v>4</v>
      </c>
      <c r="B10" s="7" t="s">
        <v>21</v>
      </c>
      <c r="C10" s="7" t="s">
        <v>34</v>
      </c>
      <c r="D10" s="7" t="s">
        <v>42</v>
      </c>
      <c r="E10" s="7" t="s">
        <v>41</v>
      </c>
      <c r="F10" s="7" t="s">
        <v>32</v>
      </c>
      <c r="G10" s="7">
        <v>9</v>
      </c>
      <c r="H10" s="7" t="s">
        <v>36</v>
      </c>
      <c r="I10" s="8" t="s">
        <v>40</v>
      </c>
      <c r="J10" s="8" t="s">
        <v>43</v>
      </c>
    </row>
    <row r="11" spans="1:10" ht="30" customHeight="1">
      <c r="A11" s="7">
        <v>5</v>
      </c>
      <c r="B11" s="7" t="s">
        <v>21</v>
      </c>
      <c r="C11" s="7" t="s">
        <v>44</v>
      </c>
      <c r="D11" s="7" t="s">
        <v>47</v>
      </c>
      <c r="E11" s="7" t="s">
        <v>46</v>
      </c>
      <c r="F11" s="7" t="s">
        <v>32</v>
      </c>
      <c r="G11" s="7">
        <v>3</v>
      </c>
      <c r="H11" s="7" t="s">
        <v>36</v>
      </c>
      <c r="I11" s="8" t="s">
        <v>45</v>
      </c>
      <c r="J11" s="8" t="s">
        <v>48</v>
      </c>
    </row>
    <row r="12" spans="1:10" ht="30" customHeight="1">
      <c r="A12" s="4">
        <v>6</v>
      </c>
      <c r="B12" s="4" t="s">
        <v>21</v>
      </c>
      <c r="C12" s="4" t="s">
        <v>49</v>
      </c>
      <c r="D12" s="6" t="s">
        <v>31</v>
      </c>
      <c r="E12" s="4" t="s">
        <v>52</v>
      </c>
      <c r="F12" s="4" t="s">
        <v>32</v>
      </c>
      <c r="G12" s="4">
        <v>1</v>
      </c>
      <c r="H12" s="4" t="s">
        <v>51</v>
      </c>
      <c r="I12" s="5" t="s">
        <v>50</v>
      </c>
      <c r="J12" s="5" t="s">
        <v>53</v>
      </c>
    </row>
    <row r="13" spans="1:10" ht="30" customHeight="1">
      <c r="A13" s="9">
        <v>24</v>
      </c>
      <c r="B13" s="9" t="s">
        <v>21</v>
      </c>
      <c r="C13" s="9" t="s">
        <v>56</v>
      </c>
      <c r="D13" s="9" t="s">
        <v>26</v>
      </c>
      <c r="E13" s="9" t="s">
        <v>26</v>
      </c>
      <c r="F13" s="9" t="s">
        <v>55</v>
      </c>
      <c r="G13" s="9">
        <v>1</v>
      </c>
      <c r="H13" s="9" t="s">
        <v>54</v>
      </c>
      <c r="I13" s="10" t="s">
        <v>57</v>
      </c>
      <c r="J13" s="10" t="s">
        <v>58</v>
      </c>
    </row>
    <row r="14" spans="1:10" ht="30" customHeight="1">
      <c r="A14" s="9">
        <v>25</v>
      </c>
      <c r="B14" s="9" t="s">
        <v>21</v>
      </c>
      <c r="C14" s="9" t="s">
        <v>59</v>
      </c>
      <c r="D14" s="9" t="s">
        <v>26</v>
      </c>
      <c r="E14" s="9" t="s">
        <v>26</v>
      </c>
      <c r="F14" s="9" t="s">
        <v>61</v>
      </c>
      <c r="G14" s="9" t="e">
        <f>60*#REF!</f>
        <v>#REF!</v>
      </c>
      <c r="H14" s="9" t="s">
        <v>24</v>
      </c>
      <c r="I14" s="10" t="s">
        <v>60</v>
      </c>
      <c r="J14" s="10" t="s">
        <v>62</v>
      </c>
    </row>
  </sheetData>
  <autoFilter ref="A6:J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ABB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2026-09-02T11:34:38Z</dcterms:modified>
</cp:coreProperties>
</file>