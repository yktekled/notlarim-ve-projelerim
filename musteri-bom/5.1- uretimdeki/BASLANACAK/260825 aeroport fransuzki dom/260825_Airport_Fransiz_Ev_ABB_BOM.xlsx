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5 aeroport fransuzki dom\"/>
    </mc:Choice>
  </mc:AlternateContent>
  <xr:revisionPtr revIDLastSave="0" documentId="13_ncr:1_{0103EE38-4C51-40F3-B50E-78C8B7A2B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B BOM" sheetId="1" r:id="rId1"/>
  </sheets>
  <definedNames>
    <definedName name="_xlnm._FilterDatabase" localSheetId="0" hidden="1">'ABB BOM'!$A$6:$M$6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15" i="1"/>
  <c r="J14" i="1"/>
  <c r="H14" i="1" s="1"/>
  <c r="F13" i="1" s="1"/>
  <c r="G13" i="1" s="1"/>
  <c r="H13" i="1" s="1"/>
  <c r="G10" i="1"/>
  <c r="G11" i="1"/>
  <c r="G9" i="1"/>
  <c r="G8" i="1"/>
  <c r="H12" i="1"/>
  <c r="H11" i="1"/>
  <c r="H10" i="1"/>
  <c r="H9" i="1"/>
  <c r="H8" i="1"/>
  <c r="H7" i="1"/>
  <c r="H4" i="1"/>
  <c r="H3" i="1" l="1"/>
</calcChain>
</file>

<file path=xl/sharedStrings.xml><?xml version="1.0" encoding="utf-8"?>
<sst xmlns="http://schemas.openxmlformats.org/spreadsheetml/2006/main" count="106" uniqueCount="86">
  <si>
    <t>260825 AEROPORT FRANSIZ EV - ВРЩ - ABB BOM</t>
  </si>
  <si>
    <t>Proje: “Французский дом BSB” - Almatı Havalimanı, Maylina 2 | Kaynak: ЭОМ_Франц. Дом_Rev4</t>
  </si>
  <si>
    <t>PANO: ВРЩ</t>
  </si>
  <si>
    <t>3F, 400 V, 25 A</t>
  </si>
  <si>
    <t>Ру 8,7 kW | Рр 6,0 kW</t>
  </si>
  <si>
    <t>Ip 9,8 A | cosφ 0,93</t>
  </si>
  <si>
    <t>FİYAT TOPLAMI, ₸</t>
  </si>
  <si>
    <t>MODÜL KAPASİTESİ</t>
  </si>
  <si>
    <t>TAHMİNİ KULLANILAN</t>
  </si>
  <si>
    <t>YEDEK ORANI</t>
  </si>
  <si>
    <t>Birim fiyat hücreleri kullanıcı girişidir. Toplamlar otomatik hesaplanır. İç malzeme miktarları 1 pano içindir; panel adedi yalnız ilk BOM satırında gösterilir.</t>
  </si>
  <si>
    <t>Sıra</t>
  </si>
  <si>
    <t>Pano Adı</t>
  </si>
  <si>
    <t>Ürün Grubu</t>
  </si>
  <si>
    <t>Malzeme / Teknik Özellik</t>
  </si>
  <si>
    <t>Marka</t>
  </si>
  <si>
    <t>Seri / Model</t>
  </si>
  <si>
    <t>Ürün Kodu</t>
  </si>
  <si>
    <t>Birim</t>
  </si>
  <si>
    <t>Miktar</t>
  </si>
  <si>
    <t>Birim Fiyat, ₸</t>
  </si>
  <si>
    <t>Toplam, ₸</t>
  </si>
  <si>
    <t>Açıklama / Kontrol</t>
  </si>
  <si>
    <t>ВРЩ</t>
  </si>
  <si>
    <t>Щит / Panel</t>
  </si>
  <si>
    <t>Giriş-dağıtım ve enerji sayaç panosu; ABB şaltlı; 3F, 400 V; IP31 minimum</t>
  </si>
  <si>
    <t>TEKLED</t>
  </si>
  <si>
    <t>Duvar tipi, tek kapak</t>
  </si>
  <si>
    <t>-</t>
  </si>
  <si>
    <t>компл.</t>
  </si>
  <si>
    <t>Panel adedi yalnız bu satırda.</t>
  </si>
  <si>
    <t>Корпус</t>
  </si>
  <si>
    <t>Metal korpus 600x500x200 mm; IP54; montaj plakalı; tek kapak</t>
  </si>
  <si>
    <t>KONTROL EDİLECEK</t>
  </si>
  <si>
    <t>adet</t>
  </si>
  <si>
    <t>IP54, projedeki IP31 şartından üstündür; ölçü yerleşim onayında kesinleşir.</t>
  </si>
  <si>
    <t>ОТО / MCB</t>
  </si>
  <si>
    <t>Ana otomatik şalter; 3P; 25 A; C eğrisi; 6 kA</t>
  </si>
  <si>
    <t>ABB</t>
  </si>
  <si>
    <t>S203-C25</t>
  </si>
  <si>
    <t>2CDS253001R0254</t>
  </si>
  <si>
    <t>Tek hat: 3P 25 A.</t>
  </si>
  <si>
    <t>Grup otomatik şalteri; 1P; 10 A; C eğrisi; 6 kA</t>
  </si>
  <si>
    <t>S201-C10</t>
  </si>
  <si>
    <t>2CDS251001R0104</t>
  </si>
  <si>
    <t>Gr.1-7 + Gr.11 + Gr.12 = 9 adet.</t>
  </si>
  <si>
    <t>Диф. / RCBO</t>
  </si>
  <si>
    <t>Kaçak akım korumalı otomatik şalter; 1P+N; 16 A; C; 30 mA; Tip A; 6 kA; 2 modül</t>
  </si>
  <si>
    <t>DS201 C16 A30</t>
  </si>
  <si>
    <t>2CSR255180R1164</t>
  </si>
  <si>
    <t>Gr.8-10 priz devreleri.</t>
  </si>
  <si>
    <t>Счётчик</t>
  </si>
  <si>
    <t>Üç faz direkt bağlı enerji sayacı; 3x230/400 V; 50/60 A; RS-485</t>
  </si>
  <si>
    <t>Инкотекс</t>
  </si>
  <si>
    <t>Меркурий 230 RS-485</t>
  </si>
  <si>
    <t>Proje markası korunmuştur; kesin sayaç modifikasyonu onaylanmalıdır.</t>
  </si>
  <si>
    <t>EKT / muadil</t>
  </si>
  <si>
    <t>set</t>
  </si>
  <si>
    <t>Монтажный материал</t>
  </si>
  <si>
    <t>Vida, somun, pul, kablo bağı, spiral, destek ve genel montaj sarfı</t>
  </si>
  <si>
    <t>Bir pano için.</t>
  </si>
  <si>
    <t>Монтажные работы</t>
  </si>
  <si>
    <t>Pano mekanik montajı, iç kablolama, etiketleme ve rutin test</t>
  </si>
  <si>
    <t>iş</t>
  </si>
  <si>
    <t>IEC 61439 rutin doğrulama kayıtları dahil.</t>
  </si>
  <si>
    <t>KONTROL VE KAYNAK NOTLARI</t>
  </si>
  <si>
    <t>1) Tek hat ana kaynaktır: Gr.1-7, Gr.11 ve Gr.12 toplam 9 adet 1P 10 A MCB'dir. Proje spesifikasyonundaki 3 adet ifadesi tek hatla çeliştiği için kullanılmamıştır.</t>
  </si>
  <si>
    <t>2) Kısa devre seviyesi projede verilmemiştir. Seçilen S200/DS201 cihazları 6 kA'dır. Hesaplanan Ik &gt; 6 kA ise S200M/DS201M 10 kA serisine yükseltilmelidir.</t>
  </si>
  <si>
    <t>3) 600x500x200 mm korpus, cihaz + sayaç + klemens yerleşimi ve %20 minimum yedek için ön seçimdir. Üretim yerleşim çiziminde kesinleştirilmelidir.</t>
  </si>
  <si>
    <t>4) Sayaç için projede yalnız 'Меркурий 230, 50 A, RS-485' verilmiştir. Kesin alt tip, protokol ve haberleşme bağlantısı müşteri onayına bağlıdır.</t>
  </si>
  <si>
    <t>5) Fiyat kolonları boş bırakılmıştır; güncel tedarikçi fiyatları girildiğinde satır ve genel toplam otomatik hesaplanır.</t>
  </si>
  <si>
    <t>Proje kaynağı</t>
  </si>
  <si>
    <t>ЭОМ_Франц. Дом_Rev4 - Kopya.pdf, tek hat paftası ve ekipman spesifikasyonu</t>
  </si>
  <si>
    <t>ABB S203-C25</t>
  </si>
  <si>
    <t>https://new.abb.com/products/2CDS253001R0254/s203-c25</t>
  </si>
  <si>
    <t>ABB S201-C10</t>
  </si>
  <si>
    <t>https://new.abb.com/products/2CDS251001R0104/s201-c10</t>
  </si>
  <si>
    <t>ABB DS201 C16 A30</t>
  </si>
  <si>
    <t>https://new.abb.com/products/2CSR255180R1164/ds201-c16-a30</t>
  </si>
  <si>
    <t>ABB PS3/12</t>
  </si>
  <si>
    <t>https://new.abb.com/products/2CDL231001R1012/ps3-12</t>
  </si>
  <si>
    <t>ABB PS-END 3.2</t>
  </si>
  <si>
    <t>https://new.abb.com/products/2CDL200001R3003/ps-end-3-2</t>
  </si>
  <si>
    <t>250200023_</t>
  </si>
  <si>
    <t>ЩУРв-3-30зо (550x500x165) IEK</t>
  </si>
  <si>
    <t>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</si>
</sst>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0"/>
      <color rgb="FF17365D"/>
      <name val="Carlito"/>
    </font>
    <font>
      <b/>
      <sz val="10"/>
      <color rgb="FF375623"/>
      <name val="Carlito"/>
    </font>
    <font>
      <sz val="9"/>
      <color rgb="FF7F6000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9"/>
      <color rgb="FF17365D"/>
      <name val="Carlito"/>
    </font>
    <font>
      <b/>
      <sz val="9"/>
      <color rgb="FFC00000"/>
      <name val="Carlito"/>
    </font>
    <font>
      <b/>
      <sz val="9"/>
      <color rgb="FF404040"/>
      <name val="Carlito"/>
    </font>
    <font>
      <sz val="8"/>
      <color rgb="FF44546A"/>
      <name val="Carlito"/>
    </font>
    <font>
      <b/>
      <sz val="8"/>
      <color rgb="FF17365D"/>
      <name val="Carlito"/>
    </font>
    <font>
      <sz val="8"/>
      <color rgb="FF0563C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4FB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F8FAFC"/>
      </patternFill>
    </fill>
  </fills>
  <borders count="11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" fontId="0" fillId="0" borderId="0" xfId="0" applyNumberFormat="1"/>
    <xf numFmtId="0" fontId="7" fillId="11" borderId="1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vertical="center" wrapText="1"/>
    </xf>
    <xf numFmtId="0" fontId="7" fillId="11" borderId="3" xfId="0" applyFont="1" applyFill="1" applyBorder="1" applyAlignment="1">
      <alignment vertical="center" wrapText="1"/>
    </xf>
    <xf numFmtId="0" fontId="7" fillId="11" borderId="4" xfId="0" applyFont="1" applyFill="1" applyBorder="1" applyAlignment="1">
      <alignment vertical="center" wrapText="1"/>
    </xf>
    <xf numFmtId="0" fontId="7" fillId="11" borderId="0" xfId="0" applyFont="1" applyFill="1" applyAlignment="1">
      <alignment vertical="center" wrapText="1"/>
    </xf>
    <xf numFmtId="0" fontId="7" fillId="11" borderId="5" xfId="0" applyFont="1" applyFill="1" applyBorder="1" applyAlignment="1">
      <alignment vertical="center" wrapText="1"/>
    </xf>
    <xf numFmtId="0" fontId="7" fillId="11" borderId="6" xfId="0" applyFont="1" applyFill="1" applyBorder="1" applyAlignment="1">
      <alignment vertical="center" wrapText="1"/>
    </xf>
    <xf numFmtId="0" fontId="7" fillId="11" borderId="7" xfId="0" applyFont="1" applyFill="1" applyBorder="1" applyAlignment="1">
      <alignment vertical="center" wrapText="1"/>
    </xf>
    <xf numFmtId="0" fontId="7" fillId="11" borderId="8" xfId="0" applyFont="1" applyFill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6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vertical="center" wrapText="1"/>
    </xf>
    <xf numFmtId="4" fontId="8" fillId="8" borderId="10" xfId="0" applyNumberFormat="1" applyFont="1" applyFill="1" applyBorder="1" applyAlignment="1">
      <alignment horizontal="right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vertical="center" wrapText="1"/>
    </xf>
    <xf numFmtId="0" fontId="9" fillId="9" borderId="10" xfId="0" applyFont="1" applyFill="1" applyBorder="1" applyAlignment="1">
      <alignment horizontal="center" vertical="center"/>
    </xf>
    <xf numFmtId="4" fontId="7" fillId="9" borderId="10" xfId="0" applyNumberFormat="1" applyFont="1" applyFill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4" fontId="7" fillId="6" borderId="10" xfId="0" applyNumberFormat="1" applyFont="1" applyFill="1" applyBorder="1" applyAlignment="1">
      <alignment horizontal="right" vertical="center"/>
    </xf>
    <xf numFmtId="4" fontId="7" fillId="0" borderId="10" xfId="0" applyNumberFormat="1" applyFont="1" applyBorder="1" applyAlignment="1">
      <alignment horizontal="right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vertical="center" wrapText="1"/>
    </xf>
    <xf numFmtId="4" fontId="10" fillId="10" borderId="10" xfId="0" applyNumberFormat="1" applyFont="1" applyFill="1" applyBorder="1" applyAlignment="1">
      <alignment horizontal="right" vertical="center"/>
    </xf>
    <xf numFmtId="0" fontId="6" fillId="7" borderId="10" xfId="0" applyNumberFormat="1" applyFont="1" applyFill="1" applyBorder="1" applyAlignment="1">
      <alignment horizontal="center" vertical="center" wrapText="1"/>
    </xf>
    <xf numFmtId="0" fontId="8" fillId="8" borderId="10" xfId="0" applyNumberFormat="1" applyFont="1" applyFill="1" applyBorder="1" applyAlignment="1">
      <alignment horizontal="center" vertical="center"/>
    </xf>
    <xf numFmtId="0" fontId="7" fillId="9" borderId="10" xfId="0" applyNumberFormat="1" applyFont="1" applyFill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10" fillId="10" borderId="10" xfId="0" applyNumberFormat="1" applyFont="1" applyFill="1" applyBorder="1" applyAlignment="1">
      <alignment horizontal="center" vertical="center"/>
    </xf>
    <xf numFmtId="0" fontId="0" fillId="0" borderId="0" xfId="0" applyNumberFormat="1"/>
    <xf numFmtId="164" fontId="4" fillId="5" borderId="10" xfId="0" applyNumberFormat="1" applyFont="1" applyFill="1" applyBorder="1" applyAlignment="1">
      <alignment vertical="center"/>
    </xf>
    <xf numFmtId="0" fontId="5" fillId="6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5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4" fontId="3" fillId="4" borderId="1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tabSelected="1" topLeftCell="A6" workbookViewId="0">
      <selection activeCell="F8" sqref="F8"/>
    </sheetView>
  </sheetViews>
  <sheetFormatPr defaultRowHeight="14.25"/>
  <cols>
    <col min="1" max="1" width="7" customWidth="1"/>
    <col min="2" max="2" width="11" customWidth="1"/>
    <col min="3" max="3" width="20" customWidth="1"/>
    <col min="4" max="5" width="24" customWidth="1"/>
    <col min="6" max="8" width="16" customWidth="1"/>
    <col min="9" max="9" width="10" customWidth="1"/>
    <col min="10" max="10" width="11" style="34" customWidth="1"/>
    <col min="11" max="11" width="16" customWidth="1"/>
    <col min="12" max="12" width="47" customWidth="1"/>
    <col min="13" max="13" width="46" customWidth="1"/>
  </cols>
  <sheetData>
    <row r="1" spans="1:13" ht="27.95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21.95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3.1" customHeight="1">
      <c r="A3" s="41" t="s">
        <v>2</v>
      </c>
      <c r="B3" s="41"/>
      <c r="C3" s="41" t="s">
        <v>3</v>
      </c>
      <c r="D3" s="41" t="s">
        <v>5</v>
      </c>
      <c r="E3" s="41"/>
      <c r="F3" s="41"/>
      <c r="G3" s="41"/>
      <c r="H3" s="42">
        <f>IF(COUNT(G7:G14)=0,"",SUM(H7:H14))</f>
        <v>172798.27200000003</v>
      </c>
      <c r="I3" s="41"/>
      <c r="J3" s="41" t="s">
        <v>6</v>
      </c>
      <c r="K3" s="41" t="s">
        <v>4</v>
      </c>
      <c r="L3" s="41"/>
      <c r="M3" s="42"/>
    </row>
    <row r="4" spans="1:13" ht="21.95" customHeight="1">
      <c r="A4" s="38" t="s">
        <v>7</v>
      </c>
      <c r="B4" s="38"/>
      <c r="C4" s="38">
        <v>36</v>
      </c>
      <c r="D4" s="38">
        <v>25</v>
      </c>
      <c r="E4" s="38"/>
      <c r="F4" s="38"/>
      <c r="G4" s="38"/>
      <c r="H4" s="35">
        <f>(C4-D4)/C4</f>
        <v>0.30555555555555558</v>
      </c>
      <c r="I4" s="38"/>
      <c r="J4" s="38" t="s">
        <v>9</v>
      </c>
      <c r="K4" s="38" t="s">
        <v>8</v>
      </c>
      <c r="L4" s="38"/>
      <c r="M4" s="35"/>
    </row>
    <row r="5" spans="1:13" ht="21" customHeight="1">
      <c r="A5" s="36" t="s">
        <v>10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32.1" customHeight="1">
      <c r="A6" s="14" t="s">
        <v>11</v>
      </c>
      <c r="B6" s="14" t="s">
        <v>12</v>
      </c>
      <c r="C6" s="14" t="s">
        <v>13</v>
      </c>
      <c r="D6" s="14" t="s">
        <v>17</v>
      </c>
      <c r="E6" s="14" t="s">
        <v>16</v>
      </c>
      <c r="F6" s="14" t="s">
        <v>20</v>
      </c>
      <c r="G6" s="14" t="s">
        <v>20</v>
      </c>
      <c r="H6" s="14" t="s">
        <v>21</v>
      </c>
      <c r="I6" s="14" t="s">
        <v>18</v>
      </c>
      <c r="J6" s="29" t="s">
        <v>19</v>
      </c>
      <c r="K6" s="14" t="s">
        <v>15</v>
      </c>
      <c r="L6" s="14" t="s">
        <v>14</v>
      </c>
      <c r="M6" s="14" t="s">
        <v>22</v>
      </c>
    </row>
    <row r="7" spans="1:13" ht="30" customHeight="1">
      <c r="A7" s="15">
        <v>1</v>
      </c>
      <c r="B7" s="15" t="s">
        <v>23</v>
      </c>
      <c r="C7" s="15" t="s">
        <v>24</v>
      </c>
      <c r="D7" s="15" t="s">
        <v>28</v>
      </c>
      <c r="E7" s="15" t="s">
        <v>27</v>
      </c>
      <c r="F7" s="17">
        <f>2.3*H15</f>
        <v>397436.02560000005</v>
      </c>
      <c r="G7" s="17"/>
      <c r="H7" s="17" t="str">
        <f>IF(OR(J7="",G7=""),"",J7*G7)</f>
        <v/>
      </c>
      <c r="I7" s="15" t="s">
        <v>29</v>
      </c>
      <c r="J7" s="30">
        <v>1</v>
      </c>
      <c r="K7" s="15" t="s">
        <v>26</v>
      </c>
      <c r="L7" s="16" t="s">
        <v>25</v>
      </c>
      <c r="M7" s="16" t="s">
        <v>30</v>
      </c>
    </row>
    <row r="8" spans="1:13" ht="30" customHeight="1">
      <c r="A8" s="18">
        <v>2</v>
      </c>
      <c r="B8" s="18" t="s">
        <v>23</v>
      </c>
      <c r="C8" s="18" t="s">
        <v>31</v>
      </c>
      <c r="D8" s="20" t="s">
        <v>83</v>
      </c>
      <c r="E8" s="18" t="s">
        <v>84</v>
      </c>
      <c r="F8" s="21">
        <v>45000</v>
      </c>
      <c r="G8" s="21">
        <f>F8</f>
        <v>45000</v>
      </c>
      <c r="H8" s="21">
        <f>IF(OR(J8="",G8=""),"",J8*G8)</f>
        <v>45000</v>
      </c>
      <c r="I8" s="18" t="s">
        <v>34</v>
      </c>
      <c r="J8" s="31">
        <v>1</v>
      </c>
      <c r="K8" s="18" t="s">
        <v>85</v>
      </c>
      <c r="L8" s="19" t="s">
        <v>32</v>
      </c>
      <c r="M8" s="19" t="s">
        <v>35</v>
      </c>
    </row>
    <row r="9" spans="1:13" ht="30" customHeight="1">
      <c r="A9" s="22">
        <v>3</v>
      </c>
      <c r="B9" s="22" t="s">
        <v>23</v>
      </c>
      <c r="C9" s="22" t="s">
        <v>36</v>
      </c>
      <c r="D9" s="22" t="s">
        <v>40</v>
      </c>
      <c r="E9" s="22" t="s">
        <v>39</v>
      </c>
      <c r="F9" s="24">
        <v>48.51</v>
      </c>
      <c r="G9" s="24">
        <f>F9*0.32*1.3*550</f>
        <v>11099.088</v>
      </c>
      <c r="H9" s="25">
        <f>IF(OR(J9="",G9=""),"",J9*G9)</f>
        <v>11099.088</v>
      </c>
      <c r="I9" s="22" t="s">
        <v>34</v>
      </c>
      <c r="J9" s="32">
        <v>1</v>
      </c>
      <c r="K9" s="22" t="s">
        <v>38</v>
      </c>
      <c r="L9" s="23" t="s">
        <v>37</v>
      </c>
      <c r="M9" s="23" t="s">
        <v>41</v>
      </c>
    </row>
    <row r="10" spans="1:13" ht="30" customHeight="1">
      <c r="A10" s="22">
        <v>4</v>
      </c>
      <c r="B10" s="22" t="s">
        <v>23</v>
      </c>
      <c r="C10" s="22" t="s">
        <v>36</v>
      </c>
      <c r="D10" s="22" t="s">
        <v>44</v>
      </c>
      <c r="E10" s="22" t="s">
        <v>43</v>
      </c>
      <c r="F10" s="24">
        <v>10.77</v>
      </c>
      <c r="G10" s="24">
        <f t="shared" ref="G10:G11" si="0">F10*0.32*1.3*550</f>
        <v>2464.1760000000004</v>
      </c>
      <c r="H10" s="25">
        <f>IF(OR(J10="",G10=""),"",J10*G10)</f>
        <v>22177.584000000003</v>
      </c>
      <c r="I10" s="22" t="s">
        <v>34</v>
      </c>
      <c r="J10" s="32">
        <v>9</v>
      </c>
      <c r="K10" s="22" t="s">
        <v>38</v>
      </c>
      <c r="L10" s="23" t="s">
        <v>42</v>
      </c>
      <c r="M10" s="23" t="s">
        <v>45</v>
      </c>
    </row>
    <row r="11" spans="1:13" ht="30" customHeight="1">
      <c r="A11" s="22">
        <v>5</v>
      </c>
      <c r="B11" s="22" t="s">
        <v>23</v>
      </c>
      <c r="C11" s="22" t="s">
        <v>46</v>
      </c>
      <c r="D11" s="22" t="s">
        <v>49</v>
      </c>
      <c r="E11" s="22" t="s">
        <v>48</v>
      </c>
      <c r="F11" s="24">
        <v>94</v>
      </c>
      <c r="G11" s="24">
        <f t="shared" si="0"/>
        <v>21507.200000000004</v>
      </c>
      <c r="H11" s="25">
        <f>IF(OR(J11="",G11=""),"",J11*G11)</f>
        <v>64521.600000000013</v>
      </c>
      <c r="I11" s="22" t="s">
        <v>34</v>
      </c>
      <c r="J11" s="32">
        <v>3</v>
      </c>
      <c r="K11" s="22" t="s">
        <v>38</v>
      </c>
      <c r="L11" s="23" t="s">
        <v>47</v>
      </c>
      <c r="M11" s="23" t="s">
        <v>50</v>
      </c>
    </row>
    <row r="12" spans="1:13" ht="30" customHeight="1">
      <c r="A12" s="18">
        <v>6</v>
      </c>
      <c r="B12" s="18" t="s">
        <v>23</v>
      </c>
      <c r="C12" s="18" t="s">
        <v>51</v>
      </c>
      <c r="D12" s="20" t="s">
        <v>33</v>
      </c>
      <c r="E12" s="18" t="s">
        <v>54</v>
      </c>
      <c r="F12" s="21"/>
      <c r="G12" s="21"/>
      <c r="H12" s="21" t="str">
        <f>IF(OR(J12="",G12=""),"",J12*G12)</f>
        <v/>
      </c>
      <c r="I12" s="18" t="s">
        <v>34</v>
      </c>
      <c r="J12" s="31">
        <v>1</v>
      </c>
      <c r="K12" s="18" t="s">
        <v>53</v>
      </c>
      <c r="L12" s="19" t="s">
        <v>52</v>
      </c>
      <c r="M12" s="19" t="s">
        <v>55</v>
      </c>
    </row>
    <row r="13" spans="1:13" ht="30" customHeight="1">
      <c r="A13" s="26">
        <v>24</v>
      </c>
      <c r="B13" s="26" t="s">
        <v>23</v>
      </c>
      <c r="C13" s="26" t="s">
        <v>58</v>
      </c>
      <c r="D13" s="26" t="s">
        <v>28</v>
      </c>
      <c r="E13" s="26" t="s">
        <v>28</v>
      </c>
      <c r="F13" s="28">
        <f>H14</f>
        <v>15000</v>
      </c>
      <c r="G13" s="28">
        <f>F13</f>
        <v>15000</v>
      </c>
      <c r="H13" s="28">
        <f>IF(OR(J13="",G13=""),"",J13*G13)</f>
        <v>15000</v>
      </c>
      <c r="I13" s="26" t="s">
        <v>57</v>
      </c>
      <c r="J13" s="33">
        <v>1</v>
      </c>
      <c r="K13" s="26" t="s">
        <v>56</v>
      </c>
      <c r="L13" s="27" t="s">
        <v>59</v>
      </c>
      <c r="M13" s="27" t="s">
        <v>60</v>
      </c>
    </row>
    <row r="14" spans="1:13" ht="30" customHeight="1">
      <c r="A14" s="26">
        <v>25</v>
      </c>
      <c r="B14" s="26" t="s">
        <v>23</v>
      </c>
      <c r="C14" s="26" t="s">
        <v>61</v>
      </c>
      <c r="D14" s="26" t="s">
        <v>28</v>
      </c>
      <c r="E14" s="26" t="s">
        <v>28</v>
      </c>
      <c r="F14" s="28">
        <v>2.5</v>
      </c>
      <c r="G14" s="28">
        <v>100</v>
      </c>
      <c r="H14" s="28">
        <f>IF(OR(J14="",G14=""),"",J14*G14)</f>
        <v>15000</v>
      </c>
      <c r="I14" s="26" t="s">
        <v>63</v>
      </c>
      <c r="J14" s="33">
        <f>60*F14</f>
        <v>150</v>
      </c>
      <c r="K14" s="26" t="s">
        <v>26</v>
      </c>
      <c r="L14" s="27" t="s">
        <v>62</v>
      </c>
      <c r="M14" s="27" t="s">
        <v>64</v>
      </c>
    </row>
    <row r="15" spans="1:13">
      <c r="H15" s="1">
        <f>SUM(H8:H14)</f>
        <v>172798.27200000003</v>
      </c>
    </row>
    <row r="16" spans="1:13">
      <c r="A16" s="37" t="s">
        <v>65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3" ht="27.95" customHeight="1">
      <c r="A17" s="2" t="s">
        <v>66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</row>
    <row r="18" spans="1:13" ht="27.95" customHeight="1">
      <c r="A18" s="5" t="s">
        <v>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1:13" ht="27.95" customHeight="1">
      <c r="A19" s="5" t="s">
        <v>68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</row>
    <row r="20" spans="1:13" ht="27.95" customHeight="1">
      <c r="A20" s="5" t="s">
        <v>69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</row>
    <row r="21" spans="1:13" ht="27.95" customHeight="1">
      <c r="A21" s="8" t="s">
        <v>70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</row>
    <row r="23" spans="1:13" ht="20.100000000000001" customHeight="1">
      <c r="A23" s="12" t="s">
        <v>71</v>
      </c>
      <c r="B23" s="12"/>
      <c r="C23" s="12"/>
      <c r="D23" s="11"/>
      <c r="E23" s="11"/>
      <c r="F23" s="11"/>
      <c r="G23" s="11"/>
      <c r="H23" s="11"/>
      <c r="I23" s="11"/>
      <c r="J23" s="11"/>
      <c r="K23" s="11"/>
      <c r="L23" s="11" t="s">
        <v>72</v>
      </c>
      <c r="M23" s="11"/>
    </row>
    <row r="24" spans="1:13" ht="20.100000000000001" customHeight="1">
      <c r="A24" s="12" t="s">
        <v>73</v>
      </c>
      <c r="B24" s="12"/>
      <c r="C24" s="12"/>
      <c r="D24" s="11"/>
      <c r="E24" s="11"/>
      <c r="F24" s="11"/>
      <c r="G24" s="11"/>
      <c r="H24" s="11"/>
      <c r="I24" s="11"/>
      <c r="J24" s="11"/>
      <c r="K24" s="11"/>
      <c r="L24" s="13" t="s">
        <v>74</v>
      </c>
      <c r="M24" s="11"/>
    </row>
    <row r="25" spans="1:13" ht="20.100000000000001" customHeight="1">
      <c r="A25" s="12" t="s">
        <v>75</v>
      </c>
      <c r="B25" s="12"/>
      <c r="C25" s="12"/>
      <c r="D25" s="11"/>
      <c r="E25" s="11"/>
      <c r="F25" s="11"/>
      <c r="G25" s="11"/>
      <c r="H25" s="11"/>
      <c r="I25" s="11"/>
      <c r="J25" s="11"/>
      <c r="K25" s="11"/>
      <c r="L25" s="13" t="s">
        <v>76</v>
      </c>
      <c r="M25" s="11"/>
    </row>
    <row r="26" spans="1:13" ht="20.100000000000001" customHeight="1">
      <c r="A26" s="12" t="s">
        <v>77</v>
      </c>
      <c r="B26" s="12"/>
      <c r="C26" s="12"/>
      <c r="D26" s="11"/>
      <c r="E26" s="11"/>
      <c r="F26" s="11"/>
      <c r="G26" s="11"/>
      <c r="H26" s="11"/>
      <c r="I26" s="11"/>
      <c r="J26" s="11"/>
      <c r="K26" s="11"/>
      <c r="L26" s="13" t="s">
        <v>78</v>
      </c>
      <c r="M26" s="11"/>
    </row>
    <row r="27" spans="1:13" ht="20.100000000000001" customHeight="1">
      <c r="A27" s="12" t="s">
        <v>79</v>
      </c>
      <c r="B27" s="12"/>
      <c r="C27" s="12"/>
      <c r="D27" s="11"/>
      <c r="E27" s="11"/>
      <c r="F27" s="11"/>
      <c r="G27" s="11"/>
      <c r="H27" s="11"/>
      <c r="I27" s="11"/>
      <c r="J27" s="11"/>
      <c r="K27" s="11"/>
      <c r="L27" s="13" t="s">
        <v>80</v>
      </c>
      <c r="M27" s="11"/>
    </row>
    <row r="28" spans="1:13" ht="20.100000000000001" customHeight="1">
      <c r="A28" s="12" t="s">
        <v>81</v>
      </c>
      <c r="B28" s="12"/>
      <c r="C28" s="12"/>
      <c r="D28" s="11"/>
      <c r="E28" s="11"/>
      <c r="F28" s="11"/>
      <c r="G28" s="11"/>
      <c r="H28" s="11"/>
      <c r="I28" s="11"/>
      <c r="J28" s="11"/>
      <c r="K28" s="11"/>
      <c r="L28" s="13" t="s">
        <v>82</v>
      </c>
      <c r="M28" s="11"/>
    </row>
  </sheetData>
  <autoFilter ref="A6:M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ABB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2026-08-25T08:15:26Z</dcterms:modified>
</cp:coreProperties>
</file>