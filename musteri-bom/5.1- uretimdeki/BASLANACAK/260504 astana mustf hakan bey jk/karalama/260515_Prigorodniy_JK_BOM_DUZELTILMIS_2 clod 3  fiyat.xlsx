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4 astana mustf hakan bey jk\"/>
    </mc:Choice>
  </mc:AlternateContent>
  <xr:revisionPtr revIDLastSave="0" documentId="13_ncr:1_{84F5BB3E-49A8-4AC6-80BD-CC1C26C69C3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>Sayfa2!$A$1:$H$71</definedName>
    <definedName name="sayac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2" i="3"/>
  <c r="H72" i="3" s="1"/>
</calcChain>
</file>

<file path=xl/sharedStrings.xml><?xml version="1.0" encoding="utf-8"?>
<sst xmlns="http://schemas.openxmlformats.org/spreadsheetml/2006/main" count="287" uniqueCount="94">
  <si>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</si>
  <si>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</si>
  <si>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</si>
  <si>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</si>
  <si>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</si>
  <si>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</si>
  <si>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</si>
  <si>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комплект</t>
  </si>
  <si>
    <t>TEKSAN</t>
  </si>
  <si>
    <t>ВРУ1-1-1</t>
  </si>
  <si>
    <t>Блок1</t>
  </si>
  <si>
    <t>РУ-1-1</t>
  </si>
  <si>
    <t>РУ-1-2</t>
  </si>
  <si>
    <t>ЩУР.МОП1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</si>
  <si>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</si>
  <si>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</si>
  <si>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</si>
  <si>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</si>
  <si>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</si>
  <si>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</si>
  <si>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</si>
  <si>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</si>
  <si>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</si>
  <si>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ЩУР.МОП1-3</t>
  </si>
  <si>
    <t>ЩУР.МОП2-3</t>
  </si>
  <si>
    <t>ВРУ1-4</t>
  </si>
  <si>
    <t>Блок4</t>
  </si>
  <si>
    <t>РУ-1-4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</si>
  <si>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</si>
  <si>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</si>
  <si>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</si>
  <si>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</si>
  <si>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</si>
  <si>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</si>
  <si>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</si>
  <si>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</si>
  <si>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</si>
  <si>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</si>
  <si>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</si>
  <si>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</si>
  <si>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</si>
  <si>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</si>
  <si>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</si>
  <si>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</si>
  <si>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</si>
  <si>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</si>
  <si>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</si>
  <si>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</si>
  <si>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</si>
  <si>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</si>
  <si>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</si>
  <si>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</si>
  <si>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</si>
  <si>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</si>
  <si>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</si>
  <si>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</si>
  <si>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</si>
  <si>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</si>
  <si>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</si>
  <si>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</si>
  <si>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</si>
  <si>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</si>
  <si>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</si>
  <si>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</si>
  <si>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</si>
  <si>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</si>
  <si>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</si>
  <si>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</si>
  <si>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</si>
  <si>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</si>
  <si>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ЩР15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</si>
  <si>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</si>
  <si>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</si>
  <si>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</si>
  <si>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</si>
  <si>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</si>
  <si>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</si>
  <si>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</si>
  <si>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</si>
  <si>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</si>
  <si>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</si>
  <si>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</si>
  <si>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</si>
  <si>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</si>
  <si>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</si>
  <si>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</si>
  <si>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</si>
  <si>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>ЩРп c</t>
  </si>
  <si>
    <t>ЩР-(АВР-Б-63-2-1)</t>
  </si>
  <si>
    <t>ЩР15-(АВР-Б-80-2-1)</t>
  </si>
  <si>
    <t>ЩЭ-3</t>
  </si>
  <si>
    <t>ЩЭ-4</t>
  </si>
  <si>
    <t>ЩЭ-6</t>
  </si>
  <si>
    <t>ЩЭ-7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</si>
</sst>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b/>
      <sz val="14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4" fillId="4" borderId="0" xfId="0" applyNumberFormat="1" applyFont="1" applyFill="1"/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A57-F5FC-4DED-A660-A86BCCDAA443}">
  <dimension ref="A1:H72"/>
  <sheetViews>
    <sheetView tabSelected="1" topLeftCell="A56" zoomScale="145" zoomScaleNormal="145" workbookViewId="0">
      <selection activeCell="J72" sqref="J72"/>
    </sheetView>
  </sheetViews>
  <sheetFormatPr defaultRowHeight="15" x14ac:dyDescent="0.25"/>
  <cols>
    <col min="2" max="2" width="38.7109375" customWidth="1"/>
    <col min="7" max="7" width="9.140625" style="8"/>
    <col min="8" max="8" width="15.7109375" style="8" bestFit="1" customWidth="1"/>
  </cols>
  <sheetData>
    <row r="1" spans="1:8" ht="38.25" x14ac:dyDescent="0.25">
      <c r="A1" s="2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/>
      <c r="G1" s="2" t="s">
        <v>2</v>
      </c>
      <c r="H1" s="2" t="s">
        <v>3</v>
      </c>
    </row>
    <row r="2" spans="1:8" x14ac:dyDescent="0.25">
      <c r="A2" s="4"/>
      <c r="B2" s="3" t="s">
        <v>9</v>
      </c>
      <c r="C2" s="5">
        <v>1</v>
      </c>
      <c r="D2" s="6" t="s">
        <v>7</v>
      </c>
      <c r="E2" s="3" t="s">
        <v>8</v>
      </c>
      <c r="F2" s="5" t="s">
        <v>10</v>
      </c>
      <c r="G2" s="7">
        <v>753000</v>
      </c>
      <c r="H2" s="4">
        <f>G2*C2</f>
        <v>753000</v>
      </c>
    </row>
    <row r="3" spans="1:8" x14ac:dyDescent="0.25">
      <c r="A3" s="4"/>
      <c r="B3" s="3" t="s">
        <v>11</v>
      </c>
      <c r="C3" s="5">
        <v>1</v>
      </c>
      <c r="D3" s="6" t="s">
        <v>7</v>
      </c>
      <c r="E3" s="3" t="s">
        <v>8</v>
      </c>
      <c r="F3" s="5" t="s">
        <v>10</v>
      </c>
      <c r="G3" s="7">
        <v>449000</v>
      </c>
      <c r="H3" s="4">
        <f>G3*C3</f>
        <v>449000</v>
      </c>
    </row>
    <row r="4" spans="1:8" x14ac:dyDescent="0.25">
      <c r="A4" s="4"/>
      <c r="B4" s="3" t="s">
        <v>12</v>
      </c>
      <c r="C4" s="5">
        <v>1</v>
      </c>
      <c r="D4" s="6" t="s">
        <v>7</v>
      </c>
      <c r="E4" s="3" t="s">
        <v>8</v>
      </c>
      <c r="F4" s="5" t="s">
        <v>10</v>
      </c>
      <c r="G4" s="7">
        <v>417000</v>
      </c>
      <c r="H4" s="4">
        <f>G4*C4</f>
        <v>417000</v>
      </c>
    </row>
    <row r="5" spans="1:8" x14ac:dyDescent="0.25">
      <c r="A5" s="4"/>
      <c r="B5" s="3" t="s">
        <v>13</v>
      </c>
      <c r="C5" s="5">
        <v>1</v>
      </c>
      <c r="D5" s="6" t="s">
        <v>7</v>
      </c>
      <c r="E5" s="3" t="s">
        <v>8</v>
      </c>
      <c r="F5" s="5" t="s">
        <v>10</v>
      </c>
      <c r="G5" s="7">
        <v>169000</v>
      </c>
      <c r="H5" s="4">
        <f>G5*C5</f>
        <v>169000</v>
      </c>
    </row>
    <row r="6" spans="1:8" x14ac:dyDescent="0.25">
      <c r="A6" s="4"/>
      <c r="B6" s="3" t="s">
        <v>71</v>
      </c>
      <c r="C6" s="5">
        <v>1</v>
      </c>
      <c r="D6" s="6" t="s">
        <v>7</v>
      </c>
      <c r="E6" s="3" t="s">
        <v>8</v>
      </c>
      <c r="F6" s="5" t="s">
        <v>10</v>
      </c>
      <c r="G6" s="7">
        <v>691000</v>
      </c>
      <c r="H6" s="4">
        <f>G6*C6</f>
        <v>691000</v>
      </c>
    </row>
    <row r="7" spans="1:8" x14ac:dyDescent="0.25">
      <c r="A7" s="4"/>
      <c r="B7" s="3" t="s">
        <v>14</v>
      </c>
      <c r="C7" s="5">
        <v>1</v>
      </c>
      <c r="D7" s="6" t="s">
        <v>7</v>
      </c>
      <c r="E7" s="3" t="s">
        <v>8</v>
      </c>
      <c r="F7" s="5" t="s">
        <v>15</v>
      </c>
      <c r="G7" s="7">
        <v>753000</v>
      </c>
      <c r="H7" s="4">
        <f>G7*C7</f>
        <v>753000</v>
      </c>
    </row>
    <row r="8" spans="1:8" x14ac:dyDescent="0.25">
      <c r="A8" s="4"/>
      <c r="B8" s="3" t="s">
        <v>16</v>
      </c>
      <c r="C8" s="5">
        <v>1</v>
      </c>
      <c r="D8" s="6" t="s">
        <v>7</v>
      </c>
      <c r="E8" s="3" t="s">
        <v>8</v>
      </c>
      <c r="F8" s="5" t="s">
        <v>15</v>
      </c>
      <c r="G8" s="7">
        <v>449000</v>
      </c>
      <c r="H8" s="4">
        <f>G8*C8</f>
        <v>449000</v>
      </c>
    </row>
    <row r="9" spans="1:8" x14ac:dyDescent="0.25">
      <c r="A9" s="4"/>
      <c r="B9" s="3" t="s">
        <v>17</v>
      </c>
      <c r="C9" s="5">
        <v>1</v>
      </c>
      <c r="D9" s="6" t="s">
        <v>7</v>
      </c>
      <c r="E9" s="3" t="s">
        <v>8</v>
      </c>
      <c r="F9" s="5" t="s">
        <v>15</v>
      </c>
      <c r="G9" s="7">
        <v>417000</v>
      </c>
      <c r="H9" s="4">
        <f>G9*C9</f>
        <v>417000</v>
      </c>
    </row>
    <row r="10" spans="1:8" x14ac:dyDescent="0.25">
      <c r="A10" s="4"/>
      <c r="B10" s="3" t="s">
        <v>18</v>
      </c>
      <c r="C10" s="5">
        <v>1</v>
      </c>
      <c r="D10" s="6" t="s">
        <v>7</v>
      </c>
      <c r="E10" s="3" t="s">
        <v>8</v>
      </c>
      <c r="F10" s="5" t="s">
        <v>15</v>
      </c>
      <c r="G10" s="7">
        <v>169000</v>
      </c>
      <c r="H10" s="4">
        <f>G10*C10</f>
        <v>169000</v>
      </c>
    </row>
    <row r="11" spans="1:8" x14ac:dyDescent="0.25">
      <c r="A11" s="4"/>
      <c r="B11" s="3" t="s">
        <v>72</v>
      </c>
      <c r="C11" s="5">
        <v>1</v>
      </c>
      <c r="D11" s="6" t="s">
        <v>7</v>
      </c>
      <c r="E11" s="3" t="s">
        <v>8</v>
      </c>
      <c r="F11" s="5" t="s">
        <v>15</v>
      </c>
      <c r="G11" s="7">
        <v>691000</v>
      </c>
      <c r="H11" s="4">
        <f>G11*C11</f>
        <v>691000</v>
      </c>
    </row>
    <row r="12" spans="1:8" x14ac:dyDescent="0.25">
      <c r="A12" s="4"/>
      <c r="B12" s="3" t="s">
        <v>19</v>
      </c>
      <c r="C12" s="5">
        <v>1</v>
      </c>
      <c r="D12" s="6" t="s">
        <v>7</v>
      </c>
      <c r="E12" s="3" t="s">
        <v>8</v>
      </c>
      <c r="F12" s="5" t="s">
        <v>20</v>
      </c>
      <c r="G12" s="7">
        <v>753000</v>
      </c>
      <c r="H12" s="4">
        <f>G12*C12</f>
        <v>753000</v>
      </c>
    </row>
    <row r="13" spans="1:8" x14ac:dyDescent="0.25">
      <c r="A13" s="4"/>
      <c r="B13" s="3" t="s">
        <v>21</v>
      </c>
      <c r="C13" s="5">
        <v>1</v>
      </c>
      <c r="D13" s="6" t="s">
        <v>7</v>
      </c>
      <c r="E13" s="3" t="s">
        <v>8</v>
      </c>
      <c r="F13" s="5" t="s">
        <v>20</v>
      </c>
      <c r="G13" s="7">
        <v>449000</v>
      </c>
      <c r="H13" s="4">
        <f>G13*C13</f>
        <v>449000</v>
      </c>
    </row>
    <row r="14" spans="1:8" x14ac:dyDescent="0.25">
      <c r="A14" s="4"/>
      <c r="B14" s="3" t="s">
        <v>22</v>
      </c>
      <c r="C14" s="5">
        <v>1</v>
      </c>
      <c r="D14" s="6" t="s">
        <v>7</v>
      </c>
      <c r="E14" s="3" t="s">
        <v>8</v>
      </c>
      <c r="F14" s="5" t="s">
        <v>20</v>
      </c>
      <c r="G14" s="7">
        <v>417000</v>
      </c>
      <c r="H14" s="4">
        <f>G14*C14</f>
        <v>417000</v>
      </c>
    </row>
    <row r="15" spans="1:8" x14ac:dyDescent="0.25">
      <c r="A15" s="4"/>
      <c r="B15" s="3" t="s">
        <v>23</v>
      </c>
      <c r="C15" s="5">
        <v>1</v>
      </c>
      <c r="D15" s="6" t="s">
        <v>7</v>
      </c>
      <c r="E15" s="3" t="s">
        <v>8</v>
      </c>
      <c r="F15" s="5" t="s">
        <v>20</v>
      </c>
      <c r="G15" s="7">
        <v>169000</v>
      </c>
      <c r="H15" s="4">
        <f>G15*C15</f>
        <v>169000</v>
      </c>
    </row>
    <row r="16" spans="1:8" x14ac:dyDescent="0.25">
      <c r="A16" s="4"/>
      <c r="B16" s="3" t="s">
        <v>24</v>
      </c>
      <c r="C16" s="5">
        <v>1</v>
      </c>
      <c r="D16" s="6" t="s">
        <v>7</v>
      </c>
      <c r="E16" s="3" t="s">
        <v>8</v>
      </c>
      <c r="F16" s="5" t="s">
        <v>20</v>
      </c>
      <c r="G16" s="7">
        <v>169000</v>
      </c>
      <c r="H16" s="4">
        <f>G16*C16</f>
        <v>169000</v>
      </c>
    </row>
    <row r="17" spans="1:8" x14ac:dyDescent="0.25">
      <c r="A17" s="4"/>
      <c r="B17" s="3" t="s">
        <v>73</v>
      </c>
      <c r="C17" s="5">
        <v>1</v>
      </c>
      <c r="D17" s="6" t="s">
        <v>7</v>
      </c>
      <c r="E17" s="3" t="s">
        <v>8</v>
      </c>
      <c r="F17" s="5" t="s">
        <v>20</v>
      </c>
      <c r="G17" s="7">
        <v>691000</v>
      </c>
      <c r="H17" s="4">
        <f>G17*C17</f>
        <v>691000</v>
      </c>
    </row>
    <row r="18" spans="1:8" x14ac:dyDescent="0.25">
      <c r="A18" s="4"/>
      <c r="B18" s="3" t="s">
        <v>74</v>
      </c>
      <c r="C18" s="5">
        <v>1</v>
      </c>
      <c r="D18" s="6" t="s">
        <v>7</v>
      </c>
      <c r="E18" s="3" t="s">
        <v>8</v>
      </c>
      <c r="F18" s="5" t="s">
        <v>20</v>
      </c>
      <c r="G18" s="7">
        <v>691000</v>
      </c>
      <c r="H18" s="4">
        <f>G18*C18</f>
        <v>691000</v>
      </c>
    </row>
    <row r="19" spans="1:8" x14ac:dyDescent="0.25">
      <c r="A19" s="4"/>
      <c r="B19" s="3" t="s">
        <v>25</v>
      </c>
      <c r="C19" s="5">
        <v>1</v>
      </c>
      <c r="D19" s="6" t="s">
        <v>7</v>
      </c>
      <c r="E19" s="3" t="s">
        <v>8</v>
      </c>
      <c r="F19" s="5" t="s">
        <v>26</v>
      </c>
      <c r="G19" s="7">
        <v>753000</v>
      </c>
      <c r="H19" s="4">
        <f>G19*C19</f>
        <v>753000</v>
      </c>
    </row>
    <row r="20" spans="1:8" x14ac:dyDescent="0.25">
      <c r="A20" s="4"/>
      <c r="B20" s="3" t="s">
        <v>27</v>
      </c>
      <c r="C20" s="5">
        <v>1</v>
      </c>
      <c r="D20" s="6" t="s">
        <v>7</v>
      </c>
      <c r="E20" s="3" t="s">
        <v>8</v>
      </c>
      <c r="F20" s="5" t="s">
        <v>26</v>
      </c>
      <c r="G20" s="7">
        <v>471000</v>
      </c>
      <c r="H20" s="4">
        <f>G20*C20</f>
        <v>471000</v>
      </c>
    </row>
    <row r="21" spans="1:8" x14ac:dyDescent="0.25">
      <c r="A21" s="4"/>
      <c r="B21" s="3" t="s">
        <v>28</v>
      </c>
      <c r="C21" s="5">
        <v>1</v>
      </c>
      <c r="D21" s="6" t="s">
        <v>7</v>
      </c>
      <c r="E21" s="3" t="s">
        <v>8</v>
      </c>
      <c r="F21" s="5" t="s">
        <v>26</v>
      </c>
      <c r="G21" s="7">
        <v>171000</v>
      </c>
      <c r="H21" s="4">
        <f>G21*C21</f>
        <v>171000</v>
      </c>
    </row>
    <row r="22" spans="1:8" x14ac:dyDescent="0.25">
      <c r="A22" s="4"/>
      <c r="B22" s="3" t="s">
        <v>75</v>
      </c>
      <c r="C22" s="5">
        <v>1</v>
      </c>
      <c r="D22" s="6" t="s">
        <v>7</v>
      </c>
      <c r="E22" s="3" t="s">
        <v>8</v>
      </c>
      <c r="F22" s="5" t="s">
        <v>26</v>
      </c>
      <c r="G22" s="7">
        <v>691000</v>
      </c>
      <c r="H22" s="4">
        <f>G22*C22</f>
        <v>691000</v>
      </c>
    </row>
    <row r="23" spans="1:8" x14ac:dyDescent="0.25">
      <c r="A23" s="4"/>
      <c r="B23" s="3" t="s">
        <v>29</v>
      </c>
      <c r="C23" s="5">
        <v>1</v>
      </c>
      <c r="D23" s="6" t="s">
        <v>7</v>
      </c>
      <c r="E23" s="3" t="s">
        <v>8</v>
      </c>
      <c r="F23" s="5" t="s">
        <v>30</v>
      </c>
      <c r="G23" s="7">
        <v>450000</v>
      </c>
      <c r="H23" s="4">
        <f>G23*C23</f>
        <v>450000</v>
      </c>
    </row>
    <row r="24" spans="1:8" x14ac:dyDescent="0.25">
      <c r="A24" s="4"/>
      <c r="B24" s="3" t="s">
        <v>31</v>
      </c>
      <c r="C24" s="5">
        <v>1</v>
      </c>
      <c r="D24" s="6" t="s">
        <v>7</v>
      </c>
      <c r="E24" s="3" t="s">
        <v>8</v>
      </c>
      <c r="F24" s="5" t="s">
        <v>30</v>
      </c>
      <c r="G24" s="7">
        <v>171000</v>
      </c>
      <c r="H24" s="4">
        <f>G24*C24</f>
        <v>171000</v>
      </c>
    </row>
    <row r="25" spans="1:8" x14ac:dyDescent="0.25">
      <c r="A25" s="4"/>
      <c r="B25" s="3" t="s">
        <v>76</v>
      </c>
      <c r="C25" s="5">
        <v>1</v>
      </c>
      <c r="D25" s="6" t="s">
        <v>7</v>
      </c>
      <c r="E25" s="3" t="s">
        <v>8</v>
      </c>
      <c r="F25" s="5" t="s">
        <v>30</v>
      </c>
      <c r="G25" s="7">
        <v>704000</v>
      </c>
      <c r="H25" s="4">
        <f>G25*C25</f>
        <v>704000</v>
      </c>
    </row>
    <row r="26" spans="1:8" x14ac:dyDescent="0.25">
      <c r="A26" s="4"/>
      <c r="B26" s="3" t="s">
        <v>32</v>
      </c>
      <c r="C26" s="5">
        <v>1</v>
      </c>
      <c r="D26" s="6" t="s">
        <v>7</v>
      </c>
      <c r="E26" s="3" t="s">
        <v>8</v>
      </c>
      <c r="F26" s="5" t="s">
        <v>33</v>
      </c>
      <c r="G26" s="7">
        <v>522000</v>
      </c>
      <c r="H26" s="4">
        <f>G26*C26</f>
        <v>522000</v>
      </c>
    </row>
    <row r="27" spans="1:8" x14ac:dyDescent="0.25">
      <c r="A27" s="4"/>
      <c r="B27" s="3" t="s">
        <v>34</v>
      </c>
      <c r="C27" s="5">
        <v>1</v>
      </c>
      <c r="D27" s="6" t="s">
        <v>7</v>
      </c>
      <c r="E27" s="3" t="s">
        <v>8</v>
      </c>
      <c r="F27" s="5" t="s">
        <v>33</v>
      </c>
      <c r="G27" s="7">
        <v>170000</v>
      </c>
      <c r="H27" s="4">
        <f>G27*C27</f>
        <v>170000</v>
      </c>
    </row>
    <row r="28" spans="1:8" x14ac:dyDescent="0.25">
      <c r="A28" s="4"/>
      <c r="B28" s="3" t="s">
        <v>77</v>
      </c>
      <c r="C28" s="5">
        <v>1</v>
      </c>
      <c r="D28" s="6" t="s">
        <v>7</v>
      </c>
      <c r="E28" s="3" t="s">
        <v>8</v>
      </c>
      <c r="F28" s="5" t="s">
        <v>33</v>
      </c>
      <c r="G28" s="7">
        <v>703000</v>
      </c>
      <c r="H28" s="4">
        <f>G28*C28</f>
        <v>703000</v>
      </c>
    </row>
    <row r="29" spans="1:8" x14ac:dyDescent="0.25">
      <c r="A29" s="4"/>
      <c r="B29" s="3" t="s">
        <v>35</v>
      </c>
      <c r="C29" s="5">
        <v>1</v>
      </c>
      <c r="D29" s="6" t="s">
        <v>7</v>
      </c>
      <c r="E29" s="3" t="s">
        <v>8</v>
      </c>
      <c r="F29" s="5" t="s">
        <v>36</v>
      </c>
      <c r="G29" s="7">
        <v>753000</v>
      </c>
      <c r="H29" s="4">
        <f>G29*C29</f>
        <v>753000</v>
      </c>
    </row>
    <row r="30" spans="1:8" x14ac:dyDescent="0.25">
      <c r="A30" s="4"/>
      <c r="B30" s="3" t="s">
        <v>37</v>
      </c>
      <c r="C30" s="5">
        <v>1</v>
      </c>
      <c r="D30" s="6" t="s">
        <v>7</v>
      </c>
      <c r="E30" s="3" t="s">
        <v>8</v>
      </c>
      <c r="F30" s="5" t="s">
        <v>36</v>
      </c>
      <c r="G30" s="7">
        <v>522000</v>
      </c>
      <c r="H30" s="4">
        <f>G30*C30</f>
        <v>522000</v>
      </c>
    </row>
    <row r="31" spans="1:8" x14ac:dyDescent="0.25">
      <c r="A31" s="4"/>
      <c r="B31" s="3" t="s">
        <v>38</v>
      </c>
      <c r="C31" s="5">
        <v>1</v>
      </c>
      <c r="D31" s="6" t="s">
        <v>7</v>
      </c>
      <c r="E31" s="3" t="s">
        <v>8</v>
      </c>
      <c r="F31" s="5" t="s">
        <v>36</v>
      </c>
      <c r="G31" s="7">
        <v>170000</v>
      </c>
      <c r="H31" s="4">
        <f>G31*C31</f>
        <v>170000</v>
      </c>
    </row>
    <row r="32" spans="1:8" x14ac:dyDescent="0.25">
      <c r="A32" s="4"/>
      <c r="B32" s="3" t="s">
        <v>78</v>
      </c>
      <c r="C32" s="5">
        <v>1</v>
      </c>
      <c r="D32" s="6" t="s">
        <v>7</v>
      </c>
      <c r="E32" s="3" t="s">
        <v>8</v>
      </c>
      <c r="F32" s="5" t="s">
        <v>36</v>
      </c>
      <c r="G32" s="7">
        <v>703000</v>
      </c>
      <c r="H32" s="4">
        <f>G32*C32</f>
        <v>703000</v>
      </c>
    </row>
    <row r="33" spans="1:8" x14ac:dyDescent="0.25">
      <c r="A33" s="4"/>
      <c r="B33" s="3" t="s">
        <v>39</v>
      </c>
      <c r="C33" s="5">
        <v>1</v>
      </c>
      <c r="D33" s="6" t="s">
        <v>7</v>
      </c>
      <c r="E33" s="3" t="s">
        <v>8</v>
      </c>
      <c r="F33" s="5" t="s">
        <v>40</v>
      </c>
      <c r="G33" s="7">
        <v>753000</v>
      </c>
      <c r="H33" s="4">
        <f>G33*C33</f>
        <v>753000</v>
      </c>
    </row>
    <row r="34" spans="1:8" x14ac:dyDescent="0.25">
      <c r="A34" s="4"/>
      <c r="B34" s="3" t="s">
        <v>41</v>
      </c>
      <c r="C34" s="5">
        <v>1</v>
      </c>
      <c r="D34" s="6" t="s">
        <v>7</v>
      </c>
      <c r="E34" s="3" t="s">
        <v>8</v>
      </c>
      <c r="F34" s="5" t="s">
        <v>40</v>
      </c>
      <c r="G34" s="7">
        <v>522000</v>
      </c>
      <c r="H34" s="4">
        <f>G34*C34</f>
        <v>522000</v>
      </c>
    </row>
    <row r="35" spans="1:8" x14ac:dyDescent="0.25">
      <c r="A35" s="4"/>
      <c r="B35" s="3" t="s">
        <v>42</v>
      </c>
      <c r="C35" s="5">
        <v>1</v>
      </c>
      <c r="D35" s="6" t="s">
        <v>7</v>
      </c>
      <c r="E35" s="3" t="s">
        <v>8</v>
      </c>
      <c r="F35" s="5" t="s">
        <v>40</v>
      </c>
      <c r="G35" s="7">
        <v>170000</v>
      </c>
      <c r="H35" s="4">
        <f>G35*C35</f>
        <v>170000</v>
      </c>
    </row>
    <row r="36" spans="1:8" x14ac:dyDescent="0.25">
      <c r="A36" s="4"/>
      <c r="B36" s="3" t="s">
        <v>79</v>
      </c>
      <c r="C36" s="5">
        <v>1</v>
      </c>
      <c r="D36" s="6" t="s">
        <v>7</v>
      </c>
      <c r="E36" s="3" t="s">
        <v>8</v>
      </c>
      <c r="F36" s="5" t="s">
        <v>40</v>
      </c>
      <c r="G36" s="7">
        <v>703000</v>
      </c>
      <c r="H36" s="4">
        <f>G36*C36</f>
        <v>703000</v>
      </c>
    </row>
    <row r="37" spans="1:8" x14ac:dyDescent="0.25">
      <c r="A37" s="4"/>
      <c r="B37" s="3" t="s">
        <v>43</v>
      </c>
      <c r="C37" s="5">
        <v>1</v>
      </c>
      <c r="D37" s="6" t="s">
        <v>7</v>
      </c>
      <c r="E37" s="3" t="s">
        <v>8</v>
      </c>
      <c r="F37" s="5" t="s">
        <v>44</v>
      </c>
      <c r="G37" s="7">
        <v>522000</v>
      </c>
      <c r="H37" s="4">
        <f>G37*C37</f>
        <v>522000</v>
      </c>
    </row>
    <row r="38" spans="1:8" x14ac:dyDescent="0.25">
      <c r="A38" s="4"/>
      <c r="B38" s="3" t="s">
        <v>45</v>
      </c>
      <c r="C38" s="5">
        <v>1</v>
      </c>
      <c r="D38" s="6" t="s">
        <v>7</v>
      </c>
      <c r="E38" s="3" t="s">
        <v>8</v>
      </c>
      <c r="F38" s="5" t="s">
        <v>44</v>
      </c>
      <c r="G38" s="7">
        <v>170000</v>
      </c>
      <c r="H38" s="4">
        <f>G38*C38</f>
        <v>170000</v>
      </c>
    </row>
    <row r="39" spans="1:8" x14ac:dyDescent="0.25">
      <c r="A39" s="4"/>
      <c r="B39" s="3" t="s">
        <v>80</v>
      </c>
      <c r="C39" s="5">
        <v>1</v>
      </c>
      <c r="D39" s="6" t="s">
        <v>7</v>
      </c>
      <c r="E39" s="3" t="s">
        <v>8</v>
      </c>
      <c r="F39" s="5" t="s">
        <v>44</v>
      </c>
      <c r="G39" s="7">
        <v>703000</v>
      </c>
      <c r="H39" s="4">
        <f>G39*C39</f>
        <v>703000</v>
      </c>
    </row>
    <row r="40" spans="1:8" x14ac:dyDescent="0.25">
      <c r="A40" s="4"/>
      <c r="B40" s="3" t="s">
        <v>46</v>
      </c>
      <c r="C40" s="5">
        <v>1</v>
      </c>
      <c r="D40" s="6" t="s">
        <v>7</v>
      </c>
      <c r="E40" s="3" t="s">
        <v>8</v>
      </c>
      <c r="F40" s="5" t="s">
        <v>47</v>
      </c>
      <c r="G40" s="7">
        <v>450000</v>
      </c>
      <c r="H40" s="4">
        <f>G40*C40</f>
        <v>450000</v>
      </c>
    </row>
    <row r="41" spans="1:8" x14ac:dyDescent="0.25">
      <c r="A41" s="4"/>
      <c r="B41" s="3" t="s">
        <v>48</v>
      </c>
      <c r="C41" s="5">
        <v>1</v>
      </c>
      <c r="D41" s="6" t="s">
        <v>7</v>
      </c>
      <c r="E41" s="3" t="s">
        <v>8</v>
      </c>
      <c r="F41" s="5" t="s">
        <v>47</v>
      </c>
      <c r="G41" s="7">
        <v>171000</v>
      </c>
      <c r="H41" s="4">
        <f>G41*C41</f>
        <v>171000</v>
      </c>
    </row>
    <row r="42" spans="1:8" x14ac:dyDescent="0.25">
      <c r="A42" s="4"/>
      <c r="B42" s="3" t="s">
        <v>81</v>
      </c>
      <c r="C42" s="5">
        <v>1</v>
      </c>
      <c r="D42" s="6" t="s">
        <v>7</v>
      </c>
      <c r="E42" s="3" t="s">
        <v>8</v>
      </c>
      <c r="F42" s="5" t="s">
        <v>47</v>
      </c>
      <c r="G42" s="7">
        <v>704000</v>
      </c>
      <c r="H42" s="4">
        <f>G42*C42</f>
        <v>704000</v>
      </c>
    </row>
    <row r="43" spans="1:8" x14ac:dyDescent="0.25">
      <c r="A43" s="4"/>
      <c r="B43" s="3" t="s">
        <v>49</v>
      </c>
      <c r="C43" s="5">
        <v>1</v>
      </c>
      <c r="D43" s="6" t="s">
        <v>7</v>
      </c>
      <c r="E43" s="3" t="s">
        <v>8</v>
      </c>
      <c r="F43" s="5" t="s">
        <v>50</v>
      </c>
      <c r="G43" s="7">
        <v>753000</v>
      </c>
      <c r="H43" s="4">
        <f>G43*C43</f>
        <v>753000</v>
      </c>
    </row>
    <row r="44" spans="1:8" x14ac:dyDescent="0.25">
      <c r="A44" s="4"/>
      <c r="B44" s="3" t="s">
        <v>51</v>
      </c>
      <c r="C44" s="5">
        <v>1</v>
      </c>
      <c r="D44" s="6" t="s">
        <v>7</v>
      </c>
      <c r="E44" s="3" t="s">
        <v>8</v>
      </c>
      <c r="F44" s="5" t="s">
        <v>50</v>
      </c>
      <c r="G44" s="7">
        <v>471000</v>
      </c>
      <c r="H44" s="4">
        <f>G44*C44</f>
        <v>471000</v>
      </c>
    </row>
    <row r="45" spans="1:8" x14ac:dyDescent="0.25">
      <c r="A45" s="4"/>
      <c r="B45" s="3" t="s">
        <v>52</v>
      </c>
      <c r="C45" s="5">
        <v>1</v>
      </c>
      <c r="D45" s="6" t="s">
        <v>7</v>
      </c>
      <c r="E45" s="3" t="s">
        <v>8</v>
      </c>
      <c r="F45" s="5" t="s">
        <v>50</v>
      </c>
      <c r="G45" s="7">
        <v>171000</v>
      </c>
      <c r="H45" s="4">
        <f>G45*C45</f>
        <v>171000</v>
      </c>
    </row>
    <row r="46" spans="1:8" x14ac:dyDescent="0.25">
      <c r="A46" s="4"/>
      <c r="B46" s="3" t="s">
        <v>82</v>
      </c>
      <c r="C46" s="5">
        <v>1</v>
      </c>
      <c r="D46" s="6" t="s">
        <v>7</v>
      </c>
      <c r="E46" s="3" t="s">
        <v>8</v>
      </c>
      <c r="F46" s="5" t="s">
        <v>50</v>
      </c>
      <c r="G46" s="7">
        <v>691000</v>
      </c>
      <c r="H46" s="4">
        <f>G46*C46</f>
        <v>691000</v>
      </c>
    </row>
    <row r="47" spans="1:8" x14ac:dyDescent="0.25">
      <c r="A47" s="4"/>
      <c r="B47" s="3" t="s">
        <v>53</v>
      </c>
      <c r="C47" s="5">
        <v>1</v>
      </c>
      <c r="D47" s="6" t="s">
        <v>7</v>
      </c>
      <c r="E47" s="3" t="s">
        <v>8</v>
      </c>
      <c r="F47" s="5" t="s">
        <v>54</v>
      </c>
      <c r="G47" s="7">
        <v>753000</v>
      </c>
      <c r="H47" s="4">
        <f>G47*C47</f>
        <v>753000</v>
      </c>
    </row>
    <row r="48" spans="1:8" x14ac:dyDescent="0.25">
      <c r="A48" s="4"/>
      <c r="B48" s="3" t="s">
        <v>55</v>
      </c>
      <c r="C48" s="5">
        <v>1</v>
      </c>
      <c r="D48" s="6" t="s">
        <v>7</v>
      </c>
      <c r="E48" s="3" t="s">
        <v>8</v>
      </c>
      <c r="F48" s="5" t="s">
        <v>54</v>
      </c>
      <c r="G48" s="7">
        <v>449000</v>
      </c>
      <c r="H48" s="4">
        <f>G48*C48</f>
        <v>449000</v>
      </c>
    </row>
    <row r="49" spans="1:8" x14ac:dyDescent="0.25">
      <c r="A49" s="4"/>
      <c r="B49" s="3" t="s">
        <v>56</v>
      </c>
      <c r="C49" s="5">
        <v>1</v>
      </c>
      <c r="D49" s="6" t="s">
        <v>7</v>
      </c>
      <c r="E49" s="3" t="s">
        <v>8</v>
      </c>
      <c r="F49" s="5" t="s">
        <v>54</v>
      </c>
      <c r="G49" s="7">
        <v>355000</v>
      </c>
      <c r="H49" s="4">
        <f>G49*C49</f>
        <v>355000</v>
      </c>
    </row>
    <row r="50" spans="1:8" x14ac:dyDescent="0.25">
      <c r="A50" s="4"/>
      <c r="B50" s="3" t="s">
        <v>57</v>
      </c>
      <c r="C50" s="5">
        <v>1</v>
      </c>
      <c r="D50" s="6" t="s">
        <v>7</v>
      </c>
      <c r="E50" s="3" t="s">
        <v>8</v>
      </c>
      <c r="F50" s="5" t="s">
        <v>54</v>
      </c>
      <c r="G50" s="7">
        <v>169000</v>
      </c>
      <c r="H50" s="4">
        <f>G50*C50</f>
        <v>169000</v>
      </c>
    </row>
    <row r="51" spans="1:8" x14ac:dyDescent="0.25">
      <c r="A51" s="4"/>
      <c r="B51" s="3" t="s">
        <v>58</v>
      </c>
      <c r="C51" s="5">
        <v>1</v>
      </c>
      <c r="D51" s="6" t="s">
        <v>7</v>
      </c>
      <c r="E51" s="3" t="s">
        <v>8</v>
      </c>
      <c r="F51" s="5" t="s">
        <v>54</v>
      </c>
      <c r="G51" s="7">
        <v>169000</v>
      </c>
      <c r="H51" s="4">
        <f>G51*C51</f>
        <v>169000</v>
      </c>
    </row>
    <row r="52" spans="1:8" x14ac:dyDescent="0.25">
      <c r="A52" s="4"/>
      <c r="B52" s="3" t="s">
        <v>83</v>
      </c>
      <c r="C52" s="5">
        <v>1</v>
      </c>
      <c r="D52" s="6" t="s">
        <v>7</v>
      </c>
      <c r="E52" s="3" t="s">
        <v>8</v>
      </c>
      <c r="F52" s="5" t="s">
        <v>54</v>
      </c>
      <c r="G52" s="7">
        <v>684000</v>
      </c>
      <c r="H52" s="4">
        <f>G52*C52</f>
        <v>684000</v>
      </c>
    </row>
    <row r="53" spans="1:8" x14ac:dyDescent="0.25">
      <c r="A53" s="4"/>
      <c r="B53" s="3" t="s">
        <v>84</v>
      </c>
      <c r="C53" s="5">
        <v>1</v>
      </c>
      <c r="D53" s="6" t="s">
        <v>7</v>
      </c>
      <c r="E53" s="3" t="s">
        <v>8</v>
      </c>
      <c r="F53" s="5" t="s">
        <v>54</v>
      </c>
      <c r="G53" s="7">
        <v>691000</v>
      </c>
      <c r="H53" s="4">
        <f>G53*C53</f>
        <v>691000</v>
      </c>
    </row>
    <row r="54" spans="1:8" x14ac:dyDescent="0.25">
      <c r="A54" s="4"/>
      <c r="B54" s="3" t="s">
        <v>59</v>
      </c>
      <c r="C54" s="5">
        <v>1</v>
      </c>
      <c r="D54" s="6" t="s">
        <v>7</v>
      </c>
      <c r="E54" s="3" t="s">
        <v>8</v>
      </c>
      <c r="F54" s="5" t="s">
        <v>60</v>
      </c>
      <c r="G54" s="7">
        <v>753000</v>
      </c>
      <c r="H54" s="4">
        <f>G54*C54</f>
        <v>753000</v>
      </c>
    </row>
    <row r="55" spans="1:8" x14ac:dyDescent="0.25">
      <c r="A55" s="4"/>
      <c r="B55" s="3" t="s">
        <v>61</v>
      </c>
      <c r="C55" s="5">
        <v>1</v>
      </c>
      <c r="D55" s="6" t="s">
        <v>7</v>
      </c>
      <c r="E55" s="3" t="s">
        <v>8</v>
      </c>
      <c r="F55" s="5" t="s">
        <v>60</v>
      </c>
      <c r="G55" s="7">
        <v>449000</v>
      </c>
      <c r="H55" s="4">
        <f>G55*C55</f>
        <v>449000</v>
      </c>
    </row>
    <row r="56" spans="1:8" x14ac:dyDescent="0.25">
      <c r="A56" s="4"/>
      <c r="B56" s="3" t="s">
        <v>62</v>
      </c>
      <c r="C56" s="5">
        <v>1</v>
      </c>
      <c r="D56" s="6" t="s">
        <v>7</v>
      </c>
      <c r="E56" s="3" t="s">
        <v>8</v>
      </c>
      <c r="F56" s="5" t="s">
        <v>60</v>
      </c>
      <c r="G56" s="7">
        <v>417000</v>
      </c>
      <c r="H56" s="4">
        <f>G56*C56</f>
        <v>417000</v>
      </c>
    </row>
    <row r="57" spans="1:8" x14ac:dyDescent="0.25">
      <c r="A57" s="4"/>
      <c r="B57" s="3" t="s">
        <v>63</v>
      </c>
      <c r="C57" s="5">
        <v>1</v>
      </c>
      <c r="D57" s="6" t="s">
        <v>7</v>
      </c>
      <c r="E57" s="3" t="s">
        <v>8</v>
      </c>
      <c r="F57" s="5" t="s">
        <v>60</v>
      </c>
      <c r="G57" s="7">
        <v>169000</v>
      </c>
      <c r="H57" s="4">
        <f>G57*C57</f>
        <v>169000</v>
      </c>
    </row>
    <row r="58" spans="1:8" x14ac:dyDescent="0.25">
      <c r="A58" s="4"/>
      <c r="B58" s="3" t="s">
        <v>85</v>
      </c>
      <c r="C58" s="5">
        <v>1</v>
      </c>
      <c r="D58" s="6" t="s">
        <v>7</v>
      </c>
      <c r="E58" s="3" t="s">
        <v>8</v>
      </c>
      <c r="F58" s="5" t="s">
        <v>60</v>
      </c>
      <c r="G58" s="7">
        <v>691000</v>
      </c>
      <c r="H58" s="4">
        <f>G58*C58</f>
        <v>691000</v>
      </c>
    </row>
    <row r="59" spans="1:8" x14ac:dyDescent="0.25">
      <c r="A59" s="4"/>
      <c r="B59" s="3" t="s">
        <v>64</v>
      </c>
      <c r="C59" s="5">
        <v>1</v>
      </c>
      <c r="D59" s="6" t="s">
        <v>7</v>
      </c>
      <c r="E59" s="3" t="s">
        <v>8</v>
      </c>
      <c r="F59" s="5" t="s">
        <v>65</v>
      </c>
      <c r="G59" s="7">
        <v>753000</v>
      </c>
      <c r="H59" s="4">
        <f>G59*C59</f>
        <v>753000</v>
      </c>
    </row>
    <row r="60" spans="1:8" x14ac:dyDescent="0.25">
      <c r="A60" s="4"/>
      <c r="B60" s="3" t="s">
        <v>66</v>
      </c>
      <c r="C60" s="5">
        <v>1</v>
      </c>
      <c r="D60" s="6" t="s">
        <v>7</v>
      </c>
      <c r="E60" s="3" t="s">
        <v>8</v>
      </c>
      <c r="F60" s="5" t="s">
        <v>65</v>
      </c>
      <c r="G60" s="7">
        <v>449000</v>
      </c>
      <c r="H60" s="4">
        <f>G60*C60</f>
        <v>449000</v>
      </c>
    </row>
    <row r="61" spans="1:8" x14ac:dyDescent="0.25">
      <c r="A61" s="4"/>
      <c r="B61" s="3" t="s">
        <v>67</v>
      </c>
      <c r="C61" s="5">
        <v>1</v>
      </c>
      <c r="D61" s="6" t="s">
        <v>7</v>
      </c>
      <c r="E61" s="3" t="s">
        <v>8</v>
      </c>
      <c r="F61" s="5" t="s">
        <v>65</v>
      </c>
      <c r="G61" s="7">
        <v>417000</v>
      </c>
      <c r="H61" s="4">
        <f>G61*C61</f>
        <v>417000</v>
      </c>
    </row>
    <row r="62" spans="1:8" x14ac:dyDescent="0.25">
      <c r="A62" s="4"/>
      <c r="B62" s="3" t="s">
        <v>68</v>
      </c>
      <c r="C62" s="5">
        <v>1</v>
      </c>
      <c r="D62" s="6" t="s">
        <v>7</v>
      </c>
      <c r="E62" s="3" t="s">
        <v>8</v>
      </c>
      <c r="F62" s="5" t="s">
        <v>65</v>
      </c>
      <c r="G62" s="7">
        <v>169000</v>
      </c>
      <c r="H62" s="4">
        <f>G62*C62</f>
        <v>169000</v>
      </c>
    </row>
    <row r="63" spans="1:8" x14ac:dyDescent="0.25">
      <c r="A63" s="4"/>
      <c r="B63" s="3" t="s">
        <v>86</v>
      </c>
      <c r="C63" s="5">
        <v>1</v>
      </c>
      <c r="D63" s="6" t="s">
        <v>7</v>
      </c>
      <c r="E63" s="3" t="s">
        <v>8</v>
      </c>
      <c r="F63" s="5" t="s">
        <v>65</v>
      </c>
      <c r="G63" s="7">
        <v>691000</v>
      </c>
      <c r="H63" s="4">
        <f>G63*C63</f>
        <v>691000</v>
      </c>
    </row>
    <row r="64" spans="1:8" x14ac:dyDescent="0.25">
      <c r="A64" s="4"/>
      <c r="B64" s="3" t="s">
        <v>87</v>
      </c>
      <c r="C64" s="5">
        <v>1</v>
      </c>
      <c r="D64" s="6" t="s">
        <v>7</v>
      </c>
      <c r="E64" s="3" t="s">
        <v>8</v>
      </c>
      <c r="F64" s="5" t="s">
        <v>69</v>
      </c>
      <c r="G64" s="7">
        <v>535000</v>
      </c>
      <c r="H64" s="4">
        <f>G64*C64</f>
        <v>535000</v>
      </c>
    </row>
    <row r="65" spans="1:8" x14ac:dyDescent="0.25">
      <c r="A65" s="4"/>
      <c r="B65" s="3" t="s">
        <v>88</v>
      </c>
      <c r="C65" s="5">
        <v>1</v>
      </c>
      <c r="D65" s="6" t="s">
        <v>7</v>
      </c>
      <c r="E65" s="3" t="s">
        <v>8</v>
      </c>
      <c r="F65" s="5" t="s">
        <v>69</v>
      </c>
      <c r="G65" s="7">
        <v>348000</v>
      </c>
      <c r="H65" s="4">
        <f>G65*C65</f>
        <v>348000</v>
      </c>
    </row>
    <row r="66" spans="1:8" x14ac:dyDescent="0.25">
      <c r="A66" s="4"/>
      <c r="B66" s="3" t="s">
        <v>70</v>
      </c>
      <c r="C66" s="5">
        <v>1</v>
      </c>
      <c r="D66" s="6" t="s">
        <v>7</v>
      </c>
      <c r="E66" s="3" t="s">
        <v>8</v>
      </c>
      <c r="F66" s="5" t="s">
        <v>69</v>
      </c>
      <c r="G66" s="7">
        <v>385000</v>
      </c>
      <c r="H66" s="4">
        <f>G66*C66</f>
        <v>385000</v>
      </c>
    </row>
    <row r="67" spans="1:8" x14ac:dyDescent="0.25">
      <c r="A67" s="4"/>
      <c r="B67" s="3" t="s">
        <v>89</v>
      </c>
      <c r="C67" s="5">
        <v>1</v>
      </c>
      <c r="D67" s="6" t="s">
        <v>7</v>
      </c>
      <c r="E67" s="3" t="s">
        <v>8</v>
      </c>
      <c r="F67" s="5" t="s">
        <v>69</v>
      </c>
      <c r="G67" s="7">
        <v>355000</v>
      </c>
      <c r="H67" s="4">
        <f>G67*C67</f>
        <v>355000</v>
      </c>
    </row>
    <row r="68" spans="1:8" x14ac:dyDescent="0.25">
      <c r="A68" s="4"/>
      <c r="B68" s="3" t="s">
        <v>90</v>
      </c>
      <c r="C68" s="5">
        <v>4</v>
      </c>
      <c r="D68" s="6" t="s">
        <v>7</v>
      </c>
      <c r="E68" s="3" t="s">
        <v>8</v>
      </c>
      <c r="F68" s="5" t="s">
        <v>69</v>
      </c>
      <c r="G68" s="7">
        <v>291000</v>
      </c>
      <c r="H68" s="4">
        <f>G68*C68</f>
        <v>1164000</v>
      </c>
    </row>
    <row r="69" spans="1:8" x14ac:dyDescent="0.25">
      <c r="A69" s="4"/>
      <c r="B69" s="3" t="s">
        <v>91</v>
      </c>
      <c r="C69" s="5">
        <v>72</v>
      </c>
      <c r="D69" s="6" t="s">
        <v>7</v>
      </c>
      <c r="E69" s="3" t="s">
        <v>8</v>
      </c>
      <c r="F69" s="5" t="s">
        <v>69</v>
      </c>
      <c r="G69" s="7">
        <v>365000</v>
      </c>
      <c r="H69" s="4">
        <f>G69*C69</f>
        <v>26280000</v>
      </c>
    </row>
    <row r="70" spans="1:8" x14ac:dyDescent="0.25">
      <c r="A70" s="4"/>
      <c r="B70" s="3" t="s">
        <v>92</v>
      </c>
      <c r="C70" s="5">
        <v>72</v>
      </c>
      <c r="D70" s="6" t="s">
        <v>7</v>
      </c>
      <c r="E70" s="3" t="s">
        <v>8</v>
      </c>
      <c r="F70" s="5" t="s">
        <v>69</v>
      </c>
      <c r="G70" s="7">
        <v>488000</v>
      </c>
      <c r="H70" s="4">
        <f>G70*C70</f>
        <v>35136000</v>
      </c>
    </row>
    <row r="71" spans="1:8" x14ac:dyDescent="0.25">
      <c r="A71" s="4"/>
      <c r="B71" s="3" t="s">
        <v>93</v>
      </c>
      <c r="C71" s="5">
        <v>18</v>
      </c>
      <c r="D71" s="6" t="s">
        <v>7</v>
      </c>
      <c r="E71" s="3" t="s">
        <v>8</v>
      </c>
      <c r="F71" s="5" t="s">
        <v>69</v>
      </c>
      <c r="G71" s="7">
        <v>552000</v>
      </c>
      <c r="H71" s="4">
        <f>G71*C71</f>
        <v>9936000</v>
      </c>
    </row>
    <row r="72" spans="1:8" ht="18.75" x14ac:dyDescent="0.3">
      <c r="H72" s="9">
        <f>SUM(H2:H71)</f>
        <v>104572000</v>
      </c>
    </row>
  </sheetData>
  <autoFilter ref="A1:H71" xr:uid="{45E2EA57-F5FC-4DED-A660-A86BCCDAA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2026-05-15T15:02:52Z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