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5.1- uretimdeki\BASLANACAK\260504 astana mustf hakan bey jk\260630 prigorodnoy yeni proje ve bom\"/>
    </mc:Choice>
  </mc:AlternateContent>
  <xr:revisionPtr revIDLastSave="0" documentId="13_ncr:1_{8E9CC407-D6BC-4D25-BBD4-33EF93EA61DB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ksan ile revize260807" sheetId="6" r:id="rId1"/>
  </sheets>
  <definedNames>
    <definedName name="_xlnm._FilterDatabase" localSheetId="0" hidden="1">'teksan ile revize260807'!$A$1:$I$35</definedName>
    <definedName name="say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7" i="6" l="1"/>
  <c r="H28" i="6" s="1"/>
  <c r="H29" i="6" s="1"/>
  <c r="H30" i="6" s="1"/>
  <c r="H31" i="6" s="1"/>
  <c r="H32" i="6" s="1"/>
  <c r="H33" i="6" s="1"/>
  <c r="H34" i="6" s="1"/>
  <c r="H35" i="6" s="1"/>
  <c r="A26" i="6"/>
  <c r="A27" i="6" s="1"/>
  <c r="A28" i="6" s="1"/>
  <c r="A29" i="6" s="1"/>
  <c r="A30" i="6" s="1"/>
  <c r="A31" i="6" s="1"/>
  <c r="A32" i="6" s="1"/>
  <c r="A33" i="6" s="1"/>
  <c r="A34" i="6" s="1"/>
  <c r="A35" i="6" s="1"/>
  <c r="H19" i="6"/>
  <c r="H20" i="6" s="1"/>
  <c r="H21" i="6" s="1"/>
  <c r="H22" i="6" s="1"/>
  <c r="H24" i="6" s="1"/>
  <c r="H25" i="6" s="1"/>
  <c r="A18" i="6"/>
  <c r="A19" i="6" s="1"/>
  <c r="A20" i="6" s="1"/>
  <c r="A21" i="6" s="1"/>
  <c r="A22" i="6" s="1"/>
  <c r="A24" i="6" s="1"/>
  <c r="A25" i="6" s="1"/>
  <c r="H13" i="6"/>
  <c r="H14" i="6" s="1"/>
  <c r="H15" i="6" s="1"/>
  <c r="H16" i="6" s="1"/>
  <c r="H17" i="6" s="1"/>
  <c r="A12" i="6"/>
  <c r="A13" i="6" s="1"/>
  <c r="A14" i="6" s="1"/>
  <c r="A15" i="6" s="1"/>
  <c r="A16" i="6" s="1"/>
  <c r="A17" i="6" s="1"/>
  <c r="H3" i="6"/>
  <c r="H4" i="6" s="1"/>
  <c r="H6" i="6" s="1"/>
  <c r="H8" i="6" s="1"/>
  <c r="H10" i="6" s="1"/>
  <c r="A2" i="6"/>
  <c r="A3" i="6" s="1"/>
  <c r="A4" i="6" s="1"/>
  <c r="A5" i="6" s="1"/>
  <c r="A6" i="6" s="1"/>
  <c r="A7" i="6" s="1"/>
  <c r="A8" i="6" s="1"/>
  <c r="A9" i="6" s="1"/>
  <c r="A10" i="6" s="1"/>
  <c r="A11" i="6" s="1"/>
  <c r="A23" i="6" l="1"/>
  <c r="H23" i="6"/>
  <c r="H5" i="6"/>
  <c r="H7" i="6" s="1"/>
  <c r="H9" i="6" s="1"/>
  <c r="H11" i="6" s="1"/>
</calcChain>
</file>

<file path=xl/sharedStrings.xml><?xml version="1.0" encoding="utf-8"?>
<sst xmlns="http://schemas.openxmlformats.org/spreadsheetml/2006/main" count="183" uniqueCount="89">
  <si>
    <t>malzeme</t>
  </si>
  <si>
    <t>Артикул</t>
  </si>
  <si>
    <t>Номенклатура</t>
  </si>
  <si>
    <t>Кол- во</t>
  </si>
  <si>
    <t>Ед.изм</t>
  </si>
  <si>
    <t>завод из готовитель</t>
  </si>
  <si>
    <t>комплект</t>
  </si>
  <si>
    <t>TEKSAN</t>
  </si>
  <si>
    <t>korpus</t>
  </si>
  <si>
    <t xml:space="preserve"> ШТ. </t>
  </si>
  <si>
    <t>teksan f</t>
  </si>
  <si>
    <t>chint</t>
  </si>
  <si>
    <t>sayac</t>
  </si>
  <si>
    <t>saiman</t>
  </si>
  <si>
    <t>монтажный материал</t>
  </si>
  <si>
    <t>tt</t>
  </si>
  <si>
    <t>pys</t>
  </si>
  <si>
    <t>rubilnik</t>
  </si>
  <si>
    <t>kondencator</t>
  </si>
  <si>
    <t>С1-С3</t>
  </si>
  <si>
    <t>719-15425</t>
  </si>
  <si>
    <t>Мет.Корпус ЩМП-2 (500x400x220) IP54 TEKSAN</t>
  </si>
  <si>
    <t>ats</t>
  </si>
  <si>
    <t>ВРУ1-7</t>
  </si>
  <si>
    <t>Блок7</t>
  </si>
  <si>
    <t>РУ-1-7</t>
  </si>
  <si>
    <t>ЩУР.МОП1-7</t>
  </si>
  <si>
    <t>buson</t>
  </si>
  <si>
    <t>buson yuva</t>
  </si>
  <si>
    <t>521189</t>
  </si>
  <si>
    <t>Плавкая вставка предохранителя RT36-1-250, габарит 1, 250А</t>
  </si>
  <si>
    <t>521367</t>
  </si>
  <si>
    <t>Держатель плавкой вставки RT36-1-250, габарит 1, 250А</t>
  </si>
  <si>
    <t>РЩ1-7 (АВР-Б-40-2-1)</t>
  </si>
  <si>
    <t>171631</t>
  </si>
  <si>
    <t>Устройство автоматического ввода резерва NXZB-63H/4C 40A D40 (R)</t>
  </si>
  <si>
    <t>719-15437</t>
  </si>
  <si>
    <t>Мет.Корпус Щит (1600x600x400+10см база)</t>
  </si>
  <si>
    <t>719-15614</t>
  </si>
  <si>
    <t>Мет. Корпус (Пустой) (1700x600x450)+10CM База IP31</t>
  </si>
  <si>
    <t>719-15043</t>
  </si>
  <si>
    <t>Мет. Щит ВРУ 1700х800х450+10CM База</t>
  </si>
  <si>
    <t>270100161_</t>
  </si>
  <si>
    <t xml:space="preserve">                    Рубильник ВР-32-37  В71250-400А на 2 направления (+6камер) UNIT (1/6)</t>
  </si>
  <si>
    <t>611-36106</t>
  </si>
  <si>
    <t>4VTB-1C06 Автомат 1P 6A  4,5KA  B-C  (VIKO)120шт</t>
  </si>
  <si>
    <t>613-36328</t>
  </si>
  <si>
    <t>6VTB-3C25  Автомат 3P 25A  6KA VIKO</t>
  </si>
  <si>
    <t>613-36334</t>
  </si>
  <si>
    <t>6VTB-3C32  Автомат 3P 32A (VIKO)</t>
  </si>
  <si>
    <t>613-36322</t>
  </si>
  <si>
    <t>6VTB-3C20  Автомат 3P 20A  6KA VIKO</t>
  </si>
  <si>
    <t>615-36216</t>
  </si>
  <si>
    <t>Авт. Выкл. VMF1  40А 3Р 25кA SN2 (VIKO)20</t>
  </si>
  <si>
    <t>613-36307</t>
  </si>
  <si>
    <t>6VTB-3C04  Автомат 3P 4A  6KA VIKO</t>
  </si>
  <si>
    <t>viko</t>
  </si>
  <si>
    <t>615-36232</t>
  </si>
  <si>
    <t>Авт. Выкл. VMF2-100-SN2  3x100A 35кAVIKO</t>
  </si>
  <si>
    <t>614-36215</t>
  </si>
  <si>
    <t>10VTB-3С25  Автомат 3P  25A  10KA  B-C   (VIKO)</t>
  </si>
  <si>
    <t>614-36225</t>
  </si>
  <si>
    <t>10VTB-3С40  Автомат 3P  40A  10KA  B-C   (VIKO)</t>
  </si>
  <si>
    <t>615-36228</t>
  </si>
  <si>
    <t>Авт. Выкл. VMF2  125А 3Р 35кA SN2 (VIKО) 16шт</t>
  </si>
  <si>
    <t>131367</t>
  </si>
  <si>
    <t>Авт. выкл. NXM-250S/3Р 200A 36кА (R)</t>
  </si>
  <si>
    <t>614-36205</t>
  </si>
  <si>
    <t>10VTB-3С16  Автомат 3P  16A  10KA  B-C   (VIKO)</t>
  </si>
  <si>
    <t>mcb</t>
  </si>
  <si>
    <t>mccb</t>
  </si>
  <si>
    <t>IA</t>
  </si>
  <si>
    <t>ДАЛА СА4У-Э720 R TX OP П RS1 Д W  (3x220/380V 5-7,5A)</t>
  </si>
  <si>
    <t>NB</t>
  </si>
  <si>
    <t>Дала T1 СА4-Э720 (3x220/380V 5-60A)</t>
  </si>
  <si>
    <t>ITT20-2-05-0250</t>
  </si>
  <si>
    <t xml:space="preserve">             Трансформатор тока ТТИ-30  250/5А 5ВА 0,5 IEK E-PRO</t>
  </si>
  <si>
    <t>40a mcb 2 idi 1 tanesi 100a mccb ye degisti</t>
  </si>
  <si>
    <t>614-36300</t>
  </si>
  <si>
    <t>10VTB-3C80  Автомат 3P   80A   10kA  C   (VIKO)</t>
  </si>
  <si>
    <t>80a e degisti</t>
  </si>
  <si>
    <t>sonradan eklendi</t>
  </si>
  <si>
    <t>pano degisti</t>
  </si>
  <si>
    <t>2 tane daha eklendi 5 adet oldu</t>
  </si>
  <si>
    <t>611-36132</t>
  </si>
  <si>
    <t>4VTB-1C32 Avtomat 1P 32A 4,5KA B-C (VIKO) 120sht</t>
  </si>
  <si>
    <t>NY</t>
  </si>
  <si>
    <t>Дала TX П СА4-Э720 (3x220/380V 10-100A)</t>
  </si>
  <si>
    <t>sayac degisti 100a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</si>
</sst>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\-??_-;_-@_-"/>
  </numFmts>
  <fonts count="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</font>
    <font>
      <sz val="11"/>
      <color theme="1"/>
      <name val="Calibri"/>
      <family val="2"/>
      <charset val="204"/>
    </font>
    <font>
      <b/>
      <sz val="10"/>
      <color theme="1"/>
      <name val="Calibri"/>
      <family val="2"/>
      <charset val="1"/>
    </font>
    <font>
      <sz val="9.5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 wrapText="1"/>
    </xf>
    <xf numFmtId="0" fontId="0" fillId="5" borderId="0" xfId="0" applyFill="1"/>
    <xf numFmtId="3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left" vertical="center"/>
    </xf>
    <xf numFmtId="4" fontId="0" fillId="5" borderId="0" xfId="0" applyNumberForma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</cellXfs>
  <cellStyles count="6">
    <cellStyle name="Normal" xfId="0" builtinId="0"/>
    <cellStyle name="Normal 2" xfId="1" xr:uid="{00000000-0005-0000-0000-000006000000}"/>
    <cellStyle name="Обычный 2" xfId="2" xr:uid="{00000000-0005-0000-0000-000007000000}"/>
    <cellStyle name="Обычный 2 2" xfId="3" xr:uid="{00000000-0005-0000-0000-000008000000}"/>
    <cellStyle name="Обычный 2 2 2" xfId="4" xr:uid="{00000000-0005-0000-0000-000009000000}"/>
    <cellStyle name="Обычный 2 3" xfId="5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53264-4C11-4BE3-A448-65B586C0519E}">
  <dimension ref="A1:L35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J35" sqref="J35"/>
    </sheetView>
  </sheetViews>
  <sheetFormatPr defaultRowHeight="35.25" customHeight="1" x14ac:dyDescent="0.25"/>
  <cols>
    <col min="4" max="4" width="55.5703125" customWidth="1"/>
    <col min="9" max="9" width="16.42578125" customWidth="1"/>
    <col min="10" max="10" width="45" customWidth="1"/>
    <col min="12" max="12" width="61.5703125" customWidth="1"/>
  </cols>
  <sheetData>
    <row r="1" spans="1:12" ht="35.25" customHeight="1" x14ac:dyDescent="0.25">
      <c r="A1" s="1" t="s">
        <v>3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</row>
    <row r="2" spans="1:12" ht="35.25" customHeight="1" x14ac:dyDescent="0.25">
      <c r="A2" s="5" t="str">
        <f>D2</f>
        <v>ВРУ1-7</v>
      </c>
      <c r="B2" s="3"/>
      <c r="C2" s="4"/>
      <c r="D2" s="3" t="s">
        <v>23</v>
      </c>
      <c r="E2" s="5">
        <v>1</v>
      </c>
      <c r="F2" s="6" t="s">
        <v>6</v>
      </c>
      <c r="G2" s="3" t="s">
        <v>7</v>
      </c>
      <c r="H2" s="5" t="s">
        <v>24</v>
      </c>
    </row>
    <row r="3" spans="1:12" ht="35.25" customHeight="1" x14ac:dyDescent="0.25">
      <c r="A3" s="9" t="str">
        <f t="shared" ref="A3:A11" si="0">A2</f>
        <v>ВРУ1-7</v>
      </c>
      <c r="B3" s="7" t="s">
        <v>8</v>
      </c>
      <c r="C3" s="8" t="s">
        <v>40</v>
      </c>
      <c r="D3" s="7" t="s">
        <v>41</v>
      </c>
      <c r="E3" s="9">
        <v>1</v>
      </c>
      <c r="F3" s="10" t="s">
        <v>9</v>
      </c>
      <c r="G3" s="7" t="s">
        <v>10</v>
      </c>
      <c r="H3" s="9" t="str">
        <f t="shared" ref="H3:H5" si="1">H2</f>
        <v>Блок7</v>
      </c>
    </row>
    <row r="4" spans="1:12" ht="35.25" customHeight="1" x14ac:dyDescent="0.25">
      <c r="A4" s="9" t="str">
        <f t="shared" si="0"/>
        <v>ВРУ1-7</v>
      </c>
      <c r="B4" s="7" t="s">
        <v>15</v>
      </c>
      <c r="C4" s="8" t="s">
        <v>75</v>
      </c>
      <c r="D4" s="7" t="s">
        <v>76</v>
      </c>
      <c r="E4" s="9">
        <v>6</v>
      </c>
      <c r="F4" s="10" t="s">
        <v>9</v>
      </c>
      <c r="G4" s="7" t="s">
        <v>16</v>
      </c>
      <c r="H4" s="9" t="str">
        <f t="shared" si="1"/>
        <v>Блок7</v>
      </c>
    </row>
    <row r="5" spans="1:12" ht="35.25" customHeight="1" x14ac:dyDescent="0.25">
      <c r="A5" s="9" t="str">
        <f t="shared" si="0"/>
        <v>ВРУ1-7</v>
      </c>
      <c r="B5" s="7" t="s">
        <v>17</v>
      </c>
      <c r="C5" s="8" t="s">
        <v>42</v>
      </c>
      <c r="D5" s="7" t="s">
        <v>43</v>
      </c>
      <c r="E5" s="9">
        <v>2</v>
      </c>
      <c r="F5" s="10" t="s">
        <v>9</v>
      </c>
      <c r="G5" s="7" t="s">
        <v>16</v>
      </c>
      <c r="H5" s="9" t="str">
        <f t="shared" si="1"/>
        <v>Блок7</v>
      </c>
    </row>
    <row r="6" spans="1:12" ht="35.25" customHeight="1" x14ac:dyDescent="0.25">
      <c r="A6" s="9" t="str">
        <f t="shared" si="0"/>
        <v>ВРУ1-7</v>
      </c>
      <c r="B6" s="7" t="s">
        <v>28</v>
      </c>
      <c r="C6" s="8" t="s">
        <v>31</v>
      </c>
      <c r="D6" s="7" t="s">
        <v>32</v>
      </c>
      <c r="E6" s="9">
        <v>6</v>
      </c>
      <c r="F6" s="10" t="s">
        <v>9</v>
      </c>
      <c r="G6" s="7" t="s">
        <v>11</v>
      </c>
      <c r="H6" s="9" t="str">
        <f>H4</f>
        <v>Блок7</v>
      </c>
    </row>
    <row r="7" spans="1:12" ht="35.25" customHeight="1" x14ac:dyDescent="0.25">
      <c r="A7" s="9" t="str">
        <f t="shared" si="0"/>
        <v>ВРУ1-7</v>
      </c>
      <c r="B7" s="7" t="s">
        <v>27</v>
      </c>
      <c r="C7" s="8" t="s">
        <v>29</v>
      </c>
      <c r="D7" s="7" t="s">
        <v>30</v>
      </c>
      <c r="E7" s="9">
        <v>6</v>
      </c>
      <c r="F7" s="10" t="s">
        <v>9</v>
      </c>
      <c r="G7" s="7" t="s">
        <v>11</v>
      </c>
      <c r="H7" s="9" t="str">
        <f t="shared" ref="H7:H11" si="2">H5</f>
        <v>Блок7</v>
      </c>
    </row>
    <row r="8" spans="1:12" ht="35.25" customHeight="1" x14ac:dyDescent="0.25">
      <c r="A8" s="9" t="str">
        <f t="shared" si="0"/>
        <v>ВРУ1-7</v>
      </c>
      <c r="B8" s="7" t="s">
        <v>69</v>
      </c>
      <c r="C8" s="8" t="s">
        <v>44</v>
      </c>
      <c r="D8" s="7" t="s">
        <v>45</v>
      </c>
      <c r="E8" s="9">
        <v>2</v>
      </c>
      <c r="F8" s="10" t="s">
        <v>9</v>
      </c>
      <c r="G8" s="7" t="s">
        <v>56</v>
      </c>
      <c r="H8" s="9" t="str">
        <f t="shared" si="2"/>
        <v>Блок7</v>
      </c>
    </row>
    <row r="9" spans="1:12" ht="35.25" customHeight="1" x14ac:dyDescent="0.25">
      <c r="A9" s="9" t="str">
        <f t="shared" si="0"/>
        <v>ВРУ1-7</v>
      </c>
      <c r="B9" s="7" t="s">
        <v>12</v>
      </c>
      <c r="C9" s="8" t="s">
        <v>71</v>
      </c>
      <c r="D9" s="11" t="s">
        <v>72</v>
      </c>
      <c r="E9" s="9">
        <v>2</v>
      </c>
      <c r="F9" s="10" t="s">
        <v>9</v>
      </c>
      <c r="G9" s="7" t="s">
        <v>13</v>
      </c>
      <c r="H9" s="9" t="str">
        <f t="shared" si="2"/>
        <v>Блок7</v>
      </c>
    </row>
    <row r="10" spans="1:12" ht="35.25" customHeight="1" x14ac:dyDescent="0.25">
      <c r="A10" s="9" t="str">
        <f t="shared" si="0"/>
        <v>ВРУ1-7</v>
      </c>
      <c r="B10" s="7" t="s">
        <v>18</v>
      </c>
      <c r="C10" s="8"/>
      <c r="D10" s="7" t="s">
        <v>19</v>
      </c>
      <c r="E10" s="9">
        <v>6</v>
      </c>
      <c r="F10" s="10" t="s">
        <v>9</v>
      </c>
      <c r="G10" s="7" t="s">
        <v>16</v>
      </c>
      <c r="H10" s="9" t="str">
        <f t="shared" si="2"/>
        <v>Блок7</v>
      </c>
    </row>
    <row r="11" spans="1:12" ht="35.25" customHeight="1" x14ac:dyDescent="0.25">
      <c r="A11" s="7" t="str">
        <f t="shared" si="0"/>
        <v>ВРУ1-7</v>
      </c>
      <c r="B11" s="7" t="s">
        <v>14</v>
      </c>
      <c r="C11" s="8" t="s">
        <v>14</v>
      </c>
      <c r="D11" s="7" t="s">
        <v>14</v>
      </c>
      <c r="E11" s="7">
        <v>1</v>
      </c>
      <c r="F11" s="7" t="s">
        <v>9</v>
      </c>
      <c r="G11" s="7" t="s">
        <v>14</v>
      </c>
      <c r="H11" s="9" t="str">
        <f t="shared" si="2"/>
        <v>Блок7</v>
      </c>
    </row>
    <row r="12" spans="1:12" ht="35.25" customHeight="1" x14ac:dyDescent="0.25">
      <c r="A12" s="5" t="str">
        <f>D12</f>
        <v>РУ-1-7</v>
      </c>
      <c r="B12" s="3"/>
      <c r="C12" s="4"/>
      <c r="D12" s="3" t="s">
        <v>25</v>
      </c>
      <c r="E12" s="5">
        <v>1</v>
      </c>
      <c r="F12" s="6" t="s">
        <v>6</v>
      </c>
      <c r="G12" s="3" t="s">
        <v>7</v>
      </c>
      <c r="H12" s="5" t="s">
        <v>24</v>
      </c>
    </row>
    <row r="13" spans="1:12" ht="35.25" customHeight="1" x14ac:dyDescent="0.25">
      <c r="A13" s="9" t="str">
        <f t="shared" ref="A13:A17" si="3">A12</f>
        <v>РУ-1-7</v>
      </c>
      <c r="B13" s="7" t="s">
        <v>8</v>
      </c>
      <c r="C13" s="8" t="s">
        <v>38</v>
      </c>
      <c r="D13" s="7" t="s">
        <v>39</v>
      </c>
      <c r="E13" s="9">
        <v>1</v>
      </c>
      <c r="F13" s="10" t="s">
        <v>9</v>
      </c>
      <c r="G13" s="7" t="s">
        <v>10</v>
      </c>
      <c r="H13" s="9" t="str">
        <f t="shared" ref="H13:H17" si="4">H12</f>
        <v>Блок7</v>
      </c>
    </row>
    <row r="14" spans="1:12" ht="35.25" customHeight="1" x14ac:dyDescent="0.25">
      <c r="A14" s="9" t="str">
        <f t="shared" si="3"/>
        <v>РУ-1-7</v>
      </c>
      <c r="B14" s="7" t="s">
        <v>70</v>
      </c>
      <c r="C14" s="8" t="s">
        <v>63</v>
      </c>
      <c r="D14" s="7" t="s">
        <v>64</v>
      </c>
      <c r="E14" s="9">
        <v>4</v>
      </c>
      <c r="F14" s="10" t="s">
        <v>9</v>
      </c>
      <c r="G14" s="7" t="s">
        <v>56</v>
      </c>
      <c r="H14" s="9" t="str">
        <f t="shared" si="4"/>
        <v>Блок7</v>
      </c>
    </row>
    <row r="15" spans="1:12" ht="35.25" customHeight="1" x14ac:dyDescent="0.25">
      <c r="A15" s="9" t="str">
        <f t="shared" si="3"/>
        <v>РУ-1-7</v>
      </c>
      <c r="B15" s="7" t="s">
        <v>70</v>
      </c>
      <c r="C15" s="8" t="s">
        <v>65</v>
      </c>
      <c r="D15" s="7" t="s">
        <v>66</v>
      </c>
      <c r="E15" s="9">
        <v>1</v>
      </c>
      <c r="F15" s="10" t="s">
        <v>9</v>
      </c>
      <c r="G15" s="7" t="s">
        <v>11</v>
      </c>
      <c r="H15" s="9" t="str">
        <f t="shared" si="4"/>
        <v>Блок7</v>
      </c>
    </row>
    <row r="16" spans="1:12" ht="35.25" customHeight="1" x14ac:dyDescent="0.25">
      <c r="A16" s="15" t="str">
        <f t="shared" si="3"/>
        <v>РУ-1-7</v>
      </c>
      <c r="B16" s="14" t="s">
        <v>69</v>
      </c>
      <c r="C16" s="13" t="s">
        <v>61</v>
      </c>
      <c r="D16" s="14" t="s">
        <v>62</v>
      </c>
      <c r="E16" s="15">
        <v>1</v>
      </c>
      <c r="F16" s="16" t="s">
        <v>9</v>
      </c>
      <c r="G16" s="14" t="s">
        <v>56</v>
      </c>
      <c r="H16" s="15" t="str">
        <f t="shared" si="4"/>
        <v>Блок7</v>
      </c>
      <c r="I16" s="17" t="s">
        <v>57</v>
      </c>
      <c r="J16" s="17" t="s">
        <v>58</v>
      </c>
      <c r="K16" s="17">
        <v>1</v>
      </c>
      <c r="L16" s="17" t="s">
        <v>77</v>
      </c>
    </row>
    <row r="17" spans="1:12" ht="35.25" customHeight="1" x14ac:dyDescent="0.25">
      <c r="A17" s="7" t="str">
        <f t="shared" si="3"/>
        <v>РУ-1-7</v>
      </c>
      <c r="B17" s="7" t="s">
        <v>14</v>
      </c>
      <c r="C17" s="8" t="s">
        <v>14</v>
      </c>
      <c r="D17" s="7" t="s">
        <v>14</v>
      </c>
      <c r="E17" s="7">
        <v>1</v>
      </c>
      <c r="F17" s="7" t="s">
        <v>9</v>
      </c>
      <c r="G17" s="7" t="s">
        <v>14</v>
      </c>
      <c r="H17" s="9" t="str">
        <f t="shared" si="4"/>
        <v>Блок7</v>
      </c>
    </row>
    <row r="18" spans="1:12" ht="35.25" customHeight="1" x14ac:dyDescent="0.25">
      <c r="A18" s="5" t="str">
        <f>D18</f>
        <v>ЩУР.МОП1-7</v>
      </c>
      <c r="B18" s="3"/>
      <c r="C18" s="4"/>
      <c r="D18" s="3" t="s">
        <v>26</v>
      </c>
      <c r="E18" s="5">
        <v>1</v>
      </c>
      <c r="F18" s="6" t="s">
        <v>6</v>
      </c>
      <c r="G18" s="3" t="s">
        <v>7</v>
      </c>
      <c r="H18" s="5" t="s">
        <v>24</v>
      </c>
    </row>
    <row r="19" spans="1:12" ht="35.25" customHeight="1" x14ac:dyDescent="0.25">
      <c r="A19" s="15" t="str">
        <f t="shared" ref="A19:A25" si="5">A18</f>
        <v>ЩУР.МОП1-7</v>
      </c>
      <c r="B19" s="14" t="s">
        <v>8</v>
      </c>
      <c r="C19" s="13" t="s">
        <v>20</v>
      </c>
      <c r="D19" s="14" t="s">
        <v>21</v>
      </c>
      <c r="E19" s="15">
        <v>1</v>
      </c>
      <c r="F19" s="16" t="s">
        <v>9</v>
      </c>
      <c r="G19" s="14" t="s">
        <v>10</v>
      </c>
      <c r="H19" s="15" t="str">
        <f t="shared" ref="H19:H25" si="6">H18</f>
        <v>Блок7</v>
      </c>
      <c r="I19" s="12"/>
      <c r="J19" s="12"/>
      <c r="K19" s="12"/>
      <c r="L19" s="12" t="s">
        <v>82</v>
      </c>
    </row>
    <row r="20" spans="1:12" ht="35.25" customHeight="1" x14ac:dyDescent="0.25">
      <c r="A20" s="15" t="str">
        <f t="shared" si="5"/>
        <v>ЩУР.МОП1-7</v>
      </c>
      <c r="B20" s="14" t="s">
        <v>69</v>
      </c>
      <c r="C20" s="13" t="s">
        <v>48</v>
      </c>
      <c r="D20" s="14" t="s">
        <v>49</v>
      </c>
      <c r="E20" s="15">
        <v>1</v>
      </c>
      <c r="F20" s="16" t="s">
        <v>9</v>
      </c>
      <c r="G20" s="14" t="s">
        <v>56</v>
      </c>
      <c r="H20" s="15" t="str">
        <f t="shared" si="6"/>
        <v>Блок7</v>
      </c>
      <c r="I20" s="17" t="s">
        <v>78</v>
      </c>
      <c r="J20" s="17" t="s">
        <v>79</v>
      </c>
      <c r="K20" s="18">
        <v>1</v>
      </c>
      <c r="L20" s="17" t="s">
        <v>80</v>
      </c>
    </row>
    <row r="21" spans="1:12" ht="35.25" customHeight="1" x14ac:dyDescent="0.25">
      <c r="A21" s="9" t="str">
        <f t="shared" si="5"/>
        <v>ЩУР.МОП1-7</v>
      </c>
      <c r="B21" s="7" t="s">
        <v>69</v>
      </c>
      <c r="C21" s="8" t="s">
        <v>50</v>
      </c>
      <c r="D21" s="7" t="s">
        <v>51</v>
      </c>
      <c r="E21" s="9">
        <v>1</v>
      </c>
      <c r="F21" s="10" t="s">
        <v>9</v>
      </c>
      <c r="G21" s="7" t="s">
        <v>56</v>
      </c>
      <c r="H21" s="9" t="str">
        <f t="shared" si="6"/>
        <v>Блок7</v>
      </c>
    </row>
    <row r="22" spans="1:12" ht="35.25" customHeight="1" x14ac:dyDescent="0.25">
      <c r="A22" s="15" t="str">
        <f t="shared" si="5"/>
        <v>ЩУР.МОП1-7</v>
      </c>
      <c r="B22" s="14" t="s">
        <v>69</v>
      </c>
      <c r="C22" s="13" t="s">
        <v>46</v>
      </c>
      <c r="D22" s="14" t="s">
        <v>47</v>
      </c>
      <c r="E22" s="15">
        <v>3</v>
      </c>
      <c r="F22" s="16" t="s">
        <v>9</v>
      </c>
      <c r="G22" s="14" t="s">
        <v>56</v>
      </c>
      <c r="H22" s="15" t="str">
        <f t="shared" si="6"/>
        <v>Блок7</v>
      </c>
      <c r="I22" s="12"/>
      <c r="J22" s="12"/>
      <c r="K22" s="12"/>
      <c r="L22" s="12" t="s">
        <v>83</v>
      </c>
    </row>
    <row r="23" spans="1:12" ht="35.25" customHeight="1" x14ac:dyDescent="0.25">
      <c r="A23" s="15" t="str">
        <f t="shared" si="5"/>
        <v>ЩУР.МОП1-7</v>
      </c>
      <c r="B23" s="14" t="s">
        <v>69</v>
      </c>
      <c r="C23" s="13" t="s">
        <v>84</v>
      </c>
      <c r="D23" s="14" t="s">
        <v>85</v>
      </c>
      <c r="E23" s="15">
        <v>4</v>
      </c>
      <c r="F23" s="16" t="s">
        <v>9</v>
      </c>
      <c r="G23" s="14" t="s">
        <v>56</v>
      </c>
      <c r="H23" s="15" t="str">
        <f t="shared" si="6"/>
        <v>Блок7</v>
      </c>
      <c r="I23" s="12"/>
      <c r="J23" s="12"/>
      <c r="K23" s="12"/>
      <c r="L23" s="12" t="s">
        <v>81</v>
      </c>
    </row>
    <row r="24" spans="1:12" ht="35.25" customHeight="1" x14ac:dyDescent="0.25">
      <c r="A24" s="15" t="str">
        <f>A22</f>
        <v>ЩУР.МОП1-7</v>
      </c>
      <c r="B24" s="14" t="s">
        <v>12</v>
      </c>
      <c r="C24" s="13" t="s">
        <v>73</v>
      </c>
      <c r="D24" s="14" t="s">
        <v>74</v>
      </c>
      <c r="E24" s="15">
        <v>1</v>
      </c>
      <c r="F24" s="16" t="s">
        <v>9</v>
      </c>
      <c r="G24" s="14" t="s">
        <v>13</v>
      </c>
      <c r="H24" s="15" t="str">
        <f>H22</f>
        <v>Блок7</v>
      </c>
      <c r="I24" s="19" t="s">
        <v>86</v>
      </c>
      <c r="J24" s="20" t="s">
        <v>87</v>
      </c>
      <c r="K24" s="12"/>
      <c r="L24" s="12" t="s">
        <v>88</v>
      </c>
    </row>
    <row r="25" spans="1:12" ht="35.25" customHeight="1" x14ac:dyDescent="0.25">
      <c r="A25" s="7" t="str">
        <f t="shared" si="5"/>
        <v>ЩУР.МОП1-7</v>
      </c>
      <c r="B25" s="7" t="s">
        <v>14</v>
      </c>
      <c r="C25" s="8" t="s">
        <v>14</v>
      </c>
      <c r="D25" s="7" t="s">
        <v>14</v>
      </c>
      <c r="E25" s="7">
        <v>1</v>
      </c>
      <c r="F25" s="7" t="s">
        <v>9</v>
      </c>
      <c r="G25" s="7" t="s">
        <v>14</v>
      </c>
      <c r="H25" s="9" t="str">
        <f t="shared" si="6"/>
        <v>Блок7</v>
      </c>
    </row>
    <row r="26" spans="1:12" ht="35.25" customHeight="1" x14ac:dyDescent="0.25">
      <c r="A26" s="5" t="str">
        <f>D26</f>
        <v>РЩ1-7 (АВР-Б-40-2-1)</v>
      </c>
      <c r="B26" s="3"/>
      <c r="C26" s="4"/>
      <c r="D26" s="3" t="s">
        <v>33</v>
      </c>
      <c r="E26" s="5">
        <v>1</v>
      </c>
      <c r="F26" s="6" t="s">
        <v>6</v>
      </c>
      <c r="G26" s="3" t="s">
        <v>7</v>
      </c>
      <c r="H26" s="5" t="s">
        <v>24</v>
      </c>
    </row>
    <row r="27" spans="1:12" ht="35.25" customHeight="1" x14ac:dyDescent="0.25">
      <c r="A27" s="9" t="str">
        <f t="shared" ref="A27:A35" si="7">A26</f>
        <v>РЩ1-7 (АВР-Б-40-2-1)</v>
      </c>
      <c r="B27" s="7" t="s">
        <v>8</v>
      </c>
      <c r="C27" s="8" t="s">
        <v>36</v>
      </c>
      <c r="D27" s="7" t="s">
        <v>37</v>
      </c>
      <c r="E27" s="9">
        <v>1</v>
      </c>
      <c r="F27" s="10" t="s">
        <v>9</v>
      </c>
      <c r="G27" s="7" t="s">
        <v>10</v>
      </c>
      <c r="H27" s="9" t="str">
        <f t="shared" ref="H27:H35" si="8">H26</f>
        <v>Блок7</v>
      </c>
    </row>
    <row r="28" spans="1:12" ht="35.25" customHeight="1" x14ac:dyDescent="0.25">
      <c r="A28" s="9" t="str">
        <f t="shared" si="7"/>
        <v>РЩ1-7 (АВР-Б-40-2-1)</v>
      </c>
      <c r="B28" s="7" t="s">
        <v>22</v>
      </c>
      <c r="C28" s="8" t="s">
        <v>34</v>
      </c>
      <c r="D28" s="7" t="s">
        <v>35</v>
      </c>
      <c r="E28" s="9">
        <v>1</v>
      </c>
      <c r="F28" s="10" t="s">
        <v>9</v>
      </c>
      <c r="G28" s="7" t="s">
        <v>11</v>
      </c>
      <c r="H28" s="9" t="str">
        <f t="shared" si="8"/>
        <v>Блок7</v>
      </c>
    </row>
    <row r="29" spans="1:12" ht="35.25" customHeight="1" x14ac:dyDescent="0.25">
      <c r="A29" s="9" t="str">
        <f t="shared" si="7"/>
        <v>РЩ1-7 (АВР-Б-40-2-1)</v>
      </c>
      <c r="B29" s="7" t="s">
        <v>69</v>
      </c>
      <c r="C29" s="8" t="s">
        <v>59</v>
      </c>
      <c r="D29" s="7" t="s">
        <v>60</v>
      </c>
      <c r="E29" s="9">
        <v>2</v>
      </c>
      <c r="F29" s="10" t="s">
        <v>9</v>
      </c>
      <c r="G29" s="7" t="s">
        <v>56</v>
      </c>
      <c r="H29" s="9" t="str">
        <f t="shared" si="8"/>
        <v>Блок7</v>
      </c>
    </row>
    <row r="30" spans="1:12" ht="35.25" customHeight="1" x14ac:dyDescent="0.25">
      <c r="A30" s="9" t="str">
        <f t="shared" si="7"/>
        <v>РЩ1-7 (АВР-Б-40-2-1)</v>
      </c>
      <c r="B30" s="7" t="s">
        <v>69</v>
      </c>
      <c r="C30" s="8" t="s">
        <v>67</v>
      </c>
      <c r="D30" s="7" t="s">
        <v>68</v>
      </c>
      <c r="E30" s="9">
        <v>3</v>
      </c>
      <c r="F30" s="10" t="s">
        <v>9</v>
      </c>
      <c r="G30" s="7" t="s">
        <v>56</v>
      </c>
      <c r="H30" s="9" t="str">
        <f t="shared" si="8"/>
        <v>Блок7</v>
      </c>
    </row>
    <row r="31" spans="1:12" ht="35.25" customHeight="1" x14ac:dyDescent="0.25">
      <c r="A31" s="9" t="str">
        <f t="shared" si="7"/>
        <v>РЩ1-7 (АВР-Б-40-2-1)</v>
      </c>
      <c r="B31" s="7" t="s">
        <v>70</v>
      </c>
      <c r="C31" s="8" t="s">
        <v>52</v>
      </c>
      <c r="D31" s="7" t="s">
        <v>53</v>
      </c>
      <c r="E31" s="9">
        <v>2</v>
      </c>
      <c r="F31" s="10" t="s">
        <v>9</v>
      </c>
      <c r="G31" s="7" t="s">
        <v>56</v>
      </c>
      <c r="H31" s="9" t="str">
        <f t="shared" si="8"/>
        <v>Блок7</v>
      </c>
    </row>
    <row r="32" spans="1:12" ht="35.25" customHeight="1" x14ac:dyDescent="0.25">
      <c r="A32" s="9" t="str">
        <f t="shared" si="7"/>
        <v>РЩ1-7 (АВР-Б-40-2-1)</v>
      </c>
      <c r="B32" s="7" t="s">
        <v>69</v>
      </c>
      <c r="C32" s="8" t="s">
        <v>54</v>
      </c>
      <c r="D32" s="7" t="s">
        <v>55</v>
      </c>
      <c r="E32" s="9">
        <v>1</v>
      </c>
      <c r="F32" s="10" t="s">
        <v>9</v>
      </c>
      <c r="G32" s="7" t="s">
        <v>56</v>
      </c>
      <c r="H32" s="9" t="str">
        <f t="shared" si="8"/>
        <v>Блок7</v>
      </c>
    </row>
    <row r="33" spans="1:8" ht="35.25" customHeight="1" x14ac:dyDescent="0.25">
      <c r="A33" s="9" t="str">
        <f t="shared" si="7"/>
        <v>РЩ1-7 (АВР-Б-40-2-1)</v>
      </c>
      <c r="B33" s="7" t="s">
        <v>12</v>
      </c>
      <c r="C33" s="8" t="s">
        <v>73</v>
      </c>
      <c r="D33" s="7" t="s">
        <v>74</v>
      </c>
      <c r="E33" s="9">
        <v>1</v>
      </c>
      <c r="F33" s="10" t="s">
        <v>9</v>
      </c>
      <c r="G33" s="7" t="s">
        <v>13</v>
      </c>
      <c r="H33" s="9" t="str">
        <f t="shared" si="8"/>
        <v>Блок7</v>
      </c>
    </row>
    <row r="34" spans="1:8" ht="35.25" customHeight="1" x14ac:dyDescent="0.25">
      <c r="A34" s="9" t="str">
        <f t="shared" si="7"/>
        <v>РЩ1-7 (АВР-Б-40-2-1)</v>
      </c>
      <c r="B34" s="7" t="s">
        <v>18</v>
      </c>
      <c r="C34" s="8"/>
      <c r="D34" s="7" t="s">
        <v>19</v>
      </c>
      <c r="E34" s="9">
        <v>6</v>
      </c>
      <c r="F34" s="10" t="s">
        <v>9</v>
      </c>
      <c r="G34" s="7" t="s">
        <v>16</v>
      </c>
      <c r="H34" s="9" t="str">
        <f t="shared" si="8"/>
        <v>Блок7</v>
      </c>
    </row>
    <row r="35" spans="1:8" ht="35.25" customHeight="1" x14ac:dyDescent="0.25">
      <c r="A35" s="7" t="str">
        <f t="shared" si="7"/>
        <v>РЩ1-7 (АВР-Б-40-2-1)</v>
      </c>
      <c r="B35" s="7" t="s">
        <v>14</v>
      </c>
      <c r="C35" s="8" t="s">
        <v>14</v>
      </c>
      <c r="D35" s="7" t="s">
        <v>14</v>
      </c>
      <c r="E35" s="7">
        <v>1</v>
      </c>
      <c r="F35" s="7" t="s">
        <v>9</v>
      </c>
      <c r="G35" s="7" t="s">
        <v>14</v>
      </c>
      <c r="H35" s="9" t="str">
        <f t="shared" si="8"/>
        <v>Блок7</v>
      </c>
    </row>
  </sheetData>
  <autoFilter ref="A1:I35" xr:uid="{E8353264-4C11-4BE3-A448-65B586C051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teksan ile revize260807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2026-09-03T07:26:09Z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