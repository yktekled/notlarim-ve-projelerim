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G:\Drive'ım\5.1- uretimdeki\BASLANACAK\260504 astana mustf hakan bey jk\260630 prigorodnoy yeni proje ve bom\"/>
    </mc:Choice>
  </mc:AlternateContent>
  <xr:revisionPtr revIDLastSave="0" documentId="8_{2C560931-AFF3-40B6-88DA-0946169445AF}" xr6:coauthVersionLast="47" xr6:coauthVersionMax="47" xr10:uidLastSave="{00000000-0000-0000-0000-000000000000}"/>
  <bookViews>
    <workbookView xWindow="28680" yWindow="-120" windowWidth="29040" windowHeight="15720" tabRatio="500" activeTab="2" xr2:uid="{00000000-000D-0000-FFFF-FFFF00000000}"/>
  </bookViews>
  <sheets>
    <sheet name="cnc ile bom" sheetId="2" r:id="rId1"/>
    <sheet name="teksan salt ile bom" sheetId="4" r:id="rId2"/>
    <sheet name="teksan ile revize260807" sheetId="6" r:id="rId3"/>
    <sheet name="sayaclar" sheetId="5" r:id="rId4"/>
    <sheet name="fiyat" sheetId="3" r:id="rId5"/>
  </sheets>
  <definedNames>
    <definedName name="_xlnm._FilterDatabase" localSheetId="0" hidden="1">'cnc ile bom'!$B$1:$L$693</definedName>
    <definedName name="_xlnm._FilterDatabase" localSheetId="4" hidden="1">fiyat!$A$1:$Q$72</definedName>
    <definedName name="_xlnm._FilterDatabase" localSheetId="2" hidden="1">'teksan ile revize260807'!$A$1:$T$735</definedName>
    <definedName name="_xlnm._FilterDatabase" localSheetId="1" hidden="1">'teksan salt ile bom'!$A$1:$K$720</definedName>
    <definedName name="sayac">'cnc ile bom'!#REF!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73" i="6" l="1"/>
  <c r="G73" i="6" s="1"/>
  <c r="F83" i="6"/>
  <c r="G83" i="6" s="1"/>
  <c r="K90" i="6"/>
  <c r="F90" i="6"/>
  <c r="G90" i="6" s="1"/>
  <c r="F102" i="6"/>
  <c r="G102" i="6" s="1"/>
  <c r="F128" i="6"/>
  <c r="G128" i="6" s="1"/>
  <c r="K143" i="6"/>
  <c r="F143" i="6"/>
  <c r="G143" i="6" s="1"/>
  <c r="F164" i="6"/>
  <c r="G164" i="6" s="1"/>
  <c r="F203" i="6"/>
  <c r="G203" i="6" s="1"/>
  <c r="K211" i="6"/>
  <c r="F211" i="6"/>
  <c r="G211" i="6" s="1"/>
  <c r="F235" i="6"/>
  <c r="G235" i="6" s="1"/>
  <c r="K242" i="6"/>
  <c r="F242" i="6"/>
  <c r="G242" i="6" s="1"/>
  <c r="F265" i="6"/>
  <c r="G265" i="6" s="1"/>
  <c r="F272" i="6"/>
  <c r="G272" i="6" s="1"/>
  <c r="K271" i="6"/>
  <c r="K272" i="6" s="1"/>
  <c r="F271" i="6"/>
  <c r="G271" i="6" s="1"/>
  <c r="F316" i="6"/>
  <c r="G316" i="6" s="1"/>
  <c r="K273" i="6" l="1"/>
  <c r="F308" i="6" l="1"/>
  <c r="G308" i="6" s="1"/>
  <c r="O2" i="6"/>
  <c r="P2" i="6" s="1"/>
  <c r="Q2" i="6" s="1"/>
  <c r="O14" i="6"/>
  <c r="P14" i="6" s="1"/>
  <c r="Q14" i="6" s="1"/>
  <c r="O23" i="6"/>
  <c r="O24" i="6" s="1"/>
  <c r="O33" i="6"/>
  <c r="O43" i="6"/>
  <c r="O44" i="6" s="1"/>
  <c r="P44" i="6" s="1"/>
  <c r="O57" i="6"/>
  <c r="O58" i="6" s="1"/>
  <c r="O69" i="6"/>
  <c r="O70" i="6" s="1"/>
  <c r="O78" i="6"/>
  <c r="O79" i="6" s="1"/>
  <c r="O88" i="6"/>
  <c r="O98" i="6"/>
  <c r="P98" i="6" s="1"/>
  <c r="Q98" i="6" s="1"/>
  <c r="O112" i="6"/>
  <c r="P112" i="6" s="1"/>
  <c r="Q112" i="6" s="1"/>
  <c r="O124" i="6"/>
  <c r="O133" i="6"/>
  <c r="P133" i="6" s="1"/>
  <c r="Q133" i="6" s="1"/>
  <c r="O141" i="6"/>
  <c r="O151" i="6"/>
  <c r="O160" i="6"/>
  <c r="P160" i="6" s="1"/>
  <c r="Q160" i="6" s="1"/>
  <c r="O174" i="6"/>
  <c r="P174" i="6" s="1"/>
  <c r="Q174" i="6" s="1"/>
  <c r="O187" i="6"/>
  <c r="P187" i="6" s="1"/>
  <c r="Q187" i="6" s="1"/>
  <c r="O199" i="6"/>
  <c r="O200" i="6" s="1"/>
  <c r="O201" i="6" s="1"/>
  <c r="O203" i="6" s="1"/>
  <c r="P203" i="6" s="1"/>
  <c r="Q203" i="6" s="1"/>
  <c r="O209" i="6"/>
  <c r="O218" i="6"/>
  <c r="O219" i="6" s="1"/>
  <c r="O231" i="6"/>
  <c r="P231" i="6" s="1"/>
  <c r="Q231" i="6" s="1"/>
  <c r="O240" i="6"/>
  <c r="O249" i="6"/>
  <c r="P249" i="6" s="1"/>
  <c r="Q249" i="6" s="1"/>
  <c r="O261" i="6"/>
  <c r="P261" i="6" s="1"/>
  <c r="Q261" i="6" s="1"/>
  <c r="O270" i="6"/>
  <c r="O280" i="6"/>
  <c r="O281" i="6" s="1"/>
  <c r="P281" i="6" s="1"/>
  <c r="O292" i="6"/>
  <c r="O293" i="6" s="1"/>
  <c r="O304" i="6"/>
  <c r="O305" i="6" s="1"/>
  <c r="O313" i="6"/>
  <c r="O314" i="6" s="1"/>
  <c r="O316" i="6" s="1"/>
  <c r="P316" i="6" s="1"/>
  <c r="Q316" i="6" s="1"/>
  <c r="O323" i="6"/>
  <c r="O335" i="6"/>
  <c r="P335" i="6" s="1"/>
  <c r="Q335" i="6" s="1"/>
  <c r="O347" i="6"/>
  <c r="P347" i="6" s="1"/>
  <c r="Q347" i="6" s="1"/>
  <c r="O355" i="6"/>
  <c r="P355" i="6" s="1"/>
  <c r="Q355" i="6" s="1"/>
  <c r="O364" i="6"/>
  <c r="P364" i="6" s="1"/>
  <c r="Q364" i="6" s="1"/>
  <c r="O376" i="6"/>
  <c r="P376" i="6" s="1"/>
  <c r="Q376" i="6" s="1"/>
  <c r="O384" i="6"/>
  <c r="P384" i="6" s="1"/>
  <c r="Q384" i="6" s="1"/>
  <c r="O393" i="6"/>
  <c r="O394" i="6" s="1"/>
  <c r="O405" i="6"/>
  <c r="O406" i="6" s="1"/>
  <c r="O413" i="6"/>
  <c r="O414" i="6" s="1"/>
  <c r="P414" i="6" s="1"/>
  <c r="O421" i="6"/>
  <c r="P421" i="6" s="1"/>
  <c r="Q421" i="6" s="1"/>
  <c r="O433" i="6"/>
  <c r="P433" i="6" s="1"/>
  <c r="Q433" i="6" s="1"/>
  <c r="O445" i="6"/>
  <c r="P445" i="6" s="1"/>
  <c r="Q445" i="6" s="1"/>
  <c r="O454" i="6"/>
  <c r="O455" i="6" s="1"/>
  <c r="O462" i="6"/>
  <c r="P462" i="6" s="1"/>
  <c r="Q462" i="6" s="1"/>
  <c r="O475" i="6"/>
  <c r="O487" i="6"/>
  <c r="O495" i="6"/>
  <c r="O503" i="6"/>
  <c r="O512" i="6"/>
  <c r="P512" i="6" s="1"/>
  <c r="Q512" i="6" s="1"/>
  <c r="O521" i="6"/>
  <c r="P521" i="6" s="1"/>
  <c r="Q521" i="6" s="1"/>
  <c r="O533" i="6"/>
  <c r="P533" i="6" s="1"/>
  <c r="Q533" i="6" s="1"/>
  <c r="O546" i="6"/>
  <c r="O547" i="6" s="1"/>
  <c r="O558" i="6"/>
  <c r="O559" i="6" s="1"/>
  <c r="O566" i="6"/>
  <c r="O567" i="6" s="1"/>
  <c r="O574" i="6"/>
  <c r="O575" i="6" s="1"/>
  <c r="O583" i="6"/>
  <c r="P583" i="6" s="1"/>
  <c r="Q583" i="6" s="1"/>
  <c r="O596" i="6"/>
  <c r="O597" i="6" s="1"/>
  <c r="P597" i="6" s="1"/>
  <c r="O608" i="6"/>
  <c r="O609" i="6" s="1"/>
  <c r="O616" i="6"/>
  <c r="P616" i="6" s="1"/>
  <c r="Q616" i="6" s="1"/>
  <c r="O624" i="6"/>
  <c r="O625" i="6" s="1"/>
  <c r="P625" i="6" s="1"/>
  <c r="O633" i="6"/>
  <c r="P633" i="6" s="1"/>
  <c r="Q633" i="6" s="1"/>
  <c r="O646" i="6"/>
  <c r="P646" i="6" s="1"/>
  <c r="Q646" i="6" s="1"/>
  <c r="O674" i="6"/>
  <c r="O676" i="6" s="1"/>
  <c r="P676" i="6" s="1"/>
  <c r="O704" i="6"/>
  <c r="P704" i="6" s="1"/>
  <c r="Q704" i="6" s="1"/>
  <c r="O712" i="6"/>
  <c r="P712" i="6" s="1"/>
  <c r="Q712" i="6" s="1"/>
  <c r="O720" i="6"/>
  <c r="P720" i="6" s="1"/>
  <c r="Q720" i="6" s="1"/>
  <c r="O728" i="6"/>
  <c r="P728" i="6" s="1"/>
  <c r="Q728" i="6" s="1"/>
  <c r="O730" i="6"/>
  <c r="P730" i="6" s="1"/>
  <c r="Q730" i="6" s="1"/>
  <c r="O731" i="6"/>
  <c r="P731" i="6" s="1"/>
  <c r="Q731" i="6" s="1"/>
  <c r="O732" i="6"/>
  <c r="P732" i="6" s="1"/>
  <c r="F735" i="6"/>
  <c r="Q735" i="6" s="1"/>
  <c r="H734" i="6"/>
  <c r="G734" i="6" s="1"/>
  <c r="E733" i="6" s="1"/>
  <c r="F733" i="6" s="1"/>
  <c r="F732" i="6"/>
  <c r="G732" i="6" s="1"/>
  <c r="F731" i="6"/>
  <c r="G731" i="6" s="1"/>
  <c r="F730" i="6"/>
  <c r="G730" i="6" s="1"/>
  <c r="F729" i="6"/>
  <c r="G729" i="6" s="1"/>
  <c r="A728" i="6"/>
  <c r="A729" i="6" s="1"/>
  <c r="A730" i="6" s="1"/>
  <c r="A731" i="6" s="1"/>
  <c r="A732" i="6" s="1"/>
  <c r="A733" i="6" s="1"/>
  <c r="A734" i="6" s="1"/>
  <c r="A735" i="6" s="1"/>
  <c r="F727" i="6"/>
  <c r="H726" i="6"/>
  <c r="G726" i="6" s="1"/>
  <c r="E725" i="6" s="1"/>
  <c r="F725" i="6" s="1"/>
  <c r="G725" i="6" s="1"/>
  <c r="F724" i="6"/>
  <c r="G724" i="6" s="1"/>
  <c r="F723" i="6"/>
  <c r="G723" i="6" s="1"/>
  <c r="F722" i="6"/>
  <c r="G722" i="6" s="1"/>
  <c r="F721" i="6"/>
  <c r="G721" i="6" s="1"/>
  <c r="A720" i="6"/>
  <c r="A721" i="6" s="1"/>
  <c r="F719" i="6"/>
  <c r="H718" i="6"/>
  <c r="G718" i="6" s="1"/>
  <c r="E717" i="6" s="1"/>
  <c r="F717" i="6" s="1"/>
  <c r="G717" i="6" s="1"/>
  <c r="F716" i="6"/>
  <c r="G716" i="6" s="1"/>
  <c r="F715" i="6"/>
  <c r="G715" i="6" s="1"/>
  <c r="F714" i="6"/>
  <c r="G714" i="6" s="1"/>
  <c r="F713" i="6"/>
  <c r="G713" i="6" s="1"/>
  <c r="A712" i="6"/>
  <c r="A713" i="6" s="1"/>
  <c r="A715" i="6" s="1"/>
  <c r="F711" i="6"/>
  <c r="H710" i="6"/>
  <c r="G710" i="6" s="1"/>
  <c r="E709" i="6" s="1"/>
  <c r="F709" i="6" s="1"/>
  <c r="G709" i="6" s="1"/>
  <c r="F708" i="6"/>
  <c r="G708" i="6" s="1"/>
  <c r="F707" i="6"/>
  <c r="G707" i="6" s="1"/>
  <c r="F706" i="6"/>
  <c r="G706" i="6" s="1"/>
  <c r="F705" i="6"/>
  <c r="G705" i="6" s="1"/>
  <c r="A704" i="6"/>
  <c r="F703" i="6"/>
  <c r="H702" i="6"/>
  <c r="G702" i="6" s="1"/>
  <c r="E701" i="6" s="1"/>
  <c r="F701" i="6" s="1"/>
  <c r="G701" i="6" s="1"/>
  <c r="F700" i="6"/>
  <c r="G700" i="6" s="1"/>
  <c r="F699" i="6"/>
  <c r="G699" i="6" s="1"/>
  <c r="F698" i="6"/>
  <c r="G698" i="6" s="1"/>
  <c r="F697" i="6"/>
  <c r="G697" i="6" s="1"/>
  <c r="F696" i="6"/>
  <c r="G696" i="6" s="1"/>
  <c r="F695" i="6"/>
  <c r="G695" i="6" s="1"/>
  <c r="F694" i="6"/>
  <c r="G694" i="6" s="1"/>
  <c r="F693" i="6"/>
  <c r="G693" i="6" s="1"/>
  <c r="F692" i="6"/>
  <c r="G692" i="6" s="1"/>
  <c r="K691" i="6"/>
  <c r="F691" i="6"/>
  <c r="G691" i="6" s="1"/>
  <c r="F690" i="6"/>
  <c r="G690" i="6" s="1"/>
  <c r="F689" i="6"/>
  <c r="G689" i="6" s="1"/>
  <c r="F688" i="6"/>
  <c r="G688" i="6" s="1"/>
  <c r="F687" i="6"/>
  <c r="G687" i="6" s="1"/>
  <c r="F686" i="6"/>
  <c r="G686" i="6" s="1"/>
  <c r="F685" i="6"/>
  <c r="G685" i="6" s="1"/>
  <c r="F684" i="6"/>
  <c r="G684" i="6" s="1"/>
  <c r="F683" i="6"/>
  <c r="G683" i="6" s="1"/>
  <c r="F682" i="6"/>
  <c r="G682" i="6" s="1"/>
  <c r="F681" i="6"/>
  <c r="G681" i="6" s="1"/>
  <c r="F680" i="6"/>
  <c r="G680" i="6" s="1"/>
  <c r="F679" i="6"/>
  <c r="G679" i="6" s="1"/>
  <c r="F678" i="6"/>
  <c r="G678" i="6" s="1"/>
  <c r="F677" i="6"/>
  <c r="G677" i="6" s="1"/>
  <c r="F676" i="6"/>
  <c r="G676" i="6" s="1"/>
  <c r="K675" i="6"/>
  <c r="K678" i="6" s="1"/>
  <c r="F675" i="6"/>
  <c r="G675" i="6" s="1"/>
  <c r="A674" i="6"/>
  <c r="F673" i="6"/>
  <c r="H672" i="6"/>
  <c r="G672" i="6" s="1"/>
  <c r="E671" i="6" s="1"/>
  <c r="F671" i="6" s="1"/>
  <c r="G671" i="6" s="1"/>
  <c r="F670" i="6"/>
  <c r="G670" i="6" s="1"/>
  <c r="F669" i="6"/>
  <c r="G669" i="6" s="1"/>
  <c r="F668" i="6"/>
  <c r="G668" i="6" s="1"/>
  <c r="F667" i="6"/>
  <c r="G667" i="6" s="1"/>
  <c r="F666" i="6"/>
  <c r="G666" i="6" s="1"/>
  <c r="F665" i="6"/>
  <c r="G665" i="6" s="1"/>
  <c r="F664" i="6"/>
  <c r="G664" i="6" s="1"/>
  <c r="F663" i="6"/>
  <c r="G663" i="6" s="1"/>
  <c r="F662" i="6"/>
  <c r="G662" i="6" s="1"/>
  <c r="F661" i="6"/>
  <c r="G661" i="6" s="1"/>
  <c r="F660" i="6"/>
  <c r="G660" i="6" s="1"/>
  <c r="K659" i="6"/>
  <c r="F659" i="6"/>
  <c r="G659" i="6" s="1"/>
  <c r="K658" i="6"/>
  <c r="F658" i="6"/>
  <c r="G658" i="6" s="1"/>
  <c r="K657" i="6"/>
  <c r="F657" i="6"/>
  <c r="F656" i="6"/>
  <c r="G656" i="6" s="1"/>
  <c r="F655" i="6"/>
  <c r="G655" i="6" s="1"/>
  <c r="F654" i="6"/>
  <c r="G654" i="6" s="1"/>
  <c r="F653" i="6"/>
  <c r="G653" i="6" s="1"/>
  <c r="F652" i="6"/>
  <c r="G652" i="6" s="1"/>
  <c r="F651" i="6"/>
  <c r="G651" i="6" s="1"/>
  <c r="F650" i="6"/>
  <c r="G650" i="6" s="1"/>
  <c r="F649" i="6"/>
  <c r="G649" i="6" s="1"/>
  <c r="F648" i="6"/>
  <c r="G648" i="6" s="1"/>
  <c r="K647" i="6"/>
  <c r="K655" i="6" s="1"/>
  <c r="F647" i="6"/>
  <c r="G647" i="6" s="1"/>
  <c r="A646" i="6"/>
  <c r="A648" i="6" s="1"/>
  <c r="F645" i="6"/>
  <c r="H644" i="6"/>
  <c r="G644" i="6" s="1"/>
  <c r="E643" i="6" s="1"/>
  <c r="F643" i="6" s="1"/>
  <c r="G643" i="6" s="1"/>
  <c r="F642" i="6"/>
  <c r="G642" i="6" s="1"/>
  <c r="F641" i="6"/>
  <c r="G641" i="6" s="1"/>
  <c r="F640" i="6"/>
  <c r="G640" i="6" s="1"/>
  <c r="F639" i="6"/>
  <c r="G639" i="6" s="1"/>
  <c r="F638" i="6"/>
  <c r="G638" i="6" s="1"/>
  <c r="F637" i="6"/>
  <c r="G637" i="6" s="1"/>
  <c r="F636" i="6"/>
  <c r="G636" i="6" s="1"/>
  <c r="F635" i="6"/>
  <c r="G635" i="6" s="1"/>
  <c r="K634" i="6"/>
  <c r="K635" i="6" s="1"/>
  <c r="K636" i="6" s="1"/>
  <c r="K637" i="6" s="1"/>
  <c r="K638" i="6" s="1"/>
  <c r="K639" i="6" s="1"/>
  <c r="K640" i="6" s="1"/>
  <c r="K641" i="6" s="1"/>
  <c r="K642" i="6" s="1"/>
  <c r="K643" i="6" s="1"/>
  <c r="K644" i="6" s="1"/>
  <c r="K645" i="6" s="1"/>
  <c r="F634" i="6"/>
  <c r="G634" i="6" s="1"/>
  <c r="A633" i="6"/>
  <c r="A634" i="6" s="1"/>
  <c r="A635" i="6" s="1"/>
  <c r="A636" i="6" s="1"/>
  <c r="A637" i="6" s="1"/>
  <c r="A638" i="6" s="1"/>
  <c r="A639" i="6" s="1"/>
  <c r="A640" i="6" s="1"/>
  <c r="A641" i="6" s="1"/>
  <c r="A642" i="6" s="1"/>
  <c r="A643" i="6" s="1"/>
  <c r="A644" i="6" s="1"/>
  <c r="A645" i="6" s="1"/>
  <c r="F632" i="6"/>
  <c r="H631" i="6"/>
  <c r="G631" i="6" s="1"/>
  <c r="E630" i="6" s="1"/>
  <c r="F630" i="6" s="1"/>
  <c r="G630" i="6" s="1"/>
  <c r="F629" i="6"/>
  <c r="G629" i="6" s="1"/>
  <c r="F628" i="6"/>
  <c r="G628" i="6" s="1"/>
  <c r="F627" i="6"/>
  <c r="G627" i="6" s="1"/>
  <c r="F626" i="6"/>
  <c r="G626" i="6" s="1"/>
  <c r="K625" i="6"/>
  <c r="K626" i="6" s="1"/>
  <c r="K627" i="6" s="1"/>
  <c r="K628" i="6" s="1"/>
  <c r="K629" i="6" s="1"/>
  <c r="K630" i="6" s="1"/>
  <c r="K631" i="6" s="1"/>
  <c r="K632" i="6" s="1"/>
  <c r="F625" i="6"/>
  <c r="A624" i="6"/>
  <c r="A625" i="6" s="1"/>
  <c r="A626" i="6" s="1"/>
  <c r="A627" i="6" s="1"/>
  <c r="A628" i="6" s="1"/>
  <c r="A629" i="6" s="1"/>
  <c r="A630" i="6" s="1"/>
  <c r="A631" i="6" s="1"/>
  <c r="A632" i="6" s="1"/>
  <c r="F623" i="6"/>
  <c r="H622" i="6"/>
  <c r="G622" i="6" s="1"/>
  <c r="E621" i="6" s="1"/>
  <c r="F621" i="6" s="1"/>
  <c r="G621" i="6" s="1"/>
  <c r="F620" i="6"/>
  <c r="G620" i="6" s="1"/>
  <c r="F619" i="6"/>
  <c r="G619" i="6" s="1"/>
  <c r="F618" i="6"/>
  <c r="G618" i="6" s="1"/>
  <c r="K617" i="6"/>
  <c r="K618" i="6" s="1"/>
  <c r="K619" i="6" s="1"/>
  <c r="K620" i="6" s="1"/>
  <c r="K621" i="6" s="1"/>
  <c r="K622" i="6" s="1"/>
  <c r="K623" i="6" s="1"/>
  <c r="F617" i="6"/>
  <c r="G617" i="6" s="1"/>
  <c r="A616" i="6"/>
  <c r="A617" i="6" s="1"/>
  <c r="A618" i="6" s="1"/>
  <c r="A619" i="6" s="1"/>
  <c r="A620" i="6" s="1"/>
  <c r="A621" i="6" s="1"/>
  <c r="A622" i="6" s="1"/>
  <c r="A623" i="6" s="1"/>
  <c r="F615" i="6"/>
  <c r="H614" i="6"/>
  <c r="G614" i="6" s="1"/>
  <c r="E613" i="6" s="1"/>
  <c r="F613" i="6" s="1"/>
  <c r="G613" i="6" s="1"/>
  <c r="F612" i="6"/>
  <c r="G612" i="6" s="1"/>
  <c r="F611" i="6"/>
  <c r="G611" i="6" s="1"/>
  <c r="F610" i="6"/>
  <c r="G610" i="6" s="1"/>
  <c r="K609" i="6"/>
  <c r="K610" i="6" s="1"/>
  <c r="K611" i="6" s="1"/>
  <c r="K612" i="6" s="1"/>
  <c r="K613" i="6" s="1"/>
  <c r="K614" i="6" s="1"/>
  <c r="K615" i="6" s="1"/>
  <c r="F609" i="6"/>
  <c r="G609" i="6" s="1"/>
  <c r="A608" i="6"/>
  <c r="A609" i="6" s="1"/>
  <c r="A610" i="6" s="1"/>
  <c r="A611" i="6" s="1"/>
  <c r="A612" i="6" s="1"/>
  <c r="A613" i="6" s="1"/>
  <c r="A614" i="6" s="1"/>
  <c r="A615" i="6" s="1"/>
  <c r="F607" i="6"/>
  <c r="H606" i="6"/>
  <c r="G606" i="6" s="1"/>
  <c r="E605" i="6" s="1"/>
  <c r="F605" i="6" s="1"/>
  <c r="G605" i="6" s="1"/>
  <c r="F604" i="6"/>
  <c r="G604" i="6" s="1"/>
  <c r="F603" i="6"/>
  <c r="G603" i="6" s="1"/>
  <c r="F602" i="6"/>
  <c r="G602" i="6" s="1"/>
  <c r="F601" i="6"/>
  <c r="G601" i="6" s="1"/>
  <c r="F600" i="6"/>
  <c r="G600" i="6" s="1"/>
  <c r="F599" i="6"/>
  <c r="G599" i="6" s="1"/>
  <c r="F598" i="6"/>
  <c r="G598" i="6" s="1"/>
  <c r="K597" i="6"/>
  <c r="K598" i="6" s="1"/>
  <c r="K599" i="6" s="1"/>
  <c r="K600" i="6" s="1"/>
  <c r="K601" i="6" s="1"/>
  <c r="K602" i="6" s="1"/>
  <c r="K603" i="6" s="1"/>
  <c r="K604" i="6" s="1"/>
  <c r="K605" i="6" s="1"/>
  <c r="K606" i="6" s="1"/>
  <c r="K607" i="6" s="1"/>
  <c r="F597" i="6"/>
  <c r="G597" i="6" s="1"/>
  <c r="A596" i="6"/>
  <c r="A597" i="6" s="1"/>
  <c r="A598" i="6" s="1"/>
  <c r="A599" i="6" s="1"/>
  <c r="A600" i="6" s="1"/>
  <c r="A601" i="6" s="1"/>
  <c r="A602" i="6" s="1"/>
  <c r="A603" i="6" s="1"/>
  <c r="A604" i="6" s="1"/>
  <c r="A605" i="6" s="1"/>
  <c r="A606" i="6" s="1"/>
  <c r="A607" i="6" s="1"/>
  <c r="F595" i="6"/>
  <c r="H594" i="6"/>
  <c r="G594" i="6" s="1"/>
  <c r="E593" i="6" s="1"/>
  <c r="F593" i="6" s="1"/>
  <c r="G593" i="6" s="1"/>
  <c r="F592" i="6"/>
  <c r="G592" i="6" s="1"/>
  <c r="F591" i="6"/>
  <c r="G591" i="6" s="1"/>
  <c r="F590" i="6"/>
  <c r="G590" i="6" s="1"/>
  <c r="F589" i="6"/>
  <c r="G589" i="6" s="1"/>
  <c r="F588" i="6"/>
  <c r="G588" i="6" s="1"/>
  <c r="F587" i="6"/>
  <c r="G587" i="6" s="1"/>
  <c r="F586" i="6"/>
  <c r="G586" i="6" s="1"/>
  <c r="F585" i="6"/>
  <c r="G585" i="6" s="1"/>
  <c r="K584" i="6"/>
  <c r="K585" i="6" s="1"/>
  <c r="K586" i="6" s="1"/>
  <c r="K587" i="6" s="1"/>
  <c r="K588" i="6" s="1"/>
  <c r="K589" i="6" s="1"/>
  <c r="K590" i="6" s="1"/>
  <c r="K591" i="6" s="1"/>
  <c r="K592" i="6" s="1"/>
  <c r="K593" i="6" s="1"/>
  <c r="K594" i="6" s="1"/>
  <c r="K595" i="6" s="1"/>
  <c r="F584" i="6"/>
  <c r="G584" i="6" s="1"/>
  <c r="A583" i="6"/>
  <c r="A584" i="6" s="1"/>
  <c r="A585" i="6" s="1"/>
  <c r="A586" i="6" s="1"/>
  <c r="A587" i="6" s="1"/>
  <c r="A588" i="6" s="1"/>
  <c r="A589" i="6" s="1"/>
  <c r="A590" i="6" s="1"/>
  <c r="A591" i="6" s="1"/>
  <c r="A592" i="6" s="1"/>
  <c r="A593" i="6" s="1"/>
  <c r="A594" i="6" s="1"/>
  <c r="A595" i="6" s="1"/>
  <c r="F582" i="6"/>
  <c r="H581" i="6"/>
  <c r="G581" i="6" s="1"/>
  <c r="E580" i="6" s="1"/>
  <c r="F580" i="6" s="1"/>
  <c r="G580" i="6" s="1"/>
  <c r="F579" i="6"/>
  <c r="G579" i="6" s="1"/>
  <c r="F578" i="6"/>
  <c r="G578" i="6" s="1"/>
  <c r="F577" i="6"/>
  <c r="G577" i="6" s="1"/>
  <c r="F576" i="6"/>
  <c r="G576" i="6" s="1"/>
  <c r="K575" i="6"/>
  <c r="K576" i="6" s="1"/>
  <c r="K577" i="6" s="1"/>
  <c r="K578" i="6" s="1"/>
  <c r="K579" i="6" s="1"/>
  <c r="K580" i="6" s="1"/>
  <c r="K581" i="6" s="1"/>
  <c r="K582" i="6" s="1"/>
  <c r="F575" i="6"/>
  <c r="G575" i="6" s="1"/>
  <c r="A574" i="6"/>
  <c r="A575" i="6" s="1"/>
  <c r="A576" i="6" s="1"/>
  <c r="A577" i="6" s="1"/>
  <c r="A578" i="6" s="1"/>
  <c r="A579" i="6" s="1"/>
  <c r="A580" i="6" s="1"/>
  <c r="A581" i="6" s="1"/>
  <c r="A582" i="6" s="1"/>
  <c r="F573" i="6"/>
  <c r="H572" i="6"/>
  <c r="G572" i="6" s="1"/>
  <c r="E571" i="6" s="1"/>
  <c r="F571" i="6" s="1"/>
  <c r="G571" i="6" s="1"/>
  <c r="F570" i="6"/>
  <c r="G570" i="6" s="1"/>
  <c r="F569" i="6"/>
  <c r="G569" i="6" s="1"/>
  <c r="F568" i="6"/>
  <c r="G568" i="6" s="1"/>
  <c r="K567" i="6"/>
  <c r="K568" i="6" s="1"/>
  <c r="K569" i="6" s="1"/>
  <c r="K570" i="6" s="1"/>
  <c r="K571" i="6" s="1"/>
  <c r="K572" i="6" s="1"/>
  <c r="K573" i="6" s="1"/>
  <c r="F567" i="6"/>
  <c r="G567" i="6" s="1"/>
  <c r="A566" i="6"/>
  <c r="A567" i="6" s="1"/>
  <c r="A568" i="6" s="1"/>
  <c r="A569" i="6" s="1"/>
  <c r="A570" i="6" s="1"/>
  <c r="A571" i="6" s="1"/>
  <c r="A572" i="6" s="1"/>
  <c r="A573" i="6" s="1"/>
  <c r="F565" i="6"/>
  <c r="H564" i="6"/>
  <c r="G564" i="6" s="1"/>
  <c r="E563" i="6" s="1"/>
  <c r="F563" i="6" s="1"/>
  <c r="G563" i="6" s="1"/>
  <c r="F562" i="6"/>
  <c r="G562" i="6" s="1"/>
  <c r="F561" i="6"/>
  <c r="G561" i="6" s="1"/>
  <c r="F560" i="6"/>
  <c r="G560" i="6" s="1"/>
  <c r="K559" i="6"/>
  <c r="K560" i="6" s="1"/>
  <c r="K561" i="6" s="1"/>
  <c r="K562" i="6" s="1"/>
  <c r="K563" i="6" s="1"/>
  <c r="K564" i="6" s="1"/>
  <c r="K565" i="6" s="1"/>
  <c r="F559" i="6"/>
  <c r="G559" i="6" s="1"/>
  <c r="A558" i="6"/>
  <c r="A559" i="6" s="1"/>
  <c r="A560" i="6" s="1"/>
  <c r="A561" i="6" s="1"/>
  <c r="A562" i="6" s="1"/>
  <c r="A563" i="6" s="1"/>
  <c r="A564" i="6" s="1"/>
  <c r="A565" i="6" s="1"/>
  <c r="F557" i="6"/>
  <c r="H556" i="6"/>
  <c r="G556" i="6" s="1"/>
  <c r="E555" i="6" s="1"/>
  <c r="F555" i="6" s="1"/>
  <c r="G555" i="6" s="1"/>
  <c r="F554" i="6"/>
  <c r="G554" i="6" s="1"/>
  <c r="F553" i="6"/>
  <c r="G553" i="6" s="1"/>
  <c r="F552" i="6"/>
  <c r="G552" i="6" s="1"/>
  <c r="F551" i="6"/>
  <c r="G551" i="6" s="1"/>
  <c r="F550" i="6"/>
  <c r="G550" i="6" s="1"/>
  <c r="F549" i="6"/>
  <c r="G549" i="6" s="1"/>
  <c r="F548" i="6"/>
  <c r="G548" i="6" s="1"/>
  <c r="K547" i="6"/>
  <c r="K548" i="6" s="1"/>
  <c r="K549" i="6" s="1"/>
  <c r="K550" i="6" s="1"/>
  <c r="K551" i="6" s="1"/>
  <c r="K552" i="6" s="1"/>
  <c r="K553" i="6" s="1"/>
  <c r="K554" i="6" s="1"/>
  <c r="K555" i="6" s="1"/>
  <c r="K556" i="6" s="1"/>
  <c r="K557" i="6" s="1"/>
  <c r="F547" i="6"/>
  <c r="G547" i="6" s="1"/>
  <c r="A546" i="6"/>
  <c r="A547" i="6" s="1"/>
  <c r="A548" i="6" s="1"/>
  <c r="A549" i="6" s="1"/>
  <c r="A550" i="6" s="1"/>
  <c r="A551" i="6" s="1"/>
  <c r="A552" i="6" s="1"/>
  <c r="A553" i="6" s="1"/>
  <c r="A554" i="6" s="1"/>
  <c r="A555" i="6" s="1"/>
  <c r="A556" i="6" s="1"/>
  <c r="A557" i="6" s="1"/>
  <c r="F545" i="6"/>
  <c r="H544" i="6"/>
  <c r="G544" i="6" s="1"/>
  <c r="E543" i="6" s="1"/>
  <c r="F543" i="6" s="1"/>
  <c r="G543" i="6" s="1"/>
  <c r="F542" i="6"/>
  <c r="G542" i="6" s="1"/>
  <c r="F541" i="6"/>
  <c r="G541" i="6" s="1"/>
  <c r="F540" i="6"/>
  <c r="G540" i="6" s="1"/>
  <c r="F539" i="6"/>
  <c r="G539" i="6" s="1"/>
  <c r="F538" i="6"/>
  <c r="G538" i="6" s="1"/>
  <c r="F537" i="6"/>
  <c r="G537" i="6" s="1"/>
  <c r="F536" i="6"/>
  <c r="G536" i="6" s="1"/>
  <c r="F535" i="6"/>
  <c r="G535" i="6" s="1"/>
  <c r="K534" i="6"/>
  <c r="K535" i="6" s="1"/>
  <c r="K536" i="6" s="1"/>
  <c r="K537" i="6" s="1"/>
  <c r="K538" i="6" s="1"/>
  <c r="K539" i="6" s="1"/>
  <c r="K540" i="6" s="1"/>
  <c r="K541" i="6" s="1"/>
  <c r="K542" i="6" s="1"/>
  <c r="K543" i="6" s="1"/>
  <c r="K544" i="6" s="1"/>
  <c r="K545" i="6" s="1"/>
  <c r="F534" i="6"/>
  <c r="G534" i="6" s="1"/>
  <c r="A533" i="6"/>
  <c r="A534" i="6" s="1"/>
  <c r="A535" i="6" s="1"/>
  <c r="A536" i="6" s="1"/>
  <c r="A537" i="6" s="1"/>
  <c r="A538" i="6" s="1"/>
  <c r="A539" i="6" s="1"/>
  <c r="A540" i="6" s="1"/>
  <c r="A541" i="6" s="1"/>
  <c r="A542" i="6" s="1"/>
  <c r="A543" i="6" s="1"/>
  <c r="A544" i="6" s="1"/>
  <c r="A545" i="6" s="1"/>
  <c r="F532" i="6"/>
  <c r="H531" i="6"/>
  <c r="G531" i="6" s="1"/>
  <c r="E530" i="6" s="1"/>
  <c r="F530" i="6" s="1"/>
  <c r="G530" i="6" s="1"/>
  <c r="F529" i="6"/>
  <c r="G529" i="6" s="1"/>
  <c r="F528" i="6"/>
  <c r="G528" i="6" s="1"/>
  <c r="F527" i="6"/>
  <c r="G527" i="6" s="1"/>
  <c r="F526" i="6"/>
  <c r="G526" i="6" s="1"/>
  <c r="F525" i="6"/>
  <c r="G525" i="6" s="1"/>
  <c r="F524" i="6"/>
  <c r="G524" i="6" s="1"/>
  <c r="F523" i="6"/>
  <c r="G523" i="6" s="1"/>
  <c r="K522" i="6"/>
  <c r="K523" i="6" s="1"/>
  <c r="K524" i="6" s="1"/>
  <c r="K525" i="6" s="1"/>
  <c r="K526" i="6" s="1"/>
  <c r="K527" i="6" s="1"/>
  <c r="K528" i="6" s="1"/>
  <c r="K529" i="6" s="1"/>
  <c r="K530" i="6" s="1"/>
  <c r="K531" i="6" s="1"/>
  <c r="K532" i="6" s="1"/>
  <c r="F522" i="6"/>
  <c r="G522" i="6" s="1"/>
  <c r="A521" i="6"/>
  <c r="A522" i="6" s="1"/>
  <c r="A523" i="6" s="1"/>
  <c r="A524" i="6" s="1"/>
  <c r="A525" i="6" s="1"/>
  <c r="A526" i="6" s="1"/>
  <c r="A527" i="6" s="1"/>
  <c r="A528" i="6" s="1"/>
  <c r="A529" i="6" s="1"/>
  <c r="A530" i="6" s="1"/>
  <c r="A531" i="6" s="1"/>
  <c r="A532" i="6" s="1"/>
  <c r="F520" i="6"/>
  <c r="H519" i="6"/>
  <c r="G519" i="6" s="1"/>
  <c r="E518" i="6" s="1"/>
  <c r="F518" i="6" s="1"/>
  <c r="G518" i="6" s="1"/>
  <c r="F517" i="6"/>
  <c r="G517" i="6" s="1"/>
  <c r="F516" i="6"/>
  <c r="G516" i="6" s="1"/>
  <c r="F515" i="6"/>
  <c r="G515" i="6" s="1"/>
  <c r="F514" i="6"/>
  <c r="G514" i="6" s="1"/>
  <c r="K513" i="6"/>
  <c r="K514" i="6" s="1"/>
  <c r="K515" i="6" s="1"/>
  <c r="K516" i="6" s="1"/>
  <c r="K517" i="6" s="1"/>
  <c r="K518" i="6" s="1"/>
  <c r="K519" i="6" s="1"/>
  <c r="K520" i="6" s="1"/>
  <c r="F513" i="6"/>
  <c r="G513" i="6" s="1"/>
  <c r="A512" i="6"/>
  <c r="A513" i="6" s="1"/>
  <c r="A514" i="6" s="1"/>
  <c r="A515" i="6" s="1"/>
  <c r="A516" i="6" s="1"/>
  <c r="A517" i="6" s="1"/>
  <c r="A518" i="6" s="1"/>
  <c r="A519" i="6" s="1"/>
  <c r="A520" i="6" s="1"/>
  <c r="F511" i="6"/>
  <c r="H510" i="6"/>
  <c r="G510" i="6" s="1"/>
  <c r="E509" i="6" s="1"/>
  <c r="F509" i="6" s="1"/>
  <c r="G509" i="6" s="1"/>
  <c r="F508" i="6"/>
  <c r="G508" i="6" s="1"/>
  <c r="F507" i="6"/>
  <c r="G507" i="6" s="1"/>
  <c r="F506" i="6"/>
  <c r="G506" i="6" s="1"/>
  <c r="F505" i="6"/>
  <c r="G505" i="6" s="1"/>
  <c r="K504" i="6"/>
  <c r="K505" i="6" s="1"/>
  <c r="K506" i="6" s="1"/>
  <c r="K507" i="6" s="1"/>
  <c r="K508" i="6" s="1"/>
  <c r="K509" i="6" s="1"/>
  <c r="K510" i="6" s="1"/>
  <c r="K511" i="6" s="1"/>
  <c r="F504" i="6"/>
  <c r="G504" i="6" s="1"/>
  <c r="A503" i="6"/>
  <c r="A504" i="6" s="1"/>
  <c r="A505" i="6" s="1"/>
  <c r="A506" i="6" s="1"/>
  <c r="A507" i="6" s="1"/>
  <c r="A508" i="6" s="1"/>
  <c r="A509" i="6" s="1"/>
  <c r="A510" i="6" s="1"/>
  <c r="A511" i="6" s="1"/>
  <c r="H501" i="6"/>
  <c r="G501" i="6" s="1"/>
  <c r="E500" i="6" s="1"/>
  <c r="F500" i="6" s="1"/>
  <c r="G500" i="6" s="1"/>
  <c r="F499" i="6"/>
  <c r="G499" i="6" s="1"/>
  <c r="F498" i="6"/>
  <c r="G498" i="6" s="1"/>
  <c r="F497" i="6"/>
  <c r="G497" i="6" s="1"/>
  <c r="K496" i="6"/>
  <c r="K497" i="6" s="1"/>
  <c r="K498" i="6" s="1"/>
  <c r="K499" i="6" s="1"/>
  <c r="K500" i="6" s="1"/>
  <c r="K501" i="6" s="1"/>
  <c r="K502" i="6" s="1"/>
  <c r="F496" i="6"/>
  <c r="G496" i="6" s="1"/>
  <c r="A495" i="6"/>
  <c r="A496" i="6" s="1"/>
  <c r="A497" i="6" s="1"/>
  <c r="A498" i="6" s="1"/>
  <c r="A499" i="6" s="1"/>
  <c r="A500" i="6" s="1"/>
  <c r="A502" i="6" s="1"/>
  <c r="F494" i="6"/>
  <c r="H493" i="6"/>
  <c r="G493" i="6" s="1"/>
  <c r="E492" i="6" s="1"/>
  <c r="F492" i="6" s="1"/>
  <c r="G492" i="6" s="1"/>
  <c r="F491" i="6"/>
  <c r="G491" i="6" s="1"/>
  <c r="F490" i="6"/>
  <c r="G490" i="6" s="1"/>
  <c r="F489" i="6"/>
  <c r="G489" i="6" s="1"/>
  <c r="K488" i="6"/>
  <c r="K489" i="6" s="1"/>
  <c r="K490" i="6" s="1"/>
  <c r="K491" i="6" s="1"/>
  <c r="K492" i="6" s="1"/>
  <c r="K493" i="6" s="1"/>
  <c r="K494" i="6" s="1"/>
  <c r="F488" i="6"/>
  <c r="A487" i="6"/>
  <c r="A488" i="6" s="1"/>
  <c r="A489" i="6" s="1"/>
  <c r="A490" i="6" s="1"/>
  <c r="A491" i="6" s="1"/>
  <c r="A492" i="6" s="1"/>
  <c r="A493" i="6" s="1"/>
  <c r="A494" i="6" s="1"/>
  <c r="F486" i="6"/>
  <c r="H485" i="6"/>
  <c r="G485" i="6" s="1"/>
  <c r="E484" i="6" s="1"/>
  <c r="F484" i="6" s="1"/>
  <c r="G484" i="6" s="1"/>
  <c r="F483" i="6"/>
  <c r="G483" i="6" s="1"/>
  <c r="F482" i="6"/>
  <c r="G482" i="6" s="1"/>
  <c r="F481" i="6"/>
  <c r="G481" i="6" s="1"/>
  <c r="F480" i="6"/>
  <c r="G480" i="6" s="1"/>
  <c r="F479" i="6"/>
  <c r="G479" i="6" s="1"/>
  <c r="F478" i="6"/>
  <c r="G478" i="6" s="1"/>
  <c r="F477" i="6"/>
  <c r="G477" i="6" s="1"/>
  <c r="K476" i="6"/>
  <c r="K477" i="6" s="1"/>
  <c r="K478" i="6" s="1"/>
  <c r="K479" i="6" s="1"/>
  <c r="K480" i="6" s="1"/>
  <c r="K481" i="6" s="1"/>
  <c r="K482" i="6" s="1"/>
  <c r="K483" i="6" s="1"/>
  <c r="K484" i="6" s="1"/>
  <c r="K485" i="6" s="1"/>
  <c r="K486" i="6" s="1"/>
  <c r="F476" i="6"/>
  <c r="G476" i="6" s="1"/>
  <c r="A475" i="6"/>
  <c r="A476" i="6" s="1"/>
  <c r="A477" i="6" s="1"/>
  <c r="A478" i="6" s="1"/>
  <c r="A479" i="6" s="1"/>
  <c r="A480" i="6" s="1"/>
  <c r="A481" i="6" s="1"/>
  <c r="A482" i="6" s="1"/>
  <c r="A483" i="6" s="1"/>
  <c r="A484" i="6" s="1"/>
  <c r="A485" i="6" s="1"/>
  <c r="A486" i="6" s="1"/>
  <c r="F474" i="6"/>
  <c r="H473" i="6"/>
  <c r="G473" i="6" s="1"/>
  <c r="E472" i="6" s="1"/>
  <c r="F472" i="6" s="1"/>
  <c r="G472" i="6" s="1"/>
  <c r="F471" i="6"/>
  <c r="G471" i="6" s="1"/>
  <c r="F470" i="6"/>
  <c r="G470" i="6" s="1"/>
  <c r="F469" i="6"/>
  <c r="G469" i="6" s="1"/>
  <c r="F468" i="6"/>
  <c r="G468" i="6" s="1"/>
  <c r="F467" i="6"/>
  <c r="G467" i="6" s="1"/>
  <c r="F466" i="6"/>
  <c r="G466" i="6" s="1"/>
  <c r="F465" i="6"/>
  <c r="G465" i="6" s="1"/>
  <c r="F464" i="6"/>
  <c r="G464" i="6" s="1"/>
  <c r="K463" i="6"/>
  <c r="K464" i="6" s="1"/>
  <c r="K465" i="6" s="1"/>
  <c r="K466" i="6" s="1"/>
  <c r="K467" i="6" s="1"/>
  <c r="K468" i="6" s="1"/>
  <c r="K469" i="6" s="1"/>
  <c r="K470" i="6" s="1"/>
  <c r="K471" i="6" s="1"/>
  <c r="K472" i="6" s="1"/>
  <c r="K473" i="6" s="1"/>
  <c r="K474" i="6" s="1"/>
  <c r="F463" i="6"/>
  <c r="G463" i="6" s="1"/>
  <c r="A462" i="6"/>
  <c r="A463" i="6" s="1"/>
  <c r="A464" i="6" s="1"/>
  <c r="A465" i="6" s="1"/>
  <c r="A466" i="6" s="1"/>
  <c r="A467" i="6" s="1"/>
  <c r="A468" i="6" s="1"/>
  <c r="A469" i="6" s="1"/>
  <c r="A470" i="6" s="1"/>
  <c r="A471" i="6" s="1"/>
  <c r="A472" i="6" s="1"/>
  <c r="A473" i="6" s="1"/>
  <c r="A474" i="6" s="1"/>
  <c r="F461" i="6"/>
  <c r="H460" i="6"/>
  <c r="G460" i="6" s="1"/>
  <c r="E459" i="6" s="1"/>
  <c r="F459" i="6" s="1"/>
  <c r="G459" i="6" s="1"/>
  <c r="F458" i="6"/>
  <c r="G458" i="6" s="1"/>
  <c r="F457" i="6"/>
  <c r="G457" i="6" s="1"/>
  <c r="F456" i="6"/>
  <c r="G456" i="6" s="1"/>
  <c r="K455" i="6"/>
  <c r="K456" i="6" s="1"/>
  <c r="K457" i="6" s="1"/>
  <c r="K458" i="6" s="1"/>
  <c r="K459" i="6" s="1"/>
  <c r="K460" i="6" s="1"/>
  <c r="K461" i="6" s="1"/>
  <c r="F455" i="6"/>
  <c r="G455" i="6" s="1"/>
  <c r="A454" i="6"/>
  <c r="A455" i="6" s="1"/>
  <c r="A456" i="6" s="1"/>
  <c r="A457" i="6" s="1"/>
  <c r="A458" i="6" s="1"/>
  <c r="A459" i="6" s="1"/>
  <c r="A460" i="6" s="1"/>
  <c r="A461" i="6" s="1"/>
  <c r="F453" i="6"/>
  <c r="H452" i="6"/>
  <c r="G452" i="6" s="1"/>
  <c r="E451" i="6" s="1"/>
  <c r="F451" i="6" s="1"/>
  <c r="G451" i="6" s="1"/>
  <c r="F450" i="6"/>
  <c r="G450" i="6" s="1"/>
  <c r="F449" i="6"/>
  <c r="G449" i="6" s="1"/>
  <c r="F448" i="6"/>
  <c r="G448" i="6" s="1"/>
  <c r="F447" i="6"/>
  <c r="G447" i="6" s="1"/>
  <c r="K446" i="6"/>
  <c r="K447" i="6" s="1"/>
  <c r="K448" i="6" s="1"/>
  <c r="K449" i="6" s="1"/>
  <c r="K450" i="6" s="1"/>
  <c r="K451" i="6" s="1"/>
  <c r="K452" i="6" s="1"/>
  <c r="K453" i="6" s="1"/>
  <c r="F446" i="6"/>
  <c r="G446" i="6" s="1"/>
  <c r="A445" i="6"/>
  <c r="A446" i="6" s="1"/>
  <c r="A447" i="6" s="1"/>
  <c r="A448" i="6" s="1"/>
  <c r="A449" i="6" s="1"/>
  <c r="A450" i="6" s="1"/>
  <c r="A451" i="6" s="1"/>
  <c r="A452" i="6" s="1"/>
  <c r="A453" i="6" s="1"/>
  <c r="F444" i="6"/>
  <c r="H443" i="6"/>
  <c r="G443" i="6" s="1"/>
  <c r="E442" i="6" s="1"/>
  <c r="F442" i="6" s="1"/>
  <c r="G442" i="6" s="1"/>
  <c r="F441" i="6"/>
  <c r="G441" i="6" s="1"/>
  <c r="F440" i="6"/>
  <c r="G440" i="6" s="1"/>
  <c r="F439" i="6"/>
  <c r="G439" i="6" s="1"/>
  <c r="F438" i="6"/>
  <c r="G438" i="6" s="1"/>
  <c r="F437" i="6"/>
  <c r="G437" i="6" s="1"/>
  <c r="F436" i="6"/>
  <c r="G436" i="6" s="1"/>
  <c r="F435" i="6"/>
  <c r="G435" i="6" s="1"/>
  <c r="K434" i="6"/>
  <c r="K435" i="6" s="1"/>
  <c r="K436" i="6" s="1"/>
  <c r="K437" i="6" s="1"/>
  <c r="K438" i="6" s="1"/>
  <c r="K439" i="6" s="1"/>
  <c r="K440" i="6" s="1"/>
  <c r="K441" i="6" s="1"/>
  <c r="K442" i="6" s="1"/>
  <c r="K443" i="6" s="1"/>
  <c r="K444" i="6" s="1"/>
  <c r="F434" i="6"/>
  <c r="G434" i="6" s="1"/>
  <c r="A433" i="6"/>
  <c r="A434" i="6" s="1"/>
  <c r="A435" i="6" s="1"/>
  <c r="A436" i="6" s="1"/>
  <c r="A437" i="6" s="1"/>
  <c r="A438" i="6" s="1"/>
  <c r="A439" i="6" s="1"/>
  <c r="A440" i="6" s="1"/>
  <c r="A441" i="6" s="1"/>
  <c r="A442" i="6" s="1"/>
  <c r="A443" i="6" s="1"/>
  <c r="A444" i="6" s="1"/>
  <c r="F432" i="6"/>
  <c r="H431" i="6"/>
  <c r="G431" i="6" s="1"/>
  <c r="E430" i="6" s="1"/>
  <c r="F430" i="6" s="1"/>
  <c r="G430" i="6" s="1"/>
  <c r="F429" i="6"/>
  <c r="G429" i="6" s="1"/>
  <c r="F428" i="6"/>
  <c r="G428" i="6" s="1"/>
  <c r="F427" i="6"/>
  <c r="G427" i="6" s="1"/>
  <c r="F426" i="6"/>
  <c r="G426" i="6" s="1"/>
  <c r="F425" i="6"/>
  <c r="G425" i="6" s="1"/>
  <c r="F424" i="6"/>
  <c r="G424" i="6" s="1"/>
  <c r="F423" i="6"/>
  <c r="G423" i="6" s="1"/>
  <c r="K422" i="6"/>
  <c r="K423" i="6" s="1"/>
  <c r="K424" i="6" s="1"/>
  <c r="K425" i="6" s="1"/>
  <c r="K426" i="6" s="1"/>
  <c r="K427" i="6" s="1"/>
  <c r="K428" i="6" s="1"/>
  <c r="K429" i="6" s="1"/>
  <c r="K430" i="6" s="1"/>
  <c r="K431" i="6" s="1"/>
  <c r="K432" i="6" s="1"/>
  <c r="F422" i="6"/>
  <c r="G422" i="6" s="1"/>
  <c r="A421" i="6"/>
  <c r="A422" i="6" s="1"/>
  <c r="A423" i="6" s="1"/>
  <c r="A424" i="6" s="1"/>
  <c r="A425" i="6" s="1"/>
  <c r="A426" i="6" s="1"/>
  <c r="A427" i="6" s="1"/>
  <c r="A428" i="6" s="1"/>
  <c r="A429" i="6" s="1"/>
  <c r="A430" i="6" s="1"/>
  <c r="A431" i="6" s="1"/>
  <c r="A432" i="6" s="1"/>
  <c r="F420" i="6"/>
  <c r="H419" i="6"/>
  <c r="G419" i="6" s="1"/>
  <c r="E418" i="6" s="1"/>
  <c r="F418" i="6" s="1"/>
  <c r="G418" i="6" s="1"/>
  <c r="F417" i="6"/>
  <c r="G417" i="6" s="1"/>
  <c r="F416" i="6"/>
  <c r="G416" i="6" s="1"/>
  <c r="F415" i="6"/>
  <c r="G415" i="6" s="1"/>
  <c r="K414" i="6"/>
  <c r="K415" i="6" s="1"/>
  <c r="K416" i="6" s="1"/>
  <c r="K417" i="6" s="1"/>
  <c r="K418" i="6" s="1"/>
  <c r="K419" i="6" s="1"/>
  <c r="K420" i="6" s="1"/>
  <c r="F414" i="6"/>
  <c r="G414" i="6" s="1"/>
  <c r="A413" i="6"/>
  <c r="A414" i="6" s="1"/>
  <c r="A415" i="6" s="1"/>
  <c r="A416" i="6" s="1"/>
  <c r="A417" i="6" s="1"/>
  <c r="A418" i="6" s="1"/>
  <c r="A419" i="6" s="1"/>
  <c r="A420" i="6" s="1"/>
  <c r="F412" i="6"/>
  <c r="H411" i="6"/>
  <c r="G411" i="6" s="1"/>
  <c r="E410" i="6" s="1"/>
  <c r="F410" i="6" s="1"/>
  <c r="G410" i="6" s="1"/>
  <c r="F409" i="6"/>
  <c r="G409" i="6" s="1"/>
  <c r="F408" i="6"/>
  <c r="G408" i="6" s="1"/>
  <c r="F407" i="6"/>
  <c r="G407" i="6" s="1"/>
  <c r="K406" i="6"/>
  <c r="K407" i="6" s="1"/>
  <c r="K408" i="6" s="1"/>
  <c r="K409" i="6" s="1"/>
  <c r="K410" i="6" s="1"/>
  <c r="K411" i="6" s="1"/>
  <c r="K412" i="6" s="1"/>
  <c r="F406" i="6"/>
  <c r="G406" i="6" s="1"/>
  <c r="A405" i="6"/>
  <c r="A406" i="6" s="1"/>
  <c r="A407" i="6" s="1"/>
  <c r="A408" i="6" s="1"/>
  <c r="A409" i="6" s="1"/>
  <c r="A410" i="6" s="1"/>
  <c r="A411" i="6" s="1"/>
  <c r="A412" i="6" s="1"/>
  <c r="F404" i="6"/>
  <c r="H403" i="6"/>
  <c r="G403" i="6" s="1"/>
  <c r="E402" i="6" s="1"/>
  <c r="F402" i="6" s="1"/>
  <c r="G402" i="6" s="1"/>
  <c r="F401" i="6"/>
  <c r="G401" i="6" s="1"/>
  <c r="F400" i="6"/>
  <c r="G400" i="6" s="1"/>
  <c r="F399" i="6"/>
  <c r="G399" i="6" s="1"/>
  <c r="F398" i="6"/>
  <c r="G398" i="6" s="1"/>
  <c r="F397" i="6"/>
  <c r="G397" i="6" s="1"/>
  <c r="F396" i="6"/>
  <c r="G396" i="6" s="1"/>
  <c r="F395" i="6"/>
  <c r="G395" i="6" s="1"/>
  <c r="K394" i="6"/>
  <c r="K395" i="6" s="1"/>
  <c r="K396" i="6" s="1"/>
  <c r="K397" i="6" s="1"/>
  <c r="K398" i="6" s="1"/>
  <c r="K399" i="6" s="1"/>
  <c r="K400" i="6" s="1"/>
  <c r="K401" i="6" s="1"/>
  <c r="K402" i="6" s="1"/>
  <c r="K403" i="6" s="1"/>
  <c r="K404" i="6" s="1"/>
  <c r="F394" i="6"/>
  <c r="G394" i="6" s="1"/>
  <c r="A393" i="6"/>
  <c r="A394" i="6" s="1"/>
  <c r="A395" i="6" s="1"/>
  <c r="A396" i="6" s="1"/>
  <c r="A397" i="6" s="1"/>
  <c r="A398" i="6" s="1"/>
  <c r="A399" i="6" s="1"/>
  <c r="A400" i="6" s="1"/>
  <c r="A401" i="6" s="1"/>
  <c r="A402" i="6" s="1"/>
  <c r="A403" i="6" s="1"/>
  <c r="A404" i="6" s="1"/>
  <c r="F392" i="6"/>
  <c r="H391" i="6"/>
  <c r="G391" i="6" s="1"/>
  <c r="E390" i="6" s="1"/>
  <c r="F390" i="6" s="1"/>
  <c r="G390" i="6" s="1"/>
  <c r="F389" i="6"/>
  <c r="G389" i="6" s="1"/>
  <c r="F388" i="6"/>
  <c r="G388" i="6" s="1"/>
  <c r="F387" i="6"/>
  <c r="G387" i="6" s="1"/>
  <c r="F386" i="6"/>
  <c r="G386" i="6" s="1"/>
  <c r="K385" i="6"/>
  <c r="K386" i="6" s="1"/>
  <c r="K387" i="6" s="1"/>
  <c r="F385" i="6"/>
  <c r="A384" i="6"/>
  <c r="A385" i="6" s="1"/>
  <c r="A386" i="6" s="1"/>
  <c r="A387" i="6" s="1"/>
  <c r="A388" i="6" s="1"/>
  <c r="A389" i="6" s="1"/>
  <c r="A390" i="6" s="1"/>
  <c r="A391" i="6" s="1"/>
  <c r="A392" i="6" s="1"/>
  <c r="F383" i="6"/>
  <c r="H382" i="6"/>
  <c r="G382" i="6" s="1"/>
  <c r="E381" i="6" s="1"/>
  <c r="F381" i="6" s="1"/>
  <c r="G381" i="6" s="1"/>
  <c r="F380" i="6"/>
  <c r="G380" i="6" s="1"/>
  <c r="F379" i="6"/>
  <c r="G379" i="6" s="1"/>
  <c r="F378" i="6"/>
  <c r="G378" i="6" s="1"/>
  <c r="K377" i="6"/>
  <c r="K378" i="6" s="1"/>
  <c r="K379" i="6" s="1"/>
  <c r="K380" i="6" s="1"/>
  <c r="K381" i="6" s="1"/>
  <c r="K382" i="6" s="1"/>
  <c r="K383" i="6" s="1"/>
  <c r="F377" i="6"/>
  <c r="A376" i="6"/>
  <c r="A377" i="6" s="1"/>
  <c r="A378" i="6" s="1"/>
  <c r="A379" i="6" s="1"/>
  <c r="A380" i="6" s="1"/>
  <c r="A381" i="6" s="1"/>
  <c r="A382" i="6" s="1"/>
  <c r="A383" i="6" s="1"/>
  <c r="F375" i="6"/>
  <c r="H374" i="6"/>
  <c r="G374" i="6" s="1"/>
  <c r="E373" i="6" s="1"/>
  <c r="F373" i="6" s="1"/>
  <c r="G373" i="6" s="1"/>
  <c r="F372" i="6"/>
  <c r="G372" i="6" s="1"/>
  <c r="F371" i="6"/>
  <c r="G371" i="6" s="1"/>
  <c r="F370" i="6"/>
  <c r="G370" i="6" s="1"/>
  <c r="F369" i="6"/>
  <c r="G369" i="6" s="1"/>
  <c r="F368" i="6"/>
  <c r="G368" i="6" s="1"/>
  <c r="F367" i="6"/>
  <c r="G367" i="6" s="1"/>
  <c r="F366" i="6"/>
  <c r="G366" i="6" s="1"/>
  <c r="K365" i="6"/>
  <c r="K366" i="6" s="1"/>
  <c r="K367" i="6" s="1"/>
  <c r="K368" i="6" s="1"/>
  <c r="K369" i="6" s="1"/>
  <c r="K370" i="6" s="1"/>
  <c r="K371" i="6" s="1"/>
  <c r="K372" i="6" s="1"/>
  <c r="K373" i="6" s="1"/>
  <c r="K374" i="6" s="1"/>
  <c r="K375" i="6" s="1"/>
  <c r="F365" i="6"/>
  <c r="G365" i="6" s="1"/>
  <c r="A364" i="6"/>
  <c r="A365" i="6" s="1"/>
  <c r="A366" i="6" s="1"/>
  <c r="A367" i="6" s="1"/>
  <c r="A368" i="6" s="1"/>
  <c r="A369" i="6" s="1"/>
  <c r="A370" i="6" s="1"/>
  <c r="A371" i="6" s="1"/>
  <c r="A372" i="6" s="1"/>
  <c r="A373" i="6" s="1"/>
  <c r="A374" i="6" s="1"/>
  <c r="A375" i="6" s="1"/>
  <c r="F363" i="6"/>
  <c r="H362" i="6"/>
  <c r="G362" i="6" s="1"/>
  <c r="E361" i="6" s="1"/>
  <c r="F361" i="6" s="1"/>
  <c r="G361" i="6" s="1"/>
  <c r="F360" i="6"/>
  <c r="G360" i="6" s="1"/>
  <c r="F359" i="6"/>
  <c r="G359" i="6" s="1"/>
  <c r="F358" i="6"/>
  <c r="G358" i="6" s="1"/>
  <c r="F357" i="6"/>
  <c r="G357" i="6" s="1"/>
  <c r="K356" i="6"/>
  <c r="K357" i="6" s="1"/>
  <c r="K358" i="6" s="1"/>
  <c r="K359" i="6" s="1"/>
  <c r="K360" i="6" s="1"/>
  <c r="K361" i="6" s="1"/>
  <c r="K362" i="6" s="1"/>
  <c r="K363" i="6" s="1"/>
  <c r="F356" i="6"/>
  <c r="G356" i="6" s="1"/>
  <c r="A355" i="6"/>
  <c r="A356" i="6" s="1"/>
  <c r="A357" i="6" s="1"/>
  <c r="A358" i="6" s="1"/>
  <c r="A359" i="6" s="1"/>
  <c r="A360" i="6" s="1"/>
  <c r="A361" i="6" s="1"/>
  <c r="A362" i="6" s="1"/>
  <c r="A363" i="6" s="1"/>
  <c r="F354" i="6"/>
  <c r="H353" i="6"/>
  <c r="G353" i="6" s="1"/>
  <c r="E352" i="6" s="1"/>
  <c r="F352" i="6" s="1"/>
  <c r="G352" i="6" s="1"/>
  <c r="F351" i="6"/>
  <c r="G351" i="6" s="1"/>
  <c r="F350" i="6"/>
  <c r="G350" i="6" s="1"/>
  <c r="F349" i="6"/>
  <c r="G349" i="6" s="1"/>
  <c r="K348" i="6"/>
  <c r="K349" i="6" s="1"/>
  <c r="K350" i="6" s="1"/>
  <c r="K351" i="6" s="1"/>
  <c r="K352" i="6" s="1"/>
  <c r="K353" i="6" s="1"/>
  <c r="K354" i="6" s="1"/>
  <c r="F348" i="6"/>
  <c r="G348" i="6" s="1"/>
  <c r="A347" i="6"/>
  <c r="A348" i="6" s="1"/>
  <c r="A349" i="6" s="1"/>
  <c r="A350" i="6" s="1"/>
  <c r="A351" i="6" s="1"/>
  <c r="A352" i="6" s="1"/>
  <c r="A353" i="6" s="1"/>
  <c r="A354" i="6" s="1"/>
  <c r="F346" i="6"/>
  <c r="H345" i="6"/>
  <c r="G345" i="6" s="1"/>
  <c r="E344" i="6" s="1"/>
  <c r="F344" i="6" s="1"/>
  <c r="G344" i="6" s="1"/>
  <c r="F343" i="6"/>
  <c r="G343" i="6" s="1"/>
  <c r="F342" i="6"/>
  <c r="G342" i="6" s="1"/>
  <c r="F341" i="6"/>
  <c r="G341" i="6" s="1"/>
  <c r="F340" i="6"/>
  <c r="G340" i="6" s="1"/>
  <c r="F339" i="6"/>
  <c r="G339" i="6" s="1"/>
  <c r="F338" i="6"/>
  <c r="G338" i="6" s="1"/>
  <c r="F337" i="6"/>
  <c r="G337" i="6" s="1"/>
  <c r="K336" i="6"/>
  <c r="K337" i="6" s="1"/>
  <c r="K338" i="6" s="1"/>
  <c r="K339" i="6" s="1"/>
  <c r="K340" i="6" s="1"/>
  <c r="K341" i="6" s="1"/>
  <c r="K342" i="6" s="1"/>
  <c r="K343" i="6" s="1"/>
  <c r="K344" i="6" s="1"/>
  <c r="K345" i="6" s="1"/>
  <c r="K346" i="6" s="1"/>
  <c r="F336" i="6"/>
  <c r="G336" i="6" s="1"/>
  <c r="A335" i="6"/>
  <c r="A336" i="6" s="1"/>
  <c r="A337" i="6" s="1"/>
  <c r="A338" i="6" s="1"/>
  <c r="A339" i="6" s="1"/>
  <c r="A340" i="6" s="1"/>
  <c r="A341" i="6" s="1"/>
  <c r="A342" i="6" s="1"/>
  <c r="A343" i="6" s="1"/>
  <c r="A344" i="6" s="1"/>
  <c r="A345" i="6" s="1"/>
  <c r="A346" i="6" s="1"/>
  <c r="F334" i="6"/>
  <c r="H333" i="6"/>
  <c r="G333" i="6" s="1"/>
  <c r="E332" i="6" s="1"/>
  <c r="F332" i="6" s="1"/>
  <c r="G332" i="6" s="1"/>
  <c r="F331" i="6"/>
  <c r="G331" i="6" s="1"/>
  <c r="F330" i="6"/>
  <c r="G330" i="6" s="1"/>
  <c r="F329" i="6"/>
  <c r="G329" i="6" s="1"/>
  <c r="F328" i="6"/>
  <c r="G328" i="6" s="1"/>
  <c r="F327" i="6"/>
  <c r="G327" i="6" s="1"/>
  <c r="F326" i="6"/>
  <c r="G326" i="6" s="1"/>
  <c r="F325" i="6"/>
  <c r="G325" i="6" s="1"/>
  <c r="K324" i="6"/>
  <c r="K325" i="6" s="1"/>
  <c r="K326" i="6" s="1"/>
  <c r="K327" i="6" s="1"/>
  <c r="K328" i="6" s="1"/>
  <c r="K329" i="6" s="1"/>
  <c r="K330" i="6" s="1"/>
  <c r="K331" i="6" s="1"/>
  <c r="K332" i="6" s="1"/>
  <c r="K333" i="6" s="1"/>
  <c r="K334" i="6" s="1"/>
  <c r="F324" i="6"/>
  <c r="G324" i="6" s="1"/>
  <c r="A323" i="6"/>
  <c r="A324" i="6" s="1"/>
  <c r="A325" i="6" s="1"/>
  <c r="A326" i="6" s="1"/>
  <c r="A327" i="6" s="1"/>
  <c r="A328" i="6" s="1"/>
  <c r="A329" i="6" s="1"/>
  <c r="A330" i="6" s="1"/>
  <c r="A331" i="6" s="1"/>
  <c r="A332" i="6" s="1"/>
  <c r="A333" i="6" s="1"/>
  <c r="A334" i="6" s="1"/>
  <c r="F322" i="6"/>
  <c r="H321" i="6"/>
  <c r="G321" i="6" s="1"/>
  <c r="E320" i="6" s="1"/>
  <c r="F320" i="6" s="1"/>
  <c r="G320" i="6" s="1"/>
  <c r="F319" i="6"/>
  <c r="G319" i="6" s="1"/>
  <c r="F318" i="6"/>
  <c r="G318" i="6" s="1"/>
  <c r="F317" i="6"/>
  <c r="G317" i="6" s="1"/>
  <c r="F315" i="6"/>
  <c r="G315" i="6" s="1"/>
  <c r="K314" i="6"/>
  <c r="F314" i="6"/>
  <c r="G314" i="6" s="1"/>
  <c r="A313" i="6"/>
  <c r="A314" i="6" s="1"/>
  <c r="F312" i="6"/>
  <c r="H311" i="6"/>
  <c r="G311" i="6" s="1"/>
  <c r="E310" i="6" s="1"/>
  <c r="F310" i="6" s="1"/>
  <c r="G310" i="6" s="1"/>
  <c r="F309" i="6"/>
  <c r="G309" i="6" s="1"/>
  <c r="F307" i="6"/>
  <c r="G307" i="6" s="1"/>
  <c r="F306" i="6"/>
  <c r="G306" i="6" s="1"/>
  <c r="K305" i="6"/>
  <c r="K306" i="6" s="1"/>
  <c r="K307" i="6" s="1"/>
  <c r="K309" i="6" s="1"/>
  <c r="K310" i="6" s="1"/>
  <c r="K311" i="6" s="1"/>
  <c r="K312" i="6" s="1"/>
  <c r="F305" i="6"/>
  <c r="G305" i="6" s="1"/>
  <c r="A304" i="6"/>
  <c r="A305" i="6" s="1"/>
  <c r="A306" i="6" s="1"/>
  <c r="A307" i="6" s="1"/>
  <c r="A309" i="6" s="1"/>
  <c r="A310" i="6" s="1"/>
  <c r="A311" i="6" s="1"/>
  <c r="A312" i="6" s="1"/>
  <c r="F303" i="6"/>
  <c r="H302" i="6"/>
  <c r="G302" i="6" s="1"/>
  <c r="E301" i="6" s="1"/>
  <c r="F301" i="6" s="1"/>
  <c r="G301" i="6" s="1"/>
  <c r="F300" i="6"/>
  <c r="G300" i="6" s="1"/>
  <c r="F299" i="6"/>
  <c r="G299" i="6" s="1"/>
  <c r="F298" i="6"/>
  <c r="G298" i="6" s="1"/>
  <c r="F297" i="6"/>
  <c r="G297" i="6" s="1"/>
  <c r="F296" i="6"/>
  <c r="G296" i="6" s="1"/>
  <c r="F295" i="6"/>
  <c r="G295" i="6" s="1"/>
  <c r="F294" i="6"/>
  <c r="G294" i="6" s="1"/>
  <c r="K293" i="6"/>
  <c r="K294" i="6" s="1"/>
  <c r="K296" i="6" s="1"/>
  <c r="K298" i="6" s="1"/>
  <c r="K300" i="6" s="1"/>
  <c r="K302" i="6" s="1"/>
  <c r="F293" i="6"/>
  <c r="G293" i="6" s="1"/>
  <c r="A292" i="6"/>
  <c r="A293" i="6" s="1"/>
  <c r="A294" i="6" s="1"/>
  <c r="A295" i="6" s="1"/>
  <c r="A296" i="6" s="1"/>
  <c r="A297" i="6" s="1"/>
  <c r="A298" i="6" s="1"/>
  <c r="A299" i="6" s="1"/>
  <c r="A300" i="6" s="1"/>
  <c r="A301" i="6" s="1"/>
  <c r="A302" i="6" s="1"/>
  <c r="A303" i="6" s="1"/>
  <c r="F291" i="6"/>
  <c r="H290" i="6"/>
  <c r="G290" i="6" s="1"/>
  <c r="E289" i="6" s="1"/>
  <c r="F289" i="6" s="1"/>
  <c r="G289" i="6" s="1"/>
  <c r="F288" i="6"/>
  <c r="G288" i="6" s="1"/>
  <c r="F287" i="6"/>
  <c r="G287" i="6" s="1"/>
  <c r="F286" i="6"/>
  <c r="G286" i="6" s="1"/>
  <c r="F285" i="6"/>
  <c r="G285" i="6" s="1"/>
  <c r="F284" i="6"/>
  <c r="G284" i="6" s="1"/>
  <c r="F283" i="6"/>
  <c r="G283" i="6" s="1"/>
  <c r="F282" i="6"/>
  <c r="G282" i="6" s="1"/>
  <c r="K281" i="6"/>
  <c r="K282" i="6" s="1"/>
  <c r="K283" i="6" s="1"/>
  <c r="K284" i="6" s="1"/>
  <c r="K285" i="6" s="1"/>
  <c r="K286" i="6" s="1"/>
  <c r="K287" i="6" s="1"/>
  <c r="K288" i="6" s="1"/>
  <c r="K289" i="6" s="1"/>
  <c r="K290" i="6" s="1"/>
  <c r="K291" i="6" s="1"/>
  <c r="F281" i="6"/>
  <c r="G281" i="6" s="1"/>
  <c r="A280" i="6"/>
  <c r="A281" i="6" s="1"/>
  <c r="A282" i="6" s="1"/>
  <c r="A283" i="6" s="1"/>
  <c r="A284" i="6" s="1"/>
  <c r="A285" i="6" s="1"/>
  <c r="A286" i="6" s="1"/>
  <c r="A287" i="6" s="1"/>
  <c r="A288" i="6" s="1"/>
  <c r="A289" i="6" s="1"/>
  <c r="A290" i="6" s="1"/>
  <c r="A291" i="6" s="1"/>
  <c r="F279" i="6"/>
  <c r="H278" i="6"/>
  <c r="G278" i="6" s="1"/>
  <c r="E277" i="6" s="1"/>
  <c r="F277" i="6" s="1"/>
  <c r="G277" i="6" s="1"/>
  <c r="F276" i="6"/>
  <c r="G276" i="6" s="1"/>
  <c r="F275" i="6"/>
  <c r="G275" i="6" s="1"/>
  <c r="F274" i="6"/>
  <c r="G274" i="6" s="1"/>
  <c r="F273" i="6"/>
  <c r="G273" i="6" s="1"/>
  <c r="K274" i="6"/>
  <c r="A270" i="6"/>
  <c r="F269" i="6"/>
  <c r="H268" i="6"/>
  <c r="G268" i="6" s="1"/>
  <c r="E267" i="6" s="1"/>
  <c r="F267" i="6" s="1"/>
  <c r="G267" i="6" s="1"/>
  <c r="F266" i="6"/>
  <c r="G266" i="6" s="1"/>
  <c r="F264" i="6"/>
  <c r="G264" i="6" s="1"/>
  <c r="F263" i="6"/>
  <c r="G263" i="6" s="1"/>
  <c r="K262" i="6"/>
  <c r="K263" i="6" s="1"/>
  <c r="F262" i="6"/>
  <c r="G262" i="6" s="1"/>
  <c r="A261" i="6"/>
  <c r="A262" i="6" s="1"/>
  <c r="A263" i="6" s="1"/>
  <c r="F260" i="6"/>
  <c r="H259" i="6"/>
  <c r="G259" i="6" s="1"/>
  <c r="E258" i="6" s="1"/>
  <c r="F258" i="6" s="1"/>
  <c r="G258" i="6" s="1"/>
  <c r="F257" i="6"/>
  <c r="G257" i="6" s="1"/>
  <c r="F256" i="6"/>
  <c r="G256" i="6" s="1"/>
  <c r="F255" i="6"/>
  <c r="G255" i="6" s="1"/>
  <c r="F254" i="6"/>
  <c r="G254" i="6" s="1"/>
  <c r="F253" i="6"/>
  <c r="G253" i="6" s="1"/>
  <c r="F252" i="6"/>
  <c r="G252" i="6" s="1"/>
  <c r="F251" i="6"/>
  <c r="G251" i="6" s="1"/>
  <c r="K250" i="6"/>
  <c r="K251" i="6" s="1"/>
  <c r="K252" i="6" s="1"/>
  <c r="K253" i="6" s="1"/>
  <c r="K254" i="6" s="1"/>
  <c r="K255" i="6" s="1"/>
  <c r="K256" i="6" s="1"/>
  <c r="K257" i="6" s="1"/>
  <c r="K258" i="6" s="1"/>
  <c r="K259" i="6" s="1"/>
  <c r="K260" i="6" s="1"/>
  <c r="F250" i="6"/>
  <c r="A249" i="6"/>
  <c r="A250" i="6" s="1"/>
  <c r="A251" i="6" s="1"/>
  <c r="A252" i="6" s="1"/>
  <c r="A253" i="6" s="1"/>
  <c r="A254" i="6" s="1"/>
  <c r="A255" i="6" s="1"/>
  <c r="A256" i="6" s="1"/>
  <c r="A257" i="6" s="1"/>
  <c r="A258" i="6" s="1"/>
  <c r="A259" i="6" s="1"/>
  <c r="A260" i="6" s="1"/>
  <c r="F248" i="6"/>
  <c r="H247" i="6"/>
  <c r="G247" i="6" s="1"/>
  <c r="E246" i="6" s="1"/>
  <c r="F246" i="6" s="1"/>
  <c r="G246" i="6" s="1"/>
  <c r="F245" i="6"/>
  <c r="G245" i="6" s="1"/>
  <c r="F244" i="6"/>
  <c r="G244" i="6" s="1"/>
  <c r="F243" i="6"/>
  <c r="G243" i="6" s="1"/>
  <c r="K241" i="6"/>
  <c r="K243" i="6" s="1"/>
  <c r="K244" i="6" s="1"/>
  <c r="K245" i="6" s="1"/>
  <c r="K246" i="6" s="1"/>
  <c r="K247" i="6" s="1"/>
  <c r="K248" i="6" s="1"/>
  <c r="F241" i="6"/>
  <c r="A240" i="6"/>
  <c r="F239" i="6"/>
  <c r="H238" i="6"/>
  <c r="G238" i="6" s="1"/>
  <c r="E237" i="6" s="1"/>
  <c r="F237" i="6" s="1"/>
  <c r="G237" i="6" s="1"/>
  <c r="F236" i="6"/>
  <c r="G236" i="6" s="1"/>
  <c r="F234" i="6"/>
  <c r="G234" i="6" s="1"/>
  <c r="F233" i="6"/>
  <c r="G233" i="6" s="1"/>
  <c r="K232" i="6"/>
  <c r="K233" i="6" s="1"/>
  <c r="F232" i="6"/>
  <c r="G232" i="6" s="1"/>
  <c r="A231" i="6"/>
  <c r="A232" i="6" s="1"/>
  <c r="A233" i="6" s="1"/>
  <c r="F230" i="6"/>
  <c r="H229" i="6"/>
  <c r="G229" i="6" s="1"/>
  <c r="E228" i="6" s="1"/>
  <c r="F228" i="6" s="1"/>
  <c r="G228" i="6" s="1"/>
  <c r="F227" i="6"/>
  <c r="G227" i="6" s="1"/>
  <c r="F226" i="6"/>
  <c r="G226" i="6" s="1"/>
  <c r="F225" i="6"/>
  <c r="G225" i="6" s="1"/>
  <c r="F224" i="6"/>
  <c r="G224" i="6" s="1"/>
  <c r="F223" i="6"/>
  <c r="G223" i="6" s="1"/>
  <c r="F222" i="6"/>
  <c r="G222" i="6" s="1"/>
  <c r="F221" i="6"/>
  <c r="G221" i="6" s="1"/>
  <c r="F220" i="6"/>
  <c r="G220" i="6" s="1"/>
  <c r="K219" i="6"/>
  <c r="K220" i="6" s="1"/>
  <c r="K221" i="6" s="1"/>
  <c r="K222" i="6" s="1"/>
  <c r="K223" i="6" s="1"/>
  <c r="K224" i="6" s="1"/>
  <c r="K225" i="6" s="1"/>
  <c r="K226" i="6" s="1"/>
  <c r="K227" i="6" s="1"/>
  <c r="K228" i="6" s="1"/>
  <c r="K229" i="6" s="1"/>
  <c r="K230" i="6" s="1"/>
  <c r="F219" i="6"/>
  <c r="G219" i="6" s="1"/>
  <c r="A218" i="6"/>
  <c r="A219" i="6" s="1"/>
  <c r="A220" i="6" s="1"/>
  <c r="A221" i="6" s="1"/>
  <c r="A222" i="6" s="1"/>
  <c r="A223" i="6" s="1"/>
  <c r="A224" i="6" s="1"/>
  <c r="A225" i="6" s="1"/>
  <c r="A226" i="6" s="1"/>
  <c r="A227" i="6" s="1"/>
  <c r="A228" i="6" s="1"/>
  <c r="A229" i="6" s="1"/>
  <c r="A230" i="6" s="1"/>
  <c r="F217" i="6"/>
  <c r="H216" i="6"/>
  <c r="G216" i="6" s="1"/>
  <c r="E215" i="6" s="1"/>
  <c r="F215" i="6" s="1"/>
  <c r="G215" i="6" s="1"/>
  <c r="F214" i="6"/>
  <c r="G214" i="6" s="1"/>
  <c r="F213" i="6"/>
  <c r="G213" i="6" s="1"/>
  <c r="F212" i="6"/>
  <c r="G212" i="6" s="1"/>
  <c r="K210" i="6"/>
  <c r="K212" i="6" s="1"/>
  <c r="K213" i="6" s="1"/>
  <c r="K214" i="6" s="1"/>
  <c r="K215" i="6" s="1"/>
  <c r="K216" i="6" s="1"/>
  <c r="K217" i="6" s="1"/>
  <c r="F210" i="6"/>
  <c r="G210" i="6" s="1"/>
  <c r="A209" i="6"/>
  <c r="F208" i="6"/>
  <c r="H207" i="6"/>
  <c r="G207" i="6" s="1"/>
  <c r="E206" i="6" s="1"/>
  <c r="F206" i="6" s="1"/>
  <c r="G206" i="6" s="1"/>
  <c r="F205" i="6"/>
  <c r="G205" i="6" s="1"/>
  <c r="F204" i="6"/>
  <c r="G204" i="6" s="1"/>
  <c r="F202" i="6"/>
  <c r="G202" i="6" s="1"/>
  <c r="F201" i="6"/>
  <c r="K200" i="6"/>
  <c r="K201" i="6" s="1"/>
  <c r="F200" i="6"/>
  <c r="G200" i="6" s="1"/>
  <c r="A199" i="6"/>
  <c r="A200" i="6" s="1"/>
  <c r="A201" i="6" s="1"/>
  <c r="F198" i="6"/>
  <c r="H197" i="6"/>
  <c r="G197" i="6" s="1"/>
  <c r="E196" i="6" s="1"/>
  <c r="F196" i="6" s="1"/>
  <c r="G196" i="6" s="1"/>
  <c r="F195" i="6"/>
  <c r="G195" i="6" s="1"/>
  <c r="F194" i="6"/>
  <c r="G194" i="6" s="1"/>
  <c r="F193" i="6"/>
  <c r="G193" i="6" s="1"/>
  <c r="F192" i="6"/>
  <c r="G192" i="6" s="1"/>
  <c r="F191" i="6"/>
  <c r="G191" i="6" s="1"/>
  <c r="F190" i="6"/>
  <c r="G190" i="6" s="1"/>
  <c r="F189" i="6"/>
  <c r="G189" i="6" s="1"/>
  <c r="K188" i="6"/>
  <c r="K189" i="6" s="1"/>
  <c r="K190" i="6" s="1"/>
  <c r="K192" i="6" s="1"/>
  <c r="K194" i="6" s="1"/>
  <c r="K196" i="6" s="1"/>
  <c r="K198" i="6" s="1"/>
  <c r="F188" i="6"/>
  <c r="G188" i="6" s="1"/>
  <c r="A187" i="6"/>
  <c r="A188" i="6" s="1"/>
  <c r="A189" i="6" s="1"/>
  <c r="A190" i="6" s="1"/>
  <c r="A191" i="6" s="1"/>
  <c r="A192" i="6" s="1"/>
  <c r="A193" i="6" s="1"/>
  <c r="A194" i="6" s="1"/>
  <c r="A195" i="6" s="1"/>
  <c r="A196" i="6" s="1"/>
  <c r="A197" i="6" s="1"/>
  <c r="A198" i="6" s="1"/>
  <c r="F186" i="6"/>
  <c r="H185" i="6"/>
  <c r="G185" i="6" s="1"/>
  <c r="E184" i="6" s="1"/>
  <c r="F184" i="6" s="1"/>
  <c r="G184" i="6" s="1"/>
  <c r="F183" i="6"/>
  <c r="G183" i="6" s="1"/>
  <c r="F182" i="6"/>
  <c r="G182" i="6" s="1"/>
  <c r="F181" i="6"/>
  <c r="G181" i="6" s="1"/>
  <c r="F180" i="6"/>
  <c r="G180" i="6" s="1"/>
  <c r="F179" i="6"/>
  <c r="G179" i="6" s="1"/>
  <c r="F178" i="6"/>
  <c r="G178" i="6" s="1"/>
  <c r="F177" i="6"/>
  <c r="G177" i="6" s="1"/>
  <c r="F176" i="6"/>
  <c r="G176" i="6" s="1"/>
  <c r="K175" i="6"/>
  <c r="K176" i="6" s="1"/>
  <c r="K177" i="6" s="1"/>
  <c r="K178" i="6" s="1"/>
  <c r="K179" i="6" s="1"/>
  <c r="K180" i="6" s="1"/>
  <c r="K181" i="6" s="1"/>
  <c r="K182" i="6" s="1"/>
  <c r="K183" i="6" s="1"/>
  <c r="K184" i="6" s="1"/>
  <c r="K185" i="6" s="1"/>
  <c r="K186" i="6" s="1"/>
  <c r="F175" i="6"/>
  <c r="G175" i="6" s="1"/>
  <c r="A174" i="6"/>
  <c r="A175" i="6" s="1"/>
  <c r="A176" i="6" s="1"/>
  <c r="A177" i="6" s="1"/>
  <c r="A178" i="6" s="1"/>
  <c r="A179" i="6" s="1"/>
  <c r="A180" i="6" s="1"/>
  <c r="A181" i="6" s="1"/>
  <c r="A182" i="6" s="1"/>
  <c r="A183" i="6" s="1"/>
  <c r="A184" i="6" s="1"/>
  <c r="A185" i="6" s="1"/>
  <c r="A186" i="6" s="1"/>
  <c r="F173" i="6"/>
  <c r="H172" i="6"/>
  <c r="G172" i="6" s="1"/>
  <c r="E171" i="6" s="1"/>
  <c r="F171" i="6" s="1"/>
  <c r="G171" i="6" s="1"/>
  <c r="F170" i="6"/>
  <c r="G170" i="6" s="1"/>
  <c r="F169" i="6"/>
  <c r="G169" i="6" s="1"/>
  <c r="F168" i="6"/>
  <c r="G168" i="6" s="1"/>
  <c r="F167" i="6"/>
  <c r="G167" i="6" s="1"/>
  <c r="F166" i="6"/>
  <c r="G166" i="6" s="1"/>
  <c r="F165" i="6"/>
  <c r="G165" i="6" s="1"/>
  <c r="F163" i="6"/>
  <c r="G163" i="6" s="1"/>
  <c r="F162" i="6"/>
  <c r="G162" i="6" s="1"/>
  <c r="K161" i="6"/>
  <c r="K162" i="6" s="1"/>
  <c r="F161" i="6"/>
  <c r="G161" i="6" s="1"/>
  <c r="A160" i="6"/>
  <c r="A161" i="6" s="1"/>
  <c r="A162" i="6" s="1"/>
  <c r="F159" i="6"/>
  <c r="H158" i="6"/>
  <c r="G158" i="6" s="1"/>
  <c r="E157" i="6" s="1"/>
  <c r="F157" i="6" s="1"/>
  <c r="G157" i="6" s="1"/>
  <c r="F156" i="6"/>
  <c r="G156" i="6" s="1"/>
  <c r="F155" i="6"/>
  <c r="G155" i="6" s="1"/>
  <c r="F154" i="6"/>
  <c r="G154" i="6" s="1"/>
  <c r="F153" i="6"/>
  <c r="G153" i="6" s="1"/>
  <c r="K152" i="6"/>
  <c r="K153" i="6" s="1"/>
  <c r="K154" i="6" s="1"/>
  <c r="K155" i="6" s="1"/>
  <c r="K156" i="6" s="1"/>
  <c r="K157" i="6" s="1"/>
  <c r="K158" i="6" s="1"/>
  <c r="K159" i="6" s="1"/>
  <c r="F152" i="6"/>
  <c r="G152" i="6" s="1"/>
  <c r="A151" i="6"/>
  <c r="A152" i="6" s="1"/>
  <c r="A153" i="6" s="1"/>
  <c r="A154" i="6" s="1"/>
  <c r="A155" i="6" s="1"/>
  <c r="A156" i="6" s="1"/>
  <c r="A157" i="6" s="1"/>
  <c r="A158" i="6" s="1"/>
  <c r="A159" i="6" s="1"/>
  <c r="F150" i="6"/>
  <c r="H149" i="6"/>
  <c r="G149" i="6" s="1"/>
  <c r="E148" i="6" s="1"/>
  <c r="F148" i="6" s="1"/>
  <c r="G148" i="6" s="1"/>
  <c r="F147" i="6"/>
  <c r="G147" i="6" s="1"/>
  <c r="F146" i="6"/>
  <c r="G146" i="6" s="1"/>
  <c r="F145" i="6"/>
  <c r="G145" i="6" s="1"/>
  <c r="F144" i="6"/>
  <c r="G144" i="6" s="1"/>
  <c r="K142" i="6"/>
  <c r="K144" i="6" s="1"/>
  <c r="K145" i="6" s="1"/>
  <c r="K146" i="6" s="1"/>
  <c r="K147" i="6" s="1"/>
  <c r="K148" i="6" s="1"/>
  <c r="K149" i="6" s="1"/>
  <c r="K150" i="6" s="1"/>
  <c r="F142" i="6"/>
  <c r="A141" i="6"/>
  <c r="F140" i="6"/>
  <c r="H139" i="6"/>
  <c r="G139" i="6" s="1"/>
  <c r="E138" i="6" s="1"/>
  <c r="F138" i="6" s="1"/>
  <c r="G138" i="6" s="1"/>
  <c r="F137" i="6"/>
  <c r="G137" i="6" s="1"/>
  <c r="F136" i="6"/>
  <c r="G136" i="6" s="1"/>
  <c r="F135" i="6"/>
  <c r="G135" i="6" s="1"/>
  <c r="K134" i="6"/>
  <c r="K135" i="6" s="1"/>
  <c r="F134" i="6"/>
  <c r="G134" i="6" s="1"/>
  <c r="A133" i="6"/>
  <c r="A134" i="6" s="1"/>
  <c r="A135" i="6" s="1"/>
  <c r="A136" i="6" s="1"/>
  <c r="A137" i="6" s="1"/>
  <c r="A138" i="6" s="1"/>
  <c r="A139" i="6" s="1"/>
  <c r="A140" i="6" s="1"/>
  <c r="F132" i="6"/>
  <c r="H131" i="6"/>
  <c r="G131" i="6" s="1"/>
  <c r="E130" i="6" s="1"/>
  <c r="F130" i="6" s="1"/>
  <c r="G130" i="6" s="1"/>
  <c r="F129" i="6"/>
  <c r="G129" i="6" s="1"/>
  <c r="F127" i="6"/>
  <c r="G127" i="6" s="1"/>
  <c r="F126" i="6"/>
  <c r="G126" i="6" s="1"/>
  <c r="K125" i="6"/>
  <c r="K126" i="6" s="1"/>
  <c r="F125" i="6"/>
  <c r="G125" i="6" s="1"/>
  <c r="A124" i="6"/>
  <c r="A125" i="6" s="1"/>
  <c r="A126" i="6" s="1"/>
  <c r="F123" i="6"/>
  <c r="H122" i="6"/>
  <c r="G122" i="6" s="1"/>
  <c r="E121" i="6" s="1"/>
  <c r="F121" i="6" s="1"/>
  <c r="G121" i="6" s="1"/>
  <c r="F120" i="6"/>
  <c r="G120" i="6" s="1"/>
  <c r="F119" i="6"/>
  <c r="G119" i="6" s="1"/>
  <c r="F118" i="6"/>
  <c r="G118" i="6" s="1"/>
  <c r="F117" i="6"/>
  <c r="G117" i="6" s="1"/>
  <c r="F116" i="6"/>
  <c r="G116" i="6" s="1"/>
  <c r="F115" i="6"/>
  <c r="G115" i="6" s="1"/>
  <c r="F114" i="6"/>
  <c r="G114" i="6" s="1"/>
  <c r="K113" i="6"/>
  <c r="K114" i="6" s="1"/>
  <c r="F113" i="6"/>
  <c r="G113" i="6" s="1"/>
  <c r="A112" i="6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F111" i="6"/>
  <c r="H110" i="6"/>
  <c r="G110" i="6" s="1"/>
  <c r="E109" i="6" s="1"/>
  <c r="F109" i="6" s="1"/>
  <c r="G109" i="6" s="1"/>
  <c r="F108" i="6"/>
  <c r="G108" i="6" s="1"/>
  <c r="F107" i="6"/>
  <c r="G107" i="6" s="1"/>
  <c r="F106" i="6"/>
  <c r="G106" i="6" s="1"/>
  <c r="F105" i="6"/>
  <c r="G105" i="6" s="1"/>
  <c r="F104" i="6"/>
  <c r="G104" i="6" s="1"/>
  <c r="F103" i="6"/>
  <c r="G103" i="6" s="1"/>
  <c r="F101" i="6"/>
  <c r="G101" i="6" s="1"/>
  <c r="F100" i="6"/>
  <c r="G100" i="6" s="1"/>
  <c r="K99" i="6"/>
  <c r="K100" i="6" s="1"/>
  <c r="F99" i="6"/>
  <c r="G99" i="6" s="1"/>
  <c r="A98" i="6"/>
  <c r="A99" i="6" s="1"/>
  <c r="A100" i="6" s="1"/>
  <c r="F97" i="6"/>
  <c r="H96" i="6"/>
  <c r="G96" i="6" s="1"/>
  <c r="E95" i="6" s="1"/>
  <c r="F95" i="6" s="1"/>
  <c r="G95" i="6" s="1"/>
  <c r="F94" i="6"/>
  <c r="G94" i="6" s="1"/>
  <c r="F93" i="6"/>
  <c r="G93" i="6" s="1"/>
  <c r="F92" i="6"/>
  <c r="G92" i="6" s="1"/>
  <c r="F91" i="6"/>
  <c r="G91" i="6" s="1"/>
  <c r="K89" i="6"/>
  <c r="K91" i="6" s="1"/>
  <c r="K92" i="6" s="1"/>
  <c r="K93" i="6" s="1"/>
  <c r="K94" i="6" s="1"/>
  <c r="K95" i="6" s="1"/>
  <c r="K96" i="6" s="1"/>
  <c r="K97" i="6" s="1"/>
  <c r="F89" i="6"/>
  <c r="G89" i="6" s="1"/>
  <c r="A88" i="6"/>
  <c r="F87" i="6"/>
  <c r="H86" i="6"/>
  <c r="G86" i="6" s="1"/>
  <c r="E85" i="6" s="1"/>
  <c r="F85" i="6" s="1"/>
  <c r="G85" i="6" s="1"/>
  <c r="F84" i="6"/>
  <c r="G84" i="6" s="1"/>
  <c r="F82" i="6"/>
  <c r="G82" i="6" s="1"/>
  <c r="F81" i="6"/>
  <c r="G81" i="6" s="1"/>
  <c r="F80" i="6"/>
  <c r="G80" i="6" s="1"/>
  <c r="K79" i="6"/>
  <c r="K80" i="6" s="1"/>
  <c r="K81" i="6" s="1"/>
  <c r="K82" i="6" s="1"/>
  <c r="F79" i="6"/>
  <c r="G79" i="6" s="1"/>
  <c r="A78" i="6"/>
  <c r="A79" i="6" s="1"/>
  <c r="A80" i="6" s="1"/>
  <c r="A81" i="6" s="1"/>
  <c r="A82" i="6" s="1"/>
  <c r="A83" i="6" s="1"/>
  <c r="F77" i="6"/>
  <c r="H76" i="6"/>
  <c r="G76" i="6" s="1"/>
  <c r="E75" i="6" s="1"/>
  <c r="F75" i="6" s="1"/>
  <c r="G75" i="6" s="1"/>
  <c r="F74" i="6"/>
  <c r="G74" i="6" s="1"/>
  <c r="F72" i="6"/>
  <c r="G72" i="6" s="1"/>
  <c r="F71" i="6"/>
  <c r="G71" i="6" s="1"/>
  <c r="K70" i="6"/>
  <c r="K71" i="6" s="1"/>
  <c r="F70" i="6"/>
  <c r="G70" i="6" s="1"/>
  <c r="A69" i="6"/>
  <c r="A70" i="6" s="1"/>
  <c r="A71" i="6" s="1"/>
  <c r="F68" i="6"/>
  <c r="H67" i="6"/>
  <c r="G67" i="6" s="1"/>
  <c r="E66" i="6" s="1"/>
  <c r="F66" i="6" s="1"/>
  <c r="G66" i="6" s="1"/>
  <c r="F65" i="6"/>
  <c r="G65" i="6" s="1"/>
  <c r="F64" i="6"/>
  <c r="G64" i="6" s="1"/>
  <c r="F63" i="6"/>
  <c r="G63" i="6" s="1"/>
  <c r="F62" i="6"/>
  <c r="G62" i="6" s="1"/>
  <c r="F61" i="6"/>
  <c r="G61" i="6" s="1"/>
  <c r="F60" i="6"/>
  <c r="G60" i="6" s="1"/>
  <c r="F59" i="6"/>
  <c r="G59" i="6" s="1"/>
  <c r="K58" i="6"/>
  <c r="K59" i="6" s="1"/>
  <c r="K60" i="6" s="1"/>
  <c r="K62" i="6" s="1"/>
  <c r="K64" i="6" s="1"/>
  <c r="K65" i="6" s="1"/>
  <c r="K66" i="6" s="1"/>
  <c r="K67" i="6" s="1"/>
  <c r="K68" i="6" s="1"/>
  <c r="F58" i="6"/>
  <c r="A57" i="6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F56" i="6"/>
  <c r="H55" i="6"/>
  <c r="G55" i="6" s="1"/>
  <c r="E54" i="6" s="1"/>
  <c r="F54" i="6" s="1"/>
  <c r="G54" i="6" s="1"/>
  <c r="F53" i="6"/>
  <c r="G53" i="6" s="1"/>
  <c r="F52" i="6"/>
  <c r="G52" i="6" s="1"/>
  <c r="F51" i="6"/>
  <c r="G51" i="6" s="1"/>
  <c r="F50" i="6"/>
  <c r="G50" i="6" s="1"/>
  <c r="F49" i="6"/>
  <c r="G49" i="6" s="1"/>
  <c r="F48" i="6"/>
  <c r="G48" i="6" s="1"/>
  <c r="F47" i="6"/>
  <c r="G47" i="6" s="1"/>
  <c r="F46" i="6"/>
  <c r="G46" i="6" s="1"/>
  <c r="F45" i="6"/>
  <c r="G45" i="6" s="1"/>
  <c r="K44" i="6"/>
  <c r="K45" i="6" s="1"/>
  <c r="K46" i="6" s="1"/>
  <c r="K47" i="6" s="1"/>
  <c r="K48" i="6" s="1"/>
  <c r="K49" i="6" s="1"/>
  <c r="K50" i="6" s="1"/>
  <c r="F44" i="6"/>
  <c r="G44" i="6" s="1"/>
  <c r="A43" i="6"/>
  <c r="A44" i="6" s="1"/>
  <c r="A45" i="6" s="1"/>
  <c r="A46" i="6" s="1"/>
  <c r="A47" i="6" s="1"/>
  <c r="A48" i="6" s="1"/>
  <c r="A49" i="6" s="1"/>
  <c r="A50" i="6" s="1"/>
  <c r="F42" i="6"/>
  <c r="H41" i="6"/>
  <c r="G41" i="6" s="1"/>
  <c r="E40" i="6" s="1"/>
  <c r="F40" i="6" s="1"/>
  <c r="G40" i="6" s="1"/>
  <c r="F39" i="6"/>
  <c r="G39" i="6" s="1"/>
  <c r="F38" i="6"/>
  <c r="G38" i="6" s="1"/>
  <c r="F37" i="6"/>
  <c r="G37" i="6" s="1"/>
  <c r="F36" i="6"/>
  <c r="G36" i="6" s="1"/>
  <c r="F35" i="6"/>
  <c r="G35" i="6" s="1"/>
  <c r="K34" i="6"/>
  <c r="K35" i="6" s="1"/>
  <c r="K36" i="6" s="1"/>
  <c r="K37" i="6" s="1"/>
  <c r="F34" i="6"/>
  <c r="G34" i="6" s="1"/>
  <c r="A33" i="6"/>
  <c r="A34" i="6" s="1"/>
  <c r="A35" i="6" s="1"/>
  <c r="A36" i="6" s="1"/>
  <c r="A37" i="6" s="1"/>
  <c r="A39" i="6" s="1"/>
  <c r="A40" i="6" s="1"/>
  <c r="A41" i="6" s="1"/>
  <c r="A42" i="6" s="1"/>
  <c r="F32" i="6"/>
  <c r="H31" i="6"/>
  <c r="G31" i="6" s="1"/>
  <c r="E30" i="6" s="1"/>
  <c r="F30" i="6" s="1"/>
  <c r="G30" i="6" s="1"/>
  <c r="F29" i="6"/>
  <c r="G29" i="6" s="1"/>
  <c r="F28" i="6"/>
  <c r="G28" i="6" s="1"/>
  <c r="F27" i="6"/>
  <c r="G27" i="6" s="1"/>
  <c r="F26" i="6"/>
  <c r="G26" i="6" s="1"/>
  <c r="F25" i="6"/>
  <c r="G25" i="6" s="1"/>
  <c r="K24" i="6"/>
  <c r="K25" i="6" s="1"/>
  <c r="K26" i="6" s="1"/>
  <c r="K27" i="6" s="1"/>
  <c r="F24" i="6"/>
  <c r="G24" i="6" s="1"/>
  <c r="A23" i="6"/>
  <c r="A24" i="6" s="1"/>
  <c r="A25" i="6" s="1"/>
  <c r="A26" i="6" s="1"/>
  <c r="A27" i="6" s="1"/>
  <c r="A29" i="6" s="1"/>
  <c r="F22" i="6"/>
  <c r="H21" i="6"/>
  <c r="G21" i="6" s="1"/>
  <c r="E20" i="6" s="1"/>
  <c r="F20" i="6" s="1"/>
  <c r="G20" i="6" s="1"/>
  <c r="F19" i="6"/>
  <c r="G19" i="6" s="1"/>
  <c r="F18" i="6"/>
  <c r="G18" i="6" s="1"/>
  <c r="F16" i="6"/>
  <c r="G16" i="6" s="1"/>
  <c r="F17" i="6"/>
  <c r="G17" i="6" s="1"/>
  <c r="K15" i="6"/>
  <c r="K17" i="6" s="1"/>
  <c r="K16" i="6" s="1"/>
  <c r="K19" i="6" s="1"/>
  <c r="K20" i="6" s="1"/>
  <c r="K21" i="6" s="1"/>
  <c r="K22" i="6" s="1"/>
  <c r="F15" i="6"/>
  <c r="A14" i="6"/>
  <c r="A15" i="6" s="1"/>
  <c r="A17" i="6" s="1"/>
  <c r="F13" i="6"/>
  <c r="H12" i="6"/>
  <c r="G12" i="6" s="1"/>
  <c r="E11" i="6" s="1"/>
  <c r="F11" i="6" s="1"/>
  <c r="G11" i="6" s="1"/>
  <c r="F10" i="6"/>
  <c r="G10" i="6" s="1"/>
  <c r="F9" i="6"/>
  <c r="G9" i="6" s="1"/>
  <c r="F8" i="6"/>
  <c r="G8" i="6" s="1"/>
  <c r="F7" i="6"/>
  <c r="G7" i="6" s="1"/>
  <c r="F6" i="6"/>
  <c r="G6" i="6" s="1"/>
  <c r="F5" i="6"/>
  <c r="G5" i="6" s="1"/>
  <c r="F4" i="6"/>
  <c r="G4" i="6" s="1"/>
  <c r="K3" i="6"/>
  <c r="K4" i="6" s="1"/>
  <c r="K6" i="6" s="1"/>
  <c r="F3" i="6"/>
  <c r="A2" i="6"/>
  <c r="A3" i="6" s="1"/>
  <c r="A4" i="6" s="1"/>
  <c r="A5" i="6" s="1"/>
  <c r="A6" i="6" s="1"/>
  <c r="A7" i="6" s="1"/>
  <c r="A8" i="6" s="1"/>
  <c r="A9" i="6" s="1"/>
  <c r="A10" i="6" s="1"/>
  <c r="A11" i="6" s="1"/>
  <c r="A12" i="6" s="1"/>
  <c r="A13" i="6" s="1"/>
  <c r="K72" i="6" l="1"/>
  <c r="K74" i="6" s="1"/>
  <c r="K75" i="6" s="1"/>
  <c r="K76" i="6" s="1"/>
  <c r="K77" i="6" s="1"/>
  <c r="K73" i="6"/>
  <c r="A72" i="6"/>
  <c r="A74" i="6" s="1"/>
  <c r="A75" i="6" s="1"/>
  <c r="A76" i="6" s="1"/>
  <c r="A77" i="6" s="1"/>
  <c r="A73" i="6"/>
  <c r="K84" i="6"/>
  <c r="K85" i="6" s="1"/>
  <c r="K86" i="6" s="1"/>
  <c r="K87" i="6" s="1"/>
  <c r="K83" i="6"/>
  <c r="P88" i="6"/>
  <c r="Q88" i="6" s="1"/>
  <c r="O90" i="6"/>
  <c r="P90" i="6" s="1"/>
  <c r="Q90" i="6" s="1"/>
  <c r="A89" i="6"/>
  <c r="A91" i="6" s="1"/>
  <c r="A92" i="6" s="1"/>
  <c r="A93" i="6" s="1"/>
  <c r="A94" i="6" s="1"/>
  <c r="A95" i="6" s="1"/>
  <c r="A96" i="6" s="1"/>
  <c r="A97" i="6" s="1"/>
  <c r="A90" i="6"/>
  <c r="A101" i="6"/>
  <c r="A103" i="6" s="1"/>
  <c r="A104" i="6" s="1"/>
  <c r="A105" i="6" s="1"/>
  <c r="A106" i="6" s="1"/>
  <c r="A107" i="6" s="1"/>
  <c r="A108" i="6" s="1"/>
  <c r="A109" i="6" s="1"/>
  <c r="A110" i="6" s="1"/>
  <c r="A111" i="6" s="1"/>
  <c r="A102" i="6"/>
  <c r="K101" i="6"/>
  <c r="K103" i="6" s="1"/>
  <c r="K104" i="6" s="1"/>
  <c r="K105" i="6" s="1"/>
  <c r="K106" i="6" s="1"/>
  <c r="K107" i="6" s="1"/>
  <c r="K108" i="6" s="1"/>
  <c r="K109" i="6" s="1"/>
  <c r="K110" i="6" s="1"/>
  <c r="K111" i="6" s="1"/>
  <c r="K102" i="6"/>
  <c r="K127" i="6"/>
  <c r="K129" i="6" s="1"/>
  <c r="K130" i="6" s="1"/>
  <c r="K131" i="6" s="1"/>
  <c r="K132" i="6" s="1"/>
  <c r="K128" i="6"/>
  <c r="P546" i="6"/>
  <c r="Q546" i="6" s="1"/>
  <c r="A127" i="6"/>
  <c r="A129" i="6" s="1"/>
  <c r="A130" i="6" s="1"/>
  <c r="A131" i="6" s="1"/>
  <c r="A132" i="6" s="1"/>
  <c r="A128" i="6"/>
  <c r="A142" i="6"/>
  <c r="A144" i="6" s="1"/>
  <c r="A145" i="6" s="1"/>
  <c r="A146" i="6" s="1"/>
  <c r="A147" i="6" s="1"/>
  <c r="A148" i="6" s="1"/>
  <c r="A149" i="6" s="1"/>
  <c r="A150" i="6" s="1"/>
  <c r="A143" i="6"/>
  <c r="P141" i="6"/>
  <c r="Q141" i="6" s="1"/>
  <c r="O143" i="6"/>
  <c r="P143" i="6" s="1"/>
  <c r="Q143" i="6" s="1"/>
  <c r="K163" i="6"/>
  <c r="K165" i="6" s="1"/>
  <c r="K166" i="6" s="1"/>
  <c r="K167" i="6" s="1"/>
  <c r="K168" i="6" s="1"/>
  <c r="K169" i="6" s="1"/>
  <c r="K170" i="6" s="1"/>
  <c r="K171" i="6" s="1"/>
  <c r="K172" i="6" s="1"/>
  <c r="K173" i="6" s="1"/>
  <c r="K164" i="6"/>
  <c r="A163" i="6"/>
  <c r="A165" i="6" s="1"/>
  <c r="A166" i="6" s="1"/>
  <c r="A167" i="6" s="1"/>
  <c r="A168" i="6" s="1"/>
  <c r="A169" i="6" s="1"/>
  <c r="A170" i="6" s="1"/>
  <c r="A171" i="6" s="1"/>
  <c r="A172" i="6" s="1"/>
  <c r="A173" i="6" s="1"/>
  <c r="A164" i="6"/>
  <c r="K202" i="6"/>
  <c r="K204" i="6" s="1"/>
  <c r="K205" i="6" s="1"/>
  <c r="K203" i="6"/>
  <c r="A202" i="6"/>
  <c r="A204" i="6" s="1"/>
  <c r="A205" i="6" s="1"/>
  <c r="A206" i="6" s="1"/>
  <c r="A207" i="6" s="1"/>
  <c r="A208" i="6" s="1"/>
  <c r="A203" i="6"/>
  <c r="O210" i="6"/>
  <c r="P210" i="6" s="1"/>
  <c r="Q210" i="6" s="1"/>
  <c r="O211" i="6"/>
  <c r="P211" i="6" s="1"/>
  <c r="Q211" i="6" s="1"/>
  <c r="A210" i="6"/>
  <c r="A212" i="6" s="1"/>
  <c r="A213" i="6" s="1"/>
  <c r="A214" i="6" s="1"/>
  <c r="A215" i="6" s="1"/>
  <c r="A216" i="6" s="1"/>
  <c r="A217" i="6" s="1"/>
  <c r="A211" i="6"/>
  <c r="A234" i="6"/>
  <c r="A236" i="6" s="1"/>
  <c r="A237" i="6" s="1"/>
  <c r="A238" i="6" s="1"/>
  <c r="A239" i="6" s="1"/>
  <c r="A235" i="6"/>
  <c r="K234" i="6"/>
  <c r="K236" i="6" s="1"/>
  <c r="K237" i="6" s="1"/>
  <c r="K238" i="6" s="1"/>
  <c r="K239" i="6" s="1"/>
  <c r="K235" i="6"/>
  <c r="P240" i="6"/>
  <c r="Q240" i="6" s="1"/>
  <c r="O242" i="6"/>
  <c r="P242" i="6" s="1"/>
  <c r="Q242" i="6" s="1"/>
  <c r="A241" i="6"/>
  <c r="A243" i="6" s="1"/>
  <c r="A244" i="6" s="1"/>
  <c r="A245" i="6" s="1"/>
  <c r="A246" i="6" s="1"/>
  <c r="A247" i="6" s="1"/>
  <c r="A248" i="6" s="1"/>
  <c r="A242" i="6"/>
  <c r="K264" i="6"/>
  <c r="K266" i="6" s="1"/>
  <c r="K267" i="6" s="1"/>
  <c r="K268" i="6" s="1"/>
  <c r="K269" i="6" s="1"/>
  <c r="K265" i="6"/>
  <c r="A264" i="6"/>
  <c r="A266" i="6" s="1"/>
  <c r="A267" i="6" s="1"/>
  <c r="A268" i="6" s="1"/>
  <c r="A269" i="6" s="1"/>
  <c r="A265" i="6"/>
  <c r="P608" i="6"/>
  <c r="Q608" i="6" s="1"/>
  <c r="A271" i="6"/>
  <c r="A272" i="6" s="1"/>
  <c r="A273" i="6" s="1"/>
  <c r="A274" i="6" s="1"/>
  <c r="A275" i="6" s="1"/>
  <c r="A276" i="6" s="1"/>
  <c r="A277" i="6" s="1"/>
  <c r="A278" i="6" s="1"/>
  <c r="A279" i="6" s="1"/>
  <c r="P270" i="6"/>
  <c r="Q270" i="6" s="1"/>
  <c r="O271" i="6"/>
  <c r="O273" i="6" s="1"/>
  <c r="A315" i="6"/>
  <c r="A317" i="6" s="1"/>
  <c r="A318" i="6" s="1"/>
  <c r="A319" i="6" s="1"/>
  <c r="A320" i="6" s="1"/>
  <c r="A321" i="6" s="1"/>
  <c r="A322" i="6" s="1"/>
  <c r="A316" i="6"/>
  <c r="K315" i="6"/>
  <c r="K317" i="6" s="1"/>
  <c r="K318" i="6" s="1"/>
  <c r="K319" i="6" s="1"/>
  <c r="K320" i="6" s="1"/>
  <c r="K321" i="6" s="1"/>
  <c r="K322" i="6" s="1"/>
  <c r="K316" i="6"/>
  <c r="A308" i="6"/>
  <c r="K308" i="6"/>
  <c r="P454" i="6"/>
  <c r="Q454" i="6" s="1"/>
  <c r="O175" i="6"/>
  <c r="P175" i="6" s="1"/>
  <c r="Q175" i="6" s="1"/>
  <c r="O434" i="6"/>
  <c r="O232" i="6"/>
  <c r="P232" i="6" s="1"/>
  <c r="Q232" i="6" s="1"/>
  <c r="O142" i="6"/>
  <c r="P23" i="6"/>
  <c r="Q23" i="6" s="1"/>
  <c r="O713" i="6"/>
  <c r="P413" i="6"/>
  <c r="Q413" i="6" s="1"/>
  <c r="P313" i="6"/>
  <c r="Q313" i="6" s="1"/>
  <c r="O113" i="6"/>
  <c r="O114" i="6" s="1"/>
  <c r="P114" i="6" s="1"/>
  <c r="Q114" i="6" s="1"/>
  <c r="P624" i="6"/>
  <c r="Q624" i="6" s="1"/>
  <c r="P292" i="6"/>
  <c r="Q292" i="6" s="1"/>
  <c r="P209" i="6"/>
  <c r="Q209" i="6" s="1"/>
  <c r="O134" i="6"/>
  <c r="O135" i="6" s="1"/>
  <c r="O136" i="6" s="1"/>
  <c r="P57" i="6"/>
  <c r="Q57" i="6" s="1"/>
  <c r="O99" i="6"/>
  <c r="O15" i="6"/>
  <c r="P15" i="6" s="1"/>
  <c r="Q15" i="6" s="1"/>
  <c r="O733" i="6"/>
  <c r="P393" i="6"/>
  <c r="Q393" i="6" s="1"/>
  <c r="O250" i="6"/>
  <c r="P43" i="6"/>
  <c r="Q43" i="6" s="1"/>
  <c r="P674" i="6"/>
  <c r="Q674" i="6" s="1"/>
  <c r="P596" i="6"/>
  <c r="Q596" i="6" s="1"/>
  <c r="O385" i="6"/>
  <c r="P385" i="6" s="1"/>
  <c r="Q385" i="6" s="1"/>
  <c r="O721" i="6"/>
  <c r="O723" i="6" s="1"/>
  <c r="O724" i="6" s="1"/>
  <c r="P566" i="6"/>
  <c r="Q566" i="6" s="1"/>
  <c r="O365" i="6"/>
  <c r="P365" i="6" s="1"/>
  <c r="Q365" i="6" s="1"/>
  <c r="O415" i="6"/>
  <c r="O416" i="6" s="1"/>
  <c r="P280" i="6"/>
  <c r="Q280" i="6" s="1"/>
  <c r="K295" i="6"/>
  <c r="K297" i="6" s="1"/>
  <c r="K299" i="6" s="1"/>
  <c r="K301" i="6" s="1"/>
  <c r="K303" i="6" s="1"/>
  <c r="O705" i="6"/>
  <c r="O348" i="6"/>
  <c r="O349" i="6" s="1"/>
  <c r="P349" i="6" s="1"/>
  <c r="Q349" i="6" s="1"/>
  <c r="P78" i="6"/>
  <c r="Q78" i="6" s="1"/>
  <c r="O729" i="6"/>
  <c r="P729" i="6" s="1"/>
  <c r="Q729" i="6" s="1"/>
  <c r="P199" i="6"/>
  <c r="Q199" i="6" s="1"/>
  <c r="O446" i="6"/>
  <c r="O675" i="6"/>
  <c r="O677" i="6" s="1"/>
  <c r="P677" i="6" s="1"/>
  <c r="Q677" i="6" s="1"/>
  <c r="P558" i="6"/>
  <c r="Q558" i="6" s="1"/>
  <c r="Q44" i="6"/>
  <c r="O522" i="6"/>
  <c r="O262" i="6"/>
  <c r="O3" i="6"/>
  <c r="O706" i="6"/>
  <c r="P706" i="6" s="1"/>
  <c r="Q706" i="6" s="1"/>
  <c r="O377" i="6"/>
  <c r="P304" i="6"/>
  <c r="Q304" i="6" s="1"/>
  <c r="O306" i="6"/>
  <c r="P305" i="6"/>
  <c r="Q305" i="6" s="1"/>
  <c r="P24" i="6"/>
  <c r="Q24" i="6" s="1"/>
  <c r="O25" i="6"/>
  <c r="O26" i="6" s="1"/>
  <c r="P26" i="6" s="1"/>
  <c r="Q26" i="6" s="1"/>
  <c r="P609" i="6"/>
  <c r="Q609" i="6" s="1"/>
  <c r="O610" i="6"/>
  <c r="O294" i="6"/>
  <c r="O295" i="6" s="1"/>
  <c r="O296" i="6" s="1"/>
  <c r="P293" i="6"/>
  <c r="Q293" i="6" s="1"/>
  <c r="O315" i="6"/>
  <c r="P314" i="6"/>
  <c r="Q314" i="6" s="1"/>
  <c r="Q625" i="6"/>
  <c r="O422" i="6"/>
  <c r="O534" i="6"/>
  <c r="O336" i="6"/>
  <c r="Q732" i="6"/>
  <c r="P574" i="6"/>
  <c r="Q574" i="6" s="1"/>
  <c r="O463" i="6"/>
  <c r="P463" i="6" s="1"/>
  <c r="Q463" i="6" s="1"/>
  <c r="O241" i="6"/>
  <c r="O188" i="6"/>
  <c r="O189" i="6" s="1"/>
  <c r="P69" i="6"/>
  <c r="Q69" i="6" s="1"/>
  <c r="O617" i="6"/>
  <c r="O598" i="6"/>
  <c r="Q676" i="6"/>
  <c r="O356" i="6"/>
  <c r="O89" i="6"/>
  <c r="G3" i="6"/>
  <c r="G13" i="6" s="1"/>
  <c r="G142" i="6"/>
  <c r="G150" i="6" s="1"/>
  <c r="G385" i="6"/>
  <c r="G392" i="6" s="1"/>
  <c r="A714" i="6"/>
  <c r="A716" i="6" s="1"/>
  <c r="A717" i="6" s="1"/>
  <c r="A718" i="6" s="1"/>
  <c r="A719" i="6" s="1"/>
  <c r="A705" i="6"/>
  <c r="A707" i="6" s="1"/>
  <c r="A708" i="6" s="1"/>
  <c r="A709" i="6" s="1"/>
  <c r="A710" i="6" s="1"/>
  <c r="A711" i="6" s="1"/>
  <c r="A706" i="6"/>
  <c r="K191" i="6"/>
  <c r="K193" i="6" s="1"/>
  <c r="K195" i="6" s="1"/>
  <c r="K197" i="6" s="1"/>
  <c r="O513" i="6"/>
  <c r="P201" i="6"/>
  <c r="Q201" i="6" s="1"/>
  <c r="O202" i="6"/>
  <c r="O152" i="6"/>
  <c r="P151" i="6"/>
  <c r="Q151" i="6" s="1"/>
  <c r="P495" i="6"/>
  <c r="Q495" i="6" s="1"/>
  <c r="O496" i="6"/>
  <c r="P323" i="6"/>
  <c r="Q323" i="6" s="1"/>
  <c r="O324" i="6"/>
  <c r="G377" i="6"/>
  <c r="G383" i="6" s="1"/>
  <c r="O45" i="6"/>
  <c r="P475" i="6"/>
  <c r="Q475" i="6" s="1"/>
  <c r="O476" i="6"/>
  <c r="P394" i="6"/>
  <c r="Q394" i="6" s="1"/>
  <c r="O395" i="6"/>
  <c r="O125" i="6"/>
  <c r="P124" i="6"/>
  <c r="Q124" i="6" s="1"/>
  <c r="G15" i="6"/>
  <c r="G22" i="6" s="1"/>
  <c r="G250" i="6"/>
  <c r="G260" i="6" s="1"/>
  <c r="O647" i="6"/>
  <c r="O648" i="6"/>
  <c r="P648" i="6" s="1"/>
  <c r="Q648" i="6" s="1"/>
  <c r="O634" i="6"/>
  <c r="P559" i="6"/>
  <c r="Q559" i="6" s="1"/>
  <c r="O560" i="6"/>
  <c r="P547" i="6"/>
  <c r="Q547" i="6" s="1"/>
  <c r="O548" i="6"/>
  <c r="G241" i="6"/>
  <c r="G248" i="6" s="1"/>
  <c r="G269" i="6"/>
  <c r="P567" i="6"/>
  <c r="Q567" i="6" s="1"/>
  <c r="O568" i="6"/>
  <c r="P405" i="6"/>
  <c r="Q405" i="6" s="1"/>
  <c r="P487" i="6"/>
  <c r="Q487" i="6" s="1"/>
  <c r="O488" i="6"/>
  <c r="P406" i="6"/>
  <c r="Q406" i="6" s="1"/>
  <c r="O407" i="6"/>
  <c r="O626" i="6"/>
  <c r="P575" i="6"/>
  <c r="Q575" i="6" s="1"/>
  <c r="O576" i="6"/>
  <c r="Q597" i="6"/>
  <c r="Q281" i="6"/>
  <c r="O34" i="6"/>
  <c r="P33" i="6"/>
  <c r="Q33" i="6" s="1"/>
  <c r="K18" i="6"/>
  <c r="Q414" i="6"/>
  <c r="P200" i="6"/>
  <c r="Q200" i="6" s="1"/>
  <c r="P58" i="6"/>
  <c r="Q58" i="6" s="1"/>
  <c r="O59" i="6"/>
  <c r="O282" i="6"/>
  <c r="O584" i="6"/>
  <c r="P503" i="6"/>
  <c r="Q503" i="6" s="1"/>
  <c r="O504" i="6"/>
  <c r="P455" i="6"/>
  <c r="Q455" i="6" s="1"/>
  <c r="O456" i="6"/>
  <c r="P79" i="6"/>
  <c r="Q79" i="6" s="1"/>
  <c r="O80" i="6"/>
  <c r="P70" i="6"/>
  <c r="Q70" i="6" s="1"/>
  <c r="O71" i="6"/>
  <c r="O73" i="6" s="1"/>
  <c r="P73" i="6" s="1"/>
  <c r="Q73" i="6" s="1"/>
  <c r="P218" i="6"/>
  <c r="Q218" i="6" s="1"/>
  <c r="P219" i="6"/>
  <c r="Q219" i="6" s="1"/>
  <c r="O220" i="6"/>
  <c r="O161" i="6"/>
  <c r="G97" i="6"/>
  <c r="G77" i="6"/>
  <c r="G173" i="6"/>
  <c r="A647" i="6"/>
  <c r="A649" i="6" s="1"/>
  <c r="A658" i="6" s="1"/>
  <c r="G132" i="6"/>
  <c r="G432" i="6"/>
  <c r="G502" i="6"/>
  <c r="K683" i="6"/>
  <c r="K685" i="6" s="1"/>
  <c r="A501" i="6"/>
  <c r="G453" i="6"/>
  <c r="G291" i="6"/>
  <c r="G303" i="6"/>
  <c r="G334" i="6"/>
  <c r="G461" i="6"/>
  <c r="G532" i="6"/>
  <c r="G87" i="6"/>
  <c r="G198" i="6"/>
  <c r="G703" i="6"/>
  <c r="K39" i="6"/>
  <c r="K40" i="6" s="1"/>
  <c r="K41" i="6" s="1"/>
  <c r="K42" i="6" s="1"/>
  <c r="K38" i="6"/>
  <c r="K115" i="6"/>
  <c r="K117" i="6" s="1"/>
  <c r="K119" i="6" s="1"/>
  <c r="K121" i="6" s="1"/>
  <c r="K123" i="6" s="1"/>
  <c r="K116" i="6"/>
  <c r="K118" i="6" s="1"/>
  <c r="K120" i="6" s="1"/>
  <c r="K122" i="6" s="1"/>
  <c r="G140" i="6"/>
  <c r="K28" i="6"/>
  <c r="K29" i="6"/>
  <c r="K30" i="6" s="1"/>
  <c r="K31" i="6" s="1"/>
  <c r="K32" i="6" s="1"/>
  <c r="G159" i="6"/>
  <c r="A52" i="6"/>
  <c r="A53" i="6" s="1"/>
  <c r="A54" i="6" s="1"/>
  <c r="A55" i="6" s="1"/>
  <c r="A56" i="6" s="1"/>
  <c r="A51" i="6"/>
  <c r="A85" i="6"/>
  <c r="A86" i="6" s="1"/>
  <c r="A87" i="6" s="1"/>
  <c r="A84" i="6"/>
  <c r="K5" i="6"/>
  <c r="K7" i="6" s="1"/>
  <c r="K8" i="6" s="1"/>
  <c r="K9" i="6" s="1"/>
  <c r="K10" i="6" s="1"/>
  <c r="K11" i="6" s="1"/>
  <c r="K12" i="6" s="1"/>
  <c r="K13" i="6" s="1"/>
  <c r="G123" i="6"/>
  <c r="G474" i="6"/>
  <c r="G217" i="6"/>
  <c r="G322" i="6"/>
  <c r="K388" i="6"/>
  <c r="K389" i="6"/>
  <c r="K390" i="6" s="1"/>
  <c r="K391" i="6" s="1"/>
  <c r="K392" i="6" s="1"/>
  <c r="G56" i="6"/>
  <c r="G58" i="6"/>
  <c r="G68" i="6" s="1"/>
  <c r="G42" i="6"/>
  <c r="G201" i="6"/>
  <c r="G208" i="6" s="1"/>
  <c r="G346" i="6"/>
  <c r="A18" i="6"/>
  <c r="A16" i="6"/>
  <c r="A19" i="6" s="1"/>
  <c r="A20" i="6" s="1"/>
  <c r="A21" i="6" s="1"/>
  <c r="A22" i="6" s="1"/>
  <c r="A38" i="6"/>
  <c r="K276" i="6"/>
  <c r="K277" i="6" s="1"/>
  <c r="K278" i="6" s="1"/>
  <c r="K279" i="6" s="1"/>
  <c r="K275" i="6"/>
  <c r="G111" i="6"/>
  <c r="G375" i="6"/>
  <c r="A28" i="6"/>
  <c r="A30" i="6"/>
  <c r="A31" i="6" s="1"/>
  <c r="A32" i="6" s="1"/>
  <c r="G32" i="6"/>
  <c r="K51" i="6"/>
  <c r="K52" i="6"/>
  <c r="K53" i="6" s="1"/>
  <c r="K54" i="6" s="1"/>
  <c r="K55" i="6" s="1"/>
  <c r="K56" i="6" s="1"/>
  <c r="G239" i="6"/>
  <c r="G363" i="6"/>
  <c r="G354" i="6"/>
  <c r="G404" i="6"/>
  <c r="K654" i="6"/>
  <c r="K656" i="6" s="1"/>
  <c r="K660" i="6" s="1"/>
  <c r="K653" i="6"/>
  <c r="G573" i="6"/>
  <c r="G420" i="6"/>
  <c r="K61" i="6"/>
  <c r="K63" i="6" s="1"/>
  <c r="G488" i="6"/>
  <c r="G494" i="6" s="1"/>
  <c r="G623" i="6"/>
  <c r="G645" i="6"/>
  <c r="G279" i="6"/>
  <c r="G230" i="6"/>
  <c r="G486" i="6"/>
  <c r="G511" i="6"/>
  <c r="G545" i="6"/>
  <c r="G444" i="6"/>
  <c r="G186" i="6"/>
  <c r="G412" i="6"/>
  <c r="G557" i="6"/>
  <c r="G711" i="6"/>
  <c r="A722" i="6"/>
  <c r="A723" i="6"/>
  <c r="A724" i="6" s="1"/>
  <c r="A725" i="6" s="1"/>
  <c r="A726" i="6" s="1"/>
  <c r="A727" i="6" s="1"/>
  <c r="G625" i="6"/>
  <c r="G632" i="6" s="1"/>
  <c r="G657" i="6"/>
  <c r="G673" i="6" s="1"/>
  <c r="G312" i="6"/>
  <c r="A675" i="6"/>
  <c r="A676" i="6"/>
  <c r="G565" i="6"/>
  <c r="G733" i="6"/>
  <c r="G735" i="6" s="1"/>
  <c r="G582" i="6"/>
  <c r="G615" i="6"/>
  <c r="G607" i="6"/>
  <c r="G520" i="6"/>
  <c r="G719" i="6"/>
  <c r="G595" i="6"/>
  <c r="G727" i="6"/>
  <c r="H715" i="4"/>
  <c r="H707" i="4"/>
  <c r="H699" i="4"/>
  <c r="H691" i="4"/>
  <c r="K206" i="6" l="1"/>
  <c r="K207" i="6" s="1"/>
  <c r="K208" i="6" s="1"/>
  <c r="O212" i="6"/>
  <c r="P212" i="6" s="1"/>
  <c r="Q212" i="6" s="1"/>
  <c r="P271" i="6"/>
  <c r="Q271" i="6" s="1"/>
  <c r="O272" i="6"/>
  <c r="P272" i="6" s="1"/>
  <c r="Q272" i="6" s="1"/>
  <c r="P134" i="6"/>
  <c r="Q134" i="6" s="1"/>
  <c r="O176" i="6"/>
  <c r="O177" i="6" s="1"/>
  <c r="O178" i="6" s="1"/>
  <c r="P178" i="6" s="1"/>
  <c r="Q178" i="6" s="1"/>
  <c r="P135" i="6"/>
  <c r="Q135" i="6" s="1"/>
  <c r="O115" i="6"/>
  <c r="P115" i="6" s="1"/>
  <c r="Q115" i="6" s="1"/>
  <c r="O715" i="6"/>
  <c r="P715" i="6" s="1"/>
  <c r="Q715" i="6" s="1"/>
  <c r="P713" i="6"/>
  <c r="Q713" i="6" s="1"/>
  <c r="O714" i="6"/>
  <c r="O233" i="6"/>
  <c r="P113" i="6"/>
  <c r="Q113" i="6" s="1"/>
  <c r="O144" i="6"/>
  <c r="P142" i="6"/>
  <c r="Q142" i="6" s="1"/>
  <c r="P434" i="6"/>
  <c r="Q434" i="6" s="1"/>
  <c r="O435" i="6"/>
  <c r="O100" i="6"/>
  <c r="O102" i="6" s="1"/>
  <c r="P102" i="6" s="1"/>
  <c r="Q102" i="6" s="1"/>
  <c r="P99" i="6"/>
  <c r="Q99" i="6" s="1"/>
  <c r="P348" i="6"/>
  <c r="Q348" i="6" s="1"/>
  <c r="O17" i="6"/>
  <c r="O18" i="6" s="1"/>
  <c r="P18" i="6" s="1"/>
  <c r="Q18" i="6" s="1"/>
  <c r="P675" i="6"/>
  <c r="Q675" i="6" s="1"/>
  <c r="P295" i="6"/>
  <c r="Q295" i="6" s="1"/>
  <c r="O464" i="6"/>
  <c r="P464" i="6" s="1"/>
  <c r="Q464" i="6" s="1"/>
  <c r="P415" i="6"/>
  <c r="Q415" i="6" s="1"/>
  <c r="O350" i="6"/>
  <c r="P350" i="6" s="1"/>
  <c r="Q350" i="6" s="1"/>
  <c r="O366" i="6"/>
  <c r="O367" i="6" s="1"/>
  <c r="O386" i="6"/>
  <c r="O387" i="6" s="1"/>
  <c r="O251" i="6"/>
  <c r="P250" i="6"/>
  <c r="Q250" i="6" s="1"/>
  <c r="O722" i="6"/>
  <c r="P722" i="6" s="1"/>
  <c r="Q722" i="6" s="1"/>
  <c r="P721" i="6"/>
  <c r="Q721" i="6" s="1"/>
  <c r="O734" i="6"/>
  <c r="P733" i="6"/>
  <c r="Q733" i="6" s="1"/>
  <c r="P294" i="6"/>
  <c r="Q294" i="6" s="1"/>
  <c r="O707" i="6"/>
  <c r="P705" i="6"/>
  <c r="Q705" i="6" s="1"/>
  <c r="O27" i="6"/>
  <c r="O28" i="6" s="1"/>
  <c r="P28" i="6" s="1"/>
  <c r="Q28" i="6" s="1"/>
  <c r="O678" i="6"/>
  <c r="O683" i="6" s="1"/>
  <c r="O378" i="6"/>
  <c r="P377" i="6"/>
  <c r="Q377" i="6" s="1"/>
  <c r="O447" i="6"/>
  <c r="P446" i="6"/>
  <c r="Q446" i="6" s="1"/>
  <c r="P25" i="6"/>
  <c r="Q25" i="6" s="1"/>
  <c r="P723" i="6"/>
  <c r="Q723" i="6" s="1"/>
  <c r="P3" i="6"/>
  <c r="Q3" i="6" s="1"/>
  <c r="O4" i="6"/>
  <c r="P262" i="6"/>
  <c r="Q262" i="6" s="1"/>
  <c r="O263" i="6"/>
  <c r="O265" i="6" s="1"/>
  <c r="P265" i="6" s="1"/>
  <c r="Q265" i="6" s="1"/>
  <c r="O523" i="6"/>
  <c r="P522" i="6"/>
  <c r="Q522" i="6" s="1"/>
  <c r="P241" i="6"/>
  <c r="Q241" i="6" s="1"/>
  <c r="O243" i="6"/>
  <c r="P89" i="6"/>
  <c r="Q89" i="6" s="1"/>
  <c r="O91" i="6"/>
  <c r="O317" i="6"/>
  <c r="P315" i="6"/>
  <c r="Q315" i="6" s="1"/>
  <c r="O357" i="6"/>
  <c r="P356" i="6"/>
  <c r="Q356" i="6" s="1"/>
  <c r="K684" i="6"/>
  <c r="K686" i="6" s="1"/>
  <c r="O337" i="6"/>
  <c r="P336" i="6"/>
  <c r="Q336" i="6" s="1"/>
  <c r="O611" i="6"/>
  <c r="P610" i="6"/>
  <c r="Q610" i="6" s="1"/>
  <c r="O599" i="6"/>
  <c r="P598" i="6"/>
  <c r="Q598" i="6" s="1"/>
  <c r="O618" i="6"/>
  <c r="P617" i="6"/>
  <c r="Q617" i="6" s="1"/>
  <c r="O535" i="6"/>
  <c r="P534" i="6"/>
  <c r="Q534" i="6" s="1"/>
  <c r="P188" i="6"/>
  <c r="Q188" i="6" s="1"/>
  <c r="O423" i="6"/>
  <c r="P422" i="6"/>
  <c r="Q422" i="6" s="1"/>
  <c r="O307" i="6"/>
  <c r="O308" i="6" s="1"/>
  <c r="P308" i="6" s="1"/>
  <c r="P306" i="6"/>
  <c r="Q306" i="6" s="1"/>
  <c r="P568" i="6"/>
  <c r="Q568" i="6" s="1"/>
  <c r="O569" i="6"/>
  <c r="P560" i="6"/>
  <c r="Q560" i="6" s="1"/>
  <c r="O561" i="6"/>
  <c r="P476" i="6"/>
  <c r="Q476" i="6" s="1"/>
  <c r="O477" i="6"/>
  <c r="P576" i="6"/>
  <c r="Q576" i="6" s="1"/>
  <c r="O577" i="6"/>
  <c r="P496" i="6"/>
  <c r="Q496" i="6" s="1"/>
  <c r="O497" i="6"/>
  <c r="P161" i="6"/>
  <c r="Q161" i="6" s="1"/>
  <c r="O162" i="6"/>
  <c r="O164" i="6" s="1"/>
  <c r="P164" i="6" s="1"/>
  <c r="Q164" i="6" s="1"/>
  <c r="P724" i="6"/>
  <c r="Q724" i="6" s="1"/>
  <c r="O725" i="6"/>
  <c r="P456" i="6"/>
  <c r="Q456" i="6" s="1"/>
  <c r="O457" i="6"/>
  <c r="O627" i="6"/>
  <c r="P626" i="6"/>
  <c r="Q626" i="6" s="1"/>
  <c r="P513" i="6"/>
  <c r="Q513" i="6" s="1"/>
  <c r="O514" i="6"/>
  <c r="P647" i="6"/>
  <c r="Q647" i="6" s="1"/>
  <c r="O655" i="6"/>
  <c r="O650" i="6"/>
  <c r="O649" i="6"/>
  <c r="P220" i="6"/>
  <c r="Q220" i="6" s="1"/>
  <c r="O221" i="6"/>
  <c r="O635" i="6"/>
  <c r="P634" i="6"/>
  <c r="Q634" i="6" s="1"/>
  <c r="P71" i="6"/>
  <c r="Q71" i="6" s="1"/>
  <c r="O72" i="6"/>
  <c r="P504" i="6"/>
  <c r="Q504" i="6" s="1"/>
  <c r="O505" i="6"/>
  <c r="P407" i="6"/>
  <c r="Q407" i="6" s="1"/>
  <c r="O408" i="6"/>
  <c r="O46" i="6"/>
  <c r="P45" i="6"/>
  <c r="Q45" i="6" s="1"/>
  <c r="P34" i="6"/>
  <c r="Q34" i="6" s="1"/>
  <c r="O35" i="6"/>
  <c r="P152" i="6"/>
  <c r="Q152" i="6" s="1"/>
  <c r="O153" i="6"/>
  <c r="P136" i="6"/>
  <c r="Q136" i="6" s="1"/>
  <c r="O137" i="6"/>
  <c r="P584" i="6"/>
  <c r="Q584" i="6" s="1"/>
  <c r="O585" i="6"/>
  <c r="O60" i="6"/>
  <c r="P59" i="6"/>
  <c r="Q59" i="6" s="1"/>
  <c r="P488" i="6"/>
  <c r="Q488" i="6" s="1"/>
  <c r="O489" i="6"/>
  <c r="O204" i="6"/>
  <c r="P202" i="6"/>
  <c r="Q202" i="6" s="1"/>
  <c r="O283" i="6"/>
  <c r="P282" i="6"/>
  <c r="Q282" i="6" s="1"/>
  <c r="P416" i="6"/>
  <c r="Q416" i="6" s="1"/>
  <c r="O417" i="6"/>
  <c r="P189" i="6"/>
  <c r="Q189" i="6" s="1"/>
  <c r="O190" i="6"/>
  <c r="O126" i="6"/>
  <c r="O128" i="6" s="1"/>
  <c r="P128" i="6" s="1"/>
  <c r="Q128" i="6" s="1"/>
  <c r="P125" i="6"/>
  <c r="Q125" i="6" s="1"/>
  <c r="O325" i="6"/>
  <c r="P324" i="6"/>
  <c r="Q324" i="6" s="1"/>
  <c r="P296" i="6"/>
  <c r="Q296" i="6" s="1"/>
  <c r="O297" i="6"/>
  <c r="O81" i="6"/>
  <c r="P80" i="6"/>
  <c r="Q80" i="6" s="1"/>
  <c r="P548" i="6"/>
  <c r="Q548" i="6" s="1"/>
  <c r="O549" i="6"/>
  <c r="P395" i="6"/>
  <c r="Q395" i="6" s="1"/>
  <c r="O396" i="6"/>
  <c r="A655" i="6"/>
  <c r="A653" i="6" s="1"/>
  <c r="A654" i="6" s="1"/>
  <c r="A656" i="6" s="1"/>
  <c r="A660" i="6" s="1"/>
  <c r="A661" i="6" s="1"/>
  <c r="A663" i="6" s="1"/>
  <c r="A650" i="6"/>
  <c r="A657" i="6" s="1"/>
  <c r="A678" i="6"/>
  <c r="A677" i="6"/>
  <c r="K662" i="6"/>
  <c r="K661" i="6"/>
  <c r="K663" i="6" s="1"/>
  <c r="H51" i="4"/>
  <c r="I51" i="4" s="1"/>
  <c r="H38" i="4"/>
  <c r="I38" i="4" s="1"/>
  <c r="H28" i="4"/>
  <c r="I28" i="4" s="1"/>
  <c r="H18" i="4"/>
  <c r="I18" i="4" s="1"/>
  <c r="H716" i="4"/>
  <c r="I716" i="4" s="1"/>
  <c r="I715" i="4"/>
  <c r="H708" i="4"/>
  <c r="I708" i="4" s="1"/>
  <c r="I707" i="4"/>
  <c r="H700" i="4"/>
  <c r="I700" i="4" s="1"/>
  <c r="I691" i="4"/>
  <c r="P176" i="6" l="1"/>
  <c r="Q176" i="6" s="1"/>
  <c r="P17" i="6"/>
  <c r="Q17" i="6" s="1"/>
  <c r="O213" i="6"/>
  <c r="P213" i="6" s="1"/>
  <c r="Q213" i="6" s="1"/>
  <c r="P233" i="6"/>
  <c r="Q233" i="6" s="1"/>
  <c r="O235" i="6"/>
  <c r="P235" i="6" s="1"/>
  <c r="Q235" i="6" s="1"/>
  <c r="P177" i="6"/>
  <c r="Q177" i="6" s="1"/>
  <c r="O179" i="6"/>
  <c r="P179" i="6" s="1"/>
  <c r="Q179" i="6" s="1"/>
  <c r="O116" i="6"/>
  <c r="P116" i="6" s="1"/>
  <c r="Q116" i="6" s="1"/>
  <c r="O16" i="6"/>
  <c r="O465" i="6"/>
  <c r="O466" i="6" s="1"/>
  <c r="P435" i="6"/>
  <c r="Q435" i="6" s="1"/>
  <c r="O436" i="6"/>
  <c r="O145" i="6"/>
  <c r="P144" i="6"/>
  <c r="Q144" i="6" s="1"/>
  <c r="O234" i="6"/>
  <c r="O716" i="6"/>
  <c r="P714" i="6"/>
  <c r="Q714" i="6" s="1"/>
  <c r="P366" i="6"/>
  <c r="Q366" i="6" s="1"/>
  <c r="O101" i="6"/>
  <c r="P100" i="6"/>
  <c r="Q100" i="6" s="1"/>
  <c r="O351" i="6"/>
  <c r="P351" i="6" s="1"/>
  <c r="Q351" i="6" s="1"/>
  <c r="O735" i="6"/>
  <c r="P734" i="6"/>
  <c r="Q734" i="6" s="1"/>
  <c r="P251" i="6"/>
  <c r="Q251" i="6" s="1"/>
  <c r="O252" i="6"/>
  <c r="P27" i="6"/>
  <c r="Q27" i="6" s="1"/>
  <c r="O29" i="6"/>
  <c r="P29" i="6" s="1"/>
  <c r="Q29" i="6" s="1"/>
  <c r="P386" i="6"/>
  <c r="Q386" i="6" s="1"/>
  <c r="O679" i="6"/>
  <c r="O680" i="6" s="1"/>
  <c r="P678" i="6"/>
  <c r="Q678" i="6" s="1"/>
  <c r="O30" i="6"/>
  <c r="O31" i="6" s="1"/>
  <c r="O708" i="6"/>
  <c r="P707" i="6"/>
  <c r="Q707" i="6" s="1"/>
  <c r="P263" i="6"/>
  <c r="Q263" i="6" s="1"/>
  <c r="O264" i="6"/>
  <c r="O5" i="6"/>
  <c r="P4" i="6"/>
  <c r="Q4" i="6" s="1"/>
  <c r="P447" i="6"/>
  <c r="Q447" i="6" s="1"/>
  <c r="O448" i="6"/>
  <c r="P378" i="6"/>
  <c r="Q378" i="6" s="1"/>
  <c r="O379" i="6"/>
  <c r="O524" i="6"/>
  <c r="P523" i="6"/>
  <c r="Q523" i="6" s="1"/>
  <c r="P387" i="6"/>
  <c r="Q387" i="6" s="1"/>
  <c r="O388" i="6"/>
  <c r="O358" i="6"/>
  <c r="P357" i="6"/>
  <c r="Q357" i="6" s="1"/>
  <c r="P599" i="6"/>
  <c r="Q599" i="6" s="1"/>
  <c r="O600" i="6"/>
  <c r="P317" i="6"/>
  <c r="Q317" i="6" s="1"/>
  <c r="O318" i="6"/>
  <c r="K693" i="6"/>
  <c r="P307" i="6"/>
  <c r="Q307" i="6" s="1"/>
  <c r="O309" i="6"/>
  <c r="P91" i="6"/>
  <c r="Q91" i="6" s="1"/>
  <c r="O92" i="6"/>
  <c r="P337" i="6"/>
  <c r="Q337" i="6" s="1"/>
  <c r="O338" i="6"/>
  <c r="P535" i="6"/>
  <c r="Q535" i="6" s="1"/>
  <c r="O536" i="6"/>
  <c r="O619" i="6"/>
  <c r="P618" i="6"/>
  <c r="Q618" i="6" s="1"/>
  <c r="K692" i="6"/>
  <c r="P423" i="6"/>
  <c r="Q423" i="6" s="1"/>
  <c r="O424" i="6"/>
  <c r="P611" i="6"/>
  <c r="Q611" i="6" s="1"/>
  <c r="O612" i="6"/>
  <c r="P243" i="6"/>
  <c r="Q243" i="6" s="1"/>
  <c r="O244" i="6"/>
  <c r="P46" i="6"/>
  <c r="Q46" i="6" s="1"/>
  <c r="O47" i="6"/>
  <c r="O418" i="6"/>
  <c r="P417" i="6"/>
  <c r="Q417" i="6" s="1"/>
  <c r="P635" i="6"/>
  <c r="Q635" i="6" s="1"/>
  <c r="O636" i="6"/>
  <c r="A662" i="6"/>
  <c r="P577" i="6"/>
  <c r="Q577" i="6" s="1"/>
  <c r="O578" i="6"/>
  <c r="O684" i="6"/>
  <c r="O685" i="6"/>
  <c r="P685" i="6" s="1"/>
  <c r="Q685" i="6" s="1"/>
  <c r="P683" i="6"/>
  <c r="Q683" i="6" s="1"/>
  <c r="P81" i="6"/>
  <c r="Q81" i="6" s="1"/>
  <c r="O82" i="6"/>
  <c r="O83" i="6" s="1"/>
  <c r="P83" i="6" s="1"/>
  <c r="Q83" i="6" s="1"/>
  <c r="P627" i="6"/>
  <c r="Q627" i="6" s="1"/>
  <c r="O628" i="6"/>
  <c r="O61" i="6"/>
  <c r="P60" i="6"/>
  <c r="Q60" i="6" s="1"/>
  <c r="P126" i="6"/>
  <c r="Q126" i="6" s="1"/>
  <c r="O127" i="6"/>
  <c r="P137" i="6"/>
  <c r="Q137" i="6" s="1"/>
  <c r="O138" i="6"/>
  <c r="P497" i="6"/>
  <c r="Q497" i="6" s="1"/>
  <c r="O498" i="6"/>
  <c r="P283" i="6"/>
  <c r="Q283" i="6" s="1"/>
  <c r="O284" i="6"/>
  <c r="P505" i="6"/>
  <c r="Q505" i="6" s="1"/>
  <c r="O506" i="6"/>
  <c r="P221" i="6"/>
  <c r="Q221" i="6" s="1"/>
  <c r="O222" i="6"/>
  <c r="P457" i="6"/>
  <c r="Q457" i="6" s="1"/>
  <c r="O458" i="6"/>
  <c r="P561" i="6"/>
  <c r="Q561" i="6" s="1"/>
  <c r="O562" i="6"/>
  <c r="P367" i="6"/>
  <c r="Q367" i="6" s="1"/>
  <c r="O368" i="6"/>
  <c r="P153" i="6"/>
  <c r="Q153" i="6" s="1"/>
  <c r="O154" i="6"/>
  <c r="O478" i="6"/>
  <c r="P477" i="6"/>
  <c r="Q477" i="6" s="1"/>
  <c r="P325" i="6"/>
  <c r="Q325" i="6" s="1"/>
  <c r="O326" i="6"/>
  <c r="P585" i="6"/>
  <c r="Q585" i="6" s="1"/>
  <c r="O586" i="6"/>
  <c r="P514" i="6"/>
  <c r="Q514" i="6" s="1"/>
  <c r="O515" i="6"/>
  <c r="P396" i="6"/>
  <c r="Q396" i="6" s="1"/>
  <c r="O397" i="6"/>
  <c r="P204" i="6"/>
  <c r="Q204" i="6" s="1"/>
  <c r="O205" i="6"/>
  <c r="A651" i="6"/>
  <c r="A652" i="6" s="1"/>
  <c r="P549" i="6"/>
  <c r="Q549" i="6" s="1"/>
  <c r="O550" i="6"/>
  <c r="O298" i="6"/>
  <c r="P297" i="6"/>
  <c r="Q297" i="6" s="1"/>
  <c r="O490" i="6"/>
  <c r="P489" i="6"/>
  <c r="Q489" i="6" s="1"/>
  <c r="P649" i="6"/>
  <c r="Q649" i="6" s="1"/>
  <c r="O658" i="6"/>
  <c r="P658" i="6" s="1"/>
  <c r="Q658" i="6" s="1"/>
  <c r="P725" i="6"/>
  <c r="Q725" i="6" s="1"/>
  <c r="O726" i="6"/>
  <c r="O570" i="6"/>
  <c r="P569" i="6"/>
  <c r="Q569" i="6" s="1"/>
  <c r="P273" i="6"/>
  <c r="Q273" i="6" s="1"/>
  <c r="O274" i="6"/>
  <c r="P408" i="6"/>
  <c r="Q408" i="6" s="1"/>
  <c r="O409" i="6"/>
  <c r="P35" i="6"/>
  <c r="Q35" i="6" s="1"/>
  <c r="O36" i="6"/>
  <c r="O651" i="6"/>
  <c r="P650" i="6"/>
  <c r="Q650" i="6" s="1"/>
  <c r="O657" i="6"/>
  <c r="P657" i="6" s="1"/>
  <c r="Q657" i="6" s="1"/>
  <c r="P190" i="6"/>
  <c r="Q190" i="6" s="1"/>
  <c r="O191" i="6"/>
  <c r="P72" i="6"/>
  <c r="Q72" i="6" s="1"/>
  <c r="O74" i="6"/>
  <c r="P655" i="6"/>
  <c r="Q655" i="6" s="1"/>
  <c r="O653" i="6"/>
  <c r="P162" i="6"/>
  <c r="Q162" i="6" s="1"/>
  <c r="O163" i="6"/>
  <c r="K664" i="6"/>
  <c r="K665" i="6" s="1"/>
  <c r="K671" i="6"/>
  <c r="K672" i="6" s="1"/>
  <c r="K673" i="6" s="1"/>
  <c r="K694" i="6"/>
  <c r="K687" i="6"/>
  <c r="K688" i="6"/>
  <c r="K689" i="6" s="1"/>
  <c r="K690" i="6" s="1"/>
  <c r="A679" i="6"/>
  <c r="A680" i="6" s="1"/>
  <c r="A681" i="6" s="1"/>
  <c r="A683" i="6"/>
  <c r="A671" i="6"/>
  <c r="A672" i="6" s="1"/>
  <c r="A673" i="6" s="1"/>
  <c r="A664" i="6"/>
  <c r="A665" i="6" s="1"/>
  <c r="H29" i="4"/>
  <c r="I29" i="4" s="1"/>
  <c r="E2" i="5"/>
  <c r="E3" i="5"/>
  <c r="E4" i="5"/>
  <c r="E1" i="5"/>
  <c r="H679" i="4"/>
  <c r="I679" i="4" s="1"/>
  <c r="H678" i="4"/>
  <c r="I678" i="4" s="1"/>
  <c r="H677" i="4"/>
  <c r="I677" i="4" s="1"/>
  <c r="H676" i="4"/>
  <c r="I676" i="4" s="1"/>
  <c r="H675" i="4"/>
  <c r="I675" i="4" s="1"/>
  <c r="H674" i="4"/>
  <c r="I674" i="4" s="1"/>
  <c r="H673" i="4"/>
  <c r="I673" i="4" s="1"/>
  <c r="H672" i="4"/>
  <c r="I672" i="4" s="1"/>
  <c r="H670" i="4"/>
  <c r="I670" i="4" s="1"/>
  <c r="H669" i="4"/>
  <c r="I669" i="4" s="1"/>
  <c r="H668" i="4"/>
  <c r="I668" i="4" s="1"/>
  <c r="H648" i="4"/>
  <c r="I648" i="4" s="1"/>
  <c r="H647" i="4"/>
  <c r="I647" i="4" s="1"/>
  <c r="H645" i="4"/>
  <c r="I645" i="4" s="1"/>
  <c r="H644" i="4"/>
  <c r="I644" i="4" s="1"/>
  <c r="H643" i="4"/>
  <c r="I643" i="4" s="1"/>
  <c r="H639" i="4"/>
  <c r="I639" i="4" s="1"/>
  <c r="H625" i="4"/>
  <c r="I625" i="4" s="1"/>
  <c r="H623" i="4"/>
  <c r="I623" i="4" s="1"/>
  <c r="H622" i="4"/>
  <c r="I622" i="4" s="1"/>
  <c r="H621" i="4"/>
  <c r="I621" i="4" s="1"/>
  <c r="H613" i="4"/>
  <c r="I613" i="4" s="1"/>
  <c r="H612" i="4"/>
  <c r="I612" i="4" s="1"/>
  <c r="H611" i="4"/>
  <c r="I611" i="4" s="1"/>
  <c r="H605" i="4"/>
  <c r="I605" i="4" s="1"/>
  <c r="H604" i="4"/>
  <c r="I604" i="4" s="1"/>
  <c r="H603" i="4"/>
  <c r="I603" i="4" s="1"/>
  <c r="H597" i="4"/>
  <c r="I597" i="4" s="1"/>
  <c r="H596" i="4"/>
  <c r="I596" i="4" s="1"/>
  <c r="H595" i="4"/>
  <c r="I595" i="4" s="1"/>
  <c r="H587" i="4"/>
  <c r="I587" i="4" s="1"/>
  <c r="H575" i="4"/>
  <c r="I575" i="4" s="1"/>
  <c r="H573" i="4"/>
  <c r="I573" i="4" s="1"/>
  <c r="H572" i="4"/>
  <c r="I572" i="4" s="1"/>
  <c r="H571" i="4"/>
  <c r="I571" i="4" s="1"/>
  <c r="H563" i="4"/>
  <c r="I563" i="4" s="1"/>
  <c r="H562" i="4"/>
  <c r="I562" i="4" s="1"/>
  <c r="H561" i="4"/>
  <c r="I561" i="4" s="1"/>
  <c r="H555" i="4"/>
  <c r="I555" i="4" s="1"/>
  <c r="H554" i="4"/>
  <c r="I554" i="4" s="1"/>
  <c r="H553" i="4"/>
  <c r="I553" i="4" s="1"/>
  <c r="H547" i="4"/>
  <c r="I547" i="4" s="1"/>
  <c r="H546" i="4"/>
  <c r="I546" i="4" s="1"/>
  <c r="H545" i="4"/>
  <c r="I545" i="4" s="1"/>
  <c r="H537" i="4"/>
  <c r="I537" i="4" s="1"/>
  <c r="H525" i="4"/>
  <c r="I525" i="4" s="1"/>
  <c r="H523" i="4"/>
  <c r="I523" i="4" s="1"/>
  <c r="H522" i="4"/>
  <c r="I522" i="4" s="1"/>
  <c r="H521" i="4"/>
  <c r="I521" i="4" s="1"/>
  <c r="H512" i="4"/>
  <c r="I512" i="4" s="1"/>
  <c r="H511" i="4"/>
  <c r="I511" i="4" s="1"/>
  <c r="H510" i="4"/>
  <c r="I510" i="4" s="1"/>
  <c r="H509" i="4"/>
  <c r="I509" i="4" s="1"/>
  <c r="H501" i="4"/>
  <c r="I501" i="4" s="1"/>
  <c r="H500" i="4"/>
  <c r="I500" i="4" s="1"/>
  <c r="H499" i="4"/>
  <c r="I499" i="4" s="1"/>
  <c r="H492" i="4"/>
  <c r="I492" i="4" s="1"/>
  <c r="H491" i="4"/>
  <c r="I491" i="4" s="1"/>
  <c r="H490" i="4"/>
  <c r="I490" i="4" s="1"/>
  <c r="H484" i="4"/>
  <c r="I484" i="4" s="1"/>
  <c r="H483" i="4"/>
  <c r="I483" i="4" s="1"/>
  <c r="H482" i="4"/>
  <c r="I482" i="4" s="1"/>
  <c r="H476" i="4"/>
  <c r="I476" i="4" s="1"/>
  <c r="H475" i="4"/>
  <c r="I475" i="4" s="1"/>
  <c r="H474" i="4"/>
  <c r="I474" i="4" s="1"/>
  <c r="H466" i="4"/>
  <c r="I466" i="4" s="1"/>
  <c r="H454" i="4"/>
  <c r="I454" i="4" s="1"/>
  <c r="H452" i="4"/>
  <c r="I452" i="4" s="1"/>
  <c r="H451" i="4"/>
  <c r="I451" i="4" s="1"/>
  <c r="H450" i="4"/>
  <c r="I450" i="4" s="1"/>
  <c r="H442" i="4"/>
  <c r="I442" i="4" s="1"/>
  <c r="H441" i="4"/>
  <c r="I441" i="4" s="1"/>
  <c r="H435" i="4"/>
  <c r="I435" i="4" s="1"/>
  <c r="H434" i="4"/>
  <c r="I434" i="4" s="1"/>
  <c r="H433" i="4"/>
  <c r="I433" i="4" s="1"/>
  <c r="H424" i="4"/>
  <c r="I424" i="4" s="1"/>
  <c r="H412" i="4"/>
  <c r="I412" i="4" s="1"/>
  <c r="H411" i="4"/>
  <c r="I411" i="4" s="1"/>
  <c r="H410" i="4"/>
  <c r="I410" i="4" s="1"/>
  <c r="H409" i="4"/>
  <c r="I409" i="4" s="1"/>
  <c r="H401" i="4"/>
  <c r="I401" i="4" s="1"/>
  <c r="H400" i="4"/>
  <c r="I400" i="4" s="1"/>
  <c r="H394" i="4"/>
  <c r="I394" i="4" s="1"/>
  <c r="H393" i="4"/>
  <c r="I393" i="4" s="1"/>
  <c r="H384" i="4"/>
  <c r="I384" i="4" s="1"/>
  <c r="H383" i="4"/>
  <c r="I383" i="4" s="1"/>
  <c r="H382" i="4"/>
  <c r="I382" i="4" s="1"/>
  <c r="H381" i="4"/>
  <c r="I381" i="4" s="1"/>
  <c r="H373" i="4"/>
  <c r="I373" i="4" s="1"/>
  <c r="H372" i="4"/>
  <c r="I372" i="4" s="1"/>
  <c r="H371" i="4"/>
  <c r="I371" i="4" s="1"/>
  <c r="H365" i="4"/>
  <c r="I365" i="4" s="1"/>
  <c r="H364" i="4"/>
  <c r="I364" i="4" s="1"/>
  <c r="H355" i="4"/>
  <c r="I355" i="4" s="1"/>
  <c r="H354" i="4"/>
  <c r="I354" i="4" s="1"/>
  <c r="H353" i="4"/>
  <c r="I353" i="4" s="1"/>
  <c r="H352" i="4"/>
  <c r="I352" i="4" s="1"/>
  <c r="H344" i="4"/>
  <c r="I344" i="4" s="1"/>
  <c r="H343" i="4"/>
  <c r="I343" i="4" s="1"/>
  <c r="H342" i="4"/>
  <c r="I342" i="4" s="1"/>
  <c r="H336" i="4"/>
  <c r="I336" i="4" s="1"/>
  <c r="H334" i="4"/>
  <c r="I334" i="4" s="1"/>
  <c r="H326" i="4"/>
  <c r="I326" i="4" s="1"/>
  <c r="H314" i="4"/>
  <c r="I314" i="4" s="1"/>
  <c r="H313" i="4"/>
  <c r="I313" i="4" s="1"/>
  <c r="H312" i="4"/>
  <c r="I312" i="4" s="1"/>
  <c r="H311" i="4"/>
  <c r="I311" i="4" s="1"/>
  <c r="H303" i="4"/>
  <c r="I303" i="4" s="1"/>
  <c r="H302" i="4"/>
  <c r="I302" i="4" s="1"/>
  <c r="H301" i="4"/>
  <c r="I301" i="4" s="1"/>
  <c r="H295" i="4"/>
  <c r="I295" i="4" s="1"/>
  <c r="H293" i="4"/>
  <c r="I293" i="4" s="1"/>
  <c r="H285" i="4"/>
  <c r="I285" i="4" s="1"/>
  <c r="H273" i="4"/>
  <c r="I273" i="4" s="1"/>
  <c r="H272" i="4"/>
  <c r="I272" i="4" s="1"/>
  <c r="H271" i="4"/>
  <c r="I271" i="4" s="1"/>
  <c r="H270" i="4"/>
  <c r="I270" i="4" s="1"/>
  <c r="H262" i="4"/>
  <c r="I262" i="4" s="1"/>
  <c r="H261" i="4"/>
  <c r="I261" i="4" s="1"/>
  <c r="H260" i="4"/>
  <c r="I260" i="4" s="1"/>
  <c r="H254" i="4"/>
  <c r="I254" i="4" s="1"/>
  <c r="H253" i="4"/>
  <c r="I253" i="4" s="1"/>
  <c r="H244" i="4"/>
  <c r="I244" i="4" s="1"/>
  <c r="H243" i="4"/>
  <c r="I243" i="4" s="1"/>
  <c r="H242" i="4"/>
  <c r="I242" i="4" s="1"/>
  <c r="H241" i="4"/>
  <c r="I241" i="4" s="1"/>
  <c r="H233" i="4"/>
  <c r="I233" i="4" s="1"/>
  <c r="H232" i="4"/>
  <c r="I232" i="4" s="1"/>
  <c r="H226" i="4"/>
  <c r="I226" i="4" s="1"/>
  <c r="H225" i="4"/>
  <c r="I225" i="4" s="1"/>
  <c r="H216" i="4"/>
  <c r="I216" i="4" s="1"/>
  <c r="H214" i="4"/>
  <c r="I214" i="4" s="1"/>
  <c r="H213" i="4"/>
  <c r="I213" i="4" s="1"/>
  <c r="H212" i="4"/>
  <c r="I212" i="4" s="1"/>
  <c r="H204" i="4"/>
  <c r="I204" i="4" s="1"/>
  <c r="H203" i="4"/>
  <c r="I203" i="4" s="1"/>
  <c r="H197" i="4"/>
  <c r="I197" i="4" s="1"/>
  <c r="H196" i="4"/>
  <c r="I196" i="4" s="1"/>
  <c r="H195" i="4"/>
  <c r="I195" i="4" s="1"/>
  <c r="H186" i="4"/>
  <c r="I186" i="4" s="1"/>
  <c r="H174" i="4"/>
  <c r="I174" i="4" s="1"/>
  <c r="H172" i="4"/>
  <c r="I172" i="4" s="1"/>
  <c r="H171" i="4"/>
  <c r="I171" i="4" s="1"/>
  <c r="H170" i="4"/>
  <c r="I170" i="4" s="1"/>
  <c r="H161" i="4"/>
  <c r="I161" i="4" s="1"/>
  <c r="H159" i="4"/>
  <c r="I159" i="4" s="1"/>
  <c r="H158" i="4"/>
  <c r="I158" i="4" s="1"/>
  <c r="H157" i="4"/>
  <c r="I157" i="4" s="1"/>
  <c r="H149" i="4"/>
  <c r="I149" i="4" s="1"/>
  <c r="H148" i="4"/>
  <c r="I148" i="4" s="1"/>
  <c r="H147" i="4"/>
  <c r="I147" i="4" s="1"/>
  <c r="H140" i="4"/>
  <c r="I140" i="4" s="1"/>
  <c r="H139" i="4"/>
  <c r="I139" i="4" s="1"/>
  <c r="H138" i="4"/>
  <c r="I138" i="4" s="1"/>
  <c r="H132" i="4"/>
  <c r="I132" i="4" s="1"/>
  <c r="H131" i="4"/>
  <c r="I131" i="4" s="1"/>
  <c r="H130" i="4"/>
  <c r="I130" i="4" s="1"/>
  <c r="H124" i="4"/>
  <c r="I124" i="4" s="1"/>
  <c r="H123" i="4"/>
  <c r="I123" i="4" s="1"/>
  <c r="H122" i="4"/>
  <c r="I122" i="4" s="1"/>
  <c r="H114" i="4"/>
  <c r="I114" i="4" s="1"/>
  <c r="H102" i="4"/>
  <c r="I102" i="4" s="1"/>
  <c r="H100" i="4"/>
  <c r="I100" i="4" s="1"/>
  <c r="H99" i="4"/>
  <c r="I99" i="4" s="1"/>
  <c r="H98" i="4"/>
  <c r="I98" i="4" s="1"/>
  <c r="H90" i="4"/>
  <c r="I90" i="4" s="1"/>
  <c r="H89" i="4"/>
  <c r="I89" i="4" s="1"/>
  <c r="H88" i="4"/>
  <c r="I88" i="4" s="1"/>
  <c r="H81" i="4"/>
  <c r="I81" i="4" s="1"/>
  <c r="H80" i="4"/>
  <c r="I80" i="4" s="1"/>
  <c r="H79" i="4"/>
  <c r="I79" i="4" s="1"/>
  <c r="H73" i="4"/>
  <c r="I73" i="4" s="1"/>
  <c r="H72" i="4"/>
  <c r="I72" i="4" s="1"/>
  <c r="H71" i="4"/>
  <c r="I71" i="4" s="1"/>
  <c r="H63" i="4"/>
  <c r="I63" i="4" s="1"/>
  <c r="H50" i="4"/>
  <c r="I50" i="4" s="1"/>
  <c r="H48" i="4"/>
  <c r="I48" i="4" s="1"/>
  <c r="H47" i="4"/>
  <c r="I47" i="4" s="1"/>
  <c r="H46" i="4"/>
  <c r="I46" i="4" s="1"/>
  <c r="H37" i="4"/>
  <c r="I37" i="4" s="1"/>
  <c r="H36" i="4"/>
  <c r="I36" i="4" s="1"/>
  <c r="H35" i="4"/>
  <c r="I35" i="4" s="1"/>
  <c r="H27" i="4"/>
  <c r="I27" i="4" s="1"/>
  <c r="H26" i="4"/>
  <c r="I26" i="4" s="1"/>
  <c r="H25" i="4"/>
  <c r="I25" i="4" s="1"/>
  <c r="H19" i="4"/>
  <c r="I19" i="4" s="1"/>
  <c r="H17" i="4"/>
  <c r="I17" i="4" s="1"/>
  <c r="H16" i="4"/>
  <c r="I16" i="4" s="1"/>
  <c r="I699" i="4"/>
  <c r="H692" i="4"/>
  <c r="I692" i="4" s="1"/>
  <c r="H717" i="4"/>
  <c r="I717" i="4" s="1"/>
  <c r="H709" i="4"/>
  <c r="I709" i="4" s="1"/>
  <c r="H701" i="4"/>
  <c r="I701" i="4" s="1"/>
  <c r="H693" i="4"/>
  <c r="I693" i="4" s="1"/>
  <c r="H663" i="4"/>
  <c r="I663" i="4" s="1"/>
  <c r="H638" i="4"/>
  <c r="I638" i="4" s="1"/>
  <c r="H626" i="4"/>
  <c r="I626" i="4" s="1"/>
  <c r="H614" i="4"/>
  <c r="I614" i="4" s="1"/>
  <c r="H588" i="4"/>
  <c r="I588" i="4" s="1"/>
  <c r="H576" i="4"/>
  <c r="I576" i="4" s="1"/>
  <c r="H564" i="4"/>
  <c r="I564" i="4" s="1"/>
  <c r="H538" i="4"/>
  <c r="I538" i="4" s="1"/>
  <c r="H526" i="4"/>
  <c r="I526" i="4" s="1"/>
  <c r="H513" i="4"/>
  <c r="I513" i="4" s="1"/>
  <c r="H502" i="4"/>
  <c r="I502" i="4" s="1"/>
  <c r="H493" i="4"/>
  <c r="I493" i="4" s="1"/>
  <c r="H467" i="4"/>
  <c r="I467" i="4" s="1"/>
  <c r="H455" i="4"/>
  <c r="I455" i="4" s="1"/>
  <c r="H443" i="4"/>
  <c r="I443" i="4" s="1"/>
  <c r="H425" i="4"/>
  <c r="I425" i="4" s="1"/>
  <c r="H413" i="4"/>
  <c r="I413" i="4" s="1"/>
  <c r="H402" i="4"/>
  <c r="I402" i="4" s="1"/>
  <c r="H385" i="4"/>
  <c r="I385" i="4" s="1"/>
  <c r="H374" i="4"/>
  <c r="I374" i="4" s="1"/>
  <c r="H356" i="4"/>
  <c r="I356" i="4" s="1"/>
  <c r="H345" i="4"/>
  <c r="I345" i="4" s="1"/>
  <c r="H327" i="4"/>
  <c r="I327" i="4" s="1"/>
  <c r="H315" i="4"/>
  <c r="I315" i="4" s="1"/>
  <c r="H304" i="4"/>
  <c r="I304" i="4" s="1"/>
  <c r="H286" i="4"/>
  <c r="I286" i="4" s="1"/>
  <c r="H274" i="4"/>
  <c r="I274" i="4" s="1"/>
  <c r="H263" i="4"/>
  <c r="I263" i="4" s="1"/>
  <c r="H245" i="4"/>
  <c r="I245" i="4" s="1"/>
  <c r="H234" i="4"/>
  <c r="I234" i="4" s="1"/>
  <c r="H217" i="4"/>
  <c r="I217" i="4" s="1"/>
  <c r="H205" i="4"/>
  <c r="I205" i="4" s="1"/>
  <c r="H187" i="4"/>
  <c r="I187" i="4" s="1"/>
  <c r="H175" i="4"/>
  <c r="I175" i="4" s="1"/>
  <c r="H162" i="4"/>
  <c r="I162" i="4" s="1"/>
  <c r="H150" i="4"/>
  <c r="I150" i="4" s="1"/>
  <c r="H141" i="4"/>
  <c r="I141" i="4" s="1"/>
  <c r="H115" i="4"/>
  <c r="I115" i="4" s="1"/>
  <c r="H103" i="4"/>
  <c r="I103" i="4" s="1"/>
  <c r="H91" i="4"/>
  <c r="I91" i="4" s="1"/>
  <c r="H82" i="4"/>
  <c r="I82" i="4" s="1"/>
  <c r="H64" i="4"/>
  <c r="I64" i="4" s="1"/>
  <c r="H52" i="4"/>
  <c r="I52" i="4" s="1"/>
  <c r="H39" i="4"/>
  <c r="I39" i="4" s="1"/>
  <c r="H662" i="4"/>
  <c r="I662" i="4" s="1"/>
  <c r="H661" i="4"/>
  <c r="I661" i="4" s="1"/>
  <c r="H634" i="4"/>
  <c r="I634" i="4" s="1"/>
  <c r="H633" i="4"/>
  <c r="I633" i="4" s="1"/>
  <c r="H627" i="4"/>
  <c r="I627" i="4" s="1"/>
  <c r="H589" i="4"/>
  <c r="I589" i="4" s="1"/>
  <c r="H584" i="4"/>
  <c r="I584" i="4" s="1"/>
  <c r="H583" i="4"/>
  <c r="I583" i="4" s="1"/>
  <c r="H577" i="4"/>
  <c r="I577" i="4" s="1"/>
  <c r="H539" i="4"/>
  <c r="I539" i="4" s="1"/>
  <c r="H534" i="4"/>
  <c r="I534" i="4" s="1"/>
  <c r="H533" i="4"/>
  <c r="I533" i="4" s="1"/>
  <c r="H527" i="4"/>
  <c r="I527" i="4" s="1"/>
  <c r="H514" i="4"/>
  <c r="I514" i="4" s="1"/>
  <c r="H468" i="4"/>
  <c r="I468" i="4" s="1"/>
  <c r="H463" i="4"/>
  <c r="I463" i="4" s="1"/>
  <c r="H462" i="4"/>
  <c r="I462" i="4" s="1"/>
  <c r="H456" i="4"/>
  <c r="I456" i="4" s="1"/>
  <c r="H426" i="4"/>
  <c r="I426" i="4" s="1"/>
  <c r="H421" i="4"/>
  <c r="I421" i="4" s="1"/>
  <c r="H420" i="4"/>
  <c r="I420" i="4" s="1"/>
  <c r="H414" i="4"/>
  <c r="I414" i="4" s="1"/>
  <c r="H386" i="4"/>
  <c r="I386" i="4" s="1"/>
  <c r="H357" i="4"/>
  <c r="I357" i="4" s="1"/>
  <c r="H328" i="4"/>
  <c r="I328" i="4" s="1"/>
  <c r="H323" i="4"/>
  <c r="I323" i="4" s="1"/>
  <c r="H322" i="4"/>
  <c r="I322" i="4" s="1"/>
  <c r="H316" i="4"/>
  <c r="I316" i="4" s="1"/>
  <c r="H287" i="4"/>
  <c r="I287" i="4" s="1"/>
  <c r="H282" i="4"/>
  <c r="I282" i="4" s="1"/>
  <c r="H281" i="4"/>
  <c r="I281" i="4" s="1"/>
  <c r="H275" i="4"/>
  <c r="I275" i="4" s="1"/>
  <c r="H246" i="4"/>
  <c r="I246" i="4" s="1"/>
  <c r="H218" i="4"/>
  <c r="I218" i="4" s="1"/>
  <c r="H188" i="4"/>
  <c r="I188" i="4" s="1"/>
  <c r="H183" i="4"/>
  <c r="I183" i="4" s="1"/>
  <c r="H182" i="4"/>
  <c r="I182" i="4" s="1"/>
  <c r="H176" i="4"/>
  <c r="I176" i="4" s="1"/>
  <c r="H163" i="4"/>
  <c r="I163" i="4" s="1"/>
  <c r="H116" i="4"/>
  <c r="I116" i="4" s="1"/>
  <c r="H111" i="4"/>
  <c r="I111" i="4" s="1"/>
  <c r="H110" i="4"/>
  <c r="I110" i="4" s="1"/>
  <c r="H104" i="4"/>
  <c r="I104" i="4" s="1"/>
  <c r="H65" i="4"/>
  <c r="I65" i="4" s="1"/>
  <c r="H60" i="4"/>
  <c r="I60" i="4" s="1"/>
  <c r="H59" i="4"/>
  <c r="I59" i="4" s="1"/>
  <c r="H53" i="4"/>
  <c r="I53" i="4" s="1"/>
  <c r="H10" i="4"/>
  <c r="I10" i="4" s="1"/>
  <c r="H5" i="4"/>
  <c r="I5" i="4" s="1"/>
  <c r="H4" i="4"/>
  <c r="I4" i="4" s="1"/>
  <c r="H714" i="4"/>
  <c r="I714" i="4" s="1"/>
  <c r="H706" i="4"/>
  <c r="I706" i="4" s="1"/>
  <c r="H698" i="4"/>
  <c r="I698" i="4" s="1"/>
  <c r="H690" i="4"/>
  <c r="I690" i="4" s="1"/>
  <c r="H685" i="4"/>
  <c r="I685" i="4" s="1"/>
  <c r="H684" i="4"/>
  <c r="I684" i="4" s="1"/>
  <c r="H683" i="4"/>
  <c r="I683" i="4" s="1"/>
  <c r="H682" i="4"/>
  <c r="I682" i="4" s="1"/>
  <c r="H681" i="4"/>
  <c r="I681" i="4" s="1"/>
  <c r="H680" i="4"/>
  <c r="I680" i="4" s="1"/>
  <c r="H667" i="4"/>
  <c r="I667" i="4" s="1"/>
  <c r="H666" i="4"/>
  <c r="I666" i="4" s="1"/>
  <c r="H665" i="4"/>
  <c r="I665" i="4" s="1"/>
  <c r="H664" i="4"/>
  <c r="I664" i="4" s="1"/>
  <c r="H660" i="4"/>
  <c r="I660" i="4" s="1"/>
  <c r="H655" i="4"/>
  <c r="I655" i="4" s="1"/>
  <c r="H654" i="4"/>
  <c r="I654" i="4" s="1"/>
  <c r="H653" i="4"/>
  <c r="I653" i="4" s="1"/>
  <c r="H652" i="4"/>
  <c r="I652" i="4" s="1"/>
  <c r="H651" i="4"/>
  <c r="I651" i="4" s="1"/>
  <c r="H650" i="4"/>
  <c r="I650" i="4" s="1"/>
  <c r="H649" i="4"/>
  <c r="I649" i="4" s="1"/>
  <c r="H646" i="4"/>
  <c r="I646" i="4" s="1"/>
  <c r="H642" i="4"/>
  <c r="I642" i="4" s="1"/>
  <c r="H641" i="4"/>
  <c r="I641" i="4" s="1"/>
  <c r="H640" i="4"/>
  <c r="I640" i="4" s="1"/>
  <c r="H637" i="4"/>
  <c r="I637" i="4" s="1"/>
  <c r="H636" i="4"/>
  <c r="I636" i="4" s="1"/>
  <c r="H635" i="4"/>
  <c r="I635" i="4" s="1"/>
  <c r="H632" i="4"/>
  <c r="I632" i="4" s="1"/>
  <c r="H624" i="4"/>
  <c r="I624" i="4" s="1"/>
  <c r="H620" i="4"/>
  <c r="I620" i="4" s="1"/>
  <c r="H619" i="4"/>
  <c r="I619" i="4" s="1"/>
  <c r="H610" i="4"/>
  <c r="I610" i="4" s="1"/>
  <c r="H602" i="4"/>
  <c r="I602" i="4" s="1"/>
  <c r="H594" i="4"/>
  <c r="I594" i="4" s="1"/>
  <c r="H586" i="4"/>
  <c r="I586" i="4" s="1"/>
  <c r="H585" i="4"/>
  <c r="I585" i="4" s="1"/>
  <c r="H582" i="4"/>
  <c r="I582" i="4" s="1"/>
  <c r="H574" i="4"/>
  <c r="I574" i="4" s="1"/>
  <c r="H570" i="4"/>
  <c r="I570" i="4" s="1"/>
  <c r="H569" i="4"/>
  <c r="I569" i="4" s="1"/>
  <c r="H560" i="4"/>
  <c r="I560" i="4" s="1"/>
  <c r="H552" i="4"/>
  <c r="I552" i="4" s="1"/>
  <c r="H544" i="4"/>
  <c r="I544" i="4" s="1"/>
  <c r="H536" i="4"/>
  <c r="I536" i="4" s="1"/>
  <c r="H535" i="4"/>
  <c r="I535" i="4" s="1"/>
  <c r="H532" i="4"/>
  <c r="I532" i="4" s="1"/>
  <c r="H524" i="4"/>
  <c r="I524" i="4" s="1"/>
  <c r="H520" i="4"/>
  <c r="I520" i="4" s="1"/>
  <c r="H519" i="4"/>
  <c r="I519" i="4" s="1"/>
  <c r="H508" i="4"/>
  <c r="I508" i="4" s="1"/>
  <c r="H507" i="4"/>
  <c r="I507" i="4" s="1"/>
  <c r="H498" i="4"/>
  <c r="I498" i="4" s="1"/>
  <c r="H489" i="4"/>
  <c r="I489" i="4" s="1"/>
  <c r="H481" i="4"/>
  <c r="I481" i="4" s="1"/>
  <c r="H473" i="4"/>
  <c r="I473" i="4" s="1"/>
  <c r="H465" i="4"/>
  <c r="I465" i="4" s="1"/>
  <c r="H464" i="4"/>
  <c r="I464" i="4" s="1"/>
  <c r="H461" i="4"/>
  <c r="I461" i="4" s="1"/>
  <c r="H453" i="4"/>
  <c r="I453" i="4" s="1"/>
  <c r="H449" i="4"/>
  <c r="I449" i="4" s="1"/>
  <c r="H448" i="4"/>
  <c r="I448" i="4" s="1"/>
  <c r="H440" i="4"/>
  <c r="I440" i="4" s="1"/>
  <c r="H432" i="4"/>
  <c r="I432" i="4" s="1"/>
  <c r="H431" i="4"/>
  <c r="I431" i="4" s="1"/>
  <c r="H423" i="4"/>
  <c r="I423" i="4" s="1"/>
  <c r="H422" i="4"/>
  <c r="I422" i="4" s="1"/>
  <c r="H419" i="4"/>
  <c r="I419" i="4" s="1"/>
  <c r="H408" i="4"/>
  <c r="I408" i="4" s="1"/>
  <c r="H407" i="4"/>
  <c r="I407" i="4" s="1"/>
  <c r="H399" i="4"/>
  <c r="I399" i="4" s="1"/>
  <c r="H392" i="4"/>
  <c r="I392" i="4" s="1"/>
  <c r="H391" i="4"/>
  <c r="I391" i="4" s="1"/>
  <c r="H380" i="4"/>
  <c r="I380" i="4" s="1"/>
  <c r="H379" i="4"/>
  <c r="I379" i="4" s="1"/>
  <c r="H370" i="4"/>
  <c r="I370" i="4" s="1"/>
  <c r="H363" i="4"/>
  <c r="I363" i="4" s="1"/>
  <c r="H362" i="4"/>
  <c r="I362" i="4" s="1"/>
  <c r="H351" i="4"/>
  <c r="I351" i="4" s="1"/>
  <c r="H350" i="4"/>
  <c r="I350" i="4" s="1"/>
  <c r="H341" i="4"/>
  <c r="I341" i="4" s="1"/>
  <c r="H335" i="4"/>
  <c r="I335" i="4" s="1"/>
  <c r="H333" i="4"/>
  <c r="I333" i="4" s="1"/>
  <c r="H325" i="4"/>
  <c r="I325" i="4" s="1"/>
  <c r="H324" i="4"/>
  <c r="I324" i="4" s="1"/>
  <c r="H321" i="4"/>
  <c r="I321" i="4" s="1"/>
  <c r="H310" i="4"/>
  <c r="I310" i="4" s="1"/>
  <c r="H309" i="4"/>
  <c r="I309" i="4" s="1"/>
  <c r="H300" i="4"/>
  <c r="I300" i="4" s="1"/>
  <c r="H294" i="4"/>
  <c r="I294" i="4" s="1"/>
  <c r="H292" i="4"/>
  <c r="I292" i="4" s="1"/>
  <c r="H284" i="4"/>
  <c r="I284" i="4" s="1"/>
  <c r="H283" i="4"/>
  <c r="I283" i="4" s="1"/>
  <c r="H280" i="4"/>
  <c r="I280" i="4" s="1"/>
  <c r="H269" i="4"/>
  <c r="I269" i="4" s="1"/>
  <c r="H268" i="4"/>
  <c r="I268" i="4" s="1"/>
  <c r="H259" i="4"/>
  <c r="I259" i="4" s="1"/>
  <c r="H252" i="4"/>
  <c r="I252" i="4" s="1"/>
  <c r="H251" i="4"/>
  <c r="I251" i="4" s="1"/>
  <c r="H240" i="4"/>
  <c r="I240" i="4" s="1"/>
  <c r="H239" i="4"/>
  <c r="I239" i="4" s="1"/>
  <c r="H231" i="4"/>
  <c r="I231" i="4" s="1"/>
  <c r="H224" i="4"/>
  <c r="I224" i="4" s="1"/>
  <c r="H223" i="4"/>
  <c r="I223" i="4" s="1"/>
  <c r="H215" i="4"/>
  <c r="I215" i="4" s="1"/>
  <c r="H211" i="4"/>
  <c r="I211" i="4" s="1"/>
  <c r="H210" i="4"/>
  <c r="I210" i="4" s="1"/>
  <c r="H202" i="4"/>
  <c r="I202" i="4" s="1"/>
  <c r="H194" i="4"/>
  <c r="I194" i="4" s="1"/>
  <c r="H193" i="4"/>
  <c r="I193" i="4" s="1"/>
  <c r="H185" i="4"/>
  <c r="I185" i="4" s="1"/>
  <c r="H184" i="4"/>
  <c r="I184" i="4" s="1"/>
  <c r="H181" i="4"/>
  <c r="I181" i="4" s="1"/>
  <c r="H173" i="4"/>
  <c r="I173" i="4" s="1"/>
  <c r="H169" i="4"/>
  <c r="I169" i="4" s="1"/>
  <c r="H168" i="4"/>
  <c r="I168" i="4" s="1"/>
  <c r="H160" i="4"/>
  <c r="I160" i="4" s="1"/>
  <c r="H156" i="4"/>
  <c r="I156" i="4" s="1"/>
  <c r="H155" i="4"/>
  <c r="I155" i="4" s="1"/>
  <c r="H146" i="4"/>
  <c r="I146" i="4" s="1"/>
  <c r="H137" i="4"/>
  <c r="I137" i="4" s="1"/>
  <c r="H129" i="4"/>
  <c r="I129" i="4" s="1"/>
  <c r="H121" i="4"/>
  <c r="I121" i="4" s="1"/>
  <c r="H113" i="4"/>
  <c r="I113" i="4" s="1"/>
  <c r="H112" i="4"/>
  <c r="I112" i="4" s="1"/>
  <c r="H109" i="4"/>
  <c r="I109" i="4" s="1"/>
  <c r="H101" i="4"/>
  <c r="I101" i="4" s="1"/>
  <c r="H97" i="4"/>
  <c r="I97" i="4" s="1"/>
  <c r="H96" i="4"/>
  <c r="I96" i="4" s="1"/>
  <c r="H87" i="4"/>
  <c r="I87" i="4" s="1"/>
  <c r="H78" i="4"/>
  <c r="I78" i="4" s="1"/>
  <c r="H70" i="4"/>
  <c r="I70" i="4" s="1"/>
  <c r="H62" i="4"/>
  <c r="I62" i="4" s="1"/>
  <c r="H61" i="4"/>
  <c r="I61" i="4" s="1"/>
  <c r="H58" i="4"/>
  <c r="I58" i="4" s="1"/>
  <c r="H49" i="4"/>
  <c r="I49" i="4" s="1"/>
  <c r="H45" i="4"/>
  <c r="I45" i="4" s="1"/>
  <c r="H44" i="4"/>
  <c r="I44" i="4" s="1"/>
  <c r="H34" i="4"/>
  <c r="I34" i="4" s="1"/>
  <c r="H24" i="4"/>
  <c r="I24" i="4" s="1"/>
  <c r="H15" i="4"/>
  <c r="I15" i="4" s="1"/>
  <c r="H7" i="4"/>
  <c r="I7" i="4" s="1"/>
  <c r="H6" i="4"/>
  <c r="I6" i="4" s="1"/>
  <c r="K676" i="4"/>
  <c r="K644" i="4"/>
  <c r="K642" i="4"/>
  <c r="K643" i="4"/>
  <c r="O214" i="6" l="1"/>
  <c r="O117" i="6"/>
  <c r="O180" i="6"/>
  <c r="O181" i="6" s="1"/>
  <c r="P30" i="6"/>
  <c r="Q30" i="6" s="1"/>
  <c r="P465" i="6"/>
  <c r="Q465" i="6" s="1"/>
  <c r="P16" i="6"/>
  <c r="Q16" i="6" s="1"/>
  <c r="O19" i="6"/>
  <c r="P716" i="6"/>
  <c r="Q716" i="6" s="1"/>
  <c r="O717" i="6"/>
  <c r="P234" i="6"/>
  <c r="Q234" i="6" s="1"/>
  <c r="O236" i="6"/>
  <c r="O146" i="6"/>
  <c r="P145" i="6"/>
  <c r="Q145" i="6" s="1"/>
  <c r="O352" i="6"/>
  <c r="P352" i="6" s="1"/>
  <c r="Q352" i="6" s="1"/>
  <c r="P436" i="6"/>
  <c r="Q436" i="6" s="1"/>
  <c r="O437" i="6"/>
  <c r="O103" i="6"/>
  <c r="P101" i="6"/>
  <c r="Q101" i="6" s="1"/>
  <c r="P679" i="6"/>
  <c r="Q679" i="6" s="1"/>
  <c r="O253" i="6"/>
  <c r="P252" i="6"/>
  <c r="Q252" i="6" s="1"/>
  <c r="A659" i="6"/>
  <c r="P708" i="6"/>
  <c r="Q708" i="6" s="1"/>
  <c r="O709" i="6"/>
  <c r="P524" i="6"/>
  <c r="Q524" i="6" s="1"/>
  <c r="O525" i="6"/>
  <c r="P379" i="6"/>
  <c r="Q379" i="6" s="1"/>
  <c r="O380" i="6"/>
  <c r="O449" i="6"/>
  <c r="P448" i="6"/>
  <c r="Q448" i="6" s="1"/>
  <c r="O6" i="6"/>
  <c r="P5" i="6"/>
  <c r="Q5" i="6" s="1"/>
  <c r="O266" i="6"/>
  <c r="P264" i="6"/>
  <c r="Q264" i="6" s="1"/>
  <c r="O319" i="6"/>
  <c r="P318" i="6"/>
  <c r="Q318" i="6" s="1"/>
  <c r="O425" i="6"/>
  <c r="P424" i="6"/>
  <c r="Q424" i="6" s="1"/>
  <c r="O601" i="6"/>
  <c r="P600" i="6"/>
  <c r="Q600" i="6" s="1"/>
  <c r="O339" i="6"/>
  <c r="P338" i="6"/>
  <c r="Q338" i="6" s="1"/>
  <c r="O359" i="6"/>
  <c r="P358" i="6"/>
  <c r="Q358" i="6" s="1"/>
  <c r="O245" i="6"/>
  <c r="P244" i="6"/>
  <c r="Q244" i="6" s="1"/>
  <c r="P388" i="6"/>
  <c r="Q388" i="6" s="1"/>
  <c r="O389" i="6"/>
  <c r="P619" i="6"/>
  <c r="Q619" i="6" s="1"/>
  <c r="O620" i="6"/>
  <c r="O613" i="6"/>
  <c r="P612" i="6"/>
  <c r="Q612" i="6" s="1"/>
  <c r="P536" i="6"/>
  <c r="Q536" i="6" s="1"/>
  <c r="O537" i="6"/>
  <c r="O93" i="6"/>
  <c r="P92" i="6"/>
  <c r="Q92" i="6" s="1"/>
  <c r="P309" i="6"/>
  <c r="Q309" i="6" s="1"/>
  <c r="O310" i="6"/>
  <c r="P628" i="6"/>
  <c r="Q628" i="6" s="1"/>
  <c r="O629" i="6"/>
  <c r="O571" i="6"/>
  <c r="P570" i="6"/>
  <c r="Q570" i="6" s="1"/>
  <c r="P490" i="6"/>
  <c r="Q490" i="6" s="1"/>
  <c r="O491" i="6"/>
  <c r="O587" i="6"/>
  <c r="P586" i="6"/>
  <c r="Q586" i="6" s="1"/>
  <c r="P154" i="6"/>
  <c r="Q154" i="6" s="1"/>
  <c r="O155" i="6"/>
  <c r="P506" i="6"/>
  <c r="Q506" i="6" s="1"/>
  <c r="O507" i="6"/>
  <c r="P498" i="6"/>
  <c r="Q498" i="6" s="1"/>
  <c r="O499" i="6"/>
  <c r="P636" i="6"/>
  <c r="Q636" i="6" s="1"/>
  <c r="O637" i="6"/>
  <c r="O215" i="6"/>
  <c r="P214" i="6"/>
  <c r="Q214" i="6" s="1"/>
  <c r="P726" i="6"/>
  <c r="Q726" i="6" s="1"/>
  <c r="O727" i="6"/>
  <c r="P727" i="6" s="1"/>
  <c r="Q727" i="6" s="1"/>
  <c r="P466" i="6"/>
  <c r="Q466" i="6" s="1"/>
  <c r="O467" i="6"/>
  <c r="O165" i="6"/>
  <c r="P163" i="6"/>
  <c r="Q163" i="6" s="1"/>
  <c r="P397" i="6"/>
  <c r="Q397" i="6" s="1"/>
  <c r="O398" i="6"/>
  <c r="O327" i="6"/>
  <c r="P326" i="6"/>
  <c r="Q326" i="6" s="1"/>
  <c r="P653" i="6"/>
  <c r="Q653" i="6" s="1"/>
  <c r="O654" i="6"/>
  <c r="O299" i="6"/>
  <c r="P298" i="6"/>
  <c r="Q298" i="6" s="1"/>
  <c r="P31" i="6"/>
  <c r="Q31" i="6" s="1"/>
  <c r="O32" i="6"/>
  <c r="P32" i="6" s="1"/>
  <c r="Q32" i="6" s="1"/>
  <c r="O563" i="6"/>
  <c r="P562" i="6"/>
  <c r="Q562" i="6" s="1"/>
  <c r="P127" i="6"/>
  <c r="Q127" i="6" s="1"/>
  <c r="O129" i="6"/>
  <c r="O75" i="6"/>
  <c r="P74" i="6"/>
  <c r="Q74" i="6" s="1"/>
  <c r="P651" i="6"/>
  <c r="Q651" i="6" s="1"/>
  <c r="O652" i="6"/>
  <c r="P652" i="6" s="1"/>
  <c r="Q652" i="6" s="1"/>
  <c r="O659" i="6"/>
  <c r="P659" i="6" s="1"/>
  <c r="Q659" i="6" s="1"/>
  <c r="P515" i="6"/>
  <c r="Q515" i="6" s="1"/>
  <c r="O516" i="6"/>
  <c r="O285" i="6"/>
  <c r="P284" i="6"/>
  <c r="Q284" i="6" s="1"/>
  <c r="O139" i="6"/>
  <c r="P138" i="6"/>
  <c r="Q138" i="6" s="1"/>
  <c r="P478" i="6"/>
  <c r="Q478" i="6" s="1"/>
  <c r="O479" i="6"/>
  <c r="P680" i="6"/>
  <c r="Q680" i="6" s="1"/>
  <c r="O681" i="6"/>
  <c r="P418" i="6"/>
  <c r="Q418" i="6" s="1"/>
  <c r="O419" i="6"/>
  <c r="O192" i="6"/>
  <c r="P191" i="6"/>
  <c r="Q191" i="6" s="1"/>
  <c r="O223" i="6"/>
  <c r="P222" i="6"/>
  <c r="Q222" i="6" s="1"/>
  <c r="P36" i="6"/>
  <c r="Q36" i="6" s="1"/>
  <c r="O37" i="6"/>
  <c r="O84" i="6"/>
  <c r="P84" i="6" s="1"/>
  <c r="Q84" i="6" s="1"/>
  <c r="O85" i="6"/>
  <c r="P82" i="6"/>
  <c r="Q82" i="6" s="1"/>
  <c r="O551" i="6"/>
  <c r="P550" i="6"/>
  <c r="Q550" i="6" s="1"/>
  <c r="O118" i="6"/>
  <c r="P117" i="6"/>
  <c r="Q117" i="6" s="1"/>
  <c r="P458" i="6"/>
  <c r="Q458" i="6" s="1"/>
  <c r="O459" i="6"/>
  <c r="O692" i="6"/>
  <c r="P692" i="6" s="1"/>
  <c r="Q692" i="6" s="1"/>
  <c r="P684" i="6"/>
  <c r="Q684" i="6" s="1"/>
  <c r="O693" i="6"/>
  <c r="P693" i="6" s="1"/>
  <c r="Q693" i="6" s="1"/>
  <c r="O686" i="6"/>
  <c r="O48" i="6"/>
  <c r="P47" i="6"/>
  <c r="Q47" i="6" s="1"/>
  <c r="O206" i="6"/>
  <c r="P205" i="6"/>
  <c r="Q205" i="6" s="1"/>
  <c r="P368" i="6"/>
  <c r="Q368" i="6" s="1"/>
  <c r="O369" i="6"/>
  <c r="P409" i="6"/>
  <c r="Q409" i="6" s="1"/>
  <c r="O410" i="6"/>
  <c r="O275" i="6"/>
  <c r="P274" i="6"/>
  <c r="Q274" i="6" s="1"/>
  <c r="O62" i="6"/>
  <c r="P61" i="6"/>
  <c r="Q61" i="6" s="1"/>
  <c r="O579" i="6"/>
  <c r="P578" i="6"/>
  <c r="Q578" i="6" s="1"/>
  <c r="K701" i="6"/>
  <c r="K702" i="6" s="1"/>
  <c r="K703" i="6" s="1"/>
  <c r="K695" i="6"/>
  <c r="K696" i="6" s="1"/>
  <c r="K697" i="6" s="1"/>
  <c r="K698" i="6" s="1"/>
  <c r="A666" i="6"/>
  <c r="A667" i="6"/>
  <c r="A668" i="6" s="1"/>
  <c r="A669" i="6" s="1"/>
  <c r="A670" i="6" s="1"/>
  <c r="A684" i="6"/>
  <c r="A685" i="6"/>
  <c r="A691" i="6"/>
  <c r="A682" i="6"/>
  <c r="K667" i="6"/>
  <c r="K668" i="6" s="1"/>
  <c r="K669" i="6" s="1"/>
  <c r="K670" i="6" s="1"/>
  <c r="K666" i="6"/>
  <c r="M713" i="4"/>
  <c r="M705" i="4"/>
  <c r="M697" i="4"/>
  <c r="M698" i="4" s="1"/>
  <c r="M689" i="4"/>
  <c r="M659" i="4"/>
  <c r="M631" i="4"/>
  <c r="M618" i="4"/>
  <c r="N618" i="4" s="1"/>
  <c r="O618" i="4" s="1"/>
  <c r="M609" i="4"/>
  <c r="N609" i="4" s="1"/>
  <c r="O609" i="4" s="1"/>
  <c r="M601" i="4"/>
  <c r="N601" i="4" s="1"/>
  <c r="O601" i="4" s="1"/>
  <c r="M593" i="4"/>
  <c r="M594" i="4" s="1"/>
  <c r="M581" i="4"/>
  <c r="N581" i="4" s="1"/>
  <c r="O581" i="4" s="1"/>
  <c r="M568" i="4"/>
  <c r="M559" i="4"/>
  <c r="N559" i="4" s="1"/>
  <c r="O559" i="4" s="1"/>
  <c r="M551" i="4"/>
  <c r="N551" i="4" s="1"/>
  <c r="O551" i="4" s="1"/>
  <c r="M543" i="4"/>
  <c r="M531" i="4"/>
  <c r="M532" i="4" s="1"/>
  <c r="M518" i="4"/>
  <c r="M519" i="4" s="1"/>
  <c r="M506" i="4"/>
  <c r="N506" i="4" s="1"/>
  <c r="O506" i="4" s="1"/>
  <c r="M497" i="4"/>
  <c r="M498" i="4" s="1"/>
  <c r="M488" i="4"/>
  <c r="M489" i="4" s="1"/>
  <c r="M480" i="4"/>
  <c r="N480" i="4" s="1"/>
  <c r="O480" i="4" s="1"/>
  <c r="M472" i="4"/>
  <c r="N472" i="4" s="1"/>
  <c r="O472" i="4" s="1"/>
  <c r="M460" i="4"/>
  <c r="M447" i="4"/>
  <c r="M439" i="4"/>
  <c r="N439" i="4" s="1"/>
  <c r="O439" i="4" s="1"/>
  <c r="M430" i="4"/>
  <c r="M418" i="4"/>
  <c r="M406" i="4"/>
  <c r="N406" i="4" s="1"/>
  <c r="O406" i="4" s="1"/>
  <c r="M398" i="4"/>
  <c r="N398" i="4" s="1"/>
  <c r="O398" i="4" s="1"/>
  <c r="M390" i="4"/>
  <c r="M378" i="4"/>
  <c r="M379" i="4" s="1"/>
  <c r="M380" i="4" s="1"/>
  <c r="M381" i="4" s="1"/>
  <c r="M369" i="4"/>
  <c r="N369" i="4" s="1"/>
  <c r="O369" i="4" s="1"/>
  <c r="M361" i="4"/>
  <c r="M362" i="4" s="1"/>
  <c r="M349" i="4"/>
  <c r="N349" i="4" s="1"/>
  <c r="O349" i="4" s="1"/>
  <c r="M340" i="4"/>
  <c r="N340" i="4" s="1"/>
  <c r="O340" i="4" s="1"/>
  <c r="M332" i="4"/>
  <c r="M333" i="4" s="1"/>
  <c r="M320" i="4"/>
  <c r="N320" i="4" s="1"/>
  <c r="O320" i="4" s="1"/>
  <c r="M308" i="4"/>
  <c r="M309" i="4" s="1"/>
  <c r="M299" i="4"/>
  <c r="M291" i="4"/>
  <c r="M292" i="4" s="1"/>
  <c r="M279" i="4"/>
  <c r="N279" i="4" s="1"/>
  <c r="O279" i="4" s="1"/>
  <c r="M267" i="4"/>
  <c r="M258" i="4"/>
  <c r="N258" i="4" s="1"/>
  <c r="O258" i="4" s="1"/>
  <c r="M250" i="4"/>
  <c r="N250" i="4" s="1"/>
  <c r="O250" i="4" s="1"/>
  <c r="M238" i="4"/>
  <c r="N238" i="4" s="1"/>
  <c r="O238" i="4" s="1"/>
  <c r="M230" i="4"/>
  <c r="N230" i="4" s="1"/>
  <c r="O230" i="4" s="1"/>
  <c r="M222" i="4"/>
  <c r="M209" i="4"/>
  <c r="N209" i="4" s="1"/>
  <c r="O209" i="4" s="1"/>
  <c r="M201" i="4"/>
  <c r="N201" i="4" s="1"/>
  <c r="O201" i="4" s="1"/>
  <c r="M192" i="4"/>
  <c r="M180" i="4"/>
  <c r="M167" i="4"/>
  <c r="M168" i="4" s="1"/>
  <c r="M154" i="4"/>
  <c r="N154" i="4" s="1"/>
  <c r="O154" i="4" s="1"/>
  <c r="M145" i="4"/>
  <c r="N145" i="4" s="1"/>
  <c r="O145" i="4" s="1"/>
  <c r="M136" i="4"/>
  <c r="N136" i="4" s="1"/>
  <c r="O136" i="4" s="1"/>
  <c r="M128" i="4"/>
  <c r="N128" i="4" s="1"/>
  <c r="O128" i="4" s="1"/>
  <c r="M120" i="4"/>
  <c r="N120" i="4" s="1"/>
  <c r="O120" i="4" s="1"/>
  <c r="M108" i="4"/>
  <c r="N108" i="4" s="1"/>
  <c r="O108" i="4" s="1"/>
  <c r="M95" i="4"/>
  <c r="M86" i="4"/>
  <c r="M77" i="4"/>
  <c r="N77" i="4" s="1"/>
  <c r="O77" i="4" s="1"/>
  <c r="M69" i="4"/>
  <c r="M57" i="4"/>
  <c r="M43" i="4"/>
  <c r="N43" i="4" s="1"/>
  <c r="O43" i="4" s="1"/>
  <c r="M33" i="4"/>
  <c r="N33" i="4" s="1"/>
  <c r="O33" i="4" s="1"/>
  <c r="M23" i="4"/>
  <c r="M14" i="4"/>
  <c r="N14" i="4" s="1"/>
  <c r="O14" i="4" s="1"/>
  <c r="M2" i="4"/>
  <c r="N2" i="4" s="1"/>
  <c r="O2" i="4" s="1"/>
  <c r="T3" i="3"/>
  <c r="U3" i="3" s="1"/>
  <c r="T4" i="3"/>
  <c r="U4" i="3" s="1"/>
  <c r="T5" i="3"/>
  <c r="U5" i="3" s="1"/>
  <c r="T6" i="3"/>
  <c r="U6" i="3" s="1"/>
  <c r="T7" i="3"/>
  <c r="U7" i="3" s="1"/>
  <c r="T8" i="3"/>
  <c r="U8" i="3" s="1"/>
  <c r="T9" i="3"/>
  <c r="U9" i="3" s="1"/>
  <c r="T10" i="3"/>
  <c r="U10" i="3" s="1"/>
  <c r="T11" i="3"/>
  <c r="U11" i="3" s="1"/>
  <c r="T12" i="3"/>
  <c r="U12" i="3" s="1"/>
  <c r="T13" i="3"/>
  <c r="U13" i="3" s="1"/>
  <c r="T14" i="3"/>
  <c r="U14" i="3" s="1"/>
  <c r="T15" i="3"/>
  <c r="T16" i="3"/>
  <c r="T17" i="3"/>
  <c r="U17" i="3" s="1"/>
  <c r="T18" i="3"/>
  <c r="U18" i="3" s="1"/>
  <c r="T19" i="3"/>
  <c r="T20" i="3"/>
  <c r="U20" i="3" s="1"/>
  <c r="T21" i="3"/>
  <c r="U21" i="3" s="1"/>
  <c r="T22" i="3"/>
  <c r="U22" i="3" s="1"/>
  <c r="T23" i="3"/>
  <c r="U23" i="3" s="1"/>
  <c r="T24" i="3"/>
  <c r="U24" i="3" s="1"/>
  <c r="T25" i="3"/>
  <c r="U25" i="3" s="1"/>
  <c r="T26" i="3"/>
  <c r="U26" i="3" s="1"/>
  <c r="T27" i="3"/>
  <c r="U27" i="3" s="1"/>
  <c r="T28" i="3"/>
  <c r="U28" i="3" s="1"/>
  <c r="T29" i="3"/>
  <c r="U29" i="3" s="1"/>
  <c r="T30" i="3"/>
  <c r="U30" i="3" s="1"/>
  <c r="T31" i="3"/>
  <c r="T32" i="3"/>
  <c r="U32" i="3" s="1"/>
  <c r="T33" i="3"/>
  <c r="U33" i="3" s="1"/>
  <c r="T34" i="3"/>
  <c r="U34" i="3" s="1"/>
  <c r="T35" i="3"/>
  <c r="U35" i="3" s="1"/>
  <c r="T36" i="3"/>
  <c r="U36" i="3" s="1"/>
  <c r="T37" i="3"/>
  <c r="U37" i="3" s="1"/>
  <c r="T38" i="3"/>
  <c r="U38" i="3" s="1"/>
  <c r="T39" i="3"/>
  <c r="T40" i="3"/>
  <c r="T41" i="3"/>
  <c r="T42" i="3"/>
  <c r="T43" i="3"/>
  <c r="T44" i="3"/>
  <c r="U44" i="3" s="1"/>
  <c r="T45" i="3"/>
  <c r="U45" i="3" s="1"/>
  <c r="T46" i="3"/>
  <c r="U46" i="3" s="1"/>
  <c r="T47" i="3"/>
  <c r="U47" i="3" s="1"/>
  <c r="T48" i="3"/>
  <c r="U48" i="3" s="1"/>
  <c r="T49" i="3"/>
  <c r="U49" i="3" s="1"/>
  <c r="T50" i="3"/>
  <c r="U50" i="3" s="1"/>
  <c r="T51" i="3"/>
  <c r="U51" i="3" s="1"/>
  <c r="T52" i="3"/>
  <c r="U52" i="3" s="1"/>
  <c r="T53" i="3"/>
  <c r="U53" i="3" s="1"/>
  <c r="T54" i="3"/>
  <c r="U54" i="3" s="1"/>
  <c r="T55" i="3"/>
  <c r="T56" i="3"/>
  <c r="U56" i="3" s="1"/>
  <c r="T57" i="3"/>
  <c r="U57" i="3" s="1"/>
  <c r="T58" i="3"/>
  <c r="U58" i="3" s="1"/>
  <c r="T59" i="3"/>
  <c r="U59" i="3" s="1"/>
  <c r="T60" i="3"/>
  <c r="U60" i="3" s="1"/>
  <c r="T61" i="3"/>
  <c r="U61" i="3" s="1"/>
  <c r="T62" i="3"/>
  <c r="U62" i="3" s="1"/>
  <c r="T63" i="3"/>
  <c r="U63" i="3" s="1"/>
  <c r="T64" i="3"/>
  <c r="U64" i="3" s="1"/>
  <c r="T65" i="3"/>
  <c r="U65" i="3" s="1"/>
  <c r="T66" i="3"/>
  <c r="U66" i="3" s="1"/>
  <c r="T67" i="3"/>
  <c r="T68" i="3"/>
  <c r="U68" i="3" s="1"/>
  <c r="T69" i="3"/>
  <c r="U69" i="3" s="1"/>
  <c r="T70" i="3"/>
  <c r="U70" i="3" s="1"/>
  <c r="T71" i="3"/>
  <c r="U71" i="3" s="1"/>
  <c r="T2" i="3"/>
  <c r="U15" i="3"/>
  <c r="U16" i="3"/>
  <c r="U19" i="3"/>
  <c r="U31" i="3"/>
  <c r="U39" i="3"/>
  <c r="U40" i="3"/>
  <c r="U41" i="3"/>
  <c r="U42" i="3"/>
  <c r="U43" i="3"/>
  <c r="U55" i="3"/>
  <c r="U67" i="3"/>
  <c r="U2" i="3"/>
  <c r="S3" i="3"/>
  <c r="S4" i="3"/>
  <c r="S5" i="3"/>
  <c r="S6" i="3"/>
  <c r="S7" i="3"/>
  <c r="S8" i="3"/>
  <c r="S9" i="3"/>
  <c r="S10" i="3"/>
  <c r="S11" i="3"/>
  <c r="S12" i="3"/>
  <c r="S13" i="3"/>
  <c r="S14" i="3"/>
  <c r="S15" i="3"/>
  <c r="S16" i="3"/>
  <c r="S17" i="3"/>
  <c r="S18" i="3"/>
  <c r="S19" i="3"/>
  <c r="S20" i="3"/>
  <c r="S21" i="3"/>
  <c r="S22" i="3"/>
  <c r="S23" i="3"/>
  <c r="S24" i="3"/>
  <c r="S25" i="3"/>
  <c r="S26" i="3"/>
  <c r="S27" i="3"/>
  <c r="S28" i="3"/>
  <c r="S29" i="3"/>
  <c r="S30" i="3"/>
  <c r="S31" i="3"/>
  <c r="S32" i="3"/>
  <c r="S33" i="3"/>
  <c r="S34" i="3"/>
  <c r="S35" i="3"/>
  <c r="S36" i="3"/>
  <c r="S37" i="3"/>
  <c r="S38" i="3"/>
  <c r="S39" i="3"/>
  <c r="S40" i="3"/>
  <c r="S41" i="3"/>
  <c r="S42" i="3"/>
  <c r="S43" i="3"/>
  <c r="S44" i="3"/>
  <c r="S45" i="3"/>
  <c r="S46" i="3"/>
  <c r="S47" i="3"/>
  <c r="S48" i="3"/>
  <c r="S49" i="3"/>
  <c r="S50" i="3"/>
  <c r="S51" i="3"/>
  <c r="S52" i="3"/>
  <c r="S53" i="3"/>
  <c r="S54" i="3"/>
  <c r="S55" i="3"/>
  <c r="S56" i="3"/>
  <c r="S57" i="3"/>
  <c r="S58" i="3"/>
  <c r="S59" i="3"/>
  <c r="S60" i="3"/>
  <c r="S61" i="3"/>
  <c r="S62" i="3"/>
  <c r="S63" i="3"/>
  <c r="S64" i="3"/>
  <c r="S65" i="3"/>
  <c r="S66" i="3"/>
  <c r="S67" i="3"/>
  <c r="S68" i="3"/>
  <c r="S69" i="3"/>
  <c r="S70" i="3"/>
  <c r="S71" i="3"/>
  <c r="S2" i="3"/>
  <c r="P180" i="6" l="1"/>
  <c r="Q180" i="6" s="1"/>
  <c r="O353" i="6"/>
  <c r="O354" i="6" s="1"/>
  <c r="P354" i="6" s="1"/>
  <c r="Q354" i="6" s="1"/>
  <c r="O20" i="6"/>
  <c r="P19" i="6"/>
  <c r="Q19" i="6" s="1"/>
  <c r="P437" i="6"/>
  <c r="Q437" i="6" s="1"/>
  <c r="O438" i="6"/>
  <c r="P146" i="6"/>
  <c r="Q146" i="6" s="1"/>
  <c r="O147" i="6"/>
  <c r="P236" i="6"/>
  <c r="Q236" i="6" s="1"/>
  <c r="O237" i="6"/>
  <c r="P717" i="6"/>
  <c r="Q717" i="6" s="1"/>
  <c r="O718" i="6"/>
  <c r="O104" i="6"/>
  <c r="P103" i="6"/>
  <c r="Q103" i="6" s="1"/>
  <c r="P253" i="6"/>
  <c r="Q253" i="6" s="1"/>
  <c r="O254" i="6"/>
  <c r="P709" i="6"/>
  <c r="Q709" i="6" s="1"/>
  <c r="O710" i="6"/>
  <c r="P266" i="6"/>
  <c r="Q266" i="6" s="1"/>
  <c r="O267" i="6"/>
  <c r="O7" i="6"/>
  <c r="P6" i="6"/>
  <c r="Q6" i="6" s="1"/>
  <c r="O450" i="6"/>
  <c r="P449" i="6"/>
  <c r="Q449" i="6" s="1"/>
  <c r="P380" i="6"/>
  <c r="Q380" i="6" s="1"/>
  <c r="O381" i="6"/>
  <c r="O526" i="6"/>
  <c r="P525" i="6"/>
  <c r="Q525" i="6" s="1"/>
  <c r="P310" i="6"/>
  <c r="Q310" i="6" s="1"/>
  <c r="O311" i="6"/>
  <c r="P245" i="6"/>
  <c r="Q245" i="6" s="1"/>
  <c r="O246" i="6"/>
  <c r="P620" i="6"/>
  <c r="Q620" i="6" s="1"/>
  <c r="O621" i="6"/>
  <c r="P339" i="6"/>
  <c r="Q339" i="6" s="1"/>
  <c r="O340" i="6"/>
  <c r="P601" i="6"/>
  <c r="Q601" i="6" s="1"/>
  <c r="O602" i="6"/>
  <c r="P425" i="6"/>
  <c r="Q425" i="6" s="1"/>
  <c r="O426" i="6"/>
  <c r="P93" i="6"/>
  <c r="Q93" i="6" s="1"/>
  <c r="O94" i="6"/>
  <c r="O390" i="6"/>
  <c r="P389" i="6"/>
  <c r="Q389" i="6" s="1"/>
  <c r="P359" i="6"/>
  <c r="Q359" i="6" s="1"/>
  <c r="O360" i="6"/>
  <c r="O538" i="6"/>
  <c r="P537" i="6"/>
  <c r="Q537" i="6" s="1"/>
  <c r="O614" i="6"/>
  <c r="P613" i="6"/>
  <c r="Q613" i="6" s="1"/>
  <c r="P319" i="6"/>
  <c r="Q319" i="6" s="1"/>
  <c r="O320" i="6"/>
  <c r="O193" i="6"/>
  <c r="P192" i="6"/>
  <c r="Q192" i="6" s="1"/>
  <c r="O656" i="6"/>
  <c r="P654" i="6"/>
  <c r="Q654" i="6" s="1"/>
  <c r="P467" i="6"/>
  <c r="Q467" i="6" s="1"/>
  <c r="O468" i="6"/>
  <c r="P48" i="6"/>
  <c r="Q48" i="6" s="1"/>
  <c r="O49" i="6"/>
  <c r="P419" i="6"/>
  <c r="Q419" i="6" s="1"/>
  <c r="O420" i="6"/>
  <c r="P420" i="6" s="1"/>
  <c r="Q420" i="6" s="1"/>
  <c r="P551" i="6"/>
  <c r="Q551" i="6" s="1"/>
  <c r="O552" i="6"/>
  <c r="P285" i="6"/>
  <c r="Q285" i="6" s="1"/>
  <c r="O286" i="6"/>
  <c r="P637" i="6"/>
  <c r="Q637" i="6" s="1"/>
  <c r="O638" i="6"/>
  <c r="P129" i="6"/>
  <c r="Q129" i="6" s="1"/>
  <c r="O130" i="6"/>
  <c r="P491" i="6"/>
  <c r="Q491" i="6" s="1"/>
  <c r="O492" i="6"/>
  <c r="P681" i="6"/>
  <c r="Q681" i="6" s="1"/>
  <c r="O682" i="6"/>
  <c r="P682" i="6" s="1"/>
  <c r="Q682" i="6" s="1"/>
  <c r="O691" i="6"/>
  <c r="P691" i="6" s="1"/>
  <c r="Q691" i="6" s="1"/>
  <c r="P215" i="6"/>
  <c r="Q215" i="6" s="1"/>
  <c r="O216" i="6"/>
  <c r="P85" i="6"/>
  <c r="Q85" i="6" s="1"/>
  <c r="O86" i="6"/>
  <c r="P479" i="6"/>
  <c r="Q479" i="6" s="1"/>
  <c r="O480" i="6"/>
  <c r="P75" i="6"/>
  <c r="Q75" i="6" s="1"/>
  <c r="O76" i="6"/>
  <c r="P327" i="6"/>
  <c r="Q327" i="6" s="1"/>
  <c r="O328" i="6"/>
  <c r="P571" i="6"/>
  <c r="Q571" i="6" s="1"/>
  <c r="O572" i="6"/>
  <c r="P410" i="6"/>
  <c r="Q410" i="6" s="1"/>
  <c r="O411" i="6"/>
  <c r="O399" i="6"/>
  <c r="P398" i="6"/>
  <c r="Q398" i="6" s="1"/>
  <c r="P499" i="6"/>
  <c r="Q499" i="6" s="1"/>
  <c r="O500" i="6"/>
  <c r="P118" i="6"/>
  <c r="Q118" i="6" s="1"/>
  <c r="O119" i="6"/>
  <c r="O694" i="6"/>
  <c r="P694" i="6" s="1"/>
  <c r="Q694" i="6" s="1"/>
  <c r="P686" i="6"/>
  <c r="Q686" i="6" s="1"/>
  <c r="O687" i="6"/>
  <c r="P275" i="6"/>
  <c r="Q275" i="6" s="1"/>
  <c r="O276" i="6"/>
  <c r="P579" i="6"/>
  <c r="Q579" i="6" s="1"/>
  <c r="O580" i="6"/>
  <c r="O38" i="6"/>
  <c r="P38" i="6" s="1"/>
  <c r="Q38" i="6" s="1"/>
  <c r="O39" i="6"/>
  <c r="P37" i="6"/>
  <c r="Q37" i="6" s="1"/>
  <c r="P563" i="6"/>
  <c r="Q563" i="6" s="1"/>
  <c r="O564" i="6"/>
  <c r="P139" i="6"/>
  <c r="Q139" i="6" s="1"/>
  <c r="O140" i="6"/>
  <c r="P140" i="6" s="1"/>
  <c r="Q140" i="6" s="1"/>
  <c r="P369" i="6"/>
  <c r="Q369" i="6" s="1"/>
  <c r="O370" i="6"/>
  <c r="P62" i="6"/>
  <c r="Q62" i="6" s="1"/>
  <c r="O63" i="6"/>
  <c r="P507" i="6"/>
  <c r="Q507" i="6" s="1"/>
  <c r="O508" i="6"/>
  <c r="P223" i="6"/>
  <c r="Q223" i="6" s="1"/>
  <c r="O224" i="6"/>
  <c r="O156" i="6"/>
  <c r="P155" i="6"/>
  <c r="Q155" i="6" s="1"/>
  <c r="P629" i="6"/>
  <c r="Q629" i="6" s="1"/>
  <c r="O630" i="6"/>
  <c r="P587" i="6"/>
  <c r="Q587" i="6" s="1"/>
  <c r="O588" i="6"/>
  <c r="P459" i="6"/>
  <c r="Q459" i="6" s="1"/>
  <c r="O460" i="6"/>
  <c r="P206" i="6"/>
  <c r="Q206" i="6" s="1"/>
  <c r="O207" i="6"/>
  <c r="P516" i="6"/>
  <c r="Q516" i="6" s="1"/>
  <c r="O517" i="6"/>
  <c r="P299" i="6"/>
  <c r="Q299" i="6" s="1"/>
  <c r="O300" i="6"/>
  <c r="P165" i="6"/>
  <c r="Q165" i="6" s="1"/>
  <c r="O166" i="6"/>
  <c r="P181" i="6"/>
  <c r="Q181" i="6" s="1"/>
  <c r="O182" i="6"/>
  <c r="K700" i="6"/>
  <c r="K699" i="6"/>
  <c r="A693" i="6"/>
  <c r="A686" i="6"/>
  <c r="A692" i="6"/>
  <c r="N698" i="4"/>
  <c r="M700" i="4"/>
  <c r="N700" i="4" s="1"/>
  <c r="O700" i="4" s="1"/>
  <c r="N689" i="4"/>
  <c r="O689" i="4" s="1"/>
  <c r="M691" i="4"/>
  <c r="N691" i="4" s="1"/>
  <c r="O691" i="4" s="1"/>
  <c r="M660" i="4"/>
  <c r="M662" i="4" s="1"/>
  <c r="N662" i="4" s="1"/>
  <c r="O662" i="4" s="1"/>
  <c r="M661" i="4"/>
  <c r="N661" i="4" s="1"/>
  <c r="O661" i="4" s="1"/>
  <c r="M632" i="4"/>
  <c r="N632" i="4" s="1"/>
  <c r="M633" i="4"/>
  <c r="N633" i="4" s="1"/>
  <c r="O633" i="4" s="1"/>
  <c r="M610" i="4"/>
  <c r="M611" i="4" s="1"/>
  <c r="M612" i="4" s="1"/>
  <c r="M613" i="4" s="1"/>
  <c r="M614" i="4" s="1"/>
  <c r="M615" i="4" s="1"/>
  <c r="M616" i="4" s="1"/>
  <c r="M617" i="4" s="1"/>
  <c r="N617" i="4" s="1"/>
  <c r="M699" i="4"/>
  <c r="N699" i="4" s="1"/>
  <c r="O699" i="4" s="1"/>
  <c r="M560" i="4"/>
  <c r="N560" i="4" s="1"/>
  <c r="M440" i="4"/>
  <c r="N440" i="4" s="1"/>
  <c r="M341" i="4"/>
  <c r="M342" i="4" s="1"/>
  <c r="M343" i="4" s="1"/>
  <c r="M121" i="4"/>
  <c r="M122" i="4" s="1"/>
  <c r="M78" i="4"/>
  <c r="N78" i="4" s="1"/>
  <c r="M15" i="4"/>
  <c r="M16" i="4" s="1"/>
  <c r="M18" i="4" s="1"/>
  <c r="N18" i="4" s="1"/>
  <c r="O18" i="4" s="1"/>
  <c r="N697" i="4"/>
  <c r="O697" i="4" s="1"/>
  <c r="N498" i="4"/>
  <c r="M499" i="4"/>
  <c r="M321" i="4"/>
  <c r="M322" i="4" s="1"/>
  <c r="N380" i="4"/>
  <c r="N497" i="4"/>
  <c r="O497" i="4" s="1"/>
  <c r="N332" i="4"/>
  <c r="O332" i="4" s="1"/>
  <c r="M259" i="4"/>
  <c r="M280" i="4"/>
  <c r="N280" i="4" s="1"/>
  <c r="M552" i="4"/>
  <c r="N552" i="4" s="1"/>
  <c r="M3" i="4"/>
  <c r="M4" i="4" s="1"/>
  <c r="N593" i="4"/>
  <c r="O593" i="4" s="1"/>
  <c r="N308" i="4"/>
  <c r="O308" i="4" s="1"/>
  <c r="M473" i="4"/>
  <c r="M239" i="4"/>
  <c r="N239" i="4" s="1"/>
  <c r="N531" i="4"/>
  <c r="O531" i="4" s="1"/>
  <c r="N167" i="4"/>
  <c r="O167" i="4" s="1"/>
  <c r="M34" i="4"/>
  <c r="M35" i="4" s="1"/>
  <c r="M690" i="4"/>
  <c r="M692" i="4" s="1"/>
  <c r="M231" i="4"/>
  <c r="M399" i="4"/>
  <c r="N488" i="4"/>
  <c r="O488" i="4" s="1"/>
  <c r="M370" i="4"/>
  <c r="M371" i="4" s="1"/>
  <c r="M137" i="4"/>
  <c r="N659" i="4"/>
  <c r="O659" i="4" s="1"/>
  <c r="M619" i="4"/>
  <c r="M350" i="4"/>
  <c r="M351" i="4" s="1"/>
  <c r="M129" i="4"/>
  <c r="N129" i="4" s="1"/>
  <c r="N333" i="4"/>
  <c r="M334" i="4"/>
  <c r="M363" i="4"/>
  <c r="N362" i="4"/>
  <c r="M490" i="4"/>
  <c r="N489" i="4"/>
  <c r="M146" i="4"/>
  <c r="M382" i="4"/>
  <c r="N381" i="4"/>
  <c r="O381" i="4" s="1"/>
  <c r="N267" i="4"/>
  <c r="O267" i="4" s="1"/>
  <c r="M268" i="4"/>
  <c r="M507" i="4"/>
  <c r="N631" i="4"/>
  <c r="O631" i="4" s="1"/>
  <c r="M169" i="4"/>
  <c r="N168" i="4"/>
  <c r="M391" i="4"/>
  <c r="N390" i="4"/>
  <c r="O390" i="4" s="1"/>
  <c r="N57" i="4"/>
  <c r="O57" i="4" s="1"/>
  <c r="M58" i="4"/>
  <c r="N180" i="4"/>
  <c r="O180" i="4" s="1"/>
  <c r="M181" i="4"/>
  <c r="N299" i="4"/>
  <c r="O299" i="4" s="1"/>
  <c r="M300" i="4"/>
  <c r="N418" i="4"/>
  <c r="O418" i="4" s="1"/>
  <c r="M419" i="4"/>
  <c r="M544" i="4"/>
  <c r="N543" i="4"/>
  <c r="O543" i="4" s="1"/>
  <c r="M520" i="4"/>
  <c r="N519" i="4"/>
  <c r="N379" i="4"/>
  <c r="M533" i="4"/>
  <c r="N532" i="4"/>
  <c r="N69" i="4"/>
  <c r="O69" i="4" s="1"/>
  <c r="M70" i="4"/>
  <c r="N192" i="4"/>
  <c r="O192" i="4" s="1"/>
  <c r="M193" i="4"/>
  <c r="N309" i="4"/>
  <c r="M310" i="4"/>
  <c r="N430" i="4"/>
  <c r="O430" i="4" s="1"/>
  <c r="M431" i="4"/>
  <c r="M595" i="4"/>
  <c r="N594" i="4"/>
  <c r="N23" i="4"/>
  <c r="O23" i="4" s="1"/>
  <c r="M24" i="4"/>
  <c r="M293" i="4"/>
  <c r="N292" i="4"/>
  <c r="M87" i="4"/>
  <c r="N86" i="4"/>
  <c r="O86" i="4" s="1"/>
  <c r="M448" i="4"/>
  <c r="N447" i="4"/>
  <c r="O447" i="4" s="1"/>
  <c r="M569" i="4"/>
  <c r="N568" i="4"/>
  <c r="O568" i="4" s="1"/>
  <c r="M706" i="4"/>
  <c r="N705" i="4"/>
  <c r="O705" i="4" s="1"/>
  <c r="M210" i="4"/>
  <c r="N95" i="4"/>
  <c r="O95" i="4" s="1"/>
  <c r="M96" i="4"/>
  <c r="N222" i="4"/>
  <c r="O222" i="4" s="1"/>
  <c r="M223" i="4"/>
  <c r="M461" i="4"/>
  <c r="N460" i="4"/>
  <c r="O460" i="4" s="1"/>
  <c r="N713" i="4"/>
  <c r="O713" i="4" s="1"/>
  <c r="M714" i="4"/>
  <c r="M582" i="4"/>
  <c r="N378" i="4"/>
  <c r="O378" i="4" s="1"/>
  <c r="M202" i="4"/>
  <c r="N291" i="4"/>
  <c r="O291" i="4" s="1"/>
  <c r="M251" i="4"/>
  <c r="M109" i="4"/>
  <c r="N518" i="4"/>
  <c r="O518" i="4" s="1"/>
  <c r="M602" i="4"/>
  <c r="M481" i="4"/>
  <c r="N361" i="4"/>
  <c r="O361" i="4" s="1"/>
  <c r="M407" i="4"/>
  <c r="M155" i="4"/>
  <c r="M44" i="4"/>
  <c r="H8" i="4"/>
  <c r="I8" i="4" s="1"/>
  <c r="P353" i="6" l="1"/>
  <c r="Q353" i="6" s="1"/>
  <c r="O21" i="6"/>
  <c r="P20" i="6"/>
  <c r="Q20" i="6" s="1"/>
  <c r="P237" i="6"/>
  <c r="Q237" i="6" s="1"/>
  <c r="O238" i="6"/>
  <c r="P718" i="6"/>
  <c r="Q718" i="6" s="1"/>
  <c r="O719" i="6"/>
  <c r="P719" i="6" s="1"/>
  <c r="Q719" i="6" s="1"/>
  <c r="P147" i="6"/>
  <c r="Q147" i="6" s="1"/>
  <c r="O148" i="6"/>
  <c r="O439" i="6"/>
  <c r="P438" i="6"/>
  <c r="Q438" i="6" s="1"/>
  <c r="P104" i="6"/>
  <c r="Q104" i="6" s="1"/>
  <c r="O105" i="6"/>
  <c r="P254" i="6"/>
  <c r="Q254" i="6" s="1"/>
  <c r="O255" i="6"/>
  <c r="O711" i="6"/>
  <c r="P711" i="6" s="1"/>
  <c r="Q711" i="6" s="1"/>
  <c r="P710" i="6"/>
  <c r="Q710" i="6" s="1"/>
  <c r="P381" i="6"/>
  <c r="Q381" i="6" s="1"/>
  <c r="O382" i="6"/>
  <c r="O527" i="6"/>
  <c r="P526" i="6"/>
  <c r="Q526" i="6" s="1"/>
  <c r="O451" i="6"/>
  <c r="P450" i="6"/>
  <c r="Q450" i="6" s="1"/>
  <c r="P7" i="6"/>
  <c r="Q7" i="6" s="1"/>
  <c r="O8" i="6"/>
  <c r="O268" i="6"/>
  <c r="P267" i="6"/>
  <c r="Q267" i="6" s="1"/>
  <c r="O427" i="6"/>
  <c r="P426" i="6"/>
  <c r="Q426" i="6" s="1"/>
  <c r="P602" i="6"/>
  <c r="Q602" i="6" s="1"/>
  <c r="O603" i="6"/>
  <c r="P614" i="6"/>
  <c r="Q614" i="6" s="1"/>
  <c r="O615" i="6"/>
  <c r="P615" i="6" s="1"/>
  <c r="Q615" i="6" s="1"/>
  <c r="O341" i="6"/>
  <c r="P340" i="6"/>
  <c r="Q340" i="6" s="1"/>
  <c r="O539" i="6"/>
  <c r="P538" i="6"/>
  <c r="Q538" i="6" s="1"/>
  <c r="P360" i="6"/>
  <c r="Q360" i="6" s="1"/>
  <c r="O361" i="6"/>
  <c r="O247" i="6"/>
  <c r="P246" i="6"/>
  <c r="Q246" i="6" s="1"/>
  <c r="P621" i="6"/>
  <c r="Q621" i="6" s="1"/>
  <c r="O622" i="6"/>
  <c r="O391" i="6"/>
  <c r="P390" i="6"/>
  <c r="Q390" i="6" s="1"/>
  <c r="O321" i="6"/>
  <c r="P320" i="6"/>
  <c r="Q320" i="6" s="1"/>
  <c r="P94" i="6"/>
  <c r="Q94" i="6" s="1"/>
  <c r="O95" i="6"/>
  <c r="O312" i="6"/>
  <c r="P312" i="6" s="1"/>
  <c r="P311" i="6"/>
  <c r="Q311" i="6" s="1"/>
  <c r="P580" i="6"/>
  <c r="Q580" i="6" s="1"/>
  <c r="O581" i="6"/>
  <c r="P76" i="6"/>
  <c r="Q76" i="6" s="1"/>
  <c r="O77" i="6"/>
  <c r="P77" i="6" s="1"/>
  <c r="Q77" i="6" s="1"/>
  <c r="P399" i="6"/>
  <c r="Q399" i="6" s="1"/>
  <c r="O400" i="6"/>
  <c r="O639" i="6"/>
  <c r="P638" i="6"/>
  <c r="Q638" i="6" s="1"/>
  <c r="P411" i="6"/>
  <c r="Q411" i="6" s="1"/>
  <c r="O412" i="6"/>
  <c r="P412" i="6" s="1"/>
  <c r="Q412" i="6" s="1"/>
  <c r="P552" i="6"/>
  <c r="Q552" i="6" s="1"/>
  <c r="O553" i="6"/>
  <c r="O631" i="6"/>
  <c r="P630" i="6"/>
  <c r="Q630" i="6" s="1"/>
  <c r="P468" i="6"/>
  <c r="Q468" i="6" s="1"/>
  <c r="O469" i="6"/>
  <c r="P207" i="6"/>
  <c r="Q207" i="6" s="1"/>
  <c r="O208" i="6"/>
  <c r="P208" i="6" s="1"/>
  <c r="Q208" i="6" s="1"/>
  <c r="P156" i="6"/>
  <c r="Q156" i="6" s="1"/>
  <c r="O157" i="6"/>
  <c r="P86" i="6"/>
  <c r="Q86" i="6" s="1"/>
  <c r="O87" i="6"/>
  <c r="P87" i="6" s="1"/>
  <c r="Q87" i="6" s="1"/>
  <c r="O518" i="6"/>
  <c r="P517" i="6"/>
  <c r="Q517" i="6" s="1"/>
  <c r="P460" i="6"/>
  <c r="Q460" i="6" s="1"/>
  <c r="O461" i="6"/>
  <c r="P461" i="6" s="1"/>
  <c r="Q461" i="6" s="1"/>
  <c r="P508" i="6"/>
  <c r="Q508" i="6" s="1"/>
  <c r="O509" i="6"/>
  <c r="O371" i="6"/>
  <c r="P370" i="6"/>
  <c r="Q370" i="6" s="1"/>
  <c r="P119" i="6"/>
  <c r="Q119" i="6" s="1"/>
  <c r="O120" i="6"/>
  <c r="P572" i="6"/>
  <c r="Q572" i="6" s="1"/>
  <c r="O573" i="6"/>
  <c r="P573" i="6" s="1"/>
  <c r="Q573" i="6" s="1"/>
  <c r="P193" i="6"/>
  <c r="Q193" i="6" s="1"/>
  <c r="O194" i="6"/>
  <c r="P492" i="6"/>
  <c r="Q492" i="6" s="1"/>
  <c r="O493" i="6"/>
  <c r="P166" i="6"/>
  <c r="Q166" i="6" s="1"/>
  <c r="O167" i="6"/>
  <c r="O660" i="6"/>
  <c r="P656" i="6"/>
  <c r="Q656" i="6" s="1"/>
  <c r="P216" i="6"/>
  <c r="Q216" i="6" s="1"/>
  <c r="O217" i="6"/>
  <c r="P217" i="6" s="1"/>
  <c r="Q217" i="6" s="1"/>
  <c r="O50" i="6"/>
  <c r="P49" i="6"/>
  <c r="Q49" i="6" s="1"/>
  <c r="P564" i="6"/>
  <c r="Q564" i="6" s="1"/>
  <c r="O565" i="6"/>
  <c r="P565" i="6" s="1"/>
  <c r="Q565" i="6" s="1"/>
  <c r="P276" i="6"/>
  <c r="Q276" i="6" s="1"/>
  <c r="O277" i="6"/>
  <c r="O131" i="6"/>
  <c r="P130" i="6"/>
  <c r="Q130" i="6" s="1"/>
  <c r="P182" i="6"/>
  <c r="Q182" i="6" s="1"/>
  <c r="O183" i="6"/>
  <c r="P480" i="6"/>
  <c r="Q480" i="6" s="1"/>
  <c r="O481" i="6"/>
  <c r="O688" i="6"/>
  <c r="P687" i="6"/>
  <c r="Q687" i="6" s="1"/>
  <c r="P63" i="6"/>
  <c r="Q63" i="6" s="1"/>
  <c r="O64" i="6"/>
  <c r="O287" i="6"/>
  <c r="P286" i="6"/>
  <c r="Q286" i="6" s="1"/>
  <c r="P300" i="6"/>
  <c r="Q300" i="6" s="1"/>
  <c r="O301" i="6"/>
  <c r="O225" i="6"/>
  <c r="P224" i="6"/>
  <c r="Q224" i="6" s="1"/>
  <c r="P39" i="6"/>
  <c r="Q39" i="6" s="1"/>
  <c r="O40" i="6"/>
  <c r="P588" i="6"/>
  <c r="Q588" i="6" s="1"/>
  <c r="O589" i="6"/>
  <c r="P500" i="6"/>
  <c r="Q500" i="6" s="1"/>
  <c r="O501" i="6"/>
  <c r="O329" i="6"/>
  <c r="P328" i="6"/>
  <c r="Q328" i="6" s="1"/>
  <c r="A694" i="6"/>
  <c r="A687" i="6"/>
  <c r="A688" i="6" s="1"/>
  <c r="A689" i="6" s="1"/>
  <c r="A690" i="6" s="1"/>
  <c r="M708" i="4"/>
  <c r="N708" i="4" s="1"/>
  <c r="O708" i="4" s="1"/>
  <c r="M707" i="4"/>
  <c r="N707" i="4" s="1"/>
  <c r="O707" i="4" s="1"/>
  <c r="N660" i="4"/>
  <c r="N611" i="4"/>
  <c r="O611" i="4" s="1"/>
  <c r="N610" i="4"/>
  <c r="M663" i="4"/>
  <c r="M664" i="4" s="1"/>
  <c r="N664" i="4" s="1"/>
  <c r="O664" i="4" s="1"/>
  <c r="N615" i="4"/>
  <c r="M640" i="4"/>
  <c r="N640" i="4" s="1"/>
  <c r="M701" i="4"/>
  <c r="N701" i="4" s="1"/>
  <c r="O701" i="4" s="1"/>
  <c r="M635" i="4"/>
  <c r="M642" i="4" s="1"/>
  <c r="N642" i="4" s="1"/>
  <c r="O642" i="4" s="1"/>
  <c r="M634" i="4"/>
  <c r="N612" i="4"/>
  <c r="O612" i="4" s="1"/>
  <c r="N613" i="4"/>
  <c r="O613" i="4" s="1"/>
  <c r="N614" i="4"/>
  <c r="O614" i="4" s="1"/>
  <c r="N342" i="4"/>
  <c r="O342" i="4" s="1"/>
  <c r="N321" i="4"/>
  <c r="N341" i="4"/>
  <c r="N121" i="4"/>
  <c r="M561" i="4"/>
  <c r="M441" i="4"/>
  <c r="M442" i="4" s="1"/>
  <c r="N15" i="4"/>
  <c r="M79" i="4"/>
  <c r="M80" i="4" s="1"/>
  <c r="M281" i="4"/>
  <c r="N281" i="4" s="1"/>
  <c r="O281" i="4" s="1"/>
  <c r="M553" i="4"/>
  <c r="N553" i="4" s="1"/>
  <c r="O553" i="4" s="1"/>
  <c r="M130" i="4"/>
  <c r="M131" i="4" s="1"/>
  <c r="N3" i="4"/>
  <c r="N259" i="4"/>
  <c r="M260" i="4"/>
  <c r="N690" i="4"/>
  <c r="N370" i="4"/>
  <c r="M500" i="4"/>
  <c r="N499" i="4"/>
  <c r="O499" i="4" s="1"/>
  <c r="N34" i="4"/>
  <c r="M620" i="4"/>
  <c r="N619" i="4"/>
  <c r="M474" i="4"/>
  <c r="N473" i="4"/>
  <c r="M138" i="4"/>
  <c r="N137" i="4"/>
  <c r="N350" i="4"/>
  <c r="M240" i="4"/>
  <c r="N240" i="4" s="1"/>
  <c r="N399" i="4"/>
  <c r="M400" i="4"/>
  <c r="N231" i="4"/>
  <c r="M232" i="4"/>
  <c r="N24" i="4"/>
  <c r="M25" i="4"/>
  <c r="M311" i="4"/>
  <c r="N310" i="4"/>
  <c r="N300" i="4"/>
  <c r="M301" i="4"/>
  <c r="M36" i="4"/>
  <c r="N35" i="4"/>
  <c r="O35" i="4" s="1"/>
  <c r="M323" i="4"/>
  <c r="N322" i="4"/>
  <c r="O322" i="4" s="1"/>
  <c r="N507" i="4"/>
  <c r="M508" i="4"/>
  <c r="M364" i="4"/>
  <c r="N363" i="4"/>
  <c r="O363" i="4" s="1"/>
  <c r="N202" i="4"/>
  <c r="M203" i="4"/>
  <c r="N293" i="4"/>
  <c r="O293" i="4" s="1"/>
  <c r="M294" i="4"/>
  <c r="N87" i="4"/>
  <c r="M88" i="4"/>
  <c r="N193" i="4"/>
  <c r="M194" i="4"/>
  <c r="M482" i="4"/>
  <c r="N481" i="4"/>
  <c r="M583" i="4"/>
  <c r="N582" i="4"/>
  <c r="M596" i="4"/>
  <c r="N595" i="4"/>
  <c r="O595" i="4" s="1"/>
  <c r="N146" i="4"/>
  <c r="M147" i="4"/>
  <c r="M693" i="4"/>
  <c r="N692" i="4"/>
  <c r="O692" i="4" s="1"/>
  <c r="M344" i="4"/>
  <c r="N343" i="4"/>
  <c r="O343" i="4" s="1"/>
  <c r="N602" i="4"/>
  <c r="M603" i="4"/>
  <c r="N714" i="4"/>
  <c r="N70" i="4"/>
  <c r="M71" i="4"/>
  <c r="N58" i="4"/>
  <c r="M59" i="4"/>
  <c r="M545" i="4"/>
  <c r="N544" i="4"/>
  <c r="M156" i="4"/>
  <c r="N155" i="4"/>
  <c r="N520" i="4"/>
  <c r="M521" i="4"/>
  <c r="M211" i="4"/>
  <c r="N210" i="4"/>
  <c r="M17" i="4"/>
  <c r="N16" i="4"/>
  <c r="O16" i="4" s="1"/>
  <c r="N431" i="4"/>
  <c r="M432" i="4"/>
  <c r="M269" i="4"/>
  <c r="N268" i="4"/>
  <c r="N706" i="4"/>
  <c r="M5" i="4"/>
  <c r="N4" i="4"/>
  <c r="O4" i="4" s="1"/>
  <c r="N96" i="4"/>
  <c r="M97" i="4"/>
  <c r="N407" i="4"/>
  <c r="M408" i="4"/>
  <c r="M170" i="4"/>
  <c r="N169" i="4"/>
  <c r="M182" i="4"/>
  <c r="N181" i="4"/>
  <c r="N44" i="4"/>
  <c r="M45" i="4"/>
  <c r="N109" i="4"/>
  <c r="M110" i="4"/>
  <c r="M462" i="4"/>
  <c r="N461" i="4"/>
  <c r="M352" i="4"/>
  <c r="N351" i="4"/>
  <c r="M372" i="4"/>
  <c r="N371" i="4"/>
  <c r="O371" i="4" s="1"/>
  <c r="M534" i="4"/>
  <c r="N533" i="4"/>
  <c r="O533" i="4" s="1"/>
  <c r="M123" i="4"/>
  <c r="N122" i="4"/>
  <c r="O122" i="4" s="1"/>
  <c r="M335" i="4"/>
  <c r="N334" i="4"/>
  <c r="O334" i="4" s="1"/>
  <c r="M392" i="4"/>
  <c r="N391" i="4"/>
  <c r="M449" i="4"/>
  <c r="N448" i="4"/>
  <c r="M420" i="4"/>
  <c r="N419" i="4"/>
  <c r="M252" i="4"/>
  <c r="N251" i="4"/>
  <c r="M224" i="4"/>
  <c r="N223" i="4"/>
  <c r="M570" i="4"/>
  <c r="N569" i="4"/>
  <c r="M383" i="4"/>
  <c r="N382" i="4"/>
  <c r="O382" i="4" s="1"/>
  <c r="M491" i="4"/>
  <c r="N490" i="4"/>
  <c r="O490" i="4" s="1"/>
  <c r="H720" i="4"/>
  <c r="O720" i="4" s="1"/>
  <c r="E719" i="4"/>
  <c r="A713" i="4"/>
  <c r="A714" i="4" s="1"/>
  <c r="A715" i="4" s="1"/>
  <c r="A716" i="4" s="1"/>
  <c r="A717" i="4" s="1"/>
  <c r="A718" i="4" s="1"/>
  <c r="A719" i="4" s="1"/>
  <c r="A720" i="4" s="1"/>
  <c r="H712" i="4"/>
  <c r="E711" i="4"/>
  <c r="A705" i="4"/>
  <c r="H704" i="4"/>
  <c r="E703" i="4"/>
  <c r="A697" i="4"/>
  <c r="A698" i="4" s="1"/>
  <c r="H696" i="4"/>
  <c r="E695" i="4"/>
  <c r="A689" i="4"/>
  <c r="H688" i="4"/>
  <c r="E687" i="4"/>
  <c r="H671" i="4"/>
  <c r="I671" i="4" s="1"/>
  <c r="K660" i="4"/>
  <c r="K668" i="4" s="1"/>
  <c r="A659" i="4"/>
  <c r="H658" i="4"/>
  <c r="E657" i="4"/>
  <c r="K632" i="4"/>
  <c r="K640" i="4" s="1"/>
  <c r="A631" i="4"/>
  <c r="H630" i="4"/>
  <c r="E629" i="4"/>
  <c r="K619" i="4"/>
  <c r="K620" i="4" s="1"/>
  <c r="K621" i="4" s="1"/>
  <c r="K622" i="4" s="1"/>
  <c r="K623" i="4" s="1"/>
  <c r="K624" i="4" s="1"/>
  <c r="K625" i="4" s="1"/>
  <c r="K626" i="4" s="1"/>
  <c r="K627" i="4" s="1"/>
  <c r="K628" i="4" s="1"/>
  <c r="K629" i="4" s="1"/>
  <c r="K630" i="4" s="1"/>
  <c r="A618" i="4"/>
  <c r="A619" i="4" s="1"/>
  <c r="A620" i="4" s="1"/>
  <c r="A621" i="4" s="1"/>
  <c r="A622" i="4" s="1"/>
  <c r="A623" i="4" s="1"/>
  <c r="A624" i="4" s="1"/>
  <c r="A625" i="4" s="1"/>
  <c r="A626" i="4" s="1"/>
  <c r="A627" i="4" s="1"/>
  <c r="A628" i="4" s="1"/>
  <c r="A629" i="4" s="1"/>
  <c r="A630" i="4" s="1"/>
  <c r="H617" i="4"/>
  <c r="O617" i="4" s="1"/>
  <c r="E616" i="4"/>
  <c r="I616" i="4" s="1"/>
  <c r="K610" i="4"/>
  <c r="K611" i="4" s="1"/>
  <c r="K612" i="4" s="1"/>
  <c r="K613" i="4" s="1"/>
  <c r="K614" i="4" s="1"/>
  <c r="K615" i="4" s="1"/>
  <c r="K616" i="4" s="1"/>
  <c r="K617" i="4" s="1"/>
  <c r="A609" i="4"/>
  <c r="A610" i="4" s="1"/>
  <c r="A611" i="4" s="1"/>
  <c r="A612" i="4" s="1"/>
  <c r="A613" i="4" s="1"/>
  <c r="A614" i="4" s="1"/>
  <c r="A615" i="4" s="1"/>
  <c r="A616" i="4" s="1"/>
  <c r="A617" i="4" s="1"/>
  <c r="H608" i="4"/>
  <c r="E607" i="4"/>
  <c r="K602" i="4"/>
  <c r="K603" i="4" s="1"/>
  <c r="K604" i="4" s="1"/>
  <c r="K605" i="4" s="1"/>
  <c r="K606" i="4" s="1"/>
  <c r="K607" i="4" s="1"/>
  <c r="K608" i="4" s="1"/>
  <c r="A601" i="4"/>
  <c r="A602" i="4" s="1"/>
  <c r="A603" i="4" s="1"/>
  <c r="A604" i="4" s="1"/>
  <c r="A605" i="4" s="1"/>
  <c r="A606" i="4" s="1"/>
  <c r="A607" i="4" s="1"/>
  <c r="A608" i="4" s="1"/>
  <c r="H600" i="4"/>
  <c r="E599" i="4"/>
  <c r="K594" i="4"/>
  <c r="K595" i="4" s="1"/>
  <c r="K596" i="4" s="1"/>
  <c r="K597" i="4" s="1"/>
  <c r="K598" i="4" s="1"/>
  <c r="K599" i="4" s="1"/>
  <c r="K600" i="4" s="1"/>
  <c r="A593" i="4"/>
  <c r="A594" i="4" s="1"/>
  <c r="A595" i="4" s="1"/>
  <c r="A596" i="4" s="1"/>
  <c r="A597" i="4" s="1"/>
  <c r="A598" i="4" s="1"/>
  <c r="A599" i="4" s="1"/>
  <c r="A600" i="4" s="1"/>
  <c r="H592" i="4"/>
  <c r="E591" i="4"/>
  <c r="K582" i="4"/>
  <c r="K583" i="4" s="1"/>
  <c r="K584" i="4" s="1"/>
  <c r="K585" i="4" s="1"/>
  <c r="K586" i="4" s="1"/>
  <c r="K587" i="4" s="1"/>
  <c r="K588" i="4" s="1"/>
  <c r="K589" i="4" s="1"/>
  <c r="K590" i="4" s="1"/>
  <c r="K591" i="4" s="1"/>
  <c r="K592" i="4" s="1"/>
  <c r="A581" i="4"/>
  <c r="A582" i="4" s="1"/>
  <c r="A583" i="4" s="1"/>
  <c r="A584" i="4" s="1"/>
  <c r="A585" i="4" s="1"/>
  <c r="A586" i="4" s="1"/>
  <c r="A587" i="4" s="1"/>
  <c r="A588" i="4" s="1"/>
  <c r="A589" i="4" s="1"/>
  <c r="A590" i="4" s="1"/>
  <c r="A591" i="4" s="1"/>
  <c r="A592" i="4" s="1"/>
  <c r="H580" i="4"/>
  <c r="E579" i="4"/>
  <c r="K569" i="4"/>
  <c r="K570" i="4" s="1"/>
  <c r="K571" i="4" s="1"/>
  <c r="K572" i="4" s="1"/>
  <c r="K573" i="4" s="1"/>
  <c r="K574" i="4" s="1"/>
  <c r="K575" i="4" s="1"/>
  <c r="K576" i="4" s="1"/>
  <c r="K577" i="4" s="1"/>
  <c r="K578" i="4" s="1"/>
  <c r="K579" i="4" s="1"/>
  <c r="K580" i="4" s="1"/>
  <c r="A568" i="4"/>
  <c r="A569" i="4" s="1"/>
  <c r="A570" i="4" s="1"/>
  <c r="A571" i="4" s="1"/>
  <c r="A572" i="4" s="1"/>
  <c r="A573" i="4" s="1"/>
  <c r="A574" i="4" s="1"/>
  <c r="A575" i="4" s="1"/>
  <c r="A576" i="4" s="1"/>
  <c r="A577" i="4" s="1"/>
  <c r="A578" i="4" s="1"/>
  <c r="A579" i="4" s="1"/>
  <c r="A580" i="4" s="1"/>
  <c r="H567" i="4"/>
  <c r="E566" i="4"/>
  <c r="K560" i="4"/>
  <c r="K561" i="4" s="1"/>
  <c r="K562" i="4" s="1"/>
  <c r="K563" i="4" s="1"/>
  <c r="K564" i="4" s="1"/>
  <c r="K565" i="4" s="1"/>
  <c r="K566" i="4" s="1"/>
  <c r="K567" i="4" s="1"/>
  <c r="A559" i="4"/>
  <c r="A560" i="4" s="1"/>
  <c r="A561" i="4" s="1"/>
  <c r="A562" i="4" s="1"/>
  <c r="A563" i="4" s="1"/>
  <c r="A564" i="4" s="1"/>
  <c r="A565" i="4" s="1"/>
  <c r="A566" i="4" s="1"/>
  <c r="A567" i="4" s="1"/>
  <c r="H558" i="4"/>
  <c r="E557" i="4"/>
  <c r="K552" i="4"/>
  <c r="K553" i="4" s="1"/>
  <c r="K554" i="4" s="1"/>
  <c r="K555" i="4" s="1"/>
  <c r="K556" i="4" s="1"/>
  <c r="K557" i="4" s="1"/>
  <c r="K558" i="4" s="1"/>
  <c r="A551" i="4"/>
  <c r="A552" i="4" s="1"/>
  <c r="A553" i="4" s="1"/>
  <c r="A554" i="4" s="1"/>
  <c r="A555" i="4" s="1"/>
  <c r="A556" i="4" s="1"/>
  <c r="A557" i="4" s="1"/>
  <c r="A558" i="4" s="1"/>
  <c r="H550" i="4"/>
  <c r="E549" i="4"/>
  <c r="K544" i="4"/>
  <c r="K545" i="4" s="1"/>
  <c r="K546" i="4" s="1"/>
  <c r="K547" i="4" s="1"/>
  <c r="K548" i="4" s="1"/>
  <c r="K549" i="4" s="1"/>
  <c r="K550" i="4" s="1"/>
  <c r="A543" i="4"/>
  <c r="A544" i="4" s="1"/>
  <c r="A545" i="4" s="1"/>
  <c r="A546" i="4" s="1"/>
  <c r="A547" i="4" s="1"/>
  <c r="A548" i="4" s="1"/>
  <c r="A549" i="4" s="1"/>
  <c r="A550" i="4" s="1"/>
  <c r="H542" i="4"/>
  <c r="E541" i="4"/>
  <c r="K532" i="4"/>
  <c r="K533" i="4" s="1"/>
  <c r="K534" i="4" s="1"/>
  <c r="K535" i="4" s="1"/>
  <c r="K536" i="4" s="1"/>
  <c r="K537" i="4" s="1"/>
  <c r="K538" i="4" s="1"/>
  <c r="K539" i="4" s="1"/>
  <c r="K540" i="4" s="1"/>
  <c r="K541" i="4" s="1"/>
  <c r="K542" i="4" s="1"/>
  <c r="A531" i="4"/>
  <c r="A532" i="4" s="1"/>
  <c r="A533" i="4" s="1"/>
  <c r="A534" i="4" s="1"/>
  <c r="A535" i="4" s="1"/>
  <c r="A536" i="4" s="1"/>
  <c r="A537" i="4" s="1"/>
  <c r="A538" i="4" s="1"/>
  <c r="A539" i="4" s="1"/>
  <c r="A540" i="4" s="1"/>
  <c r="A541" i="4" s="1"/>
  <c r="A542" i="4" s="1"/>
  <c r="H530" i="4"/>
  <c r="E529" i="4"/>
  <c r="K519" i="4"/>
  <c r="K520" i="4" s="1"/>
  <c r="K521" i="4" s="1"/>
  <c r="K522" i="4" s="1"/>
  <c r="K523" i="4" s="1"/>
  <c r="K524" i="4" s="1"/>
  <c r="K525" i="4" s="1"/>
  <c r="K526" i="4" s="1"/>
  <c r="K527" i="4" s="1"/>
  <c r="K528" i="4" s="1"/>
  <c r="K529" i="4" s="1"/>
  <c r="K530" i="4" s="1"/>
  <c r="A518" i="4"/>
  <c r="A519" i="4" s="1"/>
  <c r="A520" i="4" s="1"/>
  <c r="A521" i="4" s="1"/>
  <c r="A522" i="4" s="1"/>
  <c r="A523" i="4" s="1"/>
  <c r="A524" i="4" s="1"/>
  <c r="A525" i="4" s="1"/>
  <c r="A526" i="4" s="1"/>
  <c r="A527" i="4" s="1"/>
  <c r="A528" i="4" s="1"/>
  <c r="A529" i="4" s="1"/>
  <c r="A530" i="4" s="1"/>
  <c r="H517" i="4"/>
  <c r="E516" i="4"/>
  <c r="K507" i="4"/>
  <c r="K508" i="4" s="1"/>
  <c r="K509" i="4" s="1"/>
  <c r="K510" i="4" s="1"/>
  <c r="K511" i="4" s="1"/>
  <c r="K512" i="4" s="1"/>
  <c r="K513" i="4" s="1"/>
  <c r="K514" i="4" s="1"/>
  <c r="K515" i="4" s="1"/>
  <c r="K516" i="4" s="1"/>
  <c r="K517" i="4" s="1"/>
  <c r="A506" i="4"/>
  <c r="A507" i="4" s="1"/>
  <c r="A508" i="4" s="1"/>
  <c r="A509" i="4" s="1"/>
  <c r="A510" i="4" s="1"/>
  <c r="A511" i="4" s="1"/>
  <c r="A512" i="4" s="1"/>
  <c r="A513" i="4" s="1"/>
  <c r="A514" i="4" s="1"/>
  <c r="A515" i="4" s="1"/>
  <c r="A516" i="4" s="1"/>
  <c r="A517" i="4" s="1"/>
  <c r="H505" i="4"/>
  <c r="E504" i="4"/>
  <c r="K498" i="4"/>
  <c r="K499" i="4" s="1"/>
  <c r="K500" i="4" s="1"/>
  <c r="K501" i="4" s="1"/>
  <c r="K502" i="4" s="1"/>
  <c r="K503" i="4" s="1"/>
  <c r="K504" i="4" s="1"/>
  <c r="K505" i="4" s="1"/>
  <c r="A497" i="4"/>
  <c r="A498" i="4" s="1"/>
  <c r="A499" i="4" s="1"/>
  <c r="A500" i="4" s="1"/>
  <c r="A501" i="4" s="1"/>
  <c r="A502" i="4" s="1"/>
  <c r="A503" i="4" s="1"/>
  <c r="A504" i="4" s="1"/>
  <c r="A505" i="4" s="1"/>
  <c r="H496" i="4"/>
  <c r="E495" i="4"/>
  <c r="K489" i="4"/>
  <c r="K490" i="4" s="1"/>
  <c r="K491" i="4" s="1"/>
  <c r="K492" i="4" s="1"/>
  <c r="K493" i="4" s="1"/>
  <c r="K494" i="4" s="1"/>
  <c r="K495" i="4" s="1"/>
  <c r="K496" i="4" s="1"/>
  <c r="A488" i="4"/>
  <c r="A489" i="4" s="1"/>
  <c r="A490" i="4" s="1"/>
  <c r="A491" i="4" s="1"/>
  <c r="A492" i="4" s="1"/>
  <c r="A493" i="4" s="1"/>
  <c r="A494" i="4" s="1"/>
  <c r="A495" i="4" s="1"/>
  <c r="A496" i="4" s="1"/>
  <c r="E486" i="4"/>
  <c r="K481" i="4"/>
  <c r="K482" i="4" s="1"/>
  <c r="K483" i="4" s="1"/>
  <c r="K484" i="4" s="1"/>
  <c r="K485" i="4" s="1"/>
  <c r="K486" i="4" s="1"/>
  <c r="K487" i="4" s="1"/>
  <c r="A480" i="4"/>
  <c r="A481" i="4" s="1"/>
  <c r="A482" i="4" s="1"/>
  <c r="A483" i="4" s="1"/>
  <c r="A484" i="4" s="1"/>
  <c r="A485" i="4" s="1"/>
  <c r="H479" i="4"/>
  <c r="E478" i="4"/>
  <c r="K473" i="4"/>
  <c r="K474" i="4" s="1"/>
  <c r="K475" i="4" s="1"/>
  <c r="K476" i="4" s="1"/>
  <c r="K477" i="4" s="1"/>
  <c r="K478" i="4" s="1"/>
  <c r="K479" i="4" s="1"/>
  <c r="A472" i="4"/>
  <c r="A473" i="4" s="1"/>
  <c r="A474" i="4" s="1"/>
  <c r="A475" i="4" s="1"/>
  <c r="A476" i="4" s="1"/>
  <c r="A477" i="4" s="1"/>
  <c r="A478" i="4" s="1"/>
  <c r="A479" i="4" s="1"/>
  <c r="H471" i="4"/>
  <c r="E470" i="4"/>
  <c r="K461" i="4"/>
  <c r="K462" i="4" s="1"/>
  <c r="K463" i="4" s="1"/>
  <c r="K464" i="4" s="1"/>
  <c r="K465" i="4" s="1"/>
  <c r="K466" i="4" s="1"/>
  <c r="K467" i="4" s="1"/>
  <c r="K468" i="4" s="1"/>
  <c r="K469" i="4" s="1"/>
  <c r="K470" i="4" s="1"/>
  <c r="K471" i="4" s="1"/>
  <c r="A460" i="4"/>
  <c r="A461" i="4" s="1"/>
  <c r="A462" i="4" s="1"/>
  <c r="A463" i="4" s="1"/>
  <c r="A464" i="4" s="1"/>
  <c r="A465" i="4" s="1"/>
  <c r="A466" i="4" s="1"/>
  <c r="A467" i="4" s="1"/>
  <c r="A468" i="4" s="1"/>
  <c r="A469" i="4" s="1"/>
  <c r="A470" i="4" s="1"/>
  <c r="A471" i="4" s="1"/>
  <c r="H459" i="4"/>
  <c r="E458" i="4"/>
  <c r="K448" i="4"/>
  <c r="K449" i="4" s="1"/>
  <c r="K450" i="4" s="1"/>
  <c r="K451" i="4" s="1"/>
  <c r="K452" i="4" s="1"/>
  <c r="K453" i="4" s="1"/>
  <c r="K454" i="4" s="1"/>
  <c r="K455" i="4" s="1"/>
  <c r="K456" i="4" s="1"/>
  <c r="K457" i="4" s="1"/>
  <c r="K458" i="4" s="1"/>
  <c r="K459" i="4" s="1"/>
  <c r="A447" i="4"/>
  <c r="A448" i="4" s="1"/>
  <c r="A449" i="4" s="1"/>
  <c r="A450" i="4" s="1"/>
  <c r="A451" i="4" s="1"/>
  <c r="A452" i="4" s="1"/>
  <c r="A453" i="4" s="1"/>
  <c r="A454" i="4" s="1"/>
  <c r="A455" i="4" s="1"/>
  <c r="A456" i="4" s="1"/>
  <c r="A457" i="4" s="1"/>
  <c r="A458" i="4" s="1"/>
  <c r="A459" i="4" s="1"/>
  <c r="H446" i="4"/>
  <c r="E445" i="4"/>
  <c r="K440" i="4"/>
  <c r="K441" i="4" s="1"/>
  <c r="K442" i="4" s="1"/>
  <c r="K443" i="4" s="1"/>
  <c r="K444" i="4" s="1"/>
  <c r="K445" i="4" s="1"/>
  <c r="K446" i="4" s="1"/>
  <c r="A439" i="4"/>
  <c r="A440" i="4" s="1"/>
  <c r="A441" i="4" s="1"/>
  <c r="A442" i="4" s="1"/>
  <c r="A443" i="4" s="1"/>
  <c r="A444" i="4" s="1"/>
  <c r="A445" i="4" s="1"/>
  <c r="A446" i="4" s="1"/>
  <c r="H438" i="4"/>
  <c r="E437" i="4"/>
  <c r="K431" i="4"/>
  <c r="K432" i="4" s="1"/>
  <c r="K433" i="4" s="1"/>
  <c r="K434" i="4" s="1"/>
  <c r="K435" i="4" s="1"/>
  <c r="K436" i="4" s="1"/>
  <c r="K437" i="4" s="1"/>
  <c r="K438" i="4" s="1"/>
  <c r="A430" i="4"/>
  <c r="A431" i="4" s="1"/>
  <c r="A432" i="4" s="1"/>
  <c r="A433" i="4" s="1"/>
  <c r="A434" i="4" s="1"/>
  <c r="A435" i="4" s="1"/>
  <c r="A436" i="4" s="1"/>
  <c r="A437" i="4" s="1"/>
  <c r="A438" i="4" s="1"/>
  <c r="H429" i="4"/>
  <c r="E428" i="4"/>
  <c r="K419" i="4"/>
  <c r="K420" i="4" s="1"/>
  <c r="K421" i="4" s="1"/>
  <c r="K422" i="4" s="1"/>
  <c r="K423" i="4" s="1"/>
  <c r="K424" i="4" s="1"/>
  <c r="K425" i="4" s="1"/>
  <c r="K426" i="4" s="1"/>
  <c r="K427" i="4" s="1"/>
  <c r="K428" i="4" s="1"/>
  <c r="K429" i="4" s="1"/>
  <c r="A418" i="4"/>
  <c r="A419" i="4" s="1"/>
  <c r="A420" i="4" s="1"/>
  <c r="A421" i="4" s="1"/>
  <c r="A422" i="4" s="1"/>
  <c r="A423" i="4" s="1"/>
  <c r="A424" i="4" s="1"/>
  <c r="A425" i="4" s="1"/>
  <c r="A426" i="4" s="1"/>
  <c r="A427" i="4" s="1"/>
  <c r="A428" i="4" s="1"/>
  <c r="A429" i="4" s="1"/>
  <c r="H417" i="4"/>
  <c r="E416" i="4"/>
  <c r="K407" i="4"/>
  <c r="K408" i="4" s="1"/>
  <c r="K409" i="4" s="1"/>
  <c r="K410" i="4" s="1"/>
  <c r="K411" i="4" s="1"/>
  <c r="K412" i="4" s="1"/>
  <c r="K413" i="4" s="1"/>
  <c r="K414" i="4" s="1"/>
  <c r="K415" i="4" s="1"/>
  <c r="K416" i="4" s="1"/>
  <c r="K417" i="4" s="1"/>
  <c r="A406" i="4"/>
  <c r="A407" i="4" s="1"/>
  <c r="A408" i="4" s="1"/>
  <c r="A409" i="4" s="1"/>
  <c r="A410" i="4" s="1"/>
  <c r="A411" i="4" s="1"/>
  <c r="A412" i="4" s="1"/>
  <c r="A413" i="4" s="1"/>
  <c r="A414" i="4" s="1"/>
  <c r="A415" i="4" s="1"/>
  <c r="A416" i="4" s="1"/>
  <c r="A417" i="4" s="1"/>
  <c r="H405" i="4"/>
  <c r="E404" i="4"/>
  <c r="K399" i="4"/>
  <c r="K400" i="4" s="1"/>
  <c r="K401" i="4" s="1"/>
  <c r="K402" i="4" s="1"/>
  <c r="K403" i="4" s="1"/>
  <c r="K404" i="4" s="1"/>
  <c r="K405" i="4" s="1"/>
  <c r="A398" i="4"/>
  <c r="A399" i="4" s="1"/>
  <c r="A400" i="4" s="1"/>
  <c r="A401" i="4" s="1"/>
  <c r="A402" i="4" s="1"/>
  <c r="A403" i="4" s="1"/>
  <c r="A404" i="4" s="1"/>
  <c r="A405" i="4" s="1"/>
  <c r="H397" i="4"/>
  <c r="E396" i="4"/>
  <c r="K391" i="4"/>
  <c r="K392" i="4" s="1"/>
  <c r="K393" i="4" s="1"/>
  <c r="K394" i="4" s="1"/>
  <c r="K395" i="4" s="1"/>
  <c r="K396" i="4" s="1"/>
  <c r="K397" i="4" s="1"/>
  <c r="A390" i="4"/>
  <c r="A391" i="4" s="1"/>
  <c r="A392" i="4" s="1"/>
  <c r="A393" i="4" s="1"/>
  <c r="A394" i="4" s="1"/>
  <c r="A395" i="4" s="1"/>
  <c r="A396" i="4" s="1"/>
  <c r="A397" i="4" s="1"/>
  <c r="H389" i="4"/>
  <c r="E388" i="4"/>
  <c r="K379" i="4"/>
  <c r="K380" i="4" s="1"/>
  <c r="K381" i="4" s="1"/>
  <c r="K382" i="4" s="1"/>
  <c r="K383" i="4" s="1"/>
  <c r="K384" i="4" s="1"/>
  <c r="K385" i="4" s="1"/>
  <c r="K386" i="4" s="1"/>
  <c r="K387" i="4" s="1"/>
  <c r="K388" i="4" s="1"/>
  <c r="K389" i="4" s="1"/>
  <c r="A378" i="4"/>
  <c r="A379" i="4" s="1"/>
  <c r="A380" i="4" s="1"/>
  <c r="A381" i="4" s="1"/>
  <c r="A382" i="4" s="1"/>
  <c r="A383" i="4" s="1"/>
  <c r="A384" i="4" s="1"/>
  <c r="A385" i="4" s="1"/>
  <c r="A386" i="4" s="1"/>
  <c r="A387" i="4" s="1"/>
  <c r="A388" i="4" s="1"/>
  <c r="A389" i="4" s="1"/>
  <c r="H377" i="4"/>
  <c r="E376" i="4"/>
  <c r="K370" i="4"/>
  <c r="K371" i="4" s="1"/>
  <c r="K372" i="4" s="1"/>
  <c r="K373" i="4" s="1"/>
  <c r="A369" i="4"/>
  <c r="A370" i="4" s="1"/>
  <c r="A371" i="4" s="1"/>
  <c r="A372" i="4" s="1"/>
  <c r="A373" i="4" s="1"/>
  <c r="A374" i="4" s="1"/>
  <c r="A375" i="4" s="1"/>
  <c r="A376" i="4" s="1"/>
  <c r="A377" i="4" s="1"/>
  <c r="H368" i="4"/>
  <c r="E367" i="4"/>
  <c r="K362" i="4"/>
  <c r="K363" i="4" s="1"/>
  <c r="K364" i="4" s="1"/>
  <c r="K365" i="4" s="1"/>
  <c r="K366" i="4" s="1"/>
  <c r="K367" i="4" s="1"/>
  <c r="K368" i="4" s="1"/>
  <c r="A361" i="4"/>
  <c r="A362" i="4" s="1"/>
  <c r="A363" i="4" s="1"/>
  <c r="A364" i="4" s="1"/>
  <c r="A365" i="4" s="1"/>
  <c r="A366" i="4" s="1"/>
  <c r="A367" i="4" s="1"/>
  <c r="A368" i="4" s="1"/>
  <c r="H360" i="4"/>
  <c r="E359" i="4"/>
  <c r="K350" i="4"/>
  <c r="K351" i="4" s="1"/>
  <c r="K352" i="4" s="1"/>
  <c r="K353" i="4" s="1"/>
  <c r="K354" i="4" s="1"/>
  <c r="K355" i="4" s="1"/>
  <c r="K356" i="4" s="1"/>
  <c r="K357" i="4" s="1"/>
  <c r="K358" i="4" s="1"/>
  <c r="K359" i="4" s="1"/>
  <c r="K360" i="4" s="1"/>
  <c r="A349" i="4"/>
  <c r="A350" i="4" s="1"/>
  <c r="A351" i="4" s="1"/>
  <c r="A352" i="4" s="1"/>
  <c r="A353" i="4" s="1"/>
  <c r="A354" i="4" s="1"/>
  <c r="A355" i="4" s="1"/>
  <c r="A356" i="4" s="1"/>
  <c r="A357" i="4" s="1"/>
  <c r="A358" i="4" s="1"/>
  <c r="A359" i="4" s="1"/>
  <c r="A360" i="4" s="1"/>
  <c r="H348" i="4"/>
  <c r="E347" i="4"/>
  <c r="K341" i="4"/>
  <c r="K342" i="4" s="1"/>
  <c r="K343" i="4" s="1"/>
  <c r="K344" i="4" s="1"/>
  <c r="K345" i="4" s="1"/>
  <c r="K346" i="4" s="1"/>
  <c r="K347" i="4" s="1"/>
  <c r="K348" i="4" s="1"/>
  <c r="A340" i="4"/>
  <c r="A341" i="4" s="1"/>
  <c r="A342" i="4" s="1"/>
  <c r="A343" i="4" s="1"/>
  <c r="A344" i="4" s="1"/>
  <c r="A345" i="4" s="1"/>
  <c r="A346" i="4" s="1"/>
  <c r="A347" i="4" s="1"/>
  <c r="A348" i="4" s="1"/>
  <c r="H339" i="4"/>
  <c r="E338" i="4"/>
  <c r="K333" i="4"/>
  <c r="K334" i="4" s="1"/>
  <c r="K335" i="4" s="1"/>
  <c r="K336" i="4" s="1"/>
  <c r="K337" i="4" s="1"/>
  <c r="K338" i="4" s="1"/>
  <c r="K339" i="4" s="1"/>
  <c r="A332" i="4"/>
  <c r="A333" i="4" s="1"/>
  <c r="A334" i="4" s="1"/>
  <c r="A335" i="4" s="1"/>
  <c r="A336" i="4" s="1"/>
  <c r="A337" i="4" s="1"/>
  <c r="A338" i="4" s="1"/>
  <c r="A339" i="4" s="1"/>
  <c r="H331" i="4"/>
  <c r="E330" i="4"/>
  <c r="K321" i="4"/>
  <c r="K322" i="4" s="1"/>
  <c r="K323" i="4" s="1"/>
  <c r="K324" i="4" s="1"/>
  <c r="K325" i="4" s="1"/>
  <c r="K326" i="4" s="1"/>
  <c r="K327" i="4" s="1"/>
  <c r="K328" i="4" s="1"/>
  <c r="K329" i="4" s="1"/>
  <c r="K330" i="4" s="1"/>
  <c r="K331" i="4" s="1"/>
  <c r="A320" i="4"/>
  <c r="A321" i="4" s="1"/>
  <c r="A322" i="4" s="1"/>
  <c r="A323" i="4" s="1"/>
  <c r="A324" i="4" s="1"/>
  <c r="A325" i="4" s="1"/>
  <c r="A326" i="4" s="1"/>
  <c r="A327" i="4" s="1"/>
  <c r="A328" i="4" s="1"/>
  <c r="A329" i="4" s="1"/>
  <c r="A330" i="4" s="1"/>
  <c r="A331" i="4" s="1"/>
  <c r="H319" i="4"/>
  <c r="E318" i="4"/>
  <c r="K309" i="4"/>
  <c r="K310" i="4" s="1"/>
  <c r="K311" i="4" s="1"/>
  <c r="K312" i="4" s="1"/>
  <c r="K313" i="4" s="1"/>
  <c r="K314" i="4" s="1"/>
  <c r="K315" i="4" s="1"/>
  <c r="K316" i="4" s="1"/>
  <c r="K317" i="4" s="1"/>
  <c r="K318" i="4" s="1"/>
  <c r="K319" i="4" s="1"/>
  <c r="A308" i="4"/>
  <c r="A309" i="4" s="1"/>
  <c r="A310" i="4" s="1"/>
  <c r="A311" i="4" s="1"/>
  <c r="A312" i="4" s="1"/>
  <c r="A313" i="4" s="1"/>
  <c r="A314" i="4" s="1"/>
  <c r="A315" i="4" s="1"/>
  <c r="A316" i="4" s="1"/>
  <c r="A317" i="4" s="1"/>
  <c r="A318" i="4" s="1"/>
  <c r="A319" i="4" s="1"/>
  <c r="H307" i="4"/>
  <c r="E306" i="4"/>
  <c r="K300" i="4"/>
  <c r="K301" i="4" s="1"/>
  <c r="K302" i="4" s="1"/>
  <c r="K303" i="4" s="1"/>
  <c r="K304" i="4" s="1"/>
  <c r="K305" i="4" s="1"/>
  <c r="K306" i="4" s="1"/>
  <c r="K307" i="4" s="1"/>
  <c r="A299" i="4"/>
  <c r="A300" i="4" s="1"/>
  <c r="A301" i="4" s="1"/>
  <c r="A302" i="4" s="1"/>
  <c r="A303" i="4" s="1"/>
  <c r="A304" i="4" s="1"/>
  <c r="A305" i="4" s="1"/>
  <c r="A306" i="4" s="1"/>
  <c r="A307" i="4" s="1"/>
  <c r="H298" i="4"/>
  <c r="E297" i="4"/>
  <c r="K292" i="4"/>
  <c r="K293" i="4" s="1"/>
  <c r="K294" i="4" s="1"/>
  <c r="K295" i="4" s="1"/>
  <c r="K296" i="4" s="1"/>
  <c r="K297" i="4" s="1"/>
  <c r="K298" i="4" s="1"/>
  <c r="A291" i="4"/>
  <c r="A292" i="4" s="1"/>
  <c r="A293" i="4" s="1"/>
  <c r="A294" i="4" s="1"/>
  <c r="A295" i="4" s="1"/>
  <c r="A296" i="4" s="1"/>
  <c r="A297" i="4" s="1"/>
  <c r="A298" i="4" s="1"/>
  <c r="H290" i="4"/>
  <c r="E289" i="4"/>
  <c r="K280" i="4"/>
  <c r="K281" i="4" s="1"/>
  <c r="A279" i="4"/>
  <c r="A280" i="4" s="1"/>
  <c r="A281" i="4" s="1"/>
  <c r="A282" i="4" s="1"/>
  <c r="A283" i="4" s="1"/>
  <c r="A284" i="4" s="1"/>
  <c r="A285" i="4" s="1"/>
  <c r="A286" i="4" s="1"/>
  <c r="A287" i="4" s="1"/>
  <c r="A288" i="4" s="1"/>
  <c r="A289" i="4" s="1"/>
  <c r="A290" i="4" s="1"/>
  <c r="H278" i="4"/>
  <c r="E277" i="4"/>
  <c r="K268" i="4"/>
  <c r="K269" i="4" s="1"/>
  <c r="K270" i="4" s="1"/>
  <c r="K271" i="4" s="1"/>
  <c r="K272" i="4" s="1"/>
  <c r="K273" i="4" s="1"/>
  <c r="K274" i="4" s="1"/>
  <c r="K275" i="4" s="1"/>
  <c r="K276" i="4" s="1"/>
  <c r="K277" i="4" s="1"/>
  <c r="K278" i="4" s="1"/>
  <c r="A267" i="4"/>
  <c r="A268" i="4" s="1"/>
  <c r="A269" i="4" s="1"/>
  <c r="A270" i="4" s="1"/>
  <c r="A271" i="4" s="1"/>
  <c r="A272" i="4" s="1"/>
  <c r="A273" i="4" s="1"/>
  <c r="A274" i="4" s="1"/>
  <c r="A275" i="4" s="1"/>
  <c r="A276" i="4" s="1"/>
  <c r="A277" i="4" s="1"/>
  <c r="A278" i="4" s="1"/>
  <c r="H266" i="4"/>
  <c r="E265" i="4"/>
  <c r="K259" i="4"/>
  <c r="K260" i="4" s="1"/>
  <c r="K261" i="4" s="1"/>
  <c r="A258" i="4"/>
  <c r="A259" i="4" s="1"/>
  <c r="A260" i="4" s="1"/>
  <c r="A261" i="4" s="1"/>
  <c r="A262" i="4" s="1"/>
  <c r="A263" i="4" s="1"/>
  <c r="A264" i="4" s="1"/>
  <c r="A265" i="4" s="1"/>
  <c r="A266" i="4" s="1"/>
  <c r="H257" i="4"/>
  <c r="E256" i="4"/>
  <c r="K251" i="4"/>
  <c r="K252" i="4" s="1"/>
  <c r="K253" i="4" s="1"/>
  <c r="K254" i="4" s="1"/>
  <c r="K255" i="4" s="1"/>
  <c r="K256" i="4" s="1"/>
  <c r="K257" i="4" s="1"/>
  <c r="A250" i="4"/>
  <c r="A251" i="4" s="1"/>
  <c r="A252" i="4" s="1"/>
  <c r="A253" i="4" s="1"/>
  <c r="A254" i="4" s="1"/>
  <c r="A255" i="4" s="1"/>
  <c r="A256" i="4" s="1"/>
  <c r="A257" i="4" s="1"/>
  <c r="H249" i="4"/>
  <c r="E248" i="4"/>
  <c r="K239" i="4"/>
  <c r="K240" i="4" s="1"/>
  <c r="K241" i="4" s="1"/>
  <c r="K242" i="4" s="1"/>
  <c r="K243" i="4" s="1"/>
  <c r="K244" i="4" s="1"/>
  <c r="K245" i="4" s="1"/>
  <c r="K246" i="4" s="1"/>
  <c r="K247" i="4" s="1"/>
  <c r="K248" i="4" s="1"/>
  <c r="K249" i="4" s="1"/>
  <c r="A238" i="4"/>
  <c r="A239" i="4" s="1"/>
  <c r="A240" i="4" s="1"/>
  <c r="A241" i="4" s="1"/>
  <c r="A242" i="4" s="1"/>
  <c r="A243" i="4" s="1"/>
  <c r="A244" i="4" s="1"/>
  <c r="A245" i="4" s="1"/>
  <c r="A246" i="4" s="1"/>
  <c r="A247" i="4" s="1"/>
  <c r="A248" i="4" s="1"/>
  <c r="A249" i="4" s="1"/>
  <c r="H237" i="4"/>
  <c r="E236" i="4"/>
  <c r="K231" i="4"/>
  <c r="K232" i="4" s="1"/>
  <c r="K233" i="4" s="1"/>
  <c r="K234" i="4" s="1"/>
  <c r="K235" i="4" s="1"/>
  <c r="K236" i="4" s="1"/>
  <c r="K237" i="4" s="1"/>
  <c r="A230" i="4"/>
  <c r="A231" i="4" s="1"/>
  <c r="A232" i="4" s="1"/>
  <c r="A233" i="4" s="1"/>
  <c r="A234" i="4" s="1"/>
  <c r="A235" i="4" s="1"/>
  <c r="A236" i="4" s="1"/>
  <c r="A237" i="4" s="1"/>
  <c r="H229" i="4"/>
  <c r="E228" i="4"/>
  <c r="K223" i="4"/>
  <c r="K224" i="4" s="1"/>
  <c r="K225" i="4" s="1"/>
  <c r="K226" i="4" s="1"/>
  <c r="K227" i="4" s="1"/>
  <c r="K228" i="4" s="1"/>
  <c r="K229" i="4" s="1"/>
  <c r="A222" i="4"/>
  <c r="A223" i="4" s="1"/>
  <c r="A224" i="4" s="1"/>
  <c r="A225" i="4" s="1"/>
  <c r="A226" i="4" s="1"/>
  <c r="A227" i="4" s="1"/>
  <c r="A228" i="4" s="1"/>
  <c r="A229" i="4" s="1"/>
  <c r="H221" i="4"/>
  <c r="E220" i="4"/>
  <c r="K210" i="4"/>
  <c r="K211" i="4" s="1"/>
  <c r="K212" i="4" s="1"/>
  <c r="K213" i="4" s="1"/>
  <c r="K214" i="4" s="1"/>
  <c r="K215" i="4" s="1"/>
  <c r="K216" i="4" s="1"/>
  <c r="K217" i="4" s="1"/>
  <c r="K218" i="4" s="1"/>
  <c r="K219" i="4" s="1"/>
  <c r="K220" i="4" s="1"/>
  <c r="K221" i="4" s="1"/>
  <c r="A209" i="4"/>
  <c r="A210" i="4" s="1"/>
  <c r="A211" i="4" s="1"/>
  <c r="A212" i="4" s="1"/>
  <c r="A213" i="4" s="1"/>
  <c r="A214" i="4" s="1"/>
  <c r="A215" i="4" s="1"/>
  <c r="A216" i="4" s="1"/>
  <c r="A217" i="4" s="1"/>
  <c r="A218" i="4" s="1"/>
  <c r="A219" i="4" s="1"/>
  <c r="A220" i="4" s="1"/>
  <c r="A221" i="4" s="1"/>
  <c r="H208" i="4"/>
  <c r="E207" i="4"/>
  <c r="K202" i="4"/>
  <c r="K203" i="4" s="1"/>
  <c r="K204" i="4" s="1"/>
  <c r="K205" i="4" s="1"/>
  <c r="K206" i="4" s="1"/>
  <c r="K207" i="4" s="1"/>
  <c r="K208" i="4" s="1"/>
  <c r="A201" i="4"/>
  <c r="A202" i="4" s="1"/>
  <c r="A203" i="4" s="1"/>
  <c r="A204" i="4" s="1"/>
  <c r="A205" i="4" s="1"/>
  <c r="A206" i="4" s="1"/>
  <c r="A207" i="4" s="1"/>
  <c r="A208" i="4" s="1"/>
  <c r="H200" i="4"/>
  <c r="E199" i="4"/>
  <c r="K193" i="4"/>
  <c r="K194" i="4" s="1"/>
  <c r="K195" i="4" s="1"/>
  <c r="K196" i="4" s="1"/>
  <c r="A192" i="4"/>
  <c r="A193" i="4" s="1"/>
  <c r="A194" i="4" s="1"/>
  <c r="A195" i="4" s="1"/>
  <c r="A196" i="4" s="1"/>
  <c r="A197" i="4" s="1"/>
  <c r="A198" i="4" s="1"/>
  <c r="A199" i="4" s="1"/>
  <c r="A200" i="4" s="1"/>
  <c r="H191" i="4"/>
  <c r="E190" i="4"/>
  <c r="K181" i="4"/>
  <c r="K182" i="4" s="1"/>
  <c r="A180" i="4"/>
  <c r="A181" i="4" s="1"/>
  <c r="A182" i="4" s="1"/>
  <c r="A183" i="4" s="1"/>
  <c r="A184" i="4" s="1"/>
  <c r="A185" i="4" s="1"/>
  <c r="A186" i="4" s="1"/>
  <c r="A187" i="4" s="1"/>
  <c r="A188" i="4" s="1"/>
  <c r="A189" i="4" s="1"/>
  <c r="A190" i="4" s="1"/>
  <c r="A191" i="4" s="1"/>
  <c r="H179" i="4"/>
  <c r="E178" i="4"/>
  <c r="K168" i="4"/>
  <c r="K169" i="4" s="1"/>
  <c r="K170" i="4" s="1"/>
  <c r="K171" i="4" s="1"/>
  <c r="K172" i="4" s="1"/>
  <c r="K173" i="4" s="1"/>
  <c r="K174" i="4" s="1"/>
  <c r="K175" i="4" s="1"/>
  <c r="K176" i="4" s="1"/>
  <c r="K177" i="4" s="1"/>
  <c r="K178" i="4" s="1"/>
  <c r="K179" i="4" s="1"/>
  <c r="A167" i="4"/>
  <c r="A168" i="4" s="1"/>
  <c r="A169" i="4" s="1"/>
  <c r="A170" i="4" s="1"/>
  <c r="A171" i="4" s="1"/>
  <c r="A172" i="4" s="1"/>
  <c r="A173" i="4" s="1"/>
  <c r="A174" i="4" s="1"/>
  <c r="A175" i="4" s="1"/>
  <c r="A176" i="4" s="1"/>
  <c r="A177" i="4" s="1"/>
  <c r="A178" i="4" s="1"/>
  <c r="A179" i="4" s="1"/>
  <c r="H166" i="4"/>
  <c r="E165" i="4"/>
  <c r="K155" i="4"/>
  <c r="K156" i="4" s="1"/>
  <c r="K157" i="4" s="1"/>
  <c r="K158" i="4" s="1"/>
  <c r="K159" i="4" s="1"/>
  <c r="K160" i="4" s="1"/>
  <c r="K161" i="4" s="1"/>
  <c r="K162" i="4" s="1"/>
  <c r="K163" i="4" s="1"/>
  <c r="K164" i="4" s="1"/>
  <c r="K165" i="4" s="1"/>
  <c r="K166" i="4" s="1"/>
  <c r="A154" i="4"/>
  <c r="A155" i="4" s="1"/>
  <c r="A156" i="4" s="1"/>
  <c r="A157" i="4" s="1"/>
  <c r="A158" i="4" s="1"/>
  <c r="A159" i="4" s="1"/>
  <c r="A160" i="4" s="1"/>
  <c r="A161" i="4" s="1"/>
  <c r="A162" i="4" s="1"/>
  <c r="A163" i="4" s="1"/>
  <c r="A164" i="4" s="1"/>
  <c r="A165" i="4" s="1"/>
  <c r="A166" i="4" s="1"/>
  <c r="H153" i="4"/>
  <c r="E152" i="4"/>
  <c r="K146" i="4"/>
  <c r="K147" i="4" s="1"/>
  <c r="K148" i="4" s="1"/>
  <c r="K149" i="4" s="1"/>
  <c r="K150" i="4" s="1"/>
  <c r="K151" i="4" s="1"/>
  <c r="K152" i="4" s="1"/>
  <c r="K153" i="4" s="1"/>
  <c r="A145" i="4"/>
  <c r="A146" i="4" s="1"/>
  <c r="A147" i="4" s="1"/>
  <c r="A148" i="4" s="1"/>
  <c r="A149" i="4" s="1"/>
  <c r="A150" i="4" s="1"/>
  <c r="A151" i="4" s="1"/>
  <c r="A152" i="4" s="1"/>
  <c r="A153" i="4" s="1"/>
  <c r="H144" i="4"/>
  <c r="E143" i="4"/>
  <c r="I143" i="4" s="1"/>
  <c r="K137" i="4"/>
  <c r="K138" i="4" s="1"/>
  <c r="K139" i="4" s="1"/>
  <c r="K140" i="4" s="1"/>
  <c r="K141" i="4" s="1"/>
  <c r="K142" i="4" s="1"/>
  <c r="K143" i="4" s="1"/>
  <c r="K144" i="4" s="1"/>
  <c r="A136" i="4"/>
  <c r="A137" i="4" s="1"/>
  <c r="A138" i="4" s="1"/>
  <c r="A139" i="4" s="1"/>
  <c r="A140" i="4" s="1"/>
  <c r="A141" i="4" s="1"/>
  <c r="A142" i="4" s="1"/>
  <c r="A143" i="4" s="1"/>
  <c r="A144" i="4" s="1"/>
  <c r="H135" i="4"/>
  <c r="E134" i="4"/>
  <c r="K129" i="4"/>
  <c r="K130" i="4" s="1"/>
  <c r="A128" i="4"/>
  <c r="A129" i="4" s="1"/>
  <c r="A130" i="4" s="1"/>
  <c r="A131" i="4" s="1"/>
  <c r="A132" i="4" s="1"/>
  <c r="A133" i="4" s="1"/>
  <c r="A134" i="4" s="1"/>
  <c r="A135" i="4" s="1"/>
  <c r="H127" i="4"/>
  <c r="E126" i="4"/>
  <c r="K121" i="4"/>
  <c r="K122" i="4" s="1"/>
  <c r="K123" i="4" s="1"/>
  <c r="K124" i="4" s="1"/>
  <c r="K125" i="4" s="1"/>
  <c r="K126" i="4" s="1"/>
  <c r="K127" i="4" s="1"/>
  <c r="A120" i="4"/>
  <c r="A121" i="4" s="1"/>
  <c r="A122" i="4" s="1"/>
  <c r="A123" i="4" s="1"/>
  <c r="A124" i="4" s="1"/>
  <c r="A125" i="4" s="1"/>
  <c r="A126" i="4" s="1"/>
  <c r="A127" i="4" s="1"/>
  <c r="H119" i="4"/>
  <c r="E118" i="4"/>
  <c r="K109" i="4"/>
  <c r="K110" i="4" s="1"/>
  <c r="A108" i="4"/>
  <c r="A109" i="4" s="1"/>
  <c r="A110" i="4" s="1"/>
  <c r="A111" i="4" s="1"/>
  <c r="A112" i="4" s="1"/>
  <c r="A113" i="4" s="1"/>
  <c r="A114" i="4" s="1"/>
  <c r="A115" i="4" s="1"/>
  <c r="A116" i="4" s="1"/>
  <c r="A117" i="4" s="1"/>
  <c r="A118" i="4" s="1"/>
  <c r="A119" i="4" s="1"/>
  <c r="H107" i="4"/>
  <c r="E106" i="4"/>
  <c r="K96" i="4"/>
  <c r="K97" i="4" s="1"/>
  <c r="K98" i="4" s="1"/>
  <c r="K99" i="4" s="1"/>
  <c r="K100" i="4" s="1"/>
  <c r="K101" i="4" s="1"/>
  <c r="K102" i="4" s="1"/>
  <c r="K103" i="4" s="1"/>
  <c r="K104" i="4" s="1"/>
  <c r="K105" i="4" s="1"/>
  <c r="K106" i="4" s="1"/>
  <c r="K107" i="4" s="1"/>
  <c r="A95" i="4"/>
  <c r="A96" i="4" s="1"/>
  <c r="A97" i="4" s="1"/>
  <c r="A98" i="4" s="1"/>
  <c r="A99" i="4" s="1"/>
  <c r="A100" i="4" s="1"/>
  <c r="A101" i="4" s="1"/>
  <c r="A102" i="4" s="1"/>
  <c r="A103" i="4" s="1"/>
  <c r="A104" i="4" s="1"/>
  <c r="A105" i="4" s="1"/>
  <c r="A106" i="4" s="1"/>
  <c r="A107" i="4" s="1"/>
  <c r="H94" i="4"/>
  <c r="E93" i="4"/>
  <c r="K87" i="4"/>
  <c r="K88" i="4" s="1"/>
  <c r="K89" i="4" s="1"/>
  <c r="K90" i="4" s="1"/>
  <c r="K91" i="4" s="1"/>
  <c r="K92" i="4" s="1"/>
  <c r="K93" i="4" s="1"/>
  <c r="K94" i="4" s="1"/>
  <c r="A86" i="4"/>
  <c r="A87" i="4" s="1"/>
  <c r="A88" i="4" s="1"/>
  <c r="A89" i="4" s="1"/>
  <c r="A90" i="4" s="1"/>
  <c r="A91" i="4" s="1"/>
  <c r="A92" i="4" s="1"/>
  <c r="A93" i="4" s="1"/>
  <c r="A94" i="4" s="1"/>
  <c r="H85" i="4"/>
  <c r="E84" i="4"/>
  <c r="K78" i="4"/>
  <c r="K79" i="4" s="1"/>
  <c r="K80" i="4" s="1"/>
  <c r="K81" i="4" s="1"/>
  <c r="K82" i="4" s="1"/>
  <c r="K83" i="4" s="1"/>
  <c r="K84" i="4" s="1"/>
  <c r="K85" i="4" s="1"/>
  <c r="A77" i="4"/>
  <c r="A78" i="4" s="1"/>
  <c r="A79" i="4" s="1"/>
  <c r="A80" i="4" s="1"/>
  <c r="A81" i="4" s="1"/>
  <c r="H76" i="4"/>
  <c r="E75" i="4"/>
  <c r="K70" i="4"/>
  <c r="K71" i="4" s="1"/>
  <c r="K72" i="4" s="1"/>
  <c r="K73" i="4" s="1"/>
  <c r="K74" i="4" s="1"/>
  <c r="K75" i="4" s="1"/>
  <c r="K76" i="4" s="1"/>
  <c r="A69" i="4"/>
  <c r="H68" i="4"/>
  <c r="E67" i="4"/>
  <c r="K58" i="4"/>
  <c r="K59" i="4" s="1"/>
  <c r="A57" i="4"/>
  <c r="A58" i="4" s="1"/>
  <c r="A59" i="4" s="1"/>
  <c r="A60" i="4" s="1"/>
  <c r="A61" i="4" s="1"/>
  <c r="A62" i="4" s="1"/>
  <c r="A63" i="4" s="1"/>
  <c r="A64" i="4" s="1"/>
  <c r="A65" i="4" s="1"/>
  <c r="A66" i="4" s="1"/>
  <c r="A67" i="4" s="1"/>
  <c r="A68" i="4" s="1"/>
  <c r="H56" i="4"/>
  <c r="E55" i="4"/>
  <c r="K44" i="4"/>
  <c r="K45" i="4" s="1"/>
  <c r="K46" i="4" s="1"/>
  <c r="K47" i="4" s="1"/>
  <c r="K48" i="4" s="1"/>
  <c r="K49" i="4" s="1"/>
  <c r="K50" i="4" s="1"/>
  <c r="A43" i="4"/>
  <c r="A44" i="4" s="1"/>
  <c r="A45" i="4" s="1"/>
  <c r="A46" i="4" s="1"/>
  <c r="A47" i="4" s="1"/>
  <c r="A48" i="4" s="1"/>
  <c r="A49" i="4" s="1"/>
  <c r="A50" i="4" s="1"/>
  <c r="H42" i="4"/>
  <c r="E41" i="4"/>
  <c r="K34" i="4"/>
  <c r="K35" i="4" s="1"/>
  <c r="K36" i="4" s="1"/>
  <c r="K37" i="4" s="1"/>
  <c r="A33" i="4"/>
  <c r="A34" i="4" s="1"/>
  <c r="A35" i="4" s="1"/>
  <c r="A36" i="4" s="1"/>
  <c r="A37" i="4" s="1"/>
  <c r="H32" i="4"/>
  <c r="E31" i="4"/>
  <c r="K24" i="4"/>
  <c r="K25" i="4" s="1"/>
  <c r="K26" i="4" s="1"/>
  <c r="K27" i="4" s="1"/>
  <c r="A23" i="4"/>
  <c r="A24" i="4" s="1"/>
  <c r="A25" i="4" s="1"/>
  <c r="A26" i="4" s="1"/>
  <c r="A27" i="4" s="1"/>
  <c r="A28" i="4" s="1"/>
  <c r="H22" i="4"/>
  <c r="E21" i="4"/>
  <c r="K15" i="4"/>
  <c r="K16" i="4" s="1"/>
  <c r="A14" i="4"/>
  <c r="A15" i="4" s="1"/>
  <c r="A16" i="4" s="1"/>
  <c r="H13" i="4"/>
  <c r="E12" i="4"/>
  <c r="H9" i="4"/>
  <c r="I9" i="4" s="1"/>
  <c r="K3" i="4"/>
  <c r="K4" i="4" s="1"/>
  <c r="K6" i="4" s="1"/>
  <c r="H3" i="4"/>
  <c r="I3" i="4" s="1"/>
  <c r="A2" i="4"/>
  <c r="A3" i="4" s="1"/>
  <c r="A4" i="4" s="1"/>
  <c r="A5" i="4" s="1"/>
  <c r="A6" i="4" s="1"/>
  <c r="A7" i="4" s="1"/>
  <c r="A8" i="4" s="1"/>
  <c r="A9" i="4" s="1"/>
  <c r="A10" i="4" s="1"/>
  <c r="A11" i="4" s="1"/>
  <c r="A12" i="4" s="1"/>
  <c r="A13" i="4" s="1"/>
  <c r="Q3" i="3"/>
  <c r="Q4" i="3"/>
  <c r="Q5" i="3"/>
  <c r="Q6" i="3"/>
  <c r="Q7" i="3"/>
  <c r="Q8" i="3"/>
  <c r="Q9" i="3"/>
  <c r="Q10" i="3"/>
  <c r="Q11" i="3"/>
  <c r="Q12" i="3"/>
  <c r="Q13" i="3"/>
  <c r="Q14" i="3"/>
  <c r="Q15" i="3"/>
  <c r="Q16" i="3"/>
  <c r="Q17" i="3"/>
  <c r="Q18" i="3"/>
  <c r="Q19" i="3"/>
  <c r="Q20" i="3"/>
  <c r="Q21" i="3"/>
  <c r="Q22" i="3"/>
  <c r="Q23" i="3"/>
  <c r="Q24" i="3"/>
  <c r="Q25" i="3"/>
  <c r="Q26" i="3"/>
  <c r="Q27" i="3"/>
  <c r="Q28" i="3"/>
  <c r="Q29" i="3"/>
  <c r="Q30" i="3"/>
  <c r="Q31" i="3"/>
  <c r="Q32" i="3"/>
  <c r="Q33" i="3"/>
  <c r="Q34" i="3"/>
  <c r="Q35" i="3"/>
  <c r="Q36" i="3"/>
  <c r="Q37" i="3"/>
  <c r="Q38" i="3"/>
  <c r="Q39" i="3"/>
  <c r="Q40" i="3"/>
  <c r="Q41" i="3"/>
  <c r="Q42" i="3"/>
  <c r="Q43" i="3"/>
  <c r="Q44" i="3"/>
  <c r="Q45" i="3"/>
  <c r="Q46" i="3"/>
  <c r="Q47" i="3"/>
  <c r="Q48" i="3"/>
  <c r="Q49" i="3"/>
  <c r="Q50" i="3"/>
  <c r="Q51" i="3"/>
  <c r="Q52" i="3"/>
  <c r="Q53" i="3"/>
  <c r="Q54" i="3"/>
  <c r="Q55" i="3"/>
  <c r="Q56" i="3"/>
  <c r="Q57" i="3"/>
  <c r="Q58" i="3"/>
  <c r="Q59" i="3"/>
  <c r="Q60" i="3"/>
  <c r="Q61" i="3"/>
  <c r="Q62" i="3"/>
  <c r="Q63" i="3"/>
  <c r="Q64" i="3"/>
  <c r="Q65" i="3"/>
  <c r="Q66" i="3"/>
  <c r="Q67" i="3"/>
  <c r="Q68" i="3"/>
  <c r="Q69" i="3"/>
  <c r="Q70" i="3"/>
  <c r="Q71" i="3"/>
  <c r="Q2" i="3"/>
  <c r="P3" i="3"/>
  <c r="P4" i="3"/>
  <c r="P5" i="3"/>
  <c r="P6" i="3"/>
  <c r="P7" i="3"/>
  <c r="P8" i="3"/>
  <c r="P9" i="3"/>
  <c r="P10" i="3"/>
  <c r="P11" i="3"/>
  <c r="P12" i="3"/>
  <c r="P13" i="3"/>
  <c r="P14" i="3"/>
  <c r="P15" i="3"/>
  <c r="P16" i="3"/>
  <c r="P17" i="3"/>
  <c r="P18" i="3"/>
  <c r="P19" i="3"/>
  <c r="P20" i="3"/>
  <c r="P21" i="3"/>
  <c r="P22" i="3"/>
  <c r="P23" i="3"/>
  <c r="P24" i="3"/>
  <c r="P25" i="3"/>
  <c r="P26" i="3"/>
  <c r="P27" i="3"/>
  <c r="P28" i="3"/>
  <c r="P29" i="3"/>
  <c r="P30" i="3"/>
  <c r="P31" i="3"/>
  <c r="P32" i="3"/>
  <c r="P33" i="3"/>
  <c r="P34" i="3"/>
  <c r="P35" i="3"/>
  <c r="P36" i="3"/>
  <c r="P37" i="3"/>
  <c r="P38" i="3"/>
  <c r="P39" i="3"/>
  <c r="P40" i="3"/>
  <c r="P41" i="3"/>
  <c r="P42" i="3"/>
  <c r="P43" i="3"/>
  <c r="P44" i="3"/>
  <c r="P45" i="3"/>
  <c r="P46" i="3"/>
  <c r="P47" i="3"/>
  <c r="P48" i="3"/>
  <c r="P49" i="3"/>
  <c r="P50" i="3"/>
  <c r="P51" i="3"/>
  <c r="P52" i="3"/>
  <c r="P53" i="3"/>
  <c r="P54" i="3"/>
  <c r="P55" i="3"/>
  <c r="P56" i="3"/>
  <c r="P57" i="3"/>
  <c r="P58" i="3"/>
  <c r="P59" i="3"/>
  <c r="P60" i="3"/>
  <c r="P61" i="3"/>
  <c r="P62" i="3"/>
  <c r="P63" i="3"/>
  <c r="P64" i="3"/>
  <c r="P65" i="3"/>
  <c r="P66" i="3"/>
  <c r="P67" i="3"/>
  <c r="P68" i="3"/>
  <c r="P69" i="3"/>
  <c r="P70" i="3"/>
  <c r="P71" i="3"/>
  <c r="P2" i="3"/>
  <c r="O3" i="3"/>
  <c r="O4" i="3"/>
  <c r="O5" i="3"/>
  <c r="O6" i="3"/>
  <c r="O7" i="3"/>
  <c r="O8" i="3"/>
  <c r="O9" i="3"/>
  <c r="O10" i="3"/>
  <c r="O11" i="3"/>
  <c r="O12" i="3"/>
  <c r="O13" i="3"/>
  <c r="O14" i="3"/>
  <c r="O15" i="3"/>
  <c r="O16" i="3"/>
  <c r="O17" i="3"/>
  <c r="O18" i="3"/>
  <c r="O19" i="3"/>
  <c r="O20" i="3"/>
  <c r="O21" i="3"/>
  <c r="O22" i="3"/>
  <c r="O23" i="3"/>
  <c r="O24" i="3"/>
  <c r="O25" i="3"/>
  <c r="O26" i="3"/>
  <c r="O27" i="3"/>
  <c r="O28" i="3"/>
  <c r="O29" i="3"/>
  <c r="O30" i="3"/>
  <c r="O31" i="3"/>
  <c r="O32" i="3"/>
  <c r="O33" i="3"/>
  <c r="O34" i="3"/>
  <c r="O35" i="3"/>
  <c r="O36" i="3"/>
  <c r="O37" i="3"/>
  <c r="O38" i="3"/>
  <c r="O39" i="3"/>
  <c r="O40" i="3"/>
  <c r="O41" i="3"/>
  <c r="O42" i="3"/>
  <c r="O43" i="3"/>
  <c r="O44" i="3"/>
  <c r="O45" i="3"/>
  <c r="O46" i="3"/>
  <c r="O47" i="3"/>
  <c r="O48" i="3"/>
  <c r="O49" i="3"/>
  <c r="O50" i="3"/>
  <c r="O51" i="3"/>
  <c r="O52" i="3"/>
  <c r="O53" i="3"/>
  <c r="O54" i="3"/>
  <c r="O55" i="3"/>
  <c r="O56" i="3"/>
  <c r="O57" i="3"/>
  <c r="O58" i="3"/>
  <c r="O59" i="3"/>
  <c r="O60" i="3"/>
  <c r="O61" i="3"/>
  <c r="O62" i="3"/>
  <c r="O63" i="3"/>
  <c r="O64" i="3"/>
  <c r="O65" i="3"/>
  <c r="O66" i="3"/>
  <c r="O67" i="3"/>
  <c r="O68" i="3"/>
  <c r="O69" i="3"/>
  <c r="O70" i="3"/>
  <c r="O71" i="3"/>
  <c r="O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2" i="3"/>
  <c r="G690" i="2"/>
  <c r="H690" i="2" s="1"/>
  <c r="G683" i="2"/>
  <c r="H683" i="2" s="1"/>
  <c r="G676" i="2"/>
  <c r="H676" i="2" s="1"/>
  <c r="G669" i="2"/>
  <c r="H669" i="2" s="1"/>
  <c r="G647" i="2"/>
  <c r="G628" i="2"/>
  <c r="G620" i="2"/>
  <c r="G608" i="2"/>
  <c r="G582" i="2"/>
  <c r="G570" i="2"/>
  <c r="G558" i="2"/>
  <c r="G532" i="2"/>
  <c r="G520" i="2"/>
  <c r="G507" i="2"/>
  <c r="G496" i="2"/>
  <c r="G487" i="2"/>
  <c r="G461" i="2"/>
  <c r="G449" i="2"/>
  <c r="G437" i="2"/>
  <c r="G419" i="2"/>
  <c r="G407" i="2"/>
  <c r="G396" i="2"/>
  <c r="G379" i="2"/>
  <c r="G368" i="2"/>
  <c r="G350" i="2"/>
  <c r="G339" i="2"/>
  <c r="G321" i="2"/>
  <c r="G309" i="2"/>
  <c r="G298" i="2"/>
  <c r="G280" i="2"/>
  <c r="G268" i="2"/>
  <c r="G257" i="2"/>
  <c r="G239" i="2"/>
  <c r="G228" i="2"/>
  <c r="G211" i="2"/>
  <c r="G199" i="2"/>
  <c r="G181" i="2"/>
  <c r="G169" i="2"/>
  <c r="G156" i="2"/>
  <c r="G144" i="2"/>
  <c r="G135" i="2"/>
  <c r="G109" i="2"/>
  <c r="G97" i="2"/>
  <c r="G85" i="2"/>
  <c r="G59" i="2"/>
  <c r="G47" i="2"/>
  <c r="G35" i="2"/>
  <c r="G9" i="2"/>
  <c r="L72" i="3"/>
  <c r="L3" i="3"/>
  <c r="L4" i="3"/>
  <c r="L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L35" i="3"/>
  <c r="L36" i="3"/>
  <c r="L37" i="3"/>
  <c r="L38" i="3"/>
  <c r="L39" i="3"/>
  <c r="L40" i="3"/>
  <c r="L41" i="3"/>
  <c r="L42" i="3"/>
  <c r="L43" i="3"/>
  <c r="L44" i="3"/>
  <c r="L45" i="3"/>
  <c r="L46" i="3"/>
  <c r="L47" i="3"/>
  <c r="L48" i="3"/>
  <c r="L49" i="3"/>
  <c r="L50" i="3"/>
  <c r="L51" i="3"/>
  <c r="L52" i="3"/>
  <c r="L53" i="3"/>
  <c r="L54" i="3"/>
  <c r="L55" i="3"/>
  <c r="L56" i="3"/>
  <c r="L57" i="3"/>
  <c r="L58" i="3"/>
  <c r="L59" i="3"/>
  <c r="L60" i="3"/>
  <c r="L61" i="3"/>
  <c r="L62" i="3"/>
  <c r="L63" i="3"/>
  <c r="L64" i="3"/>
  <c r="L65" i="3"/>
  <c r="L66" i="3"/>
  <c r="L67" i="3"/>
  <c r="L68" i="3"/>
  <c r="L69" i="3"/>
  <c r="L70" i="3"/>
  <c r="L71" i="3"/>
  <c r="L2" i="3"/>
  <c r="E7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2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2" i="3"/>
  <c r="K3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2" i="3"/>
  <c r="I480" i="2"/>
  <c r="H480" i="2" s="1"/>
  <c r="F479" i="2" s="1"/>
  <c r="G479" i="2" s="1"/>
  <c r="H479" i="2" s="1"/>
  <c r="A687" i="2"/>
  <c r="A688" i="2" s="1"/>
  <c r="A689" i="2" s="1"/>
  <c r="A690" i="2" s="1"/>
  <c r="A691" i="2" s="1"/>
  <c r="A692" i="2" s="1"/>
  <c r="A693" i="2" s="1"/>
  <c r="A680" i="2"/>
  <c r="A681" i="2" s="1"/>
  <c r="A682" i="2" s="1"/>
  <c r="A683" i="2" s="1"/>
  <c r="A684" i="2" s="1"/>
  <c r="A685" i="2" s="1"/>
  <c r="A686" i="2" s="1"/>
  <c r="A673" i="2"/>
  <c r="A674" i="2" s="1"/>
  <c r="A675" i="2" s="1"/>
  <c r="A676" i="2" s="1"/>
  <c r="A677" i="2" s="1"/>
  <c r="A678" i="2" s="1"/>
  <c r="A679" i="2" s="1"/>
  <c r="A666" i="2"/>
  <c r="A667" i="2" s="1"/>
  <c r="A668" i="2" s="1"/>
  <c r="A669" i="2" s="1"/>
  <c r="A670" i="2" s="1"/>
  <c r="A671" i="2" s="1"/>
  <c r="A672" i="2" s="1"/>
  <c r="A658" i="2"/>
  <c r="A659" i="2" s="1"/>
  <c r="A660" i="2" s="1"/>
  <c r="A661" i="2" s="1"/>
  <c r="A662" i="2" s="1"/>
  <c r="A663" i="2" s="1"/>
  <c r="A664" i="2" s="1"/>
  <c r="A665" i="2" s="1"/>
  <c r="A645" i="2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37" i="2"/>
  <c r="A638" i="2" s="1"/>
  <c r="A639" i="2" s="1"/>
  <c r="A640" i="2" s="1"/>
  <c r="A641" i="2" s="1"/>
  <c r="A642" i="2" s="1"/>
  <c r="A643" i="2" s="1"/>
  <c r="A644" i="2" s="1"/>
  <c r="A625" i="2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12" i="2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03" i="2"/>
  <c r="A604" i="2" s="1"/>
  <c r="A605" i="2" s="1"/>
  <c r="A606" i="2" s="1"/>
  <c r="A607" i="2" s="1"/>
  <c r="A608" i="2" s="1"/>
  <c r="A609" i="2" s="1"/>
  <c r="A610" i="2" s="1"/>
  <c r="A611" i="2" s="1"/>
  <c r="A595" i="2"/>
  <c r="A596" i="2" s="1"/>
  <c r="A597" i="2" s="1"/>
  <c r="A598" i="2" s="1"/>
  <c r="A599" i="2" s="1"/>
  <c r="A600" i="2" s="1"/>
  <c r="A601" i="2" s="1"/>
  <c r="A602" i="2" s="1"/>
  <c r="A587" i="2"/>
  <c r="A588" i="2" s="1"/>
  <c r="A589" i="2" s="1"/>
  <c r="A590" i="2" s="1"/>
  <c r="A591" i="2" s="1"/>
  <c r="A592" i="2" s="1"/>
  <c r="A593" i="2" s="1"/>
  <c r="A594" i="2" s="1"/>
  <c r="A575" i="2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62" i="2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53" i="2"/>
  <c r="A554" i="2" s="1"/>
  <c r="A555" i="2" s="1"/>
  <c r="A556" i="2" s="1"/>
  <c r="A557" i="2" s="1"/>
  <c r="A558" i="2" s="1"/>
  <c r="A559" i="2" s="1"/>
  <c r="A560" i="2" s="1"/>
  <c r="A561" i="2" s="1"/>
  <c r="A545" i="2"/>
  <c r="A546" i="2" s="1"/>
  <c r="A547" i="2" s="1"/>
  <c r="A548" i="2" s="1"/>
  <c r="A549" i="2" s="1"/>
  <c r="A550" i="2" s="1"/>
  <c r="A551" i="2" s="1"/>
  <c r="A552" i="2" s="1"/>
  <c r="A537" i="2"/>
  <c r="A538" i="2" s="1"/>
  <c r="A539" i="2" s="1"/>
  <c r="A540" i="2" s="1"/>
  <c r="A541" i="2" s="1"/>
  <c r="A542" i="2" s="1"/>
  <c r="A543" i="2" s="1"/>
  <c r="A544" i="2" s="1"/>
  <c r="A525" i="2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12" i="2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00" i="2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491" i="2"/>
  <c r="A492" i="2" s="1"/>
  <c r="A493" i="2" s="1"/>
  <c r="A494" i="2" s="1"/>
  <c r="A495" i="2" s="1"/>
  <c r="A496" i="2" s="1"/>
  <c r="A497" i="2" s="1"/>
  <c r="A498" i="2" s="1"/>
  <c r="A499" i="2" s="1"/>
  <c r="A482" i="2"/>
  <c r="A483" i="2" s="1"/>
  <c r="A484" i="2" s="1"/>
  <c r="A485" i="2" s="1"/>
  <c r="A486" i="2" s="1"/>
  <c r="A487" i="2" s="1"/>
  <c r="A488" i="2" s="1"/>
  <c r="A489" i="2" s="1"/>
  <c r="A490" i="2" s="1"/>
  <c r="A474" i="2"/>
  <c r="A475" i="2" s="1"/>
  <c r="A476" i="2" s="1"/>
  <c r="A477" i="2" s="1"/>
  <c r="A478" i="2" s="1"/>
  <c r="A479" i="2" s="1"/>
  <c r="A481" i="2" s="1"/>
  <c r="A466" i="2"/>
  <c r="A467" i="2" s="1"/>
  <c r="A468" i="2" s="1"/>
  <c r="A469" i="2" s="1"/>
  <c r="A470" i="2" s="1"/>
  <c r="A471" i="2" s="1"/>
  <c r="A472" i="2" s="1"/>
  <c r="A473" i="2" s="1"/>
  <c r="A454" i="2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41" i="2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33" i="2"/>
  <c r="A434" i="2" s="1"/>
  <c r="A435" i="2" s="1"/>
  <c r="A436" i="2" s="1"/>
  <c r="A437" i="2" s="1"/>
  <c r="A438" i="2" s="1"/>
  <c r="A439" i="2" s="1"/>
  <c r="A440" i="2" s="1"/>
  <c r="A424" i="2"/>
  <c r="A425" i="2" s="1"/>
  <c r="A426" i="2" s="1"/>
  <c r="A427" i="2" s="1"/>
  <c r="A428" i="2" s="1"/>
  <c r="A429" i="2" s="1"/>
  <c r="A430" i="2" s="1"/>
  <c r="A431" i="2" s="1"/>
  <c r="A432" i="2" s="1"/>
  <c r="A412" i="2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00" i="2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392" i="2"/>
  <c r="A393" i="2" s="1"/>
  <c r="A394" i="2" s="1"/>
  <c r="A395" i="2" s="1"/>
  <c r="A396" i="2" s="1"/>
  <c r="A397" i="2" s="1"/>
  <c r="A398" i="2" s="1"/>
  <c r="A399" i="2" s="1"/>
  <c r="A384" i="2"/>
  <c r="A385" i="2" s="1"/>
  <c r="A386" i="2" s="1"/>
  <c r="A387" i="2" s="1"/>
  <c r="A388" i="2" s="1"/>
  <c r="A389" i="2" s="1"/>
  <c r="A390" i="2" s="1"/>
  <c r="A391" i="2" s="1"/>
  <c r="A372" i="2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63" i="2"/>
  <c r="A364" i="2" s="1"/>
  <c r="A365" i="2" s="1"/>
  <c r="A366" i="2" s="1"/>
  <c r="A367" i="2" s="1"/>
  <c r="A368" i="2" s="1"/>
  <c r="A369" i="2" s="1"/>
  <c r="A370" i="2" s="1"/>
  <c r="A371" i="2" s="1"/>
  <c r="A355" i="2"/>
  <c r="A356" i="2" s="1"/>
  <c r="A357" i="2" s="1"/>
  <c r="A358" i="2" s="1"/>
  <c r="A359" i="2" s="1"/>
  <c r="A360" i="2" s="1"/>
  <c r="A361" i="2" s="1"/>
  <c r="A362" i="2" s="1"/>
  <c r="A343" i="2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34" i="2"/>
  <c r="A335" i="2" s="1"/>
  <c r="A336" i="2" s="1"/>
  <c r="A337" i="2" s="1"/>
  <c r="A338" i="2" s="1"/>
  <c r="A339" i="2" s="1"/>
  <c r="A340" i="2" s="1"/>
  <c r="A341" i="2" s="1"/>
  <c r="A342" i="2" s="1"/>
  <c r="A326" i="2"/>
  <c r="A327" i="2" s="1"/>
  <c r="A328" i="2" s="1"/>
  <c r="A329" i="2" s="1"/>
  <c r="A330" i="2" s="1"/>
  <c r="A331" i="2" s="1"/>
  <c r="A332" i="2" s="1"/>
  <c r="A333" i="2" s="1"/>
  <c r="A314" i="2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02" i="2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293" i="2"/>
  <c r="A294" i="2" s="1"/>
  <c r="A295" i="2" s="1"/>
  <c r="A296" i="2" s="1"/>
  <c r="A297" i="2" s="1"/>
  <c r="A298" i="2" s="1"/>
  <c r="A299" i="2" s="1"/>
  <c r="A300" i="2" s="1"/>
  <c r="A301" i="2" s="1"/>
  <c r="A285" i="2"/>
  <c r="A286" i="2" s="1"/>
  <c r="A287" i="2" s="1"/>
  <c r="A288" i="2" s="1"/>
  <c r="A289" i="2" s="1"/>
  <c r="A290" i="2" s="1"/>
  <c r="A291" i="2" s="1"/>
  <c r="A292" i="2" s="1"/>
  <c r="A273" i="2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61" i="2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52" i="2"/>
  <c r="A253" i="2" s="1"/>
  <c r="A254" i="2" s="1"/>
  <c r="A255" i="2" s="1"/>
  <c r="A256" i="2" s="1"/>
  <c r="A257" i="2" s="1"/>
  <c r="A258" i="2" s="1"/>
  <c r="A259" i="2" s="1"/>
  <c r="A260" i="2" s="1"/>
  <c r="A244" i="2"/>
  <c r="A245" i="2" s="1"/>
  <c r="A246" i="2" s="1"/>
  <c r="A247" i="2" s="1"/>
  <c r="A248" i="2" s="1"/>
  <c r="A249" i="2" s="1"/>
  <c r="A250" i="2" s="1"/>
  <c r="A251" i="2" s="1"/>
  <c r="A232" i="2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24" i="2"/>
  <c r="A225" i="2" s="1"/>
  <c r="A226" i="2" s="1"/>
  <c r="A227" i="2" s="1"/>
  <c r="A228" i="2" s="1"/>
  <c r="A229" i="2" s="1"/>
  <c r="A230" i="2" s="1"/>
  <c r="A231" i="2" s="1"/>
  <c r="A216" i="2"/>
  <c r="A217" i="2" s="1"/>
  <c r="A218" i="2" s="1"/>
  <c r="A219" i="2" s="1"/>
  <c r="A220" i="2" s="1"/>
  <c r="A221" i="2" s="1"/>
  <c r="A222" i="2" s="1"/>
  <c r="A223" i="2" s="1"/>
  <c r="A203" i="2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195" i="2"/>
  <c r="A196" i="2" s="1"/>
  <c r="A197" i="2" s="1"/>
  <c r="A198" i="2" s="1"/>
  <c r="A199" i="2" s="1"/>
  <c r="A200" i="2" s="1"/>
  <c r="A201" i="2" s="1"/>
  <c r="A202" i="2" s="1"/>
  <c r="A186" i="2"/>
  <c r="A187" i="2" s="1"/>
  <c r="A188" i="2" s="1"/>
  <c r="A189" i="2" s="1"/>
  <c r="A190" i="2" s="1"/>
  <c r="A191" i="2" s="1"/>
  <c r="A192" i="2" s="1"/>
  <c r="A193" i="2" s="1"/>
  <c r="A194" i="2" s="1"/>
  <c r="A174" i="2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61" i="2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48" i="2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39" i="2"/>
  <c r="A140" i="2" s="1"/>
  <c r="A141" i="2" s="1"/>
  <c r="A142" i="2" s="1"/>
  <c r="A143" i="2" s="1"/>
  <c r="A144" i="2" s="1"/>
  <c r="A145" i="2" s="1"/>
  <c r="A146" i="2" s="1"/>
  <c r="A147" i="2" s="1"/>
  <c r="A130" i="2"/>
  <c r="A131" i="2" s="1"/>
  <c r="A132" i="2" s="1"/>
  <c r="A133" i="2" s="1"/>
  <c r="A134" i="2" s="1"/>
  <c r="A135" i="2" s="1"/>
  <c r="A136" i="2" s="1"/>
  <c r="A137" i="2" s="1"/>
  <c r="A138" i="2" s="1"/>
  <c r="A122" i="2"/>
  <c r="A123" i="2" s="1"/>
  <c r="A124" i="2" s="1"/>
  <c r="A125" i="2" s="1"/>
  <c r="A126" i="2" s="1"/>
  <c r="A127" i="2" s="1"/>
  <c r="A128" i="2" s="1"/>
  <c r="A129" i="2" s="1"/>
  <c r="A114" i="2"/>
  <c r="A115" i="2" s="1"/>
  <c r="A116" i="2" s="1"/>
  <c r="A117" i="2" s="1"/>
  <c r="A118" i="2" s="1"/>
  <c r="A119" i="2" s="1"/>
  <c r="A120" i="2" s="1"/>
  <c r="A121" i="2" s="1"/>
  <c r="A102" i="2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89" i="2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80" i="2"/>
  <c r="A81" i="2" s="1"/>
  <c r="A82" i="2" s="1"/>
  <c r="A83" i="2" s="1"/>
  <c r="A84" i="2" s="1"/>
  <c r="A85" i="2" s="1"/>
  <c r="A86" i="2" s="1"/>
  <c r="A87" i="2" s="1"/>
  <c r="A88" i="2" s="1"/>
  <c r="A72" i="2"/>
  <c r="A73" i="2" s="1"/>
  <c r="A74" i="2" s="1"/>
  <c r="A75" i="2" s="1"/>
  <c r="A76" i="2" s="1"/>
  <c r="A77" i="2" s="1"/>
  <c r="A78" i="2" s="1"/>
  <c r="A79" i="2" s="1"/>
  <c r="A64" i="2"/>
  <c r="A65" i="2" s="1"/>
  <c r="A66" i="2" s="1"/>
  <c r="A67" i="2" s="1"/>
  <c r="A68" i="2" s="1"/>
  <c r="A69" i="2" s="1"/>
  <c r="A70" i="2" s="1"/>
  <c r="A71" i="2" s="1"/>
  <c r="A52" i="2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39" i="2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30" i="2"/>
  <c r="A31" i="2" s="1"/>
  <c r="A32" i="2" s="1"/>
  <c r="A33" i="2" s="1"/>
  <c r="A34" i="2" s="1"/>
  <c r="A35" i="2" s="1"/>
  <c r="A36" i="2" s="1"/>
  <c r="A37" i="2" s="1"/>
  <c r="A38" i="2" s="1"/>
  <c r="A22" i="2"/>
  <c r="A23" i="2" s="1"/>
  <c r="A24" i="2" s="1"/>
  <c r="A25" i="2" s="1"/>
  <c r="A26" i="2" s="1"/>
  <c r="A27" i="2" s="1"/>
  <c r="A28" i="2" s="1"/>
  <c r="A29" i="2" s="1"/>
  <c r="A14" i="2"/>
  <c r="A15" i="2" s="1"/>
  <c r="A16" i="2" s="1"/>
  <c r="A17" i="2" s="1"/>
  <c r="A18" i="2" s="1"/>
  <c r="A19" i="2" s="1"/>
  <c r="A20" i="2" s="1"/>
  <c r="A21" i="2" s="1"/>
  <c r="A2" i="2"/>
  <c r="A3" i="2" s="1"/>
  <c r="A4" i="2" s="1"/>
  <c r="A5" i="2" s="1"/>
  <c r="A6" i="2" s="1"/>
  <c r="A7" i="2" s="1"/>
  <c r="A8" i="2" s="1"/>
  <c r="A9" i="2" s="1"/>
  <c r="A10" i="2" s="1"/>
  <c r="A11" i="2" s="1"/>
  <c r="A12" i="2" s="1"/>
  <c r="A13" i="2" s="1"/>
  <c r="G627" i="2"/>
  <c r="G688" i="2"/>
  <c r="H688" i="2" s="1"/>
  <c r="G681" i="2"/>
  <c r="H681" i="2" s="1"/>
  <c r="G674" i="2"/>
  <c r="H674" i="2" s="1"/>
  <c r="G667" i="2"/>
  <c r="H667" i="2" s="1"/>
  <c r="G659" i="2"/>
  <c r="H659" i="2" s="1"/>
  <c r="G646" i="2"/>
  <c r="G638" i="2"/>
  <c r="G626" i="2"/>
  <c r="G613" i="2"/>
  <c r="G604" i="2"/>
  <c r="G596" i="2"/>
  <c r="G588" i="2"/>
  <c r="G576" i="2"/>
  <c r="G563" i="2"/>
  <c r="G554" i="2"/>
  <c r="G546" i="2"/>
  <c r="G538" i="2"/>
  <c r="G526" i="2"/>
  <c r="G513" i="2"/>
  <c r="G501" i="2"/>
  <c r="G492" i="2"/>
  <c r="G483" i="2"/>
  <c r="G475" i="2"/>
  <c r="G467" i="2"/>
  <c r="G455" i="2"/>
  <c r="G442" i="2"/>
  <c r="G434" i="2"/>
  <c r="G425" i="2"/>
  <c r="G413" i="2"/>
  <c r="G401" i="2"/>
  <c r="G393" i="2"/>
  <c r="G385" i="2"/>
  <c r="G373" i="2"/>
  <c r="G364" i="2"/>
  <c r="G356" i="2"/>
  <c r="G344" i="2"/>
  <c r="G335" i="2"/>
  <c r="G327" i="2"/>
  <c r="G315" i="2"/>
  <c r="G303" i="2"/>
  <c r="G294" i="2"/>
  <c r="G286" i="2"/>
  <c r="G274" i="2"/>
  <c r="G262" i="2"/>
  <c r="G253" i="2"/>
  <c r="G245" i="2"/>
  <c r="G233" i="2"/>
  <c r="G225" i="2"/>
  <c r="G217" i="2"/>
  <c r="G204" i="2"/>
  <c r="G196" i="2"/>
  <c r="G187" i="2"/>
  <c r="G175" i="2"/>
  <c r="G162" i="2"/>
  <c r="G149" i="2"/>
  <c r="G140" i="2"/>
  <c r="G131" i="2"/>
  <c r="G123" i="2"/>
  <c r="G115" i="2"/>
  <c r="G103" i="2"/>
  <c r="G90" i="2"/>
  <c r="G81" i="2"/>
  <c r="G73" i="2"/>
  <c r="G65" i="2"/>
  <c r="G53" i="2"/>
  <c r="G40" i="2"/>
  <c r="G31" i="2"/>
  <c r="G23" i="2"/>
  <c r="G15" i="2"/>
  <c r="G3" i="2"/>
  <c r="G693" i="2"/>
  <c r="I692" i="2"/>
  <c r="H692" i="2" s="1"/>
  <c r="F691" i="2" s="1"/>
  <c r="G691" i="2" s="1"/>
  <c r="H691" i="2" s="1"/>
  <c r="G689" i="2"/>
  <c r="H689" i="2" s="1"/>
  <c r="G686" i="2"/>
  <c r="I685" i="2"/>
  <c r="H685" i="2" s="1"/>
  <c r="F684" i="2" s="1"/>
  <c r="G684" i="2" s="1"/>
  <c r="H684" i="2" s="1"/>
  <c r="G682" i="2"/>
  <c r="H682" i="2" s="1"/>
  <c r="G679" i="2"/>
  <c r="I678" i="2"/>
  <c r="H678" i="2" s="1"/>
  <c r="F677" i="2" s="1"/>
  <c r="G677" i="2" s="1"/>
  <c r="H677" i="2" s="1"/>
  <c r="G675" i="2"/>
  <c r="H675" i="2" s="1"/>
  <c r="G672" i="2"/>
  <c r="I671" i="2"/>
  <c r="H671" i="2" s="1"/>
  <c r="F670" i="2" s="1"/>
  <c r="G670" i="2" s="1"/>
  <c r="H670" i="2" s="1"/>
  <c r="G668" i="2"/>
  <c r="H668" i="2" s="1"/>
  <c r="G665" i="2"/>
  <c r="I664" i="2"/>
  <c r="H664" i="2" s="1"/>
  <c r="F663" i="2" s="1"/>
  <c r="G663" i="2" s="1"/>
  <c r="H663" i="2" s="1"/>
  <c r="G662" i="2"/>
  <c r="H662" i="2" s="1"/>
  <c r="G661" i="2"/>
  <c r="H661" i="2" s="1"/>
  <c r="G660" i="2"/>
  <c r="H660" i="2" s="1"/>
  <c r="O22" i="6" l="1"/>
  <c r="P22" i="6" s="1"/>
  <c r="Q22" i="6" s="1"/>
  <c r="P21" i="6"/>
  <c r="Q21" i="6" s="1"/>
  <c r="O440" i="6"/>
  <c r="P439" i="6"/>
  <c r="Q439" i="6" s="1"/>
  <c r="P148" i="6"/>
  <c r="Q148" i="6" s="1"/>
  <c r="O149" i="6"/>
  <c r="P238" i="6"/>
  <c r="Q238" i="6" s="1"/>
  <c r="O239" i="6"/>
  <c r="P239" i="6" s="1"/>
  <c r="Q239" i="6" s="1"/>
  <c r="O106" i="6"/>
  <c r="P105" i="6"/>
  <c r="Q105" i="6" s="1"/>
  <c r="O256" i="6"/>
  <c r="P255" i="6"/>
  <c r="Q255" i="6" s="1"/>
  <c r="P268" i="6"/>
  <c r="Q268" i="6" s="1"/>
  <c r="O269" i="6"/>
  <c r="P269" i="6" s="1"/>
  <c r="Q269" i="6" s="1"/>
  <c r="O9" i="6"/>
  <c r="P8" i="6"/>
  <c r="Q8" i="6" s="1"/>
  <c r="P451" i="6"/>
  <c r="Q451" i="6" s="1"/>
  <c r="O452" i="6"/>
  <c r="P527" i="6"/>
  <c r="Q527" i="6" s="1"/>
  <c r="O528" i="6"/>
  <c r="P382" i="6"/>
  <c r="Q382" i="6" s="1"/>
  <c r="O383" i="6"/>
  <c r="P383" i="6" s="1"/>
  <c r="Q383" i="6" s="1"/>
  <c r="P391" i="6"/>
  <c r="Q391" i="6" s="1"/>
  <c r="O392" i="6"/>
  <c r="P392" i="6" s="1"/>
  <c r="Q392" i="6" s="1"/>
  <c r="O623" i="6"/>
  <c r="P623" i="6" s="1"/>
  <c r="Q623" i="6" s="1"/>
  <c r="P622" i="6"/>
  <c r="Q622" i="6" s="1"/>
  <c r="P603" i="6"/>
  <c r="Q603" i="6" s="1"/>
  <c r="O604" i="6"/>
  <c r="O342" i="6"/>
  <c r="P341" i="6"/>
  <c r="Q341" i="6" s="1"/>
  <c r="P361" i="6"/>
  <c r="Q361" i="6" s="1"/>
  <c r="O362" i="6"/>
  <c r="O96" i="6"/>
  <c r="P95" i="6"/>
  <c r="Q95" i="6" s="1"/>
  <c r="O322" i="6"/>
  <c r="P322" i="6" s="1"/>
  <c r="Q322" i="6" s="1"/>
  <c r="P321" i="6"/>
  <c r="Q321" i="6" s="1"/>
  <c r="P539" i="6"/>
  <c r="Q539" i="6" s="1"/>
  <c r="O540" i="6"/>
  <c r="O248" i="6"/>
  <c r="P248" i="6" s="1"/>
  <c r="Q248" i="6" s="1"/>
  <c r="P247" i="6"/>
  <c r="Q247" i="6" s="1"/>
  <c r="O428" i="6"/>
  <c r="P427" i="6"/>
  <c r="Q427" i="6" s="1"/>
  <c r="P183" i="6"/>
  <c r="Q183" i="6" s="1"/>
  <c r="O184" i="6"/>
  <c r="P493" i="6"/>
  <c r="Q493" i="6" s="1"/>
  <c r="O494" i="6"/>
  <c r="P494" i="6" s="1"/>
  <c r="Q494" i="6" s="1"/>
  <c r="P329" i="6"/>
  <c r="Q329" i="6" s="1"/>
  <c r="O330" i="6"/>
  <c r="O502" i="6"/>
  <c r="P502" i="6" s="1"/>
  <c r="Q502" i="6" s="1"/>
  <c r="P501" i="6"/>
  <c r="Q501" i="6" s="1"/>
  <c r="O302" i="6"/>
  <c r="P301" i="6"/>
  <c r="Q301" i="6" s="1"/>
  <c r="P194" i="6"/>
  <c r="Q194" i="6" s="1"/>
  <c r="O195" i="6"/>
  <c r="P131" i="6"/>
  <c r="Q131" i="6" s="1"/>
  <c r="O132" i="6"/>
  <c r="P132" i="6" s="1"/>
  <c r="Q132" i="6" s="1"/>
  <c r="P518" i="6"/>
  <c r="Q518" i="6" s="1"/>
  <c r="O519" i="6"/>
  <c r="P589" i="6"/>
  <c r="Q589" i="6" s="1"/>
  <c r="O590" i="6"/>
  <c r="P277" i="6"/>
  <c r="Q277" i="6" s="1"/>
  <c r="O278" i="6"/>
  <c r="P225" i="6"/>
  <c r="Q225" i="6" s="1"/>
  <c r="O226" i="6"/>
  <c r="P287" i="6"/>
  <c r="Q287" i="6" s="1"/>
  <c r="O288" i="6"/>
  <c r="P639" i="6"/>
  <c r="Q639" i="6" s="1"/>
  <c r="O640" i="6"/>
  <c r="O41" i="6"/>
  <c r="P40" i="6"/>
  <c r="Q40" i="6" s="1"/>
  <c r="P64" i="6"/>
  <c r="Q64" i="6" s="1"/>
  <c r="O65" i="6"/>
  <c r="P120" i="6"/>
  <c r="Q120" i="6" s="1"/>
  <c r="O121" i="6"/>
  <c r="P469" i="6"/>
  <c r="Q469" i="6" s="1"/>
  <c r="O470" i="6"/>
  <c r="P400" i="6"/>
  <c r="Q400" i="6" s="1"/>
  <c r="O401" i="6"/>
  <c r="P660" i="6"/>
  <c r="Q660" i="6" s="1"/>
  <c r="O661" i="6"/>
  <c r="O662" i="6"/>
  <c r="P662" i="6" s="1"/>
  <c r="Q662" i="6" s="1"/>
  <c r="P688" i="6"/>
  <c r="Q688" i="6" s="1"/>
  <c r="O689" i="6"/>
  <c r="P50" i="6"/>
  <c r="Q50" i="6" s="1"/>
  <c r="O51" i="6"/>
  <c r="P51" i="6" s="1"/>
  <c r="Q51" i="6" s="1"/>
  <c r="O52" i="6"/>
  <c r="P371" i="6"/>
  <c r="Q371" i="6" s="1"/>
  <c r="O372" i="6"/>
  <c r="P631" i="6"/>
  <c r="Q631" i="6" s="1"/>
  <c r="O632" i="6"/>
  <c r="P632" i="6" s="1"/>
  <c r="Q632" i="6" s="1"/>
  <c r="P167" i="6"/>
  <c r="Q167" i="6" s="1"/>
  <c r="O168" i="6"/>
  <c r="P481" i="6"/>
  <c r="Q481" i="6" s="1"/>
  <c r="O482" i="6"/>
  <c r="P509" i="6"/>
  <c r="Q509" i="6" s="1"/>
  <c r="O510" i="6"/>
  <c r="P157" i="6"/>
  <c r="Q157" i="6" s="1"/>
  <c r="O158" i="6"/>
  <c r="P553" i="6"/>
  <c r="Q553" i="6" s="1"/>
  <c r="O554" i="6"/>
  <c r="O582" i="6"/>
  <c r="P582" i="6" s="1"/>
  <c r="Q582" i="6" s="1"/>
  <c r="P581" i="6"/>
  <c r="Q581" i="6" s="1"/>
  <c r="A695" i="6"/>
  <c r="A696" i="6" s="1"/>
  <c r="A697" i="6" s="1"/>
  <c r="A698" i="6" s="1"/>
  <c r="A701" i="6"/>
  <c r="A702" i="6" s="1"/>
  <c r="A703" i="6" s="1"/>
  <c r="K52" i="4"/>
  <c r="K53" i="4" s="1"/>
  <c r="K54" i="4" s="1"/>
  <c r="K55" i="4" s="1"/>
  <c r="K56" i="4" s="1"/>
  <c r="K51" i="4"/>
  <c r="A52" i="4"/>
  <c r="A53" i="4" s="1"/>
  <c r="A54" i="4" s="1"/>
  <c r="A55" i="4" s="1"/>
  <c r="A56" i="4" s="1"/>
  <c r="A51" i="4"/>
  <c r="A39" i="4"/>
  <c r="A40" i="4" s="1"/>
  <c r="A41" i="4" s="1"/>
  <c r="A42" i="4" s="1"/>
  <c r="A38" i="4"/>
  <c r="K39" i="4"/>
  <c r="K40" i="4" s="1"/>
  <c r="K41" i="4" s="1"/>
  <c r="K42" i="4" s="1"/>
  <c r="K38" i="4"/>
  <c r="K29" i="4"/>
  <c r="K30" i="4" s="1"/>
  <c r="K31" i="4" s="1"/>
  <c r="K32" i="4" s="1"/>
  <c r="K28" i="4"/>
  <c r="A17" i="4"/>
  <c r="A19" i="4" s="1"/>
  <c r="A20" i="4" s="1"/>
  <c r="A21" i="4" s="1"/>
  <c r="A22" i="4" s="1"/>
  <c r="A18" i="4"/>
  <c r="K17" i="4"/>
  <c r="K19" i="4" s="1"/>
  <c r="K20" i="4" s="1"/>
  <c r="K21" i="4" s="1"/>
  <c r="K22" i="4" s="1"/>
  <c r="K18" i="4"/>
  <c r="M715" i="4"/>
  <c r="N715" i="4" s="1"/>
  <c r="O715" i="4" s="1"/>
  <c r="M716" i="4"/>
  <c r="N716" i="4" s="1"/>
  <c r="O716" i="4" s="1"/>
  <c r="A699" i="4"/>
  <c r="A701" i="4" s="1"/>
  <c r="A702" i="4" s="1"/>
  <c r="A703" i="4" s="1"/>
  <c r="A704" i="4" s="1"/>
  <c r="A700" i="4"/>
  <c r="A690" i="4"/>
  <c r="A692" i="4" s="1"/>
  <c r="A693" i="4" s="1"/>
  <c r="A694" i="4" s="1"/>
  <c r="A695" i="4" s="1"/>
  <c r="A696" i="4" s="1"/>
  <c r="A691" i="4"/>
  <c r="A706" i="4"/>
  <c r="I504" i="4"/>
  <c r="G503" i="4" s="1"/>
  <c r="H503" i="4" s="1"/>
  <c r="I503" i="4" s="1"/>
  <c r="I541" i="4"/>
  <c r="G540" i="4" s="1"/>
  <c r="H540" i="4" s="1"/>
  <c r="I540" i="4" s="1"/>
  <c r="I542" i="4" s="1"/>
  <c r="I566" i="4"/>
  <c r="G565" i="4" s="1"/>
  <c r="H565" i="4" s="1"/>
  <c r="I565" i="4" s="1"/>
  <c r="I599" i="4"/>
  <c r="G598" i="4" s="1"/>
  <c r="H598" i="4" s="1"/>
  <c r="I598" i="4" s="1"/>
  <c r="I629" i="4"/>
  <c r="G628" i="4" s="1"/>
  <c r="H628" i="4" s="1"/>
  <c r="I628" i="4" s="1"/>
  <c r="I695" i="4"/>
  <c r="G694" i="4" s="1"/>
  <c r="H694" i="4" s="1"/>
  <c r="I694" i="4" s="1"/>
  <c r="I21" i="4"/>
  <c r="G20" i="4" s="1"/>
  <c r="H20" i="4" s="1"/>
  <c r="I20" i="4" s="1"/>
  <c r="I207" i="4"/>
  <c r="G206" i="4" s="1"/>
  <c r="H206" i="4" s="1"/>
  <c r="I206" i="4" s="1"/>
  <c r="I330" i="4"/>
  <c r="G329" i="4" s="1"/>
  <c r="H329" i="4" s="1"/>
  <c r="I329" i="4" s="1"/>
  <c r="I331" i="4" s="1"/>
  <c r="I445" i="4"/>
  <c r="G444" i="4" s="1"/>
  <c r="H444" i="4" s="1"/>
  <c r="I444" i="4" s="1"/>
  <c r="I55" i="4"/>
  <c r="G54" i="4" s="1"/>
  <c r="H54" i="4" s="1"/>
  <c r="I54" i="4" s="1"/>
  <c r="I84" i="4"/>
  <c r="G83" i="4" s="1"/>
  <c r="H83" i="4" s="1"/>
  <c r="I83" i="4" s="1"/>
  <c r="I118" i="4"/>
  <c r="G117" i="4" s="1"/>
  <c r="H117" i="4" s="1"/>
  <c r="I117" i="4" s="1"/>
  <c r="I119" i="4" s="1"/>
  <c r="I178" i="4"/>
  <c r="G177" i="4" s="1"/>
  <c r="H177" i="4" s="1"/>
  <c r="I177" i="4" s="1"/>
  <c r="I236" i="4"/>
  <c r="G235" i="4" s="1"/>
  <c r="H235" i="4" s="1"/>
  <c r="I235" i="4" s="1"/>
  <c r="I265" i="4"/>
  <c r="G264" i="4" s="1"/>
  <c r="H264" i="4" s="1"/>
  <c r="I264" i="4" s="1"/>
  <c r="I297" i="4"/>
  <c r="G296" i="4" s="1"/>
  <c r="H296" i="4" s="1"/>
  <c r="I296" i="4" s="1"/>
  <c r="I359" i="4"/>
  <c r="G358" i="4" s="1"/>
  <c r="H358" i="4" s="1"/>
  <c r="I358" i="4" s="1"/>
  <c r="I388" i="4"/>
  <c r="G387" i="4" s="1"/>
  <c r="H387" i="4" s="1"/>
  <c r="I387" i="4" s="1"/>
  <c r="I416" i="4"/>
  <c r="G415" i="4" s="1"/>
  <c r="H415" i="4" s="1"/>
  <c r="I415" i="4" s="1"/>
  <c r="I478" i="4"/>
  <c r="G477" i="4" s="1"/>
  <c r="H477" i="4" s="1"/>
  <c r="I477" i="4" s="1"/>
  <c r="I703" i="4"/>
  <c r="G702" i="4" s="1"/>
  <c r="H702" i="4" s="1"/>
  <c r="I702" i="4" s="1"/>
  <c r="I516" i="4"/>
  <c r="G515" i="4" s="1"/>
  <c r="H515" i="4" s="1"/>
  <c r="I515" i="4" s="1"/>
  <c r="I549" i="4"/>
  <c r="G548" i="4" s="1"/>
  <c r="H548" i="4" s="1"/>
  <c r="I548" i="4" s="1"/>
  <c r="I579" i="4"/>
  <c r="G578" i="4" s="1"/>
  <c r="H578" i="4" s="1"/>
  <c r="I578" i="4" s="1"/>
  <c r="I607" i="4"/>
  <c r="G606" i="4" s="1"/>
  <c r="H606" i="4" s="1"/>
  <c r="I606" i="4" s="1"/>
  <c r="I657" i="4"/>
  <c r="G656" i="4" s="1"/>
  <c r="H656" i="4" s="1"/>
  <c r="I656" i="4" s="1"/>
  <c r="I31" i="4"/>
  <c r="G30" i="4" s="1"/>
  <c r="H30" i="4" s="1"/>
  <c r="I30" i="4" s="1"/>
  <c r="I67" i="4"/>
  <c r="G66" i="4" s="1"/>
  <c r="H66" i="4" s="1"/>
  <c r="I66" i="4" s="1"/>
  <c r="I68" i="4" s="1"/>
  <c r="I93" i="4"/>
  <c r="G92" i="4" s="1"/>
  <c r="H92" i="4" s="1"/>
  <c r="I92" i="4" s="1"/>
  <c r="I126" i="4"/>
  <c r="G125" i="4" s="1"/>
  <c r="H125" i="4" s="1"/>
  <c r="I125" i="4" s="1"/>
  <c r="I152" i="4"/>
  <c r="G151" i="4" s="1"/>
  <c r="H151" i="4" s="1"/>
  <c r="I151" i="4" s="1"/>
  <c r="I190" i="4"/>
  <c r="G189" i="4" s="1"/>
  <c r="H189" i="4" s="1"/>
  <c r="I189" i="4" s="1"/>
  <c r="I191" i="4" s="1"/>
  <c r="I220" i="4"/>
  <c r="G219" i="4" s="1"/>
  <c r="H219" i="4" s="1"/>
  <c r="I219" i="4" s="1"/>
  <c r="I248" i="4"/>
  <c r="G247" i="4" s="1"/>
  <c r="H247" i="4" s="1"/>
  <c r="I247" i="4" s="1"/>
  <c r="I277" i="4"/>
  <c r="G276" i="4" s="1"/>
  <c r="H276" i="4" s="1"/>
  <c r="I276" i="4" s="1"/>
  <c r="I306" i="4"/>
  <c r="G305" i="4" s="1"/>
  <c r="H305" i="4" s="1"/>
  <c r="I305" i="4" s="1"/>
  <c r="I338" i="4"/>
  <c r="G337" i="4" s="1"/>
  <c r="H337" i="4" s="1"/>
  <c r="I337" i="4" s="1"/>
  <c r="I367" i="4"/>
  <c r="G366" i="4" s="1"/>
  <c r="H366" i="4" s="1"/>
  <c r="I366" i="4" s="1"/>
  <c r="I396" i="4"/>
  <c r="G395" i="4" s="1"/>
  <c r="H395" i="4" s="1"/>
  <c r="I395" i="4" s="1"/>
  <c r="I428" i="4"/>
  <c r="G427" i="4" s="1"/>
  <c r="H427" i="4" s="1"/>
  <c r="I427" i="4" s="1"/>
  <c r="I429" i="4" s="1"/>
  <c r="I458" i="4"/>
  <c r="G457" i="4" s="1"/>
  <c r="H457" i="4" s="1"/>
  <c r="I457" i="4" s="1"/>
  <c r="I486" i="4"/>
  <c r="G485" i="4" s="1"/>
  <c r="H485" i="4" s="1"/>
  <c r="I485" i="4" s="1"/>
  <c r="I487" i="4" s="1"/>
  <c r="I711" i="4"/>
  <c r="G710" i="4" s="1"/>
  <c r="H710" i="4" s="1"/>
  <c r="I710" i="4" s="1"/>
  <c r="I495" i="4"/>
  <c r="G494" i="4" s="1"/>
  <c r="H494" i="4" s="1"/>
  <c r="I494" i="4" s="1"/>
  <c r="I529" i="4"/>
  <c r="G528" i="4" s="1"/>
  <c r="H528" i="4" s="1"/>
  <c r="I528" i="4" s="1"/>
  <c r="I557" i="4"/>
  <c r="G556" i="4" s="1"/>
  <c r="H556" i="4" s="1"/>
  <c r="I556" i="4" s="1"/>
  <c r="I591" i="4"/>
  <c r="G590" i="4" s="1"/>
  <c r="H590" i="4" s="1"/>
  <c r="I590" i="4" s="1"/>
  <c r="I592" i="4" s="1"/>
  <c r="I12" i="4"/>
  <c r="G11" i="4" s="1"/>
  <c r="H11" i="4" s="1"/>
  <c r="I11" i="4" s="1"/>
  <c r="I41" i="4"/>
  <c r="G40" i="4" s="1"/>
  <c r="H40" i="4" s="1"/>
  <c r="I40" i="4" s="1"/>
  <c r="I75" i="4"/>
  <c r="G74" i="4" s="1"/>
  <c r="H74" i="4" s="1"/>
  <c r="I74" i="4" s="1"/>
  <c r="I106" i="4"/>
  <c r="G105" i="4" s="1"/>
  <c r="H105" i="4" s="1"/>
  <c r="I105" i="4" s="1"/>
  <c r="I134" i="4"/>
  <c r="G133" i="4" s="1"/>
  <c r="H133" i="4" s="1"/>
  <c r="I133" i="4" s="1"/>
  <c r="I165" i="4"/>
  <c r="G164" i="4" s="1"/>
  <c r="H164" i="4" s="1"/>
  <c r="I164" i="4" s="1"/>
  <c r="I199" i="4"/>
  <c r="G198" i="4" s="1"/>
  <c r="H198" i="4" s="1"/>
  <c r="I198" i="4" s="1"/>
  <c r="I228" i="4"/>
  <c r="G227" i="4" s="1"/>
  <c r="H227" i="4" s="1"/>
  <c r="I227" i="4" s="1"/>
  <c r="I256" i="4"/>
  <c r="G255" i="4" s="1"/>
  <c r="H255" i="4" s="1"/>
  <c r="I255" i="4" s="1"/>
  <c r="I289" i="4"/>
  <c r="G288" i="4" s="1"/>
  <c r="H288" i="4" s="1"/>
  <c r="I288" i="4" s="1"/>
  <c r="I290" i="4" s="1"/>
  <c r="I318" i="4"/>
  <c r="G317" i="4" s="1"/>
  <c r="H317" i="4" s="1"/>
  <c r="I317" i="4" s="1"/>
  <c r="I347" i="4"/>
  <c r="G346" i="4" s="1"/>
  <c r="H346" i="4" s="1"/>
  <c r="I346" i="4" s="1"/>
  <c r="I376" i="4"/>
  <c r="G375" i="4" s="1"/>
  <c r="H375" i="4" s="1"/>
  <c r="I375" i="4" s="1"/>
  <c r="I404" i="4"/>
  <c r="G403" i="4" s="1"/>
  <c r="H403" i="4" s="1"/>
  <c r="I403" i="4" s="1"/>
  <c r="I437" i="4"/>
  <c r="G436" i="4" s="1"/>
  <c r="H436" i="4" s="1"/>
  <c r="I436" i="4" s="1"/>
  <c r="I470" i="4"/>
  <c r="G469" i="4" s="1"/>
  <c r="H469" i="4" s="1"/>
  <c r="I469" i="4" s="1"/>
  <c r="I471" i="4" s="1"/>
  <c r="I687" i="4"/>
  <c r="G686" i="4" s="1"/>
  <c r="H686" i="4" s="1"/>
  <c r="I686" i="4" s="1"/>
  <c r="I719" i="4"/>
  <c r="G718" i="4" s="1"/>
  <c r="H718" i="4" s="1"/>
  <c r="I718" i="4" s="1"/>
  <c r="A70" i="4"/>
  <c r="A71" i="4" s="1"/>
  <c r="A72" i="4" s="1"/>
  <c r="A73" i="4" s="1"/>
  <c r="A74" i="4" s="1"/>
  <c r="A75" i="4" s="1"/>
  <c r="A76" i="4" s="1"/>
  <c r="M668" i="4"/>
  <c r="M670" i="4" s="1"/>
  <c r="N670" i="4" s="1"/>
  <c r="O670" i="4" s="1"/>
  <c r="N663" i="4"/>
  <c r="O663" i="4" s="1"/>
  <c r="M638" i="4"/>
  <c r="N638" i="4" s="1"/>
  <c r="O638" i="4" s="1"/>
  <c r="K669" i="4"/>
  <c r="K678" i="4" s="1"/>
  <c r="K670" i="4"/>
  <c r="A660" i="4"/>
  <c r="A661" i="4"/>
  <c r="M665" i="4"/>
  <c r="N665" i="4" s="1"/>
  <c r="O665" i="4" s="1"/>
  <c r="M702" i="4"/>
  <c r="M703" i="4" s="1"/>
  <c r="N634" i="4"/>
  <c r="O634" i="4" s="1"/>
  <c r="M643" i="4"/>
  <c r="N643" i="4" s="1"/>
  <c r="O643" i="4" s="1"/>
  <c r="N635" i="4"/>
  <c r="O635" i="4" s="1"/>
  <c r="M636" i="4"/>
  <c r="M644" i="4" s="1"/>
  <c r="N644" i="4" s="1"/>
  <c r="O644" i="4" s="1"/>
  <c r="A632" i="4"/>
  <c r="A634" i="4" s="1"/>
  <c r="A643" i="4" s="1"/>
  <c r="A633" i="4"/>
  <c r="A83" i="4"/>
  <c r="A84" i="4" s="1"/>
  <c r="A85" i="4" s="1"/>
  <c r="A82" i="4"/>
  <c r="A30" i="4"/>
  <c r="A31" i="4" s="1"/>
  <c r="A32" i="4" s="1"/>
  <c r="A29" i="4"/>
  <c r="N79" i="4"/>
  <c r="O79" i="4" s="1"/>
  <c r="O448" i="4"/>
  <c r="O569" i="4"/>
  <c r="O121" i="4"/>
  <c r="O690" i="4"/>
  <c r="M282" i="4"/>
  <c r="N282" i="4" s="1"/>
  <c r="O282" i="4" s="1"/>
  <c r="O240" i="4"/>
  <c r="O370" i="4"/>
  <c r="O419" i="4"/>
  <c r="O181" i="4"/>
  <c r="O137" i="4"/>
  <c r="O461" i="4"/>
  <c r="O350" i="4"/>
  <c r="O520" i="4"/>
  <c r="O202" i="4"/>
  <c r="O300" i="4"/>
  <c r="O321" i="4"/>
  <c r="O169" i="4"/>
  <c r="O155" i="4"/>
  <c r="O582" i="4"/>
  <c r="O498" i="4"/>
  <c r="O431" i="4"/>
  <c r="O714" i="4"/>
  <c r="O560" i="4"/>
  <c r="O333" i="4"/>
  <c r="O391" i="4"/>
  <c r="O351" i="4"/>
  <c r="O544" i="4"/>
  <c r="O481" i="4"/>
  <c r="O310" i="4"/>
  <c r="O473" i="4"/>
  <c r="O259" i="4"/>
  <c r="O519" i="4"/>
  <c r="O78" i="4"/>
  <c r="O552" i="4"/>
  <c r="O407" i="4"/>
  <c r="O640" i="4"/>
  <c r="O602" i="4"/>
  <c r="O3" i="4"/>
  <c r="O380" i="4"/>
  <c r="O532" i="4"/>
  <c r="O70" i="4"/>
  <c r="O341" i="4"/>
  <c r="O96" i="4"/>
  <c r="O193" i="4"/>
  <c r="O24" i="4"/>
  <c r="O168" i="4"/>
  <c r="O223" i="4"/>
  <c r="N441" i="4"/>
  <c r="O441" i="4" s="1"/>
  <c r="O619" i="4"/>
  <c r="O660" i="4"/>
  <c r="O440" i="4"/>
  <c r="O292" i="4"/>
  <c r="O268" i="4"/>
  <c r="O698" i="4"/>
  <c r="O109" i="4"/>
  <c r="O58" i="4"/>
  <c r="O507" i="4"/>
  <c r="O231" i="4"/>
  <c r="O309" i="4"/>
  <c r="O379" i="4"/>
  <c r="O362" i="4"/>
  <c r="O632" i="4"/>
  <c r="O251" i="4"/>
  <c r="O706" i="4"/>
  <c r="O210" i="4"/>
  <c r="O34" i="4"/>
  <c r="O15" i="4"/>
  <c r="O129" i="4"/>
  <c r="O594" i="4"/>
  <c r="O610" i="4"/>
  <c r="O44" i="4"/>
  <c r="O146" i="4"/>
  <c r="O87" i="4"/>
  <c r="O399" i="4"/>
  <c r="O489" i="4"/>
  <c r="O280" i="4"/>
  <c r="O239" i="4"/>
  <c r="N130" i="4"/>
  <c r="O130" i="4" s="1"/>
  <c r="M554" i="4"/>
  <c r="N554" i="4" s="1"/>
  <c r="O554" i="4" s="1"/>
  <c r="M562" i="4"/>
  <c r="N561" i="4"/>
  <c r="O561" i="4" s="1"/>
  <c r="N500" i="4"/>
  <c r="O500" i="4" s="1"/>
  <c r="M501" i="4"/>
  <c r="N260" i="4"/>
  <c r="O260" i="4" s="1"/>
  <c r="M261" i="4"/>
  <c r="M241" i="4"/>
  <c r="N241" i="4" s="1"/>
  <c r="O241" i="4" s="1"/>
  <c r="M139" i="4"/>
  <c r="N138" i="4"/>
  <c r="O138" i="4" s="1"/>
  <c r="N474" i="4"/>
  <c r="O474" i="4" s="1"/>
  <c r="M475" i="4"/>
  <c r="M233" i="4"/>
  <c r="N232" i="4"/>
  <c r="O232" i="4" s="1"/>
  <c r="M621" i="4"/>
  <c r="N620" i="4"/>
  <c r="O620" i="4" s="1"/>
  <c r="M401" i="4"/>
  <c r="N400" i="4"/>
  <c r="O400" i="4" s="1"/>
  <c r="G615" i="4"/>
  <c r="H615" i="4" s="1"/>
  <c r="I615" i="4" s="1"/>
  <c r="N616" i="4"/>
  <c r="O616" i="4" s="1"/>
  <c r="M111" i="4"/>
  <c r="N110" i="4"/>
  <c r="O110" i="4" s="1"/>
  <c r="M522" i="4"/>
  <c r="N521" i="4"/>
  <c r="O521" i="4" s="1"/>
  <c r="M295" i="4"/>
  <c r="N294" i="4"/>
  <c r="O294" i="4" s="1"/>
  <c r="M98" i="4"/>
  <c r="N97" i="4"/>
  <c r="O97" i="4" s="1"/>
  <c r="M89" i="4"/>
  <c r="N88" i="4"/>
  <c r="O88" i="4" s="1"/>
  <c r="M571" i="4"/>
  <c r="N570" i="4"/>
  <c r="O570" i="4" s="1"/>
  <c r="M463" i="4"/>
  <c r="N462" i="4"/>
  <c r="O462" i="4" s="1"/>
  <c r="M212" i="4"/>
  <c r="N211" i="4"/>
  <c r="O211" i="4" s="1"/>
  <c r="M597" i="4"/>
  <c r="N596" i="4"/>
  <c r="O596" i="4" s="1"/>
  <c r="M324" i="4"/>
  <c r="N323" i="4"/>
  <c r="O323" i="4" s="1"/>
  <c r="M225" i="4"/>
  <c r="N224" i="4"/>
  <c r="O224" i="4" s="1"/>
  <c r="M336" i="4"/>
  <c r="N335" i="4"/>
  <c r="O335" i="4" s="1"/>
  <c r="M584" i="4"/>
  <c r="N583" i="4"/>
  <c r="O583" i="4" s="1"/>
  <c r="M37" i="4"/>
  <c r="M38" i="4" s="1"/>
  <c r="N38" i="4" s="1"/>
  <c r="O38" i="4" s="1"/>
  <c r="N36" i="4"/>
  <c r="O36" i="4" s="1"/>
  <c r="N45" i="4"/>
  <c r="O45" i="4" s="1"/>
  <c r="M46" i="4"/>
  <c r="M302" i="4"/>
  <c r="N301" i="4"/>
  <c r="O301" i="4" s="1"/>
  <c r="M253" i="4"/>
  <c r="N252" i="4"/>
  <c r="O252" i="4" s="1"/>
  <c r="M124" i="4"/>
  <c r="N123" i="4"/>
  <c r="O123" i="4" s="1"/>
  <c r="M6" i="4"/>
  <c r="N5" i="4"/>
  <c r="O5" i="4" s="1"/>
  <c r="M157" i="4"/>
  <c r="N156" i="4"/>
  <c r="O156" i="4" s="1"/>
  <c r="M345" i="4"/>
  <c r="N344" i="4"/>
  <c r="O344" i="4" s="1"/>
  <c r="M483" i="4"/>
  <c r="N482" i="4"/>
  <c r="O482" i="4" s="1"/>
  <c r="N420" i="4"/>
  <c r="O420" i="4" s="1"/>
  <c r="M421" i="4"/>
  <c r="M535" i="4"/>
  <c r="N534" i="4"/>
  <c r="O534" i="4" s="1"/>
  <c r="M183" i="4"/>
  <c r="N182" i="4"/>
  <c r="O182" i="4" s="1"/>
  <c r="M81" i="4"/>
  <c r="M82" i="4" s="1"/>
  <c r="N82" i="4" s="1"/>
  <c r="O82" i="4" s="1"/>
  <c r="N80" i="4"/>
  <c r="O80" i="4" s="1"/>
  <c r="M546" i="4"/>
  <c r="N545" i="4"/>
  <c r="O545" i="4" s="1"/>
  <c r="M694" i="4"/>
  <c r="N693" i="4"/>
  <c r="O693" i="4" s="1"/>
  <c r="M365" i="4"/>
  <c r="N364" i="4"/>
  <c r="O364" i="4" s="1"/>
  <c r="M132" i="4"/>
  <c r="N131" i="4"/>
  <c r="O131" i="4" s="1"/>
  <c r="M604" i="4"/>
  <c r="N603" i="4"/>
  <c r="O603" i="4" s="1"/>
  <c r="M195" i="4"/>
  <c r="N194" i="4"/>
  <c r="O194" i="4" s="1"/>
  <c r="G142" i="4"/>
  <c r="H142" i="4" s="1"/>
  <c r="I142" i="4" s="1"/>
  <c r="M492" i="4"/>
  <c r="N491" i="4"/>
  <c r="O491" i="4" s="1"/>
  <c r="M450" i="4"/>
  <c r="N449" i="4"/>
  <c r="O449" i="4" s="1"/>
  <c r="M373" i="4"/>
  <c r="N372" i="4"/>
  <c r="O372" i="4" s="1"/>
  <c r="M171" i="4"/>
  <c r="N170" i="4"/>
  <c r="O170" i="4" s="1"/>
  <c r="M709" i="4"/>
  <c r="M312" i="4"/>
  <c r="N311" i="4"/>
  <c r="O311" i="4" s="1"/>
  <c r="N59" i="4"/>
  <c r="O59" i="4" s="1"/>
  <c r="M60" i="4"/>
  <c r="M204" i="4"/>
  <c r="N203" i="4"/>
  <c r="O203" i="4" s="1"/>
  <c r="M409" i="4"/>
  <c r="N408" i="4"/>
  <c r="O408" i="4" s="1"/>
  <c r="M717" i="4"/>
  <c r="M148" i="4"/>
  <c r="N147" i="4"/>
  <c r="O147" i="4" s="1"/>
  <c r="M509" i="4"/>
  <c r="N508" i="4"/>
  <c r="O508" i="4" s="1"/>
  <c r="M26" i="4"/>
  <c r="N25" i="4"/>
  <c r="O25" i="4" s="1"/>
  <c r="N432" i="4"/>
  <c r="O432" i="4" s="1"/>
  <c r="M433" i="4"/>
  <c r="N71" i="4"/>
  <c r="O71" i="4" s="1"/>
  <c r="M72" i="4"/>
  <c r="M384" i="4"/>
  <c r="N383" i="4"/>
  <c r="O383" i="4" s="1"/>
  <c r="M393" i="4"/>
  <c r="N392" i="4"/>
  <c r="O392" i="4" s="1"/>
  <c r="M353" i="4"/>
  <c r="N352" i="4"/>
  <c r="O352" i="4" s="1"/>
  <c r="M270" i="4"/>
  <c r="N269" i="4"/>
  <c r="O269" i="4" s="1"/>
  <c r="M19" i="4"/>
  <c r="N17" i="4"/>
  <c r="O17" i="4" s="1"/>
  <c r="M443" i="4"/>
  <c r="N442" i="4"/>
  <c r="O442" i="4" s="1"/>
  <c r="K374" i="4"/>
  <c r="K375" i="4" s="1"/>
  <c r="K376" i="4" s="1"/>
  <c r="K377" i="4" s="1"/>
  <c r="K663" i="4"/>
  <c r="K5" i="4"/>
  <c r="K7" i="4" s="1"/>
  <c r="K8" i="4" s="1"/>
  <c r="K9" i="4" s="1"/>
  <c r="K10" i="4" s="1"/>
  <c r="K11" i="4" s="1"/>
  <c r="K12" i="4" s="1"/>
  <c r="K13" i="4" s="1"/>
  <c r="K198" i="4"/>
  <c r="K199" i="4" s="1"/>
  <c r="K200" i="4" s="1"/>
  <c r="K197" i="4"/>
  <c r="K111" i="4"/>
  <c r="K113" i="4" s="1"/>
  <c r="K115" i="4" s="1"/>
  <c r="K117" i="4" s="1"/>
  <c r="K119" i="4" s="1"/>
  <c r="K112" i="4"/>
  <c r="K114" i="4" s="1"/>
  <c r="K116" i="4" s="1"/>
  <c r="K118" i="4" s="1"/>
  <c r="A486" i="4"/>
  <c r="A487" i="4"/>
  <c r="K183" i="4"/>
  <c r="K185" i="4" s="1"/>
  <c r="K187" i="4" s="1"/>
  <c r="K189" i="4" s="1"/>
  <c r="K191" i="4" s="1"/>
  <c r="K184" i="4"/>
  <c r="K186" i="4" s="1"/>
  <c r="K188" i="4" s="1"/>
  <c r="K190" i="4" s="1"/>
  <c r="K263" i="4"/>
  <c r="K264" i="4" s="1"/>
  <c r="K265" i="4" s="1"/>
  <c r="K266" i="4" s="1"/>
  <c r="K262" i="4"/>
  <c r="K283" i="4"/>
  <c r="K285" i="4" s="1"/>
  <c r="K287" i="4" s="1"/>
  <c r="K289" i="4" s="1"/>
  <c r="K282" i="4"/>
  <c r="K284" i="4" s="1"/>
  <c r="K286" i="4" s="1"/>
  <c r="K288" i="4" s="1"/>
  <c r="K290" i="4" s="1"/>
  <c r="K61" i="4"/>
  <c r="K63" i="4" s="1"/>
  <c r="K60" i="4"/>
  <c r="K62" i="4" s="1"/>
  <c r="K64" i="4" s="1"/>
  <c r="K65" i="4" s="1"/>
  <c r="K66" i="4" s="1"/>
  <c r="K67" i="4" s="1"/>
  <c r="K68" i="4" s="1"/>
  <c r="K639" i="4"/>
  <c r="K641" i="4" s="1"/>
  <c r="K645" i="4" s="1"/>
  <c r="K638" i="4"/>
  <c r="A480" i="2"/>
  <c r="H693" i="2"/>
  <c r="H686" i="2"/>
  <c r="H679" i="2"/>
  <c r="H672" i="2"/>
  <c r="H665" i="2"/>
  <c r="P149" i="6" l="1"/>
  <c r="Q149" i="6" s="1"/>
  <c r="O150" i="6"/>
  <c r="P150" i="6" s="1"/>
  <c r="Q150" i="6" s="1"/>
  <c r="O441" i="6"/>
  <c r="P440" i="6"/>
  <c r="Q440" i="6" s="1"/>
  <c r="O107" i="6"/>
  <c r="P106" i="6"/>
  <c r="Q106" i="6" s="1"/>
  <c r="O257" i="6"/>
  <c r="P256" i="6"/>
  <c r="Q256" i="6" s="1"/>
  <c r="P528" i="6"/>
  <c r="Q528" i="6" s="1"/>
  <c r="O529" i="6"/>
  <c r="O10" i="6"/>
  <c r="P9" i="6"/>
  <c r="Q9" i="6" s="1"/>
  <c r="P452" i="6"/>
  <c r="Q452" i="6" s="1"/>
  <c r="O453" i="6"/>
  <c r="P453" i="6" s="1"/>
  <c r="Q453" i="6" s="1"/>
  <c r="O97" i="6"/>
  <c r="P97" i="6" s="1"/>
  <c r="Q97" i="6" s="1"/>
  <c r="P96" i="6"/>
  <c r="Q96" i="6" s="1"/>
  <c r="P362" i="6"/>
  <c r="Q362" i="6" s="1"/>
  <c r="O363" i="6"/>
  <c r="P363" i="6" s="1"/>
  <c r="Q363" i="6" s="1"/>
  <c r="O429" i="6"/>
  <c r="P428" i="6"/>
  <c r="Q428" i="6" s="1"/>
  <c r="P342" i="6"/>
  <c r="Q342" i="6" s="1"/>
  <c r="O343" i="6"/>
  <c r="P604" i="6"/>
  <c r="Q604" i="6" s="1"/>
  <c r="O605" i="6"/>
  <c r="P540" i="6"/>
  <c r="Q540" i="6" s="1"/>
  <c r="O541" i="6"/>
  <c r="P661" i="6"/>
  <c r="Q661" i="6" s="1"/>
  <c r="O663" i="6"/>
  <c r="P640" i="6"/>
  <c r="Q640" i="6" s="1"/>
  <c r="O641" i="6"/>
  <c r="P519" i="6"/>
  <c r="Q519" i="6" s="1"/>
  <c r="O520" i="6"/>
  <c r="P520" i="6" s="1"/>
  <c r="Q520" i="6" s="1"/>
  <c r="P470" i="6"/>
  <c r="Q470" i="6" s="1"/>
  <c r="O471" i="6"/>
  <c r="O227" i="6"/>
  <c r="P226" i="6"/>
  <c r="Q226" i="6" s="1"/>
  <c r="O42" i="6"/>
  <c r="P42" i="6" s="1"/>
  <c r="Q42" i="6" s="1"/>
  <c r="P41" i="6"/>
  <c r="Q41" i="6" s="1"/>
  <c r="O303" i="6"/>
  <c r="P303" i="6" s="1"/>
  <c r="Q303" i="6" s="1"/>
  <c r="P302" i="6"/>
  <c r="Q302" i="6" s="1"/>
  <c r="P401" i="6"/>
  <c r="Q401" i="6" s="1"/>
  <c r="O402" i="6"/>
  <c r="O289" i="6"/>
  <c r="P288" i="6"/>
  <c r="Q288" i="6" s="1"/>
  <c r="P510" i="6"/>
  <c r="Q510" i="6" s="1"/>
  <c r="O511" i="6"/>
  <c r="P511" i="6" s="1"/>
  <c r="Q511" i="6" s="1"/>
  <c r="P372" i="6"/>
  <c r="Q372" i="6" s="1"/>
  <c r="O373" i="6"/>
  <c r="P482" i="6"/>
  <c r="Q482" i="6" s="1"/>
  <c r="O483" i="6"/>
  <c r="O331" i="6"/>
  <c r="P330" i="6"/>
  <c r="Q330" i="6" s="1"/>
  <c r="O169" i="6"/>
  <c r="P168" i="6"/>
  <c r="Q168" i="6" s="1"/>
  <c r="O122" i="6"/>
  <c r="P121" i="6"/>
  <c r="Q121" i="6" s="1"/>
  <c r="O159" i="6"/>
  <c r="P159" i="6" s="1"/>
  <c r="Q159" i="6" s="1"/>
  <c r="P158" i="6"/>
  <c r="Q158" i="6" s="1"/>
  <c r="O66" i="6"/>
  <c r="P65" i="6"/>
  <c r="Q65" i="6" s="1"/>
  <c r="O279" i="6"/>
  <c r="P279" i="6" s="1"/>
  <c r="Q279" i="6" s="1"/>
  <c r="P278" i="6"/>
  <c r="Q278" i="6" s="1"/>
  <c r="P195" i="6"/>
  <c r="Q195" i="6" s="1"/>
  <c r="O196" i="6"/>
  <c r="O185" i="6"/>
  <c r="P184" i="6"/>
  <c r="Q184" i="6" s="1"/>
  <c r="O591" i="6"/>
  <c r="P590" i="6"/>
  <c r="Q590" i="6" s="1"/>
  <c r="P52" i="6"/>
  <c r="Q52" i="6" s="1"/>
  <c r="O53" i="6"/>
  <c r="P689" i="6"/>
  <c r="Q689" i="6" s="1"/>
  <c r="O690" i="6"/>
  <c r="O555" i="6"/>
  <c r="P554" i="6"/>
  <c r="Q554" i="6" s="1"/>
  <c r="A699" i="6"/>
  <c r="A700" i="6"/>
  <c r="A707" i="4"/>
  <c r="A708" i="4"/>
  <c r="A709" i="4" s="1"/>
  <c r="A710" i="4" s="1"/>
  <c r="A711" i="4" s="1"/>
  <c r="A712" i="4" s="1"/>
  <c r="N668" i="4"/>
  <c r="O668" i="4" s="1"/>
  <c r="M669" i="4"/>
  <c r="M677" i="4" s="1"/>
  <c r="N677" i="4" s="1"/>
  <c r="O677" i="4" s="1"/>
  <c r="M639" i="4"/>
  <c r="M641" i="4" s="1"/>
  <c r="M666" i="4"/>
  <c r="M667" i="4" s="1"/>
  <c r="N667" i="4" s="1"/>
  <c r="O667" i="4" s="1"/>
  <c r="N702" i="4"/>
  <c r="O702" i="4" s="1"/>
  <c r="K671" i="4"/>
  <c r="K679" i="4" s="1"/>
  <c r="K677" i="4"/>
  <c r="A663" i="4"/>
  <c r="A662" i="4"/>
  <c r="K646" i="4"/>
  <c r="K648" i="4" s="1"/>
  <c r="K656" i="4" s="1"/>
  <c r="K657" i="4" s="1"/>
  <c r="K658" i="4" s="1"/>
  <c r="K647" i="4"/>
  <c r="A640" i="4"/>
  <c r="A638" i="4" s="1"/>
  <c r="A639" i="4" s="1"/>
  <c r="A641" i="4" s="1"/>
  <c r="A645" i="4" s="1"/>
  <c r="A635" i="4"/>
  <c r="N636" i="4"/>
  <c r="O636" i="4" s="1"/>
  <c r="M637" i="4"/>
  <c r="N637" i="4" s="1"/>
  <c r="O637" i="4" s="1"/>
  <c r="M283" i="4"/>
  <c r="M284" i="4" s="1"/>
  <c r="M555" i="4"/>
  <c r="N555" i="4" s="1"/>
  <c r="O555" i="4" s="1"/>
  <c r="I712" i="4"/>
  <c r="I558" i="4"/>
  <c r="I107" i="4"/>
  <c r="I127" i="4"/>
  <c r="I200" i="4"/>
  <c r="I377" i="4"/>
  <c r="I517" i="4"/>
  <c r="I319" i="4"/>
  <c r="I42" i="4"/>
  <c r="I360" i="4"/>
  <c r="I496" i="4"/>
  <c r="I153" i="4"/>
  <c r="I229" i="4"/>
  <c r="I505" i="4"/>
  <c r="I56" i="4"/>
  <c r="I389" i="4"/>
  <c r="I459" i="4"/>
  <c r="I278" i="4"/>
  <c r="I221" i="4"/>
  <c r="I135" i="4"/>
  <c r="I567" i="4"/>
  <c r="I438" i="4"/>
  <c r="I249" i="4"/>
  <c r="I85" i="4"/>
  <c r="I208" i="4"/>
  <c r="I144" i="4"/>
  <c r="I617" i="4"/>
  <c r="O615" i="4"/>
  <c r="I550" i="4"/>
  <c r="I600" i="4"/>
  <c r="I658" i="4"/>
  <c r="I530" i="4"/>
  <c r="I257" i="4"/>
  <c r="I405" i="4"/>
  <c r="I608" i="4"/>
  <c r="I13" i="4"/>
  <c r="I348" i="4"/>
  <c r="I417" i="4"/>
  <c r="I704" i="4"/>
  <c r="I22" i="4"/>
  <c r="I166" i="4"/>
  <c r="I696" i="4"/>
  <c r="I630" i="4"/>
  <c r="I266" i="4"/>
  <c r="I688" i="4"/>
  <c r="I307" i="4"/>
  <c r="I339" i="4"/>
  <c r="I580" i="4"/>
  <c r="I76" i="4"/>
  <c r="I237" i="4"/>
  <c r="I479" i="4"/>
  <c r="I368" i="4"/>
  <c r="I179" i="4"/>
  <c r="I94" i="4"/>
  <c r="I720" i="4"/>
  <c r="I298" i="4"/>
  <c r="I397" i="4"/>
  <c r="I446" i="4"/>
  <c r="I32" i="4"/>
  <c r="M563" i="4"/>
  <c r="N562" i="4"/>
  <c r="O562" i="4" s="1"/>
  <c r="M262" i="4"/>
  <c r="N261" i="4"/>
  <c r="O261" i="4" s="1"/>
  <c r="M502" i="4"/>
  <c r="N501" i="4"/>
  <c r="O501" i="4" s="1"/>
  <c r="M402" i="4"/>
  <c r="N401" i="4"/>
  <c r="O401" i="4" s="1"/>
  <c r="M234" i="4"/>
  <c r="N233" i="4"/>
  <c r="O233" i="4" s="1"/>
  <c r="N621" i="4"/>
  <c r="O621" i="4" s="1"/>
  <c r="M622" i="4"/>
  <c r="M242" i="4"/>
  <c r="N242" i="4" s="1"/>
  <c r="O242" i="4" s="1"/>
  <c r="M476" i="4"/>
  <c r="N475" i="4"/>
  <c r="O475" i="4" s="1"/>
  <c r="M140" i="4"/>
  <c r="N139" i="4"/>
  <c r="O139" i="4" s="1"/>
  <c r="M61" i="4"/>
  <c r="N60" i="4"/>
  <c r="O60" i="4" s="1"/>
  <c r="M422" i="4"/>
  <c r="N421" i="4"/>
  <c r="O421" i="4" s="1"/>
  <c r="M354" i="4"/>
  <c r="N353" i="4"/>
  <c r="O353" i="4" s="1"/>
  <c r="M510" i="4"/>
  <c r="N509" i="4"/>
  <c r="O509" i="4" s="1"/>
  <c r="M695" i="4"/>
  <c r="N694" i="4"/>
  <c r="O694" i="4" s="1"/>
  <c r="M254" i="4"/>
  <c r="N253" i="4"/>
  <c r="O253" i="4" s="1"/>
  <c r="M598" i="4"/>
  <c r="N597" i="4"/>
  <c r="O597" i="4" s="1"/>
  <c r="N393" i="4"/>
  <c r="O393" i="4" s="1"/>
  <c r="M394" i="4"/>
  <c r="M149" i="4"/>
  <c r="N148" i="4"/>
  <c r="O148" i="4" s="1"/>
  <c r="M313" i="4"/>
  <c r="N312" i="4"/>
  <c r="O312" i="4" s="1"/>
  <c r="M710" i="4"/>
  <c r="N709" i="4"/>
  <c r="O709" i="4" s="1"/>
  <c r="M196" i="4"/>
  <c r="N195" i="4"/>
  <c r="O195" i="4" s="1"/>
  <c r="M484" i="4"/>
  <c r="N483" i="4"/>
  <c r="O483" i="4" s="1"/>
  <c r="M303" i="4"/>
  <c r="N302" i="4"/>
  <c r="O302" i="4" s="1"/>
  <c r="M704" i="4"/>
  <c r="N704" i="4" s="1"/>
  <c r="O704" i="4" s="1"/>
  <c r="N703" i="4"/>
  <c r="O703" i="4" s="1"/>
  <c r="M213" i="4"/>
  <c r="N212" i="4"/>
  <c r="O212" i="4" s="1"/>
  <c r="M296" i="4"/>
  <c r="N295" i="4"/>
  <c r="O295" i="4" s="1"/>
  <c r="M444" i="4"/>
  <c r="N443" i="4"/>
  <c r="O443" i="4" s="1"/>
  <c r="M385" i="4"/>
  <c r="N384" i="4"/>
  <c r="O384" i="4" s="1"/>
  <c r="M718" i="4"/>
  <c r="N717" i="4"/>
  <c r="O717" i="4" s="1"/>
  <c r="M172" i="4"/>
  <c r="N171" i="4"/>
  <c r="O171" i="4" s="1"/>
  <c r="M605" i="4"/>
  <c r="N604" i="4"/>
  <c r="O604" i="4" s="1"/>
  <c r="M547" i="4"/>
  <c r="N546" i="4"/>
  <c r="O546" i="4" s="1"/>
  <c r="M346" i="4"/>
  <c r="N345" i="4"/>
  <c r="O345" i="4" s="1"/>
  <c r="M464" i="4"/>
  <c r="N463" i="4"/>
  <c r="O463" i="4" s="1"/>
  <c r="M523" i="4"/>
  <c r="N522" i="4"/>
  <c r="O522" i="4" s="1"/>
  <c r="N72" i="4"/>
  <c r="O72" i="4" s="1"/>
  <c r="M73" i="4"/>
  <c r="M47" i="4"/>
  <c r="N46" i="4"/>
  <c r="O46" i="4" s="1"/>
  <c r="M410" i="4"/>
  <c r="N409" i="4"/>
  <c r="O409" i="4" s="1"/>
  <c r="M374" i="4"/>
  <c r="N373" i="4"/>
  <c r="O373" i="4" s="1"/>
  <c r="M83" i="4"/>
  <c r="N81" i="4"/>
  <c r="O81" i="4" s="1"/>
  <c r="M158" i="4"/>
  <c r="N157" i="4"/>
  <c r="O157" i="4" s="1"/>
  <c r="M337" i="4"/>
  <c r="N336" i="4"/>
  <c r="O336" i="4" s="1"/>
  <c r="M572" i="4"/>
  <c r="N571" i="4"/>
  <c r="O571" i="4" s="1"/>
  <c r="N433" i="4"/>
  <c r="O433" i="4" s="1"/>
  <c r="M434" i="4"/>
  <c r="M90" i="4"/>
  <c r="N89" i="4"/>
  <c r="O89" i="4" s="1"/>
  <c r="M20" i="4"/>
  <c r="N19" i="4"/>
  <c r="O19" i="4" s="1"/>
  <c r="M451" i="4"/>
  <c r="N450" i="4"/>
  <c r="O450" i="4" s="1"/>
  <c r="M133" i="4"/>
  <c r="N132" i="4"/>
  <c r="O132" i="4" s="1"/>
  <c r="M184" i="4"/>
  <c r="N183" i="4"/>
  <c r="O183" i="4" s="1"/>
  <c r="M7" i="4"/>
  <c r="N6" i="4"/>
  <c r="O6" i="4" s="1"/>
  <c r="M39" i="4"/>
  <c r="N37" i="4"/>
  <c r="O37" i="4" s="1"/>
  <c r="M226" i="4"/>
  <c r="N225" i="4"/>
  <c r="O225" i="4" s="1"/>
  <c r="M112" i="4"/>
  <c r="N111" i="4"/>
  <c r="O111" i="4" s="1"/>
  <c r="M271" i="4"/>
  <c r="N270" i="4"/>
  <c r="O270" i="4" s="1"/>
  <c r="M27" i="4"/>
  <c r="N26" i="4"/>
  <c r="O26" i="4" s="1"/>
  <c r="M205" i="4"/>
  <c r="N204" i="4"/>
  <c r="O204" i="4" s="1"/>
  <c r="M493" i="4"/>
  <c r="N492" i="4"/>
  <c r="O492" i="4" s="1"/>
  <c r="M366" i="4"/>
  <c r="N365" i="4"/>
  <c r="O365" i="4" s="1"/>
  <c r="M536" i="4"/>
  <c r="N535" i="4"/>
  <c r="O535" i="4" s="1"/>
  <c r="M125" i="4"/>
  <c r="N124" i="4"/>
  <c r="O124" i="4" s="1"/>
  <c r="M585" i="4"/>
  <c r="N584" i="4"/>
  <c r="O584" i="4" s="1"/>
  <c r="M325" i="4"/>
  <c r="N324" i="4"/>
  <c r="O324" i="4" s="1"/>
  <c r="M99" i="4"/>
  <c r="N98" i="4"/>
  <c r="O98" i="4" s="1"/>
  <c r="I643" i="2"/>
  <c r="H643" i="2" s="1"/>
  <c r="F642" i="2" s="1"/>
  <c r="G642" i="2" s="1"/>
  <c r="H642" i="2" s="1"/>
  <c r="I656" i="2"/>
  <c r="H656" i="2" s="1"/>
  <c r="F655" i="2" s="1"/>
  <c r="G655" i="2" s="1"/>
  <c r="H655" i="2" s="1"/>
  <c r="I635" i="2"/>
  <c r="H635" i="2" s="1"/>
  <c r="F634" i="2" s="1"/>
  <c r="G634" i="2" s="1"/>
  <c r="H634" i="2" s="1"/>
  <c r="I623" i="2"/>
  <c r="H623" i="2" s="1"/>
  <c r="F622" i="2" s="1"/>
  <c r="G622" i="2" s="1"/>
  <c r="H622" i="2" s="1"/>
  <c r="I610" i="2"/>
  <c r="H610" i="2" s="1"/>
  <c r="F609" i="2" s="1"/>
  <c r="G609" i="2" s="1"/>
  <c r="H609" i="2" s="1"/>
  <c r="I601" i="2"/>
  <c r="H601" i="2" s="1"/>
  <c r="F600" i="2" s="1"/>
  <c r="G600" i="2" s="1"/>
  <c r="H600" i="2" s="1"/>
  <c r="I593" i="2"/>
  <c r="H593" i="2" s="1"/>
  <c r="F592" i="2" s="1"/>
  <c r="G592" i="2" s="1"/>
  <c r="H592" i="2" s="1"/>
  <c r="I585" i="2"/>
  <c r="H585" i="2" s="1"/>
  <c r="F584" i="2" s="1"/>
  <c r="G584" i="2" s="1"/>
  <c r="H584" i="2" s="1"/>
  <c r="I573" i="2"/>
  <c r="H573" i="2" s="1"/>
  <c r="F572" i="2" s="1"/>
  <c r="G572" i="2" s="1"/>
  <c r="H572" i="2" s="1"/>
  <c r="I560" i="2"/>
  <c r="H560" i="2" s="1"/>
  <c r="F559" i="2" s="1"/>
  <c r="G559" i="2" s="1"/>
  <c r="H559" i="2" s="1"/>
  <c r="I551" i="2"/>
  <c r="H551" i="2" s="1"/>
  <c r="F550" i="2" s="1"/>
  <c r="G550" i="2" s="1"/>
  <c r="H550" i="2" s="1"/>
  <c r="I543" i="2"/>
  <c r="H543" i="2" s="1"/>
  <c r="F542" i="2" s="1"/>
  <c r="G542" i="2" s="1"/>
  <c r="H542" i="2" s="1"/>
  <c r="I535" i="2"/>
  <c r="H535" i="2" s="1"/>
  <c r="F534" i="2" s="1"/>
  <c r="G534" i="2" s="1"/>
  <c r="H534" i="2" s="1"/>
  <c r="I523" i="2"/>
  <c r="H523" i="2" s="1"/>
  <c r="F522" i="2" s="1"/>
  <c r="G522" i="2" s="1"/>
  <c r="H522" i="2" s="1"/>
  <c r="I510" i="2"/>
  <c r="H510" i="2" s="1"/>
  <c r="F509" i="2" s="1"/>
  <c r="G509" i="2" s="1"/>
  <c r="H509" i="2" s="1"/>
  <c r="I498" i="2"/>
  <c r="H498" i="2" s="1"/>
  <c r="F497" i="2" s="1"/>
  <c r="G497" i="2" s="1"/>
  <c r="H497" i="2" s="1"/>
  <c r="I489" i="2"/>
  <c r="H489" i="2" s="1"/>
  <c r="F488" i="2" s="1"/>
  <c r="G488" i="2" s="1"/>
  <c r="H488" i="2" s="1"/>
  <c r="I472" i="2"/>
  <c r="H472" i="2" s="1"/>
  <c r="F471" i="2" s="1"/>
  <c r="G471" i="2" s="1"/>
  <c r="H471" i="2" s="1"/>
  <c r="I464" i="2"/>
  <c r="H464" i="2" s="1"/>
  <c r="F463" i="2" s="1"/>
  <c r="G463" i="2" s="1"/>
  <c r="H463" i="2" s="1"/>
  <c r="I452" i="2"/>
  <c r="H452" i="2" s="1"/>
  <c r="F451" i="2" s="1"/>
  <c r="G451" i="2" s="1"/>
  <c r="H451" i="2" s="1"/>
  <c r="I439" i="2"/>
  <c r="H439" i="2" s="1"/>
  <c r="F438" i="2" s="1"/>
  <c r="G438" i="2" s="1"/>
  <c r="H438" i="2" s="1"/>
  <c r="I431" i="2"/>
  <c r="H431" i="2" s="1"/>
  <c r="F430" i="2" s="1"/>
  <c r="G430" i="2" s="1"/>
  <c r="H430" i="2" s="1"/>
  <c r="I422" i="2"/>
  <c r="H422" i="2" s="1"/>
  <c r="F421" i="2" s="1"/>
  <c r="G421" i="2" s="1"/>
  <c r="H421" i="2" s="1"/>
  <c r="I410" i="2"/>
  <c r="H410" i="2" s="1"/>
  <c r="F409" i="2" s="1"/>
  <c r="G409" i="2" s="1"/>
  <c r="H409" i="2" s="1"/>
  <c r="I398" i="2"/>
  <c r="H398" i="2" s="1"/>
  <c r="F397" i="2" s="1"/>
  <c r="G397" i="2" s="1"/>
  <c r="H397" i="2" s="1"/>
  <c r="I390" i="2"/>
  <c r="H390" i="2" s="1"/>
  <c r="F389" i="2" s="1"/>
  <c r="G389" i="2" s="1"/>
  <c r="H389" i="2" s="1"/>
  <c r="I382" i="2"/>
  <c r="H382" i="2" s="1"/>
  <c r="F381" i="2" s="1"/>
  <c r="G381" i="2" s="1"/>
  <c r="H381" i="2" s="1"/>
  <c r="I370" i="2"/>
  <c r="H370" i="2" s="1"/>
  <c r="F369" i="2" s="1"/>
  <c r="G369" i="2" s="1"/>
  <c r="H369" i="2" s="1"/>
  <c r="I361" i="2"/>
  <c r="H361" i="2" s="1"/>
  <c r="F360" i="2" s="1"/>
  <c r="G360" i="2" s="1"/>
  <c r="H360" i="2" s="1"/>
  <c r="I353" i="2"/>
  <c r="H353" i="2" s="1"/>
  <c r="F352" i="2" s="1"/>
  <c r="G352" i="2" s="1"/>
  <c r="H352" i="2" s="1"/>
  <c r="I341" i="2"/>
  <c r="H341" i="2" s="1"/>
  <c r="F340" i="2" s="1"/>
  <c r="G340" i="2" s="1"/>
  <c r="H340" i="2" s="1"/>
  <c r="I332" i="2"/>
  <c r="H332" i="2" s="1"/>
  <c r="F331" i="2" s="1"/>
  <c r="G331" i="2" s="1"/>
  <c r="H331" i="2" s="1"/>
  <c r="I324" i="2"/>
  <c r="H324" i="2" s="1"/>
  <c r="F323" i="2" s="1"/>
  <c r="G323" i="2" s="1"/>
  <c r="H323" i="2" s="1"/>
  <c r="I312" i="2"/>
  <c r="H312" i="2" s="1"/>
  <c r="F311" i="2" s="1"/>
  <c r="G311" i="2" s="1"/>
  <c r="H311" i="2" s="1"/>
  <c r="I300" i="2"/>
  <c r="H300" i="2" s="1"/>
  <c r="F299" i="2" s="1"/>
  <c r="G299" i="2" s="1"/>
  <c r="H299" i="2" s="1"/>
  <c r="I291" i="2"/>
  <c r="H291" i="2" s="1"/>
  <c r="F290" i="2" s="1"/>
  <c r="G290" i="2" s="1"/>
  <c r="H290" i="2" s="1"/>
  <c r="I283" i="2"/>
  <c r="H283" i="2" s="1"/>
  <c r="F282" i="2" s="1"/>
  <c r="G282" i="2" s="1"/>
  <c r="H282" i="2" s="1"/>
  <c r="I271" i="2"/>
  <c r="H271" i="2" s="1"/>
  <c r="F270" i="2" s="1"/>
  <c r="G270" i="2" s="1"/>
  <c r="H270" i="2" s="1"/>
  <c r="I259" i="2"/>
  <c r="H259" i="2" s="1"/>
  <c r="F258" i="2" s="1"/>
  <c r="G258" i="2" s="1"/>
  <c r="H258" i="2" s="1"/>
  <c r="I250" i="2"/>
  <c r="H250" i="2" s="1"/>
  <c r="F249" i="2" s="1"/>
  <c r="G249" i="2" s="1"/>
  <c r="H249" i="2" s="1"/>
  <c r="I242" i="2"/>
  <c r="H242" i="2" s="1"/>
  <c r="F241" i="2" s="1"/>
  <c r="G241" i="2" s="1"/>
  <c r="H241" i="2" s="1"/>
  <c r="I230" i="2"/>
  <c r="H230" i="2" s="1"/>
  <c r="F229" i="2" s="1"/>
  <c r="G229" i="2" s="1"/>
  <c r="H229" i="2" s="1"/>
  <c r="I222" i="2"/>
  <c r="H222" i="2" s="1"/>
  <c r="F221" i="2" s="1"/>
  <c r="G221" i="2" s="1"/>
  <c r="H221" i="2" s="1"/>
  <c r="I214" i="2"/>
  <c r="H214" i="2" s="1"/>
  <c r="F213" i="2" s="1"/>
  <c r="G213" i="2" s="1"/>
  <c r="H213" i="2" s="1"/>
  <c r="I201" i="2"/>
  <c r="H201" i="2" s="1"/>
  <c r="F200" i="2" s="1"/>
  <c r="G200" i="2" s="1"/>
  <c r="H200" i="2" s="1"/>
  <c r="I193" i="2"/>
  <c r="H193" i="2" s="1"/>
  <c r="F192" i="2" s="1"/>
  <c r="G192" i="2" s="1"/>
  <c r="H192" i="2" s="1"/>
  <c r="I184" i="2"/>
  <c r="H184" i="2" s="1"/>
  <c r="F183" i="2" s="1"/>
  <c r="G183" i="2" s="1"/>
  <c r="H183" i="2" s="1"/>
  <c r="I172" i="2"/>
  <c r="H172" i="2" s="1"/>
  <c r="F171" i="2" s="1"/>
  <c r="G171" i="2" s="1"/>
  <c r="H171" i="2" s="1"/>
  <c r="I159" i="2"/>
  <c r="H159" i="2" s="1"/>
  <c r="F158" i="2" s="1"/>
  <c r="G158" i="2" s="1"/>
  <c r="H158" i="2" s="1"/>
  <c r="I146" i="2"/>
  <c r="H146" i="2" s="1"/>
  <c r="F145" i="2" s="1"/>
  <c r="G145" i="2" s="1"/>
  <c r="H145" i="2" s="1"/>
  <c r="I137" i="2"/>
  <c r="H137" i="2" s="1"/>
  <c r="F136" i="2" s="1"/>
  <c r="G136" i="2" s="1"/>
  <c r="H136" i="2" s="1"/>
  <c r="I128" i="2"/>
  <c r="H128" i="2" s="1"/>
  <c r="F127" i="2" s="1"/>
  <c r="G127" i="2" s="1"/>
  <c r="H127" i="2" s="1"/>
  <c r="I120" i="2"/>
  <c r="H120" i="2" s="1"/>
  <c r="F119" i="2" s="1"/>
  <c r="G119" i="2" s="1"/>
  <c r="H119" i="2" s="1"/>
  <c r="I112" i="2"/>
  <c r="H112" i="2" s="1"/>
  <c r="F111" i="2" s="1"/>
  <c r="G111" i="2" s="1"/>
  <c r="H111" i="2" s="1"/>
  <c r="I100" i="2"/>
  <c r="H100" i="2" s="1"/>
  <c r="F99" i="2" s="1"/>
  <c r="G99" i="2" s="1"/>
  <c r="H99" i="2" s="1"/>
  <c r="I87" i="2"/>
  <c r="H87" i="2" s="1"/>
  <c r="F86" i="2" s="1"/>
  <c r="G86" i="2" s="1"/>
  <c r="H86" i="2" s="1"/>
  <c r="I78" i="2"/>
  <c r="H78" i="2" s="1"/>
  <c r="F77" i="2" s="1"/>
  <c r="G77" i="2" s="1"/>
  <c r="H77" i="2" s="1"/>
  <c r="I70" i="2"/>
  <c r="H70" i="2" s="1"/>
  <c r="F69" i="2" s="1"/>
  <c r="G69" i="2" s="1"/>
  <c r="H69" i="2" s="1"/>
  <c r="I62" i="2"/>
  <c r="H62" i="2" s="1"/>
  <c r="F61" i="2" s="1"/>
  <c r="G61" i="2" s="1"/>
  <c r="H61" i="2" s="1"/>
  <c r="I50" i="2"/>
  <c r="H50" i="2" s="1"/>
  <c r="F49" i="2" s="1"/>
  <c r="G49" i="2" s="1"/>
  <c r="H49" i="2" s="1"/>
  <c r="I37" i="2"/>
  <c r="H37" i="2" s="1"/>
  <c r="F36" i="2" s="1"/>
  <c r="G36" i="2" s="1"/>
  <c r="H36" i="2" s="1"/>
  <c r="I28" i="2"/>
  <c r="H28" i="2" s="1"/>
  <c r="F27" i="2" s="1"/>
  <c r="G27" i="2" s="1"/>
  <c r="H27" i="2" s="1"/>
  <c r="I20" i="2"/>
  <c r="H20" i="2" s="1"/>
  <c r="F19" i="2" s="1"/>
  <c r="G19" i="2" s="1"/>
  <c r="H19" i="2" s="1"/>
  <c r="I12" i="2"/>
  <c r="H12" i="2" s="1"/>
  <c r="F11" i="2" s="1"/>
  <c r="G11" i="2" s="1"/>
  <c r="H11" i="2" s="1"/>
  <c r="G580" i="2"/>
  <c r="H580" i="2" s="1"/>
  <c r="G579" i="2"/>
  <c r="H579" i="2" s="1"/>
  <c r="G530" i="2"/>
  <c r="H530" i="2" s="1"/>
  <c r="G529" i="2"/>
  <c r="H529" i="2" s="1"/>
  <c r="G459" i="2"/>
  <c r="H459" i="2" s="1"/>
  <c r="G458" i="2"/>
  <c r="H458" i="2" s="1"/>
  <c r="G417" i="2"/>
  <c r="H417" i="2" s="1"/>
  <c r="G416" i="2"/>
  <c r="H416" i="2" s="1"/>
  <c r="G319" i="2"/>
  <c r="H319" i="2" s="1"/>
  <c r="G318" i="2"/>
  <c r="H318" i="2" s="1"/>
  <c r="G278" i="2"/>
  <c r="H278" i="2" s="1"/>
  <c r="G277" i="2"/>
  <c r="H277" i="2" s="1"/>
  <c r="G179" i="2"/>
  <c r="H179" i="2" s="1"/>
  <c r="G178" i="2"/>
  <c r="H178" i="2" s="1"/>
  <c r="G58" i="2"/>
  <c r="H58" i="2" s="1"/>
  <c r="G107" i="2"/>
  <c r="H107" i="2" s="1"/>
  <c r="G106" i="2"/>
  <c r="H106" i="2" s="1"/>
  <c r="G108" i="2"/>
  <c r="H108" i="2" s="1"/>
  <c r="G57" i="2"/>
  <c r="H57" i="2" s="1"/>
  <c r="G56" i="2"/>
  <c r="H56" i="2" s="1"/>
  <c r="G6" i="2"/>
  <c r="H6" i="2" s="1"/>
  <c r="G644" i="2"/>
  <c r="G641" i="2"/>
  <c r="H641" i="2" s="1"/>
  <c r="G640" i="2"/>
  <c r="H640" i="2" s="1"/>
  <c r="G639" i="2"/>
  <c r="H639" i="2" s="1"/>
  <c r="H638" i="2"/>
  <c r="G657" i="2"/>
  <c r="G654" i="2"/>
  <c r="H654" i="2" s="1"/>
  <c r="G653" i="2"/>
  <c r="H653" i="2" s="1"/>
  <c r="G652" i="2"/>
  <c r="H652" i="2" s="1"/>
  <c r="G651" i="2"/>
  <c r="H651" i="2" s="1"/>
  <c r="G650" i="2"/>
  <c r="H650" i="2" s="1"/>
  <c r="G649" i="2"/>
  <c r="H649" i="2" s="1"/>
  <c r="G648" i="2"/>
  <c r="H648" i="2" s="1"/>
  <c r="L646" i="2"/>
  <c r="H646" i="2"/>
  <c r="G636" i="2"/>
  <c r="G633" i="2"/>
  <c r="H633" i="2" s="1"/>
  <c r="G632" i="2"/>
  <c r="H632" i="2" s="1"/>
  <c r="G631" i="2"/>
  <c r="H631" i="2" s="1"/>
  <c r="G630" i="2"/>
  <c r="H630" i="2" s="1"/>
  <c r="G629" i="2"/>
  <c r="H629" i="2" s="1"/>
  <c r="H627" i="2"/>
  <c r="L626" i="2"/>
  <c r="H626" i="2"/>
  <c r="G624" i="2"/>
  <c r="G621" i="2"/>
  <c r="H621" i="2" s="1"/>
  <c r="G619" i="2"/>
  <c r="H619" i="2" s="1"/>
  <c r="G618" i="2"/>
  <c r="H618" i="2" s="1"/>
  <c r="G617" i="2"/>
  <c r="H617" i="2" s="1"/>
  <c r="G616" i="2"/>
  <c r="H616" i="2" s="1"/>
  <c r="G615" i="2"/>
  <c r="H615" i="2" s="1"/>
  <c r="G614" i="2"/>
  <c r="H614" i="2" s="1"/>
  <c r="L613" i="2"/>
  <c r="H613" i="2"/>
  <c r="G611" i="2"/>
  <c r="G607" i="2"/>
  <c r="H607" i="2" s="1"/>
  <c r="G606" i="2"/>
  <c r="H606" i="2" s="1"/>
  <c r="G605" i="2"/>
  <c r="H605" i="2" s="1"/>
  <c r="L604" i="2"/>
  <c r="H604" i="2"/>
  <c r="G602" i="2"/>
  <c r="G599" i="2"/>
  <c r="H599" i="2" s="1"/>
  <c r="G598" i="2"/>
  <c r="H598" i="2" s="1"/>
  <c r="G597" i="2"/>
  <c r="H597" i="2" s="1"/>
  <c r="L596" i="2"/>
  <c r="H596" i="2"/>
  <c r="G594" i="2"/>
  <c r="G591" i="2"/>
  <c r="H591" i="2" s="1"/>
  <c r="G590" i="2"/>
  <c r="H590" i="2" s="1"/>
  <c r="G589" i="2"/>
  <c r="H589" i="2" s="1"/>
  <c r="L588" i="2"/>
  <c r="H588" i="2"/>
  <c r="G586" i="2"/>
  <c r="G583" i="2"/>
  <c r="H583" i="2" s="1"/>
  <c r="G581" i="2"/>
  <c r="H581" i="2" s="1"/>
  <c r="G578" i="2"/>
  <c r="H578" i="2" s="1"/>
  <c r="L576" i="2"/>
  <c r="H576" i="2"/>
  <c r="G574" i="2"/>
  <c r="G571" i="2"/>
  <c r="H571" i="2" s="1"/>
  <c r="G569" i="2"/>
  <c r="H569" i="2" s="1"/>
  <c r="G568" i="2"/>
  <c r="H568" i="2" s="1"/>
  <c r="G567" i="2"/>
  <c r="H567" i="2" s="1"/>
  <c r="G566" i="2"/>
  <c r="H566" i="2" s="1"/>
  <c r="G565" i="2"/>
  <c r="H565" i="2" s="1"/>
  <c r="G564" i="2"/>
  <c r="H564" i="2" s="1"/>
  <c r="L563" i="2"/>
  <c r="H563" i="2"/>
  <c r="G561" i="2"/>
  <c r="G557" i="2"/>
  <c r="H557" i="2" s="1"/>
  <c r="G556" i="2"/>
  <c r="H556" i="2" s="1"/>
  <c r="G555" i="2"/>
  <c r="H555" i="2" s="1"/>
  <c r="L554" i="2"/>
  <c r="H554" i="2"/>
  <c r="G552" i="2"/>
  <c r="G549" i="2"/>
  <c r="H549" i="2" s="1"/>
  <c r="G548" i="2"/>
  <c r="H548" i="2" s="1"/>
  <c r="G547" i="2"/>
  <c r="H547" i="2" s="1"/>
  <c r="L546" i="2"/>
  <c r="H546" i="2"/>
  <c r="G544" i="2"/>
  <c r="G541" i="2"/>
  <c r="H541" i="2" s="1"/>
  <c r="G540" i="2"/>
  <c r="H540" i="2" s="1"/>
  <c r="G539" i="2"/>
  <c r="H539" i="2" s="1"/>
  <c r="L538" i="2"/>
  <c r="H538" i="2"/>
  <c r="G536" i="2"/>
  <c r="G533" i="2"/>
  <c r="H533" i="2" s="1"/>
  <c r="G531" i="2"/>
  <c r="H531" i="2" s="1"/>
  <c r="G528" i="2"/>
  <c r="H528" i="2" s="1"/>
  <c r="L526" i="2"/>
  <c r="H526" i="2"/>
  <c r="G524" i="2"/>
  <c r="G521" i="2"/>
  <c r="H521" i="2" s="1"/>
  <c r="G519" i="2"/>
  <c r="H519" i="2" s="1"/>
  <c r="G518" i="2"/>
  <c r="H518" i="2" s="1"/>
  <c r="G517" i="2"/>
  <c r="H517" i="2" s="1"/>
  <c r="G516" i="2"/>
  <c r="H516" i="2" s="1"/>
  <c r="G515" i="2"/>
  <c r="H515" i="2" s="1"/>
  <c r="G514" i="2"/>
  <c r="H514" i="2" s="1"/>
  <c r="L513" i="2"/>
  <c r="H513" i="2"/>
  <c r="G511" i="2"/>
  <c r="G508" i="2"/>
  <c r="H508" i="2" s="1"/>
  <c r="G506" i="2"/>
  <c r="H506" i="2" s="1"/>
  <c r="G505" i="2"/>
  <c r="H505" i="2" s="1"/>
  <c r="G504" i="2"/>
  <c r="H504" i="2" s="1"/>
  <c r="G503" i="2"/>
  <c r="H503" i="2" s="1"/>
  <c r="G502" i="2"/>
  <c r="H502" i="2" s="1"/>
  <c r="L501" i="2"/>
  <c r="H501" i="2"/>
  <c r="G499" i="2"/>
  <c r="G495" i="2"/>
  <c r="H495" i="2" s="1"/>
  <c r="G494" i="2"/>
  <c r="H494" i="2" s="1"/>
  <c r="G493" i="2"/>
  <c r="H493" i="2" s="1"/>
  <c r="L492" i="2"/>
  <c r="H492" i="2"/>
  <c r="G490" i="2"/>
  <c r="G486" i="2"/>
  <c r="H486" i="2" s="1"/>
  <c r="G485" i="2"/>
  <c r="H485" i="2" s="1"/>
  <c r="G484" i="2"/>
  <c r="H484" i="2" s="1"/>
  <c r="L483" i="2"/>
  <c r="H483" i="2"/>
  <c r="G478" i="2"/>
  <c r="H478" i="2" s="1"/>
  <c r="G477" i="2"/>
  <c r="H477" i="2" s="1"/>
  <c r="G476" i="2"/>
  <c r="H476" i="2" s="1"/>
  <c r="L475" i="2"/>
  <c r="H475" i="2"/>
  <c r="G473" i="2"/>
  <c r="G470" i="2"/>
  <c r="H470" i="2" s="1"/>
  <c r="G469" i="2"/>
  <c r="H469" i="2" s="1"/>
  <c r="G468" i="2"/>
  <c r="H468" i="2" s="1"/>
  <c r="L467" i="2"/>
  <c r="H467" i="2"/>
  <c r="G465" i="2"/>
  <c r="G462" i="2"/>
  <c r="H462" i="2" s="1"/>
  <c r="G460" i="2"/>
  <c r="H460" i="2" s="1"/>
  <c r="G457" i="2"/>
  <c r="H457" i="2" s="1"/>
  <c r="L455" i="2"/>
  <c r="H455" i="2"/>
  <c r="G453" i="2"/>
  <c r="G450" i="2"/>
  <c r="H450" i="2" s="1"/>
  <c r="G448" i="2"/>
  <c r="H448" i="2" s="1"/>
  <c r="G447" i="2"/>
  <c r="H447" i="2" s="1"/>
  <c r="G446" i="2"/>
  <c r="H446" i="2" s="1"/>
  <c r="G445" i="2"/>
  <c r="H445" i="2" s="1"/>
  <c r="G444" i="2"/>
  <c r="H444" i="2" s="1"/>
  <c r="G443" i="2"/>
  <c r="H443" i="2" s="1"/>
  <c r="L442" i="2"/>
  <c r="H442" i="2"/>
  <c r="G440" i="2"/>
  <c r="G436" i="2"/>
  <c r="H436" i="2" s="1"/>
  <c r="G435" i="2"/>
  <c r="H435" i="2" s="1"/>
  <c r="L434" i="2"/>
  <c r="H434" i="2"/>
  <c r="G432" i="2"/>
  <c r="G429" i="2"/>
  <c r="H429" i="2" s="1"/>
  <c r="G428" i="2"/>
  <c r="H428" i="2" s="1"/>
  <c r="G427" i="2"/>
  <c r="H427" i="2" s="1"/>
  <c r="G426" i="2"/>
  <c r="H426" i="2" s="1"/>
  <c r="L425" i="2"/>
  <c r="H425" i="2"/>
  <c r="G423" i="2"/>
  <c r="G420" i="2"/>
  <c r="H420" i="2" s="1"/>
  <c r="G418" i="2"/>
  <c r="H418" i="2" s="1"/>
  <c r="G415" i="2"/>
  <c r="H415" i="2" s="1"/>
  <c r="L413" i="2"/>
  <c r="H413" i="2"/>
  <c r="G411" i="2"/>
  <c r="G408" i="2"/>
  <c r="H408" i="2" s="1"/>
  <c r="G406" i="2"/>
  <c r="H406" i="2" s="1"/>
  <c r="G405" i="2"/>
  <c r="H405" i="2" s="1"/>
  <c r="G404" i="2"/>
  <c r="H404" i="2" s="1"/>
  <c r="G403" i="2"/>
  <c r="H403" i="2" s="1"/>
  <c r="G402" i="2"/>
  <c r="H402" i="2" s="1"/>
  <c r="L401" i="2"/>
  <c r="H401" i="2"/>
  <c r="G399" i="2"/>
  <c r="G395" i="2"/>
  <c r="H395" i="2" s="1"/>
  <c r="G394" i="2"/>
  <c r="H394" i="2" s="1"/>
  <c r="L393" i="2"/>
  <c r="H393" i="2"/>
  <c r="G391" i="2"/>
  <c r="G388" i="2"/>
  <c r="H388" i="2" s="1"/>
  <c r="G387" i="2"/>
  <c r="H387" i="2" s="1"/>
  <c r="G386" i="2"/>
  <c r="H386" i="2" s="1"/>
  <c r="L385" i="2"/>
  <c r="H385" i="2"/>
  <c r="G383" i="2"/>
  <c r="G380" i="2"/>
  <c r="H380" i="2" s="1"/>
  <c r="G378" i="2"/>
  <c r="H378" i="2" s="1"/>
  <c r="G377" i="2"/>
  <c r="H377" i="2" s="1"/>
  <c r="G376" i="2"/>
  <c r="H376" i="2" s="1"/>
  <c r="G375" i="2"/>
  <c r="H375" i="2" s="1"/>
  <c r="G374" i="2"/>
  <c r="H374" i="2" s="1"/>
  <c r="L373" i="2"/>
  <c r="H373" i="2"/>
  <c r="G371" i="2"/>
  <c r="G367" i="2"/>
  <c r="H367" i="2" s="1"/>
  <c r="G366" i="2"/>
  <c r="H366" i="2" s="1"/>
  <c r="G365" i="2"/>
  <c r="H365" i="2" s="1"/>
  <c r="L364" i="2"/>
  <c r="H364" i="2"/>
  <c r="G362" i="2"/>
  <c r="G359" i="2"/>
  <c r="H359" i="2" s="1"/>
  <c r="G358" i="2"/>
  <c r="H358" i="2" s="1"/>
  <c r="G357" i="2"/>
  <c r="H357" i="2" s="1"/>
  <c r="L356" i="2"/>
  <c r="H356" i="2"/>
  <c r="G354" i="2"/>
  <c r="G351" i="2"/>
  <c r="H351" i="2" s="1"/>
  <c r="G349" i="2"/>
  <c r="H349" i="2" s="1"/>
  <c r="G348" i="2"/>
  <c r="H348" i="2" s="1"/>
  <c r="G347" i="2"/>
  <c r="H347" i="2" s="1"/>
  <c r="G346" i="2"/>
  <c r="H346" i="2" s="1"/>
  <c r="G345" i="2"/>
  <c r="H345" i="2" s="1"/>
  <c r="L344" i="2"/>
  <c r="H344" i="2"/>
  <c r="G342" i="2"/>
  <c r="G338" i="2"/>
  <c r="H338" i="2" s="1"/>
  <c r="G337" i="2"/>
  <c r="H337" i="2" s="1"/>
  <c r="G336" i="2"/>
  <c r="H336" i="2" s="1"/>
  <c r="L335" i="2"/>
  <c r="H335" i="2"/>
  <c r="G333" i="2"/>
  <c r="G330" i="2"/>
  <c r="H330" i="2" s="1"/>
  <c r="G329" i="2"/>
  <c r="H329" i="2" s="1"/>
  <c r="G328" i="2"/>
  <c r="H328" i="2" s="1"/>
  <c r="L327" i="2"/>
  <c r="H327" i="2"/>
  <c r="G325" i="2"/>
  <c r="G322" i="2"/>
  <c r="H322" i="2" s="1"/>
  <c r="G320" i="2"/>
  <c r="H320" i="2" s="1"/>
  <c r="G317" i="2"/>
  <c r="H317" i="2" s="1"/>
  <c r="L315" i="2"/>
  <c r="H315" i="2"/>
  <c r="G313" i="2"/>
  <c r="G310" i="2"/>
  <c r="H310" i="2" s="1"/>
  <c r="G308" i="2"/>
  <c r="H308" i="2" s="1"/>
  <c r="G307" i="2"/>
  <c r="H307" i="2" s="1"/>
  <c r="G306" i="2"/>
  <c r="H306" i="2" s="1"/>
  <c r="G305" i="2"/>
  <c r="H305" i="2" s="1"/>
  <c r="G304" i="2"/>
  <c r="H304" i="2" s="1"/>
  <c r="L303" i="2"/>
  <c r="H303" i="2"/>
  <c r="G301" i="2"/>
  <c r="G297" i="2"/>
  <c r="H297" i="2" s="1"/>
  <c r="G296" i="2"/>
  <c r="H296" i="2" s="1"/>
  <c r="G295" i="2"/>
  <c r="H295" i="2" s="1"/>
  <c r="L294" i="2"/>
  <c r="H294" i="2"/>
  <c r="G292" i="2"/>
  <c r="G289" i="2"/>
  <c r="H289" i="2" s="1"/>
  <c r="G288" i="2"/>
  <c r="H288" i="2" s="1"/>
  <c r="G287" i="2"/>
  <c r="H287" i="2" s="1"/>
  <c r="L286" i="2"/>
  <c r="H286" i="2"/>
  <c r="G284" i="2"/>
  <c r="G281" i="2"/>
  <c r="H281" i="2" s="1"/>
  <c r="G279" i="2"/>
  <c r="H279" i="2" s="1"/>
  <c r="G276" i="2"/>
  <c r="H276" i="2" s="1"/>
  <c r="L274" i="2"/>
  <c r="H274" i="2"/>
  <c r="G272" i="2"/>
  <c r="G269" i="2"/>
  <c r="H269" i="2" s="1"/>
  <c r="G267" i="2"/>
  <c r="H267" i="2" s="1"/>
  <c r="G266" i="2"/>
  <c r="H266" i="2" s="1"/>
  <c r="G265" i="2"/>
  <c r="H265" i="2" s="1"/>
  <c r="G264" i="2"/>
  <c r="H264" i="2" s="1"/>
  <c r="G263" i="2"/>
  <c r="H263" i="2" s="1"/>
  <c r="L262" i="2"/>
  <c r="H262" i="2"/>
  <c r="G260" i="2"/>
  <c r="G256" i="2"/>
  <c r="H256" i="2" s="1"/>
  <c r="G255" i="2"/>
  <c r="H255" i="2" s="1"/>
  <c r="G254" i="2"/>
  <c r="H254" i="2" s="1"/>
  <c r="L253" i="2"/>
  <c r="H253" i="2"/>
  <c r="G251" i="2"/>
  <c r="G248" i="2"/>
  <c r="H248" i="2" s="1"/>
  <c r="G247" i="2"/>
  <c r="H247" i="2" s="1"/>
  <c r="G246" i="2"/>
  <c r="H246" i="2" s="1"/>
  <c r="L245" i="2"/>
  <c r="H245" i="2"/>
  <c r="G243" i="2"/>
  <c r="G240" i="2"/>
  <c r="H240" i="2" s="1"/>
  <c r="G238" i="2"/>
  <c r="H238" i="2" s="1"/>
  <c r="G237" i="2"/>
  <c r="H237" i="2" s="1"/>
  <c r="G236" i="2"/>
  <c r="H236" i="2" s="1"/>
  <c r="G235" i="2"/>
  <c r="H235" i="2" s="1"/>
  <c r="G234" i="2"/>
  <c r="H234" i="2" s="1"/>
  <c r="L233" i="2"/>
  <c r="H233" i="2"/>
  <c r="G231" i="2"/>
  <c r="G227" i="2"/>
  <c r="H227" i="2" s="1"/>
  <c r="G226" i="2"/>
  <c r="H226" i="2" s="1"/>
  <c r="L225" i="2"/>
  <c r="H225" i="2"/>
  <c r="G223" i="2"/>
  <c r="G220" i="2"/>
  <c r="H220" i="2" s="1"/>
  <c r="G219" i="2"/>
  <c r="H219" i="2" s="1"/>
  <c r="G218" i="2"/>
  <c r="H218" i="2" s="1"/>
  <c r="L217" i="2"/>
  <c r="H217" i="2"/>
  <c r="G215" i="2"/>
  <c r="G212" i="2"/>
  <c r="H212" i="2" s="1"/>
  <c r="G210" i="2"/>
  <c r="H210" i="2" s="1"/>
  <c r="G209" i="2"/>
  <c r="H209" i="2" s="1"/>
  <c r="G208" i="2"/>
  <c r="H208" i="2" s="1"/>
  <c r="G207" i="2"/>
  <c r="H207" i="2" s="1"/>
  <c r="G206" i="2"/>
  <c r="H206" i="2" s="1"/>
  <c r="G205" i="2"/>
  <c r="H205" i="2" s="1"/>
  <c r="L204" i="2"/>
  <c r="H204" i="2"/>
  <c r="G202" i="2"/>
  <c r="G198" i="2"/>
  <c r="H198" i="2" s="1"/>
  <c r="G197" i="2"/>
  <c r="H197" i="2" s="1"/>
  <c r="L196" i="2"/>
  <c r="H196" i="2"/>
  <c r="G194" i="2"/>
  <c r="G191" i="2"/>
  <c r="H191" i="2" s="1"/>
  <c r="G190" i="2"/>
  <c r="H190" i="2" s="1"/>
  <c r="G189" i="2"/>
  <c r="H189" i="2" s="1"/>
  <c r="G188" i="2"/>
  <c r="H188" i="2" s="1"/>
  <c r="L187" i="2"/>
  <c r="H187" i="2"/>
  <c r="G185" i="2"/>
  <c r="G182" i="2"/>
  <c r="H182" i="2" s="1"/>
  <c r="G180" i="2"/>
  <c r="H180" i="2" s="1"/>
  <c r="G177" i="2"/>
  <c r="H177" i="2" s="1"/>
  <c r="L175" i="2"/>
  <c r="H175" i="2"/>
  <c r="G173" i="2"/>
  <c r="G170" i="2"/>
  <c r="H170" i="2" s="1"/>
  <c r="G168" i="2"/>
  <c r="H168" i="2" s="1"/>
  <c r="G167" i="2"/>
  <c r="H167" i="2" s="1"/>
  <c r="G166" i="2"/>
  <c r="H166" i="2" s="1"/>
  <c r="G165" i="2"/>
  <c r="H165" i="2" s="1"/>
  <c r="G164" i="2"/>
  <c r="H164" i="2" s="1"/>
  <c r="G163" i="2"/>
  <c r="H163" i="2" s="1"/>
  <c r="L162" i="2"/>
  <c r="H162" i="2"/>
  <c r="G160" i="2"/>
  <c r="G157" i="2"/>
  <c r="H157" i="2" s="1"/>
  <c r="G155" i="2"/>
  <c r="H155" i="2" s="1"/>
  <c r="G154" i="2"/>
  <c r="H154" i="2" s="1"/>
  <c r="G153" i="2"/>
  <c r="H153" i="2" s="1"/>
  <c r="G152" i="2"/>
  <c r="H152" i="2" s="1"/>
  <c r="G151" i="2"/>
  <c r="H151" i="2" s="1"/>
  <c r="G150" i="2"/>
  <c r="H150" i="2" s="1"/>
  <c r="L149" i="2"/>
  <c r="H149" i="2"/>
  <c r="G147" i="2"/>
  <c r="G143" i="2"/>
  <c r="H143" i="2" s="1"/>
  <c r="G142" i="2"/>
  <c r="H142" i="2" s="1"/>
  <c r="G141" i="2"/>
  <c r="H141" i="2" s="1"/>
  <c r="L140" i="2"/>
  <c r="H140" i="2"/>
  <c r="G138" i="2"/>
  <c r="G134" i="2"/>
  <c r="H134" i="2" s="1"/>
  <c r="G133" i="2"/>
  <c r="H133" i="2" s="1"/>
  <c r="G132" i="2"/>
  <c r="H132" i="2" s="1"/>
  <c r="L131" i="2"/>
  <c r="H131" i="2"/>
  <c r="G129" i="2"/>
  <c r="L127" i="2"/>
  <c r="G126" i="2"/>
  <c r="H126" i="2" s="1"/>
  <c r="G125" i="2"/>
  <c r="H125" i="2" s="1"/>
  <c r="G124" i="2"/>
  <c r="H124" i="2" s="1"/>
  <c r="L123" i="2"/>
  <c r="H123" i="2"/>
  <c r="G121" i="2"/>
  <c r="G118" i="2"/>
  <c r="H118" i="2" s="1"/>
  <c r="G117" i="2"/>
  <c r="H117" i="2" s="1"/>
  <c r="G116" i="2"/>
  <c r="H116" i="2" s="1"/>
  <c r="L115" i="2"/>
  <c r="H115" i="2"/>
  <c r="G113" i="2"/>
  <c r="G110" i="2"/>
  <c r="H110" i="2" s="1"/>
  <c r="G105" i="2"/>
  <c r="H105" i="2" s="1"/>
  <c r="L103" i="2"/>
  <c r="H103" i="2"/>
  <c r="G101" i="2"/>
  <c r="G98" i="2"/>
  <c r="H98" i="2" s="1"/>
  <c r="G96" i="2"/>
  <c r="H96" i="2" s="1"/>
  <c r="G95" i="2"/>
  <c r="H95" i="2" s="1"/>
  <c r="G94" i="2"/>
  <c r="H94" i="2" s="1"/>
  <c r="G93" i="2"/>
  <c r="H93" i="2" s="1"/>
  <c r="G92" i="2"/>
  <c r="H92" i="2" s="1"/>
  <c r="G91" i="2"/>
  <c r="H91" i="2" s="1"/>
  <c r="L90" i="2"/>
  <c r="H90" i="2"/>
  <c r="G88" i="2"/>
  <c r="G84" i="2"/>
  <c r="H84" i="2" s="1"/>
  <c r="G83" i="2"/>
  <c r="H83" i="2" s="1"/>
  <c r="G82" i="2"/>
  <c r="H82" i="2" s="1"/>
  <c r="L81" i="2"/>
  <c r="H81" i="2"/>
  <c r="G79" i="2"/>
  <c r="G76" i="2"/>
  <c r="H76" i="2" s="1"/>
  <c r="G75" i="2"/>
  <c r="H75" i="2" s="1"/>
  <c r="G74" i="2"/>
  <c r="H74" i="2" s="1"/>
  <c r="L73" i="2"/>
  <c r="H73" i="2"/>
  <c r="G71" i="2"/>
  <c r="G68" i="2"/>
  <c r="H68" i="2" s="1"/>
  <c r="G67" i="2"/>
  <c r="H67" i="2" s="1"/>
  <c r="G66" i="2"/>
  <c r="H66" i="2" s="1"/>
  <c r="L65" i="2"/>
  <c r="H65" i="2"/>
  <c r="G63" i="2"/>
  <c r="G60" i="2"/>
  <c r="H60" i="2" s="1"/>
  <c r="G55" i="2"/>
  <c r="H55" i="2" s="1"/>
  <c r="L53" i="2"/>
  <c r="H53" i="2"/>
  <c r="G51" i="2"/>
  <c r="G48" i="2"/>
  <c r="H48" i="2" s="1"/>
  <c r="G46" i="2"/>
  <c r="H46" i="2" s="1"/>
  <c r="G45" i="2"/>
  <c r="H45" i="2" s="1"/>
  <c r="G44" i="2"/>
  <c r="H44" i="2" s="1"/>
  <c r="G43" i="2"/>
  <c r="H43" i="2" s="1"/>
  <c r="G42" i="2"/>
  <c r="H42" i="2" s="1"/>
  <c r="G41" i="2"/>
  <c r="H41" i="2" s="1"/>
  <c r="L40" i="2"/>
  <c r="H40" i="2"/>
  <c r="G38" i="2"/>
  <c r="G34" i="2"/>
  <c r="H34" i="2" s="1"/>
  <c r="G33" i="2"/>
  <c r="H33" i="2" s="1"/>
  <c r="G32" i="2"/>
  <c r="H32" i="2" s="1"/>
  <c r="L31" i="2"/>
  <c r="H31" i="2"/>
  <c r="G29" i="2"/>
  <c r="G26" i="2"/>
  <c r="H26" i="2" s="1"/>
  <c r="G25" i="2"/>
  <c r="H25" i="2" s="1"/>
  <c r="G24" i="2"/>
  <c r="H24" i="2" s="1"/>
  <c r="L23" i="2"/>
  <c r="H23" i="2"/>
  <c r="G21" i="2"/>
  <c r="G18" i="2"/>
  <c r="H18" i="2" s="1"/>
  <c r="G17" i="2"/>
  <c r="H17" i="2" s="1"/>
  <c r="G16" i="2"/>
  <c r="H16" i="2" s="1"/>
  <c r="L15" i="2"/>
  <c r="H15" i="2"/>
  <c r="G13" i="2"/>
  <c r="G10" i="2"/>
  <c r="H10" i="2" s="1"/>
  <c r="G8" i="2"/>
  <c r="H8" i="2" s="1"/>
  <c r="G7" i="2"/>
  <c r="H7" i="2" s="1"/>
  <c r="G5" i="2"/>
  <c r="H5" i="2" s="1"/>
  <c r="L3" i="2"/>
  <c r="H3" i="2"/>
  <c r="O442" i="6" l="1"/>
  <c r="P441" i="6"/>
  <c r="Q441" i="6" s="1"/>
  <c r="P107" i="6"/>
  <c r="Q107" i="6" s="1"/>
  <c r="O108" i="6"/>
  <c r="P257" i="6"/>
  <c r="Q257" i="6" s="1"/>
  <c r="O258" i="6"/>
  <c r="O11" i="6"/>
  <c r="P10" i="6"/>
  <c r="Q10" i="6" s="1"/>
  <c r="P529" i="6"/>
  <c r="Q529" i="6" s="1"/>
  <c r="O530" i="6"/>
  <c r="P343" i="6"/>
  <c r="Q343" i="6" s="1"/>
  <c r="O344" i="6"/>
  <c r="P541" i="6"/>
  <c r="Q541" i="6" s="1"/>
  <c r="O542" i="6"/>
  <c r="O606" i="6"/>
  <c r="P605" i="6"/>
  <c r="Q605" i="6" s="1"/>
  <c r="O430" i="6"/>
  <c r="P429" i="6"/>
  <c r="Q429" i="6" s="1"/>
  <c r="O701" i="6"/>
  <c r="O695" i="6"/>
  <c r="P690" i="6"/>
  <c r="Q690" i="6" s="1"/>
  <c r="P483" i="6"/>
  <c r="Q483" i="6" s="1"/>
  <c r="O484" i="6"/>
  <c r="P402" i="6"/>
  <c r="Q402" i="6" s="1"/>
  <c r="O403" i="6"/>
  <c r="P471" i="6"/>
  <c r="Q471" i="6" s="1"/>
  <c r="O472" i="6"/>
  <c r="P373" i="6"/>
  <c r="Q373" i="6" s="1"/>
  <c r="O374" i="6"/>
  <c r="P591" i="6"/>
  <c r="Q591" i="6" s="1"/>
  <c r="O592" i="6"/>
  <c r="P227" i="6"/>
  <c r="Q227" i="6" s="1"/>
  <c r="O228" i="6"/>
  <c r="P185" i="6"/>
  <c r="Q185" i="6" s="1"/>
  <c r="O186" i="6"/>
  <c r="P186" i="6" s="1"/>
  <c r="Q186" i="6" s="1"/>
  <c r="P122" i="6"/>
  <c r="Q122" i="6" s="1"/>
  <c r="O123" i="6"/>
  <c r="P123" i="6" s="1"/>
  <c r="Q123" i="6" s="1"/>
  <c r="O54" i="6"/>
  <c r="P53" i="6"/>
  <c r="Q53" i="6" s="1"/>
  <c r="O197" i="6"/>
  <c r="P196" i="6"/>
  <c r="Q196" i="6" s="1"/>
  <c r="O642" i="6"/>
  <c r="P641" i="6"/>
  <c r="Q641" i="6" s="1"/>
  <c r="P169" i="6"/>
  <c r="Q169" i="6" s="1"/>
  <c r="O170" i="6"/>
  <c r="P66" i="6"/>
  <c r="Q66" i="6" s="1"/>
  <c r="O67" i="6"/>
  <c r="P663" i="6"/>
  <c r="Q663" i="6" s="1"/>
  <c r="O664" i="6"/>
  <c r="O671" i="6"/>
  <c r="P555" i="6"/>
  <c r="Q555" i="6" s="1"/>
  <c r="O556" i="6"/>
  <c r="P331" i="6"/>
  <c r="Q331" i="6" s="1"/>
  <c r="O332" i="6"/>
  <c r="P289" i="6"/>
  <c r="Q289" i="6" s="1"/>
  <c r="O290" i="6"/>
  <c r="N669" i="4"/>
  <c r="O669" i="4" s="1"/>
  <c r="M678" i="4"/>
  <c r="N678" i="4" s="1"/>
  <c r="O678" i="4" s="1"/>
  <c r="M29" i="4"/>
  <c r="N29" i="4" s="1"/>
  <c r="O29" i="4" s="1"/>
  <c r="M28" i="4"/>
  <c r="N28" i="4" s="1"/>
  <c r="O28" i="4" s="1"/>
  <c r="M671" i="4"/>
  <c r="M679" i="4" s="1"/>
  <c r="N679" i="4" s="1"/>
  <c r="O679" i="4" s="1"/>
  <c r="N639" i="4"/>
  <c r="O639" i="4" s="1"/>
  <c r="M676" i="4"/>
  <c r="N676" i="4" s="1"/>
  <c r="O676" i="4" s="1"/>
  <c r="N666" i="4"/>
  <c r="O666" i="4" s="1"/>
  <c r="K649" i="4"/>
  <c r="K650" i="4" s="1"/>
  <c r="K652" i="4" s="1"/>
  <c r="K653" i="4" s="1"/>
  <c r="K654" i="4" s="1"/>
  <c r="K655" i="4" s="1"/>
  <c r="K672" i="4"/>
  <c r="K673" i="4"/>
  <c r="K674" i="4" s="1"/>
  <c r="K675" i="4" s="1"/>
  <c r="A668" i="4"/>
  <c r="A664" i="4"/>
  <c r="A665" i="4" s="1"/>
  <c r="A666" i="4" s="1"/>
  <c r="A646" i="4"/>
  <c r="A648" i="4" s="1"/>
  <c r="A647" i="4"/>
  <c r="M556" i="4"/>
  <c r="M557" i="4" s="1"/>
  <c r="N283" i="4"/>
  <c r="O283" i="4" s="1"/>
  <c r="A636" i="4"/>
  <c r="A642" i="4"/>
  <c r="M564" i="4"/>
  <c r="N563" i="4"/>
  <c r="O563" i="4" s="1"/>
  <c r="M243" i="4"/>
  <c r="M244" i="4" s="1"/>
  <c r="M503" i="4"/>
  <c r="N502" i="4"/>
  <c r="O502" i="4" s="1"/>
  <c r="M263" i="4"/>
  <c r="N262" i="4"/>
  <c r="O262" i="4" s="1"/>
  <c r="M141" i="4"/>
  <c r="N140" i="4"/>
  <c r="O140" i="4" s="1"/>
  <c r="M623" i="4"/>
  <c r="N622" i="4"/>
  <c r="O622" i="4" s="1"/>
  <c r="N476" i="4"/>
  <c r="O476" i="4" s="1"/>
  <c r="M477" i="4"/>
  <c r="M235" i="4"/>
  <c r="N234" i="4"/>
  <c r="O234" i="4" s="1"/>
  <c r="N402" i="4"/>
  <c r="O402" i="4" s="1"/>
  <c r="M403" i="4"/>
  <c r="M126" i="4"/>
  <c r="N125" i="4"/>
  <c r="O125" i="4" s="1"/>
  <c r="M185" i="4"/>
  <c r="N184" i="4"/>
  <c r="O184" i="4" s="1"/>
  <c r="M285" i="4"/>
  <c r="N284" i="4"/>
  <c r="O284" i="4" s="1"/>
  <c r="M586" i="4"/>
  <c r="N585" i="4"/>
  <c r="O585" i="4" s="1"/>
  <c r="M206" i="4"/>
  <c r="N205" i="4"/>
  <c r="O205" i="4" s="1"/>
  <c r="M8" i="4"/>
  <c r="N7" i="4"/>
  <c r="O7" i="4" s="1"/>
  <c r="M21" i="4"/>
  <c r="N20" i="4"/>
  <c r="O20" i="4" s="1"/>
  <c r="M338" i="4"/>
  <c r="N337" i="4"/>
  <c r="O337" i="4" s="1"/>
  <c r="M411" i="4"/>
  <c r="N410" i="4"/>
  <c r="O410" i="4" s="1"/>
  <c r="M314" i="4"/>
  <c r="N313" i="4"/>
  <c r="O313" i="4" s="1"/>
  <c r="M159" i="4"/>
  <c r="N158" i="4"/>
  <c r="O158" i="4" s="1"/>
  <c r="M537" i="4"/>
  <c r="N536" i="4"/>
  <c r="O536" i="4" s="1"/>
  <c r="M272" i="4"/>
  <c r="N271" i="4"/>
  <c r="O271" i="4" s="1"/>
  <c r="M134" i="4"/>
  <c r="N133" i="4"/>
  <c r="O133" i="4" s="1"/>
  <c r="M84" i="4"/>
  <c r="N83" i="4"/>
  <c r="O83" i="4" s="1"/>
  <c r="M48" i="4"/>
  <c r="N47" i="4"/>
  <c r="O47" i="4" s="1"/>
  <c r="M347" i="4"/>
  <c r="N346" i="4"/>
  <c r="O346" i="4" s="1"/>
  <c r="M386" i="4"/>
  <c r="N385" i="4"/>
  <c r="O385" i="4" s="1"/>
  <c r="M485" i="4"/>
  <c r="N484" i="4"/>
  <c r="O484" i="4" s="1"/>
  <c r="M435" i="4"/>
  <c r="N434" i="4"/>
  <c r="O434" i="4" s="1"/>
  <c r="M74" i="4"/>
  <c r="N73" i="4"/>
  <c r="O73" i="4" s="1"/>
  <c r="M91" i="4"/>
  <c r="N90" i="4"/>
  <c r="O90" i="4" s="1"/>
  <c r="M395" i="4"/>
  <c r="N394" i="4"/>
  <c r="O394" i="4" s="1"/>
  <c r="M367" i="4"/>
  <c r="N366" i="4"/>
  <c r="O366" i="4" s="1"/>
  <c r="M113" i="4"/>
  <c r="N112" i="4"/>
  <c r="O112" i="4" s="1"/>
  <c r="M452" i="4"/>
  <c r="N451" i="4"/>
  <c r="O451" i="4" s="1"/>
  <c r="M548" i="4"/>
  <c r="N547" i="4"/>
  <c r="O547" i="4" s="1"/>
  <c r="M445" i="4"/>
  <c r="N444" i="4"/>
  <c r="O444" i="4" s="1"/>
  <c r="M599" i="4"/>
  <c r="N598" i="4"/>
  <c r="O598" i="4" s="1"/>
  <c r="M355" i="4"/>
  <c r="N354" i="4"/>
  <c r="O354" i="4" s="1"/>
  <c r="M719" i="4"/>
  <c r="N718" i="4"/>
  <c r="O718" i="4" s="1"/>
  <c r="M511" i="4"/>
  <c r="N510" i="4"/>
  <c r="O510" i="4" s="1"/>
  <c r="M100" i="4"/>
  <c r="N99" i="4"/>
  <c r="O99" i="4" s="1"/>
  <c r="M494" i="4"/>
  <c r="N493" i="4"/>
  <c r="O493" i="4" s="1"/>
  <c r="M227" i="4"/>
  <c r="N226" i="4"/>
  <c r="O226" i="4" s="1"/>
  <c r="M645" i="4"/>
  <c r="M647" i="4" s="1"/>
  <c r="N647" i="4" s="1"/>
  <c r="O647" i="4" s="1"/>
  <c r="N641" i="4"/>
  <c r="O641" i="4" s="1"/>
  <c r="M375" i="4"/>
  <c r="N374" i="4"/>
  <c r="O374" i="4" s="1"/>
  <c r="M524" i="4"/>
  <c r="N523" i="4"/>
  <c r="O523" i="4" s="1"/>
  <c r="M606" i="4"/>
  <c r="N605" i="4"/>
  <c r="O605" i="4" s="1"/>
  <c r="M297" i="4"/>
  <c r="N296" i="4"/>
  <c r="O296" i="4" s="1"/>
  <c r="M197" i="4"/>
  <c r="N196" i="4"/>
  <c r="O196" i="4" s="1"/>
  <c r="M255" i="4"/>
  <c r="N254" i="4"/>
  <c r="O254" i="4" s="1"/>
  <c r="M423" i="4"/>
  <c r="N422" i="4"/>
  <c r="O422" i="4" s="1"/>
  <c r="M30" i="4"/>
  <c r="N27" i="4"/>
  <c r="O27" i="4" s="1"/>
  <c r="M304" i="4"/>
  <c r="N303" i="4"/>
  <c r="O303" i="4" s="1"/>
  <c r="M150" i="4"/>
  <c r="N149" i="4"/>
  <c r="O149" i="4" s="1"/>
  <c r="M326" i="4"/>
  <c r="N325" i="4"/>
  <c r="O325" i="4" s="1"/>
  <c r="M40" i="4"/>
  <c r="N39" i="4"/>
  <c r="O39" i="4" s="1"/>
  <c r="M573" i="4"/>
  <c r="N572" i="4"/>
  <c r="O572" i="4" s="1"/>
  <c r="M465" i="4"/>
  <c r="N464" i="4"/>
  <c r="O464" i="4" s="1"/>
  <c r="M173" i="4"/>
  <c r="N172" i="4"/>
  <c r="O172" i="4" s="1"/>
  <c r="M214" i="4"/>
  <c r="N213" i="4"/>
  <c r="O213" i="4" s="1"/>
  <c r="M711" i="4"/>
  <c r="N710" i="4"/>
  <c r="O710" i="4" s="1"/>
  <c r="M696" i="4"/>
  <c r="N696" i="4" s="1"/>
  <c r="O696" i="4" s="1"/>
  <c r="N695" i="4"/>
  <c r="O695" i="4" s="1"/>
  <c r="M62" i="4"/>
  <c r="N61" i="4"/>
  <c r="O61" i="4" s="1"/>
  <c r="L141" i="2"/>
  <c r="L493" i="2"/>
  <c r="L74" i="2"/>
  <c r="L91" i="2"/>
  <c r="L176" i="2"/>
  <c r="L177" i="2" s="1"/>
  <c r="L246" i="2"/>
  <c r="L263" i="2"/>
  <c r="L316" i="2"/>
  <c r="L317" i="2" s="1"/>
  <c r="L336" i="2"/>
  <c r="L386" i="2"/>
  <c r="L456" i="2"/>
  <c r="L457" i="2" s="1"/>
  <c r="L476" i="2"/>
  <c r="L527" i="2"/>
  <c r="L528" i="2" s="1"/>
  <c r="L529" i="2" s="1"/>
  <c r="L547" i="2"/>
  <c r="L564" i="2"/>
  <c r="L163" i="2"/>
  <c r="L443" i="2"/>
  <c r="L132" i="2"/>
  <c r="L150" i="2"/>
  <c r="L218" i="2"/>
  <c r="L589" i="2"/>
  <c r="L605" i="2"/>
  <c r="L514" i="2"/>
  <c r="L41" i="2"/>
  <c r="L116" i="2"/>
  <c r="L304" i="2"/>
  <c r="L357" i="2"/>
  <c r="L484" i="2"/>
  <c r="L502" i="2"/>
  <c r="L4" i="2"/>
  <c r="L5" i="2" s="1"/>
  <c r="L426" i="2"/>
  <c r="L66" i="2"/>
  <c r="L188" i="2"/>
  <c r="L205" i="2"/>
  <c r="L254" i="2"/>
  <c r="L328" i="2"/>
  <c r="L345" i="2"/>
  <c r="L394" i="2"/>
  <c r="L468" i="2"/>
  <c r="L539" i="2"/>
  <c r="L555" i="2"/>
  <c r="L197" i="2"/>
  <c r="L24" i="2"/>
  <c r="L287" i="2"/>
  <c r="L82" i="2"/>
  <c r="L374" i="2"/>
  <c r="L414" i="2"/>
  <c r="L415" i="2" s="1"/>
  <c r="L627" i="2"/>
  <c r="L128" i="2"/>
  <c r="L234" i="2"/>
  <c r="L16" i="2"/>
  <c r="L32" i="2"/>
  <c r="L124" i="2"/>
  <c r="L275" i="2"/>
  <c r="L276" i="2" s="1"/>
  <c r="L295" i="2"/>
  <c r="L365" i="2"/>
  <c r="L435" i="2"/>
  <c r="L577" i="2"/>
  <c r="L578" i="2" s="1"/>
  <c r="L579" i="2" s="1"/>
  <c r="L597" i="2"/>
  <c r="L614" i="2"/>
  <c r="L54" i="2"/>
  <c r="L55" i="2" s="1"/>
  <c r="L57" i="2" s="1"/>
  <c r="L104" i="2"/>
  <c r="L105" i="2" s="1"/>
  <c r="L226" i="2"/>
  <c r="L402" i="2"/>
  <c r="L648" i="2"/>
  <c r="L647" i="2"/>
  <c r="L178" i="2"/>
  <c r="L106" i="2"/>
  <c r="H440" i="2"/>
  <c r="H342" i="2"/>
  <c r="H71" i="2"/>
  <c r="H399" i="2"/>
  <c r="H292" i="2"/>
  <c r="H29" i="2"/>
  <c r="H544" i="2"/>
  <c r="H371" i="2"/>
  <c r="H260" i="2"/>
  <c r="H423" i="2"/>
  <c r="H511" i="2"/>
  <c r="H574" i="2"/>
  <c r="H636" i="2"/>
  <c r="H113" i="2"/>
  <c r="H362" i="2"/>
  <c r="H21" i="2"/>
  <c r="H138" i="2"/>
  <c r="H160" i="2"/>
  <c r="H79" i="2"/>
  <c r="H51" i="2"/>
  <c r="H185" i="2"/>
  <c r="H121" i="2"/>
  <c r="H13" i="2"/>
  <c r="H63" i="2"/>
  <c r="H101" i="2"/>
  <c r="H272" i="2"/>
  <c r="H231" i="2"/>
  <c r="H313" i="2"/>
  <c r="H215" i="2"/>
  <c r="H147" i="2"/>
  <c r="H223" i="2"/>
  <c r="H129" i="2"/>
  <c r="H38" i="2"/>
  <c r="H173" i="2"/>
  <c r="H194" i="2"/>
  <c r="H251" i="2"/>
  <c r="H88" i="2"/>
  <c r="H284" i="2"/>
  <c r="H243" i="2"/>
  <c r="H325" i="2"/>
  <c r="H354" i="2"/>
  <c r="H202" i="2"/>
  <c r="H301" i="2"/>
  <c r="H383" i="2"/>
  <c r="H473" i="2"/>
  <c r="H594" i="2"/>
  <c r="H624" i="2"/>
  <c r="H524" i="2"/>
  <c r="H391" i="2"/>
  <c r="H411" i="2"/>
  <c r="H552" i="2"/>
  <c r="H657" i="2"/>
  <c r="H333" i="2"/>
  <c r="H432" i="2"/>
  <c r="H453" i="2"/>
  <c r="H602" i="2"/>
  <c r="H536" i="2"/>
  <c r="H644" i="2"/>
  <c r="H561" i="2"/>
  <c r="H586" i="2"/>
  <c r="H465" i="2"/>
  <c r="H611" i="2"/>
  <c r="H490" i="2"/>
  <c r="H499" i="2"/>
  <c r="P442" i="6" l="1"/>
  <c r="Q442" i="6" s="1"/>
  <c r="O443" i="6"/>
  <c r="P108" i="6"/>
  <c r="Q108" i="6" s="1"/>
  <c r="O109" i="6"/>
  <c r="P258" i="6"/>
  <c r="Q258" i="6" s="1"/>
  <c r="O259" i="6"/>
  <c r="P530" i="6"/>
  <c r="Q530" i="6" s="1"/>
  <c r="O531" i="6"/>
  <c r="P11" i="6"/>
  <c r="Q11" i="6" s="1"/>
  <c r="O12" i="6"/>
  <c r="P430" i="6"/>
  <c r="Q430" i="6" s="1"/>
  <c r="O431" i="6"/>
  <c r="P542" i="6"/>
  <c r="Q542" i="6" s="1"/>
  <c r="O543" i="6"/>
  <c r="O607" i="6"/>
  <c r="P607" i="6" s="1"/>
  <c r="Q607" i="6" s="1"/>
  <c r="P606" i="6"/>
  <c r="Q606" i="6" s="1"/>
  <c r="O345" i="6"/>
  <c r="P344" i="6"/>
  <c r="Q344" i="6" s="1"/>
  <c r="P664" i="6"/>
  <c r="Q664" i="6" s="1"/>
  <c r="O665" i="6"/>
  <c r="P472" i="6"/>
  <c r="Q472" i="6" s="1"/>
  <c r="O473" i="6"/>
  <c r="P556" i="6"/>
  <c r="Q556" i="6" s="1"/>
  <c r="O557" i="6"/>
  <c r="P557" i="6" s="1"/>
  <c r="Q557" i="6" s="1"/>
  <c r="O68" i="6"/>
  <c r="P68" i="6" s="1"/>
  <c r="Q68" i="6" s="1"/>
  <c r="P67" i="6"/>
  <c r="Q67" i="6" s="1"/>
  <c r="P403" i="6"/>
  <c r="Q403" i="6" s="1"/>
  <c r="O404" i="6"/>
  <c r="P404" i="6" s="1"/>
  <c r="Q404" i="6" s="1"/>
  <c r="P592" i="6"/>
  <c r="Q592" i="6" s="1"/>
  <c r="O593" i="6"/>
  <c r="P484" i="6"/>
  <c r="Q484" i="6" s="1"/>
  <c r="O485" i="6"/>
  <c r="O672" i="6"/>
  <c r="P671" i="6"/>
  <c r="Q671" i="6" s="1"/>
  <c r="O291" i="6"/>
  <c r="P291" i="6" s="1"/>
  <c r="Q291" i="6" s="1"/>
  <c r="P290" i="6"/>
  <c r="Q290" i="6" s="1"/>
  <c r="P54" i="6"/>
  <c r="Q54" i="6" s="1"/>
  <c r="O55" i="6"/>
  <c r="O643" i="6"/>
  <c r="P642" i="6"/>
  <c r="Q642" i="6" s="1"/>
  <c r="P228" i="6"/>
  <c r="Q228" i="6" s="1"/>
  <c r="O229" i="6"/>
  <c r="P197" i="6"/>
  <c r="Q197" i="6" s="1"/>
  <c r="O198" i="6"/>
  <c r="P198" i="6" s="1"/>
  <c r="Q198" i="6" s="1"/>
  <c r="O333" i="6"/>
  <c r="P332" i="6"/>
  <c r="Q332" i="6" s="1"/>
  <c r="O696" i="6"/>
  <c r="P695" i="6"/>
  <c r="Q695" i="6" s="1"/>
  <c r="P170" i="6"/>
  <c r="Q170" i="6" s="1"/>
  <c r="O171" i="6"/>
  <c r="P374" i="6"/>
  <c r="Q374" i="6" s="1"/>
  <c r="O375" i="6"/>
  <c r="P375" i="6" s="1"/>
  <c r="Q375" i="6" s="1"/>
  <c r="P701" i="6"/>
  <c r="Q701" i="6" s="1"/>
  <c r="O702" i="6"/>
  <c r="N671" i="4"/>
  <c r="O671" i="4" s="1"/>
  <c r="M672" i="4"/>
  <c r="K651" i="4"/>
  <c r="N556" i="4"/>
  <c r="O556" i="4" s="1"/>
  <c r="A676" i="4"/>
  <c r="A667" i="4"/>
  <c r="K686" i="4"/>
  <c r="K687" i="4" s="1"/>
  <c r="K688" i="4" s="1"/>
  <c r="K680" i="4"/>
  <c r="K681" i="4" s="1"/>
  <c r="K682" i="4" s="1"/>
  <c r="K683" i="4" s="1"/>
  <c r="A669" i="4"/>
  <c r="A678" i="4" s="1"/>
  <c r="A670" i="4"/>
  <c r="A656" i="4"/>
  <c r="A657" i="4" s="1"/>
  <c r="A658" i="4" s="1"/>
  <c r="A649" i="4"/>
  <c r="A650" i="4" s="1"/>
  <c r="A637" i="4"/>
  <c r="A644" i="4"/>
  <c r="N243" i="4"/>
  <c r="O243" i="4" s="1"/>
  <c r="M565" i="4"/>
  <c r="N564" i="4"/>
  <c r="O564" i="4" s="1"/>
  <c r="M264" i="4"/>
  <c r="N263" i="4"/>
  <c r="O263" i="4" s="1"/>
  <c r="M504" i="4"/>
  <c r="N503" i="4"/>
  <c r="O503" i="4" s="1"/>
  <c r="N403" i="4"/>
  <c r="O403" i="4" s="1"/>
  <c r="M404" i="4"/>
  <c r="N235" i="4"/>
  <c r="O235" i="4" s="1"/>
  <c r="M236" i="4"/>
  <c r="M478" i="4"/>
  <c r="N477" i="4"/>
  <c r="O477" i="4" s="1"/>
  <c r="M624" i="4"/>
  <c r="N623" i="4"/>
  <c r="O623" i="4" s="1"/>
  <c r="M142" i="4"/>
  <c r="N141" i="4"/>
  <c r="O141" i="4" s="1"/>
  <c r="M525" i="4"/>
  <c r="N524" i="4"/>
  <c r="O524" i="4" s="1"/>
  <c r="M9" i="4"/>
  <c r="N8" i="4"/>
  <c r="O8" i="4" s="1"/>
  <c r="M446" i="4"/>
  <c r="N446" i="4" s="1"/>
  <c r="O446" i="4" s="1"/>
  <c r="N445" i="4"/>
  <c r="O445" i="4" s="1"/>
  <c r="M215" i="4"/>
  <c r="N214" i="4"/>
  <c r="O214" i="4" s="1"/>
  <c r="M41" i="4"/>
  <c r="N40" i="4"/>
  <c r="O40" i="4" s="1"/>
  <c r="M424" i="4"/>
  <c r="N423" i="4"/>
  <c r="O423" i="4" s="1"/>
  <c r="M376" i="4"/>
  <c r="N375" i="4"/>
  <c r="O375" i="4" s="1"/>
  <c r="M512" i="4"/>
  <c r="N511" i="4"/>
  <c r="O511" i="4" s="1"/>
  <c r="M549" i="4"/>
  <c r="N548" i="4"/>
  <c r="O548" i="4" s="1"/>
  <c r="M396" i="4"/>
  <c r="N395" i="4"/>
  <c r="O395" i="4" s="1"/>
  <c r="M486" i="4"/>
  <c r="N485" i="4"/>
  <c r="O485" i="4" s="1"/>
  <c r="M273" i="4"/>
  <c r="N272" i="4"/>
  <c r="O272" i="4" s="1"/>
  <c r="M587" i="4"/>
  <c r="N586" i="4"/>
  <c r="O586" i="4" s="1"/>
  <c r="M558" i="4"/>
  <c r="N558" i="4" s="1"/>
  <c r="O558" i="4" s="1"/>
  <c r="N557" i="4"/>
  <c r="O557" i="4" s="1"/>
  <c r="M368" i="4"/>
  <c r="N368" i="4" s="1"/>
  <c r="O368" i="4" s="1"/>
  <c r="N367" i="4"/>
  <c r="O367" i="4" s="1"/>
  <c r="M673" i="4"/>
  <c r="N672" i="4"/>
  <c r="O672" i="4" s="1"/>
  <c r="M174" i="4"/>
  <c r="N173" i="4"/>
  <c r="O173" i="4" s="1"/>
  <c r="M256" i="4"/>
  <c r="N255" i="4"/>
  <c r="O255" i="4" s="1"/>
  <c r="M646" i="4"/>
  <c r="N645" i="4"/>
  <c r="O645" i="4" s="1"/>
  <c r="M720" i="4"/>
  <c r="N719" i="4"/>
  <c r="O719" i="4" s="1"/>
  <c r="M92" i="4"/>
  <c r="N91" i="4"/>
  <c r="O91" i="4" s="1"/>
  <c r="M387" i="4"/>
  <c r="N386" i="4"/>
  <c r="O386" i="4" s="1"/>
  <c r="M538" i="4"/>
  <c r="N537" i="4"/>
  <c r="O537" i="4" s="1"/>
  <c r="M412" i="4"/>
  <c r="N411" i="4"/>
  <c r="O411" i="4" s="1"/>
  <c r="M286" i="4"/>
  <c r="N285" i="4"/>
  <c r="O285" i="4" s="1"/>
  <c r="M305" i="4"/>
  <c r="N304" i="4"/>
  <c r="O304" i="4" s="1"/>
  <c r="M495" i="4"/>
  <c r="N494" i="4"/>
  <c r="O494" i="4" s="1"/>
  <c r="M114" i="4"/>
  <c r="N113" i="4"/>
  <c r="O113" i="4" s="1"/>
  <c r="M85" i="4"/>
  <c r="N85" i="4" s="1"/>
  <c r="O85" i="4" s="1"/>
  <c r="N84" i="4"/>
  <c r="O84" i="4" s="1"/>
  <c r="M712" i="4"/>
  <c r="N712" i="4" s="1"/>
  <c r="O712" i="4" s="1"/>
  <c r="N711" i="4"/>
  <c r="O711" i="4" s="1"/>
  <c r="M207" i="4"/>
  <c r="N206" i="4"/>
  <c r="O206" i="4" s="1"/>
  <c r="M31" i="4"/>
  <c r="N30" i="4"/>
  <c r="O30" i="4" s="1"/>
  <c r="M466" i="4"/>
  <c r="N465" i="4"/>
  <c r="O465" i="4" s="1"/>
  <c r="M327" i="4"/>
  <c r="N326" i="4"/>
  <c r="O326" i="4" s="1"/>
  <c r="M198" i="4"/>
  <c r="N197" i="4"/>
  <c r="O197" i="4" s="1"/>
  <c r="M356" i="4"/>
  <c r="N355" i="4"/>
  <c r="O355" i="4" s="1"/>
  <c r="M75" i="4"/>
  <c r="N74" i="4"/>
  <c r="O74" i="4" s="1"/>
  <c r="M348" i="4"/>
  <c r="N348" i="4" s="1"/>
  <c r="O348" i="4" s="1"/>
  <c r="N347" i="4"/>
  <c r="O347" i="4" s="1"/>
  <c r="M160" i="4"/>
  <c r="N159" i="4"/>
  <c r="O159" i="4" s="1"/>
  <c r="M339" i="4"/>
  <c r="N339" i="4" s="1"/>
  <c r="O339" i="4" s="1"/>
  <c r="N338" i="4"/>
  <c r="O338" i="4" s="1"/>
  <c r="M186" i="4"/>
  <c r="N185" i="4"/>
  <c r="O185" i="4" s="1"/>
  <c r="M607" i="4"/>
  <c r="N606" i="4"/>
  <c r="O606" i="4" s="1"/>
  <c r="M135" i="4"/>
  <c r="N135" i="4" s="1"/>
  <c r="O135" i="4" s="1"/>
  <c r="N134" i="4"/>
  <c r="O134" i="4" s="1"/>
  <c r="M574" i="4"/>
  <c r="N573" i="4"/>
  <c r="O573" i="4" s="1"/>
  <c r="M315" i="4"/>
  <c r="N314" i="4"/>
  <c r="O314" i="4" s="1"/>
  <c r="M245" i="4"/>
  <c r="N244" i="4"/>
  <c r="O244" i="4" s="1"/>
  <c r="M101" i="4"/>
  <c r="N100" i="4"/>
  <c r="O100" i="4" s="1"/>
  <c r="M63" i="4"/>
  <c r="N62" i="4"/>
  <c r="O62" i="4" s="1"/>
  <c r="M151" i="4"/>
  <c r="N150" i="4"/>
  <c r="O150" i="4" s="1"/>
  <c r="M298" i="4"/>
  <c r="N298" i="4" s="1"/>
  <c r="O298" i="4" s="1"/>
  <c r="N297" i="4"/>
  <c r="O297" i="4" s="1"/>
  <c r="M228" i="4"/>
  <c r="N227" i="4"/>
  <c r="O227" i="4" s="1"/>
  <c r="M600" i="4"/>
  <c r="N600" i="4" s="1"/>
  <c r="O600" i="4" s="1"/>
  <c r="N599" i="4"/>
  <c r="O599" i="4" s="1"/>
  <c r="M453" i="4"/>
  <c r="N452" i="4"/>
  <c r="O452" i="4" s="1"/>
  <c r="M436" i="4"/>
  <c r="N435" i="4"/>
  <c r="O435" i="4" s="1"/>
  <c r="M49" i="4"/>
  <c r="N48" i="4"/>
  <c r="O48" i="4" s="1"/>
  <c r="M22" i="4"/>
  <c r="N22" i="4" s="1"/>
  <c r="O22" i="4" s="1"/>
  <c r="N21" i="4"/>
  <c r="O21" i="4" s="1"/>
  <c r="M127" i="4"/>
  <c r="N127" i="4" s="1"/>
  <c r="O127" i="4" s="1"/>
  <c r="N126" i="4"/>
  <c r="O126" i="4" s="1"/>
  <c r="L56" i="2"/>
  <c r="L58" i="2" s="1"/>
  <c r="L6" i="2"/>
  <c r="L108" i="2"/>
  <c r="L198" i="2"/>
  <c r="L329" i="2"/>
  <c r="L179" i="2"/>
  <c r="L615" i="2"/>
  <c r="L133" i="2"/>
  <c r="L503" i="2"/>
  <c r="L180" i="2"/>
  <c r="L598" i="2"/>
  <c r="L255" i="2"/>
  <c r="L277" i="2"/>
  <c r="L403" i="2"/>
  <c r="L33" i="2"/>
  <c r="L375" i="2"/>
  <c r="L540" i="2"/>
  <c r="L206" i="2"/>
  <c r="L485" i="2"/>
  <c r="L606" i="2"/>
  <c r="L164" i="2"/>
  <c r="L387" i="2"/>
  <c r="L92" i="2"/>
  <c r="L515" i="2"/>
  <c r="L556" i="2"/>
  <c r="L444" i="2"/>
  <c r="L416" i="2"/>
  <c r="L458" i="2"/>
  <c r="L227" i="2"/>
  <c r="L436" i="2"/>
  <c r="L17" i="2"/>
  <c r="L83" i="2"/>
  <c r="L469" i="2"/>
  <c r="L189" i="2"/>
  <c r="L358" i="2"/>
  <c r="L590" i="2"/>
  <c r="L565" i="2"/>
  <c r="L337" i="2"/>
  <c r="L75" i="2"/>
  <c r="L278" i="2"/>
  <c r="L42" i="2"/>
  <c r="L530" i="2"/>
  <c r="L247" i="2"/>
  <c r="L580" i="2"/>
  <c r="L107" i="2"/>
  <c r="L366" i="2"/>
  <c r="L235" i="2"/>
  <c r="L288" i="2"/>
  <c r="L395" i="2"/>
  <c r="L67" i="2"/>
  <c r="L305" i="2"/>
  <c r="L219" i="2"/>
  <c r="L548" i="2"/>
  <c r="L318" i="2"/>
  <c r="L494" i="2"/>
  <c r="L7" i="2"/>
  <c r="L628" i="2"/>
  <c r="L649" i="2"/>
  <c r="L477" i="2"/>
  <c r="L629" i="2"/>
  <c r="L296" i="2"/>
  <c r="L129" i="2"/>
  <c r="L25" i="2"/>
  <c r="L346" i="2"/>
  <c r="L427" i="2"/>
  <c r="L117" i="2"/>
  <c r="L151" i="2"/>
  <c r="L264" i="2"/>
  <c r="L142" i="2"/>
  <c r="L59" i="2"/>
  <c r="L60" i="2" s="1"/>
  <c r="O444" i="6" l="1"/>
  <c r="P444" i="6" s="1"/>
  <c r="Q444" i="6" s="1"/>
  <c r="P443" i="6"/>
  <c r="Q443" i="6" s="1"/>
  <c r="O110" i="6"/>
  <c r="P109" i="6"/>
  <c r="Q109" i="6" s="1"/>
  <c r="O260" i="6"/>
  <c r="P260" i="6" s="1"/>
  <c r="Q260" i="6" s="1"/>
  <c r="P259" i="6"/>
  <c r="Q259" i="6" s="1"/>
  <c r="P12" i="6"/>
  <c r="Q12" i="6" s="1"/>
  <c r="O13" i="6"/>
  <c r="P13" i="6" s="1"/>
  <c r="Q13" i="6" s="1"/>
  <c r="P531" i="6"/>
  <c r="Q531" i="6" s="1"/>
  <c r="O532" i="6"/>
  <c r="P532" i="6" s="1"/>
  <c r="Q532" i="6" s="1"/>
  <c r="O346" i="6"/>
  <c r="P346" i="6" s="1"/>
  <c r="Q346" i="6" s="1"/>
  <c r="P345" i="6"/>
  <c r="Q345" i="6" s="1"/>
  <c r="P543" i="6"/>
  <c r="Q543" i="6" s="1"/>
  <c r="O544" i="6"/>
  <c r="O432" i="6"/>
  <c r="P432" i="6" s="1"/>
  <c r="Q432" i="6" s="1"/>
  <c r="P431" i="6"/>
  <c r="Q431" i="6" s="1"/>
  <c r="P171" i="6"/>
  <c r="Q171" i="6" s="1"/>
  <c r="O172" i="6"/>
  <c r="P643" i="6"/>
  <c r="Q643" i="6" s="1"/>
  <c r="O644" i="6"/>
  <c r="P55" i="6"/>
  <c r="Q55" i="6" s="1"/>
  <c r="O56" i="6"/>
  <c r="P56" i="6" s="1"/>
  <c r="Q56" i="6" s="1"/>
  <c r="P696" i="6"/>
  <c r="Q696" i="6" s="1"/>
  <c r="O697" i="6"/>
  <c r="P333" i="6"/>
  <c r="Q333" i="6" s="1"/>
  <c r="O334" i="6"/>
  <c r="P334" i="6" s="1"/>
  <c r="Q334" i="6" s="1"/>
  <c r="O230" i="6"/>
  <c r="P230" i="6" s="1"/>
  <c r="Q230" i="6" s="1"/>
  <c r="P229" i="6"/>
  <c r="Q229" i="6" s="1"/>
  <c r="P473" i="6"/>
  <c r="Q473" i="6" s="1"/>
  <c r="O474" i="6"/>
  <c r="P474" i="6" s="1"/>
  <c r="Q474" i="6" s="1"/>
  <c r="P593" i="6"/>
  <c r="Q593" i="6" s="1"/>
  <c r="O594" i="6"/>
  <c r="P672" i="6"/>
  <c r="Q672" i="6" s="1"/>
  <c r="O673" i="6"/>
  <c r="P673" i="6" s="1"/>
  <c r="Q673" i="6" s="1"/>
  <c r="P702" i="6"/>
  <c r="Q702" i="6" s="1"/>
  <c r="O703" i="6"/>
  <c r="P703" i="6" s="1"/>
  <c r="Q703" i="6" s="1"/>
  <c r="P485" i="6"/>
  <c r="Q485" i="6" s="1"/>
  <c r="O486" i="6"/>
  <c r="P486" i="6" s="1"/>
  <c r="Q486" i="6" s="1"/>
  <c r="P665" i="6"/>
  <c r="Q665" i="6" s="1"/>
  <c r="O666" i="6"/>
  <c r="P666" i="6" s="1"/>
  <c r="Q666" i="6" s="1"/>
  <c r="O667" i="6"/>
  <c r="K684" i="4"/>
  <c r="K685" i="4"/>
  <c r="A671" i="4"/>
  <c r="A677" i="4"/>
  <c r="A652" i="4"/>
  <c r="A653" i="4" s="1"/>
  <c r="A654" i="4" s="1"/>
  <c r="A655" i="4" s="1"/>
  <c r="A651" i="4"/>
  <c r="N565" i="4"/>
  <c r="O565" i="4" s="1"/>
  <c r="M566" i="4"/>
  <c r="M505" i="4"/>
  <c r="N505" i="4" s="1"/>
  <c r="O505" i="4" s="1"/>
  <c r="N504" i="4"/>
  <c r="O504" i="4" s="1"/>
  <c r="M265" i="4"/>
  <c r="N264" i="4"/>
  <c r="O264" i="4" s="1"/>
  <c r="M143" i="4"/>
  <c r="N142" i="4"/>
  <c r="O142" i="4" s="1"/>
  <c r="M625" i="4"/>
  <c r="N624" i="4"/>
  <c r="O624" i="4" s="1"/>
  <c r="M479" i="4"/>
  <c r="N479" i="4" s="1"/>
  <c r="O479" i="4" s="1"/>
  <c r="N478" i="4"/>
  <c r="O478" i="4" s="1"/>
  <c r="M237" i="4"/>
  <c r="N237" i="4" s="1"/>
  <c r="O237" i="4" s="1"/>
  <c r="N236" i="4"/>
  <c r="O236" i="4" s="1"/>
  <c r="M405" i="4"/>
  <c r="N405" i="4" s="1"/>
  <c r="O405" i="4" s="1"/>
  <c r="N404" i="4"/>
  <c r="O404" i="4" s="1"/>
  <c r="M187" i="4"/>
  <c r="N186" i="4"/>
  <c r="O186" i="4" s="1"/>
  <c r="M425" i="4"/>
  <c r="N424" i="4"/>
  <c r="O424" i="4" s="1"/>
  <c r="M216" i="4"/>
  <c r="N215" i="4"/>
  <c r="O215" i="4" s="1"/>
  <c r="M102" i="4"/>
  <c r="N101" i="4"/>
  <c r="O101" i="4" s="1"/>
  <c r="M257" i="4"/>
  <c r="N257" i="4" s="1"/>
  <c r="O257" i="4" s="1"/>
  <c r="N256" i="4"/>
  <c r="O256" i="4" s="1"/>
  <c r="M229" i="4"/>
  <c r="N229" i="4" s="1"/>
  <c r="O229" i="4" s="1"/>
  <c r="N228" i="4"/>
  <c r="O228" i="4" s="1"/>
  <c r="M539" i="4"/>
  <c r="N538" i="4"/>
  <c r="O538" i="4" s="1"/>
  <c r="M50" i="4"/>
  <c r="M51" i="4" s="1"/>
  <c r="N51" i="4" s="1"/>
  <c r="O51" i="4" s="1"/>
  <c r="N49" i="4"/>
  <c r="O49" i="4" s="1"/>
  <c r="M328" i="4"/>
  <c r="N327" i="4"/>
  <c r="O327" i="4" s="1"/>
  <c r="M487" i="4"/>
  <c r="N487" i="4" s="1"/>
  <c r="O487" i="4" s="1"/>
  <c r="N486" i="4"/>
  <c r="O486" i="4" s="1"/>
  <c r="M316" i="4"/>
  <c r="N315" i="4"/>
  <c r="O315" i="4" s="1"/>
  <c r="M397" i="4"/>
  <c r="N397" i="4" s="1"/>
  <c r="O397" i="4" s="1"/>
  <c r="N396" i="4"/>
  <c r="O396" i="4" s="1"/>
  <c r="M413" i="4"/>
  <c r="N412" i="4"/>
  <c r="O412" i="4" s="1"/>
  <c r="M175" i="4"/>
  <c r="N174" i="4"/>
  <c r="O174" i="4" s="1"/>
  <c r="M467" i="4"/>
  <c r="N466" i="4"/>
  <c r="O466" i="4" s="1"/>
  <c r="M388" i="4"/>
  <c r="N387" i="4"/>
  <c r="O387" i="4" s="1"/>
  <c r="M152" i="4"/>
  <c r="N151" i="4"/>
  <c r="O151" i="4" s="1"/>
  <c r="M32" i="4"/>
  <c r="N32" i="4" s="1"/>
  <c r="O32" i="4" s="1"/>
  <c r="N31" i="4"/>
  <c r="O31" i="4" s="1"/>
  <c r="M93" i="4"/>
  <c r="N92" i="4"/>
  <c r="O92" i="4" s="1"/>
  <c r="M76" i="4"/>
  <c r="N76" i="4" s="1"/>
  <c r="O76" i="4" s="1"/>
  <c r="N75" i="4"/>
  <c r="O75" i="4" s="1"/>
  <c r="M306" i="4"/>
  <c r="N305" i="4"/>
  <c r="O305" i="4" s="1"/>
  <c r="M513" i="4"/>
  <c r="N512" i="4"/>
  <c r="O512" i="4" s="1"/>
  <c r="M10" i="4"/>
  <c r="N9" i="4"/>
  <c r="O9" i="4" s="1"/>
  <c r="M199" i="4"/>
  <c r="N198" i="4"/>
  <c r="O198" i="4" s="1"/>
  <c r="M115" i="4"/>
  <c r="N114" i="4"/>
  <c r="O114" i="4" s="1"/>
  <c r="M575" i="4"/>
  <c r="N574" i="4"/>
  <c r="O574" i="4" s="1"/>
  <c r="M496" i="4"/>
  <c r="N496" i="4" s="1"/>
  <c r="O496" i="4" s="1"/>
  <c r="N495" i="4"/>
  <c r="O495" i="4" s="1"/>
  <c r="M274" i="4"/>
  <c r="N273" i="4"/>
  <c r="O273" i="4" s="1"/>
  <c r="M246" i="4"/>
  <c r="N245" i="4"/>
  <c r="O245" i="4" s="1"/>
  <c r="M42" i="4"/>
  <c r="N42" i="4" s="1"/>
  <c r="O42" i="4" s="1"/>
  <c r="N41" i="4"/>
  <c r="O41" i="4" s="1"/>
  <c r="M161" i="4"/>
  <c r="N160" i="4"/>
  <c r="O160" i="4" s="1"/>
  <c r="M674" i="4"/>
  <c r="N673" i="4"/>
  <c r="O673" i="4" s="1"/>
  <c r="M550" i="4"/>
  <c r="N550" i="4" s="1"/>
  <c r="O550" i="4" s="1"/>
  <c r="N549" i="4"/>
  <c r="O549" i="4" s="1"/>
  <c r="M437" i="4"/>
  <c r="N436" i="4"/>
  <c r="O436" i="4" s="1"/>
  <c r="M454" i="4"/>
  <c r="N453" i="4"/>
  <c r="O453" i="4" s="1"/>
  <c r="M64" i="4"/>
  <c r="N63" i="4"/>
  <c r="O63" i="4" s="1"/>
  <c r="M608" i="4"/>
  <c r="N608" i="4" s="1"/>
  <c r="O608" i="4" s="1"/>
  <c r="N607" i="4"/>
  <c r="O607" i="4" s="1"/>
  <c r="M357" i="4"/>
  <c r="N356" i="4"/>
  <c r="O356" i="4" s="1"/>
  <c r="M208" i="4"/>
  <c r="N208" i="4" s="1"/>
  <c r="O208" i="4" s="1"/>
  <c r="N207" i="4"/>
  <c r="O207" i="4" s="1"/>
  <c r="M287" i="4"/>
  <c r="N286" i="4"/>
  <c r="O286" i="4" s="1"/>
  <c r="M648" i="4"/>
  <c r="M649" i="4" s="1"/>
  <c r="N646" i="4"/>
  <c r="O646" i="4" s="1"/>
  <c r="M588" i="4"/>
  <c r="N587" i="4"/>
  <c r="O587" i="4" s="1"/>
  <c r="M377" i="4"/>
  <c r="N377" i="4" s="1"/>
  <c r="O377" i="4" s="1"/>
  <c r="N376" i="4"/>
  <c r="O376" i="4" s="1"/>
  <c r="M526" i="4"/>
  <c r="N525" i="4"/>
  <c r="O525" i="4" s="1"/>
  <c r="L347" i="2"/>
  <c r="L306" i="2"/>
  <c r="L109" i="2"/>
  <c r="L111" i="2" s="1"/>
  <c r="L76" i="2"/>
  <c r="L470" i="2"/>
  <c r="L445" i="2"/>
  <c r="L607" i="2"/>
  <c r="L404" i="2"/>
  <c r="L557" i="2"/>
  <c r="L616" i="2"/>
  <c r="L134" i="2"/>
  <c r="L8" i="2"/>
  <c r="L257" i="2"/>
  <c r="L258" i="2" s="1"/>
  <c r="L256" i="2"/>
  <c r="L265" i="2"/>
  <c r="L495" i="2"/>
  <c r="L396" i="2"/>
  <c r="L397" i="2" s="1"/>
  <c r="L248" i="2"/>
  <c r="L566" i="2"/>
  <c r="L18" i="2"/>
  <c r="L516" i="2"/>
  <c r="L207" i="2"/>
  <c r="L338" i="2"/>
  <c r="L599" i="2"/>
  <c r="L181" i="2"/>
  <c r="L183" i="2" s="1"/>
  <c r="L68" i="2"/>
  <c r="L152" i="2"/>
  <c r="L297" i="2"/>
  <c r="L319" i="2"/>
  <c r="L289" i="2"/>
  <c r="L531" i="2"/>
  <c r="L591" i="2"/>
  <c r="L437" i="2"/>
  <c r="L438" i="2" s="1"/>
  <c r="L93" i="2"/>
  <c r="L541" i="2"/>
  <c r="L279" i="2"/>
  <c r="L581" i="2"/>
  <c r="L330" i="2"/>
  <c r="L26" i="2"/>
  <c r="L486" i="2"/>
  <c r="L630" i="2"/>
  <c r="L118" i="2"/>
  <c r="L549" i="2"/>
  <c r="L236" i="2"/>
  <c r="L43" i="2"/>
  <c r="L359" i="2"/>
  <c r="L228" i="2"/>
  <c r="L229" i="2" s="1"/>
  <c r="L388" i="2"/>
  <c r="L376" i="2"/>
  <c r="L478" i="2"/>
  <c r="L459" i="2"/>
  <c r="L182" i="2"/>
  <c r="L199" i="2"/>
  <c r="L200" i="2" s="1"/>
  <c r="L428" i="2"/>
  <c r="L165" i="2"/>
  <c r="L143" i="2"/>
  <c r="L84" i="2"/>
  <c r="L220" i="2"/>
  <c r="L367" i="2"/>
  <c r="L368" i="2"/>
  <c r="L369" i="2" s="1"/>
  <c r="L280" i="2"/>
  <c r="L282" i="2" s="1"/>
  <c r="L190" i="2"/>
  <c r="L417" i="2"/>
  <c r="L34" i="2"/>
  <c r="L61" i="2"/>
  <c r="L650" i="2"/>
  <c r="L504" i="2"/>
  <c r="L110" i="2"/>
  <c r="P110" i="6" l="1"/>
  <c r="Q110" i="6" s="1"/>
  <c r="O111" i="6"/>
  <c r="P111" i="6" s="1"/>
  <c r="Q111" i="6" s="1"/>
  <c r="P544" i="6"/>
  <c r="Q544" i="6" s="1"/>
  <c r="O545" i="6"/>
  <c r="P545" i="6" s="1"/>
  <c r="Q545" i="6" s="1"/>
  <c r="P697" i="6"/>
  <c r="Q697" i="6" s="1"/>
  <c r="O698" i="6"/>
  <c r="O595" i="6"/>
  <c r="P595" i="6" s="1"/>
  <c r="Q595" i="6" s="1"/>
  <c r="P594" i="6"/>
  <c r="Q594" i="6" s="1"/>
  <c r="P644" i="6"/>
  <c r="Q644" i="6" s="1"/>
  <c r="O645" i="6"/>
  <c r="P645" i="6" s="1"/>
  <c r="Q645" i="6" s="1"/>
  <c r="O173" i="6"/>
  <c r="P173" i="6" s="1"/>
  <c r="Q173" i="6" s="1"/>
  <c r="P172" i="6"/>
  <c r="Q172" i="6" s="1"/>
  <c r="O668" i="6"/>
  <c r="P667" i="6"/>
  <c r="Q667" i="6" s="1"/>
  <c r="A672" i="4"/>
  <c r="A673" i="4" s="1"/>
  <c r="A674" i="4" s="1"/>
  <c r="A675" i="4" s="1"/>
  <c r="A679" i="4"/>
  <c r="M650" i="4"/>
  <c r="M651" i="4" s="1"/>
  <c r="N651" i="4" s="1"/>
  <c r="O651" i="4" s="1"/>
  <c r="N649" i="4"/>
  <c r="O649" i="4" s="1"/>
  <c r="N566" i="4"/>
  <c r="O566" i="4" s="1"/>
  <c r="M567" i="4"/>
  <c r="N567" i="4" s="1"/>
  <c r="O567" i="4" s="1"/>
  <c r="M266" i="4"/>
  <c r="N266" i="4" s="1"/>
  <c r="O266" i="4" s="1"/>
  <c r="N265" i="4"/>
  <c r="O265" i="4" s="1"/>
  <c r="M626" i="4"/>
  <c r="N625" i="4"/>
  <c r="O625" i="4" s="1"/>
  <c r="M144" i="4"/>
  <c r="N144" i="4" s="1"/>
  <c r="O144" i="4" s="1"/>
  <c r="N143" i="4"/>
  <c r="O143" i="4" s="1"/>
  <c r="M455" i="4"/>
  <c r="N454" i="4"/>
  <c r="O454" i="4" s="1"/>
  <c r="M275" i="4"/>
  <c r="N274" i="4"/>
  <c r="O274" i="4" s="1"/>
  <c r="M307" i="4"/>
  <c r="N307" i="4" s="1"/>
  <c r="O307" i="4" s="1"/>
  <c r="N306" i="4"/>
  <c r="O306" i="4" s="1"/>
  <c r="M103" i="4"/>
  <c r="N102" i="4"/>
  <c r="O102" i="4" s="1"/>
  <c r="M527" i="4"/>
  <c r="N526" i="4"/>
  <c r="O526" i="4" s="1"/>
  <c r="M576" i="4"/>
  <c r="N575" i="4"/>
  <c r="O575" i="4" s="1"/>
  <c r="M217" i="4"/>
  <c r="N216" i="4"/>
  <c r="O216" i="4" s="1"/>
  <c r="M162" i="4"/>
  <c r="N161" i="4"/>
  <c r="O161" i="4" s="1"/>
  <c r="M116" i="4"/>
  <c r="N115" i="4"/>
  <c r="O115" i="4" s="1"/>
  <c r="M176" i="4"/>
  <c r="N175" i="4"/>
  <c r="O175" i="4" s="1"/>
  <c r="M52" i="4"/>
  <c r="N50" i="4"/>
  <c r="O50" i="4" s="1"/>
  <c r="M426" i="4"/>
  <c r="N425" i="4"/>
  <c r="O425" i="4" s="1"/>
  <c r="M438" i="4"/>
  <c r="N438" i="4" s="1"/>
  <c r="O438" i="4" s="1"/>
  <c r="N437" i="4"/>
  <c r="O437" i="4" s="1"/>
  <c r="M317" i="4"/>
  <c r="N316" i="4"/>
  <c r="O316" i="4" s="1"/>
  <c r="M358" i="4"/>
  <c r="N357" i="4"/>
  <c r="O357" i="4" s="1"/>
  <c r="M329" i="4"/>
  <c r="N328" i="4"/>
  <c r="O328" i="4" s="1"/>
  <c r="M656" i="4"/>
  <c r="N648" i="4"/>
  <c r="O648" i="4" s="1"/>
  <c r="M247" i="4"/>
  <c r="N246" i="4"/>
  <c r="O246" i="4" s="1"/>
  <c r="M11" i="4"/>
  <c r="N10" i="4"/>
  <c r="O10" i="4" s="1"/>
  <c r="M288" i="4"/>
  <c r="N287" i="4"/>
  <c r="O287" i="4" s="1"/>
  <c r="M514" i="4"/>
  <c r="N513" i="4"/>
  <c r="O513" i="4" s="1"/>
  <c r="M153" i="4"/>
  <c r="N153" i="4" s="1"/>
  <c r="O153" i="4" s="1"/>
  <c r="N152" i="4"/>
  <c r="O152" i="4" s="1"/>
  <c r="M389" i="4"/>
  <c r="N389" i="4" s="1"/>
  <c r="O389" i="4" s="1"/>
  <c r="N388" i="4"/>
  <c r="O388" i="4" s="1"/>
  <c r="M675" i="4"/>
  <c r="M680" i="4" s="1"/>
  <c r="N674" i="4"/>
  <c r="O674" i="4" s="1"/>
  <c r="M468" i="4"/>
  <c r="N467" i="4"/>
  <c r="O467" i="4" s="1"/>
  <c r="M589" i="4"/>
  <c r="N588" i="4"/>
  <c r="O588" i="4" s="1"/>
  <c r="M65" i="4"/>
  <c r="N64" i="4"/>
  <c r="O64" i="4" s="1"/>
  <c r="M200" i="4"/>
  <c r="N200" i="4" s="1"/>
  <c r="O200" i="4" s="1"/>
  <c r="N199" i="4"/>
  <c r="O199" i="4" s="1"/>
  <c r="M94" i="4"/>
  <c r="N94" i="4" s="1"/>
  <c r="O94" i="4" s="1"/>
  <c r="N93" i="4"/>
  <c r="O93" i="4" s="1"/>
  <c r="M414" i="4"/>
  <c r="N413" i="4"/>
  <c r="O413" i="4" s="1"/>
  <c r="M540" i="4"/>
  <c r="N539" i="4"/>
  <c r="O539" i="4" s="1"/>
  <c r="M188" i="4"/>
  <c r="N187" i="4"/>
  <c r="O187" i="4" s="1"/>
  <c r="L284" i="2"/>
  <c r="L582" i="2"/>
  <c r="L583" i="2" s="1"/>
  <c r="L505" i="2"/>
  <c r="L550" i="2"/>
  <c r="L290" i="2"/>
  <c r="L230" i="2"/>
  <c r="L631" i="2"/>
  <c r="L542" i="2"/>
  <c r="L320" i="2"/>
  <c r="L339" i="2"/>
  <c r="L340" i="2" s="1"/>
  <c r="L398" i="2"/>
  <c r="L249" i="2"/>
  <c r="L166" i="2"/>
  <c r="L201" i="2"/>
  <c r="L62" i="2"/>
  <c r="L617" i="2"/>
  <c r="L77" i="2"/>
  <c r="L221" i="2"/>
  <c r="L184" i="2"/>
  <c r="L360" i="2"/>
  <c r="L487" i="2"/>
  <c r="L488" i="2" s="1"/>
  <c r="L94" i="2"/>
  <c r="L298" i="2"/>
  <c r="L299" i="2" s="1"/>
  <c r="L208" i="2"/>
  <c r="L496" i="2"/>
  <c r="L497" i="2" s="1"/>
  <c r="L377" i="2"/>
  <c r="L651" i="2"/>
  <c r="L652" i="2"/>
  <c r="L35" i="2"/>
  <c r="L36" i="2" s="1"/>
  <c r="L558" i="2"/>
  <c r="L559" i="2" s="1"/>
  <c r="L113" i="2"/>
  <c r="L567" i="2"/>
  <c r="L9" i="2"/>
  <c r="L10" i="2" s="1"/>
  <c r="L429" i="2"/>
  <c r="L119" i="2"/>
  <c r="L135" i="2"/>
  <c r="L136" i="2" s="1"/>
  <c r="L85" i="2"/>
  <c r="L86" i="2" s="1"/>
  <c r="L460" i="2"/>
  <c r="L44" i="2"/>
  <c r="L27" i="2"/>
  <c r="L439" i="2"/>
  <c r="L153" i="2"/>
  <c r="L517" i="2"/>
  <c r="L266" i="2"/>
  <c r="L446" i="2"/>
  <c r="L281" i="2"/>
  <c r="L405" i="2"/>
  <c r="L307" i="2"/>
  <c r="L185" i="2"/>
  <c r="L370" i="2"/>
  <c r="L600" i="2"/>
  <c r="L471" i="2"/>
  <c r="L144" i="2"/>
  <c r="L145" i="2" s="1"/>
  <c r="L479" i="2"/>
  <c r="L237" i="2"/>
  <c r="L331" i="2"/>
  <c r="L592" i="2"/>
  <c r="L69" i="2"/>
  <c r="L19" i="2"/>
  <c r="L259" i="2"/>
  <c r="L532" i="2"/>
  <c r="L533" i="2" s="1"/>
  <c r="L389" i="2"/>
  <c r="L418" i="2"/>
  <c r="L112" i="2"/>
  <c r="L192" i="2"/>
  <c r="L191" i="2"/>
  <c r="L608" i="2"/>
  <c r="L609" i="2" s="1"/>
  <c r="L348" i="2"/>
  <c r="P668" i="6" l="1"/>
  <c r="Q668" i="6" s="1"/>
  <c r="O669" i="6"/>
  <c r="O700" i="6"/>
  <c r="P700" i="6" s="1"/>
  <c r="Q700" i="6" s="1"/>
  <c r="P698" i="6"/>
  <c r="Q698" i="6" s="1"/>
  <c r="O699" i="6"/>
  <c r="P699" i="6" s="1"/>
  <c r="Q699" i="6" s="1"/>
  <c r="A686" i="4"/>
  <c r="A687" i="4" s="1"/>
  <c r="A688" i="4" s="1"/>
  <c r="A680" i="4"/>
  <c r="A681" i="4" s="1"/>
  <c r="A682" i="4" s="1"/>
  <c r="A683" i="4" s="1"/>
  <c r="N680" i="4"/>
  <c r="O680" i="4" s="1"/>
  <c r="M681" i="4"/>
  <c r="M652" i="4"/>
  <c r="N650" i="4"/>
  <c r="O650" i="4" s="1"/>
  <c r="M627" i="4"/>
  <c r="N626" i="4"/>
  <c r="O626" i="4" s="1"/>
  <c r="M66" i="4"/>
  <c r="N65" i="4"/>
  <c r="O65" i="4" s="1"/>
  <c r="M515" i="4"/>
  <c r="N514" i="4"/>
  <c r="O514" i="4" s="1"/>
  <c r="M359" i="4"/>
  <c r="N358" i="4"/>
  <c r="O358" i="4" s="1"/>
  <c r="M104" i="4"/>
  <c r="N103" i="4"/>
  <c r="O103" i="4" s="1"/>
  <c r="M657" i="4"/>
  <c r="N656" i="4"/>
  <c r="O656" i="4" s="1"/>
  <c r="M528" i="4"/>
  <c r="N527" i="4"/>
  <c r="O527" i="4" s="1"/>
  <c r="M189" i="4"/>
  <c r="N188" i="4"/>
  <c r="O188" i="4" s="1"/>
  <c r="M53" i="4"/>
  <c r="N52" i="4"/>
  <c r="O52" i="4" s="1"/>
  <c r="M330" i="4"/>
  <c r="N329" i="4"/>
  <c r="O329" i="4" s="1"/>
  <c r="M577" i="4"/>
  <c r="N576" i="4"/>
  <c r="O576" i="4" s="1"/>
  <c r="M177" i="4"/>
  <c r="N176" i="4"/>
  <c r="O176" i="4" s="1"/>
  <c r="M318" i="4"/>
  <c r="N317" i="4"/>
  <c r="O317" i="4" s="1"/>
  <c r="M541" i="4"/>
  <c r="N540" i="4"/>
  <c r="O540" i="4" s="1"/>
  <c r="M12" i="4"/>
  <c r="N11" i="4"/>
  <c r="O11" i="4" s="1"/>
  <c r="M163" i="4"/>
  <c r="N162" i="4"/>
  <c r="O162" i="4" s="1"/>
  <c r="M276" i="4"/>
  <c r="N275" i="4"/>
  <c r="O275" i="4" s="1"/>
  <c r="M590" i="4"/>
  <c r="N589" i="4"/>
  <c r="O589" i="4" s="1"/>
  <c r="M289" i="4"/>
  <c r="N288" i="4"/>
  <c r="O288" i="4" s="1"/>
  <c r="M117" i="4"/>
  <c r="N116" i="4"/>
  <c r="O116" i="4" s="1"/>
  <c r="M469" i="4"/>
  <c r="N468" i="4"/>
  <c r="O468" i="4" s="1"/>
  <c r="M415" i="4"/>
  <c r="N414" i="4"/>
  <c r="O414" i="4" s="1"/>
  <c r="M686" i="4"/>
  <c r="N675" i="4"/>
  <c r="O675" i="4" s="1"/>
  <c r="M248" i="4"/>
  <c r="N247" i="4"/>
  <c r="O247" i="4" s="1"/>
  <c r="M427" i="4"/>
  <c r="N426" i="4"/>
  <c r="O426" i="4" s="1"/>
  <c r="M218" i="4"/>
  <c r="N217" i="4"/>
  <c r="O217" i="4" s="1"/>
  <c r="M456" i="4"/>
  <c r="N455" i="4"/>
  <c r="O455" i="4" s="1"/>
  <c r="L534" i="2"/>
  <c r="L238" i="2"/>
  <c r="L518" i="2"/>
  <c r="L87" i="2"/>
  <c r="L222" i="2"/>
  <c r="L154" i="2"/>
  <c r="L560" i="2"/>
  <c r="L440" i="2"/>
  <c r="L618" i="2"/>
  <c r="L283" i="2"/>
  <c r="L28" i="2"/>
  <c r="L430" i="2"/>
  <c r="L250" i="2"/>
  <c r="L260" i="2"/>
  <c r="L137" i="2"/>
  <c r="L193" i="2"/>
  <c r="L146" i="2"/>
  <c r="L120" i="2"/>
  <c r="L653" i="2"/>
  <c r="L95" i="2"/>
  <c r="L489" i="2"/>
  <c r="L63" i="2"/>
  <c r="L321" i="2"/>
  <c r="L322" i="2" s="1"/>
  <c r="L506" i="2"/>
  <c r="L610" i="2"/>
  <c r="L209" i="2"/>
  <c r="L551" i="2"/>
  <c r="L70" i="2"/>
  <c r="L419" i="2"/>
  <c r="L420" i="2" s="1"/>
  <c r="L378" i="2"/>
  <c r="L361" i="2"/>
  <c r="L202" i="2"/>
  <c r="L543" i="2"/>
  <c r="L584" i="2"/>
  <c r="L300" i="2"/>
  <c r="L601" i="2"/>
  <c r="L45" i="2"/>
  <c r="L390" i="2"/>
  <c r="L332" i="2"/>
  <c r="L371" i="2"/>
  <c r="L267" i="2"/>
  <c r="L461" i="2"/>
  <c r="L462" i="2" s="1"/>
  <c r="L568" i="2"/>
  <c r="L231" i="2"/>
  <c r="L481" i="2"/>
  <c r="L480" i="2"/>
  <c r="L308" i="2"/>
  <c r="L78" i="2"/>
  <c r="L399" i="2"/>
  <c r="L291" i="2"/>
  <c r="L20" i="2"/>
  <c r="L406" i="2"/>
  <c r="L37" i="2"/>
  <c r="L341" i="2"/>
  <c r="L472" i="2"/>
  <c r="L593" i="2"/>
  <c r="L447" i="2"/>
  <c r="L11" i="2"/>
  <c r="L349" i="2"/>
  <c r="L498" i="2"/>
  <c r="L167" i="2"/>
  <c r="L632" i="2"/>
  <c r="H481" i="2"/>
  <c r="P669" i="6" l="1"/>
  <c r="Q669" i="6" s="1"/>
  <c r="O670" i="6"/>
  <c r="P670" i="6" s="1"/>
  <c r="Q670" i="6" s="1"/>
  <c r="A684" i="4"/>
  <c r="A685" i="4"/>
  <c r="N681" i="4"/>
  <c r="O681" i="4" s="1"/>
  <c r="M682" i="4"/>
  <c r="N652" i="4"/>
  <c r="O652" i="4" s="1"/>
  <c r="M653" i="4"/>
  <c r="M628" i="4"/>
  <c r="N627" i="4"/>
  <c r="O627" i="4" s="1"/>
  <c r="M591" i="4"/>
  <c r="N590" i="4"/>
  <c r="O590" i="4" s="1"/>
  <c r="M249" i="4"/>
  <c r="N249" i="4" s="1"/>
  <c r="O249" i="4" s="1"/>
  <c r="N248" i="4"/>
  <c r="O248" i="4" s="1"/>
  <c r="M105" i="4"/>
  <c r="N104" i="4"/>
  <c r="O104" i="4" s="1"/>
  <c r="M164" i="4"/>
  <c r="N163" i="4"/>
  <c r="O163" i="4" s="1"/>
  <c r="M658" i="4"/>
  <c r="N658" i="4" s="1"/>
  <c r="O658" i="4" s="1"/>
  <c r="N657" i="4"/>
  <c r="O657" i="4" s="1"/>
  <c r="M687" i="4"/>
  <c r="N686" i="4"/>
  <c r="O686" i="4" s="1"/>
  <c r="M331" i="4"/>
  <c r="N331" i="4" s="1"/>
  <c r="O331" i="4" s="1"/>
  <c r="N330" i="4"/>
  <c r="O330" i="4" s="1"/>
  <c r="M457" i="4"/>
  <c r="N456" i="4"/>
  <c r="O456" i="4" s="1"/>
  <c r="M219" i="4"/>
  <c r="N218" i="4"/>
  <c r="O218" i="4" s="1"/>
  <c r="M118" i="4"/>
  <c r="N117" i="4"/>
  <c r="O117" i="4" s="1"/>
  <c r="M542" i="4"/>
  <c r="N542" i="4" s="1"/>
  <c r="O542" i="4" s="1"/>
  <c r="N541" i="4"/>
  <c r="O541" i="4" s="1"/>
  <c r="M190" i="4"/>
  <c r="N189" i="4"/>
  <c r="O189" i="4" s="1"/>
  <c r="M516" i="4"/>
  <c r="N515" i="4"/>
  <c r="O515" i="4" s="1"/>
  <c r="M277" i="4"/>
  <c r="N276" i="4"/>
  <c r="O276" i="4" s="1"/>
  <c r="M416" i="4"/>
  <c r="N415" i="4"/>
  <c r="O415" i="4" s="1"/>
  <c r="M360" i="4"/>
  <c r="N360" i="4" s="1"/>
  <c r="O360" i="4" s="1"/>
  <c r="N359" i="4"/>
  <c r="O359" i="4" s="1"/>
  <c r="M178" i="4"/>
  <c r="N177" i="4"/>
  <c r="O177" i="4" s="1"/>
  <c r="M578" i="4"/>
  <c r="N577" i="4"/>
  <c r="O577" i="4" s="1"/>
  <c r="M470" i="4"/>
  <c r="N469" i="4"/>
  <c r="O469" i="4" s="1"/>
  <c r="M13" i="4"/>
  <c r="N13" i="4" s="1"/>
  <c r="O13" i="4" s="1"/>
  <c r="N12" i="4"/>
  <c r="O12" i="4" s="1"/>
  <c r="M54" i="4"/>
  <c r="N53" i="4"/>
  <c r="O53" i="4" s="1"/>
  <c r="M428" i="4"/>
  <c r="N427" i="4"/>
  <c r="O427" i="4" s="1"/>
  <c r="M290" i="4"/>
  <c r="N290" i="4" s="1"/>
  <c r="O290" i="4" s="1"/>
  <c r="N289" i="4"/>
  <c r="O289" i="4" s="1"/>
  <c r="M319" i="4"/>
  <c r="N319" i="4" s="1"/>
  <c r="O319" i="4" s="1"/>
  <c r="N318" i="4"/>
  <c r="O318" i="4" s="1"/>
  <c r="M529" i="4"/>
  <c r="N528" i="4"/>
  <c r="O528" i="4" s="1"/>
  <c r="M67" i="4"/>
  <c r="N66" i="4"/>
  <c r="O66" i="4" s="1"/>
  <c r="L168" i="2"/>
  <c r="L379" i="2"/>
  <c r="L380" i="2" s="1"/>
  <c r="L194" i="2"/>
  <c r="L12" i="2"/>
  <c r="L333" i="2"/>
  <c r="L544" i="2"/>
  <c r="L552" i="2"/>
  <c r="L490" i="2"/>
  <c r="L138" i="2"/>
  <c r="L619" i="2"/>
  <c r="L519" i="2"/>
  <c r="L473" i="2"/>
  <c r="L155" i="2"/>
  <c r="L342" i="2"/>
  <c r="L79" i="2"/>
  <c r="L421" i="2"/>
  <c r="L71" i="2"/>
  <c r="L507" i="2"/>
  <c r="L508" i="2" s="1"/>
  <c r="L301" i="2"/>
  <c r="L29" i="2"/>
  <c r="L391" i="2"/>
  <c r="L210" i="2"/>
  <c r="L96" i="2"/>
  <c r="L239" i="2"/>
  <c r="L240" i="2" s="1"/>
  <c r="L463" i="2"/>
  <c r="L121" i="2"/>
  <c r="L499" i="2"/>
  <c r="L268" i="2"/>
  <c r="L269" i="2" s="1"/>
  <c r="L147" i="2"/>
  <c r="L223" i="2"/>
  <c r="L350" i="2"/>
  <c r="L351" i="2" s="1"/>
  <c r="L38" i="2"/>
  <c r="L309" i="2"/>
  <c r="L310" i="2" s="1"/>
  <c r="L585" i="2"/>
  <c r="L88" i="2"/>
  <c r="L407" i="2"/>
  <c r="L408" i="2" s="1"/>
  <c r="L633" i="2"/>
  <c r="L594" i="2"/>
  <c r="L292" i="2"/>
  <c r="L602" i="2"/>
  <c r="L431" i="2"/>
  <c r="L323" i="2"/>
  <c r="L448" i="2"/>
  <c r="L21" i="2"/>
  <c r="L569" i="2"/>
  <c r="L46" i="2"/>
  <c r="L362" i="2"/>
  <c r="L611" i="2"/>
  <c r="L654" i="2"/>
  <c r="L251" i="2"/>
  <c r="L561" i="2"/>
  <c r="L535" i="2"/>
  <c r="N682" i="4" l="1"/>
  <c r="O682" i="4" s="1"/>
  <c r="M683" i="4"/>
  <c r="M685" i="4" s="1"/>
  <c r="N685" i="4" s="1"/>
  <c r="O685" i="4" s="1"/>
  <c r="N653" i="4"/>
  <c r="O653" i="4" s="1"/>
  <c r="M654" i="4"/>
  <c r="M629" i="4"/>
  <c r="N628" i="4"/>
  <c r="O628" i="4" s="1"/>
  <c r="M579" i="4"/>
  <c r="N578" i="4"/>
  <c r="O578" i="4" s="1"/>
  <c r="M179" i="4"/>
  <c r="N179" i="4" s="1"/>
  <c r="O179" i="4" s="1"/>
  <c r="N178" i="4"/>
  <c r="O178" i="4" s="1"/>
  <c r="M191" i="4"/>
  <c r="N191" i="4" s="1"/>
  <c r="O191" i="4" s="1"/>
  <c r="N190" i="4"/>
  <c r="O190" i="4" s="1"/>
  <c r="M55" i="4"/>
  <c r="N54" i="4"/>
  <c r="O54" i="4" s="1"/>
  <c r="M417" i="4"/>
  <c r="N417" i="4" s="1"/>
  <c r="O417" i="4" s="1"/>
  <c r="N416" i="4"/>
  <c r="O416" i="4" s="1"/>
  <c r="M220" i="4"/>
  <c r="N219" i="4"/>
  <c r="O219" i="4" s="1"/>
  <c r="M106" i="4"/>
  <c r="N105" i="4"/>
  <c r="O105" i="4" s="1"/>
  <c r="M119" i="4"/>
  <c r="N119" i="4" s="1"/>
  <c r="O119" i="4" s="1"/>
  <c r="N118" i="4"/>
  <c r="O118" i="4" s="1"/>
  <c r="M688" i="4"/>
  <c r="N688" i="4" s="1"/>
  <c r="O688" i="4" s="1"/>
  <c r="N687" i="4"/>
  <c r="O687" i="4" s="1"/>
  <c r="M68" i="4"/>
  <c r="N68" i="4" s="1"/>
  <c r="O68" i="4" s="1"/>
  <c r="N67" i="4"/>
  <c r="O67" i="4" s="1"/>
  <c r="M278" i="4"/>
  <c r="N278" i="4" s="1"/>
  <c r="O278" i="4" s="1"/>
  <c r="N277" i="4"/>
  <c r="O277" i="4" s="1"/>
  <c r="M458" i="4"/>
  <c r="N457" i="4"/>
  <c r="O457" i="4" s="1"/>
  <c r="M429" i="4"/>
  <c r="N429" i="4" s="1"/>
  <c r="O429" i="4" s="1"/>
  <c r="N428" i="4"/>
  <c r="O428" i="4" s="1"/>
  <c r="M165" i="4"/>
  <c r="N164" i="4"/>
  <c r="O164" i="4" s="1"/>
  <c r="M530" i="4"/>
  <c r="N530" i="4" s="1"/>
  <c r="O530" i="4" s="1"/>
  <c r="N529" i="4"/>
  <c r="O529" i="4" s="1"/>
  <c r="M471" i="4"/>
  <c r="N471" i="4" s="1"/>
  <c r="O471" i="4" s="1"/>
  <c r="N470" i="4"/>
  <c r="O470" i="4" s="1"/>
  <c r="M517" i="4"/>
  <c r="N517" i="4" s="1"/>
  <c r="O517" i="4" s="1"/>
  <c r="N516" i="4"/>
  <c r="O516" i="4" s="1"/>
  <c r="M592" i="4"/>
  <c r="N592" i="4" s="1"/>
  <c r="O592" i="4" s="1"/>
  <c r="N591" i="4"/>
  <c r="O591" i="4" s="1"/>
  <c r="L241" i="2"/>
  <c r="L536" i="2"/>
  <c r="L47" i="2"/>
  <c r="L48" i="2" s="1"/>
  <c r="L586" i="2"/>
  <c r="L270" i="2"/>
  <c r="L211" i="2"/>
  <c r="L212" i="2" s="1"/>
  <c r="L422" i="2"/>
  <c r="L620" i="2"/>
  <c r="L621" i="2" s="1"/>
  <c r="L13" i="2"/>
  <c r="L97" i="2"/>
  <c r="L98" i="2" s="1"/>
  <c r="L570" i="2"/>
  <c r="L571" i="2" s="1"/>
  <c r="L311" i="2"/>
  <c r="L409" i="2"/>
  <c r="L432" i="2"/>
  <c r="L520" i="2"/>
  <c r="L521" i="2" s="1"/>
  <c r="L381" i="2"/>
  <c r="L324" i="2"/>
  <c r="L509" i="2"/>
  <c r="L655" i="2"/>
  <c r="L449" i="2"/>
  <c r="L450" i="2" s="1"/>
  <c r="L634" i="2"/>
  <c r="L352" i="2"/>
  <c r="L464" i="2"/>
  <c r="L156" i="2"/>
  <c r="L157" i="2" s="1"/>
  <c r="L169" i="2"/>
  <c r="L170" i="2" s="1"/>
  <c r="N683" i="4" l="1"/>
  <c r="O683" i="4" s="1"/>
  <c r="M684" i="4"/>
  <c r="N684" i="4" s="1"/>
  <c r="O684" i="4" s="1"/>
  <c r="M655" i="4"/>
  <c r="N655" i="4" s="1"/>
  <c r="O655" i="4" s="1"/>
  <c r="N654" i="4"/>
  <c r="O654" i="4" s="1"/>
  <c r="N629" i="4"/>
  <c r="O629" i="4" s="1"/>
  <c r="M630" i="4"/>
  <c r="N630" i="4" s="1"/>
  <c r="O630" i="4" s="1"/>
  <c r="M221" i="4"/>
  <c r="N221" i="4" s="1"/>
  <c r="O221" i="4" s="1"/>
  <c r="N220" i="4"/>
  <c r="O220" i="4" s="1"/>
  <c r="M56" i="4"/>
  <c r="N56" i="4" s="1"/>
  <c r="O56" i="4" s="1"/>
  <c r="N55" i="4"/>
  <c r="O55" i="4" s="1"/>
  <c r="M166" i="4"/>
  <c r="N166" i="4" s="1"/>
  <c r="O166" i="4" s="1"/>
  <c r="N165" i="4"/>
  <c r="O165" i="4" s="1"/>
  <c r="M459" i="4"/>
  <c r="N459" i="4" s="1"/>
  <c r="O459" i="4" s="1"/>
  <c r="N458" i="4"/>
  <c r="O458" i="4" s="1"/>
  <c r="M107" i="4"/>
  <c r="N107" i="4" s="1"/>
  <c r="O107" i="4" s="1"/>
  <c r="N106" i="4"/>
  <c r="O106" i="4" s="1"/>
  <c r="M580" i="4"/>
  <c r="N580" i="4" s="1"/>
  <c r="O580" i="4" s="1"/>
  <c r="N579" i="4"/>
  <c r="O579" i="4" s="1"/>
  <c r="L325" i="2"/>
  <c r="L635" i="2"/>
  <c r="L522" i="2"/>
  <c r="L49" i="2"/>
  <c r="L158" i="2"/>
  <c r="L510" i="2"/>
  <c r="L312" i="2"/>
  <c r="L353" i="2"/>
  <c r="L382" i="2"/>
  <c r="L99" i="2"/>
  <c r="L572" i="2"/>
  <c r="L451" i="2"/>
  <c r="L622" i="2"/>
  <c r="L213" i="2"/>
  <c r="L465" i="2"/>
  <c r="L271" i="2"/>
  <c r="L171" i="2"/>
  <c r="L656" i="2"/>
  <c r="L410" i="2"/>
  <c r="L423" i="2"/>
  <c r="L242" i="2"/>
  <c r="L511" i="2" l="1"/>
  <c r="L159" i="2"/>
  <c r="L100" i="2"/>
  <c r="L50" i="2"/>
  <c r="L313" i="2"/>
  <c r="L452" i="2"/>
  <c r="L573" i="2"/>
  <c r="L272" i="2"/>
  <c r="L383" i="2"/>
  <c r="L523" i="2"/>
  <c r="L411" i="2"/>
  <c r="L172" i="2"/>
  <c r="L243" i="2"/>
  <c r="L214" i="2"/>
  <c r="L354" i="2"/>
  <c r="L636" i="2"/>
  <c r="L623" i="2"/>
  <c r="L657" i="2"/>
  <c r="L173" i="2" l="1"/>
  <c r="L524" i="2"/>
  <c r="L101" i="2"/>
  <c r="L215" i="2"/>
  <c r="L160" i="2"/>
  <c r="L624" i="2"/>
  <c r="L51" i="2"/>
  <c r="L453" i="2"/>
  <c r="L574" i="2"/>
</calcChain>
</file>

<file path=xl/sharedStrings.xml><?xml version="1.0" encoding="utf-8"?>
<sst xmlns="http://schemas.openxmlformats.org/spreadsheetml/2006/main" count="9670" uniqueCount="345">
  <si>
    <t>malzeme</t>
  </si>
  <si>
    <t>D kodu</t>
  </si>
  <si>
    <t>Артикул</t>
  </si>
  <si>
    <t>Номенклатура</t>
  </si>
  <si>
    <t>Цена,тг</t>
  </si>
  <si>
    <t>СУММ.</t>
  </si>
  <si>
    <t>Кол- во</t>
  </si>
  <si>
    <t>Ед.изм</t>
  </si>
  <si>
    <t>завод из готовитель</t>
  </si>
  <si>
    <t>комплект</t>
  </si>
  <si>
    <t>TEKSAN</t>
  </si>
  <si>
    <t>korpus</t>
  </si>
  <si>
    <t xml:space="preserve"> ШТ. </t>
  </si>
  <si>
    <t>teksan f</t>
  </si>
  <si>
    <t>chint</t>
  </si>
  <si>
    <t>sayac</t>
  </si>
  <si>
    <t>saiman</t>
  </si>
  <si>
    <t>oto</t>
  </si>
  <si>
    <t>dif</t>
  </si>
  <si>
    <t>монтажный материал</t>
  </si>
  <si>
    <t>монтажная работа</t>
  </si>
  <si>
    <t>ВРУ1-1-1</t>
  </si>
  <si>
    <t>Блок1</t>
  </si>
  <si>
    <t>tt</t>
  </si>
  <si>
    <t>Трансформатор тока Т-66 250/5А</t>
  </si>
  <si>
    <t>pys</t>
  </si>
  <si>
    <t>rubilnik</t>
  </si>
  <si>
    <t>tts</t>
  </si>
  <si>
    <t>cnc</t>
  </si>
  <si>
    <t xml:space="preserve">Авт. выкл. YCB6-63H 1P 6А 4.5kA х-ка C </t>
  </si>
  <si>
    <t>kondencator</t>
  </si>
  <si>
    <t>С1-С3</t>
  </si>
  <si>
    <t>РУ-1-1</t>
  </si>
  <si>
    <t>Авт. выкл. YCM1-250L/3Р 125A 25кА</t>
  </si>
  <si>
    <t>Авт. выкл. YCM1-250L/3Р 160A 25кА</t>
  </si>
  <si>
    <t>Авт. выкл. YCM1-125L/3Р 40A 25кА</t>
  </si>
  <si>
    <t>РУ-1-2</t>
  </si>
  <si>
    <t>Авт. выкл. YCM1-125L/3Р 100A 25кА</t>
  </si>
  <si>
    <t>Авт. выкл. YCM1-125L/3Р 80A 25кА</t>
  </si>
  <si>
    <t>ЩУР.МОП1</t>
  </si>
  <si>
    <t>719-15425</t>
  </si>
  <si>
    <t>Мет.Корпус ЩМП-2 (500x400x220) IP54 TEKSAN</t>
  </si>
  <si>
    <t>Авт. выкл. YCM1-125L/3Р 32A 25кА</t>
  </si>
  <si>
    <t>Авт. выкл. YCM1-63L/3Р 16A 15кА</t>
  </si>
  <si>
    <t>ats</t>
  </si>
  <si>
    <t>Авт. выкл. YCM1-125L/3Р 25A 25кА</t>
  </si>
  <si>
    <t xml:space="preserve">Авт. выкл. YCB7-63N 3P 40A 6кА х-ка C </t>
  </si>
  <si>
    <t>Диф. авт. выкл. YCB7NLE 2P C6 30mA тип AC 6kA</t>
  </si>
  <si>
    <t xml:space="preserve">Авт. выкл. YCB7-63N 3P 4A 6кА х-ка C </t>
  </si>
  <si>
    <t>indicator</t>
  </si>
  <si>
    <t xml:space="preserve">Индикатор AD22-22DS/4 зеленый АС230В </t>
  </si>
  <si>
    <t xml:space="preserve">Индикатор AD22-22DS/4 желтый АС230В </t>
  </si>
  <si>
    <t>ВРУ1-2</t>
  </si>
  <si>
    <t>Блок2</t>
  </si>
  <si>
    <t>РУ-1-2(Блок2)</t>
  </si>
  <si>
    <t>РУ-2-2</t>
  </si>
  <si>
    <t>ЩУР.МОП1-2</t>
  </si>
  <si>
    <t>ВРУ1-3</t>
  </si>
  <si>
    <t>Блок3</t>
  </si>
  <si>
    <t>РУ-1-3(Блок3)</t>
  </si>
  <si>
    <t>РУ-2-3</t>
  </si>
  <si>
    <t>126511</t>
  </si>
  <si>
    <t>126510</t>
  </si>
  <si>
    <t>ЩУР.МОП1-3</t>
  </si>
  <si>
    <t>ЩУР.МОП2-3</t>
  </si>
  <si>
    <t>ВРУ1-4</t>
  </si>
  <si>
    <t>Блок4</t>
  </si>
  <si>
    <t>РУ-1-4</t>
  </si>
  <si>
    <t>Авт. выкл. YCM1-250L/3Р 200A 25кА</t>
  </si>
  <si>
    <t>ЩУР.МОП1-4</t>
  </si>
  <si>
    <t>РУ1-5</t>
  </si>
  <si>
    <t>Блок5</t>
  </si>
  <si>
    <t>ЩУР.МОП1-5</t>
  </si>
  <si>
    <t>РУ1-6</t>
  </si>
  <si>
    <t>Блок6</t>
  </si>
  <si>
    <t>ЩУР.МОП1-6</t>
  </si>
  <si>
    <t>ВРУ1-7</t>
  </si>
  <si>
    <t>Блок7</t>
  </si>
  <si>
    <t>РУ-1-7</t>
  </si>
  <si>
    <t>ЩУР.МОП1-7</t>
  </si>
  <si>
    <t>ВРУ1-8</t>
  </si>
  <si>
    <t>Блок8</t>
  </si>
  <si>
    <t>РУ-1-8</t>
  </si>
  <si>
    <t>ЩУР.МОП1-8</t>
  </si>
  <si>
    <t>РУ1-9</t>
  </si>
  <si>
    <t>Блок9</t>
  </si>
  <si>
    <t>ЩУР.МОП1-9</t>
  </si>
  <si>
    <t>РУ1-10</t>
  </si>
  <si>
    <t>Блок10</t>
  </si>
  <si>
    <t>ЩУР.МОП1-10</t>
  </si>
  <si>
    <t>ВРУ1-11</t>
  </si>
  <si>
    <t>Блок11</t>
  </si>
  <si>
    <t>РУ-1-11</t>
  </si>
  <si>
    <t>ЩУР.МОП1-11</t>
  </si>
  <si>
    <t>ВРУ1-12</t>
  </si>
  <si>
    <t>Блок12</t>
  </si>
  <si>
    <t>РУ-1-12</t>
  </si>
  <si>
    <t>РУ-2-12</t>
  </si>
  <si>
    <t>монтажная работа</t>
  </si>
  <si>
    <t>ЩУР.МОП1-12</t>
  </si>
  <si>
    <t>ЩУР.МОП2-12</t>
  </si>
  <si>
    <t>ВРУ1-13</t>
  </si>
  <si>
    <t>Блок13</t>
  </si>
  <si>
    <t>РУ-1-13</t>
  </si>
  <si>
    <t>РУ-2-13</t>
  </si>
  <si>
    <t>ЩУР.МОП1-13</t>
  </si>
  <si>
    <t>ВРУ1-14</t>
  </si>
  <si>
    <t>Блок14</t>
  </si>
  <si>
    <t>РУ-1-14</t>
  </si>
  <si>
    <t>РУ-2-14</t>
  </si>
  <si>
    <t>ЩУР.МОП1-14</t>
  </si>
  <si>
    <t>Блок15</t>
  </si>
  <si>
    <t>puskatel</t>
  </si>
  <si>
    <t>Авт. выкл. YCM1-125L/3Р 50A 25кА</t>
  </si>
  <si>
    <t>dvigatel</t>
  </si>
  <si>
    <t>Автомат защиты двигателя YCP5 25-ME07 1.6-2.5A</t>
  </si>
  <si>
    <t>Диф. авт. выкл. YCB7NLE 2P C25 30mA тип AC 6kA</t>
  </si>
  <si>
    <t xml:space="preserve">Авт. выкл. YCB7-63N 1P 2A 6кА х-ка C </t>
  </si>
  <si>
    <t>ЩР15</t>
  </si>
  <si>
    <t>719-15445</t>
  </si>
  <si>
    <t>Мет.Корпус ЩМП-5 (1000x650x300) IP31 TEKSAN</t>
  </si>
  <si>
    <t>Авт. выкл. YCM1-125L/3Р 63A 25кА</t>
  </si>
  <si>
    <t xml:space="preserve">Авт. выкл. YCB6-63H 3P 20А 4.5kA х-ка D </t>
  </si>
  <si>
    <t xml:space="preserve">Авт. выкл. YCB7-63N 3P 10A 6кА х-ка C </t>
  </si>
  <si>
    <t xml:space="preserve">Авт. выкл. YCB7-63N 3P 16A 6кА х-ка C </t>
  </si>
  <si>
    <t>719-15430</t>
  </si>
  <si>
    <t>buson</t>
  </si>
  <si>
    <t>buson yuva</t>
  </si>
  <si>
    <t>521189</t>
  </si>
  <si>
    <t>Плавкая вставка предохранителя RT36-1-250, габарит 1, 250А</t>
  </si>
  <si>
    <t>521367</t>
  </si>
  <si>
    <t>Держатель плавкой вставки RT36-1-250, габарит 1, 250А</t>
  </si>
  <si>
    <t>РЩ1-1 (АВР-Б-40-2-1)</t>
  </si>
  <si>
    <t>РЩ1-2 (АВР-Б-40-2-1)</t>
  </si>
  <si>
    <t>РЩ1-3 (АВР-Б-40-2-1)</t>
  </si>
  <si>
    <t>РЩ2-3 (АВР-Б-40-2-1)</t>
  </si>
  <si>
    <t>РЩ1-4 (АВР-Б-40-2-1)</t>
  </si>
  <si>
    <t>РЩ1-5 (АВР-Б-40-2-1)</t>
  </si>
  <si>
    <t>РЩ1-6 (АВР-Б-40-2-1)</t>
  </si>
  <si>
    <t>РЩ1-7 (АВР-Б-40-2-1)</t>
  </si>
  <si>
    <t>РЩ1-8 (АВР-Б-40-2-1)</t>
  </si>
  <si>
    <t>РЩ1-9 (АВР-Б-40-2-1)</t>
  </si>
  <si>
    <t>РЩ1-10 (АВР-Б-40-2-1)</t>
  </si>
  <si>
    <t>РЩ1-11 (АВР-Б-40-2-1)</t>
  </si>
  <si>
    <t>РЩ1-12 (АВР-Б-40-2-1)</t>
  </si>
  <si>
    <t>РЩ2-12 (АВР-Б-40-2-1)</t>
  </si>
  <si>
    <t>РЩ1-13 (АВР-Б-40-2-1)</t>
  </si>
  <si>
    <t>РЩ1-14 (АВР-Б-40-2-1)</t>
  </si>
  <si>
    <t xml:space="preserve">Авт. выкл. YCB6-63H 3P 25А 4.5kA х-ка C </t>
  </si>
  <si>
    <t xml:space="preserve">Авт. выкл. YCB6-63H 3P 32А 4.5kA х-ка C </t>
  </si>
  <si>
    <t xml:space="preserve">Авт. выкл. YCB6-63H 3P 16А 4.5kA х-ка C </t>
  </si>
  <si>
    <t xml:space="preserve">Авт. выкл. YCB6-63H 3P 20А 4.5kA х-ка C </t>
  </si>
  <si>
    <t>ЩРп c</t>
  </si>
  <si>
    <t>ЩР-(АВР-Б-63-2-1)</t>
  </si>
  <si>
    <t>ЩР15-(АВР-Б-80-2-1)</t>
  </si>
  <si>
    <t>ЩЭ-3</t>
  </si>
  <si>
    <t>ЩЭ-4</t>
  </si>
  <si>
    <t>ЩЭ-3 1100*960</t>
  </si>
  <si>
    <t>ЩЭ-4 1100*960</t>
  </si>
  <si>
    <t>ЩЭ-6</t>
  </si>
  <si>
    <t>ЩЭ-6 1100*960</t>
  </si>
  <si>
    <t>ЩЭ-7</t>
  </si>
  <si>
    <t>171631</t>
  </si>
  <si>
    <t>Устройство автоматического ввода резерва NXZB-63H/4C 40A D40 (R)</t>
  </si>
  <si>
    <t>256757</t>
  </si>
  <si>
    <t>Устройство автоматического ввода резерва NXZM-63S/3B 63A (R)</t>
  </si>
  <si>
    <t>256778</t>
  </si>
  <si>
    <t>Устройство автоматического ввода резерва NXZM-125S/3B 80A (R)</t>
  </si>
  <si>
    <t>719-15437</t>
  </si>
  <si>
    <t>Мет.Корпус Щит (1600x600x400+10см база)</t>
  </si>
  <si>
    <t>719-15614</t>
  </si>
  <si>
    <t>Мет. Корпус (Пустой) (1700x600x450)+10CM База IP31</t>
  </si>
  <si>
    <t>719-15043</t>
  </si>
  <si>
    <t>Мет. Щит ВРУ 1700х800х450+10CM База</t>
  </si>
  <si>
    <t xml:space="preserve">Авт. выкл. YCB6-63H 2P 40А 4.5kA х-ка C </t>
  </si>
  <si>
    <t>495089</t>
  </si>
  <si>
    <t>Пускатель NS2-80B 56A-80A (R)</t>
  </si>
  <si>
    <t>270100161_</t>
  </si>
  <si>
    <t xml:space="preserve">                    Рубильник ВР-32-37  В71250-400А на 2 направления (+6камер) UNIT (1/6)</t>
  </si>
  <si>
    <t>IB</t>
  </si>
  <si>
    <t>ДАЛА СА4-Э720 R TX OP P П RS1 Д W (3x220/380V 5-100A)</t>
  </si>
  <si>
    <t>BZ</t>
  </si>
  <si>
    <t>Орман СО-Э711 R TX P IP П RS  LoRaWAN (5-60А 220В)</t>
  </si>
  <si>
    <t>malz</t>
  </si>
  <si>
    <t>topl malzeme</t>
  </si>
  <si>
    <t>malz rev</t>
  </si>
  <si>
    <t>topl malz. Rev</t>
  </si>
  <si>
    <t>topam 2,3</t>
  </si>
  <si>
    <t>ykr yvr</t>
  </si>
  <si>
    <t>611-36106</t>
  </si>
  <si>
    <t>4VTB-1C06 Автомат 1P 6A  4,5KA  B-C  (VIKO)120шт</t>
  </si>
  <si>
    <t>611-361041</t>
  </si>
  <si>
    <t>6VTB-1C02  Автомат 1P 2A  6KA VIKO</t>
  </si>
  <si>
    <t>613-36328</t>
  </si>
  <si>
    <t>6VTB-3C25  Автомат 3P 25A  6KA VIKO</t>
  </si>
  <si>
    <t>613-36334</t>
  </si>
  <si>
    <t>6VTB-3C32  Автомат 3P 32A (VIKO)</t>
  </si>
  <si>
    <t>613-36313</t>
  </si>
  <si>
    <t>6VTB-3C10  Автомат 3P 10A  6KA VIKO 40</t>
  </si>
  <si>
    <t>613-36318</t>
  </si>
  <si>
    <t>6VTB-3C16  Автомат 3P 16A  6KA (VIKO)40</t>
  </si>
  <si>
    <t>613-36322</t>
  </si>
  <si>
    <t>6VTB-3C20  Автомат 3P 20A  6KA VIKO</t>
  </si>
  <si>
    <t>615-36216</t>
  </si>
  <si>
    <t>Авт. Выкл. VMF1  40А 3Р 25кA SN2 (VIKO)20</t>
  </si>
  <si>
    <t>613-36307</t>
  </si>
  <si>
    <t>6VTB-3C04  Автомат 3P 4A  6KA VIKO</t>
  </si>
  <si>
    <t>viko</t>
  </si>
  <si>
    <t>teksan m</t>
  </si>
  <si>
    <t>616-36550</t>
  </si>
  <si>
    <t>6VRBE-2C2530-AC ELEKTRONİK RCBO 6kA 25A 2P  AC TİP 60</t>
  </si>
  <si>
    <t>615-36232</t>
  </si>
  <si>
    <t>Авт. Выкл. VMF2-100-SN2  3x100A 35кAVIKO</t>
  </si>
  <si>
    <t>614-36215</t>
  </si>
  <si>
    <t>10VTB-3С25  Автомат 3P  25A  10KA  B-C   (VIKO)</t>
  </si>
  <si>
    <t>614-36220</t>
  </si>
  <si>
    <t>10VTB-3С32  Автомат 3P  32A  10KA  B-C   (VIKO)</t>
  </si>
  <si>
    <t>614-36225</t>
  </si>
  <si>
    <t>10VTB-3С40  Автомат 3P  40A  10KA  B-C   (VIKO)</t>
  </si>
  <si>
    <t>615-36210</t>
  </si>
  <si>
    <t>Авт. Выкл. VMF1  50А 3Р 20кA (VIKO)12шт</t>
  </si>
  <si>
    <t>615-36215</t>
  </si>
  <si>
    <t>Авт. Выкл. VMF1  63А 3Р 20кA  (VIKO)12шт</t>
  </si>
  <si>
    <t>615-36220</t>
  </si>
  <si>
    <t>Авт. Выкл. VMF2  80А 3Р 35кA  (VIKO) 16шт</t>
  </si>
  <si>
    <t>615-36228</t>
  </si>
  <si>
    <t>Авт. Выкл. VMF2  125А 3Р 35кA SN2 (VIKО) 16шт</t>
  </si>
  <si>
    <t>615-36233</t>
  </si>
  <si>
    <t>Авт. Выкл. VMF2-160-SN2  3x160A 35кAVIKO</t>
  </si>
  <si>
    <t>131367</t>
  </si>
  <si>
    <t>Авт. выкл. NXM-250S/3Р 200A 36кА (R)</t>
  </si>
  <si>
    <t>614-36205</t>
  </si>
  <si>
    <t>10VTB-3С16  Автомат 3P  16A  10KA  B-C   (VIKO)</t>
  </si>
  <si>
    <t>515423</t>
  </si>
  <si>
    <t>Диф. авт. выкл. NXBLE-63YH 1P+N C6 30mA тип A, 6kA (R)</t>
  </si>
  <si>
    <t>495078</t>
  </si>
  <si>
    <t>Пускатель NS2-25 1.6-2.5A (R)</t>
  </si>
  <si>
    <t>260603 malz rev</t>
  </si>
  <si>
    <t>260603 topl malz</t>
  </si>
  <si>
    <t>260603 2,145</t>
  </si>
  <si>
    <t>toplam fiyat 2,145</t>
  </si>
  <si>
    <t>toplam pano adedi</t>
  </si>
  <si>
    <t>toplam salt adedi</t>
  </si>
  <si>
    <t>171632</t>
  </si>
  <si>
    <t>Устройство автоматического ввода резерва NXZB-63H/4C 50A D50 (R)</t>
  </si>
  <si>
    <t>495088</t>
  </si>
  <si>
    <t>Пускатель NS2-80B 40A-63A (R)</t>
  </si>
  <si>
    <t>719-15567</t>
  </si>
  <si>
    <t>ЩМП-18.8.4.-0 Y2 IP54 (1800х800х400мм)</t>
  </si>
  <si>
    <t>voltmetr</t>
  </si>
  <si>
    <t>130301016_</t>
  </si>
  <si>
    <t xml:space="preserve">                Вольтметр Э47 500В кл. точн. 1,5 72х72 IEK (1/100)</t>
  </si>
  <si>
    <t>voltmetr anahtar</t>
  </si>
  <si>
    <t>pk-1-64-10</t>
  </si>
  <si>
    <t>Переключатель кулачковый ПК-1-64 10А для вольтметра EKF PROxima</t>
  </si>
  <si>
    <t>kontaktor</t>
  </si>
  <si>
    <t>dob kont</t>
  </si>
  <si>
    <t>495968</t>
  </si>
  <si>
    <t>Доп.контакты поперечный NS2-AE11 (R)</t>
  </si>
  <si>
    <t>620-36009</t>
  </si>
  <si>
    <t>VTC-09/10/S AC Контактор   9A  1NO  230V (VIKO)50ш</t>
  </si>
  <si>
    <t>618-36051</t>
  </si>
  <si>
    <t>VTCA-AU/11  1NO+1NC YARD. KONT.USTE  MONTE(VIKO)</t>
  </si>
  <si>
    <t>knopka 2li</t>
  </si>
  <si>
    <t>574114</t>
  </si>
  <si>
    <t>Кнопка управления Двойная кнопка "Пуск-Стоп" NP2-EL8325 1НО+1НЗ AC230В IP40 (R)</t>
  </si>
  <si>
    <t>574816</t>
  </si>
  <si>
    <t>Кнопка управления NP2-EA31 без подсветки зеленая 1НО IP40</t>
  </si>
  <si>
    <t xml:space="preserve">knopka </t>
  </si>
  <si>
    <t>priz</t>
  </si>
  <si>
    <t>775001</t>
  </si>
  <si>
    <t>Розетка AC30-111 с заземляющим контактом на DIN-рейку (R)</t>
  </si>
  <si>
    <t>rakor</t>
  </si>
  <si>
    <t>pg25</t>
  </si>
  <si>
    <t>pg13,5</t>
  </si>
  <si>
    <t>pg29</t>
  </si>
  <si>
    <t>mandal buton3</t>
  </si>
  <si>
    <t>574849</t>
  </si>
  <si>
    <t>Переключатель NP2-BD33, 3 положения с фиксацией, 2НО IP40</t>
  </si>
  <si>
    <t>termik</t>
  </si>
  <si>
    <t>mandal buton2</t>
  </si>
  <si>
    <t>574847</t>
  </si>
  <si>
    <t>Переключатель NP2-BD21, 2 положения с фиксацией, 1НО IP40</t>
  </si>
  <si>
    <t>donb kont perekl.</t>
  </si>
  <si>
    <t>576728</t>
  </si>
  <si>
    <t>Блоки контактные NP2-BE101, 1НО</t>
  </si>
  <si>
    <t>indicator sesli</t>
  </si>
  <si>
    <t>593399</t>
  </si>
  <si>
    <t>Сигнализатор звуковой ND16-22FS Φ22 мм красный LED АС220В (R)</t>
  </si>
  <si>
    <t>620-36025</t>
  </si>
  <si>
    <t>VTC-25/10/S AC Контактор 25A  1NO  230V(VIKO)32шт</t>
  </si>
  <si>
    <t>620-36018</t>
  </si>
  <si>
    <t>VTC-18/10/S AC Контактор 18A  1NO  230V(VIKO)50шт</t>
  </si>
  <si>
    <t>mcb</t>
  </si>
  <si>
    <t>mccb</t>
  </si>
  <si>
    <t>613-36308</t>
  </si>
  <si>
    <t>4VTB-3C06  Автомат 3P 6A  4,5KA  B-C (VIKO)40шт</t>
  </si>
  <si>
    <t>IA</t>
  </si>
  <si>
    <t>ДАЛА СА4У-Э720 R TX OP П RS1 Д W  (3x220/380V 5-7,5A)</t>
  </si>
  <si>
    <t>NB</t>
  </si>
  <si>
    <t>Дала T1 СА4-Э720 (3x220/380V 5-60A)</t>
  </si>
  <si>
    <t>LM</t>
  </si>
  <si>
    <t>Дала CA4-Э720 R Т1 (3x220/380V 10-100A)</t>
  </si>
  <si>
    <t>630-36025</t>
  </si>
  <si>
    <t>VRE-32A26 Электр.тепловое реле 17-25A  AUTO (30шт)</t>
  </si>
  <si>
    <t>630-36013</t>
  </si>
  <si>
    <t>VRE-32A24 Электр.тепловое реле 9-13A  AUTO (30шт)</t>
  </si>
  <si>
    <t>ITT20-2-05-0250</t>
  </si>
  <si>
    <t xml:space="preserve">             Трансформатор тока ТТИ-30  250/5А 5ВА 0,5 IEK E-PRO</t>
  </si>
  <si>
    <t>BQ</t>
  </si>
  <si>
    <t>Орман СО-Э711 R TX OP P П RS Z Д  (5-60А 220В)</t>
  </si>
  <si>
    <t>515407</t>
  </si>
  <si>
    <t>Диф. авт. выкл. NXBLE-63YH 1P+N C40 300mA тип AC, 6kA (R)</t>
  </si>
  <si>
    <t>296793</t>
  </si>
  <si>
    <t>Авт. выкл. NXB-63S 2P 50А 4.5kA х-ка C (R)</t>
  </si>
  <si>
    <t>710-15</t>
  </si>
  <si>
    <t>ЩЭ-7 1200*960*150</t>
  </si>
  <si>
    <t>ЩЭ-6 1100*960*150</t>
  </si>
  <si>
    <t>ЩЭ-4 1100*960*150</t>
  </si>
  <si>
    <t>719-15</t>
  </si>
  <si>
    <t>ЩЭ-3 1100*960*150</t>
  </si>
  <si>
    <t>degisti</t>
  </si>
  <si>
    <t>613-363640</t>
  </si>
  <si>
    <t>6VTB-3C63  Автомат 3P 63A  6KA VIKO</t>
  </si>
  <si>
    <t>613-36366</t>
  </si>
  <si>
    <t>6VTB-3C80 Автомат 3P 3x80A  6KA  C TIPI</t>
  </si>
  <si>
    <t>616-36425</t>
  </si>
  <si>
    <t>VTR4-2530 УЗО UZO RCCB  4P 25A 30MA(VIKO) 30шт</t>
  </si>
  <si>
    <t>719-159</t>
  </si>
  <si>
    <t>Мет. ЩМП-3 (650х500х220) IP54</t>
  </si>
  <si>
    <t>611-15209</t>
  </si>
  <si>
    <t>BA47-63 Автомат  1P  16A   NEW  (240шт)   (TEKSAN)</t>
  </si>
  <si>
    <t>2 idi 1i 100 mccb oldu</t>
  </si>
  <si>
    <t>614-36300</t>
  </si>
  <si>
    <t>10VTB-3C80  Автомат 3P   80A   10kA  C   (VIKO)</t>
  </si>
  <si>
    <t>NY</t>
  </si>
  <si>
    <t>Дала TX П СА4-Э720 (3x220/380V 10-100A)</t>
  </si>
  <si>
    <t>4 tane eklendi</t>
  </si>
  <si>
    <t>РУ-1-1(Блок2)</t>
  </si>
  <si>
    <t>616-36555</t>
  </si>
  <si>
    <t>6VRBE-2C3230-AC ELEKTRONİK RCBO 6KA 2Pole 32A 30mA  AC type</t>
  </si>
  <si>
    <t>611-36132</t>
  </si>
  <si>
    <t>4VTB-1C32 Avtomat 1P 32A 4,5KA B-C (VIKO) 120sht</t>
  </si>
  <si>
    <t>613-36363</t>
  </si>
  <si>
    <t>4VTB-3C63  Автомат 3P  63A   4,5kA  C  (VIKO) 80шт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</si>
</sst>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_-;\-* #,##0_-;_-* \-??_-;_-@_-"/>
    <numFmt numFmtId="165" formatCode="_-* #,##0.00\ _X_D_R_-;\-* #,##0.00\ _X_D_R_-;_-* \-??\ _X_D_R_-;_-@_-"/>
  </numFmts>
  <fonts count="9" x14ac:knownFonts="1">
    <font>
      <sz val="11"/>
      <color rgb="FF000000"/>
      <name val="Calibri"/>
      <family val="2"/>
      <charset val="1"/>
    </font>
    <font>
      <sz val="11"/>
      <color theme="1"/>
      <name val="Calibri"/>
      <family val="2"/>
      <charset val="162"/>
    </font>
    <font>
      <sz val="11"/>
      <color theme="1"/>
      <name val="Calibri"/>
      <family val="2"/>
      <charset val="204"/>
    </font>
    <font>
      <b/>
      <sz val="10"/>
      <color theme="1"/>
      <name val="Calibri"/>
      <family val="2"/>
      <charset val="1"/>
    </font>
    <font>
      <b/>
      <sz val="9"/>
      <color theme="1"/>
      <name val="Calibri"/>
      <family val="2"/>
      <charset val="1"/>
    </font>
    <font>
      <sz val="9"/>
      <name val="Calibri"/>
      <family val="2"/>
      <charset val="204"/>
    </font>
    <font>
      <sz val="9"/>
      <name val="Tahoma"/>
      <family val="2"/>
      <charset val="204"/>
    </font>
    <font>
      <b/>
      <sz val="9"/>
      <name val="Calibri"/>
      <family val="2"/>
      <charset val="204"/>
    </font>
    <font>
      <sz val="8"/>
      <name val="Calibri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D966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CC"/>
      </patternFill>
    </fill>
    <fill>
      <patternFill patternType="solid">
        <fgColor theme="7" tint="0.79998168889431442"/>
        <bgColor rgb="FFFFFFCC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6">
    <xf numFmtId="0" fontId="0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4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3" fontId="3" fillId="3" borderId="1" xfId="0" applyNumberFormat="1" applyFont="1" applyFill="1" applyBorder="1" applyAlignment="1">
      <alignment horizontal="center" vertical="center" wrapText="1"/>
    </xf>
    <xf numFmtId="164" fontId="3" fillId="3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 wrapText="1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3" fontId="3" fillId="2" borderId="1" xfId="0" applyNumberFormat="1" applyFont="1" applyFill="1" applyBorder="1" applyAlignment="1">
      <alignment horizontal="center" vertical="center" wrapText="1"/>
    </xf>
    <xf numFmtId="164" fontId="3" fillId="2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/>
    </xf>
    <xf numFmtId="3" fontId="6" fillId="0" borderId="3" xfId="0" applyNumberFormat="1" applyFont="1" applyBorder="1" applyAlignment="1">
      <alignment horizontal="center" vertical="center" wrapText="1"/>
    </xf>
    <xf numFmtId="164" fontId="7" fillId="2" borderId="1" xfId="0" applyNumberFormat="1" applyFont="1" applyFill="1" applyBorder="1" applyAlignment="1">
      <alignment horizontal="center" vertical="center" wrapText="1"/>
    </xf>
    <xf numFmtId="3" fontId="3" fillId="4" borderId="1" xfId="0" applyNumberFormat="1" applyFont="1" applyFill="1" applyBorder="1" applyAlignment="1">
      <alignment horizontal="center" vertical="center"/>
    </xf>
    <xf numFmtId="3" fontId="0" fillId="0" borderId="0" xfId="0" applyNumberFormat="1"/>
    <xf numFmtId="0" fontId="3" fillId="3" borderId="4" xfId="0" applyFont="1" applyFill="1" applyBorder="1" applyAlignment="1">
      <alignment horizontal="center" vertical="center" wrapText="1"/>
    </xf>
    <xf numFmtId="164" fontId="0" fillId="0" borderId="0" xfId="0" applyNumberFormat="1"/>
    <xf numFmtId="16" fontId="3" fillId="2" borderId="1" xfId="0" applyNumberFormat="1" applyFont="1" applyFill="1" applyBorder="1" applyAlignment="1">
      <alignment horizontal="center" vertical="center" wrapText="1"/>
    </xf>
    <xf numFmtId="17" fontId="3" fillId="2" borderId="1" xfId="0" applyNumberFormat="1" applyFont="1" applyFill="1" applyBorder="1" applyAlignment="1">
      <alignment horizontal="center" vertical="center" wrapText="1"/>
    </xf>
    <xf numFmtId="0" fontId="0" fillId="0" borderId="1" xfId="0" applyBorder="1"/>
    <xf numFmtId="164" fontId="0" fillId="0" borderId="1" xfId="0" applyNumberFormat="1" applyBorder="1"/>
    <xf numFmtId="3" fontId="6" fillId="0" borderId="1" xfId="0" applyNumberFormat="1" applyFont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0" fontId="0" fillId="5" borderId="0" xfId="0" applyFill="1"/>
    <xf numFmtId="0" fontId="3" fillId="6" borderId="5" xfId="0" applyFont="1" applyFill="1" applyBorder="1" applyAlignment="1">
      <alignment horizontal="center" vertical="center" wrapText="1"/>
    </xf>
    <xf numFmtId="3" fontId="3" fillId="6" borderId="1" xfId="0" applyNumberFormat="1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3" fontId="3" fillId="7" borderId="1" xfId="0" applyNumberFormat="1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/>
    </xf>
  </cellXfs>
  <cellStyles count="6">
    <cellStyle name="Normal" xfId="0" builtinId="0"/>
    <cellStyle name="Normal 2" xfId="1" xr:uid="{00000000-0005-0000-0000-000006000000}"/>
    <cellStyle name="Обычный 2" xfId="2" xr:uid="{00000000-0005-0000-0000-000007000000}"/>
    <cellStyle name="Обычный 2 2" xfId="3" xr:uid="{00000000-0005-0000-0000-000008000000}"/>
    <cellStyle name="Обычный 2 2 2" xfId="4" xr:uid="{00000000-0005-0000-0000-000009000000}"/>
    <cellStyle name="Обычный 2 3" xfId="5" xr:uid="{00000000-0005-0000-0000-00000A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38100</xdr:colOff>
      <xdr:row>712</xdr:row>
      <xdr:rowOff>9238</xdr:rowOff>
    </xdr:from>
    <xdr:to>
      <xdr:col>25</xdr:col>
      <xdr:colOff>582830</xdr:colOff>
      <xdr:row>722</xdr:row>
      <xdr:rowOff>96206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386D68D6-FD75-9E6C-C895-211180009F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0" y="242782438"/>
          <a:ext cx="6640730" cy="3515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93"/>
  <sheetViews>
    <sheetView zoomScaleNormal="100" workbookViewId="0">
      <pane ySplit="1" topLeftCell="A28" activePane="bottomLeft" state="frozen"/>
      <selection pane="bottomLeft" activeCell="E16" sqref="E16"/>
    </sheetView>
  </sheetViews>
  <sheetFormatPr defaultColWidth="8.7109375" defaultRowHeight="15" x14ac:dyDescent="0.25"/>
  <cols>
    <col min="1" max="1" width="16.42578125" customWidth="1"/>
    <col min="4" max="4" width="9.28515625" customWidth="1"/>
    <col min="5" max="5" width="72.42578125" customWidth="1"/>
    <col min="6" max="7" width="10" customWidth="1"/>
    <col min="8" max="8" width="15.7109375" customWidth="1"/>
    <col min="9" max="9" width="9.28515625" customWidth="1"/>
    <col min="12" max="12" width="9.28515625" customWidth="1"/>
    <col min="13" max="13" width="15.7109375" customWidth="1"/>
  </cols>
  <sheetData>
    <row r="1" spans="1:14" ht="39.75" customHeight="1" x14ac:dyDescent="0.25">
      <c r="A1" s="1" t="s">
        <v>6</v>
      </c>
      <c r="B1" s="1" t="s">
        <v>0</v>
      </c>
      <c r="C1" s="1" t="s">
        <v>1</v>
      </c>
      <c r="D1" s="2" t="s">
        <v>2</v>
      </c>
      <c r="E1" s="1" t="s">
        <v>3</v>
      </c>
      <c r="F1" s="1" t="s">
        <v>4</v>
      </c>
      <c r="G1" s="1" t="s">
        <v>4</v>
      </c>
      <c r="H1" s="3" t="s">
        <v>5</v>
      </c>
      <c r="I1" s="1" t="s">
        <v>6</v>
      </c>
      <c r="J1" s="1" t="s">
        <v>7</v>
      </c>
      <c r="K1" s="1" t="s">
        <v>8</v>
      </c>
      <c r="L1" s="1"/>
      <c r="M1" s="3" t="s">
        <v>5</v>
      </c>
      <c r="N1" t="s">
        <v>185</v>
      </c>
    </row>
    <row r="2" spans="1:14" ht="39.75" customHeight="1" x14ac:dyDescent="0.25">
      <c r="A2" s="8" t="str">
        <f>E2</f>
        <v>ВРУ1-1-1</v>
      </c>
      <c r="B2" s="4"/>
      <c r="C2" s="4"/>
      <c r="D2" s="5"/>
      <c r="E2" s="4" t="s">
        <v>21</v>
      </c>
      <c r="F2" s="6"/>
      <c r="G2" s="6"/>
      <c r="H2" s="7"/>
      <c r="I2" s="8">
        <v>1</v>
      </c>
      <c r="J2" s="9" t="s">
        <v>9</v>
      </c>
      <c r="K2" s="4" t="s">
        <v>10</v>
      </c>
      <c r="L2" s="8" t="s">
        <v>22</v>
      </c>
      <c r="M2" s="7"/>
    </row>
    <row r="3" spans="1:14" ht="21" customHeight="1" x14ac:dyDescent="0.25">
      <c r="A3" s="13" t="str">
        <f t="shared" ref="A3:A13" si="0">A2</f>
        <v>ВРУ1-1-1</v>
      </c>
      <c r="B3" s="10" t="s">
        <v>11</v>
      </c>
      <c r="C3" s="10"/>
      <c r="D3" s="11" t="s">
        <v>172</v>
      </c>
      <c r="E3" s="10" t="s">
        <v>173</v>
      </c>
      <c r="F3" s="10">
        <v>156500</v>
      </c>
      <c r="G3" s="12">
        <f>0.6*F3</f>
        <v>93900</v>
      </c>
      <c r="H3" s="12">
        <f>G3*I3</f>
        <v>93900</v>
      </c>
      <c r="I3" s="13">
        <v>1</v>
      </c>
      <c r="J3" s="14" t="s">
        <v>12</v>
      </c>
      <c r="K3" s="10" t="s">
        <v>13</v>
      </c>
      <c r="L3" s="13" t="str">
        <f t="shared" ref="L3:L13" si="1">L2</f>
        <v>Блок1</v>
      </c>
      <c r="M3" s="12">
        <v>93900</v>
      </c>
      <c r="N3">
        <v>93900</v>
      </c>
    </row>
    <row r="4" spans="1:14" ht="21" customHeight="1" x14ac:dyDescent="0.25">
      <c r="A4" s="13" t="str">
        <f t="shared" si="0"/>
        <v>ВРУ1-1-1</v>
      </c>
      <c r="B4" s="10" t="s">
        <v>23</v>
      </c>
      <c r="C4" s="10"/>
      <c r="D4" s="11"/>
      <c r="E4" s="10" t="s">
        <v>24</v>
      </c>
      <c r="F4" s="10">
        <v>4701</v>
      </c>
      <c r="G4" s="12">
        <v>4701</v>
      </c>
      <c r="H4" s="12">
        <v>28206</v>
      </c>
      <c r="I4" s="13">
        <v>6</v>
      </c>
      <c r="J4" s="14" t="s">
        <v>12</v>
      </c>
      <c r="K4" s="10" t="s">
        <v>25</v>
      </c>
      <c r="L4" s="13" t="str">
        <f t="shared" si="1"/>
        <v>Блок1</v>
      </c>
      <c r="M4" s="12">
        <v>28206</v>
      </c>
      <c r="N4">
        <v>28206</v>
      </c>
    </row>
    <row r="5" spans="1:14" ht="21" customHeight="1" x14ac:dyDescent="0.25">
      <c r="A5" s="13" t="str">
        <f t="shared" si="0"/>
        <v>ВРУ1-1-1</v>
      </c>
      <c r="B5" s="10" t="s">
        <v>26</v>
      </c>
      <c r="C5" s="10"/>
      <c r="D5" s="11" t="s">
        <v>177</v>
      </c>
      <c r="E5" s="10" t="s">
        <v>178</v>
      </c>
      <c r="F5" s="10">
        <v>25500</v>
      </c>
      <c r="G5" s="12">
        <f>F5*0.55</f>
        <v>14025.000000000002</v>
      </c>
      <c r="H5" s="12">
        <f>G5*I5</f>
        <v>28050.000000000004</v>
      </c>
      <c r="I5" s="13">
        <v>2</v>
      </c>
      <c r="J5" s="14" t="s">
        <v>12</v>
      </c>
      <c r="K5" s="10" t="s">
        <v>25</v>
      </c>
      <c r="L5" s="13" t="str">
        <f t="shared" si="1"/>
        <v>Блок1</v>
      </c>
      <c r="M5" s="12">
        <v>28050.000000000004</v>
      </c>
      <c r="N5">
        <v>28050.000000000004</v>
      </c>
    </row>
    <row r="6" spans="1:14" ht="20.25" customHeight="1" x14ac:dyDescent="0.25">
      <c r="A6" s="13" t="str">
        <f t="shared" si="0"/>
        <v>ВРУ1-1-1</v>
      </c>
      <c r="B6" s="10" t="s">
        <v>127</v>
      </c>
      <c r="C6" s="10"/>
      <c r="D6" s="11" t="s">
        <v>130</v>
      </c>
      <c r="E6" s="10" t="s">
        <v>131</v>
      </c>
      <c r="F6" s="10">
        <v>4750</v>
      </c>
      <c r="G6" s="12">
        <f>F6*0.55</f>
        <v>2612.5</v>
      </c>
      <c r="H6" s="12">
        <f>G6*I6</f>
        <v>5225</v>
      </c>
      <c r="I6" s="13">
        <v>2</v>
      </c>
      <c r="J6" s="14" t="s">
        <v>12</v>
      </c>
      <c r="K6" s="10" t="s">
        <v>14</v>
      </c>
      <c r="L6" s="13" t="str">
        <f>L4</f>
        <v>Блок1</v>
      </c>
      <c r="M6" s="12">
        <v>5225</v>
      </c>
      <c r="N6">
        <v>5225</v>
      </c>
    </row>
    <row r="7" spans="1:14" ht="20.25" customHeight="1" x14ac:dyDescent="0.25">
      <c r="A7" s="13" t="str">
        <f t="shared" si="0"/>
        <v>ВРУ1-1-1</v>
      </c>
      <c r="B7" s="10" t="s">
        <v>126</v>
      </c>
      <c r="C7" s="10"/>
      <c r="D7" s="11" t="s">
        <v>128</v>
      </c>
      <c r="E7" s="10" t="s">
        <v>129</v>
      </c>
      <c r="F7" s="10">
        <v>3317</v>
      </c>
      <c r="G7" s="12">
        <f>F7*0.55</f>
        <v>1824.3500000000001</v>
      </c>
      <c r="H7" s="12">
        <f>G7*I7</f>
        <v>3648.7000000000003</v>
      </c>
      <c r="I7" s="13">
        <v>2</v>
      </c>
      <c r="J7" s="14" t="s">
        <v>12</v>
      </c>
      <c r="K7" s="10" t="s">
        <v>14</v>
      </c>
      <c r="L7" s="13" t="str">
        <f>L5</f>
        <v>Блок1</v>
      </c>
      <c r="M7" s="12">
        <v>3648.7000000000003</v>
      </c>
      <c r="N7">
        <v>3648.7000000000003</v>
      </c>
    </row>
    <row r="8" spans="1:14" ht="21" customHeight="1" x14ac:dyDescent="0.25">
      <c r="A8" s="13" t="str">
        <f t="shared" si="0"/>
        <v>ВРУ1-1-1</v>
      </c>
      <c r="B8" s="10" t="s">
        <v>17</v>
      </c>
      <c r="C8" s="10"/>
      <c r="D8" s="11">
        <v>296708</v>
      </c>
      <c r="E8" s="10" t="s">
        <v>29</v>
      </c>
      <c r="F8" s="10">
        <v>828</v>
      </c>
      <c r="G8" s="12">
        <f>F8*0.55</f>
        <v>455.40000000000003</v>
      </c>
      <c r="H8" s="12">
        <f>G8*I8</f>
        <v>910.80000000000007</v>
      </c>
      <c r="I8" s="13">
        <v>2</v>
      </c>
      <c r="J8" s="14" t="s">
        <v>12</v>
      </c>
      <c r="K8" s="10" t="s">
        <v>28</v>
      </c>
      <c r="L8" s="13" t="str">
        <f t="shared" si="1"/>
        <v>Блок1</v>
      </c>
      <c r="M8" s="12">
        <v>910.80000000000007</v>
      </c>
      <c r="N8">
        <v>910.80000000000007</v>
      </c>
    </row>
    <row r="9" spans="1:14" ht="21" customHeight="1" x14ac:dyDescent="0.25">
      <c r="A9" s="13" t="str">
        <f t="shared" si="0"/>
        <v>ВРУ1-1-1</v>
      </c>
      <c r="B9" s="10" t="s">
        <v>15</v>
      </c>
      <c r="C9" s="10"/>
      <c r="D9" s="11" t="s">
        <v>179</v>
      </c>
      <c r="E9" s="10" t="s">
        <v>180</v>
      </c>
      <c r="F9" s="10">
        <v>83000</v>
      </c>
      <c r="G9" s="12">
        <f>F9</f>
        <v>83000</v>
      </c>
      <c r="H9" s="12">
        <v>78200</v>
      </c>
      <c r="I9" s="13">
        <v>2</v>
      </c>
      <c r="J9" s="14" t="s">
        <v>12</v>
      </c>
      <c r="K9" s="10" t="s">
        <v>16</v>
      </c>
      <c r="L9" s="13" t="str">
        <f t="shared" si="1"/>
        <v>Блок1</v>
      </c>
      <c r="M9" s="12">
        <v>78200</v>
      </c>
      <c r="N9">
        <v>78200</v>
      </c>
    </row>
    <row r="10" spans="1:14" ht="21" customHeight="1" x14ac:dyDescent="0.25">
      <c r="A10" s="13" t="str">
        <f t="shared" si="0"/>
        <v>ВРУ1-1-1</v>
      </c>
      <c r="B10" s="10" t="s">
        <v>30</v>
      </c>
      <c r="C10" s="10"/>
      <c r="D10" s="11"/>
      <c r="E10" s="10" t="s">
        <v>31</v>
      </c>
      <c r="F10" s="10">
        <v>4500</v>
      </c>
      <c r="G10" s="12">
        <f>F10*0.55</f>
        <v>2475</v>
      </c>
      <c r="H10" s="12">
        <f>G10*I10</f>
        <v>14850</v>
      </c>
      <c r="I10" s="13">
        <v>6</v>
      </c>
      <c r="J10" s="14" t="s">
        <v>12</v>
      </c>
      <c r="K10" s="10" t="s">
        <v>25</v>
      </c>
      <c r="L10" s="13" t="str">
        <f t="shared" si="1"/>
        <v>Блок1</v>
      </c>
      <c r="M10" s="12">
        <v>14850</v>
      </c>
      <c r="N10">
        <v>14850</v>
      </c>
    </row>
    <row r="11" spans="1:14" ht="24" customHeight="1" x14ac:dyDescent="0.25">
      <c r="A11" s="10" t="str">
        <f t="shared" si="0"/>
        <v>ВРУ1-1-1</v>
      </c>
      <c r="B11" s="10" t="s">
        <v>19</v>
      </c>
      <c r="C11" s="10"/>
      <c r="D11" s="11" t="s">
        <v>19</v>
      </c>
      <c r="E11" s="10" t="s">
        <v>19</v>
      </c>
      <c r="F11" s="10">
        <f ca="1">OFFSET(F11,1,2)</f>
        <v>48000</v>
      </c>
      <c r="G11" s="12">
        <f ca="1">F11*0.55</f>
        <v>26400.000000000004</v>
      </c>
      <c r="H11" s="12">
        <f ca="1">G11*I11</f>
        <v>26400.000000000004</v>
      </c>
      <c r="I11" s="10">
        <v>1</v>
      </c>
      <c r="J11" s="10" t="s">
        <v>12</v>
      </c>
      <c r="K11" s="10" t="s">
        <v>19</v>
      </c>
      <c r="L11" s="13" t="str">
        <f t="shared" si="1"/>
        <v>Блок1</v>
      </c>
      <c r="M11" s="12">
        <v>26400.000000000004</v>
      </c>
      <c r="N11">
        <v>26400.000000000004</v>
      </c>
    </row>
    <row r="12" spans="1:14" ht="21" customHeight="1" x14ac:dyDescent="0.25">
      <c r="A12" s="10" t="str">
        <f t="shared" si="0"/>
        <v>ВРУ1-1-1</v>
      </c>
      <c r="B12" s="10" t="s">
        <v>20</v>
      </c>
      <c r="C12" s="10"/>
      <c r="D12" s="11" t="s">
        <v>20</v>
      </c>
      <c r="E12" s="10" t="s">
        <v>20</v>
      </c>
      <c r="F12" s="10">
        <v>8</v>
      </c>
      <c r="G12" s="12">
        <v>100</v>
      </c>
      <c r="H12" s="12">
        <f>G12*I12</f>
        <v>48000</v>
      </c>
      <c r="I12" s="10">
        <f>60*F12</f>
        <v>480</v>
      </c>
      <c r="J12" s="10" t="s">
        <v>12</v>
      </c>
      <c r="K12" s="10" t="s">
        <v>20</v>
      </c>
      <c r="L12" s="13" t="str">
        <f t="shared" si="1"/>
        <v>Блок1</v>
      </c>
      <c r="M12" s="12">
        <v>48000</v>
      </c>
      <c r="N12">
        <v>48000</v>
      </c>
    </row>
    <row r="13" spans="1:14" ht="30" customHeight="1" x14ac:dyDescent="0.25">
      <c r="A13" s="15" t="str">
        <f t="shared" si="0"/>
        <v>ВРУ1-1-1</v>
      </c>
      <c r="B13" s="15"/>
      <c r="C13" s="15"/>
      <c r="D13" s="15"/>
      <c r="E13" s="16"/>
      <c r="F13" s="17"/>
      <c r="G13" s="12">
        <f>F13*0.55</f>
        <v>0</v>
      </c>
      <c r="H13" s="18">
        <f ca="1">SUM(H3:H12)</f>
        <v>327390.5</v>
      </c>
      <c r="I13" s="15"/>
      <c r="J13" s="19"/>
      <c r="K13" s="15"/>
      <c r="L13" s="13" t="str">
        <f t="shared" si="1"/>
        <v>Блок1</v>
      </c>
      <c r="M13" s="18">
        <v>327390.5</v>
      </c>
      <c r="N13">
        <v>327390.5</v>
      </c>
    </row>
    <row r="14" spans="1:14" ht="39.75" customHeight="1" x14ac:dyDescent="0.25">
      <c r="A14" s="8" t="str">
        <f>E14</f>
        <v>РУ-1-1</v>
      </c>
      <c r="B14" s="4"/>
      <c r="C14" s="4"/>
      <c r="D14" s="5"/>
      <c r="E14" s="4" t="s">
        <v>32</v>
      </c>
      <c r="F14" s="6"/>
      <c r="G14" s="6"/>
      <c r="H14" s="7"/>
      <c r="I14" s="8">
        <v>1</v>
      </c>
      <c r="J14" s="9" t="s">
        <v>9</v>
      </c>
      <c r="K14" s="4" t="s">
        <v>10</v>
      </c>
      <c r="L14" s="8" t="s">
        <v>22</v>
      </c>
      <c r="M14" s="7"/>
    </row>
    <row r="15" spans="1:14" ht="21" customHeight="1" x14ac:dyDescent="0.25">
      <c r="A15" s="13" t="str">
        <f t="shared" ref="A15:A21" si="2">A14</f>
        <v>РУ-1-1</v>
      </c>
      <c r="B15" s="10" t="s">
        <v>11</v>
      </c>
      <c r="C15" s="10"/>
      <c r="D15" s="11" t="s">
        <v>170</v>
      </c>
      <c r="E15" s="10" t="s">
        <v>171</v>
      </c>
      <c r="F15" s="10">
        <v>145000</v>
      </c>
      <c r="G15" s="12">
        <f>0.6*F15</f>
        <v>87000</v>
      </c>
      <c r="H15" s="12">
        <f t="shared" ref="H15:H20" si="3">G15*I15</f>
        <v>87000</v>
      </c>
      <c r="I15" s="13">
        <v>1</v>
      </c>
      <c r="J15" s="14" t="s">
        <v>12</v>
      </c>
      <c r="K15" s="10" t="s">
        <v>13</v>
      </c>
      <c r="L15" s="13" t="str">
        <f t="shared" ref="L15:L21" si="4">L14</f>
        <v>Блок1</v>
      </c>
      <c r="M15" s="12">
        <v>87000</v>
      </c>
      <c r="N15">
        <v>87000</v>
      </c>
    </row>
    <row r="16" spans="1:14" ht="21" customHeight="1" x14ac:dyDescent="0.25">
      <c r="A16" s="13" t="str">
        <f t="shared" si="2"/>
        <v>РУ-1-1</v>
      </c>
      <c r="B16" s="10" t="s">
        <v>27</v>
      </c>
      <c r="C16" s="10"/>
      <c r="D16" s="11">
        <v>126583</v>
      </c>
      <c r="E16" s="10" t="s">
        <v>33</v>
      </c>
      <c r="F16" s="10">
        <v>28665</v>
      </c>
      <c r="G16" s="12">
        <f t="shared" ref="G16:G21" si="5">F16*0.55</f>
        <v>15765.750000000002</v>
      </c>
      <c r="H16" s="12">
        <f t="shared" si="3"/>
        <v>31531.500000000004</v>
      </c>
      <c r="I16" s="13">
        <v>2</v>
      </c>
      <c r="J16" s="14" t="s">
        <v>12</v>
      </c>
      <c r="K16" s="10" t="s">
        <v>28</v>
      </c>
      <c r="L16" s="13" t="str">
        <f t="shared" si="4"/>
        <v>Блок1</v>
      </c>
      <c r="M16" s="12">
        <v>31531.500000000004</v>
      </c>
      <c r="N16">
        <v>31531.500000000004</v>
      </c>
    </row>
    <row r="17" spans="1:14" ht="21" customHeight="1" x14ac:dyDescent="0.25">
      <c r="A17" s="13" t="str">
        <f t="shared" si="2"/>
        <v>РУ-1-1</v>
      </c>
      <c r="B17" s="10" t="s">
        <v>27</v>
      </c>
      <c r="C17" s="10"/>
      <c r="D17" s="11">
        <v>126584</v>
      </c>
      <c r="E17" s="10" t="s">
        <v>34</v>
      </c>
      <c r="F17" s="10">
        <v>28756</v>
      </c>
      <c r="G17" s="12">
        <f t="shared" si="5"/>
        <v>15815.800000000001</v>
      </c>
      <c r="H17" s="12">
        <f t="shared" si="3"/>
        <v>15815.800000000001</v>
      </c>
      <c r="I17" s="13">
        <v>1</v>
      </c>
      <c r="J17" s="14" t="s">
        <v>12</v>
      </c>
      <c r="K17" s="10" t="s">
        <v>28</v>
      </c>
      <c r="L17" s="13" t="str">
        <f t="shared" si="4"/>
        <v>Блок1</v>
      </c>
      <c r="M17" s="12">
        <v>15815.800000000001</v>
      </c>
      <c r="N17">
        <v>15815.800000000001</v>
      </c>
    </row>
    <row r="18" spans="1:14" ht="21" customHeight="1" x14ac:dyDescent="0.25">
      <c r="A18" s="13" t="str">
        <f t="shared" si="2"/>
        <v>РУ-1-1</v>
      </c>
      <c r="B18" s="10" t="s">
        <v>27</v>
      </c>
      <c r="C18" s="10"/>
      <c r="D18" s="11">
        <v>126507</v>
      </c>
      <c r="E18" s="10" t="s">
        <v>35</v>
      </c>
      <c r="F18" s="10">
        <v>17108</v>
      </c>
      <c r="G18" s="12">
        <f t="shared" si="5"/>
        <v>9409.4000000000015</v>
      </c>
      <c r="H18" s="12">
        <f t="shared" si="3"/>
        <v>18818.800000000003</v>
      </c>
      <c r="I18" s="13">
        <v>2</v>
      </c>
      <c r="J18" s="14" t="s">
        <v>12</v>
      </c>
      <c r="K18" s="10" t="s">
        <v>28</v>
      </c>
      <c r="L18" s="13" t="str">
        <f t="shared" si="4"/>
        <v>Блок1</v>
      </c>
      <c r="M18" s="12">
        <v>18818.800000000003</v>
      </c>
      <c r="N18">
        <v>18818.800000000003</v>
      </c>
    </row>
    <row r="19" spans="1:14" ht="24" customHeight="1" x14ac:dyDescent="0.25">
      <c r="A19" s="10" t="str">
        <f t="shared" si="2"/>
        <v>РУ-1-1</v>
      </c>
      <c r="B19" s="10" t="s">
        <v>19</v>
      </c>
      <c r="C19" s="10"/>
      <c r="D19" s="11" t="s">
        <v>19</v>
      </c>
      <c r="E19" s="10" t="s">
        <v>19</v>
      </c>
      <c r="F19" s="10">
        <f ca="1">OFFSET(F19,1,2)</f>
        <v>27000</v>
      </c>
      <c r="G19" s="12">
        <f ca="1">F19*0.55</f>
        <v>14850.000000000002</v>
      </c>
      <c r="H19" s="12">
        <f ca="1">G19*I19</f>
        <v>14850.000000000002</v>
      </c>
      <c r="I19" s="10">
        <v>1</v>
      </c>
      <c r="J19" s="10" t="s">
        <v>12</v>
      </c>
      <c r="K19" s="10" t="s">
        <v>19</v>
      </c>
      <c r="L19" s="13" t="str">
        <f t="shared" si="4"/>
        <v>Блок1</v>
      </c>
      <c r="M19" s="12">
        <v>14850.000000000002</v>
      </c>
      <c r="N19">
        <v>14850.000000000002</v>
      </c>
    </row>
    <row r="20" spans="1:14" ht="21" customHeight="1" x14ac:dyDescent="0.25">
      <c r="A20" s="10" t="str">
        <f t="shared" si="2"/>
        <v>РУ-1-1</v>
      </c>
      <c r="B20" s="10" t="s">
        <v>20</v>
      </c>
      <c r="C20" s="10"/>
      <c r="D20" s="11" t="s">
        <v>20</v>
      </c>
      <c r="E20" s="10" t="s">
        <v>20</v>
      </c>
      <c r="F20" s="10">
        <v>4.5</v>
      </c>
      <c r="G20" s="12">
        <v>100</v>
      </c>
      <c r="H20" s="12">
        <f t="shared" si="3"/>
        <v>27000</v>
      </c>
      <c r="I20" s="10">
        <f>60*F20</f>
        <v>270</v>
      </c>
      <c r="J20" s="10" t="s">
        <v>12</v>
      </c>
      <c r="K20" s="10" t="s">
        <v>20</v>
      </c>
      <c r="L20" s="13" t="str">
        <f t="shared" si="4"/>
        <v>Блок1</v>
      </c>
      <c r="M20" s="12">
        <v>27000</v>
      </c>
      <c r="N20">
        <v>27000</v>
      </c>
    </row>
    <row r="21" spans="1:14" ht="30" customHeight="1" x14ac:dyDescent="0.25">
      <c r="A21" s="15" t="str">
        <f t="shared" si="2"/>
        <v>РУ-1-1</v>
      </c>
      <c r="B21" s="15"/>
      <c r="C21" s="15"/>
      <c r="D21" s="15"/>
      <c r="E21" s="16"/>
      <c r="F21" s="17"/>
      <c r="G21" s="12">
        <f t="shared" si="5"/>
        <v>0</v>
      </c>
      <c r="H21" s="18">
        <f ca="1">SUM(H15:H20)</f>
        <v>195016.09999999998</v>
      </c>
      <c r="I21" s="15"/>
      <c r="J21" s="19"/>
      <c r="K21" s="15"/>
      <c r="L21" s="13" t="str">
        <f t="shared" si="4"/>
        <v>Блок1</v>
      </c>
      <c r="M21" s="18">
        <v>195016.09999999998</v>
      </c>
      <c r="N21">
        <v>195016.09999999998</v>
      </c>
    </row>
    <row r="22" spans="1:14" ht="39.75" customHeight="1" x14ac:dyDescent="0.25">
      <c r="A22" s="8" t="str">
        <f>E22</f>
        <v>РУ-1-2</v>
      </c>
      <c r="B22" s="4"/>
      <c r="C22" s="4"/>
      <c r="D22" s="5"/>
      <c r="E22" s="4" t="s">
        <v>36</v>
      </c>
      <c r="F22" s="6"/>
      <c r="G22" s="6"/>
      <c r="H22" s="7"/>
      <c r="I22" s="8">
        <v>1</v>
      </c>
      <c r="J22" s="9" t="s">
        <v>9</v>
      </c>
      <c r="K22" s="4" t="s">
        <v>10</v>
      </c>
      <c r="L22" s="8" t="s">
        <v>22</v>
      </c>
      <c r="M22" s="7"/>
    </row>
    <row r="23" spans="1:14" ht="21" customHeight="1" x14ac:dyDescent="0.25">
      <c r="A23" s="13" t="str">
        <f t="shared" ref="A23:A29" si="6">A22</f>
        <v>РУ-1-2</v>
      </c>
      <c r="B23" s="10" t="s">
        <v>11</v>
      </c>
      <c r="C23" s="10"/>
      <c r="D23" s="11" t="s">
        <v>170</v>
      </c>
      <c r="E23" s="10" t="s">
        <v>171</v>
      </c>
      <c r="F23" s="10">
        <v>145000</v>
      </c>
      <c r="G23" s="12">
        <f>0.6*F23</f>
        <v>87000</v>
      </c>
      <c r="H23" s="12">
        <f t="shared" ref="H23:H28" si="7">G23*I23</f>
        <v>87000</v>
      </c>
      <c r="I23" s="13">
        <v>1</v>
      </c>
      <c r="J23" s="14" t="s">
        <v>12</v>
      </c>
      <c r="K23" s="10" t="s">
        <v>13</v>
      </c>
      <c r="L23" s="13" t="str">
        <f t="shared" ref="L23:L29" si="8">L22</f>
        <v>Блок1</v>
      </c>
      <c r="M23" s="12">
        <v>87000</v>
      </c>
      <c r="N23">
        <v>87000</v>
      </c>
    </row>
    <row r="24" spans="1:14" ht="21" customHeight="1" x14ac:dyDescent="0.25">
      <c r="A24" s="13" t="str">
        <f t="shared" si="6"/>
        <v>РУ-1-2</v>
      </c>
      <c r="B24" s="10" t="s">
        <v>27</v>
      </c>
      <c r="C24" s="10"/>
      <c r="D24" s="11">
        <v>126584</v>
      </c>
      <c r="E24" s="10" t="s">
        <v>34</v>
      </c>
      <c r="F24" s="10">
        <v>28756</v>
      </c>
      <c r="G24" s="12">
        <f>F24*0.55</f>
        <v>15815.800000000001</v>
      </c>
      <c r="H24" s="12">
        <f t="shared" si="7"/>
        <v>15815.800000000001</v>
      </c>
      <c r="I24" s="13">
        <v>1</v>
      </c>
      <c r="J24" s="14" t="s">
        <v>12</v>
      </c>
      <c r="K24" s="10" t="s">
        <v>28</v>
      </c>
      <c r="L24" s="13" t="str">
        <f t="shared" si="8"/>
        <v>Блок1</v>
      </c>
      <c r="M24" s="12">
        <v>15815.800000000001</v>
      </c>
      <c r="N24">
        <v>15815.800000000001</v>
      </c>
    </row>
    <row r="25" spans="1:14" ht="21" customHeight="1" x14ac:dyDescent="0.25">
      <c r="A25" s="13" t="str">
        <f t="shared" si="6"/>
        <v>РУ-1-2</v>
      </c>
      <c r="B25" s="10" t="s">
        <v>27</v>
      </c>
      <c r="C25" s="10"/>
      <c r="D25" s="11">
        <v>126511</v>
      </c>
      <c r="E25" s="10" t="s">
        <v>37</v>
      </c>
      <c r="F25" s="10">
        <v>16562</v>
      </c>
      <c r="G25" s="12">
        <f>F25*0.55</f>
        <v>9109.1</v>
      </c>
      <c r="H25" s="12">
        <f t="shared" si="7"/>
        <v>27327.300000000003</v>
      </c>
      <c r="I25" s="13">
        <v>3</v>
      </c>
      <c r="J25" s="14" t="s">
        <v>12</v>
      </c>
      <c r="K25" s="10" t="s">
        <v>28</v>
      </c>
      <c r="L25" s="13" t="str">
        <f t="shared" si="8"/>
        <v>Блок1</v>
      </c>
      <c r="M25" s="12">
        <v>27327.300000000003</v>
      </c>
      <c r="N25">
        <v>27327.300000000003</v>
      </c>
    </row>
    <row r="26" spans="1:14" ht="21" customHeight="1" x14ac:dyDescent="0.25">
      <c r="A26" s="13" t="str">
        <f t="shared" si="6"/>
        <v>РУ-1-2</v>
      </c>
      <c r="B26" s="10" t="s">
        <v>27</v>
      </c>
      <c r="C26" s="10"/>
      <c r="D26" s="11">
        <v>126510</v>
      </c>
      <c r="E26" s="10" t="s">
        <v>38</v>
      </c>
      <c r="F26" s="10">
        <v>16562</v>
      </c>
      <c r="G26" s="12">
        <f>F26*0.55</f>
        <v>9109.1</v>
      </c>
      <c r="H26" s="12">
        <f t="shared" si="7"/>
        <v>9109.1</v>
      </c>
      <c r="I26" s="13">
        <v>1</v>
      </c>
      <c r="J26" s="14" t="s">
        <v>12</v>
      </c>
      <c r="K26" s="10" t="s">
        <v>28</v>
      </c>
      <c r="L26" s="13" t="str">
        <f t="shared" si="8"/>
        <v>Блок1</v>
      </c>
      <c r="M26" s="12">
        <v>9109.1</v>
      </c>
      <c r="N26">
        <v>9109.1</v>
      </c>
    </row>
    <row r="27" spans="1:14" ht="24" customHeight="1" x14ac:dyDescent="0.25">
      <c r="A27" s="10" t="str">
        <f t="shared" si="6"/>
        <v>РУ-1-2</v>
      </c>
      <c r="B27" s="10" t="s">
        <v>19</v>
      </c>
      <c r="C27" s="10"/>
      <c r="D27" s="11" t="s">
        <v>19</v>
      </c>
      <c r="E27" s="10" t="s">
        <v>19</v>
      </c>
      <c r="F27" s="10">
        <f ca="1">OFFSET(F27,1,2)</f>
        <v>27000</v>
      </c>
      <c r="G27" s="12">
        <f ca="1">F27*0.55</f>
        <v>14850.000000000002</v>
      </c>
      <c r="H27" s="12">
        <f t="shared" ca="1" si="7"/>
        <v>14850.000000000002</v>
      </c>
      <c r="I27" s="10">
        <v>1</v>
      </c>
      <c r="J27" s="10" t="s">
        <v>12</v>
      </c>
      <c r="K27" s="10" t="s">
        <v>19</v>
      </c>
      <c r="L27" s="13" t="e">
        <f>#REF!</f>
        <v>#REF!</v>
      </c>
      <c r="M27" s="12">
        <v>14850.000000000002</v>
      </c>
      <c r="N27">
        <v>14850.000000000002</v>
      </c>
    </row>
    <row r="28" spans="1:14" ht="21" customHeight="1" x14ac:dyDescent="0.25">
      <c r="A28" s="10" t="str">
        <f t="shared" si="6"/>
        <v>РУ-1-2</v>
      </c>
      <c r="B28" s="10" t="s">
        <v>20</v>
      </c>
      <c r="C28" s="10"/>
      <c r="D28" s="11" t="s">
        <v>20</v>
      </c>
      <c r="E28" s="10" t="s">
        <v>20</v>
      </c>
      <c r="F28" s="10">
        <v>4.5</v>
      </c>
      <c r="G28" s="12">
        <v>100</v>
      </c>
      <c r="H28" s="12">
        <f t="shared" si="7"/>
        <v>27000</v>
      </c>
      <c r="I28" s="10">
        <f>60*F28</f>
        <v>270</v>
      </c>
      <c r="J28" s="10" t="s">
        <v>12</v>
      </c>
      <c r="K28" s="10" t="s">
        <v>20</v>
      </c>
      <c r="L28" s="13" t="e">
        <f t="shared" si="8"/>
        <v>#REF!</v>
      </c>
      <c r="M28" s="12">
        <v>27000</v>
      </c>
      <c r="N28">
        <v>27000</v>
      </c>
    </row>
    <row r="29" spans="1:14" ht="30" customHeight="1" x14ac:dyDescent="0.25">
      <c r="A29" s="15" t="str">
        <f t="shared" si="6"/>
        <v>РУ-1-2</v>
      </c>
      <c r="B29" s="15"/>
      <c r="C29" s="15"/>
      <c r="D29" s="15"/>
      <c r="E29" s="16"/>
      <c r="F29" s="17"/>
      <c r="G29" s="12">
        <f>F29*0.55</f>
        <v>0</v>
      </c>
      <c r="H29" s="18">
        <f ca="1">SUM(H23:H28)</f>
        <v>181102.2</v>
      </c>
      <c r="I29" s="15"/>
      <c r="J29" s="19"/>
      <c r="K29" s="15"/>
      <c r="L29" s="13" t="e">
        <f t="shared" si="8"/>
        <v>#REF!</v>
      </c>
      <c r="M29" s="18">
        <v>181102.2</v>
      </c>
      <c r="N29">
        <v>181102.2</v>
      </c>
    </row>
    <row r="30" spans="1:14" ht="39.75" customHeight="1" x14ac:dyDescent="0.25">
      <c r="A30" s="8" t="str">
        <f>E30</f>
        <v>ЩУР.МОП1</v>
      </c>
      <c r="B30" s="4"/>
      <c r="C30" s="4"/>
      <c r="D30" s="5"/>
      <c r="E30" s="4" t="s">
        <v>39</v>
      </c>
      <c r="F30" s="6"/>
      <c r="G30" s="6"/>
      <c r="H30" s="7"/>
      <c r="I30" s="8">
        <v>1</v>
      </c>
      <c r="J30" s="9" t="s">
        <v>9</v>
      </c>
      <c r="K30" s="4" t="s">
        <v>10</v>
      </c>
      <c r="L30" s="8" t="s">
        <v>22</v>
      </c>
      <c r="M30" s="7"/>
    </row>
    <row r="31" spans="1:14" ht="21" customHeight="1" x14ac:dyDescent="0.25">
      <c r="A31" s="13" t="str">
        <f t="shared" ref="A31:A38" si="9">A30</f>
        <v>ЩУР.МОП1</v>
      </c>
      <c r="B31" s="10" t="s">
        <v>11</v>
      </c>
      <c r="C31" s="10"/>
      <c r="D31" s="11" t="s">
        <v>40</v>
      </c>
      <c r="E31" s="10" t="s">
        <v>41</v>
      </c>
      <c r="F31" s="10">
        <v>18000</v>
      </c>
      <c r="G31" s="12">
        <f>0.6*F31</f>
        <v>10800</v>
      </c>
      <c r="H31" s="12">
        <f>G31*I31</f>
        <v>10800</v>
      </c>
      <c r="I31" s="13">
        <v>1</v>
      </c>
      <c r="J31" s="14" t="s">
        <v>12</v>
      </c>
      <c r="K31" s="10" t="s">
        <v>13</v>
      </c>
      <c r="L31" s="13" t="str">
        <f t="shared" ref="L31:L38" si="10">L30</f>
        <v>Блок1</v>
      </c>
      <c r="M31" s="12">
        <v>10800</v>
      </c>
      <c r="N31">
        <v>10800</v>
      </c>
    </row>
    <row r="32" spans="1:14" ht="21" customHeight="1" x14ac:dyDescent="0.25">
      <c r="A32" s="13" t="str">
        <f t="shared" si="9"/>
        <v>ЩУР.МОП1</v>
      </c>
      <c r="B32" s="10" t="s">
        <v>17</v>
      </c>
      <c r="C32" s="10"/>
      <c r="D32" s="11">
        <v>296830</v>
      </c>
      <c r="E32" s="10" t="s">
        <v>149</v>
      </c>
      <c r="F32" s="10">
        <v>1554</v>
      </c>
      <c r="G32" s="12">
        <f>F32*0.55</f>
        <v>854.7</v>
      </c>
      <c r="H32" s="12">
        <f>G32*I32</f>
        <v>854.7</v>
      </c>
      <c r="I32" s="13">
        <v>1</v>
      </c>
      <c r="J32" s="14" t="s">
        <v>12</v>
      </c>
      <c r="K32" s="10" t="s">
        <v>28</v>
      </c>
      <c r="L32" s="13" t="str">
        <f t="shared" si="10"/>
        <v>Блок1</v>
      </c>
      <c r="M32" s="12">
        <v>854.7</v>
      </c>
      <c r="N32">
        <v>854.7</v>
      </c>
    </row>
    <row r="33" spans="1:14" ht="21" customHeight="1" x14ac:dyDescent="0.25">
      <c r="A33" s="13" t="str">
        <f t="shared" si="9"/>
        <v>ЩУР.МОП1</v>
      </c>
      <c r="B33" s="10" t="s">
        <v>17</v>
      </c>
      <c r="C33" s="10"/>
      <c r="D33" s="11">
        <v>296827</v>
      </c>
      <c r="E33" s="10" t="s">
        <v>150</v>
      </c>
      <c r="F33" s="10">
        <v>1491</v>
      </c>
      <c r="G33" s="12">
        <f>F33*0.55</f>
        <v>820.05000000000007</v>
      </c>
      <c r="H33" s="12">
        <f>G33*I33</f>
        <v>1640.1000000000001</v>
      </c>
      <c r="I33" s="13">
        <v>2</v>
      </c>
      <c r="J33" s="14" t="s">
        <v>12</v>
      </c>
      <c r="K33" s="10" t="s">
        <v>28</v>
      </c>
      <c r="L33" s="13" t="str">
        <f t="shared" si="10"/>
        <v>Блок1</v>
      </c>
      <c r="M33" s="12">
        <v>1640.1000000000001</v>
      </c>
      <c r="N33">
        <v>1640.1000000000001</v>
      </c>
    </row>
    <row r="34" spans="1:14" ht="21" customHeight="1" x14ac:dyDescent="0.25">
      <c r="A34" s="13" t="str">
        <f t="shared" si="9"/>
        <v>ЩУР.МОП1</v>
      </c>
      <c r="B34" s="10" t="s">
        <v>17</v>
      </c>
      <c r="C34" s="10"/>
      <c r="D34" s="11">
        <v>296829</v>
      </c>
      <c r="E34" s="10" t="s">
        <v>148</v>
      </c>
      <c r="F34" s="10">
        <v>2111</v>
      </c>
      <c r="G34" s="12">
        <f>F34*0.55</f>
        <v>1161.0500000000002</v>
      </c>
      <c r="H34" s="12">
        <f>G34*I34</f>
        <v>2322.1000000000004</v>
      </c>
      <c r="I34" s="13">
        <v>2</v>
      </c>
      <c r="J34" s="14" t="s">
        <v>12</v>
      </c>
      <c r="K34" s="10" t="s">
        <v>28</v>
      </c>
      <c r="L34" s="13" t="str">
        <f t="shared" si="10"/>
        <v>Блок1</v>
      </c>
      <c r="M34" s="12">
        <v>2322.1000000000004</v>
      </c>
      <c r="N34">
        <v>2322.1000000000004</v>
      </c>
    </row>
    <row r="35" spans="1:14" ht="21" customHeight="1" x14ac:dyDescent="0.25">
      <c r="A35" s="13" t="str">
        <f t="shared" si="9"/>
        <v>ЩУР.МОП1</v>
      </c>
      <c r="B35" s="10" t="s">
        <v>15</v>
      </c>
      <c r="C35" s="10"/>
      <c r="D35" s="11" t="s">
        <v>179</v>
      </c>
      <c r="E35" s="10" t="s">
        <v>180</v>
      </c>
      <c r="F35" s="10">
        <v>83000</v>
      </c>
      <c r="G35" s="12">
        <f>F35</f>
        <v>83000</v>
      </c>
      <c r="H35" s="12">
        <v>39100</v>
      </c>
      <c r="I35" s="13">
        <v>1</v>
      </c>
      <c r="J35" s="14" t="s">
        <v>12</v>
      </c>
      <c r="K35" s="10" t="s">
        <v>16</v>
      </c>
      <c r="L35" s="13" t="str">
        <f t="shared" si="10"/>
        <v>Блок1</v>
      </c>
      <c r="M35" s="12">
        <v>39100</v>
      </c>
      <c r="N35">
        <v>39100</v>
      </c>
    </row>
    <row r="36" spans="1:14" ht="24" customHeight="1" x14ac:dyDescent="0.25">
      <c r="A36" s="10" t="str">
        <f t="shared" si="9"/>
        <v>ЩУР.МОП1</v>
      </c>
      <c r="B36" s="10" t="s">
        <v>19</v>
      </c>
      <c r="C36" s="10"/>
      <c r="D36" s="11" t="s">
        <v>19</v>
      </c>
      <c r="E36" s="10" t="s">
        <v>19</v>
      </c>
      <c r="F36" s="10">
        <f ca="1">OFFSET(F36,1,2)</f>
        <v>12000</v>
      </c>
      <c r="G36" s="12">
        <f ca="1">F36*0.55</f>
        <v>6600.0000000000009</v>
      </c>
      <c r="H36" s="12">
        <f ca="1">G36*I36</f>
        <v>6600.0000000000009</v>
      </c>
      <c r="I36" s="10">
        <v>1</v>
      </c>
      <c r="J36" s="10" t="s">
        <v>12</v>
      </c>
      <c r="K36" s="10" t="s">
        <v>19</v>
      </c>
      <c r="L36" s="13" t="str">
        <f t="shared" si="10"/>
        <v>Блок1</v>
      </c>
      <c r="M36" s="12">
        <v>6600.0000000000009</v>
      </c>
      <c r="N36">
        <v>6600.0000000000009</v>
      </c>
    </row>
    <row r="37" spans="1:14" ht="21" customHeight="1" x14ac:dyDescent="0.25">
      <c r="A37" s="10" t="str">
        <f t="shared" si="9"/>
        <v>ЩУР.МОП1</v>
      </c>
      <c r="B37" s="10" t="s">
        <v>20</v>
      </c>
      <c r="C37" s="10"/>
      <c r="D37" s="11" t="s">
        <v>20</v>
      </c>
      <c r="E37" s="10" t="s">
        <v>20</v>
      </c>
      <c r="F37" s="10">
        <v>2</v>
      </c>
      <c r="G37" s="12">
        <v>100</v>
      </c>
      <c r="H37" s="12">
        <f>G37*I37</f>
        <v>12000</v>
      </c>
      <c r="I37" s="10">
        <f>60*F37</f>
        <v>120</v>
      </c>
      <c r="J37" s="10" t="s">
        <v>12</v>
      </c>
      <c r="K37" s="10" t="s">
        <v>20</v>
      </c>
      <c r="L37" s="13" t="str">
        <f t="shared" si="10"/>
        <v>Блок1</v>
      </c>
      <c r="M37" s="12">
        <v>12000</v>
      </c>
      <c r="N37">
        <v>12000</v>
      </c>
    </row>
    <row r="38" spans="1:14" ht="30" customHeight="1" x14ac:dyDescent="0.25">
      <c r="A38" s="15" t="str">
        <f t="shared" si="9"/>
        <v>ЩУР.МОП1</v>
      </c>
      <c r="B38" s="15"/>
      <c r="C38" s="15"/>
      <c r="D38" s="15"/>
      <c r="E38" s="16"/>
      <c r="F38" s="17"/>
      <c r="G38" s="12">
        <f>F38*0.55</f>
        <v>0</v>
      </c>
      <c r="H38" s="18">
        <f ca="1">SUM(H31:H37)</f>
        <v>73316.899999999994</v>
      </c>
      <c r="I38" s="15"/>
      <c r="J38" s="19"/>
      <c r="K38" s="15"/>
      <c r="L38" s="13" t="str">
        <f t="shared" si="10"/>
        <v>Блок1</v>
      </c>
      <c r="M38" s="18">
        <v>73316.899999999994</v>
      </c>
      <c r="N38">
        <v>73316.899999999994</v>
      </c>
    </row>
    <row r="39" spans="1:14" ht="39.75" customHeight="1" x14ac:dyDescent="0.25">
      <c r="A39" s="8" t="str">
        <f>E39</f>
        <v>РЩ1-1 (АВР-Б-40-2-1)</v>
      </c>
      <c r="B39" s="4"/>
      <c r="C39" s="4"/>
      <c r="D39" s="5"/>
      <c r="E39" s="4" t="s">
        <v>132</v>
      </c>
      <c r="F39" s="6"/>
      <c r="G39" s="6"/>
      <c r="H39" s="7"/>
      <c r="I39" s="8">
        <v>1</v>
      </c>
      <c r="J39" s="9" t="s">
        <v>9</v>
      </c>
      <c r="K39" s="4" t="s">
        <v>10</v>
      </c>
      <c r="L39" s="8" t="s">
        <v>22</v>
      </c>
      <c r="M39" s="7"/>
    </row>
    <row r="40" spans="1:14" ht="21" customHeight="1" x14ac:dyDescent="0.25">
      <c r="A40" s="13" t="str">
        <f t="shared" ref="A40:A51" si="11">A39</f>
        <v>РЩ1-1 (АВР-Б-40-2-1)</v>
      </c>
      <c r="B40" s="10" t="s">
        <v>11</v>
      </c>
      <c r="C40" s="10"/>
      <c r="D40" s="11" t="s">
        <v>168</v>
      </c>
      <c r="E40" s="10" t="s">
        <v>169</v>
      </c>
      <c r="F40" s="10">
        <v>130000</v>
      </c>
      <c r="G40" s="12">
        <f>0.6*F40</f>
        <v>78000</v>
      </c>
      <c r="H40" s="12">
        <f t="shared" ref="H40:H46" si="12">G40*I40</f>
        <v>78000</v>
      </c>
      <c r="I40" s="13">
        <v>1</v>
      </c>
      <c r="J40" s="14" t="s">
        <v>12</v>
      </c>
      <c r="K40" s="10" t="s">
        <v>13</v>
      </c>
      <c r="L40" s="13" t="str">
        <f t="shared" ref="L40:L51" si="13">L39</f>
        <v>Блок1</v>
      </c>
      <c r="M40" s="12">
        <v>78000</v>
      </c>
      <c r="N40">
        <v>78000</v>
      </c>
    </row>
    <row r="41" spans="1:14" ht="21" customHeight="1" x14ac:dyDescent="0.25">
      <c r="A41" s="13" t="str">
        <f t="shared" si="11"/>
        <v>РЩ1-1 (АВР-Б-40-2-1)</v>
      </c>
      <c r="B41" s="10" t="s">
        <v>44</v>
      </c>
      <c r="C41" s="10"/>
      <c r="D41" s="11" t="s">
        <v>162</v>
      </c>
      <c r="E41" s="10" t="s">
        <v>163</v>
      </c>
      <c r="F41" s="10">
        <v>114758</v>
      </c>
      <c r="G41" s="12">
        <f t="shared" ref="G41:G46" si="14">F41*0.55</f>
        <v>63116.900000000009</v>
      </c>
      <c r="H41" s="12">
        <f t="shared" si="12"/>
        <v>63116.900000000009</v>
      </c>
      <c r="I41" s="13">
        <v>1</v>
      </c>
      <c r="J41" s="14" t="s">
        <v>12</v>
      </c>
      <c r="K41" s="10" t="s">
        <v>14</v>
      </c>
      <c r="L41" s="13" t="str">
        <f t="shared" si="13"/>
        <v>Блок1</v>
      </c>
      <c r="M41" s="12">
        <v>63116.900000000009</v>
      </c>
      <c r="N41">
        <v>63116.900000000009</v>
      </c>
    </row>
    <row r="42" spans="1:14" ht="21" customHeight="1" x14ac:dyDescent="0.25">
      <c r="A42" s="13" t="str">
        <f t="shared" si="11"/>
        <v>РЩ1-1 (АВР-Б-40-2-1)</v>
      </c>
      <c r="B42" s="10" t="s">
        <v>27</v>
      </c>
      <c r="C42" s="10"/>
      <c r="D42" s="11">
        <v>126505</v>
      </c>
      <c r="E42" s="10" t="s">
        <v>45</v>
      </c>
      <c r="F42" s="10">
        <v>15740</v>
      </c>
      <c r="G42" s="12">
        <f t="shared" si="14"/>
        <v>8657</v>
      </c>
      <c r="H42" s="12">
        <f t="shared" si="12"/>
        <v>17314</v>
      </c>
      <c r="I42" s="13">
        <v>2</v>
      </c>
      <c r="J42" s="14" t="s">
        <v>12</v>
      </c>
      <c r="K42" s="10" t="s">
        <v>28</v>
      </c>
      <c r="L42" s="13" t="str">
        <f t="shared" si="13"/>
        <v>Блок1</v>
      </c>
      <c r="M42" s="12">
        <v>17314</v>
      </c>
      <c r="N42">
        <v>17314</v>
      </c>
    </row>
    <row r="43" spans="1:14" ht="21" customHeight="1" x14ac:dyDescent="0.25">
      <c r="A43" s="13" t="str">
        <f t="shared" si="11"/>
        <v>РЩ1-1 (АВР-Б-40-2-1)</v>
      </c>
      <c r="B43" s="10" t="s">
        <v>27</v>
      </c>
      <c r="C43" s="10"/>
      <c r="D43" s="11">
        <v>126677</v>
      </c>
      <c r="E43" s="10" t="s">
        <v>43</v>
      </c>
      <c r="F43" s="10">
        <v>14742</v>
      </c>
      <c r="G43" s="12">
        <f t="shared" si="14"/>
        <v>8108.1</v>
      </c>
      <c r="H43" s="12">
        <f t="shared" si="12"/>
        <v>16216.2</v>
      </c>
      <c r="I43" s="13">
        <v>2</v>
      </c>
      <c r="J43" s="14" t="s">
        <v>12</v>
      </c>
      <c r="K43" s="10" t="s">
        <v>28</v>
      </c>
      <c r="L43" s="13" t="str">
        <f t="shared" si="13"/>
        <v>Блок1</v>
      </c>
      <c r="M43" s="12">
        <v>16216.2</v>
      </c>
      <c r="N43">
        <v>16216.2</v>
      </c>
    </row>
    <row r="44" spans="1:14" ht="21" customHeight="1" x14ac:dyDescent="0.25">
      <c r="A44" s="13" t="str">
        <f t="shared" si="11"/>
        <v>РЩ1-1 (АВР-Б-40-2-1)</v>
      </c>
      <c r="B44" s="10" t="s">
        <v>17</v>
      </c>
      <c r="C44" s="10"/>
      <c r="D44" s="11">
        <v>814174</v>
      </c>
      <c r="E44" s="10" t="s">
        <v>46</v>
      </c>
      <c r="F44" s="10">
        <v>4823</v>
      </c>
      <c r="G44" s="12">
        <f t="shared" si="14"/>
        <v>2652.65</v>
      </c>
      <c r="H44" s="12">
        <f t="shared" si="12"/>
        <v>5305.3</v>
      </c>
      <c r="I44" s="13">
        <v>2</v>
      </c>
      <c r="J44" s="14" t="s">
        <v>12</v>
      </c>
      <c r="K44" s="10" t="s">
        <v>28</v>
      </c>
      <c r="L44" s="13" t="str">
        <f t="shared" si="13"/>
        <v>Блок1</v>
      </c>
      <c r="M44" s="12">
        <v>5305.3</v>
      </c>
      <c r="N44">
        <v>5305.3</v>
      </c>
    </row>
    <row r="45" spans="1:14" ht="21" customHeight="1" x14ac:dyDescent="0.25">
      <c r="A45" s="13" t="str">
        <f t="shared" si="11"/>
        <v>РЩ1-1 (АВР-Б-40-2-1)</v>
      </c>
      <c r="B45" s="10" t="s">
        <v>18</v>
      </c>
      <c r="C45" s="10"/>
      <c r="D45" s="11">
        <v>819975</v>
      </c>
      <c r="E45" s="10" t="s">
        <v>47</v>
      </c>
      <c r="F45" s="10">
        <v>5369</v>
      </c>
      <c r="G45" s="12">
        <f t="shared" si="14"/>
        <v>2952.9500000000003</v>
      </c>
      <c r="H45" s="12">
        <f t="shared" si="12"/>
        <v>2952.9500000000003</v>
      </c>
      <c r="I45" s="13">
        <v>1</v>
      </c>
      <c r="J45" s="14" t="s">
        <v>12</v>
      </c>
      <c r="K45" s="10" t="s">
        <v>28</v>
      </c>
      <c r="L45" s="13" t="str">
        <f t="shared" si="13"/>
        <v>Блок1</v>
      </c>
      <c r="M45" s="12">
        <v>2952.9500000000003</v>
      </c>
      <c r="N45">
        <v>2952.9500000000003</v>
      </c>
    </row>
    <row r="46" spans="1:14" ht="21" customHeight="1" x14ac:dyDescent="0.25">
      <c r="A46" s="13" t="str">
        <f t="shared" si="11"/>
        <v>РЩ1-1 (АВР-Б-40-2-1)</v>
      </c>
      <c r="B46" s="10" t="s">
        <v>17</v>
      </c>
      <c r="C46" s="10"/>
      <c r="D46" s="11">
        <v>814167</v>
      </c>
      <c r="E46" s="10" t="s">
        <v>48</v>
      </c>
      <c r="F46" s="10">
        <v>5187</v>
      </c>
      <c r="G46" s="12">
        <f t="shared" si="14"/>
        <v>2852.8500000000004</v>
      </c>
      <c r="H46" s="12">
        <f t="shared" si="12"/>
        <v>2852.8500000000004</v>
      </c>
      <c r="I46" s="13">
        <v>1</v>
      </c>
      <c r="J46" s="14" t="s">
        <v>12</v>
      </c>
      <c r="K46" s="10" t="s">
        <v>28</v>
      </c>
      <c r="L46" s="13" t="str">
        <f t="shared" si="13"/>
        <v>Блок1</v>
      </c>
      <c r="M46" s="12">
        <v>2852.8500000000004</v>
      </c>
      <c r="N46">
        <v>2852.8500000000004</v>
      </c>
    </row>
    <row r="47" spans="1:14" ht="21" customHeight="1" x14ac:dyDescent="0.25">
      <c r="A47" s="13" t="str">
        <f t="shared" si="11"/>
        <v>РЩ1-1 (АВР-Б-40-2-1)</v>
      </c>
      <c r="B47" s="10" t="s">
        <v>15</v>
      </c>
      <c r="C47" s="10"/>
      <c r="D47" s="11" t="s">
        <v>179</v>
      </c>
      <c r="E47" s="10" t="s">
        <v>180</v>
      </c>
      <c r="F47" s="10">
        <v>83000</v>
      </c>
      <c r="G47" s="12">
        <f>F47</f>
        <v>83000</v>
      </c>
      <c r="H47" s="12">
        <v>39100</v>
      </c>
      <c r="I47" s="13">
        <v>1</v>
      </c>
      <c r="J47" s="14" t="s">
        <v>12</v>
      </c>
      <c r="K47" s="10" t="s">
        <v>16</v>
      </c>
      <c r="L47" s="13" t="str">
        <f t="shared" si="13"/>
        <v>Блок1</v>
      </c>
      <c r="M47" s="12">
        <v>39100</v>
      </c>
      <c r="N47">
        <v>39100</v>
      </c>
    </row>
    <row r="48" spans="1:14" ht="21" customHeight="1" x14ac:dyDescent="0.25">
      <c r="A48" s="13" t="str">
        <f t="shared" si="11"/>
        <v>РЩ1-1 (АВР-Б-40-2-1)</v>
      </c>
      <c r="B48" s="10" t="s">
        <v>30</v>
      </c>
      <c r="C48" s="10"/>
      <c r="D48" s="11"/>
      <c r="E48" s="10" t="s">
        <v>31</v>
      </c>
      <c r="F48" s="10">
        <v>4500</v>
      </c>
      <c r="G48" s="12">
        <f>F48*0.55</f>
        <v>2475</v>
      </c>
      <c r="H48" s="12">
        <f>G48*I48</f>
        <v>14850</v>
      </c>
      <c r="I48" s="13">
        <v>6</v>
      </c>
      <c r="J48" s="14" t="s">
        <v>12</v>
      </c>
      <c r="K48" s="10" t="s">
        <v>25</v>
      </c>
      <c r="L48" s="13" t="e">
        <f>#REF!</f>
        <v>#REF!</v>
      </c>
      <c r="M48" s="12">
        <v>14850</v>
      </c>
      <c r="N48">
        <v>14850</v>
      </c>
    </row>
    <row r="49" spans="1:14" ht="24" customHeight="1" x14ac:dyDescent="0.25">
      <c r="A49" s="10" t="str">
        <f t="shared" si="11"/>
        <v>РЩ1-1 (АВР-Б-40-2-1)</v>
      </c>
      <c r="B49" s="10" t="s">
        <v>19</v>
      </c>
      <c r="C49" s="10"/>
      <c r="D49" s="11" t="s">
        <v>19</v>
      </c>
      <c r="E49" s="10" t="s">
        <v>19</v>
      </c>
      <c r="F49" s="10">
        <f ca="1">OFFSET(F49,1,2)</f>
        <v>39000</v>
      </c>
      <c r="G49" s="12">
        <f ca="1">F49*0.55</f>
        <v>21450</v>
      </c>
      <c r="H49" s="12">
        <f ca="1">G49*I49</f>
        <v>21450</v>
      </c>
      <c r="I49" s="10">
        <v>1</v>
      </c>
      <c r="J49" s="10" t="s">
        <v>12</v>
      </c>
      <c r="K49" s="10" t="s">
        <v>19</v>
      </c>
      <c r="L49" s="13" t="e">
        <f t="shared" si="13"/>
        <v>#REF!</v>
      </c>
      <c r="M49" s="12">
        <v>21450</v>
      </c>
      <c r="N49">
        <v>21450</v>
      </c>
    </row>
    <row r="50" spans="1:14" ht="21" customHeight="1" x14ac:dyDescent="0.25">
      <c r="A50" s="10" t="str">
        <f t="shared" si="11"/>
        <v>РЩ1-1 (АВР-Б-40-2-1)</v>
      </c>
      <c r="B50" s="10" t="s">
        <v>20</v>
      </c>
      <c r="C50" s="10"/>
      <c r="D50" s="11" t="s">
        <v>20</v>
      </c>
      <c r="E50" s="10" t="s">
        <v>20</v>
      </c>
      <c r="F50" s="10">
        <v>6.5</v>
      </c>
      <c r="G50" s="12">
        <v>100</v>
      </c>
      <c r="H50" s="12">
        <f>G50*I50</f>
        <v>39000</v>
      </c>
      <c r="I50" s="10">
        <f>60*F50</f>
        <v>390</v>
      </c>
      <c r="J50" s="10" t="s">
        <v>12</v>
      </c>
      <c r="K50" s="10" t="s">
        <v>20</v>
      </c>
      <c r="L50" s="13" t="e">
        <f t="shared" si="13"/>
        <v>#REF!</v>
      </c>
      <c r="M50" s="12">
        <v>39000</v>
      </c>
      <c r="N50">
        <v>39000</v>
      </c>
    </row>
    <row r="51" spans="1:14" ht="30" customHeight="1" x14ac:dyDescent="0.25">
      <c r="A51" s="15" t="str">
        <f t="shared" si="11"/>
        <v>РЩ1-1 (АВР-Б-40-2-1)</v>
      </c>
      <c r="B51" s="15"/>
      <c r="C51" s="15"/>
      <c r="D51" s="15"/>
      <c r="E51" s="16"/>
      <c r="F51" s="17"/>
      <c r="G51" s="12">
        <f>F51*0.55</f>
        <v>0</v>
      </c>
      <c r="H51" s="18">
        <f ca="1">SUM(H40:H50)</f>
        <v>300158.20000000007</v>
      </c>
      <c r="I51" s="15"/>
      <c r="J51" s="19"/>
      <c r="K51" s="15"/>
      <c r="L51" s="13" t="e">
        <f t="shared" si="13"/>
        <v>#REF!</v>
      </c>
      <c r="M51" s="18">
        <v>300158.20000000007</v>
      </c>
      <c r="N51">
        <v>300158.20000000007</v>
      </c>
    </row>
    <row r="52" spans="1:14" ht="39.75" customHeight="1" x14ac:dyDescent="0.25">
      <c r="A52" s="8" t="str">
        <f>E52</f>
        <v>ВРУ1-2</v>
      </c>
      <c r="B52" s="4"/>
      <c r="C52" s="4"/>
      <c r="D52" s="5"/>
      <c r="E52" s="4" t="s">
        <v>52</v>
      </c>
      <c r="F52" s="6"/>
      <c r="G52" s="6"/>
      <c r="H52" s="7"/>
      <c r="I52" s="8">
        <v>1</v>
      </c>
      <c r="J52" s="9" t="s">
        <v>9</v>
      </c>
      <c r="K52" s="4" t="s">
        <v>10</v>
      </c>
      <c r="L52" s="8" t="s">
        <v>53</v>
      </c>
      <c r="M52" s="7"/>
    </row>
    <row r="53" spans="1:14" ht="21" customHeight="1" x14ac:dyDescent="0.25">
      <c r="A53" s="13" t="str">
        <f t="shared" ref="A53:A63" si="15">A52</f>
        <v>ВРУ1-2</v>
      </c>
      <c r="B53" s="10" t="s">
        <v>11</v>
      </c>
      <c r="C53" s="10"/>
      <c r="D53" s="11" t="s">
        <v>172</v>
      </c>
      <c r="E53" s="10" t="s">
        <v>173</v>
      </c>
      <c r="F53" s="10">
        <v>156500</v>
      </c>
      <c r="G53" s="12">
        <f>0.6*F53</f>
        <v>93900</v>
      </c>
      <c r="H53" s="12">
        <f>G53*I53</f>
        <v>93900</v>
      </c>
      <c r="I53" s="13">
        <v>1</v>
      </c>
      <c r="J53" s="14" t="s">
        <v>12</v>
      </c>
      <c r="K53" s="10" t="s">
        <v>13</v>
      </c>
      <c r="L53" s="13" t="str">
        <f t="shared" ref="L53:L63" si="16">L52</f>
        <v>Блок2</v>
      </c>
      <c r="M53" s="12">
        <v>93900</v>
      </c>
      <c r="N53">
        <v>93900</v>
      </c>
    </row>
    <row r="54" spans="1:14" ht="21" customHeight="1" x14ac:dyDescent="0.25">
      <c r="A54" s="13" t="str">
        <f t="shared" si="15"/>
        <v>ВРУ1-2</v>
      </c>
      <c r="B54" s="10" t="s">
        <v>23</v>
      </c>
      <c r="C54" s="10"/>
      <c r="D54" s="11"/>
      <c r="E54" s="10" t="s">
        <v>24</v>
      </c>
      <c r="F54" s="10">
        <v>4701</v>
      </c>
      <c r="G54" s="12">
        <v>4701</v>
      </c>
      <c r="H54" s="12">
        <v>28206</v>
      </c>
      <c r="I54" s="13">
        <v>6</v>
      </c>
      <c r="J54" s="14" t="s">
        <v>12</v>
      </c>
      <c r="K54" s="10" t="s">
        <v>25</v>
      </c>
      <c r="L54" s="13" t="str">
        <f t="shared" si="16"/>
        <v>Блок2</v>
      </c>
      <c r="M54" s="12">
        <v>28206</v>
      </c>
      <c r="N54">
        <v>28206</v>
      </c>
    </row>
    <row r="55" spans="1:14" ht="21" customHeight="1" x14ac:dyDescent="0.25">
      <c r="A55" s="13" t="str">
        <f t="shared" si="15"/>
        <v>ВРУ1-2</v>
      </c>
      <c r="B55" s="10" t="s">
        <v>26</v>
      </c>
      <c r="C55" s="10"/>
      <c r="D55" s="11" t="s">
        <v>177</v>
      </c>
      <c r="E55" s="10" t="s">
        <v>178</v>
      </c>
      <c r="F55" s="10">
        <v>25500</v>
      </c>
      <c r="G55" s="12">
        <f>F55*0.55</f>
        <v>14025.000000000002</v>
      </c>
      <c r="H55" s="12">
        <f>G55*I55</f>
        <v>28050.000000000004</v>
      </c>
      <c r="I55" s="13">
        <v>2</v>
      </c>
      <c r="J55" s="14" t="s">
        <v>12</v>
      </c>
      <c r="K55" s="10" t="s">
        <v>25</v>
      </c>
      <c r="L55" s="13" t="str">
        <f t="shared" si="16"/>
        <v>Блок2</v>
      </c>
      <c r="M55" s="12">
        <v>28050.000000000004</v>
      </c>
      <c r="N55">
        <v>28050.000000000004</v>
      </c>
    </row>
    <row r="56" spans="1:14" ht="21" customHeight="1" x14ac:dyDescent="0.25">
      <c r="A56" s="13" t="str">
        <f t="shared" si="15"/>
        <v>ВРУ1-2</v>
      </c>
      <c r="B56" s="10" t="s">
        <v>127</v>
      </c>
      <c r="C56" s="10"/>
      <c r="D56" s="11" t="s">
        <v>130</v>
      </c>
      <c r="E56" s="10" t="s">
        <v>131</v>
      </c>
      <c r="F56" s="10">
        <v>4750</v>
      </c>
      <c r="G56" s="12">
        <f>F56*0.55</f>
        <v>2612.5</v>
      </c>
      <c r="H56" s="12">
        <f>G56*I56</f>
        <v>5225</v>
      </c>
      <c r="I56" s="13">
        <v>2</v>
      </c>
      <c r="J56" s="14" t="s">
        <v>12</v>
      </c>
      <c r="K56" s="10" t="s">
        <v>14</v>
      </c>
      <c r="L56" s="13" t="str">
        <f>L54</f>
        <v>Блок2</v>
      </c>
      <c r="M56" s="12">
        <v>5225</v>
      </c>
      <c r="N56">
        <v>5225</v>
      </c>
    </row>
    <row r="57" spans="1:14" ht="21" customHeight="1" x14ac:dyDescent="0.25">
      <c r="A57" s="13" t="str">
        <f t="shared" si="15"/>
        <v>ВРУ1-2</v>
      </c>
      <c r="B57" s="10" t="s">
        <v>126</v>
      </c>
      <c r="C57" s="10"/>
      <c r="D57" s="11" t="s">
        <v>128</v>
      </c>
      <c r="E57" s="10" t="s">
        <v>129</v>
      </c>
      <c r="F57" s="10">
        <v>3317</v>
      </c>
      <c r="G57" s="12">
        <f>F57*0.55</f>
        <v>1824.3500000000001</v>
      </c>
      <c r="H57" s="12">
        <f>G57*I57</f>
        <v>3648.7000000000003</v>
      </c>
      <c r="I57" s="13">
        <v>2</v>
      </c>
      <c r="J57" s="14" t="s">
        <v>12</v>
      </c>
      <c r="K57" s="10" t="s">
        <v>14</v>
      </c>
      <c r="L57" s="13" t="str">
        <f>L55</f>
        <v>Блок2</v>
      </c>
      <c r="M57" s="12">
        <v>3648.7000000000003</v>
      </c>
      <c r="N57">
        <v>3648.7000000000003</v>
      </c>
    </row>
    <row r="58" spans="1:14" ht="21" customHeight="1" x14ac:dyDescent="0.25">
      <c r="A58" s="13" t="str">
        <f t="shared" si="15"/>
        <v>ВРУ1-2</v>
      </c>
      <c r="B58" s="10" t="s">
        <v>17</v>
      </c>
      <c r="C58" s="10"/>
      <c r="D58" s="11">
        <v>296708</v>
      </c>
      <c r="E58" s="10" t="s">
        <v>29</v>
      </c>
      <c r="F58" s="10">
        <v>828</v>
      </c>
      <c r="G58" s="12">
        <f>F58*0.55</f>
        <v>455.40000000000003</v>
      </c>
      <c r="H58" s="12">
        <f>G58*I58</f>
        <v>910.80000000000007</v>
      </c>
      <c r="I58" s="13">
        <v>2</v>
      </c>
      <c r="J58" s="14" t="s">
        <v>12</v>
      </c>
      <c r="K58" s="10" t="s">
        <v>28</v>
      </c>
      <c r="L58" s="13" t="str">
        <f t="shared" ref="L58:L59" si="17">L56</f>
        <v>Блок2</v>
      </c>
      <c r="M58" s="12">
        <v>910.80000000000007</v>
      </c>
      <c r="N58">
        <v>910.80000000000007</v>
      </c>
    </row>
    <row r="59" spans="1:14" ht="21" customHeight="1" x14ac:dyDescent="0.25">
      <c r="A59" s="13" t="str">
        <f t="shared" si="15"/>
        <v>ВРУ1-2</v>
      </c>
      <c r="B59" s="10" t="s">
        <v>15</v>
      </c>
      <c r="C59" s="10"/>
      <c r="D59" s="11" t="s">
        <v>179</v>
      </c>
      <c r="E59" s="10" t="s">
        <v>180</v>
      </c>
      <c r="F59" s="10">
        <v>83000</v>
      </c>
      <c r="G59" s="12">
        <f>F59</f>
        <v>83000</v>
      </c>
      <c r="H59" s="12">
        <v>78200</v>
      </c>
      <c r="I59" s="13">
        <v>2</v>
      </c>
      <c r="J59" s="14" t="s">
        <v>12</v>
      </c>
      <c r="K59" s="10" t="s">
        <v>16</v>
      </c>
      <c r="L59" s="13" t="str">
        <f t="shared" si="17"/>
        <v>Блок2</v>
      </c>
      <c r="M59" s="12">
        <v>78200</v>
      </c>
      <c r="N59">
        <v>78200</v>
      </c>
    </row>
    <row r="60" spans="1:14" ht="21" customHeight="1" x14ac:dyDescent="0.25">
      <c r="A60" s="13" t="str">
        <f t="shared" si="15"/>
        <v>ВРУ1-2</v>
      </c>
      <c r="B60" s="10" t="s">
        <v>30</v>
      </c>
      <c r="C60" s="10"/>
      <c r="D60" s="11"/>
      <c r="E60" s="10" t="s">
        <v>31</v>
      </c>
      <c r="F60" s="10">
        <v>4500</v>
      </c>
      <c r="G60" s="12">
        <f>F60*0.55</f>
        <v>2475</v>
      </c>
      <c r="H60" s="12">
        <f>G60*I60</f>
        <v>14850</v>
      </c>
      <c r="I60" s="13">
        <v>6</v>
      </c>
      <c r="J60" s="14" t="s">
        <v>12</v>
      </c>
      <c r="K60" s="10" t="s">
        <v>25</v>
      </c>
      <c r="L60" s="13" t="str">
        <f t="shared" si="16"/>
        <v>Блок2</v>
      </c>
      <c r="M60" s="12">
        <v>14850</v>
      </c>
      <c r="N60">
        <v>14850</v>
      </c>
    </row>
    <row r="61" spans="1:14" ht="24" customHeight="1" x14ac:dyDescent="0.25">
      <c r="A61" s="10" t="str">
        <f t="shared" si="15"/>
        <v>ВРУ1-2</v>
      </c>
      <c r="B61" s="10" t="s">
        <v>19</v>
      </c>
      <c r="C61" s="10"/>
      <c r="D61" s="11" t="s">
        <v>19</v>
      </c>
      <c r="E61" s="10" t="s">
        <v>19</v>
      </c>
      <c r="F61" s="10">
        <f ca="1">OFFSET(F61,1,2)</f>
        <v>48000</v>
      </c>
      <c r="G61" s="12">
        <f ca="1">F61*0.55</f>
        <v>26400.000000000004</v>
      </c>
      <c r="H61" s="12">
        <f ca="1">G61*I61</f>
        <v>26400.000000000004</v>
      </c>
      <c r="I61" s="10">
        <v>1</v>
      </c>
      <c r="J61" s="10" t="s">
        <v>12</v>
      </c>
      <c r="K61" s="10" t="s">
        <v>19</v>
      </c>
      <c r="L61" s="13" t="str">
        <f t="shared" si="16"/>
        <v>Блок2</v>
      </c>
      <c r="M61" s="12">
        <v>26400.000000000004</v>
      </c>
      <c r="N61">
        <v>26400.000000000004</v>
      </c>
    </row>
    <row r="62" spans="1:14" ht="21" customHeight="1" x14ac:dyDescent="0.25">
      <c r="A62" s="10" t="str">
        <f t="shared" si="15"/>
        <v>ВРУ1-2</v>
      </c>
      <c r="B62" s="10" t="s">
        <v>20</v>
      </c>
      <c r="C62" s="10"/>
      <c r="D62" s="11" t="s">
        <v>20</v>
      </c>
      <c r="E62" s="10" t="s">
        <v>20</v>
      </c>
      <c r="F62" s="10">
        <v>8</v>
      </c>
      <c r="G62" s="12">
        <v>100</v>
      </c>
      <c r="H62" s="12">
        <f>G62*I62</f>
        <v>48000</v>
      </c>
      <c r="I62" s="10">
        <f>60*F62</f>
        <v>480</v>
      </c>
      <c r="J62" s="10" t="s">
        <v>12</v>
      </c>
      <c r="K62" s="10" t="s">
        <v>20</v>
      </c>
      <c r="L62" s="13" t="str">
        <f t="shared" si="16"/>
        <v>Блок2</v>
      </c>
      <c r="M62" s="12">
        <v>48000</v>
      </c>
      <c r="N62">
        <v>48000</v>
      </c>
    </row>
    <row r="63" spans="1:14" ht="30" customHeight="1" x14ac:dyDescent="0.25">
      <c r="A63" s="15" t="str">
        <f t="shared" si="15"/>
        <v>ВРУ1-2</v>
      </c>
      <c r="B63" s="15"/>
      <c r="C63" s="15"/>
      <c r="D63" s="15"/>
      <c r="E63" s="16"/>
      <c r="F63" s="17"/>
      <c r="G63" s="12">
        <f>F63*0.55</f>
        <v>0</v>
      </c>
      <c r="H63" s="18">
        <f ca="1">SUM(H53:H62)</f>
        <v>327390.5</v>
      </c>
      <c r="I63" s="15"/>
      <c r="J63" s="19"/>
      <c r="K63" s="15"/>
      <c r="L63" s="13" t="str">
        <f t="shared" si="16"/>
        <v>Блок2</v>
      </c>
      <c r="M63" s="18">
        <v>327390.5</v>
      </c>
      <c r="N63">
        <v>327390.5</v>
      </c>
    </row>
    <row r="64" spans="1:14" ht="39.75" customHeight="1" x14ac:dyDescent="0.25">
      <c r="A64" s="8" t="str">
        <f>E64</f>
        <v>РУ-1-2(Блок2)</v>
      </c>
      <c r="B64" s="4"/>
      <c r="C64" s="4"/>
      <c r="D64" s="5"/>
      <c r="E64" s="4" t="s">
        <v>54</v>
      </c>
      <c r="F64" s="6"/>
      <c r="G64" s="6"/>
      <c r="H64" s="7"/>
      <c r="I64" s="8">
        <v>1</v>
      </c>
      <c r="J64" s="9" t="s">
        <v>9</v>
      </c>
      <c r="K64" s="4" t="s">
        <v>10</v>
      </c>
      <c r="L64" s="8" t="s">
        <v>53</v>
      </c>
      <c r="M64" s="7"/>
    </row>
    <row r="65" spans="1:14" ht="21" customHeight="1" x14ac:dyDescent="0.25">
      <c r="A65" s="13" t="str">
        <f t="shared" ref="A65:A71" si="18">A64</f>
        <v>РУ-1-2(Блок2)</v>
      </c>
      <c r="B65" s="10" t="s">
        <v>11</v>
      </c>
      <c r="C65" s="10"/>
      <c r="D65" s="11" t="s">
        <v>170</v>
      </c>
      <c r="E65" s="10" t="s">
        <v>171</v>
      </c>
      <c r="F65" s="10">
        <v>145000</v>
      </c>
      <c r="G65" s="12">
        <f>0.6*F65</f>
        <v>87000</v>
      </c>
      <c r="H65" s="12">
        <f t="shared" ref="H65:H70" si="19">G65*I65</f>
        <v>87000</v>
      </c>
      <c r="I65" s="13">
        <v>1</v>
      </c>
      <c r="J65" s="14" t="s">
        <v>12</v>
      </c>
      <c r="K65" s="10" t="s">
        <v>13</v>
      </c>
      <c r="L65" s="13" t="str">
        <f t="shared" ref="L65:L71" si="20">L64</f>
        <v>Блок2</v>
      </c>
      <c r="M65" s="12">
        <v>87000</v>
      </c>
      <c r="N65">
        <v>87000</v>
      </c>
    </row>
    <row r="66" spans="1:14" ht="21" customHeight="1" x14ac:dyDescent="0.25">
      <c r="A66" s="13" t="str">
        <f t="shared" si="18"/>
        <v>РУ-1-2(Блок2)</v>
      </c>
      <c r="B66" s="10" t="s">
        <v>27</v>
      </c>
      <c r="C66" s="10"/>
      <c r="D66" s="11">
        <v>126583</v>
      </c>
      <c r="E66" s="10" t="s">
        <v>33</v>
      </c>
      <c r="F66" s="10">
        <v>28665</v>
      </c>
      <c r="G66" s="12">
        <f t="shared" ref="G66:G71" si="21">F66*0.55</f>
        <v>15765.750000000002</v>
      </c>
      <c r="H66" s="12">
        <f t="shared" si="19"/>
        <v>31531.500000000004</v>
      </c>
      <c r="I66" s="13">
        <v>2</v>
      </c>
      <c r="J66" s="14" t="s">
        <v>12</v>
      </c>
      <c r="K66" s="10" t="s">
        <v>28</v>
      </c>
      <c r="L66" s="13" t="str">
        <f t="shared" si="20"/>
        <v>Блок2</v>
      </c>
      <c r="M66" s="12">
        <v>31531.500000000004</v>
      </c>
      <c r="N66">
        <v>31531.500000000004</v>
      </c>
    </row>
    <row r="67" spans="1:14" ht="21" customHeight="1" x14ac:dyDescent="0.25">
      <c r="A67" s="13" t="str">
        <f t="shared" si="18"/>
        <v>РУ-1-2(Блок2)</v>
      </c>
      <c r="B67" s="10" t="s">
        <v>27</v>
      </c>
      <c r="C67" s="10"/>
      <c r="D67" s="11">
        <v>126584</v>
      </c>
      <c r="E67" s="10" t="s">
        <v>34</v>
      </c>
      <c r="F67" s="10">
        <v>28756</v>
      </c>
      <c r="G67" s="12">
        <f t="shared" si="21"/>
        <v>15815.800000000001</v>
      </c>
      <c r="H67" s="12">
        <f t="shared" si="19"/>
        <v>15815.800000000001</v>
      </c>
      <c r="I67" s="13">
        <v>1</v>
      </c>
      <c r="J67" s="14" t="s">
        <v>12</v>
      </c>
      <c r="K67" s="10" t="s">
        <v>28</v>
      </c>
      <c r="L67" s="13" t="str">
        <f t="shared" si="20"/>
        <v>Блок2</v>
      </c>
      <c r="M67" s="12">
        <v>15815.800000000001</v>
      </c>
      <c r="N67">
        <v>15815.800000000001</v>
      </c>
    </row>
    <row r="68" spans="1:14" ht="21" customHeight="1" x14ac:dyDescent="0.25">
      <c r="A68" s="13" t="str">
        <f t="shared" si="18"/>
        <v>РУ-1-2(Блок2)</v>
      </c>
      <c r="B68" s="10" t="s">
        <v>27</v>
      </c>
      <c r="C68" s="10"/>
      <c r="D68" s="11">
        <v>126507</v>
      </c>
      <c r="E68" s="10" t="s">
        <v>35</v>
      </c>
      <c r="F68" s="10">
        <v>17108</v>
      </c>
      <c r="G68" s="12">
        <f t="shared" si="21"/>
        <v>9409.4000000000015</v>
      </c>
      <c r="H68" s="12">
        <f t="shared" si="19"/>
        <v>18818.800000000003</v>
      </c>
      <c r="I68" s="13">
        <v>2</v>
      </c>
      <c r="J68" s="14" t="s">
        <v>12</v>
      </c>
      <c r="K68" s="10" t="s">
        <v>28</v>
      </c>
      <c r="L68" s="13" t="str">
        <f t="shared" si="20"/>
        <v>Блок2</v>
      </c>
      <c r="M68" s="12">
        <v>18818.800000000003</v>
      </c>
      <c r="N68">
        <v>18818.800000000003</v>
      </c>
    </row>
    <row r="69" spans="1:14" ht="24" customHeight="1" x14ac:dyDescent="0.25">
      <c r="A69" s="10" t="str">
        <f t="shared" si="18"/>
        <v>РУ-1-2(Блок2)</v>
      </c>
      <c r="B69" s="10" t="s">
        <v>19</v>
      </c>
      <c r="C69" s="10"/>
      <c r="D69" s="11" t="s">
        <v>19</v>
      </c>
      <c r="E69" s="10" t="s">
        <v>19</v>
      </c>
      <c r="F69" s="10">
        <f ca="1">OFFSET(F69,1,2)</f>
        <v>27000</v>
      </c>
      <c r="G69" s="12">
        <f ca="1">F69*0.55</f>
        <v>14850.000000000002</v>
      </c>
      <c r="H69" s="12">
        <f ca="1">G69*I69</f>
        <v>14850.000000000002</v>
      </c>
      <c r="I69" s="10">
        <v>1</v>
      </c>
      <c r="J69" s="10" t="s">
        <v>12</v>
      </c>
      <c r="K69" s="10" t="s">
        <v>19</v>
      </c>
      <c r="L69" s="13" t="str">
        <f t="shared" si="20"/>
        <v>Блок2</v>
      </c>
      <c r="M69" s="12">
        <v>14850.000000000002</v>
      </c>
      <c r="N69">
        <v>14850.000000000002</v>
      </c>
    </row>
    <row r="70" spans="1:14" ht="21" customHeight="1" x14ac:dyDescent="0.25">
      <c r="A70" s="10" t="str">
        <f t="shared" si="18"/>
        <v>РУ-1-2(Блок2)</v>
      </c>
      <c r="B70" s="10" t="s">
        <v>20</v>
      </c>
      <c r="C70" s="10"/>
      <c r="D70" s="11" t="s">
        <v>20</v>
      </c>
      <c r="E70" s="10" t="s">
        <v>20</v>
      </c>
      <c r="F70" s="10">
        <v>4.5</v>
      </c>
      <c r="G70" s="12">
        <v>100</v>
      </c>
      <c r="H70" s="12">
        <f t="shared" si="19"/>
        <v>27000</v>
      </c>
      <c r="I70" s="10">
        <f>60*F70</f>
        <v>270</v>
      </c>
      <c r="J70" s="10" t="s">
        <v>12</v>
      </c>
      <c r="K70" s="10" t="s">
        <v>20</v>
      </c>
      <c r="L70" s="13" t="str">
        <f t="shared" si="20"/>
        <v>Блок2</v>
      </c>
      <c r="M70" s="12">
        <v>27000</v>
      </c>
      <c r="N70">
        <v>27000</v>
      </c>
    </row>
    <row r="71" spans="1:14" ht="30" customHeight="1" x14ac:dyDescent="0.25">
      <c r="A71" s="15" t="str">
        <f t="shared" si="18"/>
        <v>РУ-1-2(Блок2)</v>
      </c>
      <c r="B71" s="15"/>
      <c r="C71" s="15"/>
      <c r="D71" s="15"/>
      <c r="E71" s="16"/>
      <c r="F71" s="17"/>
      <c r="G71" s="12">
        <f t="shared" si="21"/>
        <v>0</v>
      </c>
      <c r="H71" s="18">
        <f ca="1">SUM(H65:H70)</f>
        <v>195016.09999999998</v>
      </c>
      <c r="I71" s="15"/>
      <c r="J71" s="19"/>
      <c r="K71" s="15"/>
      <c r="L71" s="13" t="str">
        <f t="shared" si="20"/>
        <v>Блок2</v>
      </c>
      <c r="M71" s="18">
        <v>195016.09999999998</v>
      </c>
      <c r="N71">
        <v>195016.09999999998</v>
      </c>
    </row>
    <row r="72" spans="1:14" ht="39.75" customHeight="1" x14ac:dyDescent="0.25">
      <c r="A72" s="8" t="str">
        <f>E72</f>
        <v>РУ-2-2</v>
      </c>
      <c r="B72" s="4"/>
      <c r="C72" s="4"/>
      <c r="D72" s="5"/>
      <c r="E72" s="4" t="s">
        <v>55</v>
      </c>
      <c r="F72" s="6"/>
      <c r="G72" s="6"/>
      <c r="H72" s="7"/>
      <c r="I72" s="8">
        <v>1</v>
      </c>
      <c r="J72" s="9" t="s">
        <v>9</v>
      </c>
      <c r="K72" s="4" t="s">
        <v>10</v>
      </c>
      <c r="L72" s="8" t="s">
        <v>53</v>
      </c>
      <c r="M72" s="7"/>
    </row>
    <row r="73" spans="1:14" ht="21" customHeight="1" x14ac:dyDescent="0.25">
      <c r="A73" s="13" t="str">
        <f t="shared" ref="A73:A79" si="22">A72</f>
        <v>РУ-2-2</v>
      </c>
      <c r="B73" s="10" t="s">
        <v>11</v>
      </c>
      <c r="C73" s="10"/>
      <c r="D73" s="11" t="s">
        <v>170</v>
      </c>
      <c r="E73" s="10" t="s">
        <v>171</v>
      </c>
      <c r="F73" s="10">
        <v>145000</v>
      </c>
      <c r="G73" s="12">
        <f>0.6*F73</f>
        <v>87000</v>
      </c>
      <c r="H73" s="12">
        <f t="shared" ref="H73:H78" si="23">G73*I73</f>
        <v>87000</v>
      </c>
      <c r="I73" s="13">
        <v>1</v>
      </c>
      <c r="J73" s="14" t="s">
        <v>12</v>
      </c>
      <c r="K73" s="10" t="s">
        <v>13</v>
      </c>
      <c r="L73" s="13" t="str">
        <f t="shared" ref="L73:L79" si="24">L72</f>
        <v>Блок2</v>
      </c>
      <c r="M73" s="12">
        <v>87000</v>
      </c>
      <c r="N73">
        <v>87000</v>
      </c>
    </row>
    <row r="74" spans="1:14" ht="21" customHeight="1" x14ac:dyDescent="0.25">
      <c r="A74" s="13" t="str">
        <f t="shared" si="22"/>
        <v>РУ-2-2</v>
      </c>
      <c r="B74" s="10" t="s">
        <v>27</v>
      </c>
      <c r="C74" s="10"/>
      <c r="D74" s="11">
        <v>126584</v>
      </c>
      <c r="E74" s="10" t="s">
        <v>34</v>
      </c>
      <c r="F74" s="10">
        <v>28756</v>
      </c>
      <c r="G74" s="12">
        <f>F74*0.55</f>
        <v>15815.800000000001</v>
      </c>
      <c r="H74" s="12">
        <f t="shared" si="23"/>
        <v>15815.800000000001</v>
      </c>
      <c r="I74" s="13">
        <v>1</v>
      </c>
      <c r="J74" s="14" t="s">
        <v>12</v>
      </c>
      <c r="K74" s="10" t="s">
        <v>28</v>
      </c>
      <c r="L74" s="13" t="str">
        <f t="shared" si="24"/>
        <v>Блок2</v>
      </c>
      <c r="M74" s="12">
        <v>15815.800000000001</v>
      </c>
      <c r="N74">
        <v>15815.800000000001</v>
      </c>
    </row>
    <row r="75" spans="1:14" ht="21" customHeight="1" x14ac:dyDescent="0.25">
      <c r="A75" s="13" t="str">
        <f t="shared" si="22"/>
        <v>РУ-2-2</v>
      </c>
      <c r="B75" s="10" t="s">
        <v>27</v>
      </c>
      <c r="C75" s="10"/>
      <c r="D75" s="11">
        <v>126511</v>
      </c>
      <c r="E75" s="10" t="s">
        <v>37</v>
      </c>
      <c r="F75" s="10">
        <v>16562</v>
      </c>
      <c r="G75" s="12">
        <f>F75*0.55</f>
        <v>9109.1</v>
      </c>
      <c r="H75" s="12">
        <f t="shared" si="23"/>
        <v>27327.300000000003</v>
      </c>
      <c r="I75" s="13">
        <v>3</v>
      </c>
      <c r="J75" s="14" t="s">
        <v>12</v>
      </c>
      <c r="K75" s="10" t="s">
        <v>28</v>
      </c>
      <c r="L75" s="13" t="str">
        <f t="shared" si="24"/>
        <v>Блок2</v>
      </c>
      <c r="M75" s="12">
        <v>27327.300000000003</v>
      </c>
      <c r="N75">
        <v>27327.300000000003</v>
      </c>
    </row>
    <row r="76" spans="1:14" ht="21" customHeight="1" x14ac:dyDescent="0.25">
      <c r="A76" s="13" t="str">
        <f t="shared" si="22"/>
        <v>РУ-2-2</v>
      </c>
      <c r="B76" s="10" t="s">
        <v>27</v>
      </c>
      <c r="C76" s="10"/>
      <c r="D76" s="11">
        <v>126510</v>
      </c>
      <c r="E76" s="10" t="s">
        <v>38</v>
      </c>
      <c r="F76" s="10">
        <v>16562</v>
      </c>
      <c r="G76" s="12">
        <f>F76*0.55</f>
        <v>9109.1</v>
      </c>
      <c r="H76" s="12">
        <f t="shared" si="23"/>
        <v>9109.1</v>
      </c>
      <c r="I76" s="13">
        <v>1</v>
      </c>
      <c r="J76" s="14" t="s">
        <v>12</v>
      </c>
      <c r="K76" s="10" t="s">
        <v>28</v>
      </c>
      <c r="L76" s="13" t="str">
        <f t="shared" si="24"/>
        <v>Блок2</v>
      </c>
      <c r="M76" s="12">
        <v>9109.1</v>
      </c>
      <c r="N76">
        <v>9109.1</v>
      </c>
    </row>
    <row r="77" spans="1:14" ht="24" customHeight="1" x14ac:dyDescent="0.25">
      <c r="A77" s="10" t="str">
        <f t="shared" si="22"/>
        <v>РУ-2-2</v>
      </c>
      <c r="B77" s="10" t="s">
        <v>19</v>
      </c>
      <c r="C77" s="10"/>
      <c r="D77" s="11" t="s">
        <v>19</v>
      </c>
      <c r="E77" s="10" t="s">
        <v>19</v>
      </c>
      <c r="F77" s="10">
        <f ca="1">OFFSET(F77,1,2)</f>
        <v>27000</v>
      </c>
      <c r="G77" s="12">
        <f ca="1">F77*0.55</f>
        <v>14850.000000000002</v>
      </c>
      <c r="H77" s="12">
        <f t="shared" ca="1" si="23"/>
        <v>14850.000000000002</v>
      </c>
      <c r="I77" s="10">
        <v>1</v>
      </c>
      <c r="J77" s="10" t="s">
        <v>12</v>
      </c>
      <c r="K77" s="10" t="s">
        <v>19</v>
      </c>
      <c r="L77" s="13" t="e">
        <f>#REF!</f>
        <v>#REF!</v>
      </c>
      <c r="M77" s="12">
        <v>14850.000000000002</v>
      </c>
      <c r="N77">
        <v>14850.000000000002</v>
      </c>
    </row>
    <row r="78" spans="1:14" ht="21" customHeight="1" x14ac:dyDescent="0.25">
      <c r="A78" s="10" t="str">
        <f t="shared" si="22"/>
        <v>РУ-2-2</v>
      </c>
      <c r="B78" s="10" t="s">
        <v>20</v>
      </c>
      <c r="C78" s="10"/>
      <c r="D78" s="11" t="s">
        <v>20</v>
      </c>
      <c r="E78" s="10" t="s">
        <v>20</v>
      </c>
      <c r="F78" s="10">
        <v>4.5</v>
      </c>
      <c r="G78" s="12">
        <v>100</v>
      </c>
      <c r="H78" s="12">
        <f t="shared" si="23"/>
        <v>27000</v>
      </c>
      <c r="I78" s="10">
        <f>60*F78</f>
        <v>270</v>
      </c>
      <c r="J78" s="10" t="s">
        <v>12</v>
      </c>
      <c r="K78" s="10" t="s">
        <v>20</v>
      </c>
      <c r="L78" s="13" t="e">
        <f t="shared" si="24"/>
        <v>#REF!</v>
      </c>
      <c r="M78" s="12">
        <v>27000</v>
      </c>
      <c r="N78">
        <v>27000</v>
      </c>
    </row>
    <row r="79" spans="1:14" ht="30" customHeight="1" x14ac:dyDescent="0.25">
      <c r="A79" s="15" t="str">
        <f t="shared" si="22"/>
        <v>РУ-2-2</v>
      </c>
      <c r="B79" s="15"/>
      <c r="C79" s="15"/>
      <c r="D79" s="15"/>
      <c r="E79" s="16"/>
      <c r="F79" s="17"/>
      <c r="G79" s="12">
        <f>F79*0.55</f>
        <v>0</v>
      </c>
      <c r="H79" s="18">
        <f ca="1">SUM(H73:H78)</f>
        <v>181102.2</v>
      </c>
      <c r="I79" s="15"/>
      <c r="J79" s="19"/>
      <c r="K79" s="15"/>
      <c r="L79" s="13" t="e">
        <f t="shared" si="24"/>
        <v>#REF!</v>
      </c>
      <c r="M79" s="18">
        <v>181102.2</v>
      </c>
      <c r="N79">
        <v>181102.2</v>
      </c>
    </row>
    <row r="80" spans="1:14" ht="39.75" customHeight="1" x14ac:dyDescent="0.25">
      <c r="A80" s="8" t="str">
        <f>E80</f>
        <v>ЩУР.МОП1-2</v>
      </c>
      <c r="B80" s="4"/>
      <c r="C80" s="4"/>
      <c r="D80" s="5"/>
      <c r="E80" s="4" t="s">
        <v>56</v>
      </c>
      <c r="F80" s="6"/>
      <c r="G80" s="6"/>
      <c r="H80" s="7"/>
      <c r="I80" s="8">
        <v>1</v>
      </c>
      <c r="J80" s="9" t="s">
        <v>9</v>
      </c>
      <c r="K80" s="4" t="s">
        <v>10</v>
      </c>
      <c r="L80" s="8" t="s">
        <v>53</v>
      </c>
      <c r="M80" s="7"/>
    </row>
    <row r="81" spans="1:14" ht="21" customHeight="1" x14ac:dyDescent="0.25">
      <c r="A81" s="13" t="str">
        <f t="shared" ref="A81:A88" si="25">A80</f>
        <v>ЩУР.МОП1-2</v>
      </c>
      <c r="B81" s="10" t="s">
        <v>11</v>
      </c>
      <c r="C81" s="10"/>
      <c r="D81" s="11" t="s">
        <v>40</v>
      </c>
      <c r="E81" s="10" t="s">
        <v>41</v>
      </c>
      <c r="F81" s="10">
        <v>18000</v>
      </c>
      <c r="G81" s="12">
        <f>0.6*F81</f>
        <v>10800</v>
      </c>
      <c r="H81" s="12">
        <f>G81*I81</f>
        <v>10800</v>
      </c>
      <c r="I81" s="13">
        <v>1</v>
      </c>
      <c r="J81" s="14" t="s">
        <v>12</v>
      </c>
      <c r="K81" s="10" t="s">
        <v>13</v>
      </c>
      <c r="L81" s="13" t="str">
        <f t="shared" ref="L81:L88" si="26">L80</f>
        <v>Блок2</v>
      </c>
      <c r="M81" s="12">
        <v>10800</v>
      </c>
      <c r="N81">
        <v>10800</v>
      </c>
    </row>
    <row r="82" spans="1:14" ht="21" customHeight="1" x14ac:dyDescent="0.25">
      <c r="A82" s="13" t="str">
        <f t="shared" si="25"/>
        <v>ЩУР.МОП1-2</v>
      </c>
      <c r="B82" s="10" t="s">
        <v>17</v>
      </c>
      <c r="C82" s="10"/>
      <c r="D82" s="11">
        <v>296830</v>
      </c>
      <c r="E82" s="10" t="s">
        <v>149</v>
      </c>
      <c r="F82" s="10">
        <v>1554</v>
      </c>
      <c r="G82" s="12">
        <f>F82*0.55</f>
        <v>854.7</v>
      </c>
      <c r="H82" s="12">
        <f>G82*I82</f>
        <v>854.7</v>
      </c>
      <c r="I82" s="13">
        <v>1</v>
      </c>
      <c r="J82" s="14" t="s">
        <v>12</v>
      </c>
      <c r="K82" s="10" t="s">
        <v>28</v>
      </c>
      <c r="L82" s="13" t="str">
        <f t="shared" si="26"/>
        <v>Блок2</v>
      </c>
      <c r="M82" s="12">
        <v>854.7</v>
      </c>
      <c r="N82">
        <v>854.7</v>
      </c>
    </row>
    <row r="83" spans="1:14" ht="21" customHeight="1" x14ac:dyDescent="0.25">
      <c r="A83" s="13" t="str">
        <f t="shared" si="25"/>
        <v>ЩУР.МОП1-2</v>
      </c>
      <c r="B83" s="10" t="s">
        <v>17</v>
      </c>
      <c r="C83" s="10"/>
      <c r="D83" s="11">
        <v>296827</v>
      </c>
      <c r="E83" s="10" t="s">
        <v>150</v>
      </c>
      <c r="F83" s="10">
        <v>1491</v>
      </c>
      <c r="G83" s="12">
        <f>F83*0.55</f>
        <v>820.05000000000007</v>
      </c>
      <c r="H83" s="12">
        <f>G83*I83</f>
        <v>1640.1000000000001</v>
      </c>
      <c r="I83" s="13">
        <v>2</v>
      </c>
      <c r="J83" s="14" t="s">
        <v>12</v>
      </c>
      <c r="K83" s="10" t="s">
        <v>28</v>
      </c>
      <c r="L83" s="13" t="str">
        <f t="shared" si="26"/>
        <v>Блок2</v>
      </c>
      <c r="M83" s="12">
        <v>1640.1000000000001</v>
      </c>
      <c r="N83">
        <v>1640.1000000000001</v>
      </c>
    </row>
    <row r="84" spans="1:14" ht="21" customHeight="1" x14ac:dyDescent="0.25">
      <c r="A84" s="13" t="str">
        <f t="shared" si="25"/>
        <v>ЩУР.МОП1-2</v>
      </c>
      <c r="B84" s="10" t="s">
        <v>17</v>
      </c>
      <c r="C84" s="10"/>
      <c r="D84" s="11">
        <v>296829</v>
      </c>
      <c r="E84" s="10" t="s">
        <v>148</v>
      </c>
      <c r="F84" s="10">
        <v>2111</v>
      </c>
      <c r="G84" s="12">
        <f>F84*0.55</f>
        <v>1161.0500000000002</v>
      </c>
      <c r="H84" s="12">
        <f>G84*I84</f>
        <v>2322.1000000000004</v>
      </c>
      <c r="I84" s="13">
        <v>2</v>
      </c>
      <c r="J84" s="14" t="s">
        <v>12</v>
      </c>
      <c r="K84" s="10" t="s">
        <v>28</v>
      </c>
      <c r="L84" s="13" t="str">
        <f t="shared" si="26"/>
        <v>Блок2</v>
      </c>
      <c r="M84" s="12">
        <v>2322.1000000000004</v>
      </c>
      <c r="N84">
        <v>2322.1000000000004</v>
      </c>
    </row>
    <row r="85" spans="1:14" ht="21" customHeight="1" x14ac:dyDescent="0.25">
      <c r="A85" s="13" t="str">
        <f t="shared" si="25"/>
        <v>ЩУР.МОП1-2</v>
      </c>
      <c r="B85" s="10" t="s">
        <v>15</v>
      </c>
      <c r="C85" s="10"/>
      <c r="D85" s="11" t="s">
        <v>179</v>
      </c>
      <c r="E85" s="10" t="s">
        <v>180</v>
      </c>
      <c r="F85" s="10">
        <v>83000</v>
      </c>
      <c r="G85" s="12">
        <f>F85</f>
        <v>83000</v>
      </c>
      <c r="H85" s="12">
        <v>39100</v>
      </c>
      <c r="I85" s="13">
        <v>1</v>
      </c>
      <c r="J85" s="14" t="s">
        <v>12</v>
      </c>
      <c r="K85" s="10" t="s">
        <v>16</v>
      </c>
      <c r="L85" s="13" t="str">
        <f t="shared" si="26"/>
        <v>Блок2</v>
      </c>
      <c r="M85" s="12">
        <v>39100</v>
      </c>
      <c r="N85">
        <v>39100</v>
      </c>
    </row>
    <row r="86" spans="1:14" ht="24" customHeight="1" x14ac:dyDescent="0.25">
      <c r="A86" s="10" t="str">
        <f t="shared" si="25"/>
        <v>ЩУР.МОП1-2</v>
      </c>
      <c r="B86" s="10" t="s">
        <v>19</v>
      </c>
      <c r="C86" s="10"/>
      <c r="D86" s="11" t="s">
        <v>19</v>
      </c>
      <c r="E86" s="10" t="s">
        <v>19</v>
      </c>
      <c r="F86" s="10">
        <f ca="1">OFFSET(F86,1,2)</f>
        <v>12000</v>
      </c>
      <c r="G86" s="12">
        <f ca="1">F86*0.55</f>
        <v>6600.0000000000009</v>
      </c>
      <c r="H86" s="12">
        <f ca="1">G86*I86</f>
        <v>6600.0000000000009</v>
      </c>
      <c r="I86" s="10">
        <v>1</v>
      </c>
      <c r="J86" s="10" t="s">
        <v>12</v>
      </c>
      <c r="K86" s="10" t="s">
        <v>19</v>
      </c>
      <c r="L86" s="13" t="str">
        <f t="shared" si="26"/>
        <v>Блок2</v>
      </c>
      <c r="M86" s="12">
        <v>6600.0000000000009</v>
      </c>
      <c r="N86">
        <v>6600.0000000000009</v>
      </c>
    </row>
    <row r="87" spans="1:14" ht="21" customHeight="1" x14ac:dyDescent="0.25">
      <c r="A87" s="10" t="str">
        <f t="shared" si="25"/>
        <v>ЩУР.МОП1-2</v>
      </c>
      <c r="B87" s="10" t="s">
        <v>20</v>
      </c>
      <c r="C87" s="10"/>
      <c r="D87" s="11" t="s">
        <v>20</v>
      </c>
      <c r="E87" s="10" t="s">
        <v>20</v>
      </c>
      <c r="F87" s="10">
        <v>2</v>
      </c>
      <c r="G87" s="12">
        <v>100</v>
      </c>
      <c r="H87" s="12">
        <f>G87*I87</f>
        <v>12000</v>
      </c>
      <c r="I87" s="10">
        <f>60*F87</f>
        <v>120</v>
      </c>
      <c r="J87" s="10" t="s">
        <v>12</v>
      </c>
      <c r="K87" s="10" t="s">
        <v>20</v>
      </c>
      <c r="L87" s="13" t="str">
        <f t="shared" si="26"/>
        <v>Блок2</v>
      </c>
      <c r="M87" s="12">
        <v>12000</v>
      </c>
      <c r="N87">
        <v>12000</v>
      </c>
    </row>
    <row r="88" spans="1:14" ht="30" customHeight="1" x14ac:dyDescent="0.25">
      <c r="A88" s="15" t="str">
        <f t="shared" si="25"/>
        <v>ЩУР.МОП1-2</v>
      </c>
      <c r="B88" s="15"/>
      <c r="C88" s="15"/>
      <c r="D88" s="15"/>
      <c r="E88" s="16"/>
      <c r="F88" s="17"/>
      <c r="G88" s="12">
        <f>F88*0.55</f>
        <v>0</v>
      </c>
      <c r="H88" s="18">
        <f ca="1">SUM(H81:H87)</f>
        <v>73316.899999999994</v>
      </c>
      <c r="I88" s="15"/>
      <c r="J88" s="19"/>
      <c r="K88" s="15"/>
      <c r="L88" s="13" t="str">
        <f t="shared" si="26"/>
        <v>Блок2</v>
      </c>
      <c r="M88" s="18">
        <v>73316.899999999994</v>
      </c>
      <c r="N88">
        <v>73316.899999999994</v>
      </c>
    </row>
    <row r="89" spans="1:14" ht="39.75" customHeight="1" x14ac:dyDescent="0.25">
      <c r="A89" s="8" t="str">
        <f>E89</f>
        <v>РЩ1-2 (АВР-Б-40-2-1)</v>
      </c>
      <c r="B89" s="4"/>
      <c r="C89" s="4"/>
      <c r="D89" s="5"/>
      <c r="E89" s="4" t="s">
        <v>133</v>
      </c>
      <c r="F89" s="6"/>
      <c r="G89" s="6"/>
      <c r="H89" s="7"/>
      <c r="I89" s="8">
        <v>1</v>
      </c>
      <c r="J89" s="9" t="s">
        <v>9</v>
      </c>
      <c r="K89" s="4" t="s">
        <v>10</v>
      </c>
      <c r="L89" s="8" t="s">
        <v>53</v>
      </c>
      <c r="M89" s="7"/>
    </row>
    <row r="90" spans="1:14" ht="21" customHeight="1" x14ac:dyDescent="0.25">
      <c r="A90" s="13" t="str">
        <f t="shared" ref="A90:A101" si="27">A89</f>
        <v>РЩ1-2 (АВР-Б-40-2-1)</v>
      </c>
      <c r="B90" s="10" t="s">
        <v>11</v>
      </c>
      <c r="C90" s="10"/>
      <c r="D90" s="11" t="s">
        <v>168</v>
      </c>
      <c r="E90" s="10" t="s">
        <v>169</v>
      </c>
      <c r="F90" s="10">
        <v>130000</v>
      </c>
      <c r="G90" s="12">
        <f>0.6*F90</f>
        <v>78000</v>
      </c>
      <c r="H90" s="12">
        <f t="shared" ref="H90:H96" si="28">G90*I90</f>
        <v>78000</v>
      </c>
      <c r="I90" s="13">
        <v>1</v>
      </c>
      <c r="J90" s="14" t="s">
        <v>12</v>
      </c>
      <c r="K90" s="10" t="s">
        <v>13</v>
      </c>
      <c r="L90" s="13" t="str">
        <f t="shared" ref="L90:L101" si="29">L89</f>
        <v>Блок2</v>
      </c>
      <c r="M90" s="12">
        <v>78000</v>
      </c>
      <c r="N90">
        <v>78000</v>
      </c>
    </row>
    <row r="91" spans="1:14" ht="21" customHeight="1" x14ac:dyDescent="0.25">
      <c r="A91" s="13" t="str">
        <f t="shared" si="27"/>
        <v>РЩ1-2 (АВР-Б-40-2-1)</v>
      </c>
      <c r="B91" s="10" t="s">
        <v>44</v>
      </c>
      <c r="C91" s="10"/>
      <c r="D91" s="11" t="s">
        <v>162</v>
      </c>
      <c r="E91" s="10" t="s">
        <v>163</v>
      </c>
      <c r="F91" s="10">
        <v>114758</v>
      </c>
      <c r="G91" s="12">
        <f t="shared" ref="G91:G96" si="30">F91*0.55</f>
        <v>63116.900000000009</v>
      </c>
      <c r="H91" s="12">
        <f t="shared" si="28"/>
        <v>63116.900000000009</v>
      </c>
      <c r="I91" s="13">
        <v>1</v>
      </c>
      <c r="J91" s="14" t="s">
        <v>12</v>
      </c>
      <c r="K91" s="10" t="s">
        <v>14</v>
      </c>
      <c r="L91" s="13" t="str">
        <f t="shared" si="29"/>
        <v>Блок2</v>
      </c>
      <c r="M91" s="12">
        <v>63116.900000000009</v>
      </c>
      <c r="N91">
        <v>63116.900000000009</v>
      </c>
    </row>
    <row r="92" spans="1:14" ht="21" customHeight="1" x14ac:dyDescent="0.25">
      <c r="A92" s="13" t="str">
        <f t="shared" si="27"/>
        <v>РЩ1-2 (АВР-Б-40-2-1)</v>
      </c>
      <c r="B92" s="10" t="s">
        <v>27</v>
      </c>
      <c r="C92" s="10"/>
      <c r="D92" s="11">
        <v>126505</v>
      </c>
      <c r="E92" s="10" t="s">
        <v>45</v>
      </c>
      <c r="F92" s="10">
        <v>15740</v>
      </c>
      <c r="G92" s="12">
        <f t="shared" si="30"/>
        <v>8657</v>
      </c>
      <c r="H92" s="12">
        <f t="shared" si="28"/>
        <v>17314</v>
      </c>
      <c r="I92" s="13">
        <v>2</v>
      </c>
      <c r="J92" s="14" t="s">
        <v>12</v>
      </c>
      <c r="K92" s="10" t="s">
        <v>28</v>
      </c>
      <c r="L92" s="13" t="str">
        <f t="shared" si="29"/>
        <v>Блок2</v>
      </c>
      <c r="M92" s="12">
        <v>17314</v>
      </c>
      <c r="N92">
        <v>17314</v>
      </c>
    </row>
    <row r="93" spans="1:14" ht="21" customHeight="1" x14ac:dyDescent="0.25">
      <c r="A93" s="13" t="str">
        <f t="shared" si="27"/>
        <v>РЩ1-2 (АВР-Б-40-2-1)</v>
      </c>
      <c r="B93" s="10" t="s">
        <v>27</v>
      </c>
      <c r="C93" s="10"/>
      <c r="D93" s="11">
        <v>126677</v>
      </c>
      <c r="E93" s="10" t="s">
        <v>43</v>
      </c>
      <c r="F93" s="10">
        <v>14742</v>
      </c>
      <c r="G93" s="12">
        <f t="shared" si="30"/>
        <v>8108.1</v>
      </c>
      <c r="H93" s="12">
        <f t="shared" si="28"/>
        <v>16216.2</v>
      </c>
      <c r="I93" s="13">
        <v>2</v>
      </c>
      <c r="J93" s="14" t="s">
        <v>12</v>
      </c>
      <c r="K93" s="10" t="s">
        <v>28</v>
      </c>
      <c r="L93" s="13" t="str">
        <f t="shared" si="29"/>
        <v>Блок2</v>
      </c>
      <c r="M93" s="12">
        <v>16216.2</v>
      </c>
      <c r="N93">
        <v>16216.2</v>
      </c>
    </row>
    <row r="94" spans="1:14" ht="21" customHeight="1" x14ac:dyDescent="0.25">
      <c r="A94" s="13" t="str">
        <f t="shared" si="27"/>
        <v>РЩ1-2 (АВР-Б-40-2-1)</v>
      </c>
      <c r="B94" s="10" t="s">
        <v>17</v>
      </c>
      <c r="C94" s="10"/>
      <c r="D94" s="11">
        <v>814174</v>
      </c>
      <c r="E94" s="10" t="s">
        <v>46</v>
      </c>
      <c r="F94" s="10">
        <v>4823</v>
      </c>
      <c r="G94" s="12">
        <f t="shared" si="30"/>
        <v>2652.65</v>
      </c>
      <c r="H94" s="12">
        <f t="shared" si="28"/>
        <v>5305.3</v>
      </c>
      <c r="I94" s="13">
        <v>2</v>
      </c>
      <c r="J94" s="14" t="s">
        <v>12</v>
      </c>
      <c r="K94" s="10" t="s">
        <v>28</v>
      </c>
      <c r="L94" s="13" t="str">
        <f t="shared" si="29"/>
        <v>Блок2</v>
      </c>
      <c r="M94" s="12">
        <v>5305.3</v>
      </c>
      <c r="N94">
        <v>5305.3</v>
      </c>
    </row>
    <row r="95" spans="1:14" ht="21" customHeight="1" x14ac:dyDescent="0.25">
      <c r="A95" s="13" t="str">
        <f t="shared" si="27"/>
        <v>РЩ1-2 (АВР-Б-40-2-1)</v>
      </c>
      <c r="B95" s="10" t="s">
        <v>18</v>
      </c>
      <c r="C95" s="10"/>
      <c r="D95" s="11">
        <v>819975</v>
      </c>
      <c r="E95" s="10" t="s">
        <v>47</v>
      </c>
      <c r="F95" s="10">
        <v>5369</v>
      </c>
      <c r="G95" s="12">
        <f t="shared" si="30"/>
        <v>2952.9500000000003</v>
      </c>
      <c r="H95" s="12">
        <f t="shared" si="28"/>
        <v>2952.9500000000003</v>
      </c>
      <c r="I95" s="13">
        <v>1</v>
      </c>
      <c r="J95" s="14" t="s">
        <v>12</v>
      </c>
      <c r="K95" s="10" t="s">
        <v>28</v>
      </c>
      <c r="L95" s="13" t="str">
        <f t="shared" si="29"/>
        <v>Блок2</v>
      </c>
      <c r="M95" s="12">
        <v>2952.9500000000003</v>
      </c>
      <c r="N95">
        <v>2952.9500000000003</v>
      </c>
    </row>
    <row r="96" spans="1:14" ht="21" customHeight="1" x14ac:dyDescent="0.25">
      <c r="A96" s="13" t="str">
        <f t="shared" si="27"/>
        <v>РЩ1-2 (АВР-Б-40-2-1)</v>
      </c>
      <c r="B96" s="10" t="s">
        <v>17</v>
      </c>
      <c r="C96" s="10"/>
      <c r="D96" s="11">
        <v>814167</v>
      </c>
      <c r="E96" s="10" t="s">
        <v>48</v>
      </c>
      <c r="F96" s="10">
        <v>5187</v>
      </c>
      <c r="G96" s="12">
        <f t="shared" si="30"/>
        <v>2852.8500000000004</v>
      </c>
      <c r="H96" s="12">
        <f t="shared" si="28"/>
        <v>2852.8500000000004</v>
      </c>
      <c r="I96" s="13">
        <v>1</v>
      </c>
      <c r="J96" s="14" t="s">
        <v>12</v>
      </c>
      <c r="K96" s="10" t="s">
        <v>28</v>
      </c>
      <c r="L96" s="13" t="str">
        <f t="shared" si="29"/>
        <v>Блок2</v>
      </c>
      <c r="M96" s="12">
        <v>2852.8500000000004</v>
      </c>
      <c r="N96">
        <v>2852.8500000000004</v>
      </c>
    </row>
    <row r="97" spans="1:14" ht="21" customHeight="1" x14ac:dyDescent="0.25">
      <c r="A97" s="13" t="str">
        <f t="shared" si="27"/>
        <v>РЩ1-2 (АВР-Б-40-2-1)</v>
      </c>
      <c r="B97" s="10" t="s">
        <v>15</v>
      </c>
      <c r="C97" s="10"/>
      <c r="D97" s="11" t="s">
        <v>179</v>
      </c>
      <c r="E97" s="10" t="s">
        <v>180</v>
      </c>
      <c r="F97" s="10">
        <v>83000</v>
      </c>
      <c r="G97" s="12">
        <f>F97</f>
        <v>83000</v>
      </c>
      <c r="H97" s="12">
        <v>39100</v>
      </c>
      <c r="I97" s="13">
        <v>1</v>
      </c>
      <c r="J97" s="14" t="s">
        <v>12</v>
      </c>
      <c r="K97" s="10" t="s">
        <v>16</v>
      </c>
      <c r="L97" s="13" t="str">
        <f t="shared" si="29"/>
        <v>Блок2</v>
      </c>
      <c r="M97" s="12">
        <v>39100</v>
      </c>
      <c r="N97">
        <v>39100</v>
      </c>
    </row>
    <row r="98" spans="1:14" ht="21" customHeight="1" x14ac:dyDescent="0.25">
      <c r="A98" s="13" t="str">
        <f t="shared" si="27"/>
        <v>РЩ1-2 (АВР-Б-40-2-1)</v>
      </c>
      <c r="B98" s="10" t="s">
        <v>30</v>
      </c>
      <c r="C98" s="10"/>
      <c r="D98" s="11"/>
      <c r="E98" s="10" t="s">
        <v>31</v>
      </c>
      <c r="F98" s="10">
        <v>4500</v>
      </c>
      <c r="G98" s="12">
        <f>F98*0.55</f>
        <v>2475</v>
      </c>
      <c r="H98" s="12">
        <f>G98*I98</f>
        <v>14850</v>
      </c>
      <c r="I98" s="13">
        <v>6</v>
      </c>
      <c r="J98" s="14" t="s">
        <v>12</v>
      </c>
      <c r="K98" s="10" t="s">
        <v>25</v>
      </c>
      <c r="L98" s="13" t="e">
        <f>#REF!</f>
        <v>#REF!</v>
      </c>
      <c r="M98" s="12">
        <v>14850</v>
      </c>
      <c r="N98">
        <v>14850</v>
      </c>
    </row>
    <row r="99" spans="1:14" ht="24" customHeight="1" x14ac:dyDescent="0.25">
      <c r="A99" s="10" t="str">
        <f t="shared" si="27"/>
        <v>РЩ1-2 (АВР-Б-40-2-1)</v>
      </c>
      <c r="B99" s="10" t="s">
        <v>19</v>
      </c>
      <c r="C99" s="10"/>
      <c r="D99" s="11" t="s">
        <v>19</v>
      </c>
      <c r="E99" s="10" t="s">
        <v>19</v>
      </c>
      <c r="F99" s="10">
        <f ca="1">OFFSET(F99,1,2)</f>
        <v>39000</v>
      </c>
      <c r="G99" s="12">
        <f ca="1">F99*0.55</f>
        <v>21450</v>
      </c>
      <c r="H99" s="12">
        <f ca="1">G99*I99</f>
        <v>21450</v>
      </c>
      <c r="I99" s="10">
        <v>1</v>
      </c>
      <c r="J99" s="10" t="s">
        <v>12</v>
      </c>
      <c r="K99" s="10" t="s">
        <v>19</v>
      </c>
      <c r="L99" s="13" t="e">
        <f t="shared" si="29"/>
        <v>#REF!</v>
      </c>
      <c r="M99" s="12">
        <v>21450</v>
      </c>
      <c r="N99">
        <v>21450</v>
      </c>
    </row>
    <row r="100" spans="1:14" ht="21" customHeight="1" x14ac:dyDescent="0.25">
      <c r="A100" s="10" t="str">
        <f t="shared" si="27"/>
        <v>РЩ1-2 (АВР-Б-40-2-1)</v>
      </c>
      <c r="B100" s="10" t="s">
        <v>20</v>
      </c>
      <c r="C100" s="10"/>
      <c r="D100" s="11" t="s">
        <v>20</v>
      </c>
      <c r="E100" s="10" t="s">
        <v>20</v>
      </c>
      <c r="F100" s="10">
        <v>6.5</v>
      </c>
      <c r="G100" s="12">
        <v>100</v>
      </c>
      <c r="H100" s="12">
        <f>G100*I100</f>
        <v>39000</v>
      </c>
      <c r="I100" s="10">
        <f>60*F100</f>
        <v>390</v>
      </c>
      <c r="J100" s="10" t="s">
        <v>12</v>
      </c>
      <c r="K100" s="10" t="s">
        <v>20</v>
      </c>
      <c r="L100" s="13" t="e">
        <f t="shared" si="29"/>
        <v>#REF!</v>
      </c>
      <c r="M100" s="12">
        <v>39000</v>
      </c>
      <c r="N100">
        <v>39000</v>
      </c>
    </row>
    <row r="101" spans="1:14" ht="30" customHeight="1" x14ac:dyDescent="0.25">
      <c r="A101" s="15" t="str">
        <f t="shared" si="27"/>
        <v>РЩ1-2 (АВР-Б-40-2-1)</v>
      </c>
      <c r="B101" s="15"/>
      <c r="C101" s="15"/>
      <c r="D101" s="15"/>
      <c r="E101" s="16"/>
      <c r="F101" s="17"/>
      <c r="G101" s="12">
        <f>F101*0.55</f>
        <v>0</v>
      </c>
      <c r="H101" s="18">
        <f ca="1">SUM(H90:H100)</f>
        <v>300158.20000000007</v>
      </c>
      <c r="I101" s="15"/>
      <c r="J101" s="19"/>
      <c r="K101" s="15"/>
      <c r="L101" s="13" t="e">
        <f t="shared" si="29"/>
        <v>#REF!</v>
      </c>
      <c r="M101" s="18">
        <v>300158.20000000007</v>
      </c>
      <c r="N101">
        <v>300158.20000000007</v>
      </c>
    </row>
    <row r="102" spans="1:14" ht="39.75" customHeight="1" x14ac:dyDescent="0.25">
      <c r="A102" s="8" t="str">
        <f>E102</f>
        <v>ВРУ1-3</v>
      </c>
      <c r="B102" s="4"/>
      <c r="C102" s="4"/>
      <c r="D102" s="5"/>
      <c r="E102" s="4" t="s">
        <v>57</v>
      </c>
      <c r="F102" s="6"/>
      <c r="G102" s="6"/>
      <c r="H102" s="7"/>
      <c r="I102" s="8">
        <v>1</v>
      </c>
      <c r="J102" s="9" t="s">
        <v>9</v>
      </c>
      <c r="K102" s="4" t="s">
        <v>10</v>
      </c>
      <c r="L102" s="8" t="s">
        <v>58</v>
      </c>
      <c r="M102" s="7"/>
    </row>
    <row r="103" spans="1:14" ht="21" customHeight="1" x14ac:dyDescent="0.25">
      <c r="A103" s="13" t="str">
        <f t="shared" ref="A103:A113" si="31">A102</f>
        <v>ВРУ1-3</v>
      </c>
      <c r="B103" s="10" t="s">
        <v>11</v>
      </c>
      <c r="C103" s="10"/>
      <c r="D103" s="11" t="s">
        <v>172</v>
      </c>
      <c r="E103" s="10" t="s">
        <v>173</v>
      </c>
      <c r="F103" s="10">
        <v>156500</v>
      </c>
      <c r="G103" s="12">
        <f>0.6*F103</f>
        <v>93900</v>
      </c>
      <c r="H103" s="12">
        <f>G103*I103</f>
        <v>93900</v>
      </c>
      <c r="I103" s="13">
        <v>1</v>
      </c>
      <c r="J103" s="14" t="s">
        <v>12</v>
      </c>
      <c r="K103" s="10" t="s">
        <v>13</v>
      </c>
      <c r="L103" s="13" t="str">
        <f t="shared" ref="L103:L105" si="32">L102</f>
        <v>Блок3</v>
      </c>
      <c r="M103" s="12">
        <v>93900</v>
      </c>
      <c r="N103">
        <v>93900</v>
      </c>
    </row>
    <row r="104" spans="1:14" ht="21" customHeight="1" x14ac:dyDescent="0.25">
      <c r="A104" s="13" t="str">
        <f t="shared" si="31"/>
        <v>ВРУ1-3</v>
      </c>
      <c r="B104" s="10" t="s">
        <v>23</v>
      </c>
      <c r="C104" s="10"/>
      <c r="D104" s="11"/>
      <c r="E104" s="10" t="s">
        <v>24</v>
      </c>
      <c r="F104" s="10">
        <v>4701</v>
      </c>
      <c r="G104" s="12">
        <v>4701</v>
      </c>
      <c r="H104" s="12">
        <v>28206</v>
      </c>
      <c r="I104" s="13">
        <v>6</v>
      </c>
      <c r="J104" s="14" t="s">
        <v>12</v>
      </c>
      <c r="K104" s="10" t="s">
        <v>25</v>
      </c>
      <c r="L104" s="13" t="str">
        <f t="shared" si="32"/>
        <v>Блок3</v>
      </c>
      <c r="M104" s="12">
        <v>28206</v>
      </c>
      <c r="N104">
        <v>28206</v>
      </c>
    </row>
    <row r="105" spans="1:14" ht="21" customHeight="1" x14ac:dyDescent="0.25">
      <c r="A105" s="13" t="str">
        <f t="shared" si="31"/>
        <v>ВРУ1-3</v>
      </c>
      <c r="B105" s="10" t="s">
        <v>26</v>
      </c>
      <c r="C105" s="10"/>
      <c r="D105" s="11" t="s">
        <v>177</v>
      </c>
      <c r="E105" s="10" t="s">
        <v>178</v>
      </c>
      <c r="F105" s="10">
        <v>25500</v>
      </c>
      <c r="G105" s="12">
        <f>F105*0.55</f>
        <v>14025.000000000002</v>
      </c>
      <c r="H105" s="12">
        <f>G105*I105</f>
        <v>28050.000000000004</v>
      </c>
      <c r="I105" s="13">
        <v>2</v>
      </c>
      <c r="J105" s="14" t="s">
        <v>12</v>
      </c>
      <c r="K105" s="10" t="s">
        <v>25</v>
      </c>
      <c r="L105" s="13" t="str">
        <f t="shared" si="32"/>
        <v>Блок3</v>
      </c>
      <c r="M105" s="12">
        <v>28050.000000000004</v>
      </c>
      <c r="N105">
        <v>28050.000000000004</v>
      </c>
    </row>
    <row r="106" spans="1:14" ht="21" customHeight="1" x14ac:dyDescent="0.25">
      <c r="A106" s="13" t="str">
        <f t="shared" si="31"/>
        <v>ВРУ1-3</v>
      </c>
      <c r="B106" s="10" t="s">
        <v>127</v>
      </c>
      <c r="C106" s="10"/>
      <c r="D106" s="11" t="s">
        <v>130</v>
      </c>
      <c r="E106" s="10" t="s">
        <v>131</v>
      </c>
      <c r="F106" s="10">
        <v>4750</v>
      </c>
      <c r="G106" s="12">
        <f>F106*0.55</f>
        <v>2612.5</v>
      </c>
      <c r="H106" s="12">
        <f>G106*I106</f>
        <v>5225</v>
      </c>
      <c r="I106" s="13">
        <v>2</v>
      </c>
      <c r="J106" s="14" t="s">
        <v>12</v>
      </c>
      <c r="K106" s="10" t="s">
        <v>14</v>
      </c>
      <c r="L106" s="13" t="str">
        <f>L104</f>
        <v>Блок3</v>
      </c>
      <c r="M106" s="12">
        <v>5225</v>
      </c>
      <c r="N106">
        <v>5225</v>
      </c>
    </row>
    <row r="107" spans="1:14" ht="21" customHeight="1" x14ac:dyDescent="0.25">
      <c r="A107" s="13" t="str">
        <f t="shared" si="31"/>
        <v>ВРУ1-3</v>
      </c>
      <c r="B107" s="10" t="s">
        <v>126</v>
      </c>
      <c r="C107" s="10"/>
      <c r="D107" s="11" t="s">
        <v>128</v>
      </c>
      <c r="E107" s="10" t="s">
        <v>129</v>
      </c>
      <c r="F107" s="10">
        <v>3317</v>
      </c>
      <c r="G107" s="12">
        <f>F107*0.55</f>
        <v>1824.3500000000001</v>
      </c>
      <c r="H107" s="12">
        <f>G107*I107</f>
        <v>3648.7000000000003</v>
      </c>
      <c r="I107" s="13">
        <v>2</v>
      </c>
      <c r="J107" s="14" t="s">
        <v>12</v>
      </c>
      <c r="K107" s="10" t="s">
        <v>14</v>
      </c>
      <c r="L107" s="13" t="str">
        <f>L105</f>
        <v>Блок3</v>
      </c>
      <c r="M107" s="12">
        <v>3648.7000000000003</v>
      </c>
      <c r="N107">
        <v>3648.7000000000003</v>
      </c>
    </row>
    <row r="108" spans="1:14" ht="21" customHeight="1" x14ac:dyDescent="0.25">
      <c r="A108" s="13" t="str">
        <f t="shared" si="31"/>
        <v>ВРУ1-3</v>
      </c>
      <c r="B108" s="10" t="s">
        <v>17</v>
      </c>
      <c r="C108" s="10"/>
      <c r="D108" s="11">
        <v>296708</v>
      </c>
      <c r="E108" s="10" t="s">
        <v>29</v>
      </c>
      <c r="F108" s="10">
        <v>828</v>
      </c>
      <c r="G108" s="12">
        <f>F108*0.55</f>
        <v>455.40000000000003</v>
      </c>
      <c r="H108" s="12">
        <f>G108*I108</f>
        <v>910.80000000000007</v>
      </c>
      <c r="I108" s="13">
        <v>2</v>
      </c>
      <c r="J108" s="14" t="s">
        <v>12</v>
      </c>
      <c r="K108" s="10" t="s">
        <v>28</v>
      </c>
      <c r="L108" s="13" t="str">
        <f t="shared" ref="L108:L113" si="33">L106</f>
        <v>Блок3</v>
      </c>
      <c r="M108" s="12">
        <v>910.80000000000007</v>
      </c>
      <c r="N108">
        <v>910.80000000000007</v>
      </c>
    </row>
    <row r="109" spans="1:14" ht="21" customHeight="1" x14ac:dyDescent="0.25">
      <c r="A109" s="13" t="str">
        <f t="shared" si="31"/>
        <v>ВРУ1-3</v>
      </c>
      <c r="B109" s="10" t="s">
        <v>15</v>
      </c>
      <c r="C109" s="10"/>
      <c r="D109" s="11" t="s">
        <v>179</v>
      </c>
      <c r="E109" s="10" t="s">
        <v>180</v>
      </c>
      <c r="F109" s="10">
        <v>83000</v>
      </c>
      <c r="G109" s="12">
        <f>F109</f>
        <v>83000</v>
      </c>
      <c r="H109" s="12">
        <v>78200</v>
      </c>
      <c r="I109" s="13">
        <v>2</v>
      </c>
      <c r="J109" s="14" t="s">
        <v>12</v>
      </c>
      <c r="K109" s="10" t="s">
        <v>16</v>
      </c>
      <c r="L109" s="13" t="str">
        <f t="shared" si="33"/>
        <v>Блок3</v>
      </c>
      <c r="M109" s="12">
        <v>78200</v>
      </c>
      <c r="N109">
        <v>78200</v>
      </c>
    </row>
    <row r="110" spans="1:14" ht="21" customHeight="1" x14ac:dyDescent="0.25">
      <c r="A110" s="13" t="str">
        <f t="shared" si="31"/>
        <v>ВРУ1-3</v>
      </c>
      <c r="B110" s="10" t="s">
        <v>30</v>
      </c>
      <c r="C110" s="10"/>
      <c r="D110" s="11"/>
      <c r="E110" s="10" t="s">
        <v>31</v>
      </c>
      <c r="F110" s="10">
        <v>4500</v>
      </c>
      <c r="G110" s="12">
        <f>F110*0.55</f>
        <v>2475</v>
      </c>
      <c r="H110" s="12">
        <f>G110*I110</f>
        <v>14850</v>
      </c>
      <c r="I110" s="13">
        <v>6</v>
      </c>
      <c r="J110" s="14" t="s">
        <v>12</v>
      </c>
      <c r="K110" s="10" t="s">
        <v>25</v>
      </c>
      <c r="L110" s="13" t="str">
        <f t="shared" si="33"/>
        <v>Блок3</v>
      </c>
      <c r="M110" s="12">
        <v>14850</v>
      </c>
      <c r="N110">
        <v>14850</v>
      </c>
    </row>
    <row r="111" spans="1:14" ht="24" customHeight="1" x14ac:dyDescent="0.25">
      <c r="A111" s="10" t="str">
        <f t="shared" si="31"/>
        <v>ВРУ1-3</v>
      </c>
      <c r="B111" s="10" t="s">
        <v>19</v>
      </c>
      <c r="C111" s="10"/>
      <c r="D111" s="11" t="s">
        <v>19</v>
      </c>
      <c r="E111" s="10" t="s">
        <v>19</v>
      </c>
      <c r="F111" s="10">
        <f ca="1">OFFSET(F111,1,2)</f>
        <v>48000</v>
      </c>
      <c r="G111" s="12">
        <f ca="1">F111*0.55</f>
        <v>26400.000000000004</v>
      </c>
      <c r="H111" s="12">
        <f ca="1">G111*I111</f>
        <v>26400.000000000004</v>
      </c>
      <c r="I111" s="10">
        <v>1</v>
      </c>
      <c r="J111" s="10" t="s">
        <v>12</v>
      </c>
      <c r="K111" s="10" t="s">
        <v>19</v>
      </c>
      <c r="L111" s="13" t="str">
        <f t="shared" si="33"/>
        <v>Блок3</v>
      </c>
      <c r="M111" s="12">
        <v>26400.000000000004</v>
      </c>
      <c r="N111">
        <v>26400.000000000004</v>
      </c>
    </row>
    <row r="112" spans="1:14" ht="21" customHeight="1" x14ac:dyDescent="0.25">
      <c r="A112" s="10" t="str">
        <f t="shared" si="31"/>
        <v>ВРУ1-3</v>
      </c>
      <c r="B112" s="10" t="s">
        <v>20</v>
      </c>
      <c r="C112" s="10"/>
      <c r="D112" s="11" t="s">
        <v>20</v>
      </c>
      <c r="E112" s="10" t="s">
        <v>20</v>
      </c>
      <c r="F112" s="10">
        <v>8</v>
      </c>
      <c r="G112" s="12">
        <v>100</v>
      </c>
      <c r="H112" s="12">
        <f>G112*I112</f>
        <v>48000</v>
      </c>
      <c r="I112" s="10">
        <f>60*F112</f>
        <v>480</v>
      </c>
      <c r="J112" s="10" t="s">
        <v>12</v>
      </c>
      <c r="K112" s="10" t="s">
        <v>20</v>
      </c>
      <c r="L112" s="13" t="str">
        <f t="shared" si="33"/>
        <v>Блок3</v>
      </c>
      <c r="M112" s="12">
        <v>48000</v>
      </c>
      <c r="N112">
        <v>48000</v>
      </c>
    </row>
    <row r="113" spans="1:14" ht="30" customHeight="1" x14ac:dyDescent="0.25">
      <c r="A113" s="15" t="str">
        <f t="shared" si="31"/>
        <v>ВРУ1-3</v>
      </c>
      <c r="B113" s="15"/>
      <c r="C113" s="15"/>
      <c r="D113" s="15"/>
      <c r="E113" s="16"/>
      <c r="F113" s="17"/>
      <c r="G113" s="12">
        <f>F113*0.55</f>
        <v>0</v>
      </c>
      <c r="H113" s="18">
        <f ca="1">SUM(H103:H112)</f>
        <v>327390.5</v>
      </c>
      <c r="I113" s="15"/>
      <c r="J113" s="19"/>
      <c r="K113" s="15"/>
      <c r="L113" s="13" t="str">
        <f t="shared" si="33"/>
        <v>Блок3</v>
      </c>
      <c r="M113" s="18">
        <v>327390.5</v>
      </c>
      <c r="N113">
        <v>327390.5</v>
      </c>
    </row>
    <row r="114" spans="1:14" ht="39.75" customHeight="1" x14ac:dyDescent="0.25">
      <c r="A114" s="8" t="str">
        <f>E114</f>
        <v>РУ-1-3(Блок3)</v>
      </c>
      <c r="B114" s="4"/>
      <c r="C114" s="4"/>
      <c r="D114" s="5"/>
      <c r="E114" s="4" t="s">
        <v>59</v>
      </c>
      <c r="F114" s="6"/>
      <c r="G114" s="6"/>
      <c r="H114" s="7"/>
      <c r="I114" s="8">
        <v>1</v>
      </c>
      <c r="J114" s="9" t="s">
        <v>9</v>
      </c>
      <c r="K114" s="4" t="s">
        <v>10</v>
      </c>
      <c r="L114" s="8" t="s">
        <v>58</v>
      </c>
      <c r="M114" s="7"/>
    </row>
    <row r="115" spans="1:14" ht="21" customHeight="1" x14ac:dyDescent="0.25">
      <c r="A115" s="13" t="str">
        <f t="shared" ref="A115:A121" si="34">A114</f>
        <v>РУ-1-3(Блок3)</v>
      </c>
      <c r="B115" s="10" t="s">
        <v>11</v>
      </c>
      <c r="C115" s="10"/>
      <c r="D115" s="11" t="s">
        <v>170</v>
      </c>
      <c r="E115" s="10" t="s">
        <v>171</v>
      </c>
      <c r="F115" s="10">
        <v>145000</v>
      </c>
      <c r="G115" s="12">
        <f>0.6*F115</f>
        <v>87000</v>
      </c>
      <c r="H115" s="12">
        <f t="shared" ref="H115:H120" si="35">G115*I115</f>
        <v>87000</v>
      </c>
      <c r="I115" s="13">
        <v>1</v>
      </c>
      <c r="J115" s="14" t="s">
        <v>12</v>
      </c>
      <c r="K115" s="10" t="s">
        <v>13</v>
      </c>
      <c r="L115" s="13" t="str">
        <f t="shared" ref="L115:L121" si="36">L114</f>
        <v>Блок3</v>
      </c>
      <c r="M115" s="12">
        <v>87000</v>
      </c>
      <c r="N115">
        <v>87000</v>
      </c>
    </row>
    <row r="116" spans="1:14" ht="21" customHeight="1" x14ac:dyDescent="0.25">
      <c r="A116" s="13" t="str">
        <f t="shared" si="34"/>
        <v>РУ-1-3(Блок3)</v>
      </c>
      <c r="B116" s="10" t="s">
        <v>27</v>
      </c>
      <c r="C116" s="10"/>
      <c r="D116" s="11">
        <v>126583</v>
      </c>
      <c r="E116" s="10" t="s">
        <v>33</v>
      </c>
      <c r="F116" s="10">
        <v>28665</v>
      </c>
      <c r="G116" s="12">
        <f t="shared" ref="G116:G121" si="37">F116*0.55</f>
        <v>15765.750000000002</v>
      </c>
      <c r="H116" s="12">
        <f t="shared" si="35"/>
        <v>31531.500000000004</v>
      </c>
      <c r="I116" s="13">
        <v>2</v>
      </c>
      <c r="J116" s="14" t="s">
        <v>12</v>
      </c>
      <c r="K116" s="10" t="s">
        <v>28</v>
      </c>
      <c r="L116" s="13" t="str">
        <f t="shared" si="36"/>
        <v>Блок3</v>
      </c>
      <c r="M116" s="12">
        <v>31531.500000000004</v>
      </c>
      <c r="N116">
        <v>31531.500000000004</v>
      </c>
    </row>
    <row r="117" spans="1:14" ht="21" customHeight="1" x14ac:dyDescent="0.25">
      <c r="A117" s="13" t="str">
        <f t="shared" si="34"/>
        <v>РУ-1-3(Блок3)</v>
      </c>
      <c r="B117" s="10" t="s">
        <v>27</v>
      </c>
      <c r="C117" s="10"/>
      <c r="D117" s="11">
        <v>126584</v>
      </c>
      <c r="E117" s="10" t="s">
        <v>34</v>
      </c>
      <c r="F117" s="10">
        <v>28756</v>
      </c>
      <c r="G117" s="12">
        <f t="shared" si="37"/>
        <v>15815.800000000001</v>
      </c>
      <c r="H117" s="12">
        <f t="shared" si="35"/>
        <v>15815.800000000001</v>
      </c>
      <c r="I117" s="13">
        <v>1</v>
      </c>
      <c r="J117" s="14" t="s">
        <v>12</v>
      </c>
      <c r="K117" s="10" t="s">
        <v>28</v>
      </c>
      <c r="L117" s="13" t="str">
        <f t="shared" si="36"/>
        <v>Блок3</v>
      </c>
      <c r="M117" s="12">
        <v>15815.800000000001</v>
      </c>
      <c r="N117">
        <v>15815.800000000001</v>
      </c>
    </row>
    <row r="118" spans="1:14" ht="21" customHeight="1" x14ac:dyDescent="0.25">
      <c r="A118" s="13" t="str">
        <f t="shared" si="34"/>
        <v>РУ-1-3(Блок3)</v>
      </c>
      <c r="B118" s="10" t="s">
        <v>27</v>
      </c>
      <c r="C118" s="10"/>
      <c r="D118" s="11">
        <v>126507</v>
      </c>
      <c r="E118" s="10" t="s">
        <v>35</v>
      </c>
      <c r="F118" s="10">
        <v>17108</v>
      </c>
      <c r="G118" s="12">
        <f t="shared" si="37"/>
        <v>9409.4000000000015</v>
      </c>
      <c r="H118" s="12">
        <f t="shared" si="35"/>
        <v>18818.800000000003</v>
      </c>
      <c r="I118" s="13">
        <v>2</v>
      </c>
      <c r="J118" s="14" t="s">
        <v>12</v>
      </c>
      <c r="K118" s="10" t="s">
        <v>28</v>
      </c>
      <c r="L118" s="13" t="str">
        <f t="shared" si="36"/>
        <v>Блок3</v>
      </c>
      <c r="M118" s="12">
        <v>18818.800000000003</v>
      </c>
      <c r="N118">
        <v>18818.800000000003</v>
      </c>
    </row>
    <row r="119" spans="1:14" ht="24" customHeight="1" x14ac:dyDescent="0.25">
      <c r="A119" s="10" t="str">
        <f t="shared" si="34"/>
        <v>РУ-1-3(Блок3)</v>
      </c>
      <c r="B119" s="10" t="s">
        <v>19</v>
      </c>
      <c r="C119" s="10"/>
      <c r="D119" s="11" t="s">
        <v>19</v>
      </c>
      <c r="E119" s="10" t="s">
        <v>19</v>
      </c>
      <c r="F119" s="10">
        <f ca="1">OFFSET(F119,1,2)</f>
        <v>27000</v>
      </c>
      <c r="G119" s="12">
        <f ca="1">F119*0.55</f>
        <v>14850.000000000002</v>
      </c>
      <c r="H119" s="12">
        <f ca="1">G119*I119</f>
        <v>14850.000000000002</v>
      </c>
      <c r="I119" s="10">
        <v>1</v>
      </c>
      <c r="J119" s="10" t="s">
        <v>12</v>
      </c>
      <c r="K119" s="10" t="s">
        <v>19</v>
      </c>
      <c r="L119" s="13" t="str">
        <f t="shared" si="36"/>
        <v>Блок3</v>
      </c>
      <c r="M119" s="12">
        <v>14850.000000000002</v>
      </c>
      <c r="N119">
        <v>14850.000000000002</v>
      </c>
    </row>
    <row r="120" spans="1:14" ht="21" customHeight="1" x14ac:dyDescent="0.25">
      <c r="A120" s="10" t="str">
        <f t="shared" si="34"/>
        <v>РУ-1-3(Блок3)</v>
      </c>
      <c r="B120" s="10" t="s">
        <v>20</v>
      </c>
      <c r="C120" s="10"/>
      <c r="D120" s="11" t="s">
        <v>20</v>
      </c>
      <c r="E120" s="10" t="s">
        <v>20</v>
      </c>
      <c r="F120" s="10">
        <v>4.5</v>
      </c>
      <c r="G120" s="12">
        <v>100</v>
      </c>
      <c r="H120" s="12">
        <f t="shared" si="35"/>
        <v>27000</v>
      </c>
      <c r="I120" s="10">
        <f>60*F120</f>
        <v>270</v>
      </c>
      <c r="J120" s="10" t="s">
        <v>12</v>
      </c>
      <c r="K120" s="10" t="s">
        <v>20</v>
      </c>
      <c r="L120" s="13" t="str">
        <f t="shared" si="36"/>
        <v>Блок3</v>
      </c>
      <c r="M120" s="12">
        <v>27000</v>
      </c>
      <c r="N120">
        <v>27000</v>
      </c>
    </row>
    <row r="121" spans="1:14" ht="30" customHeight="1" x14ac:dyDescent="0.25">
      <c r="A121" s="15" t="str">
        <f t="shared" si="34"/>
        <v>РУ-1-3(Блок3)</v>
      </c>
      <c r="B121" s="15"/>
      <c r="C121" s="15"/>
      <c r="D121" s="15"/>
      <c r="E121" s="16"/>
      <c r="F121" s="17"/>
      <c r="G121" s="12">
        <f t="shared" si="37"/>
        <v>0</v>
      </c>
      <c r="H121" s="18">
        <f ca="1">SUM(H115:H120)</f>
        <v>195016.09999999998</v>
      </c>
      <c r="I121" s="15"/>
      <c r="J121" s="19"/>
      <c r="K121" s="15"/>
      <c r="L121" s="13" t="str">
        <f t="shared" si="36"/>
        <v>Блок3</v>
      </c>
      <c r="M121" s="18">
        <v>195016.09999999998</v>
      </c>
      <c r="N121">
        <v>195016.09999999998</v>
      </c>
    </row>
    <row r="122" spans="1:14" ht="39.75" customHeight="1" x14ac:dyDescent="0.25">
      <c r="A122" s="8" t="str">
        <f>E122</f>
        <v>РУ-2-3</v>
      </c>
      <c r="B122" s="4"/>
      <c r="C122" s="4"/>
      <c r="D122" s="5"/>
      <c r="E122" s="4" t="s">
        <v>60</v>
      </c>
      <c r="F122" s="6"/>
      <c r="G122" s="6"/>
      <c r="H122" s="7"/>
      <c r="I122" s="8">
        <v>1</v>
      </c>
      <c r="J122" s="9" t="s">
        <v>9</v>
      </c>
      <c r="K122" s="4" t="s">
        <v>10</v>
      </c>
      <c r="L122" s="8" t="s">
        <v>58</v>
      </c>
      <c r="M122" s="7"/>
    </row>
    <row r="123" spans="1:14" ht="21" customHeight="1" x14ac:dyDescent="0.25">
      <c r="A123" s="13" t="str">
        <f t="shared" ref="A123:A129" si="38">A122</f>
        <v>РУ-2-3</v>
      </c>
      <c r="B123" s="10" t="s">
        <v>11</v>
      </c>
      <c r="C123" s="10"/>
      <c r="D123" s="11" t="s">
        <v>170</v>
      </c>
      <c r="E123" s="10" t="s">
        <v>171</v>
      </c>
      <c r="F123" s="10">
        <v>145000</v>
      </c>
      <c r="G123" s="12">
        <f>0.6*F123</f>
        <v>87000</v>
      </c>
      <c r="H123" s="12">
        <f t="shared" ref="H123:H128" si="39">G123*I123</f>
        <v>87000</v>
      </c>
      <c r="I123" s="13">
        <v>1</v>
      </c>
      <c r="J123" s="14" t="s">
        <v>12</v>
      </c>
      <c r="K123" s="10" t="s">
        <v>13</v>
      </c>
      <c r="L123" s="13" t="str">
        <f>L122</f>
        <v>Блок3</v>
      </c>
      <c r="M123" s="12">
        <v>87000</v>
      </c>
      <c r="N123">
        <v>87000</v>
      </c>
    </row>
    <row r="124" spans="1:14" ht="21" customHeight="1" x14ac:dyDescent="0.25">
      <c r="A124" s="13" t="str">
        <f t="shared" si="38"/>
        <v>РУ-2-3</v>
      </c>
      <c r="B124" s="10" t="s">
        <v>27</v>
      </c>
      <c r="C124" s="10"/>
      <c r="D124" s="11">
        <v>126584</v>
      </c>
      <c r="E124" s="10" t="s">
        <v>34</v>
      </c>
      <c r="F124" s="10">
        <v>28756</v>
      </c>
      <c r="G124" s="12">
        <f>F124*0.55</f>
        <v>15815.800000000001</v>
      </c>
      <c r="H124" s="12">
        <f t="shared" si="39"/>
        <v>15815.800000000001</v>
      </c>
      <c r="I124" s="13">
        <v>1</v>
      </c>
      <c r="J124" s="14" t="s">
        <v>12</v>
      </c>
      <c r="K124" s="10" t="s">
        <v>28</v>
      </c>
      <c r="L124" s="13" t="str">
        <f>L123</f>
        <v>Блок3</v>
      </c>
      <c r="M124" s="12">
        <v>15815.800000000001</v>
      </c>
      <c r="N124">
        <v>15815.800000000001</v>
      </c>
    </row>
    <row r="125" spans="1:14" ht="21" customHeight="1" x14ac:dyDescent="0.25">
      <c r="A125" s="13" t="str">
        <f t="shared" si="38"/>
        <v>РУ-2-3</v>
      </c>
      <c r="B125" s="10" t="s">
        <v>27</v>
      </c>
      <c r="C125" s="10"/>
      <c r="D125" s="11" t="s">
        <v>61</v>
      </c>
      <c r="E125" s="10" t="s">
        <v>37</v>
      </c>
      <c r="F125" s="10">
        <v>16562</v>
      </c>
      <c r="G125" s="12">
        <f>F125*0.55</f>
        <v>9109.1</v>
      </c>
      <c r="H125" s="12">
        <f t="shared" si="39"/>
        <v>27327.300000000003</v>
      </c>
      <c r="I125" s="13">
        <v>3</v>
      </c>
      <c r="J125" s="14" t="s">
        <v>12</v>
      </c>
      <c r="K125" s="10" t="s">
        <v>28</v>
      </c>
      <c r="L125" s="13" t="s">
        <v>58</v>
      </c>
      <c r="M125" s="12">
        <v>27327.300000000003</v>
      </c>
      <c r="N125">
        <v>27327.300000000003</v>
      </c>
    </row>
    <row r="126" spans="1:14" ht="21" customHeight="1" x14ac:dyDescent="0.25">
      <c r="A126" s="13" t="str">
        <f t="shared" si="38"/>
        <v>РУ-2-3</v>
      </c>
      <c r="B126" s="10" t="s">
        <v>27</v>
      </c>
      <c r="C126" s="10"/>
      <c r="D126" s="11" t="s">
        <v>62</v>
      </c>
      <c r="E126" s="10" t="s">
        <v>38</v>
      </c>
      <c r="F126" s="10">
        <v>16562</v>
      </c>
      <c r="G126" s="12">
        <f>F126*0.55</f>
        <v>9109.1</v>
      </c>
      <c r="H126" s="12">
        <f t="shared" si="39"/>
        <v>9109.1</v>
      </c>
      <c r="I126" s="13">
        <v>1</v>
      </c>
      <c r="J126" s="14" t="s">
        <v>12</v>
      </c>
      <c r="K126" s="10" t="s">
        <v>28</v>
      </c>
      <c r="L126" s="13" t="s">
        <v>58</v>
      </c>
      <c r="M126" s="12">
        <v>9109.1</v>
      </c>
      <c r="N126">
        <v>9109.1</v>
      </c>
    </row>
    <row r="127" spans="1:14" ht="24" customHeight="1" x14ac:dyDescent="0.25">
      <c r="A127" s="10" t="str">
        <f t="shared" si="38"/>
        <v>РУ-2-3</v>
      </c>
      <c r="B127" s="10" t="s">
        <v>19</v>
      </c>
      <c r="C127" s="10"/>
      <c r="D127" s="11" t="s">
        <v>19</v>
      </c>
      <c r="E127" s="10" t="s">
        <v>19</v>
      </c>
      <c r="F127" s="10">
        <f ca="1">OFFSET(F127,1,2)</f>
        <v>27000</v>
      </c>
      <c r="G127" s="12">
        <f ca="1">F127*0.55</f>
        <v>14850.000000000002</v>
      </c>
      <c r="H127" s="12">
        <f t="shared" ca="1" si="39"/>
        <v>14850.000000000002</v>
      </c>
      <c r="I127" s="10">
        <v>1</v>
      </c>
      <c r="J127" s="10" t="s">
        <v>12</v>
      </c>
      <c r="K127" s="10" t="s">
        <v>19</v>
      </c>
      <c r="L127" s="13" t="e">
        <f>#REF!</f>
        <v>#REF!</v>
      </c>
      <c r="M127" s="12">
        <v>14850.000000000002</v>
      </c>
      <c r="N127">
        <v>14850.000000000002</v>
      </c>
    </row>
    <row r="128" spans="1:14" ht="21" customHeight="1" x14ac:dyDescent="0.25">
      <c r="A128" s="10" t="str">
        <f t="shared" si="38"/>
        <v>РУ-2-3</v>
      </c>
      <c r="B128" s="10" t="s">
        <v>20</v>
      </c>
      <c r="C128" s="10"/>
      <c r="D128" s="11" t="s">
        <v>20</v>
      </c>
      <c r="E128" s="10" t="s">
        <v>20</v>
      </c>
      <c r="F128" s="10">
        <v>4.5</v>
      </c>
      <c r="G128" s="12">
        <v>100</v>
      </c>
      <c r="H128" s="12">
        <f t="shared" si="39"/>
        <v>27000</v>
      </c>
      <c r="I128" s="10">
        <f>60*F128</f>
        <v>270</v>
      </c>
      <c r="J128" s="10" t="s">
        <v>12</v>
      </c>
      <c r="K128" s="10" t="s">
        <v>20</v>
      </c>
      <c r="L128" s="13" t="e">
        <f>L127</f>
        <v>#REF!</v>
      </c>
      <c r="M128" s="12">
        <v>27000</v>
      </c>
      <c r="N128">
        <v>27000</v>
      </c>
    </row>
    <row r="129" spans="1:14" ht="30" customHeight="1" x14ac:dyDescent="0.25">
      <c r="A129" s="15" t="str">
        <f t="shared" si="38"/>
        <v>РУ-2-3</v>
      </c>
      <c r="B129" s="15"/>
      <c r="C129" s="15"/>
      <c r="D129" s="15"/>
      <c r="E129" s="16"/>
      <c r="F129" s="17"/>
      <c r="G129" s="12">
        <f>F129*0.55</f>
        <v>0</v>
      </c>
      <c r="H129" s="18">
        <f ca="1">SUM(H123:H128)</f>
        <v>181102.2</v>
      </c>
      <c r="I129" s="15"/>
      <c r="J129" s="19"/>
      <c r="K129" s="15"/>
      <c r="L129" s="13" t="e">
        <f>L128</f>
        <v>#REF!</v>
      </c>
      <c r="M129" s="18">
        <v>181102.2</v>
      </c>
      <c r="N129">
        <v>181102.2</v>
      </c>
    </row>
    <row r="130" spans="1:14" ht="39.75" customHeight="1" x14ac:dyDescent="0.25">
      <c r="A130" s="8" t="str">
        <f>E130</f>
        <v>ЩУР.МОП1-3</v>
      </c>
      <c r="B130" s="4"/>
      <c r="C130" s="4"/>
      <c r="D130" s="5"/>
      <c r="E130" s="4" t="s">
        <v>63</v>
      </c>
      <c r="F130" s="6"/>
      <c r="G130" s="6"/>
      <c r="H130" s="7"/>
      <c r="I130" s="8">
        <v>1</v>
      </c>
      <c r="J130" s="9" t="s">
        <v>9</v>
      </c>
      <c r="K130" s="4" t="s">
        <v>10</v>
      </c>
      <c r="L130" s="8" t="s">
        <v>58</v>
      </c>
      <c r="M130" s="7"/>
    </row>
    <row r="131" spans="1:14" ht="21" customHeight="1" x14ac:dyDescent="0.25">
      <c r="A131" s="13" t="str">
        <f t="shared" ref="A131:A138" si="40">A130</f>
        <v>ЩУР.МОП1-3</v>
      </c>
      <c r="B131" s="10" t="s">
        <v>11</v>
      </c>
      <c r="C131" s="10"/>
      <c r="D131" s="11" t="s">
        <v>40</v>
      </c>
      <c r="E131" s="10" t="s">
        <v>41</v>
      </c>
      <c r="F131" s="10">
        <v>18000</v>
      </c>
      <c r="G131" s="12">
        <f>0.6*F131</f>
        <v>10800</v>
      </c>
      <c r="H131" s="12">
        <f>G131*I131</f>
        <v>10800</v>
      </c>
      <c r="I131" s="13">
        <v>1</v>
      </c>
      <c r="J131" s="14" t="s">
        <v>12</v>
      </c>
      <c r="K131" s="10" t="s">
        <v>13</v>
      </c>
      <c r="L131" s="13" t="str">
        <f t="shared" ref="L131:L138" si="41">L130</f>
        <v>Блок3</v>
      </c>
      <c r="M131" s="12">
        <v>10800</v>
      </c>
      <c r="N131">
        <v>10800</v>
      </c>
    </row>
    <row r="132" spans="1:14" ht="21" customHeight="1" x14ac:dyDescent="0.25">
      <c r="A132" s="13" t="str">
        <f t="shared" si="40"/>
        <v>ЩУР.МОП1-3</v>
      </c>
      <c r="B132" s="10" t="s">
        <v>17</v>
      </c>
      <c r="C132" s="10"/>
      <c r="D132" s="11">
        <v>296830</v>
      </c>
      <c r="E132" s="10" t="s">
        <v>149</v>
      </c>
      <c r="F132" s="10">
        <v>1554</v>
      </c>
      <c r="G132" s="12">
        <f>F132*0.55</f>
        <v>854.7</v>
      </c>
      <c r="H132" s="12">
        <f>G132*I132</f>
        <v>854.7</v>
      </c>
      <c r="I132" s="13">
        <v>1</v>
      </c>
      <c r="J132" s="14" t="s">
        <v>12</v>
      </c>
      <c r="K132" s="10" t="s">
        <v>28</v>
      </c>
      <c r="L132" s="13" t="str">
        <f t="shared" si="41"/>
        <v>Блок3</v>
      </c>
      <c r="M132" s="12">
        <v>854.7</v>
      </c>
      <c r="N132">
        <v>854.7</v>
      </c>
    </row>
    <row r="133" spans="1:14" ht="21" customHeight="1" x14ac:dyDescent="0.25">
      <c r="A133" s="13" t="str">
        <f t="shared" si="40"/>
        <v>ЩУР.МОП1-3</v>
      </c>
      <c r="B133" s="10" t="s">
        <v>17</v>
      </c>
      <c r="C133" s="10"/>
      <c r="D133" s="11">
        <v>296828</v>
      </c>
      <c r="E133" s="10" t="s">
        <v>151</v>
      </c>
      <c r="F133" s="10">
        <v>1491</v>
      </c>
      <c r="G133" s="12">
        <f>F133*0.55</f>
        <v>820.05000000000007</v>
      </c>
      <c r="H133" s="12">
        <f>G133*I133</f>
        <v>1640.1000000000001</v>
      </c>
      <c r="I133" s="13">
        <v>2</v>
      </c>
      <c r="J133" s="14" t="s">
        <v>12</v>
      </c>
      <c r="K133" s="10" t="s">
        <v>28</v>
      </c>
      <c r="L133" s="13" t="str">
        <f t="shared" si="41"/>
        <v>Блок3</v>
      </c>
      <c r="M133" s="12">
        <v>1640.1000000000001</v>
      </c>
      <c r="N133">
        <v>1640.1000000000001</v>
      </c>
    </row>
    <row r="134" spans="1:14" ht="21" customHeight="1" x14ac:dyDescent="0.25">
      <c r="A134" s="13" t="str">
        <f t="shared" si="40"/>
        <v>ЩУР.МОП1-3</v>
      </c>
      <c r="B134" s="10" t="s">
        <v>17</v>
      </c>
      <c r="C134" s="10"/>
      <c r="D134" s="11">
        <v>296829</v>
      </c>
      <c r="E134" s="10" t="s">
        <v>148</v>
      </c>
      <c r="F134" s="10">
        <v>2111</v>
      </c>
      <c r="G134" s="12">
        <f>F134*0.55</f>
        <v>1161.0500000000002</v>
      </c>
      <c r="H134" s="12">
        <f>G134*I134</f>
        <v>2322.1000000000004</v>
      </c>
      <c r="I134" s="13">
        <v>2</v>
      </c>
      <c r="J134" s="14" t="s">
        <v>12</v>
      </c>
      <c r="K134" s="10" t="s">
        <v>28</v>
      </c>
      <c r="L134" s="13" t="str">
        <f t="shared" si="41"/>
        <v>Блок3</v>
      </c>
      <c r="M134" s="12">
        <v>2322.1000000000004</v>
      </c>
      <c r="N134">
        <v>2322.1000000000004</v>
      </c>
    </row>
    <row r="135" spans="1:14" ht="21" customHeight="1" x14ac:dyDescent="0.25">
      <c r="A135" s="13" t="str">
        <f t="shared" si="40"/>
        <v>ЩУР.МОП1-3</v>
      </c>
      <c r="B135" s="10" t="s">
        <v>15</v>
      </c>
      <c r="C135" s="10"/>
      <c r="D135" s="11" t="s">
        <v>179</v>
      </c>
      <c r="E135" s="10" t="s">
        <v>180</v>
      </c>
      <c r="F135" s="10">
        <v>83000</v>
      </c>
      <c r="G135" s="12">
        <f>F135</f>
        <v>83000</v>
      </c>
      <c r="H135" s="12">
        <v>39100</v>
      </c>
      <c r="I135" s="13">
        <v>1</v>
      </c>
      <c r="J135" s="14" t="s">
        <v>12</v>
      </c>
      <c r="K135" s="10" t="s">
        <v>16</v>
      </c>
      <c r="L135" s="13" t="str">
        <f t="shared" si="41"/>
        <v>Блок3</v>
      </c>
      <c r="M135" s="12">
        <v>39100</v>
      </c>
      <c r="N135">
        <v>39100</v>
      </c>
    </row>
    <row r="136" spans="1:14" ht="24" customHeight="1" x14ac:dyDescent="0.25">
      <c r="A136" s="10" t="str">
        <f t="shared" si="40"/>
        <v>ЩУР.МОП1-3</v>
      </c>
      <c r="B136" s="10" t="s">
        <v>19</v>
      </c>
      <c r="C136" s="10"/>
      <c r="D136" s="11" t="s">
        <v>19</v>
      </c>
      <c r="E136" s="10" t="s">
        <v>19</v>
      </c>
      <c r="F136" s="10">
        <f ca="1">OFFSET(F136,1,2)</f>
        <v>12000</v>
      </c>
      <c r="G136" s="12">
        <f ca="1">F136*0.55</f>
        <v>6600.0000000000009</v>
      </c>
      <c r="H136" s="12">
        <f ca="1">G136*I136</f>
        <v>6600.0000000000009</v>
      </c>
      <c r="I136" s="10">
        <v>1</v>
      </c>
      <c r="J136" s="10" t="s">
        <v>12</v>
      </c>
      <c r="K136" s="10" t="s">
        <v>19</v>
      </c>
      <c r="L136" s="13" t="str">
        <f t="shared" si="41"/>
        <v>Блок3</v>
      </c>
      <c r="M136" s="12">
        <v>6600.0000000000009</v>
      </c>
      <c r="N136">
        <v>6600.0000000000009</v>
      </c>
    </row>
    <row r="137" spans="1:14" ht="21" customHeight="1" x14ac:dyDescent="0.25">
      <c r="A137" s="10" t="str">
        <f t="shared" si="40"/>
        <v>ЩУР.МОП1-3</v>
      </c>
      <c r="B137" s="10" t="s">
        <v>20</v>
      </c>
      <c r="C137" s="10"/>
      <c r="D137" s="11" t="s">
        <v>20</v>
      </c>
      <c r="E137" s="10" t="s">
        <v>20</v>
      </c>
      <c r="F137" s="10">
        <v>2</v>
      </c>
      <c r="G137" s="12">
        <v>100</v>
      </c>
      <c r="H137" s="12">
        <f>G137*I137</f>
        <v>12000</v>
      </c>
      <c r="I137" s="10">
        <f>60*F137</f>
        <v>120</v>
      </c>
      <c r="J137" s="10" t="s">
        <v>12</v>
      </c>
      <c r="K137" s="10" t="s">
        <v>20</v>
      </c>
      <c r="L137" s="13" t="str">
        <f t="shared" si="41"/>
        <v>Блок3</v>
      </c>
      <c r="M137" s="12">
        <v>12000</v>
      </c>
      <c r="N137">
        <v>12000</v>
      </c>
    </row>
    <row r="138" spans="1:14" ht="30" customHeight="1" x14ac:dyDescent="0.25">
      <c r="A138" s="15" t="str">
        <f t="shared" si="40"/>
        <v>ЩУР.МОП1-3</v>
      </c>
      <c r="B138" s="15"/>
      <c r="C138" s="15"/>
      <c r="D138" s="15"/>
      <c r="E138" s="16"/>
      <c r="F138" s="17"/>
      <c r="G138" s="12">
        <f>F138*0.55</f>
        <v>0</v>
      </c>
      <c r="H138" s="18">
        <f ca="1">SUM(H131:H137)</f>
        <v>73316.899999999994</v>
      </c>
      <c r="I138" s="15"/>
      <c r="J138" s="19"/>
      <c r="K138" s="15"/>
      <c r="L138" s="13" t="str">
        <f t="shared" si="41"/>
        <v>Блок3</v>
      </c>
      <c r="M138" s="18">
        <v>73316.899999999994</v>
      </c>
      <c r="N138">
        <v>73316.899999999994</v>
      </c>
    </row>
    <row r="139" spans="1:14" ht="39.75" customHeight="1" x14ac:dyDescent="0.25">
      <c r="A139" s="8" t="str">
        <f>E139</f>
        <v>ЩУР.МОП2-3</v>
      </c>
      <c r="B139" s="4"/>
      <c r="C139" s="4"/>
      <c r="D139" s="5"/>
      <c r="E139" s="4" t="s">
        <v>64</v>
      </c>
      <c r="F139" s="6"/>
      <c r="G139" s="6"/>
      <c r="H139" s="7"/>
      <c r="I139" s="8">
        <v>1</v>
      </c>
      <c r="J139" s="9" t="s">
        <v>9</v>
      </c>
      <c r="K139" s="4" t="s">
        <v>10</v>
      </c>
      <c r="L139" s="8" t="s">
        <v>58</v>
      </c>
      <c r="M139" s="7"/>
    </row>
    <row r="140" spans="1:14" ht="21" customHeight="1" x14ac:dyDescent="0.25">
      <c r="A140" s="13" t="str">
        <f t="shared" ref="A140:A147" si="42">A139</f>
        <v>ЩУР.МОП2-3</v>
      </c>
      <c r="B140" s="10" t="s">
        <v>11</v>
      </c>
      <c r="C140" s="10"/>
      <c r="D140" s="11" t="s">
        <v>40</v>
      </c>
      <c r="E140" s="10" t="s">
        <v>41</v>
      </c>
      <c r="F140" s="10">
        <v>18000</v>
      </c>
      <c r="G140" s="12">
        <f>0.6*F140</f>
        <v>10800</v>
      </c>
      <c r="H140" s="12">
        <f>G140*I140</f>
        <v>10800</v>
      </c>
      <c r="I140" s="13">
        <v>1</v>
      </c>
      <c r="J140" s="14" t="s">
        <v>12</v>
      </c>
      <c r="K140" s="10" t="s">
        <v>13</v>
      </c>
      <c r="L140" s="13" t="str">
        <f t="shared" ref="L140:L147" si="43">L139</f>
        <v>Блок3</v>
      </c>
      <c r="M140" s="12">
        <v>10800</v>
      </c>
      <c r="N140">
        <v>10800</v>
      </c>
    </row>
    <row r="141" spans="1:14" ht="21" customHeight="1" x14ac:dyDescent="0.25">
      <c r="A141" s="13" t="str">
        <f t="shared" si="42"/>
        <v>ЩУР.МОП2-3</v>
      </c>
      <c r="B141" s="10" t="s">
        <v>17</v>
      </c>
      <c r="C141" s="10"/>
      <c r="D141" s="11">
        <v>296830</v>
      </c>
      <c r="E141" s="10" t="s">
        <v>149</v>
      </c>
      <c r="F141" s="10">
        <v>1554</v>
      </c>
      <c r="G141" s="12">
        <f>F141*0.55</f>
        <v>854.7</v>
      </c>
      <c r="H141" s="12">
        <f>G141*I141</f>
        <v>854.7</v>
      </c>
      <c r="I141" s="13">
        <v>1</v>
      </c>
      <c r="J141" s="14" t="s">
        <v>12</v>
      </c>
      <c r="K141" s="10" t="s">
        <v>28</v>
      </c>
      <c r="L141" s="13" t="str">
        <f t="shared" si="43"/>
        <v>Блок3</v>
      </c>
      <c r="M141" s="12">
        <v>854.7</v>
      </c>
      <c r="N141">
        <v>854.7</v>
      </c>
    </row>
    <row r="142" spans="1:14" ht="21" customHeight="1" x14ac:dyDescent="0.25">
      <c r="A142" s="13" t="str">
        <f t="shared" si="42"/>
        <v>ЩУР.МОП2-3</v>
      </c>
      <c r="B142" s="10" t="s">
        <v>17</v>
      </c>
      <c r="C142" s="10"/>
      <c r="D142" s="11">
        <v>296828</v>
      </c>
      <c r="E142" s="10" t="s">
        <v>151</v>
      </c>
      <c r="F142" s="10">
        <v>1491</v>
      </c>
      <c r="G142" s="12">
        <f>F142*0.55</f>
        <v>820.05000000000007</v>
      </c>
      <c r="H142" s="12">
        <f>G142*I142</f>
        <v>1640.1000000000001</v>
      </c>
      <c r="I142" s="13">
        <v>2</v>
      </c>
      <c r="J142" s="14" t="s">
        <v>12</v>
      </c>
      <c r="K142" s="10" t="s">
        <v>28</v>
      </c>
      <c r="L142" s="13" t="str">
        <f t="shared" si="43"/>
        <v>Блок3</v>
      </c>
      <c r="M142" s="12">
        <v>1640.1000000000001</v>
      </c>
      <c r="N142">
        <v>1640.1000000000001</v>
      </c>
    </row>
    <row r="143" spans="1:14" ht="21" customHeight="1" x14ac:dyDescent="0.25">
      <c r="A143" s="13" t="str">
        <f t="shared" si="42"/>
        <v>ЩУР.МОП2-3</v>
      </c>
      <c r="B143" s="10" t="s">
        <v>17</v>
      </c>
      <c r="C143" s="10"/>
      <c r="D143" s="11">
        <v>296829</v>
      </c>
      <c r="E143" s="10" t="s">
        <v>148</v>
      </c>
      <c r="F143" s="10">
        <v>2111</v>
      </c>
      <c r="G143" s="12">
        <f>F143*0.55</f>
        <v>1161.0500000000002</v>
      </c>
      <c r="H143" s="12">
        <f>G143*I143</f>
        <v>2322.1000000000004</v>
      </c>
      <c r="I143" s="13">
        <v>2</v>
      </c>
      <c r="J143" s="14" t="s">
        <v>12</v>
      </c>
      <c r="K143" s="10" t="s">
        <v>28</v>
      </c>
      <c r="L143" s="13" t="str">
        <f t="shared" si="43"/>
        <v>Блок3</v>
      </c>
      <c r="M143" s="12">
        <v>2322.1000000000004</v>
      </c>
      <c r="N143">
        <v>2322.1000000000004</v>
      </c>
    </row>
    <row r="144" spans="1:14" ht="21" customHeight="1" x14ac:dyDescent="0.25">
      <c r="A144" s="13" t="str">
        <f t="shared" si="42"/>
        <v>ЩУР.МОП2-3</v>
      </c>
      <c r="B144" s="10" t="s">
        <v>15</v>
      </c>
      <c r="C144" s="10"/>
      <c r="D144" s="11" t="s">
        <v>179</v>
      </c>
      <c r="E144" s="10" t="s">
        <v>180</v>
      </c>
      <c r="F144" s="10">
        <v>83000</v>
      </c>
      <c r="G144" s="12">
        <f>F144</f>
        <v>83000</v>
      </c>
      <c r="H144" s="12">
        <v>39100</v>
      </c>
      <c r="I144" s="13">
        <v>1</v>
      </c>
      <c r="J144" s="14" t="s">
        <v>12</v>
      </c>
      <c r="K144" s="10" t="s">
        <v>16</v>
      </c>
      <c r="L144" s="13" t="str">
        <f t="shared" si="43"/>
        <v>Блок3</v>
      </c>
      <c r="M144" s="12">
        <v>39100</v>
      </c>
      <c r="N144">
        <v>39100</v>
      </c>
    </row>
    <row r="145" spans="1:14" ht="24" customHeight="1" x14ac:dyDescent="0.25">
      <c r="A145" s="10" t="str">
        <f t="shared" si="42"/>
        <v>ЩУР.МОП2-3</v>
      </c>
      <c r="B145" s="10" t="s">
        <v>19</v>
      </c>
      <c r="C145" s="10"/>
      <c r="D145" s="11" t="s">
        <v>19</v>
      </c>
      <c r="E145" s="10" t="s">
        <v>19</v>
      </c>
      <c r="F145" s="10">
        <f ca="1">OFFSET(F145,1,2)</f>
        <v>12000</v>
      </c>
      <c r="G145" s="12">
        <f ca="1">F145*0.55</f>
        <v>6600.0000000000009</v>
      </c>
      <c r="H145" s="12">
        <f ca="1">G145*I145</f>
        <v>6600.0000000000009</v>
      </c>
      <c r="I145" s="10">
        <v>1</v>
      </c>
      <c r="J145" s="10" t="s">
        <v>12</v>
      </c>
      <c r="K145" s="10" t="s">
        <v>19</v>
      </c>
      <c r="L145" s="13" t="str">
        <f t="shared" si="43"/>
        <v>Блок3</v>
      </c>
      <c r="M145" s="12">
        <v>6600.0000000000009</v>
      </c>
      <c r="N145">
        <v>6600.0000000000009</v>
      </c>
    </row>
    <row r="146" spans="1:14" ht="21" customHeight="1" x14ac:dyDescent="0.25">
      <c r="A146" s="10" t="str">
        <f t="shared" si="42"/>
        <v>ЩУР.МОП2-3</v>
      </c>
      <c r="B146" s="10" t="s">
        <v>20</v>
      </c>
      <c r="C146" s="10"/>
      <c r="D146" s="11" t="s">
        <v>20</v>
      </c>
      <c r="E146" s="10" t="s">
        <v>20</v>
      </c>
      <c r="F146" s="10">
        <v>2</v>
      </c>
      <c r="G146" s="12">
        <v>100</v>
      </c>
      <c r="H146" s="12">
        <f>G146*I146</f>
        <v>12000</v>
      </c>
      <c r="I146" s="10">
        <f>60*F146</f>
        <v>120</v>
      </c>
      <c r="J146" s="10" t="s">
        <v>12</v>
      </c>
      <c r="K146" s="10" t="s">
        <v>20</v>
      </c>
      <c r="L146" s="13" t="str">
        <f t="shared" si="43"/>
        <v>Блок3</v>
      </c>
      <c r="M146" s="12">
        <v>12000</v>
      </c>
      <c r="N146">
        <v>12000</v>
      </c>
    </row>
    <row r="147" spans="1:14" ht="30" customHeight="1" x14ac:dyDescent="0.25">
      <c r="A147" s="15" t="str">
        <f t="shared" si="42"/>
        <v>ЩУР.МОП2-3</v>
      </c>
      <c r="B147" s="15"/>
      <c r="C147" s="15"/>
      <c r="D147" s="15"/>
      <c r="E147" s="16"/>
      <c r="F147" s="17"/>
      <c r="G147" s="12">
        <f>F147*0.55</f>
        <v>0</v>
      </c>
      <c r="H147" s="18">
        <f ca="1">SUM(H140:H146)</f>
        <v>73316.899999999994</v>
      </c>
      <c r="I147" s="15"/>
      <c r="J147" s="19"/>
      <c r="K147" s="15"/>
      <c r="L147" s="13" t="str">
        <f t="shared" si="43"/>
        <v>Блок3</v>
      </c>
      <c r="M147" s="18">
        <v>73316.899999999994</v>
      </c>
      <c r="N147">
        <v>73316.899999999994</v>
      </c>
    </row>
    <row r="148" spans="1:14" ht="39.75" customHeight="1" x14ac:dyDescent="0.25">
      <c r="A148" s="8" t="str">
        <f>E148</f>
        <v>РЩ1-3 (АВР-Б-40-2-1)</v>
      </c>
      <c r="B148" s="4"/>
      <c r="C148" s="4"/>
      <c r="D148" s="5"/>
      <c r="E148" s="4" t="s">
        <v>134</v>
      </c>
      <c r="F148" s="6"/>
      <c r="G148" s="6"/>
      <c r="H148" s="7"/>
      <c r="I148" s="8">
        <v>1</v>
      </c>
      <c r="J148" s="9" t="s">
        <v>9</v>
      </c>
      <c r="K148" s="4" t="s">
        <v>10</v>
      </c>
      <c r="L148" s="8" t="s">
        <v>58</v>
      </c>
      <c r="M148" s="7"/>
    </row>
    <row r="149" spans="1:14" ht="21" customHeight="1" x14ac:dyDescent="0.25">
      <c r="A149" s="13" t="str">
        <f t="shared" ref="A149:A160" si="44">A148</f>
        <v>РЩ1-3 (АВР-Б-40-2-1)</v>
      </c>
      <c r="B149" s="10" t="s">
        <v>11</v>
      </c>
      <c r="C149" s="10"/>
      <c r="D149" s="11" t="s">
        <v>168</v>
      </c>
      <c r="E149" s="10" t="s">
        <v>169</v>
      </c>
      <c r="F149" s="10">
        <v>130000</v>
      </c>
      <c r="G149" s="12">
        <f>0.6*F149</f>
        <v>78000</v>
      </c>
      <c r="H149" s="12">
        <f t="shared" ref="H149:H155" si="45">G149*I149</f>
        <v>78000</v>
      </c>
      <c r="I149" s="13">
        <v>1</v>
      </c>
      <c r="J149" s="14" t="s">
        <v>12</v>
      </c>
      <c r="K149" s="10" t="s">
        <v>13</v>
      </c>
      <c r="L149" s="13" t="str">
        <f t="shared" ref="L149:L160" si="46">L148</f>
        <v>Блок3</v>
      </c>
      <c r="M149" s="12">
        <v>78000</v>
      </c>
      <c r="N149">
        <v>78000</v>
      </c>
    </row>
    <row r="150" spans="1:14" ht="21" customHeight="1" x14ac:dyDescent="0.25">
      <c r="A150" s="13" t="str">
        <f t="shared" si="44"/>
        <v>РЩ1-3 (АВР-Б-40-2-1)</v>
      </c>
      <c r="B150" s="10" t="s">
        <v>44</v>
      </c>
      <c r="C150" s="10"/>
      <c r="D150" s="11" t="s">
        <v>162</v>
      </c>
      <c r="E150" s="10" t="s">
        <v>163</v>
      </c>
      <c r="F150" s="10">
        <v>114758</v>
      </c>
      <c r="G150" s="12">
        <f t="shared" ref="G150:G155" si="47">F150*0.55</f>
        <v>63116.900000000009</v>
      </c>
      <c r="H150" s="12">
        <f t="shared" si="45"/>
        <v>63116.900000000009</v>
      </c>
      <c r="I150" s="13">
        <v>1</v>
      </c>
      <c r="J150" s="14" t="s">
        <v>12</v>
      </c>
      <c r="K150" s="10" t="s">
        <v>14</v>
      </c>
      <c r="L150" s="13" t="str">
        <f t="shared" si="46"/>
        <v>Блок3</v>
      </c>
      <c r="M150" s="12">
        <v>63116.900000000009</v>
      </c>
      <c r="N150">
        <v>63116.900000000009</v>
      </c>
    </row>
    <row r="151" spans="1:14" ht="21" customHeight="1" x14ac:dyDescent="0.25">
      <c r="A151" s="13" t="str">
        <f t="shared" si="44"/>
        <v>РЩ1-3 (АВР-Б-40-2-1)</v>
      </c>
      <c r="B151" s="10" t="s">
        <v>27</v>
      </c>
      <c r="C151" s="10"/>
      <c r="D151" s="11">
        <v>126505</v>
      </c>
      <c r="E151" s="10" t="s">
        <v>45</v>
      </c>
      <c r="F151" s="10">
        <v>15740</v>
      </c>
      <c r="G151" s="12">
        <f t="shared" si="47"/>
        <v>8657</v>
      </c>
      <c r="H151" s="12">
        <f t="shared" si="45"/>
        <v>17314</v>
      </c>
      <c r="I151" s="13">
        <v>2</v>
      </c>
      <c r="J151" s="14" t="s">
        <v>12</v>
      </c>
      <c r="K151" s="10" t="s">
        <v>28</v>
      </c>
      <c r="L151" s="13" t="str">
        <f t="shared" si="46"/>
        <v>Блок3</v>
      </c>
      <c r="M151" s="12">
        <v>17314</v>
      </c>
      <c r="N151">
        <v>17314</v>
      </c>
    </row>
    <row r="152" spans="1:14" ht="21" customHeight="1" x14ac:dyDescent="0.25">
      <c r="A152" s="13" t="str">
        <f t="shared" si="44"/>
        <v>РЩ1-3 (АВР-Б-40-2-1)</v>
      </c>
      <c r="B152" s="10" t="s">
        <v>27</v>
      </c>
      <c r="C152" s="10"/>
      <c r="D152" s="11">
        <v>126677</v>
      </c>
      <c r="E152" s="10" t="s">
        <v>43</v>
      </c>
      <c r="F152" s="10">
        <v>14742</v>
      </c>
      <c r="G152" s="12">
        <f t="shared" si="47"/>
        <v>8108.1</v>
      </c>
      <c r="H152" s="12">
        <f t="shared" si="45"/>
        <v>16216.2</v>
      </c>
      <c r="I152" s="13">
        <v>2</v>
      </c>
      <c r="J152" s="14" t="s">
        <v>12</v>
      </c>
      <c r="K152" s="10" t="s">
        <v>28</v>
      </c>
      <c r="L152" s="13" t="str">
        <f t="shared" si="46"/>
        <v>Блок3</v>
      </c>
      <c r="M152" s="12">
        <v>16216.2</v>
      </c>
      <c r="N152">
        <v>16216.2</v>
      </c>
    </row>
    <row r="153" spans="1:14" ht="21" customHeight="1" x14ac:dyDescent="0.25">
      <c r="A153" s="13" t="str">
        <f t="shared" si="44"/>
        <v>РЩ1-3 (АВР-Б-40-2-1)</v>
      </c>
      <c r="B153" s="10" t="s">
        <v>17</v>
      </c>
      <c r="C153" s="10"/>
      <c r="D153" s="11">
        <v>814174</v>
      </c>
      <c r="E153" s="10" t="s">
        <v>46</v>
      </c>
      <c r="F153" s="10">
        <v>4823</v>
      </c>
      <c r="G153" s="12">
        <f t="shared" si="47"/>
        <v>2652.65</v>
      </c>
      <c r="H153" s="12">
        <f t="shared" si="45"/>
        <v>5305.3</v>
      </c>
      <c r="I153" s="13">
        <v>2</v>
      </c>
      <c r="J153" s="14" t="s">
        <v>12</v>
      </c>
      <c r="K153" s="10" t="s">
        <v>28</v>
      </c>
      <c r="L153" s="13" t="str">
        <f t="shared" si="46"/>
        <v>Блок3</v>
      </c>
      <c r="M153" s="12">
        <v>5305.3</v>
      </c>
      <c r="N153">
        <v>5305.3</v>
      </c>
    </row>
    <row r="154" spans="1:14" ht="21" customHeight="1" x14ac:dyDescent="0.25">
      <c r="A154" s="13" t="str">
        <f t="shared" si="44"/>
        <v>РЩ1-3 (АВР-Б-40-2-1)</v>
      </c>
      <c r="B154" s="10" t="s">
        <v>18</v>
      </c>
      <c r="C154" s="10"/>
      <c r="D154" s="11">
        <v>819975</v>
      </c>
      <c r="E154" s="10" t="s">
        <v>47</v>
      </c>
      <c r="F154" s="10">
        <v>5369</v>
      </c>
      <c r="G154" s="12">
        <f t="shared" si="47"/>
        <v>2952.9500000000003</v>
      </c>
      <c r="H154" s="12">
        <f t="shared" si="45"/>
        <v>2952.9500000000003</v>
      </c>
      <c r="I154" s="13">
        <v>1</v>
      </c>
      <c r="J154" s="14" t="s">
        <v>12</v>
      </c>
      <c r="K154" s="10" t="s">
        <v>28</v>
      </c>
      <c r="L154" s="13" t="str">
        <f t="shared" si="46"/>
        <v>Блок3</v>
      </c>
      <c r="M154" s="12">
        <v>2952.9500000000003</v>
      </c>
      <c r="N154">
        <v>2952.9500000000003</v>
      </c>
    </row>
    <row r="155" spans="1:14" ht="21" customHeight="1" x14ac:dyDescent="0.25">
      <c r="A155" s="13" t="str">
        <f t="shared" si="44"/>
        <v>РЩ1-3 (АВР-Б-40-2-1)</v>
      </c>
      <c r="B155" s="10" t="s">
        <v>17</v>
      </c>
      <c r="C155" s="10"/>
      <c r="D155" s="11">
        <v>814167</v>
      </c>
      <c r="E155" s="10" t="s">
        <v>48</v>
      </c>
      <c r="F155" s="10">
        <v>5187</v>
      </c>
      <c r="G155" s="12">
        <f t="shared" si="47"/>
        <v>2852.8500000000004</v>
      </c>
      <c r="H155" s="12">
        <f t="shared" si="45"/>
        <v>2852.8500000000004</v>
      </c>
      <c r="I155" s="13">
        <v>1</v>
      </c>
      <c r="J155" s="14" t="s">
        <v>12</v>
      </c>
      <c r="K155" s="10" t="s">
        <v>28</v>
      </c>
      <c r="L155" s="13" t="str">
        <f t="shared" si="46"/>
        <v>Блок3</v>
      </c>
      <c r="M155" s="12">
        <v>2852.8500000000004</v>
      </c>
      <c r="N155">
        <v>2852.8500000000004</v>
      </c>
    </row>
    <row r="156" spans="1:14" ht="21" customHeight="1" x14ac:dyDescent="0.25">
      <c r="A156" s="13" t="str">
        <f t="shared" si="44"/>
        <v>РЩ1-3 (АВР-Б-40-2-1)</v>
      </c>
      <c r="B156" s="10" t="s">
        <v>15</v>
      </c>
      <c r="C156" s="10"/>
      <c r="D156" s="11" t="s">
        <v>179</v>
      </c>
      <c r="E156" s="10" t="s">
        <v>180</v>
      </c>
      <c r="F156" s="10">
        <v>83000</v>
      </c>
      <c r="G156" s="12">
        <f>F156</f>
        <v>83000</v>
      </c>
      <c r="H156" s="12">
        <v>39100</v>
      </c>
      <c r="I156" s="13">
        <v>1</v>
      </c>
      <c r="J156" s="14" t="s">
        <v>12</v>
      </c>
      <c r="K156" s="10" t="s">
        <v>16</v>
      </c>
      <c r="L156" s="13" t="str">
        <f t="shared" si="46"/>
        <v>Блок3</v>
      </c>
      <c r="M156" s="12">
        <v>39100</v>
      </c>
      <c r="N156">
        <v>39100</v>
      </c>
    </row>
    <row r="157" spans="1:14" ht="21" customHeight="1" x14ac:dyDescent="0.25">
      <c r="A157" s="13" t="str">
        <f t="shared" si="44"/>
        <v>РЩ1-3 (АВР-Б-40-2-1)</v>
      </c>
      <c r="B157" s="10" t="s">
        <v>30</v>
      </c>
      <c r="C157" s="10"/>
      <c r="D157" s="11"/>
      <c r="E157" s="10" t="s">
        <v>31</v>
      </c>
      <c r="F157" s="10">
        <v>4500</v>
      </c>
      <c r="G157" s="12">
        <f>F157*0.55</f>
        <v>2475</v>
      </c>
      <c r="H157" s="12">
        <f>G157*I157</f>
        <v>14850</v>
      </c>
      <c r="I157" s="13">
        <v>6</v>
      </c>
      <c r="J157" s="14" t="s">
        <v>12</v>
      </c>
      <c r="K157" s="10" t="s">
        <v>25</v>
      </c>
      <c r="L157" s="13" t="e">
        <f>#REF!</f>
        <v>#REF!</v>
      </c>
      <c r="M157" s="12">
        <v>14850</v>
      </c>
      <c r="N157">
        <v>14850</v>
      </c>
    </row>
    <row r="158" spans="1:14" ht="24" customHeight="1" x14ac:dyDescent="0.25">
      <c r="A158" s="10" t="str">
        <f t="shared" si="44"/>
        <v>РЩ1-3 (АВР-Б-40-2-1)</v>
      </c>
      <c r="B158" s="10" t="s">
        <v>19</v>
      </c>
      <c r="C158" s="10"/>
      <c r="D158" s="11" t="s">
        <v>19</v>
      </c>
      <c r="E158" s="10" t="s">
        <v>19</v>
      </c>
      <c r="F158" s="10">
        <f ca="1">OFFSET(F158,1,2)</f>
        <v>39000</v>
      </c>
      <c r="G158" s="12">
        <f ca="1">F158*0.55</f>
        <v>21450</v>
      </c>
      <c r="H158" s="12">
        <f ca="1">G158*I158</f>
        <v>21450</v>
      </c>
      <c r="I158" s="10">
        <v>1</v>
      </c>
      <c r="J158" s="10" t="s">
        <v>12</v>
      </c>
      <c r="K158" s="10" t="s">
        <v>19</v>
      </c>
      <c r="L158" s="13" t="e">
        <f t="shared" si="46"/>
        <v>#REF!</v>
      </c>
      <c r="M158" s="12">
        <v>21450</v>
      </c>
      <c r="N158">
        <v>21450</v>
      </c>
    </row>
    <row r="159" spans="1:14" ht="21" customHeight="1" x14ac:dyDescent="0.25">
      <c r="A159" s="10" t="str">
        <f t="shared" si="44"/>
        <v>РЩ1-3 (АВР-Б-40-2-1)</v>
      </c>
      <c r="B159" s="10" t="s">
        <v>20</v>
      </c>
      <c r="C159" s="10"/>
      <c r="D159" s="11" t="s">
        <v>20</v>
      </c>
      <c r="E159" s="10" t="s">
        <v>20</v>
      </c>
      <c r="F159" s="10">
        <v>6.5</v>
      </c>
      <c r="G159" s="12">
        <v>100</v>
      </c>
      <c r="H159" s="12">
        <f>G159*I159</f>
        <v>39000</v>
      </c>
      <c r="I159" s="10">
        <f>60*F159</f>
        <v>390</v>
      </c>
      <c r="J159" s="10" t="s">
        <v>12</v>
      </c>
      <c r="K159" s="10" t="s">
        <v>20</v>
      </c>
      <c r="L159" s="13" t="e">
        <f t="shared" si="46"/>
        <v>#REF!</v>
      </c>
      <c r="M159" s="12">
        <v>39000</v>
      </c>
      <c r="N159">
        <v>39000</v>
      </c>
    </row>
    <row r="160" spans="1:14" ht="30" customHeight="1" x14ac:dyDescent="0.25">
      <c r="A160" s="15" t="str">
        <f t="shared" si="44"/>
        <v>РЩ1-3 (АВР-Б-40-2-1)</v>
      </c>
      <c r="B160" s="15"/>
      <c r="C160" s="15"/>
      <c r="D160" s="15"/>
      <c r="E160" s="16"/>
      <c r="F160" s="17"/>
      <c r="G160" s="12">
        <f>F160*0.55</f>
        <v>0</v>
      </c>
      <c r="H160" s="18">
        <f ca="1">SUM(H149:H159)</f>
        <v>300158.20000000007</v>
      </c>
      <c r="I160" s="15"/>
      <c r="J160" s="19"/>
      <c r="K160" s="15"/>
      <c r="L160" s="13" t="e">
        <f t="shared" si="46"/>
        <v>#REF!</v>
      </c>
      <c r="M160" s="18">
        <v>300158.20000000007</v>
      </c>
      <c r="N160">
        <v>300158.20000000007</v>
      </c>
    </row>
    <row r="161" spans="1:14" ht="39.75" customHeight="1" x14ac:dyDescent="0.25">
      <c r="A161" s="8" t="str">
        <f>E161</f>
        <v>РЩ2-3 (АВР-Б-40-2-1)</v>
      </c>
      <c r="B161" s="4"/>
      <c r="C161" s="4"/>
      <c r="D161" s="5"/>
      <c r="E161" s="4" t="s">
        <v>135</v>
      </c>
      <c r="F161" s="6"/>
      <c r="G161" s="6"/>
      <c r="H161" s="7"/>
      <c r="I161" s="8">
        <v>1</v>
      </c>
      <c r="J161" s="9" t="s">
        <v>9</v>
      </c>
      <c r="K161" s="4" t="s">
        <v>10</v>
      </c>
      <c r="L161" s="8" t="s">
        <v>58</v>
      </c>
      <c r="M161" s="7"/>
    </row>
    <row r="162" spans="1:14" ht="21" customHeight="1" x14ac:dyDescent="0.25">
      <c r="A162" s="13" t="str">
        <f t="shared" ref="A162:A173" si="48">A161</f>
        <v>РЩ2-3 (АВР-Б-40-2-1)</v>
      </c>
      <c r="B162" s="10" t="s">
        <v>11</v>
      </c>
      <c r="C162" s="10"/>
      <c r="D162" s="11" t="s">
        <v>168</v>
      </c>
      <c r="E162" s="10" t="s">
        <v>169</v>
      </c>
      <c r="F162" s="10">
        <v>130000</v>
      </c>
      <c r="G162" s="12">
        <f>0.6*F162</f>
        <v>78000</v>
      </c>
      <c r="H162" s="12">
        <f t="shared" ref="H162:H168" si="49">G162*I162</f>
        <v>78000</v>
      </c>
      <c r="I162" s="13">
        <v>1</v>
      </c>
      <c r="J162" s="14" t="s">
        <v>12</v>
      </c>
      <c r="K162" s="10" t="s">
        <v>13</v>
      </c>
      <c r="L162" s="13" t="str">
        <f t="shared" ref="L162:L173" si="50">L161</f>
        <v>Блок3</v>
      </c>
      <c r="M162" s="12">
        <v>78000</v>
      </c>
      <c r="N162">
        <v>78000</v>
      </c>
    </row>
    <row r="163" spans="1:14" ht="21" customHeight="1" x14ac:dyDescent="0.25">
      <c r="A163" s="13" t="str">
        <f t="shared" si="48"/>
        <v>РЩ2-3 (АВР-Б-40-2-1)</v>
      </c>
      <c r="B163" s="10" t="s">
        <v>44</v>
      </c>
      <c r="C163" s="10"/>
      <c r="D163" s="11" t="s">
        <v>162</v>
      </c>
      <c r="E163" s="10" t="s">
        <v>163</v>
      </c>
      <c r="F163" s="10">
        <v>114758</v>
      </c>
      <c r="G163" s="12">
        <f t="shared" ref="G163:G168" si="51">F163*0.55</f>
        <v>63116.900000000009</v>
      </c>
      <c r="H163" s="12">
        <f t="shared" si="49"/>
        <v>63116.900000000009</v>
      </c>
      <c r="I163" s="13">
        <v>1</v>
      </c>
      <c r="J163" s="14" t="s">
        <v>12</v>
      </c>
      <c r="K163" s="10" t="s">
        <v>14</v>
      </c>
      <c r="L163" s="13" t="str">
        <f t="shared" si="50"/>
        <v>Блок3</v>
      </c>
      <c r="M163" s="12">
        <v>63116.900000000009</v>
      </c>
      <c r="N163">
        <v>63116.900000000009</v>
      </c>
    </row>
    <row r="164" spans="1:14" ht="21" customHeight="1" x14ac:dyDescent="0.25">
      <c r="A164" s="13" t="str">
        <f t="shared" si="48"/>
        <v>РЩ2-3 (АВР-Б-40-2-1)</v>
      </c>
      <c r="B164" s="10" t="s">
        <v>27</v>
      </c>
      <c r="C164" s="10"/>
      <c r="D164" s="11">
        <v>126505</v>
      </c>
      <c r="E164" s="10" t="s">
        <v>45</v>
      </c>
      <c r="F164" s="10">
        <v>15740</v>
      </c>
      <c r="G164" s="12">
        <f t="shared" si="51"/>
        <v>8657</v>
      </c>
      <c r="H164" s="12">
        <f t="shared" si="49"/>
        <v>17314</v>
      </c>
      <c r="I164" s="13">
        <v>2</v>
      </c>
      <c r="J164" s="14" t="s">
        <v>12</v>
      </c>
      <c r="K164" s="10" t="s">
        <v>28</v>
      </c>
      <c r="L164" s="13" t="str">
        <f t="shared" si="50"/>
        <v>Блок3</v>
      </c>
      <c r="M164" s="12">
        <v>17314</v>
      </c>
      <c r="N164">
        <v>17314</v>
      </c>
    </row>
    <row r="165" spans="1:14" ht="21" customHeight="1" x14ac:dyDescent="0.25">
      <c r="A165" s="13" t="str">
        <f t="shared" si="48"/>
        <v>РЩ2-3 (АВР-Б-40-2-1)</v>
      </c>
      <c r="B165" s="10" t="s">
        <v>27</v>
      </c>
      <c r="C165" s="10"/>
      <c r="D165" s="11">
        <v>126677</v>
      </c>
      <c r="E165" s="10" t="s">
        <v>43</v>
      </c>
      <c r="F165" s="10">
        <v>14742</v>
      </c>
      <c r="G165" s="12">
        <f t="shared" si="51"/>
        <v>8108.1</v>
      </c>
      <c r="H165" s="12">
        <f t="shared" si="49"/>
        <v>16216.2</v>
      </c>
      <c r="I165" s="13">
        <v>2</v>
      </c>
      <c r="J165" s="14" t="s">
        <v>12</v>
      </c>
      <c r="K165" s="10" t="s">
        <v>28</v>
      </c>
      <c r="L165" s="13" t="str">
        <f t="shared" si="50"/>
        <v>Блок3</v>
      </c>
      <c r="M165" s="12">
        <v>16216.2</v>
      </c>
      <c r="N165">
        <v>16216.2</v>
      </c>
    </row>
    <row r="166" spans="1:14" ht="21" customHeight="1" x14ac:dyDescent="0.25">
      <c r="A166" s="13" t="str">
        <f t="shared" si="48"/>
        <v>РЩ2-3 (АВР-Б-40-2-1)</v>
      </c>
      <c r="B166" s="10" t="s">
        <v>17</v>
      </c>
      <c r="C166" s="10"/>
      <c r="D166" s="11">
        <v>814174</v>
      </c>
      <c r="E166" s="10" t="s">
        <v>46</v>
      </c>
      <c r="F166" s="10">
        <v>4823</v>
      </c>
      <c r="G166" s="12">
        <f t="shared" si="51"/>
        <v>2652.65</v>
      </c>
      <c r="H166" s="12">
        <f t="shared" si="49"/>
        <v>5305.3</v>
      </c>
      <c r="I166" s="13">
        <v>2</v>
      </c>
      <c r="J166" s="14" t="s">
        <v>12</v>
      </c>
      <c r="K166" s="10" t="s">
        <v>28</v>
      </c>
      <c r="L166" s="13" t="str">
        <f t="shared" si="50"/>
        <v>Блок3</v>
      </c>
      <c r="M166" s="12">
        <v>5305.3</v>
      </c>
      <c r="N166">
        <v>5305.3</v>
      </c>
    </row>
    <row r="167" spans="1:14" ht="21" customHeight="1" x14ac:dyDescent="0.25">
      <c r="A167" s="13" t="str">
        <f t="shared" si="48"/>
        <v>РЩ2-3 (АВР-Б-40-2-1)</v>
      </c>
      <c r="B167" s="10" t="s">
        <v>18</v>
      </c>
      <c r="C167" s="10"/>
      <c r="D167" s="11">
        <v>819975</v>
      </c>
      <c r="E167" s="10" t="s">
        <v>47</v>
      </c>
      <c r="F167" s="10">
        <v>5369</v>
      </c>
      <c r="G167" s="12">
        <f t="shared" si="51"/>
        <v>2952.9500000000003</v>
      </c>
      <c r="H167" s="12">
        <f t="shared" si="49"/>
        <v>2952.9500000000003</v>
      </c>
      <c r="I167" s="13">
        <v>1</v>
      </c>
      <c r="J167" s="14" t="s">
        <v>12</v>
      </c>
      <c r="K167" s="10" t="s">
        <v>28</v>
      </c>
      <c r="L167" s="13" t="str">
        <f t="shared" si="50"/>
        <v>Блок3</v>
      </c>
      <c r="M167" s="12">
        <v>2952.9500000000003</v>
      </c>
      <c r="N167">
        <v>2952.9500000000003</v>
      </c>
    </row>
    <row r="168" spans="1:14" ht="21" customHeight="1" x14ac:dyDescent="0.25">
      <c r="A168" s="13" t="str">
        <f t="shared" si="48"/>
        <v>РЩ2-3 (АВР-Б-40-2-1)</v>
      </c>
      <c r="B168" s="10" t="s">
        <v>17</v>
      </c>
      <c r="C168" s="10"/>
      <c r="D168" s="11">
        <v>814167</v>
      </c>
      <c r="E168" s="10" t="s">
        <v>48</v>
      </c>
      <c r="F168" s="10">
        <v>5187</v>
      </c>
      <c r="G168" s="12">
        <f t="shared" si="51"/>
        <v>2852.8500000000004</v>
      </c>
      <c r="H168" s="12">
        <f t="shared" si="49"/>
        <v>2852.8500000000004</v>
      </c>
      <c r="I168" s="13">
        <v>1</v>
      </c>
      <c r="J168" s="14" t="s">
        <v>12</v>
      </c>
      <c r="K168" s="10" t="s">
        <v>28</v>
      </c>
      <c r="L168" s="13" t="str">
        <f t="shared" si="50"/>
        <v>Блок3</v>
      </c>
      <c r="M168" s="12">
        <v>2852.8500000000004</v>
      </c>
      <c r="N168">
        <v>2852.8500000000004</v>
      </c>
    </row>
    <row r="169" spans="1:14" ht="21" customHeight="1" x14ac:dyDescent="0.25">
      <c r="A169" s="13" t="str">
        <f t="shared" si="48"/>
        <v>РЩ2-3 (АВР-Б-40-2-1)</v>
      </c>
      <c r="B169" s="10" t="s">
        <v>15</v>
      </c>
      <c r="C169" s="10"/>
      <c r="D169" s="11" t="s">
        <v>179</v>
      </c>
      <c r="E169" s="10" t="s">
        <v>180</v>
      </c>
      <c r="F169" s="10">
        <v>83000</v>
      </c>
      <c r="G169" s="12">
        <f>F169</f>
        <v>83000</v>
      </c>
      <c r="H169" s="12">
        <v>39100</v>
      </c>
      <c r="I169" s="13">
        <v>1</v>
      </c>
      <c r="J169" s="14" t="s">
        <v>12</v>
      </c>
      <c r="K169" s="10" t="s">
        <v>16</v>
      </c>
      <c r="L169" s="13" t="str">
        <f t="shared" si="50"/>
        <v>Блок3</v>
      </c>
      <c r="M169" s="12">
        <v>39100</v>
      </c>
      <c r="N169">
        <v>39100</v>
      </c>
    </row>
    <row r="170" spans="1:14" ht="21" customHeight="1" x14ac:dyDescent="0.25">
      <c r="A170" s="13" t="str">
        <f t="shared" si="48"/>
        <v>РЩ2-3 (АВР-Б-40-2-1)</v>
      </c>
      <c r="B170" s="10" t="s">
        <v>30</v>
      </c>
      <c r="C170" s="10"/>
      <c r="D170" s="11"/>
      <c r="E170" s="10" t="s">
        <v>31</v>
      </c>
      <c r="F170" s="10">
        <v>4500</v>
      </c>
      <c r="G170" s="12">
        <f>F170*0.55</f>
        <v>2475</v>
      </c>
      <c r="H170" s="12">
        <f>G170*I170</f>
        <v>14850</v>
      </c>
      <c r="I170" s="13">
        <v>6</v>
      </c>
      <c r="J170" s="14" t="s">
        <v>12</v>
      </c>
      <c r="K170" s="10" t="s">
        <v>25</v>
      </c>
      <c r="L170" s="13" t="e">
        <f>#REF!</f>
        <v>#REF!</v>
      </c>
      <c r="M170" s="12">
        <v>14850</v>
      </c>
      <c r="N170">
        <v>14850</v>
      </c>
    </row>
    <row r="171" spans="1:14" ht="24" customHeight="1" x14ac:dyDescent="0.25">
      <c r="A171" s="10" t="str">
        <f t="shared" si="48"/>
        <v>РЩ2-3 (АВР-Б-40-2-1)</v>
      </c>
      <c r="B171" s="10" t="s">
        <v>19</v>
      </c>
      <c r="C171" s="10"/>
      <c r="D171" s="11" t="s">
        <v>19</v>
      </c>
      <c r="E171" s="10" t="s">
        <v>19</v>
      </c>
      <c r="F171" s="10">
        <f ca="1">OFFSET(F171,1,2)</f>
        <v>39000</v>
      </c>
      <c r="G171" s="12">
        <f ca="1">F171*0.55</f>
        <v>21450</v>
      </c>
      <c r="H171" s="12">
        <f ca="1">G171*I171</f>
        <v>21450</v>
      </c>
      <c r="I171" s="10">
        <v>1</v>
      </c>
      <c r="J171" s="10" t="s">
        <v>12</v>
      </c>
      <c r="K171" s="10" t="s">
        <v>19</v>
      </c>
      <c r="L171" s="13" t="e">
        <f t="shared" si="50"/>
        <v>#REF!</v>
      </c>
      <c r="M171" s="12">
        <v>21450</v>
      </c>
      <c r="N171">
        <v>21450</v>
      </c>
    </row>
    <row r="172" spans="1:14" ht="21" customHeight="1" x14ac:dyDescent="0.25">
      <c r="A172" s="10" t="str">
        <f t="shared" si="48"/>
        <v>РЩ2-3 (АВР-Б-40-2-1)</v>
      </c>
      <c r="B172" s="10" t="s">
        <v>20</v>
      </c>
      <c r="C172" s="10"/>
      <c r="D172" s="11" t="s">
        <v>20</v>
      </c>
      <c r="E172" s="10" t="s">
        <v>20</v>
      </c>
      <c r="F172" s="10">
        <v>6.5</v>
      </c>
      <c r="G172" s="12">
        <v>100</v>
      </c>
      <c r="H172" s="12">
        <f>G172*I172</f>
        <v>39000</v>
      </c>
      <c r="I172" s="10">
        <f>60*F172</f>
        <v>390</v>
      </c>
      <c r="J172" s="10" t="s">
        <v>12</v>
      </c>
      <c r="K172" s="10" t="s">
        <v>20</v>
      </c>
      <c r="L172" s="13" t="e">
        <f t="shared" si="50"/>
        <v>#REF!</v>
      </c>
      <c r="M172" s="12">
        <v>39000</v>
      </c>
      <c r="N172">
        <v>39000</v>
      </c>
    </row>
    <row r="173" spans="1:14" ht="30" customHeight="1" x14ac:dyDescent="0.25">
      <c r="A173" s="15" t="str">
        <f t="shared" si="48"/>
        <v>РЩ2-3 (АВР-Б-40-2-1)</v>
      </c>
      <c r="B173" s="15"/>
      <c r="C173" s="15"/>
      <c r="D173" s="15"/>
      <c r="E173" s="16"/>
      <c r="F173" s="17"/>
      <c r="G173" s="12">
        <f>F173*0.55</f>
        <v>0</v>
      </c>
      <c r="H173" s="18">
        <f ca="1">SUM(H162:H172)</f>
        <v>300158.20000000007</v>
      </c>
      <c r="I173" s="15"/>
      <c r="J173" s="19"/>
      <c r="K173" s="15"/>
      <c r="L173" s="13" t="e">
        <f t="shared" si="50"/>
        <v>#REF!</v>
      </c>
      <c r="M173" s="18">
        <v>300158.20000000007</v>
      </c>
      <c r="N173">
        <v>300158.20000000007</v>
      </c>
    </row>
    <row r="174" spans="1:14" ht="39.75" customHeight="1" x14ac:dyDescent="0.25">
      <c r="A174" s="8" t="str">
        <f>E174</f>
        <v>ВРУ1-4</v>
      </c>
      <c r="B174" s="4"/>
      <c r="C174" s="4"/>
      <c r="D174" s="5"/>
      <c r="E174" s="4" t="s">
        <v>65</v>
      </c>
      <c r="F174" s="6"/>
      <c r="G174" s="6"/>
      <c r="H174" s="7"/>
      <c r="I174" s="8">
        <v>1</v>
      </c>
      <c r="J174" s="9" t="s">
        <v>9</v>
      </c>
      <c r="K174" s="4" t="s">
        <v>10</v>
      </c>
      <c r="L174" s="8" t="s">
        <v>66</v>
      </c>
      <c r="M174" s="7"/>
    </row>
    <row r="175" spans="1:14" ht="21" customHeight="1" x14ac:dyDescent="0.25">
      <c r="A175" s="13" t="str">
        <f t="shared" ref="A175:A185" si="52">A174</f>
        <v>ВРУ1-4</v>
      </c>
      <c r="B175" s="10" t="s">
        <v>11</v>
      </c>
      <c r="C175" s="10"/>
      <c r="D175" s="11" t="s">
        <v>172</v>
      </c>
      <c r="E175" s="10" t="s">
        <v>173</v>
      </c>
      <c r="F175" s="10">
        <v>156500</v>
      </c>
      <c r="G175" s="12">
        <f>0.6*F175</f>
        <v>93900</v>
      </c>
      <c r="H175" s="12">
        <f>G175*I175</f>
        <v>93900</v>
      </c>
      <c r="I175" s="13">
        <v>1</v>
      </c>
      <c r="J175" s="14" t="s">
        <v>12</v>
      </c>
      <c r="K175" s="10" t="s">
        <v>13</v>
      </c>
      <c r="L175" s="13" t="str">
        <f t="shared" ref="L175:L177" si="53">L174</f>
        <v>Блок4</v>
      </c>
      <c r="M175" s="12">
        <v>93900</v>
      </c>
      <c r="N175">
        <v>93900</v>
      </c>
    </row>
    <row r="176" spans="1:14" ht="21" customHeight="1" x14ac:dyDescent="0.25">
      <c r="A176" s="13" t="str">
        <f t="shared" si="52"/>
        <v>ВРУ1-4</v>
      </c>
      <c r="B176" s="10" t="s">
        <v>23</v>
      </c>
      <c r="C176" s="10"/>
      <c r="D176" s="11"/>
      <c r="E176" s="10" t="s">
        <v>24</v>
      </c>
      <c r="F176" s="10">
        <v>4701</v>
      </c>
      <c r="G176" s="12">
        <v>4701</v>
      </c>
      <c r="H176" s="12">
        <v>28206</v>
      </c>
      <c r="I176" s="13">
        <v>6</v>
      </c>
      <c r="J176" s="14" t="s">
        <v>12</v>
      </c>
      <c r="K176" s="10" t="s">
        <v>25</v>
      </c>
      <c r="L176" s="13" t="str">
        <f t="shared" si="53"/>
        <v>Блок4</v>
      </c>
      <c r="M176" s="12">
        <v>28206</v>
      </c>
      <c r="N176">
        <v>28206</v>
      </c>
    </row>
    <row r="177" spans="1:14" ht="21" customHeight="1" x14ac:dyDescent="0.25">
      <c r="A177" s="13" t="str">
        <f t="shared" si="52"/>
        <v>ВРУ1-4</v>
      </c>
      <c r="B177" s="10" t="s">
        <v>26</v>
      </c>
      <c r="C177" s="10"/>
      <c r="D177" s="11" t="s">
        <v>177</v>
      </c>
      <c r="E177" s="10" t="s">
        <v>178</v>
      </c>
      <c r="F177" s="10">
        <v>25500</v>
      </c>
      <c r="G177" s="12">
        <f>F177*0.55</f>
        <v>14025.000000000002</v>
      </c>
      <c r="H177" s="12">
        <f>G177*I177</f>
        <v>28050.000000000004</v>
      </c>
      <c r="I177" s="13">
        <v>2</v>
      </c>
      <c r="J177" s="14" t="s">
        <v>12</v>
      </c>
      <c r="K177" s="10" t="s">
        <v>25</v>
      </c>
      <c r="L177" s="13" t="str">
        <f t="shared" si="53"/>
        <v>Блок4</v>
      </c>
      <c r="M177" s="12">
        <v>28050.000000000004</v>
      </c>
      <c r="N177">
        <v>28050.000000000004</v>
      </c>
    </row>
    <row r="178" spans="1:14" ht="21" customHeight="1" x14ac:dyDescent="0.25">
      <c r="A178" s="13" t="str">
        <f t="shared" si="52"/>
        <v>ВРУ1-4</v>
      </c>
      <c r="B178" s="10" t="s">
        <v>127</v>
      </c>
      <c r="C178" s="10"/>
      <c r="D178" s="11" t="s">
        <v>130</v>
      </c>
      <c r="E178" s="10" t="s">
        <v>131</v>
      </c>
      <c r="F178" s="10">
        <v>4750</v>
      </c>
      <c r="G178" s="12">
        <f>F178*0.55</f>
        <v>2612.5</v>
      </c>
      <c r="H178" s="12">
        <f>G178*I178</f>
        <v>5225</v>
      </c>
      <c r="I178" s="13">
        <v>2</v>
      </c>
      <c r="J178" s="14" t="s">
        <v>12</v>
      </c>
      <c r="K178" s="10" t="s">
        <v>14</v>
      </c>
      <c r="L178" s="13" t="str">
        <f>L176</f>
        <v>Блок4</v>
      </c>
      <c r="M178" s="12">
        <v>5225</v>
      </c>
      <c r="N178">
        <v>5225</v>
      </c>
    </row>
    <row r="179" spans="1:14" ht="21" customHeight="1" x14ac:dyDescent="0.25">
      <c r="A179" s="13" t="str">
        <f t="shared" si="52"/>
        <v>ВРУ1-4</v>
      </c>
      <c r="B179" s="10" t="s">
        <v>126</v>
      </c>
      <c r="C179" s="10"/>
      <c r="D179" s="11" t="s">
        <v>128</v>
      </c>
      <c r="E179" s="10" t="s">
        <v>129</v>
      </c>
      <c r="F179" s="10">
        <v>3317</v>
      </c>
      <c r="G179" s="12">
        <f>F179*0.55</f>
        <v>1824.3500000000001</v>
      </c>
      <c r="H179" s="12">
        <f>G179*I179</f>
        <v>3648.7000000000003</v>
      </c>
      <c r="I179" s="13">
        <v>2</v>
      </c>
      <c r="J179" s="14" t="s">
        <v>12</v>
      </c>
      <c r="K179" s="10" t="s">
        <v>14</v>
      </c>
      <c r="L179" s="13" t="str">
        <f t="shared" ref="L179:L185" si="54">L177</f>
        <v>Блок4</v>
      </c>
      <c r="M179" s="12">
        <v>3648.7000000000003</v>
      </c>
      <c r="N179">
        <v>3648.7000000000003</v>
      </c>
    </row>
    <row r="180" spans="1:14" ht="21" customHeight="1" x14ac:dyDescent="0.25">
      <c r="A180" s="13" t="str">
        <f t="shared" si="52"/>
        <v>ВРУ1-4</v>
      </c>
      <c r="B180" s="10" t="s">
        <v>17</v>
      </c>
      <c r="C180" s="10"/>
      <c r="D180" s="11">
        <v>296708</v>
      </c>
      <c r="E180" s="10" t="s">
        <v>29</v>
      </c>
      <c r="F180" s="10">
        <v>828</v>
      </c>
      <c r="G180" s="12">
        <f>F180*0.55</f>
        <v>455.40000000000003</v>
      </c>
      <c r="H180" s="12">
        <f>G180*I180</f>
        <v>910.80000000000007</v>
      </c>
      <c r="I180" s="13">
        <v>2</v>
      </c>
      <c r="J180" s="14" t="s">
        <v>12</v>
      </c>
      <c r="K180" s="10" t="s">
        <v>28</v>
      </c>
      <c r="L180" s="13" t="str">
        <f t="shared" si="54"/>
        <v>Блок4</v>
      </c>
      <c r="M180" s="12">
        <v>910.80000000000007</v>
      </c>
      <c r="N180">
        <v>910.80000000000007</v>
      </c>
    </row>
    <row r="181" spans="1:14" ht="21" customHeight="1" x14ac:dyDescent="0.25">
      <c r="A181" s="13" t="str">
        <f t="shared" si="52"/>
        <v>ВРУ1-4</v>
      </c>
      <c r="B181" s="10" t="s">
        <v>15</v>
      </c>
      <c r="C181" s="10"/>
      <c r="D181" s="11" t="s">
        <v>179</v>
      </c>
      <c r="E181" s="10" t="s">
        <v>180</v>
      </c>
      <c r="F181" s="10">
        <v>83000</v>
      </c>
      <c r="G181" s="12">
        <f>F181</f>
        <v>83000</v>
      </c>
      <c r="H181" s="12">
        <v>78200</v>
      </c>
      <c r="I181" s="13">
        <v>2</v>
      </c>
      <c r="J181" s="14" t="s">
        <v>12</v>
      </c>
      <c r="K181" s="10" t="s">
        <v>16</v>
      </c>
      <c r="L181" s="13" t="str">
        <f t="shared" si="54"/>
        <v>Блок4</v>
      </c>
      <c r="M181" s="12">
        <v>78200</v>
      </c>
      <c r="N181">
        <v>78200</v>
      </c>
    </row>
    <row r="182" spans="1:14" ht="21" customHeight="1" x14ac:dyDescent="0.25">
      <c r="A182" s="13" t="str">
        <f t="shared" si="52"/>
        <v>ВРУ1-4</v>
      </c>
      <c r="B182" s="10" t="s">
        <v>30</v>
      </c>
      <c r="C182" s="10"/>
      <c r="D182" s="11"/>
      <c r="E182" s="10" t="s">
        <v>31</v>
      </c>
      <c r="F182" s="10">
        <v>4500</v>
      </c>
      <c r="G182" s="12">
        <f>F182*0.55</f>
        <v>2475</v>
      </c>
      <c r="H182" s="12">
        <f>G182*I182</f>
        <v>14850</v>
      </c>
      <c r="I182" s="13">
        <v>6</v>
      </c>
      <c r="J182" s="14" t="s">
        <v>12</v>
      </c>
      <c r="K182" s="10" t="s">
        <v>25</v>
      </c>
      <c r="L182" s="13" t="str">
        <f t="shared" si="54"/>
        <v>Блок4</v>
      </c>
      <c r="M182" s="12">
        <v>14850</v>
      </c>
      <c r="N182">
        <v>14850</v>
      </c>
    </row>
    <row r="183" spans="1:14" ht="24" customHeight="1" x14ac:dyDescent="0.25">
      <c r="A183" s="10" t="str">
        <f t="shared" si="52"/>
        <v>ВРУ1-4</v>
      </c>
      <c r="B183" s="10" t="s">
        <v>19</v>
      </c>
      <c r="C183" s="10"/>
      <c r="D183" s="11" t="s">
        <v>19</v>
      </c>
      <c r="E183" s="10" t="s">
        <v>19</v>
      </c>
      <c r="F183" s="10">
        <f ca="1">OFFSET(F183,1,2)</f>
        <v>48000</v>
      </c>
      <c r="G183" s="12">
        <f ca="1">F183*0.55</f>
        <v>26400.000000000004</v>
      </c>
      <c r="H183" s="12">
        <f ca="1">G183*I183</f>
        <v>26400.000000000004</v>
      </c>
      <c r="I183" s="10">
        <v>1</v>
      </c>
      <c r="J183" s="10" t="s">
        <v>12</v>
      </c>
      <c r="K183" s="10" t="s">
        <v>19</v>
      </c>
      <c r="L183" s="13" t="str">
        <f t="shared" si="54"/>
        <v>Блок4</v>
      </c>
      <c r="M183" s="12">
        <v>26400.000000000004</v>
      </c>
      <c r="N183">
        <v>26400.000000000004</v>
      </c>
    </row>
    <row r="184" spans="1:14" ht="21" customHeight="1" x14ac:dyDescent="0.25">
      <c r="A184" s="10" t="str">
        <f t="shared" si="52"/>
        <v>ВРУ1-4</v>
      </c>
      <c r="B184" s="10" t="s">
        <v>20</v>
      </c>
      <c r="C184" s="10"/>
      <c r="D184" s="11" t="s">
        <v>20</v>
      </c>
      <c r="E184" s="10" t="s">
        <v>20</v>
      </c>
      <c r="F184" s="10">
        <v>8</v>
      </c>
      <c r="G184" s="12">
        <v>100</v>
      </c>
      <c r="H184" s="12">
        <f>G184*I184</f>
        <v>48000</v>
      </c>
      <c r="I184" s="10">
        <f>60*F184</f>
        <v>480</v>
      </c>
      <c r="J184" s="10" t="s">
        <v>12</v>
      </c>
      <c r="K184" s="10" t="s">
        <v>20</v>
      </c>
      <c r="L184" s="13" t="str">
        <f t="shared" si="54"/>
        <v>Блок4</v>
      </c>
      <c r="M184" s="12">
        <v>48000</v>
      </c>
      <c r="N184">
        <v>48000</v>
      </c>
    </row>
    <row r="185" spans="1:14" ht="30" customHeight="1" x14ac:dyDescent="0.25">
      <c r="A185" s="15" t="str">
        <f t="shared" si="52"/>
        <v>ВРУ1-4</v>
      </c>
      <c r="B185" s="15"/>
      <c r="C185" s="15"/>
      <c r="D185" s="15"/>
      <c r="E185" s="16"/>
      <c r="F185" s="17"/>
      <c r="G185" s="12">
        <f>F185*0.55</f>
        <v>0</v>
      </c>
      <c r="H185" s="18">
        <f ca="1">SUM(H175:H184)</f>
        <v>327390.5</v>
      </c>
      <c r="I185" s="15"/>
      <c r="J185" s="19"/>
      <c r="K185" s="15"/>
      <c r="L185" s="13" t="str">
        <f t="shared" si="54"/>
        <v>Блок4</v>
      </c>
      <c r="M185" s="18">
        <v>327390.5</v>
      </c>
      <c r="N185">
        <v>327390.5</v>
      </c>
    </row>
    <row r="186" spans="1:14" ht="39.75" customHeight="1" x14ac:dyDescent="0.25">
      <c r="A186" s="8" t="str">
        <f>E186</f>
        <v>РУ-1-4</v>
      </c>
      <c r="B186" s="4"/>
      <c r="C186" s="4"/>
      <c r="D186" s="5"/>
      <c r="E186" s="4" t="s">
        <v>67</v>
      </c>
      <c r="F186" s="6"/>
      <c r="G186" s="6"/>
      <c r="H186" s="7"/>
      <c r="I186" s="8">
        <v>1</v>
      </c>
      <c r="J186" s="9" t="s">
        <v>9</v>
      </c>
      <c r="K186" s="4" t="s">
        <v>10</v>
      </c>
      <c r="L186" s="8" t="s">
        <v>66</v>
      </c>
      <c r="M186" s="7"/>
    </row>
    <row r="187" spans="1:14" ht="21" customHeight="1" x14ac:dyDescent="0.25">
      <c r="A187" s="13" t="str">
        <f t="shared" ref="A187:A194" si="55">A186</f>
        <v>РУ-1-4</v>
      </c>
      <c r="B187" s="10" t="s">
        <v>11</v>
      </c>
      <c r="C187" s="10"/>
      <c r="D187" s="11" t="s">
        <v>170</v>
      </c>
      <c r="E187" s="10" t="s">
        <v>171</v>
      </c>
      <c r="F187" s="10">
        <v>145000</v>
      </c>
      <c r="G187" s="12">
        <f>0.6*F187</f>
        <v>87000</v>
      </c>
      <c r="H187" s="12">
        <f t="shared" ref="H187:H193" si="56">G187*I187</f>
        <v>87000</v>
      </c>
      <c r="I187" s="13">
        <v>1</v>
      </c>
      <c r="J187" s="14" t="s">
        <v>12</v>
      </c>
      <c r="K187" s="10" t="s">
        <v>13</v>
      </c>
      <c r="L187" s="13" t="str">
        <f>L186</f>
        <v>Блок4</v>
      </c>
      <c r="M187" s="12">
        <v>87000</v>
      </c>
      <c r="N187">
        <v>87000</v>
      </c>
    </row>
    <row r="188" spans="1:14" ht="21" customHeight="1" x14ac:dyDescent="0.25">
      <c r="A188" s="13" t="str">
        <f t="shared" si="55"/>
        <v>РУ-1-4</v>
      </c>
      <c r="B188" s="10" t="s">
        <v>27</v>
      </c>
      <c r="C188" s="10"/>
      <c r="D188" s="11">
        <v>126586</v>
      </c>
      <c r="E188" s="10" t="s">
        <v>68</v>
      </c>
      <c r="F188" s="10">
        <v>29484</v>
      </c>
      <c r="G188" s="12">
        <f t="shared" ref="G188:G194" si="57">F188*0.55</f>
        <v>16216.2</v>
      </c>
      <c r="H188" s="12">
        <f t="shared" si="56"/>
        <v>16216.2</v>
      </c>
      <c r="I188" s="13">
        <v>1</v>
      </c>
      <c r="J188" s="14" t="s">
        <v>12</v>
      </c>
      <c r="K188" s="10" t="s">
        <v>28</v>
      </c>
      <c r="L188" s="13" t="str">
        <f>L187</f>
        <v>Блок4</v>
      </c>
      <c r="M188" s="12">
        <v>16216.2</v>
      </c>
      <c r="N188">
        <v>16216.2</v>
      </c>
    </row>
    <row r="189" spans="1:14" ht="21" customHeight="1" x14ac:dyDescent="0.25">
      <c r="A189" s="13" t="str">
        <f t="shared" si="55"/>
        <v>РУ-1-4</v>
      </c>
      <c r="B189" s="10" t="s">
        <v>27</v>
      </c>
      <c r="C189" s="10"/>
      <c r="D189" s="11">
        <v>126584</v>
      </c>
      <c r="E189" s="10" t="s">
        <v>34</v>
      </c>
      <c r="F189" s="10">
        <v>28756</v>
      </c>
      <c r="G189" s="12">
        <f t="shared" si="57"/>
        <v>15815.800000000001</v>
      </c>
      <c r="H189" s="12">
        <f t="shared" si="56"/>
        <v>31631.600000000002</v>
      </c>
      <c r="I189" s="13">
        <v>2</v>
      </c>
      <c r="J189" s="14" t="s">
        <v>12</v>
      </c>
      <c r="K189" s="10" t="s">
        <v>28</v>
      </c>
      <c r="L189" s="13" t="str">
        <f>L188</f>
        <v>Блок4</v>
      </c>
      <c r="M189" s="12">
        <v>31631.600000000002</v>
      </c>
      <c r="N189">
        <v>31631.600000000002</v>
      </c>
    </row>
    <row r="190" spans="1:14" ht="21" customHeight="1" x14ac:dyDescent="0.25">
      <c r="A190" s="13" t="str">
        <f t="shared" si="55"/>
        <v>РУ-1-4</v>
      </c>
      <c r="B190" s="10" t="s">
        <v>27</v>
      </c>
      <c r="C190" s="10"/>
      <c r="D190" s="11">
        <v>126507</v>
      </c>
      <c r="E190" s="10" t="s">
        <v>35</v>
      </c>
      <c r="F190" s="10">
        <v>17108</v>
      </c>
      <c r="G190" s="12">
        <f t="shared" si="57"/>
        <v>9409.4000000000015</v>
      </c>
      <c r="H190" s="12">
        <f t="shared" si="56"/>
        <v>18818.800000000003</v>
      </c>
      <c r="I190" s="13">
        <v>2</v>
      </c>
      <c r="J190" s="14" t="s">
        <v>12</v>
      </c>
      <c r="K190" s="10" t="s">
        <v>28</v>
      </c>
      <c r="L190" s="13" t="str">
        <f>L189</f>
        <v>Блок4</v>
      </c>
      <c r="M190" s="12">
        <v>18818.800000000003</v>
      </c>
      <c r="N190">
        <v>18818.800000000003</v>
      </c>
    </row>
    <row r="191" spans="1:14" ht="21" customHeight="1" x14ac:dyDescent="0.25">
      <c r="A191" s="13" t="str">
        <f t="shared" si="55"/>
        <v>РУ-1-4</v>
      </c>
      <c r="B191" s="10" t="s">
        <v>27</v>
      </c>
      <c r="C191" s="10"/>
      <c r="D191" s="11">
        <v>126506</v>
      </c>
      <c r="E191" s="10" t="s">
        <v>42</v>
      </c>
      <c r="F191" s="10">
        <v>16744</v>
      </c>
      <c r="G191" s="12">
        <f t="shared" si="57"/>
        <v>9209.2000000000007</v>
      </c>
      <c r="H191" s="12">
        <f t="shared" si="56"/>
        <v>9209.2000000000007</v>
      </c>
      <c r="I191" s="13">
        <v>1</v>
      </c>
      <c r="J191" s="14" t="s">
        <v>12</v>
      </c>
      <c r="K191" s="10" t="s">
        <v>28</v>
      </c>
      <c r="L191" s="13" t="str">
        <f>L190</f>
        <v>Блок4</v>
      </c>
      <c r="M191" s="12">
        <v>9209.2000000000007</v>
      </c>
      <c r="N191">
        <v>9209.2000000000007</v>
      </c>
    </row>
    <row r="192" spans="1:14" ht="24" customHeight="1" x14ac:dyDescent="0.25">
      <c r="A192" s="10" t="str">
        <f t="shared" si="55"/>
        <v>РУ-1-4</v>
      </c>
      <c r="B192" s="10" t="s">
        <v>19</v>
      </c>
      <c r="C192" s="10"/>
      <c r="D192" s="11" t="s">
        <v>19</v>
      </c>
      <c r="E192" s="10" t="s">
        <v>19</v>
      </c>
      <c r="F192" s="10">
        <f ca="1">OFFSET(F192,1,2)</f>
        <v>27000</v>
      </c>
      <c r="G192" s="12">
        <f ca="1">F192*0.55</f>
        <v>14850.000000000002</v>
      </c>
      <c r="H192" s="12">
        <f ca="1">G192*I192</f>
        <v>14850.000000000002</v>
      </c>
      <c r="I192" s="10">
        <v>1</v>
      </c>
      <c r="J192" s="10" t="s">
        <v>12</v>
      </c>
      <c r="K192" s="10" t="s">
        <v>19</v>
      </c>
      <c r="L192" s="13" t="str">
        <f>L190</f>
        <v>Блок4</v>
      </c>
      <c r="M192" s="12">
        <v>14850.000000000002</v>
      </c>
      <c r="N192">
        <v>14850.000000000002</v>
      </c>
    </row>
    <row r="193" spans="1:14" ht="21" customHeight="1" x14ac:dyDescent="0.25">
      <c r="A193" s="10" t="str">
        <f t="shared" si="55"/>
        <v>РУ-1-4</v>
      </c>
      <c r="B193" s="10" t="s">
        <v>20</v>
      </c>
      <c r="C193" s="10"/>
      <c r="D193" s="11" t="s">
        <v>20</v>
      </c>
      <c r="E193" s="10" t="s">
        <v>20</v>
      </c>
      <c r="F193" s="10">
        <v>4.5</v>
      </c>
      <c r="G193" s="12">
        <v>100</v>
      </c>
      <c r="H193" s="12">
        <f t="shared" si="56"/>
        <v>27000</v>
      </c>
      <c r="I193" s="10">
        <f>60*F193</f>
        <v>270</v>
      </c>
      <c r="J193" s="10" t="s">
        <v>12</v>
      </c>
      <c r="K193" s="10" t="s">
        <v>20</v>
      </c>
      <c r="L193" s="13" t="str">
        <f>L192</f>
        <v>Блок4</v>
      </c>
      <c r="M193" s="12">
        <v>27000</v>
      </c>
      <c r="N193">
        <v>27000</v>
      </c>
    </row>
    <row r="194" spans="1:14" ht="30" customHeight="1" x14ac:dyDescent="0.25">
      <c r="A194" s="15" t="str">
        <f t="shared" si="55"/>
        <v>РУ-1-4</v>
      </c>
      <c r="B194" s="15"/>
      <c r="C194" s="15"/>
      <c r="D194" s="15"/>
      <c r="E194" s="16"/>
      <c r="F194" s="17"/>
      <c r="G194" s="12">
        <f t="shared" si="57"/>
        <v>0</v>
      </c>
      <c r="H194" s="18">
        <f ca="1">SUM(H187:H193)</f>
        <v>204725.8</v>
      </c>
      <c r="I194" s="15"/>
      <c r="J194" s="19"/>
      <c r="K194" s="15"/>
      <c r="L194" s="13" t="str">
        <f>L193</f>
        <v>Блок4</v>
      </c>
      <c r="M194" s="18">
        <v>204725.8</v>
      </c>
      <c r="N194">
        <v>204725.8</v>
      </c>
    </row>
    <row r="195" spans="1:14" ht="39.75" customHeight="1" x14ac:dyDescent="0.25">
      <c r="A195" s="8" t="str">
        <f>E195</f>
        <v>ЩУР.МОП1-4</v>
      </c>
      <c r="B195" s="4"/>
      <c r="C195" s="4"/>
      <c r="D195" s="5"/>
      <c r="E195" s="4" t="s">
        <v>69</v>
      </c>
      <c r="F195" s="6"/>
      <c r="G195" s="6"/>
      <c r="H195" s="7"/>
      <c r="I195" s="8">
        <v>1</v>
      </c>
      <c r="J195" s="9" t="s">
        <v>9</v>
      </c>
      <c r="K195" s="4" t="s">
        <v>10</v>
      </c>
      <c r="L195" s="8" t="s">
        <v>66</v>
      </c>
      <c r="M195" s="7"/>
    </row>
    <row r="196" spans="1:14" ht="21" customHeight="1" x14ac:dyDescent="0.25">
      <c r="A196" s="13" t="str">
        <f t="shared" ref="A196:A202" si="58">A195</f>
        <v>ЩУР.МОП1-4</v>
      </c>
      <c r="B196" s="10" t="s">
        <v>11</v>
      </c>
      <c r="C196" s="10"/>
      <c r="D196" s="11" t="s">
        <v>40</v>
      </c>
      <c r="E196" s="10" t="s">
        <v>41</v>
      </c>
      <c r="F196" s="10">
        <v>18000</v>
      </c>
      <c r="G196" s="12">
        <f>0.6*F196</f>
        <v>10800</v>
      </c>
      <c r="H196" s="12">
        <f>G196*I196</f>
        <v>10800</v>
      </c>
      <c r="I196" s="13">
        <v>1</v>
      </c>
      <c r="J196" s="14" t="s">
        <v>12</v>
      </c>
      <c r="K196" s="10" t="s">
        <v>13</v>
      </c>
      <c r="L196" s="13" t="str">
        <f t="shared" ref="L196:L202" si="59">L195</f>
        <v>Блок4</v>
      </c>
      <c r="M196" s="12">
        <v>10800</v>
      </c>
      <c r="N196">
        <v>10800</v>
      </c>
    </row>
    <row r="197" spans="1:14" ht="21" customHeight="1" x14ac:dyDescent="0.25">
      <c r="A197" s="13" t="str">
        <f t="shared" si="58"/>
        <v>ЩУР.МОП1-4</v>
      </c>
      <c r="B197" s="10" t="s">
        <v>17</v>
      </c>
      <c r="C197" s="10"/>
      <c r="D197" s="11">
        <v>296830</v>
      </c>
      <c r="E197" s="10" t="s">
        <v>149</v>
      </c>
      <c r="F197" s="10">
        <v>1554</v>
      </c>
      <c r="G197" s="12">
        <f>F197*0.55</f>
        <v>854.7</v>
      </c>
      <c r="H197" s="12">
        <f>G197*I197</f>
        <v>854.7</v>
      </c>
      <c r="I197" s="13">
        <v>1</v>
      </c>
      <c r="J197" s="14" t="s">
        <v>12</v>
      </c>
      <c r="K197" s="10" t="s">
        <v>28</v>
      </c>
      <c r="L197" s="13" t="str">
        <f t="shared" si="59"/>
        <v>Блок4</v>
      </c>
      <c r="M197" s="12">
        <v>854.7</v>
      </c>
      <c r="N197">
        <v>854.7</v>
      </c>
    </row>
    <row r="198" spans="1:14" ht="21" customHeight="1" x14ac:dyDescent="0.25">
      <c r="A198" s="13" t="str">
        <f t="shared" si="58"/>
        <v>ЩУР.МОП1-4</v>
      </c>
      <c r="B198" s="10" t="s">
        <v>17</v>
      </c>
      <c r="C198" s="10"/>
      <c r="D198" s="11">
        <v>296829</v>
      </c>
      <c r="E198" s="10" t="s">
        <v>148</v>
      </c>
      <c r="F198" s="10">
        <v>2111</v>
      </c>
      <c r="G198" s="12">
        <f>F198*0.55</f>
        <v>1161.0500000000002</v>
      </c>
      <c r="H198" s="12">
        <f>G198*I198</f>
        <v>4644.2000000000007</v>
      </c>
      <c r="I198" s="13">
        <v>4</v>
      </c>
      <c r="J198" s="14" t="s">
        <v>12</v>
      </c>
      <c r="K198" s="10" t="s">
        <v>28</v>
      </c>
      <c r="L198" s="13" t="str">
        <f t="shared" si="59"/>
        <v>Блок4</v>
      </c>
      <c r="M198" s="12">
        <v>4644.2000000000007</v>
      </c>
      <c r="N198">
        <v>4644.2000000000007</v>
      </c>
    </row>
    <row r="199" spans="1:14" ht="21" customHeight="1" x14ac:dyDescent="0.25">
      <c r="A199" s="13" t="str">
        <f t="shared" si="58"/>
        <v>ЩУР.МОП1-4</v>
      </c>
      <c r="B199" s="10" t="s">
        <v>15</v>
      </c>
      <c r="C199" s="10"/>
      <c r="D199" s="11" t="s">
        <v>179</v>
      </c>
      <c r="E199" s="10" t="s">
        <v>180</v>
      </c>
      <c r="F199" s="10">
        <v>83000</v>
      </c>
      <c r="G199" s="12">
        <f>F199</f>
        <v>83000</v>
      </c>
      <c r="H199" s="12">
        <v>39100</v>
      </c>
      <c r="I199" s="13">
        <v>1</v>
      </c>
      <c r="J199" s="14" t="s">
        <v>12</v>
      </c>
      <c r="K199" s="10" t="s">
        <v>16</v>
      </c>
      <c r="L199" s="13" t="str">
        <f t="shared" si="59"/>
        <v>Блок4</v>
      </c>
      <c r="M199" s="12">
        <v>39100</v>
      </c>
      <c r="N199">
        <v>39100</v>
      </c>
    </row>
    <row r="200" spans="1:14" ht="24" customHeight="1" x14ac:dyDescent="0.25">
      <c r="A200" s="10" t="str">
        <f t="shared" si="58"/>
        <v>ЩУР.МОП1-4</v>
      </c>
      <c r="B200" s="10" t="s">
        <v>19</v>
      </c>
      <c r="C200" s="10"/>
      <c r="D200" s="11" t="s">
        <v>19</v>
      </c>
      <c r="E200" s="10" t="s">
        <v>19</v>
      </c>
      <c r="F200" s="10">
        <f ca="1">OFFSET(F200,1,2)</f>
        <v>12000</v>
      </c>
      <c r="G200" s="12">
        <f ca="1">F200*0.55</f>
        <v>6600.0000000000009</v>
      </c>
      <c r="H200" s="12">
        <f ca="1">G200*I200</f>
        <v>6600.0000000000009</v>
      </c>
      <c r="I200" s="10">
        <v>1</v>
      </c>
      <c r="J200" s="10" t="s">
        <v>12</v>
      </c>
      <c r="K200" s="10" t="s">
        <v>19</v>
      </c>
      <c r="L200" s="13" t="str">
        <f t="shared" si="59"/>
        <v>Блок4</v>
      </c>
      <c r="M200" s="12">
        <v>6600.0000000000009</v>
      </c>
      <c r="N200">
        <v>6600.0000000000009</v>
      </c>
    </row>
    <row r="201" spans="1:14" ht="21" customHeight="1" x14ac:dyDescent="0.25">
      <c r="A201" s="10" t="str">
        <f t="shared" si="58"/>
        <v>ЩУР.МОП1-4</v>
      </c>
      <c r="B201" s="10" t="s">
        <v>20</v>
      </c>
      <c r="C201" s="10"/>
      <c r="D201" s="11" t="s">
        <v>20</v>
      </c>
      <c r="E201" s="10" t="s">
        <v>20</v>
      </c>
      <c r="F201" s="10">
        <v>2</v>
      </c>
      <c r="G201" s="12">
        <v>100</v>
      </c>
      <c r="H201" s="12">
        <f>G201*I201</f>
        <v>12000</v>
      </c>
      <c r="I201" s="10">
        <f>60*F201</f>
        <v>120</v>
      </c>
      <c r="J201" s="10" t="s">
        <v>12</v>
      </c>
      <c r="K201" s="10" t="s">
        <v>20</v>
      </c>
      <c r="L201" s="13" t="str">
        <f t="shared" si="59"/>
        <v>Блок4</v>
      </c>
      <c r="M201" s="12">
        <v>12000</v>
      </c>
      <c r="N201">
        <v>12000</v>
      </c>
    </row>
    <row r="202" spans="1:14" ht="30" customHeight="1" x14ac:dyDescent="0.25">
      <c r="A202" s="15" t="str">
        <f t="shared" si="58"/>
        <v>ЩУР.МОП1-4</v>
      </c>
      <c r="B202" s="15"/>
      <c r="C202" s="15"/>
      <c r="D202" s="15"/>
      <c r="E202" s="16"/>
      <c r="F202" s="17"/>
      <c r="G202" s="12">
        <f>F202*0.55</f>
        <v>0</v>
      </c>
      <c r="H202" s="18">
        <f ca="1">SUM(H196:H201)</f>
        <v>73998.899999999994</v>
      </c>
      <c r="I202" s="15"/>
      <c r="J202" s="19"/>
      <c r="K202" s="15"/>
      <c r="L202" s="13" t="str">
        <f t="shared" si="59"/>
        <v>Блок4</v>
      </c>
      <c r="M202" s="18">
        <v>73998.899999999994</v>
      </c>
      <c r="N202">
        <v>73998.899999999994</v>
      </c>
    </row>
    <row r="203" spans="1:14" ht="39.75" customHeight="1" x14ac:dyDescent="0.25">
      <c r="A203" s="8" t="str">
        <f>E203</f>
        <v>РЩ1-4 (АВР-Б-40-2-1)</v>
      </c>
      <c r="B203" s="4"/>
      <c r="C203" s="4"/>
      <c r="D203" s="5"/>
      <c r="E203" s="4" t="s">
        <v>136</v>
      </c>
      <c r="F203" s="6"/>
      <c r="G203" s="6"/>
      <c r="H203" s="7"/>
      <c r="I203" s="8">
        <v>1</v>
      </c>
      <c r="J203" s="9" t="s">
        <v>9</v>
      </c>
      <c r="K203" s="4" t="s">
        <v>10</v>
      </c>
      <c r="L203" s="8" t="s">
        <v>66</v>
      </c>
      <c r="M203" s="7"/>
    </row>
    <row r="204" spans="1:14" ht="21" customHeight="1" x14ac:dyDescent="0.25">
      <c r="A204" s="13" t="str">
        <f t="shared" ref="A204:A215" si="60">A203</f>
        <v>РЩ1-4 (АВР-Б-40-2-1)</v>
      </c>
      <c r="B204" s="10" t="s">
        <v>11</v>
      </c>
      <c r="C204" s="10"/>
      <c r="D204" s="11" t="s">
        <v>168</v>
      </c>
      <c r="E204" s="10" t="s">
        <v>169</v>
      </c>
      <c r="F204" s="10">
        <v>130000</v>
      </c>
      <c r="G204" s="12">
        <f>0.6*F204</f>
        <v>78000</v>
      </c>
      <c r="H204" s="12">
        <f t="shared" ref="H204:H210" si="61">G204*I204</f>
        <v>78000</v>
      </c>
      <c r="I204" s="13">
        <v>1</v>
      </c>
      <c r="J204" s="14" t="s">
        <v>12</v>
      </c>
      <c r="K204" s="10" t="s">
        <v>13</v>
      </c>
      <c r="L204" s="13" t="str">
        <f t="shared" ref="L204:L215" si="62">L203</f>
        <v>Блок4</v>
      </c>
      <c r="M204" s="12">
        <v>78000</v>
      </c>
      <c r="N204">
        <v>78000</v>
      </c>
    </row>
    <row r="205" spans="1:14" ht="21" customHeight="1" x14ac:dyDescent="0.25">
      <c r="A205" s="13" t="str">
        <f t="shared" si="60"/>
        <v>РЩ1-4 (АВР-Б-40-2-1)</v>
      </c>
      <c r="B205" s="10" t="s">
        <v>44</v>
      </c>
      <c r="C205" s="10"/>
      <c r="D205" s="11" t="s">
        <v>162</v>
      </c>
      <c r="E205" s="10" t="s">
        <v>163</v>
      </c>
      <c r="F205" s="10">
        <v>114758</v>
      </c>
      <c r="G205" s="12">
        <f t="shared" ref="G205:G210" si="63">F205*0.55</f>
        <v>63116.900000000009</v>
      </c>
      <c r="H205" s="12">
        <f t="shared" si="61"/>
        <v>63116.900000000009</v>
      </c>
      <c r="I205" s="13">
        <v>1</v>
      </c>
      <c r="J205" s="14" t="s">
        <v>12</v>
      </c>
      <c r="K205" s="10" t="s">
        <v>14</v>
      </c>
      <c r="L205" s="13" t="str">
        <f t="shared" si="62"/>
        <v>Блок4</v>
      </c>
      <c r="M205" s="12">
        <v>63116.900000000009</v>
      </c>
      <c r="N205">
        <v>63116.900000000009</v>
      </c>
    </row>
    <row r="206" spans="1:14" ht="21" customHeight="1" x14ac:dyDescent="0.25">
      <c r="A206" s="13" t="str">
        <f t="shared" si="60"/>
        <v>РЩ1-4 (АВР-Б-40-2-1)</v>
      </c>
      <c r="B206" s="10" t="s">
        <v>27</v>
      </c>
      <c r="C206" s="10"/>
      <c r="D206" s="11">
        <v>126505</v>
      </c>
      <c r="E206" s="10" t="s">
        <v>45</v>
      </c>
      <c r="F206" s="10">
        <v>15740</v>
      </c>
      <c r="G206" s="12">
        <f t="shared" si="63"/>
        <v>8657</v>
      </c>
      <c r="H206" s="12">
        <f t="shared" si="61"/>
        <v>17314</v>
      </c>
      <c r="I206" s="13">
        <v>2</v>
      </c>
      <c r="J206" s="14" t="s">
        <v>12</v>
      </c>
      <c r="K206" s="10" t="s">
        <v>28</v>
      </c>
      <c r="L206" s="13" t="str">
        <f t="shared" si="62"/>
        <v>Блок4</v>
      </c>
      <c r="M206" s="12">
        <v>17314</v>
      </c>
      <c r="N206">
        <v>17314</v>
      </c>
    </row>
    <row r="207" spans="1:14" ht="21" customHeight="1" x14ac:dyDescent="0.25">
      <c r="A207" s="13" t="str">
        <f t="shared" si="60"/>
        <v>РЩ1-4 (АВР-Б-40-2-1)</v>
      </c>
      <c r="B207" s="10" t="s">
        <v>27</v>
      </c>
      <c r="C207" s="10"/>
      <c r="D207" s="11">
        <v>126677</v>
      </c>
      <c r="E207" s="10" t="s">
        <v>43</v>
      </c>
      <c r="F207" s="10">
        <v>14742</v>
      </c>
      <c r="G207" s="12">
        <f t="shared" si="63"/>
        <v>8108.1</v>
      </c>
      <c r="H207" s="12">
        <f t="shared" si="61"/>
        <v>16216.2</v>
      </c>
      <c r="I207" s="13">
        <v>2</v>
      </c>
      <c r="J207" s="14" t="s">
        <v>12</v>
      </c>
      <c r="K207" s="10" t="s">
        <v>28</v>
      </c>
      <c r="L207" s="13" t="str">
        <f t="shared" si="62"/>
        <v>Блок4</v>
      </c>
      <c r="M207" s="12">
        <v>16216.2</v>
      </c>
      <c r="N207">
        <v>16216.2</v>
      </c>
    </row>
    <row r="208" spans="1:14" ht="21" customHeight="1" x14ac:dyDescent="0.25">
      <c r="A208" s="13" t="str">
        <f t="shared" si="60"/>
        <v>РЩ1-4 (АВР-Б-40-2-1)</v>
      </c>
      <c r="B208" s="10" t="s">
        <v>17</v>
      </c>
      <c r="C208" s="10"/>
      <c r="D208" s="11">
        <v>814174</v>
      </c>
      <c r="E208" s="10" t="s">
        <v>46</v>
      </c>
      <c r="F208" s="10">
        <v>4823</v>
      </c>
      <c r="G208" s="12">
        <f t="shared" si="63"/>
        <v>2652.65</v>
      </c>
      <c r="H208" s="12">
        <f t="shared" si="61"/>
        <v>5305.3</v>
      </c>
      <c r="I208" s="13">
        <v>2</v>
      </c>
      <c r="J208" s="14" t="s">
        <v>12</v>
      </c>
      <c r="K208" s="10" t="s">
        <v>28</v>
      </c>
      <c r="L208" s="13" t="str">
        <f t="shared" si="62"/>
        <v>Блок4</v>
      </c>
      <c r="M208" s="12">
        <v>5305.3</v>
      </c>
      <c r="N208">
        <v>5305.3</v>
      </c>
    </row>
    <row r="209" spans="1:14" ht="21" customHeight="1" x14ac:dyDescent="0.25">
      <c r="A209" s="13" t="str">
        <f t="shared" si="60"/>
        <v>РЩ1-4 (АВР-Б-40-2-1)</v>
      </c>
      <c r="B209" s="10" t="s">
        <v>18</v>
      </c>
      <c r="C209" s="10"/>
      <c r="D209" s="11">
        <v>819975</v>
      </c>
      <c r="E209" s="10" t="s">
        <v>47</v>
      </c>
      <c r="F209" s="10">
        <v>5369</v>
      </c>
      <c r="G209" s="12">
        <f t="shared" si="63"/>
        <v>2952.9500000000003</v>
      </c>
      <c r="H209" s="12">
        <f t="shared" si="61"/>
        <v>2952.9500000000003</v>
      </c>
      <c r="I209" s="13">
        <v>1</v>
      </c>
      <c r="J209" s="14" t="s">
        <v>12</v>
      </c>
      <c r="K209" s="10" t="s">
        <v>28</v>
      </c>
      <c r="L209" s="13" t="str">
        <f t="shared" si="62"/>
        <v>Блок4</v>
      </c>
      <c r="M209" s="12">
        <v>2952.9500000000003</v>
      </c>
      <c r="N209">
        <v>2952.9500000000003</v>
      </c>
    </row>
    <row r="210" spans="1:14" ht="21" customHeight="1" x14ac:dyDescent="0.25">
      <c r="A210" s="13" t="str">
        <f t="shared" si="60"/>
        <v>РЩ1-4 (АВР-Б-40-2-1)</v>
      </c>
      <c r="B210" s="10" t="s">
        <v>17</v>
      </c>
      <c r="C210" s="10"/>
      <c r="D210" s="11">
        <v>814167</v>
      </c>
      <c r="E210" s="10" t="s">
        <v>48</v>
      </c>
      <c r="F210" s="10">
        <v>5187</v>
      </c>
      <c r="G210" s="12">
        <f t="shared" si="63"/>
        <v>2852.8500000000004</v>
      </c>
      <c r="H210" s="12">
        <f t="shared" si="61"/>
        <v>2852.8500000000004</v>
      </c>
      <c r="I210" s="13">
        <v>1</v>
      </c>
      <c r="J210" s="14" t="s">
        <v>12</v>
      </c>
      <c r="K210" s="10" t="s">
        <v>28</v>
      </c>
      <c r="L210" s="13" t="str">
        <f t="shared" si="62"/>
        <v>Блок4</v>
      </c>
      <c r="M210" s="12">
        <v>2852.8500000000004</v>
      </c>
      <c r="N210">
        <v>2852.8500000000004</v>
      </c>
    </row>
    <row r="211" spans="1:14" ht="21" customHeight="1" x14ac:dyDescent="0.25">
      <c r="A211" s="13" t="str">
        <f t="shared" si="60"/>
        <v>РЩ1-4 (АВР-Б-40-2-1)</v>
      </c>
      <c r="B211" s="10" t="s">
        <v>15</v>
      </c>
      <c r="C211" s="10"/>
      <c r="D211" s="11" t="s">
        <v>179</v>
      </c>
      <c r="E211" s="10" t="s">
        <v>180</v>
      </c>
      <c r="F211" s="10">
        <v>83000</v>
      </c>
      <c r="G211" s="12">
        <f>F211</f>
        <v>83000</v>
      </c>
      <c r="H211" s="12">
        <v>39100</v>
      </c>
      <c r="I211" s="13">
        <v>1</v>
      </c>
      <c r="J211" s="14" t="s">
        <v>12</v>
      </c>
      <c r="K211" s="10" t="s">
        <v>16</v>
      </c>
      <c r="L211" s="13" t="str">
        <f t="shared" si="62"/>
        <v>Блок4</v>
      </c>
      <c r="M211" s="12">
        <v>39100</v>
      </c>
      <c r="N211">
        <v>39100</v>
      </c>
    </row>
    <row r="212" spans="1:14" ht="21" customHeight="1" x14ac:dyDescent="0.25">
      <c r="A212" s="13" t="str">
        <f t="shared" si="60"/>
        <v>РЩ1-4 (АВР-Б-40-2-1)</v>
      </c>
      <c r="B212" s="10" t="s">
        <v>30</v>
      </c>
      <c r="C212" s="10"/>
      <c r="D212" s="11"/>
      <c r="E212" s="10" t="s">
        <v>31</v>
      </c>
      <c r="F212" s="10">
        <v>4500</v>
      </c>
      <c r="G212" s="12">
        <f t="shared" ref="G212:G215" si="64">F212*0.55</f>
        <v>2475</v>
      </c>
      <c r="H212" s="12">
        <f>G212*I212</f>
        <v>14850</v>
      </c>
      <c r="I212" s="13">
        <v>6</v>
      </c>
      <c r="J212" s="14" t="s">
        <v>12</v>
      </c>
      <c r="K212" s="10" t="s">
        <v>25</v>
      </c>
      <c r="L212" s="13" t="e">
        <f>#REF!</f>
        <v>#REF!</v>
      </c>
      <c r="M212" s="12">
        <v>14850</v>
      </c>
      <c r="N212">
        <v>14850</v>
      </c>
    </row>
    <row r="213" spans="1:14" ht="24" customHeight="1" x14ac:dyDescent="0.25">
      <c r="A213" s="10" t="str">
        <f t="shared" si="60"/>
        <v>РЩ1-4 (АВР-Б-40-2-1)</v>
      </c>
      <c r="B213" s="10" t="s">
        <v>19</v>
      </c>
      <c r="C213" s="10"/>
      <c r="D213" s="11" t="s">
        <v>19</v>
      </c>
      <c r="E213" s="10" t="s">
        <v>19</v>
      </c>
      <c r="F213" s="10">
        <f ca="1">OFFSET(F213,1,2)</f>
        <v>39000</v>
      </c>
      <c r="G213" s="12">
        <f ca="1">F213*0.55</f>
        <v>21450</v>
      </c>
      <c r="H213" s="12">
        <f ca="1">G213*I213</f>
        <v>21450</v>
      </c>
      <c r="I213" s="10">
        <v>1</v>
      </c>
      <c r="J213" s="10" t="s">
        <v>12</v>
      </c>
      <c r="K213" s="10" t="s">
        <v>19</v>
      </c>
      <c r="L213" s="13" t="e">
        <f t="shared" si="62"/>
        <v>#REF!</v>
      </c>
      <c r="M213" s="12">
        <v>21450</v>
      </c>
      <c r="N213">
        <v>21450</v>
      </c>
    </row>
    <row r="214" spans="1:14" ht="21" customHeight="1" x14ac:dyDescent="0.25">
      <c r="A214" s="10" t="str">
        <f t="shared" si="60"/>
        <v>РЩ1-4 (АВР-Б-40-2-1)</v>
      </c>
      <c r="B214" s="10" t="s">
        <v>20</v>
      </c>
      <c r="C214" s="10"/>
      <c r="D214" s="11" t="s">
        <v>20</v>
      </c>
      <c r="E214" s="10" t="s">
        <v>20</v>
      </c>
      <c r="F214" s="10">
        <v>6.5</v>
      </c>
      <c r="G214" s="12">
        <v>100</v>
      </c>
      <c r="H214" s="12">
        <f>G214*I214</f>
        <v>39000</v>
      </c>
      <c r="I214" s="10">
        <f>60*F214</f>
        <v>390</v>
      </c>
      <c r="J214" s="10" t="s">
        <v>12</v>
      </c>
      <c r="K214" s="10" t="s">
        <v>20</v>
      </c>
      <c r="L214" s="13" t="e">
        <f t="shared" si="62"/>
        <v>#REF!</v>
      </c>
      <c r="M214" s="12">
        <v>39000</v>
      </c>
      <c r="N214">
        <v>39000</v>
      </c>
    </row>
    <row r="215" spans="1:14" ht="30" customHeight="1" x14ac:dyDescent="0.25">
      <c r="A215" s="15" t="str">
        <f t="shared" si="60"/>
        <v>РЩ1-4 (АВР-Б-40-2-1)</v>
      </c>
      <c r="B215" s="15"/>
      <c r="C215" s="15"/>
      <c r="D215" s="15"/>
      <c r="E215" s="16"/>
      <c r="F215" s="17"/>
      <c r="G215" s="12">
        <f t="shared" si="64"/>
        <v>0</v>
      </c>
      <c r="H215" s="18">
        <f ca="1">SUM(H204:H214)</f>
        <v>300158.20000000007</v>
      </c>
      <c r="I215" s="15"/>
      <c r="J215" s="19"/>
      <c r="K215" s="15"/>
      <c r="L215" s="13" t="e">
        <f t="shared" si="62"/>
        <v>#REF!</v>
      </c>
      <c r="M215" s="18">
        <v>300158.20000000007</v>
      </c>
      <c r="N215">
        <v>300158.20000000007</v>
      </c>
    </row>
    <row r="216" spans="1:14" ht="39.75" customHeight="1" x14ac:dyDescent="0.25">
      <c r="A216" s="8" t="str">
        <f>E216</f>
        <v>РУ1-5</v>
      </c>
      <c r="B216" s="4"/>
      <c r="C216" s="4"/>
      <c r="D216" s="5"/>
      <c r="E216" s="4" t="s">
        <v>70</v>
      </c>
      <c r="F216" s="6"/>
      <c r="G216" s="6"/>
      <c r="H216" s="7"/>
      <c r="I216" s="8">
        <v>1</v>
      </c>
      <c r="J216" s="9" t="s">
        <v>9</v>
      </c>
      <c r="K216" s="4" t="s">
        <v>10</v>
      </c>
      <c r="L216" s="8" t="s">
        <v>71</v>
      </c>
      <c r="M216" s="7"/>
    </row>
    <row r="217" spans="1:14" ht="21" customHeight="1" x14ac:dyDescent="0.25">
      <c r="A217" s="13" t="str">
        <f t="shared" ref="A217:A223" si="65">A216</f>
        <v>РУ1-5</v>
      </c>
      <c r="B217" s="10" t="s">
        <v>11</v>
      </c>
      <c r="C217" s="10"/>
      <c r="D217" s="11" t="s">
        <v>170</v>
      </c>
      <c r="E217" s="10" t="s">
        <v>171</v>
      </c>
      <c r="F217" s="10">
        <v>145000</v>
      </c>
      <c r="G217" s="12">
        <f>0.6*F217</f>
        <v>87000</v>
      </c>
      <c r="H217" s="12">
        <f t="shared" ref="H217:H222" si="66">G217*I217</f>
        <v>87000</v>
      </c>
      <c r="I217" s="13">
        <v>1</v>
      </c>
      <c r="J217" s="14" t="s">
        <v>12</v>
      </c>
      <c r="K217" s="10" t="s">
        <v>13</v>
      </c>
      <c r="L217" s="13" t="str">
        <f t="shared" ref="L217:L223" si="67">L216</f>
        <v>Блок5</v>
      </c>
      <c r="M217" s="12">
        <v>87000</v>
      </c>
      <c r="N217">
        <v>87000</v>
      </c>
    </row>
    <row r="218" spans="1:14" ht="21" customHeight="1" x14ac:dyDescent="0.25">
      <c r="A218" s="13" t="str">
        <f t="shared" si="65"/>
        <v>РУ1-5</v>
      </c>
      <c r="B218" s="10" t="s">
        <v>27</v>
      </c>
      <c r="C218" s="10"/>
      <c r="D218" s="11">
        <v>126586</v>
      </c>
      <c r="E218" s="10" t="s">
        <v>68</v>
      </c>
      <c r="F218" s="10">
        <v>29484</v>
      </c>
      <c r="G218" s="12">
        <f t="shared" ref="G218:G223" si="68">F218*0.55</f>
        <v>16216.2</v>
      </c>
      <c r="H218" s="12">
        <f t="shared" si="66"/>
        <v>16216.2</v>
      </c>
      <c r="I218" s="13">
        <v>1</v>
      </c>
      <c r="J218" s="14" t="s">
        <v>12</v>
      </c>
      <c r="K218" s="10" t="s">
        <v>28</v>
      </c>
      <c r="L218" s="13" t="str">
        <f t="shared" si="67"/>
        <v>Блок5</v>
      </c>
      <c r="M218" s="12">
        <v>16216.2</v>
      </c>
      <c r="N218">
        <v>16216.2</v>
      </c>
    </row>
    <row r="219" spans="1:14" ht="21" customHeight="1" x14ac:dyDescent="0.25">
      <c r="A219" s="13" t="str">
        <f t="shared" si="65"/>
        <v>РУ1-5</v>
      </c>
      <c r="B219" s="10" t="s">
        <v>27</v>
      </c>
      <c r="C219" s="10"/>
      <c r="D219" s="11">
        <v>126584</v>
      </c>
      <c r="E219" s="10" t="s">
        <v>34</v>
      </c>
      <c r="F219" s="10">
        <v>28756</v>
      </c>
      <c r="G219" s="12">
        <f t="shared" si="68"/>
        <v>15815.800000000001</v>
      </c>
      <c r="H219" s="12">
        <f t="shared" si="66"/>
        <v>31631.600000000002</v>
      </c>
      <c r="I219" s="13">
        <v>2</v>
      </c>
      <c r="J219" s="14" t="s">
        <v>12</v>
      </c>
      <c r="K219" s="10" t="s">
        <v>28</v>
      </c>
      <c r="L219" s="13" t="str">
        <f t="shared" si="67"/>
        <v>Блок5</v>
      </c>
      <c r="M219" s="12">
        <v>31631.600000000002</v>
      </c>
      <c r="N219">
        <v>31631.600000000002</v>
      </c>
    </row>
    <row r="220" spans="1:14" ht="21" customHeight="1" x14ac:dyDescent="0.25">
      <c r="A220" s="13" t="str">
        <f t="shared" si="65"/>
        <v>РУ1-5</v>
      </c>
      <c r="B220" s="10" t="s">
        <v>27</v>
      </c>
      <c r="C220" s="10"/>
      <c r="D220" s="11">
        <v>126507</v>
      </c>
      <c r="E220" s="10" t="s">
        <v>35</v>
      </c>
      <c r="F220" s="10">
        <v>17108</v>
      </c>
      <c r="G220" s="12">
        <f t="shared" si="68"/>
        <v>9409.4000000000015</v>
      </c>
      <c r="H220" s="12">
        <f t="shared" si="66"/>
        <v>18818.800000000003</v>
      </c>
      <c r="I220" s="13">
        <v>2</v>
      </c>
      <c r="J220" s="14" t="s">
        <v>12</v>
      </c>
      <c r="K220" s="10" t="s">
        <v>28</v>
      </c>
      <c r="L220" s="13" t="str">
        <f t="shared" si="67"/>
        <v>Блок5</v>
      </c>
      <c r="M220" s="12">
        <v>18818.800000000003</v>
      </c>
      <c r="N220">
        <v>18818.800000000003</v>
      </c>
    </row>
    <row r="221" spans="1:14" ht="24" customHeight="1" x14ac:dyDescent="0.25">
      <c r="A221" s="10" t="str">
        <f t="shared" si="65"/>
        <v>РУ1-5</v>
      </c>
      <c r="B221" s="10" t="s">
        <v>19</v>
      </c>
      <c r="C221" s="10"/>
      <c r="D221" s="11" t="s">
        <v>19</v>
      </c>
      <c r="E221" s="10" t="s">
        <v>19</v>
      </c>
      <c r="F221" s="10">
        <f ca="1">OFFSET(F221,1,2)</f>
        <v>27000</v>
      </c>
      <c r="G221" s="12">
        <f ca="1">F221*0.55</f>
        <v>14850.000000000002</v>
      </c>
      <c r="H221" s="12">
        <f ca="1">G221*I221</f>
        <v>14850.000000000002</v>
      </c>
      <c r="I221" s="10">
        <v>1</v>
      </c>
      <c r="J221" s="10" t="s">
        <v>12</v>
      </c>
      <c r="K221" s="10" t="s">
        <v>19</v>
      </c>
      <c r="L221" s="13" t="str">
        <f t="shared" si="67"/>
        <v>Блок5</v>
      </c>
      <c r="M221" s="12">
        <v>14850.000000000002</v>
      </c>
      <c r="N221">
        <v>14850.000000000002</v>
      </c>
    </row>
    <row r="222" spans="1:14" ht="21" customHeight="1" x14ac:dyDescent="0.25">
      <c r="A222" s="10" t="str">
        <f t="shared" si="65"/>
        <v>РУ1-5</v>
      </c>
      <c r="B222" s="10" t="s">
        <v>20</v>
      </c>
      <c r="C222" s="10"/>
      <c r="D222" s="11" t="s">
        <v>20</v>
      </c>
      <c r="E222" s="10" t="s">
        <v>20</v>
      </c>
      <c r="F222" s="10">
        <v>4.5</v>
      </c>
      <c r="G222" s="12">
        <v>100</v>
      </c>
      <c r="H222" s="12">
        <f t="shared" si="66"/>
        <v>27000</v>
      </c>
      <c r="I222" s="10">
        <f>60*F222</f>
        <v>270</v>
      </c>
      <c r="J222" s="10" t="s">
        <v>12</v>
      </c>
      <c r="K222" s="10" t="s">
        <v>20</v>
      </c>
      <c r="L222" s="13" t="str">
        <f t="shared" si="67"/>
        <v>Блок5</v>
      </c>
      <c r="M222" s="12">
        <v>27000</v>
      </c>
      <c r="N222">
        <v>27000</v>
      </c>
    </row>
    <row r="223" spans="1:14" ht="30" customHeight="1" x14ac:dyDescent="0.25">
      <c r="A223" s="15" t="str">
        <f t="shared" si="65"/>
        <v>РУ1-5</v>
      </c>
      <c r="B223" s="15"/>
      <c r="C223" s="15"/>
      <c r="D223" s="15"/>
      <c r="E223" s="16"/>
      <c r="F223" s="17"/>
      <c r="G223" s="12">
        <f t="shared" si="68"/>
        <v>0</v>
      </c>
      <c r="H223" s="18">
        <f ca="1">SUM(H217:H222)</f>
        <v>195516.59999999998</v>
      </c>
      <c r="I223" s="15"/>
      <c r="J223" s="19"/>
      <c r="K223" s="15"/>
      <c r="L223" s="13" t="str">
        <f t="shared" si="67"/>
        <v>Блок5</v>
      </c>
      <c r="M223" s="18">
        <v>195516.59999999998</v>
      </c>
      <c r="N223">
        <v>195516.59999999998</v>
      </c>
    </row>
    <row r="224" spans="1:14" ht="39.75" customHeight="1" x14ac:dyDescent="0.25">
      <c r="A224" s="8" t="str">
        <f>E224</f>
        <v>ЩУР.МОП1-5</v>
      </c>
      <c r="B224" s="4"/>
      <c r="C224" s="4"/>
      <c r="D224" s="5"/>
      <c r="E224" s="4" t="s">
        <v>72</v>
      </c>
      <c r="F224" s="6"/>
      <c r="G224" s="6"/>
      <c r="H224" s="7"/>
      <c r="I224" s="8">
        <v>1</v>
      </c>
      <c r="J224" s="9" t="s">
        <v>9</v>
      </c>
      <c r="K224" s="4" t="s">
        <v>10</v>
      </c>
      <c r="L224" s="8" t="s">
        <v>71</v>
      </c>
      <c r="M224" s="7"/>
    </row>
    <row r="225" spans="1:14" ht="21" customHeight="1" x14ac:dyDescent="0.25">
      <c r="A225" s="13" t="str">
        <f t="shared" ref="A225:A231" si="69">A224</f>
        <v>ЩУР.МОП1-5</v>
      </c>
      <c r="B225" s="10" t="s">
        <v>11</v>
      </c>
      <c r="C225" s="10"/>
      <c r="D225" s="11" t="s">
        <v>40</v>
      </c>
      <c r="E225" s="10" t="s">
        <v>41</v>
      </c>
      <c r="F225" s="10">
        <v>18000</v>
      </c>
      <c r="G225" s="12">
        <f>0.6*F225</f>
        <v>10800</v>
      </c>
      <c r="H225" s="12">
        <f>G225*I225</f>
        <v>10800</v>
      </c>
      <c r="I225" s="13">
        <v>1</v>
      </c>
      <c r="J225" s="14" t="s">
        <v>12</v>
      </c>
      <c r="K225" s="10" t="s">
        <v>13</v>
      </c>
      <c r="L225" s="13" t="str">
        <f t="shared" ref="L225:L231" si="70">L224</f>
        <v>Блок5</v>
      </c>
      <c r="M225" s="12">
        <v>10800</v>
      </c>
      <c r="N225">
        <v>10800</v>
      </c>
    </row>
    <row r="226" spans="1:14" ht="21" customHeight="1" x14ac:dyDescent="0.25">
      <c r="A226" s="13" t="str">
        <f t="shared" si="69"/>
        <v>ЩУР.МОП1-5</v>
      </c>
      <c r="B226" s="10" t="s">
        <v>17</v>
      </c>
      <c r="C226" s="10"/>
      <c r="D226" s="11">
        <v>296830</v>
      </c>
      <c r="E226" s="10" t="s">
        <v>149</v>
      </c>
      <c r="F226" s="10">
        <v>1554</v>
      </c>
      <c r="G226" s="12">
        <f>F226*0.55</f>
        <v>854.7</v>
      </c>
      <c r="H226" s="12">
        <f>G226*I226</f>
        <v>854.7</v>
      </c>
      <c r="I226" s="13">
        <v>1</v>
      </c>
      <c r="J226" s="14" t="s">
        <v>12</v>
      </c>
      <c r="K226" s="10" t="s">
        <v>28</v>
      </c>
      <c r="L226" s="13" t="str">
        <f t="shared" si="70"/>
        <v>Блок5</v>
      </c>
      <c r="M226" s="12">
        <v>854.7</v>
      </c>
      <c r="N226">
        <v>854.7</v>
      </c>
    </row>
    <row r="227" spans="1:14" ht="21" customHeight="1" x14ac:dyDescent="0.25">
      <c r="A227" s="13" t="str">
        <f t="shared" si="69"/>
        <v>ЩУР.МОП1-5</v>
      </c>
      <c r="B227" s="10" t="s">
        <v>17</v>
      </c>
      <c r="C227" s="10"/>
      <c r="D227" s="11">
        <v>296829</v>
      </c>
      <c r="E227" s="10" t="s">
        <v>148</v>
      </c>
      <c r="F227" s="10">
        <v>2111</v>
      </c>
      <c r="G227" s="12">
        <f>F227*0.55</f>
        <v>1161.0500000000002</v>
      </c>
      <c r="H227" s="12">
        <f>G227*I227</f>
        <v>4644.2000000000007</v>
      </c>
      <c r="I227" s="13">
        <v>4</v>
      </c>
      <c r="J227" s="14" t="s">
        <v>12</v>
      </c>
      <c r="K227" s="10" t="s">
        <v>28</v>
      </c>
      <c r="L227" s="13" t="str">
        <f t="shared" si="70"/>
        <v>Блок5</v>
      </c>
      <c r="M227" s="12">
        <v>4644.2000000000007</v>
      </c>
      <c r="N227">
        <v>4644.2000000000007</v>
      </c>
    </row>
    <row r="228" spans="1:14" ht="21" customHeight="1" x14ac:dyDescent="0.25">
      <c r="A228" s="13" t="str">
        <f t="shared" si="69"/>
        <v>ЩУР.МОП1-5</v>
      </c>
      <c r="B228" s="10" t="s">
        <v>15</v>
      </c>
      <c r="C228" s="10"/>
      <c r="D228" s="11" t="s">
        <v>179</v>
      </c>
      <c r="E228" s="10" t="s">
        <v>180</v>
      </c>
      <c r="F228" s="10">
        <v>83000</v>
      </c>
      <c r="G228" s="12">
        <f>F228</f>
        <v>83000</v>
      </c>
      <c r="H228" s="12">
        <v>39100</v>
      </c>
      <c r="I228" s="13">
        <v>1</v>
      </c>
      <c r="J228" s="14" t="s">
        <v>12</v>
      </c>
      <c r="K228" s="10" t="s">
        <v>16</v>
      </c>
      <c r="L228" s="13" t="str">
        <f t="shared" si="70"/>
        <v>Блок5</v>
      </c>
      <c r="M228" s="12">
        <v>39100</v>
      </c>
      <c r="N228">
        <v>39100</v>
      </c>
    </row>
    <row r="229" spans="1:14" ht="24" customHeight="1" x14ac:dyDescent="0.25">
      <c r="A229" s="10" t="str">
        <f t="shared" si="69"/>
        <v>ЩУР.МОП1-5</v>
      </c>
      <c r="B229" s="10" t="s">
        <v>19</v>
      </c>
      <c r="C229" s="10"/>
      <c r="D229" s="11" t="s">
        <v>19</v>
      </c>
      <c r="E229" s="10" t="s">
        <v>19</v>
      </c>
      <c r="F229" s="10">
        <f ca="1">OFFSET(F229,1,2)</f>
        <v>12000</v>
      </c>
      <c r="G229" s="12">
        <f ca="1">F229*0.55</f>
        <v>6600.0000000000009</v>
      </c>
      <c r="H229" s="12">
        <f ca="1">G229*I229</f>
        <v>6600.0000000000009</v>
      </c>
      <c r="I229" s="10">
        <v>1</v>
      </c>
      <c r="J229" s="10" t="s">
        <v>12</v>
      </c>
      <c r="K229" s="10" t="s">
        <v>19</v>
      </c>
      <c r="L229" s="13" t="str">
        <f t="shared" si="70"/>
        <v>Блок5</v>
      </c>
      <c r="M229" s="12">
        <v>6600.0000000000009</v>
      </c>
      <c r="N229">
        <v>6600.0000000000009</v>
      </c>
    </row>
    <row r="230" spans="1:14" ht="21" customHeight="1" x14ac:dyDescent="0.25">
      <c r="A230" s="10" t="str">
        <f t="shared" si="69"/>
        <v>ЩУР.МОП1-5</v>
      </c>
      <c r="B230" s="10" t="s">
        <v>20</v>
      </c>
      <c r="C230" s="10"/>
      <c r="D230" s="11" t="s">
        <v>20</v>
      </c>
      <c r="E230" s="10" t="s">
        <v>20</v>
      </c>
      <c r="F230" s="10">
        <v>2</v>
      </c>
      <c r="G230" s="12">
        <v>100</v>
      </c>
      <c r="H230" s="12">
        <f>G230*I230</f>
        <v>12000</v>
      </c>
      <c r="I230" s="10">
        <f>60*F230</f>
        <v>120</v>
      </c>
      <c r="J230" s="10" t="s">
        <v>12</v>
      </c>
      <c r="K230" s="10" t="s">
        <v>20</v>
      </c>
      <c r="L230" s="13" t="str">
        <f t="shared" si="70"/>
        <v>Блок5</v>
      </c>
      <c r="M230" s="12">
        <v>12000</v>
      </c>
      <c r="N230">
        <v>12000</v>
      </c>
    </row>
    <row r="231" spans="1:14" ht="30" customHeight="1" x14ac:dyDescent="0.25">
      <c r="A231" s="15" t="str">
        <f t="shared" si="69"/>
        <v>ЩУР.МОП1-5</v>
      </c>
      <c r="B231" s="15"/>
      <c r="C231" s="15"/>
      <c r="D231" s="15"/>
      <c r="E231" s="16"/>
      <c r="F231" s="17"/>
      <c r="G231" s="12">
        <f>F231*0.55</f>
        <v>0</v>
      </c>
      <c r="H231" s="18">
        <f ca="1">SUM(H225:H230)</f>
        <v>73998.899999999994</v>
      </c>
      <c r="I231" s="15"/>
      <c r="J231" s="19"/>
      <c r="K231" s="15"/>
      <c r="L231" s="13" t="str">
        <f t="shared" si="70"/>
        <v>Блок5</v>
      </c>
      <c r="M231" s="18">
        <v>73998.899999999994</v>
      </c>
      <c r="N231">
        <v>73998.899999999994</v>
      </c>
    </row>
    <row r="232" spans="1:14" ht="39.75" customHeight="1" x14ac:dyDescent="0.25">
      <c r="A232" s="8" t="str">
        <f>E232</f>
        <v>РЩ1-5 (АВР-Б-40-2-1)</v>
      </c>
      <c r="B232" s="4"/>
      <c r="C232" s="4"/>
      <c r="D232" s="5"/>
      <c r="E232" s="4" t="s">
        <v>137</v>
      </c>
      <c r="F232" s="6"/>
      <c r="G232" s="6"/>
      <c r="H232" s="7"/>
      <c r="I232" s="8">
        <v>1</v>
      </c>
      <c r="J232" s="9" t="s">
        <v>9</v>
      </c>
      <c r="K232" s="4" t="s">
        <v>10</v>
      </c>
      <c r="L232" s="8" t="s">
        <v>71</v>
      </c>
      <c r="M232" s="7"/>
    </row>
    <row r="233" spans="1:14" ht="21" customHeight="1" x14ac:dyDescent="0.25">
      <c r="A233" s="13" t="str">
        <f t="shared" ref="A233:A243" si="71">A232</f>
        <v>РЩ1-5 (АВР-Б-40-2-1)</v>
      </c>
      <c r="B233" s="10" t="s">
        <v>11</v>
      </c>
      <c r="C233" s="10"/>
      <c r="D233" s="11" t="s">
        <v>168</v>
      </c>
      <c r="E233" s="10" t="s">
        <v>169</v>
      </c>
      <c r="F233" s="10">
        <v>130000</v>
      </c>
      <c r="G233" s="12">
        <f>0.6*F233</f>
        <v>78000</v>
      </c>
      <c r="H233" s="12">
        <f t="shared" ref="H233:H238" si="72">G233*I233</f>
        <v>78000</v>
      </c>
      <c r="I233" s="13">
        <v>1</v>
      </c>
      <c r="J233" s="14" t="s">
        <v>12</v>
      </c>
      <c r="K233" s="10" t="s">
        <v>13</v>
      </c>
      <c r="L233" s="13" t="str">
        <f t="shared" ref="L233:L243" si="73">L232</f>
        <v>Блок5</v>
      </c>
      <c r="M233" s="12">
        <v>78000</v>
      </c>
      <c r="N233">
        <v>78000</v>
      </c>
    </row>
    <row r="234" spans="1:14" ht="21" customHeight="1" x14ac:dyDescent="0.25">
      <c r="A234" s="13" t="str">
        <f t="shared" si="71"/>
        <v>РЩ1-5 (АВР-Б-40-2-1)</v>
      </c>
      <c r="B234" s="10" t="s">
        <v>44</v>
      </c>
      <c r="C234" s="10"/>
      <c r="D234" s="11" t="s">
        <v>162</v>
      </c>
      <c r="E234" s="10" t="s">
        <v>163</v>
      </c>
      <c r="F234" s="10">
        <v>114758</v>
      </c>
      <c r="G234" s="12">
        <f>F234*0.55</f>
        <v>63116.900000000009</v>
      </c>
      <c r="H234" s="12">
        <f t="shared" si="72"/>
        <v>63116.900000000009</v>
      </c>
      <c r="I234" s="13">
        <v>1</v>
      </c>
      <c r="J234" s="14" t="s">
        <v>12</v>
      </c>
      <c r="K234" s="10" t="s">
        <v>14</v>
      </c>
      <c r="L234" s="13" t="str">
        <f t="shared" si="73"/>
        <v>Блок5</v>
      </c>
      <c r="M234" s="12">
        <v>63116.900000000009</v>
      </c>
      <c r="N234">
        <v>63116.900000000009</v>
      </c>
    </row>
    <row r="235" spans="1:14" ht="21" customHeight="1" x14ac:dyDescent="0.25">
      <c r="A235" s="13" t="str">
        <f t="shared" si="71"/>
        <v>РЩ1-5 (АВР-Б-40-2-1)</v>
      </c>
      <c r="B235" s="10" t="s">
        <v>27</v>
      </c>
      <c r="C235" s="10"/>
      <c r="D235" s="11">
        <v>126505</v>
      </c>
      <c r="E235" s="10" t="s">
        <v>45</v>
      </c>
      <c r="F235" s="10">
        <v>15740</v>
      </c>
      <c r="G235" s="12">
        <f>F235*0.55</f>
        <v>8657</v>
      </c>
      <c r="H235" s="12">
        <f t="shared" si="72"/>
        <v>25971</v>
      </c>
      <c r="I235" s="13">
        <v>3</v>
      </c>
      <c r="J235" s="14" t="s">
        <v>12</v>
      </c>
      <c r="K235" s="10" t="s">
        <v>28</v>
      </c>
      <c r="L235" s="13" t="str">
        <f t="shared" si="73"/>
        <v>Блок5</v>
      </c>
      <c r="M235" s="12">
        <v>25971</v>
      </c>
      <c r="N235">
        <v>25971</v>
      </c>
    </row>
    <row r="236" spans="1:14" ht="21" customHeight="1" x14ac:dyDescent="0.25">
      <c r="A236" s="13" t="str">
        <f t="shared" si="71"/>
        <v>РЩ1-5 (АВР-Б-40-2-1)</v>
      </c>
      <c r="B236" s="10" t="s">
        <v>27</v>
      </c>
      <c r="C236" s="10"/>
      <c r="D236" s="11">
        <v>126677</v>
      </c>
      <c r="E236" s="10" t="s">
        <v>43</v>
      </c>
      <c r="F236" s="10">
        <v>14742</v>
      </c>
      <c r="G236" s="12">
        <f>F236*0.55</f>
        <v>8108.1</v>
      </c>
      <c r="H236" s="12">
        <f t="shared" si="72"/>
        <v>16216.2</v>
      </c>
      <c r="I236" s="13">
        <v>2</v>
      </c>
      <c r="J236" s="14" t="s">
        <v>12</v>
      </c>
      <c r="K236" s="10" t="s">
        <v>28</v>
      </c>
      <c r="L236" s="13" t="str">
        <f t="shared" si="73"/>
        <v>Блок5</v>
      </c>
      <c r="M236" s="12">
        <v>16216.2</v>
      </c>
      <c r="N236">
        <v>16216.2</v>
      </c>
    </row>
    <row r="237" spans="1:14" ht="21" customHeight="1" x14ac:dyDescent="0.25">
      <c r="A237" s="13" t="str">
        <f t="shared" si="71"/>
        <v>РЩ1-5 (АВР-Б-40-2-1)</v>
      </c>
      <c r="B237" s="10" t="s">
        <v>17</v>
      </c>
      <c r="C237" s="10"/>
      <c r="D237" s="11">
        <v>814174</v>
      </c>
      <c r="E237" s="10" t="s">
        <v>46</v>
      </c>
      <c r="F237" s="10">
        <v>4823</v>
      </c>
      <c r="G237" s="12">
        <f>F237*0.55</f>
        <v>2652.65</v>
      </c>
      <c r="H237" s="12">
        <f t="shared" si="72"/>
        <v>5305.3</v>
      </c>
      <c r="I237" s="13">
        <v>2</v>
      </c>
      <c r="J237" s="14" t="s">
        <v>12</v>
      </c>
      <c r="K237" s="10" t="s">
        <v>28</v>
      </c>
      <c r="L237" s="13" t="str">
        <f t="shared" si="73"/>
        <v>Блок5</v>
      </c>
      <c r="M237" s="12">
        <v>5305.3</v>
      </c>
      <c r="N237">
        <v>5305.3</v>
      </c>
    </row>
    <row r="238" spans="1:14" ht="21" customHeight="1" x14ac:dyDescent="0.25">
      <c r="A238" s="13" t="str">
        <f t="shared" si="71"/>
        <v>РЩ1-5 (АВР-Б-40-2-1)</v>
      </c>
      <c r="B238" s="10" t="s">
        <v>17</v>
      </c>
      <c r="C238" s="10"/>
      <c r="D238" s="11">
        <v>814167</v>
      </c>
      <c r="E238" s="10" t="s">
        <v>48</v>
      </c>
      <c r="F238" s="10">
        <v>5187</v>
      </c>
      <c r="G238" s="12">
        <f>F238*0.55</f>
        <v>2852.8500000000004</v>
      </c>
      <c r="H238" s="12">
        <f t="shared" si="72"/>
        <v>2852.8500000000004</v>
      </c>
      <c r="I238" s="13">
        <v>1</v>
      </c>
      <c r="J238" s="14" t="s">
        <v>12</v>
      </c>
      <c r="K238" s="10" t="s">
        <v>28</v>
      </c>
      <c r="L238" s="13" t="str">
        <f t="shared" si="73"/>
        <v>Блок5</v>
      </c>
      <c r="M238" s="12">
        <v>2852.8500000000004</v>
      </c>
      <c r="N238">
        <v>2852.8500000000004</v>
      </c>
    </row>
    <row r="239" spans="1:14" ht="21" customHeight="1" x14ac:dyDescent="0.25">
      <c r="A239" s="13" t="str">
        <f t="shared" si="71"/>
        <v>РЩ1-5 (АВР-Б-40-2-1)</v>
      </c>
      <c r="B239" s="10" t="s">
        <v>15</v>
      </c>
      <c r="C239" s="10"/>
      <c r="D239" s="11" t="s">
        <v>179</v>
      </c>
      <c r="E239" s="10" t="s">
        <v>180</v>
      </c>
      <c r="F239" s="10">
        <v>83000</v>
      </c>
      <c r="G239" s="12">
        <f>F239</f>
        <v>83000</v>
      </c>
      <c r="H239" s="12">
        <v>39100</v>
      </c>
      <c r="I239" s="13">
        <v>1</v>
      </c>
      <c r="J239" s="14" t="s">
        <v>12</v>
      </c>
      <c r="K239" s="10" t="s">
        <v>16</v>
      </c>
      <c r="L239" s="13" t="str">
        <f t="shared" si="73"/>
        <v>Блок5</v>
      </c>
      <c r="M239" s="12">
        <v>39100</v>
      </c>
      <c r="N239">
        <v>39100</v>
      </c>
    </row>
    <row r="240" spans="1:14" ht="21" customHeight="1" x14ac:dyDescent="0.25">
      <c r="A240" s="13" t="str">
        <f t="shared" si="71"/>
        <v>РЩ1-5 (АВР-Б-40-2-1)</v>
      </c>
      <c r="B240" s="10" t="s">
        <v>30</v>
      </c>
      <c r="C240" s="10"/>
      <c r="D240" s="11"/>
      <c r="E240" s="10" t="s">
        <v>31</v>
      </c>
      <c r="F240" s="10">
        <v>4500</v>
      </c>
      <c r="G240" s="12">
        <f t="shared" ref="G240:G243" si="74">F240*0.55</f>
        <v>2475</v>
      </c>
      <c r="H240" s="12">
        <f>G240*I240</f>
        <v>14850</v>
      </c>
      <c r="I240" s="13">
        <v>6</v>
      </c>
      <c r="J240" s="14" t="s">
        <v>12</v>
      </c>
      <c r="K240" s="10" t="s">
        <v>25</v>
      </c>
      <c r="L240" s="13" t="e">
        <f>#REF!</f>
        <v>#REF!</v>
      </c>
      <c r="M240" s="12">
        <v>14850</v>
      </c>
      <c r="N240">
        <v>14850</v>
      </c>
    </row>
    <row r="241" spans="1:14" ht="24" customHeight="1" x14ac:dyDescent="0.25">
      <c r="A241" s="10" t="str">
        <f t="shared" si="71"/>
        <v>РЩ1-5 (АВР-Б-40-2-1)</v>
      </c>
      <c r="B241" s="10" t="s">
        <v>19</v>
      </c>
      <c r="C241" s="10"/>
      <c r="D241" s="11" t="s">
        <v>19</v>
      </c>
      <c r="E241" s="10" t="s">
        <v>19</v>
      </c>
      <c r="F241" s="10">
        <f ca="1">OFFSET(F241,1,2)</f>
        <v>39000</v>
      </c>
      <c r="G241" s="12">
        <f ca="1">F241*0.55</f>
        <v>21450</v>
      </c>
      <c r="H241" s="12">
        <f ca="1">G241*I241</f>
        <v>21450</v>
      </c>
      <c r="I241" s="10">
        <v>1</v>
      </c>
      <c r="J241" s="10" t="s">
        <v>12</v>
      </c>
      <c r="K241" s="10" t="s">
        <v>19</v>
      </c>
      <c r="L241" s="13" t="e">
        <f t="shared" si="73"/>
        <v>#REF!</v>
      </c>
      <c r="M241" s="12">
        <v>21450</v>
      </c>
      <c r="N241">
        <v>21450</v>
      </c>
    </row>
    <row r="242" spans="1:14" ht="21" customHeight="1" x14ac:dyDescent="0.25">
      <c r="A242" s="10" t="str">
        <f t="shared" si="71"/>
        <v>РЩ1-5 (АВР-Б-40-2-1)</v>
      </c>
      <c r="B242" s="10" t="s">
        <v>20</v>
      </c>
      <c r="C242" s="10"/>
      <c r="D242" s="11" t="s">
        <v>20</v>
      </c>
      <c r="E242" s="10" t="s">
        <v>20</v>
      </c>
      <c r="F242" s="10">
        <v>6.5</v>
      </c>
      <c r="G242" s="12">
        <v>100</v>
      </c>
      <c r="H242" s="12">
        <f>G242*I242</f>
        <v>39000</v>
      </c>
      <c r="I242" s="10">
        <f>60*F242</f>
        <v>390</v>
      </c>
      <c r="J242" s="10" t="s">
        <v>12</v>
      </c>
      <c r="K242" s="10" t="s">
        <v>20</v>
      </c>
      <c r="L242" s="13" t="e">
        <f t="shared" si="73"/>
        <v>#REF!</v>
      </c>
      <c r="M242" s="12">
        <v>39000</v>
      </c>
      <c r="N242">
        <v>39000</v>
      </c>
    </row>
    <row r="243" spans="1:14" ht="30" customHeight="1" x14ac:dyDescent="0.25">
      <c r="A243" s="15" t="str">
        <f t="shared" si="71"/>
        <v>РЩ1-5 (АВР-Б-40-2-1)</v>
      </c>
      <c r="B243" s="15"/>
      <c r="C243" s="15"/>
      <c r="D243" s="15"/>
      <c r="E243" s="16"/>
      <c r="F243" s="17"/>
      <c r="G243" s="12">
        <f t="shared" si="74"/>
        <v>0</v>
      </c>
      <c r="H243" s="18">
        <f ca="1">SUM(H233:H242)</f>
        <v>305862.25</v>
      </c>
      <c r="I243" s="15"/>
      <c r="J243" s="19"/>
      <c r="K243" s="15"/>
      <c r="L243" s="13" t="e">
        <f t="shared" si="73"/>
        <v>#REF!</v>
      </c>
      <c r="M243" s="18">
        <v>305862.25</v>
      </c>
      <c r="N243">
        <v>305862.25</v>
      </c>
    </row>
    <row r="244" spans="1:14" ht="39.75" customHeight="1" x14ac:dyDescent="0.25">
      <c r="A244" s="8" t="str">
        <f>E244</f>
        <v>РУ1-6</v>
      </c>
      <c r="B244" s="4"/>
      <c r="C244" s="4"/>
      <c r="D244" s="5"/>
      <c r="E244" s="4" t="s">
        <v>73</v>
      </c>
      <c r="F244" s="6"/>
      <c r="G244" s="6"/>
      <c r="H244" s="7"/>
      <c r="I244" s="8">
        <v>1</v>
      </c>
      <c r="J244" s="9" t="s">
        <v>9</v>
      </c>
      <c r="K244" s="4" t="s">
        <v>10</v>
      </c>
      <c r="L244" s="8" t="s">
        <v>74</v>
      </c>
      <c r="M244" s="7"/>
    </row>
    <row r="245" spans="1:14" ht="21" customHeight="1" x14ac:dyDescent="0.25">
      <c r="A245" s="13" t="str">
        <f t="shared" ref="A245:A251" si="75">A244</f>
        <v>РУ1-6</v>
      </c>
      <c r="B245" s="10" t="s">
        <v>11</v>
      </c>
      <c r="C245" s="10"/>
      <c r="D245" s="11" t="s">
        <v>170</v>
      </c>
      <c r="E245" s="10" t="s">
        <v>171</v>
      </c>
      <c r="F245" s="10">
        <v>145000</v>
      </c>
      <c r="G245" s="12">
        <f>0.6*F245</f>
        <v>87000</v>
      </c>
      <c r="H245" s="12">
        <f t="shared" ref="H245:H250" si="76">G245*I245</f>
        <v>87000</v>
      </c>
      <c r="I245" s="13">
        <v>1</v>
      </c>
      <c r="J245" s="14" t="s">
        <v>12</v>
      </c>
      <c r="K245" s="10" t="s">
        <v>13</v>
      </c>
      <c r="L245" s="13" t="str">
        <f t="shared" ref="L245:L251" si="77">L244</f>
        <v>Блок6</v>
      </c>
      <c r="M245" s="12">
        <v>87000</v>
      </c>
      <c r="N245">
        <v>87000</v>
      </c>
    </row>
    <row r="246" spans="1:14" ht="21" customHeight="1" x14ac:dyDescent="0.25">
      <c r="A246" s="13" t="str">
        <f t="shared" si="75"/>
        <v>РУ1-6</v>
      </c>
      <c r="B246" s="10" t="s">
        <v>27</v>
      </c>
      <c r="C246" s="10"/>
      <c r="D246" s="11">
        <v>126586</v>
      </c>
      <c r="E246" s="10" t="s">
        <v>68</v>
      </c>
      <c r="F246" s="10">
        <v>29484</v>
      </c>
      <c r="G246" s="12">
        <f t="shared" ref="G246:G251" si="78">F246*0.55</f>
        <v>16216.2</v>
      </c>
      <c r="H246" s="12">
        <f t="shared" si="76"/>
        <v>16216.2</v>
      </c>
      <c r="I246" s="13">
        <v>1</v>
      </c>
      <c r="J246" s="14" t="s">
        <v>12</v>
      </c>
      <c r="K246" s="10" t="s">
        <v>28</v>
      </c>
      <c r="L246" s="13" t="str">
        <f t="shared" si="77"/>
        <v>Блок6</v>
      </c>
      <c r="M246" s="12">
        <v>16216.2</v>
      </c>
      <c r="N246">
        <v>16216.2</v>
      </c>
    </row>
    <row r="247" spans="1:14" ht="21" customHeight="1" x14ac:dyDescent="0.25">
      <c r="A247" s="13" t="str">
        <f t="shared" si="75"/>
        <v>РУ1-6</v>
      </c>
      <c r="B247" s="10" t="s">
        <v>27</v>
      </c>
      <c r="C247" s="10"/>
      <c r="D247" s="11">
        <v>126583</v>
      </c>
      <c r="E247" s="10" t="s">
        <v>33</v>
      </c>
      <c r="F247" s="10">
        <v>28665</v>
      </c>
      <c r="G247" s="12">
        <f t="shared" si="78"/>
        <v>15765.750000000002</v>
      </c>
      <c r="H247" s="12">
        <f t="shared" si="76"/>
        <v>63063.000000000007</v>
      </c>
      <c r="I247" s="13">
        <v>4</v>
      </c>
      <c r="J247" s="14" t="s">
        <v>12</v>
      </c>
      <c r="K247" s="10" t="s">
        <v>28</v>
      </c>
      <c r="L247" s="13" t="str">
        <f t="shared" si="77"/>
        <v>Блок6</v>
      </c>
      <c r="M247" s="12">
        <v>63063.000000000007</v>
      </c>
      <c r="N247">
        <v>63063.000000000007</v>
      </c>
    </row>
    <row r="248" spans="1:14" ht="21" customHeight="1" x14ac:dyDescent="0.25">
      <c r="A248" s="13" t="str">
        <f t="shared" si="75"/>
        <v>РУ1-6</v>
      </c>
      <c r="B248" s="10" t="s">
        <v>27</v>
      </c>
      <c r="C248" s="10"/>
      <c r="D248" s="11">
        <v>126507</v>
      </c>
      <c r="E248" s="10" t="s">
        <v>35</v>
      </c>
      <c r="F248" s="10">
        <v>17108</v>
      </c>
      <c r="G248" s="12">
        <f t="shared" si="78"/>
        <v>9409.4000000000015</v>
      </c>
      <c r="H248" s="12">
        <f t="shared" si="76"/>
        <v>18818.800000000003</v>
      </c>
      <c r="I248" s="13">
        <v>2</v>
      </c>
      <c r="J248" s="14" t="s">
        <v>12</v>
      </c>
      <c r="K248" s="10" t="s">
        <v>28</v>
      </c>
      <c r="L248" s="13" t="str">
        <f t="shared" si="77"/>
        <v>Блок6</v>
      </c>
      <c r="M248" s="12">
        <v>18818.800000000003</v>
      </c>
      <c r="N248">
        <v>18818.800000000003</v>
      </c>
    </row>
    <row r="249" spans="1:14" ht="24" customHeight="1" x14ac:dyDescent="0.25">
      <c r="A249" s="10" t="str">
        <f t="shared" si="75"/>
        <v>РУ1-6</v>
      </c>
      <c r="B249" s="10" t="s">
        <v>19</v>
      </c>
      <c r="C249" s="10"/>
      <c r="D249" s="11" t="s">
        <v>19</v>
      </c>
      <c r="E249" s="10" t="s">
        <v>19</v>
      </c>
      <c r="F249" s="10">
        <f ca="1">OFFSET(F249,1,2)</f>
        <v>27000</v>
      </c>
      <c r="G249" s="12">
        <f ca="1">F249*0.55</f>
        <v>14850.000000000002</v>
      </c>
      <c r="H249" s="12">
        <f ca="1">G249*I249</f>
        <v>14850.000000000002</v>
      </c>
      <c r="I249" s="10">
        <v>1</v>
      </c>
      <c r="J249" s="10" t="s">
        <v>12</v>
      </c>
      <c r="K249" s="10" t="s">
        <v>19</v>
      </c>
      <c r="L249" s="13" t="str">
        <f t="shared" si="77"/>
        <v>Блок6</v>
      </c>
      <c r="M249" s="12">
        <v>14850.000000000002</v>
      </c>
      <c r="N249">
        <v>14850.000000000002</v>
      </c>
    </row>
    <row r="250" spans="1:14" ht="21" customHeight="1" x14ac:dyDescent="0.25">
      <c r="A250" s="10" t="str">
        <f t="shared" si="75"/>
        <v>РУ1-6</v>
      </c>
      <c r="B250" s="10" t="s">
        <v>20</v>
      </c>
      <c r="C250" s="10"/>
      <c r="D250" s="11" t="s">
        <v>20</v>
      </c>
      <c r="E250" s="10" t="s">
        <v>20</v>
      </c>
      <c r="F250" s="10">
        <v>4.5</v>
      </c>
      <c r="G250" s="12">
        <v>100</v>
      </c>
      <c r="H250" s="12">
        <f t="shared" si="76"/>
        <v>27000</v>
      </c>
      <c r="I250" s="10">
        <f>60*F250</f>
        <v>270</v>
      </c>
      <c r="J250" s="10" t="s">
        <v>12</v>
      </c>
      <c r="K250" s="10" t="s">
        <v>20</v>
      </c>
      <c r="L250" s="13" t="str">
        <f t="shared" si="77"/>
        <v>Блок6</v>
      </c>
      <c r="M250" s="12">
        <v>27000</v>
      </c>
      <c r="N250">
        <v>27000</v>
      </c>
    </row>
    <row r="251" spans="1:14" ht="30" customHeight="1" x14ac:dyDescent="0.25">
      <c r="A251" s="15" t="str">
        <f t="shared" si="75"/>
        <v>РУ1-6</v>
      </c>
      <c r="B251" s="15"/>
      <c r="C251" s="15"/>
      <c r="D251" s="15"/>
      <c r="E251" s="16"/>
      <c r="F251" s="17"/>
      <c r="G251" s="12">
        <f t="shared" si="78"/>
        <v>0</v>
      </c>
      <c r="H251" s="18">
        <f ca="1">SUM(H245:H250)</f>
        <v>226948</v>
      </c>
      <c r="I251" s="15"/>
      <c r="J251" s="19"/>
      <c r="K251" s="15"/>
      <c r="L251" s="13" t="str">
        <f t="shared" si="77"/>
        <v>Блок6</v>
      </c>
      <c r="M251" s="18">
        <v>226948</v>
      </c>
      <c r="N251">
        <v>226948</v>
      </c>
    </row>
    <row r="252" spans="1:14" ht="39.75" customHeight="1" x14ac:dyDescent="0.25">
      <c r="A252" s="8" t="str">
        <f>E252</f>
        <v>ЩУР.МОП1-6</v>
      </c>
      <c r="B252" s="4"/>
      <c r="C252" s="4"/>
      <c r="D252" s="5"/>
      <c r="E252" s="4" t="s">
        <v>75</v>
      </c>
      <c r="F252" s="6"/>
      <c r="G252" s="6"/>
      <c r="H252" s="7"/>
      <c r="I252" s="8">
        <v>1</v>
      </c>
      <c r="J252" s="9" t="s">
        <v>9</v>
      </c>
      <c r="K252" s="4" t="s">
        <v>10</v>
      </c>
      <c r="L252" s="8" t="s">
        <v>74</v>
      </c>
      <c r="M252" s="7"/>
    </row>
    <row r="253" spans="1:14" ht="21" customHeight="1" x14ac:dyDescent="0.25">
      <c r="A253" s="13" t="str">
        <f t="shared" ref="A253:A260" si="79">A252</f>
        <v>ЩУР.МОП1-6</v>
      </c>
      <c r="B253" s="10" t="s">
        <v>11</v>
      </c>
      <c r="C253" s="10"/>
      <c r="D253" s="11" t="s">
        <v>40</v>
      </c>
      <c r="E253" s="10" t="s">
        <v>41</v>
      </c>
      <c r="F253" s="10">
        <v>18000</v>
      </c>
      <c r="G253" s="12">
        <f>0.6*F253</f>
        <v>10800</v>
      </c>
      <c r="H253" s="12">
        <f>G253*I253</f>
        <v>10800</v>
      </c>
      <c r="I253" s="13">
        <v>1</v>
      </c>
      <c r="J253" s="14" t="s">
        <v>12</v>
      </c>
      <c r="K253" s="10" t="s">
        <v>13</v>
      </c>
      <c r="L253" s="13" t="str">
        <f>L252</f>
        <v>Блок6</v>
      </c>
      <c r="M253" s="12">
        <v>10800</v>
      </c>
      <c r="N253">
        <v>10800</v>
      </c>
    </row>
    <row r="254" spans="1:14" ht="21" customHeight="1" x14ac:dyDescent="0.25">
      <c r="A254" s="13" t="str">
        <f t="shared" si="79"/>
        <v>ЩУР.МОП1-6</v>
      </c>
      <c r="B254" s="10" t="s">
        <v>17</v>
      </c>
      <c r="C254" s="10"/>
      <c r="D254" s="11">
        <v>296830</v>
      </c>
      <c r="E254" s="10" t="s">
        <v>149</v>
      </c>
      <c r="F254" s="10">
        <v>1554</v>
      </c>
      <c r="G254" s="12">
        <f>F254*0.55</f>
        <v>854.7</v>
      </c>
      <c r="H254" s="12">
        <f>G254*I254</f>
        <v>854.7</v>
      </c>
      <c r="I254" s="13">
        <v>1</v>
      </c>
      <c r="J254" s="14" t="s">
        <v>12</v>
      </c>
      <c r="K254" s="10" t="s">
        <v>28</v>
      </c>
      <c r="L254" s="13" t="str">
        <f>L253</f>
        <v>Блок6</v>
      </c>
      <c r="M254" s="12">
        <v>854.7</v>
      </c>
      <c r="N254">
        <v>854.7</v>
      </c>
    </row>
    <row r="255" spans="1:14" ht="21" customHeight="1" x14ac:dyDescent="0.25">
      <c r="A255" s="13" t="str">
        <f t="shared" si="79"/>
        <v>ЩУР.МОП1-6</v>
      </c>
      <c r="B255" s="10" t="s">
        <v>17</v>
      </c>
      <c r="C255" s="10"/>
      <c r="D255" s="11">
        <v>296829</v>
      </c>
      <c r="E255" s="10" t="s">
        <v>148</v>
      </c>
      <c r="F255" s="10">
        <v>2111</v>
      </c>
      <c r="G255" s="12">
        <f>F255*0.55</f>
        <v>1161.0500000000002</v>
      </c>
      <c r="H255" s="12">
        <f>G255*I255</f>
        <v>3483.1500000000005</v>
      </c>
      <c r="I255" s="13">
        <v>3</v>
      </c>
      <c r="J255" s="14" t="s">
        <v>12</v>
      </c>
      <c r="K255" s="10" t="s">
        <v>28</v>
      </c>
      <c r="L255" s="13" t="str">
        <f>L254</f>
        <v>Блок6</v>
      </c>
      <c r="M255" s="12">
        <v>3483.1500000000005</v>
      </c>
      <c r="N255">
        <v>3483.1500000000005</v>
      </c>
    </row>
    <row r="256" spans="1:14" ht="21" customHeight="1" x14ac:dyDescent="0.25">
      <c r="A256" s="13" t="str">
        <f t="shared" si="79"/>
        <v>ЩУР.МОП1-6</v>
      </c>
      <c r="B256" s="10" t="s">
        <v>17</v>
      </c>
      <c r="C256" s="10"/>
      <c r="D256" s="11">
        <v>296828</v>
      </c>
      <c r="E256" s="10" t="s">
        <v>151</v>
      </c>
      <c r="F256" s="10">
        <v>1491</v>
      </c>
      <c r="G256" s="12">
        <f>F256*0.55</f>
        <v>820.05000000000007</v>
      </c>
      <c r="H256" s="12">
        <f>G256*I256</f>
        <v>820.05000000000007</v>
      </c>
      <c r="I256" s="13">
        <v>1</v>
      </c>
      <c r="J256" s="14" t="s">
        <v>12</v>
      </c>
      <c r="K256" s="10" t="s">
        <v>28</v>
      </c>
      <c r="L256" s="13" t="str">
        <f>L255</f>
        <v>Блок6</v>
      </c>
      <c r="M256" s="12">
        <v>820.05000000000007</v>
      </c>
      <c r="N256">
        <v>820.05000000000007</v>
      </c>
    </row>
    <row r="257" spans="1:14" ht="21" customHeight="1" x14ac:dyDescent="0.25">
      <c r="A257" s="13" t="str">
        <f t="shared" si="79"/>
        <v>ЩУР.МОП1-6</v>
      </c>
      <c r="B257" s="10" t="s">
        <v>15</v>
      </c>
      <c r="C257" s="10"/>
      <c r="D257" s="11" t="s">
        <v>179</v>
      </c>
      <c r="E257" s="10" t="s">
        <v>180</v>
      </c>
      <c r="F257" s="10">
        <v>83000</v>
      </c>
      <c r="G257" s="12">
        <f>F257</f>
        <v>83000</v>
      </c>
      <c r="H257" s="12">
        <v>39100</v>
      </c>
      <c r="I257" s="13">
        <v>1</v>
      </c>
      <c r="J257" s="14" t="s">
        <v>12</v>
      </c>
      <c r="K257" s="10" t="s">
        <v>16</v>
      </c>
      <c r="L257" s="13" t="str">
        <f>L255</f>
        <v>Блок6</v>
      </c>
      <c r="M257" s="12">
        <v>39100</v>
      </c>
      <c r="N257">
        <v>39100</v>
      </c>
    </row>
    <row r="258" spans="1:14" ht="24" customHeight="1" x14ac:dyDescent="0.25">
      <c r="A258" s="10" t="str">
        <f t="shared" si="79"/>
        <v>ЩУР.МОП1-6</v>
      </c>
      <c r="B258" s="10" t="s">
        <v>19</v>
      </c>
      <c r="C258" s="10"/>
      <c r="D258" s="11" t="s">
        <v>19</v>
      </c>
      <c r="E258" s="10" t="s">
        <v>19</v>
      </c>
      <c r="F258" s="10">
        <f ca="1">OFFSET(F258,1,2)</f>
        <v>12000</v>
      </c>
      <c r="G258" s="12">
        <f ca="1">F258*0.55</f>
        <v>6600.0000000000009</v>
      </c>
      <c r="H258" s="12">
        <f ca="1">G258*I258</f>
        <v>6600.0000000000009</v>
      </c>
      <c r="I258" s="10">
        <v>1</v>
      </c>
      <c r="J258" s="10" t="s">
        <v>12</v>
      </c>
      <c r="K258" s="10" t="s">
        <v>19</v>
      </c>
      <c r="L258" s="13" t="str">
        <f>L257</f>
        <v>Блок6</v>
      </c>
      <c r="M258" s="12">
        <v>6600.0000000000009</v>
      </c>
      <c r="N258">
        <v>6600.0000000000009</v>
      </c>
    </row>
    <row r="259" spans="1:14" ht="21" customHeight="1" x14ac:dyDescent="0.25">
      <c r="A259" s="10" t="str">
        <f t="shared" si="79"/>
        <v>ЩУР.МОП1-6</v>
      </c>
      <c r="B259" s="10" t="s">
        <v>20</v>
      </c>
      <c r="C259" s="10"/>
      <c r="D259" s="11" t="s">
        <v>20</v>
      </c>
      <c r="E259" s="10" t="s">
        <v>20</v>
      </c>
      <c r="F259" s="10">
        <v>2</v>
      </c>
      <c r="G259" s="12">
        <v>100</v>
      </c>
      <c r="H259" s="12">
        <f>G259*I259</f>
        <v>12000</v>
      </c>
      <c r="I259" s="10">
        <f>60*F259</f>
        <v>120</v>
      </c>
      <c r="J259" s="10" t="s">
        <v>12</v>
      </c>
      <c r="K259" s="10" t="s">
        <v>20</v>
      </c>
      <c r="L259" s="13" t="str">
        <f>L258</f>
        <v>Блок6</v>
      </c>
      <c r="M259" s="12">
        <v>12000</v>
      </c>
      <c r="N259">
        <v>12000</v>
      </c>
    </row>
    <row r="260" spans="1:14" ht="30" customHeight="1" x14ac:dyDescent="0.25">
      <c r="A260" s="15" t="str">
        <f t="shared" si="79"/>
        <v>ЩУР.МОП1-6</v>
      </c>
      <c r="B260" s="15"/>
      <c r="C260" s="15"/>
      <c r="D260" s="15"/>
      <c r="E260" s="16"/>
      <c r="F260" s="17"/>
      <c r="G260" s="12">
        <f>F260*0.55</f>
        <v>0</v>
      </c>
      <c r="H260" s="18">
        <f ca="1">SUM(H253:H259)</f>
        <v>73657.899999999994</v>
      </c>
      <c r="I260" s="15"/>
      <c r="J260" s="19"/>
      <c r="K260" s="15"/>
      <c r="L260" s="13" t="str">
        <f>L259</f>
        <v>Блок6</v>
      </c>
      <c r="M260" s="18">
        <v>73657.899999999994</v>
      </c>
      <c r="N260">
        <v>73657.899999999994</v>
      </c>
    </row>
    <row r="261" spans="1:14" ht="39.75" customHeight="1" x14ac:dyDescent="0.25">
      <c r="A261" s="8" t="str">
        <f>E261</f>
        <v>РЩ1-6 (АВР-Б-40-2-1)</v>
      </c>
      <c r="B261" s="4"/>
      <c r="C261" s="4"/>
      <c r="D261" s="5"/>
      <c r="E261" s="4" t="s">
        <v>138</v>
      </c>
      <c r="F261" s="6"/>
      <c r="G261" s="6"/>
      <c r="H261" s="7"/>
      <c r="I261" s="8">
        <v>1</v>
      </c>
      <c r="J261" s="9" t="s">
        <v>9</v>
      </c>
      <c r="K261" s="4" t="s">
        <v>10</v>
      </c>
      <c r="L261" s="8" t="s">
        <v>74</v>
      </c>
      <c r="M261" s="7"/>
    </row>
    <row r="262" spans="1:14" ht="21" customHeight="1" x14ac:dyDescent="0.25">
      <c r="A262" s="13" t="str">
        <f t="shared" ref="A262:A272" si="80">A261</f>
        <v>РЩ1-6 (АВР-Б-40-2-1)</v>
      </c>
      <c r="B262" s="10" t="s">
        <v>11</v>
      </c>
      <c r="C262" s="10"/>
      <c r="D262" s="11" t="s">
        <v>168</v>
      </c>
      <c r="E262" s="10" t="s">
        <v>169</v>
      </c>
      <c r="F262" s="10">
        <v>130000</v>
      </c>
      <c r="G262" s="12">
        <f>0.6*F262</f>
        <v>78000</v>
      </c>
      <c r="H262" s="12">
        <f t="shared" ref="H262:H267" si="81">G262*I262</f>
        <v>78000</v>
      </c>
      <c r="I262" s="13">
        <v>1</v>
      </c>
      <c r="J262" s="14" t="s">
        <v>12</v>
      </c>
      <c r="K262" s="10" t="s">
        <v>13</v>
      </c>
      <c r="L262" s="13" t="str">
        <f t="shared" ref="L262:L272" si="82">L261</f>
        <v>Блок6</v>
      </c>
      <c r="M262" s="12">
        <v>78000</v>
      </c>
      <c r="N262">
        <v>78000</v>
      </c>
    </row>
    <row r="263" spans="1:14" ht="21" customHeight="1" x14ac:dyDescent="0.25">
      <c r="A263" s="13" t="str">
        <f t="shared" si="80"/>
        <v>РЩ1-6 (АВР-Б-40-2-1)</v>
      </c>
      <c r="B263" s="10" t="s">
        <v>44</v>
      </c>
      <c r="C263" s="10"/>
      <c r="D263" s="11" t="s">
        <v>162</v>
      </c>
      <c r="E263" s="10" t="s">
        <v>163</v>
      </c>
      <c r="F263" s="10">
        <v>114758</v>
      </c>
      <c r="G263" s="12">
        <f>F263*0.55</f>
        <v>63116.900000000009</v>
      </c>
      <c r="H263" s="12">
        <f t="shared" si="81"/>
        <v>63116.900000000009</v>
      </c>
      <c r="I263" s="13">
        <v>1</v>
      </c>
      <c r="J263" s="14" t="s">
        <v>12</v>
      </c>
      <c r="K263" s="10" t="s">
        <v>14</v>
      </c>
      <c r="L263" s="13" t="str">
        <f t="shared" si="82"/>
        <v>Блок6</v>
      </c>
      <c r="M263" s="12">
        <v>63116.900000000009</v>
      </c>
      <c r="N263">
        <v>63116.900000000009</v>
      </c>
    </row>
    <row r="264" spans="1:14" ht="21" customHeight="1" x14ac:dyDescent="0.25">
      <c r="A264" s="13" t="str">
        <f t="shared" si="80"/>
        <v>РЩ1-6 (АВР-Б-40-2-1)</v>
      </c>
      <c r="B264" s="10" t="s">
        <v>27</v>
      </c>
      <c r="C264" s="10"/>
      <c r="D264" s="11">
        <v>126505</v>
      </c>
      <c r="E264" s="10" t="s">
        <v>45</v>
      </c>
      <c r="F264" s="10">
        <v>15740</v>
      </c>
      <c r="G264" s="12">
        <f>F264*0.55</f>
        <v>8657</v>
      </c>
      <c r="H264" s="12">
        <f t="shared" si="81"/>
        <v>17314</v>
      </c>
      <c r="I264" s="13">
        <v>2</v>
      </c>
      <c r="J264" s="14" t="s">
        <v>12</v>
      </c>
      <c r="K264" s="10" t="s">
        <v>28</v>
      </c>
      <c r="L264" s="13" t="str">
        <f t="shared" si="82"/>
        <v>Блок6</v>
      </c>
      <c r="M264" s="12">
        <v>17314</v>
      </c>
      <c r="N264">
        <v>17314</v>
      </c>
    </row>
    <row r="265" spans="1:14" ht="21" customHeight="1" x14ac:dyDescent="0.25">
      <c r="A265" s="13" t="str">
        <f t="shared" si="80"/>
        <v>РЩ1-6 (АВР-Б-40-2-1)</v>
      </c>
      <c r="B265" s="10" t="s">
        <v>27</v>
      </c>
      <c r="C265" s="10"/>
      <c r="D265" s="11">
        <v>126677</v>
      </c>
      <c r="E265" s="10" t="s">
        <v>43</v>
      </c>
      <c r="F265" s="10">
        <v>14742</v>
      </c>
      <c r="G265" s="12">
        <f>F265*0.55</f>
        <v>8108.1</v>
      </c>
      <c r="H265" s="12">
        <f t="shared" si="81"/>
        <v>24324.300000000003</v>
      </c>
      <c r="I265" s="13">
        <v>3</v>
      </c>
      <c r="J265" s="14" t="s">
        <v>12</v>
      </c>
      <c r="K265" s="10" t="s">
        <v>28</v>
      </c>
      <c r="L265" s="13" t="str">
        <f t="shared" si="82"/>
        <v>Блок6</v>
      </c>
      <c r="M265" s="12">
        <v>24324.300000000003</v>
      </c>
      <c r="N265">
        <v>24324.300000000003</v>
      </c>
    </row>
    <row r="266" spans="1:14" ht="21" customHeight="1" x14ac:dyDescent="0.25">
      <c r="A266" s="13" t="str">
        <f t="shared" si="80"/>
        <v>РЩ1-6 (АВР-Б-40-2-1)</v>
      </c>
      <c r="B266" s="10" t="s">
        <v>17</v>
      </c>
      <c r="C266" s="10"/>
      <c r="D266" s="11">
        <v>814174</v>
      </c>
      <c r="E266" s="10" t="s">
        <v>46</v>
      </c>
      <c r="F266" s="10">
        <v>4823</v>
      </c>
      <c r="G266" s="12">
        <f>F266*0.55</f>
        <v>2652.65</v>
      </c>
      <c r="H266" s="12">
        <f t="shared" si="81"/>
        <v>5305.3</v>
      </c>
      <c r="I266" s="13">
        <v>2</v>
      </c>
      <c r="J266" s="14" t="s">
        <v>12</v>
      </c>
      <c r="K266" s="10" t="s">
        <v>28</v>
      </c>
      <c r="L266" s="13" t="str">
        <f t="shared" si="82"/>
        <v>Блок6</v>
      </c>
      <c r="M266" s="12">
        <v>5305.3</v>
      </c>
      <c r="N266">
        <v>5305.3</v>
      </c>
    </row>
    <row r="267" spans="1:14" ht="21" customHeight="1" x14ac:dyDescent="0.25">
      <c r="A267" s="13" t="str">
        <f t="shared" si="80"/>
        <v>РЩ1-6 (АВР-Б-40-2-1)</v>
      </c>
      <c r="B267" s="10" t="s">
        <v>17</v>
      </c>
      <c r="C267" s="10"/>
      <c r="D267" s="11">
        <v>814167</v>
      </c>
      <c r="E267" s="10" t="s">
        <v>48</v>
      </c>
      <c r="F267" s="10">
        <v>5187</v>
      </c>
      <c r="G267" s="12">
        <f>F267*0.55</f>
        <v>2852.8500000000004</v>
      </c>
      <c r="H267" s="12">
        <f t="shared" si="81"/>
        <v>2852.8500000000004</v>
      </c>
      <c r="I267" s="13">
        <v>1</v>
      </c>
      <c r="J267" s="14" t="s">
        <v>12</v>
      </c>
      <c r="K267" s="10" t="s">
        <v>28</v>
      </c>
      <c r="L267" s="13" t="str">
        <f t="shared" si="82"/>
        <v>Блок6</v>
      </c>
      <c r="M267" s="12">
        <v>2852.8500000000004</v>
      </c>
      <c r="N267">
        <v>2852.8500000000004</v>
      </c>
    </row>
    <row r="268" spans="1:14" ht="21" customHeight="1" x14ac:dyDescent="0.25">
      <c r="A268" s="13" t="str">
        <f t="shared" si="80"/>
        <v>РЩ1-6 (АВР-Б-40-2-1)</v>
      </c>
      <c r="B268" s="10" t="s">
        <v>15</v>
      </c>
      <c r="C268" s="10"/>
      <c r="D268" s="11" t="s">
        <v>179</v>
      </c>
      <c r="E268" s="10" t="s">
        <v>180</v>
      </c>
      <c r="F268" s="10">
        <v>83000</v>
      </c>
      <c r="G268" s="12">
        <f>F268</f>
        <v>83000</v>
      </c>
      <c r="H268" s="12">
        <v>39100</v>
      </c>
      <c r="I268" s="13">
        <v>1</v>
      </c>
      <c r="J268" s="14" t="s">
        <v>12</v>
      </c>
      <c r="K268" s="10" t="s">
        <v>16</v>
      </c>
      <c r="L268" s="13" t="str">
        <f t="shared" si="82"/>
        <v>Блок6</v>
      </c>
      <c r="M268" s="12">
        <v>39100</v>
      </c>
      <c r="N268">
        <v>39100</v>
      </c>
    </row>
    <row r="269" spans="1:14" ht="21" customHeight="1" x14ac:dyDescent="0.25">
      <c r="A269" s="13" t="str">
        <f t="shared" si="80"/>
        <v>РЩ1-6 (АВР-Б-40-2-1)</v>
      </c>
      <c r="B269" s="10" t="s">
        <v>30</v>
      </c>
      <c r="C269" s="10"/>
      <c r="D269" s="11"/>
      <c r="E269" s="10" t="s">
        <v>31</v>
      </c>
      <c r="F269" s="10">
        <v>4500</v>
      </c>
      <c r="G269" s="12">
        <f t="shared" ref="G269:G272" si="83">F269*0.55</f>
        <v>2475</v>
      </c>
      <c r="H269" s="12">
        <f>G269*I269</f>
        <v>14850</v>
      </c>
      <c r="I269" s="13">
        <v>6</v>
      </c>
      <c r="J269" s="14" t="s">
        <v>12</v>
      </c>
      <c r="K269" s="10" t="s">
        <v>25</v>
      </c>
      <c r="L269" s="13" t="e">
        <f>#REF!</f>
        <v>#REF!</v>
      </c>
      <c r="M269" s="12">
        <v>14850</v>
      </c>
      <c r="N269">
        <v>14850</v>
      </c>
    </row>
    <row r="270" spans="1:14" ht="24" customHeight="1" x14ac:dyDescent="0.25">
      <c r="A270" s="10" t="str">
        <f t="shared" si="80"/>
        <v>РЩ1-6 (АВР-Б-40-2-1)</v>
      </c>
      <c r="B270" s="10" t="s">
        <v>19</v>
      </c>
      <c r="C270" s="10"/>
      <c r="D270" s="11" t="s">
        <v>19</v>
      </c>
      <c r="E270" s="10" t="s">
        <v>19</v>
      </c>
      <c r="F270" s="10">
        <f ca="1">OFFSET(F270,1,2)</f>
        <v>39000</v>
      </c>
      <c r="G270" s="12">
        <f ca="1">F270*0.55</f>
        <v>21450</v>
      </c>
      <c r="H270" s="12">
        <f ca="1">G270*I270</f>
        <v>21450</v>
      </c>
      <c r="I270" s="10">
        <v>1</v>
      </c>
      <c r="J270" s="10" t="s">
        <v>12</v>
      </c>
      <c r="K270" s="10" t="s">
        <v>19</v>
      </c>
      <c r="L270" s="13" t="e">
        <f t="shared" si="82"/>
        <v>#REF!</v>
      </c>
      <c r="M270" s="12">
        <v>21450</v>
      </c>
      <c r="N270">
        <v>21450</v>
      </c>
    </row>
    <row r="271" spans="1:14" ht="21" customHeight="1" x14ac:dyDescent="0.25">
      <c r="A271" s="10" t="str">
        <f t="shared" si="80"/>
        <v>РЩ1-6 (АВР-Б-40-2-1)</v>
      </c>
      <c r="B271" s="10" t="s">
        <v>20</v>
      </c>
      <c r="C271" s="10"/>
      <c r="D271" s="11" t="s">
        <v>20</v>
      </c>
      <c r="E271" s="10" t="s">
        <v>20</v>
      </c>
      <c r="F271" s="10">
        <v>6.5</v>
      </c>
      <c r="G271" s="12">
        <v>100</v>
      </c>
      <c r="H271" s="12">
        <f>G271*I271</f>
        <v>39000</v>
      </c>
      <c r="I271" s="10">
        <f>60*F271</f>
        <v>390</v>
      </c>
      <c r="J271" s="10" t="s">
        <v>12</v>
      </c>
      <c r="K271" s="10" t="s">
        <v>20</v>
      </c>
      <c r="L271" s="13" t="e">
        <f t="shared" si="82"/>
        <v>#REF!</v>
      </c>
      <c r="M271" s="12">
        <v>39000</v>
      </c>
      <c r="N271">
        <v>39000</v>
      </c>
    </row>
    <row r="272" spans="1:14" ht="30" customHeight="1" x14ac:dyDescent="0.25">
      <c r="A272" s="15" t="str">
        <f t="shared" si="80"/>
        <v>РЩ1-6 (АВР-Б-40-2-1)</v>
      </c>
      <c r="B272" s="15"/>
      <c r="C272" s="15"/>
      <c r="D272" s="15"/>
      <c r="E272" s="16"/>
      <c r="F272" s="17"/>
      <c r="G272" s="12">
        <f t="shared" si="83"/>
        <v>0</v>
      </c>
      <c r="H272" s="18">
        <f ca="1">SUM(H262:H271)</f>
        <v>305313.34999999998</v>
      </c>
      <c r="I272" s="15"/>
      <c r="J272" s="19"/>
      <c r="K272" s="15"/>
      <c r="L272" s="13" t="e">
        <f t="shared" si="82"/>
        <v>#REF!</v>
      </c>
      <c r="M272" s="18">
        <v>305313.34999999998</v>
      </c>
      <c r="N272">
        <v>305313.34999999998</v>
      </c>
    </row>
    <row r="273" spans="1:14" ht="39.75" customHeight="1" x14ac:dyDescent="0.25">
      <c r="A273" s="8" t="str">
        <f>E273</f>
        <v>ВРУ1-7</v>
      </c>
      <c r="B273" s="4"/>
      <c r="C273" s="4"/>
      <c r="D273" s="5"/>
      <c r="E273" s="4" t="s">
        <v>76</v>
      </c>
      <c r="F273" s="6"/>
      <c r="G273" s="6"/>
      <c r="H273" s="7"/>
      <c r="I273" s="8">
        <v>1</v>
      </c>
      <c r="J273" s="9" t="s">
        <v>9</v>
      </c>
      <c r="K273" s="4" t="s">
        <v>10</v>
      </c>
      <c r="L273" s="8" t="s">
        <v>77</v>
      </c>
      <c r="M273" s="7"/>
    </row>
    <row r="274" spans="1:14" ht="21" customHeight="1" x14ac:dyDescent="0.25">
      <c r="A274" s="13" t="str">
        <f t="shared" ref="A274:A284" si="84">A273</f>
        <v>ВРУ1-7</v>
      </c>
      <c r="B274" s="10" t="s">
        <v>11</v>
      </c>
      <c r="C274" s="10"/>
      <c r="D274" s="11" t="s">
        <v>172</v>
      </c>
      <c r="E274" s="10" t="s">
        <v>173</v>
      </c>
      <c r="F274" s="10">
        <v>156500</v>
      </c>
      <c r="G274" s="12">
        <f>0.6*F274</f>
        <v>93900</v>
      </c>
      <c r="H274" s="12">
        <f>G274*I274</f>
        <v>93900</v>
      </c>
      <c r="I274" s="13">
        <v>1</v>
      </c>
      <c r="J274" s="14" t="s">
        <v>12</v>
      </c>
      <c r="K274" s="10" t="s">
        <v>13</v>
      </c>
      <c r="L274" s="13" t="str">
        <f t="shared" ref="L274:L276" si="85">L273</f>
        <v>Блок7</v>
      </c>
      <c r="M274" s="12">
        <v>93900</v>
      </c>
      <c r="N274">
        <v>93900</v>
      </c>
    </row>
    <row r="275" spans="1:14" ht="21" customHeight="1" x14ac:dyDescent="0.25">
      <c r="A275" s="13" t="str">
        <f t="shared" si="84"/>
        <v>ВРУ1-7</v>
      </c>
      <c r="B275" s="10" t="s">
        <v>23</v>
      </c>
      <c r="C275" s="10"/>
      <c r="D275" s="11"/>
      <c r="E275" s="10" t="s">
        <v>24</v>
      </c>
      <c r="F275" s="10">
        <v>4701</v>
      </c>
      <c r="G275" s="12">
        <v>4701</v>
      </c>
      <c r="H275" s="12">
        <v>28206</v>
      </c>
      <c r="I275" s="13">
        <v>6</v>
      </c>
      <c r="J275" s="14" t="s">
        <v>12</v>
      </c>
      <c r="K275" s="10" t="s">
        <v>25</v>
      </c>
      <c r="L275" s="13" t="str">
        <f t="shared" si="85"/>
        <v>Блок7</v>
      </c>
      <c r="M275" s="12">
        <v>28206</v>
      </c>
      <c r="N275">
        <v>28206</v>
      </c>
    </row>
    <row r="276" spans="1:14" ht="21" customHeight="1" x14ac:dyDescent="0.25">
      <c r="A276" s="13" t="str">
        <f t="shared" si="84"/>
        <v>ВРУ1-7</v>
      </c>
      <c r="B276" s="10" t="s">
        <v>26</v>
      </c>
      <c r="C276" s="10"/>
      <c r="D276" s="11" t="s">
        <v>177</v>
      </c>
      <c r="E276" s="10" t="s">
        <v>178</v>
      </c>
      <c r="F276" s="10">
        <v>25500</v>
      </c>
      <c r="G276" s="12">
        <f>F276*0.55</f>
        <v>14025.000000000002</v>
      </c>
      <c r="H276" s="12">
        <f>G276*I276</f>
        <v>28050.000000000004</v>
      </c>
      <c r="I276" s="13">
        <v>2</v>
      </c>
      <c r="J276" s="14" t="s">
        <v>12</v>
      </c>
      <c r="K276" s="10" t="s">
        <v>25</v>
      </c>
      <c r="L276" s="13" t="str">
        <f t="shared" si="85"/>
        <v>Блок7</v>
      </c>
      <c r="M276" s="12">
        <v>28050.000000000004</v>
      </c>
      <c r="N276">
        <v>28050.000000000004</v>
      </c>
    </row>
    <row r="277" spans="1:14" ht="21" customHeight="1" x14ac:dyDescent="0.25">
      <c r="A277" s="13" t="str">
        <f t="shared" si="84"/>
        <v>ВРУ1-7</v>
      </c>
      <c r="B277" s="10" t="s">
        <v>127</v>
      </c>
      <c r="C277" s="10"/>
      <c r="D277" s="11" t="s">
        <v>130</v>
      </c>
      <c r="E277" s="10" t="s">
        <v>131</v>
      </c>
      <c r="F277" s="10">
        <v>4750</v>
      </c>
      <c r="G277" s="12">
        <f>F277*0.55</f>
        <v>2612.5</v>
      </c>
      <c r="H277" s="12">
        <f>G277*I277</f>
        <v>5225</v>
      </c>
      <c r="I277" s="13">
        <v>2</v>
      </c>
      <c r="J277" s="14" t="s">
        <v>12</v>
      </c>
      <c r="K277" s="10" t="s">
        <v>14</v>
      </c>
      <c r="L277" s="13" t="str">
        <f>L275</f>
        <v>Блок7</v>
      </c>
      <c r="M277" s="12">
        <v>5225</v>
      </c>
      <c r="N277">
        <v>5225</v>
      </c>
    </row>
    <row r="278" spans="1:14" ht="21" customHeight="1" x14ac:dyDescent="0.25">
      <c r="A278" s="13" t="str">
        <f t="shared" si="84"/>
        <v>ВРУ1-7</v>
      </c>
      <c r="B278" s="10" t="s">
        <v>126</v>
      </c>
      <c r="C278" s="10"/>
      <c r="D278" s="11" t="s">
        <v>128</v>
      </c>
      <c r="E278" s="10" t="s">
        <v>129</v>
      </c>
      <c r="F278" s="10">
        <v>3317</v>
      </c>
      <c r="G278" s="12">
        <f>F278*0.55</f>
        <v>1824.3500000000001</v>
      </c>
      <c r="H278" s="12">
        <f>G278*I278</f>
        <v>3648.7000000000003</v>
      </c>
      <c r="I278" s="13">
        <v>2</v>
      </c>
      <c r="J278" s="14" t="s">
        <v>12</v>
      </c>
      <c r="K278" s="10" t="s">
        <v>14</v>
      </c>
      <c r="L278" s="13" t="str">
        <f t="shared" ref="L278:L284" si="86">L276</f>
        <v>Блок7</v>
      </c>
      <c r="M278" s="12">
        <v>3648.7000000000003</v>
      </c>
      <c r="N278">
        <v>3648.7000000000003</v>
      </c>
    </row>
    <row r="279" spans="1:14" ht="21" customHeight="1" x14ac:dyDescent="0.25">
      <c r="A279" s="13" t="str">
        <f t="shared" si="84"/>
        <v>ВРУ1-7</v>
      </c>
      <c r="B279" s="10" t="s">
        <v>17</v>
      </c>
      <c r="C279" s="10"/>
      <c r="D279" s="11">
        <v>296708</v>
      </c>
      <c r="E279" s="10" t="s">
        <v>29</v>
      </c>
      <c r="F279" s="10">
        <v>828</v>
      </c>
      <c r="G279" s="12">
        <f>F279*0.55</f>
        <v>455.40000000000003</v>
      </c>
      <c r="H279" s="12">
        <f>G279*I279</f>
        <v>910.80000000000007</v>
      </c>
      <c r="I279" s="13">
        <v>2</v>
      </c>
      <c r="J279" s="14" t="s">
        <v>12</v>
      </c>
      <c r="K279" s="10" t="s">
        <v>28</v>
      </c>
      <c r="L279" s="13" t="str">
        <f t="shared" si="86"/>
        <v>Блок7</v>
      </c>
      <c r="M279" s="12">
        <v>910.80000000000007</v>
      </c>
      <c r="N279">
        <v>910.80000000000007</v>
      </c>
    </row>
    <row r="280" spans="1:14" ht="21" customHeight="1" x14ac:dyDescent="0.25">
      <c r="A280" s="13" t="str">
        <f t="shared" si="84"/>
        <v>ВРУ1-7</v>
      </c>
      <c r="B280" s="10" t="s">
        <v>15</v>
      </c>
      <c r="C280" s="10"/>
      <c r="D280" s="11" t="s">
        <v>179</v>
      </c>
      <c r="E280" s="10" t="s">
        <v>180</v>
      </c>
      <c r="F280" s="10">
        <v>83000</v>
      </c>
      <c r="G280" s="12">
        <f>F280</f>
        <v>83000</v>
      </c>
      <c r="H280" s="12">
        <v>78200</v>
      </c>
      <c r="I280" s="13">
        <v>2</v>
      </c>
      <c r="J280" s="14" t="s">
        <v>12</v>
      </c>
      <c r="K280" s="10" t="s">
        <v>16</v>
      </c>
      <c r="L280" s="13" t="str">
        <f t="shared" si="86"/>
        <v>Блок7</v>
      </c>
      <c r="M280" s="12">
        <v>78200</v>
      </c>
      <c r="N280">
        <v>78200</v>
      </c>
    </row>
    <row r="281" spans="1:14" ht="21" customHeight="1" x14ac:dyDescent="0.25">
      <c r="A281" s="13" t="str">
        <f t="shared" si="84"/>
        <v>ВРУ1-7</v>
      </c>
      <c r="B281" s="10" t="s">
        <v>30</v>
      </c>
      <c r="C281" s="10"/>
      <c r="D281" s="11"/>
      <c r="E281" s="10" t="s">
        <v>31</v>
      </c>
      <c r="F281" s="10">
        <v>4500</v>
      </c>
      <c r="G281" s="12">
        <f>F281*0.55</f>
        <v>2475</v>
      </c>
      <c r="H281" s="12">
        <f>G281*I281</f>
        <v>14850</v>
      </c>
      <c r="I281" s="13">
        <v>6</v>
      </c>
      <c r="J281" s="14" t="s">
        <v>12</v>
      </c>
      <c r="K281" s="10" t="s">
        <v>25</v>
      </c>
      <c r="L281" s="13" t="str">
        <f t="shared" si="86"/>
        <v>Блок7</v>
      </c>
      <c r="M281" s="12">
        <v>14850</v>
      </c>
      <c r="N281">
        <v>14850</v>
      </c>
    </row>
    <row r="282" spans="1:14" ht="24" customHeight="1" x14ac:dyDescent="0.25">
      <c r="A282" s="10" t="str">
        <f t="shared" si="84"/>
        <v>ВРУ1-7</v>
      </c>
      <c r="B282" s="10" t="s">
        <v>19</v>
      </c>
      <c r="C282" s="10"/>
      <c r="D282" s="11" t="s">
        <v>19</v>
      </c>
      <c r="E282" s="10" t="s">
        <v>19</v>
      </c>
      <c r="F282" s="10">
        <f ca="1">OFFSET(F282,1,2)</f>
        <v>48000</v>
      </c>
      <c r="G282" s="12">
        <f ca="1">F282*0.55</f>
        <v>26400.000000000004</v>
      </c>
      <c r="H282" s="12">
        <f ca="1">G282*I282</f>
        <v>26400.000000000004</v>
      </c>
      <c r="I282" s="10">
        <v>1</v>
      </c>
      <c r="J282" s="10" t="s">
        <v>12</v>
      </c>
      <c r="K282" s="10" t="s">
        <v>19</v>
      </c>
      <c r="L282" s="13" t="str">
        <f t="shared" si="86"/>
        <v>Блок7</v>
      </c>
      <c r="M282" s="12">
        <v>26400.000000000004</v>
      </c>
      <c r="N282">
        <v>26400.000000000004</v>
      </c>
    </row>
    <row r="283" spans="1:14" ht="21" customHeight="1" x14ac:dyDescent="0.25">
      <c r="A283" s="10" t="str">
        <f t="shared" si="84"/>
        <v>ВРУ1-7</v>
      </c>
      <c r="B283" s="10" t="s">
        <v>20</v>
      </c>
      <c r="C283" s="10"/>
      <c r="D283" s="11" t="s">
        <v>20</v>
      </c>
      <c r="E283" s="10" t="s">
        <v>20</v>
      </c>
      <c r="F283" s="10">
        <v>8</v>
      </c>
      <c r="G283" s="12">
        <v>100</v>
      </c>
      <c r="H283" s="12">
        <f>G283*I283</f>
        <v>48000</v>
      </c>
      <c r="I283" s="10">
        <f>60*F283</f>
        <v>480</v>
      </c>
      <c r="J283" s="10" t="s">
        <v>12</v>
      </c>
      <c r="K283" s="10" t="s">
        <v>20</v>
      </c>
      <c r="L283" s="13" t="str">
        <f t="shared" si="86"/>
        <v>Блок7</v>
      </c>
      <c r="M283" s="12">
        <v>48000</v>
      </c>
      <c r="N283">
        <v>48000</v>
      </c>
    </row>
    <row r="284" spans="1:14" ht="30" customHeight="1" x14ac:dyDescent="0.25">
      <c r="A284" s="15" t="str">
        <f t="shared" si="84"/>
        <v>ВРУ1-7</v>
      </c>
      <c r="B284" s="15"/>
      <c r="C284" s="15"/>
      <c r="D284" s="15"/>
      <c r="E284" s="16"/>
      <c r="F284" s="17"/>
      <c r="G284" s="12">
        <f>F284*0.55</f>
        <v>0</v>
      </c>
      <c r="H284" s="18">
        <f ca="1">SUM(H274:H283)</f>
        <v>327390.5</v>
      </c>
      <c r="I284" s="15"/>
      <c r="J284" s="19"/>
      <c r="K284" s="15"/>
      <c r="L284" s="13" t="str">
        <f t="shared" si="86"/>
        <v>Блок7</v>
      </c>
      <c r="M284" s="18">
        <v>327390.5</v>
      </c>
      <c r="N284">
        <v>327390.5</v>
      </c>
    </row>
    <row r="285" spans="1:14" ht="39.75" customHeight="1" x14ac:dyDescent="0.25">
      <c r="A285" s="8" t="str">
        <f>E285</f>
        <v>РУ-1-7</v>
      </c>
      <c r="B285" s="4"/>
      <c r="C285" s="4"/>
      <c r="D285" s="5"/>
      <c r="E285" s="4" t="s">
        <v>78</v>
      </c>
      <c r="F285" s="6"/>
      <c r="G285" s="6"/>
      <c r="H285" s="7"/>
      <c r="I285" s="8">
        <v>1</v>
      </c>
      <c r="J285" s="9" t="s">
        <v>9</v>
      </c>
      <c r="K285" s="4" t="s">
        <v>10</v>
      </c>
      <c r="L285" s="8" t="s">
        <v>77</v>
      </c>
      <c r="M285" s="7"/>
    </row>
    <row r="286" spans="1:14" ht="21" customHeight="1" x14ac:dyDescent="0.25">
      <c r="A286" s="13" t="str">
        <f t="shared" ref="A286:A292" si="87">A285</f>
        <v>РУ-1-7</v>
      </c>
      <c r="B286" s="10" t="s">
        <v>11</v>
      </c>
      <c r="C286" s="10"/>
      <c r="D286" s="11" t="s">
        <v>170</v>
      </c>
      <c r="E286" s="10" t="s">
        <v>171</v>
      </c>
      <c r="F286" s="10">
        <v>145000</v>
      </c>
      <c r="G286" s="12">
        <f>0.6*F286</f>
        <v>87000</v>
      </c>
      <c r="H286" s="12">
        <f t="shared" ref="H286:H291" si="88">G286*I286</f>
        <v>87000</v>
      </c>
      <c r="I286" s="13">
        <v>1</v>
      </c>
      <c r="J286" s="14" t="s">
        <v>12</v>
      </c>
      <c r="K286" s="10" t="s">
        <v>13</v>
      </c>
      <c r="L286" s="13" t="str">
        <f t="shared" ref="L286:L292" si="89">L285</f>
        <v>Блок7</v>
      </c>
      <c r="M286" s="12">
        <v>87000</v>
      </c>
      <c r="N286">
        <v>87000</v>
      </c>
    </row>
    <row r="287" spans="1:14" ht="21" customHeight="1" x14ac:dyDescent="0.25">
      <c r="A287" s="13" t="str">
        <f t="shared" si="87"/>
        <v>РУ-1-7</v>
      </c>
      <c r="B287" s="10" t="s">
        <v>27</v>
      </c>
      <c r="C287" s="10"/>
      <c r="D287" s="11">
        <v>126583</v>
      </c>
      <c r="E287" s="10" t="s">
        <v>33</v>
      </c>
      <c r="F287" s="10">
        <v>28665</v>
      </c>
      <c r="G287" s="12">
        <f t="shared" ref="G287:G292" si="90">F287*0.55</f>
        <v>15765.750000000002</v>
      </c>
      <c r="H287" s="12">
        <f t="shared" si="88"/>
        <v>63063.000000000007</v>
      </c>
      <c r="I287" s="13">
        <v>4</v>
      </c>
      <c r="J287" s="14" t="s">
        <v>12</v>
      </c>
      <c r="K287" s="10" t="s">
        <v>28</v>
      </c>
      <c r="L287" s="13" t="str">
        <f t="shared" si="89"/>
        <v>Блок7</v>
      </c>
      <c r="M287" s="12">
        <v>63063.000000000007</v>
      </c>
      <c r="N287">
        <v>63063.000000000007</v>
      </c>
    </row>
    <row r="288" spans="1:14" ht="21" customHeight="1" x14ac:dyDescent="0.25">
      <c r="A288" s="13" t="str">
        <f t="shared" si="87"/>
        <v>РУ-1-7</v>
      </c>
      <c r="B288" s="10" t="s">
        <v>27</v>
      </c>
      <c r="C288" s="10"/>
      <c r="D288" s="11">
        <v>126586</v>
      </c>
      <c r="E288" s="10" t="s">
        <v>68</v>
      </c>
      <c r="F288" s="10">
        <v>29484</v>
      </c>
      <c r="G288" s="12">
        <f t="shared" si="90"/>
        <v>16216.2</v>
      </c>
      <c r="H288" s="12">
        <f t="shared" si="88"/>
        <v>16216.2</v>
      </c>
      <c r="I288" s="13">
        <v>1</v>
      </c>
      <c r="J288" s="14" t="s">
        <v>12</v>
      </c>
      <c r="K288" s="10" t="s">
        <v>28</v>
      </c>
      <c r="L288" s="13" t="str">
        <f t="shared" si="89"/>
        <v>Блок7</v>
      </c>
      <c r="M288" s="12">
        <v>16216.2</v>
      </c>
      <c r="N288">
        <v>16216.2</v>
      </c>
    </row>
    <row r="289" spans="1:14" ht="21" customHeight="1" x14ac:dyDescent="0.25">
      <c r="A289" s="13" t="str">
        <f t="shared" si="87"/>
        <v>РУ-1-7</v>
      </c>
      <c r="B289" s="10" t="s">
        <v>27</v>
      </c>
      <c r="C289" s="10"/>
      <c r="D289" s="11">
        <v>126507</v>
      </c>
      <c r="E289" s="10" t="s">
        <v>35</v>
      </c>
      <c r="F289" s="10">
        <v>17108</v>
      </c>
      <c r="G289" s="12">
        <f t="shared" si="90"/>
        <v>9409.4000000000015</v>
      </c>
      <c r="H289" s="12">
        <f t="shared" si="88"/>
        <v>18818.800000000003</v>
      </c>
      <c r="I289" s="13">
        <v>2</v>
      </c>
      <c r="J289" s="14" t="s">
        <v>12</v>
      </c>
      <c r="K289" s="10" t="s">
        <v>28</v>
      </c>
      <c r="L289" s="13" t="str">
        <f t="shared" si="89"/>
        <v>Блок7</v>
      </c>
      <c r="M289" s="12">
        <v>18818.800000000003</v>
      </c>
      <c r="N289">
        <v>18818.800000000003</v>
      </c>
    </row>
    <row r="290" spans="1:14" ht="24" customHeight="1" x14ac:dyDescent="0.25">
      <c r="A290" s="10" t="str">
        <f t="shared" si="87"/>
        <v>РУ-1-7</v>
      </c>
      <c r="B290" s="10" t="s">
        <v>19</v>
      </c>
      <c r="C290" s="10"/>
      <c r="D290" s="11" t="s">
        <v>19</v>
      </c>
      <c r="E290" s="10" t="s">
        <v>19</v>
      </c>
      <c r="F290" s="10">
        <f ca="1">OFFSET(F290,1,2)</f>
        <v>27000</v>
      </c>
      <c r="G290" s="12">
        <f ca="1">F290*0.55</f>
        <v>14850.000000000002</v>
      </c>
      <c r="H290" s="12">
        <f ca="1">G290*I290</f>
        <v>14850.000000000002</v>
      </c>
      <c r="I290" s="10">
        <v>1</v>
      </c>
      <c r="J290" s="10" t="s">
        <v>12</v>
      </c>
      <c r="K290" s="10" t="s">
        <v>19</v>
      </c>
      <c r="L290" s="13" t="str">
        <f t="shared" si="89"/>
        <v>Блок7</v>
      </c>
      <c r="M290" s="12">
        <v>14850.000000000002</v>
      </c>
      <c r="N290">
        <v>14850.000000000002</v>
      </c>
    </row>
    <row r="291" spans="1:14" ht="21" customHeight="1" x14ac:dyDescent="0.25">
      <c r="A291" s="10" t="str">
        <f t="shared" si="87"/>
        <v>РУ-1-7</v>
      </c>
      <c r="B291" s="10" t="s">
        <v>20</v>
      </c>
      <c r="C291" s="10"/>
      <c r="D291" s="11" t="s">
        <v>20</v>
      </c>
      <c r="E291" s="10" t="s">
        <v>20</v>
      </c>
      <c r="F291" s="10">
        <v>4.5</v>
      </c>
      <c r="G291" s="12">
        <v>100</v>
      </c>
      <c r="H291" s="12">
        <f t="shared" si="88"/>
        <v>27000</v>
      </c>
      <c r="I291" s="10">
        <f>60*F291</f>
        <v>270</v>
      </c>
      <c r="J291" s="10" t="s">
        <v>12</v>
      </c>
      <c r="K291" s="10" t="s">
        <v>20</v>
      </c>
      <c r="L291" s="13" t="str">
        <f t="shared" si="89"/>
        <v>Блок7</v>
      </c>
      <c r="M291" s="12">
        <v>27000</v>
      </c>
      <c r="N291">
        <v>27000</v>
      </c>
    </row>
    <row r="292" spans="1:14" ht="30" customHeight="1" x14ac:dyDescent="0.25">
      <c r="A292" s="15" t="str">
        <f t="shared" si="87"/>
        <v>РУ-1-7</v>
      </c>
      <c r="B292" s="15"/>
      <c r="C292" s="15"/>
      <c r="D292" s="15"/>
      <c r="E292" s="16"/>
      <c r="F292" s="17"/>
      <c r="G292" s="12">
        <f t="shared" si="90"/>
        <v>0</v>
      </c>
      <c r="H292" s="18">
        <f ca="1">SUM(H286:H291)</f>
        <v>226948</v>
      </c>
      <c r="I292" s="15"/>
      <c r="J292" s="19"/>
      <c r="K292" s="15"/>
      <c r="L292" s="13" t="str">
        <f t="shared" si="89"/>
        <v>Блок7</v>
      </c>
      <c r="M292" s="18">
        <v>226948</v>
      </c>
      <c r="N292">
        <v>226948</v>
      </c>
    </row>
    <row r="293" spans="1:14" ht="39.75" customHeight="1" x14ac:dyDescent="0.25">
      <c r="A293" s="8" t="str">
        <f>E293</f>
        <v>ЩУР.МОП1-7</v>
      </c>
      <c r="B293" s="4"/>
      <c r="C293" s="4"/>
      <c r="D293" s="5"/>
      <c r="E293" s="4" t="s">
        <v>79</v>
      </c>
      <c r="F293" s="6"/>
      <c r="G293" s="6"/>
      <c r="H293" s="7"/>
      <c r="I293" s="8">
        <v>1</v>
      </c>
      <c r="J293" s="9" t="s">
        <v>9</v>
      </c>
      <c r="K293" s="4" t="s">
        <v>10</v>
      </c>
      <c r="L293" s="8" t="s">
        <v>77</v>
      </c>
      <c r="M293" s="7"/>
    </row>
    <row r="294" spans="1:14" ht="21" customHeight="1" x14ac:dyDescent="0.25">
      <c r="A294" s="13" t="str">
        <f t="shared" ref="A294:A301" si="91">A293</f>
        <v>ЩУР.МОП1-7</v>
      </c>
      <c r="B294" s="10" t="s">
        <v>11</v>
      </c>
      <c r="C294" s="10"/>
      <c r="D294" s="11" t="s">
        <v>40</v>
      </c>
      <c r="E294" s="10" t="s">
        <v>41</v>
      </c>
      <c r="F294" s="10">
        <v>18000</v>
      </c>
      <c r="G294" s="12">
        <f>0.6*F294</f>
        <v>10800</v>
      </c>
      <c r="H294" s="12">
        <f>G294*I294</f>
        <v>10800</v>
      </c>
      <c r="I294" s="13">
        <v>1</v>
      </c>
      <c r="J294" s="14" t="s">
        <v>12</v>
      </c>
      <c r="K294" s="10" t="s">
        <v>13</v>
      </c>
      <c r="L294" s="13" t="str">
        <f t="shared" ref="L294:L301" si="92">L293</f>
        <v>Блок7</v>
      </c>
      <c r="M294" s="12">
        <v>10800</v>
      </c>
      <c r="N294">
        <v>10800</v>
      </c>
    </row>
    <row r="295" spans="1:14" ht="21" customHeight="1" x14ac:dyDescent="0.25">
      <c r="A295" s="13" t="str">
        <f t="shared" si="91"/>
        <v>ЩУР.МОП1-7</v>
      </c>
      <c r="B295" s="10" t="s">
        <v>17</v>
      </c>
      <c r="C295" s="10"/>
      <c r="D295" s="11">
        <v>296830</v>
      </c>
      <c r="E295" s="10" t="s">
        <v>149</v>
      </c>
      <c r="F295" s="10">
        <v>1554</v>
      </c>
      <c r="G295" s="12">
        <f>F295*0.55</f>
        <v>854.7</v>
      </c>
      <c r="H295" s="12">
        <f>G295*I295</f>
        <v>854.7</v>
      </c>
      <c r="I295" s="13">
        <v>1</v>
      </c>
      <c r="J295" s="14" t="s">
        <v>12</v>
      </c>
      <c r="K295" s="10" t="s">
        <v>28</v>
      </c>
      <c r="L295" s="13" t="str">
        <f t="shared" si="92"/>
        <v>Блок7</v>
      </c>
      <c r="M295" s="12">
        <v>854.7</v>
      </c>
      <c r="N295">
        <v>854.7</v>
      </c>
    </row>
    <row r="296" spans="1:14" ht="21" customHeight="1" x14ac:dyDescent="0.25">
      <c r="A296" s="13" t="str">
        <f t="shared" si="91"/>
        <v>ЩУР.МОП1-7</v>
      </c>
      <c r="B296" s="10" t="s">
        <v>17</v>
      </c>
      <c r="C296" s="10"/>
      <c r="D296" s="11">
        <v>296828</v>
      </c>
      <c r="E296" s="10" t="s">
        <v>151</v>
      </c>
      <c r="F296" s="10">
        <v>1491</v>
      </c>
      <c r="G296" s="12">
        <f>F296*0.55</f>
        <v>820.05000000000007</v>
      </c>
      <c r="H296" s="12">
        <f>G296*I296</f>
        <v>820.05000000000007</v>
      </c>
      <c r="I296" s="13">
        <v>1</v>
      </c>
      <c r="J296" s="14" t="s">
        <v>12</v>
      </c>
      <c r="K296" s="10" t="s">
        <v>28</v>
      </c>
      <c r="L296" s="13" t="str">
        <f t="shared" si="92"/>
        <v>Блок7</v>
      </c>
      <c r="M296" s="12">
        <v>820.05000000000007</v>
      </c>
      <c r="N296">
        <v>820.05000000000007</v>
      </c>
    </row>
    <row r="297" spans="1:14" ht="21" customHeight="1" x14ac:dyDescent="0.25">
      <c r="A297" s="13" t="str">
        <f t="shared" si="91"/>
        <v>ЩУР.МОП1-7</v>
      </c>
      <c r="B297" s="10" t="s">
        <v>17</v>
      </c>
      <c r="C297" s="10"/>
      <c r="D297" s="11">
        <v>296829</v>
      </c>
      <c r="E297" s="10" t="s">
        <v>148</v>
      </c>
      <c r="F297" s="10">
        <v>2111</v>
      </c>
      <c r="G297" s="12">
        <f>F297*0.55</f>
        <v>1161.0500000000002</v>
      </c>
      <c r="H297" s="12">
        <f>G297*I297</f>
        <v>3483.1500000000005</v>
      </c>
      <c r="I297" s="13">
        <v>3</v>
      </c>
      <c r="J297" s="14" t="s">
        <v>12</v>
      </c>
      <c r="K297" s="10" t="s">
        <v>28</v>
      </c>
      <c r="L297" s="13" t="str">
        <f t="shared" si="92"/>
        <v>Блок7</v>
      </c>
      <c r="M297" s="12">
        <v>3483.1500000000005</v>
      </c>
      <c r="N297">
        <v>3483.1500000000005</v>
      </c>
    </row>
    <row r="298" spans="1:14" ht="21" customHeight="1" x14ac:dyDescent="0.25">
      <c r="A298" s="13" t="str">
        <f t="shared" si="91"/>
        <v>ЩУР.МОП1-7</v>
      </c>
      <c r="B298" s="10" t="s">
        <v>15</v>
      </c>
      <c r="C298" s="10"/>
      <c r="D298" s="11" t="s">
        <v>179</v>
      </c>
      <c r="E298" s="10" t="s">
        <v>180</v>
      </c>
      <c r="F298" s="10">
        <v>83000</v>
      </c>
      <c r="G298" s="12">
        <f>F298</f>
        <v>83000</v>
      </c>
      <c r="H298" s="12">
        <v>39100</v>
      </c>
      <c r="I298" s="13">
        <v>1</v>
      </c>
      <c r="J298" s="14" t="s">
        <v>12</v>
      </c>
      <c r="K298" s="10" t="s">
        <v>16</v>
      </c>
      <c r="L298" s="13" t="str">
        <f t="shared" si="92"/>
        <v>Блок7</v>
      </c>
      <c r="M298" s="12">
        <v>39100</v>
      </c>
      <c r="N298">
        <v>39100</v>
      </c>
    </row>
    <row r="299" spans="1:14" ht="24" customHeight="1" x14ac:dyDescent="0.25">
      <c r="A299" s="10" t="str">
        <f t="shared" si="91"/>
        <v>ЩУР.МОП1-7</v>
      </c>
      <c r="B299" s="10" t="s">
        <v>19</v>
      </c>
      <c r="C299" s="10"/>
      <c r="D299" s="11" t="s">
        <v>19</v>
      </c>
      <c r="E299" s="10" t="s">
        <v>19</v>
      </c>
      <c r="F299" s="10">
        <f ca="1">OFFSET(F299,1,2)</f>
        <v>12000</v>
      </c>
      <c r="G299" s="12">
        <f ca="1">F299*0.55</f>
        <v>6600.0000000000009</v>
      </c>
      <c r="H299" s="12">
        <f ca="1">G299*I299</f>
        <v>6600.0000000000009</v>
      </c>
      <c r="I299" s="10">
        <v>1</v>
      </c>
      <c r="J299" s="10" t="s">
        <v>12</v>
      </c>
      <c r="K299" s="10" t="s">
        <v>19</v>
      </c>
      <c r="L299" s="13" t="str">
        <f t="shared" si="92"/>
        <v>Блок7</v>
      </c>
      <c r="M299" s="12">
        <v>6600.0000000000009</v>
      </c>
      <c r="N299">
        <v>6600.0000000000009</v>
      </c>
    </row>
    <row r="300" spans="1:14" ht="21" customHeight="1" x14ac:dyDescent="0.25">
      <c r="A300" s="10" t="str">
        <f t="shared" si="91"/>
        <v>ЩУР.МОП1-7</v>
      </c>
      <c r="B300" s="10" t="s">
        <v>20</v>
      </c>
      <c r="C300" s="10"/>
      <c r="D300" s="11" t="s">
        <v>20</v>
      </c>
      <c r="E300" s="10" t="s">
        <v>20</v>
      </c>
      <c r="F300" s="10">
        <v>2</v>
      </c>
      <c r="G300" s="12">
        <v>100</v>
      </c>
      <c r="H300" s="12">
        <f>G300*I300</f>
        <v>12000</v>
      </c>
      <c r="I300" s="10">
        <f>60*F300</f>
        <v>120</v>
      </c>
      <c r="J300" s="10" t="s">
        <v>12</v>
      </c>
      <c r="K300" s="10" t="s">
        <v>20</v>
      </c>
      <c r="L300" s="13" t="str">
        <f t="shared" si="92"/>
        <v>Блок7</v>
      </c>
      <c r="M300" s="12">
        <v>12000</v>
      </c>
      <c r="N300">
        <v>12000</v>
      </c>
    </row>
    <row r="301" spans="1:14" ht="30" customHeight="1" x14ac:dyDescent="0.25">
      <c r="A301" s="15" t="str">
        <f t="shared" si="91"/>
        <v>ЩУР.МОП1-7</v>
      </c>
      <c r="B301" s="15"/>
      <c r="C301" s="15"/>
      <c r="D301" s="15"/>
      <c r="E301" s="16"/>
      <c r="F301" s="17"/>
      <c r="G301" s="12">
        <f>F301*0.55</f>
        <v>0</v>
      </c>
      <c r="H301" s="18">
        <f ca="1">SUM(H294:H300)</f>
        <v>73657.899999999994</v>
      </c>
      <c r="I301" s="15"/>
      <c r="J301" s="19"/>
      <c r="K301" s="15"/>
      <c r="L301" s="13" t="str">
        <f t="shared" si="92"/>
        <v>Блок7</v>
      </c>
      <c r="M301" s="18">
        <v>73657.899999999994</v>
      </c>
      <c r="N301">
        <v>73657.899999999994</v>
      </c>
    </row>
    <row r="302" spans="1:14" ht="39.75" customHeight="1" x14ac:dyDescent="0.25">
      <c r="A302" s="8" t="str">
        <f>E302</f>
        <v>РЩ1-7 (АВР-Б-40-2-1)</v>
      </c>
      <c r="B302" s="4"/>
      <c r="C302" s="4"/>
      <c r="D302" s="5"/>
      <c r="E302" s="4" t="s">
        <v>139</v>
      </c>
      <c r="F302" s="6"/>
      <c r="G302" s="6"/>
      <c r="H302" s="7"/>
      <c r="I302" s="8">
        <v>1</v>
      </c>
      <c r="J302" s="9" t="s">
        <v>9</v>
      </c>
      <c r="K302" s="4" t="s">
        <v>10</v>
      </c>
      <c r="L302" s="8" t="s">
        <v>77</v>
      </c>
      <c r="M302" s="7"/>
    </row>
    <row r="303" spans="1:14" ht="21" customHeight="1" x14ac:dyDescent="0.25">
      <c r="A303" s="13" t="str">
        <f t="shared" ref="A303:A313" si="93">A302</f>
        <v>РЩ1-7 (АВР-Б-40-2-1)</v>
      </c>
      <c r="B303" s="10" t="s">
        <v>11</v>
      </c>
      <c r="C303" s="10"/>
      <c r="D303" s="11" t="s">
        <v>168</v>
      </c>
      <c r="E303" s="10" t="s">
        <v>169</v>
      </c>
      <c r="F303" s="10">
        <v>130000</v>
      </c>
      <c r="G303" s="12">
        <f>0.6*F303</f>
        <v>78000</v>
      </c>
      <c r="H303" s="12">
        <f t="shared" ref="H303:H308" si="94">G303*I303</f>
        <v>78000</v>
      </c>
      <c r="I303" s="13">
        <v>1</v>
      </c>
      <c r="J303" s="14" t="s">
        <v>12</v>
      </c>
      <c r="K303" s="10" t="s">
        <v>13</v>
      </c>
      <c r="L303" s="13" t="str">
        <f t="shared" ref="L303:L313" si="95">L302</f>
        <v>Блок7</v>
      </c>
      <c r="M303" s="12">
        <v>78000</v>
      </c>
      <c r="N303">
        <v>78000</v>
      </c>
    </row>
    <row r="304" spans="1:14" ht="21" customHeight="1" x14ac:dyDescent="0.25">
      <c r="A304" s="13" t="str">
        <f t="shared" si="93"/>
        <v>РЩ1-7 (АВР-Б-40-2-1)</v>
      </c>
      <c r="B304" s="10" t="s">
        <v>44</v>
      </c>
      <c r="C304" s="10"/>
      <c r="D304" s="11" t="s">
        <v>162</v>
      </c>
      <c r="E304" s="10" t="s">
        <v>163</v>
      </c>
      <c r="F304" s="10">
        <v>114758</v>
      </c>
      <c r="G304" s="12">
        <f>F304*0.55</f>
        <v>63116.900000000009</v>
      </c>
      <c r="H304" s="12">
        <f t="shared" si="94"/>
        <v>63116.900000000009</v>
      </c>
      <c r="I304" s="13">
        <v>1</v>
      </c>
      <c r="J304" s="14" t="s">
        <v>12</v>
      </c>
      <c r="K304" s="10" t="s">
        <v>14</v>
      </c>
      <c r="L304" s="13" t="str">
        <f t="shared" si="95"/>
        <v>Блок7</v>
      </c>
      <c r="M304" s="12">
        <v>63116.900000000009</v>
      </c>
      <c r="N304">
        <v>63116.900000000009</v>
      </c>
    </row>
    <row r="305" spans="1:14" ht="21" customHeight="1" x14ac:dyDescent="0.25">
      <c r="A305" s="13" t="str">
        <f t="shared" si="93"/>
        <v>РЩ1-7 (АВР-Б-40-2-1)</v>
      </c>
      <c r="B305" s="10" t="s">
        <v>27</v>
      </c>
      <c r="C305" s="10"/>
      <c r="D305" s="11">
        <v>126505</v>
      </c>
      <c r="E305" s="10" t="s">
        <v>45</v>
      </c>
      <c r="F305" s="10">
        <v>15740</v>
      </c>
      <c r="G305" s="12">
        <f>F305*0.55</f>
        <v>8657</v>
      </c>
      <c r="H305" s="12">
        <f t="shared" si="94"/>
        <v>17314</v>
      </c>
      <c r="I305" s="13">
        <v>2</v>
      </c>
      <c r="J305" s="14" t="s">
        <v>12</v>
      </c>
      <c r="K305" s="10" t="s">
        <v>28</v>
      </c>
      <c r="L305" s="13" t="str">
        <f t="shared" si="95"/>
        <v>Блок7</v>
      </c>
      <c r="M305" s="12">
        <v>17314</v>
      </c>
      <c r="N305">
        <v>17314</v>
      </c>
    </row>
    <row r="306" spans="1:14" ht="21" customHeight="1" x14ac:dyDescent="0.25">
      <c r="A306" s="13" t="str">
        <f t="shared" si="93"/>
        <v>РЩ1-7 (АВР-Б-40-2-1)</v>
      </c>
      <c r="B306" s="10" t="s">
        <v>27</v>
      </c>
      <c r="C306" s="10"/>
      <c r="D306" s="11">
        <v>126677</v>
      </c>
      <c r="E306" s="10" t="s">
        <v>43</v>
      </c>
      <c r="F306" s="10">
        <v>14742</v>
      </c>
      <c r="G306" s="12">
        <f>F306*0.55</f>
        <v>8108.1</v>
      </c>
      <c r="H306" s="12">
        <f t="shared" si="94"/>
        <v>24324.300000000003</v>
      </c>
      <c r="I306" s="13">
        <v>3</v>
      </c>
      <c r="J306" s="14" t="s">
        <v>12</v>
      </c>
      <c r="K306" s="10" t="s">
        <v>28</v>
      </c>
      <c r="L306" s="13" t="str">
        <f t="shared" si="95"/>
        <v>Блок7</v>
      </c>
      <c r="M306" s="12">
        <v>24324.300000000003</v>
      </c>
      <c r="N306">
        <v>24324.300000000003</v>
      </c>
    </row>
    <row r="307" spans="1:14" ht="21" customHeight="1" x14ac:dyDescent="0.25">
      <c r="A307" s="13" t="str">
        <f t="shared" si="93"/>
        <v>РЩ1-7 (АВР-Б-40-2-1)</v>
      </c>
      <c r="B307" s="10" t="s">
        <v>17</v>
      </c>
      <c r="C307" s="10"/>
      <c r="D307" s="11">
        <v>814174</v>
      </c>
      <c r="E307" s="10" t="s">
        <v>46</v>
      </c>
      <c r="F307" s="10">
        <v>4823</v>
      </c>
      <c r="G307" s="12">
        <f>F307*0.55</f>
        <v>2652.65</v>
      </c>
      <c r="H307" s="12">
        <f t="shared" si="94"/>
        <v>5305.3</v>
      </c>
      <c r="I307" s="13">
        <v>2</v>
      </c>
      <c r="J307" s="14" t="s">
        <v>12</v>
      </c>
      <c r="K307" s="10" t="s">
        <v>28</v>
      </c>
      <c r="L307" s="13" t="str">
        <f t="shared" si="95"/>
        <v>Блок7</v>
      </c>
      <c r="M307" s="12">
        <v>5305.3</v>
      </c>
      <c r="N307">
        <v>5305.3</v>
      </c>
    </row>
    <row r="308" spans="1:14" ht="21" customHeight="1" x14ac:dyDescent="0.25">
      <c r="A308" s="13" t="str">
        <f t="shared" si="93"/>
        <v>РЩ1-7 (АВР-Б-40-2-1)</v>
      </c>
      <c r="B308" s="10" t="s">
        <v>17</v>
      </c>
      <c r="C308" s="10"/>
      <c r="D308" s="11">
        <v>814167</v>
      </c>
      <c r="E308" s="10" t="s">
        <v>48</v>
      </c>
      <c r="F308" s="10">
        <v>5187</v>
      </c>
      <c r="G308" s="12">
        <f>F308*0.55</f>
        <v>2852.8500000000004</v>
      </c>
      <c r="H308" s="12">
        <f t="shared" si="94"/>
        <v>2852.8500000000004</v>
      </c>
      <c r="I308" s="13">
        <v>1</v>
      </c>
      <c r="J308" s="14" t="s">
        <v>12</v>
      </c>
      <c r="K308" s="10" t="s">
        <v>28</v>
      </c>
      <c r="L308" s="13" t="str">
        <f t="shared" si="95"/>
        <v>Блок7</v>
      </c>
      <c r="M308" s="12">
        <v>2852.8500000000004</v>
      </c>
      <c r="N308">
        <v>2852.8500000000004</v>
      </c>
    </row>
    <row r="309" spans="1:14" ht="21" customHeight="1" x14ac:dyDescent="0.25">
      <c r="A309" s="13" t="str">
        <f t="shared" si="93"/>
        <v>РЩ1-7 (АВР-Б-40-2-1)</v>
      </c>
      <c r="B309" s="10" t="s">
        <v>15</v>
      </c>
      <c r="C309" s="10"/>
      <c r="D309" s="11" t="s">
        <v>179</v>
      </c>
      <c r="E309" s="10" t="s">
        <v>180</v>
      </c>
      <c r="F309" s="10">
        <v>83000</v>
      </c>
      <c r="G309" s="12">
        <f>F309</f>
        <v>83000</v>
      </c>
      <c r="H309" s="12">
        <v>39100</v>
      </c>
      <c r="I309" s="13">
        <v>1</v>
      </c>
      <c r="J309" s="14" t="s">
        <v>12</v>
      </c>
      <c r="K309" s="10" t="s">
        <v>16</v>
      </c>
      <c r="L309" s="13" t="str">
        <f t="shared" si="95"/>
        <v>Блок7</v>
      </c>
      <c r="M309" s="12">
        <v>39100</v>
      </c>
      <c r="N309">
        <v>39100</v>
      </c>
    </row>
    <row r="310" spans="1:14" ht="21" customHeight="1" x14ac:dyDescent="0.25">
      <c r="A310" s="13" t="str">
        <f t="shared" si="93"/>
        <v>РЩ1-7 (АВР-Б-40-2-1)</v>
      </c>
      <c r="B310" s="10" t="s">
        <v>30</v>
      </c>
      <c r="C310" s="10"/>
      <c r="D310" s="11"/>
      <c r="E310" s="10" t="s">
        <v>31</v>
      </c>
      <c r="F310" s="10">
        <v>4500</v>
      </c>
      <c r="G310" s="12">
        <f t="shared" ref="G310:G313" si="96">F310*0.55</f>
        <v>2475</v>
      </c>
      <c r="H310" s="12">
        <f>G310*I310</f>
        <v>14850</v>
      </c>
      <c r="I310" s="13">
        <v>6</v>
      </c>
      <c r="J310" s="14" t="s">
        <v>12</v>
      </c>
      <c r="K310" s="10" t="s">
        <v>25</v>
      </c>
      <c r="L310" s="13" t="e">
        <f>#REF!</f>
        <v>#REF!</v>
      </c>
      <c r="M310" s="12">
        <v>14850</v>
      </c>
      <c r="N310">
        <v>14850</v>
      </c>
    </row>
    <row r="311" spans="1:14" ht="24" customHeight="1" x14ac:dyDescent="0.25">
      <c r="A311" s="10" t="str">
        <f t="shared" si="93"/>
        <v>РЩ1-7 (АВР-Б-40-2-1)</v>
      </c>
      <c r="B311" s="10" t="s">
        <v>19</v>
      </c>
      <c r="C311" s="10"/>
      <c r="D311" s="11" t="s">
        <v>19</v>
      </c>
      <c r="E311" s="10" t="s">
        <v>19</v>
      </c>
      <c r="F311" s="10">
        <f ca="1">OFFSET(F311,1,2)</f>
        <v>39000</v>
      </c>
      <c r="G311" s="12">
        <f ca="1">F311*0.55</f>
        <v>21450</v>
      </c>
      <c r="H311" s="12">
        <f ca="1">G311*I311</f>
        <v>21450</v>
      </c>
      <c r="I311" s="10">
        <v>1</v>
      </c>
      <c r="J311" s="10" t="s">
        <v>12</v>
      </c>
      <c r="K311" s="10" t="s">
        <v>19</v>
      </c>
      <c r="L311" s="13" t="e">
        <f t="shared" si="95"/>
        <v>#REF!</v>
      </c>
      <c r="M311" s="12">
        <v>21450</v>
      </c>
      <c r="N311">
        <v>21450</v>
      </c>
    </row>
    <row r="312" spans="1:14" ht="21" customHeight="1" x14ac:dyDescent="0.25">
      <c r="A312" s="10" t="str">
        <f t="shared" si="93"/>
        <v>РЩ1-7 (АВР-Б-40-2-1)</v>
      </c>
      <c r="B312" s="10" t="s">
        <v>20</v>
      </c>
      <c r="C312" s="10"/>
      <c r="D312" s="11" t="s">
        <v>20</v>
      </c>
      <c r="E312" s="10" t="s">
        <v>20</v>
      </c>
      <c r="F312" s="10">
        <v>6.5</v>
      </c>
      <c r="G312" s="12">
        <v>100</v>
      </c>
      <c r="H312" s="12">
        <f>G312*I312</f>
        <v>39000</v>
      </c>
      <c r="I312" s="10">
        <f>60*F312</f>
        <v>390</v>
      </c>
      <c r="J312" s="10" t="s">
        <v>12</v>
      </c>
      <c r="K312" s="10" t="s">
        <v>20</v>
      </c>
      <c r="L312" s="13" t="e">
        <f t="shared" si="95"/>
        <v>#REF!</v>
      </c>
      <c r="M312" s="12">
        <v>39000</v>
      </c>
      <c r="N312">
        <v>39000</v>
      </c>
    </row>
    <row r="313" spans="1:14" ht="30" customHeight="1" x14ac:dyDescent="0.25">
      <c r="A313" s="15" t="str">
        <f t="shared" si="93"/>
        <v>РЩ1-7 (АВР-Б-40-2-1)</v>
      </c>
      <c r="B313" s="15"/>
      <c r="C313" s="15"/>
      <c r="D313" s="15"/>
      <c r="E313" s="16"/>
      <c r="F313" s="17"/>
      <c r="G313" s="12">
        <f t="shared" si="96"/>
        <v>0</v>
      </c>
      <c r="H313" s="18">
        <f ca="1">SUM(H303:H312)</f>
        <v>305313.34999999998</v>
      </c>
      <c r="I313" s="15"/>
      <c r="J313" s="19"/>
      <c r="K313" s="15"/>
      <c r="L313" s="13" t="e">
        <f t="shared" si="95"/>
        <v>#REF!</v>
      </c>
      <c r="M313" s="18">
        <v>305313.34999999998</v>
      </c>
      <c r="N313">
        <v>305313.34999999998</v>
      </c>
    </row>
    <row r="314" spans="1:14" ht="39.75" customHeight="1" x14ac:dyDescent="0.25">
      <c r="A314" s="8" t="str">
        <f>E314</f>
        <v>ВРУ1-8</v>
      </c>
      <c r="B314" s="4"/>
      <c r="C314" s="4"/>
      <c r="D314" s="5"/>
      <c r="E314" s="4" t="s">
        <v>80</v>
      </c>
      <c r="F314" s="6"/>
      <c r="G314" s="6"/>
      <c r="H314" s="7"/>
      <c r="I314" s="8">
        <v>1</v>
      </c>
      <c r="J314" s="9" t="s">
        <v>9</v>
      </c>
      <c r="K314" s="4" t="s">
        <v>10</v>
      </c>
      <c r="L314" s="8" t="s">
        <v>81</v>
      </c>
      <c r="M314" s="7"/>
    </row>
    <row r="315" spans="1:14" ht="21" customHeight="1" x14ac:dyDescent="0.25">
      <c r="A315" s="13" t="str">
        <f t="shared" ref="A315:A325" si="97">A314</f>
        <v>ВРУ1-8</v>
      </c>
      <c r="B315" s="10" t="s">
        <v>11</v>
      </c>
      <c r="C315" s="10"/>
      <c r="D315" s="11" t="s">
        <v>172</v>
      </c>
      <c r="E315" s="10" t="s">
        <v>173</v>
      </c>
      <c r="F315" s="10">
        <v>156500</v>
      </c>
      <c r="G315" s="12">
        <f>0.6*F315</f>
        <v>93900</v>
      </c>
      <c r="H315" s="12">
        <f>G315*I315</f>
        <v>93900</v>
      </c>
      <c r="I315" s="13">
        <v>1</v>
      </c>
      <c r="J315" s="14" t="s">
        <v>12</v>
      </c>
      <c r="K315" s="10" t="s">
        <v>13</v>
      </c>
      <c r="L315" s="13" t="str">
        <f t="shared" ref="L315:L325" si="98">L314</f>
        <v>Блок8</v>
      </c>
      <c r="M315" s="12">
        <v>93900</v>
      </c>
      <c r="N315">
        <v>93900</v>
      </c>
    </row>
    <row r="316" spans="1:14" ht="21" customHeight="1" x14ac:dyDescent="0.25">
      <c r="A316" s="13" t="str">
        <f t="shared" si="97"/>
        <v>ВРУ1-8</v>
      </c>
      <c r="B316" s="10" t="s">
        <v>23</v>
      </c>
      <c r="C316" s="10"/>
      <c r="D316" s="11"/>
      <c r="E316" s="10" t="s">
        <v>24</v>
      </c>
      <c r="F316" s="10">
        <v>4701</v>
      </c>
      <c r="G316" s="12">
        <v>4701</v>
      </c>
      <c r="H316" s="12">
        <v>28206</v>
      </c>
      <c r="I316" s="13">
        <v>6</v>
      </c>
      <c r="J316" s="14" t="s">
        <v>12</v>
      </c>
      <c r="K316" s="10" t="s">
        <v>25</v>
      </c>
      <c r="L316" s="13" t="str">
        <f t="shared" si="98"/>
        <v>Блок8</v>
      </c>
      <c r="M316" s="12">
        <v>28206</v>
      </c>
      <c r="N316">
        <v>28206</v>
      </c>
    </row>
    <row r="317" spans="1:14" ht="21" customHeight="1" x14ac:dyDescent="0.25">
      <c r="A317" s="13" t="str">
        <f t="shared" si="97"/>
        <v>ВРУ1-8</v>
      </c>
      <c r="B317" s="10" t="s">
        <v>26</v>
      </c>
      <c r="C317" s="10"/>
      <c r="D317" s="11" t="s">
        <v>177</v>
      </c>
      <c r="E317" s="10" t="s">
        <v>178</v>
      </c>
      <c r="F317" s="10">
        <v>25500</v>
      </c>
      <c r="G317" s="12">
        <f>F317*0.55</f>
        <v>14025.000000000002</v>
      </c>
      <c r="H317" s="12">
        <f>G317*I317</f>
        <v>28050.000000000004</v>
      </c>
      <c r="I317" s="13">
        <v>2</v>
      </c>
      <c r="J317" s="14" t="s">
        <v>12</v>
      </c>
      <c r="K317" s="10" t="s">
        <v>25</v>
      </c>
      <c r="L317" s="13" t="str">
        <f t="shared" si="98"/>
        <v>Блок8</v>
      </c>
      <c r="M317" s="12">
        <v>28050.000000000004</v>
      </c>
      <c r="N317">
        <v>28050.000000000004</v>
      </c>
    </row>
    <row r="318" spans="1:14" ht="21" customHeight="1" x14ac:dyDescent="0.25">
      <c r="A318" s="13" t="str">
        <f t="shared" si="97"/>
        <v>ВРУ1-8</v>
      </c>
      <c r="B318" s="10" t="s">
        <v>127</v>
      </c>
      <c r="C318" s="10"/>
      <c r="D318" s="11" t="s">
        <v>130</v>
      </c>
      <c r="E318" s="10" t="s">
        <v>131</v>
      </c>
      <c r="F318" s="10">
        <v>4750</v>
      </c>
      <c r="G318" s="12">
        <f>F318*0.55</f>
        <v>2612.5</v>
      </c>
      <c r="H318" s="12">
        <f>G318*I318</f>
        <v>5225</v>
      </c>
      <c r="I318" s="13">
        <v>2</v>
      </c>
      <c r="J318" s="14" t="s">
        <v>12</v>
      </c>
      <c r="K318" s="10" t="s">
        <v>14</v>
      </c>
      <c r="L318" s="13" t="str">
        <f t="shared" si="98"/>
        <v>Блок8</v>
      </c>
      <c r="M318" s="12">
        <v>5225</v>
      </c>
      <c r="N318">
        <v>5225</v>
      </c>
    </row>
    <row r="319" spans="1:14" ht="21" customHeight="1" x14ac:dyDescent="0.25">
      <c r="A319" s="13" t="str">
        <f t="shared" si="97"/>
        <v>ВРУ1-8</v>
      </c>
      <c r="B319" s="10" t="s">
        <v>126</v>
      </c>
      <c r="C319" s="10"/>
      <c r="D319" s="11" t="s">
        <v>128</v>
      </c>
      <c r="E319" s="10" t="s">
        <v>129</v>
      </c>
      <c r="F319" s="10">
        <v>3317</v>
      </c>
      <c r="G319" s="12">
        <f>F319*0.55</f>
        <v>1824.3500000000001</v>
      </c>
      <c r="H319" s="12">
        <f>G319*I319</f>
        <v>3648.7000000000003</v>
      </c>
      <c r="I319" s="13">
        <v>2</v>
      </c>
      <c r="J319" s="14" t="s">
        <v>12</v>
      </c>
      <c r="K319" s="10" t="s">
        <v>14</v>
      </c>
      <c r="L319" s="13" t="str">
        <f t="shared" si="98"/>
        <v>Блок8</v>
      </c>
      <c r="M319" s="12">
        <v>3648.7000000000003</v>
      </c>
      <c r="N319">
        <v>3648.7000000000003</v>
      </c>
    </row>
    <row r="320" spans="1:14" ht="21" customHeight="1" x14ac:dyDescent="0.25">
      <c r="A320" s="13" t="str">
        <f t="shared" si="97"/>
        <v>ВРУ1-8</v>
      </c>
      <c r="B320" s="10" t="s">
        <v>17</v>
      </c>
      <c r="C320" s="10"/>
      <c r="D320" s="11">
        <v>296708</v>
      </c>
      <c r="E320" s="10" t="s">
        <v>29</v>
      </c>
      <c r="F320" s="10">
        <v>828</v>
      </c>
      <c r="G320" s="12">
        <f>F320*0.55</f>
        <v>455.40000000000003</v>
      </c>
      <c r="H320" s="12">
        <f>G320*I320</f>
        <v>910.80000000000007</v>
      </c>
      <c r="I320" s="13">
        <v>2</v>
      </c>
      <c r="J320" s="14" t="s">
        <v>12</v>
      </c>
      <c r="K320" s="10" t="s">
        <v>28</v>
      </c>
      <c r="L320" s="13" t="str">
        <f t="shared" si="98"/>
        <v>Блок8</v>
      </c>
      <c r="M320" s="12">
        <v>910.80000000000007</v>
      </c>
      <c r="N320">
        <v>910.80000000000007</v>
      </c>
    </row>
    <row r="321" spans="1:14" ht="21" customHeight="1" x14ac:dyDescent="0.25">
      <c r="A321" s="13" t="str">
        <f t="shared" si="97"/>
        <v>ВРУ1-8</v>
      </c>
      <c r="B321" s="10" t="s">
        <v>15</v>
      </c>
      <c r="C321" s="10"/>
      <c r="D321" s="11" t="s">
        <v>179</v>
      </c>
      <c r="E321" s="10" t="s">
        <v>180</v>
      </c>
      <c r="F321" s="10">
        <v>83000</v>
      </c>
      <c r="G321" s="12">
        <f>F321</f>
        <v>83000</v>
      </c>
      <c r="H321" s="12">
        <v>78200</v>
      </c>
      <c r="I321" s="13">
        <v>2</v>
      </c>
      <c r="J321" s="14" t="s">
        <v>12</v>
      </c>
      <c r="K321" s="10" t="s">
        <v>16</v>
      </c>
      <c r="L321" s="13" t="str">
        <f t="shared" si="98"/>
        <v>Блок8</v>
      </c>
      <c r="M321" s="12">
        <v>78200</v>
      </c>
      <c r="N321">
        <v>78200</v>
      </c>
    </row>
    <row r="322" spans="1:14" ht="21" customHeight="1" x14ac:dyDescent="0.25">
      <c r="A322" s="13" t="str">
        <f t="shared" si="97"/>
        <v>ВРУ1-8</v>
      </c>
      <c r="B322" s="10" t="s">
        <v>30</v>
      </c>
      <c r="C322" s="10"/>
      <c r="D322" s="11"/>
      <c r="E322" s="10" t="s">
        <v>31</v>
      </c>
      <c r="F322" s="10">
        <v>4500</v>
      </c>
      <c r="G322" s="12">
        <f>F322*0.55</f>
        <v>2475</v>
      </c>
      <c r="H322" s="12">
        <f>G322*I322</f>
        <v>14850</v>
      </c>
      <c r="I322" s="13">
        <v>6</v>
      </c>
      <c r="J322" s="14" t="s">
        <v>12</v>
      </c>
      <c r="K322" s="10" t="s">
        <v>25</v>
      </c>
      <c r="L322" s="13" t="str">
        <f t="shared" si="98"/>
        <v>Блок8</v>
      </c>
      <c r="M322" s="12">
        <v>14850</v>
      </c>
      <c r="N322">
        <v>14850</v>
      </c>
    </row>
    <row r="323" spans="1:14" ht="24" customHeight="1" x14ac:dyDescent="0.25">
      <c r="A323" s="10" t="str">
        <f t="shared" si="97"/>
        <v>ВРУ1-8</v>
      </c>
      <c r="B323" s="10" t="s">
        <v>19</v>
      </c>
      <c r="C323" s="10"/>
      <c r="D323" s="11" t="s">
        <v>19</v>
      </c>
      <c r="E323" s="10" t="s">
        <v>19</v>
      </c>
      <c r="F323" s="10">
        <f ca="1">OFFSET(F323,1,2)</f>
        <v>48000</v>
      </c>
      <c r="G323" s="12">
        <f ca="1">F323*0.55</f>
        <v>26400.000000000004</v>
      </c>
      <c r="H323" s="12">
        <f ca="1">G323*I323</f>
        <v>26400.000000000004</v>
      </c>
      <c r="I323" s="10">
        <v>1</v>
      </c>
      <c r="J323" s="10" t="s">
        <v>12</v>
      </c>
      <c r="K323" s="10" t="s">
        <v>19</v>
      </c>
      <c r="L323" s="13" t="str">
        <f t="shared" si="98"/>
        <v>Блок8</v>
      </c>
      <c r="M323" s="12">
        <v>26400.000000000004</v>
      </c>
      <c r="N323">
        <v>26400.000000000004</v>
      </c>
    </row>
    <row r="324" spans="1:14" ht="21" customHeight="1" x14ac:dyDescent="0.25">
      <c r="A324" s="10" t="str">
        <f t="shared" si="97"/>
        <v>ВРУ1-8</v>
      </c>
      <c r="B324" s="10" t="s">
        <v>20</v>
      </c>
      <c r="C324" s="10"/>
      <c r="D324" s="11" t="s">
        <v>20</v>
      </c>
      <c r="E324" s="10" t="s">
        <v>20</v>
      </c>
      <c r="F324" s="10">
        <v>8</v>
      </c>
      <c r="G324" s="12">
        <v>100</v>
      </c>
      <c r="H324" s="12">
        <f>G324*I324</f>
        <v>48000</v>
      </c>
      <c r="I324" s="10">
        <f>60*F324</f>
        <v>480</v>
      </c>
      <c r="J324" s="10" t="s">
        <v>12</v>
      </c>
      <c r="K324" s="10" t="s">
        <v>20</v>
      </c>
      <c r="L324" s="13" t="str">
        <f t="shared" si="98"/>
        <v>Блок8</v>
      </c>
      <c r="M324" s="12">
        <v>48000</v>
      </c>
      <c r="N324">
        <v>48000</v>
      </c>
    </row>
    <row r="325" spans="1:14" ht="30" customHeight="1" x14ac:dyDescent="0.25">
      <c r="A325" s="15" t="str">
        <f t="shared" si="97"/>
        <v>ВРУ1-8</v>
      </c>
      <c r="B325" s="15"/>
      <c r="C325" s="15"/>
      <c r="D325" s="15"/>
      <c r="E325" s="16"/>
      <c r="F325" s="17"/>
      <c r="G325" s="12">
        <f>F325*0.55</f>
        <v>0</v>
      </c>
      <c r="H325" s="18">
        <f ca="1">SUM(H315:H324)</f>
        <v>327390.5</v>
      </c>
      <c r="I325" s="15"/>
      <c r="J325" s="19"/>
      <c r="K325" s="15"/>
      <c r="L325" s="13" t="str">
        <f t="shared" si="98"/>
        <v>Блок8</v>
      </c>
      <c r="M325" s="18">
        <v>327390.5</v>
      </c>
      <c r="N325">
        <v>327390.5</v>
      </c>
    </row>
    <row r="326" spans="1:14" ht="39.75" customHeight="1" x14ac:dyDescent="0.25">
      <c r="A326" s="8" t="str">
        <f>E326</f>
        <v>РУ-1-8</v>
      </c>
      <c r="B326" s="4"/>
      <c r="C326" s="4"/>
      <c r="D326" s="5"/>
      <c r="E326" s="4" t="s">
        <v>82</v>
      </c>
      <c r="F326" s="6"/>
      <c r="G326" s="6"/>
      <c r="H326" s="7"/>
      <c r="I326" s="8">
        <v>1</v>
      </c>
      <c r="J326" s="9" t="s">
        <v>9</v>
      </c>
      <c r="K326" s="4" t="s">
        <v>10</v>
      </c>
      <c r="L326" s="8" t="s">
        <v>81</v>
      </c>
      <c r="M326" s="7"/>
    </row>
    <row r="327" spans="1:14" ht="21" customHeight="1" x14ac:dyDescent="0.25">
      <c r="A327" s="13" t="str">
        <f t="shared" ref="A327:A333" si="99">A326</f>
        <v>РУ-1-8</v>
      </c>
      <c r="B327" s="10" t="s">
        <v>11</v>
      </c>
      <c r="C327" s="10"/>
      <c r="D327" s="11" t="s">
        <v>170</v>
      </c>
      <c r="E327" s="10" t="s">
        <v>171</v>
      </c>
      <c r="F327" s="10">
        <v>145000</v>
      </c>
      <c r="G327" s="12">
        <f>0.6*F327</f>
        <v>87000</v>
      </c>
      <c r="H327" s="12">
        <f t="shared" ref="H327:H332" si="100">G327*I327</f>
        <v>87000</v>
      </c>
      <c r="I327" s="13">
        <v>1</v>
      </c>
      <c r="J327" s="14" t="s">
        <v>12</v>
      </c>
      <c r="K327" s="10" t="s">
        <v>13</v>
      </c>
      <c r="L327" s="13" t="str">
        <f t="shared" ref="L327:L333" si="101">L326</f>
        <v>Блок8</v>
      </c>
      <c r="M327" s="12">
        <v>87000</v>
      </c>
      <c r="N327">
        <v>87000</v>
      </c>
    </row>
    <row r="328" spans="1:14" ht="21" customHeight="1" x14ac:dyDescent="0.25">
      <c r="A328" s="13" t="str">
        <f t="shared" si="99"/>
        <v>РУ-1-8</v>
      </c>
      <c r="B328" s="10" t="s">
        <v>27</v>
      </c>
      <c r="C328" s="10"/>
      <c r="D328" s="11">
        <v>126583</v>
      </c>
      <c r="E328" s="10" t="s">
        <v>33</v>
      </c>
      <c r="F328" s="10">
        <v>28665</v>
      </c>
      <c r="G328" s="12">
        <f t="shared" ref="G328:G333" si="102">F328*0.55</f>
        <v>15765.750000000002</v>
      </c>
      <c r="H328" s="12">
        <f t="shared" si="100"/>
        <v>63063.000000000007</v>
      </c>
      <c r="I328" s="13">
        <v>4</v>
      </c>
      <c r="J328" s="14" t="s">
        <v>12</v>
      </c>
      <c r="K328" s="10" t="s">
        <v>28</v>
      </c>
      <c r="L328" s="13" t="str">
        <f t="shared" si="101"/>
        <v>Блок8</v>
      </c>
      <c r="M328" s="12">
        <v>63063.000000000007</v>
      </c>
      <c r="N328">
        <v>63063.000000000007</v>
      </c>
    </row>
    <row r="329" spans="1:14" ht="21" customHeight="1" x14ac:dyDescent="0.25">
      <c r="A329" s="13" t="str">
        <f t="shared" si="99"/>
        <v>РУ-1-8</v>
      </c>
      <c r="B329" s="10" t="s">
        <v>27</v>
      </c>
      <c r="C329" s="10"/>
      <c r="D329" s="11">
        <v>126586</v>
      </c>
      <c r="E329" s="10" t="s">
        <v>68</v>
      </c>
      <c r="F329" s="10">
        <v>29484</v>
      </c>
      <c r="G329" s="12">
        <f t="shared" si="102"/>
        <v>16216.2</v>
      </c>
      <c r="H329" s="12">
        <f t="shared" si="100"/>
        <v>16216.2</v>
      </c>
      <c r="I329" s="13">
        <v>1</v>
      </c>
      <c r="J329" s="14" t="s">
        <v>12</v>
      </c>
      <c r="K329" s="10" t="s">
        <v>28</v>
      </c>
      <c r="L329" s="13" t="str">
        <f t="shared" si="101"/>
        <v>Блок8</v>
      </c>
      <c r="M329" s="12">
        <v>16216.2</v>
      </c>
      <c r="N329">
        <v>16216.2</v>
      </c>
    </row>
    <row r="330" spans="1:14" ht="21" customHeight="1" x14ac:dyDescent="0.25">
      <c r="A330" s="13" t="str">
        <f t="shared" si="99"/>
        <v>РУ-1-8</v>
      </c>
      <c r="B330" s="10" t="s">
        <v>27</v>
      </c>
      <c r="C330" s="10"/>
      <c r="D330" s="11">
        <v>126507</v>
      </c>
      <c r="E330" s="10" t="s">
        <v>35</v>
      </c>
      <c r="F330" s="10">
        <v>17108</v>
      </c>
      <c r="G330" s="12">
        <f t="shared" si="102"/>
        <v>9409.4000000000015</v>
      </c>
      <c r="H330" s="12">
        <f t="shared" si="100"/>
        <v>18818.800000000003</v>
      </c>
      <c r="I330" s="13">
        <v>2</v>
      </c>
      <c r="J330" s="14" t="s">
        <v>12</v>
      </c>
      <c r="K330" s="10" t="s">
        <v>28</v>
      </c>
      <c r="L330" s="13" t="str">
        <f t="shared" si="101"/>
        <v>Блок8</v>
      </c>
      <c r="M330" s="12">
        <v>18818.800000000003</v>
      </c>
      <c r="N330">
        <v>18818.800000000003</v>
      </c>
    </row>
    <row r="331" spans="1:14" ht="24" customHeight="1" x14ac:dyDescent="0.25">
      <c r="A331" s="10" t="str">
        <f t="shared" si="99"/>
        <v>РУ-1-8</v>
      </c>
      <c r="B331" s="10" t="s">
        <v>19</v>
      </c>
      <c r="C331" s="10"/>
      <c r="D331" s="11" t="s">
        <v>19</v>
      </c>
      <c r="E331" s="10" t="s">
        <v>19</v>
      </c>
      <c r="F331" s="10">
        <f ca="1">OFFSET(F331,1,2)</f>
        <v>27000</v>
      </c>
      <c r="G331" s="12">
        <f ca="1">F331*0.55</f>
        <v>14850.000000000002</v>
      </c>
      <c r="H331" s="12">
        <f ca="1">G331*I331</f>
        <v>14850.000000000002</v>
      </c>
      <c r="I331" s="10">
        <v>1</v>
      </c>
      <c r="J331" s="10" t="s">
        <v>12</v>
      </c>
      <c r="K331" s="10" t="s">
        <v>19</v>
      </c>
      <c r="L331" s="13" t="str">
        <f t="shared" si="101"/>
        <v>Блок8</v>
      </c>
      <c r="M331" s="12">
        <v>14850.000000000002</v>
      </c>
      <c r="N331">
        <v>14850.000000000002</v>
      </c>
    </row>
    <row r="332" spans="1:14" ht="21" customHeight="1" x14ac:dyDescent="0.25">
      <c r="A332" s="10" t="str">
        <f t="shared" si="99"/>
        <v>РУ-1-8</v>
      </c>
      <c r="B332" s="10" t="s">
        <v>20</v>
      </c>
      <c r="C332" s="10"/>
      <c r="D332" s="11" t="s">
        <v>20</v>
      </c>
      <c r="E332" s="10" t="s">
        <v>20</v>
      </c>
      <c r="F332" s="10">
        <v>4.5</v>
      </c>
      <c r="G332" s="12">
        <v>100</v>
      </c>
      <c r="H332" s="12">
        <f t="shared" si="100"/>
        <v>27000</v>
      </c>
      <c r="I332" s="10">
        <f>60*F332</f>
        <v>270</v>
      </c>
      <c r="J332" s="10" t="s">
        <v>12</v>
      </c>
      <c r="K332" s="10" t="s">
        <v>20</v>
      </c>
      <c r="L332" s="13" t="str">
        <f t="shared" si="101"/>
        <v>Блок8</v>
      </c>
      <c r="M332" s="12">
        <v>27000</v>
      </c>
      <c r="N332">
        <v>27000</v>
      </c>
    </row>
    <row r="333" spans="1:14" ht="30" customHeight="1" x14ac:dyDescent="0.25">
      <c r="A333" s="15" t="str">
        <f t="shared" si="99"/>
        <v>РУ-1-8</v>
      </c>
      <c r="B333" s="15"/>
      <c r="C333" s="15"/>
      <c r="D333" s="15"/>
      <c r="E333" s="16"/>
      <c r="F333" s="17"/>
      <c r="G333" s="12">
        <f t="shared" si="102"/>
        <v>0</v>
      </c>
      <c r="H333" s="18">
        <f ca="1">SUM(H327:H332)</f>
        <v>226948</v>
      </c>
      <c r="I333" s="15"/>
      <c r="J333" s="19"/>
      <c r="K333" s="15"/>
      <c r="L333" s="13" t="str">
        <f t="shared" si="101"/>
        <v>Блок8</v>
      </c>
      <c r="M333" s="18">
        <v>226948</v>
      </c>
      <c r="N333">
        <v>226948</v>
      </c>
    </row>
    <row r="334" spans="1:14" ht="39.75" customHeight="1" x14ac:dyDescent="0.25">
      <c r="A334" s="8" t="str">
        <f>E334</f>
        <v>ЩУР.МОП1-8</v>
      </c>
      <c r="B334" s="4"/>
      <c r="C334" s="4"/>
      <c r="D334" s="5"/>
      <c r="E334" s="4" t="s">
        <v>83</v>
      </c>
      <c r="F334" s="6"/>
      <c r="G334" s="6"/>
      <c r="H334" s="7"/>
      <c r="I334" s="8">
        <v>1</v>
      </c>
      <c r="J334" s="9" t="s">
        <v>9</v>
      </c>
      <c r="K334" s="4" t="s">
        <v>10</v>
      </c>
      <c r="L334" s="8" t="s">
        <v>81</v>
      </c>
      <c r="M334" s="7"/>
    </row>
    <row r="335" spans="1:14" ht="21" customHeight="1" x14ac:dyDescent="0.25">
      <c r="A335" s="13" t="str">
        <f t="shared" ref="A335:A342" si="103">A334</f>
        <v>ЩУР.МОП1-8</v>
      </c>
      <c r="B335" s="10" t="s">
        <v>11</v>
      </c>
      <c r="C335" s="10"/>
      <c r="D335" s="11" t="s">
        <v>40</v>
      </c>
      <c r="E335" s="10" t="s">
        <v>41</v>
      </c>
      <c r="F335" s="10">
        <v>18000</v>
      </c>
      <c r="G335" s="12">
        <f>0.6*F335</f>
        <v>10800</v>
      </c>
      <c r="H335" s="12">
        <f>G335*I335</f>
        <v>10800</v>
      </c>
      <c r="I335" s="13">
        <v>1</v>
      </c>
      <c r="J335" s="14" t="s">
        <v>12</v>
      </c>
      <c r="K335" s="10" t="s">
        <v>13</v>
      </c>
      <c r="L335" s="13" t="str">
        <f t="shared" ref="L335:L342" si="104">L334</f>
        <v>Блок8</v>
      </c>
      <c r="M335" s="12">
        <v>10800</v>
      </c>
      <c r="N335">
        <v>10800</v>
      </c>
    </row>
    <row r="336" spans="1:14" ht="21" customHeight="1" x14ac:dyDescent="0.25">
      <c r="A336" s="13" t="str">
        <f t="shared" si="103"/>
        <v>ЩУР.МОП1-8</v>
      </c>
      <c r="B336" s="10" t="s">
        <v>17</v>
      </c>
      <c r="C336" s="10"/>
      <c r="D336" s="11">
        <v>296830</v>
      </c>
      <c r="E336" s="10" t="s">
        <v>149</v>
      </c>
      <c r="F336" s="10">
        <v>1554</v>
      </c>
      <c r="G336" s="12">
        <f>F336*0.55</f>
        <v>854.7</v>
      </c>
      <c r="H336" s="12">
        <f>G336*I336</f>
        <v>854.7</v>
      </c>
      <c r="I336" s="13">
        <v>1</v>
      </c>
      <c r="J336" s="14" t="s">
        <v>12</v>
      </c>
      <c r="K336" s="10" t="s">
        <v>28</v>
      </c>
      <c r="L336" s="13" t="str">
        <f t="shared" si="104"/>
        <v>Блок8</v>
      </c>
      <c r="M336" s="12">
        <v>854.7</v>
      </c>
      <c r="N336">
        <v>854.7</v>
      </c>
    </row>
    <row r="337" spans="1:14" ht="21" customHeight="1" x14ac:dyDescent="0.25">
      <c r="A337" s="13" t="str">
        <f t="shared" si="103"/>
        <v>ЩУР.МОП1-8</v>
      </c>
      <c r="B337" s="10" t="s">
        <v>17</v>
      </c>
      <c r="C337" s="10"/>
      <c r="D337" s="11">
        <v>296828</v>
      </c>
      <c r="E337" s="10" t="s">
        <v>151</v>
      </c>
      <c r="F337" s="10">
        <v>1491</v>
      </c>
      <c r="G337" s="12">
        <f>F337*0.55</f>
        <v>820.05000000000007</v>
      </c>
      <c r="H337" s="12">
        <f>G337*I337</f>
        <v>820.05000000000007</v>
      </c>
      <c r="I337" s="13">
        <v>1</v>
      </c>
      <c r="J337" s="14" t="s">
        <v>12</v>
      </c>
      <c r="K337" s="10" t="s">
        <v>28</v>
      </c>
      <c r="L337" s="13" t="str">
        <f t="shared" si="104"/>
        <v>Блок8</v>
      </c>
      <c r="M337" s="12">
        <v>820.05000000000007</v>
      </c>
      <c r="N337">
        <v>820.05000000000007</v>
      </c>
    </row>
    <row r="338" spans="1:14" ht="21" customHeight="1" x14ac:dyDescent="0.25">
      <c r="A338" s="13" t="str">
        <f t="shared" si="103"/>
        <v>ЩУР.МОП1-8</v>
      </c>
      <c r="B338" s="10" t="s">
        <v>17</v>
      </c>
      <c r="C338" s="10"/>
      <c r="D338" s="11">
        <v>296829</v>
      </c>
      <c r="E338" s="10" t="s">
        <v>148</v>
      </c>
      <c r="F338" s="10">
        <v>2111</v>
      </c>
      <c r="G338" s="12">
        <f>F338*0.55</f>
        <v>1161.0500000000002</v>
      </c>
      <c r="H338" s="12">
        <f>G338*I338</f>
        <v>3483.1500000000005</v>
      </c>
      <c r="I338" s="13">
        <v>3</v>
      </c>
      <c r="J338" s="14" t="s">
        <v>12</v>
      </c>
      <c r="K338" s="10" t="s">
        <v>28</v>
      </c>
      <c r="L338" s="13" t="str">
        <f t="shared" si="104"/>
        <v>Блок8</v>
      </c>
      <c r="M338" s="12">
        <v>3483.1500000000005</v>
      </c>
      <c r="N338">
        <v>3483.1500000000005</v>
      </c>
    </row>
    <row r="339" spans="1:14" ht="21" customHeight="1" x14ac:dyDescent="0.25">
      <c r="A339" s="13" t="str">
        <f t="shared" si="103"/>
        <v>ЩУР.МОП1-8</v>
      </c>
      <c r="B339" s="10" t="s">
        <v>15</v>
      </c>
      <c r="C339" s="10"/>
      <c r="D339" s="11" t="s">
        <v>179</v>
      </c>
      <c r="E339" s="10" t="s">
        <v>180</v>
      </c>
      <c r="F339" s="10">
        <v>83000</v>
      </c>
      <c r="G339" s="12">
        <f>F339</f>
        <v>83000</v>
      </c>
      <c r="H339" s="12">
        <v>39100</v>
      </c>
      <c r="I339" s="13">
        <v>1</v>
      </c>
      <c r="J339" s="14" t="s">
        <v>12</v>
      </c>
      <c r="K339" s="10" t="s">
        <v>16</v>
      </c>
      <c r="L339" s="13" t="str">
        <f t="shared" si="104"/>
        <v>Блок8</v>
      </c>
      <c r="M339" s="12">
        <v>39100</v>
      </c>
      <c r="N339">
        <v>39100</v>
      </c>
    </row>
    <row r="340" spans="1:14" ht="24" customHeight="1" x14ac:dyDescent="0.25">
      <c r="A340" s="10" t="str">
        <f t="shared" si="103"/>
        <v>ЩУР.МОП1-8</v>
      </c>
      <c r="B340" s="10" t="s">
        <v>19</v>
      </c>
      <c r="C340" s="10"/>
      <c r="D340" s="11" t="s">
        <v>19</v>
      </c>
      <c r="E340" s="10" t="s">
        <v>19</v>
      </c>
      <c r="F340" s="10">
        <f ca="1">OFFSET(F340,1,2)</f>
        <v>12000</v>
      </c>
      <c r="G340" s="12">
        <f ca="1">F340*0.55</f>
        <v>6600.0000000000009</v>
      </c>
      <c r="H340" s="12">
        <f ca="1">G340*I340</f>
        <v>6600.0000000000009</v>
      </c>
      <c r="I340" s="10">
        <v>1</v>
      </c>
      <c r="J340" s="10" t="s">
        <v>12</v>
      </c>
      <c r="K340" s="10" t="s">
        <v>19</v>
      </c>
      <c r="L340" s="13" t="str">
        <f t="shared" si="104"/>
        <v>Блок8</v>
      </c>
      <c r="M340" s="12">
        <v>6600.0000000000009</v>
      </c>
      <c r="N340">
        <v>6600.0000000000009</v>
      </c>
    </row>
    <row r="341" spans="1:14" ht="21" customHeight="1" x14ac:dyDescent="0.25">
      <c r="A341" s="10" t="str">
        <f t="shared" si="103"/>
        <v>ЩУР.МОП1-8</v>
      </c>
      <c r="B341" s="10" t="s">
        <v>20</v>
      </c>
      <c r="C341" s="10"/>
      <c r="D341" s="11" t="s">
        <v>20</v>
      </c>
      <c r="E341" s="10" t="s">
        <v>20</v>
      </c>
      <c r="F341" s="10">
        <v>2</v>
      </c>
      <c r="G341" s="12">
        <v>100</v>
      </c>
      <c r="H341" s="12">
        <f>G341*I341</f>
        <v>12000</v>
      </c>
      <c r="I341" s="10">
        <f>60*F341</f>
        <v>120</v>
      </c>
      <c r="J341" s="10" t="s">
        <v>12</v>
      </c>
      <c r="K341" s="10" t="s">
        <v>20</v>
      </c>
      <c r="L341" s="13" t="str">
        <f t="shared" si="104"/>
        <v>Блок8</v>
      </c>
      <c r="M341" s="12">
        <v>12000</v>
      </c>
      <c r="N341">
        <v>12000</v>
      </c>
    </row>
    <row r="342" spans="1:14" ht="30" customHeight="1" x14ac:dyDescent="0.25">
      <c r="A342" s="15" t="str">
        <f t="shared" si="103"/>
        <v>ЩУР.МОП1-8</v>
      </c>
      <c r="B342" s="15"/>
      <c r="C342" s="15"/>
      <c r="D342" s="15"/>
      <c r="E342" s="16"/>
      <c r="F342" s="17"/>
      <c r="G342" s="12">
        <f>F342*0.55</f>
        <v>0</v>
      </c>
      <c r="H342" s="18">
        <f ca="1">SUM(H335:H341)</f>
        <v>73657.899999999994</v>
      </c>
      <c r="I342" s="15"/>
      <c r="J342" s="19"/>
      <c r="K342" s="15"/>
      <c r="L342" s="13" t="str">
        <f t="shared" si="104"/>
        <v>Блок8</v>
      </c>
      <c r="M342" s="18">
        <v>73657.899999999994</v>
      </c>
      <c r="N342">
        <v>73657.899999999994</v>
      </c>
    </row>
    <row r="343" spans="1:14" ht="39.75" customHeight="1" x14ac:dyDescent="0.25">
      <c r="A343" s="8" t="str">
        <f>E343</f>
        <v>РЩ1-8 (АВР-Б-40-2-1)</v>
      </c>
      <c r="B343" s="4"/>
      <c r="C343" s="4"/>
      <c r="D343" s="5"/>
      <c r="E343" s="4" t="s">
        <v>140</v>
      </c>
      <c r="F343" s="6"/>
      <c r="G343" s="6"/>
      <c r="H343" s="7"/>
      <c r="I343" s="8">
        <v>1</v>
      </c>
      <c r="J343" s="9" t="s">
        <v>9</v>
      </c>
      <c r="K343" s="4" t="s">
        <v>10</v>
      </c>
      <c r="L343" s="8" t="s">
        <v>81</v>
      </c>
      <c r="M343" s="7"/>
    </row>
    <row r="344" spans="1:14" ht="21" customHeight="1" x14ac:dyDescent="0.25">
      <c r="A344" s="13" t="str">
        <f t="shared" ref="A344:A354" si="105">A343</f>
        <v>РЩ1-8 (АВР-Б-40-2-1)</v>
      </c>
      <c r="B344" s="10" t="s">
        <v>11</v>
      </c>
      <c r="C344" s="10"/>
      <c r="D344" s="11" t="s">
        <v>168</v>
      </c>
      <c r="E344" s="10" t="s">
        <v>169</v>
      </c>
      <c r="F344" s="10">
        <v>130000</v>
      </c>
      <c r="G344" s="12">
        <f>0.6*F344</f>
        <v>78000</v>
      </c>
      <c r="H344" s="12">
        <f t="shared" ref="H344:H349" si="106">G344*I344</f>
        <v>78000</v>
      </c>
      <c r="I344" s="13">
        <v>1</v>
      </c>
      <c r="J344" s="14" t="s">
        <v>12</v>
      </c>
      <c r="K344" s="10" t="s">
        <v>13</v>
      </c>
      <c r="L344" s="13" t="str">
        <f t="shared" ref="L344:L354" si="107">L343</f>
        <v>Блок8</v>
      </c>
      <c r="M344" s="12">
        <v>78000</v>
      </c>
      <c r="N344">
        <v>78000</v>
      </c>
    </row>
    <row r="345" spans="1:14" ht="21" customHeight="1" x14ac:dyDescent="0.25">
      <c r="A345" s="13" t="str">
        <f t="shared" si="105"/>
        <v>РЩ1-8 (АВР-Б-40-2-1)</v>
      </c>
      <c r="B345" s="10" t="s">
        <v>44</v>
      </c>
      <c r="C345" s="10"/>
      <c r="D345" s="11" t="s">
        <v>162</v>
      </c>
      <c r="E345" s="10" t="s">
        <v>163</v>
      </c>
      <c r="F345" s="10">
        <v>114758</v>
      </c>
      <c r="G345" s="12">
        <f>F345*0.55</f>
        <v>63116.900000000009</v>
      </c>
      <c r="H345" s="12">
        <f t="shared" si="106"/>
        <v>63116.900000000009</v>
      </c>
      <c r="I345" s="13">
        <v>1</v>
      </c>
      <c r="J345" s="14" t="s">
        <v>12</v>
      </c>
      <c r="K345" s="10" t="s">
        <v>14</v>
      </c>
      <c r="L345" s="13" t="str">
        <f t="shared" si="107"/>
        <v>Блок8</v>
      </c>
      <c r="M345" s="12">
        <v>63116.900000000009</v>
      </c>
      <c r="N345">
        <v>63116.900000000009</v>
      </c>
    </row>
    <row r="346" spans="1:14" ht="21" customHeight="1" x14ac:dyDescent="0.25">
      <c r="A346" s="13" t="str">
        <f t="shared" si="105"/>
        <v>РЩ1-8 (АВР-Б-40-2-1)</v>
      </c>
      <c r="B346" s="10" t="s">
        <v>27</v>
      </c>
      <c r="C346" s="10"/>
      <c r="D346" s="11">
        <v>126505</v>
      </c>
      <c r="E346" s="10" t="s">
        <v>45</v>
      </c>
      <c r="F346" s="10">
        <v>15740</v>
      </c>
      <c r="G346" s="12">
        <f>F346*0.55</f>
        <v>8657</v>
      </c>
      <c r="H346" s="12">
        <f t="shared" si="106"/>
        <v>17314</v>
      </c>
      <c r="I346" s="13">
        <v>2</v>
      </c>
      <c r="J346" s="14" t="s">
        <v>12</v>
      </c>
      <c r="K346" s="10" t="s">
        <v>28</v>
      </c>
      <c r="L346" s="13" t="str">
        <f t="shared" si="107"/>
        <v>Блок8</v>
      </c>
      <c r="M346" s="12">
        <v>17314</v>
      </c>
      <c r="N346">
        <v>17314</v>
      </c>
    </row>
    <row r="347" spans="1:14" ht="21" customHeight="1" x14ac:dyDescent="0.25">
      <c r="A347" s="13" t="str">
        <f t="shared" si="105"/>
        <v>РЩ1-8 (АВР-Б-40-2-1)</v>
      </c>
      <c r="B347" s="10" t="s">
        <v>27</v>
      </c>
      <c r="C347" s="10"/>
      <c r="D347" s="11">
        <v>126677</v>
      </c>
      <c r="E347" s="10" t="s">
        <v>43</v>
      </c>
      <c r="F347" s="10">
        <v>14742</v>
      </c>
      <c r="G347" s="12">
        <f>F347*0.55</f>
        <v>8108.1</v>
      </c>
      <c r="H347" s="12">
        <f t="shared" si="106"/>
        <v>24324.300000000003</v>
      </c>
      <c r="I347" s="13">
        <v>3</v>
      </c>
      <c r="J347" s="14" t="s">
        <v>12</v>
      </c>
      <c r="K347" s="10" t="s">
        <v>28</v>
      </c>
      <c r="L347" s="13" t="str">
        <f t="shared" si="107"/>
        <v>Блок8</v>
      </c>
      <c r="M347" s="12">
        <v>24324.300000000003</v>
      </c>
      <c r="N347">
        <v>24324.300000000003</v>
      </c>
    </row>
    <row r="348" spans="1:14" ht="21" customHeight="1" x14ac:dyDescent="0.25">
      <c r="A348" s="13" t="str">
        <f t="shared" si="105"/>
        <v>РЩ1-8 (АВР-Б-40-2-1)</v>
      </c>
      <c r="B348" s="10" t="s">
        <v>17</v>
      </c>
      <c r="C348" s="10"/>
      <c r="D348" s="11">
        <v>814174</v>
      </c>
      <c r="E348" s="10" t="s">
        <v>46</v>
      </c>
      <c r="F348" s="10">
        <v>4823</v>
      </c>
      <c r="G348" s="12">
        <f>F348*0.55</f>
        <v>2652.65</v>
      </c>
      <c r="H348" s="12">
        <f t="shared" si="106"/>
        <v>5305.3</v>
      </c>
      <c r="I348" s="13">
        <v>2</v>
      </c>
      <c r="J348" s="14" t="s">
        <v>12</v>
      </c>
      <c r="K348" s="10" t="s">
        <v>28</v>
      </c>
      <c r="L348" s="13" t="str">
        <f t="shared" si="107"/>
        <v>Блок8</v>
      </c>
      <c r="M348" s="12">
        <v>5305.3</v>
      </c>
      <c r="N348">
        <v>5305.3</v>
      </c>
    </row>
    <row r="349" spans="1:14" ht="21" customHeight="1" x14ac:dyDescent="0.25">
      <c r="A349" s="13" t="str">
        <f t="shared" si="105"/>
        <v>РЩ1-8 (АВР-Б-40-2-1)</v>
      </c>
      <c r="B349" s="10" t="s">
        <v>17</v>
      </c>
      <c r="C349" s="10"/>
      <c r="D349" s="11">
        <v>814167</v>
      </c>
      <c r="E349" s="10" t="s">
        <v>48</v>
      </c>
      <c r="F349" s="10">
        <v>5187</v>
      </c>
      <c r="G349" s="12">
        <f>F349*0.55</f>
        <v>2852.8500000000004</v>
      </c>
      <c r="H349" s="12">
        <f t="shared" si="106"/>
        <v>2852.8500000000004</v>
      </c>
      <c r="I349" s="13">
        <v>1</v>
      </c>
      <c r="J349" s="14" t="s">
        <v>12</v>
      </c>
      <c r="K349" s="10" t="s">
        <v>28</v>
      </c>
      <c r="L349" s="13" t="str">
        <f t="shared" si="107"/>
        <v>Блок8</v>
      </c>
      <c r="M349" s="12">
        <v>2852.8500000000004</v>
      </c>
      <c r="N349">
        <v>2852.8500000000004</v>
      </c>
    </row>
    <row r="350" spans="1:14" ht="21" customHeight="1" x14ac:dyDescent="0.25">
      <c r="A350" s="13" t="str">
        <f t="shared" si="105"/>
        <v>РЩ1-8 (АВР-Б-40-2-1)</v>
      </c>
      <c r="B350" s="10" t="s">
        <v>15</v>
      </c>
      <c r="C350" s="10"/>
      <c r="D350" s="11" t="s">
        <v>179</v>
      </c>
      <c r="E350" s="10" t="s">
        <v>180</v>
      </c>
      <c r="F350" s="10">
        <v>83000</v>
      </c>
      <c r="G350" s="12">
        <f>F350</f>
        <v>83000</v>
      </c>
      <c r="H350" s="12">
        <v>39100</v>
      </c>
      <c r="I350" s="13">
        <v>1</v>
      </c>
      <c r="J350" s="14" t="s">
        <v>12</v>
      </c>
      <c r="K350" s="10" t="s">
        <v>16</v>
      </c>
      <c r="L350" s="13" t="str">
        <f t="shared" si="107"/>
        <v>Блок8</v>
      </c>
      <c r="M350" s="12">
        <v>39100</v>
      </c>
      <c r="N350">
        <v>39100</v>
      </c>
    </row>
    <row r="351" spans="1:14" ht="21" customHeight="1" x14ac:dyDescent="0.25">
      <c r="A351" s="13" t="str">
        <f t="shared" si="105"/>
        <v>РЩ1-8 (АВР-Б-40-2-1)</v>
      </c>
      <c r="B351" s="10" t="s">
        <v>30</v>
      </c>
      <c r="C351" s="10"/>
      <c r="D351" s="11"/>
      <c r="E351" s="10" t="s">
        <v>31</v>
      </c>
      <c r="F351" s="10">
        <v>4500</v>
      </c>
      <c r="G351" s="12">
        <f t="shared" ref="G351:G354" si="108">F351*0.55</f>
        <v>2475</v>
      </c>
      <c r="H351" s="12">
        <f>G351*I351</f>
        <v>14850</v>
      </c>
      <c r="I351" s="13">
        <v>6</v>
      </c>
      <c r="J351" s="14" t="s">
        <v>12</v>
      </c>
      <c r="K351" s="10" t="s">
        <v>25</v>
      </c>
      <c r="L351" s="13" t="e">
        <f>#REF!</f>
        <v>#REF!</v>
      </c>
      <c r="M351" s="12">
        <v>14850</v>
      </c>
      <c r="N351">
        <v>14850</v>
      </c>
    </row>
    <row r="352" spans="1:14" ht="24" customHeight="1" x14ac:dyDescent="0.25">
      <c r="A352" s="10" t="str">
        <f t="shared" si="105"/>
        <v>РЩ1-8 (АВР-Б-40-2-1)</v>
      </c>
      <c r="B352" s="10" t="s">
        <v>19</v>
      </c>
      <c r="C352" s="10"/>
      <c r="D352" s="11" t="s">
        <v>19</v>
      </c>
      <c r="E352" s="10" t="s">
        <v>19</v>
      </c>
      <c r="F352" s="10">
        <f ca="1">OFFSET(F352,1,2)</f>
        <v>39000</v>
      </c>
      <c r="G352" s="12">
        <f ca="1">F352*0.55</f>
        <v>21450</v>
      </c>
      <c r="H352" s="12">
        <f ca="1">G352*I352</f>
        <v>21450</v>
      </c>
      <c r="I352" s="10">
        <v>1</v>
      </c>
      <c r="J352" s="10" t="s">
        <v>12</v>
      </c>
      <c r="K352" s="10" t="s">
        <v>19</v>
      </c>
      <c r="L352" s="13" t="e">
        <f t="shared" si="107"/>
        <v>#REF!</v>
      </c>
      <c r="M352" s="12">
        <v>21450</v>
      </c>
      <c r="N352">
        <v>21450</v>
      </c>
    </row>
    <row r="353" spans="1:14" ht="21" customHeight="1" x14ac:dyDescent="0.25">
      <c r="A353" s="10" t="str">
        <f t="shared" si="105"/>
        <v>РЩ1-8 (АВР-Б-40-2-1)</v>
      </c>
      <c r="B353" s="10" t="s">
        <v>20</v>
      </c>
      <c r="C353" s="10"/>
      <c r="D353" s="11" t="s">
        <v>20</v>
      </c>
      <c r="E353" s="10" t="s">
        <v>20</v>
      </c>
      <c r="F353" s="10">
        <v>6.5</v>
      </c>
      <c r="G353" s="12">
        <v>100</v>
      </c>
      <c r="H353" s="12">
        <f>G353*I353</f>
        <v>39000</v>
      </c>
      <c r="I353" s="10">
        <f>60*F353</f>
        <v>390</v>
      </c>
      <c r="J353" s="10" t="s">
        <v>12</v>
      </c>
      <c r="K353" s="10" t="s">
        <v>20</v>
      </c>
      <c r="L353" s="13" t="e">
        <f t="shared" si="107"/>
        <v>#REF!</v>
      </c>
      <c r="M353" s="12">
        <v>39000</v>
      </c>
      <c r="N353">
        <v>39000</v>
      </c>
    </row>
    <row r="354" spans="1:14" ht="30" customHeight="1" x14ac:dyDescent="0.25">
      <c r="A354" s="15" t="str">
        <f t="shared" si="105"/>
        <v>РЩ1-8 (АВР-Б-40-2-1)</v>
      </c>
      <c r="B354" s="15"/>
      <c r="C354" s="15"/>
      <c r="D354" s="15"/>
      <c r="E354" s="16"/>
      <c r="F354" s="17"/>
      <c r="G354" s="12">
        <f t="shared" si="108"/>
        <v>0</v>
      </c>
      <c r="H354" s="18">
        <f ca="1">SUM(H344:H353)</f>
        <v>305313.34999999998</v>
      </c>
      <c r="I354" s="15"/>
      <c r="J354" s="19"/>
      <c r="K354" s="15"/>
      <c r="L354" s="13" t="e">
        <f t="shared" si="107"/>
        <v>#REF!</v>
      </c>
      <c r="M354" s="18">
        <v>305313.34999999998</v>
      </c>
      <c r="N354">
        <v>305313.34999999998</v>
      </c>
    </row>
    <row r="355" spans="1:14" ht="39.75" customHeight="1" x14ac:dyDescent="0.25">
      <c r="A355" s="8" t="str">
        <f>E355</f>
        <v>РУ1-9</v>
      </c>
      <c r="B355" s="4"/>
      <c r="C355" s="4"/>
      <c r="D355" s="5"/>
      <c r="E355" s="4" t="s">
        <v>84</v>
      </c>
      <c r="F355" s="6"/>
      <c r="G355" s="6"/>
      <c r="H355" s="7"/>
      <c r="I355" s="8">
        <v>1</v>
      </c>
      <c r="J355" s="9" t="s">
        <v>9</v>
      </c>
      <c r="K355" s="4" t="s">
        <v>10</v>
      </c>
      <c r="L355" s="8" t="s">
        <v>85</v>
      </c>
      <c r="M355" s="7"/>
    </row>
    <row r="356" spans="1:14" ht="21" customHeight="1" x14ac:dyDescent="0.25">
      <c r="A356" s="13" t="str">
        <f t="shared" ref="A356:A362" si="109">A355</f>
        <v>РУ1-9</v>
      </c>
      <c r="B356" s="10" t="s">
        <v>11</v>
      </c>
      <c r="C356" s="10"/>
      <c r="D356" s="11" t="s">
        <v>170</v>
      </c>
      <c r="E356" s="10" t="s">
        <v>171</v>
      </c>
      <c r="F356" s="10">
        <v>145000</v>
      </c>
      <c r="G356" s="12">
        <f>0.6*F356</f>
        <v>87000</v>
      </c>
      <c r="H356" s="12">
        <f t="shared" ref="H356:H361" si="110">G356*I356</f>
        <v>87000</v>
      </c>
      <c r="I356" s="13">
        <v>1</v>
      </c>
      <c r="J356" s="14" t="s">
        <v>12</v>
      </c>
      <c r="K356" s="10" t="s">
        <v>13</v>
      </c>
      <c r="L356" s="13" t="str">
        <f t="shared" ref="L356:L362" si="111">L355</f>
        <v>Блок9</v>
      </c>
      <c r="M356" s="12">
        <v>87000</v>
      </c>
      <c r="N356">
        <v>87000</v>
      </c>
    </row>
    <row r="357" spans="1:14" ht="21" customHeight="1" x14ac:dyDescent="0.25">
      <c r="A357" s="13" t="str">
        <f t="shared" si="109"/>
        <v>РУ1-9</v>
      </c>
      <c r="B357" s="10" t="s">
        <v>27</v>
      </c>
      <c r="C357" s="10"/>
      <c r="D357" s="11">
        <v>126586</v>
      </c>
      <c r="E357" s="10" t="s">
        <v>68</v>
      </c>
      <c r="F357" s="10">
        <v>29484</v>
      </c>
      <c r="G357" s="12">
        <f t="shared" ref="G357:G362" si="112">F357*0.55</f>
        <v>16216.2</v>
      </c>
      <c r="H357" s="12">
        <f t="shared" si="110"/>
        <v>16216.2</v>
      </c>
      <c r="I357" s="13">
        <v>1</v>
      </c>
      <c r="J357" s="14" t="s">
        <v>12</v>
      </c>
      <c r="K357" s="10" t="s">
        <v>28</v>
      </c>
      <c r="L357" s="13" t="str">
        <f t="shared" si="111"/>
        <v>Блок9</v>
      </c>
      <c r="M357" s="12">
        <v>16216.2</v>
      </c>
      <c r="N357">
        <v>16216.2</v>
      </c>
    </row>
    <row r="358" spans="1:14" ht="21" customHeight="1" x14ac:dyDescent="0.25">
      <c r="A358" s="13" t="str">
        <f t="shared" si="109"/>
        <v>РУ1-9</v>
      </c>
      <c r="B358" s="10" t="s">
        <v>27</v>
      </c>
      <c r="C358" s="10"/>
      <c r="D358" s="11">
        <v>126583</v>
      </c>
      <c r="E358" s="10" t="s">
        <v>33</v>
      </c>
      <c r="F358" s="10">
        <v>28665</v>
      </c>
      <c r="G358" s="12">
        <f t="shared" si="112"/>
        <v>15765.750000000002</v>
      </c>
      <c r="H358" s="12">
        <f t="shared" si="110"/>
        <v>63063.000000000007</v>
      </c>
      <c r="I358" s="13">
        <v>4</v>
      </c>
      <c r="J358" s="14" t="s">
        <v>12</v>
      </c>
      <c r="K358" s="10" t="s">
        <v>28</v>
      </c>
      <c r="L358" s="13" t="str">
        <f t="shared" si="111"/>
        <v>Блок9</v>
      </c>
      <c r="M358" s="12">
        <v>63063.000000000007</v>
      </c>
      <c r="N358">
        <v>63063.000000000007</v>
      </c>
    </row>
    <row r="359" spans="1:14" ht="21" customHeight="1" x14ac:dyDescent="0.25">
      <c r="A359" s="13" t="str">
        <f t="shared" si="109"/>
        <v>РУ1-9</v>
      </c>
      <c r="B359" s="10" t="s">
        <v>27</v>
      </c>
      <c r="C359" s="10"/>
      <c r="D359" s="11">
        <v>126507</v>
      </c>
      <c r="E359" s="10" t="s">
        <v>35</v>
      </c>
      <c r="F359" s="10">
        <v>17108</v>
      </c>
      <c r="G359" s="12">
        <f t="shared" si="112"/>
        <v>9409.4000000000015</v>
      </c>
      <c r="H359" s="12">
        <f t="shared" si="110"/>
        <v>18818.800000000003</v>
      </c>
      <c r="I359" s="13">
        <v>2</v>
      </c>
      <c r="J359" s="14" t="s">
        <v>12</v>
      </c>
      <c r="K359" s="10" t="s">
        <v>28</v>
      </c>
      <c r="L359" s="13" t="str">
        <f t="shared" si="111"/>
        <v>Блок9</v>
      </c>
      <c r="M359" s="12">
        <v>18818.800000000003</v>
      </c>
      <c r="N359">
        <v>18818.800000000003</v>
      </c>
    </row>
    <row r="360" spans="1:14" ht="24" customHeight="1" x14ac:dyDescent="0.25">
      <c r="A360" s="10" t="str">
        <f t="shared" si="109"/>
        <v>РУ1-9</v>
      </c>
      <c r="B360" s="10" t="s">
        <v>19</v>
      </c>
      <c r="C360" s="10"/>
      <c r="D360" s="11" t="s">
        <v>19</v>
      </c>
      <c r="E360" s="10" t="s">
        <v>19</v>
      </c>
      <c r="F360" s="10">
        <f ca="1">OFFSET(F360,1,2)</f>
        <v>27000</v>
      </c>
      <c r="G360" s="12">
        <f ca="1">F360*0.55</f>
        <v>14850.000000000002</v>
      </c>
      <c r="H360" s="12">
        <f ca="1">G360*I360</f>
        <v>14850.000000000002</v>
      </c>
      <c r="I360" s="10">
        <v>1</v>
      </c>
      <c r="J360" s="10" t="s">
        <v>12</v>
      </c>
      <c r="K360" s="10" t="s">
        <v>19</v>
      </c>
      <c r="L360" s="13" t="str">
        <f t="shared" si="111"/>
        <v>Блок9</v>
      </c>
      <c r="M360" s="12">
        <v>14850.000000000002</v>
      </c>
      <c r="N360">
        <v>14850.000000000002</v>
      </c>
    </row>
    <row r="361" spans="1:14" ht="21" customHeight="1" x14ac:dyDescent="0.25">
      <c r="A361" s="10" t="str">
        <f t="shared" si="109"/>
        <v>РУ1-9</v>
      </c>
      <c r="B361" s="10" t="s">
        <v>20</v>
      </c>
      <c r="C361" s="10"/>
      <c r="D361" s="11" t="s">
        <v>20</v>
      </c>
      <c r="E361" s="10" t="s">
        <v>20</v>
      </c>
      <c r="F361" s="10">
        <v>4.5</v>
      </c>
      <c r="G361" s="12">
        <v>100</v>
      </c>
      <c r="H361" s="12">
        <f t="shared" si="110"/>
        <v>27000</v>
      </c>
      <c r="I361" s="10">
        <f>60*F361</f>
        <v>270</v>
      </c>
      <c r="J361" s="10" t="s">
        <v>12</v>
      </c>
      <c r="K361" s="10" t="s">
        <v>20</v>
      </c>
      <c r="L361" s="13" t="str">
        <f t="shared" si="111"/>
        <v>Блок9</v>
      </c>
      <c r="M361" s="12">
        <v>27000</v>
      </c>
      <c r="N361">
        <v>27000</v>
      </c>
    </row>
    <row r="362" spans="1:14" ht="30" customHeight="1" x14ac:dyDescent="0.25">
      <c r="A362" s="15" t="str">
        <f t="shared" si="109"/>
        <v>РУ1-9</v>
      </c>
      <c r="B362" s="15"/>
      <c r="C362" s="15"/>
      <c r="D362" s="15"/>
      <c r="E362" s="16"/>
      <c r="F362" s="17"/>
      <c r="G362" s="12">
        <f t="shared" si="112"/>
        <v>0</v>
      </c>
      <c r="H362" s="18">
        <f ca="1">SUM(H356:H361)</f>
        <v>226948</v>
      </c>
      <c r="I362" s="15"/>
      <c r="J362" s="19"/>
      <c r="K362" s="15"/>
      <c r="L362" s="13" t="str">
        <f t="shared" si="111"/>
        <v>Блок9</v>
      </c>
      <c r="M362" s="18">
        <v>226948</v>
      </c>
      <c r="N362">
        <v>226948</v>
      </c>
    </row>
    <row r="363" spans="1:14" ht="39.75" customHeight="1" x14ac:dyDescent="0.25">
      <c r="A363" s="8" t="str">
        <f>E363</f>
        <v>ЩУР.МОП1-9</v>
      </c>
      <c r="B363" s="4"/>
      <c r="C363" s="4"/>
      <c r="D363" s="5"/>
      <c r="E363" s="4" t="s">
        <v>86</v>
      </c>
      <c r="F363" s="6"/>
      <c r="G363" s="6"/>
      <c r="H363" s="7"/>
      <c r="I363" s="8">
        <v>1</v>
      </c>
      <c r="J363" s="9" t="s">
        <v>9</v>
      </c>
      <c r="K363" s="4" t="s">
        <v>10</v>
      </c>
      <c r="L363" s="8" t="s">
        <v>85</v>
      </c>
      <c r="M363" s="7"/>
    </row>
    <row r="364" spans="1:14" ht="21" customHeight="1" x14ac:dyDescent="0.25">
      <c r="A364" s="13" t="str">
        <f t="shared" ref="A364:A371" si="113">A363</f>
        <v>ЩУР.МОП1-9</v>
      </c>
      <c r="B364" s="10" t="s">
        <v>11</v>
      </c>
      <c r="C364" s="10"/>
      <c r="D364" s="11" t="s">
        <v>40</v>
      </c>
      <c r="E364" s="10" t="s">
        <v>41</v>
      </c>
      <c r="F364" s="10">
        <v>18000</v>
      </c>
      <c r="G364" s="12">
        <f>0.6*F364</f>
        <v>10800</v>
      </c>
      <c r="H364" s="12">
        <f>G364*I364</f>
        <v>10800</v>
      </c>
      <c r="I364" s="13">
        <v>1</v>
      </c>
      <c r="J364" s="14" t="s">
        <v>12</v>
      </c>
      <c r="K364" s="10" t="s">
        <v>13</v>
      </c>
      <c r="L364" s="13" t="str">
        <f>L363</f>
        <v>Блок9</v>
      </c>
      <c r="M364" s="12">
        <v>10800</v>
      </c>
      <c r="N364">
        <v>10800</v>
      </c>
    </row>
    <row r="365" spans="1:14" ht="21" customHeight="1" x14ac:dyDescent="0.25">
      <c r="A365" s="13" t="str">
        <f t="shared" si="113"/>
        <v>ЩУР.МОП1-9</v>
      </c>
      <c r="B365" s="10" t="s">
        <v>17</v>
      </c>
      <c r="C365" s="10"/>
      <c r="D365" s="11">
        <v>296830</v>
      </c>
      <c r="E365" s="10" t="s">
        <v>149</v>
      </c>
      <c r="F365" s="10">
        <v>1554</v>
      </c>
      <c r="G365" s="12">
        <f>F365*0.55</f>
        <v>854.7</v>
      </c>
      <c r="H365" s="12">
        <f>G365*I365</f>
        <v>854.7</v>
      </c>
      <c r="I365" s="13">
        <v>1</v>
      </c>
      <c r="J365" s="14" t="s">
        <v>12</v>
      </c>
      <c r="K365" s="10" t="s">
        <v>28</v>
      </c>
      <c r="L365" s="13" t="str">
        <f>L364</f>
        <v>Блок9</v>
      </c>
      <c r="M365" s="12">
        <v>854.7</v>
      </c>
      <c r="N365">
        <v>854.7</v>
      </c>
    </row>
    <row r="366" spans="1:14" ht="21" customHeight="1" x14ac:dyDescent="0.25">
      <c r="A366" s="13" t="str">
        <f t="shared" si="113"/>
        <v>ЩУР.МОП1-9</v>
      </c>
      <c r="B366" s="10" t="s">
        <v>17</v>
      </c>
      <c r="C366" s="10"/>
      <c r="D366" s="11">
        <v>296829</v>
      </c>
      <c r="E366" s="10" t="s">
        <v>148</v>
      </c>
      <c r="F366" s="10">
        <v>2111</v>
      </c>
      <c r="G366" s="12">
        <f>F366*0.55</f>
        <v>1161.0500000000002</v>
      </c>
      <c r="H366" s="12">
        <f>G366*I366</f>
        <v>3483.1500000000005</v>
      </c>
      <c r="I366" s="13">
        <v>3</v>
      </c>
      <c r="J366" s="14" t="s">
        <v>12</v>
      </c>
      <c r="K366" s="10" t="s">
        <v>28</v>
      </c>
      <c r="L366" s="13" t="str">
        <f>L365</f>
        <v>Блок9</v>
      </c>
      <c r="M366" s="12">
        <v>3483.1500000000005</v>
      </c>
      <c r="N366">
        <v>3483.1500000000005</v>
      </c>
    </row>
    <row r="367" spans="1:14" ht="21" customHeight="1" x14ac:dyDescent="0.25">
      <c r="A367" s="13" t="str">
        <f t="shared" si="113"/>
        <v>ЩУР.МОП1-9</v>
      </c>
      <c r="B367" s="10" t="s">
        <v>17</v>
      </c>
      <c r="C367" s="10"/>
      <c r="D367" s="11">
        <v>296828</v>
      </c>
      <c r="E367" s="10" t="s">
        <v>151</v>
      </c>
      <c r="F367" s="10">
        <v>1491</v>
      </c>
      <c r="G367" s="12">
        <f>F367*0.55</f>
        <v>820.05000000000007</v>
      </c>
      <c r="H367" s="12">
        <f>G367*I367</f>
        <v>820.05000000000007</v>
      </c>
      <c r="I367" s="13">
        <v>1</v>
      </c>
      <c r="J367" s="14" t="s">
        <v>12</v>
      </c>
      <c r="K367" s="10" t="s">
        <v>28</v>
      </c>
      <c r="L367" s="13" t="str">
        <f>L366</f>
        <v>Блок9</v>
      </c>
      <c r="M367" s="12">
        <v>820.05000000000007</v>
      </c>
      <c r="N367">
        <v>820.05000000000007</v>
      </c>
    </row>
    <row r="368" spans="1:14" ht="21" customHeight="1" x14ac:dyDescent="0.25">
      <c r="A368" s="13" t="str">
        <f t="shared" si="113"/>
        <v>ЩУР.МОП1-9</v>
      </c>
      <c r="B368" s="10" t="s">
        <v>15</v>
      </c>
      <c r="C368" s="10"/>
      <c r="D368" s="11" t="s">
        <v>179</v>
      </c>
      <c r="E368" s="10" t="s">
        <v>180</v>
      </c>
      <c r="F368" s="10">
        <v>83000</v>
      </c>
      <c r="G368" s="12">
        <f>F368</f>
        <v>83000</v>
      </c>
      <c r="H368" s="12">
        <v>39100</v>
      </c>
      <c r="I368" s="13">
        <v>1</v>
      </c>
      <c r="J368" s="14" t="s">
        <v>12</v>
      </c>
      <c r="K368" s="10" t="s">
        <v>16</v>
      </c>
      <c r="L368" s="13" t="str">
        <f>L366</f>
        <v>Блок9</v>
      </c>
      <c r="M368" s="12">
        <v>39100</v>
      </c>
      <c r="N368">
        <v>39100</v>
      </c>
    </row>
    <row r="369" spans="1:14" ht="24" customHeight="1" x14ac:dyDescent="0.25">
      <c r="A369" s="10" t="str">
        <f t="shared" si="113"/>
        <v>ЩУР.МОП1-9</v>
      </c>
      <c r="B369" s="10" t="s">
        <v>19</v>
      </c>
      <c r="C369" s="10"/>
      <c r="D369" s="11" t="s">
        <v>19</v>
      </c>
      <c r="E369" s="10" t="s">
        <v>19</v>
      </c>
      <c r="F369" s="10">
        <f ca="1">OFFSET(F369,1,2)</f>
        <v>12000</v>
      </c>
      <c r="G369" s="12">
        <f ca="1">F369*0.55</f>
        <v>6600.0000000000009</v>
      </c>
      <c r="H369" s="12">
        <f ca="1">G369*I369</f>
        <v>6600.0000000000009</v>
      </c>
      <c r="I369" s="10">
        <v>1</v>
      </c>
      <c r="J369" s="10" t="s">
        <v>12</v>
      </c>
      <c r="K369" s="10" t="s">
        <v>19</v>
      </c>
      <c r="L369" s="13" t="str">
        <f>L368</f>
        <v>Блок9</v>
      </c>
      <c r="M369" s="12">
        <v>6600.0000000000009</v>
      </c>
      <c r="N369">
        <v>6600.0000000000009</v>
      </c>
    </row>
    <row r="370" spans="1:14" ht="21" customHeight="1" x14ac:dyDescent="0.25">
      <c r="A370" s="10" t="str">
        <f t="shared" si="113"/>
        <v>ЩУР.МОП1-9</v>
      </c>
      <c r="B370" s="10" t="s">
        <v>20</v>
      </c>
      <c r="C370" s="10"/>
      <c r="D370" s="11" t="s">
        <v>20</v>
      </c>
      <c r="E370" s="10" t="s">
        <v>20</v>
      </c>
      <c r="F370" s="10">
        <v>2</v>
      </c>
      <c r="G370" s="12">
        <v>100</v>
      </c>
      <c r="H370" s="12">
        <f>G370*I370</f>
        <v>12000</v>
      </c>
      <c r="I370" s="10">
        <f>60*F370</f>
        <v>120</v>
      </c>
      <c r="J370" s="10" t="s">
        <v>12</v>
      </c>
      <c r="K370" s="10" t="s">
        <v>20</v>
      </c>
      <c r="L370" s="13" t="str">
        <f>L369</f>
        <v>Блок9</v>
      </c>
      <c r="M370" s="12">
        <v>12000</v>
      </c>
      <c r="N370">
        <v>12000</v>
      </c>
    </row>
    <row r="371" spans="1:14" ht="30" customHeight="1" x14ac:dyDescent="0.25">
      <c r="A371" s="15" t="str">
        <f t="shared" si="113"/>
        <v>ЩУР.МОП1-9</v>
      </c>
      <c r="B371" s="15"/>
      <c r="C371" s="15"/>
      <c r="D371" s="15"/>
      <c r="E371" s="16"/>
      <c r="F371" s="17"/>
      <c r="G371" s="12">
        <f>F371*0.55</f>
        <v>0</v>
      </c>
      <c r="H371" s="18">
        <f ca="1">SUM(H364:H370)</f>
        <v>73657.899999999994</v>
      </c>
      <c r="I371" s="15"/>
      <c r="J371" s="19"/>
      <c r="K371" s="15"/>
      <c r="L371" s="13" t="str">
        <f>L370</f>
        <v>Блок9</v>
      </c>
      <c r="M371" s="18">
        <v>73657.899999999994</v>
      </c>
      <c r="N371">
        <v>73657.899999999994</v>
      </c>
    </row>
    <row r="372" spans="1:14" ht="39.75" customHeight="1" x14ac:dyDescent="0.25">
      <c r="A372" s="8" t="str">
        <f>E372</f>
        <v>РЩ1-9 (АВР-Б-40-2-1)</v>
      </c>
      <c r="B372" s="4"/>
      <c r="C372" s="4"/>
      <c r="D372" s="5"/>
      <c r="E372" s="4" t="s">
        <v>141</v>
      </c>
      <c r="F372" s="6"/>
      <c r="G372" s="6"/>
      <c r="H372" s="7"/>
      <c r="I372" s="8">
        <v>1</v>
      </c>
      <c r="J372" s="9" t="s">
        <v>9</v>
      </c>
      <c r="K372" s="4" t="s">
        <v>10</v>
      </c>
      <c r="L372" s="8" t="s">
        <v>85</v>
      </c>
      <c r="M372" s="7"/>
    </row>
    <row r="373" spans="1:14" ht="21" customHeight="1" x14ac:dyDescent="0.25">
      <c r="A373" s="13" t="str">
        <f t="shared" ref="A373:A383" si="114">A372</f>
        <v>РЩ1-9 (АВР-Б-40-2-1)</v>
      </c>
      <c r="B373" s="10" t="s">
        <v>11</v>
      </c>
      <c r="C373" s="10"/>
      <c r="D373" s="11" t="s">
        <v>168</v>
      </c>
      <c r="E373" s="10" t="s">
        <v>169</v>
      </c>
      <c r="F373" s="10">
        <v>130000</v>
      </c>
      <c r="G373" s="12">
        <f>0.6*F373</f>
        <v>78000</v>
      </c>
      <c r="H373" s="12">
        <f t="shared" ref="H373:H378" si="115">G373*I373</f>
        <v>78000</v>
      </c>
      <c r="I373" s="13">
        <v>1</v>
      </c>
      <c r="J373" s="14" t="s">
        <v>12</v>
      </c>
      <c r="K373" s="10" t="s">
        <v>13</v>
      </c>
      <c r="L373" s="13" t="str">
        <f t="shared" ref="L373:L383" si="116">L372</f>
        <v>Блок9</v>
      </c>
      <c r="M373" s="12">
        <v>78000</v>
      </c>
      <c r="N373">
        <v>78000</v>
      </c>
    </row>
    <row r="374" spans="1:14" ht="21" customHeight="1" x14ac:dyDescent="0.25">
      <c r="A374" s="13" t="str">
        <f t="shared" si="114"/>
        <v>РЩ1-9 (АВР-Б-40-2-1)</v>
      </c>
      <c r="B374" s="10" t="s">
        <v>44</v>
      </c>
      <c r="C374" s="10"/>
      <c r="D374" s="11" t="s">
        <v>162</v>
      </c>
      <c r="E374" s="10" t="s">
        <v>163</v>
      </c>
      <c r="F374" s="10">
        <v>114758</v>
      </c>
      <c r="G374" s="12">
        <f>F374*0.55</f>
        <v>63116.900000000009</v>
      </c>
      <c r="H374" s="12">
        <f t="shared" si="115"/>
        <v>63116.900000000009</v>
      </c>
      <c r="I374" s="13">
        <v>1</v>
      </c>
      <c r="J374" s="14" t="s">
        <v>12</v>
      </c>
      <c r="K374" s="10" t="s">
        <v>14</v>
      </c>
      <c r="L374" s="13" t="str">
        <f t="shared" si="116"/>
        <v>Блок9</v>
      </c>
      <c r="M374" s="12">
        <v>63116.900000000009</v>
      </c>
      <c r="N374">
        <v>63116.900000000009</v>
      </c>
    </row>
    <row r="375" spans="1:14" ht="21" customHeight="1" x14ac:dyDescent="0.25">
      <c r="A375" s="13" t="str">
        <f t="shared" si="114"/>
        <v>РЩ1-9 (АВР-Б-40-2-1)</v>
      </c>
      <c r="B375" s="10" t="s">
        <v>27</v>
      </c>
      <c r="C375" s="10"/>
      <c r="D375" s="11">
        <v>126505</v>
      </c>
      <c r="E375" s="10" t="s">
        <v>45</v>
      </c>
      <c r="F375" s="10">
        <v>15740</v>
      </c>
      <c r="G375" s="12">
        <f>F375*0.55</f>
        <v>8657</v>
      </c>
      <c r="H375" s="12">
        <f t="shared" si="115"/>
        <v>17314</v>
      </c>
      <c r="I375" s="13">
        <v>2</v>
      </c>
      <c r="J375" s="14" t="s">
        <v>12</v>
      </c>
      <c r="K375" s="10" t="s">
        <v>28</v>
      </c>
      <c r="L375" s="13" t="str">
        <f t="shared" si="116"/>
        <v>Блок9</v>
      </c>
      <c r="M375" s="12">
        <v>17314</v>
      </c>
      <c r="N375">
        <v>17314</v>
      </c>
    </row>
    <row r="376" spans="1:14" ht="21" customHeight="1" x14ac:dyDescent="0.25">
      <c r="A376" s="13" t="str">
        <f t="shared" si="114"/>
        <v>РЩ1-9 (АВР-Б-40-2-1)</v>
      </c>
      <c r="B376" s="10" t="s">
        <v>27</v>
      </c>
      <c r="C376" s="10"/>
      <c r="D376" s="11">
        <v>126677</v>
      </c>
      <c r="E376" s="10" t="s">
        <v>43</v>
      </c>
      <c r="F376" s="10">
        <v>14742</v>
      </c>
      <c r="G376" s="12">
        <f>F376*0.55</f>
        <v>8108.1</v>
      </c>
      <c r="H376" s="12">
        <f t="shared" si="115"/>
        <v>24324.300000000003</v>
      </c>
      <c r="I376" s="13">
        <v>3</v>
      </c>
      <c r="J376" s="14" t="s">
        <v>12</v>
      </c>
      <c r="K376" s="10" t="s">
        <v>28</v>
      </c>
      <c r="L376" s="13" t="str">
        <f t="shared" si="116"/>
        <v>Блок9</v>
      </c>
      <c r="M376" s="12">
        <v>24324.300000000003</v>
      </c>
      <c r="N376">
        <v>24324.300000000003</v>
      </c>
    </row>
    <row r="377" spans="1:14" ht="21" customHeight="1" x14ac:dyDescent="0.25">
      <c r="A377" s="13" t="str">
        <f t="shared" si="114"/>
        <v>РЩ1-9 (АВР-Б-40-2-1)</v>
      </c>
      <c r="B377" s="10" t="s">
        <v>17</v>
      </c>
      <c r="C377" s="10"/>
      <c r="D377" s="11">
        <v>814174</v>
      </c>
      <c r="E377" s="10" t="s">
        <v>46</v>
      </c>
      <c r="F377" s="10">
        <v>4823</v>
      </c>
      <c r="G377" s="12">
        <f>F377*0.55</f>
        <v>2652.65</v>
      </c>
      <c r="H377" s="12">
        <f t="shared" si="115"/>
        <v>5305.3</v>
      </c>
      <c r="I377" s="13">
        <v>2</v>
      </c>
      <c r="J377" s="14" t="s">
        <v>12</v>
      </c>
      <c r="K377" s="10" t="s">
        <v>28</v>
      </c>
      <c r="L377" s="13" t="str">
        <f t="shared" si="116"/>
        <v>Блок9</v>
      </c>
      <c r="M377" s="12">
        <v>5305.3</v>
      </c>
      <c r="N377">
        <v>5305.3</v>
      </c>
    </row>
    <row r="378" spans="1:14" ht="21" customHeight="1" x14ac:dyDescent="0.25">
      <c r="A378" s="13" t="str">
        <f t="shared" si="114"/>
        <v>РЩ1-9 (АВР-Б-40-2-1)</v>
      </c>
      <c r="B378" s="10" t="s">
        <v>17</v>
      </c>
      <c r="C378" s="10"/>
      <c r="D378" s="11">
        <v>814167</v>
      </c>
      <c r="E378" s="10" t="s">
        <v>48</v>
      </c>
      <c r="F378" s="10">
        <v>5187</v>
      </c>
      <c r="G378" s="12">
        <f>F378*0.55</f>
        <v>2852.8500000000004</v>
      </c>
      <c r="H378" s="12">
        <f t="shared" si="115"/>
        <v>2852.8500000000004</v>
      </c>
      <c r="I378" s="13">
        <v>1</v>
      </c>
      <c r="J378" s="14" t="s">
        <v>12</v>
      </c>
      <c r="K378" s="10" t="s">
        <v>28</v>
      </c>
      <c r="L378" s="13" t="str">
        <f t="shared" si="116"/>
        <v>Блок9</v>
      </c>
      <c r="M378" s="12">
        <v>2852.8500000000004</v>
      </c>
      <c r="N378">
        <v>2852.8500000000004</v>
      </c>
    </row>
    <row r="379" spans="1:14" ht="21" customHeight="1" x14ac:dyDescent="0.25">
      <c r="A379" s="13" t="str">
        <f t="shared" si="114"/>
        <v>РЩ1-9 (АВР-Б-40-2-1)</v>
      </c>
      <c r="B379" s="10" t="s">
        <v>15</v>
      </c>
      <c r="C379" s="10"/>
      <c r="D379" s="11" t="s">
        <v>179</v>
      </c>
      <c r="E379" s="10" t="s">
        <v>180</v>
      </c>
      <c r="F379" s="10">
        <v>83000</v>
      </c>
      <c r="G379" s="12">
        <f>F379</f>
        <v>83000</v>
      </c>
      <c r="H379" s="12">
        <v>39100</v>
      </c>
      <c r="I379" s="13">
        <v>1</v>
      </c>
      <c r="J379" s="14" t="s">
        <v>12</v>
      </c>
      <c r="K379" s="10" t="s">
        <v>16</v>
      </c>
      <c r="L379" s="13" t="str">
        <f t="shared" si="116"/>
        <v>Блок9</v>
      </c>
      <c r="M379" s="12">
        <v>39100</v>
      </c>
      <c r="N379">
        <v>39100</v>
      </c>
    </row>
    <row r="380" spans="1:14" ht="21" customHeight="1" x14ac:dyDescent="0.25">
      <c r="A380" s="13" t="str">
        <f t="shared" si="114"/>
        <v>РЩ1-9 (АВР-Б-40-2-1)</v>
      </c>
      <c r="B380" s="10" t="s">
        <v>30</v>
      </c>
      <c r="C380" s="10"/>
      <c r="D380" s="11"/>
      <c r="E380" s="10" t="s">
        <v>31</v>
      </c>
      <c r="F380" s="10">
        <v>4500</v>
      </c>
      <c r="G380" s="12">
        <f>F380*0.55</f>
        <v>2475</v>
      </c>
      <c r="H380" s="12">
        <f>G380*I380</f>
        <v>14850</v>
      </c>
      <c r="I380" s="13">
        <v>6</v>
      </c>
      <c r="J380" s="14" t="s">
        <v>12</v>
      </c>
      <c r="K380" s="10" t="s">
        <v>25</v>
      </c>
      <c r="L380" s="13" t="e">
        <f>#REF!</f>
        <v>#REF!</v>
      </c>
      <c r="M380" s="12">
        <v>14850</v>
      </c>
      <c r="N380">
        <v>14850</v>
      </c>
    </row>
    <row r="381" spans="1:14" ht="24" customHeight="1" x14ac:dyDescent="0.25">
      <c r="A381" s="10" t="str">
        <f t="shared" si="114"/>
        <v>РЩ1-9 (АВР-Б-40-2-1)</v>
      </c>
      <c r="B381" s="10" t="s">
        <v>19</v>
      </c>
      <c r="C381" s="10"/>
      <c r="D381" s="11" t="s">
        <v>19</v>
      </c>
      <c r="E381" s="10" t="s">
        <v>19</v>
      </c>
      <c r="F381" s="10">
        <f ca="1">OFFSET(F381,1,2)</f>
        <v>39000</v>
      </c>
      <c r="G381" s="12">
        <f ca="1">F381*0.55</f>
        <v>21450</v>
      </c>
      <c r="H381" s="12">
        <f ca="1">G381*I381</f>
        <v>21450</v>
      </c>
      <c r="I381" s="10">
        <v>1</v>
      </c>
      <c r="J381" s="10" t="s">
        <v>12</v>
      </c>
      <c r="K381" s="10" t="s">
        <v>19</v>
      </c>
      <c r="L381" s="13" t="e">
        <f t="shared" si="116"/>
        <v>#REF!</v>
      </c>
      <c r="M381" s="12">
        <v>21450</v>
      </c>
      <c r="N381">
        <v>21450</v>
      </c>
    </row>
    <row r="382" spans="1:14" ht="21" customHeight="1" x14ac:dyDescent="0.25">
      <c r="A382" s="10" t="str">
        <f t="shared" si="114"/>
        <v>РЩ1-9 (АВР-Б-40-2-1)</v>
      </c>
      <c r="B382" s="10" t="s">
        <v>20</v>
      </c>
      <c r="C382" s="10"/>
      <c r="D382" s="11" t="s">
        <v>20</v>
      </c>
      <c r="E382" s="10" t="s">
        <v>20</v>
      </c>
      <c r="F382" s="10">
        <v>6.5</v>
      </c>
      <c r="G382" s="12">
        <v>100</v>
      </c>
      <c r="H382" s="12">
        <f>G382*I382</f>
        <v>39000</v>
      </c>
      <c r="I382" s="10">
        <f>60*F382</f>
        <v>390</v>
      </c>
      <c r="J382" s="10" t="s">
        <v>12</v>
      </c>
      <c r="K382" s="10" t="s">
        <v>20</v>
      </c>
      <c r="L382" s="13" t="e">
        <f t="shared" si="116"/>
        <v>#REF!</v>
      </c>
      <c r="M382" s="12">
        <v>39000</v>
      </c>
      <c r="N382">
        <v>39000</v>
      </c>
    </row>
    <row r="383" spans="1:14" ht="30" customHeight="1" x14ac:dyDescent="0.25">
      <c r="A383" s="15" t="str">
        <f t="shared" si="114"/>
        <v>РЩ1-9 (АВР-Б-40-2-1)</v>
      </c>
      <c r="B383" s="15"/>
      <c r="C383" s="15"/>
      <c r="D383" s="15"/>
      <c r="E383" s="16"/>
      <c r="F383" s="17"/>
      <c r="G383" s="12">
        <f>F383*0.55</f>
        <v>0</v>
      </c>
      <c r="H383" s="18">
        <f ca="1">SUM(H373:H382)</f>
        <v>305313.34999999998</v>
      </c>
      <c r="I383" s="15"/>
      <c r="J383" s="19"/>
      <c r="K383" s="15"/>
      <c r="L383" s="13" t="e">
        <f t="shared" si="116"/>
        <v>#REF!</v>
      </c>
      <c r="M383" s="18">
        <v>305313.34999999998</v>
      </c>
      <c r="N383">
        <v>305313.34999999998</v>
      </c>
    </row>
    <row r="384" spans="1:14" ht="39.75" customHeight="1" x14ac:dyDescent="0.25">
      <c r="A384" s="8" t="str">
        <f>E384</f>
        <v>РУ1-10</v>
      </c>
      <c r="B384" s="4"/>
      <c r="C384" s="4"/>
      <c r="D384" s="5"/>
      <c r="E384" s="4" t="s">
        <v>87</v>
      </c>
      <c r="F384" s="6"/>
      <c r="G384" s="6"/>
      <c r="H384" s="7"/>
      <c r="I384" s="8">
        <v>1</v>
      </c>
      <c r="J384" s="9" t="s">
        <v>9</v>
      </c>
      <c r="K384" s="4" t="s">
        <v>10</v>
      </c>
      <c r="L384" s="8" t="s">
        <v>88</v>
      </c>
      <c r="M384" s="7"/>
    </row>
    <row r="385" spans="1:14" ht="21" customHeight="1" x14ac:dyDescent="0.25">
      <c r="A385" s="13" t="str">
        <f t="shared" ref="A385:A391" si="117">A384</f>
        <v>РУ1-10</v>
      </c>
      <c r="B385" s="10" t="s">
        <v>11</v>
      </c>
      <c r="C385" s="10"/>
      <c r="D385" s="11" t="s">
        <v>170</v>
      </c>
      <c r="E385" s="10" t="s">
        <v>171</v>
      </c>
      <c r="F385" s="10">
        <v>145000</v>
      </c>
      <c r="G385" s="12">
        <f>0.6*F385</f>
        <v>87000</v>
      </c>
      <c r="H385" s="12">
        <f t="shared" ref="H385:H390" si="118">G385*I385</f>
        <v>87000</v>
      </c>
      <c r="I385" s="13">
        <v>1</v>
      </c>
      <c r="J385" s="14" t="s">
        <v>12</v>
      </c>
      <c r="K385" s="10" t="s">
        <v>13</v>
      </c>
      <c r="L385" s="13" t="str">
        <f t="shared" ref="L385:L391" si="119">L384</f>
        <v>Блок10</v>
      </c>
      <c r="M385" s="12">
        <v>87000</v>
      </c>
      <c r="N385">
        <v>87000</v>
      </c>
    </row>
    <row r="386" spans="1:14" ht="21" customHeight="1" x14ac:dyDescent="0.25">
      <c r="A386" s="13" t="str">
        <f t="shared" si="117"/>
        <v>РУ1-10</v>
      </c>
      <c r="B386" s="10" t="s">
        <v>27</v>
      </c>
      <c r="C386" s="10"/>
      <c r="D386" s="11">
        <v>126586</v>
      </c>
      <c r="E386" s="10" t="s">
        <v>68</v>
      </c>
      <c r="F386" s="10">
        <v>29484</v>
      </c>
      <c r="G386" s="12">
        <f t="shared" ref="G386:G391" si="120">F386*0.55</f>
        <v>16216.2</v>
      </c>
      <c r="H386" s="12">
        <f t="shared" si="118"/>
        <v>16216.2</v>
      </c>
      <c r="I386" s="13">
        <v>1</v>
      </c>
      <c r="J386" s="14" t="s">
        <v>12</v>
      </c>
      <c r="K386" s="10" t="s">
        <v>28</v>
      </c>
      <c r="L386" s="13" t="str">
        <f t="shared" si="119"/>
        <v>Блок10</v>
      </c>
      <c r="M386" s="12">
        <v>16216.2</v>
      </c>
      <c r="N386">
        <v>16216.2</v>
      </c>
    </row>
    <row r="387" spans="1:14" ht="21" customHeight="1" x14ac:dyDescent="0.25">
      <c r="A387" s="13" t="str">
        <f t="shared" si="117"/>
        <v>РУ1-10</v>
      </c>
      <c r="B387" s="10" t="s">
        <v>27</v>
      </c>
      <c r="C387" s="10"/>
      <c r="D387" s="11">
        <v>126584</v>
      </c>
      <c r="E387" s="10" t="s">
        <v>34</v>
      </c>
      <c r="F387" s="10">
        <v>28756</v>
      </c>
      <c r="G387" s="12">
        <f t="shared" si="120"/>
        <v>15815.800000000001</v>
      </c>
      <c r="H387" s="12">
        <f t="shared" si="118"/>
        <v>31631.600000000002</v>
      </c>
      <c r="I387" s="13">
        <v>2</v>
      </c>
      <c r="J387" s="14" t="s">
        <v>12</v>
      </c>
      <c r="K387" s="10" t="s">
        <v>28</v>
      </c>
      <c r="L387" s="13" t="str">
        <f t="shared" si="119"/>
        <v>Блок10</v>
      </c>
      <c r="M387" s="12">
        <v>31631.600000000002</v>
      </c>
      <c r="N387">
        <v>31631.600000000002</v>
      </c>
    </row>
    <row r="388" spans="1:14" ht="21" customHeight="1" x14ac:dyDescent="0.25">
      <c r="A388" s="13" t="str">
        <f t="shared" si="117"/>
        <v>РУ1-10</v>
      </c>
      <c r="B388" s="10" t="s">
        <v>27</v>
      </c>
      <c r="C388" s="10"/>
      <c r="D388" s="11">
        <v>126507</v>
      </c>
      <c r="E388" s="10" t="s">
        <v>35</v>
      </c>
      <c r="F388" s="10">
        <v>17108</v>
      </c>
      <c r="G388" s="12">
        <f t="shared" si="120"/>
        <v>9409.4000000000015</v>
      </c>
      <c r="H388" s="12">
        <f t="shared" si="118"/>
        <v>18818.800000000003</v>
      </c>
      <c r="I388" s="13">
        <v>2</v>
      </c>
      <c r="J388" s="14" t="s">
        <v>12</v>
      </c>
      <c r="K388" s="10" t="s">
        <v>28</v>
      </c>
      <c r="L388" s="13" t="str">
        <f t="shared" si="119"/>
        <v>Блок10</v>
      </c>
      <c r="M388" s="12">
        <v>18818.800000000003</v>
      </c>
      <c r="N388">
        <v>18818.800000000003</v>
      </c>
    </row>
    <row r="389" spans="1:14" ht="24" customHeight="1" x14ac:dyDescent="0.25">
      <c r="A389" s="10" t="str">
        <f t="shared" si="117"/>
        <v>РУ1-10</v>
      </c>
      <c r="B389" s="10" t="s">
        <v>19</v>
      </c>
      <c r="C389" s="10"/>
      <c r="D389" s="11" t="s">
        <v>19</v>
      </c>
      <c r="E389" s="10" t="s">
        <v>19</v>
      </c>
      <c r="F389" s="10">
        <f ca="1">OFFSET(F389,1,2)</f>
        <v>27000</v>
      </c>
      <c r="G389" s="12">
        <f ca="1">F389*0.55</f>
        <v>14850.000000000002</v>
      </c>
      <c r="H389" s="12">
        <f ca="1">G389*I389</f>
        <v>14850.000000000002</v>
      </c>
      <c r="I389" s="10">
        <v>1</v>
      </c>
      <c r="J389" s="10" t="s">
        <v>12</v>
      </c>
      <c r="K389" s="10" t="s">
        <v>19</v>
      </c>
      <c r="L389" s="13" t="str">
        <f t="shared" si="119"/>
        <v>Блок10</v>
      </c>
      <c r="M389" s="12">
        <v>14850.000000000002</v>
      </c>
      <c r="N389">
        <v>14850.000000000002</v>
      </c>
    </row>
    <row r="390" spans="1:14" ht="21" customHeight="1" x14ac:dyDescent="0.25">
      <c r="A390" s="10" t="str">
        <f t="shared" si="117"/>
        <v>РУ1-10</v>
      </c>
      <c r="B390" s="10" t="s">
        <v>20</v>
      </c>
      <c r="C390" s="10"/>
      <c r="D390" s="11" t="s">
        <v>20</v>
      </c>
      <c r="E390" s="10" t="s">
        <v>20</v>
      </c>
      <c r="F390" s="10">
        <v>4.5</v>
      </c>
      <c r="G390" s="12">
        <v>100</v>
      </c>
      <c r="H390" s="12">
        <f t="shared" si="118"/>
        <v>27000</v>
      </c>
      <c r="I390" s="10">
        <f>60*F390</f>
        <v>270</v>
      </c>
      <c r="J390" s="10" t="s">
        <v>12</v>
      </c>
      <c r="K390" s="10" t="s">
        <v>20</v>
      </c>
      <c r="L390" s="13" t="str">
        <f t="shared" si="119"/>
        <v>Блок10</v>
      </c>
      <c r="M390" s="12">
        <v>27000</v>
      </c>
      <c r="N390">
        <v>27000</v>
      </c>
    </row>
    <row r="391" spans="1:14" ht="30" customHeight="1" x14ac:dyDescent="0.25">
      <c r="A391" s="15" t="str">
        <f t="shared" si="117"/>
        <v>РУ1-10</v>
      </c>
      <c r="B391" s="15"/>
      <c r="C391" s="15"/>
      <c r="D391" s="15"/>
      <c r="E391" s="16"/>
      <c r="F391" s="17"/>
      <c r="G391" s="12">
        <f t="shared" si="120"/>
        <v>0</v>
      </c>
      <c r="H391" s="18">
        <f ca="1">SUM(H385:H390)</f>
        <v>195516.59999999998</v>
      </c>
      <c r="I391" s="15"/>
      <c r="J391" s="19"/>
      <c r="K391" s="15"/>
      <c r="L391" s="13" t="str">
        <f t="shared" si="119"/>
        <v>Блок10</v>
      </c>
      <c r="M391" s="18">
        <v>195516.59999999998</v>
      </c>
      <c r="N391">
        <v>195516.59999999998</v>
      </c>
    </row>
    <row r="392" spans="1:14" ht="39.75" customHeight="1" x14ac:dyDescent="0.25">
      <c r="A392" s="8" t="str">
        <f>E392</f>
        <v>ЩУР.МОП1-10</v>
      </c>
      <c r="B392" s="4"/>
      <c r="C392" s="4"/>
      <c r="D392" s="5"/>
      <c r="E392" s="4" t="s">
        <v>89</v>
      </c>
      <c r="F392" s="6"/>
      <c r="G392" s="6"/>
      <c r="H392" s="7"/>
      <c r="I392" s="8">
        <v>1</v>
      </c>
      <c r="J392" s="9" t="s">
        <v>9</v>
      </c>
      <c r="K392" s="4" t="s">
        <v>10</v>
      </c>
      <c r="L392" s="8" t="s">
        <v>88</v>
      </c>
      <c r="M392" s="7"/>
    </row>
    <row r="393" spans="1:14" ht="21" customHeight="1" x14ac:dyDescent="0.25">
      <c r="A393" s="13" t="str">
        <f t="shared" ref="A393:A399" si="121">A392</f>
        <v>ЩУР.МОП1-10</v>
      </c>
      <c r="B393" s="10" t="s">
        <v>11</v>
      </c>
      <c r="C393" s="10"/>
      <c r="D393" s="11" t="s">
        <v>40</v>
      </c>
      <c r="E393" s="10" t="s">
        <v>41</v>
      </c>
      <c r="F393" s="10">
        <v>18000</v>
      </c>
      <c r="G393" s="12">
        <f>0.6*F393</f>
        <v>10800</v>
      </c>
      <c r="H393" s="12">
        <f>G393*I393</f>
        <v>10800</v>
      </c>
      <c r="I393" s="13">
        <v>1</v>
      </c>
      <c r="J393" s="14" t="s">
        <v>12</v>
      </c>
      <c r="K393" s="10" t="s">
        <v>13</v>
      </c>
      <c r="L393" s="13" t="str">
        <f t="shared" ref="L393:L399" si="122">L392</f>
        <v>Блок10</v>
      </c>
      <c r="M393" s="12">
        <v>10800</v>
      </c>
      <c r="N393">
        <v>10800</v>
      </c>
    </row>
    <row r="394" spans="1:14" ht="21" customHeight="1" x14ac:dyDescent="0.25">
      <c r="A394" s="13" t="str">
        <f t="shared" si="121"/>
        <v>ЩУР.МОП1-10</v>
      </c>
      <c r="B394" s="10" t="s">
        <v>17</v>
      </c>
      <c r="C394" s="10"/>
      <c r="D394" s="11">
        <v>296830</v>
      </c>
      <c r="E394" s="10" t="s">
        <v>149</v>
      </c>
      <c r="F394" s="10">
        <v>1554</v>
      </c>
      <c r="G394" s="12">
        <f>F394*0.55</f>
        <v>854.7</v>
      </c>
      <c r="H394" s="12">
        <f>G394*I394</f>
        <v>854.7</v>
      </c>
      <c r="I394" s="13">
        <v>1</v>
      </c>
      <c r="J394" s="14" t="s">
        <v>12</v>
      </c>
      <c r="K394" s="10" t="s">
        <v>28</v>
      </c>
      <c r="L394" s="13" t="str">
        <f t="shared" si="122"/>
        <v>Блок10</v>
      </c>
      <c r="M394" s="12">
        <v>854.7</v>
      </c>
      <c r="N394">
        <v>854.7</v>
      </c>
    </row>
    <row r="395" spans="1:14" ht="21" customHeight="1" x14ac:dyDescent="0.25">
      <c r="A395" s="13" t="str">
        <f t="shared" si="121"/>
        <v>ЩУР.МОП1-10</v>
      </c>
      <c r="B395" s="10" t="s">
        <v>17</v>
      </c>
      <c r="C395" s="10"/>
      <c r="D395" s="11">
        <v>296829</v>
      </c>
      <c r="E395" s="10" t="s">
        <v>148</v>
      </c>
      <c r="F395" s="10">
        <v>2111</v>
      </c>
      <c r="G395" s="12">
        <f>F395*0.55</f>
        <v>1161.0500000000002</v>
      </c>
      <c r="H395" s="12">
        <f>G395*I395</f>
        <v>4644.2000000000007</v>
      </c>
      <c r="I395" s="13">
        <v>4</v>
      </c>
      <c r="J395" s="14" t="s">
        <v>12</v>
      </c>
      <c r="K395" s="10" t="s">
        <v>28</v>
      </c>
      <c r="L395" s="13" t="str">
        <f t="shared" si="122"/>
        <v>Блок10</v>
      </c>
      <c r="M395" s="12">
        <v>4644.2000000000007</v>
      </c>
      <c r="N395">
        <v>4644.2000000000007</v>
      </c>
    </row>
    <row r="396" spans="1:14" ht="21" customHeight="1" x14ac:dyDescent="0.25">
      <c r="A396" s="13" t="str">
        <f t="shared" si="121"/>
        <v>ЩУР.МОП1-10</v>
      </c>
      <c r="B396" s="10" t="s">
        <v>15</v>
      </c>
      <c r="C396" s="10"/>
      <c r="D396" s="11" t="s">
        <v>179</v>
      </c>
      <c r="E396" s="10" t="s">
        <v>180</v>
      </c>
      <c r="F396" s="10">
        <v>83000</v>
      </c>
      <c r="G396" s="12">
        <f>F396</f>
        <v>83000</v>
      </c>
      <c r="H396" s="12">
        <v>39100</v>
      </c>
      <c r="I396" s="13">
        <v>1</v>
      </c>
      <c r="J396" s="14" t="s">
        <v>12</v>
      </c>
      <c r="K396" s="10" t="s">
        <v>16</v>
      </c>
      <c r="L396" s="13" t="str">
        <f t="shared" si="122"/>
        <v>Блок10</v>
      </c>
      <c r="M396" s="12">
        <v>39100</v>
      </c>
      <c r="N396">
        <v>39100</v>
      </c>
    </row>
    <row r="397" spans="1:14" ht="24" customHeight="1" x14ac:dyDescent="0.25">
      <c r="A397" s="10" t="str">
        <f t="shared" si="121"/>
        <v>ЩУР.МОП1-10</v>
      </c>
      <c r="B397" s="10" t="s">
        <v>19</v>
      </c>
      <c r="C397" s="10"/>
      <c r="D397" s="11" t="s">
        <v>19</v>
      </c>
      <c r="E397" s="10" t="s">
        <v>19</v>
      </c>
      <c r="F397" s="10">
        <f ca="1">OFFSET(F397,1,2)</f>
        <v>12000</v>
      </c>
      <c r="G397" s="12">
        <f ca="1">F397*0.55</f>
        <v>6600.0000000000009</v>
      </c>
      <c r="H397" s="12">
        <f ca="1">G397*I397</f>
        <v>6600.0000000000009</v>
      </c>
      <c r="I397" s="10">
        <v>1</v>
      </c>
      <c r="J397" s="10" t="s">
        <v>12</v>
      </c>
      <c r="K397" s="10" t="s">
        <v>19</v>
      </c>
      <c r="L397" s="13" t="str">
        <f t="shared" si="122"/>
        <v>Блок10</v>
      </c>
      <c r="M397" s="12">
        <v>6600.0000000000009</v>
      </c>
      <c r="N397">
        <v>6600.0000000000009</v>
      </c>
    </row>
    <row r="398" spans="1:14" ht="21" customHeight="1" x14ac:dyDescent="0.25">
      <c r="A398" s="10" t="str">
        <f t="shared" si="121"/>
        <v>ЩУР.МОП1-10</v>
      </c>
      <c r="B398" s="10" t="s">
        <v>20</v>
      </c>
      <c r="C398" s="10"/>
      <c r="D398" s="11" t="s">
        <v>20</v>
      </c>
      <c r="E398" s="10" t="s">
        <v>20</v>
      </c>
      <c r="F398" s="10">
        <v>2</v>
      </c>
      <c r="G398" s="12">
        <v>100</v>
      </c>
      <c r="H398" s="12">
        <f>G398*I398</f>
        <v>12000</v>
      </c>
      <c r="I398" s="10">
        <f>60*F398</f>
        <v>120</v>
      </c>
      <c r="J398" s="10" t="s">
        <v>12</v>
      </c>
      <c r="K398" s="10" t="s">
        <v>20</v>
      </c>
      <c r="L398" s="13" t="str">
        <f t="shared" si="122"/>
        <v>Блок10</v>
      </c>
      <c r="M398" s="12">
        <v>12000</v>
      </c>
      <c r="N398">
        <v>12000</v>
      </c>
    </row>
    <row r="399" spans="1:14" ht="30" customHeight="1" x14ac:dyDescent="0.25">
      <c r="A399" s="15" t="str">
        <f t="shared" si="121"/>
        <v>ЩУР.МОП1-10</v>
      </c>
      <c r="B399" s="15"/>
      <c r="C399" s="15"/>
      <c r="D399" s="15"/>
      <c r="E399" s="16"/>
      <c r="F399" s="17"/>
      <c r="G399" s="12">
        <f>F399*0.55</f>
        <v>0</v>
      </c>
      <c r="H399" s="18">
        <f ca="1">SUM(H393:H398)</f>
        <v>73998.899999999994</v>
      </c>
      <c r="I399" s="15"/>
      <c r="J399" s="19"/>
      <c r="K399" s="15"/>
      <c r="L399" s="13" t="str">
        <f t="shared" si="122"/>
        <v>Блок10</v>
      </c>
      <c r="M399" s="18">
        <v>73998.899999999994</v>
      </c>
      <c r="N399">
        <v>73998.899999999994</v>
      </c>
    </row>
    <row r="400" spans="1:14" ht="39.75" customHeight="1" x14ac:dyDescent="0.25">
      <c r="A400" s="8" t="str">
        <f>E400</f>
        <v>РЩ1-10 (АВР-Б-40-2-1)</v>
      </c>
      <c r="B400" s="4"/>
      <c r="C400" s="4"/>
      <c r="D400" s="5"/>
      <c r="E400" s="4" t="s">
        <v>142</v>
      </c>
      <c r="F400" s="6"/>
      <c r="G400" s="6"/>
      <c r="H400" s="7"/>
      <c r="I400" s="8">
        <v>1</v>
      </c>
      <c r="J400" s="9" t="s">
        <v>9</v>
      </c>
      <c r="K400" s="4" t="s">
        <v>10</v>
      </c>
      <c r="L400" s="8" t="s">
        <v>88</v>
      </c>
      <c r="M400" s="7"/>
    </row>
    <row r="401" spans="1:14" ht="21" customHeight="1" x14ac:dyDescent="0.25">
      <c r="A401" s="13" t="str">
        <f t="shared" ref="A401:A411" si="123">A400</f>
        <v>РЩ1-10 (АВР-Б-40-2-1)</v>
      </c>
      <c r="B401" s="10" t="s">
        <v>11</v>
      </c>
      <c r="C401" s="10"/>
      <c r="D401" s="11" t="s">
        <v>168</v>
      </c>
      <c r="E401" s="10" t="s">
        <v>169</v>
      </c>
      <c r="F401" s="10">
        <v>130000</v>
      </c>
      <c r="G401" s="12">
        <f>0.6*F401</f>
        <v>78000</v>
      </c>
      <c r="H401" s="12">
        <f t="shared" ref="H401:H406" si="124">G401*I401</f>
        <v>78000</v>
      </c>
      <c r="I401" s="13">
        <v>1</v>
      </c>
      <c r="J401" s="14" t="s">
        <v>12</v>
      </c>
      <c r="K401" s="10" t="s">
        <v>13</v>
      </c>
      <c r="L401" s="13" t="str">
        <f t="shared" ref="L401:L411" si="125">L400</f>
        <v>Блок10</v>
      </c>
      <c r="M401" s="12">
        <v>78000</v>
      </c>
      <c r="N401">
        <v>78000</v>
      </c>
    </row>
    <row r="402" spans="1:14" ht="21" customHeight="1" x14ac:dyDescent="0.25">
      <c r="A402" s="13" t="str">
        <f t="shared" si="123"/>
        <v>РЩ1-10 (АВР-Б-40-2-1)</v>
      </c>
      <c r="B402" s="10" t="s">
        <v>44</v>
      </c>
      <c r="C402" s="10"/>
      <c r="D402" s="11" t="s">
        <v>162</v>
      </c>
      <c r="E402" s="10" t="s">
        <v>163</v>
      </c>
      <c r="F402" s="10">
        <v>114758</v>
      </c>
      <c r="G402" s="12">
        <f>F402*0.55</f>
        <v>63116.900000000009</v>
      </c>
      <c r="H402" s="12">
        <f t="shared" si="124"/>
        <v>63116.900000000009</v>
      </c>
      <c r="I402" s="13">
        <v>1</v>
      </c>
      <c r="J402" s="14" t="s">
        <v>12</v>
      </c>
      <c r="K402" s="10" t="s">
        <v>14</v>
      </c>
      <c r="L402" s="13" t="str">
        <f t="shared" si="125"/>
        <v>Блок10</v>
      </c>
      <c r="M402" s="12">
        <v>63116.900000000009</v>
      </c>
      <c r="N402">
        <v>63116.900000000009</v>
      </c>
    </row>
    <row r="403" spans="1:14" ht="21" customHeight="1" x14ac:dyDescent="0.25">
      <c r="A403" s="13" t="str">
        <f t="shared" si="123"/>
        <v>РЩ1-10 (АВР-Б-40-2-1)</v>
      </c>
      <c r="B403" s="10" t="s">
        <v>27</v>
      </c>
      <c r="C403" s="10"/>
      <c r="D403" s="11">
        <v>126505</v>
      </c>
      <c r="E403" s="10" t="s">
        <v>45</v>
      </c>
      <c r="F403" s="10">
        <v>15740</v>
      </c>
      <c r="G403" s="12">
        <f>F403*0.55</f>
        <v>8657</v>
      </c>
      <c r="H403" s="12">
        <f t="shared" si="124"/>
        <v>25971</v>
      </c>
      <c r="I403" s="13">
        <v>3</v>
      </c>
      <c r="J403" s="14" t="s">
        <v>12</v>
      </c>
      <c r="K403" s="10" t="s">
        <v>28</v>
      </c>
      <c r="L403" s="13" t="str">
        <f t="shared" si="125"/>
        <v>Блок10</v>
      </c>
      <c r="M403" s="12">
        <v>25971</v>
      </c>
      <c r="N403">
        <v>25971</v>
      </c>
    </row>
    <row r="404" spans="1:14" ht="21" customHeight="1" x14ac:dyDescent="0.25">
      <c r="A404" s="13" t="str">
        <f t="shared" si="123"/>
        <v>РЩ1-10 (АВР-Б-40-2-1)</v>
      </c>
      <c r="B404" s="10" t="s">
        <v>27</v>
      </c>
      <c r="C404" s="10"/>
      <c r="D404" s="11">
        <v>126677</v>
      </c>
      <c r="E404" s="10" t="s">
        <v>43</v>
      </c>
      <c r="F404" s="10">
        <v>14742</v>
      </c>
      <c r="G404" s="12">
        <f>F404*0.55</f>
        <v>8108.1</v>
      </c>
      <c r="H404" s="12">
        <f t="shared" si="124"/>
        <v>16216.2</v>
      </c>
      <c r="I404" s="13">
        <v>2</v>
      </c>
      <c r="J404" s="14" t="s">
        <v>12</v>
      </c>
      <c r="K404" s="10" t="s">
        <v>28</v>
      </c>
      <c r="L404" s="13" t="str">
        <f t="shared" si="125"/>
        <v>Блок10</v>
      </c>
      <c r="M404" s="12">
        <v>16216.2</v>
      </c>
      <c r="N404">
        <v>16216.2</v>
      </c>
    </row>
    <row r="405" spans="1:14" ht="21" customHeight="1" x14ac:dyDescent="0.25">
      <c r="A405" s="13" t="str">
        <f t="shared" si="123"/>
        <v>РЩ1-10 (АВР-Б-40-2-1)</v>
      </c>
      <c r="B405" s="10" t="s">
        <v>17</v>
      </c>
      <c r="C405" s="10"/>
      <c r="D405" s="11">
        <v>814174</v>
      </c>
      <c r="E405" s="10" t="s">
        <v>46</v>
      </c>
      <c r="F405" s="10">
        <v>4823</v>
      </c>
      <c r="G405" s="12">
        <f>F405*0.55</f>
        <v>2652.65</v>
      </c>
      <c r="H405" s="12">
        <f t="shared" si="124"/>
        <v>5305.3</v>
      </c>
      <c r="I405" s="13">
        <v>2</v>
      </c>
      <c r="J405" s="14" t="s">
        <v>12</v>
      </c>
      <c r="K405" s="10" t="s">
        <v>28</v>
      </c>
      <c r="L405" s="13" t="str">
        <f t="shared" si="125"/>
        <v>Блок10</v>
      </c>
      <c r="M405" s="12">
        <v>5305.3</v>
      </c>
      <c r="N405">
        <v>5305.3</v>
      </c>
    </row>
    <row r="406" spans="1:14" ht="21" customHeight="1" x14ac:dyDescent="0.25">
      <c r="A406" s="13" t="str">
        <f t="shared" si="123"/>
        <v>РЩ1-10 (АВР-Б-40-2-1)</v>
      </c>
      <c r="B406" s="10" t="s">
        <v>17</v>
      </c>
      <c r="C406" s="10"/>
      <c r="D406" s="11">
        <v>814167</v>
      </c>
      <c r="E406" s="10" t="s">
        <v>48</v>
      </c>
      <c r="F406" s="10">
        <v>5187</v>
      </c>
      <c r="G406" s="12">
        <f>F406*0.55</f>
        <v>2852.8500000000004</v>
      </c>
      <c r="H406" s="12">
        <f t="shared" si="124"/>
        <v>2852.8500000000004</v>
      </c>
      <c r="I406" s="13">
        <v>1</v>
      </c>
      <c r="J406" s="14" t="s">
        <v>12</v>
      </c>
      <c r="K406" s="10" t="s">
        <v>28</v>
      </c>
      <c r="L406" s="13" t="str">
        <f t="shared" si="125"/>
        <v>Блок10</v>
      </c>
      <c r="M406" s="12">
        <v>2852.8500000000004</v>
      </c>
      <c r="N406">
        <v>2852.8500000000004</v>
      </c>
    </row>
    <row r="407" spans="1:14" ht="21" customHeight="1" x14ac:dyDescent="0.25">
      <c r="A407" s="13" t="str">
        <f t="shared" si="123"/>
        <v>РЩ1-10 (АВР-Б-40-2-1)</v>
      </c>
      <c r="B407" s="10" t="s">
        <v>15</v>
      </c>
      <c r="C407" s="10"/>
      <c r="D407" s="11" t="s">
        <v>179</v>
      </c>
      <c r="E407" s="10" t="s">
        <v>180</v>
      </c>
      <c r="F407" s="10">
        <v>83000</v>
      </c>
      <c r="G407" s="12">
        <f>F407</f>
        <v>83000</v>
      </c>
      <c r="H407" s="12">
        <v>39100</v>
      </c>
      <c r="I407" s="13">
        <v>1</v>
      </c>
      <c r="J407" s="14" t="s">
        <v>12</v>
      </c>
      <c r="K407" s="10" t="s">
        <v>16</v>
      </c>
      <c r="L407" s="13" t="str">
        <f t="shared" si="125"/>
        <v>Блок10</v>
      </c>
      <c r="M407" s="12">
        <v>39100</v>
      </c>
      <c r="N407">
        <v>39100</v>
      </c>
    </row>
    <row r="408" spans="1:14" ht="21" customHeight="1" x14ac:dyDescent="0.25">
      <c r="A408" s="13" t="str">
        <f t="shared" si="123"/>
        <v>РЩ1-10 (АВР-Б-40-2-1)</v>
      </c>
      <c r="B408" s="10" t="s">
        <v>30</v>
      </c>
      <c r="C408" s="10"/>
      <c r="D408" s="11"/>
      <c r="E408" s="10" t="s">
        <v>31</v>
      </c>
      <c r="F408" s="10">
        <v>4500</v>
      </c>
      <c r="G408" s="12">
        <f>F408*0.55</f>
        <v>2475</v>
      </c>
      <c r="H408" s="12">
        <f>G408*I408</f>
        <v>14850</v>
      </c>
      <c r="I408" s="13">
        <v>6</v>
      </c>
      <c r="J408" s="14" t="s">
        <v>12</v>
      </c>
      <c r="K408" s="10" t="s">
        <v>25</v>
      </c>
      <c r="L408" s="13" t="e">
        <f>#REF!</f>
        <v>#REF!</v>
      </c>
      <c r="M408" s="12">
        <v>14850</v>
      </c>
      <c r="N408">
        <v>14850</v>
      </c>
    </row>
    <row r="409" spans="1:14" ht="24" customHeight="1" x14ac:dyDescent="0.25">
      <c r="A409" s="10" t="str">
        <f t="shared" si="123"/>
        <v>РЩ1-10 (АВР-Б-40-2-1)</v>
      </c>
      <c r="B409" s="10" t="s">
        <v>19</v>
      </c>
      <c r="C409" s="10"/>
      <c r="D409" s="11" t="s">
        <v>19</v>
      </c>
      <c r="E409" s="10" t="s">
        <v>19</v>
      </c>
      <c r="F409" s="10">
        <f ca="1">OFFSET(F409,1,2)</f>
        <v>39000</v>
      </c>
      <c r="G409" s="12">
        <f ca="1">F409*0.55</f>
        <v>21450</v>
      </c>
      <c r="H409" s="12">
        <f ca="1">G409*I409</f>
        <v>21450</v>
      </c>
      <c r="I409" s="10">
        <v>1</v>
      </c>
      <c r="J409" s="10" t="s">
        <v>12</v>
      </c>
      <c r="K409" s="10" t="s">
        <v>19</v>
      </c>
      <c r="L409" s="13" t="e">
        <f t="shared" si="125"/>
        <v>#REF!</v>
      </c>
      <c r="M409" s="12">
        <v>21450</v>
      </c>
      <c r="N409">
        <v>21450</v>
      </c>
    </row>
    <row r="410" spans="1:14" ht="21" customHeight="1" x14ac:dyDescent="0.25">
      <c r="A410" s="10" t="str">
        <f t="shared" si="123"/>
        <v>РЩ1-10 (АВР-Б-40-2-1)</v>
      </c>
      <c r="B410" s="10" t="s">
        <v>20</v>
      </c>
      <c r="C410" s="10"/>
      <c r="D410" s="11" t="s">
        <v>20</v>
      </c>
      <c r="E410" s="10" t="s">
        <v>20</v>
      </c>
      <c r="F410" s="10">
        <v>6.5</v>
      </c>
      <c r="G410" s="12">
        <v>100</v>
      </c>
      <c r="H410" s="12">
        <f>G410*I410</f>
        <v>39000</v>
      </c>
      <c r="I410" s="10">
        <f>60*F410</f>
        <v>390</v>
      </c>
      <c r="J410" s="10" t="s">
        <v>12</v>
      </c>
      <c r="K410" s="10" t="s">
        <v>20</v>
      </c>
      <c r="L410" s="13" t="e">
        <f t="shared" si="125"/>
        <v>#REF!</v>
      </c>
      <c r="M410" s="12">
        <v>39000</v>
      </c>
      <c r="N410">
        <v>39000</v>
      </c>
    </row>
    <row r="411" spans="1:14" ht="30" customHeight="1" x14ac:dyDescent="0.25">
      <c r="A411" s="15" t="str">
        <f t="shared" si="123"/>
        <v>РЩ1-10 (АВР-Б-40-2-1)</v>
      </c>
      <c r="B411" s="15"/>
      <c r="C411" s="15"/>
      <c r="D411" s="15"/>
      <c r="E411" s="16"/>
      <c r="F411" s="17"/>
      <c r="G411" s="12">
        <f>F411*0.55</f>
        <v>0</v>
      </c>
      <c r="H411" s="18">
        <f ca="1">SUM(H401:H410)</f>
        <v>305862.25</v>
      </c>
      <c r="I411" s="15"/>
      <c r="J411" s="19"/>
      <c r="K411" s="15"/>
      <c r="L411" s="13" t="e">
        <f t="shared" si="125"/>
        <v>#REF!</v>
      </c>
      <c r="M411" s="18">
        <v>305862.25</v>
      </c>
      <c r="N411">
        <v>305862.25</v>
      </c>
    </row>
    <row r="412" spans="1:14" ht="39.75" customHeight="1" x14ac:dyDescent="0.25">
      <c r="A412" s="8" t="str">
        <f>E412</f>
        <v>ВРУ1-11</v>
      </c>
      <c r="B412" s="4"/>
      <c r="C412" s="4"/>
      <c r="D412" s="5"/>
      <c r="E412" s="4" t="s">
        <v>90</v>
      </c>
      <c r="F412" s="6"/>
      <c r="G412" s="6"/>
      <c r="H412" s="7"/>
      <c r="I412" s="8">
        <v>1</v>
      </c>
      <c r="J412" s="9" t="s">
        <v>9</v>
      </c>
      <c r="K412" s="4" t="s">
        <v>10</v>
      </c>
      <c r="L412" s="8" t="s">
        <v>91</v>
      </c>
      <c r="M412" s="7"/>
    </row>
    <row r="413" spans="1:14" ht="21" customHeight="1" x14ac:dyDescent="0.25">
      <c r="A413" s="13" t="str">
        <f t="shared" ref="A413:A423" si="126">A412</f>
        <v>ВРУ1-11</v>
      </c>
      <c r="B413" s="10" t="s">
        <v>11</v>
      </c>
      <c r="C413" s="10"/>
      <c r="D413" s="11" t="s">
        <v>172</v>
      </c>
      <c r="E413" s="10" t="s">
        <v>173</v>
      </c>
      <c r="F413" s="10">
        <v>156500</v>
      </c>
      <c r="G413" s="12">
        <f>0.6*F413</f>
        <v>93900</v>
      </c>
      <c r="H413" s="12">
        <f>G413*I413</f>
        <v>93900</v>
      </c>
      <c r="I413" s="13">
        <v>1</v>
      </c>
      <c r="J413" s="14" t="s">
        <v>12</v>
      </c>
      <c r="K413" s="10" t="s">
        <v>13</v>
      </c>
      <c r="L413" s="13" t="str">
        <f t="shared" ref="L413:L423" si="127">L412</f>
        <v>Блок11</v>
      </c>
      <c r="M413" s="12">
        <v>93900</v>
      </c>
      <c r="N413">
        <v>93900</v>
      </c>
    </row>
    <row r="414" spans="1:14" ht="21" customHeight="1" x14ac:dyDescent="0.25">
      <c r="A414" s="13" t="str">
        <f t="shared" si="126"/>
        <v>ВРУ1-11</v>
      </c>
      <c r="B414" s="10" t="s">
        <v>23</v>
      </c>
      <c r="C414" s="10"/>
      <c r="D414" s="11"/>
      <c r="E414" s="10" t="s">
        <v>24</v>
      </c>
      <c r="F414" s="10">
        <v>4701</v>
      </c>
      <c r="G414" s="12">
        <v>4701</v>
      </c>
      <c r="H414" s="12">
        <v>28206</v>
      </c>
      <c r="I414" s="13">
        <v>6</v>
      </c>
      <c r="J414" s="14" t="s">
        <v>12</v>
      </c>
      <c r="K414" s="10" t="s">
        <v>25</v>
      </c>
      <c r="L414" s="13" t="str">
        <f t="shared" si="127"/>
        <v>Блок11</v>
      </c>
      <c r="M414" s="12">
        <v>28206</v>
      </c>
      <c r="N414">
        <v>28206</v>
      </c>
    </row>
    <row r="415" spans="1:14" ht="21" customHeight="1" x14ac:dyDescent="0.25">
      <c r="A415" s="13" t="str">
        <f t="shared" si="126"/>
        <v>ВРУ1-11</v>
      </c>
      <c r="B415" s="10" t="s">
        <v>26</v>
      </c>
      <c r="C415" s="10"/>
      <c r="D415" s="11" t="s">
        <v>177</v>
      </c>
      <c r="E415" s="10" t="s">
        <v>178</v>
      </c>
      <c r="F415" s="10">
        <v>25500</v>
      </c>
      <c r="G415" s="12">
        <f>F415*0.55</f>
        <v>14025.000000000002</v>
      </c>
      <c r="H415" s="12">
        <f>G415*I415</f>
        <v>28050.000000000004</v>
      </c>
      <c r="I415" s="13">
        <v>2</v>
      </c>
      <c r="J415" s="14" t="s">
        <v>12</v>
      </c>
      <c r="K415" s="10" t="s">
        <v>25</v>
      </c>
      <c r="L415" s="13" t="str">
        <f t="shared" si="127"/>
        <v>Блок11</v>
      </c>
      <c r="M415" s="12">
        <v>28050.000000000004</v>
      </c>
      <c r="N415">
        <v>28050.000000000004</v>
      </c>
    </row>
    <row r="416" spans="1:14" ht="21" customHeight="1" x14ac:dyDescent="0.25">
      <c r="A416" s="13" t="str">
        <f t="shared" si="126"/>
        <v>ВРУ1-11</v>
      </c>
      <c r="B416" s="10" t="s">
        <v>127</v>
      </c>
      <c r="C416" s="10"/>
      <c r="D416" s="11" t="s">
        <v>130</v>
      </c>
      <c r="E416" s="10" t="s">
        <v>131</v>
      </c>
      <c r="F416" s="10">
        <v>4750</v>
      </c>
      <c r="G416" s="12">
        <f>F416*0.55</f>
        <v>2612.5</v>
      </c>
      <c r="H416" s="12">
        <f>G416*I416</f>
        <v>5225</v>
      </c>
      <c r="I416" s="13">
        <v>2</v>
      </c>
      <c r="J416" s="14" t="s">
        <v>12</v>
      </c>
      <c r="K416" s="10" t="s">
        <v>14</v>
      </c>
      <c r="L416" s="13" t="str">
        <f t="shared" si="127"/>
        <v>Блок11</v>
      </c>
      <c r="M416" s="12">
        <v>5225</v>
      </c>
      <c r="N416">
        <v>5225</v>
      </c>
    </row>
    <row r="417" spans="1:14" ht="21" customHeight="1" x14ac:dyDescent="0.25">
      <c r="A417" s="13" t="str">
        <f t="shared" si="126"/>
        <v>ВРУ1-11</v>
      </c>
      <c r="B417" s="10" t="s">
        <v>126</v>
      </c>
      <c r="C417" s="10"/>
      <c r="D417" s="11" t="s">
        <v>128</v>
      </c>
      <c r="E417" s="10" t="s">
        <v>129</v>
      </c>
      <c r="F417" s="10">
        <v>3317</v>
      </c>
      <c r="G417" s="12">
        <f>F417*0.55</f>
        <v>1824.3500000000001</v>
      </c>
      <c r="H417" s="12">
        <f>G417*I417</f>
        <v>3648.7000000000003</v>
      </c>
      <c r="I417" s="13">
        <v>2</v>
      </c>
      <c r="J417" s="14" t="s">
        <v>12</v>
      </c>
      <c r="K417" s="10" t="s">
        <v>14</v>
      </c>
      <c r="L417" s="13" t="str">
        <f t="shared" si="127"/>
        <v>Блок11</v>
      </c>
      <c r="M417" s="12">
        <v>3648.7000000000003</v>
      </c>
      <c r="N417">
        <v>3648.7000000000003</v>
      </c>
    </row>
    <row r="418" spans="1:14" ht="21" customHeight="1" x14ac:dyDescent="0.25">
      <c r="A418" s="13" t="str">
        <f t="shared" si="126"/>
        <v>ВРУ1-11</v>
      </c>
      <c r="B418" s="10" t="s">
        <v>17</v>
      </c>
      <c r="C418" s="10"/>
      <c r="D418" s="11">
        <v>296708</v>
      </c>
      <c r="E418" s="10" t="s">
        <v>29</v>
      </c>
      <c r="F418" s="10">
        <v>828</v>
      </c>
      <c r="G418" s="12">
        <f>F418*0.55</f>
        <v>455.40000000000003</v>
      </c>
      <c r="H418" s="12">
        <f>G418*I418</f>
        <v>910.80000000000007</v>
      </c>
      <c r="I418" s="13">
        <v>2</v>
      </c>
      <c r="J418" s="14" t="s">
        <v>12</v>
      </c>
      <c r="K418" s="10" t="s">
        <v>28</v>
      </c>
      <c r="L418" s="13" t="str">
        <f t="shared" si="127"/>
        <v>Блок11</v>
      </c>
      <c r="M418" s="12">
        <v>910.80000000000007</v>
      </c>
      <c r="N418">
        <v>910.80000000000007</v>
      </c>
    </row>
    <row r="419" spans="1:14" ht="21" customHeight="1" x14ac:dyDescent="0.25">
      <c r="A419" s="13" t="str">
        <f t="shared" si="126"/>
        <v>ВРУ1-11</v>
      </c>
      <c r="B419" s="10" t="s">
        <v>15</v>
      </c>
      <c r="C419" s="10"/>
      <c r="D419" s="11" t="s">
        <v>179</v>
      </c>
      <c r="E419" s="10" t="s">
        <v>180</v>
      </c>
      <c r="F419" s="10">
        <v>83000</v>
      </c>
      <c r="G419" s="12">
        <f>F419</f>
        <v>83000</v>
      </c>
      <c r="H419" s="12">
        <v>78200</v>
      </c>
      <c r="I419" s="13">
        <v>2</v>
      </c>
      <c r="J419" s="14" t="s">
        <v>12</v>
      </c>
      <c r="K419" s="10" t="s">
        <v>16</v>
      </c>
      <c r="L419" s="13" t="str">
        <f t="shared" si="127"/>
        <v>Блок11</v>
      </c>
      <c r="M419" s="12">
        <v>78200</v>
      </c>
      <c r="N419">
        <v>78200</v>
      </c>
    </row>
    <row r="420" spans="1:14" ht="21" customHeight="1" x14ac:dyDescent="0.25">
      <c r="A420" s="13" t="str">
        <f t="shared" si="126"/>
        <v>ВРУ1-11</v>
      </c>
      <c r="B420" s="10" t="s">
        <v>30</v>
      </c>
      <c r="C420" s="10"/>
      <c r="D420" s="11"/>
      <c r="E420" s="10" t="s">
        <v>31</v>
      </c>
      <c r="F420" s="10">
        <v>4500</v>
      </c>
      <c r="G420" s="12">
        <f>F420*0.55</f>
        <v>2475</v>
      </c>
      <c r="H420" s="12">
        <f>G420*I420</f>
        <v>14850</v>
      </c>
      <c r="I420" s="13">
        <v>6</v>
      </c>
      <c r="J420" s="14" t="s">
        <v>12</v>
      </c>
      <c r="K420" s="10" t="s">
        <v>25</v>
      </c>
      <c r="L420" s="13" t="str">
        <f t="shared" si="127"/>
        <v>Блок11</v>
      </c>
      <c r="M420" s="12">
        <v>14850</v>
      </c>
      <c r="N420">
        <v>14850</v>
      </c>
    </row>
    <row r="421" spans="1:14" ht="24" customHeight="1" x14ac:dyDescent="0.25">
      <c r="A421" s="10" t="str">
        <f t="shared" si="126"/>
        <v>ВРУ1-11</v>
      </c>
      <c r="B421" s="10" t="s">
        <v>19</v>
      </c>
      <c r="C421" s="10"/>
      <c r="D421" s="11" t="s">
        <v>19</v>
      </c>
      <c r="E421" s="10" t="s">
        <v>19</v>
      </c>
      <c r="F421" s="10">
        <f ca="1">OFFSET(F421,1,2)</f>
        <v>48000</v>
      </c>
      <c r="G421" s="12">
        <f ca="1">F421*0.55</f>
        <v>26400.000000000004</v>
      </c>
      <c r="H421" s="12">
        <f ca="1">G421*I421</f>
        <v>26400.000000000004</v>
      </c>
      <c r="I421" s="10">
        <v>1</v>
      </c>
      <c r="J421" s="10" t="s">
        <v>12</v>
      </c>
      <c r="K421" s="10" t="s">
        <v>19</v>
      </c>
      <c r="L421" s="13" t="str">
        <f t="shared" si="127"/>
        <v>Блок11</v>
      </c>
      <c r="M421" s="12">
        <v>26400.000000000004</v>
      </c>
      <c r="N421">
        <v>26400.000000000004</v>
      </c>
    </row>
    <row r="422" spans="1:14" ht="21" customHeight="1" x14ac:dyDescent="0.25">
      <c r="A422" s="10" t="str">
        <f t="shared" si="126"/>
        <v>ВРУ1-11</v>
      </c>
      <c r="B422" s="10" t="s">
        <v>20</v>
      </c>
      <c r="C422" s="10"/>
      <c r="D422" s="11" t="s">
        <v>20</v>
      </c>
      <c r="E422" s="10" t="s">
        <v>20</v>
      </c>
      <c r="F422" s="10">
        <v>8</v>
      </c>
      <c r="G422" s="12">
        <v>100</v>
      </c>
      <c r="H422" s="12">
        <f>G422*I422</f>
        <v>48000</v>
      </c>
      <c r="I422" s="10">
        <f>60*F422</f>
        <v>480</v>
      </c>
      <c r="J422" s="10" t="s">
        <v>12</v>
      </c>
      <c r="K422" s="10" t="s">
        <v>20</v>
      </c>
      <c r="L422" s="13" t="str">
        <f t="shared" si="127"/>
        <v>Блок11</v>
      </c>
      <c r="M422" s="12">
        <v>48000</v>
      </c>
      <c r="N422">
        <v>48000</v>
      </c>
    </row>
    <row r="423" spans="1:14" ht="30" customHeight="1" x14ac:dyDescent="0.25">
      <c r="A423" s="15" t="str">
        <f t="shared" si="126"/>
        <v>ВРУ1-11</v>
      </c>
      <c r="B423" s="15"/>
      <c r="C423" s="15"/>
      <c r="D423" s="15"/>
      <c r="E423" s="16"/>
      <c r="F423" s="17"/>
      <c r="G423" s="12">
        <f>F423*0.55</f>
        <v>0</v>
      </c>
      <c r="H423" s="18">
        <f ca="1">SUM(H413:H422)</f>
        <v>327390.5</v>
      </c>
      <c r="I423" s="15"/>
      <c r="J423" s="19"/>
      <c r="K423" s="15"/>
      <c r="L423" s="13" t="str">
        <f t="shared" si="127"/>
        <v>Блок11</v>
      </c>
      <c r="M423" s="18">
        <v>327390.5</v>
      </c>
      <c r="N423">
        <v>327390.5</v>
      </c>
    </row>
    <row r="424" spans="1:14" ht="39.75" customHeight="1" x14ac:dyDescent="0.25">
      <c r="A424" s="8" t="str">
        <f>E424</f>
        <v>РУ-1-11</v>
      </c>
      <c r="B424" s="4"/>
      <c r="C424" s="4"/>
      <c r="D424" s="5"/>
      <c r="E424" s="4" t="s">
        <v>92</v>
      </c>
      <c r="F424" s="6"/>
      <c r="G424" s="6"/>
      <c r="H424" s="7"/>
      <c r="I424" s="8">
        <v>1</v>
      </c>
      <c r="J424" s="9" t="s">
        <v>9</v>
      </c>
      <c r="K424" s="4" t="s">
        <v>10</v>
      </c>
      <c r="L424" s="8" t="s">
        <v>91</v>
      </c>
      <c r="M424" s="7"/>
    </row>
    <row r="425" spans="1:14" ht="21" customHeight="1" x14ac:dyDescent="0.25">
      <c r="A425" s="13" t="str">
        <f t="shared" ref="A425:A432" si="128">A424</f>
        <v>РУ-1-11</v>
      </c>
      <c r="B425" s="10" t="s">
        <v>11</v>
      </c>
      <c r="C425" s="10"/>
      <c r="D425" s="11" t="s">
        <v>170</v>
      </c>
      <c r="E425" s="10" t="s">
        <v>171</v>
      </c>
      <c r="F425" s="10">
        <v>145000</v>
      </c>
      <c r="G425" s="12">
        <f>0.6*F425</f>
        <v>87000</v>
      </c>
      <c r="H425" s="12">
        <f t="shared" ref="H425:H431" si="129">G425*I425</f>
        <v>87000</v>
      </c>
      <c r="I425" s="13">
        <v>1</v>
      </c>
      <c r="J425" s="14" t="s">
        <v>12</v>
      </c>
      <c r="K425" s="10" t="s">
        <v>13</v>
      </c>
      <c r="L425" s="13" t="str">
        <f t="shared" ref="L425:L432" si="130">L424</f>
        <v>Блок11</v>
      </c>
      <c r="M425" s="12">
        <v>87000</v>
      </c>
      <c r="N425">
        <v>87000</v>
      </c>
    </row>
    <row r="426" spans="1:14" ht="21" customHeight="1" x14ac:dyDescent="0.25">
      <c r="A426" s="13" t="str">
        <f t="shared" si="128"/>
        <v>РУ-1-11</v>
      </c>
      <c r="B426" s="10" t="s">
        <v>27</v>
      </c>
      <c r="C426" s="10"/>
      <c r="D426" s="11">
        <v>126586</v>
      </c>
      <c r="E426" s="10" t="s">
        <v>68</v>
      </c>
      <c r="F426" s="10">
        <v>29484</v>
      </c>
      <c r="G426" s="12">
        <f t="shared" ref="G426:G432" si="131">F426*0.55</f>
        <v>16216.2</v>
      </c>
      <c r="H426" s="12">
        <f t="shared" si="129"/>
        <v>16216.2</v>
      </c>
      <c r="I426" s="13">
        <v>1</v>
      </c>
      <c r="J426" s="14" t="s">
        <v>12</v>
      </c>
      <c r="K426" s="10" t="s">
        <v>28</v>
      </c>
      <c r="L426" s="13" t="str">
        <f t="shared" si="130"/>
        <v>Блок11</v>
      </c>
      <c r="M426" s="12">
        <v>16216.2</v>
      </c>
      <c r="N426">
        <v>16216.2</v>
      </c>
    </row>
    <row r="427" spans="1:14" ht="21" customHeight="1" x14ac:dyDescent="0.25">
      <c r="A427" s="13" t="str">
        <f t="shared" si="128"/>
        <v>РУ-1-11</v>
      </c>
      <c r="B427" s="10" t="s">
        <v>27</v>
      </c>
      <c r="C427" s="10"/>
      <c r="D427" s="11">
        <v>126584</v>
      </c>
      <c r="E427" s="10" t="s">
        <v>34</v>
      </c>
      <c r="F427" s="10">
        <v>28756</v>
      </c>
      <c r="G427" s="12">
        <f t="shared" si="131"/>
        <v>15815.800000000001</v>
      </c>
      <c r="H427" s="12">
        <f t="shared" si="129"/>
        <v>31631.600000000002</v>
      </c>
      <c r="I427" s="13">
        <v>2</v>
      </c>
      <c r="J427" s="14" t="s">
        <v>12</v>
      </c>
      <c r="K427" s="10" t="s">
        <v>28</v>
      </c>
      <c r="L427" s="13" t="str">
        <f t="shared" si="130"/>
        <v>Блок11</v>
      </c>
      <c r="M427" s="12">
        <v>31631.600000000002</v>
      </c>
      <c r="N427">
        <v>31631.600000000002</v>
      </c>
    </row>
    <row r="428" spans="1:14" ht="21" customHeight="1" x14ac:dyDescent="0.25">
      <c r="A428" s="13" t="str">
        <f t="shared" si="128"/>
        <v>РУ-1-11</v>
      </c>
      <c r="B428" s="10" t="s">
        <v>27</v>
      </c>
      <c r="C428" s="10"/>
      <c r="D428" s="11">
        <v>126507</v>
      </c>
      <c r="E428" s="10" t="s">
        <v>35</v>
      </c>
      <c r="F428" s="10">
        <v>17108</v>
      </c>
      <c r="G428" s="12">
        <f t="shared" si="131"/>
        <v>9409.4000000000015</v>
      </c>
      <c r="H428" s="12">
        <f t="shared" si="129"/>
        <v>18818.800000000003</v>
      </c>
      <c r="I428" s="13">
        <v>2</v>
      </c>
      <c r="J428" s="14" t="s">
        <v>12</v>
      </c>
      <c r="K428" s="10" t="s">
        <v>28</v>
      </c>
      <c r="L428" s="13" t="str">
        <f t="shared" si="130"/>
        <v>Блок11</v>
      </c>
      <c r="M428" s="12">
        <v>18818.800000000003</v>
      </c>
      <c r="N428">
        <v>18818.800000000003</v>
      </c>
    </row>
    <row r="429" spans="1:14" ht="21" customHeight="1" x14ac:dyDescent="0.25">
      <c r="A429" s="13" t="str">
        <f t="shared" si="128"/>
        <v>РУ-1-11</v>
      </c>
      <c r="B429" s="10" t="s">
        <v>27</v>
      </c>
      <c r="C429" s="10"/>
      <c r="D429" s="11">
        <v>126506</v>
      </c>
      <c r="E429" s="10" t="s">
        <v>42</v>
      </c>
      <c r="F429" s="10">
        <v>16744</v>
      </c>
      <c r="G429" s="12">
        <f t="shared" si="131"/>
        <v>9209.2000000000007</v>
      </c>
      <c r="H429" s="12">
        <f t="shared" si="129"/>
        <v>9209.2000000000007</v>
      </c>
      <c r="I429" s="13">
        <v>1</v>
      </c>
      <c r="J429" s="14" t="s">
        <v>12</v>
      </c>
      <c r="K429" s="10" t="s">
        <v>28</v>
      </c>
      <c r="L429" s="13" t="str">
        <f t="shared" si="130"/>
        <v>Блок11</v>
      </c>
      <c r="M429" s="12">
        <v>9209.2000000000007</v>
      </c>
      <c r="N429">
        <v>9209.2000000000007</v>
      </c>
    </row>
    <row r="430" spans="1:14" ht="24" customHeight="1" x14ac:dyDescent="0.25">
      <c r="A430" s="10" t="str">
        <f t="shared" si="128"/>
        <v>РУ-1-11</v>
      </c>
      <c r="B430" s="10" t="s">
        <v>19</v>
      </c>
      <c r="C430" s="10"/>
      <c r="D430" s="11" t="s">
        <v>19</v>
      </c>
      <c r="E430" s="10" t="s">
        <v>19</v>
      </c>
      <c r="F430" s="10">
        <f ca="1">OFFSET(F430,1,2)</f>
        <v>27000</v>
      </c>
      <c r="G430" s="12">
        <f ca="1">F430*0.55</f>
        <v>14850.000000000002</v>
      </c>
      <c r="H430" s="12">
        <f ca="1">G430*I430</f>
        <v>14850.000000000002</v>
      </c>
      <c r="I430" s="10">
        <v>1</v>
      </c>
      <c r="J430" s="10" t="s">
        <v>12</v>
      </c>
      <c r="K430" s="10" t="s">
        <v>19</v>
      </c>
      <c r="L430" s="13" t="str">
        <f t="shared" si="130"/>
        <v>Блок11</v>
      </c>
      <c r="M430" s="12">
        <v>14850.000000000002</v>
      </c>
      <c r="N430">
        <v>14850.000000000002</v>
      </c>
    </row>
    <row r="431" spans="1:14" ht="21" customHeight="1" x14ac:dyDescent="0.25">
      <c r="A431" s="10" t="str">
        <f t="shared" si="128"/>
        <v>РУ-1-11</v>
      </c>
      <c r="B431" s="10" t="s">
        <v>20</v>
      </c>
      <c r="C431" s="10"/>
      <c r="D431" s="11" t="s">
        <v>20</v>
      </c>
      <c r="E431" s="10" t="s">
        <v>20</v>
      </c>
      <c r="F431" s="10">
        <v>4.5</v>
      </c>
      <c r="G431" s="12">
        <v>100</v>
      </c>
      <c r="H431" s="12">
        <f t="shared" si="129"/>
        <v>27000</v>
      </c>
      <c r="I431" s="10">
        <f>60*F431</f>
        <v>270</v>
      </c>
      <c r="J431" s="10" t="s">
        <v>12</v>
      </c>
      <c r="K431" s="10" t="s">
        <v>20</v>
      </c>
      <c r="L431" s="13" t="str">
        <f t="shared" si="130"/>
        <v>Блок11</v>
      </c>
      <c r="M431" s="12">
        <v>27000</v>
      </c>
      <c r="N431">
        <v>27000</v>
      </c>
    </row>
    <row r="432" spans="1:14" ht="30" customHeight="1" x14ac:dyDescent="0.25">
      <c r="A432" s="15" t="str">
        <f t="shared" si="128"/>
        <v>РУ-1-11</v>
      </c>
      <c r="B432" s="15"/>
      <c r="C432" s="15"/>
      <c r="D432" s="15"/>
      <c r="E432" s="16"/>
      <c r="F432" s="17"/>
      <c r="G432" s="12">
        <f t="shared" si="131"/>
        <v>0</v>
      </c>
      <c r="H432" s="18">
        <f ca="1">SUM(H425:H431)</f>
        <v>204725.8</v>
      </c>
      <c r="I432" s="15"/>
      <c r="J432" s="19"/>
      <c r="K432" s="15"/>
      <c r="L432" s="13" t="str">
        <f t="shared" si="130"/>
        <v>Блок11</v>
      </c>
      <c r="M432" s="18">
        <v>204725.8</v>
      </c>
      <c r="N432">
        <v>204725.8</v>
      </c>
    </row>
    <row r="433" spans="1:14" ht="39.75" customHeight="1" x14ac:dyDescent="0.25">
      <c r="A433" s="8" t="str">
        <f>E433</f>
        <v>ЩУР.МОП1-11</v>
      </c>
      <c r="B433" s="4"/>
      <c r="C433" s="4"/>
      <c r="D433" s="5"/>
      <c r="E433" s="4" t="s">
        <v>93</v>
      </c>
      <c r="F433" s="6"/>
      <c r="G433" s="6"/>
      <c r="H433" s="7"/>
      <c r="I433" s="8">
        <v>1</v>
      </c>
      <c r="J433" s="9" t="s">
        <v>9</v>
      </c>
      <c r="K433" s="4" t="s">
        <v>10</v>
      </c>
      <c r="L433" s="8" t="s">
        <v>91</v>
      </c>
      <c r="M433" s="7"/>
    </row>
    <row r="434" spans="1:14" ht="21" customHeight="1" x14ac:dyDescent="0.25">
      <c r="A434" s="13" t="str">
        <f t="shared" ref="A434:A440" si="132">A433</f>
        <v>ЩУР.МОП1-11</v>
      </c>
      <c r="B434" s="10" t="s">
        <v>11</v>
      </c>
      <c r="C434" s="10"/>
      <c r="D434" s="11" t="s">
        <v>40</v>
      </c>
      <c r="E434" s="10" t="s">
        <v>41</v>
      </c>
      <c r="F434" s="10">
        <v>18000</v>
      </c>
      <c r="G434" s="12">
        <f>0.6*F434</f>
        <v>10800</v>
      </c>
      <c r="H434" s="12">
        <f>G434*I434</f>
        <v>10800</v>
      </c>
      <c r="I434" s="13">
        <v>1</v>
      </c>
      <c r="J434" s="14" t="s">
        <v>12</v>
      </c>
      <c r="K434" s="10" t="s">
        <v>13</v>
      </c>
      <c r="L434" s="13" t="str">
        <f t="shared" ref="L434:L440" si="133">L433</f>
        <v>Блок11</v>
      </c>
      <c r="M434" s="12">
        <v>10800</v>
      </c>
      <c r="N434">
        <v>10800</v>
      </c>
    </row>
    <row r="435" spans="1:14" ht="21" customHeight="1" x14ac:dyDescent="0.25">
      <c r="A435" s="13" t="str">
        <f t="shared" si="132"/>
        <v>ЩУР.МОП1-11</v>
      </c>
      <c r="B435" s="10" t="s">
        <v>17</v>
      </c>
      <c r="C435" s="10"/>
      <c r="D435" s="11">
        <v>296830</v>
      </c>
      <c r="E435" s="10" t="s">
        <v>149</v>
      </c>
      <c r="F435" s="10">
        <v>1554</v>
      </c>
      <c r="G435" s="12">
        <f>F435*0.55</f>
        <v>854.7</v>
      </c>
      <c r="H435" s="12">
        <f>G435*I435</f>
        <v>854.7</v>
      </c>
      <c r="I435" s="13">
        <v>1</v>
      </c>
      <c r="J435" s="14" t="s">
        <v>12</v>
      </c>
      <c r="K435" s="10" t="s">
        <v>28</v>
      </c>
      <c r="L435" s="13" t="str">
        <f t="shared" si="133"/>
        <v>Блок11</v>
      </c>
      <c r="M435" s="12">
        <v>854.7</v>
      </c>
      <c r="N435">
        <v>854.7</v>
      </c>
    </row>
    <row r="436" spans="1:14" ht="21" customHeight="1" x14ac:dyDescent="0.25">
      <c r="A436" s="13" t="str">
        <f t="shared" si="132"/>
        <v>ЩУР.МОП1-11</v>
      </c>
      <c r="B436" s="10" t="s">
        <v>17</v>
      </c>
      <c r="C436" s="10"/>
      <c r="D436" s="11">
        <v>296829</v>
      </c>
      <c r="E436" s="10" t="s">
        <v>148</v>
      </c>
      <c r="F436" s="10">
        <v>2111</v>
      </c>
      <c r="G436" s="12">
        <f>F436*0.55</f>
        <v>1161.0500000000002</v>
      </c>
      <c r="H436" s="12">
        <f>G436*I436</f>
        <v>4644.2000000000007</v>
      </c>
      <c r="I436" s="13">
        <v>4</v>
      </c>
      <c r="J436" s="14" t="s">
        <v>12</v>
      </c>
      <c r="K436" s="10" t="s">
        <v>28</v>
      </c>
      <c r="L436" s="13" t="str">
        <f t="shared" si="133"/>
        <v>Блок11</v>
      </c>
      <c r="M436" s="12">
        <v>4644.2000000000007</v>
      </c>
      <c r="N436">
        <v>4644.2000000000007</v>
      </c>
    </row>
    <row r="437" spans="1:14" ht="21" customHeight="1" x14ac:dyDescent="0.25">
      <c r="A437" s="13" t="str">
        <f t="shared" si="132"/>
        <v>ЩУР.МОП1-11</v>
      </c>
      <c r="B437" s="10" t="s">
        <v>15</v>
      </c>
      <c r="C437" s="10"/>
      <c r="D437" s="11" t="s">
        <v>179</v>
      </c>
      <c r="E437" s="10" t="s">
        <v>180</v>
      </c>
      <c r="F437" s="10">
        <v>83000</v>
      </c>
      <c r="G437" s="12">
        <f>F437</f>
        <v>83000</v>
      </c>
      <c r="H437" s="12">
        <v>39100</v>
      </c>
      <c r="I437" s="13">
        <v>1</v>
      </c>
      <c r="J437" s="14" t="s">
        <v>12</v>
      </c>
      <c r="K437" s="10" t="s">
        <v>16</v>
      </c>
      <c r="L437" s="13" t="str">
        <f t="shared" si="133"/>
        <v>Блок11</v>
      </c>
      <c r="M437" s="12">
        <v>39100</v>
      </c>
      <c r="N437">
        <v>39100</v>
      </c>
    </row>
    <row r="438" spans="1:14" ht="24" customHeight="1" x14ac:dyDescent="0.25">
      <c r="A438" s="10" t="str">
        <f t="shared" si="132"/>
        <v>ЩУР.МОП1-11</v>
      </c>
      <c r="B438" s="10" t="s">
        <v>19</v>
      </c>
      <c r="C438" s="10"/>
      <c r="D438" s="11" t="s">
        <v>19</v>
      </c>
      <c r="E438" s="10" t="s">
        <v>19</v>
      </c>
      <c r="F438" s="10">
        <f ca="1">OFFSET(F438,1,2)</f>
        <v>12000</v>
      </c>
      <c r="G438" s="12">
        <f ca="1">F438*0.55</f>
        <v>6600.0000000000009</v>
      </c>
      <c r="H438" s="12">
        <f ca="1">G438*I438</f>
        <v>6600.0000000000009</v>
      </c>
      <c r="I438" s="10">
        <v>1</v>
      </c>
      <c r="J438" s="10" t="s">
        <v>12</v>
      </c>
      <c r="K438" s="10" t="s">
        <v>19</v>
      </c>
      <c r="L438" s="13" t="str">
        <f t="shared" si="133"/>
        <v>Блок11</v>
      </c>
      <c r="M438" s="12">
        <v>6600.0000000000009</v>
      </c>
      <c r="N438">
        <v>6600.0000000000009</v>
      </c>
    </row>
    <row r="439" spans="1:14" ht="21" customHeight="1" x14ac:dyDescent="0.25">
      <c r="A439" s="10" t="str">
        <f t="shared" si="132"/>
        <v>ЩУР.МОП1-11</v>
      </c>
      <c r="B439" s="10" t="s">
        <v>20</v>
      </c>
      <c r="C439" s="10"/>
      <c r="D439" s="11" t="s">
        <v>20</v>
      </c>
      <c r="E439" s="10" t="s">
        <v>20</v>
      </c>
      <c r="F439" s="10">
        <v>2</v>
      </c>
      <c r="G439" s="12">
        <v>100</v>
      </c>
      <c r="H439" s="12">
        <f>G439*I439</f>
        <v>12000</v>
      </c>
      <c r="I439" s="10">
        <f>60*F439</f>
        <v>120</v>
      </c>
      <c r="J439" s="10" t="s">
        <v>12</v>
      </c>
      <c r="K439" s="10" t="s">
        <v>20</v>
      </c>
      <c r="L439" s="13" t="str">
        <f t="shared" si="133"/>
        <v>Блок11</v>
      </c>
      <c r="M439" s="12">
        <v>12000</v>
      </c>
      <c r="N439">
        <v>12000</v>
      </c>
    </row>
    <row r="440" spans="1:14" ht="30" customHeight="1" x14ac:dyDescent="0.25">
      <c r="A440" s="15" t="str">
        <f t="shared" si="132"/>
        <v>ЩУР.МОП1-11</v>
      </c>
      <c r="B440" s="15"/>
      <c r="C440" s="15"/>
      <c r="D440" s="15"/>
      <c r="E440" s="16"/>
      <c r="F440" s="17"/>
      <c r="G440" s="12">
        <f>F440*0.55</f>
        <v>0</v>
      </c>
      <c r="H440" s="18">
        <f ca="1">SUM(H434:H439)</f>
        <v>73998.899999999994</v>
      </c>
      <c r="I440" s="15"/>
      <c r="J440" s="19"/>
      <c r="K440" s="15"/>
      <c r="L440" s="13" t="str">
        <f t="shared" si="133"/>
        <v>Блок11</v>
      </c>
      <c r="M440" s="18">
        <v>73998.899999999994</v>
      </c>
      <c r="N440">
        <v>73998.899999999994</v>
      </c>
    </row>
    <row r="441" spans="1:14" ht="39.75" customHeight="1" x14ac:dyDescent="0.25">
      <c r="A441" s="8" t="str">
        <f>E441</f>
        <v>РЩ1-11 (АВР-Б-40-2-1)</v>
      </c>
      <c r="B441" s="4"/>
      <c r="C441" s="4"/>
      <c r="D441" s="5"/>
      <c r="E441" s="4" t="s">
        <v>143</v>
      </c>
      <c r="F441" s="6"/>
      <c r="G441" s="6"/>
      <c r="H441" s="7"/>
      <c r="I441" s="8">
        <v>1</v>
      </c>
      <c r="J441" s="9" t="s">
        <v>9</v>
      </c>
      <c r="K441" s="4" t="s">
        <v>10</v>
      </c>
      <c r="L441" s="8" t="s">
        <v>91</v>
      </c>
      <c r="M441" s="7"/>
    </row>
    <row r="442" spans="1:14" ht="21" customHeight="1" x14ac:dyDescent="0.25">
      <c r="A442" s="13" t="str">
        <f t="shared" ref="A442:A453" si="134">A441</f>
        <v>РЩ1-11 (АВР-Б-40-2-1)</v>
      </c>
      <c r="B442" s="10" t="s">
        <v>11</v>
      </c>
      <c r="C442" s="10"/>
      <c r="D442" s="11" t="s">
        <v>168</v>
      </c>
      <c r="E442" s="10" t="s">
        <v>169</v>
      </c>
      <c r="F442" s="10">
        <v>130000</v>
      </c>
      <c r="G442" s="12">
        <f>0.6*F442</f>
        <v>78000</v>
      </c>
      <c r="H442" s="12">
        <f t="shared" ref="H442:H448" si="135">G442*I442</f>
        <v>78000</v>
      </c>
      <c r="I442" s="13">
        <v>1</v>
      </c>
      <c r="J442" s="14" t="s">
        <v>12</v>
      </c>
      <c r="K442" s="10" t="s">
        <v>13</v>
      </c>
      <c r="L442" s="13" t="str">
        <f t="shared" ref="L442:L453" si="136">L441</f>
        <v>Блок11</v>
      </c>
      <c r="M442" s="12">
        <v>78000</v>
      </c>
      <c r="N442">
        <v>78000</v>
      </c>
    </row>
    <row r="443" spans="1:14" ht="21" customHeight="1" x14ac:dyDescent="0.25">
      <c r="A443" s="13" t="str">
        <f t="shared" si="134"/>
        <v>РЩ1-11 (АВР-Б-40-2-1)</v>
      </c>
      <c r="B443" s="10" t="s">
        <v>44</v>
      </c>
      <c r="C443" s="10"/>
      <c r="D443" s="11" t="s">
        <v>162</v>
      </c>
      <c r="E443" s="10" t="s">
        <v>163</v>
      </c>
      <c r="F443" s="10">
        <v>114758</v>
      </c>
      <c r="G443" s="12">
        <f t="shared" ref="G443:G448" si="137">F443*0.55</f>
        <v>63116.900000000009</v>
      </c>
      <c r="H443" s="12">
        <f t="shared" si="135"/>
        <v>63116.900000000009</v>
      </c>
      <c r="I443" s="13">
        <v>1</v>
      </c>
      <c r="J443" s="14" t="s">
        <v>12</v>
      </c>
      <c r="K443" s="10" t="s">
        <v>14</v>
      </c>
      <c r="L443" s="13" t="str">
        <f t="shared" si="136"/>
        <v>Блок11</v>
      </c>
      <c r="M443" s="12">
        <v>63116.900000000009</v>
      </c>
      <c r="N443">
        <v>63116.900000000009</v>
      </c>
    </row>
    <row r="444" spans="1:14" ht="21" customHeight="1" x14ac:dyDescent="0.25">
      <c r="A444" s="13" t="str">
        <f t="shared" si="134"/>
        <v>РЩ1-11 (АВР-Б-40-2-1)</v>
      </c>
      <c r="B444" s="10" t="s">
        <v>27</v>
      </c>
      <c r="C444" s="10"/>
      <c r="D444" s="11">
        <v>126505</v>
      </c>
      <c r="E444" s="10" t="s">
        <v>45</v>
      </c>
      <c r="F444" s="10">
        <v>15740</v>
      </c>
      <c r="G444" s="12">
        <f t="shared" si="137"/>
        <v>8657</v>
      </c>
      <c r="H444" s="12">
        <f t="shared" si="135"/>
        <v>17314</v>
      </c>
      <c r="I444" s="13">
        <v>2</v>
      </c>
      <c r="J444" s="14" t="s">
        <v>12</v>
      </c>
      <c r="K444" s="10" t="s">
        <v>28</v>
      </c>
      <c r="L444" s="13" t="str">
        <f t="shared" si="136"/>
        <v>Блок11</v>
      </c>
      <c r="M444" s="12">
        <v>17314</v>
      </c>
      <c r="N444">
        <v>17314</v>
      </c>
    </row>
    <row r="445" spans="1:14" ht="21" customHeight="1" x14ac:dyDescent="0.25">
      <c r="A445" s="13" t="str">
        <f t="shared" si="134"/>
        <v>РЩ1-11 (АВР-Б-40-2-1)</v>
      </c>
      <c r="B445" s="10" t="s">
        <v>27</v>
      </c>
      <c r="C445" s="10"/>
      <c r="D445" s="11">
        <v>126677</v>
      </c>
      <c r="E445" s="10" t="s">
        <v>43</v>
      </c>
      <c r="F445" s="10">
        <v>14742</v>
      </c>
      <c r="G445" s="12">
        <f t="shared" si="137"/>
        <v>8108.1</v>
      </c>
      <c r="H445" s="12">
        <f t="shared" si="135"/>
        <v>16216.2</v>
      </c>
      <c r="I445" s="13">
        <v>2</v>
      </c>
      <c r="J445" s="14" t="s">
        <v>12</v>
      </c>
      <c r="K445" s="10" t="s">
        <v>28</v>
      </c>
      <c r="L445" s="13" t="str">
        <f t="shared" si="136"/>
        <v>Блок11</v>
      </c>
      <c r="M445" s="12">
        <v>16216.2</v>
      </c>
      <c r="N445">
        <v>16216.2</v>
      </c>
    </row>
    <row r="446" spans="1:14" ht="21" customHeight="1" x14ac:dyDescent="0.25">
      <c r="A446" s="13" t="str">
        <f t="shared" si="134"/>
        <v>РЩ1-11 (АВР-Б-40-2-1)</v>
      </c>
      <c r="B446" s="10" t="s">
        <v>17</v>
      </c>
      <c r="C446" s="10"/>
      <c r="D446" s="11">
        <v>814174</v>
      </c>
      <c r="E446" s="10" t="s">
        <v>46</v>
      </c>
      <c r="F446" s="10">
        <v>4823</v>
      </c>
      <c r="G446" s="12">
        <f t="shared" si="137"/>
        <v>2652.65</v>
      </c>
      <c r="H446" s="12">
        <f t="shared" si="135"/>
        <v>5305.3</v>
      </c>
      <c r="I446" s="13">
        <v>2</v>
      </c>
      <c r="J446" s="14" t="s">
        <v>12</v>
      </c>
      <c r="K446" s="10" t="s">
        <v>28</v>
      </c>
      <c r="L446" s="13" t="str">
        <f t="shared" si="136"/>
        <v>Блок11</v>
      </c>
      <c r="M446" s="12">
        <v>5305.3</v>
      </c>
      <c r="N446">
        <v>5305.3</v>
      </c>
    </row>
    <row r="447" spans="1:14" ht="21" customHeight="1" x14ac:dyDescent="0.25">
      <c r="A447" s="13" t="str">
        <f t="shared" si="134"/>
        <v>РЩ1-11 (АВР-Б-40-2-1)</v>
      </c>
      <c r="B447" s="10" t="s">
        <v>18</v>
      </c>
      <c r="C447" s="10"/>
      <c r="D447" s="11">
        <v>819975</v>
      </c>
      <c r="E447" s="10" t="s">
        <v>47</v>
      </c>
      <c r="F447" s="10">
        <v>5369</v>
      </c>
      <c r="G447" s="12">
        <f t="shared" si="137"/>
        <v>2952.9500000000003</v>
      </c>
      <c r="H447" s="12">
        <f t="shared" si="135"/>
        <v>2952.9500000000003</v>
      </c>
      <c r="I447" s="13">
        <v>1</v>
      </c>
      <c r="J447" s="14" t="s">
        <v>12</v>
      </c>
      <c r="K447" s="10" t="s">
        <v>28</v>
      </c>
      <c r="L447" s="13" t="str">
        <f t="shared" si="136"/>
        <v>Блок11</v>
      </c>
      <c r="M447" s="12">
        <v>2952.9500000000003</v>
      </c>
      <c r="N447">
        <v>2952.9500000000003</v>
      </c>
    </row>
    <row r="448" spans="1:14" ht="21" customHeight="1" x14ac:dyDescent="0.25">
      <c r="A448" s="13" t="str">
        <f t="shared" si="134"/>
        <v>РЩ1-11 (АВР-Б-40-2-1)</v>
      </c>
      <c r="B448" s="10" t="s">
        <v>17</v>
      </c>
      <c r="C448" s="10"/>
      <c r="D448" s="11">
        <v>814167</v>
      </c>
      <c r="E448" s="10" t="s">
        <v>48</v>
      </c>
      <c r="F448" s="10">
        <v>5187</v>
      </c>
      <c r="G448" s="12">
        <f t="shared" si="137"/>
        <v>2852.8500000000004</v>
      </c>
      <c r="H448" s="12">
        <f t="shared" si="135"/>
        <v>2852.8500000000004</v>
      </c>
      <c r="I448" s="13">
        <v>1</v>
      </c>
      <c r="J448" s="14" t="s">
        <v>12</v>
      </c>
      <c r="K448" s="10" t="s">
        <v>28</v>
      </c>
      <c r="L448" s="13" t="str">
        <f t="shared" si="136"/>
        <v>Блок11</v>
      </c>
      <c r="M448" s="12">
        <v>2852.8500000000004</v>
      </c>
      <c r="N448">
        <v>2852.8500000000004</v>
      </c>
    </row>
    <row r="449" spans="1:14" ht="21" customHeight="1" x14ac:dyDescent="0.25">
      <c r="A449" s="13" t="str">
        <f t="shared" si="134"/>
        <v>РЩ1-11 (АВР-Б-40-2-1)</v>
      </c>
      <c r="B449" s="10" t="s">
        <v>15</v>
      </c>
      <c r="C449" s="10"/>
      <c r="D449" s="11" t="s">
        <v>179</v>
      </c>
      <c r="E449" s="10" t="s">
        <v>180</v>
      </c>
      <c r="F449" s="10">
        <v>83000</v>
      </c>
      <c r="G449" s="12">
        <f>F449</f>
        <v>83000</v>
      </c>
      <c r="H449" s="12">
        <v>39100</v>
      </c>
      <c r="I449" s="13">
        <v>1</v>
      </c>
      <c r="J449" s="14" t="s">
        <v>12</v>
      </c>
      <c r="K449" s="10" t="s">
        <v>16</v>
      </c>
      <c r="L449" s="13" t="str">
        <f t="shared" si="136"/>
        <v>Блок11</v>
      </c>
      <c r="M449" s="12">
        <v>39100</v>
      </c>
      <c r="N449">
        <v>39100</v>
      </c>
    </row>
    <row r="450" spans="1:14" ht="21" customHeight="1" x14ac:dyDescent="0.25">
      <c r="A450" s="13" t="str">
        <f t="shared" si="134"/>
        <v>РЩ1-11 (АВР-Б-40-2-1)</v>
      </c>
      <c r="B450" s="10" t="s">
        <v>30</v>
      </c>
      <c r="C450" s="10"/>
      <c r="D450" s="11"/>
      <c r="E450" s="10" t="s">
        <v>31</v>
      </c>
      <c r="F450" s="10">
        <v>4500</v>
      </c>
      <c r="G450" s="12">
        <f>F450*0.55</f>
        <v>2475</v>
      </c>
      <c r="H450" s="12">
        <f>G450*I450</f>
        <v>14850</v>
      </c>
      <c r="I450" s="13">
        <v>6</v>
      </c>
      <c r="J450" s="14" t="s">
        <v>12</v>
      </c>
      <c r="K450" s="10" t="s">
        <v>25</v>
      </c>
      <c r="L450" s="13" t="e">
        <f>#REF!</f>
        <v>#REF!</v>
      </c>
      <c r="M450" s="12">
        <v>14850</v>
      </c>
      <c r="N450">
        <v>14850</v>
      </c>
    </row>
    <row r="451" spans="1:14" ht="24" customHeight="1" x14ac:dyDescent="0.25">
      <c r="A451" s="10" t="str">
        <f t="shared" si="134"/>
        <v>РЩ1-11 (АВР-Б-40-2-1)</v>
      </c>
      <c r="B451" s="10" t="s">
        <v>19</v>
      </c>
      <c r="C451" s="10"/>
      <c r="D451" s="11" t="s">
        <v>19</v>
      </c>
      <c r="E451" s="10" t="s">
        <v>19</v>
      </c>
      <c r="F451" s="10">
        <f ca="1">OFFSET(F451,1,2)</f>
        <v>39000</v>
      </c>
      <c r="G451" s="12">
        <f ca="1">F451*0.55</f>
        <v>21450</v>
      </c>
      <c r="H451" s="12">
        <f ca="1">G451*I451</f>
        <v>21450</v>
      </c>
      <c r="I451" s="10">
        <v>1</v>
      </c>
      <c r="J451" s="10" t="s">
        <v>12</v>
      </c>
      <c r="K451" s="10" t="s">
        <v>19</v>
      </c>
      <c r="L451" s="13" t="e">
        <f t="shared" si="136"/>
        <v>#REF!</v>
      </c>
      <c r="M451" s="12">
        <v>21450</v>
      </c>
      <c r="N451">
        <v>21450</v>
      </c>
    </row>
    <row r="452" spans="1:14" ht="21" customHeight="1" x14ac:dyDescent="0.25">
      <c r="A452" s="10" t="str">
        <f t="shared" si="134"/>
        <v>РЩ1-11 (АВР-Б-40-2-1)</v>
      </c>
      <c r="B452" s="10" t="s">
        <v>20</v>
      </c>
      <c r="C452" s="10"/>
      <c r="D452" s="11" t="s">
        <v>20</v>
      </c>
      <c r="E452" s="10" t="s">
        <v>20</v>
      </c>
      <c r="F452" s="10">
        <v>6.5</v>
      </c>
      <c r="G452" s="12">
        <v>100</v>
      </c>
      <c r="H452" s="12">
        <f>G452*I452</f>
        <v>39000</v>
      </c>
      <c r="I452" s="10">
        <f>60*F452</f>
        <v>390</v>
      </c>
      <c r="J452" s="10" t="s">
        <v>12</v>
      </c>
      <c r="K452" s="10" t="s">
        <v>20</v>
      </c>
      <c r="L452" s="13" t="e">
        <f t="shared" si="136"/>
        <v>#REF!</v>
      </c>
      <c r="M452" s="12">
        <v>39000</v>
      </c>
      <c r="N452">
        <v>39000</v>
      </c>
    </row>
    <row r="453" spans="1:14" ht="30" customHeight="1" x14ac:dyDescent="0.25">
      <c r="A453" s="15" t="str">
        <f t="shared" si="134"/>
        <v>РЩ1-11 (АВР-Б-40-2-1)</v>
      </c>
      <c r="B453" s="15"/>
      <c r="C453" s="15"/>
      <c r="D453" s="15"/>
      <c r="E453" s="16"/>
      <c r="F453" s="17"/>
      <c r="G453" s="12">
        <f>F453*0.55</f>
        <v>0</v>
      </c>
      <c r="H453" s="18">
        <f ca="1">SUM(H442:H452)</f>
        <v>300158.20000000007</v>
      </c>
      <c r="I453" s="15"/>
      <c r="J453" s="19"/>
      <c r="K453" s="15"/>
      <c r="L453" s="13" t="e">
        <f t="shared" si="136"/>
        <v>#REF!</v>
      </c>
      <c r="M453" s="18">
        <v>300158.20000000007</v>
      </c>
      <c r="N453">
        <v>300158.20000000007</v>
      </c>
    </row>
    <row r="454" spans="1:14" ht="39.75" customHeight="1" x14ac:dyDescent="0.25">
      <c r="A454" s="8" t="str">
        <f>E454</f>
        <v>ВРУ1-12</v>
      </c>
      <c r="B454" s="4"/>
      <c r="C454" s="4"/>
      <c r="D454" s="5"/>
      <c r="E454" s="4" t="s">
        <v>94</v>
      </c>
      <c r="F454" s="6"/>
      <c r="G454" s="6"/>
      <c r="H454" s="7"/>
      <c r="I454" s="8">
        <v>1</v>
      </c>
      <c r="J454" s="9" t="s">
        <v>9</v>
      </c>
      <c r="K454" s="4" t="s">
        <v>10</v>
      </c>
      <c r="L454" s="8" t="s">
        <v>95</v>
      </c>
      <c r="M454" s="7"/>
    </row>
    <row r="455" spans="1:14" ht="21" customHeight="1" x14ac:dyDescent="0.25">
      <c r="A455" s="13" t="str">
        <f t="shared" ref="A455:A465" si="138">A454</f>
        <v>ВРУ1-12</v>
      </c>
      <c r="B455" s="10" t="s">
        <v>11</v>
      </c>
      <c r="C455" s="10"/>
      <c r="D455" s="11" t="s">
        <v>172</v>
      </c>
      <c r="E455" s="10" t="s">
        <v>173</v>
      </c>
      <c r="F455" s="10">
        <v>156500</v>
      </c>
      <c r="G455" s="12">
        <f>0.6*F455</f>
        <v>93900</v>
      </c>
      <c r="H455" s="12">
        <f>G455*I455</f>
        <v>93900</v>
      </c>
      <c r="I455" s="13">
        <v>1</v>
      </c>
      <c r="J455" s="14" t="s">
        <v>12</v>
      </c>
      <c r="K455" s="10" t="s">
        <v>13</v>
      </c>
      <c r="L455" s="13" t="str">
        <f t="shared" ref="L455:L465" si="139">L454</f>
        <v>Блок12</v>
      </c>
      <c r="M455" s="12">
        <v>93900</v>
      </c>
      <c r="N455">
        <v>93900</v>
      </c>
    </row>
    <row r="456" spans="1:14" ht="21" customHeight="1" x14ac:dyDescent="0.25">
      <c r="A456" s="13" t="str">
        <f t="shared" si="138"/>
        <v>ВРУ1-12</v>
      </c>
      <c r="B456" s="10" t="s">
        <v>23</v>
      </c>
      <c r="C456" s="10"/>
      <c r="D456" s="11"/>
      <c r="E456" s="10" t="s">
        <v>24</v>
      </c>
      <c r="F456" s="10">
        <v>4701</v>
      </c>
      <c r="G456" s="12">
        <v>4701</v>
      </c>
      <c r="H456" s="12">
        <v>28206</v>
      </c>
      <c r="I456" s="13">
        <v>6</v>
      </c>
      <c r="J456" s="14" t="s">
        <v>12</v>
      </c>
      <c r="K456" s="10" t="s">
        <v>25</v>
      </c>
      <c r="L456" s="13" t="str">
        <f t="shared" si="139"/>
        <v>Блок12</v>
      </c>
      <c r="M456" s="12">
        <v>28206</v>
      </c>
      <c r="N456">
        <v>28206</v>
      </c>
    </row>
    <row r="457" spans="1:14" ht="21" customHeight="1" x14ac:dyDescent="0.25">
      <c r="A457" s="13" t="str">
        <f t="shared" si="138"/>
        <v>ВРУ1-12</v>
      </c>
      <c r="B457" s="10" t="s">
        <v>26</v>
      </c>
      <c r="C457" s="10"/>
      <c r="D457" s="11" t="s">
        <v>177</v>
      </c>
      <c r="E457" s="10" t="s">
        <v>178</v>
      </c>
      <c r="F457" s="10">
        <v>25500</v>
      </c>
      <c r="G457" s="12">
        <f>F457*0.55</f>
        <v>14025.000000000002</v>
      </c>
      <c r="H457" s="12">
        <f>G457*I457</f>
        <v>28050.000000000004</v>
      </c>
      <c r="I457" s="13">
        <v>2</v>
      </c>
      <c r="J457" s="14" t="s">
        <v>12</v>
      </c>
      <c r="K457" s="10" t="s">
        <v>25</v>
      </c>
      <c r="L457" s="13" t="str">
        <f t="shared" si="139"/>
        <v>Блок12</v>
      </c>
      <c r="M457" s="12">
        <v>28050.000000000004</v>
      </c>
      <c r="N457">
        <v>28050.000000000004</v>
      </c>
    </row>
    <row r="458" spans="1:14" ht="21" customHeight="1" x14ac:dyDescent="0.25">
      <c r="A458" s="13" t="str">
        <f t="shared" si="138"/>
        <v>ВРУ1-12</v>
      </c>
      <c r="B458" s="10" t="s">
        <v>127</v>
      </c>
      <c r="C458" s="10"/>
      <c r="D458" s="11" t="s">
        <v>130</v>
      </c>
      <c r="E458" s="10" t="s">
        <v>131</v>
      </c>
      <c r="F458" s="10">
        <v>4750</v>
      </c>
      <c r="G458" s="12">
        <f>F458*0.55</f>
        <v>2612.5</v>
      </c>
      <c r="H458" s="12">
        <f>G458*I458</f>
        <v>5225</v>
      </c>
      <c r="I458" s="13">
        <v>2</v>
      </c>
      <c r="J458" s="14" t="s">
        <v>12</v>
      </c>
      <c r="K458" s="10" t="s">
        <v>14</v>
      </c>
      <c r="L458" s="13" t="str">
        <f t="shared" si="139"/>
        <v>Блок12</v>
      </c>
      <c r="M458" s="12">
        <v>5225</v>
      </c>
      <c r="N458">
        <v>5225</v>
      </c>
    </row>
    <row r="459" spans="1:14" ht="21" customHeight="1" x14ac:dyDescent="0.25">
      <c r="A459" s="13" t="str">
        <f t="shared" si="138"/>
        <v>ВРУ1-12</v>
      </c>
      <c r="B459" s="10" t="s">
        <v>126</v>
      </c>
      <c r="C459" s="10"/>
      <c r="D459" s="11" t="s">
        <v>128</v>
      </c>
      <c r="E459" s="10" t="s">
        <v>129</v>
      </c>
      <c r="F459" s="10">
        <v>3317</v>
      </c>
      <c r="G459" s="12">
        <f>F459*0.55</f>
        <v>1824.3500000000001</v>
      </c>
      <c r="H459" s="12">
        <f>G459*I459</f>
        <v>3648.7000000000003</v>
      </c>
      <c r="I459" s="13">
        <v>2</v>
      </c>
      <c r="J459" s="14" t="s">
        <v>12</v>
      </c>
      <c r="K459" s="10" t="s">
        <v>14</v>
      </c>
      <c r="L459" s="13" t="str">
        <f t="shared" si="139"/>
        <v>Блок12</v>
      </c>
      <c r="M459" s="12">
        <v>3648.7000000000003</v>
      </c>
      <c r="N459">
        <v>3648.7000000000003</v>
      </c>
    </row>
    <row r="460" spans="1:14" ht="21" customHeight="1" x14ac:dyDescent="0.25">
      <c r="A460" s="13" t="str">
        <f t="shared" si="138"/>
        <v>ВРУ1-12</v>
      </c>
      <c r="B460" s="10" t="s">
        <v>17</v>
      </c>
      <c r="C460" s="10"/>
      <c r="D460" s="11">
        <v>296708</v>
      </c>
      <c r="E460" s="10" t="s">
        <v>29</v>
      </c>
      <c r="F460" s="10">
        <v>828</v>
      </c>
      <c r="G460" s="12">
        <f>F460*0.55</f>
        <v>455.40000000000003</v>
      </c>
      <c r="H460" s="12">
        <f>G460*I460</f>
        <v>910.80000000000007</v>
      </c>
      <c r="I460" s="13">
        <v>2</v>
      </c>
      <c r="J460" s="14" t="s">
        <v>12</v>
      </c>
      <c r="K460" s="10" t="s">
        <v>28</v>
      </c>
      <c r="L460" s="13" t="str">
        <f t="shared" si="139"/>
        <v>Блок12</v>
      </c>
      <c r="M460" s="12">
        <v>910.80000000000007</v>
      </c>
      <c r="N460">
        <v>910.80000000000007</v>
      </c>
    </row>
    <row r="461" spans="1:14" ht="21" customHeight="1" x14ac:dyDescent="0.25">
      <c r="A461" s="13" t="str">
        <f t="shared" si="138"/>
        <v>ВРУ1-12</v>
      </c>
      <c r="B461" s="10" t="s">
        <v>15</v>
      </c>
      <c r="C461" s="10"/>
      <c r="D461" s="11" t="s">
        <v>179</v>
      </c>
      <c r="E461" s="10" t="s">
        <v>180</v>
      </c>
      <c r="F461" s="10">
        <v>83000</v>
      </c>
      <c r="G461" s="12">
        <f>F461</f>
        <v>83000</v>
      </c>
      <c r="H461" s="12">
        <v>78200</v>
      </c>
      <c r="I461" s="13">
        <v>2</v>
      </c>
      <c r="J461" s="14" t="s">
        <v>12</v>
      </c>
      <c r="K461" s="10" t="s">
        <v>16</v>
      </c>
      <c r="L461" s="13" t="str">
        <f t="shared" si="139"/>
        <v>Блок12</v>
      </c>
      <c r="M461" s="12">
        <v>78200</v>
      </c>
      <c r="N461">
        <v>78200</v>
      </c>
    </row>
    <row r="462" spans="1:14" ht="21" customHeight="1" x14ac:dyDescent="0.25">
      <c r="A462" s="13" t="str">
        <f t="shared" si="138"/>
        <v>ВРУ1-12</v>
      </c>
      <c r="B462" s="10" t="s">
        <v>30</v>
      </c>
      <c r="C462" s="10"/>
      <c r="D462" s="11"/>
      <c r="E462" s="10" t="s">
        <v>31</v>
      </c>
      <c r="F462" s="10">
        <v>4500</v>
      </c>
      <c r="G462" s="12">
        <f>F462*0.55</f>
        <v>2475</v>
      </c>
      <c r="H462" s="12">
        <f>G462*I462</f>
        <v>14850</v>
      </c>
      <c r="I462" s="13">
        <v>6</v>
      </c>
      <c r="J462" s="14" t="s">
        <v>12</v>
      </c>
      <c r="K462" s="10" t="s">
        <v>25</v>
      </c>
      <c r="L462" s="13" t="str">
        <f t="shared" si="139"/>
        <v>Блок12</v>
      </c>
      <c r="M462" s="12">
        <v>14850</v>
      </c>
      <c r="N462">
        <v>14850</v>
      </c>
    </row>
    <row r="463" spans="1:14" ht="24" customHeight="1" x14ac:dyDescent="0.25">
      <c r="A463" s="10" t="str">
        <f t="shared" si="138"/>
        <v>ВРУ1-12</v>
      </c>
      <c r="B463" s="10" t="s">
        <v>19</v>
      </c>
      <c r="C463" s="10"/>
      <c r="D463" s="11" t="s">
        <v>19</v>
      </c>
      <c r="E463" s="10" t="s">
        <v>19</v>
      </c>
      <c r="F463" s="10">
        <f ca="1">OFFSET(F463,1,2)</f>
        <v>48000</v>
      </c>
      <c r="G463" s="12">
        <f ca="1">F463*0.55</f>
        <v>26400.000000000004</v>
      </c>
      <c r="H463" s="12">
        <f ca="1">G463*I463</f>
        <v>26400.000000000004</v>
      </c>
      <c r="I463" s="10">
        <v>1</v>
      </c>
      <c r="J463" s="10" t="s">
        <v>12</v>
      </c>
      <c r="K463" s="10" t="s">
        <v>19</v>
      </c>
      <c r="L463" s="13" t="str">
        <f t="shared" si="139"/>
        <v>Блок12</v>
      </c>
      <c r="M463" s="12">
        <v>26400.000000000004</v>
      </c>
      <c r="N463">
        <v>26400.000000000004</v>
      </c>
    </row>
    <row r="464" spans="1:14" ht="21" customHeight="1" x14ac:dyDescent="0.25">
      <c r="A464" s="10" t="str">
        <f t="shared" si="138"/>
        <v>ВРУ1-12</v>
      </c>
      <c r="B464" s="10" t="s">
        <v>20</v>
      </c>
      <c r="C464" s="10"/>
      <c r="D464" s="11" t="s">
        <v>20</v>
      </c>
      <c r="E464" s="10" t="s">
        <v>20</v>
      </c>
      <c r="F464" s="10">
        <v>8</v>
      </c>
      <c r="G464" s="12">
        <v>100</v>
      </c>
      <c r="H464" s="12">
        <f>G464*I464</f>
        <v>48000</v>
      </c>
      <c r="I464" s="10">
        <f>60*F464</f>
        <v>480</v>
      </c>
      <c r="J464" s="10" t="s">
        <v>12</v>
      </c>
      <c r="K464" s="10" t="s">
        <v>20</v>
      </c>
      <c r="L464" s="13" t="str">
        <f t="shared" si="139"/>
        <v>Блок12</v>
      </c>
      <c r="M464" s="12">
        <v>48000</v>
      </c>
      <c r="N464">
        <v>48000</v>
      </c>
    </row>
    <row r="465" spans="1:14" ht="30" customHeight="1" x14ac:dyDescent="0.25">
      <c r="A465" s="15" t="str">
        <f t="shared" si="138"/>
        <v>ВРУ1-12</v>
      </c>
      <c r="B465" s="15"/>
      <c r="C465" s="15"/>
      <c r="D465" s="15"/>
      <c r="E465" s="16"/>
      <c r="F465" s="17"/>
      <c r="G465" s="12">
        <f>F465*0.55</f>
        <v>0</v>
      </c>
      <c r="H465" s="18">
        <f ca="1">SUM(H455:H464)</f>
        <v>327390.5</v>
      </c>
      <c r="I465" s="15"/>
      <c r="J465" s="19"/>
      <c r="K465" s="15"/>
      <c r="L465" s="13" t="str">
        <f t="shared" si="139"/>
        <v>Блок12</v>
      </c>
      <c r="M465" s="18">
        <v>327390.5</v>
      </c>
      <c r="N465">
        <v>327390.5</v>
      </c>
    </row>
    <row r="466" spans="1:14" ht="39.75" customHeight="1" x14ac:dyDescent="0.25">
      <c r="A466" s="8" t="str">
        <f>E466</f>
        <v>РУ-1-12</v>
      </c>
      <c r="B466" s="4"/>
      <c r="C466" s="4"/>
      <c r="D466" s="5"/>
      <c r="E466" s="4" t="s">
        <v>96</v>
      </c>
      <c r="F466" s="6"/>
      <c r="G466" s="6"/>
      <c r="H466" s="7"/>
      <c r="I466" s="8">
        <v>1</v>
      </c>
      <c r="J466" s="9" t="s">
        <v>9</v>
      </c>
      <c r="K466" s="4" t="s">
        <v>10</v>
      </c>
      <c r="L466" s="8" t="s">
        <v>95</v>
      </c>
      <c r="M466" s="7"/>
    </row>
    <row r="467" spans="1:14" ht="21" customHeight="1" x14ac:dyDescent="0.25">
      <c r="A467" s="13" t="str">
        <f t="shared" ref="A467:A473" si="140">A466</f>
        <v>РУ-1-12</v>
      </c>
      <c r="B467" s="10" t="s">
        <v>11</v>
      </c>
      <c r="C467" s="10"/>
      <c r="D467" s="11" t="s">
        <v>170</v>
      </c>
      <c r="E467" s="10" t="s">
        <v>171</v>
      </c>
      <c r="F467" s="10">
        <v>145000</v>
      </c>
      <c r="G467" s="12">
        <f>0.6*F467</f>
        <v>87000</v>
      </c>
      <c r="H467" s="12">
        <f t="shared" ref="H467:H472" si="141">G467*I467</f>
        <v>87000</v>
      </c>
      <c r="I467" s="13">
        <v>1</v>
      </c>
      <c r="J467" s="14" t="s">
        <v>12</v>
      </c>
      <c r="K467" s="10" t="s">
        <v>13</v>
      </c>
      <c r="L467" s="13" t="str">
        <f t="shared" ref="L467:L473" si="142">L466</f>
        <v>Блок12</v>
      </c>
      <c r="M467" s="12">
        <v>87000</v>
      </c>
      <c r="N467">
        <v>87000</v>
      </c>
    </row>
    <row r="468" spans="1:14" ht="21" customHeight="1" x14ac:dyDescent="0.25">
      <c r="A468" s="13" t="str">
        <f t="shared" si="140"/>
        <v>РУ-1-12</v>
      </c>
      <c r="B468" s="10" t="s">
        <v>27</v>
      </c>
      <c r="C468" s="10"/>
      <c r="D468" s="11">
        <v>126583</v>
      </c>
      <c r="E468" s="10" t="s">
        <v>33</v>
      </c>
      <c r="F468" s="10">
        <v>28665</v>
      </c>
      <c r="G468" s="12">
        <f t="shared" ref="G468:G473" si="143">F468*0.55</f>
        <v>15765.750000000002</v>
      </c>
      <c r="H468" s="12">
        <f t="shared" si="141"/>
        <v>31531.500000000004</v>
      </c>
      <c r="I468" s="13">
        <v>2</v>
      </c>
      <c r="J468" s="14" t="s">
        <v>12</v>
      </c>
      <c r="K468" s="10" t="s">
        <v>28</v>
      </c>
      <c r="L468" s="13" t="str">
        <f t="shared" si="142"/>
        <v>Блок12</v>
      </c>
      <c r="M468" s="12">
        <v>31531.500000000004</v>
      </c>
      <c r="N468">
        <v>31531.500000000004</v>
      </c>
    </row>
    <row r="469" spans="1:14" ht="21" customHeight="1" x14ac:dyDescent="0.25">
      <c r="A469" s="13" t="str">
        <f t="shared" si="140"/>
        <v>РУ-1-12</v>
      </c>
      <c r="B469" s="10" t="s">
        <v>27</v>
      </c>
      <c r="C469" s="10"/>
      <c r="D469" s="11">
        <v>126584</v>
      </c>
      <c r="E469" s="10" t="s">
        <v>34</v>
      </c>
      <c r="F469" s="10">
        <v>28756</v>
      </c>
      <c r="G469" s="12">
        <f t="shared" si="143"/>
        <v>15815.800000000001</v>
      </c>
      <c r="H469" s="12">
        <f t="shared" si="141"/>
        <v>15815.800000000001</v>
      </c>
      <c r="I469" s="13">
        <v>1</v>
      </c>
      <c r="J469" s="14" t="s">
        <v>12</v>
      </c>
      <c r="K469" s="10" t="s">
        <v>28</v>
      </c>
      <c r="L469" s="13" t="str">
        <f t="shared" si="142"/>
        <v>Блок12</v>
      </c>
      <c r="M469" s="12">
        <v>15815.800000000001</v>
      </c>
      <c r="N469">
        <v>15815.800000000001</v>
      </c>
    </row>
    <row r="470" spans="1:14" ht="21" customHeight="1" x14ac:dyDescent="0.25">
      <c r="A470" s="13" t="str">
        <f t="shared" si="140"/>
        <v>РУ-1-12</v>
      </c>
      <c r="B470" s="10" t="s">
        <v>27</v>
      </c>
      <c r="C470" s="10"/>
      <c r="D470" s="11">
        <v>126507</v>
      </c>
      <c r="E470" s="10" t="s">
        <v>35</v>
      </c>
      <c r="F470" s="10">
        <v>17108</v>
      </c>
      <c r="G470" s="12">
        <f t="shared" si="143"/>
        <v>9409.4000000000015</v>
      </c>
      <c r="H470" s="12">
        <f t="shared" si="141"/>
        <v>18818.800000000003</v>
      </c>
      <c r="I470" s="13">
        <v>2</v>
      </c>
      <c r="J470" s="14" t="s">
        <v>12</v>
      </c>
      <c r="K470" s="10" t="s">
        <v>28</v>
      </c>
      <c r="L470" s="13" t="str">
        <f t="shared" si="142"/>
        <v>Блок12</v>
      </c>
      <c r="M470" s="12">
        <v>18818.800000000003</v>
      </c>
      <c r="N470">
        <v>18818.800000000003</v>
      </c>
    </row>
    <row r="471" spans="1:14" ht="24" customHeight="1" x14ac:dyDescent="0.25">
      <c r="A471" s="10" t="str">
        <f t="shared" si="140"/>
        <v>РУ-1-12</v>
      </c>
      <c r="B471" s="10" t="s">
        <v>19</v>
      </c>
      <c r="C471" s="10"/>
      <c r="D471" s="11" t="s">
        <v>19</v>
      </c>
      <c r="E471" s="10" t="s">
        <v>19</v>
      </c>
      <c r="F471" s="10">
        <f ca="1">OFFSET(F471,1,2)</f>
        <v>27000</v>
      </c>
      <c r="G471" s="12">
        <f ca="1">F471*0.55</f>
        <v>14850.000000000002</v>
      </c>
      <c r="H471" s="12">
        <f ca="1">G471*I471</f>
        <v>14850.000000000002</v>
      </c>
      <c r="I471" s="10">
        <v>1</v>
      </c>
      <c r="J471" s="10" t="s">
        <v>12</v>
      </c>
      <c r="K471" s="10" t="s">
        <v>19</v>
      </c>
      <c r="L471" s="13" t="str">
        <f t="shared" si="142"/>
        <v>Блок12</v>
      </c>
      <c r="M471" s="12">
        <v>14850.000000000002</v>
      </c>
      <c r="N471">
        <v>14850.000000000002</v>
      </c>
    </row>
    <row r="472" spans="1:14" ht="21" customHeight="1" x14ac:dyDescent="0.25">
      <c r="A472" s="10" t="str">
        <f t="shared" si="140"/>
        <v>РУ-1-12</v>
      </c>
      <c r="B472" s="10" t="s">
        <v>20</v>
      </c>
      <c r="C472" s="10"/>
      <c r="D472" s="11" t="s">
        <v>20</v>
      </c>
      <c r="E472" s="10" t="s">
        <v>20</v>
      </c>
      <c r="F472" s="10">
        <v>4.5</v>
      </c>
      <c r="G472" s="12">
        <v>100</v>
      </c>
      <c r="H472" s="12">
        <f t="shared" si="141"/>
        <v>27000</v>
      </c>
      <c r="I472" s="10">
        <f>60*F472</f>
        <v>270</v>
      </c>
      <c r="J472" s="10" t="s">
        <v>12</v>
      </c>
      <c r="K472" s="10" t="s">
        <v>20</v>
      </c>
      <c r="L472" s="13" t="str">
        <f t="shared" si="142"/>
        <v>Блок12</v>
      </c>
      <c r="M472" s="12">
        <v>27000</v>
      </c>
      <c r="N472">
        <v>27000</v>
      </c>
    </row>
    <row r="473" spans="1:14" ht="30" customHeight="1" x14ac:dyDescent="0.25">
      <c r="A473" s="15" t="str">
        <f t="shared" si="140"/>
        <v>РУ-1-12</v>
      </c>
      <c r="B473" s="15"/>
      <c r="C473" s="15"/>
      <c r="D473" s="15"/>
      <c r="E473" s="16"/>
      <c r="F473" s="17"/>
      <c r="G473" s="12">
        <f t="shared" si="143"/>
        <v>0</v>
      </c>
      <c r="H473" s="18">
        <f ca="1">SUM(H467:H472)</f>
        <v>195016.09999999998</v>
      </c>
      <c r="I473" s="15"/>
      <c r="J473" s="19"/>
      <c r="K473" s="15"/>
      <c r="L473" s="13" t="str">
        <f t="shared" si="142"/>
        <v>Блок12</v>
      </c>
      <c r="M473" s="18">
        <v>195016.09999999998</v>
      </c>
      <c r="N473">
        <v>195016.09999999998</v>
      </c>
    </row>
    <row r="474" spans="1:14" ht="39.75" customHeight="1" x14ac:dyDescent="0.25">
      <c r="A474" s="8" t="str">
        <f>E474</f>
        <v>РУ-2-12</v>
      </c>
      <c r="B474" s="4"/>
      <c r="C474" s="4"/>
      <c r="D474" s="5"/>
      <c r="E474" s="4" t="s">
        <v>97</v>
      </c>
      <c r="F474" s="6"/>
      <c r="G474" s="6"/>
      <c r="H474" s="7"/>
      <c r="I474" s="8">
        <v>1</v>
      </c>
      <c r="J474" s="9" t="s">
        <v>9</v>
      </c>
      <c r="K474" s="4" t="s">
        <v>10</v>
      </c>
      <c r="L474" s="8" t="s">
        <v>95</v>
      </c>
      <c r="M474" s="7"/>
    </row>
    <row r="475" spans="1:14" ht="21" customHeight="1" x14ac:dyDescent="0.25">
      <c r="A475" s="13" t="str">
        <f t="shared" ref="A475:A480" si="144">A474</f>
        <v>РУ-2-12</v>
      </c>
      <c r="B475" s="10" t="s">
        <v>11</v>
      </c>
      <c r="C475" s="10"/>
      <c r="D475" s="11" t="s">
        <v>170</v>
      </c>
      <c r="E475" s="10" t="s">
        <v>171</v>
      </c>
      <c r="F475" s="10">
        <v>145000</v>
      </c>
      <c r="G475" s="12">
        <f>0.6*F475</f>
        <v>87000</v>
      </c>
      <c r="H475" s="12">
        <f>G475*I475</f>
        <v>87000</v>
      </c>
      <c r="I475" s="13">
        <v>1</v>
      </c>
      <c r="J475" s="14" t="s">
        <v>12</v>
      </c>
      <c r="K475" s="10" t="s">
        <v>13</v>
      </c>
      <c r="L475" s="13" t="str">
        <f t="shared" ref="L475:L478" si="145">L474</f>
        <v>Блок12</v>
      </c>
      <c r="M475" s="12">
        <v>87000</v>
      </c>
      <c r="N475">
        <v>87000</v>
      </c>
    </row>
    <row r="476" spans="1:14" ht="21" customHeight="1" x14ac:dyDescent="0.25">
      <c r="A476" s="13" t="str">
        <f t="shared" si="144"/>
        <v>РУ-2-12</v>
      </c>
      <c r="B476" s="10" t="s">
        <v>27</v>
      </c>
      <c r="C476" s="10"/>
      <c r="D476" s="11">
        <v>126584</v>
      </c>
      <c r="E476" s="10" t="s">
        <v>34</v>
      </c>
      <c r="F476" s="10">
        <v>28756</v>
      </c>
      <c r="G476" s="12">
        <f>F476*0.55</f>
        <v>15815.800000000001</v>
      </c>
      <c r="H476" s="12">
        <f>G476*I476</f>
        <v>15815.800000000001</v>
      </c>
      <c r="I476" s="13">
        <v>1</v>
      </c>
      <c r="J476" s="14" t="s">
        <v>12</v>
      </c>
      <c r="K476" s="10" t="s">
        <v>28</v>
      </c>
      <c r="L476" s="13" t="str">
        <f t="shared" si="145"/>
        <v>Блок12</v>
      </c>
      <c r="M476" s="12">
        <v>15815.800000000001</v>
      </c>
      <c r="N476">
        <v>15815.800000000001</v>
      </c>
    </row>
    <row r="477" spans="1:14" ht="21" customHeight="1" x14ac:dyDescent="0.25">
      <c r="A477" s="13" t="str">
        <f t="shared" si="144"/>
        <v>РУ-2-12</v>
      </c>
      <c r="B477" s="10" t="s">
        <v>27</v>
      </c>
      <c r="C477" s="10"/>
      <c r="D477" s="11" t="s">
        <v>61</v>
      </c>
      <c r="E477" s="10" t="s">
        <v>37</v>
      </c>
      <c r="F477" s="10">
        <v>16562</v>
      </c>
      <c r="G477" s="12">
        <f>F477*0.55</f>
        <v>9109.1</v>
      </c>
      <c r="H477" s="12">
        <f>G477*I477</f>
        <v>27327.300000000003</v>
      </c>
      <c r="I477" s="13">
        <v>3</v>
      </c>
      <c r="J477" s="14" t="s">
        <v>12</v>
      </c>
      <c r="K477" s="10" t="s">
        <v>28</v>
      </c>
      <c r="L477" s="13" t="str">
        <f t="shared" si="145"/>
        <v>Блок12</v>
      </c>
      <c r="M477" s="12">
        <v>27327.300000000003</v>
      </c>
      <c r="N477">
        <v>27327.300000000003</v>
      </c>
    </row>
    <row r="478" spans="1:14" ht="21" customHeight="1" x14ac:dyDescent="0.25">
      <c r="A478" s="13" t="str">
        <f t="shared" si="144"/>
        <v>РУ-2-12</v>
      </c>
      <c r="B478" s="10" t="s">
        <v>27</v>
      </c>
      <c r="C478" s="10"/>
      <c r="D478" s="11" t="s">
        <v>62</v>
      </c>
      <c r="E478" s="10" t="s">
        <v>38</v>
      </c>
      <c r="F478" s="10">
        <v>16562</v>
      </c>
      <c r="G478" s="12">
        <f>F478*0.55</f>
        <v>9109.1</v>
      </c>
      <c r="H478" s="12">
        <f>G478*I478</f>
        <v>9109.1</v>
      </c>
      <c r="I478" s="13">
        <v>1</v>
      </c>
      <c r="J478" s="14" t="s">
        <v>12</v>
      </c>
      <c r="K478" s="10" t="s">
        <v>28</v>
      </c>
      <c r="L478" s="13" t="str">
        <f t="shared" si="145"/>
        <v>Блок12</v>
      </c>
      <c r="M478" s="12">
        <v>9109.1</v>
      </c>
      <c r="N478">
        <v>9109.1</v>
      </c>
    </row>
    <row r="479" spans="1:14" ht="21" customHeight="1" x14ac:dyDescent="0.25">
      <c r="A479" s="10" t="str">
        <f t="shared" si="144"/>
        <v>РУ-2-12</v>
      </c>
      <c r="B479" s="10" t="s">
        <v>19</v>
      </c>
      <c r="C479" s="10"/>
      <c r="D479" s="11" t="s">
        <v>19</v>
      </c>
      <c r="E479" s="10" t="s">
        <v>19</v>
      </c>
      <c r="F479" s="10">
        <f ca="1">OFFSET(F479,1,2)</f>
        <v>27000</v>
      </c>
      <c r="G479" s="12">
        <f ca="1">F479*0.55</f>
        <v>14850.000000000002</v>
      </c>
      <c r="H479" s="12">
        <f ca="1">G479*I479</f>
        <v>14850.000000000002</v>
      </c>
      <c r="I479" s="10">
        <v>1</v>
      </c>
      <c r="J479" s="10" t="s">
        <v>12</v>
      </c>
      <c r="K479" s="10" t="s">
        <v>20</v>
      </c>
      <c r="L479" s="13" t="e">
        <f>#REF!</f>
        <v>#REF!</v>
      </c>
      <c r="M479" s="12">
        <v>14850.000000000002</v>
      </c>
      <c r="N479">
        <v>14850.000000000002</v>
      </c>
    </row>
    <row r="480" spans="1:14" ht="21" customHeight="1" x14ac:dyDescent="0.25">
      <c r="A480" s="10" t="str">
        <f t="shared" si="144"/>
        <v>РУ-2-12</v>
      </c>
      <c r="B480" s="10" t="s">
        <v>20</v>
      </c>
      <c r="C480" s="10"/>
      <c r="D480" s="11" t="s">
        <v>20</v>
      </c>
      <c r="E480" s="10" t="s">
        <v>20</v>
      </c>
      <c r="F480" s="10">
        <v>4.5</v>
      </c>
      <c r="G480" s="12">
        <v>100</v>
      </c>
      <c r="H480" s="12">
        <f t="shared" ref="H480" si="146">G480*I480</f>
        <v>27000</v>
      </c>
      <c r="I480" s="10">
        <f>60*F480</f>
        <v>270</v>
      </c>
      <c r="J480" s="10" t="s">
        <v>12</v>
      </c>
      <c r="K480" s="10" t="s">
        <v>20</v>
      </c>
      <c r="L480" s="13" t="e">
        <f t="shared" ref="L480" si="147">L479</f>
        <v>#REF!</v>
      </c>
      <c r="M480" s="12">
        <v>27000</v>
      </c>
      <c r="N480">
        <v>27000</v>
      </c>
    </row>
    <row r="481" spans="1:14" ht="30" customHeight="1" x14ac:dyDescent="0.25">
      <c r="A481" s="15" t="str">
        <f>A479</f>
        <v>РУ-2-12</v>
      </c>
      <c r="B481" s="15"/>
      <c r="C481" s="15"/>
      <c r="D481" s="15" t="s">
        <v>98</v>
      </c>
      <c r="E481" s="16"/>
      <c r="F481" s="17"/>
      <c r="G481" s="12"/>
      <c r="H481" s="18">
        <f ca="1">SUM(H475:H479)</f>
        <v>154102.20000000001</v>
      </c>
      <c r="I481" s="15"/>
      <c r="J481" s="19"/>
      <c r="K481" s="15"/>
      <c r="L481" s="13" t="e">
        <f>L479</f>
        <v>#REF!</v>
      </c>
      <c r="M481" s="18">
        <v>154102.20000000001</v>
      </c>
      <c r="N481">
        <v>154102.20000000001</v>
      </c>
    </row>
    <row r="482" spans="1:14" ht="39.75" customHeight="1" x14ac:dyDescent="0.25">
      <c r="A482" s="8" t="str">
        <f>E482</f>
        <v>ЩУР.МОП1-12</v>
      </c>
      <c r="B482" s="4"/>
      <c r="C482" s="4"/>
      <c r="D482" s="5"/>
      <c r="E482" s="4" t="s">
        <v>99</v>
      </c>
      <c r="F482" s="6"/>
      <c r="G482" s="6"/>
      <c r="H482" s="7"/>
      <c r="I482" s="8">
        <v>1</v>
      </c>
      <c r="J482" s="9" t="s">
        <v>9</v>
      </c>
      <c r="K482" s="4" t="s">
        <v>10</v>
      </c>
      <c r="L482" s="8" t="s">
        <v>95</v>
      </c>
      <c r="M482" s="7"/>
    </row>
    <row r="483" spans="1:14" ht="21" customHeight="1" x14ac:dyDescent="0.25">
      <c r="A483" s="13" t="str">
        <f t="shared" ref="A483:A490" si="148">A482</f>
        <v>ЩУР.МОП1-12</v>
      </c>
      <c r="B483" s="10" t="s">
        <v>11</v>
      </c>
      <c r="C483" s="10"/>
      <c r="D483" s="11" t="s">
        <v>40</v>
      </c>
      <c r="E483" s="10" t="s">
        <v>41</v>
      </c>
      <c r="F483" s="10">
        <v>18000</v>
      </c>
      <c r="G483" s="12">
        <f>0.6*F483</f>
        <v>10800</v>
      </c>
      <c r="H483" s="12">
        <f>G483*I483</f>
        <v>10800</v>
      </c>
      <c r="I483" s="13">
        <v>1</v>
      </c>
      <c r="J483" s="14" t="s">
        <v>12</v>
      </c>
      <c r="K483" s="10" t="s">
        <v>13</v>
      </c>
      <c r="L483" s="13" t="str">
        <f t="shared" ref="L483:L490" si="149">L482</f>
        <v>Блок12</v>
      </c>
      <c r="M483" s="12">
        <v>10800</v>
      </c>
      <c r="N483">
        <v>10800</v>
      </c>
    </row>
    <row r="484" spans="1:14" ht="21" customHeight="1" x14ac:dyDescent="0.25">
      <c r="A484" s="13" t="str">
        <f t="shared" si="148"/>
        <v>ЩУР.МОП1-12</v>
      </c>
      <c r="B484" s="10" t="s">
        <v>17</v>
      </c>
      <c r="C484" s="10"/>
      <c r="D484" s="11">
        <v>296830</v>
      </c>
      <c r="E484" s="10" t="s">
        <v>149</v>
      </c>
      <c r="F484" s="10">
        <v>1554</v>
      </c>
      <c r="G484" s="12">
        <f>F484*0.55</f>
        <v>854.7</v>
      </c>
      <c r="H484" s="12">
        <f>G484*I484</f>
        <v>854.7</v>
      </c>
      <c r="I484" s="13">
        <v>1</v>
      </c>
      <c r="J484" s="14" t="s">
        <v>12</v>
      </c>
      <c r="K484" s="10" t="s">
        <v>28</v>
      </c>
      <c r="L484" s="13" t="str">
        <f t="shared" si="149"/>
        <v>Блок12</v>
      </c>
      <c r="M484" s="12">
        <v>854.7</v>
      </c>
      <c r="N484">
        <v>854.7</v>
      </c>
    </row>
    <row r="485" spans="1:14" ht="21" customHeight="1" x14ac:dyDescent="0.25">
      <c r="A485" s="13" t="str">
        <f t="shared" si="148"/>
        <v>ЩУР.МОП1-12</v>
      </c>
      <c r="B485" s="10" t="s">
        <v>17</v>
      </c>
      <c r="C485" s="10"/>
      <c r="D485" s="11">
        <v>296828</v>
      </c>
      <c r="E485" s="10" t="s">
        <v>151</v>
      </c>
      <c r="F485" s="10">
        <v>1491</v>
      </c>
      <c r="G485" s="12">
        <f>F485*0.55</f>
        <v>820.05000000000007</v>
      </c>
      <c r="H485" s="12">
        <f>G485*I485</f>
        <v>1640.1000000000001</v>
      </c>
      <c r="I485" s="13">
        <v>2</v>
      </c>
      <c r="J485" s="14" t="s">
        <v>12</v>
      </c>
      <c r="K485" s="10" t="s">
        <v>28</v>
      </c>
      <c r="L485" s="13" t="str">
        <f t="shared" si="149"/>
        <v>Блок12</v>
      </c>
      <c r="M485" s="12">
        <v>1640.1000000000001</v>
      </c>
      <c r="N485">
        <v>1640.1000000000001</v>
      </c>
    </row>
    <row r="486" spans="1:14" ht="21" customHeight="1" x14ac:dyDescent="0.25">
      <c r="A486" s="13" t="str">
        <f t="shared" si="148"/>
        <v>ЩУР.МОП1-12</v>
      </c>
      <c r="B486" s="10" t="s">
        <v>17</v>
      </c>
      <c r="C486" s="10"/>
      <c r="D486" s="11">
        <v>296829</v>
      </c>
      <c r="E486" s="10" t="s">
        <v>148</v>
      </c>
      <c r="F486" s="10">
        <v>2111</v>
      </c>
      <c r="G486" s="12">
        <f>F486*0.55</f>
        <v>1161.0500000000002</v>
      </c>
      <c r="H486" s="12">
        <f>G486*I486</f>
        <v>2322.1000000000004</v>
      </c>
      <c r="I486" s="13">
        <v>2</v>
      </c>
      <c r="J486" s="14" t="s">
        <v>12</v>
      </c>
      <c r="K486" s="10" t="s">
        <v>28</v>
      </c>
      <c r="L486" s="13" t="str">
        <f t="shared" si="149"/>
        <v>Блок12</v>
      </c>
      <c r="M486" s="12">
        <v>2322.1000000000004</v>
      </c>
      <c r="N486">
        <v>2322.1000000000004</v>
      </c>
    </row>
    <row r="487" spans="1:14" ht="21" customHeight="1" x14ac:dyDescent="0.25">
      <c r="A487" s="13" t="str">
        <f t="shared" si="148"/>
        <v>ЩУР.МОП1-12</v>
      </c>
      <c r="B487" s="10" t="s">
        <v>15</v>
      </c>
      <c r="C487" s="10"/>
      <c r="D487" s="11" t="s">
        <v>179</v>
      </c>
      <c r="E487" s="10" t="s">
        <v>180</v>
      </c>
      <c r="F487" s="10">
        <v>83000</v>
      </c>
      <c r="G487" s="12">
        <f>F487</f>
        <v>83000</v>
      </c>
      <c r="H487" s="12">
        <v>39100</v>
      </c>
      <c r="I487" s="13">
        <v>1</v>
      </c>
      <c r="J487" s="14" t="s">
        <v>12</v>
      </c>
      <c r="K487" s="10" t="s">
        <v>16</v>
      </c>
      <c r="L487" s="13" t="str">
        <f t="shared" si="149"/>
        <v>Блок12</v>
      </c>
      <c r="M487" s="12">
        <v>39100</v>
      </c>
      <c r="N487">
        <v>39100</v>
      </c>
    </row>
    <row r="488" spans="1:14" ht="24" customHeight="1" x14ac:dyDescent="0.25">
      <c r="A488" s="10" t="str">
        <f t="shared" si="148"/>
        <v>ЩУР.МОП1-12</v>
      </c>
      <c r="B488" s="10" t="s">
        <v>19</v>
      </c>
      <c r="C488" s="10"/>
      <c r="D488" s="11" t="s">
        <v>19</v>
      </c>
      <c r="E488" s="10" t="s">
        <v>19</v>
      </c>
      <c r="F488" s="10">
        <f ca="1">OFFSET(F488,1,2)</f>
        <v>12000</v>
      </c>
      <c r="G488" s="12">
        <f ca="1">F488*0.55</f>
        <v>6600.0000000000009</v>
      </c>
      <c r="H488" s="12">
        <f ca="1">G488*I488</f>
        <v>6600.0000000000009</v>
      </c>
      <c r="I488" s="10">
        <v>1</v>
      </c>
      <c r="J488" s="10" t="s">
        <v>12</v>
      </c>
      <c r="K488" s="10" t="s">
        <v>19</v>
      </c>
      <c r="L488" s="13" t="str">
        <f t="shared" si="149"/>
        <v>Блок12</v>
      </c>
      <c r="M488" s="12">
        <v>6600.0000000000009</v>
      </c>
      <c r="N488">
        <v>6600.0000000000009</v>
      </c>
    </row>
    <row r="489" spans="1:14" ht="21" customHeight="1" x14ac:dyDescent="0.25">
      <c r="A489" s="10" t="str">
        <f t="shared" si="148"/>
        <v>ЩУР.МОП1-12</v>
      </c>
      <c r="B489" s="10" t="s">
        <v>20</v>
      </c>
      <c r="C489" s="10"/>
      <c r="D489" s="11" t="s">
        <v>20</v>
      </c>
      <c r="E489" s="10" t="s">
        <v>20</v>
      </c>
      <c r="F489" s="10">
        <v>2</v>
      </c>
      <c r="G489" s="12">
        <v>100</v>
      </c>
      <c r="H489" s="12">
        <f>G489*I489</f>
        <v>12000</v>
      </c>
      <c r="I489" s="10">
        <f>60*F489</f>
        <v>120</v>
      </c>
      <c r="J489" s="10" t="s">
        <v>12</v>
      </c>
      <c r="K489" s="10" t="s">
        <v>20</v>
      </c>
      <c r="L489" s="13" t="str">
        <f t="shared" si="149"/>
        <v>Блок12</v>
      </c>
      <c r="M489" s="12">
        <v>12000</v>
      </c>
      <c r="N489">
        <v>12000</v>
      </c>
    </row>
    <row r="490" spans="1:14" ht="30" customHeight="1" x14ac:dyDescent="0.25">
      <c r="A490" s="15" t="str">
        <f t="shared" si="148"/>
        <v>ЩУР.МОП1-12</v>
      </c>
      <c r="B490" s="15"/>
      <c r="C490" s="15"/>
      <c r="D490" s="15"/>
      <c r="E490" s="16"/>
      <c r="F490" s="17"/>
      <c r="G490" s="12">
        <f>F490*0.55</f>
        <v>0</v>
      </c>
      <c r="H490" s="18">
        <f ca="1">SUM(H483:H489)</f>
        <v>73316.899999999994</v>
      </c>
      <c r="I490" s="15"/>
      <c r="J490" s="19"/>
      <c r="K490" s="15"/>
      <c r="L490" s="13" t="str">
        <f t="shared" si="149"/>
        <v>Блок12</v>
      </c>
      <c r="M490" s="18">
        <v>73316.899999999994</v>
      </c>
      <c r="N490">
        <v>73316.899999999994</v>
      </c>
    </row>
    <row r="491" spans="1:14" ht="39.75" customHeight="1" x14ac:dyDescent="0.25">
      <c r="A491" s="8" t="str">
        <f>E491</f>
        <v>ЩУР.МОП2-12</v>
      </c>
      <c r="B491" s="4"/>
      <c r="C491" s="4"/>
      <c r="D491" s="5"/>
      <c r="E491" s="4" t="s">
        <v>100</v>
      </c>
      <c r="F491" s="6"/>
      <c r="G491" s="6"/>
      <c r="H491" s="7"/>
      <c r="I491" s="8">
        <v>1</v>
      </c>
      <c r="J491" s="9" t="s">
        <v>9</v>
      </c>
      <c r="K491" s="4" t="s">
        <v>10</v>
      </c>
      <c r="L491" s="8" t="s">
        <v>95</v>
      </c>
      <c r="M491" s="7"/>
    </row>
    <row r="492" spans="1:14" ht="21" customHeight="1" x14ac:dyDescent="0.25">
      <c r="A492" s="13" t="str">
        <f t="shared" ref="A492:A499" si="150">A491</f>
        <v>ЩУР.МОП2-12</v>
      </c>
      <c r="B492" s="10" t="s">
        <v>11</v>
      </c>
      <c r="C492" s="10"/>
      <c r="D492" s="11" t="s">
        <v>40</v>
      </c>
      <c r="E492" s="10" t="s">
        <v>41</v>
      </c>
      <c r="F492" s="10">
        <v>18000</v>
      </c>
      <c r="G492" s="12">
        <f>0.6*F492</f>
        <v>10800</v>
      </c>
      <c r="H492" s="12">
        <f>G492*I492</f>
        <v>10800</v>
      </c>
      <c r="I492" s="13">
        <v>1</v>
      </c>
      <c r="J492" s="14" t="s">
        <v>12</v>
      </c>
      <c r="K492" s="10" t="s">
        <v>13</v>
      </c>
      <c r="L492" s="13" t="str">
        <f t="shared" ref="L492:L499" si="151">L491</f>
        <v>Блок12</v>
      </c>
      <c r="M492" s="12">
        <v>10800</v>
      </c>
      <c r="N492">
        <v>10800</v>
      </c>
    </row>
    <row r="493" spans="1:14" ht="21" customHeight="1" x14ac:dyDescent="0.25">
      <c r="A493" s="13" t="str">
        <f t="shared" si="150"/>
        <v>ЩУР.МОП2-12</v>
      </c>
      <c r="B493" s="10" t="s">
        <v>17</v>
      </c>
      <c r="C493" s="10"/>
      <c r="D493" s="11">
        <v>296830</v>
      </c>
      <c r="E493" s="10" t="s">
        <v>149</v>
      </c>
      <c r="F493" s="10">
        <v>1554</v>
      </c>
      <c r="G493" s="12">
        <f>F493*0.55</f>
        <v>854.7</v>
      </c>
      <c r="H493" s="12">
        <f>G493*I493</f>
        <v>854.7</v>
      </c>
      <c r="I493" s="13">
        <v>1</v>
      </c>
      <c r="J493" s="14" t="s">
        <v>12</v>
      </c>
      <c r="K493" s="10" t="s">
        <v>28</v>
      </c>
      <c r="L493" s="13" t="str">
        <f t="shared" si="151"/>
        <v>Блок12</v>
      </c>
      <c r="M493" s="12">
        <v>854.7</v>
      </c>
      <c r="N493">
        <v>854.7</v>
      </c>
    </row>
    <row r="494" spans="1:14" ht="21" customHeight="1" x14ac:dyDescent="0.25">
      <c r="A494" s="13" t="str">
        <f t="shared" si="150"/>
        <v>ЩУР.МОП2-12</v>
      </c>
      <c r="B494" s="10" t="s">
        <v>17</v>
      </c>
      <c r="C494" s="10"/>
      <c r="D494" s="11">
        <v>296828</v>
      </c>
      <c r="E494" s="10" t="s">
        <v>151</v>
      </c>
      <c r="F494" s="10">
        <v>1491</v>
      </c>
      <c r="G494" s="12">
        <f>F494*0.55</f>
        <v>820.05000000000007</v>
      </c>
      <c r="H494" s="12">
        <f>G494*I494</f>
        <v>1640.1000000000001</v>
      </c>
      <c r="I494" s="13">
        <v>2</v>
      </c>
      <c r="J494" s="14" t="s">
        <v>12</v>
      </c>
      <c r="K494" s="10" t="s">
        <v>28</v>
      </c>
      <c r="L494" s="13" t="str">
        <f t="shared" si="151"/>
        <v>Блок12</v>
      </c>
      <c r="M494" s="12">
        <v>1640.1000000000001</v>
      </c>
      <c r="N494">
        <v>1640.1000000000001</v>
      </c>
    </row>
    <row r="495" spans="1:14" ht="21" customHeight="1" x14ac:dyDescent="0.25">
      <c r="A495" s="13" t="str">
        <f t="shared" si="150"/>
        <v>ЩУР.МОП2-12</v>
      </c>
      <c r="B495" s="10" t="s">
        <v>17</v>
      </c>
      <c r="C495" s="10"/>
      <c r="D495" s="11">
        <v>296829</v>
      </c>
      <c r="E495" s="10" t="s">
        <v>148</v>
      </c>
      <c r="F495" s="10">
        <v>2111</v>
      </c>
      <c r="G495" s="12">
        <f>F495*0.55</f>
        <v>1161.0500000000002</v>
      </c>
      <c r="H495" s="12">
        <f>G495*I495</f>
        <v>2322.1000000000004</v>
      </c>
      <c r="I495" s="13">
        <v>2</v>
      </c>
      <c r="J495" s="14" t="s">
        <v>12</v>
      </c>
      <c r="K495" s="10" t="s">
        <v>28</v>
      </c>
      <c r="L495" s="13" t="str">
        <f t="shared" si="151"/>
        <v>Блок12</v>
      </c>
      <c r="M495" s="12">
        <v>2322.1000000000004</v>
      </c>
      <c r="N495">
        <v>2322.1000000000004</v>
      </c>
    </row>
    <row r="496" spans="1:14" ht="21" customHeight="1" x14ac:dyDescent="0.25">
      <c r="A496" s="13" t="str">
        <f t="shared" si="150"/>
        <v>ЩУР.МОП2-12</v>
      </c>
      <c r="B496" s="10" t="s">
        <v>15</v>
      </c>
      <c r="C496" s="10"/>
      <c r="D496" s="11" t="s">
        <v>179</v>
      </c>
      <c r="E496" s="10" t="s">
        <v>180</v>
      </c>
      <c r="F496" s="10">
        <v>83000</v>
      </c>
      <c r="G496" s="12">
        <f>F496</f>
        <v>83000</v>
      </c>
      <c r="H496" s="12">
        <v>39100</v>
      </c>
      <c r="I496" s="13">
        <v>1</v>
      </c>
      <c r="J496" s="14" t="s">
        <v>12</v>
      </c>
      <c r="K496" s="10" t="s">
        <v>16</v>
      </c>
      <c r="L496" s="13" t="str">
        <f t="shared" si="151"/>
        <v>Блок12</v>
      </c>
      <c r="M496" s="12">
        <v>39100</v>
      </c>
      <c r="N496">
        <v>39100</v>
      </c>
    </row>
    <row r="497" spans="1:14" ht="24" customHeight="1" x14ac:dyDescent="0.25">
      <c r="A497" s="10" t="str">
        <f t="shared" si="150"/>
        <v>ЩУР.МОП2-12</v>
      </c>
      <c r="B497" s="10" t="s">
        <v>19</v>
      </c>
      <c r="C497" s="10"/>
      <c r="D497" s="11" t="s">
        <v>19</v>
      </c>
      <c r="E497" s="10" t="s">
        <v>19</v>
      </c>
      <c r="F497" s="10">
        <f ca="1">OFFSET(F497,1,2)</f>
        <v>12000</v>
      </c>
      <c r="G497" s="12">
        <f ca="1">F497*0.55</f>
        <v>6600.0000000000009</v>
      </c>
      <c r="H497" s="12">
        <f ca="1">G497*I497</f>
        <v>6600.0000000000009</v>
      </c>
      <c r="I497" s="10">
        <v>1</v>
      </c>
      <c r="J497" s="10" t="s">
        <v>12</v>
      </c>
      <c r="K497" s="10" t="s">
        <v>19</v>
      </c>
      <c r="L497" s="13" t="str">
        <f t="shared" si="151"/>
        <v>Блок12</v>
      </c>
      <c r="M497" s="12">
        <v>6600.0000000000009</v>
      </c>
      <c r="N497">
        <v>6600.0000000000009</v>
      </c>
    </row>
    <row r="498" spans="1:14" ht="21" customHeight="1" x14ac:dyDescent="0.25">
      <c r="A498" s="10" t="str">
        <f t="shared" si="150"/>
        <v>ЩУР.МОП2-12</v>
      </c>
      <c r="B498" s="10" t="s">
        <v>20</v>
      </c>
      <c r="C498" s="10"/>
      <c r="D498" s="11" t="s">
        <v>20</v>
      </c>
      <c r="E498" s="10" t="s">
        <v>20</v>
      </c>
      <c r="F498" s="10">
        <v>2</v>
      </c>
      <c r="G498" s="12">
        <v>100</v>
      </c>
      <c r="H498" s="12">
        <f>G498*I498</f>
        <v>12000</v>
      </c>
      <c r="I498" s="10">
        <f>60*F498</f>
        <v>120</v>
      </c>
      <c r="J498" s="10" t="s">
        <v>12</v>
      </c>
      <c r="K498" s="10" t="s">
        <v>20</v>
      </c>
      <c r="L498" s="13" t="str">
        <f t="shared" si="151"/>
        <v>Блок12</v>
      </c>
      <c r="M498" s="12">
        <v>12000</v>
      </c>
      <c r="N498">
        <v>12000</v>
      </c>
    </row>
    <row r="499" spans="1:14" ht="30" customHeight="1" x14ac:dyDescent="0.25">
      <c r="A499" s="15" t="str">
        <f t="shared" si="150"/>
        <v>ЩУР.МОП2-12</v>
      </c>
      <c r="B499" s="15"/>
      <c r="C499" s="15"/>
      <c r="D499" s="15"/>
      <c r="E499" s="16"/>
      <c r="F499" s="17"/>
      <c r="G499" s="12">
        <f>F499*0.55</f>
        <v>0</v>
      </c>
      <c r="H499" s="18">
        <f ca="1">SUM(H492:H498)</f>
        <v>73316.899999999994</v>
      </c>
      <c r="I499" s="15"/>
      <c r="J499" s="19"/>
      <c r="K499" s="15"/>
      <c r="L499" s="13" t="str">
        <f t="shared" si="151"/>
        <v>Блок12</v>
      </c>
      <c r="M499" s="18">
        <v>73316.899999999994</v>
      </c>
      <c r="N499">
        <v>73316.899999999994</v>
      </c>
    </row>
    <row r="500" spans="1:14" ht="39.75" customHeight="1" x14ac:dyDescent="0.25">
      <c r="A500" s="8" t="str">
        <f>E500</f>
        <v>РЩ1-12 (АВР-Б-40-2-1)</v>
      </c>
      <c r="B500" s="4"/>
      <c r="C500" s="4"/>
      <c r="D500" s="5"/>
      <c r="E500" s="4" t="s">
        <v>144</v>
      </c>
      <c r="F500" s="6"/>
      <c r="G500" s="6"/>
      <c r="H500" s="7"/>
      <c r="I500" s="8">
        <v>1</v>
      </c>
      <c r="J500" s="9" t="s">
        <v>9</v>
      </c>
      <c r="K500" s="4" t="s">
        <v>10</v>
      </c>
      <c r="L500" s="8" t="s">
        <v>95</v>
      </c>
      <c r="M500" s="7"/>
    </row>
    <row r="501" spans="1:14" ht="21" customHeight="1" x14ac:dyDescent="0.25">
      <c r="A501" s="13" t="str">
        <f t="shared" ref="A501:A511" si="152">A500</f>
        <v>РЩ1-12 (АВР-Б-40-2-1)</v>
      </c>
      <c r="B501" s="10" t="s">
        <v>11</v>
      </c>
      <c r="C501" s="10"/>
      <c r="D501" s="11" t="s">
        <v>168</v>
      </c>
      <c r="E501" s="10" t="s">
        <v>169</v>
      </c>
      <c r="F501" s="10">
        <v>130000</v>
      </c>
      <c r="G501" s="12">
        <f>0.6*F501</f>
        <v>78000</v>
      </c>
      <c r="H501" s="12">
        <f t="shared" ref="H501:H506" si="153">G501*I501</f>
        <v>78000</v>
      </c>
      <c r="I501" s="13">
        <v>1</v>
      </c>
      <c r="J501" s="14" t="s">
        <v>12</v>
      </c>
      <c r="K501" s="10" t="s">
        <v>13</v>
      </c>
      <c r="L501" s="13" t="str">
        <f t="shared" ref="L501:L511" si="154">L500</f>
        <v>Блок12</v>
      </c>
      <c r="M501" s="12">
        <v>78000</v>
      </c>
      <c r="N501">
        <v>78000</v>
      </c>
    </row>
    <row r="502" spans="1:14" ht="21" customHeight="1" x14ac:dyDescent="0.25">
      <c r="A502" s="13" t="str">
        <f t="shared" si="152"/>
        <v>РЩ1-12 (АВР-Б-40-2-1)</v>
      </c>
      <c r="B502" s="10" t="s">
        <v>44</v>
      </c>
      <c r="C502" s="10"/>
      <c r="D502" s="11" t="s">
        <v>162</v>
      </c>
      <c r="E502" s="10" t="s">
        <v>163</v>
      </c>
      <c r="F502" s="10">
        <v>114758</v>
      </c>
      <c r="G502" s="12">
        <f>F502*0.55</f>
        <v>63116.900000000009</v>
      </c>
      <c r="H502" s="12">
        <f t="shared" si="153"/>
        <v>63116.900000000009</v>
      </c>
      <c r="I502" s="13">
        <v>1</v>
      </c>
      <c r="J502" s="14" t="s">
        <v>12</v>
      </c>
      <c r="K502" s="10" t="s">
        <v>14</v>
      </c>
      <c r="L502" s="13" t="str">
        <f t="shared" si="154"/>
        <v>Блок12</v>
      </c>
      <c r="M502" s="12">
        <v>63116.900000000009</v>
      </c>
      <c r="N502">
        <v>63116.900000000009</v>
      </c>
    </row>
    <row r="503" spans="1:14" ht="21" customHeight="1" x14ac:dyDescent="0.25">
      <c r="A503" s="13" t="str">
        <f t="shared" si="152"/>
        <v>РЩ1-12 (АВР-Б-40-2-1)</v>
      </c>
      <c r="B503" s="10" t="s">
        <v>27</v>
      </c>
      <c r="C503" s="10"/>
      <c r="D503" s="11">
        <v>126505</v>
      </c>
      <c r="E503" s="10" t="s">
        <v>45</v>
      </c>
      <c r="F503" s="10">
        <v>15740</v>
      </c>
      <c r="G503" s="12">
        <f>F503*0.55</f>
        <v>8657</v>
      </c>
      <c r="H503" s="12">
        <f t="shared" si="153"/>
        <v>17314</v>
      </c>
      <c r="I503" s="13">
        <v>2</v>
      </c>
      <c r="J503" s="14" t="s">
        <v>12</v>
      </c>
      <c r="K503" s="10" t="s">
        <v>28</v>
      </c>
      <c r="L503" s="13" t="str">
        <f t="shared" si="154"/>
        <v>Блок12</v>
      </c>
      <c r="M503" s="12">
        <v>17314</v>
      </c>
      <c r="N503">
        <v>17314</v>
      </c>
    </row>
    <row r="504" spans="1:14" ht="21" customHeight="1" x14ac:dyDescent="0.25">
      <c r="A504" s="13" t="str">
        <f t="shared" si="152"/>
        <v>РЩ1-12 (АВР-Б-40-2-1)</v>
      </c>
      <c r="B504" s="10" t="s">
        <v>27</v>
      </c>
      <c r="C504" s="10"/>
      <c r="D504" s="11">
        <v>126677</v>
      </c>
      <c r="E504" s="10" t="s">
        <v>43</v>
      </c>
      <c r="F504" s="10">
        <v>14742</v>
      </c>
      <c r="G504" s="12">
        <f>F504*0.55</f>
        <v>8108.1</v>
      </c>
      <c r="H504" s="12">
        <f t="shared" si="153"/>
        <v>16216.2</v>
      </c>
      <c r="I504" s="13">
        <v>2</v>
      </c>
      <c r="J504" s="14" t="s">
        <v>12</v>
      </c>
      <c r="K504" s="10" t="s">
        <v>28</v>
      </c>
      <c r="L504" s="13" t="str">
        <f t="shared" si="154"/>
        <v>Блок12</v>
      </c>
      <c r="M504" s="12">
        <v>16216.2</v>
      </c>
      <c r="N504">
        <v>16216.2</v>
      </c>
    </row>
    <row r="505" spans="1:14" ht="21" customHeight="1" x14ac:dyDescent="0.25">
      <c r="A505" s="13" t="str">
        <f t="shared" si="152"/>
        <v>РЩ1-12 (АВР-Б-40-2-1)</v>
      </c>
      <c r="B505" s="10" t="s">
        <v>17</v>
      </c>
      <c r="C505" s="10"/>
      <c r="D505" s="11">
        <v>814174</v>
      </c>
      <c r="E505" s="10" t="s">
        <v>46</v>
      </c>
      <c r="F505" s="10">
        <v>4823</v>
      </c>
      <c r="G505" s="12">
        <f>F505*0.55</f>
        <v>2652.65</v>
      </c>
      <c r="H505" s="12">
        <f t="shared" si="153"/>
        <v>5305.3</v>
      </c>
      <c r="I505" s="13">
        <v>2</v>
      </c>
      <c r="J505" s="14" t="s">
        <v>12</v>
      </c>
      <c r="K505" s="10" t="s">
        <v>28</v>
      </c>
      <c r="L505" s="13" t="str">
        <f t="shared" si="154"/>
        <v>Блок12</v>
      </c>
      <c r="M505" s="12">
        <v>5305.3</v>
      </c>
      <c r="N505">
        <v>5305.3</v>
      </c>
    </row>
    <row r="506" spans="1:14" ht="21" customHeight="1" x14ac:dyDescent="0.25">
      <c r="A506" s="13" t="str">
        <f t="shared" si="152"/>
        <v>РЩ1-12 (АВР-Б-40-2-1)</v>
      </c>
      <c r="B506" s="10" t="s">
        <v>17</v>
      </c>
      <c r="C506" s="10"/>
      <c r="D506" s="11">
        <v>814167</v>
      </c>
      <c r="E506" s="10" t="s">
        <v>48</v>
      </c>
      <c r="F506" s="10">
        <v>5187</v>
      </c>
      <c r="G506" s="12">
        <f>F506*0.55</f>
        <v>2852.8500000000004</v>
      </c>
      <c r="H506" s="12">
        <f t="shared" si="153"/>
        <v>2852.8500000000004</v>
      </c>
      <c r="I506" s="13">
        <v>1</v>
      </c>
      <c r="J506" s="14" t="s">
        <v>12</v>
      </c>
      <c r="K506" s="10" t="s">
        <v>28</v>
      </c>
      <c r="L506" s="13" t="str">
        <f t="shared" si="154"/>
        <v>Блок12</v>
      </c>
      <c r="M506" s="12">
        <v>2852.8500000000004</v>
      </c>
      <c r="N506">
        <v>2852.8500000000004</v>
      </c>
    </row>
    <row r="507" spans="1:14" ht="21" customHeight="1" x14ac:dyDescent="0.25">
      <c r="A507" s="13" t="str">
        <f t="shared" si="152"/>
        <v>РЩ1-12 (АВР-Б-40-2-1)</v>
      </c>
      <c r="B507" s="10" t="s">
        <v>15</v>
      </c>
      <c r="C507" s="10"/>
      <c r="D507" s="11" t="s">
        <v>179</v>
      </c>
      <c r="E507" s="10" t="s">
        <v>180</v>
      </c>
      <c r="F507" s="10">
        <v>83000</v>
      </c>
      <c r="G507" s="12">
        <f>F507</f>
        <v>83000</v>
      </c>
      <c r="H507" s="12">
        <v>39100</v>
      </c>
      <c r="I507" s="13">
        <v>1</v>
      </c>
      <c r="J507" s="14" t="s">
        <v>12</v>
      </c>
      <c r="K507" s="10" t="s">
        <v>16</v>
      </c>
      <c r="L507" s="13" t="str">
        <f t="shared" si="154"/>
        <v>Блок12</v>
      </c>
      <c r="M507" s="12">
        <v>39100</v>
      </c>
      <c r="N507">
        <v>39100</v>
      </c>
    </row>
    <row r="508" spans="1:14" ht="21" customHeight="1" x14ac:dyDescent="0.25">
      <c r="A508" s="13" t="str">
        <f t="shared" si="152"/>
        <v>РЩ1-12 (АВР-Б-40-2-1)</v>
      </c>
      <c r="B508" s="10" t="s">
        <v>30</v>
      </c>
      <c r="C508" s="10"/>
      <c r="D508" s="11"/>
      <c r="E508" s="10" t="s">
        <v>31</v>
      </c>
      <c r="F508" s="10">
        <v>4500</v>
      </c>
      <c r="G508" s="12">
        <f>F508*0.55</f>
        <v>2475</v>
      </c>
      <c r="H508" s="12">
        <f>G508*I508</f>
        <v>14850</v>
      </c>
      <c r="I508" s="13">
        <v>6</v>
      </c>
      <c r="J508" s="14" t="s">
        <v>12</v>
      </c>
      <c r="K508" s="10" t="s">
        <v>25</v>
      </c>
      <c r="L508" s="13" t="e">
        <f>#REF!</f>
        <v>#REF!</v>
      </c>
      <c r="M508" s="12">
        <v>14850</v>
      </c>
      <c r="N508">
        <v>14850</v>
      </c>
    </row>
    <row r="509" spans="1:14" ht="24" customHeight="1" x14ac:dyDescent="0.25">
      <c r="A509" s="10" t="str">
        <f t="shared" si="152"/>
        <v>РЩ1-12 (АВР-Б-40-2-1)</v>
      </c>
      <c r="B509" s="10" t="s">
        <v>19</v>
      </c>
      <c r="C509" s="10"/>
      <c r="D509" s="11" t="s">
        <v>19</v>
      </c>
      <c r="E509" s="10" t="s">
        <v>19</v>
      </c>
      <c r="F509" s="10">
        <f ca="1">OFFSET(F509,1,2)</f>
        <v>39000</v>
      </c>
      <c r="G509" s="12">
        <f ca="1">F509*0.55</f>
        <v>21450</v>
      </c>
      <c r="H509" s="12">
        <f ca="1">G509*I509</f>
        <v>21450</v>
      </c>
      <c r="I509" s="10">
        <v>1</v>
      </c>
      <c r="J509" s="10" t="s">
        <v>12</v>
      </c>
      <c r="K509" s="10" t="s">
        <v>19</v>
      </c>
      <c r="L509" s="13" t="e">
        <f t="shared" si="154"/>
        <v>#REF!</v>
      </c>
      <c r="M509" s="12">
        <v>21450</v>
      </c>
      <c r="N509">
        <v>21450</v>
      </c>
    </row>
    <row r="510" spans="1:14" ht="21" customHeight="1" x14ac:dyDescent="0.25">
      <c r="A510" s="10" t="str">
        <f t="shared" si="152"/>
        <v>РЩ1-12 (АВР-Б-40-2-1)</v>
      </c>
      <c r="B510" s="10" t="s">
        <v>20</v>
      </c>
      <c r="C510" s="10"/>
      <c r="D510" s="11" t="s">
        <v>20</v>
      </c>
      <c r="E510" s="10" t="s">
        <v>20</v>
      </c>
      <c r="F510" s="10">
        <v>6.5</v>
      </c>
      <c r="G510" s="12">
        <v>100</v>
      </c>
      <c r="H510" s="12">
        <f>G510*I510</f>
        <v>39000</v>
      </c>
      <c r="I510" s="10">
        <f>60*F510</f>
        <v>390</v>
      </c>
      <c r="J510" s="10" t="s">
        <v>12</v>
      </c>
      <c r="K510" s="10" t="s">
        <v>20</v>
      </c>
      <c r="L510" s="13" t="e">
        <f t="shared" si="154"/>
        <v>#REF!</v>
      </c>
      <c r="M510" s="12">
        <v>39000</v>
      </c>
      <c r="N510">
        <v>39000</v>
      </c>
    </row>
    <row r="511" spans="1:14" ht="30" customHeight="1" x14ac:dyDescent="0.25">
      <c r="A511" s="15" t="str">
        <f t="shared" si="152"/>
        <v>РЩ1-12 (АВР-Б-40-2-1)</v>
      </c>
      <c r="B511" s="15"/>
      <c r="C511" s="15"/>
      <c r="D511" s="15"/>
      <c r="E511" s="16"/>
      <c r="F511" s="17"/>
      <c r="G511" s="12">
        <f>F511*0.55</f>
        <v>0</v>
      </c>
      <c r="H511" s="18">
        <f ca="1">SUM(H501:H510)</f>
        <v>297205.25</v>
      </c>
      <c r="I511" s="15"/>
      <c r="J511" s="19"/>
      <c r="K511" s="15"/>
      <c r="L511" s="13" t="e">
        <f t="shared" si="154"/>
        <v>#REF!</v>
      </c>
      <c r="M511" s="18">
        <v>297205.25</v>
      </c>
      <c r="N511">
        <v>297205.25</v>
      </c>
    </row>
    <row r="512" spans="1:14" ht="39.75" customHeight="1" x14ac:dyDescent="0.25">
      <c r="A512" s="8" t="str">
        <f>E512</f>
        <v>РЩ2-12 (АВР-Б-40-2-1)</v>
      </c>
      <c r="B512" s="4"/>
      <c r="C512" s="4"/>
      <c r="D512" s="5"/>
      <c r="E512" s="4" t="s">
        <v>145</v>
      </c>
      <c r="F512" s="6"/>
      <c r="G512" s="6"/>
      <c r="H512" s="7"/>
      <c r="I512" s="8">
        <v>1</v>
      </c>
      <c r="J512" s="9" t="s">
        <v>9</v>
      </c>
      <c r="K512" s="4" t="s">
        <v>10</v>
      </c>
      <c r="L512" s="8" t="s">
        <v>95</v>
      </c>
      <c r="M512" s="7"/>
    </row>
    <row r="513" spans="1:14" ht="21" customHeight="1" x14ac:dyDescent="0.25">
      <c r="A513" s="13" t="str">
        <f t="shared" ref="A513:A524" si="155">A512</f>
        <v>РЩ2-12 (АВР-Б-40-2-1)</v>
      </c>
      <c r="B513" s="10" t="s">
        <v>11</v>
      </c>
      <c r="C513" s="10"/>
      <c r="D513" s="11" t="s">
        <v>168</v>
      </c>
      <c r="E513" s="10" t="s">
        <v>169</v>
      </c>
      <c r="F513" s="10">
        <v>130000</v>
      </c>
      <c r="G513" s="12">
        <f>0.6*F513</f>
        <v>78000</v>
      </c>
      <c r="H513" s="12">
        <f t="shared" ref="H513:H519" si="156">G513*I513</f>
        <v>78000</v>
      </c>
      <c r="I513" s="13">
        <v>1</v>
      </c>
      <c r="J513" s="14" t="s">
        <v>12</v>
      </c>
      <c r="K513" s="10" t="s">
        <v>13</v>
      </c>
      <c r="L513" s="13" t="str">
        <f t="shared" ref="L513:L524" si="157">L512</f>
        <v>Блок12</v>
      </c>
      <c r="M513" s="12">
        <v>78000</v>
      </c>
      <c r="N513">
        <v>78000</v>
      </c>
    </row>
    <row r="514" spans="1:14" ht="21" customHeight="1" x14ac:dyDescent="0.25">
      <c r="A514" s="13" t="str">
        <f t="shared" si="155"/>
        <v>РЩ2-12 (АВР-Б-40-2-1)</v>
      </c>
      <c r="B514" s="10" t="s">
        <v>44</v>
      </c>
      <c r="C514" s="10"/>
      <c r="D514" s="11" t="s">
        <v>162</v>
      </c>
      <c r="E514" s="10" t="s">
        <v>163</v>
      </c>
      <c r="F514" s="10">
        <v>114758</v>
      </c>
      <c r="G514" s="12">
        <f t="shared" ref="G514:G519" si="158">F514*0.55</f>
        <v>63116.900000000009</v>
      </c>
      <c r="H514" s="12">
        <f t="shared" si="156"/>
        <v>63116.900000000009</v>
      </c>
      <c r="I514" s="13">
        <v>1</v>
      </c>
      <c r="J514" s="14" t="s">
        <v>12</v>
      </c>
      <c r="K514" s="10" t="s">
        <v>14</v>
      </c>
      <c r="L514" s="13" t="str">
        <f t="shared" si="157"/>
        <v>Блок12</v>
      </c>
      <c r="M514" s="12">
        <v>63116.900000000009</v>
      </c>
      <c r="N514">
        <v>63116.900000000009</v>
      </c>
    </row>
    <row r="515" spans="1:14" ht="21" customHeight="1" x14ac:dyDescent="0.25">
      <c r="A515" s="13" t="str">
        <f t="shared" si="155"/>
        <v>РЩ2-12 (АВР-Б-40-2-1)</v>
      </c>
      <c r="B515" s="10" t="s">
        <v>27</v>
      </c>
      <c r="C515" s="10"/>
      <c r="D515" s="11">
        <v>126505</v>
      </c>
      <c r="E515" s="10" t="s">
        <v>45</v>
      </c>
      <c r="F515" s="10">
        <v>15740</v>
      </c>
      <c r="G515" s="12">
        <f t="shared" si="158"/>
        <v>8657</v>
      </c>
      <c r="H515" s="12">
        <f t="shared" si="156"/>
        <v>17314</v>
      </c>
      <c r="I515" s="13">
        <v>2</v>
      </c>
      <c r="J515" s="14" t="s">
        <v>12</v>
      </c>
      <c r="K515" s="10" t="s">
        <v>28</v>
      </c>
      <c r="L515" s="13" t="str">
        <f t="shared" si="157"/>
        <v>Блок12</v>
      </c>
      <c r="M515" s="12">
        <v>17314</v>
      </c>
      <c r="N515">
        <v>17314</v>
      </c>
    </row>
    <row r="516" spans="1:14" ht="21" customHeight="1" x14ac:dyDescent="0.25">
      <c r="A516" s="13" t="str">
        <f t="shared" si="155"/>
        <v>РЩ2-12 (АВР-Б-40-2-1)</v>
      </c>
      <c r="B516" s="10" t="s">
        <v>27</v>
      </c>
      <c r="C516" s="10"/>
      <c r="D516" s="11">
        <v>126677</v>
      </c>
      <c r="E516" s="10" t="s">
        <v>43</v>
      </c>
      <c r="F516" s="10">
        <v>14742</v>
      </c>
      <c r="G516" s="12">
        <f t="shared" si="158"/>
        <v>8108.1</v>
      </c>
      <c r="H516" s="12">
        <f t="shared" si="156"/>
        <v>16216.2</v>
      </c>
      <c r="I516" s="13">
        <v>2</v>
      </c>
      <c r="J516" s="14" t="s">
        <v>12</v>
      </c>
      <c r="K516" s="10" t="s">
        <v>28</v>
      </c>
      <c r="L516" s="13" t="str">
        <f t="shared" si="157"/>
        <v>Блок12</v>
      </c>
      <c r="M516" s="12">
        <v>16216.2</v>
      </c>
      <c r="N516">
        <v>16216.2</v>
      </c>
    </row>
    <row r="517" spans="1:14" ht="21" customHeight="1" x14ac:dyDescent="0.25">
      <c r="A517" s="13" t="str">
        <f t="shared" si="155"/>
        <v>РЩ2-12 (АВР-Б-40-2-1)</v>
      </c>
      <c r="B517" s="10" t="s">
        <v>17</v>
      </c>
      <c r="C517" s="10"/>
      <c r="D517" s="11">
        <v>814174</v>
      </c>
      <c r="E517" s="10" t="s">
        <v>46</v>
      </c>
      <c r="F517" s="10">
        <v>4823</v>
      </c>
      <c r="G517" s="12">
        <f t="shared" si="158"/>
        <v>2652.65</v>
      </c>
      <c r="H517" s="12">
        <f t="shared" si="156"/>
        <v>5305.3</v>
      </c>
      <c r="I517" s="13">
        <v>2</v>
      </c>
      <c r="J517" s="14" t="s">
        <v>12</v>
      </c>
      <c r="K517" s="10" t="s">
        <v>28</v>
      </c>
      <c r="L517" s="13" t="str">
        <f t="shared" si="157"/>
        <v>Блок12</v>
      </c>
      <c r="M517" s="12">
        <v>5305.3</v>
      </c>
      <c r="N517">
        <v>5305.3</v>
      </c>
    </row>
    <row r="518" spans="1:14" ht="21" customHeight="1" x14ac:dyDescent="0.25">
      <c r="A518" s="13" t="str">
        <f t="shared" si="155"/>
        <v>РЩ2-12 (АВР-Б-40-2-1)</v>
      </c>
      <c r="B518" s="10" t="s">
        <v>18</v>
      </c>
      <c r="C518" s="10"/>
      <c r="D518" s="11">
        <v>819975</v>
      </c>
      <c r="E518" s="10" t="s">
        <v>47</v>
      </c>
      <c r="F518" s="10">
        <v>5369</v>
      </c>
      <c r="G518" s="12">
        <f t="shared" si="158"/>
        <v>2952.9500000000003</v>
      </c>
      <c r="H518" s="12">
        <f t="shared" si="156"/>
        <v>2952.9500000000003</v>
      </c>
      <c r="I518" s="13">
        <v>1</v>
      </c>
      <c r="J518" s="14" t="s">
        <v>12</v>
      </c>
      <c r="K518" s="10" t="s">
        <v>28</v>
      </c>
      <c r="L518" s="13" t="str">
        <f t="shared" si="157"/>
        <v>Блок12</v>
      </c>
      <c r="M518" s="12">
        <v>2952.9500000000003</v>
      </c>
      <c r="N518">
        <v>2952.9500000000003</v>
      </c>
    </row>
    <row r="519" spans="1:14" ht="21" customHeight="1" x14ac:dyDescent="0.25">
      <c r="A519" s="13" t="str">
        <f t="shared" si="155"/>
        <v>РЩ2-12 (АВР-Б-40-2-1)</v>
      </c>
      <c r="B519" s="10" t="s">
        <v>17</v>
      </c>
      <c r="C519" s="10"/>
      <c r="D519" s="11">
        <v>814167</v>
      </c>
      <c r="E519" s="10" t="s">
        <v>48</v>
      </c>
      <c r="F519" s="10">
        <v>5187</v>
      </c>
      <c r="G519" s="12">
        <f t="shared" si="158"/>
        <v>2852.8500000000004</v>
      </c>
      <c r="H519" s="12">
        <f t="shared" si="156"/>
        <v>2852.8500000000004</v>
      </c>
      <c r="I519" s="13">
        <v>1</v>
      </c>
      <c r="J519" s="14" t="s">
        <v>12</v>
      </c>
      <c r="K519" s="10" t="s">
        <v>28</v>
      </c>
      <c r="L519" s="13" t="str">
        <f t="shared" si="157"/>
        <v>Блок12</v>
      </c>
      <c r="M519" s="12">
        <v>2852.8500000000004</v>
      </c>
      <c r="N519">
        <v>2852.8500000000004</v>
      </c>
    </row>
    <row r="520" spans="1:14" ht="21" customHeight="1" x14ac:dyDescent="0.25">
      <c r="A520" s="13" t="str">
        <f t="shared" si="155"/>
        <v>РЩ2-12 (АВР-Б-40-2-1)</v>
      </c>
      <c r="B520" s="10" t="s">
        <v>15</v>
      </c>
      <c r="C520" s="10"/>
      <c r="D520" s="11" t="s">
        <v>179</v>
      </c>
      <c r="E520" s="10" t="s">
        <v>180</v>
      </c>
      <c r="F520" s="10">
        <v>83000</v>
      </c>
      <c r="G520" s="12">
        <f>F520</f>
        <v>83000</v>
      </c>
      <c r="H520" s="12">
        <v>39100</v>
      </c>
      <c r="I520" s="13">
        <v>1</v>
      </c>
      <c r="J520" s="14" t="s">
        <v>12</v>
      </c>
      <c r="K520" s="10" t="s">
        <v>16</v>
      </c>
      <c r="L520" s="13" t="str">
        <f t="shared" si="157"/>
        <v>Блок12</v>
      </c>
      <c r="M520" s="12">
        <v>39100</v>
      </c>
      <c r="N520">
        <v>39100</v>
      </c>
    </row>
    <row r="521" spans="1:14" ht="21" customHeight="1" x14ac:dyDescent="0.25">
      <c r="A521" s="13" t="str">
        <f t="shared" si="155"/>
        <v>РЩ2-12 (АВР-Б-40-2-1)</v>
      </c>
      <c r="B521" s="10" t="s">
        <v>30</v>
      </c>
      <c r="C521" s="10"/>
      <c r="D521" s="11"/>
      <c r="E521" s="10" t="s">
        <v>31</v>
      </c>
      <c r="F521" s="10">
        <v>4500</v>
      </c>
      <c r="G521" s="12">
        <f>F521*0.55</f>
        <v>2475</v>
      </c>
      <c r="H521" s="12">
        <f>G521*I521</f>
        <v>14850</v>
      </c>
      <c r="I521" s="13">
        <v>6</v>
      </c>
      <c r="J521" s="14" t="s">
        <v>12</v>
      </c>
      <c r="K521" s="10" t="s">
        <v>25</v>
      </c>
      <c r="L521" s="13" t="e">
        <f>#REF!</f>
        <v>#REF!</v>
      </c>
      <c r="M521" s="12">
        <v>14850</v>
      </c>
      <c r="N521">
        <v>14850</v>
      </c>
    </row>
    <row r="522" spans="1:14" ht="24" customHeight="1" x14ac:dyDescent="0.25">
      <c r="A522" s="10" t="str">
        <f t="shared" si="155"/>
        <v>РЩ2-12 (АВР-Б-40-2-1)</v>
      </c>
      <c r="B522" s="10" t="s">
        <v>19</v>
      </c>
      <c r="C522" s="10"/>
      <c r="D522" s="11" t="s">
        <v>19</v>
      </c>
      <c r="E522" s="10" t="s">
        <v>19</v>
      </c>
      <c r="F522" s="10">
        <f ca="1">OFFSET(F522,1,2)</f>
        <v>39000</v>
      </c>
      <c r="G522" s="12">
        <f ca="1">F522*0.55</f>
        <v>21450</v>
      </c>
      <c r="H522" s="12">
        <f ca="1">G522*I522</f>
        <v>21450</v>
      </c>
      <c r="I522" s="10">
        <v>1</v>
      </c>
      <c r="J522" s="10" t="s">
        <v>12</v>
      </c>
      <c r="K522" s="10" t="s">
        <v>19</v>
      </c>
      <c r="L522" s="13" t="e">
        <f t="shared" si="157"/>
        <v>#REF!</v>
      </c>
      <c r="M522" s="12">
        <v>21450</v>
      </c>
      <c r="N522">
        <v>21450</v>
      </c>
    </row>
    <row r="523" spans="1:14" ht="21" customHeight="1" x14ac:dyDescent="0.25">
      <c r="A523" s="10" t="str">
        <f t="shared" si="155"/>
        <v>РЩ2-12 (АВР-Б-40-2-1)</v>
      </c>
      <c r="B523" s="10" t="s">
        <v>20</v>
      </c>
      <c r="C523" s="10"/>
      <c r="D523" s="11" t="s">
        <v>20</v>
      </c>
      <c r="E523" s="10" t="s">
        <v>20</v>
      </c>
      <c r="F523" s="10">
        <v>6.5</v>
      </c>
      <c r="G523" s="12">
        <v>100</v>
      </c>
      <c r="H523" s="12">
        <f>G523*I523</f>
        <v>39000</v>
      </c>
      <c r="I523" s="10">
        <f>60*F523</f>
        <v>390</v>
      </c>
      <c r="J523" s="10" t="s">
        <v>12</v>
      </c>
      <c r="K523" s="10" t="s">
        <v>20</v>
      </c>
      <c r="L523" s="13" t="e">
        <f t="shared" si="157"/>
        <v>#REF!</v>
      </c>
      <c r="M523" s="12">
        <v>39000</v>
      </c>
      <c r="N523">
        <v>39000</v>
      </c>
    </row>
    <row r="524" spans="1:14" ht="30" customHeight="1" x14ac:dyDescent="0.25">
      <c r="A524" s="15" t="str">
        <f t="shared" si="155"/>
        <v>РЩ2-12 (АВР-Б-40-2-1)</v>
      </c>
      <c r="B524" s="15"/>
      <c r="C524" s="15"/>
      <c r="D524" s="15"/>
      <c r="E524" s="16"/>
      <c r="F524" s="17"/>
      <c r="G524" s="12">
        <f>F524*0.55</f>
        <v>0</v>
      </c>
      <c r="H524" s="18">
        <f ca="1">SUM(H513:H523)</f>
        <v>300158.20000000007</v>
      </c>
      <c r="I524" s="15"/>
      <c r="J524" s="19"/>
      <c r="K524" s="15"/>
      <c r="L524" s="13" t="e">
        <f t="shared" si="157"/>
        <v>#REF!</v>
      </c>
      <c r="M524" s="18">
        <v>300158.20000000007</v>
      </c>
      <c r="N524">
        <v>300158.20000000007</v>
      </c>
    </row>
    <row r="525" spans="1:14" ht="39.75" customHeight="1" x14ac:dyDescent="0.25">
      <c r="A525" s="8" t="str">
        <f>E525</f>
        <v>ВРУ1-13</v>
      </c>
      <c r="B525" s="4"/>
      <c r="C525" s="4"/>
      <c r="D525" s="5"/>
      <c r="E525" s="4" t="s">
        <v>101</v>
      </c>
      <c r="F525" s="6"/>
      <c r="G525" s="6"/>
      <c r="H525" s="7"/>
      <c r="I525" s="8">
        <v>1</v>
      </c>
      <c r="J525" s="9" t="s">
        <v>9</v>
      </c>
      <c r="K525" s="4" t="s">
        <v>10</v>
      </c>
      <c r="L525" s="8" t="s">
        <v>102</v>
      </c>
      <c r="M525" s="7"/>
    </row>
    <row r="526" spans="1:14" ht="21" customHeight="1" x14ac:dyDescent="0.25">
      <c r="A526" s="13" t="str">
        <f t="shared" ref="A526:A536" si="159">A525</f>
        <v>ВРУ1-13</v>
      </c>
      <c r="B526" s="10" t="s">
        <v>11</v>
      </c>
      <c r="C526" s="10"/>
      <c r="D526" s="11" t="s">
        <v>172</v>
      </c>
      <c r="E526" s="10" t="s">
        <v>173</v>
      </c>
      <c r="F526" s="10">
        <v>156500</v>
      </c>
      <c r="G526" s="12">
        <f>0.6*F526</f>
        <v>93900</v>
      </c>
      <c r="H526" s="12">
        <f>G526*I526</f>
        <v>93900</v>
      </c>
      <c r="I526" s="13">
        <v>1</v>
      </c>
      <c r="J526" s="14" t="s">
        <v>12</v>
      </c>
      <c r="K526" s="10" t="s">
        <v>13</v>
      </c>
      <c r="L526" s="13" t="str">
        <f t="shared" ref="L526:L536" si="160">L525</f>
        <v>Блок13</v>
      </c>
      <c r="M526" s="12">
        <v>93900</v>
      </c>
      <c r="N526">
        <v>93900</v>
      </c>
    </row>
    <row r="527" spans="1:14" ht="21" customHeight="1" x14ac:dyDescent="0.25">
      <c r="A527" s="13" t="str">
        <f t="shared" si="159"/>
        <v>ВРУ1-13</v>
      </c>
      <c r="B527" s="10" t="s">
        <v>23</v>
      </c>
      <c r="C527" s="10"/>
      <c r="D527" s="11"/>
      <c r="E527" s="10" t="s">
        <v>24</v>
      </c>
      <c r="F527" s="10">
        <v>4701</v>
      </c>
      <c r="G527" s="12">
        <v>4701</v>
      </c>
      <c r="H527" s="12">
        <v>28206</v>
      </c>
      <c r="I527" s="13">
        <v>6</v>
      </c>
      <c r="J527" s="14" t="s">
        <v>12</v>
      </c>
      <c r="K527" s="10" t="s">
        <v>25</v>
      </c>
      <c r="L527" s="13" t="str">
        <f t="shared" si="160"/>
        <v>Блок13</v>
      </c>
      <c r="M527" s="12">
        <v>28206</v>
      </c>
      <c r="N527">
        <v>28206</v>
      </c>
    </row>
    <row r="528" spans="1:14" ht="21" customHeight="1" x14ac:dyDescent="0.25">
      <c r="A528" s="13" t="str">
        <f t="shared" si="159"/>
        <v>ВРУ1-13</v>
      </c>
      <c r="B528" s="10" t="s">
        <v>26</v>
      </c>
      <c r="C528" s="10"/>
      <c r="D528" s="11" t="s">
        <v>177</v>
      </c>
      <c r="E528" s="10" t="s">
        <v>178</v>
      </c>
      <c r="F528" s="10">
        <v>25500</v>
      </c>
      <c r="G528" s="12">
        <f>F528*0.55</f>
        <v>14025.000000000002</v>
      </c>
      <c r="H528" s="12">
        <f>G528*I528</f>
        <v>28050.000000000004</v>
      </c>
      <c r="I528" s="13">
        <v>2</v>
      </c>
      <c r="J528" s="14" t="s">
        <v>12</v>
      </c>
      <c r="K528" s="10" t="s">
        <v>25</v>
      </c>
      <c r="L528" s="13" t="str">
        <f t="shared" si="160"/>
        <v>Блок13</v>
      </c>
      <c r="M528" s="12">
        <v>28050.000000000004</v>
      </c>
      <c r="N528">
        <v>28050.000000000004</v>
      </c>
    </row>
    <row r="529" spans="1:14" ht="21" customHeight="1" x14ac:dyDescent="0.25">
      <c r="A529" s="13" t="str">
        <f t="shared" si="159"/>
        <v>ВРУ1-13</v>
      </c>
      <c r="B529" s="10" t="s">
        <v>127</v>
      </c>
      <c r="C529" s="10"/>
      <c r="D529" s="11" t="s">
        <v>130</v>
      </c>
      <c r="E529" s="10" t="s">
        <v>131</v>
      </c>
      <c r="F529" s="10">
        <v>4750</v>
      </c>
      <c r="G529" s="12">
        <f>F529*0.55</f>
        <v>2612.5</v>
      </c>
      <c r="H529" s="12">
        <f>G529*I529</f>
        <v>5225</v>
      </c>
      <c r="I529" s="13">
        <v>2</v>
      </c>
      <c r="J529" s="14" t="s">
        <v>12</v>
      </c>
      <c r="K529" s="10" t="s">
        <v>14</v>
      </c>
      <c r="L529" s="13" t="str">
        <f t="shared" si="160"/>
        <v>Блок13</v>
      </c>
      <c r="M529" s="12">
        <v>5225</v>
      </c>
      <c r="N529">
        <v>5225</v>
      </c>
    </row>
    <row r="530" spans="1:14" ht="21" customHeight="1" x14ac:dyDescent="0.25">
      <c r="A530" s="13" t="str">
        <f t="shared" si="159"/>
        <v>ВРУ1-13</v>
      </c>
      <c r="B530" s="10" t="s">
        <v>126</v>
      </c>
      <c r="C530" s="10"/>
      <c r="D530" s="11" t="s">
        <v>128</v>
      </c>
      <c r="E530" s="10" t="s">
        <v>129</v>
      </c>
      <c r="F530" s="10">
        <v>3317</v>
      </c>
      <c r="G530" s="12">
        <f>F530*0.55</f>
        <v>1824.3500000000001</v>
      </c>
      <c r="H530" s="12">
        <f>G530*I530</f>
        <v>3648.7000000000003</v>
      </c>
      <c r="I530" s="13">
        <v>2</v>
      </c>
      <c r="J530" s="14" t="s">
        <v>12</v>
      </c>
      <c r="K530" s="10" t="s">
        <v>14</v>
      </c>
      <c r="L530" s="13" t="str">
        <f t="shared" si="160"/>
        <v>Блок13</v>
      </c>
      <c r="M530" s="12">
        <v>3648.7000000000003</v>
      </c>
      <c r="N530">
        <v>3648.7000000000003</v>
      </c>
    </row>
    <row r="531" spans="1:14" ht="21" customHeight="1" x14ac:dyDescent="0.25">
      <c r="A531" s="13" t="str">
        <f t="shared" si="159"/>
        <v>ВРУ1-13</v>
      </c>
      <c r="B531" s="10" t="s">
        <v>17</v>
      </c>
      <c r="C531" s="10"/>
      <c r="D531" s="11">
        <v>296708</v>
      </c>
      <c r="E531" s="10" t="s">
        <v>29</v>
      </c>
      <c r="F531" s="10">
        <v>828</v>
      </c>
      <c r="G531" s="12">
        <f>F531*0.55</f>
        <v>455.40000000000003</v>
      </c>
      <c r="H531" s="12">
        <f>G531*I531</f>
        <v>910.80000000000007</v>
      </c>
      <c r="I531" s="13">
        <v>2</v>
      </c>
      <c r="J531" s="14" t="s">
        <v>12</v>
      </c>
      <c r="K531" s="10" t="s">
        <v>28</v>
      </c>
      <c r="L531" s="13" t="str">
        <f t="shared" si="160"/>
        <v>Блок13</v>
      </c>
      <c r="M531" s="12">
        <v>910.80000000000007</v>
      </c>
      <c r="N531">
        <v>910.80000000000007</v>
      </c>
    </row>
    <row r="532" spans="1:14" ht="21" customHeight="1" x14ac:dyDescent="0.25">
      <c r="A532" s="13" t="str">
        <f t="shared" si="159"/>
        <v>ВРУ1-13</v>
      </c>
      <c r="B532" s="10" t="s">
        <v>15</v>
      </c>
      <c r="C532" s="10"/>
      <c r="D532" s="11" t="s">
        <v>179</v>
      </c>
      <c r="E532" s="10" t="s">
        <v>180</v>
      </c>
      <c r="F532" s="10">
        <v>83000</v>
      </c>
      <c r="G532" s="12">
        <f>F532</f>
        <v>83000</v>
      </c>
      <c r="H532" s="12">
        <v>78200</v>
      </c>
      <c r="I532" s="13">
        <v>2</v>
      </c>
      <c r="J532" s="14" t="s">
        <v>12</v>
      </c>
      <c r="K532" s="10" t="s">
        <v>16</v>
      </c>
      <c r="L532" s="13" t="str">
        <f t="shared" si="160"/>
        <v>Блок13</v>
      </c>
      <c r="M532" s="12">
        <v>78200</v>
      </c>
      <c r="N532">
        <v>78200</v>
      </c>
    </row>
    <row r="533" spans="1:14" ht="21" customHeight="1" x14ac:dyDescent="0.25">
      <c r="A533" s="13" t="str">
        <f t="shared" si="159"/>
        <v>ВРУ1-13</v>
      </c>
      <c r="B533" s="10" t="s">
        <v>30</v>
      </c>
      <c r="C533" s="10"/>
      <c r="D533" s="11"/>
      <c r="E533" s="10" t="s">
        <v>31</v>
      </c>
      <c r="F533" s="10">
        <v>4500</v>
      </c>
      <c r="G533" s="12">
        <f>F533*0.55</f>
        <v>2475</v>
      </c>
      <c r="H533" s="12">
        <f>G533*I533</f>
        <v>14850</v>
      </c>
      <c r="I533" s="13">
        <v>6</v>
      </c>
      <c r="J533" s="14" t="s">
        <v>12</v>
      </c>
      <c r="K533" s="10" t="s">
        <v>25</v>
      </c>
      <c r="L533" s="13" t="str">
        <f t="shared" si="160"/>
        <v>Блок13</v>
      </c>
      <c r="M533" s="12">
        <v>14850</v>
      </c>
      <c r="N533">
        <v>14850</v>
      </c>
    </row>
    <row r="534" spans="1:14" ht="24" customHeight="1" x14ac:dyDescent="0.25">
      <c r="A534" s="10" t="str">
        <f t="shared" si="159"/>
        <v>ВРУ1-13</v>
      </c>
      <c r="B534" s="10" t="s">
        <v>19</v>
      </c>
      <c r="C534" s="10"/>
      <c r="D534" s="11" t="s">
        <v>19</v>
      </c>
      <c r="E534" s="10" t="s">
        <v>19</v>
      </c>
      <c r="F534" s="10">
        <f ca="1">OFFSET(F534,1,2)</f>
        <v>48000</v>
      </c>
      <c r="G534" s="12">
        <f ca="1">F534*0.55</f>
        <v>26400.000000000004</v>
      </c>
      <c r="H534" s="12">
        <f ca="1">G534*I534</f>
        <v>26400.000000000004</v>
      </c>
      <c r="I534" s="10">
        <v>1</v>
      </c>
      <c r="J534" s="10" t="s">
        <v>12</v>
      </c>
      <c r="K534" s="10" t="s">
        <v>19</v>
      </c>
      <c r="L534" s="13" t="str">
        <f t="shared" si="160"/>
        <v>Блок13</v>
      </c>
      <c r="M534" s="12">
        <v>26400.000000000004</v>
      </c>
      <c r="N534">
        <v>26400.000000000004</v>
      </c>
    </row>
    <row r="535" spans="1:14" ht="21" customHeight="1" x14ac:dyDescent="0.25">
      <c r="A535" s="10" t="str">
        <f t="shared" si="159"/>
        <v>ВРУ1-13</v>
      </c>
      <c r="B535" s="10" t="s">
        <v>20</v>
      </c>
      <c r="C535" s="10"/>
      <c r="D535" s="11" t="s">
        <v>20</v>
      </c>
      <c r="E535" s="10" t="s">
        <v>20</v>
      </c>
      <c r="F535" s="10">
        <v>8</v>
      </c>
      <c r="G535" s="12">
        <v>100</v>
      </c>
      <c r="H535" s="12">
        <f>G535*I535</f>
        <v>48000</v>
      </c>
      <c r="I535" s="10">
        <f>60*F535</f>
        <v>480</v>
      </c>
      <c r="J535" s="10" t="s">
        <v>12</v>
      </c>
      <c r="K535" s="10" t="s">
        <v>20</v>
      </c>
      <c r="L535" s="13" t="str">
        <f t="shared" si="160"/>
        <v>Блок13</v>
      </c>
      <c r="M535" s="12">
        <v>48000</v>
      </c>
      <c r="N535">
        <v>48000</v>
      </c>
    </row>
    <row r="536" spans="1:14" ht="30" customHeight="1" x14ac:dyDescent="0.25">
      <c r="A536" s="15" t="str">
        <f t="shared" si="159"/>
        <v>ВРУ1-13</v>
      </c>
      <c r="B536" s="15"/>
      <c r="C536" s="15"/>
      <c r="D536" s="15"/>
      <c r="E536" s="16"/>
      <c r="F536" s="17"/>
      <c r="G536" s="12">
        <f>F536*0.55</f>
        <v>0</v>
      </c>
      <c r="H536" s="18">
        <f ca="1">SUM(H526:H535)</f>
        <v>327390.5</v>
      </c>
      <c r="I536" s="15"/>
      <c r="J536" s="19"/>
      <c r="K536" s="15"/>
      <c r="L536" s="13" t="str">
        <f t="shared" si="160"/>
        <v>Блок13</v>
      </c>
      <c r="M536" s="18">
        <v>327390.5</v>
      </c>
      <c r="N536">
        <v>327390.5</v>
      </c>
    </row>
    <row r="537" spans="1:14" ht="39.75" customHeight="1" x14ac:dyDescent="0.25">
      <c r="A537" s="8" t="str">
        <f>E537</f>
        <v>РУ-1-13</v>
      </c>
      <c r="B537" s="4"/>
      <c r="C537" s="4"/>
      <c r="D537" s="5"/>
      <c r="E537" s="4" t="s">
        <v>103</v>
      </c>
      <c r="F537" s="6"/>
      <c r="G537" s="6"/>
      <c r="H537" s="7"/>
      <c r="I537" s="8">
        <v>1</v>
      </c>
      <c r="J537" s="9" t="s">
        <v>9</v>
      </c>
      <c r="K537" s="4" t="s">
        <v>10</v>
      </c>
      <c r="L537" s="8" t="s">
        <v>102</v>
      </c>
      <c r="M537" s="7"/>
    </row>
    <row r="538" spans="1:14" ht="21" customHeight="1" x14ac:dyDescent="0.25">
      <c r="A538" s="13" t="str">
        <f t="shared" ref="A538:A544" si="161">A537</f>
        <v>РУ-1-13</v>
      </c>
      <c r="B538" s="10" t="s">
        <v>11</v>
      </c>
      <c r="C538" s="10"/>
      <c r="D538" s="11" t="s">
        <v>170</v>
      </c>
      <c r="E538" s="10" t="s">
        <v>171</v>
      </c>
      <c r="F538" s="10">
        <v>145000</v>
      </c>
      <c r="G538" s="12">
        <f>0.6*F538</f>
        <v>87000</v>
      </c>
      <c r="H538" s="12">
        <f t="shared" ref="H538:H543" si="162">G538*I538</f>
        <v>87000</v>
      </c>
      <c r="I538" s="13">
        <v>1</v>
      </c>
      <c r="J538" s="14" t="s">
        <v>12</v>
      </c>
      <c r="K538" s="10" t="s">
        <v>13</v>
      </c>
      <c r="L538" s="13" t="str">
        <f t="shared" ref="L538:L544" si="163">L537</f>
        <v>Блок13</v>
      </c>
      <c r="M538" s="12">
        <v>87000</v>
      </c>
      <c r="N538">
        <v>87000</v>
      </c>
    </row>
    <row r="539" spans="1:14" ht="21" customHeight="1" x14ac:dyDescent="0.25">
      <c r="A539" s="13" t="str">
        <f t="shared" si="161"/>
        <v>РУ-1-13</v>
      </c>
      <c r="B539" s="10" t="s">
        <v>27</v>
      </c>
      <c r="C539" s="10"/>
      <c r="D539" s="11">
        <v>126583</v>
      </c>
      <c r="E539" s="10" t="s">
        <v>33</v>
      </c>
      <c r="F539" s="10">
        <v>28665</v>
      </c>
      <c r="G539" s="12">
        <f t="shared" ref="G539:G544" si="164">F539*0.55</f>
        <v>15765.750000000002</v>
      </c>
      <c r="H539" s="12">
        <f t="shared" si="162"/>
        <v>31531.500000000004</v>
      </c>
      <c r="I539" s="13">
        <v>2</v>
      </c>
      <c r="J539" s="14" t="s">
        <v>12</v>
      </c>
      <c r="K539" s="10" t="s">
        <v>28</v>
      </c>
      <c r="L539" s="13" t="str">
        <f t="shared" si="163"/>
        <v>Блок13</v>
      </c>
      <c r="M539" s="12">
        <v>31531.500000000004</v>
      </c>
      <c r="N539">
        <v>31531.500000000004</v>
      </c>
    </row>
    <row r="540" spans="1:14" ht="21" customHeight="1" x14ac:dyDescent="0.25">
      <c r="A540" s="13" t="str">
        <f t="shared" si="161"/>
        <v>РУ-1-13</v>
      </c>
      <c r="B540" s="10" t="s">
        <v>27</v>
      </c>
      <c r="C540" s="10"/>
      <c r="D540" s="11">
        <v>126584</v>
      </c>
      <c r="E540" s="10" t="s">
        <v>34</v>
      </c>
      <c r="F540" s="10">
        <v>28756</v>
      </c>
      <c r="G540" s="12">
        <f t="shared" si="164"/>
        <v>15815.800000000001</v>
      </c>
      <c r="H540" s="12">
        <f t="shared" si="162"/>
        <v>15815.800000000001</v>
      </c>
      <c r="I540" s="13">
        <v>1</v>
      </c>
      <c r="J540" s="14" t="s">
        <v>12</v>
      </c>
      <c r="K540" s="10" t="s">
        <v>28</v>
      </c>
      <c r="L540" s="13" t="str">
        <f t="shared" si="163"/>
        <v>Блок13</v>
      </c>
      <c r="M540" s="12">
        <v>15815.800000000001</v>
      </c>
      <c r="N540">
        <v>15815.800000000001</v>
      </c>
    </row>
    <row r="541" spans="1:14" ht="21" customHeight="1" x14ac:dyDescent="0.25">
      <c r="A541" s="13" t="str">
        <f t="shared" si="161"/>
        <v>РУ-1-13</v>
      </c>
      <c r="B541" s="10" t="s">
        <v>27</v>
      </c>
      <c r="C541" s="10"/>
      <c r="D541" s="11">
        <v>126507</v>
      </c>
      <c r="E541" s="10" t="s">
        <v>35</v>
      </c>
      <c r="F541" s="10">
        <v>17108</v>
      </c>
      <c r="G541" s="12">
        <f t="shared" si="164"/>
        <v>9409.4000000000015</v>
      </c>
      <c r="H541" s="12">
        <f t="shared" si="162"/>
        <v>18818.800000000003</v>
      </c>
      <c r="I541" s="13">
        <v>2</v>
      </c>
      <c r="J541" s="14" t="s">
        <v>12</v>
      </c>
      <c r="K541" s="10" t="s">
        <v>28</v>
      </c>
      <c r="L541" s="13" t="str">
        <f t="shared" si="163"/>
        <v>Блок13</v>
      </c>
      <c r="M541" s="12">
        <v>18818.800000000003</v>
      </c>
      <c r="N541">
        <v>18818.800000000003</v>
      </c>
    </row>
    <row r="542" spans="1:14" ht="24" customHeight="1" x14ac:dyDescent="0.25">
      <c r="A542" s="10" t="str">
        <f t="shared" si="161"/>
        <v>РУ-1-13</v>
      </c>
      <c r="B542" s="10" t="s">
        <v>19</v>
      </c>
      <c r="C542" s="10"/>
      <c r="D542" s="11" t="s">
        <v>19</v>
      </c>
      <c r="E542" s="10" t="s">
        <v>19</v>
      </c>
      <c r="F542" s="10">
        <f ca="1">OFFSET(F542,1,2)</f>
        <v>27000</v>
      </c>
      <c r="G542" s="12">
        <f ca="1">F542*0.55</f>
        <v>14850.000000000002</v>
      </c>
      <c r="H542" s="12">
        <f ca="1">G542*I542</f>
        <v>14850.000000000002</v>
      </c>
      <c r="I542" s="10">
        <v>1</v>
      </c>
      <c r="J542" s="10" t="s">
        <v>12</v>
      </c>
      <c r="K542" s="10" t="s">
        <v>19</v>
      </c>
      <c r="L542" s="13" t="str">
        <f t="shared" si="163"/>
        <v>Блок13</v>
      </c>
      <c r="M542" s="12">
        <v>14850.000000000002</v>
      </c>
      <c r="N542">
        <v>14850.000000000002</v>
      </c>
    </row>
    <row r="543" spans="1:14" ht="21" customHeight="1" x14ac:dyDescent="0.25">
      <c r="A543" s="10" t="str">
        <f t="shared" si="161"/>
        <v>РУ-1-13</v>
      </c>
      <c r="B543" s="10" t="s">
        <v>20</v>
      </c>
      <c r="C543" s="10"/>
      <c r="D543" s="11" t="s">
        <v>20</v>
      </c>
      <c r="E543" s="10" t="s">
        <v>20</v>
      </c>
      <c r="F543" s="10">
        <v>4.5</v>
      </c>
      <c r="G543" s="12">
        <v>100</v>
      </c>
      <c r="H543" s="12">
        <f t="shared" si="162"/>
        <v>27000</v>
      </c>
      <c r="I543" s="10">
        <f>60*F543</f>
        <v>270</v>
      </c>
      <c r="J543" s="10" t="s">
        <v>12</v>
      </c>
      <c r="K543" s="10" t="s">
        <v>20</v>
      </c>
      <c r="L543" s="13" t="str">
        <f t="shared" si="163"/>
        <v>Блок13</v>
      </c>
      <c r="M543" s="12">
        <v>27000</v>
      </c>
      <c r="N543">
        <v>27000</v>
      </c>
    </row>
    <row r="544" spans="1:14" ht="30" customHeight="1" x14ac:dyDescent="0.25">
      <c r="A544" s="15" t="str">
        <f t="shared" si="161"/>
        <v>РУ-1-13</v>
      </c>
      <c r="B544" s="15"/>
      <c r="C544" s="15"/>
      <c r="D544" s="15"/>
      <c r="E544" s="16"/>
      <c r="F544" s="17"/>
      <c r="G544" s="12">
        <f t="shared" si="164"/>
        <v>0</v>
      </c>
      <c r="H544" s="18">
        <f ca="1">SUM(H538:H543)</f>
        <v>195016.09999999998</v>
      </c>
      <c r="I544" s="15"/>
      <c r="J544" s="19"/>
      <c r="K544" s="15"/>
      <c r="L544" s="13" t="str">
        <f t="shared" si="163"/>
        <v>Блок13</v>
      </c>
      <c r="M544" s="18">
        <v>195016.09999999998</v>
      </c>
      <c r="N544">
        <v>195016.09999999998</v>
      </c>
    </row>
    <row r="545" spans="1:14" ht="39.75" customHeight="1" x14ac:dyDescent="0.25">
      <c r="A545" s="8" t="str">
        <f>E545</f>
        <v>РУ-2-13</v>
      </c>
      <c r="B545" s="4"/>
      <c r="C545" s="4"/>
      <c r="D545" s="5"/>
      <c r="E545" s="4" t="s">
        <v>104</v>
      </c>
      <c r="F545" s="6"/>
      <c r="G545" s="6"/>
      <c r="H545" s="7"/>
      <c r="I545" s="8">
        <v>1</v>
      </c>
      <c r="J545" s="9" t="s">
        <v>9</v>
      </c>
      <c r="K545" s="4" t="s">
        <v>10</v>
      </c>
      <c r="L545" s="8" t="s">
        <v>102</v>
      </c>
      <c r="M545" s="7"/>
    </row>
    <row r="546" spans="1:14" ht="21" customHeight="1" x14ac:dyDescent="0.25">
      <c r="A546" s="13" t="str">
        <f t="shared" ref="A546:A552" si="165">A545</f>
        <v>РУ-2-13</v>
      </c>
      <c r="B546" s="10" t="s">
        <v>11</v>
      </c>
      <c r="C546" s="10"/>
      <c r="D546" s="11" t="s">
        <v>170</v>
      </c>
      <c r="E546" s="10" t="s">
        <v>171</v>
      </c>
      <c r="F546" s="10">
        <v>145000</v>
      </c>
      <c r="G546" s="12">
        <f>0.6*F546</f>
        <v>87000</v>
      </c>
      <c r="H546" s="12">
        <f t="shared" ref="H546:H551" si="166">G546*I546</f>
        <v>87000</v>
      </c>
      <c r="I546" s="13">
        <v>1</v>
      </c>
      <c r="J546" s="14" t="s">
        <v>12</v>
      </c>
      <c r="K546" s="10" t="s">
        <v>13</v>
      </c>
      <c r="L546" s="13" t="str">
        <f t="shared" ref="L546:L552" si="167">L545</f>
        <v>Блок13</v>
      </c>
      <c r="M546" s="12">
        <v>87000</v>
      </c>
      <c r="N546">
        <v>87000</v>
      </c>
    </row>
    <row r="547" spans="1:14" ht="21" customHeight="1" x14ac:dyDescent="0.25">
      <c r="A547" s="13" t="str">
        <f t="shared" si="165"/>
        <v>РУ-2-13</v>
      </c>
      <c r="B547" s="10" t="s">
        <v>27</v>
      </c>
      <c r="C547" s="10"/>
      <c r="D547" s="11">
        <v>126584</v>
      </c>
      <c r="E547" s="10" t="s">
        <v>34</v>
      </c>
      <c r="F547" s="10">
        <v>28756</v>
      </c>
      <c r="G547" s="12">
        <f>F547*0.55</f>
        <v>15815.800000000001</v>
      </c>
      <c r="H547" s="12">
        <f t="shared" si="166"/>
        <v>15815.800000000001</v>
      </c>
      <c r="I547" s="13">
        <v>1</v>
      </c>
      <c r="J547" s="14" t="s">
        <v>12</v>
      </c>
      <c r="K547" s="10" t="s">
        <v>28</v>
      </c>
      <c r="L547" s="13" t="str">
        <f t="shared" si="167"/>
        <v>Блок13</v>
      </c>
      <c r="M547" s="12">
        <v>15815.800000000001</v>
      </c>
      <c r="N547">
        <v>15815.800000000001</v>
      </c>
    </row>
    <row r="548" spans="1:14" ht="21" customHeight="1" x14ac:dyDescent="0.25">
      <c r="A548" s="13" t="str">
        <f t="shared" si="165"/>
        <v>РУ-2-13</v>
      </c>
      <c r="B548" s="10" t="s">
        <v>27</v>
      </c>
      <c r="C548" s="10"/>
      <c r="D548" s="11">
        <v>126511</v>
      </c>
      <c r="E548" s="10" t="s">
        <v>37</v>
      </c>
      <c r="F548" s="10">
        <v>16562</v>
      </c>
      <c r="G548" s="12">
        <f>F548*0.55</f>
        <v>9109.1</v>
      </c>
      <c r="H548" s="12">
        <f t="shared" si="166"/>
        <v>27327.300000000003</v>
      </c>
      <c r="I548" s="13">
        <v>3</v>
      </c>
      <c r="J548" s="14" t="s">
        <v>12</v>
      </c>
      <c r="K548" s="10" t="s">
        <v>28</v>
      </c>
      <c r="L548" s="13" t="str">
        <f t="shared" si="167"/>
        <v>Блок13</v>
      </c>
      <c r="M548" s="12">
        <v>27327.300000000003</v>
      </c>
      <c r="N548">
        <v>27327.300000000003</v>
      </c>
    </row>
    <row r="549" spans="1:14" ht="21" customHeight="1" x14ac:dyDescent="0.25">
      <c r="A549" s="13" t="str">
        <f t="shared" si="165"/>
        <v>РУ-2-13</v>
      </c>
      <c r="B549" s="10" t="s">
        <v>27</v>
      </c>
      <c r="C549" s="10"/>
      <c r="D549" s="11">
        <v>126510</v>
      </c>
      <c r="E549" s="10" t="s">
        <v>38</v>
      </c>
      <c r="F549" s="10">
        <v>16562</v>
      </c>
      <c r="G549" s="12">
        <f>F549*0.55</f>
        <v>9109.1</v>
      </c>
      <c r="H549" s="12">
        <f t="shared" si="166"/>
        <v>9109.1</v>
      </c>
      <c r="I549" s="13">
        <v>1</v>
      </c>
      <c r="J549" s="14" t="s">
        <v>12</v>
      </c>
      <c r="K549" s="10" t="s">
        <v>28</v>
      </c>
      <c r="L549" s="13" t="str">
        <f t="shared" si="167"/>
        <v>Блок13</v>
      </c>
      <c r="M549" s="12">
        <v>9109.1</v>
      </c>
      <c r="N549">
        <v>9109.1</v>
      </c>
    </row>
    <row r="550" spans="1:14" ht="24" customHeight="1" x14ac:dyDescent="0.25">
      <c r="A550" s="10" t="str">
        <f t="shared" si="165"/>
        <v>РУ-2-13</v>
      </c>
      <c r="B550" s="10" t="s">
        <v>19</v>
      </c>
      <c r="C550" s="10"/>
      <c r="D550" s="11" t="s">
        <v>19</v>
      </c>
      <c r="E550" s="10" t="s">
        <v>19</v>
      </c>
      <c r="F550" s="10">
        <f ca="1">OFFSET(F550,1,2)</f>
        <v>27000</v>
      </c>
      <c r="G550" s="12">
        <f ca="1">F550*0.55</f>
        <v>14850.000000000002</v>
      </c>
      <c r="H550" s="12">
        <f t="shared" ca="1" si="166"/>
        <v>14850.000000000002</v>
      </c>
      <c r="I550" s="10">
        <v>1</v>
      </c>
      <c r="J550" s="10" t="s">
        <v>12</v>
      </c>
      <c r="K550" s="10" t="s">
        <v>19</v>
      </c>
      <c r="L550" s="13" t="e">
        <f>#REF!</f>
        <v>#REF!</v>
      </c>
      <c r="M550" s="12">
        <v>14850.000000000002</v>
      </c>
      <c r="N550">
        <v>14850.000000000002</v>
      </c>
    </row>
    <row r="551" spans="1:14" ht="21" customHeight="1" x14ac:dyDescent="0.25">
      <c r="A551" s="10" t="str">
        <f t="shared" si="165"/>
        <v>РУ-2-13</v>
      </c>
      <c r="B551" s="10" t="s">
        <v>20</v>
      </c>
      <c r="C551" s="10"/>
      <c r="D551" s="11" t="s">
        <v>20</v>
      </c>
      <c r="E551" s="10" t="s">
        <v>20</v>
      </c>
      <c r="F551" s="10">
        <v>4.5</v>
      </c>
      <c r="G551" s="12">
        <v>100</v>
      </c>
      <c r="H551" s="12">
        <f t="shared" si="166"/>
        <v>27000</v>
      </c>
      <c r="I551" s="10">
        <f>60*F551</f>
        <v>270</v>
      </c>
      <c r="J551" s="10" t="s">
        <v>12</v>
      </c>
      <c r="K551" s="10" t="s">
        <v>20</v>
      </c>
      <c r="L551" s="13" t="e">
        <f t="shared" si="167"/>
        <v>#REF!</v>
      </c>
      <c r="M551" s="12">
        <v>27000</v>
      </c>
      <c r="N551">
        <v>27000</v>
      </c>
    </row>
    <row r="552" spans="1:14" ht="30" customHeight="1" x14ac:dyDescent="0.25">
      <c r="A552" s="15" t="str">
        <f t="shared" si="165"/>
        <v>РУ-2-13</v>
      </c>
      <c r="B552" s="15"/>
      <c r="C552" s="15"/>
      <c r="D552" s="15"/>
      <c r="E552" s="16"/>
      <c r="F552" s="17"/>
      <c r="G552" s="12">
        <f>F552*0.55</f>
        <v>0</v>
      </c>
      <c r="H552" s="18">
        <f ca="1">SUM(H546:H551)</f>
        <v>181102.2</v>
      </c>
      <c r="I552" s="15"/>
      <c r="J552" s="19"/>
      <c r="K552" s="15"/>
      <c r="L552" s="13" t="e">
        <f t="shared" si="167"/>
        <v>#REF!</v>
      </c>
      <c r="M552" s="18">
        <v>181102.2</v>
      </c>
      <c r="N552">
        <v>181102.2</v>
      </c>
    </row>
    <row r="553" spans="1:14" ht="39.75" customHeight="1" x14ac:dyDescent="0.25">
      <c r="A553" s="8" t="str">
        <f>E553</f>
        <v>ЩУР.МОП1-13</v>
      </c>
      <c r="B553" s="4"/>
      <c r="C553" s="4"/>
      <c r="D553" s="5"/>
      <c r="E553" s="4" t="s">
        <v>105</v>
      </c>
      <c r="F553" s="6"/>
      <c r="G553" s="6"/>
      <c r="H553" s="7"/>
      <c r="I553" s="8">
        <v>1</v>
      </c>
      <c r="J553" s="9" t="s">
        <v>9</v>
      </c>
      <c r="K553" s="4" t="s">
        <v>10</v>
      </c>
      <c r="L553" s="8" t="s">
        <v>102</v>
      </c>
      <c r="M553" s="7"/>
    </row>
    <row r="554" spans="1:14" ht="21" customHeight="1" x14ac:dyDescent="0.25">
      <c r="A554" s="13" t="str">
        <f t="shared" ref="A554:A561" si="168">A553</f>
        <v>ЩУР.МОП1-13</v>
      </c>
      <c r="B554" s="10" t="s">
        <v>11</v>
      </c>
      <c r="C554" s="10"/>
      <c r="D554" s="11" t="s">
        <v>40</v>
      </c>
      <c r="E554" s="10" t="s">
        <v>41</v>
      </c>
      <c r="F554" s="10">
        <v>18000</v>
      </c>
      <c r="G554" s="12">
        <f>0.6*F554</f>
        <v>10800</v>
      </c>
      <c r="H554" s="12">
        <f>G554*I554</f>
        <v>10800</v>
      </c>
      <c r="I554" s="13">
        <v>1</v>
      </c>
      <c r="J554" s="14" t="s">
        <v>12</v>
      </c>
      <c r="K554" s="10" t="s">
        <v>13</v>
      </c>
      <c r="L554" s="13" t="str">
        <f t="shared" ref="L554:L561" si="169">L553</f>
        <v>Блок13</v>
      </c>
      <c r="M554" s="12">
        <v>10800</v>
      </c>
      <c r="N554">
        <v>10800</v>
      </c>
    </row>
    <row r="555" spans="1:14" ht="21" customHeight="1" x14ac:dyDescent="0.25">
      <c r="A555" s="13" t="str">
        <f t="shared" si="168"/>
        <v>ЩУР.МОП1-13</v>
      </c>
      <c r="B555" s="10" t="s">
        <v>17</v>
      </c>
      <c r="C555" s="10"/>
      <c r="D555" s="11">
        <v>296830</v>
      </c>
      <c r="E555" s="10" t="s">
        <v>149</v>
      </c>
      <c r="F555" s="10">
        <v>1554</v>
      </c>
      <c r="G555" s="12">
        <f>F555*0.55</f>
        <v>854.7</v>
      </c>
      <c r="H555" s="12">
        <f>G555*I555</f>
        <v>854.7</v>
      </c>
      <c r="I555" s="13">
        <v>1</v>
      </c>
      <c r="J555" s="14" t="s">
        <v>12</v>
      </c>
      <c r="K555" s="10" t="s">
        <v>28</v>
      </c>
      <c r="L555" s="13" t="str">
        <f t="shared" si="169"/>
        <v>Блок13</v>
      </c>
      <c r="M555" s="12">
        <v>854.7</v>
      </c>
      <c r="N555">
        <v>854.7</v>
      </c>
    </row>
    <row r="556" spans="1:14" ht="21" customHeight="1" x14ac:dyDescent="0.25">
      <c r="A556" s="13" t="str">
        <f t="shared" si="168"/>
        <v>ЩУР.МОП1-13</v>
      </c>
      <c r="B556" s="10" t="s">
        <v>17</v>
      </c>
      <c r="C556" s="10"/>
      <c r="D556" s="11">
        <v>296828</v>
      </c>
      <c r="E556" s="10" t="s">
        <v>151</v>
      </c>
      <c r="F556" s="10">
        <v>1491</v>
      </c>
      <c r="G556" s="12">
        <f>F556*0.55</f>
        <v>820.05000000000007</v>
      </c>
      <c r="H556" s="12">
        <f>G556*I556</f>
        <v>1640.1000000000001</v>
      </c>
      <c r="I556" s="13">
        <v>2</v>
      </c>
      <c r="J556" s="14" t="s">
        <v>12</v>
      </c>
      <c r="K556" s="10" t="s">
        <v>28</v>
      </c>
      <c r="L556" s="13" t="str">
        <f t="shared" si="169"/>
        <v>Блок13</v>
      </c>
      <c r="M556" s="12">
        <v>1640.1000000000001</v>
      </c>
      <c r="N556">
        <v>1640.1000000000001</v>
      </c>
    </row>
    <row r="557" spans="1:14" ht="21" customHeight="1" x14ac:dyDescent="0.25">
      <c r="A557" s="13" t="str">
        <f t="shared" si="168"/>
        <v>ЩУР.МОП1-13</v>
      </c>
      <c r="B557" s="10" t="s">
        <v>17</v>
      </c>
      <c r="C557" s="10"/>
      <c r="D557" s="11">
        <v>296829</v>
      </c>
      <c r="E557" s="10" t="s">
        <v>148</v>
      </c>
      <c r="F557" s="10">
        <v>2111</v>
      </c>
      <c r="G557" s="12">
        <f>F557*0.55</f>
        <v>1161.0500000000002</v>
      </c>
      <c r="H557" s="12">
        <f>G557*I557</f>
        <v>2322.1000000000004</v>
      </c>
      <c r="I557" s="13">
        <v>2</v>
      </c>
      <c r="J557" s="14" t="s">
        <v>12</v>
      </c>
      <c r="K557" s="10" t="s">
        <v>28</v>
      </c>
      <c r="L557" s="13" t="str">
        <f t="shared" si="169"/>
        <v>Блок13</v>
      </c>
      <c r="M557" s="12">
        <v>2322.1000000000004</v>
      </c>
      <c r="N557">
        <v>2322.1000000000004</v>
      </c>
    </row>
    <row r="558" spans="1:14" ht="21" customHeight="1" x14ac:dyDescent="0.25">
      <c r="A558" s="13" t="str">
        <f t="shared" si="168"/>
        <v>ЩУР.МОП1-13</v>
      </c>
      <c r="B558" s="10" t="s">
        <v>15</v>
      </c>
      <c r="C558" s="10"/>
      <c r="D558" s="11" t="s">
        <v>179</v>
      </c>
      <c r="E558" s="10" t="s">
        <v>180</v>
      </c>
      <c r="F558" s="10">
        <v>83000</v>
      </c>
      <c r="G558" s="12">
        <f>F558</f>
        <v>83000</v>
      </c>
      <c r="H558" s="12">
        <v>39100</v>
      </c>
      <c r="I558" s="13">
        <v>1</v>
      </c>
      <c r="J558" s="14" t="s">
        <v>12</v>
      </c>
      <c r="K558" s="10" t="s">
        <v>16</v>
      </c>
      <c r="L558" s="13" t="str">
        <f t="shared" si="169"/>
        <v>Блок13</v>
      </c>
      <c r="M558" s="12">
        <v>39100</v>
      </c>
      <c r="N558">
        <v>39100</v>
      </c>
    </row>
    <row r="559" spans="1:14" ht="24" customHeight="1" x14ac:dyDescent="0.25">
      <c r="A559" s="10" t="str">
        <f t="shared" si="168"/>
        <v>ЩУР.МОП1-13</v>
      </c>
      <c r="B559" s="10" t="s">
        <v>19</v>
      </c>
      <c r="C559" s="10"/>
      <c r="D559" s="11" t="s">
        <v>19</v>
      </c>
      <c r="E559" s="10" t="s">
        <v>19</v>
      </c>
      <c r="F559" s="10">
        <f ca="1">OFFSET(F559,1,2)</f>
        <v>12000</v>
      </c>
      <c r="G559" s="12">
        <f ca="1">F559*0.55</f>
        <v>6600.0000000000009</v>
      </c>
      <c r="H559" s="12">
        <f ca="1">G559*I559</f>
        <v>6600.0000000000009</v>
      </c>
      <c r="I559" s="10">
        <v>1</v>
      </c>
      <c r="J559" s="10" t="s">
        <v>12</v>
      </c>
      <c r="K559" s="10" t="s">
        <v>19</v>
      </c>
      <c r="L559" s="13" t="str">
        <f t="shared" si="169"/>
        <v>Блок13</v>
      </c>
      <c r="M559" s="12">
        <v>6600.0000000000009</v>
      </c>
      <c r="N559">
        <v>6600.0000000000009</v>
      </c>
    </row>
    <row r="560" spans="1:14" ht="21" customHeight="1" x14ac:dyDescent="0.25">
      <c r="A560" s="10" t="str">
        <f t="shared" si="168"/>
        <v>ЩУР.МОП1-13</v>
      </c>
      <c r="B560" s="10" t="s">
        <v>20</v>
      </c>
      <c r="C560" s="10"/>
      <c r="D560" s="11" t="s">
        <v>20</v>
      </c>
      <c r="E560" s="10" t="s">
        <v>20</v>
      </c>
      <c r="F560" s="10">
        <v>2</v>
      </c>
      <c r="G560" s="12">
        <v>100</v>
      </c>
      <c r="H560" s="12">
        <f>G560*I560</f>
        <v>12000</v>
      </c>
      <c r="I560" s="10">
        <f>60*F560</f>
        <v>120</v>
      </c>
      <c r="J560" s="10" t="s">
        <v>12</v>
      </c>
      <c r="K560" s="10" t="s">
        <v>20</v>
      </c>
      <c r="L560" s="13" t="str">
        <f t="shared" si="169"/>
        <v>Блок13</v>
      </c>
      <c r="M560" s="12">
        <v>12000</v>
      </c>
      <c r="N560">
        <v>12000</v>
      </c>
    </row>
    <row r="561" spans="1:14" ht="30" customHeight="1" x14ac:dyDescent="0.25">
      <c r="A561" s="15" t="str">
        <f t="shared" si="168"/>
        <v>ЩУР.МОП1-13</v>
      </c>
      <c r="B561" s="15"/>
      <c r="C561" s="15"/>
      <c r="D561" s="15"/>
      <c r="E561" s="16"/>
      <c r="F561" s="17"/>
      <c r="G561" s="12">
        <f>F561*0.55</f>
        <v>0</v>
      </c>
      <c r="H561" s="18">
        <f ca="1">SUM(H554:H560)</f>
        <v>73316.899999999994</v>
      </c>
      <c r="I561" s="15"/>
      <c r="J561" s="19"/>
      <c r="K561" s="15"/>
      <c r="L561" s="13" t="str">
        <f t="shared" si="169"/>
        <v>Блок13</v>
      </c>
      <c r="M561" s="18">
        <v>73316.899999999994</v>
      </c>
      <c r="N561">
        <v>73316.899999999994</v>
      </c>
    </row>
    <row r="562" spans="1:14" ht="39.75" customHeight="1" x14ac:dyDescent="0.25">
      <c r="A562" s="8" t="str">
        <f>E562</f>
        <v>РЩ1-13 (АВР-Б-40-2-1)</v>
      </c>
      <c r="B562" s="4"/>
      <c r="C562" s="4"/>
      <c r="D562" s="5"/>
      <c r="E562" s="4" t="s">
        <v>146</v>
      </c>
      <c r="F562" s="6"/>
      <c r="G562" s="6"/>
      <c r="H562" s="7"/>
      <c r="I562" s="8">
        <v>1</v>
      </c>
      <c r="J562" s="9" t="s">
        <v>9</v>
      </c>
      <c r="K562" s="4" t="s">
        <v>10</v>
      </c>
      <c r="L562" s="8" t="s">
        <v>102</v>
      </c>
      <c r="M562" s="7"/>
    </row>
    <row r="563" spans="1:14" ht="21" customHeight="1" x14ac:dyDescent="0.25">
      <c r="A563" s="13" t="str">
        <f t="shared" ref="A563:A574" si="170">A562</f>
        <v>РЩ1-13 (АВР-Б-40-2-1)</v>
      </c>
      <c r="B563" s="10" t="s">
        <v>11</v>
      </c>
      <c r="C563" s="10"/>
      <c r="D563" s="11" t="s">
        <v>168</v>
      </c>
      <c r="E563" s="10" t="s">
        <v>169</v>
      </c>
      <c r="F563" s="10">
        <v>130000</v>
      </c>
      <c r="G563" s="12">
        <f>0.6*F563</f>
        <v>78000</v>
      </c>
      <c r="H563" s="12">
        <f t="shared" ref="H563:H569" si="171">G563*I563</f>
        <v>78000</v>
      </c>
      <c r="I563" s="13">
        <v>1</v>
      </c>
      <c r="J563" s="14" t="s">
        <v>12</v>
      </c>
      <c r="K563" s="10" t="s">
        <v>13</v>
      </c>
      <c r="L563" s="13" t="str">
        <f t="shared" ref="L563:L574" si="172">L562</f>
        <v>Блок13</v>
      </c>
      <c r="M563" s="12">
        <v>78000</v>
      </c>
      <c r="N563">
        <v>78000</v>
      </c>
    </row>
    <row r="564" spans="1:14" ht="21" customHeight="1" x14ac:dyDescent="0.25">
      <c r="A564" s="13" t="str">
        <f t="shared" si="170"/>
        <v>РЩ1-13 (АВР-Б-40-2-1)</v>
      </c>
      <c r="B564" s="10" t="s">
        <v>44</v>
      </c>
      <c r="C564" s="10"/>
      <c r="D564" s="11" t="s">
        <v>162</v>
      </c>
      <c r="E564" s="10" t="s">
        <v>163</v>
      </c>
      <c r="F564" s="10">
        <v>114758</v>
      </c>
      <c r="G564" s="12">
        <f t="shared" ref="G564:G569" si="173">F564*0.55</f>
        <v>63116.900000000009</v>
      </c>
      <c r="H564" s="12">
        <f t="shared" si="171"/>
        <v>63116.900000000009</v>
      </c>
      <c r="I564" s="13">
        <v>1</v>
      </c>
      <c r="J564" s="14" t="s">
        <v>12</v>
      </c>
      <c r="K564" s="10" t="s">
        <v>14</v>
      </c>
      <c r="L564" s="13" t="str">
        <f t="shared" si="172"/>
        <v>Блок13</v>
      </c>
      <c r="M564" s="12">
        <v>63116.900000000009</v>
      </c>
      <c r="N564">
        <v>63116.900000000009</v>
      </c>
    </row>
    <row r="565" spans="1:14" ht="21" customHeight="1" x14ac:dyDescent="0.25">
      <c r="A565" s="13" t="str">
        <f t="shared" si="170"/>
        <v>РЩ1-13 (АВР-Б-40-2-1)</v>
      </c>
      <c r="B565" s="10" t="s">
        <v>27</v>
      </c>
      <c r="C565" s="10"/>
      <c r="D565" s="11">
        <v>126505</v>
      </c>
      <c r="E565" s="10" t="s">
        <v>45</v>
      </c>
      <c r="F565" s="10">
        <v>15740</v>
      </c>
      <c r="G565" s="12">
        <f t="shared" si="173"/>
        <v>8657</v>
      </c>
      <c r="H565" s="12">
        <f t="shared" si="171"/>
        <v>17314</v>
      </c>
      <c r="I565" s="13">
        <v>2</v>
      </c>
      <c r="J565" s="14" t="s">
        <v>12</v>
      </c>
      <c r="K565" s="10" t="s">
        <v>28</v>
      </c>
      <c r="L565" s="13" t="str">
        <f t="shared" si="172"/>
        <v>Блок13</v>
      </c>
      <c r="M565" s="12">
        <v>17314</v>
      </c>
      <c r="N565">
        <v>17314</v>
      </c>
    </row>
    <row r="566" spans="1:14" ht="21" customHeight="1" x14ac:dyDescent="0.25">
      <c r="A566" s="13" t="str">
        <f t="shared" si="170"/>
        <v>РЩ1-13 (АВР-Б-40-2-1)</v>
      </c>
      <c r="B566" s="10" t="s">
        <v>27</v>
      </c>
      <c r="C566" s="10"/>
      <c r="D566" s="11">
        <v>126677</v>
      </c>
      <c r="E566" s="10" t="s">
        <v>43</v>
      </c>
      <c r="F566" s="10">
        <v>14742</v>
      </c>
      <c r="G566" s="12">
        <f t="shared" si="173"/>
        <v>8108.1</v>
      </c>
      <c r="H566" s="12">
        <f t="shared" si="171"/>
        <v>16216.2</v>
      </c>
      <c r="I566" s="13">
        <v>2</v>
      </c>
      <c r="J566" s="14" t="s">
        <v>12</v>
      </c>
      <c r="K566" s="10" t="s">
        <v>28</v>
      </c>
      <c r="L566" s="13" t="str">
        <f t="shared" si="172"/>
        <v>Блок13</v>
      </c>
      <c r="M566" s="12">
        <v>16216.2</v>
      </c>
      <c r="N566">
        <v>16216.2</v>
      </c>
    </row>
    <row r="567" spans="1:14" ht="21" customHeight="1" x14ac:dyDescent="0.25">
      <c r="A567" s="13" t="str">
        <f t="shared" si="170"/>
        <v>РЩ1-13 (АВР-Б-40-2-1)</v>
      </c>
      <c r="B567" s="10" t="s">
        <v>17</v>
      </c>
      <c r="C567" s="10"/>
      <c r="D567" s="11">
        <v>814174</v>
      </c>
      <c r="E567" s="10" t="s">
        <v>46</v>
      </c>
      <c r="F567" s="10">
        <v>4823</v>
      </c>
      <c r="G567" s="12">
        <f t="shared" si="173"/>
        <v>2652.65</v>
      </c>
      <c r="H567" s="12">
        <f t="shared" si="171"/>
        <v>5305.3</v>
      </c>
      <c r="I567" s="13">
        <v>2</v>
      </c>
      <c r="J567" s="14" t="s">
        <v>12</v>
      </c>
      <c r="K567" s="10" t="s">
        <v>28</v>
      </c>
      <c r="L567" s="13" t="str">
        <f t="shared" si="172"/>
        <v>Блок13</v>
      </c>
      <c r="M567" s="12">
        <v>5305.3</v>
      </c>
      <c r="N567">
        <v>5305.3</v>
      </c>
    </row>
    <row r="568" spans="1:14" ht="21" customHeight="1" x14ac:dyDescent="0.25">
      <c r="A568" s="13" t="str">
        <f t="shared" si="170"/>
        <v>РЩ1-13 (АВР-Б-40-2-1)</v>
      </c>
      <c r="B568" s="10" t="s">
        <v>18</v>
      </c>
      <c r="C568" s="10"/>
      <c r="D568" s="11">
        <v>819975</v>
      </c>
      <c r="E568" s="10" t="s">
        <v>47</v>
      </c>
      <c r="F568" s="10">
        <v>5369</v>
      </c>
      <c r="G568" s="12">
        <f t="shared" si="173"/>
        <v>2952.9500000000003</v>
      </c>
      <c r="H568" s="12">
        <f t="shared" si="171"/>
        <v>2952.9500000000003</v>
      </c>
      <c r="I568" s="13">
        <v>1</v>
      </c>
      <c r="J568" s="14" t="s">
        <v>12</v>
      </c>
      <c r="K568" s="10" t="s">
        <v>28</v>
      </c>
      <c r="L568" s="13" t="str">
        <f t="shared" si="172"/>
        <v>Блок13</v>
      </c>
      <c r="M568" s="12">
        <v>2952.9500000000003</v>
      </c>
      <c r="N568">
        <v>2952.9500000000003</v>
      </c>
    </row>
    <row r="569" spans="1:14" ht="21" customHeight="1" x14ac:dyDescent="0.25">
      <c r="A569" s="13" t="str">
        <f t="shared" si="170"/>
        <v>РЩ1-13 (АВР-Б-40-2-1)</v>
      </c>
      <c r="B569" s="10" t="s">
        <v>17</v>
      </c>
      <c r="C569" s="10"/>
      <c r="D569" s="11">
        <v>814167</v>
      </c>
      <c r="E569" s="10" t="s">
        <v>48</v>
      </c>
      <c r="F569" s="10">
        <v>5187</v>
      </c>
      <c r="G569" s="12">
        <f t="shared" si="173"/>
        <v>2852.8500000000004</v>
      </c>
      <c r="H569" s="12">
        <f t="shared" si="171"/>
        <v>2852.8500000000004</v>
      </c>
      <c r="I569" s="13">
        <v>1</v>
      </c>
      <c r="J569" s="14" t="s">
        <v>12</v>
      </c>
      <c r="K569" s="10" t="s">
        <v>28</v>
      </c>
      <c r="L569" s="13" t="str">
        <f t="shared" si="172"/>
        <v>Блок13</v>
      </c>
      <c r="M569" s="12">
        <v>2852.8500000000004</v>
      </c>
      <c r="N569">
        <v>2852.8500000000004</v>
      </c>
    </row>
    <row r="570" spans="1:14" ht="21" customHeight="1" x14ac:dyDescent="0.25">
      <c r="A570" s="13" t="str">
        <f t="shared" si="170"/>
        <v>РЩ1-13 (АВР-Б-40-2-1)</v>
      </c>
      <c r="B570" s="10" t="s">
        <v>15</v>
      </c>
      <c r="C570" s="10"/>
      <c r="D570" s="11" t="s">
        <v>179</v>
      </c>
      <c r="E570" s="10" t="s">
        <v>180</v>
      </c>
      <c r="F570" s="10">
        <v>83000</v>
      </c>
      <c r="G570" s="12">
        <f>F570</f>
        <v>83000</v>
      </c>
      <c r="H570" s="12">
        <v>39100</v>
      </c>
      <c r="I570" s="13">
        <v>1</v>
      </c>
      <c r="J570" s="14" t="s">
        <v>12</v>
      </c>
      <c r="K570" s="10" t="s">
        <v>16</v>
      </c>
      <c r="L570" s="13" t="str">
        <f t="shared" si="172"/>
        <v>Блок13</v>
      </c>
      <c r="M570" s="12">
        <v>39100</v>
      </c>
      <c r="N570">
        <v>39100</v>
      </c>
    </row>
    <row r="571" spans="1:14" ht="21" customHeight="1" x14ac:dyDescent="0.25">
      <c r="A571" s="13" t="str">
        <f t="shared" si="170"/>
        <v>РЩ1-13 (АВР-Б-40-2-1)</v>
      </c>
      <c r="B571" s="10" t="s">
        <v>30</v>
      </c>
      <c r="C571" s="10"/>
      <c r="D571" s="11"/>
      <c r="E571" s="10" t="s">
        <v>31</v>
      </c>
      <c r="F571" s="10">
        <v>4500</v>
      </c>
      <c r="G571" s="12">
        <f>F571*0.55</f>
        <v>2475</v>
      </c>
      <c r="H571" s="12">
        <f>G571*I571</f>
        <v>14850</v>
      </c>
      <c r="I571" s="13">
        <v>6</v>
      </c>
      <c r="J571" s="14" t="s">
        <v>12</v>
      </c>
      <c r="K571" s="10" t="s">
        <v>25</v>
      </c>
      <c r="L571" s="13" t="e">
        <f>#REF!</f>
        <v>#REF!</v>
      </c>
      <c r="M571" s="12">
        <v>14850</v>
      </c>
      <c r="N571">
        <v>14850</v>
      </c>
    </row>
    <row r="572" spans="1:14" ht="24" customHeight="1" x14ac:dyDescent="0.25">
      <c r="A572" s="10" t="str">
        <f t="shared" si="170"/>
        <v>РЩ1-13 (АВР-Б-40-2-1)</v>
      </c>
      <c r="B572" s="10" t="s">
        <v>19</v>
      </c>
      <c r="C572" s="10"/>
      <c r="D572" s="11" t="s">
        <v>19</v>
      </c>
      <c r="E572" s="10" t="s">
        <v>19</v>
      </c>
      <c r="F572" s="10">
        <f ca="1">OFFSET(F572,1,2)</f>
        <v>39000</v>
      </c>
      <c r="G572" s="12">
        <f ca="1">F572*0.55</f>
        <v>21450</v>
      </c>
      <c r="H572" s="12">
        <f ca="1">G572*I572</f>
        <v>21450</v>
      </c>
      <c r="I572" s="10">
        <v>1</v>
      </c>
      <c r="J572" s="10" t="s">
        <v>12</v>
      </c>
      <c r="K572" s="10" t="s">
        <v>19</v>
      </c>
      <c r="L572" s="13" t="e">
        <f t="shared" si="172"/>
        <v>#REF!</v>
      </c>
      <c r="M572" s="12">
        <v>21450</v>
      </c>
      <c r="N572">
        <v>21450</v>
      </c>
    </row>
    <row r="573" spans="1:14" ht="21" customHeight="1" x14ac:dyDescent="0.25">
      <c r="A573" s="10" t="str">
        <f t="shared" si="170"/>
        <v>РЩ1-13 (АВР-Б-40-2-1)</v>
      </c>
      <c r="B573" s="10" t="s">
        <v>20</v>
      </c>
      <c r="C573" s="10"/>
      <c r="D573" s="11" t="s">
        <v>20</v>
      </c>
      <c r="E573" s="10" t="s">
        <v>20</v>
      </c>
      <c r="F573" s="10">
        <v>6.5</v>
      </c>
      <c r="G573" s="12">
        <v>100</v>
      </c>
      <c r="H573" s="12">
        <f>G573*I573</f>
        <v>39000</v>
      </c>
      <c r="I573" s="10">
        <f>60*F573</f>
        <v>390</v>
      </c>
      <c r="J573" s="10" t="s">
        <v>12</v>
      </c>
      <c r="K573" s="10" t="s">
        <v>20</v>
      </c>
      <c r="L573" s="13" t="e">
        <f t="shared" si="172"/>
        <v>#REF!</v>
      </c>
      <c r="M573" s="12">
        <v>39000</v>
      </c>
      <c r="N573">
        <v>39000</v>
      </c>
    </row>
    <row r="574" spans="1:14" ht="30" customHeight="1" x14ac:dyDescent="0.25">
      <c r="A574" s="15" t="str">
        <f t="shared" si="170"/>
        <v>РЩ1-13 (АВР-Б-40-2-1)</v>
      </c>
      <c r="B574" s="15"/>
      <c r="C574" s="15"/>
      <c r="D574" s="15"/>
      <c r="E574" s="16"/>
      <c r="F574" s="17"/>
      <c r="G574" s="12">
        <f>F574*0.55</f>
        <v>0</v>
      </c>
      <c r="H574" s="18">
        <f ca="1">SUM(H563:H573)</f>
        <v>300158.20000000007</v>
      </c>
      <c r="I574" s="15"/>
      <c r="J574" s="19"/>
      <c r="K574" s="15"/>
      <c r="L574" s="13" t="e">
        <f t="shared" si="172"/>
        <v>#REF!</v>
      </c>
      <c r="M574" s="18">
        <v>300158.20000000007</v>
      </c>
      <c r="N574">
        <v>300158.20000000007</v>
      </c>
    </row>
    <row r="575" spans="1:14" ht="39.75" customHeight="1" x14ac:dyDescent="0.25">
      <c r="A575" s="8" t="str">
        <f>E575</f>
        <v>ВРУ1-14</v>
      </c>
      <c r="B575" s="4"/>
      <c r="C575" s="4"/>
      <c r="D575" s="5"/>
      <c r="E575" s="4" t="s">
        <v>106</v>
      </c>
      <c r="F575" s="6"/>
      <c r="G575" s="6"/>
      <c r="H575" s="7"/>
      <c r="I575" s="8">
        <v>1</v>
      </c>
      <c r="J575" s="9" t="s">
        <v>9</v>
      </c>
      <c r="K575" s="4" t="s">
        <v>10</v>
      </c>
      <c r="L575" s="8" t="s">
        <v>107</v>
      </c>
      <c r="M575" s="7"/>
    </row>
    <row r="576" spans="1:14" ht="21" customHeight="1" x14ac:dyDescent="0.25">
      <c r="A576" s="13" t="str">
        <f t="shared" ref="A576:A586" si="174">A575</f>
        <v>ВРУ1-14</v>
      </c>
      <c r="B576" s="10" t="s">
        <v>11</v>
      </c>
      <c r="C576" s="10"/>
      <c r="D576" s="11" t="s">
        <v>172</v>
      </c>
      <c r="E576" s="10" t="s">
        <v>173</v>
      </c>
      <c r="F576" s="10">
        <v>156500</v>
      </c>
      <c r="G576" s="12">
        <f>0.6*F576</f>
        <v>93900</v>
      </c>
      <c r="H576" s="12">
        <f>G576*I576</f>
        <v>93900</v>
      </c>
      <c r="I576" s="13">
        <v>1</v>
      </c>
      <c r="J576" s="14" t="s">
        <v>12</v>
      </c>
      <c r="K576" s="10" t="s">
        <v>13</v>
      </c>
      <c r="L576" s="13" t="str">
        <f t="shared" ref="L576:L586" si="175">L575</f>
        <v>Блок14</v>
      </c>
      <c r="M576" s="12">
        <v>93900</v>
      </c>
      <c r="N576">
        <v>93900</v>
      </c>
    </row>
    <row r="577" spans="1:14" ht="21" customHeight="1" x14ac:dyDescent="0.25">
      <c r="A577" s="13" t="str">
        <f t="shared" si="174"/>
        <v>ВРУ1-14</v>
      </c>
      <c r="B577" s="10" t="s">
        <v>23</v>
      </c>
      <c r="C577" s="10"/>
      <c r="D577" s="11"/>
      <c r="E577" s="10" t="s">
        <v>24</v>
      </c>
      <c r="F577" s="10">
        <v>4701</v>
      </c>
      <c r="G577" s="12">
        <v>4701</v>
      </c>
      <c r="H577" s="12">
        <v>28206</v>
      </c>
      <c r="I577" s="13">
        <v>6</v>
      </c>
      <c r="J577" s="14" t="s">
        <v>12</v>
      </c>
      <c r="K577" s="10" t="s">
        <v>25</v>
      </c>
      <c r="L577" s="13" t="str">
        <f t="shared" si="175"/>
        <v>Блок14</v>
      </c>
      <c r="M577" s="12">
        <v>28206</v>
      </c>
      <c r="N577">
        <v>28206</v>
      </c>
    </row>
    <row r="578" spans="1:14" ht="21" customHeight="1" x14ac:dyDescent="0.25">
      <c r="A578" s="13" t="str">
        <f t="shared" si="174"/>
        <v>ВРУ1-14</v>
      </c>
      <c r="B578" s="10" t="s">
        <v>26</v>
      </c>
      <c r="C578" s="10"/>
      <c r="D578" s="11" t="s">
        <v>177</v>
      </c>
      <c r="E578" s="10" t="s">
        <v>178</v>
      </c>
      <c r="F578" s="10">
        <v>25500</v>
      </c>
      <c r="G578" s="12">
        <f>F578*0.55</f>
        <v>14025.000000000002</v>
      </c>
      <c r="H578" s="12">
        <f>G578*I578</f>
        <v>28050.000000000004</v>
      </c>
      <c r="I578" s="13">
        <v>2</v>
      </c>
      <c r="J578" s="14" t="s">
        <v>12</v>
      </c>
      <c r="K578" s="10" t="s">
        <v>25</v>
      </c>
      <c r="L578" s="13" t="str">
        <f t="shared" si="175"/>
        <v>Блок14</v>
      </c>
      <c r="M578" s="12">
        <v>28050.000000000004</v>
      </c>
      <c r="N578">
        <v>28050.000000000004</v>
      </c>
    </row>
    <row r="579" spans="1:14" ht="21" customHeight="1" x14ac:dyDescent="0.25">
      <c r="A579" s="13" t="str">
        <f t="shared" si="174"/>
        <v>ВРУ1-14</v>
      </c>
      <c r="B579" s="10" t="s">
        <v>127</v>
      </c>
      <c r="C579" s="10"/>
      <c r="D579" s="11" t="s">
        <v>130</v>
      </c>
      <c r="E579" s="10" t="s">
        <v>131</v>
      </c>
      <c r="F579" s="10">
        <v>4750</v>
      </c>
      <c r="G579" s="12">
        <f>F579*0.55</f>
        <v>2612.5</v>
      </c>
      <c r="H579" s="12">
        <f>G579*I579</f>
        <v>5225</v>
      </c>
      <c r="I579" s="13">
        <v>2</v>
      </c>
      <c r="J579" s="14" t="s">
        <v>12</v>
      </c>
      <c r="K579" s="10" t="s">
        <v>14</v>
      </c>
      <c r="L579" s="13" t="str">
        <f t="shared" si="175"/>
        <v>Блок14</v>
      </c>
      <c r="M579" s="12">
        <v>5225</v>
      </c>
      <c r="N579">
        <v>5225</v>
      </c>
    </row>
    <row r="580" spans="1:14" ht="21" customHeight="1" x14ac:dyDescent="0.25">
      <c r="A580" s="13" t="str">
        <f t="shared" si="174"/>
        <v>ВРУ1-14</v>
      </c>
      <c r="B580" s="10" t="s">
        <v>126</v>
      </c>
      <c r="C580" s="10"/>
      <c r="D580" s="11" t="s">
        <v>128</v>
      </c>
      <c r="E580" s="10" t="s">
        <v>129</v>
      </c>
      <c r="F580" s="10">
        <v>3317</v>
      </c>
      <c r="G580" s="12">
        <f>F580*0.55</f>
        <v>1824.3500000000001</v>
      </c>
      <c r="H580" s="12">
        <f>G580*I580</f>
        <v>3648.7000000000003</v>
      </c>
      <c r="I580" s="13">
        <v>2</v>
      </c>
      <c r="J580" s="14" t="s">
        <v>12</v>
      </c>
      <c r="K580" s="10" t="s">
        <v>14</v>
      </c>
      <c r="L580" s="13" t="str">
        <f t="shared" si="175"/>
        <v>Блок14</v>
      </c>
      <c r="M580" s="12">
        <v>3648.7000000000003</v>
      </c>
      <c r="N580">
        <v>3648.7000000000003</v>
      </c>
    </row>
    <row r="581" spans="1:14" ht="21" customHeight="1" x14ac:dyDescent="0.25">
      <c r="A581" s="13" t="str">
        <f t="shared" si="174"/>
        <v>ВРУ1-14</v>
      </c>
      <c r="B581" s="10" t="s">
        <v>17</v>
      </c>
      <c r="C581" s="10"/>
      <c r="D581" s="11">
        <v>296708</v>
      </c>
      <c r="E581" s="10" t="s">
        <v>29</v>
      </c>
      <c r="F581" s="10">
        <v>828</v>
      </c>
      <c r="G581" s="12">
        <f>F581*0.55</f>
        <v>455.40000000000003</v>
      </c>
      <c r="H581" s="12">
        <f>G581*I581</f>
        <v>910.80000000000007</v>
      </c>
      <c r="I581" s="13">
        <v>2</v>
      </c>
      <c r="J581" s="14" t="s">
        <v>12</v>
      </c>
      <c r="K581" s="10" t="s">
        <v>28</v>
      </c>
      <c r="L581" s="13" t="str">
        <f t="shared" si="175"/>
        <v>Блок14</v>
      </c>
      <c r="M581" s="12">
        <v>910.80000000000007</v>
      </c>
      <c r="N581">
        <v>910.80000000000007</v>
      </c>
    </row>
    <row r="582" spans="1:14" ht="21" customHeight="1" x14ac:dyDescent="0.25">
      <c r="A582" s="13" t="str">
        <f t="shared" si="174"/>
        <v>ВРУ1-14</v>
      </c>
      <c r="B582" s="10" t="s">
        <v>15</v>
      </c>
      <c r="C582" s="10"/>
      <c r="D582" s="11" t="s">
        <v>179</v>
      </c>
      <c r="E582" s="10" t="s">
        <v>180</v>
      </c>
      <c r="F582" s="10">
        <v>83000</v>
      </c>
      <c r="G582" s="12">
        <f>F582</f>
        <v>83000</v>
      </c>
      <c r="H582" s="12">
        <v>78200</v>
      </c>
      <c r="I582" s="13">
        <v>2</v>
      </c>
      <c r="J582" s="14" t="s">
        <v>12</v>
      </c>
      <c r="K582" s="10" t="s">
        <v>16</v>
      </c>
      <c r="L582" s="13" t="str">
        <f t="shared" si="175"/>
        <v>Блок14</v>
      </c>
      <c r="M582" s="12">
        <v>78200</v>
      </c>
      <c r="N582">
        <v>78200</v>
      </c>
    </row>
    <row r="583" spans="1:14" ht="21" customHeight="1" x14ac:dyDescent="0.25">
      <c r="A583" s="13" t="str">
        <f t="shared" si="174"/>
        <v>ВРУ1-14</v>
      </c>
      <c r="B583" s="10" t="s">
        <v>30</v>
      </c>
      <c r="C583" s="10"/>
      <c r="D583" s="11"/>
      <c r="E583" s="10" t="s">
        <v>31</v>
      </c>
      <c r="F583" s="10">
        <v>4500</v>
      </c>
      <c r="G583" s="12">
        <f>F583*0.55</f>
        <v>2475</v>
      </c>
      <c r="H583" s="12">
        <f>G583*I583</f>
        <v>14850</v>
      </c>
      <c r="I583" s="13">
        <v>6</v>
      </c>
      <c r="J583" s="14" t="s">
        <v>12</v>
      </c>
      <c r="K583" s="10" t="s">
        <v>25</v>
      </c>
      <c r="L583" s="13" t="str">
        <f t="shared" si="175"/>
        <v>Блок14</v>
      </c>
      <c r="M583" s="12">
        <v>14850</v>
      </c>
      <c r="N583">
        <v>14850</v>
      </c>
    </row>
    <row r="584" spans="1:14" ht="24" customHeight="1" x14ac:dyDescent="0.25">
      <c r="A584" s="10" t="str">
        <f t="shared" si="174"/>
        <v>ВРУ1-14</v>
      </c>
      <c r="B584" s="10" t="s">
        <v>19</v>
      </c>
      <c r="C584" s="10"/>
      <c r="D584" s="11" t="s">
        <v>19</v>
      </c>
      <c r="E584" s="10" t="s">
        <v>19</v>
      </c>
      <c r="F584" s="10">
        <f ca="1">OFFSET(F584,1,2)</f>
        <v>48000</v>
      </c>
      <c r="G584" s="12">
        <f ca="1">F584*0.55</f>
        <v>26400.000000000004</v>
      </c>
      <c r="H584" s="12">
        <f ca="1">G584*I584</f>
        <v>26400.000000000004</v>
      </c>
      <c r="I584" s="10">
        <v>1</v>
      </c>
      <c r="J584" s="10" t="s">
        <v>12</v>
      </c>
      <c r="K584" s="10" t="s">
        <v>19</v>
      </c>
      <c r="L584" s="13" t="str">
        <f t="shared" si="175"/>
        <v>Блок14</v>
      </c>
      <c r="M584" s="12">
        <v>26400.000000000004</v>
      </c>
      <c r="N584">
        <v>26400.000000000004</v>
      </c>
    </row>
    <row r="585" spans="1:14" ht="21" customHeight="1" x14ac:dyDescent="0.25">
      <c r="A585" s="10" t="str">
        <f t="shared" si="174"/>
        <v>ВРУ1-14</v>
      </c>
      <c r="B585" s="10" t="s">
        <v>20</v>
      </c>
      <c r="C585" s="10"/>
      <c r="D585" s="11" t="s">
        <v>20</v>
      </c>
      <c r="E585" s="10" t="s">
        <v>20</v>
      </c>
      <c r="F585" s="10">
        <v>8</v>
      </c>
      <c r="G585" s="12">
        <v>100</v>
      </c>
      <c r="H585" s="12">
        <f>G585*I585</f>
        <v>48000</v>
      </c>
      <c r="I585" s="10">
        <f>60*F585</f>
        <v>480</v>
      </c>
      <c r="J585" s="10" t="s">
        <v>12</v>
      </c>
      <c r="K585" s="10" t="s">
        <v>20</v>
      </c>
      <c r="L585" s="13" t="str">
        <f t="shared" si="175"/>
        <v>Блок14</v>
      </c>
      <c r="M585" s="12">
        <v>48000</v>
      </c>
      <c r="N585">
        <v>48000</v>
      </c>
    </row>
    <row r="586" spans="1:14" ht="30" customHeight="1" x14ac:dyDescent="0.25">
      <c r="A586" s="15" t="str">
        <f t="shared" si="174"/>
        <v>ВРУ1-14</v>
      </c>
      <c r="B586" s="15"/>
      <c r="C586" s="15"/>
      <c r="D586" s="15"/>
      <c r="E586" s="16"/>
      <c r="F586" s="17"/>
      <c r="G586" s="12">
        <f>F586*0.55</f>
        <v>0</v>
      </c>
      <c r="H586" s="18">
        <f ca="1">SUM(H576:H585)</f>
        <v>327390.5</v>
      </c>
      <c r="I586" s="15"/>
      <c r="J586" s="19"/>
      <c r="K586" s="15"/>
      <c r="L586" s="13" t="str">
        <f t="shared" si="175"/>
        <v>Блок14</v>
      </c>
      <c r="M586" s="18">
        <v>327390.5</v>
      </c>
      <c r="N586">
        <v>327390.5</v>
      </c>
    </row>
    <row r="587" spans="1:14" ht="39.75" customHeight="1" x14ac:dyDescent="0.25">
      <c r="A587" s="8" t="str">
        <f>E587</f>
        <v>РУ-1-14</v>
      </c>
      <c r="B587" s="4"/>
      <c r="C587" s="4"/>
      <c r="D587" s="5"/>
      <c r="E587" s="4" t="s">
        <v>108</v>
      </c>
      <c r="F587" s="6"/>
      <c r="G587" s="6"/>
      <c r="H587" s="7"/>
      <c r="I587" s="8">
        <v>1</v>
      </c>
      <c r="J587" s="9" t="s">
        <v>9</v>
      </c>
      <c r="K587" s="4" t="s">
        <v>10</v>
      </c>
      <c r="L587" s="8" t="s">
        <v>107</v>
      </c>
      <c r="M587" s="7"/>
    </row>
    <row r="588" spans="1:14" ht="21" customHeight="1" x14ac:dyDescent="0.25">
      <c r="A588" s="13" t="str">
        <f t="shared" ref="A588:A594" si="176">A587</f>
        <v>РУ-1-14</v>
      </c>
      <c r="B588" s="10" t="s">
        <v>11</v>
      </c>
      <c r="C588" s="10"/>
      <c r="D588" s="11" t="s">
        <v>170</v>
      </c>
      <c r="E588" s="10" t="s">
        <v>171</v>
      </c>
      <c r="F588" s="10">
        <v>145000</v>
      </c>
      <c r="G588" s="12">
        <f>0.6*F588</f>
        <v>87000</v>
      </c>
      <c r="H588" s="12">
        <f t="shared" ref="H588:H593" si="177">G588*I588</f>
        <v>87000</v>
      </c>
      <c r="I588" s="13">
        <v>1</v>
      </c>
      <c r="J588" s="14" t="s">
        <v>12</v>
      </c>
      <c r="K588" s="10" t="s">
        <v>13</v>
      </c>
      <c r="L588" s="13" t="str">
        <f t="shared" ref="L588:L594" si="178">L587</f>
        <v>Блок14</v>
      </c>
      <c r="M588" s="12">
        <v>87000</v>
      </c>
      <c r="N588">
        <v>87000</v>
      </c>
    </row>
    <row r="589" spans="1:14" ht="21" customHeight="1" x14ac:dyDescent="0.25">
      <c r="A589" s="13" t="str">
        <f t="shared" si="176"/>
        <v>РУ-1-14</v>
      </c>
      <c r="B589" s="10" t="s">
        <v>27</v>
      </c>
      <c r="C589" s="10"/>
      <c r="D589" s="11">
        <v>126583</v>
      </c>
      <c r="E589" s="10" t="s">
        <v>33</v>
      </c>
      <c r="F589" s="10">
        <v>28665</v>
      </c>
      <c r="G589" s="12">
        <f t="shared" ref="G589:G594" si="179">F589*0.55</f>
        <v>15765.750000000002</v>
      </c>
      <c r="H589" s="12">
        <f t="shared" si="177"/>
        <v>31531.500000000004</v>
      </c>
      <c r="I589" s="13">
        <v>2</v>
      </c>
      <c r="J589" s="14" t="s">
        <v>12</v>
      </c>
      <c r="K589" s="10" t="s">
        <v>28</v>
      </c>
      <c r="L589" s="13" t="str">
        <f t="shared" si="178"/>
        <v>Блок14</v>
      </c>
      <c r="M589" s="12">
        <v>31531.500000000004</v>
      </c>
      <c r="N589">
        <v>31531.500000000004</v>
      </c>
    </row>
    <row r="590" spans="1:14" ht="21" customHeight="1" x14ac:dyDescent="0.25">
      <c r="A590" s="13" t="str">
        <f t="shared" si="176"/>
        <v>РУ-1-14</v>
      </c>
      <c r="B590" s="10" t="s">
        <v>27</v>
      </c>
      <c r="C590" s="10"/>
      <c r="D590" s="11">
        <v>126584</v>
      </c>
      <c r="E590" s="10" t="s">
        <v>34</v>
      </c>
      <c r="F590" s="10">
        <v>28756</v>
      </c>
      <c r="G590" s="12">
        <f t="shared" si="179"/>
        <v>15815.800000000001</v>
      </c>
      <c r="H590" s="12">
        <f t="shared" si="177"/>
        <v>15815.800000000001</v>
      </c>
      <c r="I590" s="13">
        <v>1</v>
      </c>
      <c r="J590" s="14" t="s">
        <v>12</v>
      </c>
      <c r="K590" s="10" t="s">
        <v>28</v>
      </c>
      <c r="L590" s="13" t="str">
        <f t="shared" si="178"/>
        <v>Блок14</v>
      </c>
      <c r="M590" s="12">
        <v>15815.800000000001</v>
      </c>
      <c r="N590">
        <v>15815.800000000001</v>
      </c>
    </row>
    <row r="591" spans="1:14" ht="21" customHeight="1" x14ac:dyDescent="0.25">
      <c r="A591" s="13" t="str">
        <f t="shared" si="176"/>
        <v>РУ-1-14</v>
      </c>
      <c r="B591" s="10" t="s">
        <v>27</v>
      </c>
      <c r="C591" s="10"/>
      <c r="D591" s="11">
        <v>126507</v>
      </c>
      <c r="E591" s="10" t="s">
        <v>35</v>
      </c>
      <c r="F591" s="10">
        <v>17108</v>
      </c>
      <c r="G591" s="12">
        <f t="shared" si="179"/>
        <v>9409.4000000000015</v>
      </c>
      <c r="H591" s="12">
        <f t="shared" si="177"/>
        <v>18818.800000000003</v>
      </c>
      <c r="I591" s="13">
        <v>2</v>
      </c>
      <c r="J591" s="14" t="s">
        <v>12</v>
      </c>
      <c r="K591" s="10" t="s">
        <v>28</v>
      </c>
      <c r="L591" s="13" t="str">
        <f t="shared" si="178"/>
        <v>Блок14</v>
      </c>
      <c r="M591" s="12">
        <v>18818.800000000003</v>
      </c>
      <c r="N591">
        <v>18818.800000000003</v>
      </c>
    </row>
    <row r="592" spans="1:14" ht="24" customHeight="1" x14ac:dyDescent="0.25">
      <c r="A592" s="10" t="str">
        <f t="shared" si="176"/>
        <v>РУ-1-14</v>
      </c>
      <c r="B592" s="10" t="s">
        <v>19</v>
      </c>
      <c r="C592" s="10"/>
      <c r="D592" s="11" t="s">
        <v>19</v>
      </c>
      <c r="E592" s="10" t="s">
        <v>19</v>
      </c>
      <c r="F592" s="10">
        <f ca="1">OFFSET(F592,1,2)</f>
        <v>27000</v>
      </c>
      <c r="G592" s="12">
        <f ca="1">F592*0.55</f>
        <v>14850.000000000002</v>
      </c>
      <c r="H592" s="12">
        <f ca="1">G592*I592</f>
        <v>14850.000000000002</v>
      </c>
      <c r="I592" s="10">
        <v>1</v>
      </c>
      <c r="J592" s="10" t="s">
        <v>12</v>
      </c>
      <c r="K592" s="10" t="s">
        <v>19</v>
      </c>
      <c r="L592" s="13" t="str">
        <f t="shared" si="178"/>
        <v>Блок14</v>
      </c>
      <c r="M592" s="12">
        <v>14850.000000000002</v>
      </c>
      <c r="N592">
        <v>14850.000000000002</v>
      </c>
    </row>
    <row r="593" spans="1:14" ht="21" customHeight="1" x14ac:dyDescent="0.25">
      <c r="A593" s="10" t="str">
        <f t="shared" si="176"/>
        <v>РУ-1-14</v>
      </c>
      <c r="B593" s="10" t="s">
        <v>20</v>
      </c>
      <c r="C593" s="10"/>
      <c r="D593" s="11" t="s">
        <v>20</v>
      </c>
      <c r="E593" s="10" t="s">
        <v>20</v>
      </c>
      <c r="F593" s="10">
        <v>4.5</v>
      </c>
      <c r="G593" s="12">
        <v>100</v>
      </c>
      <c r="H593" s="12">
        <f t="shared" si="177"/>
        <v>27000</v>
      </c>
      <c r="I593" s="10">
        <f>60*F593</f>
        <v>270</v>
      </c>
      <c r="J593" s="10" t="s">
        <v>12</v>
      </c>
      <c r="K593" s="10" t="s">
        <v>20</v>
      </c>
      <c r="L593" s="13" t="str">
        <f t="shared" si="178"/>
        <v>Блок14</v>
      </c>
      <c r="M593" s="12">
        <v>27000</v>
      </c>
      <c r="N593">
        <v>27000</v>
      </c>
    </row>
    <row r="594" spans="1:14" ht="30" customHeight="1" x14ac:dyDescent="0.25">
      <c r="A594" s="15" t="str">
        <f t="shared" si="176"/>
        <v>РУ-1-14</v>
      </c>
      <c r="B594" s="15"/>
      <c r="C594" s="15"/>
      <c r="D594" s="15"/>
      <c r="E594" s="16"/>
      <c r="F594" s="17"/>
      <c r="G594" s="12">
        <f t="shared" si="179"/>
        <v>0</v>
      </c>
      <c r="H594" s="18">
        <f ca="1">SUM(H588:H593)</f>
        <v>195016.09999999998</v>
      </c>
      <c r="I594" s="15"/>
      <c r="J594" s="19"/>
      <c r="K594" s="15"/>
      <c r="L594" s="13" t="str">
        <f t="shared" si="178"/>
        <v>Блок14</v>
      </c>
      <c r="M594" s="18">
        <v>195016.09999999998</v>
      </c>
      <c r="N594">
        <v>195016.09999999998</v>
      </c>
    </row>
    <row r="595" spans="1:14" ht="39.75" customHeight="1" x14ac:dyDescent="0.25">
      <c r="A595" s="8" t="str">
        <f>E595</f>
        <v>РУ-2-14</v>
      </c>
      <c r="B595" s="4"/>
      <c r="C595" s="4"/>
      <c r="D595" s="5"/>
      <c r="E595" s="4" t="s">
        <v>109</v>
      </c>
      <c r="F595" s="6"/>
      <c r="G595" s="6"/>
      <c r="H595" s="7"/>
      <c r="I595" s="8">
        <v>1</v>
      </c>
      <c r="J595" s="9" t="s">
        <v>9</v>
      </c>
      <c r="K595" s="4" t="s">
        <v>10</v>
      </c>
      <c r="L595" s="8" t="s">
        <v>107</v>
      </c>
      <c r="M595" s="7"/>
    </row>
    <row r="596" spans="1:14" ht="21" customHeight="1" x14ac:dyDescent="0.25">
      <c r="A596" s="13" t="str">
        <f t="shared" ref="A596:A602" si="180">A595</f>
        <v>РУ-2-14</v>
      </c>
      <c r="B596" s="10" t="s">
        <v>11</v>
      </c>
      <c r="C596" s="10"/>
      <c r="D596" s="11" t="s">
        <v>170</v>
      </c>
      <c r="E596" s="10" t="s">
        <v>171</v>
      </c>
      <c r="F596" s="10">
        <v>145000</v>
      </c>
      <c r="G596" s="12">
        <f>0.6*F596</f>
        <v>87000</v>
      </c>
      <c r="H596" s="12">
        <f t="shared" ref="H596:H601" si="181">G596*I596</f>
        <v>87000</v>
      </c>
      <c r="I596" s="13">
        <v>1</v>
      </c>
      <c r="J596" s="14" t="s">
        <v>12</v>
      </c>
      <c r="K596" s="10" t="s">
        <v>13</v>
      </c>
      <c r="L596" s="13" t="str">
        <f t="shared" ref="L596:L602" si="182">L595</f>
        <v>Блок14</v>
      </c>
      <c r="M596" s="12">
        <v>87000</v>
      </c>
      <c r="N596">
        <v>87000</v>
      </c>
    </row>
    <row r="597" spans="1:14" ht="21" customHeight="1" x14ac:dyDescent="0.25">
      <c r="A597" s="13" t="str">
        <f t="shared" si="180"/>
        <v>РУ-2-14</v>
      </c>
      <c r="B597" s="10" t="s">
        <v>27</v>
      </c>
      <c r="C597" s="10"/>
      <c r="D597" s="11">
        <v>126584</v>
      </c>
      <c r="E597" s="10" t="s">
        <v>34</v>
      </c>
      <c r="F597" s="10">
        <v>28756</v>
      </c>
      <c r="G597" s="12">
        <f>F597*0.55</f>
        <v>15815.800000000001</v>
      </c>
      <c r="H597" s="12">
        <f t="shared" si="181"/>
        <v>15815.800000000001</v>
      </c>
      <c r="I597" s="13">
        <v>1</v>
      </c>
      <c r="J597" s="14" t="s">
        <v>12</v>
      </c>
      <c r="K597" s="10" t="s">
        <v>28</v>
      </c>
      <c r="L597" s="13" t="str">
        <f t="shared" si="182"/>
        <v>Блок14</v>
      </c>
      <c r="M597" s="12">
        <v>15815.800000000001</v>
      </c>
      <c r="N597">
        <v>15815.800000000001</v>
      </c>
    </row>
    <row r="598" spans="1:14" ht="21" customHeight="1" x14ac:dyDescent="0.25">
      <c r="A598" s="13" t="str">
        <f t="shared" si="180"/>
        <v>РУ-2-14</v>
      </c>
      <c r="B598" s="10" t="s">
        <v>27</v>
      </c>
      <c r="C598" s="10"/>
      <c r="D598" s="11">
        <v>126511</v>
      </c>
      <c r="E598" s="10" t="s">
        <v>37</v>
      </c>
      <c r="F598" s="10">
        <v>16562</v>
      </c>
      <c r="G598" s="12">
        <f>F598*0.55</f>
        <v>9109.1</v>
      </c>
      <c r="H598" s="12">
        <f t="shared" si="181"/>
        <v>27327.300000000003</v>
      </c>
      <c r="I598" s="13">
        <v>3</v>
      </c>
      <c r="J598" s="14" t="s">
        <v>12</v>
      </c>
      <c r="K598" s="10" t="s">
        <v>28</v>
      </c>
      <c r="L598" s="13" t="str">
        <f t="shared" si="182"/>
        <v>Блок14</v>
      </c>
      <c r="M598" s="12">
        <v>27327.300000000003</v>
      </c>
      <c r="N598">
        <v>27327.300000000003</v>
      </c>
    </row>
    <row r="599" spans="1:14" ht="21" customHeight="1" x14ac:dyDescent="0.25">
      <c r="A599" s="13" t="str">
        <f t="shared" si="180"/>
        <v>РУ-2-14</v>
      </c>
      <c r="B599" s="10" t="s">
        <v>27</v>
      </c>
      <c r="C599" s="10"/>
      <c r="D599" s="11">
        <v>126510</v>
      </c>
      <c r="E599" s="10" t="s">
        <v>38</v>
      </c>
      <c r="F599" s="10">
        <v>16562</v>
      </c>
      <c r="G599" s="12">
        <f>F599*0.55</f>
        <v>9109.1</v>
      </c>
      <c r="H599" s="12">
        <f t="shared" si="181"/>
        <v>9109.1</v>
      </c>
      <c r="I599" s="13">
        <v>1</v>
      </c>
      <c r="J599" s="14" t="s">
        <v>12</v>
      </c>
      <c r="K599" s="10" t="s">
        <v>28</v>
      </c>
      <c r="L599" s="13" t="str">
        <f t="shared" si="182"/>
        <v>Блок14</v>
      </c>
      <c r="M599" s="12">
        <v>9109.1</v>
      </c>
      <c r="N599">
        <v>9109.1</v>
      </c>
    </row>
    <row r="600" spans="1:14" ht="24" customHeight="1" x14ac:dyDescent="0.25">
      <c r="A600" s="10" t="str">
        <f t="shared" si="180"/>
        <v>РУ-2-14</v>
      </c>
      <c r="B600" s="10" t="s">
        <v>19</v>
      </c>
      <c r="C600" s="10"/>
      <c r="D600" s="11" t="s">
        <v>19</v>
      </c>
      <c r="E600" s="10" t="s">
        <v>19</v>
      </c>
      <c r="F600" s="10">
        <f ca="1">OFFSET(F600,1,2)</f>
        <v>27000</v>
      </c>
      <c r="G600" s="12">
        <f ca="1">F600*0.55</f>
        <v>14850.000000000002</v>
      </c>
      <c r="H600" s="12">
        <f t="shared" ca="1" si="181"/>
        <v>14850.000000000002</v>
      </c>
      <c r="I600" s="10">
        <v>1</v>
      </c>
      <c r="J600" s="10" t="s">
        <v>12</v>
      </c>
      <c r="K600" s="10" t="s">
        <v>19</v>
      </c>
      <c r="L600" s="13" t="e">
        <f>#REF!</f>
        <v>#REF!</v>
      </c>
      <c r="M600" s="12">
        <v>14850.000000000002</v>
      </c>
      <c r="N600">
        <v>14850.000000000002</v>
      </c>
    </row>
    <row r="601" spans="1:14" ht="21" customHeight="1" x14ac:dyDescent="0.25">
      <c r="A601" s="10" t="str">
        <f t="shared" si="180"/>
        <v>РУ-2-14</v>
      </c>
      <c r="B601" s="10" t="s">
        <v>20</v>
      </c>
      <c r="C601" s="10"/>
      <c r="D601" s="11" t="s">
        <v>20</v>
      </c>
      <c r="E601" s="10" t="s">
        <v>20</v>
      </c>
      <c r="F601" s="10">
        <v>4.5</v>
      </c>
      <c r="G601" s="12">
        <v>100</v>
      </c>
      <c r="H601" s="12">
        <f t="shared" si="181"/>
        <v>27000</v>
      </c>
      <c r="I601" s="10">
        <f>60*F601</f>
        <v>270</v>
      </c>
      <c r="J601" s="10" t="s">
        <v>12</v>
      </c>
      <c r="K601" s="10" t="s">
        <v>20</v>
      </c>
      <c r="L601" s="13" t="e">
        <f t="shared" si="182"/>
        <v>#REF!</v>
      </c>
      <c r="M601" s="12">
        <v>27000</v>
      </c>
      <c r="N601">
        <v>27000</v>
      </c>
    </row>
    <row r="602" spans="1:14" ht="30" customHeight="1" x14ac:dyDescent="0.25">
      <c r="A602" s="15" t="str">
        <f t="shared" si="180"/>
        <v>РУ-2-14</v>
      </c>
      <c r="B602" s="15"/>
      <c r="C602" s="15"/>
      <c r="D602" s="15"/>
      <c r="E602" s="16"/>
      <c r="F602" s="17"/>
      <c r="G602" s="12">
        <f>F602*0.55</f>
        <v>0</v>
      </c>
      <c r="H602" s="18">
        <f ca="1">SUM(H596:H601)</f>
        <v>181102.2</v>
      </c>
      <c r="I602" s="15"/>
      <c r="J602" s="19"/>
      <c r="K602" s="15"/>
      <c r="L602" s="13" t="e">
        <f t="shared" si="182"/>
        <v>#REF!</v>
      </c>
      <c r="M602" s="18">
        <v>181102.2</v>
      </c>
      <c r="N602">
        <v>181102.2</v>
      </c>
    </row>
    <row r="603" spans="1:14" ht="39.75" customHeight="1" x14ac:dyDescent="0.25">
      <c r="A603" s="8" t="str">
        <f>E603</f>
        <v>ЩУР.МОП1-14</v>
      </c>
      <c r="B603" s="4"/>
      <c r="C603" s="4"/>
      <c r="D603" s="5"/>
      <c r="E603" s="4" t="s">
        <v>110</v>
      </c>
      <c r="F603" s="6"/>
      <c r="G603" s="6"/>
      <c r="H603" s="7"/>
      <c r="I603" s="8">
        <v>1</v>
      </c>
      <c r="J603" s="9" t="s">
        <v>9</v>
      </c>
      <c r="K603" s="4" t="s">
        <v>10</v>
      </c>
      <c r="L603" s="8" t="s">
        <v>107</v>
      </c>
      <c r="M603" s="7"/>
    </row>
    <row r="604" spans="1:14" ht="21" customHeight="1" x14ac:dyDescent="0.25">
      <c r="A604" s="13" t="str">
        <f t="shared" ref="A604:A611" si="183">A603</f>
        <v>ЩУР.МОП1-14</v>
      </c>
      <c r="B604" s="10" t="s">
        <v>11</v>
      </c>
      <c r="C604" s="10"/>
      <c r="D604" s="11" t="s">
        <v>40</v>
      </c>
      <c r="E604" s="10" t="s">
        <v>41</v>
      </c>
      <c r="F604" s="10">
        <v>18000</v>
      </c>
      <c r="G604" s="12">
        <f>0.6*F604</f>
        <v>10800</v>
      </c>
      <c r="H604" s="12">
        <f>G604*I604</f>
        <v>10800</v>
      </c>
      <c r="I604" s="13">
        <v>1</v>
      </c>
      <c r="J604" s="14" t="s">
        <v>12</v>
      </c>
      <c r="K604" s="10" t="s">
        <v>13</v>
      </c>
      <c r="L604" s="13" t="str">
        <f t="shared" ref="L604:L611" si="184">L603</f>
        <v>Блок14</v>
      </c>
      <c r="M604" s="12">
        <v>10800</v>
      </c>
      <c r="N604">
        <v>10800</v>
      </c>
    </row>
    <row r="605" spans="1:14" ht="21" customHeight="1" x14ac:dyDescent="0.25">
      <c r="A605" s="13" t="str">
        <f t="shared" si="183"/>
        <v>ЩУР.МОП1-14</v>
      </c>
      <c r="B605" s="10" t="s">
        <v>17</v>
      </c>
      <c r="C605" s="10"/>
      <c r="D605" s="11">
        <v>296830</v>
      </c>
      <c r="E605" s="10" t="s">
        <v>149</v>
      </c>
      <c r="F605" s="10">
        <v>1554</v>
      </c>
      <c r="G605" s="12">
        <f>F605*0.55</f>
        <v>854.7</v>
      </c>
      <c r="H605" s="12">
        <f>G605*I605</f>
        <v>854.7</v>
      </c>
      <c r="I605" s="13">
        <v>1</v>
      </c>
      <c r="J605" s="14" t="s">
        <v>12</v>
      </c>
      <c r="K605" s="10" t="s">
        <v>28</v>
      </c>
      <c r="L605" s="13" t="str">
        <f t="shared" si="184"/>
        <v>Блок14</v>
      </c>
      <c r="M605" s="12">
        <v>854.7</v>
      </c>
      <c r="N605">
        <v>854.7</v>
      </c>
    </row>
    <row r="606" spans="1:14" ht="21" customHeight="1" x14ac:dyDescent="0.25">
      <c r="A606" s="13" t="str">
        <f t="shared" si="183"/>
        <v>ЩУР.МОП1-14</v>
      </c>
      <c r="B606" s="10" t="s">
        <v>17</v>
      </c>
      <c r="C606" s="10"/>
      <c r="D606" s="11">
        <v>296827</v>
      </c>
      <c r="E606" s="10" t="s">
        <v>150</v>
      </c>
      <c r="F606" s="10">
        <v>1491</v>
      </c>
      <c r="G606" s="12">
        <f>F606*0.55</f>
        <v>820.05000000000007</v>
      </c>
      <c r="H606" s="12">
        <f>G606*I606</f>
        <v>1640.1000000000001</v>
      </c>
      <c r="I606" s="13">
        <v>2</v>
      </c>
      <c r="J606" s="14" t="s">
        <v>12</v>
      </c>
      <c r="K606" s="10" t="s">
        <v>28</v>
      </c>
      <c r="L606" s="13" t="str">
        <f t="shared" si="184"/>
        <v>Блок14</v>
      </c>
      <c r="M606" s="12">
        <v>1640.1000000000001</v>
      </c>
      <c r="N606">
        <v>1640.1000000000001</v>
      </c>
    </row>
    <row r="607" spans="1:14" ht="21" customHeight="1" x14ac:dyDescent="0.25">
      <c r="A607" s="13" t="str">
        <f t="shared" si="183"/>
        <v>ЩУР.МОП1-14</v>
      </c>
      <c r="B607" s="10" t="s">
        <v>17</v>
      </c>
      <c r="C607" s="10"/>
      <c r="D607" s="11">
        <v>296829</v>
      </c>
      <c r="E607" s="10" t="s">
        <v>148</v>
      </c>
      <c r="F607" s="10">
        <v>2111</v>
      </c>
      <c r="G607" s="12">
        <f>F607*0.55</f>
        <v>1161.0500000000002</v>
      </c>
      <c r="H607" s="12">
        <f>G607*I607</f>
        <v>2322.1000000000004</v>
      </c>
      <c r="I607" s="13">
        <v>2</v>
      </c>
      <c r="J607" s="14" t="s">
        <v>12</v>
      </c>
      <c r="K607" s="10" t="s">
        <v>28</v>
      </c>
      <c r="L607" s="13" t="str">
        <f t="shared" si="184"/>
        <v>Блок14</v>
      </c>
      <c r="M607" s="12">
        <v>2322.1000000000004</v>
      </c>
      <c r="N607">
        <v>2322.1000000000004</v>
      </c>
    </row>
    <row r="608" spans="1:14" ht="21" customHeight="1" x14ac:dyDescent="0.25">
      <c r="A608" s="13" t="str">
        <f t="shared" si="183"/>
        <v>ЩУР.МОП1-14</v>
      </c>
      <c r="B608" s="10" t="s">
        <v>15</v>
      </c>
      <c r="C608" s="10"/>
      <c r="D608" s="11" t="s">
        <v>179</v>
      </c>
      <c r="E608" s="10" t="s">
        <v>180</v>
      </c>
      <c r="F608" s="10">
        <v>83000</v>
      </c>
      <c r="G608" s="12">
        <f>F608</f>
        <v>83000</v>
      </c>
      <c r="H608" s="12">
        <v>39100</v>
      </c>
      <c r="I608" s="13">
        <v>1</v>
      </c>
      <c r="J608" s="14" t="s">
        <v>12</v>
      </c>
      <c r="K608" s="10" t="s">
        <v>16</v>
      </c>
      <c r="L608" s="13" t="str">
        <f t="shared" si="184"/>
        <v>Блок14</v>
      </c>
      <c r="M608" s="12">
        <v>39100</v>
      </c>
      <c r="N608">
        <v>39100</v>
      </c>
    </row>
    <row r="609" spans="1:14" ht="24" customHeight="1" x14ac:dyDescent="0.25">
      <c r="A609" s="10" t="str">
        <f t="shared" si="183"/>
        <v>ЩУР.МОП1-14</v>
      </c>
      <c r="B609" s="10" t="s">
        <v>19</v>
      </c>
      <c r="C609" s="10"/>
      <c r="D609" s="11" t="s">
        <v>19</v>
      </c>
      <c r="E609" s="10" t="s">
        <v>19</v>
      </c>
      <c r="F609" s="10">
        <f ca="1">OFFSET(F609,1,2)</f>
        <v>12000</v>
      </c>
      <c r="G609" s="12">
        <f ca="1">F609*0.55</f>
        <v>6600.0000000000009</v>
      </c>
      <c r="H609" s="12">
        <f ca="1">G609*I609</f>
        <v>6600.0000000000009</v>
      </c>
      <c r="I609" s="10">
        <v>1</v>
      </c>
      <c r="J609" s="10" t="s">
        <v>12</v>
      </c>
      <c r="K609" s="10" t="s">
        <v>19</v>
      </c>
      <c r="L609" s="13" t="str">
        <f t="shared" si="184"/>
        <v>Блок14</v>
      </c>
      <c r="M609" s="12">
        <v>6600.0000000000009</v>
      </c>
      <c r="N609">
        <v>6600.0000000000009</v>
      </c>
    </row>
    <row r="610" spans="1:14" ht="21" customHeight="1" x14ac:dyDescent="0.25">
      <c r="A610" s="10" t="str">
        <f t="shared" si="183"/>
        <v>ЩУР.МОП1-14</v>
      </c>
      <c r="B610" s="10" t="s">
        <v>20</v>
      </c>
      <c r="C610" s="10"/>
      <c r="D610" s="11" t="s">
        <v>20</v>
      </c>
      <c r="E610" s="10" t="s">
        <v>20</v>
      </c>
      <c r="F610" s="10">
        <v>2</v>
      </c>
      <c r="G610" s="12">
        <v>100</v>
      </c>
      <c r="H610" s="12">
        <f>G610*I610</f>
        <v>12000</v>
      </c>
      <c r="I610" s="10">
        <f>60*F610</f>
        <v>120</v>
      </c>
      <c r="J610" s="10" t="s">
        <v>12</v>
      </c>
      <c r="K610" s="10" t="s">
        <v>20</v>
      </c>
      <c r="L610" s="13" t="str">
        <f t="shared" si="184"/>
        <v>Блок14</v>
      </c>
      <c r="M610" s="12">
        <v>12000</v>
      </c>
      <c r="N610">
        <v>12000</v>
      </c>
    </row>
    <row r="611" spans="1:14" ht="30" customHeight="1" x14ac:dyDescent="0.25">
      <c r="A611" s="15" t="str">
        <f t="shared" si="183"/>
        <v>ЩУР.МОП1-14</v>
      </c>
      <c r="B611" s="15"/>
      <c r="C611" s="15"/>
      <c r="D611" s="15"/>
      <c r="E611" s="16"/>
      <c r="F611" s="17"/>
      <c r="G611" s="12">
        <f>F611*0.55</f>
        <v>0</v>
      </c>
      <c r="H611" s="18">
        <f ca="1">SUM(H604:H610)</f>
        <v>73316.899999999994</v>
      </c>
      <c r="I611" s="15"/>
      <c r="J611" s="19"/>
      <c r="K611" s="15"/>
      <c r="L611" s="13" t="str">
        <f t="shared" si="184"/>
        <v>Блок14</v>
      </c>
      <c r="M611" s="18">
        <v>73316.899999999994</v>
      </c>
      <c r="N611">
        <v>73316.899999999994</v>
      </c>
    </row>
    <row r="612" spans="1:14" ht="39.75" customHeight="1" x14ac:dyDescent="0.25">
      <c r="A612" s="8" t="str">
        <f>E612</f>
        <v>РЩ1-14 (АВР-Б-40-2-1)</v>
      </c>
      <c r="B612" s="4"/>
      <c r="C612" s="4"/>
      <c r="D612" s="5"/>
      <c r="E612" s="4" t="s">
        <v>147</v>
      </c>
      <c r="F612" s="6"/>
      <c r="G612" s="6"/>
      <c r="H612" s="7"/>
      <c r="I612" s="8">
        <v>1</v>
      </c>
      <c r="J612" s="9" t="s">
        <v>9</v>
      </c>
      <c r="K612" s="4" t="s">
        <v>10</v>
      </c>
      <c r="L612" s="8" t="s">
        <v>107</v>
      </c>
      <c r="M612" s="7"/>
    </row>
    <row r="613" spans="1:14" ht="21" customHeight="1" x14ac:dyDescent="0.25">
      <c r="A613" s="13" t="str">
        <f t="shared" ref="A613:A624" si="185">A612</f>
        <v>РЩ1-14 (АВР-Б-40-2-1)</v>
      </c>
      <c r="B613" s="10" t="s">
        <v>11</v>
      </c>
      <c r="C613" s="10"/>
      <c r="D613" s="11" t="s">
        <v>168</v>
      </c>
      <c r="E613" s="10" t="s">
        <v>169</v>
      </c>
      <c r="F613" s="10">
        <v>130000</v>
      </c>
      <c r="G613" s="12">
        <f>0.6*F613</f>
        <v>78000</v>
      </c>
      <c r="H613" s="12">
        <f t="shared" ref="H613:H619" si="186">G613*I613</f>
        <v>78000</v>
      </c>
      <c r="I613" s="13">
        <v>1</v>
      </c>
      <c r="J613" s="14" t="s">
        <v>12</v>
      </c>
      <c r="K613" s="10" t="s">
        <v>13</v>
      </c>
      <c r="L613" s="13" t="str">
        <f t="shared" ref="L613:L624" si="187">L612</f>
        <v>Блок14</v>
      </c>
      <c r="M613" s="12">
        <v>78000</v>
      </c>
      <c r="N613">
        <v>78000</v>
      </c>
    </row>
    <row r="614" spans="1:14" ht="21" customHeight="1" x14ac:dyDescent="0.25">
      <c r="A614" s="13" t="str">
        <f t="shared" si="185"/>
        <v>РЩ1-14 (АВР-Б-40-2-1)</v>
      </c>
      <c r="B614" s="10" t="s">
        <v>44</v>
      </c>
      <c r="C614" s="10"/>
      <c r="D614" s="11" t="s">
        <v>162</v>
      </c>
      <c r="E614" s="10" t="s">
        <v>163</v>
      </c>
      <c r="F614" s="10">
        <v>114758</v>
      </c>
      <c r="G614" s="12">
        <f t="shared" ref="G614:G619" si="188">F614*0.55</f>
        <v>63116.900000000009</v>
      </c>
      <c r="H614" s="12">
        <f t="shared" si="186"/>
        <v>63116.900000000009</v>
      </c>
      <c r="I614" s="13">
        <v>1</v>
      </c>
      <c r="J614" s="14" t="s">
        <v>12</v>
      </c>
      <c r="K614" s="10" t="s">
        <v>14</v>
      </c>
      <c r="L614" s="13" t="str">
        <f t="shared" si="187"/>
        <v>Блок14</v>
      </c>
      <c r="M614" s="12">
        <v>63116.900000000009</v>
      </c>
      <c r="N614">
        <v>63116.900000000009</v>
      </c>
    </row>
    <row r="615" spans="1:14" ht="21" customHeight="1" x14ac:dyDescent="0.25">
      <c r="A615" s="13" t="str">
        <f t="shared" si="185"/>
        <v>РЩ1-14 (АВР-Б-40-2-1)</v>
      </c>
      <c r="B615" s="10" t="s">
        <v>27</v>
      </c>
      <c r="C615" s="10"/>
      <c r="D615" s="11">
        <v>126505</v>
      </c>
      <c r="E615" s="10" t="s">
        <v>45</v>
      </c>
      <c r="F615" s="10">
        <v>15740</v>
      </c>
      <c r="G615" s="12">
        <f t="shared" si="188"/>
        <v>8657</v>
      </c>
      <c r="H615" s="12">
        <f t="shared" si="186"/>
        <v>17314</v>
      </c>
      <c r="I615" s="13">
        <v>2</v>
      </c>
      <c r="J615" s="14" t="s">
        <v>12</v>
      </c>
      <c r="K615" s="10" t="s">
        <v>28</v>
      </c>
      <c r="L615" s="13" t="str">
        <f t="shared" si="187"/>
        <v>Блок14</v>
      </c>
      <c r="M615" s="12">
        <v>17314</v>
      </c>
      <c r="N615">
        <v>17314</v>
      </c>
    </row>
    <row r="616" spans="1:14" ht="21" customHeight="1" x14ac:dyDescent="0.25">
      <c r="A616" s="13" t="str">
        <f t="shared" si="185"/>
        <v>РЩ1-14 (АВР-Б-40-2-1)</v>
      </c>
      <c r="B616" s="10" t="s">
        <v>27</v>
      </c>
      <c r="C616" s="10"/>
      <c r="D616" s="11">
        <v>126677</v>
      </c>
      <c r="E616" s="10" t="s">
        <v>43</v>
      </c>
      <c r="F616" s="10">
        <v>14742</v>
      </c>
      <c r="G616" s="12">
        <f t="shared" si="188"/>
        <v>8108.1</v>
      </c>
      <c r="H616" s="12">
        <f t="shared" si="186"/>
        <v>16216.2</v>
      </c>
      <c r="I616" s="13">
        <v>2</v>
      </c>
      <c r="J616" s="14" t="s">
        <v>12</v>
      </c>
      <c r="K616" s="10" t="s">
        <v>28</v>
      </c>
      <c r="L616" s="13" t="str">
        <f t="shared" si="187"/>
        <v>Блок14</v>
      </c>
      <c r="M616" s="12">
        <v>16216.2</v>
      </c>
      <c r="N616">
        <v>16216.2</v>
      </c>
    </row>
    <row r="617" spans="1:14" ht="21" customHeight="1" x14ac:dyDescent="0.25">
      <c r="A617" s="13" t="str">
        <f t="shared" si="185"/>
        <v>РЩ1-14 (АВР-Б-40-2-1)</v>
      </c>
      <c r="B617" s="10" t="s">
        <v>17</v>
      </c>
      <c r="C617" s="10"/>
      <c r="D617" s="11">
        <v>814174</v>
      </c>
      <c r="E617" s="10" t="s">
        <v>46</v>
      </c>
      <c r="F617" s="10">
        <v>4823</v>
      </c>
      <c r="G617" s="12">
        <f t="shared" si="188"/>
        <v>2652.65</v>
      </c>
      <c r="H617" s="12">
        <f t="shared" si="186"/>
        <v>5305.3</v>
      </c>
      <c r="I617" s="13">
        <v>2</v>
      </c>
      <c r="J617" s="14" t="s">
        <v>12</v>
      </c>
      <c r="K617" s="10" t="s">
        <v>28</v>
      </c>
      <c r="L617" s="13" t="str">
        <f t="shared" si="187"/>
        <v>Блок14</v>
      </c>
      <c r="M617" s="12">
        <v>5305.3</v>
      </c>
      <c r="N617">
        <v>5305.3</v>
      </c>
    </row>
    <row r="618" spans="1:14" ht="21" customHeight="1" x14ac:dyDescent="0.25">
      <c r="A618" s="13" t="str">
        <f t="shared" si="185"/>
        <v>РЩ1-14 (АВР-Б-40-2-1)</v>
      </c>
      <c r="B618" s="10" t="s">
        <v>18</v>
      </c>
      <c r="C618" s="10"/>
      <c r="D618" s="11">
        <v>819975</v>
      </c>
      <c r="E618" s="10" t="s">
        <v>47</v>
      </c>
      <c r="F618" s="10">
        <v>5369</v>
      </c>
      <c r="G618" s="12">
        <f t="shared" si="188"/>
        <v>2952.9500000000003</v>
      </c>
      <c r="H618" s="12">
        <f t="shared" si="186"/>
        <v>2952.9500000000003</v>
      </c>
      <c r="I618" s="13">
        <v>1</v>
      </c>
      <c r="J618" s="14" t="s">
        <v>12</v>
      </c>
      <c r="K618" s="10" t="s">
        <v>28</v>
      </c>
      <c r="L618" s="13" t="str">
        <f t="shared" si="187"/>
        <v>Блок14</v>
      </c>
      <c r="M618" s="12">
        <v>2952.9500000000003</v>
      </c>
      <c r="N618">
        <v>2952.9500000000003</v>
      </c>
    </row>
    <row r="619" spans="1:14" ht="21" customHeight="1" x14ac:dyDescent="0.25">
      <c r="A619" s="13" t="str">
        <f t="shared" si="185"/>
        <v>РЩ1-14 (АВР-Б-40-2-1)</v>
      </c>
      <c r="B619" s="10" t="s">
        <v>17</v>
      </c>
      <c r="C619" s="10"/>
      <c r="D619" s="11">
        <v>814167</v>
      </c>
      <c r="E619" s="10" t="s">
        <v>48</v>
      </c>
      <c r="F619" s="10">
        <v>5187</v>
      </c>
      <c r="G619" s="12">
        <f t="shared" si="188"/>
        <v>2852.8500000000004</v>
      </c>
      <c r="H619" s="12">
        <f t="shared" si="186"/>
        <v>2852.8500000000004</v>
      </c>
      <c r="I619" s="13">
        <v>1</v>
      </c>
      <c r="J619" s="14" t="s">
        <v>12</v>
      </c>
      <c r="K619" s="10" t="s">
        <v>28</v>
      </c>
      <c r="L619" s="13" t="str">
        <f t="shared" si="187"/>
        <v>Блок14</v>
      </c>
      <c r="M619" s="12">
        <v>2852.8500000000004</v>
      </c>
      <c r="N619">
        <v>2852.8500000000004</v>
      </c>
    </row>
    <row r="620" spans="1:14" ht="21" customHeight="1" x14ac:dyDescent="0.25">
      <c r="A620" s="13" t="str">
        <f t="shared" si="185"/>
        <v>РЩ1-14 (АВР-Б-40-2-1)</v>
      </c>
      <c r="B620" s="10" t="s">
        <v>15</v>
      </c>
      <c r="C620" s="10"/>
      <c r="D620" s="11" t="s">
        <v>179</v>
      </c>
      <c r="E620" s="10" t="s">
        <v>180</v>
      </c>
      <c r="F620" s="10">
        <v>83000</v>
      </c>
      <c r="G620" s="12">
        <f>F620</f>
        <v>83000</v>
      </c>
      <c r="H620" s="12">
        <v>39100</v>
      </c>
      <c r="I620" s="13">
        <v>1</v>
      </c>
      <c r="J620" s="14" t="s">
        <v>12</v>
      </c>
      <c r="K620" s="10" t="s">
        <v>16</v>
      </c>
      <c r="L620" s="13" t="str">
        <f t="shared" si="187"/>
        <v>Блок14</v>
      </c>
      <c r="M620" s="12">
        <v>39100</v>
      </c>
      <c r="N620">
        <v>39100</v>
      </c>
    </row>
    <row r="621" spans="1:14" ht="21" customHeight="1" x14ac:dyDescent="0.25">
      <c r="A621" s="13" t="str">
        <f t="shared" si="185"/>
        <v>РЩ1-14 (АВР-Б-40-2-1)</v>
      </c>
      <c r="B621" s="10" t="s">
        <v>30</v>
      </c>
      <c r="C621" s="10"/>
      <c r="D621" s="11"/>
      <c r="E621" s="10" t="s">
        <v>31</v>
      </c>
      <c r="F621" s="10">
        <v>4500</v>
      </c>
      <c r="G621" s="12">
        <f>F621*0.55</f>
        <v>2475</v>
      </c>
      <c r="H621" s="12">
        <f>G621*I621</f>
        <v>14850</v>
      </c>
      <c r="I621" s="13">
        <v>6</v>
      </c>
      <c r="J621" s="14" t="s">
        <v>12</v>
      </c>
      <c r="K621" s="10" t="s">
        <v>25</v>
      </c>
      <c r="L621" s="13" t="e">
        <f>#REF!</f>
        <v>#REF!</v>
      </c>
      <c r="M621" s="12">
        <v>14850</v>
      </c>
      <c r="N621">
        <v>14850</v>
      </c>
    </row>
    <row r="622" spans="1:14" ht="24" customHeight="1" x14ac:dyDescent="0.25">
      <c r="A622" s="10" t="str">
        <f t="shared" si="185"/>
        <v>РЩ1-14 (АВР-Б-40-2-1)</v>
      </c>
      <c r="B622" s="10" t="s">
        <v>19</v>
      </c>
      <c r="C622" s="10"/>
      <c r="D622" s="11" t="s">
        <v>19</v>
      </c>
      <c r="E622" s="10" t="s">
        <v>19</v>
      </c>
      <c r="F622" s="10">
        <f ca="1">OFFSET(F622,1,2)</f>
        <v>39000</v>
      </c>
      <c r="G622" s="12">
        <f ca="1">F622*0.55</f>
        <v>21450</v>
      </c>
      <c r="H622" s="12">
        <f ca="1">G622*I622</f>
        <v>21450</v>
      </c>
      <c r="I622" s="10">
        <v>1</v>
      </c>
      <c r="J622" s="10" t="s">
        <v>12</v>
      </c>
      <c r="K622" s="10" t="s">
        <v>19</v>
      </c>
      <c r="L622" s="13" t="e">
        <f t="shared" si="187"/>
        <v>#REF!</v>
      </c>
      <c r="M622" s="12">
        <v>21450</v>
      </c>
      <c r="N622">
        <v>21450</v>
      </c>
    </row>
    <row r="623" spans="1:14" ht="21" customHeight="1" x14ac:dyDescent="0.25">
      <c r="A623" s="10" t="str">
        <f t="shared" si="185"/>
        <v>РЩ1-14 (АВР-Б-40-2-1)</v>
      </c>
      <c r="B623" s="10" t="s">
        <v>20</v>
      </c>
      <c r="C623" s="10"/>
      <c r="D623" s="11" t="s">
        <v>20</v>
      </c>
      <c r="E623" s="10" t="s">
        <v>20</v>
      </c>
      <c r="F623" s="10">
        <v>6.5</v>
      </c>
      <c r="G623" s="12">
        <v>100</v>
      </c>
      <c r="H623" s="12">
        <f>G623*I623</f>
        <v>39000</v>
      </c>
      <c r="I623" s="10">
        <f>60*F623</f>
        <v>390</v>
      </c>
      <c r="J623" s="10" t="s">
        <v>12</v>
      </c>
      <c r="K623" s="10" t="s">
        <v>20</v>
      </c>
      <c r="L623" s="13" t="e">
        <f t="shared" si="187"/>
        <v>#REF!</v>
      </c>
      <c r="M623" s="12">
        <v>39000</v>
      </c>
      <c r="N623">
        <v>39000</v>
      </c>
    </row>
    <row r="624" spans="1:14" ht="30" customHeight="1" x14ac:dyDescent="0.25">
      <c r="A624" s="15" t="str">
        <f t="shared" si="185"/>
        <v>РЩ1-14 (АВР-Б-40-2-1)</v>
      </c>
      <c r="B624" s="15"/>
      <c r="C624" s="15"/>
      <c r="D624" s="15"/>
      <c r="E624" s="16"/>
      <c r="F624" s="17"/>
      <c r="G624" s="12">
        <f>F624*0.55</f>
        <v>0</v>
      </c>
      <c r="H624" s="18">
        <f ca="1">SUM(H613:H623)</f>
        <v>300158.20000000007</v>
      </c>
      <c r="I624" s="15"/>
      <c r="J624" s="19"/>
      <c r="K624" s="15"/>
      <c r="L624" s="13" t="e">
        <f t="shared" si="187"/>
        <v>#REF!</v>
      </c>
      <c r="M624" s="18">
        <v>300158.20000000007</v>
      </c>
      <c r="N624">
        <v>300158.20000000007</v>
      </c>
    </row>
    <row r="625" spans="1:14" ht="39.75" customHeight="1" x14ac:dyDescent="0.25">
      <c r="A625" s="8" t="str">
        <f>E625</f>
        <v>ЩРп c</v>
      </c>
      <c r="B625" s="4"/>
      <c r="C625" s="4"/>
      <c r="D625" s="5"/>
      <c r="E625" s="4" t="s">
        <v>152</v>
      </c>
      <c r="F625" s="6"/>
      <c r="G625" s="6"/>
      <c r="H625" s="7"/>
      <c r="I625" s="8">
        <v>1</v>
      </c>
      <c r="J625" s="9" t="s">
        <v>9</v>
      </c>
      <c r="K625" s="4" t="s">
        <v>10</v>
      </c>
      <c r="L625" s="8" t="s">
        <v>111</v>
      </c>
      <c r="M625" s="7"/>
    </row>
    <row r="626" spans="1:14" ht="21" customHeight="1" x14ac:dyDescent="0.25">
      <c r="A626" s="13" t="str">
        <f t="shared" ref="A626:A636" si="189">A625</f>
        <v>ЩРп c</v>
      </c>
      <c r="B626" s="10" t="s">
        <v>11</v>
      </c>
      <c r="C626" s="10"/>
      <c r="D626" s="11" t="s">
        <v>172</v>
      </c>
      <c r="E626" s="10" t="s">
        <v>173</v>
      </c>
      <c r="F626" s="10">
        <v>156500</v>
      </c>
      <c r="G626" s="12">
        <f>0.6*F626</f>
        <v>93900</v>
      </c>
      <c r="H626" s="12">
        <f t="shared" ref="H626:H635" si="190">G626*I626</f>
        <v>93900</v>
      </c>
      <c r="I626" s="13">
        <v>1</v>
      </c>
      <c r="J626" s="14" t="s">
        <v>12</v>
      </c>
      <c r="K626" s="10" t="s">
        <v>13</v>
      </c>
      <c r="L626" s="13" t="str">
        <f t="shared" ref="L626:L636" si="191">L625</f>
        <v>Блок15</v>
      </c>
      <c r="M626" s="12">
        <v>93900</v>
      </c>
      <c r="N626">
        <v>93900</v>
      </c>
    </row>
    <row r="627" spans="1:14" ht="21" customHeight="1" x14ac:dyDescent="0.25">
      <c r="A627" s="13" t="str">
        <f t="shared" si="189"/>
        <v>ЩРп c</v>
      </c>
      <c r="B627" s="10" t="s">
        <v>112</v>
      </c>
      <c r="C627" s="10"/>
      <c r="D627" s="11" t="s">
        <v>175</v>
      </c>
      <c r="E627" s="10" t="s">
        <v>176</v>
      </c>
      <c r="F627" s="10">
        <v>36692</v>
      </c>
      <c r="G627" s="12">
        <f>F627*0.6</f>
        <v>22015.200000000001</v>
      </c>
      <c r="H627" s="12">
        <f t="shared" si="190"/>
        <v>22015.200000000001</v>
      </c>
      <c r="I627" s="13">
        <v>1</v>
      </c>
      <c r="J627" s="14" t="s">
        <v>12</v>
      </c>
      <c r="K627" s="10" t="s">
        <v>14</v>
      </c>
      <c r="L627" s="13" t="str">
        <f t="shared" si="191"/>
        <v>Блок15</v>
      </c>
      <c r="M627" s="12">
        <v>22015.200000000001</v>
      </c>
      <c r="N627">
        <v>22015.200000000001</v>
      </c>
    </row>
    <row r="628" spans="1:14" ht="21" customHeight="1" x14ac:dyDescent="0.25">
      <c r="A628" s="13" t="str">
        <f t="shared" si="189"/>
        <v>ЩРп c</v>
      </c>
      <c r="B628" s="10" t="s">
        <v>15</v>
      </c>
      <c r="C628" s="10"/>
      <c r="D628" s="11" t="s">
        <v>179</v>
      </c>
      <c r="E628" s="10" t="s">
        <v>180</v>
      </c>
      <c r="F628" s="10">
        <v>83000</v>
      </c>
      <c r="G628" s="12">
        <f>F628</f>
        <v>83000</v>
      </c>
      <c r="H628" s="12">
        <v>39100</v>
      </c>
      <c r="I628" s="13">
        <v>1</v>
      </c>
      <c r="J628" s="14" t="s">
        <v>12</v>
      </c>
      <c r="K628" s="10" t="s">
        <v>16</v>
      </c>
      <c r="L628" s="13" t="str">
        <f t="shared" si="191"/>
        <v>Блок15</v>
      </c>
      <c r="M628" s="12">
        <v>39100</v>
      </c>
      <c r="N628">
        <v>39100</v>
      </c>
    </row>
    <row r="629" spans="1:14" ht="21" customHeight="1" x14ac:dyDescent="0.25">
      <c r="A629" s="13" t="str">
        <f t="shared" si="189"/>
        <v>ЩРп c</v>
      </c>
      <c r="B629" s="10" t="s">
        <v>27</v>
      </c>
      <c r="C629" s="10"/>
      <c r="D629" s="11">
        <v>126508</v>
      </c>
      <c r="E629" s="10" t="s">
        <v>113</v>
      </c>
      <c r="F629" s="10">
        <v>16380</v>
      </c>
      <c r="G629" s="12">
        <f t="shared" ref="G629:G636" si="192">F629*0.55</f>
        <v>9009</v>
      </c>
      <c r="H629" s="12">
        <f t="shared" si="190"/>
        <v>18018</v>
      </c>
      <c r="I629" s="13">
        <v>2</v>
      </c>
      <c r="J629" s="14" t="s">
        <v>12</v>
      </c>
      <c r="K629" s="10" t="s">
        <v>28</v>
      </c>
      <c r="L629" s="13" t="str">
        <f>L627</f>
        <v>Блок15</v>
      </c>
      <c r="M629" s="12">
        <v>18018</v>
      </c>
      <c r="N629">
        <v>18018</v>
      </c>
    </row>
    <row r="630" spans="1:14" ht="21" customHeight="1" x14ac:dyDescent="0.25">
      <c r="A630" s="13" t="str">
        <f t="shared" si="189"/>
        <v>ЩРп c</v>
      </c>
      <c r="B630" s="10" t="s">
        <v>114</v>
      </c>
      <c r="C630" s="10"/>
      <c r="D630" s="11"/>
      <c r="E630" s="10" t="s">
        <v>115</v>
      </c>
      <c r="F630" s="10">
        <v>9464</v>
      </c>
      <c r="G630" s="12">
        <f t="shared" si="192"/>
        <v>5205.2000000000007</v>
      </c>
      <c r="H630" s="12">
        <f t="shared" si="190"/>
        <v>10410.400000000001</v>
      </c>
      <c r="I630" s="13">
        <v>2</v>
      </c>
      <c r="J630" s="14" t="s">
        <v>12</v>
      </c>
      <c r="K630" s="10" t="s">
        <v>28</v>
      </c>
      <c r="L630" s="13" t="str">
        <f t="shared" si="191"/>
        <v>Блок15</v>
      </c>
      <c r="M630" s="12">
        <v>10410.400000000001</v>
      </c>
      <c r="N630">
        <v>10410.400000000001</v>
      </c>
    </row>
    <row r="631" spans="1:14" ht="21" customHeight="1" x14ac:dyDescent="0.25">
      <c r="A631" s="13" t="str">
        <f t="shared" si="189"/>
        <v>ЩРп c</v>
      </c>
      <c r="B631" s="10" t="s">
        <v>18</v>
      </c>
      <c r="C631" s="10"/>
      <c r="D631" s="11">
        <v>819979</v>
      </c>
      <c r="E631" s="10" t="s">
        <v>116</v>
      </c>
      <c r="F631" s="10">
        <v>5041</v>
      </c>
      <c r="G631" s="12">
        <f t="shared" si="192"/>
        <v>2772.55</v>
      </c>
      <c r="H631" s="12">
        <f t="shared" si="190"/>
        <v>5545.1</v>
      </c>
      <c r="I631" s="13">
        <v>2</v>
      </c>
      <c r="J631" s="14" t="s">
        <v>12</v>
      </c>
      <c r="K631" s="10" t="s">
        <v>28</v>
      </c>
      <c r="L631" s="13" t="str">
        <f t="shared" si="191"/>
        <v>Блок15</v>
      </c>
      <c r="M631" s="12">
        <v>5545.1</v>
      </c>
      <c r="N631">
        <v>5545.1</v>
      </c>
    </row>
    <row r="632" spans="1:14" ht="21" customHeight="1" x14ac:dyDescent="0.25">
      <c r="A632" s="13" t="str">
        <f t="shared" si="189"/>
        <v>ЩРп c</v>
      </c>
      <c r="B632" s="10" t="s">
        <v>18</v>
      </c>
      <c r="C632" s="10"/>
      <c r="D632" s="11">
        <v>819975</v>
      </c>
      <c r="E632" s="10" t="s">
        <v>47</v>
      </c>
      <c r="F632" s="10">
        <v>5369</v>
      </c>
      <c r="G632" s="12">
        <f t="shared" si="192"/>
        <v>2952.9500000000003</v>
      </c>
      <c r="H632" s="12">
        <f t="shared" si="190"/>
        <v>2952.9500000000003</v>
      </c>
      <c r="I632" s="13">
        <v>1</v>
      </c>
      <c r="J632" s="14" t="s">
        <v>12</v>
      </c>
      <c r="K632" s="10" t="s">
        <v>28</v>
      </c>
      <c r="L632" s="13" t="str">
        <f t="shared" si="191"/>
        <v>Блок15</v>
      </c>
      <c r="M632" s="12">
        <v>2952.9500000000003</v>
      </c>
      <c r="N632">
        <v>2952.9500000000003</v>
      </c>
    </row>
    <row r="633" spans="1:14" ht="21" customHeight="1" x14ac:dyDescent="0.25">
      <c r="A633" s="13" t="str">
        <f t="shared" si="189"/>
        <v>ЩРп c</v>
      </c>
      <c r="B633" s="10" t="s">
        <v>17</v>
      </c>
      <c r="C633" s="10"/>
      <c r="D633" s="11">
        <v>814009</v>
      </c>
      <c r="E633" s="10" t="s">
        <v>117</v>
      </c>
      <c r="F633" s="10">
        <v>1565</v>
      </c>
      <c r="G633" s="12">
        <f t="shared" si="192"/>
        <v>860.75000000000011</v>
      </c>
      <c r="H633" s="12">
        <f t="shared" si="190"/>
        <v>3443.0000000000005</v>
      </c>
      <c r="I633" s="13">
        <v>4</v>
      </c>
      <c r="J633" s="14" t="s">
        <v>12</v>
      </c>
      <c r="K633" s="10" t="s">
        <v>28</v>
      </c>
      <c r="L633" s="13" t="str">
        <f t="shared" si="191"/>
        <v>Блок15</v>
      </c>
      <c r="M633" s="12">
        <v>3443.0000000000005</v>
      </c>
      <c r="N633">
        <v>3443.0000000000005</v>
      </c>
    </row>
    <row r="634" spans="1:14" ht="24" customHeight="1" x14ac:dyDescent="0.25">
      <c r="A634" s="10" t="str">
        <f t="shared" si="189"/>
        <v>ЩРп c</v>
      </c>
      <c r="B634" s="10" t="s">
        <v>19</v>
      </c>
      <c r="C634" s="10"/>
      <c r="D634" s="11" t="s">
        <v>19</v>
      </c>
      <c r="E634" s="10" t="s">
        <v>19</v>
      </c>
      <c r="F634" s="10">
        <f ca="1">OFFSET(F634,1,2)</f>
        <v>24000</v>
      </c>
      <c r="G634" s="12">
        <f ca="1">F634*0.55</f>
        <v>13200.000000000002</v>
      </c>
      <c r="H634" s="12">
        <f ca="1">G634*I634</f>
        <v>13200.000000000002</v>
      </c>
      <c r="I634" s="10">
        <v>1</v>
      </c>
      <c r="J634" s="10" t="s">
        <v>12</v>
      </c>
      <c r="K634" s="10" t="s">
        <v>19</v>
      </c>
      <c r="L634" s="13" t="str">
        <f t="shared" si="191"/>
        <v>Блок15</v>
      </c>
      <c r="M634" s="12">
        <v>13200.000000000002</v>
      </c>
      <c r="N634">
        <v>13200.000000000002</v>
      </c>
    </row>
    <row r="635" spans="1:14" ht="21" customHeight="1" x14ac:dyDescent="0.25">
      <c r="A635" s="10" t="str">
        <f t="shared" si="189"/>
        <v>ЩРп c</v>
      </c>
      <c r="B635" s="10" t="s">
        <v>20</v>
      </c>
      <c r="C635" s="10"/>
      <c r="D635" s="11" t="s">
        <v>20</v>
      </c>
      <c r="E635" s="10" t="s">
        <v>20</v>
      </c>
      <c r="F635" s="10">
        <v>4</v>
      </c>
      <c r="G635" s="12">
        <v>100</v>
      </c>
      <c r="H635" s="12">
        <f t="shared" si="190"/>
        <v>24000</v>
      </c>
      <c r="I635" s="10">
        <f>60*F635</f>
        <v>240</v>
      </c>
      <c r="J635" s="10" t="s">
        <v>12</v>
      </c>
      <c r="K635" s="10" t="s">
        <v>20</v>
      </c>
      <c r="L635" s="13" t="str">
        <f t="shared" si="191"/>
        <v>Блок15</v>
      </c>
      <c r="M635" s="12">
        <v>24000</v>
      </c>
      <c r="N635">
        <v>24000</v>
      </c>
    </row>
    <row r="636" spans="1:14" ht="30" customHeight="1" x14ac:dyDescent="0.25">
      <c r="A636" s="15" t="str">
        <f t="shared" si="189"/>
        <v>ЩРп c</v>
      </c>
      <c r="B636" s="15"/>
      <c r="C636" s="15"/>
      <c r="D636" s="15"/>
      <c r="E636" s="16"/>
      <c r="F636" s="17"/>
      <c r="G636" s="12">
        <f t="shared" si="192"/>
        <v>0</v>
      </c>
      <c r="H636" s="18">
        <f ca="1">SUM(H626:H635)</f>
        <v>232584.65000000002</v>
      </c>
      <c r="I636" s="15"/>
      <c r="J636" s="19"/>
      <c r="K636" s="15"/>
      <c r="L636" s="13" t="str">
        <f t="shared" si="191"/>
        <v>Блок15</v>
      </c>
      <c r="M636" s="18">
        <v>232584.65000000002</v>
      </c>
      <c r="N636">
        <v>232584.65000000002</v>
      </c>
    </row>
    <row r="637" spans="1:14" ht="39.75" customHeight="1" x14ac:dyDescent="0.25">
      <c r="A637" s="8" t="str">
        <f>E637</f>
        <v>ЩР-(АВР-Б-63-2-1)</v>
      </c>
      <c r="B637" s="4"/>
      <c r="C637" s="4"/>
      <c r="D637" s="5"/>
      <c r="E637" s="4" t="s">
        <v>153</v>
      </c>
      <c r="F637" s="6"/>
      <c r="G637" s="6"/>
      <c r="H637" s="7"/>
      <c r="I637" s="8">
        <v>1</v>
      </c>
      <c r="J637" s="9" t="s">
        <v>9</v>
      </c>
      <c r="K637" s="4" t="s">
        <v>10</v>
      </c>
      <c r="L637" s="8" t="s">
        <v>111</v>
      </c>
      <c r="M637" s="7"/>
    </row>
    <row r="638" spans="1:14" ht="21" customHeight="1" x14ac:dyDescent="0.25">
      <c r="A638" s="13" t="str">
        <f t="shared" ref="A638:A644" si="193">A637</f>
        <v>ЩР-(АВР-Б-63-2-1)</v>
      </c>
      <c r="B638" s="10" t="s">
        <v>11</v>
      </c>
      <c r="C638" s="10"/>
      <c r="D638" s="11" t="s">
        <v>40</v>
      </c>
      <c r="E638" s="10" t="s">
        <v>41</v>
      </c>
      <c r="F638" s="10">
        <v>18000</v>
      </c>
      <c r="G638" s="12">
        <f>0.6*F638</f>
        <v>10800</v>
      </c>
      <c r="H638" s="12">
        <f t="shared" ref="H638:H643" si="194">G638*I638</f>
        <v>10800</v>
      </c>
      <c r="I638" s="13">
        <v>1</v>
      </c>
      <c r="J638" s="14" t="s">
        <v>12</v>
      </c>
      <c r="K638" s="10" t="s">
        <v>13</v>
      </c>
      <c r="L638" s="13" t="s">
        <v>111</v>
      </c>
      <c r="M638" s="12">
        <v>10800</v>
      </c>
      <c r="N638">
        <v>10800</v>
      </c>
    </row>
    <row r="639" spans="1:14" ht="21" customHeight="1" x14ac:dyDescent="0.25">
      <c r="A639" s="13" t="str">
        <f t="shared" si="193"/>
        <v>ЩР-(АВР-Б-63-2-1)</v>
      </c>
      <c r="B639" s="10" t="s">
        <v>44</v>
      </c>
      <c r="C639" s="10"/>
      <c r="D639" s="11" t="s">
        <v>164</v>
      </c>
      <c r="E639" s="10" t="s">
        <v>165</v>
      </c>
      <c r="F639" s="10">
        <v>201639</v>
      </c>
      <c r="G639" s="12">
        <f t="shared" ref="G639:G644" si="195">F639*0.55</f>
        <v>110901.45000000001</v>
      </c>
      <c r="H639" s="12">
        <f t="shared" si="194"/>
        <v>110901.45000000001</v>
      </c>
      <c r="I639" s="13">
        <v>1</v>
      </c>
      <c r="J639" s="14" t="s">
        <v>12</v>
      </c>
      <c r="K639" s="10" t="s">
        <v>14</v>
      </c>
      <c r="L639" s="13" t="s">
        <v>111</v>
      </c>
      <c r="M639" s="12">
        <v>110901.45000000001</v>
      </c>
      <c r="N639">
        <v>110901.45000000001</v>
      </c>
    </row>
    <row r="640" spans="1:14" ht="21" customHeight="1" x14ac:dyDescent="0.25">
      <c r="A640" s="13" t="str">
        <f t="shared" si="193"/>
        <v>ЩР-(АВР-Б-63-2-1)</v>
      </c>
      <c r="B640" s="10" t="s">
        <v>49</v>
      </c>
      <c r="C640" s="10"/>
      <c r="D640" s="10">
        <v>593071</v>
      </c>
      <c r="E640" s="10" t="s">
        <v>50</v>
      </c>
      <c r="F640" s="10">
        <v>836</v>
      </c>
      <c r="G640" s="12">
        <f t="shared" si="195"/>
        <v>459.8</v>
      </c>
      <c r="H640" s="12">
        <f t="shared" si="194"/>
        <v>919.6</v>
      </c>
      <c r="I640" s="13">
        <v>2</v>
      </c>
      <c r="J640" s="14" t="s">
        <v>12</v>
      </c>
      <c r="K640" s="10" t="s">
        <v>28</v>
      </c>
      <c r="L640" s="13" t="s">
        <v>111</v>
      </c>
      <c r="M640" s="12">
        <v>919.6</v>
      </c>
      <c r="N640">
        <v>919.6</v>
      </c>
    </row>
    <row r="641" spans="1:14" ht="21" customHeight="1" x14ac:dyDescent="0.25">
      <c r="A641" s="13" t="str">
        <f t="shared" si="193"/>
        <v>ЩР-(АВР-Б-63-2-1)</v>
      </c>
      <c r="B641" s="10" t="s">
        <v>49</v>
      </c>
      <c r="C641" s="10"/>
      <c r="D641" s="10">
        <v>593150</v>
      </c>
      <c r="E641" s="10" t="s">
        <v>51</v>
      </c>
      <c r="F641" s="10">
        <v>836</v>
      </c>
      <c r="G641" s="12">
        <f t="shared" si="195"/>
        <v>459.8</v>
      </c>
      <c r="H641" s="12">
        <f t="shared" si="194"/>
        <v>459.8</v>
      </c>
      <c r="I641" s="13">
        <v>1</v>
      </c>
      <c r="J641" s="14" t="s">
        <v>12</v>
      </c>
      <c r="K641" s="10" t="s">
        <v>28</v>
      </c>
      <c r="L641" s="13" t="s">
        <v>111</v>
      </c>
      <c r="M641" s="12">
        <v>459.8</v>
      </c>
      <c r="N641">
        <v>459.8</v>
      </c>
    </row>
    <row r="642" spans="1:14" ht="24" customHeight="1" x14ac:dyDescent="0.25">
      <c r="A642" s="10" t="str">
        <f t="shared" si="193"/>
        <v>ЩР-(АВР-Б-63-2-1)</v>
      </c>
      <c r="B642" s="10" t="s">
        <v>19</v>
      </c>
      <c r="C642" s="10"/>
      <c r="D642" s="11" t="s">
        <v>19</v>
      </c>
      <c r="E642" s="10" t="s">
        <v>19</v>
      </c>
      <c r="F642" s="10">
        <f ca="1">OFFSET(F642,1,2)</f>
        <v>18000</v>
      </c>
      <c r="G642" s="12">
        <f ca="1">F642*0.55</f>
        <v>9900</v>
      </c>
      <c r="H642" s="12">
        <f ca="1">G642*I642</f>
        <v>9900</v>
      </c>
      <c r="I642" s="10">
        <v>1</v>
      </c>
      <c r="J642" s="10" t="s">
        <v>12</v>
      </c>
      <c r="K642" s="10" t="s">
        <v>19</v>
      </c>
      <c r="L642" s="13" t="s">
        <v>111</v>
      </c>
      <c r="M642" s="12">
        <v>9900</v>
      </c>
      <c r="N642">
        <v>9900</v>
      </c>
    </row>
    <row r="643" spans="1:14" ht="21" customHeight="1" x14ac:dyDescent="0.25">
      <c r="A643" s="10" t="str">
        <f t="shared" si="193"/>
        <v>ЩР-(АВР-Б-63-2-1)</v>
      </c>
      <c r="B643" s="10" t="s">
        <v>20</v>
      </c>
      <c r="C643" s="10"/>
      <c r="D643" s="11" t="s">
        <v>20</v>
      </c>
      <c r="E643" s="10" t="s">
        <v>20</v>
      </c>
      <c r="F643" s="10">
        <v>3</v>
      </c>
      <c r="G643" s="12">
        <v>100</v>
      </c>
      <c r="H643" s="12">
        <f t="shared" si="194"/>
        <v>18000</v>
      </c>
      <c r="I643" s="10">
        <f>60*F643</f>
        <v>180</v>
      </c>
      <c r="J643" s="10" t="s">
        <v>12</v>
      </c>
      <c r="K643" s="10" t="s">
        <v>20</v>
      </c>
      <c r="L643" s="13" t="s">
        <v>111</v>
      </c>
      <c r="M643" s="12">
        <v>18000</v>
      </c>
      <c r="N643">
        <v>18000</v>
      </c>
    </row>
    <row r="644" spans="1:14" ht="30" customHeight="1" x14ac:dyDescent="0.25">
      <c r="A644" s="15" t="str">
        <f t="shared" si="193"/>
        <v>ЩР-(АВР-Б-63-2-1)</v>
      </c>
      <c r="B644" s="15"/>
      <c r="C644" s="15"/>
      <c r="D644" s="15"/>
      <c r="E644" s="16"/>
      <c r="F644" s="17"/>
      <c r="G644" s="12">
        <f t="shared" si="195"/>
        <v>0</v>
      </c>
      <c r="H644" s="18">
        <f ca="1">SUM(H638:H643)</f>
        <v>150980.85000000003</v>
      </c>
      <c r="I644" s="15"/>
      <c r="J644" s="19"/>
      <c r="K644" s="15"/>
      <c r="L644" s="13" t="s">
        <v>111</v>
      </c>
      <c r="M644" s="18">
        <v>150980.85000000003</v>
      </c>
      <c r="N644">
        <v>150980.85000000003</v>
      </c>
    </row>
    <row r="645" spans="1:14" ht="39.75" customHeight="1" x14ac:dyDescent="0.25">
      <c r="A645" s="8" t="str">
        <f>E645</f>
        <v>ЩР15</v>
      </c>
      <c r="B645" s="4"/>
      <c r="C645" s="4"/>
      <c r="D645" s="5"/>
      <c r="E645" s="4" t="s">
        <v>118</v>
      </c>
      <c r="F645" s="6"/>
      <c r="G645" s="6"/>
      <c r="H645" s="7"/>
      <c r="I645" s="8">
        <v>1</v>
      </c>
      <c r="J645" s="9" t="s">
        <v>9</v>
      </c>
      <c r="K645" s="4" t="s">
        <v>10</v>
      </c>
      <c r="L645" s="8" t="s">
        <v>111</v>
      </c>
      <c r="M645" s="7"/>
    </row>
    <row r="646" spans="1:14" ht="21" customHeight="1" x14ac:dyDescent="0.25">
      <c r="A646" s="13" t="str">
        <f t="shared" ref="A646:A657" si="196">A645</f>
        <v>ЩР15</v>
      </c>
      <c r="B646" s="10" t="s">
        <v>11</v>
      </c>
      <c r="C646" s="10"/>
      <c r="D646" s="11" t="s">
        <v>119</v>
      </c>
      <c r="E646" s="10" t="s">
        <v>120</v>
      </c>
      <c r="F646" s="10">
        <v>39500</v>
      </c>
      <c r="G646" s="12">
        <f>0.6*F646</f>
        <v>23700</v>
      </c>
      <c r="H646" s="12">
        <f t="shared" ref="H646:H656" si="197">G646*I646</f>
        <v>23700</v>
      </c>
      <c r="I646" s="13">
        <v>1</v>
      </c>
      <c r="J646" s="14" t="s">
        <v>12</v>
      </c>
      <c r="K646" s="10" t="s">
        <v>13</v>
      </c>
      <c r="L646" s="13" t="str">
        <f>L645</f>
        <v>Блок15</v>
      </c>
      <c r="M646" s="12">
        <v>23700</v>
      </c>
      <c r="N646">
        <v>23700</v>
      </c>
    </row>
    <row r="647" spans="1:14" ht="21" customHeight="1" x14ac:dyDescent="0.25">
      <c r="A647" s="13" t="str">
        <f t="shared" si="196"/>
        <v>ЩР15</v>
      </c>
      <c r="B647" s="10" t="s">
        <v>15</v>
      </c>
      <c r="C647" s="10"/>
      <c r="D647" s="11" t="s">
        <v>179</v>
      </c>
      <c r="E647" s="10" t="s">
        <v>180</v>
      </c>
      <c r="F647" s="10">
        <v>83000</v>
      </c>
      <c r="G647" s="12">
        <f>F647</f>
        <v>83000</v>
      </c>
      <c r="H647" s="12">
        <v>39100</v>
      </c>
      <c r="I647" s="13">
        <v>1</v>
      </c>
      <c r="J647" s="14" t="s">
        <v>12</v>
      </c>
      <c r="K647" s="10" t="s">
        <v>16</v>
      </c>
      <c r="L647" s="13" t="str">
        <f t="shared" ref="L647" si="198">L646</f>
        <v>Блок15</v>
      </c>
      <c r="M647" s="12">
        <v>39100</v>
      </c>
      <c r="N647">
        <v>39100</v>
      </c>
    </row>
    <row r="648" spans="1:14" ht="21" customHeight="1" x14ac:dyDescent="0.25">
      <c r="A648" s="13" t="str">
        <f t="shared" si="196"/>
        <v>ЩР15</v>
      </c>
      <c r="B648" s="10" t="s">
        <v>27</v>
      </c>
      <c r="C648" s="10"/>
      <c r="D648" s="11">
        <v>126510</v>
      </c>
      <c r="E648" s="10" t="s">
        <v>38</v>
      </c>
      <c r="F648" s="10">
        <v>16562</v>
      </c>
      <c r="G648" s="12">
        <f t="shared" ref="G648:G657" si="199">F648*0.55</f>
        <v>9109.1</v>
      </c>
      <c r="H648" s="12">
        <f t="shared" si="197"/>
        <v>18218.2</v>
      </c>
      <c r="I648" s="13">
        <v>2</v>
      </c>
      <c r="J648" s="14" t="s">
        <v>12</v>
      </c>
      <c r="K648" s="10" t="s">
        <v>28</v>
      </c>
      <c r="L648" s="13" t="str">
        <f>L646</f>
        <v>Блок15</v>
      </c>
      <c r="M648" s="12">
        <v>18218.2</v>
      </c>
      <c r="N648">
        <v>18218.2</v>
      </c>
    </row>
    <row r="649" spans="1:14" ht="21" customHeight="1" x14ac:dyDescent="0.25">
      <c r="A649" s="13" t="str">
        <f t="shared" si="196"/>
        <v>ЩР15</v>
      </c>
      <c r="B649" s="10" t="s">
        <v>27</v>
      </c>
      <c r="C649" s="10"/>
      <c r="D649" s="11">
        <v>126509</v>
      </c>
      <c r="E649" s="10" t="s">
        <v>121</v>
      </c>
      <c r="F649" s="10">
        <v>16380</v>
      </c>
      <c r="G649" s="12">
        <f t="shared" si="199"/>
        <v>9009</v>
      </c>
      <c r="H649" s="12">
        <f t="shared" si="197"/>
        <v>18018</v>
      </c>
      <c r="I649" s="13">
        <v>2</v>
      </c>
      <c r="J649" s="14" t="s">
        <v>12</v>
      </c>
      <c r="K649" s="10" t="s">
        <v>28</v>
      </c>
      <c r="L649" s="13" t="str">
        <f>L648</f>
        <v>Блок15</v>
      </c>
      <c r="M649" s="12">
        <v>18018</v>
      </c>
      <c r="N649">
        <v>18018</v>
      </c>
    </row>
    <row r="650" spans="1:14" ht="21" customHeight="1" x14ac:dyDescent="0.25">
      <c r="A650" s="13" t="str">
        <f t="shared" si="196"/>
        <v>ЩР15</v>
      </c>
      <c r="B650" s="10" t="s">
        <v>17</v>
      </c>
      <c r="C650" s="10"/>
      <c r="D650" s="11">
        <v>296841</v>
      </c>
      <c r="E650" s="10" t="s">
        <v>122</v>
      </c>
      <c r="F650" s="10">
        <v>3058</v>
      </c>
      <c r="G650" s="12">
        <f t="shared" si="199"/>
        <v>1681.9</v>
      </c>
      <c r="H650" s="12">
        <f t="shared" si="197"/>
        <v>1681.9</v>
      </c>
      <c r="I650" s="13">
        <v>1</v>
      </c>
      <c r="J650" s="14" t="s">
        <v>12</v>
      </c>
      <c r="K650" s="10" t="s">
        <v>28</v>
      </c>
      <c r="L650" s="13" t="str">
        <f>L649</f>
        <v>Блок15</v>
      </c>
      <c r="M650" s="12">
        <v>1681.9</v>
      </c>
      <c r="N650">
        <v>1681.9</v>
      </c>
    </row>
    <row r="651" spans="1:14" ht="21" customHeight="1" x14ac:dyDescent="0.25">
      <c r="A651" s="13" t="str">
        <f t="shared" si="196"/>
        <v>ЩР15</v>
      </c>
      <c r="B651" s="10" t="s">
        <v>17</v>
      </c>
      <c r="C651" s="10"/>
      <c r="D651" s="11">
        <v>814170</v>
      </c>
      <c r="E651" s="10" t="s">
        <v>124</v>
      </c>
      <c r="F651" s="10">
        <v>4641</v>
      </c>
      <c r="G651" s="12">
        <f t="shared" si="199"/>
        <v>2552.5500000000002</v>
      </c>
      <c r="H651" s="12">
        <f t="shared" si="197"/>
        <v>5105.1000000000004</v>
      </c>
      <c r="I651" s="13">
        <v>2</v>
      </c>
      <c r="J651" s="14" t="s">
        <v>12</v>
      </c>
      <c r="K651" s="10" t="s">
        <v>28</v>
      </c>
      <c r="L651" s="13" t="str">
        <f>L650</f>
        <v>Блок15</v>
      </c>
      <c r="M651" s="12">
        <v>5105.1000000000004</v>
      </c>
      <c r="N651">
        <v>5105.1000000000004</v>
      </c>
    </row>
    <row r="652" spans="1:14" ht="21" customHeight="1" x14ac:dyDescent="0.25">
      <c r="A652" s="13" t="str">
        <f t="shared" si="196"/>
        <v>ЩР15</v>
      </c>
      <c r="B652" s="10" t="s">
        <v>17</v>
      </c>
      <c r="C652" s="10"/>
      <c r="D652" s="11">
        <v>814169</v>
      </c>
      <c r="E652" s="10" t="s">
        <v>123</v>
      </c>
      <c r="F652" s="10">
        <v>5005</v>
      </c>
      <c r="G652" s="12">
        <f t="shared" si="199"/>
        <v>2752.75</v>
      </c>
      <c r="H652" s="12">
        <f t="shared" si="197"/>
        <v>2752.75</v>
      </c>
      <c r="I652" s="13">
        <v>1</v>
      </c>
      <c r="J652" s="14" t="s">
        <v>12</v>
      </c>
      <c r="K652" s="10" t="s">
        <v>28</v>
      </c>
      <c r="L652" s="13" t="str">
        <f>L650</f>
        <v>Блок15</v>
      </c>
      <c r="M652" s="12">
        <v>2752.75</v>
      </c>
      <c r="N652">
        <v>2752.75</v>
      </c>
    </row>
    <row r="653" spans="1:14" ht="21" customHeight="1" x14ac:dyDescent="0.25">
      <c r="A653" s="13" t="str">
        <f t="shared" si="196"/>
        <v>ЩР15</v>
      </c>
      <c r="B653" s="10" t="s">
        <v>17</v>
      </c>
      <c r="C653" s="10"/>
      <c r="D653" s="11">
        <v>814170</v>
      </c>
      <c r="E653" s="10" t="s">
        <v>124</v>
      </c>
      <c r="F653" s="10">
        <v>4641</v>
      </c>
      <c r="G653" s="12">
        <f t="shared" si="199"/>
        <v>2552.5500000000002</v>
      </c>
      <c r="H653" s="12">
        <f t="shared" si="197"/>
        <v>2552.5500000000002</v>
      </c>
      <c r="I653" s="13">
        <v>1</v>
      </c>
      <c r="J653" s="14" t="s">
        <v>12</v>
      </c>
      <c r="K653" s="10" t="s">
        <v>28</v>
      </c>
      <c r="L653" s="13" t="str">
        <f>L652</f>
        <v>Блок15</v>
      </c>
      <c r="M653" s="12">
        <v>2552.5500000000002</v>
      </c>
      <c r="N653">
        <v>2552.5500000000002</v>
      </c>
    </row>
    <row r="654" spans="1:14" ht="21" customHeight="1" x14ac:dyDescent="0.25">
      <c r="A654" s="13" t="str">
        <f t="shared" si="196"/>
        <v>ЩР15</v>
      </c>
      <c r="B654" s="10" t="s">
        <v>17</v>
      </c>
      <c r="C654" s="10"/>
      <c r="D654" s="11">
        <v>814009</v>
      </c>
      <c r="E654" s="10" t="s">
        <v>117</v>
      </c>
      <c r="F654" s="10">
        <v>1565</v>
      </c>
      <c r="G654" s="12">
        <f t="shared" si="199"/>
        <v>860.75000000000011</v>
      </c>
      <c r="H654" s="12">
        <f t="shared" si="197"/>
        <v>9468.2500000000018</v>
      </c>
      <c r="I654" s="13">
        <v>11</v>
      </c>
      <c r="J654" s="14" t="s">
        <v>12</v>
      </c>
      <c r="K654" s="10" t="s">
        <v>28</v>
      </c>
      <c r="L654" s="13" t="str">
        <f>L653</f>
        <v>Блок15</v>
      </c>
      <c r="M654" s="12">
        <v>9468.2500000000018</v>
      </c>
      <c r="N654">
        <v>9468.2500000000018</v>
      </c>
    </row>
    <row r="655" spans="1:14" ht="24" customHeight="1" x14ac:dyDescent="0.25">
      <c r="A655" s="10" t="str">
        <f t="shared" si="196"/>
        <v>ЩР15</v>
      </c>
      <c r="B655" s="10" t="s">
        <v>19</v>
      </c>
      <c r="C655" s="10"/>
      <c r="D655" s="11" t="s">
        <v>19</v>
      </c>
      <c r="E655" s="10" t="s">
        <v>19</v>
      </c>
      <c r="F655" s="10">
        <f ca="1">OFFSET(F655,1,2)</f>
        <v>30000</v>
      </c>
      <c r="G655" s="12">
        <f ca="1">F655*0.55</f>
        <v>16500</v>
      </c>
      <c r="H655" s="12">
        <f ca="1">G655*I655</f>
        <v>16500</v>
      </c>
      <c r="I655" s="10">
        <v>1</v>
      </c>
      <c r="J655" s="10" t="s">
        <v>12</v>
      </c>
      <c r="K655" s="10" t="s">
        <v>19</v>
      </c>
      <c r="L655" s="13" t="str">
        <f>L654</f>
        <v>Блок15</v>
      </c>
      <c r="M655" s="12">
        <v>16500</v>
      </c>
      <c r="N655">
        <v>16500</v>
      </c>
    </row>
    <row r="656" spans="1:14" ht="21" customHeight="1" x14ac:dyDescent="0.25">
      <c r="A656" s="10" t="str">
        <f t="shared" si="196"/>
        <v>ЩР15</v>
      </c>
      <c r="B656" s="10" t="s">
        <v>20</v>
      </c>
      <c r="C656" s="10"/>
      <c r="D656" s="11" t="s">
        <v>20</v>
      </c>
      <c r="E656" s="10" t="s">
        <v>20</v>
      </c>
      <c r="F656" s="10">
        <v>5</v>
      </c>
      <c r="G656" s="12">
        <v>100</v>
      </c>
      <c r="H656" s="12">
        <f t="shared" si="197"/>
        <v>30000</v>
      </c>
      <c r="I656" s="10">
        <f>60*F656</f>
        <v>300</v>
      </c>
      <c r="J656" s="10" t="s">
        <v>12</v>
      </c>
      <c r="K656" s="10" t="s">
        <v>20</v>
      </c>
      <c r="L656" s="13" t="str">
        <f>L655</f>
        <v>Блок15</v>
      </c>
      <c r="M656" s="12">
        <v>30000</v>
      </c>
      <c r="N656">
        <v>30000</v>
      </c>
    </row>
    <row r="657" spans="1:14" ht="30" customHeight="1" x14ac:dyDescent="0.25">
      <c r="A657" s="15" t="str">
        <f t="shared" si="196"/>
        <v>ЩР15</v>
      </c>
      <c r="B657" s="15"/>
      <c r="C657" s="15"/>
      <c r="D657" s="15"/>
      <c r="E657" s="16"/>
      <c r="F657" s="17"/>
      <c r="G657" s="12">
        <f t="shared" si="199"/>
        <v>0</v>
      </c>
      <c r="H657" s="18">
        <f ca="1">SUM(H646:H656)</f>
        <v>167096.75</v>
      </c>
      <c r="I657" s="15"/>
      <c r="J657" s="19"/>
      <c r="K657" s="15"/>
      <c r="L657" s="13" t="str">
        <f>L656</f>
        <v>Блок15</v>
      </c>
      <c r="M657" s="18">
        <v>167096.75</v>
      </c>
      <c r="N657">
        <v>167096.75</v>
      </c>
    </row>
    <row r="658" spans="1:14" ht="39.75" customHeight="1" x14ac:dyDescent="0.25">
      <c r="A658" s="8" t="str">
        <f>E658</f>
        <v>ЩР15-(АВР-Б-80-2-1)</v>
      </c>
      <c r="B658" s="4"/>
      <c r="C658" s="4"/>
      <c r="D658" s="5"/>
      <c r="E658" s="4" t="s">
        <v>154</v>
      </c>
      <c r="F658" s="6"/>
      <c r="G658" s="6"/>
      <c r="H658" s="7"/>
      <c r="I658" s="8">
        <v>1</v>
      </c>
      <c r="J658" s="9" t="s">
        <v>9</v>
      </c>
      <c r="K658" s="4" t="s">
        <v>10</v>
      </c>
      <c r="L658" s="8" t="s">
        <v>111</v>
      </c>
      <c r="M658" s="7"/>
    </row>
    <row r="659" spans="1:14" ht="21" customHeight="1" x14ac:dyDescent="0.25">
      <c r="A659" s="13" t="str">
        <f t="shared" ref="A659:A665" si="200">A658</f>
        <v>ЩР15-(АВР-Б-80-2-1)</v>
      </c>
      <c r="B659" s="10" t="s">
        <v>11</v>
      </c>
      <c r="C659" s="10"/>
      <c r="D659" s="11" t="s">
        <v>40</v>
      </c>
      <c r="E659" s="10" t="s">
        <v>41</v>
      </c>
      <c r="F659" s="10">
        <v>18000</v>
      </c>
      <c r="G659" s="12">
        <f>0.6*F659</f>
        <v>10800</v>
      </c>
      <c r="H659" s="12">
        <f t="shared" ref="H659:H664" si="201">G659*I659</f>
        <v>10800</v>
      </c>
      <c r="I659" s="13">
        <v>1</v>
      </c>
      <c r="J659" s="14" t="s">
        <v>12</v>
      </c>
      <c r="K659" s="10" t="s">
        <v>13</v>
      </c>
      <c r="L659" s="13" t="s">
        <v>111</v>
      </c>
      <c r="M659" s="12">
        <v>10800</v>
      </c>
      <c r="N659">
        <v>10800</v>
      </c>
    </row>
    <row r="660" spans="1:14" ht="21" customHeight="1" x14ac:dyDescent="0.25">
      <c r="A660" s="13" t="str">
        <f t="shared" si="200"/>
        <v>ЩР15-(АВР-Б-80-2-1)</v>
      </c>
      <c r="B660" s="10" t="s">
        <v>44</v>
      </c>
      <c r="C660" s="10"/>
      <c r="D660" s="11" t="s">
        <v>166</v>
      </c>
      <c r="E660" s="10" t="s">
        <v>167</v>
      </c>
      <c r="F660" s="10">
        <v>207656</v>
      </c>
      <c r="G660" s="12">
        <f t="shared" ref="G660:G662" si="202">F660*0.55</f>
        <v>114210.8</v>
      </c>
      <c r="H660" s="12">
        <f t="shared" si="201"/>
        <v>114210.8</v>
      </c>
      <c r="I660" s="13">
        <v>1</v>
      </c>
      <c r="J660" s="14" t="s">
        <v>12</v>
      </c>
      <c r="K660" s="10" t="s">
        <v>14</v>
      </c>
      <c r="L660" s="13" t="s">
        <v>111</v>
      </c>
      <c r="M660" s="12">
        <v>114210.8</v>
      </c>
      <c r="N660">
        <v>114210.8</v>
      </c>
    </row>
    <row r="661" spans="1:14" ht="21" customHeight="1" x14ac:dyDescent="0.25">
      <c r="A661" s="13" t="str">
        <f t="shared" si="200"/>
        <v>ЩР15-(АВР-Б-80-2-1)</v>
      </c>
      <c r="B661" s="10" t="s">
        <v>49</v>
      </c>
      <c r="C661" s="10"/>
      <c r="D661" s="10">
        <v>593071</v>
      </c>
      <c r="E661" s="10" t="s">
        <v>50</v>
      </c>
      <c r="F661" s="10">
        <v>836</v>
      </c>
      <c r="G661" s="12">
        <f t="shared" si="202"/>
        <v>459.8</v>
      </c>
      <c r="H661" s="12">
        <f t="shared" si="201"/>
        <v>919.6</v>
      </c>
      <c r="I661" s="13">
        <v>2</v>
      </c>
      <c r="J661" s="14" t="s">
        <v>12</v>
      </c>
      <c r="K661" s="10" t="s">
        <v>28</v>
      </c>
      <c r="L661" s="13" t="s">
        <v>111</v>
      </c>
      <c r="M661" s="12">
        <v>919.6</v>
      </c>
      <c r="N661">
        <v>919.6</v>
      </c>
    </row>
    <row r="662" spans="1:14" ht="21" customHeight="1" x14ac:dyDescent="0.25">
      <c r="A662" s="13" t="str">
        <f t="shared" si="200"/>
        <v>ЩР15-(АВР-Б-80-2-1)</v>
      </c>
      <c r="B662" s="10" t="s">
        <v>49</v>
      </c>
      <c r="C662" s="10"/>
      <c r="D662" s="10">
        <v>593150</v>
      </c>
      <c r="E662" s="10" t="s">
        <v>51</v>
      </c>
      <c r="F662" s="10">
        <v>836</v>
      </c>
      <c r="G662" s="12">
        <f t="shared" si="202"/>
        <v>459.8</v>
      </c>
      <c r="H662" s="12">
        <f t="shared" si="201"/>
        <v>459.8</v>
      </c>
      <c r="I662" s="13">
        <v>1</v>
      </c>
      <c r="J662" s="14" t="s">
        <v>12</v>
      </c>
      <c r="K662" s="10" t="s">
        <v>28</v>
      </c>
      <c r="L662" s="13" t="s">
        <v>111</v>
      </c>
      <c r="M662" s="12">
        <v>459.8</v>
      </c>
      <c r="N662">
        <v>459.8</v>
      </c>
    </row>
    <row r="663" spans="1:14" ht="24" customHeight="1" x14ac:dyDescent="0.25">
      <c r="A663" s="10" t="str">
        <f t="shared" si="200"/>
        <v>ЩР15-(АВР-Б-80-2-1)</v>
      </c>
      <c r="B663" s="10" t="s">
        <v>19</v>
      </c>
      <c r="C663" s="10"/>
      <c r="D663" s="11" t="s">
        <v>19</v>
      </c>
      <c r="E663" s="10" t="s">
        <v>19</v>
      </c>
      <c r="F663" s="10">
        <f ca="1">OFFSET(F663,1,2)</f>
        <v>18000</v>
      </c>
      <c r="G663" s="12">
        <f ca="1">F663*0.55</f>
        <v>9900</v>
      </c>
      <c r="H663" s="12">
        <f ca="1">G663*I663</f>
        <v>9900</v>
      </c>
      <c r="I663" s="10">
        <v>1</v>
      </c>
      <c r="J663" s="10" t="s">
        <v>12</v>
      </c>
      <c r="K663" s="10" t="s">
        <v>19</v>
      </c>
      <c r="L663" s="13" t="s">
        <v>111</v>
      </c>
      <c r="M663" s="12">
        <v>9900</v>
      </c>
      <c r="N663">
        <v>9900</v>
      </c>
    </row>
    <row r="664" spans="1:14" ht="21" customHeight="1" x14ac:dyDescent="0.25">
      <c r="A664" s="10" t="str">
        <f t="shared" si="200"/>
        <v>ЩР15-(АВР-Б-80-2-1)</v>
      </c>
      <c r="B664" s="10" t="s">
        <v>20</v>
      </c>
      <c r="C664" s="10"/>
      <c r="D664" s="11" t="s">
        <v>20</v>
      </c>
      <c r="E664" s="10" t="s">
        <v>20</v>
      </c>
      <c r="F664" s="10">
        <v>3</v>
      </c>
      <c r="G664" s="12">
        <v>100</v>
      </c>
      <c r="H664" s="12">
        <f t="shared" si="201"/>
        <v>18000</v>
      </c>
      <c r="I664" s="10">
        <f>60*F664</f>
        <v>180</v>
      </c>
      <c r="J664" s="10" t="s">
        <v>12</v>
      </c>
      <c r="K664" s="10" t="s">
        <v>20</v>
      </c>
      <c r="L664" s="13" t="s">
        <v>111</v>
      </c>
      <c r="M664" s="12">
        <v>18000</v>
      </c>
      <c r="N664">
        <v>18000</v>
      </c>
    </row>
    <row r="665" spans="1:14" ht="30" customHeight="1" x14ac:dyDescent="0.25">
      <c r="A665" s="15" t="str">
        <f t="shared" si="200"/>
        <v>ЩР15-(АВР-Б-80-2-1)</v>
      </c>
      <c r="B665" s="15"/>
      <c r="C665" s="15"/>
      <c r="D665" s="15"/>
      <c r="E665" s="16"/>
      <c r="F665" s="17"/>
      <c r="G665" s="12">
        <f t="shared" ref="G665" si="203">F665*0.55</f>
        <v>0</v>
      </c>
      <c r="H665" s="18">
        <f ca="1">SUM(H659:H664)</f>
        <v>154290.20000000001</v>
      </c>
      <c r="I665" s="15"/>
      <c r="J665" s="19"/>
      <c r="K665" s="15"/>
      <c r="L665" s="13" t="s">
        <v>111</v>
      </c>
      <c r="M665" s="18">
        <v>154290.20000000001</v>
      </c>
      <c r="N665">
        <v>154290.20000000001</v>
      </c>
    </row>
    <row r="666" spans="1:14" ht="39.75" customHeight="1" x14ac:dyDescent="0.25">
      <c r="A666" s="8" t="str">
        <f>E666</f>
        <v>ЩЭ-3</v>
      </c>
      <c r="B666" s="4"/>
      <c r="C666" s="4"/>
      <c r="D666" s="5"/>
      <c r="E666" s="4" t="s">
        <v>155</v>
      </c>
      <c r="F666" s="6"/>
      <c r="G666" s="6"/>
      <c r="H666" s="7"/>
      <c r="I666" s="8">
        <v>4</v>
      </c>
      <c r="J666" s="9" t="s">
        <v>9</v>
      </c>
      <c r="K666" s="4" t="s">
        <v>10</v>
      </c>
      <c r="L666" s="8" t="s">
        <v>111</v>
      </c>
      <c r="M666" s="7"/>
    </row>
    <row r="667" spans="1:14" ht="21" customHeight="1" x14ac:dyDescent="0.25">
      <c r="A667" s="13" t="str">
        <f t="shared" ref="A667:A672" si="204">A666</f>
        <v>ЩЭ-3</v>
      </c>
      <c r="B667" s="10" t="s">
        <v>11</v>
      </c>
      <c r="C667" s="10"/>
      <c r="D667" s="11" t="s">
        <v>125</v>
      </c>
      <c r="E667" s="10" t="s">
        <v>157</v>
      </c>
      <c r="F667" s="10">
        <v>48000</v>
      </c>
      <c r="G667" s="12">
        <f>0.6*F667</f>
        <v>28800</v>
      </c>
      <c r="H667" s="12">
        <f t="shared" ref="H667:H671" si="205">G667*I667</f>
        <v>28800</v>
      </c>
      <c r="I667" s="13">
        <v>1</v>
      </c>
      <c r="J667" s="14" t="s">
        <v>12</v>
      </c>
      <c r="K667" s="10" t="s">
        <v>13</v>
      </c>
      <c r="L667" s="13" t="s">
        <v>111</v>
      </c>
      <c r="M667" s="12">
        <v>28800</v>
      </c>
      <c r="N667">
        <v>28800</v>
      </c>
    </row>
    <row r="668" spans="1:14" ht="21" customHeight="1" x14ac:dyDescent="0.25">
      <c r="A668" s="13" t="str">
        <f t="shared" si="204"/>
        <v>ЩЭ-3</v>
      </c>
      <c r="B668" s="10" t="s">
        <v>17</v>
      </c>
      <c r="C668" s="10"/>
      <c r="D668" s="11">
        <v>296792</v>
      </c>
      <c r="E668" s="10" t="s">
        <v>174</v>
      </c>
      <c r="F668" s="10">
        <v>1083</v>
      </c>
      <c r="G668" s="12">
        <f t="shared" ref="G668" si="206">F668*0.55</f>
        <v>595.65000000000009</v>
      </c>
      <c r="H668" s="12">
        <f t="shared" si="205"/>
        <v>1786.9500000000003</v>
      </c>
      <c r="I668" s="13">
        <v>3</v>
      </c>
      <c r="J668" s="14" t="s">
        <v>12</v>
      </c>
      <c r="K668" s="10" t="s">
        <v>28</v>
      </c>
      <c r="L668" s="13" t="s">
        <v>111</v>
      </c>
      <c r="M668" s="12">
        <v>1786.9500000000003</v>
      </c>
      <c r="N668">
        <v>1786.9500000000003</v>
      </c>
    </row>
    <row r="669" spans="1:14" ht="21" customHeight="1" x14ac:dyDescent="0.25">
      <c r="A669" s="13" t="str">
        <f t="shared" si="204"/>
        <v>ЩЭ-3</v>
      </c>
      <c r="B669" s="10" t="s">
        <v>15</v>
      </c>
      <c r="C669" s="10"/>
      <c r="D669" s="11" t="s">
        <v>181</v>
      </c>
      <c r="E669" s="10" t="s">
        <v>182</v>
      </c>
      <c r="F669" s="10">
        <v>41000</v>
      </c>
      <c r="G669" s="12">
        <f>F669</f>
        <v>41000</v>
      </c>
      <c r="H669" s="12">
        <f t="shared" si="205"/>
        <v>123000</v>
      </c>
      <c r="I669" s="13">
        <v>3</v>
      </c>
      <c r="J669" s="14" t="s">
        <v>12</v>
      </c>
      <c r="K669" s="10" t="s">
        <v>16</v>
      </c>
      <c r="L669" s="13" t="s">
        <v>111</v>
      </c>
      <c r="M669" s="12">
        <v>67650.000000000015</v>
      </c>
      <c r="N669">
        <v>123000</v>
      </c>
    </row>
    <row r="670" spans="1:14" ht="24" customHeight="1" x14ac:dyDescent="0.25">
      <c r="A670" s="10" t="str">
        <f t="shared" si="204"/>
        <v>ЩЭ-3</v>
      </c>
      <c r="B670" s="10" t="s">
        <v>19</v>
      </c>
      <c r="C670" s="10"/>
      <c r="D670" s="11" t="s">
        <v>19</v>
      </c>
      <c r="E670" s="10" t="s">
        <v>19</v>
      </c>
      <c r="F670" s="10">
        <f ca="1">OFFSET(F670,1,2)</f>
        <v>18000</v>
      </c>
      <c r="G670" s="12">
        <f ca="1">F670*0.55</f>
        <v>9900</v>
      </c>
      <c r="H670" s="12">
        <f ca="1">G670*I670</f>
        <v>9900</v>
      </c>
      <c r="I670" s="10">
        <v>1</v>
      </c>
      <c r="J670" s="10" t="s">
        <v>12</v>
      </c>
      <c r="K670" s="10" t="s">
        <v>19</v>
      </c>
      <c r="L670" s="13" t="s">
        <v>111</v>
      </c>
      <c r="M670" s="12">
        <v>9900</v>
      </c>
      <c r="N670">
        <v>9900</v>
      </c>
    </row>
    <row r="671" spans="1:14" ht="21" customHeight="1" x14ac:dyDescent="0.25">
      <c r="A671" s="10" t="str">
        <f t="shared" si="204"/>
        <v>ЩЭ-3</v>
      </c>
      <c r="B671" s="10" t="s">
        <v>20</v>
      </c>
      <c r="C671" s="10"/>
      <c r="D671" s="11" t="s">
        <v>20</v>
      </c>
      <c r="E671" s="10" t="s">
        <v>20</v>
      </c>
      <c r="F671" s="10">
        <v>3</v>
      </c>
      <c r="G671" s="12">
        <v>100</v>
      </c>
      <c r="H671" s="12">
        <f t="shared" si="205"/>
        <v>18000</v>
      </c>
      <c r="I671" s="10">
        <f>60*F671</f>
        <v>180</v>
      </c>
      <c r="J671" s="10" t="s">
        <v>12</v>
      </c>
      <c r="K671" s="10" t="s">
        <v>20</v>
      </c>
      <c r="L671" s="13" t="s">
        <v>111</v>
      </c>
      <c r="M671" s="12">
        <v>18000</v>
      </c>
      <c r="N671">
        <v>18000</v>
      </c>
    </row>
    <row r="672" spans="1:14" ht="30" customHeight="1" x14ac:dyDescent="0.25">
      <c r="A672" s="15" t="str">
        <f t="shared" si="204"/>
        <v>ЩЭ-3</v>
      </c>
      <c r="B672" s="15"/>
      <c r="C672" s="15"/>
      <c r="D672" s="15"/>
      <c r="E672" s="16"/>
      <c r="F672" s="17"/>
      <c r="G672" s="12">
        <f t="shared" ref="G672" si="207">F672*0.55</f>
        <v>0</v>
      </c>
      <c r="H672" s="18">
        <f ca="1">SUM(H667:H671)</f>
        <v>181486.95</v>
      </c>
      <c r="I672" s="15"/>
      <c r="J672" s="19"/>
      <c r="K672" s="15"/>
      <c r="L672" s="13" t="s">
        <v>111</v>
      </c>
      <c r="M672" s="18">
        <v>126136.95000000001</v>
      </c>
      <c r="N672">
        <v>181486.95</v>
      </c>
    </row>
    <row r="673" spans="1:14" ht="39.75" customHeight="1" x14ac:dyDescent="0.25">
      <c r="A673" s="8" t="str">
        <f>E673</f>
        <v>ЩЭ-4</v>
      </c>
      <c r="B673" s="4"/>
      <c r="C673" s="4"/>
      <c r="D673" s="5"/>
      <c r="E673" s="4" t="s">
        <v>156</v>
      </c>
      <c r="F673" s="6"/>
      <c r="G673" s="6"/>
      <c r="H673" s="7"/>
      <c r="I673" s="8">
        <v>72</v>
      </c>
      <c r="J673" s="9" t="s">
        <v>9</v>
      </c>
      <c r="K673" s="4" t="s">
        <v>10</v>
      </c>
      <c r="L673" s="8" t="s">
        <v>111</v>
      </c>
      <c r="M673" s="7"/>
    </row>
    <row r="674" spans="1:14" ht="21" customHeight="1" x14ac:dyDescent="0.25">
      <c r="A674" s="13" t="str">
        <f t="shared" ref="A674:A679" si="208">A673</f>
        <v>ЩЭ-4</v>
      </c>
      <c r="B674" s="10" t="s">
        <v>11</v>
      </c>
      <c r="C674" s="10"/>
      <c r="D674" s="11" t="s">
        <v>125</v>
      </c>
      <c r="E674" s="10" t="s">
        <v>158</v>
      </c>
      <c r="F674" s="10">
        <v>48000</v>
      </c>
      <c r="G674" s="12">
        <f>0.6*F674</f>
        <v>28800</v>
      </c>
      <c r="H674" s="12">
        <f t="shared" ref="H674:H678" si="209">G674*I674</f>
        <v>28800</v>
      </c>
      <c r="I674" s="13">
        <v>1</v>
      </c>
      <c r="J674" s="14" t="s">
        <v>12</v>
      </c>
      <c r="K674" s="10" t="s">
        <v>13</v>
      </c>
      <c r="L674" s="13" t="s">
        <v>111</v>
      </c>
      <c r="M674" s="12">
        <v>28800</v>
      </c>
      <c r="N674">
        <v>28800</v>
      </c>
    </row>
    <row r="675" spans="1:14" ht="21" customHeight="1" x14ac:dyDescent="0.25">
      <c r="A675" s="13" t="str">
        <f t="shared" si="208"/>
        <v>ЩЭ-4</v>
      </c>
      <c r="B675" s="10" t="s">
        <v>17</v>
      </c>
      <c r="C675" s="10"/>
      <c r="D675" s="11">
        <v>296792</v>
      </c>
      <c r="E675" s="10" t="s">
        <v>174</v>
      </c>
      <c r="F675" s="10">
        <v>1083</v>
      </c>
      <c r="G675" s="12">
        <f t="shared" ref="G675" si="210">F675*0.55</f>
        <v>595.65000000000009</v>
      </c>
      <c r="H675" s="12">
        <f t="shared" si="209"/>
        <v>2382.6000000000004</v>
      </c>
      <c r="I675" s="13">
        <v>4</v>
      </c>
      <c r="J675" s="14" t="s">
        <v>12</v>
      </c>
      <c r="K675" s="10" t="s">
        <v>28</v>
      </c>
      <c r="L675" s="13" t="s">
        <v>111</v>
      </c>
      <c r="M675" s="12">
        <v>2382.6000000000004</v>
      </c>
      <c r="N675">
        <v>2382.6000000000004</v>
      </c>
    </row>
    <row r="676" spans="1:14" ht="21" customHeight="1" x14ac:dyDescent="0.25">
      <c r="A676" s="13" t="str">
        <f t="shared" si="208"/>
        <v>ЩЭ-4</v>
      </c>
      <c r="B676" s="10" t="s">
        <v>15</v>
      </c>
      <c r="C676" s="10"/>
      <c r="D676" s="11" t="s">
        <v>181</v>
      </c>
      <c r="E676" s="10" t="s">
        <v>182</v>
      </c>
      <c r="F676" s="10">
        <v>41000</v>
      </c>
      <c r="G676" s="12">
        <f>F676</f>
        <v>41000</v>
      </c>
      <c r="H676" s="12">
        <f t="shared" si="209"/>
        <v>164000</v>
      </c>
      <c r="I676" s="13">
        <v>4</v>
      </c>
      <c r="J676" s="14" t="s">
        <v>12</v>
      </c>
      <c r="K676" s="10" t="s">
        <v>16</v>
      </c>
      <c r="L676" s="13" t="s">
        <v>111</v>
      </c>
      <c r="M676" s="12">
        <v>90200.000000000015</v>
      </c>
      <c r="N676">
        <v>164000</v>
      </c>
    </row>
    <row r="677" spans="1:14" ht="24" customHeight="1" x14ac:dyDescent="0.25">
      <c r="A677" s="10" t="str">
        <f t="shared" si="208"/>
        <v>ЩЭ-4</v>
      </c>
      <c r="B677" s="10" t="s">
        <v>19</v>
      </c>
      <c r="C677" s="10"/>
      <c r="D677" s="11" t="s">
        <v>19</v>
      </c>
      <c r="E677" s="10" t="s">
        <v>19</v>
      </c>
      <c r="F677" s="10">
        <f ca="1">OFFSET(F677,1,2)</f>
        <v>24000</v>
      </c>
      <c r="G677" s="12">
        <f ca="1">F677*0.55</f>
        <v>13200.000000000002</v>
      </c>
      <c r="H677" s="12">
        <f ca="1">G677*I677</f>
        <v>13200.000000000002</v>
      </c>
      <c r="I677" s="10">
        <v>1</v>
      </c>
      <c r="J677" s="10" t="s">
        <v>12</v>
      </c>
      <c r="K677" s="10" t="s">
        <v>19</v>
      </c>
      <c r="L677" s="13" t="s">
        <v>111</v>
      </c>
      <c r="M677" s="12">
        <v>13200.000000000002</v>
      </c>
      <c r="N677">
        <v>13200.000000000002</v>
      </c>
    </row>
    <row r="678" spans="1:14" ht="21" customHeight="1" x14ac:dyDescent="0.25">
      <c r="A678" s="10" t="str">
        <f t="shared" si="208"/>
        <v>ЩЭ-4</v>
      </c>
      <c r="B678" s="10" t="s">
        <v>20</v>
      </c>
      <c r="C678" s="10"/>
      <c r="D678" s="11" t="s">
        <v>20</v>
      </c>
      <c r="E678" s="10" t="s">
        <v>20</v>
      </c>
      <c r="F678" s="10">
        <v>4</v>
      </c>
      <c r="G678" s="12">
        <v>100</v>
      </c>
      <c r="H678" s="12">
        <f t="shared" si="209"/>
        <v>24000</v>
      </c>
      <c r="I678" s="10">
        <f>60*F678</f>
        <v>240</v>
      </c>
      <c r="J678" s="10" t="s">
        <v>12</v>
      </c>
      <c r="K678" s="10" t="s">
        <v>20</v>
      </c>
      <c r="L678" s="13" t="s">
        <v>111</v>
      </c>
      <c r="M678" s="12">
        <v>24000</v>
      </c>
      <c r="N678">
        <v>24000</v>
      </c>
    </row>
    <row r="679" spans="1:14" ht="30" customHeight="1" x14ac:dyDescent="0.25">
      <c r="A679" s="15" t="str">
        <f t="shared" si="208"/>
        <v>ЩЭ-4</v>
      </c>
      <c r="B679" s="15"/>
      <c r="C679" s="15"/>
      <c r="D679" s="15"/>
      <c r="E679" s="16"/>
      <c r="F679" s="17"/>
      <c r="G679" s="12">
        <f t="shared" ref="G679" si="211">F679*0.55</f>
        <v>0</v>
      </c>
      <c r="H679" s="18">
        <f ca="1">SUM(H674:H678)</f>
        <v>232382.6</v>
      </c>
      <c r="I679" s="15"/>
      <c r="J679" s="19"/>
      <c r="K679" s="15"/>
      <c r="L679" s="13" t="s">
        <v>111</v>
      </c>
      <c r="M679" s="18">
        <v>158582.6</v>
      </c>
      <c r="N679">
        <v>232382.6</v>
      </c>
    </row>
    <row r="680" spans="1:14" ht="39.75" customHeight="1" x14ac:dyDescent="0.25">
      <c r="A680" s="8" t="str">
        <f>E680</f>
        <v>ЩЭ-6</v>
      </c>
      <c r="B680" s="4"/>
      <c r="C680" s="4"/>
      <c r="D680" s="5"/>
      <c r="E680" s="4" t="s">
        <v>159</v>
      </c>
      <c r="F680" s="6"/>
      <c r="G680" s="6"/>
      <c r="H680" s="7"/>
      <c r="I680" s="8">
        <v>2</v>
      </c>
      <c r="J680" s="9" t="s">
        <v>9</v>
      </c>
      <c r="K680" s="4" t="s">
        <v>10</v>
      </c>
      <c r="L680" s="8" t="s">
        <v>111</v>
      </c>
      <c r="M680" s="7"/>
    </row>
    <row r="681" spans="1:14" ht="21" customHeight="1" x14ac:dyDescent="0.25">
      <c r="A681" s="13" t="str">
        <f t="shared" ref="A681:A686" si="212">A680</f>
        <v>ЩЭ-6</v>
      </c>
      <c r="B681" s="10" t="s">
        <v>11</v>
      </c>
      <c r="C681" s="10"/>
      <c r="D681" s="11" t="s">
        <v>125</v>
      </c>
      <c r="E681" s="10" t="s">
        <v>160</v>
      </c>
      <c r="F681" s="10">
        <v>52000</v>
      </c>
      <c r="G681" s="12">
        <f>0.6*F681</f>
        <v>31200</v>
      </c>
      <c r="H681" s="12">
        <f t="shared" ref="H681:H685" si="213">G681*I681</f>
        <v>31200</v>
      </c>
      <c r="I681" s="13">
        <v>1</v>
      </c>
      <c r="J681" s="14" t="s">
        <v>12</v>
      </c>
      <c r="K681" s="10" t="s">
        <v>13</v>
      </c>
      <c r="L681" s="13" t="s">
        <v>111</v>
      </c>
      <c r="M681" s="12">
        <v>31200</v>
      </c>
      <c r="N681">
        <v>31200</v>
      </c>
    </row>
    <row r="682" spans="1:14" ht="21" customHeight="1" x14ac:dyDescent="0.25">
      <c r="A682" s="13" t="str">
        <f t="shared" si="212"/>
        <v>ЩЭ-6</v>
      </c>
      <c r="B682" s="10" t="s">
        <v>17</v>
      </c>
      <c r="C682" s="10"/>
      <c r="D682" s="11">
        <v>296792</v>
      </c>
      <c r="E682" s="10" t="s">
        <v>174</v>
      </c>
      <c r="F682" s="10">
        <v>1083</v>
      </c>
      <c r="G682" s="12">
        <f t="shared" ref="G682" si="214">F682*0.55</f>
        <v>595.65000000000009</v>
      </c>
      <c r="H682" s="12">
        <f t="shared" si="213"/>
        <v>3573.9000000000005</v>
      </c>
      <c r="I682" s="13">
        <v>6</v>
      </c>
      <c r="J682" s="14" t="s">
        <v>12</v>
      </c>
      <c r="K682" s="10" t="s">
        <v>28</v>
      </c>
      <c r="L682" s="13" t="s">
        <v>111</v>
      </c>
      <c r="M682" s="12">
        <v>3573.9000000000005</v>
      </c>
      <c r="N682">
        <v>3573.9000000000005</v>
      </c>
    </row>
    <row r="683" spans="1:14" ht="21" customHeight="1" x14ac:dyDescent="0.25">
      <c r="A683" s="13" t="str">
        <f t="shared" si="212"/>
        <v>ЩЭ-6</v>
      </c>
      <c r="B683" s="10" t="s">
        <v>15</v>
      </c>
      <c r="C683" s="10"/>
      <c r="D683" s="11" t="s">
        <v>181</v>
      </c>
      <c r="E683" s="10" t="s">
        <v>182</v>
      </c>
      <c r="F683" s="10">
        <v>41000</v>
      </c>
      <c r="G683" s="12">
        <f>F683</f>
        <v>41000</v>
      </c>
      <c r="H683" s="12">
        <f t="shared" si="213"/>
        <v>246000</v>
      </c>
      <c r="I683" s="13">
        <v>6</v>
      </c>
      <c r="J683" s="14" t="s">
        <v>12</v>
      </c>
      <c r="K683" s="10" t="s">
        <v>16</v>
      </c>
      <c r="L683" s="13" t="s">
        <v>111</v>
      </c>
      <c r="M683" s="12">
        <v>135300.00000000003</v>
      </c>
      <c r="N683">
        <v>246000</v>
      </c>
    </row>
    <row r="684" spans="1:14" ht="24" customHeight="1" x14ac:dyDescent="0.25">
      <c r="A684" s="10" t="str">
        <f t="shared" si="212"/>
        <v>ЩЭ-6</v>
      </c>
      <c r="B684" s="10" t="s">
        <v>19</v>
      </c>
      <c r="C684" s="10"/>
      <c r="D684" s="11" t="s">
        <v>19</v>
      </c>
      <c r="E684" s="10" t="s">
        <v>19</v>
      </c>
      <c r="F684" s="10">
        <f ca="1">OFFSET(F684,1,2)</f>
        <v>27000</v>
      </c>
      <c r="G684" s="12">
        <f ca="1">F684*0.55</f>
        <v>14850.000000000002</v>
      </c>
      <c r="H684" s="12">
        <f ca="1">G684*I684</f>
        <v>14850.000000000002</v>
      </c>
      <c r="I684" s="10">
        <v>1</v>
      </c>
      <c r="J684" s="10" t="s">
        <v>12</v>
      </c>
      <c r="K684" s="10" t="s">
        <v>19</v>
      </c>
      <c r="L684" s="13" t="s">
        <v>111</v>
      </c>
      <c r="M684" s="12">
        <v>14850.000000000002</v>
      </c>
      <c r="N684">
        <v>14850.000000000002</v>
      </c>
    </row>
    <row r="685" spans="1:14" ht="21" customHeight="1" x14ac:dyDescent="0.25">
      <c r="A685" s="10" t="str">
        <f t="shared" si="212"/>
        <v>ЩЭ-6</v>
      </c>
      <c r="B685" s="10" t="s">
        <v>20</v>
      </c>
      <c r="C685" s="10"/>
      <c r="D685" s="11" t="s">
        <v>20</v>
      </c>
      <c r="E685" s="10" t="s">
        <v>20</v>
      </c>
      <c r="F685" s="10">
        <v>4.5</v>
      </c>
      <c r="G685" s="12">
        <v>100</v>
      </c>
      <c r="H685" s="12">
        <f t="shared" si="213"/>
        <v>27000</v>
      </c>
      <c r="I685" s="10">
        <f>60*F685</f>
        <v>270</v>
      </c>
      <c r="J685" s="10" t="s">
        <v>12</v>
      </c>
      <c r="K685" s="10" t="s">
        <v>20</v>
      </c>
      <c r="L685" s="13" t="s">
        <v>111</v>
      </c>
      <c r="M685" s="12">
        <v>27000</v>
      </c>
      <c r="N685">
        <v>27000</v>
      </c>
    </row>
    <row r="686" spans="1:14" ht="30" customHeight="1" x14ac:dyDescent="0.25">
      <c r="A686" s="15" t="str">
        <f t="shared" si="212"/>
        <v>ЩЭ-6</v>
      </c>
      <c r="B686" s="15"/>
      <c r="C686" s="15"/>
      <c r="D686" s="15"/>
      <c r="E686" s="16"/>
      <c r="F686" s="17"/>
      <c r="G686" s="12">
        <f t="shared" ref="G686" si="215">F686*0.55</f>
        <v>0</v>
      </c>
      <c r="H686" s="18">
        <f ca="1">SUM(H681:H685)</f>
        <v>322623.90000000002</v>
      </c>
      <c r="I686" s="15"/>
      <c r="J686" s="19"/>
      <c r="K686" s="15"/>
      <c r="L686" s="13" t="s">
        <v>111</v>
      </c>
      <c r="M686" s="18">
        <v>211923.90000000002</v>
      </c>
      <c r="N686">
        <v>322623.90000000002</v>
      </c>
    </row>
    <row r="687" spans="1:14" ht="39.75" customHeight="1" x14ac:dyDescent="0.25">
      <c r="A687" s="8" t="str">
        <f>E687</f>
        <v>ЩЭ-7</v>
      </c>
      <c r="B687" s="4"/>
      <c r="C687" s="4"/>
      <c r="D687" s="5"/>
      <c r="E687" s="4" t="s">
        <v>161</v>
      </c>
      <c r="F687" s="6"/>
      <c r="G687" s="6"/>
      <c r="H687" s="7"/>
      <c r="I687" s="8">
        <v>18</v>
      </c>
      <c r="J687" s="9" t="s">
        <v>9</v>
      </c>
      <c r="K687" s="4" t="s">
        <v>10</v>
      </c>
      <c r="L687" s="8" t="s">
        <v>111</v>
      </c>
      <c r="M687" s="7"/>
    </row>
    <row r="688" spans="1:14" ht="21" customHeight="1" x14ac:dyDescent="0.25">
      <c r="A688" s="13" t="str">
        <f t="shared" ref="A688:A693" si="216">A687</f>
        <v>ЩЭ-7</v>
      </c>
      <c r="B688" s="10" t="s">
        <v>11</v>
      </c>
      <c r="C688" s="10"/>
      <c r="D688" s="11" t="s">
        <v>125</v>
      </c>
      <c r="E688" s="10" t="s">
        <v>160</v>
      </c>
      <c r="F688" s="10">
        <v>52000</v>
      </c>
      <c r="G688" s="12">
        <f>0.6*F688</f>
        <v>31200</v>
      </c>
      <c r="H688" s="12">
        <f t="shared" ref="H688:H692" si="217">G688*I688</f>
        <v>31200</v>
      </c>
      <c r="I688" s="13">
        <v>1</v>
      </c>
      <c r="J688" s="14" t="s">
        <v>12</v>
      </c>
      <c r="K688" s="10" t="s">
        <v>13</v>
      </c>
      <c r="L688" s="13" t="s">
        <v>111</v>
      </c>
      <c r="M688" s="12">
        <v>31200</v>
      </c>
      <c r="N688">
        <v>31200</v>
      </c>
    </row>
    <row r="689" spans="1:14" ht="21" customHeight="1" x14ac:dyDescent="0.25">
      <c r="A689" s="13" t="str">
        <f t="shared" si="216"/>
        <v>ЩЭ-7</v>
      </c>
      <c r="B689" s="10" t="s">
        <v>17</v>
      </c>
      <c r="C689" s="10"/>
      <c r="D689" s="11">
        <v>296792</v>
      </c>
      <c r="E689" s="10" t="s">
        <v>174</v>
      </c>
      <c r="F689" s="10">
        <v>1083</v>
      </c>
      <c r="G689" s="12">
        <f t="shared" ref="G689" si="218">F689*0.55</f>
        <v>595.65000000000009</v>
      </c>
      <c r="H689" s="12">
        <f t="shared" si="217"/>
        <v>4169.5500000000011</v>
      </c>
      <c r="I689" s="13">
        <v>7</v>
      </c>
      <c r="J689" s="14" t="s">
        <v>12</v>
      </c>
      <c r="K689" s="10" t="s">
        <v>28</v>
      </c>
      <c r="L689" s="13" t="s">
        <v>111</v>
      </c>
      <c r="M689" s="12">
        <v>4169.5500000000011</v>
      </c>
      <c r="N689">
        <v>4169.5500000000011</v>
      </c>
    </row>
    <row r="690" spans="1:14" ht="21" customHeight="1" x14ac:dyDescent="0.25">
      <c r="A690" s="13" t="str">
        <f t="shared" si="216"/>
        <v>ЩЭ-7</v>
      </c>
      <c r="B690" s="10" t="s">
        <v>15</v>
      </c>
      <c r="C690" s="10"/>
      <c r="D690" s="11" t="s">
        <v>181</v>
      </c>
      <c r="E690" s="10" t="s">
        <v>182</v>
      </c>
      <c r="F690" s="10">
        <v>41000</v>
      </c>
      <c r="G690" s="12">
        <f>F690</f>
        <v>41000</v>
      </c>
      <c r="H690" s="12">
        <f t="shared" si="217"/>
        <v>287000</v>
      </c>
      <c r="I690" s="13">
        <v>7</v>
      </c>
      <c r="J690" s="14" t="s">
        <v>12</v>
      </c>
      <c r="K690" s="10" t="s">
        <v>16</v>
      </c>
      <c r="L690" s="13" t="s">
        <v>111</v>
      </c>
      <c r="M690" s="12">
        <v>157850.00000000003</v>
      </c>
      <c r="N690">
        <v>287000</v>
      </c>
    </row>
    <row r="691" spans="1:14" ht="24" customHeight="1" x14ac:dyDescent="0.25">
      <c r="A691" s="10" t="str">
        <f t="shared" si="216"/>
        <v>ЩЭ-7</v>
      </c>
      <c r="B691" s="10" t="s">
        <v>19</v>
      </c>
      <c r="C691" s="10"/>
      <c r="D691" s="11" t="s">
        <v>19</v>
      </c>
      <c r="E691" s="10" t="s">
        <v>19</v>
      </c>
      <c r="F691" s="10">
        <f ca="1">OFFSET(F691,1,2)</f>
        <v>30000</v>
      </c>
      <c r="G691" s="12">
        <f ca="1">F691*0.55</f>
        <v>16500</v>
      </c>
      <c r="H691" s="12">
        <f ca="1">G691*I691</f>
        <v>16500</v>
      </c>
      <c r="I691" s="10">
        <v>1</v>
      </c>
      <c r="J691" s="10" t="s">
        <v>12</v>
      </c>
      <c r="K691" s="10" t="s">
        <v>19</v>
      </c>
      <c r="L691" s="13" t="s">
        <v>111</v>
      </c>
      <c r="M691" s="12">
        <v>16500</v>
      </c>
      <c r="N691">
        <v>16500</v>
      </c>
    </row>
    <row r="692" spans="1:14" ht="21" customHeight="1" x14ac:dyDescent="0.25">
      <c r="A692" s="10" t="str">
        <f t="shared" si="216"/>
        <v>ЩЭ-7</v>
      </c>
      <c r="B692" s="10" t="s">
        <v>20</v>
      </c>
      <c r="C692" s="10"/>
      <c r="D692" s="11" t="s">
        <v>20</v>
      </c>
      <c r="E692" s="10" t="s">
        <v>20</v>
      </c>
      <c r="F692" s="10">
        <v>5</v>
      </c>
      <c r="G692" s="12">
        <v>100</v>
      </c>
      <c r="H692" s="12">
        <f t="shared" si="217"/>
        <v>30000</v>
      </c>
      <c r="I692" s="10">
        <f>60*F692</f>
        <v>300</v>
      </c>
      <c r="J692" s="10" t="s">
        <v>12</v>
      </c>
      <c r="K692" s="10" t="s">
        <v>20</v>
      </c>
      <c r="L692" s="13" t="s">
        <v>111</v>
      </c>
      <c r="M692" s="12">
        <v>30000</v>
      </c>
      <c r="N692">
        <v>30000</v>
      </c>
    </row>
    <row r="693" spans="1:14" ht="30" customHeight="1" x14ac:dyDescent="0.25">
      <c r="A693" s="15" t="str">
        <f t="shared" si="216"/>
        <v>ЩЭ-7</v>
      </c>
      <c r="B693" s="15"/>
      <c r="C693" s="15"/>
      <c r="D693" s="15"/>
      <c r="E693" s="16"/>
      <c r="F693" s="17"/>
      <c r="G693" s="12">
        <f t="shared" ref="G693" si="219">F693*0.55</f>
        <v>0</v>
      </c>
      <c r="H693" s="18">
        <f ca="1">SUM(H688:H692)</f>
        <v>368869.55</v>
      </c>
      <c r="I693" s="15"/>
      <c r="J693" s="19"/>
      <c r="K693" s="15"/>
      <c r="L693" s="13" t="s">
        <v>111</v>
      </c>
      <c r="M693" s="18">
        <v>239719.55000000005</v>
      </c>
      <c r="N693">
        <v>368869.55</v>
      </c>
    </row>
  </sheetData>
  <autoFilter ref="B1:L693" xr:uid="{00000000-0009-0000-0000-000001000000}"/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9731C4-AB2C-4A56-A62C-451163DDF05F}">
  <dimension ref="A1:P720"/>
  <sheetViews>
    <sheetView zoomScaleNormal="100" workbookViewId="0">
      <pane ySplit="1" topLeftCell="A245" activePane="bottomLeft" state="frozen"/>
      <selection pane="bottomLeft" activeCell="D18" sqref="A1:P720"/>
    </sheetView>
  </sheetViews>
  <sheetFormatPr defaultRowHeight="27" customHeight="1" x14ac:dyDescent="0.25"/>
  <cols>
    <col min="1" max="1" width="19.85546875" customWidth="1"/>
    <col min="3" max="3" width="12.42578125" customWidth="1"/>
    <col min="4" max="4" width="59" customWidth="1"/>
    <col min="15" max="15" width="13.5703125" customWidth="1"/>
  </cols>
  <sheetData>
    <row r="1" spans="1:15" ht="27" customHeight="1" x14ac:dyDescent="0.25">
      <c r="A1" s="1" t="s">
        <v>6</v>
      </c>
      <c r="B1" s="1" t="s">
        <v>0</v>
      </c>
      <c r="C1" s="2" t="s">
        <v>2</v>
      </c>
      <c r="D1" s="1" t="s">
        <v>3</v>
      </c>
      <c r="E1" s="1" t="s">
        <v>6</v>
      </c>
      <c r="F1" s="1" t="s">
        <v>7</v>
      </c>
      <c r="G1" s="1" t="s">
        <v>4</v>
      </c>
      <c r="H1" s="1" t="s">
        <v>4</v>
      </c>
      <c r="I1" s="3" t="s">
        <v>5</v>
      </c>
      <c r="J1" s="1" t="s">
        <v>8</v>
      </c>
      <c r="K1" s="1"/>
      <c r="L1" t="s">
        <v>185</v>
      </c>
      <c r="M1" s="22" t="s">
        <v>241</v>
      </c>
      <c r="N1" s="22" t="s">
        <v>242</v>
      </c>
    </row>
    <row r="2" spans="1:15" ht="27" customHeight="1" x14ac:dyDescent="0.25">
      <c r="A2" s="8" t="str">
        <f>D2</f>
        <v>ВРУ1-1-1</v>
      </c>
      <c r="B2" s="4"/>
      <c r="C2" s="5"/>
      <c r="D2" s="4" t="s">
        <v>21</v>
      </c>
      <c r="E2" s="8">
        <v>1</v>
      </c>
      <c r="F2" s="9" t="s">
        <v>9</v>
      </c>
      <c r="G2" s="6"/>
      <c r="H2" s="6"/>
      <c r="I2" s="7"/>
      <c r="J2" s="4" t="s">
        <v>10</v>
      </c>
      <c r="K2" s="8" t="s">
        <v>22</v>
      </c>
      <c r="M2">
        <f>E2</f>
        <v>1</v>
      </c>
      <c r="N2">
        <f t="shared" ref="N2:N69" si="0">M2*E2</f>
        <v>1</v>
      </c>
      <c r="O2" s="23">
        <f t="shared" ref="O2:O7" si="1">N2*H2</f>
        <v>0</v>
      </c>
    </row>
    <row r="3" spans="1:15" ht="27" customHeight="1" x14ac:dyDescent="0.25">
      <c r="A3" s="13" t="str">
        <f t="shared" ref="A3:A13" si="2">A2</f>
        <v>ВРУ1-1-1</v>
      </c>
      <c r="B3" s="10" t="s">
        <v>11</v>
      </c>
      <c r="C3" s="11" t="s">
        <v>172</v>
      </c>
      <c r="D3" s="10" t="s">
        <v>173</v>
      </c>
      <c r="E3" s="13">
        <v>1</v>
      </c>
      <c r="F3" s="14" t="s">
        <v>12</v>
      </c>
      <c r="G3" s="10">
        <v>156500</v>
      </c>
      <c r="H3" s="12">
        <f>0.6*G3</f>
        <v>93900</v>
      </c>
      <c r="I3" s="12">
        <f t="shared" ref="I3:I12" si="3">H3*E3</f>
        <v>93900</v>
      </c>
      <c r="J3" s="10" t="s">
        <v>13</v>
      </c>
      <c r="K3" s="13" t="str">
        <f t="shared" ref="K3:K13" si="4">K2</f>
        <v>Блок1</v>
      </c>
      <c r="L3">
        <v>93900</v>
      </c>
      <c r="M3">
        <f t="shared" ref="M3:M13" si="5">M2</f>
        <v>1</v>
      </c>
      <c r="N3">
        <f t="shared" si="0"/>
        <v>1</v>
      </c>
      <c r="O3" s="23">
        <f t="shared" si="1"/>
        <v>93900</v>
      </c>
    </row>
    <row r="4" spans="1:15" ht="27" customHeight="1" x14ac:dyDescent="0.25">
      <c r="A4" s="13" t="str">
        <f t="shared" si="2"/>
        <v>ВРУ1-1-1</v>
      </c>
      <c r="B4" s="10" t="s">
        <v>23</v>
      </c>
      <c r="C4" s="11" t="s">
        <v>307</v>
      </c>
      <c r="D4" s="10" t="s">
        <v>308</v>
      </c>
      <c r="E4" s="13">
        <v>6</v>
      </c>
      <c r="F4" s="14" t="s">
        <v>12</v>
      </c>
      <c r="G4" s="10">
        <v>5523</v>
      </c>
      <c r="H4" s="12">
        <f>G4</f>
        <v>5523</v>
      </c>
      <c r="I4" s="12">
        <f t="shared" si="3"/>
        <v>33138</v>
      </c>
      <c r="J4" s="10" t="s">
        <v>25</v>
      </c>
      <c r="K4" s="13" t="str">
        <f t="shared" si="4"/>
        <v>Блок1</v>
      </c>
      <c r="L4">
        <v>33138</v>
      </c>
      <c r="M4">
        <f t="shared" si="5"/>
        <v>1</v>
      </c>
      <c r="N4">
        <f t="shared" si="0"/>
        <v>6</v>
      </c>
      <c r="O4" s="23">
        <f t="shared" si="1"/>
        <v>33138</v>
      </c>
    </row>
    <row r="5" spans="1:15" ht="27" customHeight="1" x14ac:dyDescent="0.25">
      <c r="A5" s="13" t="str">
        <f t="shared" si="2"/>
        <v>ВРУ1-1-1</v>
      </c>
      <c r="B5" s="10" t="s">
        <v>26</v>
      </c>
      <c r="C5" s="11" t="s">
        <v>177</v>
      </c>
      <c r="D5" s="10" t="s">
        <v>178</v>
      </c>
      <c r="E5" s="13">
        <v>2</v>
      </c>
      <c r="F5" s="14" t="s">
        <v>12</v>
      </c>
      <c r="G5" s="10">
        <v>25500</v>
      </c>
      <c r="H5" s="12">
        <f>G5</f>
        <v>25500</v>
      </c>
      <c r="I5" s="12">
        <f t="shared" si="3"/>
        <v>51000</v>
      </c>
      <c r="J5" s="10" t="s">
        <v>25</v>
      </c>
      <c r="K5" s="13" t="str">
        <f t="shared" si="4"/>
        <v>Блок1</v>
      </c>
      <c r="L5">
        <v>51000</v>
      </c>
      <c r="M5">
        <f t="shared" si="5"/>
        <v>1</v>
      </c>
      <c r="N5">
        <f t="shared" si="0"/>
        <v>2</v>
      </c>
      <c r="O5" s="23">
        <f t="shared" si="1"/>
        <v>51000</v>
      </c>
    </row>
    <row r="6" spans="1:15" ht="27" customHeight="1" x14ac:dyDescent="0.25">
      <c r="A6" s="13" t="str">
        <f t="shared" si="2"/>
        <v>ВРУ1-1-1</v>
      </c>
      <c r="B6" s="10" t="s">
        <v>127</v>
      </c>
      <c r="C6" s="11" t="s">
        <v>130</v>
      </c>
      <c r="D6" s="10" t="s">
        <v>131</v>
      </c>
      <c r="E6" s="13">
        <v>6</v>
      </c>
      <c r="F6" s="14" t="s">
        <v>12</v>
      </c>
      <c r="G6" s="10">
        <v>4750</v>
      </c>
      <c r="H6" s="12">
        <f t="shared" ref="H6:H7" si="6">0.6*G6</f>
        <v>2850</v>
      </c>
      <c r="I6" s="12">
        <f t="shared" si="3"/>
        <v>17100</v>
      </c>
      <c r="J6" s="10" t="s">
        <v>14</v>
      </c>
      <c r="K6" s="13" t="str">
        <f>K4</f>
        <v>Блок1</v>
      </c>
      <c r="L6">
        <v>17100</v>
      </c>
      <c r="M6">
        <f t="shared" si="5"/>
        <v>1</v>
      </c>
      <c r="N6">
        <f t="shared" si="0"/>
        <v>6</v>
      </c>
      <c r="O6" s="23">
        <f t="shared" si="1"/>
        <v>17100</v>
      </c>
    </row>
    <row r="7" spans="1:15" ht="27" customHeight="1" x14ac:dyDescent="0.25">
      <c r="A7" s="13" t="str">
        <f t="shared" si="2"/>
        <v>ВРУ1-1-1</v>
      </c>
      <c r="B7" s="10" t="s">
        <v>126</v>
      </c>
      <c r="C7" s="11" t="s">
        <v>128</v>
      </c>
      <c r="D7" s="10" t="s">
        <v>129</v>
      </c>
      <c r="E7" s="13">
        <v>6</v>
      </c>
      <c r="F7" s="14" t="s">
        <v>12</v>
      </c>
      <c r="G7" s="10">
        <v>3317</v>
      </c>
      <c r="H7" s="12">
        <f t="shared" si="6"/>
        <v>1990.1999999999998</v>
      </c>
      <c r="I7" s="12">
        <f t="shared" si="3"/>
        <v>11941.199999999999</v>
      </c>
      <c r="J7" s="10" t="s">
        <v>14</v>
      </c>
      <c r="K7" s="13" t="str">
        <f>K5</f>
        <v>Блок1</v>
      </c>
      <c r="L7">
        <v>11941.199999999999</v>
      </c>
      <c r="M7">
        <f t="shared" si="5"/>
        <v>1</v>
      </c>
      <c r="N7">
        <f t="shared" si="0"/>
        <v>6</v>
      </c>
      <c r="O7" s="23">
        <f t="shared" si="1"/>
        <v>11941.199999999999</v>
      </c>
    </row>
    <row r="8" spans="1:15" ht="27" customHeight="1" x14ac:dyDescent="0.25">
      <c r="A8" s="13" t="str">
        <f t="shared" si="2"/>
        <v>ВРУ1-1-1</v>
      </c>
      <c r="B8" s="10" t="s">
        <v>293</v>
      </c>
      <c r="C8" s="11" t="s">
        <v>189</v>
      </c>
      <c r="D8" s="10" t="s">
        <v>190</v>
      </c>
      <c r="E8" s="13">
        <v>2</v>
      </c>
      <c r="F8" s="14" t="s">
        <v>12</v>
      </c>
      <c r="G8" s="10">
        <v>1390</v>
      </c>
      <c r="H8" s="12">
        <f>0.3*G8</f>
        <v>417</v>
      </c>
      <c r="I8" s="12">
        <f t="shared" si="3"/>
        <v>834</v>
      </c>
      <c r="J8" s="10" t="s">
        <v>207</v>
      </c>
      <c r="K8" s="13" t="str">
        <f t="shared" si="4"/>
        <v>Блок1</v>
      </c>
      <c r="L8">
        <v>834</v>
      </c>
      <c r="M8">
        <f t="shared" si="5"/>
        <v>1</v>
      </c>
      <c r="N8">
        <f t="shared" si="0"/>
        <v>2</v>
      </c>
      <c r="O8" s="23">
        <f>N8*G8</f>
        <v>2780</v>
      </c>
    </row>
    <row r="9" spans="1:15" ht="27" customHeight="1" x14ac:dyDescent="0.25">
      <c r="A9" s="13" t="str">
        <f t="shared" si="2"/>
        <v>ВРУ1-1-1</v>
      </c>
      <c r="B9" s="10" t="s">
        <v>15</v>
      </c>
      <c r="C9" s="11" t="s">
        <v>297</v>
      </c>
      <c r="D9" s="24" t="s">
        <v>298</v>
      </c>
      <c r="E9" s="13">
        <v>2</v>
      </c>
      <c r="F9" s="14" t="s">
        <v>12</v>
      </c>
      <c r="G9" s="10">
        <v>89000</v>
      </c>
      <c r="H9" s="12">
        <f>G9</f>
        <v>89000</v>
      </c>
      <c r="I9" s="12">
        <f t="shared" si="3"/>
        <v>178000</v>
      </c>
      <c r="J9" s="10" t="s">
        <v>16</v>
      </c>
      <c r="K9" s="13" t="str">
        <f t="shared" si="4"/>
        <v>Блок1</v>
      </c>
      <c r="L9">
        <v>178000</v>
      </c>
      <c r="M9">
        <f t="shared" si="5"/>
        <v>1</v>
      </c>
      <c r="N9">
        <f t="shared" si="0"/>
        <v>2</v>
      </c>
      <c r="O9" s="23">
        <f t="shared" ref="O9:O15" si="7">N9*H9</f>
        <v>178000</v>
      </c>
    </row>
    <row r="10" spans="1:15" ht="27" customHeight="1" x14ac:dyDescent="0.25">
      <c r="A10" s="13" t="str">
        <f t="shared" si="2"/>
        <v>ВРУ1-1-1</v>
      </c>
      <c r="B10" s="10" t="s">
        <v>30</v>
      </c>
      <c r="C10" s="11"/>
      <c r="D10" s="10" t="s">
        <v>31</v>
      </c>
      <c r="E10" s="13">
        <v>6</v>
      </c>
      <c r="F10" s="14" t="s">
        <v>12</v>
      </c>
      <c r="G10" s="10">
        <v>3850</v>
      </c>
      <c r="H10" s="12">
        <f>G10</f>
        <v>3850</v>
      </c>
      <c r="I10" s="12">
        <f t="shared" si="3"/>
        <v>23100</v>
      </c>
      <c r="J10" s="10" t="s">
        <v>25</v>
      </c>
      <c r="K10" s="13" t="str">
        <f t="shared" si="4"/>
        <v>Блок1</v>
      </c>
      <c r="L10">
        <v>23100</v>
      </c>
      <c r="M10">
        <f t="shared" si="5"/>
        <v>1</v>
      </c>
      <c r="N10">
        <f t="shared" si="0"/>
        <v>6</v>
      </c>
      <c r="O10" s="23">
        <f t="shared" si="7"/>
        <v>23100</v>
      </c>
    </row>
    <row r="11" spans="1:15" ht="27" customHeight="1" x14ac:dyDescent="0.25">
      <c r="A11" s="10" t="str">
        <f t="shared" si="2"/>
        <v>ВРУ1-1-1</v>
      </c>
      <c r="B11" s="10" t="s">
        <v>19</v>
      </c>
      <c r="C11" s="11" t="s">
        <v>19</v>
      </c>
      <c r="D11" s="10" t="s">
        <v>19</v>
      </c>
      <c r="E11" s="10">
        <v>1</v>
      </c>
      <c r="F11" s="10" t="s">
        <v>12</v>
      </c>
      <c r="G11" s="10">
        <f ca="1">OFFSET(G11,1,2)</f>
        <v>48000</v>
      </c>
      <c r="H11" s="12">
        <f ca="1">G11</f>
        <v>48000</v>
      </c>
      <c r="I11" s="12">
        <f t="shared" ca="1" si="3"/>
        <v>48000</v>
      </c>
      <c r="J11" s="10" t="s">
        <v>19</v>
      </c>
      <c r="K11" s="13" t="str">
        <f t="shared" si="4"/>
        <v>Блок1</v>
      </c>
      <c r="L11">
        <v>48000</v>
      </c>
      <c r="M11">
        <f t="shared" si="5"/>
        <v>1</v>
      </c>
      <c r="N11">
        <f t="shared" si="0"/>
        <v>1</v>
      </c>
      <c r="O11" s="23">
        <f t="shared" ca="1" si="7"/>
        <v>48000</v>
      </c>
    </row>
    <row r="12" spans="1:15" ht="27" customHeight="1" x14ac:dyDescent="0.25">
      <c r="A12" s="10" t="str">
        <f t="shared" si="2"/>
        <v>ВРУ1-1-1</v>
      </c>
      <c r="B12" s="10" t="s">
        <v>20</v>
      </c>
      <c r="C12" s="11" t="s">
        <v>20</v>
      </c>
      <c r="D12" s="10" t="s">
        <v>20</v>
      </c>
      <c r="E12" s="10">
        <f>60*G12</f>
        <v>480</v>
      </c>
      <c r="F12" s="10" t="s">
        <v>12</v>
      </c>
      <c r="G12" s="10">
        <v>8</v>
      </c>
      <c r="H12" s="12">
        <v>100</v>
      </c>
      <c r="I12" s="12">
        <f t="shared" si="3"/>
        <v>48000</v>
      </c>
      <c r="J12" s="10" t="s">
        <v>20</v>
      </c>
      <c r="K12" s="13" t="str">
        <f t="shared" si="4"/>
        <v>Блок1</v>
      </c>
      <c r="L12">
        <v>48000</v>
      </c>
      <c r="M12">
        <f t="shared" si="5"/>
        <v>1</v>
      </c>
      <c r="N12">
        <f t="shared" si="0"/>
        <v>480</v>
      </c>
      <c r="O12" s="23">
        <f t="shared" si="7"/>
        <v>48000</v>
      </c>
    </row>
    <row r="13" spans="1:15" ht="27" customHeight="1" x14ac:dyDescent="0.25">
      <c r="A13" s="15" t="str">
        <f t="shared" si="2"/>
        <v>ВРУ1-1-1</v>
      </c>
      <c r="B13" s="15"/>
      <c r="C13" s="15"/>
      <c r="D13" s="16"/>
      <c r="E13" s="15"/>
      <c r="F13" s="19"/>
      <c r="G13" s="17"/>
      <c r="H13" s="12">
        <f>G13*0.55</f>
        <v>0</v>
      </c>
      <c r="I13" s="18">
        <f ca="1">SUM(I3:I12)</f>
        <v>505013.2</v>
      </c>
      <c r="J13" s="15"/>
      <c r="K13" s="13" t="str">
        <f t="shared" si="4"/>
        <v>Блок1</v>
      </c>
      <c r="L13">
        <v>505013.2</v>
      </c>
      <c r="M13">
        <f t="shared" si="5"/>
        <v>1</v>
      </c>
      <c r="N13">
        <f t="shared" si="0"/>
        <v>0</v>
      </c>
      <c r="O13" s="23">
        <f t="shared" si="7"/>
        <v>0</v>
      </c>
    </row>
    <row r="14" spans="1:15" ht="27" customHeight="1" x14ac:dyDescent="0.25">
      <c r="A14" s="8" t="str">
        <f>D14</f>
        <v>РУ-1-1</v>
      </c>
      <c r="B14" s="4"/>
      <c r="C14" s="5"/>
      <c r="D14" s="4" t="s">
        <v>32</v>
      </c>
      <c r="E14" s="8">
        <v>1</v>
      </c>
      <c r="F14" s="9" t="s">
        <v>9</v>
      </c>
      <c r="G14" s="6"/>
      <c r="H14" s="6"/>
      <c r="I14" s="7"/>
      <c r="J14" s="4" t="s">
        <v>10</v>
      </c>
      <c r="K14" s="8" t="s">
        <v>22</v>
      </c>
      <c r="M14">
        <f>E14</f>
        <v>1</v>
      </c>
      <c r="N14">
        <f t="shared" si="0"/>
        <v>1</v>
      </c>
      <c r="O14" s="23">
        <f t="shared" si="7"/>
        <v>0</v>
      </c>
    </row>
    <row r="15" spans="1:15" ht="27" customHeight="1" x14ac:dyDescent="0.25">
      <c r="A15" s="13" t="str">
        <f t="shared" ref="A15:A22" si="8">A14</f>
        <v>РУ-1-1</v>
      </c>
      <c r="B15" s="10" t="s">
        <v>11</v>
      </c>
      <c r="C15" s="11" t="s">
        <v>170</v>
      </c>
      <c r="D15" s="10" t="s">
        <v>171</v>
      </c>
      <c r="E15" s="13">
        <v>1</v>
      </c>
      <c r="F15" s="14" t="s">
        <v>12</v>
      </c>
      <c r="G15" s="10">
        <v>145000</v>
      </c>
      <c r="H15" s="12">
        <f>0.6*G15</f>
        <v>87000</v>
      </c>
      <c r="I15" s="12">
        <f t="shared" ref="I15:I21" si="9">H15*E15</f>
        <v>87000</v>
      </c>
      <c r="J15" s="10" t="s">
        <v>13</v>
      </c>
      <c r="K15" s="13" t="str">
        <f t="shared" ref="K15:K22" si="10">K14</f>
        <v>Блок1</v>
      </c>
      <c r="L15">
        <v>87000</v>
      </c>
      <c r="M15">
        <f t="shared" ref="M15:M22" si="11">M14</f>
        <v>1</v>
      </c>
      <c r="N15">
        <f t="shared" si="0"/>
        <v>1</v>
      </c>
      <c r="O15" s="23">
        <f t="shared" si="7"/>
        <v>87000</v>
      </c>
    </row>
    <row r="16" spans="1:15" ht="27" customHeight="1" x14ac:dyDescent="0.25">
      <c r="A16" s="13" t="str">
        <f t="shared" si="8"/>
        <v>РУ-1-1</v>
      </c>
      <c r="B16" s="10" t="s">
        <v>294</v>
      </c>
      <c r="C16" s="11" t="s">
        <v>225</v>
      </c>
      <c r="D16" s="10" t="s">
        <v>226</v>
      </c>
      <c r="E16" s="13">
        <v>2</v>
      </c>
      <c r="F16" s="14" t="s">
        <v>12</v>
      </c>
      <c r="G16" s="10">
        <v>17300</v>
      </c>
      <c r="H16" s="12">
        <f t="shared" ref="H16:H19" si="12">0.3*G16</f>
        <v>5190</v>
      </c>
      <c r="I16" s="12">
        <f t="shared" si="9"/>
        <v>10380</v>
      </c>
      <c r="J16" s="10" t="s">
        <v>207</v>
      </c>
      <c r="K16" s="13" t="str">
        <f t="shared" si="10"/>
        <v>Блок1</v>
      </c>
      <c r="L16">
        <v>10380</v>
      </c>
      <c r="M16">
        <f t="shared" si="11"/>
        <v>1</v>
      </c>
      <c r="N16">
        <f t="shared" si="0"/>
        <v>2</v>
      </c>
      <c r="O16" s="23">
        <f>N16*G16</f>
        <v>34600</v>
      </c>
    </row>
    <row r="17" spans="1:16" ht="27" customHeight="1" x14ac:dyDescent="0.25">
      <c r="A17" s="13" t="str">
        <f t="shared" si="8"/>
        <v>РУ-1-1</v>
      </c>
      <c r="B17" s="10" t="s">
        <v>294</v>
      </c>
      <c r="C17" s="11" t="s">
        <v>227</v>
      </c>
      <c r="D17" s="10" t="s">
        <v>228</v>
      </c>
      <c r="E17" s="13">
        <v>1</v>
      </c>
      <c r="F17" s="14" t="s">
        <v>12</v>
      </c>
      <c r="G17" s="10">
        <v>29990</v>
      </c>
      <c r="H17" s="12">
        <f t="shared" si="12"/>
        <v>8997</v>
      </c>
      <c r="I17" s="12">
        <f t="shared" si="9"/>
        <v>8997</v>
      </c>
      <c r="J17" s="10" t="s">
        <v>207</v>
      </c>
      <c r="K17" s="13" t="str">
        <f t="shared" si="10"/>
        <v>Блок1</v>
      </c>
      <c r="L17">
        <v>8997</v>
      </c>
      <c r="M17">
        <f t="shared" si="11"/>
        <v>1</v>
      </c>
      <c r="N17">
        <f t="shared" si="0"/>
        <v>1</v>
      </c>
      <c r="O17" s="23">
        <f>N17*G17</f>
        <v>29990</v>
      </c>
    </row>
    <row r="18" spans="1:16" ht="27" customHeight="1" x14ac:dyDescent="0.25">
      <c r="A18" s="13" t="str">
        <f>A16</f>
        <v>РУ-1-1</v>
      </c>
      <c r="B18" s="10" t="s">
        <v>293</v>
      </c>
      <c r="C18" s="11" t="s">
        <v>322</v>
      </c>
      <c r="D18" s="10" t="s">
        <v>323</v>
      </c>
      <c r="E18" s="13">
        <v>1</v>
      </c>
      <c r="F18" s="14" t="s">
        <v>12</v>
      </c>
      <c r="G18" s="10">
        <v>7225</v>
      </c>
      <c r="H18" s="12">
        <f t="shared" ref="H18" si="13">0.3*G18</f>
        <v>2167.5</v>
      </c>
      <c r="I18" s="12">
        <f t="shared" ref="I18" si="14">H18*E18</f>
        <v>2167.5</v>
      </c>
      <c r="J18" s="10" t="s">
        <v>207</v>
      </c>
      <c r="K18" s="13" t="str">
        <f>K16</f>
        <v>Блок1</v>
      </c>
      <c r="L18">
        <v>2167.5</v>
      </c>
      <c r="M18">
        <f>M16</f>
        <v>1</v>
      </c>
      <c r="N18">
        <f t="shared" ref="N18" si="15">M18*E18</f>
        <v>1</v>
      </c>
      <c r="O18" s="23">
        <f>N18*G18</f>
        <v>7225</v>
      </c>
      <c r="P18" t="s">
        <v>321</v>
      </c>
    </row>
    <row r="19" spans="1:16" ht="27" customHeight="1" x14ac:dyDescent="0.25">
      <c r="A19" s="13" t="str">
        <f>A17</f>
        <v>РУ-1-1</v>
      </c>
      <c r="B19" s="10" t="s">
        <v>293</v>
      </c>
      <c r="C19" s="11" t="s">
        <v>217</v>
      </c>
      <c r="D19" s="10" t="s">
        <v>218</v>
      </c>
      <c r="E19" s="13">
        <v>1</v>
      </c>
      <c r="F19" s="14" t="s">
        <v>12</v>
      </c>
      <c r="G19" s="10">
        <v>7850</v>
      </c>
      <c r="H19" s="12">
        <f t="shared" si="12"/>
        <v>2355</v>
      </c>
      <c r="I19" s="12">
        <f t="shared" si="9"/>
        <v>2355</v>
      </c>
      <c r="J19" s="10" t="s">
        <v>207</v>
      </c>
      <c r="K19" s="13" t="str">
        <f>K17</f>
        <v>Блок1</v>
      </c>
      <c r="L19">
        <v>2355</v>
      </c>
      <c r="M19">
        <f>M17</f>
        <v>1</v>
      </c>
      <c r="N19">
        <f t="shared" si="0"/>
        <v>1</v>
      </c>
      <c r="O19" s="23">
        <f>N19*G19</f>
        <v>7850</v>
      </c>
    </row>
    <row r="20" spans="1:16" ht="27" customHeight="1" x14ac:dyDescent="0.25">
      <c r="A20" s="10" t="str">
        <f t="shared" si="8"/>
        <v>РУ-1-1</v>
      </c>
      <c r="B20" s="10" t="s">
        <v>19</v>
      </c>
      <c r="C20" s="11" t="s">
        <v>19</v>
      </c>
      <c r="D20" s="10" t="s">
        <v>19</v>
      </c>
      <c r="E20" s="10">
        <v>1</v>
      </c>
      <c r="F20" s="10" t="s">
        <v>12</v>
      </c>
      <c r="G20" s="10">
        <f ca="1">OFFSET(G20,1,2)</f>
        <v>27000</v>
      </c>
      <c r="H20" s="12">
        <f ca="1">G20</f>
        <v>27000</v>
      </c>
      <c r="I20" s="12">
        <f t="shared" ca="1" si="9"/>
        <v>27000</v>
      </c>
      <c r="J20" s="10" t="s">
        <v>19</v>
      </c>
      <c r="K20" s="13" t="str">
        <f t="shared" si="10"/>
        <v>Блок1</v>
      </c>
      <c r="L20">
        <v>27000</v>
      </c>
      <c r="M20">
        <f t="shared" si="11"/>
        <v>1</v>
      </c>
      <c r="N20">
        <f t="shared" si="0"/>
        <v>1</v>
      </c>
      <c r="O20" s="23">
        <f ca="1">N20*H20</f>
        <v>27000</v>
      </c>
    </row>
    <row r="21" spans="1:16" ht="27" customHeight="1" x14ac:dyDescent="0.25">
      <c r="A21" s="10" t="str">
        <f t="shared" si="8"/>
        <v>РУ-1-1</v>
      </c>
      <c r="B21" s="10" t="s">
        <v>20</v>
      </c>
      <c r="C21" s="11" t="s">
        <v>20</v>
      </c>
      <c r="D21" s="10" t="s">
        <v>20</v>
      </c>
      <c r="E21" s="10">
        <f>60*G21</f>
        <v>270</v>
      </c>
      <c r="F21" s="10" t="s">
        <v>12</v>
      </c>
      <c r="G21" s="10">
        <v>4.5</v>
      </c>
      <c r="H21" s="12">
        <v>100</v>
      </c>
      <c r="I21" s="12">
        <f t="shared" si="9"/>
        <v>27000</v>
      </c>
      <c r="J21" s="10" t="s">
        <v>20</v>
      </c>
      <c r="K21" s="13" t="str">
        <f t="shared" si="10"/>
        <v>Блок1</v>
      </c>
      <c r="L21">
        <v>27000</v>
      </c>
      <c r="M21">
        <f t="shared" si="11"/>
        <v>1</v>
      </c>
      <c r="N21">
        <f t="shared" si="0"/>
        <v>270</v>
      </c>
      <c r="O21" s="23">
        <f>N21*H21</f>
        <v>27000</v>
      </c>
    </row>
    <row r="22" spans="1:16" ht="27" customHeight="1" x14ac:dyDescent="0.25">
      <c r="A22" s="15" t="str">
        <f t="shared" si="8"/>
        <v>РУ-1-1</v>
      </c>
      <c r="B22" s="15"/>
      <c r="C22" s="15"/>
      <c r="D22" s="16"/>
      <c r="E22" s="15"/>
      <c r="F22" s="19"/>
      <c r="G22" s="17"/>
      <c r="H22" s="12">
        <f t="shared" ref="H22" si="16">G22*0.55</f>
        <v>0</v>
      </c>
      <c r="I22" s="18">
        <f ca="1">SUM(I15:I21)</f>
        <v>164899.5</v>
      </c>
      <c r="J22" s="15"/>
      <c r="K22" s="13" t="str">
        <f t="shared" si="10"/>
        <v>Блок1</v>
      </c>
      <c r="L22">
        <v>164899.5</v>
      </c>
      <c r="M22">
        <f t="shared" si="11"/>
        <v>1</v>
      </c>
      <c r="N22">
        <f t="shared" si="0"/>
        <v>0</v>
      </c>
      <c r="O22" s="23">
        <f>N22*H22</f>
        <v>0</v>
      </c>
    </row>
    <row r="23" spans="1:16" ht="27" customHeight="1" x14ac:dyDescent="0.25">
      <c r="A23" s="8" t="str">
        <f>D23</f>
        <v>РУ-1-2</v>
      </c>
      <c r="B23" s="4"/>
      <c r="C23" s="5"/>
      <c r="D23" s="4" t="s">
        <v>36</v>
      </c>
      <c r="E23" s="8">
        <v>1</v>
      </c>
      <c r="F23" s="9" t="s">
        <v>9</v>
      </c>
      <c r="G23" s="6"/>
      <c r="H23" s="6"/>
      <c r="I23" s="7"/>
      <c r="J23" s="4" t="s">
        <v>10</v>
      </c>
      <c r="K23" s="8" t="s">
        <v>22</v>
      </c>
      <c r="M23">
        <f>E23</f>
        <v>1</v>
      </c>
      <c r="N23">
        <f t="shared" si="0"/>
        <v>1</v>
      </c>
      <c r="O23" s="23">
        <f>N23*H23</f>
        <v>0</v>
      </c>
    </row>
    <row r="24" spans="1:16" ht="27" customHeight="1" x14ac:dyDescent="0.25">
      <c r="A24" s="13" t="str">
        <f t="shared" ref="A24:A32" si="17">A23</f>
        <v>РУ-1-2</v>
      </c>
      <c r="B24" s="10" t="s">
        <v>11</v>
      </c>
      <c r="C24" s="11" t="s">
        <v>170</v>
      </c>
      <c r="D24" s="10" t="s">
        <v>171</v>
      </c>
      <c r="E24" s="13">
        <v>1</v>
      </c>
      <c r="F24" s="14" t="s">
        <v>12</v>
      </c>
      <c r="G24" s="10">
        <v>145000</v>
      </c>
      <c r="H24" s="12">
        <f>0.6*G24</f>
        <v>87000</v>
      </c>
      <c r="I24" s="12">
        <f t="shared" ref="I24:I31" si="18">H24*E24</f>
        <v>87000</v>
      </c>
      <c r="J24" s="10" t="s">
        <v>13</v>
      </c>
      <c r="K24" s="13" t="str">
        <f t="shared" ref="K24:K32" si="19">K23</f>
        <v>Блок1</v>
      </c>
      <c r="L24">
        <v>87000</v>
      </c>
      <c r="M24">
        <f t="shared" ref="M24:M32" si="20">M23</f>
        <v>1</v>
      </c>
      <c r="N24">
        <f t="shared" si="0"/>
        <v>1</v>
      </c>
      <c r="O24" s="23">
        <f>N24*H24</f>
        <v>87000</v>
      </c>
    </row>
    <row r="25" spans="1:16" ht="27" customHeight="1" x14ac:dyDescent="0.25">
      <c r="A25" s="13" t="str">
        <f t="shared" si="17"/>
        <v>РУ-1-2</v>
      </c>
      <c r="B25" s="10" t="s">
        <v>294</v>
      </c>
      <c r="C25" s="11" t="s">
        <v>227</v>
      </c>
      <c r="D25" s="10" t="s">
        <v>228</v>
      </c>
      <c r="E25" s="13">
        <v>1</v>
      </c>
      <c r="F25" s="14" t="s">
        <v>12</v>
      </c>
      <c r="G25" s="10">
        <v>29990</v>
      </c>
      <c r="H25" s="12">
        <f t="shared" ref="H25:H27" si="21">0.3*G25</f>
        <v>8997</v>
      </c>
      <c r="I25" s="12">
        <f t="shared" si="18"/>
        <v>8997</v>
      </c>
      <c r="J25" s="10" t="s">
        <v>207</v>
      </c>
      <c r="K25" s="13" t="str">
        <f t="shared" si="19"/>
        <v>Блок1</v>
      </c>
      <c r="L25">
        <v>8997</v>
      </c>
      <c r="M25">
        <f t="shared" si="20"/>
        <v>1</v>
      </c>
      <c r="N25">
        <f t="shared" si="0"/>
        <v>1</v>
      </c>
      <c r="O25" s="23">
        <f>N25*G25</f>
        <v>29990</v>
      </c>
    </row>
    <row r="26" spans="1:16" ht="27" customHeight="1" x14ac:dyDescent="0.25">
      <c r="A26" s="13" t="str">
        <f t="shared" si="17"/>
        <v>РУ-1-2</v>
      </c>
      <c r="B26" s="10" t="s">
        <v>294</v>
      </c>
      <c r="C26" s="11" t="s">
        <v>211</v>
      </c>
      <c r="D26" s="10" t="s">
        <v>212</v>
      </c>
      <c r="E26" s="13">
        <v>1</v>
      </c>
      <c r="F26" s="14" t="s">
        <v>12</v>
      </c>
      <c r="G26" s="10">
        <v>16550</v>
      </c>
      <c r="H26" s="12">
        <f t="shared" si="21"/>
        <v>4965</v>
      </c>
      <c r="I26" s="12">
        <f t="shared" si="18"/>
        <v>4965</v>
      </c>
      <c r="J26" s="10" t="s">
        <v>207</v>
      </c>
      <c r="K26" s="13" t="str">
        <f t="shared" si="19"/>
        <v>Блок1</v>
      </c>
      <c r="L26">
        <v>4965</v>
      </c>
      <c r="M26">
        <f t="shared" si="20"/>
        <v>1</v>
      </c>
      <c r="N26">
        <f t="shared" si="0"/>
        <v>1</v>
      </c>
      <c r="O26" s="23">
        <f>N26*G26</f>
        <v>16550</v>
      </c>
    </row>
    <row r="27" spans="1:16" ht="27" customHeight="1" x14ac:dyDescent="0.25">
      <c r="A27" s="13" t="str">
        <f t="shared" si="17"/>
        <v>РУ-1-2</v>
      </c>
      <c r="B27" s="10" t="s">
        <v>294</v>
      </c>
      <c r="C27" s="11" t="s">
        <v>223</v>
      </c>
      <c r="D27" s="10" t="s">
        <v>224</v>
      </c>
      <c r="E27" s="13">
        <v>2</v>
      </c>
      <c r="F27" s="14" t="s">
        <v>12</v>
      </c>
      <c r="G27" s="10">
        <v>16550</v>
      </c>
      <c r="H27" s="12">
        <f t="shared" si="21"/>
        <v>4965</v>
      </c>
      <c r="I27" s="12">
        <f t="shared" si="18"/>
        <v>9930</v>
      </c>
      <c r="J27" s="10" t="s">
        <v>207</v>
      </c>
      <c r="K27" s="13" t="str">
        <f t="shared" si="19"/>
        <v>Блок1</v>
      </c>
      <c r="L27">
        <v>9930</v>
      </c>
      <c r="M27">
        <f t="shared" si="20"/>
        <v>1</v>
      </c>
      <c r="N27">
        <f t="shared" si="0"/>
        <v>2</v>
      </c>
      <c r="O27" s="23">
        <f>N27*G27</f>
        <v>33100</v>
      </c>
    </row>
    <row r="28" spans="1:16" ht="27" customHeight="1" x14ac:dyDescent="0.25">
      <c r="A28" s="13" t="str">
        <f t="shared" si="17"/>
        <v>РУ-1-2</v>
      </c>
      <c r="B28" s="10" t="s">
        <v>294</v>
      </c>
      <c r="C28" s="11" t="s">
        <v>322</v>
      </c>
      <c r="D28" s="10" t="s">
        <v>323</v>
      </c>
      <c r="E28" s="13">
        <v>1</v>
      </c>
      <c r="F28" s="14" t="s">
        <v>12</v>
      </c>
      <c r="G28" s="10">
        <v>7225</v>
      </c>
      <c r="H28" s="12">
        <f t="shared" ref="H28" si="22">0.3*G28</f>
        <v>2167.5</v>
      </c>
      <c r="I28" s="12">
        <f t="shared" ref="I28" si="23">H28*E28</f>
        <v>2167.5</v>
      </c>
      <c r="J28" s="10" t="s">
        <v>207</v>
      </c>
      <c r="K28" s="13" t="str">
        <f t="shared" si="19"/>
        <v>Блок1</v>
      </c>
      <c r="L28">
        <v>2167.5</v>
      </c>
      <c r="M28">
        <f t="shared" si="20"/>
        <v>1</v>
      </c>
      <c r="N28">
        <f t="shared" ref="N28" si="24">M28*E28</f>
        <v>1</v>
      </c>
      <c r="O28" s="23">
        <f>N28*G28</f>
        <v>7225</v>
      </c>
    </row>
    <row r="29" spans="1:16" ht="27" customHeight="1" x14ac:dyDescent="0.25">
      <c r="A29" s="13" t="str">
        <f>A27</f>
        <v>РУ-1-2</v>
      </c>
      <c r="B29" s="10" t="s">
        <v>15</v>
      </c>
      <c r="C29" s="11" t="s">
        <v>301</v>
      </c>
      <c r="D29" s="10" t="s">
        <v>302</v>
      </c>
      <c r="E29" s="13">
        <v>2</v>
      </c>
      <c r="F29" s="14" t="s">
        <v>12</v>
      </c>
      <c r="G29" s="10">
        <v>32300</v>
      </c>
      <c r="H29" s="12">
        <f>G29</f>
        <v>32300</v>
      </c>
      <c r="I29" s="12">
        <f t="shared" si="18"/>
        <v>64600</v>
      </c>
      <c r="J29" s="10" t="s">
        <v>16</v>
      </c>
      <c r="K29" s="13" t="str">
        <f>K27</f>
        <v>Блок1</v>
      </c>
      <c r="L29">
        <v>64600</v>
      </c>
      <c r="M29">
        <f t="shared" ref="M29" si="25">M27</f>
        <v>1</v>
      </c>
      <c r="N29">
        <f t="shared" si="0"/>
        <v>2</v>
      </c>
      <c r="O29" s="23">
        <f t="shared" ref="O29:O34" si="26">N29*H29</f>
        <v>64600</v>
      </c>
    </row>
    <row r="30" spans="1:16" ht="27" customHeight="1" x14ac:dyDescent="0.25">
      <c r="A30" s="10" t="str">
        <f>A27</f>
        <v>РУ-1-2</v>
      </c>
      <c r="B30" s="10" t="s">
        <v>19</v>
      </c>
      <c r="C30" s="11" t="s">
        <v>19</v>
      </c>
      <c r="D30" s="10" t="s">
        <v>19</v>
      </c>
      <c r="E30" s="10">
        <v>1</v>
      </c>
      <c r="F30" s="10" t="s">
        <v>12</v>
      </c>
      <c r="G30" s="10">
        <f ca="1">OFFSET(G30,1,2)</f>
        <v>27000</v>
      </c>
      <c r="H30" s="12">
        <f ca="1">G30</f>
        <v>27000</v>
      </c>
      <c r="I30" s="12">
        <f t="shared" ca="1" si="18"/>
        <v>27000</v>
      </c>
      <c r="J30" s="10" t="s">
        <v>19</v>
      </c>
      <c r="K30" s="13" t="str">
        <f t="shared" si="19"/>
        <v>Блок1</v>
      </c>
      <c r="L30">
        <v>27000</v>
      </c>
      <c r="M30">
        <f>M27</f>
        <v>1</v>
      </c>
      <c r="N30">
        <f t="shared" si="0"/>
        <v>1</v>
      </c>
      <c r="O30" s="23">
        <f t="shared" ca="1" si="26"/>
        <v>27000</v>
      </c>
    </row>
    <row r="31" spans="1:16" ht="27" customHeight="1" x14ac:dyDescent="0.25">
      <c r="A31" s="10" t="str">
        <f t="shared" si="17"/>
        <v>РУ-1-2</v>
      </c>
      <c r="B31" s="10" t="s">
        <v>20</v>
      </c>
      <c r="C31" s="11" t="s">
        <v>20</v>
      </c>
      <c r="D31" s="10" t="s">
        <v>20</v>
      </c>
      <c r="E31" s="10">
        <f>60*G31</f>
        <v>270</v>
      </c>
      <c r="F31" s="10" t="s">
        <v>12</v>
      </c>
      <c r="G31" s="10">
        <v>4.5</v>
      </c>
      <c r="H31" s="12">
        <v>100</v>
      </c>
      <c r="I31" s="12">
        <f t="shared" si="18"/>
        <v>27000</v>
      </c>
      <c r="J31" s="10" t="s">
        <v>20</v>
      </c>
      <c r="K31" s="13" t="str">
        <f t="shared" si="19"/>
        <v>Блок1</v>
      </c>
      <c r="L31">
        <v>27000</v>
      </c>
      <c r="M31">
        <f t="shared" si="20"/>
        <v>1</v>
      </c>
      <c r="N31">
        <f t="shared" si="0"/>
        <v>270</v>
      </c>
      <c r="O31" s="23">
        <f t="shared" si="26"/>
        <v>27000</v>
      </c>
    </row>
    <row r="32" spans="1:16" ht="27" customHeight="1" x14ac:dyDescent="0.25">
      <c r="A32" s="15" t="str">
        <f t="shared" si="17"/>
        <v>РУ-1-2</v>
      </c>
      <c r="B32" s="15"/>
      <c r="C32" s="15"/>
      <c r="D32" s="16"/>
      <c r="E32" s="15"/>
      <c r="F32" s="19"/>
      <c r="G32" s="17"/>
      <c r="H32" s="12">
        <f>G32*0.55</f>
        <v>0</v>
      </c>
      <c r="I32" s="18">
        <f ca="1">SUM(I24:I31)</f>
        <v>231659.5</v>
      </c>
      <c r="J32" s="15"/>
      <c r="K32" s="13" t="str">
        <f t="shared" si="19"/>
        <v>Блок1</v>
      </c>
      <c r="L32">
        <v>231659.5</v>
      </c>
      <c r="M32">
        <f t="shared" si="20"/>
        <v>1</v>
      </c>
      <c r="N32">
        <f t="shared" si="0"/>
        <v>0</v>
      </c>
      <c r="O32" s="23">
        <f t="shared" si="26"/>
        <v>0</v>
      </c>
    </row>
    <row r="33" spans="1:15" ht="27" customHeight="1" x14ac:dyDescent="0.25">
      <c r="A33" s="8" t="str">
        <f>D33</f>
        <v>ЩУР.МОП1</v>
      </c>
      <c r="B33" s="4"/>
      <c r="C33" s="5"/>
      <c r="D33" s="4" t="s">
        <v>39</v>
      </c>
      <c r="E33" s="8">
        <v>1</v>
      </c>
      <c r="F33" s="9" t="s">
        <v>9</v>
      </c>
      <c r="G33" s="6"/>
      <c r="H33" s="6"/>
      <c r="I33" s="7"/>
      <c r="J33" s="4" t="s">
        <v>10</v>
      </c>
      <c r="K33" s="8" t="s">
        <v>22</v>
      </c>
      <c r="M33">
        <f>E33</f>
        <v>1</v>
      </c>
      <c r="N33">
        <f t="shared" si="0"/>
        <v>1</v>
      </c>
      <c r="O33" s="23">
        <f t="shared" si="26"/>
        <v>0</v>
      </c>
    </row>
    <row r="34" spans="1:15" ht="27" customHeight="1" x14ac:dyDescent="0.25">
      <c r="A34" s="13" t="str">
        <f t="shared" ref="A34:A42" si="27">A33</f>
        <v>ЩУР.МОП1</v>
      </c>
      <c r="B34" s="10" t="s">
        <v>11</v>
      </c>
      <c r="C34" s="11" t="s">
        <v>328</v>
      </c>
      <c r="D34" s="10" t="s">
        <v>329</v>
      </c>
      <c r="E34" s="13">
        <v>1</v>
      </c>
      <c r="F34" s="14" t="s">
        <v>12</v>
      </c>
      <c r="G34" s="10">
        <v>27000</v>
      </c>
      <c r="H34" s="12">
        <f>0.6*G34</f>
        <v>16200</v>
      </c>
      <c r="I34" s="12">
        <f t="shared" ref="I34:I41" si="28">H34*E34</f>
        <v>16200</v>
      </c>
      <c r="J34" s="10" t="s">
        <v>13</v>
      </c>
      <c r="K34" s="13" t="str">
        <f t="shared" ref="K34:K42" si="29">K33</f>
        <v>Блок1</v>
      </c>
      <c r="L34">
        <v>16200</v>
      </c>
      <c r="M34">
        <f t="shared" ref="M34:M42" si="30">M33</f>
        <v>1</v>
      </c>
      <c r="N34">
        <f t="shared" si="0"/>
        <v>1</v>
      </c>
      <c r="O34" s="23">
        <f t="shared" si="26"/>
        <v>16200</v>
      </c>
    </row>
    <row r="35" spans="1:15" ht="27" customHeight="1" x14ac:dyDescent="0.25">
      <c r="A35" s="13" t="str">
        <f t="shared" si="27"/>
        <v>ЩУР.МОП1</v>
      </c>
      <c r="B35" s="10" t="s">
        <v>293</v>
      </c>
      <c r="C35" s="11" t="s">
        <v>324</v>
      </c>
      <c r="D35" s="10" t="s">
        <v>325</v>
      </c>
      <c r="E35" s="13">
        <v>1</v>
      </c>
      <c r="F35" s="14" t="s">
        <v>12</v>
      </c>
      <c r="G35" s="10">
        <v>16975</v>
      </c>
      <c r="H35" s="12">
        <f t="shared" ref="H35:H37" si="31">0.3*G35</f>
        <v>5092.5</v>
      </c>
      <c r="I35" s="12">
        <f t="shared" si="28"/>
        <v>5092.5</v>
      </c>
      <c r="J35" s="10" t="s">
        <v>207</v>
      </c>
      <c r="K35" s="13" t="str">
        <f t="shared" si="29"/>
        <v>Блок1</v>
      </c>
      <c r="L35">
        <v>5092.5</v>
      </c>
      <c r="M35">
        <f t="shared" si="30"/>
        <v>1</v>
      </c>
      <c r="N35">
        <f t="shared" si="0"/>
        <v>1</v>
      </c>
      <c r="O35" s="23">
        <f>N35*G35</f>
        <v>16975</v>
      </c>
    </row>
    <row r="36" spans="1:15" ht="27" customHeight="1" x14ac:dyDescent="0.25">
      <c r="A36" s="13" t="str">
        <f t="shared" si="27"/>
        <v>ЩУР.МОП1</v>
      </c>
      <c r="B36" s="10" t="s">
        <v>293</v>
      </c>
      <c r="C36" s="11" t="s">
        <v>199</v>
      </c>
      <c r="D36" s="10" t="s">
        <v>200</v>
      </c>
      <c r="E36" s="13">
        <v>2</v>
      </c>
      <c r="F36" s="14" t="s">
        <v>12</v>
      </c>
      <c r="G36" s="10">
        <v>5950</v>
      </c>
      <c r="H36" s="12">
        <f t="shared" si="31"/>
        <v>1785</v>
      </c>
      <c r="I36" s="12">
        <f t="shared" si="28"/>
        <v>3570</v>
      </c>
      <c r="J36" s="10" t="s">
        <v>207</v>
      </c>
      <c r="K36" s="13" t="str">
        <f t="shared" si="29"/>
        <v>Блок1</v>
      </c>
      <c r="L36">
        <v>3570</v>
      </c>
      <c r="M36">
        <f t="shared" si="30"/>
        <v>1</v>
      </c>
      <c r="N36">
        <f t="shared" si="0"/>
        <v>2</v>
      </c>
      <c r="O36" s="23">
        <f>N36*G36</f>
        <v>11900</v>
      </c>
    </row>
    <row r="37" spans="1:15" ht="27" customHeight="1" x14ac:dyDescent="0.25">
      <c r="A37" s="13" t="str">
        <f t="shared" si="27"/>
        <v>ЩУР.МОП1</v>
      </c>
      <c r="B37" s="10" t="s">
        <v>293</v>
      </c>
      <c r="C37" s="11" t="s">
        <v>193</v>
      </c>
      <c r="D37" s="10" t="s">
        <v>194</v>
      </c>
      <c r="E37" s="13">
        <v>3</v>
      </c>
      <c r="F37" s="14" t="s">
        <v>12</v>
      </c>
      <c r="G37" s="10">
        <v>6580</v>
      </c>
      <c r="H37" s="12">
        <f t="shared" si="31"/>
        <v>1974</v>
      </c>
      <c r="I37" s="12">
        <f t="shared" si="28"/>
        <v>5922</v>
      </c>
      <c r="J37" s="10" t="s">
        <v>207</v>
      </c>
      <c r="K37" s="13" t="str">
        <f t="shared" si="29"/>
        <v>Блок1</v>
      </c>
      <c r="L37">
        <v>5922</v>
      </c>
      <c r="M37">
        <f t="shared" si="30"/>
        <v>1</v>
      </c>
      <c r="N37">
        <f t="shared" si="0"/>
        <v>3</v>
      </c>
      <c r="O37" s="23">
        <f>N37*G37</f>
        <v>19740</v>
      </c>
    </row>
    <row r="38" spans="1:15" ht="27" customHeight="1" x14ac:dyDescent="0.25">
      <c r="A38" s="13" t="str">
        <f t="shared" si="27"/>
        <v>ЩУР.МОП1</v>
      </c>
      <c r="B38" s="10" t="s">
        <v>18</v>
      </c>
      <c r="C38" s="11" t="s">
        <v>326</v>
      </c>
      <c r="D38" s="10" t="s">
        <v>327</v>
      </c>
      <c r="E38" s="13">
        <v>2</v>
      </c>
      <c r="F38" s="14" t="s">
        <v>12</v>
      </c>
      <c r="G38" s="10">
        <v>12580</v>
      </c>
      <c r="H38" s="12">
        <f t="shared" ref="H38" si="32">0.3*G38</f>
        <v>3774</v>
      </c>
      <c r="I38" s="12">
        <f t="shared" ref="I38" si="33">H38*E38</f>
        <v>7548</v>
      </c>
      <c r="J38" s="10" t="s">
        <v>207</v>
      </c>
      <c r="K38" s="13" t="str">
        <f t="shared" si="29"/>
        <v>Блок1</v>
      </c>
      <c r="L38">
        <v>7548</v>
      </c>
      <c r="M38">
        <f t="shared" si="30"/>
        <v>1</v>
      </c>
      <c r="N38">
        <f t="shared" ref="N38" si="34">M38*E38</f>
        <v>2</v>
      </c>
      <c r="O38" s="23">
        <f>N38*G38</f>
        <v>25160</v>
      </c>
    </row>
    <row r="39" spans="1:15" ht="27" customHeight="1" x14ac:dyDescent="0.25">
      <c r="A39" s="13" t="str">
        <f>A37</f>
        <v>ЩУР.МОП1</v>
      </c>
      <c r="B39" s="10" t="s">
        <v>15</v>
      </c>
      <c r="C39" s="11" t="s">
        <v>299</v>
      </c>
      <c r="D39" s="10" t="s">
        <v>300</v>
      </c>
      <c r="E39" s="13">
        <v>1</v>
      </c>
      <c r="F39" s="14" t="s">
        <v>12</v>
      </c>
      <c r="G39" s="10">
        <v>32400</v>
      </c>
      <c r="H39" s="12">
        <f>G39</f>
        <v>32400</v>
      </c>
      <c r="I39" s="12">
        <f t="shared" si="28"/>
        <v>32400</v>
      </c>
      <c r="J39" s="10" t="s">
        <v>16</v>
      </c>
      <c r="K39" s="13" t="str">
        <f>K37</f>
        <v>Блок1</v>
      </c>
      <c r="L39">
        <v>32400</v>
      </c>
      <c r="M39">
        <f>M37</f>
        <v>1</v>
      </c>
      <c r="N39">
        <f t="shared" si="0"/>
        <v>1</v>
      </c>
      <c r="O39" s="23">
        <f t="shared" ref="O39:O45" si="35">N39*H39</f>
        <v>32400</v>
      </c>
    </row>
    <row r="40" spans="1:15" ht="27" customHeight="1" x14ac:dyDescent="0.25">
      <c r="A40" s="10" t="str">
        <f t="shared" si="27"/>
        <v>ЩУР.МОП1</v>
      </c>
      <c r="B40" s="10" t="s">
        <v>19</v>
      </c>
      <c r="C40" s="11" t="s">
        <v>19</v>
      </c>
      <c r="D40" s="10" t="s">
        <v>19</v>
      </c>
      <c r="E40" s="10">
        <v>1</v>
      </c>
      <c r="F40" s="10" t="s">
        <v>12</v>
      </c>
      <c r="G40" s="10">
        <f ca="1">OFFSET(G40,1,2)</f>
        <v>12000</v>
      </c>
      <c r="H40" s="12">
        <f ca="1">G40</f>
        <v>12000</v>
      </c>
      <c r="I40" s="12">
        <f t="shared" ca="1" si="28"/>
        <v>12000</v>
      </c>
      <c r="J40" s="10" t="s">
        <v>19</v>
      </c>
      <c r="K40" s="13" t="str">
        <f t="shared" si="29"/>
        <v>Блок1</v>
      </c>
      <c r="L40">
        <v>12000</v>
      </c>
      <c r="M40">
        <f t="shared" si="30"/>
        <v>1</v>
      </c>
      <c r="N40">
        <f t="shared" si="0"/>
        <v>1</v>
      </c>
      <c r="O40" s="23">
        <f t="shared" ca="1" si="35"/>
        <v>12000</v>
      </c>
    </row>
    <row r="41" spans="1:15" ht="27" customHeight="1" x14ac:dyDescent="0.25">
      <c r="A41" s="10" t="str">
        <f t="shared" si="27"/>
        <v>ЩУР.МОП1</v>
      </c>
      <c r="B41" s="10" t="s">
        <v>20</v>
      </c>
      <c r="C41" s="11" t="s">
        <v>20</v>
      </c>
      <c r="D41" s="10" t="s">
        <v>20</v>
      </c>
      <c r="E41" s="10">
        <f>60*G41</f>
        <v>120</v>
      </c>
      <c r="F41" s="10" t="s">
        <v>12</v>
      </c>
      <c r="G41" s="10">
        <v>2</v>
      </c>
      <c r="H41" s="12">
        <v>100</v>
      </c>
      <c r="I41" s="12">
        <f t="shared" si="28"/>
        <v>12000</v>
      </c>
      <c r="J41" s="10" t="s">
        <v>20</v>
      </c>
      <c r="K41" s="13" t="str">
        <f t="shared" si="29"/>
        <v>Блок1</v>
      </c>
      <c r="L41">
        <v>12000</v>
      </c>
      <c r="M41">
        <f t="shared" si="30"/>
        <v>1</v>
      </c>
      <c r="N41">
        <f t="shared" si="0"/>
        <v>120</v>
      </c>
      <c r="O41" s="23">
        <f t="shared" si="35"/>
        <v>12000</v>
      </c>
    </row>
    <row r="42" spans="1:15" ht="27" customHeight="1" x14ac:dyDescent="0.25">
      <c r="A42" s="15" t="str">
        <f t="shared" si="27"/>
        <v>ЩУР.МОП1</v>
      </c>
      <c r="B42" s="15"/>
      <c r="C42" s="15"/>
      <c r="D42" s="16"/>
      <c r="E42" s="15"/>
      <c r="F42" s="19"/>
      <c r="G42" s="17"/>
      <c r="H42" s="12">
        <f>G42*0.55</f>
        <v>0</v>
      </c>
      <c r="I42" s="18">
        <f ca="1">SUM(I34:I41)</f>
        <v>94732.5</v>
      </c>
      <c r="J42" s="15"/>
      <c r="K42" s="13" t="str">
        <f t="shared" si="29"/>
        <v>Блок1</v>
      </c>
      <c r="L42">
        <v>94732.5</v>
      </c>
      <c r="M42">
        <f t="shared" si="30"/>
        <v>1</v>
      </c>
      <c r="N42">
        <f t="shared" si="0"/>
        <v>0</v>
      </c>
      <c r="O42" s="23">
        <f t="shared" si="35"/>
        <v>0</v>
      </c>
    </row>
    <row r="43" spans="1:15" ht="27" customHeight="1" x14ac:dyDescent="0.25">
      <c r="A43" s="8" t="str">
        <f>D43</f>
        <v>РЩ1-1 (АВР-Б-40-2-1)</v>
      </c>
      <c r="B43" s="4"/>
      <c r="C43" s="5"/>
      <c r="D43" s="4" t="s">
        <v>132</v>
      </c>
      <c r="E43" s="8">
        <v>1</v>
      </c>
      <c r="F43" s="9" t="s">
        <v>9</v>
      </c>
      <c r="G43" s="6"/>
      <c r="H43" s="6"/>
      <c r="I43" s="7"/>
      <c r="J43" s="4" t="s">
        <v>10</v>
      </c>
      <c r="K43" s="8" t="s">
        <v>22</v>
      </c>
      <c r="M43">
        <f>E43</f>
        <v>1</v>
      </c>
      <c r="N43">
        <f t="shared" si="0"/>
        <v>1</v>
      </c>
      <c r="O43" s="23">
        <f t="shared" si="35"/>
        <v>0</v>
      </c>
    </row>
    <row r="44" spans="1:15" ht="27" customHeight="1" x14ac:dyDescent="0.25">
      <c r="A44" s="13" t="str">
        <f t="shared" ref="A44:A56" si="36">A43</f>
        <v>РЩ1-1 (АВР-Б-40-2-1)</v>
      </c>
      <c r="B44" s="10" t="s">
        <v>11</v>
      </c>
      <c r="C44" s="11" t="s">
        <v>168</v>
      </c>
      <c r="D44" s="10" t="s">
        <v>169</v>
      </c>
      <c r="E44" s="13">
        <v>1</v>
      </c>
      <c r="F44" s="14" t="s">
        <v>12</v>
      </c>
      <c r="G44" s="10">
        <v>130000</v>
      </c>
      <c r="H44" s="12">
        <f t="shared" ref="H44:H45" si="37">0.6*G44</f>
        <v>78000</v>
      </c>
      <c r="I44" s="12">
        <f t="shared" ref="I44:I55" si="38">H44*E44</f>
        <v>78000</v>
      </c>
      <c r="J44" s="10" t="s">
        <v>13</v>
      </c>
      <c r="K44" s="13" t="str">
        <f t="shared" ref="K44:K56" si="39">K43</f>
        <v>Блок1</v>
      </c>
      <c r="L44">
        <v>78000</v>
      </c>
      <c r="M44">
        <f t="shared" ref="M44:M56" si="40">M43</f>
        <v>1</v>
      </c>
      <c r="N44">
        <f t="shared" si="0"/>
        <v>1</v>
      </c>
      <c r="O44" s="23">
        <f t="shared" si="35"/>
        <v>78000</v>
      </c>
    </row>
    <row r="45" spans="1:15" ht="27" customHeight="1" x14ac:dyDescent="0.25">
      <c r="A45" s="13" t="str">
        <f t="shared" si="36"/>
        <v>РЩ1-1 (АВР-Б-40-2-1)</v>
      </c>
      <c r="B45" s="10" t="s">
        <v>44</v>
      </c>
      <c r="C45" s="11" t="s">
        <v>162</v>
      </c>
      <c r="D45" s="10" t="s">
        <v>163</v>
      </c>
      <c r="E45" s="13">
        <v>1</v>
      </c>
      <c r="F45" s="14" t="s">
        <v>12</v>
      </c>
      <c r="G45" s="10">
        <v>114758</v>
      </c>
      <c r="H45" s="12">
        <f t="shared" si="37"/>
        <v>68854.8</v>
      </c>
      <c r="I45" s="12">
        <f t="shared" si="38"/>
        <v>68854.8</v>
      </c>
      <c r="J45" s="10" t="s">
        <v>14</v>
      </c>
      <c r="K45" s="13" t="str">
        <f t="shared" si="39"/>
        <v>Блок1</v>
      </c>
      <c r="L45">
        <v>68854.8</v>
      </c>
      <c r="M45">
        <f t="shared" si="40"/>
        <v>1</v>
      </c>
      <c r="N45">
        <f t="shared" si="0"/>
        <v>1</v>
      </c>
      <c r="O45" s="23">
        <f t="shared" si="35"/>
        <v>68854.8</v>
      </c>
    </row>
    <row r="46" spans="1:15" ht="27" customHeight="1" x14ac:dyDescent="0.25">
      <c r="A46" s="13" t="str">
        <f t="shared" si="36"/>
        <v>РЩ1-1 (АВР-Б-40-2-1)</v>
      </c>
      <c r="B46" s="10" t="s">
        <v>293</v>
      </c>
      <c r="C46" s="11" t="s">
        <v>213</v>
      </c>
      <c r="D46" s="10" t="s">
        <v>214</v>
      </c>
      <c r="E46" s="13">
        <v>2</v>
      </c>
      <c r="F46" s="14" t="s">
        <v>12</v>
      </c>
      <c r="G46" s="10">
        <v>7690</v>
      </c>
      <c r="H46" s="12">
        <f t="shared" ref="H46:H48" si="41">0.3*G46</f>
        <v>2307</v>
      </c>
      <c r="I46" s="12">
        <f t="shared" si="38"/>
        <v>4614</v>
      </c>
      <c r="J46" s="10" t="s">
        <v>207</v>
      </c>
      <c r="K46" s="13" t="str">
        <f t="shared" si="39"/>
        <v>Блок1</v>
      </c>
      <c r="L46">
        <v>4614</v>
      </c>
      <c r="M46">
        <f t="shared" si="40"/>
        <v>1</v>
      </c>
      <c r="N46">
        <f t="shared" si="0"/>
        <v>2</v>
      </c>
      <c r="O46" s="23">
        <f>N46*G46</f>
        <v>15380</v>
      </c>
    </row>
    <row r="47" spans="1:15" ht="27" customHeight="1" x14ac:dyDescent="0.25">
      <c r="A47" s="13" t="str">
        <f t="shared" si="36"/>
        <v>РЩ1-1 (АВР-Б-40-2-1)</v>
      </c>
      <c r="B47" s="10" t="s">
        <v>293</v>
      </c>
      <c r="C47" s="11" t="s">
        <v>231</v>
      </c>
      <c r="D47" s="10" t="s">
        <v>232</v>
      </c>
      <c r="E47" s="13">
        <v>2</v>
      </c>
      <c r="F47" s="14" t="s">
        <v>12</v>
      </c>
      <c r="G47" s="10">
        <v>7690</v>
      </c>
      <c r="H47" s="12">
        <f t="shared" si="41"/>
        <v>2307</v>
      </c>
      <c r="I47" s="12">
        <f t="shared" si="38"/>
        <v>4614</v>
      </c>
      <c r="J47" s="10" t="s">
        <v>207</v>
      </c>
      <c r="K47" s="13" t="str">
        <f t="shared" si="39"/>
        <v>Блок1</v>
      </c>
      <c r="L47">
        <v>4614</v>
      </c>
      <c r="M47">
        <f t="shared" si="40"/>
        <v>1</v>
      </c>
      <c r="N47">
        <f t="shared" si="0"/>
        <v>2</v>
      </c>
      <c r="O47" s="23">
        <f>N47*G47</f>
        <v>15380</v>
      </c>
    </row>
    <row r="48" spans="1:15" ht="27" customHeight="1" x14ac:dyDescent="0.25">
      <c r="A48" s="13" t="str">
        <f t="shared" si="36"/>
        <v>РЩ1-1 (АВР-Б-40-2-1)</v>
      </c>
      <c r="B48" s="10" t="s">
        <v>294</v>
      </c>
      <c r="C48" s="11" t="s">
        <v>203</v>
      </c>
      <c r="D48" s="10" t="s">
        <v>204</v>
      </c>
      <c r="E48" s="13">
        <v>2</v>
      </c>
      <c r="F48" s="14" t="s">
        <v>12</v>
      </c>
      <c r="G48" s="10">
        <v>13450</v>
      </c>
      <c r="H48" s="12">
        <f t="shared" si="41"/>
        <v>4035</v>
      </c>
      <c r="I48" s="12">
        <f t="shared" si="38"/>
        <v>8070</v>
      </c>
      <c r="J48" s="10" t="s">
        <v>207</v>
      </c>
      <c r="K48" s="13" t="str">
        <f t="shared" si="39"/>
        <v>Блок1</v>
      </c>
      <c r="L48">
        <v>8070</v>
      </c>
      <c r="M48">
        <f t="shared" si="40"/>
        <v>1</v>
      </c>
      <c r="N48">
        <f t="shared" si="0"/>
        <v>2</v>
      </c>
      <c r="O48" s="23">
        <f>N48*G48</f>
        <v>26900</v>
      </c>
    </row>
    <row r="49" spans="1:15" ht="27" customHeight="1" x14ac:dyDescent="0.25">
      <c r="A49" s="13" t="str">
        <f t="shared" si="36"/>
        <v>РЩ1-1 (АВР-Б-40-2-1)</v>
      </c>
      <c r="B49" s="10" t="s">
        <v>18</v>
      </c>
      <c r="C49" s="11" t="s">
        <v>233</v>
      </c>
      <c r="D49" s="10" t="s">
        <v>234</v>
      </c>
      <c r="E49" s="13">
        <v>1</v>
      </c>
      <c r="F49" s="14" t="s">
        <v>12</v>
      </c>
      <c r="G49" s="10">
        <v>5884</v>
      </c>
      <c r="H49" s="12">
        <f>0.6*G49</f>
        <v>3530.4</v>
      </c>
      <c r="I49" s="12">
        <f t="shared" si="38"/>
        <v>3530.4</v>
      </c>
      <c r="J49" s="10" t="s">
        <v>14</v>
      </c>
      <c r="K49" s="13" t="str">
        <f t="shared" si="39"/>
        <v>Блок1</v>
      </c>
      <c r="L49">
        <v>3530.4</v>
      </c>
      <c r="M49">
        <f t="shared" si="40"/>
        <v>1</v>
      </c>
      <c r="N49">
        <f t="shared" si="0"/>
        <v>1</v>
      </c>
      <c r="O49" s="23">
        <f>N49*H49</f>
        <v>3530.4</v>
      </c>
    </row>
    <row r="50" spans="1:15" ht="27" customHeight="1" x14ac:dyDescent="0.25">
      <c r="A50" s="13" t="str">
        <f t="shared" si="36"/>
        <v>РЩ1-1 (АВР-Б-40-2-1)</v>
      </c>
      <c r="B50" s="10" t="s">
        <v>293</v>
      </c>
      <c r="C50" s="11" t="s">
        <v>205</v>
      </c>
      <c r="D50" s="10" t="s">
        <v>206</v>
      </c>
      <c r="E50" s="13">
        <v>1</v>
      </c>
      <c r="F50" s="14" t="s">
        <v>12</v>
      </c>
      <c r="G50" s="10">
        <v>7090</v>
      </c>
      <c r="H50" s="12">
        <f>0.3*G50</f>
        <v>2127</v>
      </c>
      <c r="I50" s="12">
        <f t="shared" si="38"/>
        <v>2127</v>
      </c>
      <c r="J50" s="10" t="s">
        <v>207</v>
      </c>
      <c r="K50" s="13" t="str">
        <f t="shared" si="39"/>
        <v>Блок1</v>
      </c>
      <c r="L50">
        <v>2127</v>
      </c>
      <c r="M50">
        <f t="shared" si="40"/>
        <v>1</v>
      </c>
      <c r="N50">
        <f t="shared" si="0"/>
        <v>1</v>
      </c>
      <c r="O50" s="23">
        <f>N50*G50</f>
        <v>7090</v>
      </c>
    </row>
    <row r="51" spans="1:15" ht="27" customHeight="1" x14ac:dyDescent="0.25">
      <c r="A51" s="13" t="str">
        <f t="shared" si="36"/>
        <v>РЩ1-1 (АВР-Б-40-2-1)</v>
      </c>
      <c r="B51" s="10" t="s">
        <v>293</v>
      </c>
      <c r="C51" s="11" t="s">
        <v>330</v>
      </c>
      <c r="D51" s="10" t="s">
        <v>331</v>
      </c>
      <c r="E51" s="13">
        <v>1</v>
      </c>
      <c r="F51" s="14" t="s">
        <v>12</v>
      </c>
      <c r="G51" s="10">
        <v>895</v>
      </c>
      <c r="H51" s="12">
        <f>0.3*G51</f>
        <v>268.5</v>
      </c>
      <c r="I51" s="12">
        <f t="shared" ref="I51" si="42">H51*E51</f>
        <v>268.5</v>
      </c>
      <c r="J51" s="10" t="s">
        <v>207</v>
      </c>
      <c r="K51" s="13" t="str">
        <f t="shared" si="39"/>
        <v>Блок1</v>
      </c>
      <c r="L51">
        <v>268.5</v>
      </c>
      <c r="M51">
        <f t="shared" si="40"/>
        <v>1</v>
      </c>
      <c r="N51">
        <f t="shared" ref="N51" si="43">M51*E51</f>
        <v>1</v>
      </c>
      <c r="O51" s="23">
        <f>N51*G51</f>
        <v>895</v>
      </c>
    </row>
    <row r="52" spans="1:15" ht="27" customHeight="1" x14ac:dyDescent="0.25">
      <c r="A52" s="13" t="str">
        <f>A50</f>
        <v>РЩ1-1 (АВР-Б-40-2-1)</v>
      </c>
      <c r="B52" s="10" t="s">
        <v>15</v>
      </c>
      <c r="C52" s="11" t="s">
        <v>299</v>
      </c>
      <c r="D52" s="10" t="s">
        <v>300</v>
      </c>
      <c r="E52" s="13">
        <v>1</v>
      </c>
      <c r="F52" s="14" t="s">
        <v>12</v>
      </c>
      <c r="G52" s="10">
        <v>32400</v>
      </c>
      <c r="H52" s="12">
        <f>G52</f>
        <v>32400</v>
      </c>
      <c r="I52" s="12">
        <f t="shared" si="38"/>
        <v>32400</v>
      </c>
      <c r="J52" s="10" t="s">
        <v>16</v>
      </c>
      <c r="K52" s="13" t="str">
        <f>K50</f>
        <v>Блок1</v>
      </c>
      <c r="L52">
        <v>32400</v>
      </c>
      <c r="M52">
        <f>M50</f>
        <v>1</v>
      </c>
      <c r="N52">
        <f t="shared" si="0"/>
        <v>1</v>
      </c>
      <c r="O52" s="23">
        <f t="shared" ref="O52:O62" si="44">N52*H52</f>
        <v>32400</v>
      </c>
    </row>
    <row r="53" spans="1:15" ht="27" customHeight="1" x14ac:dyDescent="0.25">
      <c r="A53" s="13" t="str">
        <f t="shared" si="36"/>
        <v>РЩ1-1 (АВР-Б-40-2-1)</v>
      </c>
      <c r="B53" s="10" t="s">
        <v>30</v>
      </c>
      <c r="C53" s="11"/>
      <c r="D53" s="10" t="s">
        <v>31</v>
      </c>
      <c r="E53" s="13">
        <v>6</v>
      </c>
      <c r="F53" s="14" t="s">
        <v>12</v>
      </c>
      <c r="G53" s="10">
        <v>3850</v>
      </c>
      <c r="H53" s="12">
        <f>G53</f>
        <v>3850</v>
      </c>
      <c r="I53" s="12">
        <f t="shared" si="38"/>
        <v>23100</v>
      </c>
      <c r="J53" s="10" t="s">
        <v>25</v>
      </c>
      <c r="K53" s="13" t="str">
        <f t="shared" si="39"/>
        <v>Блок1</v>
      </c>
      <c r="L53">
        <v>23100</v>
      </c>
      <c r="M53">
        <f t="shared" si="40"/>
        <v>1</v>
      </c>
      <c r="N53">
        <f t="shared" si="0"/>
        <v>6</v>
      </c>
      <c r="O53" s="23">
        <f t="shared" si="44"/>
        <v>23100</v>
      </c>
    </row>
    <row r="54" spans="1:15" ht="27" customHeight="1" x14ac:dyDescent="0.25">
      <c r="A54" s="10" t="str">
        <f t="shared" si="36"/>
        <v>РЩ1-1 (АВР-Б-40-2-1)</v>
      </c>
      <c r="B54" s="10" t="s">
        <v>19</v>
      </c>
      <c r="C54" s="11" t="s">
        <v>19</v>
      </c>
      <c r="D54" s="10" t="s">
        <v>19</v>
      </c>
      <c r="E54" s="10">
        <v>1</v>
      </c>
      <c r="F54" s="10" t="s">
        <v>12</v>
      </c>
      <c r="G54" s="10">
        <f ca="1">OFFSET(G54,1,2)</f>
        <v>39000</v>
      </c>
      <c r="H54" s="12">
        <f ca="1">G54</f>
        <v>39000</v>
      </c>
      <c r="I54" s="12">
        <f t="shared" ca="1" si="38"/>
        <v>39000</v>
      </c>
      <c r="J54" s="10" t="s">
        <v>19</v>
      </c>
      <c r="K54" s="13" t="str">
        <f t="shared" si="39"/>
        <v>Блок1</v>
      </c>
      <c r="L54">
        <v>39000</v>
      </c>
      <c r="M54">
        <f t="shared" si="40"/>
        <v>1</v>
      </c>
      <c r="N54">
        <f t="shared" si="0"/>
        <v>1</v>
      </c>
      <c r="O54" s="23">
        <f t="shared" ca="1" si="44"/>
        <v>39000</v>
      </c>
    </row>
    <row r="55" spans="1:15" ht="27" customHeight="1" x14ac:dyDescent="0.25">
      <c r="A55" s="10" t="str">
        <f t="shared" si="36"/>
        <v>РЩ1-1 (АВР-Б-40-2-1)</v>
      </c>
      <c r="B55" s="10" t="s">
        <v>20</v>
      </c>
      <c r="C55" s="11" t="s">
        <v>20</v>
      </c>
      <c r="D55" s="10" t="s">
        <v>20</v>
      </c>
      <c r="E55" s="10">
        <f>60*G55</f>
        <v>390</v>
      </c>
      <c r="F55" s="10" t="s">
        <v>12</v>
      </c>
      <c r="G55" s="10">
        <v>6.5</v>
      </c>
      <c r="H55" s="12">
        <v>100</v>
      </c>
      <c r="I55" s="12">
        <f t="shared" si="38"/>
        <v>39000</v>
      </c>
      <c r="J55" s="10" t="s">
        <v>20</v>
      </c>
      <c r="K55" s="13" t="str">
        <f t="shared" si="39"/>
        <v>Блок1</v>
      </c>
      <c r="L55">
        <v>39000</v>
      </c>
      <c r="M55">
        <f t="shared" si="40"/>
        <v>1</v>
      </c>
      <c r="N55">
        <f t="shared" si="0"/>
        <v>390</v>
      </c>
      <c r="O55" s="23">
        <f t="shared" si="44"/>
        <v>39000</v>
      </c>
    </row>
    <row r="56" spans="1:15" ht="27" customHeight="1" x14ac:dyDescent="0.25">
      <c r="A56" s="15" t="str">
        <f t="shared" si="36"/>
        <v>РЩ1-1 (АВР-Б-40-2-1)</v>
      </c>
      <c r="B56" s="15"/>
      <c r="C56" s="15"/>
      <c r="D56" s="16"/>
      <c r="E56" s="15"/>
      <c r="F56" s="19"/>
      <c r="G56" s="17"/>
      <c r="H56" s="12">
        <f>G56*0.55</f>
        <v>0</v>
      </c>
      <c r="I56" s="18">
        <f ca="1">SUM(I44:I55)</f>
        <v>303578.69999999995</v>
      </c>
      <c r="J56" s="15"/>
      <c r="K56" s="13" t="str">
        <f t="shared" si="39"/>
        <v>Блок1</v>
      </c>
      <c r="L56">
        <v>303578.69999999995</v>
      </c>
      <c r="M56">
        <f t="shared" si="40"/>
        <v>1</v>
      </c>
      <c r="N56">
        <f t="shared" si="0"/>
        <v>0</v>
      </c>
      <c r="O56" s="23">
        <f t="shared" si="44"/>
        <v>0</v>
      </c>
    </row>
    <row r="57" spans="1:15" ht="27" customHeight="1" x14ac:dyDescent="0.25">
      <c r="A57" s="8" t="str">
        <f>D57</f>
        <v>ВРУ1-2</v>
      </c>
      <c r="B57" s="4"/>
      <c r="C57" s="5"/>
      <c r="D57" s="4" t="s">
        <v>52</v>
      </c>
      <c r="E57" s="8">
        <v>1</v>
      </c>
      <c r="F57" s="9" t="s">
        <v>9</v>
      </c>
      <c r="G57" s="6"/>
      <c r="H57" s="6"/>
      <c r="I57" s="7"/>
      <c r="J57" s="4" t="s">
        <v>10</v>
      </c>
      <c r="K57" s="8" t="s">
        <v>53</v>
      </c>
      <c r="M57">
        <f>E57</f>
        <v>1</v>
      </c>
      <c r="N57">
        <f t="shared" si="0"/>
        <v>1</v>
      </c>
      <c r="O57" s="23">
        <f t="shared" si="44"/>
        <v>0</v>
      </c>
    </row>
    <row r="58" spans="1:15" ht="27" customHeight="1" x14ac:dyDescent="0.25">
      <c r="A58" s="13" t="str">
        <f t="shared" ref="A58:A68" si="45">A57</f>
        <v>ВРУ1-2</v>
      </c>
      <c r="B58" s="10" t="s">
        <v>11</v>
      </c>
      <c r="C58" s="11" t="s">
        <v>172</v>
      </c>
      <c r="D58" s="10" t="s">
        <v>173</v>
      </c>
      <c r="E58" s="13">
        <v>1</v>
      </c>
      <c r="F58" s="14" t="s">
        <v>12</v>
      </c>
      <c r="G58" s="10">
        <v>156500</v>
      </c>
      <c r="H58" s="12">
        <f>0.6*G58</f>
        <v>93900</v>
      </c>
      <c r="I58" s="12">
        <f t="shared" ref="I58:I67" si="46">H58*E58</f>
        <v>93900</v>
      </c>
      <c r="J58" s="10" t="s">
        <v>13</v>
      </c>
      <c r="K58" s="13" t="str">
        <f t="shared" ref="K58:K68" si="47">K57</f>
        <v>Блок2</v>
      </c>
      <c r="L58">
        <v>93900</v>
      </c>
      <c r="M58">
        <f t="shared" ref="M58:M68" si="48">M57</f>
        <v>1</v>
      </c>
      <c r="N58">
        <f t="shared" si="0"/>
        <v>1</v>
      </c>
      <c r="O58" s="23">
        <f t="shared" si="44"/>
        <v>93900</v>
      </c>
    </row>
    <row r="59" spans="1:15" ht="27" customHeight="1" x14ac:dyDescent="0.25">
      <c r="A59" s="13" t="str">
        <f t="shared" si="45"/>
        <v>ВРУ1-2</v>
      </c>
      <c r="B59" s="10" t="s">
        <v>23</v>
      </c>
      <c r="C59" s="11" t="s">
        <v>307</v>
      </c>
      <c r="D59" s="10" t="s">
        <v>308</v>
      </c>
      <c r="E59" s="13">
        <v>6</v>
      </c>
      <c r="F59" s="14" t="s">
        <v>12</v>
      </c>
      <c r="G59" s="10">
        <v>5523</v>
      </c>
      <c r="H59" s="12">
        <f t="shared" ref="H59:H60" si="49">G59</f>
        <v>5523</v>
      </c>
      <c r="I59" s="12">
        <f t="shared" si="46"/>
        <v>33138</v>
      </c>
      <c r="J59" s="10" t="s">
        <v>25</v>
      </c>
      <c r="K59" s="13" t="str">
        <f t="shared" si="47"/>
        <v>Блок2</v>
      </c>
      <c r="L59">
        <v>33138</v>
      </c>
      <c r="M59">
        <f t="shared" si="48"/>
        <v>1</v>
      </c>
      <c r="N59">
        <f t="shared" si="0"/>
        <v>6</v>
      </c>
      <c r="O59" s="23">
        <f t="shared" si="44"/>
        <v>33138</v>
      </c>
    </row>
    <row r="60" spans="1:15" ht="27" customHeight="1" x14ac:dyDescent="0.25">
      <c r="A60" s="13" t="str">
        <f t="shared" si="45"/>
        <v>ВРУ1-2</v>
      </c>
      <c r="B60" s="10" t="s">
        <v>26</v>
      </c>
      <c r="C60" s="11" t="s">
        <v>177</v>
      </c>
      <c r="D60" s="10" t="s">
        <v>178</v>
      </c>
      <c r="E60" s="13">
        <v>2</v>
      </c>
      <c r="F60" s="14" t="s">
        <v>12</v>
      </c>
      <c r="G60" s="10">
        <v>25500</v>
      </c>
      <c r="H60" s="12">
        <f t="shared" si="49"/>
        <v>25500</v>
      </c>
      <c r="I60" s="12">
        <f t="shared" si="46"/>
        <v>51000</v>
      </c>
      <c r="J60" s="10" t="s">
        <v>25</v>
      </c>
      <c r="K60" s="13" t="str">
        <f t="shared" si="47"/>
        <v>Блок2</v>
      </c>
      <c r="L60">
        <v>51000</v>
      </c>
      <c r="M60">
        <f t="shared" si="48"/>
        <v>1</v>
      </c>
      <c r="N60">
        <f t="shared" si="0"/>
        <v>2</v>
      </c>
      <c r="O60" s="23">
        <f t="shared" si="44"/>
        <v>51000</v>
      </c>
    </row>
    <row r="61" spans="1:15" ht="27" customHeight="1" x14ac:dyDescent="0.25">
      <c r="A61" s="13" t="str">
        <f t="shared" si="45"/>
        <v>ВРУ1-2</v>
      </c>
      <c r="B61" s="10" t="s">
        <v>127</v>
      </c>
      <c r="C61" s="11" t="s">
        <v>130</v>
      </c>
      <c r="D61" s="10" t="s">
        <v>131</v>
      </c>
      <c r="E61" s="13">
        <v>6</v>
      </c>
      <c r="F61" s="14" t="s">
        <v>12</v>
      </c>
      <c r="G61" s="10">
        <v>4750</v>
      </c>
      <c r="H61" s="12">
        <f t="shared" ref="H61:H62" si="50">0.6*G61</f>
        <v>2850</v>
      </c>
      <c r="I61" s="12">
        <f t="shared" si="46"/>
        <v>17100</v>
      </c>
      <c r="J61" s="10" t="s">
        <v>14</v>
      </c>
      <c r="K61" s="13" t="str">
        <f>K59</f>
        <v>Блок2</v>
      </c>
      <c r="L61">
        <v>17100</v>
      </c>
      <c r="M61">
        <f t="shared" si="48"/>
        <v>1</v>
      </c>
      <c r="N61">
        <f t="shared" si="0"/>
        <v>6</v>
      </c>
      <c r="O61" s="23">
        <f t="shared" si="44"/>
        <v>17100</v>
      </c>
    </row>
    <row r="62" spans="1:15" ht="27" customHeight="1" x14ac:dyDescent="0.25">
      <c r="A62" s="13" t="str">
        <f t="shared" si="45"/>
        <v>ВРУ1-2</v>
      </c>
      <c r="B62" s="10" t="s">
        <v>126</v>
      </c>
      <c r="C62" s="11" t="s">
        <v>128</v>
      </c>
      <c r="D62" s="10" t="s">
        <v>129</v>
      </c>
      <c r="E62" s="13">
        <v>6</v>
      </c>
      <c r="F62" s="14" t="s">
        <v>12</v>
      </c>
      <c r="G62" s="10">
        <v>3317</v>
      </c>
      <c r="H62" s="12">
        <f t="shared" si="50"/>
        <v>1990.1999999999998</v>
      </c>
      <c r="I62" s="12">
        <f t="shared" si="46"/>
        <v>11941.199999999999</v>
      </c>
      <c r="J62" s="10" t="s">
        <v>14</v>
      </c>
      <c r="K62" s="13" t="str">
        <f>K60</f>
        <v>Блок2</v>
      </c>
      <c r="L62">
        <v>11941.199999999999</v>
      </c>
      <c r="M62">
        <f t="shared" si="48"/>
        <v>1</v>
      </c>
      <c r="N62">
        <f t="shared" si="0"/>
        <v>6</v>
      </c>
      <c r="O62" s="23">
        <f t="shared" si="44"/>
        <v>11941.199999999999</v>
      </c>
    </row>
    <row r="63" spans="1:15" ht="27" customHeight="1" x14ac:dyDescent="0.25">
      <c r="A63" s="13" t="str">
        <f t="shared" si="45"/>
        <v>ВРУ1-2</v>
      </c>
      <c r="B63" s="10" t="s">
        <v>293</v>
      </c>
      <c r="C63" s="11" t="s">
        <v>189</v>
      </c>
      <c r="D63" s="10" t="s">
        <v>190</v>
      </c>
      <c r="E63" s="13">
        <v>2</v>
      </c>
      <c r="F63" s="14" t="s">
        <v>12</v>
      </c>
      <c r="G63" s="10">
        <v>1390</v>
      </c>
      <c r="H63" s="12">
        <f>0.3*G63</f>
        <v>417</v>
      </c>
      <c r="I63" s="12">
        <f t="shared" si="46"/>
        <v>834</v>
      </c>
      <c r="J63" s="10" t="s">
        <v>207</v>
      </c>
      <c r="K63" s="13" t="str">
        <f t="shared" ref="K63:K64" si="51">K61</f>
        <v>Блок2</v>
      </c>
      <c r="L63">
        <v>834</v>
      </c>
      <c r="M63">
        <f t="shared" si="48"/>
        <v>1</v>
      </c>
      <c r="N63">
        <f t="shared" si="0"/>
        <v>2</v>
      </c>
      <c r="O63" s="23">
        <f>N63*G63</f>
        <v>2780</v>
      </c>
    </row>
    <row r="64" spans="1:15" ht="27" customHeight="1" x14ac:dyDescent="0.25">
      <c r="A64" s="13" t="str">
        <f t="shared" si="45"/>
        <v>ВРУ1-2</v>
      </c>
      <c r="B64" s="10" t="s">
        <v>15</v>
      </c>
      <c r="C64" s="11" t="s">
        <v>297</v>
      </c>
      <c r="D64" s="24" t="s">
        <v>298</v>
      </c>
      <c r="E64" s="13">
        <v>2</v>
      </c>
      <c r="F64" s="14" t="s">
        <v>12</v>
      </c>
      <c r="G64" s="10">
        <v>89000</v>
      </c>
      <c r="H64" s="12">
        <f>G64</f>
        <v>89000</v>
      </c>
      <c r="I64" s="12">
        <f t="shared" si="46"/>
        <v>178000</v>
      </c>
      <c r="J64" s="10" t="s">
        <v>16</v>
      </c>
      <c r="K64" s="13" t="str">
        <f t="shared" si="51"/>
        <v>Блок2</v>
      </c>
      <c r="L64">
        <v>178000</v>
      </c>
      <c r="M64">
        <f t="shared" si="48"/>
        <v>1</v>
      </c>
      <c r="N64">
        <f t="shared" si="0"/>
        <v>2</v>
      </c>
      <c r="O64" s="23">
        <f t="shared" ref="O64:O70" si="52">N64*H64</f>
        <v>178000</v>
      </c>
    </row>
    <row r="65" spans="1:15" ht="27" customHeight="1" x14ac:dyDescent="0.25">
      <c r="A65" s="13" t="str">
        <f t="shared" si="45"/>
        <v>ВРУ1-2</v>
      </c>
      <c r="B65" s="10" t="s">
        <v>30</v>
      </c>
      <c r="C65" s="11"/>
      <c r="D65" s="10" t="s">
        <v>31</v>
      </c>
      <c r="E65" s="13">
        <v>6</v>
      </c>
      <c r="F65" s="14" t="s">
        <v>12</v>
      </c>
      <c r="G65" s="10">
        <v>3850</v>
      </c>
      <c r="H65" s="12">
        <f>G65</f>
        <v>3850</v>
      </c>
      <c r="I65" s="12">
        <f t="shared" si="46"/>
        <v>23100</v>
      </c>
      <c r="J65" s="10" t="s">
        <v>25</v>
      </c>
      <c r="K65" s="13" t="str">
        <f t="shared" si="47"/>
        <v>Блок2</v>
      </c>
      <c r="L65">
        <v>23100</v>
      </c>
      <c r="M65">
        <f t="shared" si="48"/>
        <v>1</v>
      </c>
      <c r="N65">
        <f t="shared" si="0"/>
        <v>6</v>
      </c>
      <c r="O65" s="23">
        <f t="shared" si="52"/>
        <v>23100</v>
      </c>
    </row>
    <row r="66" spans="1:15" ht="27" customHeight="1" x14ac:dyDescent="0.25">
      <c r="A66" s="10" t="str">
        <f t="shared" si="45"/>
        <v>ВРУ1-2</v>
      </c>
      <c r="B66" s="10" t="s">
        <v>19</v>
      </c>
      <c r="C66" s="11" t="s">
        <v>19</v>
      </c>
      <c r="D66" s="10" t="s">
        <v>19</v>
      </c>
      <c r="E66" s="10">
        <v>1</v>
      </c>
      <c r="F66" s="10" t="s">
        <v>12</v>
      </c>
      <c r="G66" s="10">
        <f ca="1">OFFSET(G66,1,2)</f>
        <v>48000</v>
      </c>
      <c r="H66" s="12">
        <f ca="1">G66</f>
        <v>48000</v>
      </c>
      <c r="I66" s="12">
        <f t="shared" ca="1" si="46"/>
        <v>48000</v>
      </c>
      <c r="J66" s="10" t="s">
        <v>19</v>
      </c>
      <c r="K66" s="13" t="str">
        <f t="shared" si="47"/>
        <v>Блок2</v>
      </c>
      <c r="L66">
        <v>48000</v>
      </c>
      <c r="M66">
        <f t="shared" si="48"/>
        <v>1</v>
      </c>
      <c r="N66">
        <f t="shared" si="0"/>
        <v>1</v>
      </c>
      <c r="O66" s="23">
        <f t="shared" ca="1" si="52"/>
        <v>48000</v>
      </c>
    </row>
    <row r="67" spans="1:15" ht="27" customHeight="1" x14ac:dyDescent="0.25">
      <c r="A67" s="10" t="str">
        <f t="shared" si="45"/>
        <v>ВРУ1-2</v>
      </c>
      <c r="B67" s="10" t="s">
        <v>20</v>
      </c>
      <c r="C67" s="11" t="s">
        <v>20</v>
      </c>
      <c r="D67" s="10" t="s">
        <v>20</v>
      </c>
      <c r="E67" s="10">
        <f>60*G67</f>
        <v>480</v>
      </c>
      <c r="F67" s="10" t="s">
        <v>12</v>
      </c>
      <c r="G67" s="10">
        <v>8</v>
      </c>
      <c r="H67" s="12">
        <v>100</v>
      </c>
      <c r="I67" s="12">
        <f t="shared" si="46"/>
        <v>48000</v>
      </c>
      <c r="J67" s="10" t="s">
        <v>20</v>
      </c>
      <c r="K67" s="13" t="str">
        <f t="shared" si="47"/>
        <v>Блок2</v>
      </c>
      <c r="L67">
        <v>48000</v>
      </c>
      <c r="M67">
        <f t="shared" si="48"/>
        <v>1</v>
      </c>
      <c r="N67">
        <f t="shared" si="0"/>
        <v>480</v>
      </c>
      <c r="O67" s="23">
        <f t="shared" si="52"/>
        <v>48000</v>
      </c>
    </row>
    <row r="68" spans="1:15" ht="27" customHeight="1" x14ac:dyDescent="0.25">
      <c r="A68" s="15" t="str">
        <f t="shared" si="45"/>
        <v>ВРУ1-2</v>
      </c>
      <c r="B68" s="15"/>
      <c r="C68" s="15"/>
      <c r="D68" s="16"/>
      <c r="E68" s="15"/>
      <c r="F68" s="19"/>
      <c r="G68" s="17"/>
      <c r="H68" s="12">
        <f>G68*0.55</f>
        <v>0</v>
      </c>
      <c r="I68" s="18">
        <f ca="1">SUM(I58:I67)</f>
        <v>505013.2</v>
      </c>
      <c r="J68" s="15"/>
      <c r="K68" s="13" t="str">
        <f t="shared" si="47"/>
        <v>Блок2</v>
      </c>
      <c r="L68">
        <v>505013.2</v>
      </c>
      <c r="M68">
        <f t="shared" si="48"/>
        <v>1</v>
      </c>
      <c r="N68">
        <f t="shared" si="0"/>
        <v>0</v>
      </c>
      <c r="O68" s="23">
        <f t="shared" si="52"/>
        <v>0</v>
      </c>
    </row>
    <row r="69" spans="1:15" ht="27" customHeight="1" x14ac:dyDescent="0.25">
      <c r="A69" s="8" t="str">
        <f>D69</f>
        <v>РУ-1-2(Блок2)</v>
      </c>
      <c r="B69" s="4"/>
      <c r="C69" s="5"/>
      <c r="D69" s="4" t="s">
        <v>54</v>
      </c>
      <c r="E69" s="8">
        <v>1</v>
      </c>
      <c r="F69" s="9" t="s">
        <v>9</v>
      </c>
      <c r="G69" s="6"/>
      <c r="H69" s="6"/>
      <c r="I69" s="7"/>
      <c r="J69" s="4" t="s">
        <v>10</v>
      </c>
      <c r="K69" s="8" t="s">
        <v>53</v>
      </c>
      <c r="M69">
        <f>E69</f>
        <v>1</v>
      </c>
      <c r="N69">
        <f t="shared" si="0"/>
        <v>1</v>
      </c>
      <c r="O69" s="23">
        <f t="shared" si="52"/>
        <v>0</v>
      </c>
    </row>
    <row r="70" spans="1:15" ht="27" customHeight="1" x14ac:dyDescent="0.25">
      <c r="A70" s="13" t="str">
        <f>A69</f>
        <v>РУ-1-2(Блок2)</v>
      </c>
      <c r="B70" s="10" t="s">
        <v>11</v>
      </c>
      <c r="C70" s="11" t="s">
        <v>170</v>
      </c>
      <c r="D70" s="10" t="s">
        <v>171</v>
      </c>
      <c r="E70" s="13">
        <v>1</v>
      </c>
      <c r="F70" s="14" t="s">
        <v>12</v>
      </c>
      <c r="G70" s="10">
        <v>145000</v>
      </c>
      <c r="H70" s="12">
        <f>0.6*G70</f>
        <v>87000</v>
      </c>
      <c r="I70" s="12">
        <f t="shared" ref="I70:I75" si="53">H70*E70</f>
        <v>87000</v>
      </c>
      <c r="J70" s="10" t="s">
        <v>13</v>
      </c>
      <c r="K70" s="13" t="str">
        <f t="shared" ref="K70:K76" si="54">K69</f>
        <v>Блок2</v>
      </c>
      <c r="L70">
        <v>87000</v>
      </c>
      <c r="M70">
        <f t="shared" ref="M70:M76" si="55">M69</f>
        <v>1</v>
      </c>
      <c r="N70">
        <f t="shared" ref="N70:N133" si="56">M70*E70</f>
        <v>1</v>
      </c>
      <c r="O70" s="23">
        <f t="shared" si="52"/>
        <v>87000</v>
      </c>
    </row>
    <row r="71" spans="1:15" ht="27" customHeight="1" x14ac:dyDescent="0.25">
      <c r="A71" s="13" t="str">
        <f t="shared" ref="A71:A76" si="57">A70</f>
        <v>РУ-1-2(Блок2)</v>
      </c>
      <c r="B71" s="10" t="s">
        <v>294</v>
      </c>
      <c r="C71" s="11" t="s">
        <v>225</v>
      </c>
      <c r="D71" s="10" t="s">
        <v>226</v>
      </c>
      <c r="E71" s="13">
        <v>2</v>
      </c>
      <c r="F71" s="14" t="s">
        <v>12</v>
      </c>
      <c r="G71" s="10">
        <v>17300</v>
      </c>
      <c r="H71" s="12">
        <f t="shared" ref="H71:H73" si="58">0.3*G71</f>
        <v>5190</v>
      </c>
      <c r="I71" s="12">
        <f t="shared" si="53"/>
        <v>10380</v>
      </c>
      <c r="J71" s="10" t="s">
        <v>207</v>
      </c>
      <c r="K71" s="13" t="str">
        <f t="shared" si="54"/>
        <v>Блок2</v>
      </c>
      <c r="L71">
        <v>10380</v>
      </c>
      <c r="M71">
        <f t="shared" si="55"/>
        <v>1</v>
      </c>
      <c r="N71">
        <f t="shared" si="56"/>
        <v>2</v>
      </c>
      <c r="O71" s="23">
        <f>N71*G71</f>
        <v>34600</v>
      </c>
    </row>
    <row r="72" spans="1:15" ht="27" customHeight="1" x14ac:dyDescent="0.25">
      <c r="A72" s="13" t="str">
        <f t="shared" si="57"/>
        <v>РУ-1-2(Блок2)</v>
      </c>
      <c r="B72" s="10" t="s">
        <v>294</v>
      </c>
      <c r="C72" s="11" t="s">
        <v>227</v>
      </c>
      <c r="D72" s="10" t="s">
        <v>228</v>
      </c>
      <c r="E72" s="13">
        <v>1</v>
      </c>
      <c r="F72" s="14" t="s">
        <v>12</v>
      </c>
      <c r="G72" s="10">
        <v>29990</v>
      </c>
      <c r="H72" s="12">
        <f t="shared" si="58"/>
        <v>8997</v>
      </c>
      <c r="I72" s="12">
        <f t="shared" si="53"/>
        <v>8997</v>
      </c>
      <c r="J72" s="10" t="s">
        <v>207</v>
      </c>
      <c r="K72" s="13" t="str">
        <f t="shared" si="54"/>
        <v>Блок2</v>
      </c>
      <c r="L72">
        <v>8997</v>
      </c>
      <c r="M72">
        <f t="shared" si="55"/>
        <v>1</v>
      </c>
      <c r="N72">
        <f t="shared" si="56"/>
        <v>1</v>
      </c>
      <c r="O72" s="23">
        <f>N72*G72</f>
        <v>29990</v>
      </c>
    </row>
    <row r="73" spans="1:15" ht="27" customHeight="1" x14ac:dyDescent="0.25">
      <c r="A73" s="13" t="str">
        <f t="shared" si="57"/>
        <v>РУ-1-2(Блок2)</v>
      </c>
      <c r="B73" s="10" t="s">
        <v>293</v>
      </c>
      <c r="C73" s="11" t="s">
        <v>217</v>
      </c>
      <c r="D73" s="10" t="s">
        <v>218</v>
      </c>
      <c r="E73" s="13">
        <v>2</v>
      </c>
      <c r="F73" s="14" t="s">
        <v>12</v>
      </c>
      <c r="G73" s="10">
        <v>7850</v>
      </c>
      <c r="H73" s="12">
        <f t="shared" si="58"/>
        <v>2355</v>
      </c>
      <c r="I73" s="12">
        <f t="shared" si="53"/>
        <v>4710</v>
      </c>
      <c r="J73" s="10" t="s">
        <v>207</v>
      </c>
      <c r="K73" s="13" t="str">
        <f t="shared" si="54"/>
        <v>Блок2</v>
      </c>
      <c r="L73">
        <v>4710</v>
      </c>
      <c r="M73">
        <f t="shared" si="55"/>
        <v>1</v>
      </c>
      <c r="N73">
        <f t="shared" si="56"/>
        <v>2</v>
      </c>
      <c r="O73" s="23">
        <f>N73*G73</f>
        <v>15700</v>
      </c>
    </row>
    <row r="74" spans="1:15" ht="27" customHeight="1" x14ac:dyDescent="0.25">
      <c r="A74" s="10" t="str">
        <f t="shared" si="57"/>
        <v>РУ-1-2(Блок2)</v>
      </c>
      <c r="B74" s="10" t="s">
        <v>19</v>
      </c>
      <c r="C74" s="11" t="s">
        <v>19</v>
      </c>
      <c r="D74" s="10" t="s">
        <v>19</v>
      </c>
      <c r="E74" s="10">
        <v>1</v>
      </c>
      <c r="F74" s="10" t="s">
        <v>12</v>
      </c>
      <c r="G74" s="10">
        <f ca="1">OFFSET(G74,1,2)</f>
        <v>27000</v>
      </c>
      <c r="H74" s="12">
        <f ca="1">G74</f>
        <v>27000</v>
      </c>
      <c r="I74" s="12">
        <f t="shared" ca="1" si="53"/>
        <v>27000</v>
      </c>
      <c r="J74" s="10" t="s">
        <v>19</v>
      </c>
      <c r="K74" s="13" t="str">
        <f t="shared" si="54"/>
        <v>Блок2</v>
      </c>
      <c r="L74">
        <v>27000</v>
      </c>
      <c r="M74">
        <f t="shared" si="55"/>
        <v>1</v>
      </c>
      <c r="N74">
        <f t="shared" si="56"/>
        <v>1</v>
      </c>
      <c r="O74" s="23">
        <f ca="1">N74*H74</f>
        <v>27000</v>
      </c>
    </row>
    <row r="75" spans="1:15" ht="27" customHeight="1" x14ac:dyDescent="0.25">
      <c r="A75" s="10" t="str">
        <f t="shared" si="57"/>
        <v>РУ-1-2(Блок2)</v>
      </c>
      <c r="B75" s="10" t="s">
        <v>20</v>
      </c>
      <c r="C75" s="11" t="s">
        <v>20</v>
      </c>
      <c r="D75" s="10" t="s">
        <v>20</v>
      </c>
      <c r="E75" s="10">
        <f>60*G75</f>
        <v>270</v>
      </c>
      <c r="F75" s="10" t="s">
        <v>12</v>
      </c>
      <c r="G75" s="10">
        <v>4.5</v>
      </c>
      <c r="H75" s="12">
        <v>100</v>
      </c>
      <c r="I75" s="12">
        <f t="shared" si="53"/>
        <v>27000</v>
      </c>
      <c r="J75" s="10" t="s">
        <v>20</v>
      </c>
      <c r="K75" s="13" t="str">
        <f t="shared" si="54"/>
        <v>Блок2</v>
      </c>
      <c r="L75">
        <v>27000</v>
      </c>
      <c r="M75">
        <f t="shared" si="55"/>
        <v>1</v>
      </c>
      <c r="N75">
        <f t="shared" si="56"/>
        <v>270</v>
      </c>
      <c r="O75" s="23">
        <f>N75*H75</f>
        <v>27000</v>
      </c>
    </row>
    <row r="76" spans="1:15" ht="27" customHeight="1" x14ac:dyDescent="0.25">
      <c r="A76" s="15" t="str">
        <f t="shared" si="57"/>
        <v>РУ-1-2(Блок2)</v>
      </c>
      <c r="B76" s="15"/>
      <c r="C76" s="15"/>
      <c r="D76" s="16"/>
      <c r="E76" s="15"/>
      <c r="F76" s="19"/>
      <c r="G76" s="17"/>
      <c r="H76" s="12">
        <f t="shared" ref="H76" si="59">G76*0.55</f>
        <v>0</v>
      </c>
      <c r="I76" s="18">
        <f ca="1">SUM(I70:I75)</f>
        <v>165087</v>
      </c>
      <c r="J76" s="15"/>
      <c r="K76" s="13" t="str">
        <f t="shared" si="54"/>
        <v>Блок2</v>
      </c>
      <c r="L76">
        <v>165087</v>
      </c>
      <c r="M76">
        <f t="shared" si="55"/>
        <v>1</v>
      </c>
      <c r="N76">
        <f t="shared" si="56"/>
        <v>0</v>
      </c>
      <c r="O76" s="23">
        <f>N76*H76</f>
        <v>0</v>
      </c>
    </row>
    <row r="77" spans="1:15" ht="27" customHeight="1" x14ac:dyDescent="0.25">
      <c r="A77" s="8" t="str">
        <f>D77</f>
        <v>РУ-2-2</v>
      </c>
      <c r="B77" s="4"/>
      <c r="C77" s="5"/>
      <c r="D77" s="4" t="s">
        <v>55</v>
      </c>
      <c r="E77" s="8">
        <v>1</v>
      </c>
      <c r="F77" s="9" t="s">
        <v>9</v>
      </c>
      <c r="G77" s="6"/>
      <c r="H77" s="6"/>
      <c r="I77" s="7"/>
      <c r="J77" s="4" t="s">
        <v>10</v>
      </c>
      <c r="K77" s="8" t="s">
        <v>53</v>
      </c>
      <c r="M77">
        <f>E77</f>
        <v>1</v>
      </c>
      <c r="N77">
        <f t="shared" si="56"/>
        <v>1</v>
      </c>
      <c r="O77" s="23">
        <f>N77*H77</f>
        <v>0</v>
      </c>
    </row>
    <row r="78" spans="1:15" ht="27" customHeight="1" x14ac:dyDescent="0.25">
      <c r="A78" s="13" t="str">
        <f t="shared" ref="A78:A85" si="60">A77</f>
        <v>РУ-2-2</v>
      </c>
      <c r="B78" s="10" t="s">
        <v>11</v>
      </c>
      <c r="C78" s="11" t="s">
        <v>170</v>
      </c>
      <c r="D78" s="10" t="s">
        <v>171</v>
      </c>
      <c r="E78" s="13">
        <v>1</v>
      </c>
      <c r="F78" s="14" t="s">
        <v>12</v>
      </c>
      <c r="G78" s="10">
        <v>145000</v>
      </c>
      <c r="H78" s="12">
        <f>0.6*G78</f>
        <v>87000</v>
      </c>
      <c r="I78" s="12">
        <f t="shared" ref="I78:I84" si="61">H78*E78</f>
        <v>87000</v>
      </c>
      <c r="J78" s="10" t="s">
        <v>13</v>
      </c>
      <c r="K78" s="13" t="str">
        <f t="shared" ref="K78:K85" si="62">K77</f>
        <v>Блок2</v>
      </c>
      <c r="L78">
        <v>87000</v>
      </c>
      <c r="M78">
        <f t="shared" ref="M78:M85" si="63">M77</f>
        <v>1</v>
      </c>
      <c r="N78">
        <f t="shared" si="56"/>
        <v>1</v>
      </c>
      <c r="O78" s="23">
        <f>N78*H78</f>
        <v>87000</v>
      </c>
    </row>
    <row r="79" spans="1:15" ht="27" customHeight="1" x14ac:dyDescent="0.25">
      <c r="A79" s="13" t="str">
        <f t="shared" si="60"/>
        <v>РУ-2-2</v>
      </c>
      <c r="B79" s="10" t="s">
        <v>294</v>
      </c>
      <c r="C79" s="11" t="s">
        <v>227</v>
      </c>
      <c r="D79" s="10" t="s">
        <v>228</v>
      </c>
      <c r="E79" s="13">
        <v>1</v>
      </c>
      <c r="F79" s="14" t="s">
        <v>12</v>
      </c>
      <c r="G79" s="10">
        <v>29990</v>
      </c>
      <c r="H79" s="12">
        <f t="shared" ref="H79:H81" si="64">0.3*G79</f>
        <v>8997</v>
      </c>
      <c r="I79" s="12">
        <f t="shared" si="61"/>
        <v>8997</v>
      </c>
      <c r="J79" s="10" t="s">
        <v>207</v>
      </c>
      <c r="K79" s="13" t="str">
        <f t="shared" si="62"/>
        <v>Блок2</v>
      </c>
      <c r="L79">
        <v>8997</v>
      </c>
      <c r="M79">
        <f t="shared" si="63"/>
        <v>1</v>
      </c>
      <c r="N79">
        <f t="shared" si="56"/>
        <v>1</v>
      </c>
      <c r="O79" s="23">
        <f>N79*G79</f>
        <v>29990</v>
      </c>
    </row>
    <row r="80" spans="1:15" ht="27" customHeight="1" x14ac:dyDescent="0.25">
      <c r="A80" s="13" t="str">
        <f t="shared" si="60"/>
        <v>РУ-2-2</v>
      </c>
      <c r="B80" s="10" t="s">
        <v>294</v>
      </c>
      <c r="C80" s="11" t="s">
        <v>211</v>
      </c>
      <c r="D80" s="10" t="s">
        <v>212</v>
      </c>
      <c r="E80" s="13">
        <v>3</v>
      </c>
      <c r="F80" s="14" t="s">
        <v>12</v>
      </c>
      <c r="G80" s="10">
        <v>16550</v>
      </c>
      <c r="H80" s="12">
        <f t="shared" si="64"/>
        <v>4965</v>
      </c>
      <c r="I80" s="12">
        <f t="shared" si="61"/>
        <v>14895</v>
      </c>
      <c r="J80" s="10" t="s">
        <v>207</v>
      </c>
      <c r="K80" s="13" t="str">
        <f t="shared" si="62"/>
        <v>Блок2</v>
      </c>
      <c r="L80">
        <v>14895</v>
      </c>
      <c r="M80">
        <f t="shared" si="63"/>
        <v>1</v>
      </c>
      <c r="N80">
        <f t="shared" si="56"/>
        <v>3</v>
      </c>
      <c r="O80" s="23">
        <f>N80*G80</f>
        <v>49650</v>
      </c>
    </row>
    <row r="81" spans="1:15" ht="27" customHeight="1" x14ac:dyDescent="0.25">
      <c r="A81" s="13" t="str">
        <f t="shared" si="60"/>
        <v>РУ-2-2</v>
      </c>
      <c r="B81" s="10" t="s">
        <v>294</v>
      </c>
      <c r="C81" s="11" t="s">
        <v>223</v>
      </c>
      <c r="D81" s="10" t="s">
        <v>224</v>
      </c>
      <c r="E81" s="13">
        <v>1</v>
      </c>
      <c r="F81" s="14" t="s">
        <v>12</v>
      </c>
      <c r="G81" s="10">
        <v>16550</v>
      </c>
      <c r="H81" s="12">
        <f t="shared" si="64"/>
        <v>4965</v>
      </c>
      <c r="I81" s="12">
        <f t="shared" si="61"/>
        <v>4965</v>
      </c>
      <c r="J81" s="10" t="s">
        <v>207</v>
      </c>
      <c r="K81" s="13" t="str">
        <f t="shared" si="62"/>
        <v>Блок2</v>
      </c>
      <c r="L81">
        <v>4965</v>
      </c>
      <c r="M81">
        <f t="shared" si="63"/>
        <v>1</v>
      </c>
      <c r="N81">
        <f t="shared" si="56"/>
        <v>1</v>
      </c>
      <c r="O81" s="23">
        <f>N81*G81</f>
        <v>16550</v>
      </c>
    </row>
    <row r="82" spans="1:15" ht="27" customHeight="1" x14ac:dyDescent="0.25">
      <c r="A82" s="13" t="str">
        <f t="shared" si="60"/>
        <v>РУ-2-2</v>
      </c>
      <c r="B82" s="10" t="s">
        <v>15</v>
      </c>
      <c r="C82" s="11" t="s">
        <v>301</v>
      </c>
      <c r="D82" s="10" t="s">
        <v>302</v>
      </c>
      <c r="E82" s="13">
        <v>2</v>
      </c>
      <c r="F82" s="14" t="s">
        <v>12</v>
      </c>
      <c r="G82" s="10">
        <v>32300</v>
      </c>
      <c r="H82" s="12">
        <f>G82</f>
        <v>32300</v>
      </c>
      <c r="I82" s="12">
        <f t="shared" si="61"/>
        <v>64600</v>
      </c>
      <c r="J82" s="10" t="s">
        <v>16</v>
      </c>
      <c r="K82" s="13" t="str">
        <f t="shared" si="62"/>
        <v>Блок2</v>
      </c>
      <c r="L82">
        <v>64600</v>
      </c>
      <c r="M82">
        <f t="shared" si="63"/>
        <v>1</v>
      </c>
      <c r="N82">
        <f t="shared" si="56"/>
        <v>2</v>
      </c>
      <c r="O82" s="23">
        <f t="shared" ref="O82:O87" si="65">N82*H82</f>
        <v>64600</v>
      </c>
    </row>
    <row r="83" spans="1:15" ht="27" customHeight="1" x14ac:dyDescent="0.25">
      <c r="A83" s="10" t="str">
        <f>A81</f>
        <v>РУ-2-2</v>
      </c>
      <c r="B83" s="10" t="s">
        <v>19</v>
      </c>
      <c r="C83" s="11" t="s">
        <v>19</v>
      </c>
      <c r="D83" s="10" t="s">
        <v>19</v>
      </c>
      <c r="E83" s="10">
        <v>1</v>
      </c>
      <c r="F83" s="10" t="s">
        <v>12</v>
      </c>
      <c r="G83" s="10">
        <f ca="1">OFFSET(G83,1,2)</f>
        <v>27000</v>
      </c>
      <c r="H83" s="12">
        <f ca="1">G83</f>
        <v>27000</v>
      </c>
      <c r="I83" s="12">
        <f t="shared" ca="1" si="61"/>
        <v>27000</v>
      </c>
      <c r="J83" s="10" t="s">
        <v>19</v>
      </c>
      <c r="K83" s="13" t="str">
        <f t="shared" si="62"/>
        <v>Блок2</v>
      </c>
      <c r="L83">
        <v>27000</v>
      </c>
      <c r="M83">
        <f>M81</f>
        <v>1</v>
      </c>
      <c r="N83">
        <f t="shared" si="56"/>
        <v>1</v>
      </c>
      <c r="O83" s="23">
        <f t="shared" ca="1" si="65"/>
        <v>27000</v>
      </c>
    </row>
    <row r="84" spans="1:15" ht="27" customHeight="1" x14ac:dyDescent="0.25">
      <c r="A84" s="10" t="str">
        <f t="shared" si="60"/>
        <v>РУ-2-2</v>
      </c>
      <c r="B84" s="10" t="s">
        <v>20</v>
      </c>
      <c r="C84" s="11" t="s">
        <v>20</v>
      </c>
      <c r="D84" s="10" t="s">
        <v>20</v>
      </c>
      <c r="E84" s="10">
        <f>60*G84</f>
        <v>270</v>
      </c>
      <c r="F84" s="10" t="s">
        <v>12</v>
      </c>
      <c r="G84" s="10">
        <v>4.5</v>
      </c>
      <c r="H84" s="12">
        <v>100</v>
      </c>
      <c r="I84" s="12">
        <f t="shared" si="61"/>
        <v>27000</v>
      </c>
      <c r="J84" s="10" t="s">
        <v>20</v>
      </c>
      <c r="K84" s="13" t="str">
        <f t="shared" si="62"/>
        <v>Блок2</v>
      </c>
      <c r="L84">
        <v>27000</v>
      </c>
      <c r="M84">
        <f t="shared" si="63"/>
        <v>1</v>
      </c>
      <c r="N84">
        <f t="shared" si="56"/>
        <v>270</v>
      </c>
      <c r="O84" s="23">
        <f t="shared" si="65"/>
        <v>27000</v>
      </c>
    </row>
    <row r="85" spans="1:15" ht="27" customHeight="1" x14ac:dyDescent="0.25">
      <c r="A85" s="15" t="str">
        <f t="shared" si="60"/>
        <v>РУ-2-2</v>
      </c>
      <c r="B85" s="15"/>
      <c r="C85" s="15"/>
      <c r="D85" s="16"/>
      <c r="E85" s="15"/>
      <c r="F85" s="19"/>
      <c r="G85" s="17"/>
      <c r="H85" s="12">
        <f>G85*0.55</f>
        <v>0</v>
      </c>
      <c r="I85" s="18">
        <f ca="1">SUM(I78:I84)</f>
        <v>234457</v>
      </c>
      <c r="J85" s="15"/>
      <c r="K85" s="13" t="str">
        <f t="shared" si="62"/>
        <v>Блок2</v>
      </c>
      <c r="L85">
        <v>234457</v>
      </c>
      <c r="M85">
        <f t="shared" si="63"/>
        <v>1</v>
      </c>
      <c r="N85">
        <f t="shared" si="56"/>
        <v>0</v>
      </c>
      <c r="O85" s="23">
        <f t="shared" si="65"/>
        <v>0</v>
      </c>
    </row>
    <row r="86" spans="1:15" ht="27" customHeight="1" x14ac:dyDescent="0.25">
      <c r="A86" s="8" t="str">
        <f>D86</f>
        <v>ЩУР.МОП1-2</v>
      </c>
      <c r="B86" s="4"/>
      <c r="C86" s="5"/>
      <c r="D86" s="4" t="s">
        <v>56</v>
      </c>
      <c r="E86" s="8">
        <v>1</v>
      </c>
      <c r="F86" s="9" t="s">
        <v>9</v>
      </c>
      <c r="G86" s="6"/>
      <c r="H86" s="6"/>
      <c r="I86" s="7"/>
      <c r="J86" s="4" t="s">
        <v>10</v>
      </c>
      <c r="K86" s="8" t="s">
        <v>53</v>
      </c>
      <c r="M86">
        <f>E86</f>
        <v>1</v>
      </c>
      <c r="N86">
        <f t="shared" si="56"/>
        <v>1</v>
      </c>
      <c r="O86" s="23">
        <f t="shared" si="65"/>
        <v>0</v>
      </c>
    </row>
    <row r="87" spans="1:15" ht="27" customHeight="1" x14ac:dyDescent="0.25">
      <c r="A87" s="13" t="str">
        <f t="shared" ref="A87:A94" si="66">A86</f>
        <v>ЩУР.МОП1-2</v>
      </c>
      <c r="B87" s="10" t="s">
        <v>11</v>
      </c>
      <c r="C87" s="11" t="s">
        <v>40</v>
      </c>
      <c r="D87" s="10" t="s">
        <v>41</v>
      </c>
      <c r="E87" s="13">
        <v>1</v>
      </c>
      <c r="F87" s="14" t="s">
        <v>12</v>
      </c>
      <c r="G87" s="10">
        <v>18000</v>
      </c>
      <c r="H87" s="12">
        <f>0.6*G87</f>
        <v>10800</v>
      </c>
      <c r="I87" s="12">
        <f t="shared" ref="I87:I93" si="67">H87*E87</f>
        <v>10800</v>
      </c>
      <c r="J87" s="10" t="s">
        <v>13</v>
      </c>
      <c r="K87" s="13" t="str">
        <f t="shared" ref="K87:K94" si="68">K86</f>
        <v>Блок2</v>
      </c>
      <c r="L87">
        <v>10800</v>
      </c>
      <c r="M87">
        <f t="shared" ref="M87:M94" si="69">M86</f>
        <v>1</v>
      </c>
      <c r="N87">
        <f t="shared" si="56"/>
        <v>1</v>
      </c>
      <c r="O87" s="23">
        <f t="shared" si="65"/>
        <v>10800</v>
      </c>
    </row>
    <row r="88" spans="1:15" ht="27" customHeight="1" x14ac:dyDescent="0.25">
      <c r="A88" s="13" t="str">
        <f t="shared" si="66"/>
        <v>ЩУР.МОП1-2</v>
      </c>
      <c r="B88" s="10" t="s">
        <v>293</v>
      </c>
      <c r="C88" s="11" t="s">
        <v>195</v>
      </c>
      <c r="D88" s="10" t="s">
        <v>196</v>
      </c>
      <c r="E88" s="13">
        <v>1</v>
      </c>
      <c r="F88" s="14" t="s">
        <v>12</v>
      </c>
      <c r="G88" s="10">
        <v>6190</v>
      </c>
      <c r="H88" s="12">
        <f t="shared" ref="H88:H90" si="70">0.3*G88</f>
        <v>1857</v>
      </c>
      <c r="I88" s="12">
        <f t="shared" si="67"/>
        <v>1857</v>
      </c>
      <c r="J88" s="10" t="s">
        <v>207</v>
      </c>
      <c r="K88" s="13" t="str">
        <f t="shared" si="68"/>
        <v>Блок2</v>
      </c>
      <c r="L88">
        <v>1857</v>
      </c>
      <c r="M88">
        <f t="shared" si="69"/>
        <v>1</v>
      </c>
      <c r="N88">
        <f t="shared" si="56"/>
        <v>1</v>
      </c>
      <c r="O88" s="23">
        <f>N88*G88</f>
        <v>6190</v>
      </c>
    </row>
    <row r="89" spans="1:15" ht="27" customHeight="1" x14ac:dyDescent="0.25">
      <c r="A89" s="13" t="str">
        <f t="shared" si="66"/>
        <v>ЩУР.МОП1-2</v>
      </c>
      <c r="B89" s="10" t="s">
        <v>293</v>
      </c>
      <c r="C89" s="11" t="s">
        <v>199</v>
      </c>
      <c r="D89" s="10" t="s">
        <v>200</v>
      </c>
      <c r="E89" s="13">
        <v>2</v>
      </c>
      <c r="F89" s="14" t="s">
        <v>12</v>
      </c>
      <c r="G89" s="10">
        <v>5950</v>
      </c>
      <c r="H89" s="12">
        <f t="shared" si="70"/>
        <v>1785</v>
      </c>
      <c r="I89" s="12">
        <f t="shared" si="67"/>
        <v>3570</v>
      </c>
      <c r="J89" s="10" t="s">
        <v>207</v>
      </c>
      <c r="K89" s="13" t="str">
        <f t="shared" si="68"/>
        <v>Блок2</v>
      </c>
      <c r="L89">
        <v>3570</v>
      </c>
      <c r="M89">
        <f t="shared" si="69"/>
        <v>1</v>
      </c>
      <c r="N89">
        <f t="shared" si="56"/>
        <v>2</v>
      </c>
      <c r="O89" s="23">
        <f>N89*G89</f>
        <v>11900</v>
      </c>
    </row>
    <row r="90" spans="1:15" ht="27" customHeight="1" x14ac:dyDescent="0.25">
      <c r="A90" s="13" t="str">
        <f t="shared" si="66"/>
        <v>ЩУР.МОП1-2</v>
      </c>
      <c r="B90" s="10" t="s">
        <v>293</v>
      </c>
      <c r="C90" s="11" t="s">
        <v>193</v>
      </c>
      <c r="D90" s="10" t="s">
        <v>194</v>
      </c>
      <c r="E90" s="13">
        <v>2</v>
      </c>
      <c r="F90" s="14" t="s">
        <v>12</v>
      </c>
      <c r="G90" s="10">
        <v>6580</v>
      </c>
      <c r="H90" s="12">
        <f t="shared" si="70"/>
        <v>1974</v>
      </c>
      <c r="I90" s="12">
        <f t="shared" si="67"/>
        <v>3948</v>
      </c>
      <c r="J90" s="10" t="s">
        <v>207</v>
      </c>
      <c r="K90" s="13" t="str">
        <f t="shared" si="68"/>
        <v>Блок2</v>
      </c>
      <c r="L90">
        <v>3948</v>
      </c>
      <c r="M90">
        <f t="shared" si="69"/>
        <v>1</v>
      </c>
      <c r="N90">
        <f t="shared" si="56"/>
        <v>2</v>
      </c>
      <c r="O90" s="23">
        <f>N90*G90</f>
        <v>13160</v>
      </c>
    </row>
    <row r="91" spans="1:15" ht="27" customHeight="1" x14ac:dyDescent="0.25">
      <c r="A91" s="13" t="str">
        <f t="shared" si="66"/>
        <v>ЩУР.МОП1-2</v>
      </c>
      <c r="B91" s="10" t="s">
        <v>15</v>
      </c>
      <c r="C91" s="11" t="s">
        <v>299</v>
      </c>
      <c r="D91" s="10" t="s">
        <v>300</v>
      </c>
      <c r="E91" s="13">
        <v>1</v>
      </c>
      <c r="F91" s="14" t="s">
        <v>12</v>
      </c>
      <c r="G91" s="10">
        <v>32400</v>
      </c>
      <c r="H91" s="12">
        <f>G91</f>
        <v>32400</v>
      </c>
      <c r="I91" s="12">
        <f t="shared" si="67"/>
        <v>32400</v>
      </c>
      <c r="J91" s="10" t="s">
        <v>16</v>
      </c>
      <c r="K91" s="13" t="str">
        <f t="shared" si="68"/>
        <v>Блок2</v>
      </c>
      <c r="L91">
        <v>32400</v>
      </c>
      <c r="M91">
        <f t="shared" si="69"/>
        <v>1</v>
      </c>
      <c r="N91">
        <f t="shared" si="56"/>
        <v>1</v>
      </c>
      <c r="O91" s="23">
        <f t="shared" ref="O91:O97" si="71">N91*H91</f>
        <v>32400</v>
      </c>
    </row>
    <row r="92" spans="1:15" ht="27" customHeight="1" x14ac:dyDescent="0.25">
      <c r="A92" s="10" t="str">
        <f t="shared" si="66"/>
        <v>ЩУР.МОП1-2</v>
      </c>
      <c r="B92" s="10" t="s">
        <v>19</v>
      </c>
      <c r="C92" s="11" t="s">
        <v>19</v>
      </c>
      <c r="D92" s="10" t="s">
        <v>19</v>
      </c>
      <c r="E92" s="10">
        <v>1</v>
      </c>
      <c r="F92" s="10" t="s">
        <v>12</v>
      </c>
      <c r="G92" s="10">
        <f ca="1">OFFSET(G92,1,2)</f>
        <v>12000</v>
      </c>
      <c r="H92" s="12">
        <f ca="1">G92</f>
        <v>12000</v>
      </c>
      <c r="I92" s="12">
        <f t="shared" ca="1" si="67"/>
        <v>12000</v>
      </c>
      <c r="J92" s="10" t="s">
        <v>19</v>
      </c>
      <c r="K92" s="13" t="str">
        <f t="shared" si="68"/>
        <v>Блок2</v>
      </c>
      <c r="L92">
        <v>12000</v>
      </c>
      <c r="M92">
        <f t="shared" si="69"/>
        <v>1</v>
      </c>
      <c r="N92">
        <f t="shared" si="56"/>
        <v>1</v>
      </c>
      <c r="O92" s="23">
        <f t="shared" ca="1" si="71"/>
        <v>12000</v>
      </c>
    </row>
    <row r="93" spans="1:15" ht="27" customHeight="1" x14ac:dyDescent="0.25">
      <c r="A93" s="10" t="str">
        <f t="shared" si="66"/>
        <v>ЩУР.МОП1-2</v>
      </c>
      <c r="B93" s="10" t="s">
        <v>20</v>
      </c>
      <c r="C93" s="11" t="s">
        <v>20</v>
      </c>
      <c r="D93" s="10" t="s">
        <v>20</v>
      </c>
      <c r="E93" s="10">
        <f>60*G93</f>
        <v>120</v>
      </c>
      <c r="F93" s="10" t="s">
        <v>12</v>
      </c>
      <c r="G93" s="10">
        <v>2</v>
      </c>
      <c r="H93" s="12">
        <v>100</v>
      </c>
      <c r="I93" s="12">
        <f t="shared" si="67"/>
        <v>12000</v>
      </c>
      <c r="J93" s="10" t="s">
        <v>20</v>
      </c>
      <c r="K93" s="13" t="str">
        <f t="shared" si="68"/>
        <v>Блок2</v>
      </c>
      <c r="L93">
        <v>12000</v>
      </c>
      <c r="M93">
        <f t="shared" si="69"/>
        <v>1</v>
      </c>
      <c r="N93">
        <f t="shared" si="56"/>
        <v>120</v>
      </c>
      <c r="O93" s="23">
        <f t="shared" si="71"/>
        <v>12000</v>
      </c>
    </row>
    <row r="94" spans="1:15" ht="27" customHeight="1" x14ac:dyDescent="0.25">
      <c r="A94" s="15" t="str">
        <f t="shared" si="66"/>
        <v>ЩУР.МОП1-2</v>
      </c>
      <c r="B94" s="15"/>
      <c r="C94" s="15"/>
      <c r="D94" s="16"/>
      <c r="E94" s="15"/>
      <c r="F94" s="19"/>
      <c r="G94" s="17"/>
      <c r="H94" s="12">
        <f>G94*0.55</f>
        <v>0</v>
      </c>
      <c r="I94" s="18">
        <f ca="1">SUM(I87:I93)</f>
        <v>76575</v>
      </c>
      <c r="J94" s="15"/>
      <c r="K94" s="13" t="str">
        <f t="shared" si="68"/>
        <v>Блок2</v>
      </c>
      <c r="L94">
        <v>76575</v>
      </c>
      <c r="M94">
        <f t="shared" si="69"/>
        <v>1</v>
      </c>
      <c r="N94">
        <f t="shared" si="56"/>
        <v>0</v>
      </c>
      <c r="O94" s="23">
        <f t="shared" si="71"/>
        <v>0</v>
      </c>
    </row>
    <row r="95" spans="1:15" ht="27" customHeight="1" x14ac:dyDescent="0.25">
      <c r="A95" s="8" t="str">
        <f>D95</f>
        <v>РЩ1-2 (АВР-Б-40-2-1)</v>
      </c>
      <c r="B95" s="4"/>
      <c r="C95" s="5"/>
      <c r="D95" s="4" t="s">
        <v>133</v>
      </c>
      <c r="E95" s="8">
        <v>1</v>
      </c>
      <c r="F95" s="9" t="s">
        <v>9</v>
      </c>
      <c r="G95" s="6"/>
      <c r="H95" s="6"/>
      <c r="I95" s="7"/>
      <c r="J95" s="4" t="s">
        <v>10</v>
      </c>
      <c r="K95" s="8" t="s">
        <v>53</v>
      </c>
      <c r="M95">
        <f>E95</f>
        <v>1</v>
      </c>
      <c r="N95">
        <f t="shared" si="56"/>
        <v>1</v>
      </c>
      <c r="O95" s="23">
        <f t="shared" si="71"/>
        <v>0</v>
      </c>
    </row>
    <row r="96" spans="1:15" ht="27" customHeight="1" x14ac:dyDescent="0.25">
      <c r="A96" s="13" t="str">
        <f t="shared" ref="A96:A107" si="72">A95</f>
        <v>РЩ1-2 (АВР-Б-40-2-1)</v>
      </c>
      <c r="B96" s="10" t="s">
        <v>11</v>
      </c>
      <c r="C96" s="11" t="s">
        <v>168</v>
      </c>
      <c r="D96" s="10" t="s">
        <v>169</v>
      </c>
      <c r="E96" s="13">
        <v>1</v>
      </c>
      <c r="F96" s="14" t="s">
        <v>12</v>
      </c>
      <c r="G96" s="10">
        <v>130000</v>
      </c>
      <c r="H96" s="12">
        <f t="shared" ref="H96:H97" si="73">0.6*G96</f>
        <v>78000</v>
      </c>
      <c r="I96" s="12">
        <f t="shared" ref="I96:I106" si="74">H96*E96</f>
        <v>78000</v>
      </c>
      <c r="J96" s="10" t="s">
        <v>13</v>
      </c>
      <c r="K96" s="13" t="str">
        <f t="shared" ref="K96:K107" si="75">K95</f>
        <v>Блок2</v>
      </c>
      <c r="L96">
        <v>78000</v>
      </c>
      <c r="M96">
        <f t="shared" ref="M96:M107" si="76">M95</f>
        <v>1</v>
      </c>
      <c r="N96">
        <f t="shared" si="56"/>
        <v>1</v>
      </c>
      <c r="O96" s="23">
        <f t="shared" si="71"/>
        <v>78000</v>
      </c>
    </row>
    <row r="97" spans="1:15" ht="27" customHeight="1" x14ac:dyDescent="0.25">
      <c r="A97" s="13" t="str">
        <f t="shared" si="72"/>
        <v>РЩ1-2 (АВР-Б-40-2-1)</v>
      </c>
      <c r="B97" s="10" t="s">
        <v>44</v>
      </c>
      <c r="C97" s="11" t="s">
        <v>162</v>
      </c>
      <c r="D97" s="10" t="s">
        <v>163</v>
      </c>
      <c r="E97" s="13">
        <v>1</v>
      </c>
      <c r="F97" s="14" t="s">
        <v>12</v>
      </c>
      <c r="G97" s="10">
        <v>114758</v>
      </c>
      <c r="H97" s="12">
        <f t="shared" si="73"/>
        <v>68854.8</v>
      </c>
      <c r="I97" s="12">
        <f t="shared" si="74"/>
        <v>68854.8</v>
      </c>
      <c r="J97" s="10" t="s">
        <v>14</v>
      </c>
      <c r="K97" s="13" t="str">
        <f t="shared" si="75"/>
        <v>Блок2</v>
      </c>
      <c r="L97">
        <v>68854.8</v>
      </c>
      <c r="M97">
        <f t="shared" si="76"/>
        <v>1</v>
      </c>
      <c r="N97">
        <f t="shared" si="56"/>
        <v>1</v>
      </c>
      <c r="O97" s="23">
        <f t="shared" si="71"/>
        <v>68854.8</v>
      </c>
    </row>
    <row r="98" spans="1:15" ht="27" customHeight="1" x14ac:dyDescent="0.25">
      <c r="A98" s="13" t="str">
        <f t="shared" si="72"/>
        <v>РЩ1-2 (АВР-Б-40-2-1)</v>
      </c>
      <c r="B98" s="10" t="s">
        <v>293</v>
      </c>
      <c r="C98" s="11" t="s">
        <v>213</v>
      </c>
      <c r="D98" s="10" t="s">
        <v>214</v>
      </c>
      <c r="E98" s="13">
        <v>2</v>
      </c>
      <c r="F98" s="14" t="s">
        <v>12</v>
      </c>
      <c r="G98" s="10">
        <v>7690</v>
      </c>
      <c r="H98" s="12">
        <f t="shared" ref="H98:H100" si="77">0.3*G98</f>
        <v>2307</v>
      </c>
      <c r="I98" s="12">
        <f t="shared" si="74"/>
        <v>4614</v>
      </c>
      <c r="J98" s="10" t="s">
        <v>207</v>
      </c>
      <c r="K98" s="13" t="str">
        <f t="shared" si="75"/>
        <v>Блок2</v>
      </c>
      <c r="L98">
        <v>4614</v>
      </c>
      <c r="M98">
        <f t="shared" si="76"/>
        <v>1</v>
      </c>
      <c r="N98">
        <f t="shared" si="56"/>
        <v>2</v>
      </c>
      <c r="O98" s="23">
        <f>N98*G98</f>
        <v>15380</v>
      </c>
    </row>
    <row r="99" spans="1:15" ht="27" customHeight="1" x14ac:dyDescent="0.25">
      <c r="A99" s="13" t="str">
        <f t="shared" si="72"/>
        <v>РЩ1-2 (АВР-Б-40-2-1)</v>
      </c>
      <c r="B99" s="10" t="s">
        <v>293</v>
      </c>
      <c r="C99" s="11" t="s">
        <v>231</v>
      </c>
      <c r="D99" s="10" t="s">
        <v>232</v>
      </c>
      <c r="E99" s="13">
        <v>2</v>
      </c>
      <c r="F99" s="14" t="s">
        <v>12</v>
      </c>
      <c r="G99" s="10">
        <v>7690</v>
      </c>
      <c r="H99" s="12">
        <f t="shared" si="77"/>
        <v>2307</v>
      </c>
      <c r="I99" s="12">
        <f t="shared" si="74"/>
        <v>4614</v>
      </c>
      <c r="J99" s="10" t="s">
        <v>207</v>
      </c>
      <c r="K99" s="13" t="str">
        <f t="shared" si="75"/>
        <v>Блок2</v>
      </c>
      <c r="L99">
        <v>4614</v>
      </c>
      <c r="M99">
        <f t="shared" si="76"/>
        <v>1</v>
      </c>
      <c r="N99">
        <f t="shared" si="56"/>
        <v>2</v>
      </c>
      <c r="O99" s="23">
        <f>N99*G99</f>
        <v>15380</v>
      </c>
    </row>
    <row r="100" spans="1:15" ht="27" customHeight="1" x14ac:dyDescent="0.25">
      <c r="A100" s="13" t="str">
        <f t="shared" si="72"/>
        <v>РЩ1-2 (АВР-Б-40-2-1)</v>
      </c>
      <c r="B100" s="10" t="s">
        <v>294</v>
      </c>
      <c r="C100" s="11" t="s">
        <v>203</v>
      </c>
      <c r="D100" s="10" t="s">
        <v>204</v>
      </c>
      <c r="E100" s="13">
        <v>2</v>
      </c>
      <c r="F100" s="14" t="s">
        <v>12</v>
      </c>
      <c r="G100" s="10">
        <v>13450</v>
      </c>
      <c r="H100" s="12">
        <f t="shared" si="77"/>
        <v>4035</v>
      </c>
      <c r="I100" s="12">
        <f t="shared" si="74"/>
        <v>8070</v>
      </c>
      <c r="J100" s="10" t="s">
        <v>207</v>
      </c>
      <c r="K100" s="13" t="str">
        <f t="shared" si="75"/>
        <v>Блок2</v>
      </c>
      <c r="L100">
        <v>8070</v>
      </c>
      <c r="M100">
        <f t="shared" si="76"/>
        <v>1</v>
      </c>
      <c r="N100">
        <f t="shared" si="56"/>
        <v>2</v>
      </c>
      <c r="O100" s="23">
        <f>N100*G100</f>
        <v>26900</v>
      </c>
    </row>
    <row r="101" spans="1:15" ht="27" customHeight="1" x14ac:dyDescent="0.25">
      <c r="A101" s="13" t="str">
        <f t="shared" si="72"/>
        <v>РЩ1-2 (АВР-Б-40-2-1)</v>
      </c>
      <c r="B101" s="10" t="s">
        <v>18</v>
      </c>
      <c r="C101" s="11" t="s">
        <v>233</v>
      </c>
      <c r="D101" s="10" t="s">
        <v>234</v>
      </c>
      <c r="E101" s="13">
        <v>1</v>
      </c>
      <c r="F101" s="14" t="s">
        <v>12</v>
      </c>
      <c r="G101" s="10">
        <v>5884</v>
      </c>
      <c r="H101" s="12">
        <f>0.6*G101</f>
        <v>3530.4</v>
      </c>
      <c r="I101" s="12">
        <f t="shared" si="74"/>
        <v>3530.4</v>
      </c>
      <c r="J101" s="10" t="s">
        <v>14</v>
      </c>
      <c r="K101" s="13" t="str">
        <f t="shared" si="75"/>
        <v>Блок2</v>
      </c>
      <c r="L101">
        <v>3530.4</v>
      </c>
      <c r="M101">
        <f t="shared" si="76"/>
        <v>1</v>
      </c>
      <c r="N101">
        <f t="shared" si="56"/>
        <v>1</v>
      </c>
      <c r="O101" s="23">
        <f>N101*H101</f>
        <v>3530.4</v>
      </c>
    </row>
    <row r="102" spans="1:15" ht="27" customHeight="1" x14ac:dyDescent="0.25">
      <c r="A102" s="13" t="str">
        <f t="shared" si="72"/>
        <v>РЩ1-2 (АВР-Б-40-2-1)</v>
      </c>
      <c r="B102" s="10" t="s">
        <v>293</v>
      </c>
      <c r="C102" s="11" t="s">
        <v>205</v>
      </c>
      <c r="D102" s="10" t="s">
        <v>206</v>
      </c>
      <c r="E102" s="13">
        <v>1</v>
      </c>
      <c r="F102" s="14" t="s">
        <v>12</v>
      </c>
      <c r="G102" s="10">
        <v>7090</v>
      </c>
      <c r="H102" s="12">
        <f>0.3*G102</f>
        <v>2127</v>
      </c>
      <c r="I102" s="12">
        <f t="shared" si="74"/>
        <v>2127</v>
      </c>
      <c r="J102" s="10" t="s">
        <v>207</v>
      </c>
      <c r="K102" s="13" t="str">
        <f t="shared" si="75"/>
        <v>Блок2</v>
      </c>
      <c r="L102">
        <v>2127</v>
      </c>
      <c r="M102">
        <f t="shared" si="76"/>
        <v>1</v>
      </c>
      <c r="N102">
        <f t="shared" si="56"/>
        <v>1</v>
      </c>
      <c r="O102" s="23">
        <f>N102*G102</f>
        <v>7090</v>
      </c>
    </row>
    <row r="103" spans="1:15" ht="27" customHeight="1" x14ac:dyDescent="0.25">
      <c r="A103" s="13" t="str">
        <f t="shared" si="72"/>
        <v>РЩ1-2 (АВР-Б-40-2-1)</v>
      </c>
      <c r="B103" s="10" t="s">
        <v>15</v>
      </c>
      <c r="C103" s="11" t="s">
        <v>299</v>
      </c>
      <c r="D103" s="10" t="s">
        <v>300</v>
      </c>
      <c r="E103" s="13">
        <v>1</v>
      </c>
      <c r="F103" s="14" t="s">
        <v>12</v>
      </c>
      <c r="G103" s="10">
        <v>32400</v>
      </c>
      <c r="H103" s="12">
        <f>G103</f>
        <v>32400</v>
      </c>
      <c r="I103" s="12">
        <f t="shared" si="74"/>
        <v>32400</v>
      </c>
      <c r="J103" s="10" t="s">
        <v>16</v>
      </c>
      <c r="K103" s="13" t="str">
        <f t="shared" si="75"/>
        <v>Блок2</v>
      </c>
      <c r="L103">
        <v>32400</v>
      </c>
      <c r="M103">
        <f t="shared" si="76"/>
        <v>1</v>
      </c>
      <c r="N103">
        <f t="shared" si="56"/>
        <v>1</v>
      </c>
      <c r="O103" s="23">
        <f t="shared" ref="O103:O113" si="78">N103*H103</f>
        <v>32400</v>
      </c>
    </row>
    <row r="104" spans="1:15" ht="27" customHeight="1" x14ac:dyDescent="0.25">
      <c r="A104" s="13" t="str">
        <f t="shared" si="72"/>
        <v>РЩ1-2 (АВР-Б-40-2-1)</v>
      </c>
      <c r="B104" s="10" t="s">
        <v>30</v>
      </c>
      <c r="C104" s="11"/>
      <c r="D104" s="10" t="s">
        <v>31</v>
      </c>
      <c r="E104" s="13">
        <v>6</v>
      </c>
      <c r="F104" s="14" t="s">
        <v>12</v>
      </c>
      <c r="G104" s="10">
        <v>3850</v>
      </c>
      <c r="H104" s="12">
        <f>G104</f>
        <v>3850</v>
      </c>
      <c r="I104" s="12">
        <f t="shared" si="74"/>
        <v>23100</v>
      </c>
      <c r="J104" s="10" t="s">
        <v>25</v>
      </c>
      <c r="K104" s="13" t="str">
        <f t="shared" si="75"/>
        <v>Блок2</v>
      </c>
      <c r="L104">
        <v>23100</v>
      </c>
      <c r="M104">
        <f t="shared" si="76"/>
        <v>1</v>
      </c>
      <c r="N104">
        <f t="shared" si="56"/>
        <v>6</v>
      </c>
      <c r="O104" s="23">
        <f t="shared" si="78"/>
        <v>23100</v>
      </c>
    </row>
    <row r="105" spans="1:15" ht="27" customHeight="1" x14ac:dyDescent="0.25">
      <c r="A105" s="10" t="str">
        <f t="shared" si="72"/>
        <v>РЩ1-2 (АВР-Б-40-2-1)</v>
      </c>
      <c r="B105" s="10" t="s">
        <v>19</v>
      </c>
      <c r="C105" s="11" t="s">
        <v>19</v>
      </c>
      <c r="D105" s="10" t="s">
        <v>19</v>
      </c>
      <c r="E105" s="10">
        <v>1</v>
      </c>
      <c r="F105" s="10" t="s">
        <v>12</v>
      </c>
      <c r="G105" s="10">
        <f ca="1">OFFSET(G105,1,2)</f>
        <v>39000</v>
      </c>
      <c r="H105" s="12">
        <f ca="1">G105</f>
        <v>39000</v>
      </c>
      <c r="I105" s="12">
        <f t="shared" ca="1" si="74"/>
        <v>39000</v>
      </c>
      <c r="J105" s="10" t="s">
        <v>19</v>
      </c>
      <c r="K105" s="13" t="str">
        <f t="shared" si="75"/>
        <v>Блок2</v>
      </c>
      <c r="L105">
        <v>39000</v>
      </c>
      <c r="M105">
        <f t="shared" si="76"/>
        <v>1</v>
      </c>
      <c r="N105">
        <f t="shared" si="56"/>
        <v>1</v>
      </c>
      <c r="O105" s="23">
        <f t="shared" ca="1" si="78"/>
        <v>39000</v>
      </c>
    </row>
    <row r="106" spans="1:15" ht="27" customHeight="1" x14ac:dyDescent="0.25">
      <c r="A106" s="10" t="str">
        <f t="shared" si="72"/>
        <v>РЩ1-2 (АВР-Б-40-2-1)</v>
      </c>
      <c r="B106" s="10" t="s">
        <v>20</v>
      </c>
      <c r="C106" s="11" t="s">
        <v>20</v>
      </c>
      <c r="D106" s="10" t="s">
        <v>20</v>
      </c>
      <c r="E106" s="10">
        <f>60*G106</f>
        <v>390</v>
      </c>
      <c r="F106" s="10" t="s">
        <v>12</v>
      </c>
      <c r="G106" s="10">
        <v>6.5</v>
      </c>
      <c r="H106" s="12">
        <v>100</v>
      </c>
      <c r="I106" s="12">
        <f t="shared" si="74"/>
        <v>39000</v>
      </c>
      <c r="J106" s="10" t="s">
        <v>20</v>
      </c>
      <c r="K106" s="13" t="str">
        <f t="shared" si="75"/>
        <v>Блок2</v>
      </c>
      <c r="L106">
        <v>39000</v>
      </c>
      <c r="M106">
        <f t="shared" si="76"/>
        <v>1</v>
      </c>
      <c r="N106">
        <f t="shared" si="56"/>
        <v>390</v>
      </c>
      <c r="O106" s="23">
        <f t="shared" si="78"/>
        <v>39000</v>
      </c>
    </row>
    <row r="107" spans="1:15" ht="27" customHeight="1" x14ac:dyDescent="0.25">
      <c r="A107" s="15" t="str">
        <f t="shared" si="72"/>
        <v>РЩ1-2 (АВР-Б-40-2-1)</v>
      </c>
      <c r="B107" s="15"/>
      <c r="C107" s="15"/>
      <c r="D107" s="16"/>
      <c r="E107" s="15"/>
      <c r="F107" s="19"/>
      <c r="G107" s="17"/>
      <c r="H107" s="12">
        <f>G107*0.55</f>
        <v>0</v>
      </c>
      <c r="I107" s="18">
        <f ca="1">SUM(I96:I106)</f>
        <v>303310.19999999995</v>
      </c>
      <c r="J107" s="15"/>
      <c r="K107" s="13" t="str">
        <f t="shared" si="75"/>
        <v>Блок2</v>
      </c>
      <c r="L107">
        <v>303310.19999999995</v>
      </c>
      <c r="M107">
        <f t="shared" si="76"/>
        <v>1</v>
      </c>
      <c r="N107">
        <f t="shared" si="56"/>
        <v>0</v>
      </c>
      <c r="O107" s="23">
        <f t="shared" si="78"/>
        <v>0</v>
      </c>
    </row>
    <row r="108" spans="1:15" ht="27" customHeight="1" x14ac:dyDescent="0.25">
      <c r="A108" s="8" t="str">
        <f>D108</f>
        <v>ВРУ1-3</v>
      </c>
      <c r="B108" s="4"/>
      <c r="C108" s="5"/>
      <c r="D108" s="4" t="s">
        <v>57</v>
      </c>
      <c r="E108" s="8">
        <v>1</v>
      </c>
      <c r="F108" s="9" t="s">
        <v>9</v>
      </c>
      <c r="G108" s="6"/>
      <c r="H108" s="6"/>
      <c r="I108" s="7"/>
      <c r="J108" s="4" t="s">
        <v>10</v>
      </c>
      <c r="K108" s="8" t="s">
        <v>58</v>
      </c>
      <c r="M108">
        <f>E108</f>
        <v>1</v>
      </c>
      <c r="N108">
        <f t="shared" si="56"/>
        <v>1</v>
      </c>
      <c r="O108" s="23">
        <f t="shared" si="78"/>
        <v>0</v>
      </c>
    </row>
    <row r="109" spans="1:15" ht="27" customHeight="1" x14ac:dyDescent="0.25">
      <c r="A109" s="13" t="str">
        <f t="shared" ref="A109:A119" si="79">A108</f>
        <v>ВРУ1-3</v>
      </c>
      <c r="B109" s="10" t="s">
        <v>11</v>
      </c>
      <c r="C109" s="11" t="s">
        <v>172</v>
      </c>
      <c r="D109" s="10" t="s">
        <v>173</v>
      </c>
      <c r="E109" s="13">
        <v>1</v>
      </c>
      <c r="F109" s="14" t="s">
        <v>12</v>
      </c>
      <c r="G109" s="10">
        <v>156500</v>
      </c>
      <c r="H109" s="12">
        <f>0.6*G109</f>
        <v>93900</v>
      </c>
      <c r="I109" s="12">
        <f t="shared" ref="I109:I118" si="80">H109*E109</f>
        <v>93900</v>
      </c>
      <c r="J109" s="10" t="s">
        <v>13</v>
      </c>
      <c r="K109" s="13" t="str">
        <f t="shared" ref="K109:K111" si="81">K108</f>
        <v>Блок3</v>
      </c>
      <c r="L109">
        <v>93900</v>
      </c>
      <c r="M109">
        <f t="shared" ref="M109:M119" si="82">M108</f>
        <v>1</v>
      </c>
      <c r="N109">
        <f t="shared" si="56"/>
        <v>1</v>
      </c>
      <c r="O109" s="23">
        <f t="shared" si="78"/>
        <v>93900</v>
      </c>
    </row>
    <row r="110" spans="1:15" ht="27" customHeight="1" x14ac:dyDescent="0.25">
      <c r="A110" s="13" t="str">
        <f t="shared" si="79"/>
        <v>ВРУ1-3</v>
      </c>
      <c r="B110" s="10" t="s">
        <v>23</v>
      </c>
      <c r="C110" s="11" t="s">
        <v>307</v>
      </c>
      <c r="D110" s="10" t="s">
        <v>308</v>
      </c>
      <c r="E110" s="13">
        <v>6</v>
      </c>
      <c r="F110" s="14" t="s">
        <v>12</v>
      </c>
      <c r="G110" s="10">
        <v>5523</v>
      </c>
      <c r="H110" s="12">
        <f t="shared" ref="H110:H111" si="83">G110</f>
        <v>5523</v>
      </c>
      <c r="I110" s="12">
        <f t="shared" si="80"/>
        <v>33138</v>
      </c>
      <c r="J110" s="10" t="s">
        <v>25</v>
      </c>
      <c r="K110" s="13" t="str">
        <f t="shared" si="81"/>
        <v>Блок3</v>
      </c>
      <c r="L110">
        <v>33138</v>
      </c>
      <c r="M110">
        <f t="shared" si="82"/>
        <v>1</v>
      </c>
      <c r="N110">
        <f t="shared" si="56"/>
        <v>6</v>
      </c>
      <c r="O110" s="23">
        <f t="shared" si="78"/>
        <v>33138</v>
      </c>
    </row>
    <row r="111" spans="1:15" ht="27" customHeight="1" x14ac:dyDescent="0.25">
      <c r="A111" s="13" t="str">
        <f t="shared" si="79"/>
        <v>ВРУ1-3</v>
      </c>
      <c r="B111" s="10" t="s">
        <v>26</v>
      </c>
      <c r="C111" s="11" t="s">
        <v>177</v>
      </c>
      <c r="D111" s="10" t="s">
        <v>178</v>
      </c>
      <c r="E111" s="13">
        <v>2</v>
      </c>
      <c r="F111" s="14" t="s">
        <v>12</v>
      </c>
      <c r="G111" s="10">
        <v>25500</v>
      </c>
      <c r="H111" s="12">
        <f t="shared" si="83"/>
        <v>25500</v>
      </c>
      <c r="I111" s="12">
        <f t="shared" si="80"/>
        <v>51000</v>
      </c>
      <c r="J111" s="10" t="s">
        <v>25</v>
      </c>
      <c r="K111" s="13" t="str">
        <f t="shared" si="81"/>
        <v>Блок3</v>
      </c>
      <c r="L111">
        <v>51000</v>
      </c>
      <c r="M111">
        <f t="shared" si="82"/>
        <v>1</v>
      </c>
      <c r="N111">
        <f t="shared" si="56"/>
        <v>2</v>
      </c>
      <c r="O111" s="23">
        <f t="shared" si="78"/>
        <v>51000</v>
      </c>
    </row>
    <row r="112" spans="1:15" ht="27" customHeight="1" x14ac:dyDescent="0.25">
      <c r="A112" s="13" t="str">
        <f t="shared" si="79"/>
        <v>ВРУ1-3</v>
      </c>
      <c r="B112" s="10" t="s">
        <v>127</v>
      </c>
      <c r="C112" s="11" t="s">
        <v>130</v>
      </c>
      <c r="D112" s="10" t="s">
        <v>131</v>
      </c>
      <c r="E112" s="13">
        <v>6</v>
      </c>
      <c r="F112" s="14" t="s">
        <v>12</v>
      </c>
      <c r="G112" s="10">
        <v>4750</v>
      </c>
      <c r="H112" s="12">
        <f t="shared" ref="H112:H113" si="84">0.6*G112</f>
        <v>2850</v>
      </c>
      <c r="I112" s="12">
        <f t="shared" si="80"/>
        <v>17100</v>
      </c>
      <c r="J112" s="10" t="s">
        <v>14</v>
      </c>
      <c r="K112" s="13" t="str">
        <f>K110</f>
        <v>Блок3</v>
      </c>
      <c r="L112">
        <v>17100</v>
      </c>
      <c r="M112">
        <f t="shared" si="82"/>
        <v>1</v>
      </c>
      <c r="N112">
        <f t="shared" si="56"/>
        <v>6</v>
      </c>
      <c r="O112" s="23">
        <f t="shared" si="78"/>
        <v>17100</v>
      </c>
    </row>
    <row r="113" spans="1:15" ht="27" customHeight="1" x14ac:dyDescent="0.25">
      <c r="A113" s="13" t="str">
        <f t="shared" si="79"/>
        <v>ВРУ1-3</v>
      </c>
      <c r="B113" s="10" t="s">
        <v>126</v>
      </c>
      <c r="C113" s="11" t="s">
        <v>128</v>
      </c>
      <c r="D113" s="10" t="s">
        <v>129</v>
      </c>
      <c r="E113" s="13">
        <v>6</v>
      </c>
      <c r="F113" s="14" t="s">
        <v>12</v>
      </c>
      <c r="G113" s="10">
        <v>3317</v>
      </c>
      <c r="H113" s="12">
        <f t="shared" si="84"/>
        <v>1990.1999999999998</v>
      </c>
      <c r="I113" s="12">
        <f t="shared" si="80"/>
        <v>11941.199999999999</v>
      </c>
      <c r="J113" s="10" t="s">
        <v>14</v>
      </c>
      <c r="K113" s="13" t="str">
        <f>K111</f>
        <v>Блок3</v>
      </c>
      <c r="L113">
        <v>11941.199999999999</v>
      </c>
      <c r="M113">
        <f t="shared" si="82"/>
        <v>1</v>
      </c>
      <c r="N113">
        <f t="shared" si="56"/>
        <v>6</v>
      </c>
      <c r="O113" s="23">
        <f t="shared" si="78"/>
        <v>11941.199999999999</v>
      </c>
    </row>
    <row r="114" spans="1:15" ht="27" customHeight="1" x14ac:dyDescent="0.25">
      <c r="A114" s="13" t="str">
        <f t="shared" si="79"/>
        <v>ВРУ1-3</v>
      </c>
      <c r="B114" s="10" t="s">
        <v>293</v>
      </c>
      <c r="C114" s="11" t="s">
        <v>189</v>
      </c>
      <c r="D114" s="10" t="s">
        <v>190</v>
      </c>
      <c r="E114" s="13">
        <v>2</v>
      </c>
      <c r="F114" s="14" t="s">
        <v>12</v>
      </c>
      <c r="G114" s="10">
        <v>1390</v>
      </c>
      <c r="H114" s="12">
        <f>0.3*G114</f>
        <v>417</v>
      </c>
      <c r="I114" s="12">
        <f t="shared" si="80"/>
        <v>834</v>
      </c>
      <c r="J114" s="10" t="s">
        <v>207</v>
      </c>
      <c r="K114" s="13" t="str">
        <f t="shared" ref="K114:K119" si="85">K112</f>
        <v>Блок3</v>
      </c>
      <c r="L114">
        <v>834</v>
      </c>
      <c r="M114">
        <f t="shared" si="82"/>
        <v>1</v>
      </c>
      <c r="N114">
        <f t="shared" si="56"/>
        <v>2</v>
      </c>
      <c r="O114" s="23">
        <f>N114*G114</f>
        <v>2780</v>
      </c>
    </row>
    <row r="115" spans="1:15" ht="27" customHeight="1" x14ac:dyDescent="0.25">
      <c r="A115" s="13" t="str">
        <f t="shared" si="79"/>
        <v>ВРУ1-3</v>
      </c>
      <c r="B115" s="10" t="s">
        <v>15</v>
      </c>
      <c r="C115" s="11" t="s">
        <v>297</v>
      </c>
      <c r="D115" s="24" t="s">
        <v>298</v>
      </c>
      <c r="E115" s="13">
        <v>2</v>
      </c>
      <c r="F115" s="14" t="s">
        <v>12</v>
      </c>
      <c r="G115" s="10">
        <v>89000</v>
      </c>
      <c r="H115" s="12">
        <f>G115</f>
        <v>89000</v>
      </c>
      <c r="I115" s="12">
        <f t="shared" si="80"/>
        <v>178000</v>
      </c>
      <c r="J115" s="10" t="s">
        <v>16</v>
      </c>
      <c r="K115" s="13" t="str">
        <f t="shared" si="85"/>
        <v>Блок3</v>
      </c>
      <c r="L115">
        <v>178000</v>
      </c>
      <c r="M115">
        <f t="shared" si="82"/>
        <v>1</v>
      </c>
      <c r="N115">
        <f t="shared" si="56"/>
        <v>2</v>
      </c>
      <c r="O115" s="23">
        <f t="shared" ref="O115:O121" si="86">N115*H115</f>
        <v>178000</v>
      </c>
    </row>
    <row r="116" spans="1:15" ht="27" customHeight="1" x14ac:dyDescent="0.25">
      <c r="A116" s="13" t="str">
        <f t="shared" si="79"/>
        <v>ВРУ1-3</v>
      </c>
      <c r="B116" s="10" t="s">
        <v>30</v>
      </c>
      <c r="C116" s="11"/>
      <c r="D116" s="10" t="s">
        <v>31</v>
      </c>
      <c r="E116" s="13">
        <v>6</v>
      </c>
      <c r="F116" s="14" t="s">
        <v>12</v>
      </c>
      <c r="G116" s="10">
        <v>3850</v>
      </c>
      <c r="H116" s="12">
        <f>G116</f>
        <v>3850</v>
      </c>
      <c r="I116" s="12">
        <f t="shared" si="80"/>
        <v>23100</v>
      </c>
      <c r="J116" s="10" t="s">
        <v>25</v>
      </c>
      <c r="K116" s="13" t="str">
        <f t="shared" si="85"/>
        <v>Блок3</v>
      </c>
      <c r="L116">
        <v>23100</v>
      </c>
      <c r="M116">
        <f t="shared" si="82"/>
        <v>1</v>
      </c>
      <c r="N116">
        <f t="shared" si="56"/>
        <v>6</v>
      </c>
      <c r="O116" s="23">
        <f t="shared" si="86"/>
        <v>23100</v>
      </c>
    </row>
    <row r="117" spans="1:15" ht="27" customHeight="1" x14ac:dyDescent="0.25">
      <c r="A117" s="10" t="str">
        <f t="shared" si="79"/>
        <v>ВРУ1-3</v>
      </c>
      <c r="B117" s="10" t="s">
        <v>19</v>
      </c>
      <c r="C117" s="11" t="s">
        <v>19</v>
      </c>
      <c r="D117" s="10" t="s">
        <v>19</v>
      </c>
      <c r="E117" s="10">
        <v>1</v>
      </c>
      <c r="F117" s="10" t="s">
        <v>12</v>
      </c>
      <c r="G117" s="10">
        <f ca="1">OFFSET(G117,1,2)</f>
        <v>48000</v>
      </c>
      <c r="H117" s="12">
        <f ca="1">G117</f>
        <v>48000</v>
      </c>
      <c r="I117" s="12">
        <f t="shared" ca="1" si="80"/>
        <v>48000</v>
      </c>
      <c r="J117" s="10" t="s">
        <v>19</v>
      </c>
      <c r="K117" s="13" t="str">
        <f t="shared" si="85"/>
        <v>Блок3</v>
      </c>
      <c r="L117">
        <v>48000</v>
      </c>
      <c r="M117">
        <f t="shared" si="82"/>
        <v>1</v>
      </c>
      <c r="N117">
        <f t="shared" si="56"/>
        <v>1</v>
      </c>
      <c r="O117" s="23">
        <f t="shared" ca="1" si="86"/>
        <v>48000</v>
      </c>
    </row>
    <row r="118" spans="1:15" ht="27" customHeight="1" x14ac:dyDescent="0.25">
      <c r="A118" s="10" t="str">
        <f t="shared" si="79"/>
        <v>ВРУ1-3</v>
      </c>
      <c r="B118" s="10" t="s">
        <v>20</v>
      </c>
      <c r="C118" s="11" t="s">
        <v>20</v>
      </c>
      <c r="D118" s="10" t="s">
        <v>20</v>
      </c>
      <c r="E118" s="10">
        <f>60*G118</f>
        <v>480</v>
      </c>
      <c r="F118" s="10" t="s">
        <v>12</v>
      </c>
      <c r="G118" s="10">
        <v>8</v>
      </c>
      <c r="H118" s="12">
        <v>100</v>
      </c>
      <c r="I118" s="12">
        <f t="shared" si="80"/>
        <v>48000</v>
      </c>
      <c r="J118" s="10" t="s">
        <v>20</v>
      </c>
      <c r="K118" s="13" t="str">
        <f t="shared" si="85"/>
        <v>Блок3</v>
      </c>
      <c r="L118">
        <v>48000</v>
      </c>
      <c r="M118">
        <f t="shared" si="82"/>
        <v>1</v>
      </c>
      <c r="N118">
        <f t="shared" si="56"/>
        <v>480</v>
      </c>
      <c r="O118" s="23">
        <f t="shared" si="86"/>
        <v>48000</v>
      </c>
    </row>
    <row r="119" spans="1:15" ht="27" customHeight="1" x14ac:dyDescent="0.25">
      <c r="A119" s="15" t="str">
        <f t="shared" si="79"/>
        <v>ВРУ1-3</v>
      </c>
      <c r="B119" s="15"/>
      <c r="C119" s="15"/>
      <c r="D119" s="16"/>
      <c r="E119" s="15"/>
      <c r="F119" s="19"/>
      <c r="G119" s="17"/>
      <c r="H119" s="12">
        <f>G119*0.55</f>
        <v>0</v>
      </c>
      <c r="I119" s="18">
        <f ca="1">SUM(I109:I118)</f>
        <v>505013.2</v>
      </c>
      <c r="J119" s="15"/>
      <c r="K119" s="13" t="str">
        <f t="shared" si="85"/>
        <v>Блок3</v>
      </c>
      <c r="L119">
        <v>505013.2</v>
      </c>
      <c r="M119">
        <f t="shared" si="82"/>
        <v>1</v>
      </c>
      <c r="N119">
        <f t="shared" si="56"/>
        <v>0</v>
      </c>
      <c r="O119" s="23">
        <f t="shared" si="86"/>
        <v>0</v>
      </c>
    </row>
    <row r="120" spans="1:15" ht="27" customHeight="1" x14ac:dyDescent="0.25">
      <c r="A120" s="8" t="str">
        <f>D120</f>
        <v>РУ-1-3(Блок3)</v>
      </c>
      <c r="B120" s="4"/>
      <c r="C120" s="5"/>
      <c r="D120" s="4" t="s">
        <v>59</v>
      </c>
      <c r="E120" s="8">
        <v>1</v>
      </c>
      <c r="F120" s="9" t="s">
        <v>9</v>
      </c>
      <c r="G120" s="6"/>
      <c r="H120" s="6"/>
      <c r="I120" s="7"/>
      <c r="J120" s="4" t="s">
        <v>10</v>
      </c>
      <c r="K120" s="8" t="s">
        <v>58</v>
      </c>
      <c r="M120">
        <f>E120</f>
        <v>1</v>
      </c>
      <c r="N120">
        <f t="shared" si="56"/>
        <v>1</v>
      </c>
      <c r="O120" s="23">
        <f t="shared" si="86"/>
        <v>0</v>
      </c>
    </row>
    <row r="121" spans="1:15" ht="27" customHeight="1" x14ac:dyDescent="0.25">
      <c r="A121" s="13" t="str">
        <f t="shared" ref="A121:A127" si="87">A120</f>
        <v>РУ-1-3(Блок3)</v>
      </c>
      <c r="B121" s="10" t="s">
        <v>11</v>
      </c>
      <c r="C121" s="11" t="s">
        <v>170</v>
      </c>
      <c r="D121" s="10" t="s">
        <v>171</v>
      </c>
      <c r="E121" s="13">
        <v>1</v>
      </c>
      <c r="F121" s="14" t="s">
        <v>12</v>
      </c>
      <c r="G121" s="10">
        <v>145000</v>
      </c>
      <c r="H121" s="12">
        <f>0.6*G121</f>
        <v>87000</v>
      </c>
      <c r="I121" s="12">
        <f t="shared" ref="I121:I126" si="88">H121*E121</f>
        <v>87000</v>
      </c>
      <c r="J121" s="10" t="s">
        <v>13</v>
      </c>
      <c r="K121" s="13" t="str">
        <f t="shared" ref="K121:K127" si="89">K120</f>
        <v>Блок3</v>
      </c>
      <c r="L121">
        <v>87000</v>
      </c>
      <c r="M121">
        <f t="shared" ref="M121:M127" si="90">M120</f>
        <v>1</v>
      </c>
      <c r="N121">
        <f t="shared" si="56"/>
        <v>1</v>
      </c>
      <c r="O121" s="23">
        <f t="shared" si="86"/>
        <v>87000</v>
      </c>
    </row>
    <row r="122" spans="1:15" ht="27" customHeight="1" x14ac:dyDescent="0.25">
      <c r="A122" s="13" t="str">
        <f t="shared" si="87"/>
        <v>РУ-1-3(Блок3)</v>
      </c>
      <c r="B122" s="10" t="s">
        <v>294</v>
      </c>
      <c r="C122" s="11" t="s">
        <v>225</v>
      </c>
      <c r="D122" s="10" t="s">
        <v>226</v>
      </c>
      <c r="E122" s="13">
        <v>2</v>
      </c>
      <c r="F122" s="14" t="s">
        <v>12</v>
      </c>
      <c r="G122" s="10">
        <v>17300</v>
      </c>
      <c r="H122" s="12">
        <f t="shared" ref="H122:H124" si="91">0.3*G122</f>
        <v>5190</v>
      </c>
      <c r="I122" s="12">
        <f t="shared" si="88"/>
        <v>10380</v>
      </c>
      <c r="J122" s="10" t="s">
        <v>207</v>
      </c>
      <c r="K122" s="13" t="str">
        <f t="shared" si="89"/>
        <v>Блок3</v>
      </c>
      <c r="L122">
        <v>10380</v>
      </c>
      <c r="M122">
        <f t="shared" si="90"/>
        <v>1</v>
      </c>
      <c r="N122">
        <f t="shared" si="56"/>
        <v>2</v>
      </c>
      <c r="O122" s="23">
        <f>N122*G122</f>
        <v>34600</v>
      </c>
    </row>
    <row r="123" spans="1:15" ht="27" customHeight="1" x14ac:dyDescent="0.25">
      <c r="A123" s="13" t="str">
        <f t="shared" si="87"/>
        <v>РУ-1-3(Блок3)</v>
      </c>
      <c r="B123" s="10" t="s">
        <v>294</v>
      </c>
      <c r="C123" s="11" t="s">
        <v>227</v>
      </c>
      <c r="D123" s="10" t="s">
        <v>228</v>
      </c>
      <c r="E123" s="13">
        <v>1</v>
      </c>
      <c r="F123" s="14" t="s">
        <v>12</v>
      </c>
      <c r="G123" s="10">
        <v>29990</v>
      </c>
      <c r="H123" s="12">
        <f t="shared" si="91"/>
        <v>8997</v>
      </c>
      <c r="I123" s="12">
        <f t="shared" si="88"/>
        <v>8997</v>
      </c>
      <c r="J123" s="10" t="s">
        <v>207</v>
      </c>
      <c r="K123" s="13" t="str">
        <f t="shared" si="89"/>
        <v>Блок3</v>
      </c>
      <c r="L123">
        <v>8997</v>
      </c>
      <c r="M123">
        <f t="shared" si="90"/>
        <v>1</v>
      </c>
      <c r="N123">
        <f t="shared" si="56"/>
        <v>1</v>
      </c>
      <c r="O123" s="23">
        <f>N123*G123</f>
        <v>29990</v>
      </c>
    </row>
    <row r="124" spans="1:15" ht="27" customHeight="1" x14ac:dyDescent="0.25">
      <c r="A124" s="13" t="str">
        <f t="shared" si="87"/>
        <v>РУ-1-3(Блок3)</v>
      </c>
      <c r="B124" s="10" t="s">
        <v>293</v>
      </c>
      <c r="C124" s="11" t="s">
        <v>217</v>
      </c>
      <c r="D124" s="10" t="s">
        <v>218</v>
      </c>
      <c r="E124" s="13">
        <v>2</v>
      </c>
      <c r="F124" s="14" t="s">
        <v>12</v>
      </c>
      <c r="G124" s="10">
        <v>7850</v>
      </c>
      <c r="H124" s="12">
        <f t="shared" si="91"/>
        <v>2355</v>
      </c>
      <c r="I124" s="12">
        <f t="shared" si="88"/>
        <v>4710</v>
      </c>
      <c r="J124" s="10" t="s">
        <v>207</v>
      </c>
      <c r="K124" s="13" t="str">
        <f t="shared" si="89"/>
        <v>Блок3</v>
      </c>
      <c r="L124">
        <v>4710</v>
      </c>
      <c r="M124">
        <f t="shared" si="90"/>
        <v>1</v>
      </c>
      <c r="N124">
        <f t="shared" si="56"/>
        <v>2</v>
      </c>
      <c r="O124" s="23">
        <f>N124*G124</f>
        <v>15700</v>
      </c>
    </row>
    <row r="125" spans="1:15" ht="27" customHeight="1" x14ac:dyDescent="0.25">
      <c r="A125" s="10" t="str">
        <f t="shared" si="87"/>
        <v>РУ-1-3(Блок3)</v>
      </c>
      <c r="B125" s="10" t="s">
        <v>19</v>
      </c>
      <c r="C125" s="11" t="s">
        <v>19</v>
      </c>
      <c r="D125" s="10" t="s">
        <v>19</v>
      </c>
      <c r="E125" s="10">
        <v>1</v>
      </c>
      <c r="F125" s="10" t="s">
        <v>12</v>
      </c>
      <c r="G125" s="10">
        <f ca="1">OFFSET(G125,1,2)</f>
        <v>27000</v>
      </c>
      <c r="H125" s="12">
        <f ca="1">G125</f>
        <v>27000</v>
      </c>
      <c r="I125" s="12">
        <f t="shared" ca="1" si="88"/>
        <v>27000</v>
      </c>
      <c r="J125" s="10" t="s">
        <v>19</v>
      </c>
      <c r="K125" s="13" t="str">
        <f t="shared" si="89"/>
        <v>Блок3</v>
      </c>
      <c r="L125">
        <v>27000</v>
      </c>
      <c r="M125">
        <f t="shared" si="90"/>
        <v>1</v>
      </c>
      <c r="N125">
        <f t="shared" si="56"/>
        <v>1</v>
      </c>
      <c r="O125" s="23">
        <f ca="1">N125*H125</f>
        <v>27000</v>
      </c>
    </row>
    <row r="126" spans="1:15" ht="27" customHeight="1" x14ac:dyDescent="0.25">
      <c r="A126" s="10" t="str">
        <f t="shared" si="87"/>
        <v>РУ-1-3(Блок3)</v>
      </c>
      <c r="B126" s="10" t="s">
        <v>20</v>
      </c>
      <c r="C126" s="11" t="s">
        <v>20</v>
      </c>
      <c r="D126" s="10" t="s">
        <v>20</v>
      </c>
      <c r="E126" s="10">
        <f>60*G126</f>
        <v>270</v>
      </c>
      <c r="F126" s="10" t="s">
        <v>12</v>
      </c>
      <c r="G126" s="10">
        <v>4.5</v>
      </c>
      <c r="H126" s="12">
        <v>100</v>
      </c>
      <c r="I126" s="12">
        <f t="shared" si="88"/>
        <v>27000</v>
      </c>
      <c r="J126" s="10" t="s">
        <v>20</v>
      </c>
      <c r="K126" s="13" t="str">
        <f t="shared" si="89"/>
        <v>Блок3</v>
      </c>
      <c r="L126">
        <v>27000</v>
      </c>
      <c r="M126">
        <f t="shared" si="90"/>
        <v>1</v>
      </c>
      <c r="N126">
        <f t="shared" si="56"/>
        <v>270</v>
      </c>
      <c r="O126" s="23">
        <f>N126*H126</f>
        <v>27000</v>
      </c>
    </row>
    <row r="127" spans="1:15" ht="27" customHeight="1" x14ac:dyDescent="0.25">
      <c r="A127" s="15" t="str">
        <f t="shared" si="87"/>
        <v>РУ-1-3(Блок3)</v>
      </c>
      <c r="B127" s="15"/>
      <c r="C127" s="15"/>
      <c r="D127" s="16"/>
      <c r="E127" s="15"/>
      <c r="F127" s="19"/>
      <c r="G127" s="17"/>
      <c r="H127" s="12">
        <f t="shared" ref="H127" si="92">G127*0.55</f>
        <v>0</v>
      </c>
      <c r="I127" s="18">
        <f ca="1">SUM(I121:I126)</f>
        <v>165087</v>
      </c>
      <c r="J127" s="15"/>
      <c r="K127" s="13" t="str">
        <f t="shared" si="89"/>
        <v>Блок3</v>
      </c>
      <c r="L127">
        <v>165087</v>
      </c>
      <c r="M127">
        <f t="shared" si="90"/>
        <v>1</v>
      </c>
      <c r="N127">
        <f t="shared" si="56"/>
        <v>0</v>
      </c>
      <c r="O127" s="23">
        <f>N127*H127</f>
        <v>0</v>
      </c>
    </row>
    <row r="128" spans="1:15" ht="27" customHeight="1" x14ac:dyDescent="0.25">
      <c r="A128" s="8" t="str">
        <f>D128</f>
        <v>РУ-2-3</v>
      </c>
      <c r="B128" s="4"/>
      <c r="C128" s="5"/>
      <c r="D128" s="4" t="s">
        <v>60</v>
      </c>
      <c r="E128" s="8">
        <v>1</v>
      </c>
      <c r="F128" s="9" t="s">
        <v>9</v>
      </c>
      <c r="G128" s="6"/>
      <c r="H128" s="6"/>
      <c r="I128" s="7"/>
      <c r="J128" s="4" t="s">
        <v>10</v>
      </c>
      <c r="K128" s="8" t="s">
        <v>58</v>
      </c>
      <c r="M128">
        <f>E128</f>
        <v>1</v>
      </c>
      <c r="N128">
        <f t="shared" si="56"/>
        <v>1</v>
      </c>
      <c r="O128" s="23">
        <f>N128*H128</f>
        <v>0</v>
      </c>
    </row>
    <row r="129" spans="1:15" ht="27" customHeight="1" x14ac:dyDescent="0.25">
      <c r="A129" s="13" t="str">
        <f t="shared" ref="A129:A135" si="93">A128</f>
        <v>РУ-2-3</v>
      </c>
      <c r="B129" s="10" t="s">
        <v>11</v>
      </c>
      <c r="C129" s="11" t="s">
        <v>170</v>
      </c>
      <c r="D129" s="10" t="s">
        <v>171</v>
      </c>
      <c r="E129" s="13">
        <v>1</v>
      </c>
      <c r="F129" s="14" t="s">
        <v>12</v>
      </c>
      <c r="G129" s="10">
        <v>145000</v>
      </c>
      <c r="H129" s="12">
        <f>0.6*G129</f>
        <v>87000</v>
      </c>
      <c r="I129" s="12">
        <f t="shared" ref="I129:I134" si="94">H129*E129</f>
        <v>87000</v>
      </c>
      <c r="J129" s="10" t="s">
        <v>13</v>
      </c>
      <c r="K129" s="13" t="str">
        <f>K128</f>
        <v>Блок3</v>
      </c>
      <c r="L129">
        <v>87000</v>
      </c>
      <c r="M129">
        <f t="shared" ref="M129:M135" si="95">M128</f>
        <v>1</v>
      </c>
      <c r="N129">
        <f t="shared" si="56"/>
        <v>1</v>
      </c>
      <c r="O129" s="23">
        <f>N129*H129</f>
        <v>87000</v>
      </c>
    </row>
    <row r="130" spans="1:15" ht="27" customHeight="1" x14ac:dyDescent="0.25">
      <c r="A130" s="13" t="str">
        <f t="shared" si="93"/>
        <v>РУ-2-3</v>
      </c>
      <c r="B130" s="10" t="s">
        <v>294</v>
      </c>
      <c r="C130" s="11" t="s">
        <v>227</v>
      </c>
      <c r="D130" s="10" t="s">
        <v>228</v>
      </c>
      <c r="E130" s="13">
        <v>1</v>
      </c>
      <c r="F130" s="14" t="s">
        <v>12</v>
      </c>
      <c r="G130" s="10">
        <v>29990</v>
      </c>
      <c r="H130" s="12">
        <f t="shared" ref="H130:H132" si="96">0.3*G130</f>
        <v>8997</v>
      </c>
      <c r="I130" s="12">
        <f t="shared" si="94"/>
        <v>8997</v>
      </c>
      <c r="J130" s="10" t="s">
        <v>207</v>
      </c>
      <c r="K130" s="13" t="str">
        <f>K129</f>
        <v>Блок3</v>
      </c>
      <c r="L130">
        <v>8997</v>
      </c>
      <c r="M130">
        <f t="shared" si="95"/>
        <v>1</v>
      </c>
      <c r="N130">
        <f t="shared" si="56"/>
        <v>1</v>
      </c>
      <c r="O130" s="23">
        <f>N130*G130</f>
        <v>29990</v>
      </c>
    </row>
    <row r="131" spans="1:15" ht="27" customHeight="1" x14ac:dyDescent="0.25">
      <c r="A131" s="13" t="str">
        <f t="shared" si="93"/>
        <v>РУ-2-3</v>
      </c>
      <c r="B131" s="10" t="s">
        <v>294</v>
      </c>
      <c r="C131" s="11" t="s">
        <v>225</v>
      </c>
      <c r="D131" s="10" t="s">
        <v>226</v>
      </c>
      <c r="E131" s="13">
        <v>3</v>
      </c>
      <c r="F131" s="14" t="s">
        <v>12</v>
      </c>
      <c r="G131" s="10">
        <v>17300</v>
      </c>
      <c r="H131" s="12">
        <f t="shared" si="96"/>
        <v>5190</v>
      </c>
      <c r="I131" s="12">
        <f t="shared" si="94"/>
        <v>15570</v>
      </c>
      <c r="J131" s="10" t="s">
        <v>207</v>
      </c>
      <c r="K131" s="13" t="s">
        <v>58</v>
      </c>
      <c r="L131">
        <v>15570</v>
      </c>
      <c r="M131">
        <f t="shared" si="95"/>
        <v>1</v>
      </c>
      <c r="N131">
        <f t="shared" si="56"/>
        <v>3</v>
      </c>
      <c r="O131" s="23">
        <f>N131*G131</f>
        <v>51900</v>
      </c>
    </row>
    <row r="132" spans="1:15" ht="27" customHeight="1" x14ac:dyDescent="0.25">
      <c r="A132" s="13" t="str">
        <f t="shared" si="93"/>
        <v>РУ-2-3</v>
      </c>
      <c r="B132" s="10" t="s">
        <v>293</v>
      </c>
      <c r="C132" s="11" t="s">
        <v>217</v>
      </c>
      <c r="D132" s="10" t="s">
        <v>218</v>
      </c>
      <c r="E132" s="13">
        <v>1</v>
      </c>
      <c r="F132" s="14" t="s">
        <v>12</v>
      </c>
      <c r="G132" s="10">
        <v>7850</v>
      </c>
      <c r="H132" s="12">
        <f t="shared" si="96"/>
        <v>2355</v>
      </c>
      <c r="I132" s="12">
        <f t="shared" si="94"/>
        <v>2355</v>
      </c>
      <c r="J132" s="10" t="s">
        <v>207</v>
      </c>
      <c r="K132" s="13" t="s">
        <v>58</v>
      </c>
      <c r="L132">
        <v>2355</v>
      </c>
      <c r="M132">
        <f t="shared" si="95"/>
        <v>1</v>
      </c>
      <c r="N132">
        <f t="shared" si="56"/>
        <v>1</v>
      </c>
      <c r="O132" s="23">
        <f>N132*G132</f>
        <v>7850</v>
      </c>
    </row>
    <row r="133" spans="1:15" ht="27" customHeight="1" x14ac:dyDescent="0.25">
      <c r="A133" s="10" t="str">
        <f t="shared" si="93"/>
        <v>РУ-2-3</v>
      </c>
      <c r="B133" s="10" t="s">
        <v>19</v>
      </c>
      <c r="C133" s="11" t="s">
        <v>19</v>
      </c>
      <c r="D133" s="10" t="s">
        <v>19</v>
      </c>
      <c r="E133" s="10">
        <v>1</v>
      </c>
      <c r="F133" s="10" t="s">
        <v>12</v>
      </c>
      <c r="G133" s="10">
        <f ca="1">OFFSET(G133,1,2)</f>
        <v>27000</v>
      </c>
      <c r="H133" s="12">
        <f ca="1">G133</f>
        <v>27000</v>
      </c>
      <c r="I133" s="12">
        <f t="shared" ca="1" si="94"/>
        <v>27000</v>
      </c>
      <c r="J133" s="10" t="s">
        <v>19</v>
      </c>
      <c r="K133" s="13" t="s">
        <v>66</v>
      </c>
      <c r="L133">
        <v>27000</v>
      </c>
      <c r="M133">
        <f t="shared" si="95"/>
        <v>1</v>
      </c>
      <c r="N133">
        <f t="shared" si="56"/>
        <v>1</v>
      </c>
      <c r="O133" s="23">
        <f ca="1">N133*H133</f>
        <v>27000</v>
      </c>
    </row>
    <row r="134" spans="1:15" ht="27" customHeight="1" x14ac:dyDescent="0.25">
      <c r="A134" s="10" t="str">
        <f t="shared" si="93"/>
        <v>РУ-2-3</v>
      </c>
      <c r="B134" s="10" t="s">
        <v>20</v>
      </c>
      <c r="C134" s="11" t="s">
        <v>20</v>
      </c>
      <c r="D134" s="10" t="s">
        <v>20</v>
      </c>
      <c r="E134" s="10">
        <f>60*G134</f>
        <v>270</v>
      </c>
      <c r="F134" s="10" t="s">
        <v>12</v>
      </c>
      <c r="G134" s="10">
        <v>4.5</v>
      </c>
      <c r="H134" s="12">
        <v>100</v>
      </c>
      <c r="I134" s="12">
        <f t="shared" si="94"/>
        <v>27000</v>
      </c>
      <c r="J134" s="10" t="s">
        <v>20</v>
      </c>
      <c r="K134" s="13" t="s">
        <v>71</v>
      </c>
      <c r="L134">
        <v>27000</v>
      </c>
      <c r="M134">
        <f t="shared" si="95"/>
        <v>1</v>
      </c>
      <c r="N134">
        <f t="shared" ref="N134:N197" si="97">M134*E134</f>
        <v>270</v>
      </c>
      <c r="O134" s="23">
        <f>N134*H134</f>
        <v>27000</v>
      </c>
    </row>
    <row r="135" spans="1:15" ht="27" customHeight="1" x14ac:dyDescent="0.25">
      <c r="A135" s="15" t="str">
        <f t="shared" si="93"/>
        <v>РУ-2-3</v>
      </c>
      <c r="B135" s="15"/>
      <c r="C135" s="15"/>
      <c r="D135" s="16"/>
      <c r="E135" s="15"/>
      <c r="F135" s="19"/>
      <c r="G135" s="17"/>
      <c r="H135" s="12">
        <f>G135*0.55</f>
        <v>0</v>
      </c>
      <c r="I135" s="18">
        <f ca="1">SUM(I129:I134)</f>
        <v>167922</v>
      </c>
      <c r="J135" s="15"/>
      <c r="K135" s="13" t="s">
        <v>74</v>
      </c>
      <c r="L135">
        <v>167922</v>
      </c>
      <c r="M135">
        <f t="shared" si="95"/>
        <v>1</v>
      </c>
      <c r="N135">
        <f t="shared" si="97"/>
        <v>0</v>
      </c>
      <c r="O135" s="23">
        <f>N135*H135</f>
        <v>0</v>
      </c>
    </row>
    <row r="136" spans="1:15" ht="27" customHeight="1" x14ac:dyDescent="0.25">
      <c r="A136" s="8" t="str">
        <f>D136</f>
        <v>ЩУР.МОП1-3</v>
      </c>
      <c r="B136" s="4"/>
      <c r="C136" s="5"/>
      <c r="D136" s="4" t="s">
        <v>63</v>
      </c>
      <c r="E136" s="8">
        <v>1</v>
      </c>
      <c r="F136" s="9" t="s">
        <v>9</v>
      </c>
      <c r="G136" s="6"/>
      <c r="H136" s="6"/>
      <c r="I136" s="7"/>
      <c r="J136" s="4" t="s">
        <v>10</v>
      </c>
      <c r="K136" s="8" t="s">
        <v>58</v>
      </c>
      <c r="M136">
        <f>E136</f>
        <v>1</v>
      </c>
      <c r="N136">
        <f t="shared" si="97"/>
        <v>1</v>
      </c>
      <c r="O136" s="23">
        <f>N136*H136</f>
        <v>0</v>
      </c>
    </row>
    <row r="137" spans="1:15" ht="27" customHeight="1" x14ac:dyDescent="0.25">
      <c r="A137" s="13" t="str">
        <f t="shared" ref="A137:A144" si="98">A136</f>
        <v>ЩУР.МОП1-3</v>
      </c>
      <c r="B137" s="10" t="s">
        <v>11</v>
      </c>
      <c r="C137" s="11" t="s">
        <v>40</v>
      </c>
      <c r="D137" s="10" t="s">
        <v>41</v>
      </c>
      <c r="E137" s="13">
        <v>1</v>
      </c>
      <c r="F137" s="14" t="s">
        <v>12</v>
      </c>
      <c r="G137" s="10">
        <v>18000</v>
      </c>
      <c r="H137" s="12">
        <f>0.6*G137</f>
        <v>10800</v>
      </c>
      <c r="I137" s="12">
        <f t="shared" ref="I137:I143" si="99">H137*E137</f>
        <v>10800</v>
      </c>
      <c r="J137" s="10" t="s">
        <v>13</v>
      </c>
      <c r="K137" s="13" t="str">
        <f t="shared" ref="K137:K144" si="100">K136</f>
        <v>Блок3</v>
      </c>
      <c r="L137">
        <v>10800</v>
      </c>
      <c r="M137">
        <f t="shared" ref="M137:M144" si="101">M136</f>
        <v>1</v>
      </c>
      <c r="N137">
        <f t="shared" si="97"/>
        <v>1</v>
      </c>
      <c r="O137" s="23">
        <f>N137*H137</f>
        <v>10800</v>
      </c>
    </row>
    <row r="138" spans="1:15" ht="27" customHeight="1" x14ac:dyDescent="0.25">
      <c r="A138" s="13" t="str">
        <f t="shared" si="98"/>
        <v>ЩУР.МОП1-3</v>
      </c>
      <c r="B138" s="10" t="s">
        <v>293</v>
      </c>
      <c r="C138" s="11" t="s">
        <v>195</v>
      </c>
      <c r="D138" s="10" t="s">
        <v>196</v>
      </c>
      <c r="E138" s="13">
        <v>1</v>
      </c>
      <c r="F138" s="14" t="s">
        <v>12</v>
      </c>
      <c r="G138" s="10">
        <v>6190</v>
      </c>
      <c r="H138" s="12">
        <f t="shared" ref="H138:H140" si="102">0.3*G138</f>
        <v>1857</v>
      </c>
      <c r="I138" s="12">
        <f t="shared" si="99"/>
        <v>1857</v>
      </c>
      <c r="J138" s="10" t="s">
        <v>207</v>
      </c>
      <c r="K138" s="13" t="str">
        <f t="shared" si="100"/>
        <v>Блок3</v>
      </c>
      <c r="L138">
        <v>1857</v>
      </c>
      <c r="M138">
        <f t="shared" si="101"/>
        <v>1</v>
      </c>
      <c r="N138">
        <f t="shared" si="97"/>
        <v>1</v>
      </c>
      <c r="O138" s="23">
        <f>N138*G138</f>
        <v>6190</v>
      </c>
    </row>
    <row r="139" spans="1:15" ht="27" customHeight="1" x14ac:dyDescent="0.25">
      <c r="A139" s="13" t="str">
        <f t="shared" si="98"/>
        <v>ЩУР.МОП1-3</v>
      </c>
      <c r="B139" s="10" t="s">
        <v>293</v>
      </c>
      <c r="C139" s="11" t="s">
        <v>201</v>
      </c>
      <c r="D139" s="10" t="s">
        <v>202</v>
      </c>
      <c r="E139" s="13">
        <v>2</v>
      </c>
      <c r="F139" s="14" t="s">
        <v>12</v>
      </c>
      <c r="G139" s="10">
        <v>5750</v>
      </c>
      <c r="H139" s="12">
        <f t="shared" si="102"/>
        <v>1725</v>
      </c>
      <c r="I139" s="12">
        <f t="shared" si="99"/>
        <v>3450</v>
      </c>
      <c r="J139" s="10" t="s">
        <v>207</v>
      </c>
      <c r="K139" s="13" t="str">
        <f t="shared" si="100"/>
        <v>Блок3</v>
      </c>
      <c r="L139">
        <v>3450</v>
      </c>
      <c r="M139">
        <f t="shared" si="101"/>
        <v>1</v>
      </c>
      <c r="N139">
        <f t="shared" si="97"/>
        <v>2</v>
      </c>
      <c r="O139" s="23">
        <f>N139*G139</f>
        <v>11500</v>
      </c>
    </row>
    <row r="140" spans="1:15" ht="27" customHeight="1" x14ac:dyDescent="0.25">
      <c r="A140" s="13" t="str">
        <f t="shared" si="98"/>
        <v>ЩУР.МОП1-3</v>
      </c>
      <c r="B140" s="10" t="s">
        <v>293</v>
      </c>
      <c r="C140" s="11" t="s">
        <v>193</v>
      </c>
      <c r="D140" s="10" t="s">
        <v>194</v>
      </c>
      <c r="E140" s="13">
        <v>2</v>
      </c>
      <c r="F140" s="14" t="s">
        <v>12</v>
      </c>
      <c r="G140" s="10">
        <v>6580</v>
      </c>
      <c r="H140" s="12">
        <f t="shared" si="102"/>
        <v>1974</v>
      </c>
      <c r="I140" s="12">
        <f t="shared" si="99"/>
        <v>3948</v>
      </c>
      <c r="J140" s="10" t="s">
        <v>207</v>
      </c>
      <c r="K140" s="13" t="str">
        <f t="shared" si="100"/>
        <v>Блок3</v>
      </c>
      <c r="L140">
        <v>3948</v>
      </c>
      <c r="M140">
        <f t="shared" si="101"/>
        <v>1</v>
      </c>
      <c r="N140">
        <f t="shared" si="97"/>
        <v>2</v>
      </c>
      <c r="O140" s="23">
        <f>N140*G140</f>
        <v>13160</v>
      </c>
    </row>
    <row r="141" spans="1:15" ht="27" customHeight="1" x14ac:dyDescent="0.25">
      <c r="A141" s="13" t="str">
        <f t="shared" si="98"/>
        <v>ЩУР.МОП1-3</v>
      </c>
      <c r="B141" s="10" t="s">
        <v>15</v>
      </c>
      <c r="C141" s="11" t="s">
        <v>299</v>
      </c>
      <c r="D141" s="10" t="s">
        <v>300</v>
      </c>
      <c r="E141" s="13">
        <v>1</v>
      </c>
      <c r="F141" s="14" t="s">
        <v>12</v>
      </c>
      <c r="G141" s="10">
        <v>32400</v>
      </c>
      <c r="H141" s="12">
        <f>G141</f>
        <v>32400</v>
      </c>
      <c r="I141" s="12">
        <f t="shared" si="99"/>
        <v>32400</v>
      </c>
      <c r="J141" s="10" t="s">
        <v>16</v>
      </c>
      <c r="K141" s="13" t="str">
        <f t="shared" si="100"/>
        <v>Блок3</v>
      </c>
      <c r="L141">
        <v>32400</v>
      </c>
      <c r="M141">
        <f t="shared" si="101"/>
        <v>1</v>
      </c>
      <c r="N141">
        <f t="shared" si="97"/>
        <v>1</v>
      </c>
      <c r="O141" s="23">
        <f t="shared" ref="O141:O146" si="103">N141*H141</f>
        <v>32400</v>
      </c>
    </row>
    <row r="142" spans="1:15" ht="27" customHeight="1" x14ac:dyDescent="0.25">
      <c r="A142" s="10" t="str">
        <f t="shared" si="98"/>
        <v>ЩУР.МОП1-3</v>
      </c>
      <c r="B142" s="10" t="s">
        <v>19</v>
      </c>
      <c r="C142" s="11" t="s">
        <v>19</v>
      </c>
      <c r="D142" s="10" t="s">
        <v>19</v>
      </c>
      <c r="E142" s="10">
        <v>1</v>
      </c>
      <c r="F142" s="10" t="s">
        <v>12</v>
      </c>
      <c r="G142" s="10">
        <f ca="1">OFFSET(G142,1,2)</f>
        <v>12000</v>
      </c>
      <c r="H142" s="12">
        <f ca="1">G142</f>
        <v>12000</v>
      </c>
      <c r="I142" s="12">
        <f t="shared" ca="1" si="99"/>
        <v>12000</v>
      </c>
      <c r="J142" s="10" t="s">
        <v>19</v>
      </c>
      <c r="K142" s="13" t="str">
        <f t="shared" si="100"/>
        <v>Блок3</v>
      </c>
      <c r="L142">
        <v>12000</v>
      </c>
      <c r="M142">
        <f t="shared" si="101"/>
        <v>1</v>
      </c>
      <c r="N142">
        <f t="shared" si="97"/>
        <v>1</v>
      </c>
      <c r="O142" s="23">
        <f t="shared" ca="1" si="103"/>
        <v>12000</v>
      </c>
    </row>
    <row r="143" spans="1:15" ht="27" customHeight="1" x14ac:dyDescent="0.25">
      <c r="A143" s="10" t="str">
        <f t="shared" si="98"/>
        <v>ЩУР.МОП1-3</v>
      </c>
      <c r="B143" s="10" t="s">
        <v>20</v>
      </c>
      <c r="C143" s="11" t="s">
        <v>20</v>
      </c>
      <c r="D143" s="10" t="s">
        <v>20</v>
      </c>
      <c r="E143" s="10">
        <f>60*G143</f>
        <v>120</v>
      </c>
      <c r="F143" s="10" t="s">
        <v>12</v>
      </c>
      <c r="G143" s="10">
        <v>2</v>
      </c>
      <c r="H143" s="12">
        <v>100</v>
      </c>
      <c r="I143" s="12">
        <f t="shared" si="99"/>
        <v>12000</v>
      </c>
      <c r="J143" s="10" t="s">
        <v>20</v>
      </c>
      <c r="K143" s="13" t="str">
        <f t="shared" si="100"/>
        <v>Блок3</v>
      </c>
      <c r="L143">
        <v>12000</v>
      </c>
      <c r="M143">
        <f t="shared" si="101"/>
        <v>1</v>
      </c>
      <c r="N143">
        <f t="shared" si="97"/>
        <v>120</v>
      </c>
      <c r="O143" s="23">
        <f t="shared" si="103"/>
        <v>12000</v>
      </c>
    </row>
    <row r="144" spans="1:15" ht="27" customHeight="1" x14ac:dyDescent="0.25">
      <c r="A144" s="15" t="str">
        <f t="shared" si="98"/>
        <v>ЩУР.МОП1-3</v>
      </c>
      <c r="B144" s="15"/>
      <c r="C144" s="15"/>
      <c r="D144" s="16"/>
      <c r="E144" s="15"/>
      <c r="F144" s="19"/>
      <c r="G144" s="17"/>
      <c r="H144" s="12">
        <f>G144*0.55</f>
        <v>0</v>
      </c>
      <c r="I144" s="18">
        <f ca="1">SUM(I137:I143)</f>
        <v>76455</v>
      </c>
      <c r="J144" s="15"/>
      <c r="K144" s="13" t="str">
        <f t="shared" si="100"/>
        <v>Блок3</v>
      </c>
      <c r="L144">
        <v>76455</v>
      </c>
      <c r="M144">
        <f t="shared" si="101"/>
        <v>1</v>
      </c>
      <c r="N144">
        <f t="shared" si="97"/>
        <v>0</v>
      </c>
      <c r="O144" s="23">
        <f t="shared" si="103"/>
        <v>0</v>
      </c>
    </row>
    <row r="145" spans="1:15" ht="27" customHeight="1" x14ac:dyDescent="0.25">
      <c r="A145" s="8" t="str">
        <f>D145</f>
        <v>ЩУР.МОП2-3</v>
      </c>
      <c r="B145" s="4"/>
      <c r="C145" s="5"/>
      <c r="D145" s="4" t="s">
        <v>64</v>
      </c>
      <c r="E145" s="8">
        <v>1</v>
      </c>
      <c r="F145" s="9" t="s">
        <v>9</v>
      </c>
      <c r="G145" s="6"/>
      <c r="H145" s="6"/>
      <c r="I145" s="7"/>
      <c r="J145" s="4" t="s">
        <v>10</v>
      </c>
      <c r="K145" s="8" t="s">
        <v>58</v>
      </c>
      <c r="M145">
        <f>E145</f>
        <v>1</v>
      </c>
      <c r="N145">
        <f t="shared" si="97"/>
        <v>1</v>
      </c>
      <c r="O145" s="23">
        <f t="shared" si="103"/>
        <v>0</v>
      </c>
    </row>
    <row r="146" spans="1:15" ht="27" customHeight="1" x14ac:dyDescent="0.25">
      <c r="A146" s="13" t="str">
        <f t="shared" ref="A146:A153" si="104">A145</f>
        <v>ЩУР.МОП2-3</v>
      </c>
      <c r="B146" s="10" t="s">
        <v>11</v>
      </c>
      <c r="C146" s="11" t="s">
        <v>40</v>
      </c>
      <c r="D146" s="10" t="s">
        <v>41</v>
      </c>
      <c r="E146" s="13">
        <v>1</v>
      </c>
      <c r="F146" s="14" t="s">
        <v>12</v>
      </c>
      <c r="G146" s="10">
        <v>18000</v>
      </c>
      <c r="H146" s="12">
        <f>0.6*G146</f>
        <v>10800</v>
      </c>
      <c r="I146" s="12">
        <f t="shared" ref="I146:I152" si="105">H146*E146</f>
        <v>10800</v>
      </c>
      <c r="J146" s="10" t="s">
        <v>13</v>
      </c>
      <c r="K146" s="13" t="str">
        <f t="shared" ref="K146:K153" si="106">K145</f>
        <v>Блок3</v>
      </c>
      <c r="L146">
        <v>10800</v>
      </c>
      <c r="M146">
        <f t="shared" ref="M146:M153" si="107">M145</f>
        <v>1</v>
      </c>
      <c r="N146">
        <f t="shared" si="97"/>
        <v>1</v>
      </c>
      <c r="O146" s="23">
        <f t="shared" si="103"/>
        <v>10800</v>
      </c>
    </row>
    <row r="147" spans="1:15" ht="27" customHeight="1" x14ac:dyDescent="0.25">
      <c r="A147" s="13" t="str">
        <f t="shared" si="104"/>
        <v>ЩУР.МОП2-3</v>
      </c>
      <c r="B147" s="10" t="s">
        <v>293</v>
      </c>
      <c r="C147" s="11" t="s">
        <v>195</v>
      </c>
      <c r="D147" s="10" t="s">
        <v>196</v>
      </c>
      <c r="E147" s="13">
        <v>1</v>
      </c>
      <c r="F147" s="14" t="s">
        <v>12</v>
      </c>
      <c r="G147" s="10">
        <v>6190</v>
      </c>
      <c r="H147" s="12">
        <f t="shared" ref="H147:H149" si="108">0.3*G147</f>
        <v>1857</v>
      </c>
      <c r="I147" s="12">
        <f t="shared" si="105"/>
        <v>1857</v>
      </c>
      <c r="J147" s="10" t="s">
        <v>207</v>
      </c>
      <c r="K147" s="13" t="str">
        <f t="shared" si="106"/>
        <v>Блок3</v>
      </c>
      <c r="L147">
        <v>1857</v>
      </c>
      <c r="M147">
        <f t="shared" si="107"/>
        <v>1</v>
      </c>
      <c r="N147">
        <f t="shared" si="97"/>
        <v>1</v>
      </c>
      <c r="O147" s="23">
        <f>N147*G147</f>
        <v>6190</v>
      </c>
    </row>
    <row r="148" spans="1:15" ht="27" customHeight="1" x14ac:dyDescent="0.25">
      <c r="A148" s="13" t="str">
        <f t="shared" si="104"/>
        <v>ЩУР.МОП2-3</v>
      </c>
      <c r="B148" s="10" t="s">
        <v>293</v>
      </c>
      <c r="C148" s="11" t="s">
        <v>201</v>
      </c>
      <c r="D148" s="10" t="s">
        <v>202</v>
      </c>
      <c r="E148" s="13">
        <v>2</v>
      </c>
      <c r="F148" s="14" t="s">
        <v>12</v>
      </c>
      <c r="G148" s="10">
        <v>5750</v>
      </c>
      <c r="H148" s="12">
        <f t="shared" si="108"/>
        <v>1725</v>
      </c>
      <c r="I148" s="12">
        <f t="shared" si="105"/>
        <v>3450</v>
      </c>
      <c r="J148" s="10" t="s">
        <v>207</v>
      </c>
      <c r="K148" s="13" t="str">
        <f t="shared" si="106"/>
        <v>Блок3</v>
      </c>
      <c r="L148">
        <v>3450</v>
      </c>
      <c r="M148">
        <f t="shared" si="107"/>
        <v>1</v>
      </c>
      <c r="N148">
        <f t="shared" si="97"/>
        <v>2</v>
      </c>
      <c r="O148" s="23">
        <f>N148*G148</f>
        <v>11500</v>
      </c>
    </row>
    <row r="149" spans="1:15" ht="27" customHeight="1" x14ac:dyDescent="0.25">
      <c r="A149" s="13" t="str">
        <f t="shared" si="104"/>
        <v>ЩУР.МОП2-3</v>
      </c>
      <c r="B149" s="10" t="s">
        <v>293</v>
      </c>
      <c r="C149" s="11" t="s">
        <v>193</v>
      </c>
      <c r="D149" s="10" t="s">
        <v>194</v>
      </c>
      <c r="E149" s="13">
        <v>2</v>
      </c>
      <c r="F149" s="14" t="s">
        <v>12</v>
      </c>
      <c r="G149" s="10">
        <v>6580</v>
      </c>
      <c r="H149" s="12">
        <f t="shared" si="108"/>
        <v>1974</v>
      </c>
      <c r="I149" s="12">
        <f t="shared" si="105"/>
        <v>3948</v>
      </c>
      <c r="J149" s="10" t="s">
        <v>207</v>
      </c>
      <c r="K149" s="13" t="str">
        <f t="shared" si="106"/>
        <v>Блок3</v>
      </c>
      <c r="L149">
        <v>3948</v>
      </c>
      <c r="M149">
        <f t="shared" si="107"/>
        <v>1</v>
      </c>
      <c r="N149">
        <f t="shared" si="97"/>
        <v>2</v>
      </c>
      <c r="O149" s="23">
        <f>N149*G149</f>
        <v>13160</v>
      </c>
    </row>
    <row r="150" spans="1:15" ht="27" customHeight="1" x14ac:dyDescent="0.25">
      <c r="A150" s="13" t="str">
        <f t="shared" si="104"/>
        <v>ЩУР.МОП2-3</v>
      </c>
      <c r="B150" s="10" t="s">
        <v>15</v>
      </c>
      <c r="C150" s="11" t="s">
        <v>299</v>
      </c>
      <c r="D150" s="10" t="s">
        <v>300</v>
      </c>
      <c r="E150" s="13">
        <v>1</v>
      </c>
      <c r="F150" s="14" t="s">
        <v>12</v>
      </c>
      <c r="G150" s="10">
        <v>32400</v>
      </c>
      <c r="H150" s="12">
        <f>G150</f>
        <v>32400</v>
      </c>
      <c r="I150" s="12">
        <f t="shared" si="105"/>
        <v>32400</v>
      </c>
      <c r="J150" s="10" t="s">
        <v>16</v>
      </c>
      <c r="K150" s="13" t="str">
        <f t="shared" si="106"/>
        <v>Блок3</v>
      </c>
      <c r="L150">
        <v>32400</v>
      </c>
      <c r="M150">
        <f t="shared" si="107"/>
        <v>1</v>
      </c>
      <c r="N150">
        <f t="shared" si="97"/>
        <v>1</v>
      </c>
      <c r="O150" s="23">
        <f t="shared" ref="O150:O156" si="109">N150*H150</f>
        <v>32400</v>
      </c>
    </row>
    <row r="151" spans="1:15" ht="27" customHeight="1" x14ac:dyDescent="0.25">
      <c r="A151" s="10" t="str">
        <f t="shared" si="104"/>
        <v>ЩУР.МОП2-3</v>
      </c>
      <c r="B151" s="10" t="s">
        <v>19</v>
      </c>
      <c r="C151" s="11" t="s">
        <v>19</v>
      </c>
      <c r="D151" s="10" t="s">
        <v>19</v>
      </c>
      <c r="E151" s="10">
        <v>1</v>
      </c>
      <c r="F151" s="10" t="s">
        <v>12</v>
      </c>
      <c r="G151" s="10">
        <f ca="1">OFFSET(G151,1,2)</f>
        <v>12000</v>
      </c>
      <c r="H151" s="12">
        <f ca="1">G151</f>
        <v>12000</v>
      </c>
      <c r="I151" s="12">
        <f t="shared" ca="1" si="105"/>
        <v>12000</v>
      </c>
      <c r="J151" s="10" t="s">
        <v>19</v>
      </c>
      <c r="K151" s="13" t="str">
        <f t="shared" si="106"/>
        <v>Блок3</v>
      </c>
      <c r="L151">
        <v>12000</v>
      </c>
      <c r="M151">
        <f t="shared" si="107"/>
        <v>1</v>
      </c>
      <c r="N151">
        <f t="shared" si="97"/>
        <v>1</v>
      </c>
      <c r="O151" s="23">
        <f t="shared" ca="1" si="109"/>
        <v>12000</v>
      </c>
    </row>
    <row r="152" spans="1:15" ht="27" customHeight="1" x14ac:dyDescent="0.25">
      <c r="A152" s="10" t="str">
        <f t="shared" si="104"/>
        <v>ЩУР.МОП2-3</v>
      </c>
      <c r="B152" s="10" t="s">
        <v>20</v>
      </c>
      <c r="C152" s="11" t="s">
        <v>20</v>
      </c>
      <c r="D152" s="10" t="s">
        <v>20</v>
      </c>
      <c r="E152" s="10">
        <f>60*G152</f>
        <v>120</v>
      </c>
      <c r="F152" s="10" t="s">
        <v>12</v>
      </c>
      <c r="G152" s="10">
        <v>2</v>
      </c>
      <c r="H152" s="12">
        <v>100</v>
      </c>
      <c r="I152" s="12">
        <f t="shared" si="105"/>
        <v>12000</v>
      </c>
      <c r="J152" s="10" t="s">
        <v>20</v>
      </c>
      <c r="K152" s="13" t="str">
        <f t="shared" si="106"/>
        <v>Блок3</v>
      </c>
      <c r="L152">
        <v>12000</v>
      </c>
      <c r="M152">
        <f t="shared" si="107"/>
        <v>1</v>
      </c>
      <c r="N152">
        <f t="shared" si="97"/>
        <v>120</v>
      </c>
      <c r="O152" s="23">
        <f t="shared" si="109"/>
        <v>12000</v>
      </c>
    </row>
    <row r="153" spans="1:15" ht="27" customHeight="1" x14ac:dyDescent="0.25">
      <c r="A153" s="15" t="str">
        <f t="shared" si="104"/>
        <v>ЩУР.МОП2-3</v>
      </c>
      <c r="B153" s="15"/>
      <c r="C153" s="15"/>
      <c r="D153" s="16"/>
      <c r="E153" s="15"/>
      <c r="F153" s="19"/>
      <c r="G153" s="17"/>
      <c r="H153" s="12">
        <f>G153*0.55</f>
        <v>0</v>
      </c>
      <c r="I153" s="18">
        <f ca="1">SUM(I146:I152)</f>
        <v>76455</v>
      </c>
      <c r="J153" s="15"/>
      <c r="K153" s="13" t="str">
        <f t="shared" si="106"/>
        <v>Блок3</v>
      </c>
      <c r="L153">
        <v>76455</v>
      </c>
      <c r="M153">
        <f t="shared" si="107"/>
        <v>1</v>
      </c>
      <c r="N153">
        <f t="shared" si="97"/>
        <v>0</v>
      </c>
      <c r="O153" s="23">
        <f t="shared" si="109"/>
        <v>0</v>
      </c>
    </row>
    <row r="154" spans="1:15" ht="27" customHeight="1" x14ac:dyDescent="0.25">
      <c r="A154" s="8" t="str">
        <f>D154</f>
        <v>РЩ1-3 (АВР-Б-40-2-1)</v>
      </c>
      <c r="B154" s="4"/>
      <c r="C154" s="5"/>
      <c r="D154" s="4" t="s">
        <v>134</v>
      </c>
      <c r="E154" s="8">
        <v>1</v>
      </c>
      <c r="F154" s="9" t="s">
        <v>9</v>
      </c>
      <c r="G154" s="6"/>
      <c r="H154" s="6"/>
      <c r="I154" s="7"/>
      <c r="J154" s="4" t="s">
        <v>10</v>
      </c>
      <c r="K154" s="8" t="s">
        <v>58</v>
      </c>
      <c r="M154">
        <f>E154</f>
        <v>1</v>
      </c>
      <c r="N154">
        <f t="shared" si="97"/>
        <v>1</v>
      </c>
      <c r="O154" s="23">
        <f t="shared" si="109"/>
        <v>0</v>
      </c>
    </row>
    <row r="155" spans="1:15" ht="27" customHeight="1" x14ac:dyDescent="0.25">
      <c r="A155" s="13" t="str">
        <f t="shared" ref="A155:A166" si="110">A154</f>
        <v>РЩ1-3 (АВР-Б-40-2-1)</v>
      </c>
      <c r="B155" s="10" t="s">
        <v>11</v>
      </c>
      <c r="C155" s="11" t="s">
        <v>168</v>
      </c>
      <c r="D155" s="10" t="s">
        <v>169</v>
      </c>
      <c r="E155" s="13">
        <v>1</v>
      </c>
      <c r="F155" s="14" t="s">
        <v>12</v>
      </c>
      <c r="G155" s="10">
        <v>130000</v>
      </c>
      <c r="H155" s="12">
        <f t="shared" ref="H155:H156" si="111">0.6*G155</f>
        <v>78000</v>
      </c>
      <c r="I155" s="12">
        <f t="shared" ref="I155:I165" si="112">H155*E155</f>
        <v>78000</v>
      </c>
      <c r="J155" s="10" t="s">
        <v>13</v>
      </c>
      <c r="K155" s="13" t="str">
        <f t="shared" ref="K155:K166" si="113">K154</f>
        <v>Блок3</v>
      </c>
      <c r="L155">
        <v>78000</v>
      </c>
      <c r="M155">
        <f t="shared" ref="M155:M166" si="114">M154</f>
        <v>1</v>
      </c>
      <c r="N155">
        <f t="shared" si="97"/>
        <v>1</v>
      </c>
      <c r="O155" s="23">
        <f t="shared" si="109"/>
        <v>78000</v>
      </c>
    </row>
    <row r="156" spans="1:15" ht="27" customHeight="1" x14ac:dyDescent="0.25">
      <c r="A156" s="13" t="str">
        <f t="shared" si="110"/>
        <v>РЩ1-3 (АВР-Б-40-2-1)</v>
      </c>
      <c r="B156" s="10" t="s">
        <v>44</v>
      </c>
      <c r="C156" s="11" t="s">
        <v>243</v>
      </c>
      <c r="D156" s="10" t="s">
        <v>244</v>
      </c>
      <c r="E156" s="13">
        <v>1</v>
      </c>
      <c r="F156" s="14" t="s">
        <v>12</v>
      </c>
      <c r="G156" s="10">
        <v>116176</v>
      </c>
      <c r="H156" s="12">
        <f t="shared" si="111"/>
        <v>69705.599999999991</v>
      </c>
      <c r="I156" s="12">
        <f t="shared" si="112"/>
        <v>69705.599999999991</v>
      </c>
      <c r="J156" s="10" t="s">
        <v>14</v>
      </c>
      <c r="K156" s="13" t="str">
        <f t="shared" si="113"/>
        <v>Блок3</v>
      </c>
      <c r="L156">
        <v>69705.599999999991</v>
      </c>
      <c r="M156">
        <f t="shared" si="114"/>
        <v>1</v>
      </c>
      <c r="N156">
        <f t="shared" si="97"/>
        <v>1</v>
      </c>
      <c r="O156" s="23">
        <f t="shared" si="109"/>
        <v>69705.599999999991</v>
      </c>
    </row>
    <row r="157" spans="1:15" ht="27" customHeight="1" x14ac:dyDescent="0.25">
      <c r="A157" s="13" t="str">
        <f t="shared" si="110"/>
        <v>РЩ1-3 (АВР-Б-40-2-1)</v>
      </c>
      <c r="B157" s="10" t="s">
        <v>293</v>
      </c>
      <c r="C157" s="11" t="s">
        <v>213</v>
      </c>
      <c r="D157" s="10" t="s">
        <v>214</v>
      </c>
      <c r="E157" s="13">
        <v>2</v>
      </c>
      <c r="F157" s="14" t="s">
        <v>12</v>
      </c>
      <c r="G157" s="10">
        <v>7690</v>
      </c>
      <c r="H157" s="12">
        <f t="shared" ref="H157:H159" si="115">0.3*G157</f>
        <v>2307</v>
      </c>
      <c r="I157" s="12">
        <f t="shared" si="112"/>
        <v>4614</v>
      </c>
      <c r="J157" s="10" t="s">
        <v>207</v>
      </c>
      <c r="K157" s="13" t="str">
        <f t="shared" si="113"/>
        <v>Блок3</v>
      </c>
      <c r="L157">
        <v>4614</v>
      </c>
      <c r="M157">
        <f t="shared" si="114"/>
        <v>1</v>
      </c>
      <c r="N157">
        <f t="shared" si="97"/>
        <v>2</v>
      </c>
      <c r="O157" s="23">
        <f>N157*G157</f>
        <v>15380</v>
      </c>
    </row>
    <row r="158" spans="1:15" ht="27" customHeight="1" x14ac:dyDescent="0.25">
      <c r="A158" s="13" t="str">
        <f t="shared" si="110"/>
        <v>РЩ1-3 (АВР-Б-40-2-1)</v>
      </c>
      <c r="B158" s="10" t="s">
        <v>293</v>
      </c>
      <c r="C158" s="11" t="s">
        <v>231</v>
      </c>
      <c r="D158" s="10" t="s">
        <v>232</v>
      </c>
      <c r="E158" s="13">
        <v>2</v>
      </c>
      <c r="F158" s="14" t="s">
        <v>12</v>
      </c>
      <c r="G158" s="10">
        <v>7690</v>
      </c>
      <c r="H158" s="12">
        <f t="shared" si="115"/>
        <v>2307</v>
      </c>
      <c r="I158" s="12">
        <f t="shared" si="112"/>
        <v>4614</v>
      </c>
      <c r="J158" s="10" t="s">
        <v>207</v>
      </c>
      <c r="K158" s="13" t="str">
        <f t="shared" si="113"/>
        <v>Блок3</v>
      </c>
      <c r="L158">
        <v>4614</v>
      </c>
      <c r="M158">
        <f t="shared" si="114"/>
        <v>1</v>
      </c>
      <c r="N158">
        <f t="shared" si="97"/>
        <v>2</v>
      </c>
      <c r="O158" s="23">
        <f>N158*G158</f>
        <v>15380</v>
      </c>
    </row>
    <row r="159" spans="1:15" ht="27" customHeight="1" x14ac:dyDescent="0.25">
      <c r="A159" s="13" t="str">
        <f t="shared" si="110"/>
        <v>РЩ1-3 (АВР-Б-40-2-1)</v>
      </c>
      <c r="B159" s="10" t="s">
        <v>294</v>
      </c>
      <c r="C159" s="11" t="s">
        <v>203</v>
      </c>
      <c r="D159" s="10" t="s">
        <v>204</v>
      </c>
      <c r="E159" s="13">
        <v>2</v>
      </c>
      <c r="F159" s="14" t="s">
        <v>12</v>
      </c>
      <c r="G159" s="10">
        <v>13450</v>
      </c>
      <c r="H159" s="12">
        <f t="shared" si="115"/>
        <v>4035</v>
      </c>
      <c r="I159" s="12">
        <f t="shared" si="112"/>
        <v>8070</v>
      </c>
      <c r="J159" s="10" t="s">
        <v>207</v>
      </c>
      <c r="K159" s="13" t="str">
        <f t="shared" si="113"/>
        <v>Блок3</v>
      </c>
      <c r="L159">
        <v>8070</v>
      </c>
      <c r="M159">
        <f t="shared" si="114"/>
        <v>1</v>
      </c>
      <c r="N159">
        <f t="shared" si="97"/>
        <v>2</v>
      </c>
      <c r="O159" s="23">
        <f>N159*G159</f>
        <v>26900</v>
      </c>
    </row>
    <row r="160" spans="1:15" ht="27" customHeight="1" x14ac:dyDescent="0.25">
      <c r="A160" s="13" t="str">
        <f t="shared" si="110"/>
        <v>РЩ1-3 (АВР-Б-40-2-1)</v>
      </c>
      <c r="B160" s="10" t="s">
        <v>18</v>
      </c>
      <c r="C160" s="11" t="s">
        <v>233</v>
      </c>
      <c r="D160" s="10" t="s">
        <v>234</v>
      </c>
      <c r="E160" s="13">
        <v>1</v>
      </c>
      <c r="F160" s="14" t="s">
        <v>12</v>
      </c>
      <c r="G160" s="10">
        <v>5884</v>
      </c>
      <c r="H160" s="12">
        <f>0.6*G160</f>
        <v>3530.4</v>
      </c>
      <c r="I160" s="12">
        <f t="shared" si="112"/>
        <v>3530.4</v>
      </c>
      <c r="J160" s="10" t="s">
        <v>14</v>
      </c>
      <c r="K160" s="13" t="str">
        <f t="shared" si="113"/>
        <v>Блок3</v>
      </c>
      <c r="L160">
        <v>3530.4</v>
      </c>
      <c r="M160">
        <f t="shared" si="114"/>
        <v>1</v>
      </c>
      <c r="N160">
        <f t="shared" si="97"/>
        <v>1</v>
      </c>
      <c r="O160" s="23">
        <f>N160*H160</f>
        <v>3530.4</v>
      </c>
    </row>
    <row r="161" spans="1:15" ht="27" customHeight="1" x14ac:dyDescent="0.25">
      <c r="A161" s="13" t="str">
        <f t="shared" si="110"/>
        <v>РЩ1-3 (АВР-Б-40-2-1)</v>
      </c>
      <c r="B161" s="10" t="s">
        <v>293</v>
      </c>
      <c r="C161" s="11" t="s">
        <v>205</v>
      </c>
      <c r="D161" s="10" t="s">
        <v>206</v>
      </c>
      <c r="E161" s="13">
        <v>1</v>
      </c>
      <c r="F161" s="14" t="s">
        <v>12</v>
      </c>
      <c r="G161" s="10">
        <v>7090</v>
      </c>
      <c r="H161" s="12">
        <f>0.3*G161</f>
        <v>2127</v>
      </c>
      <c r="I161" s="12">
        <f t="shared" si="112"/>
        <v>2127</v>
      </c>
      <c r="J161" s="10" t="s">
        <v>207</v>
      </c>
      <c r="K161" s="13" t="str">
        <f t="shared" si="113"/>
        <v>Блок3</v>
      </c>
      <c r="L161">
        <v>2127</v>
      </c>
      <c r="M161">
        <f t="shared" si="114"/>
        <v>1</v>
      </c>
      <c r="N161">
        <f t="shared" si="97"/>
        <v>1</v>
      </c>
      <c r="O161" s="23">
        <f>N161*G161</f>
        <v>7090</v>
      </c>
    </row>
    <row r="162" spans="1:15" ht="27" customHeight="1" x14ac:dyDescent="0.25">
      <c r="A162" s="13" t="str">
        <f t="shared" si="110"/>
        <v>РЩ1-3 (АВР-Б-40-2-1)</v>
      </c>
      <c r="B162" s="10" t="s">
        <v>15</v>
      </c>
      <c r="C162" s="11" t="s">
        <v>299</v>
      </c>
      <c r="D162" s="10" t="s">
        <v>300</v>
      </c>
      <c r="E162" s="13">
        <v>1</v>
      </c>
      <c r="F162" s="14" t="s">
        <v>12</v>
      </c>
      <c r="G162" s="10">
        <v>32400</v>
      </c>
      <c r="H162" s="12">
        <f>G162</f>
        <v>32400</v>
      </c>
      <c r="I162" s="12">
        <f t="shared" si="112"/>
        <v>32400</v>
      </c>
      <c r="J162" s="10" t="s">
        <v>16</v>
      </c>
      <c r="K162" s="13" t="str">
        <f t="shared" si="113"/>
        <v>Блок3</v>
      </c>
      <c r="L162">
        <v>32400</v>
      </c>
      <c r="M162">
        <f t="shared" si="114"/>
        <v>1</v>
      </c>
      <c r="N162">
        <f t="shared" si="97"/>
        <v>1</v>
      </c>
      <c r="O162" s="23">
        <f t="shared" ref="O162:O169" si="116">N162*H162</f>
        <v>32400</v>
      </c>
    </row>
    <row r="163" spans="1:15" ht="27" customHeight="1" x14ac:dyDescent="0.25">
      <c r="A163" s="13" t="str">
        <f t="shared" si="110"/>
        <v>РЩ1-3 (АВР-Б-40-2-1)</v>
      </c>
      <c r="B163" s="10" t="s">
        <v>30</v>
      </c>
      <c r="C163" s="11"/>
      <c r="D163" s="10" t="s">
        <v>31</v>
      </c>
      <c r="E163" s="13">
        <v>6</v>
      </c>
      <c r="F163" s="14" t="s">
        <v>12</v>
      </c>
      <c r="G163" s="10">
        <v>3850</v>
      </c>
      <c r="H163" s="12">
        <f>G163</f>
        <v>3850</v>
      </c>
      <c r="I163" s="12">
        <f t="shared" si="112"/>
        <v>23100</v>
      </c>
      <c r="J163" s="10" t="s">
        <v>25</v>
      </c>
      <c r="K163" s="13" t="str">
        <f t="shared" si="113"/>
        <v>Блок3</v>
      </c>
      <c r="L163">
        <v>23100</v>
      </c>
      <c r="M163">
        <f t="shared" si="114"/>
        <v>1</v>
      </c>
      <c r="N163">
        <f t="shared" si="97"/>
        <v>6</v>
      </c>
      <c r="O163" s="23">
        <f t="shared" si="116"/>
        <v>23100</v>
      </c>
    </row>
    <row r="164" spans="1:15" ht="27" customHeight="1" x14ac:dyDescent="0.25">
      <c r="A164" s="10" t="str">
        <f t="shared" si="110"/>
        <v>РЩ1-3 (АВР-Б-40-2-1)</v>
      </c>
      <c r="B164" s="10" t="s">
        <v>19</v>
      </c>
      <c r="C164" s="11" t="s">
        <v>19</v>
      </c>
      <c r="D164" s="10" t="s">
        <v>19</v>
      </c>
      <c r="E164" s="10">
        <v>1</v>
      </c>
      <c r="F164" s="10" t="s">
        <v>12</v>
      </c>
      <c r="G164" s="10">
        <f ca="1">OFFSET(G164,1,2)</f>
        <v>39000</v>
      </c>
      <c r="H164" s="12">
        <f ca="1">G164</f>
        <v>39000</v>
      </c>
      <c r="I164" s="12">
        <f t="shared" ca="1" si="112"/>
        <v>39000</v>
      </c>
      <c r="J164" s="10" t="s">
        <v>19</v>
      </c>
      <c r="K164" s="13" t="str">
        <f t="shared" si="113"/>
        <v>Блок3</v>
      </c>
      <c r="L164">
        <v>39000</v>
      </c>
      <c r="M164">
        <f t="shared" si="114"/>
        <v>1</v>
      </c>
      <c r="N164">
        <f t="shared" si="97"/>
        <v>1</v>
      </c>
      <c r="O164" s="23">
        <f t="shared" ca="1" si="116"/>
        <v>39000</v>
      </c>
    </row>
    <row r="165" spans="1:15" ht="27" customHeight="1" x14ac:dyDescent="0.25">
      <c r="A165" s="10" t="str">
        <f t="shared" si="110"/>
        <v>РЩ1-3 (АВР-Б-40-2-1)</v>
      </c>
      <c r="B165" s="10" t="s">
        <v>20</v>
      </c>
      <c r="C165" s="11" t="s">
        <v>20</v>
      </c>
      <c r="D165" s="10" t="s">
        <v>20</v>
      </c>
      <c r="E165" s="10">
        <f>60*G165</f>
        <v>390</v>
      </c>
      <c r="F165" s="10" t="s">
        <v>12</v>
      </c>
      <c r="G165" s="10">
        <v>6.5</v>
      </c>
      <c r="H165" s="12">
        <v>100</v>
      </c>
      <c r="I165" s="12">
        <f t="shared" si="112"/>
        <v>39000</v>
      </c>
      <c r="J165" s="10" t="s">
        <v>20</v>
      </c>
      <c r="K165" s="13" t="str">
        <f t="shared" si="113"/>
        <v>Блок3</v>
      </c>
      <c r="L165">
        <v>39000</v>
      </c>
      <c r="M165">
        <f t="shared" si="114"/>
        <v>1</v>
      </c>
      <c r="N165">
        <f t="shared" si="97"/>
        <v>390</v>
      </c>
      <c r="O165" s="23">
        <f t="shared" si="116"/>
        <v>39000</v>
      </c>
    </row>
    <row r="166" spans="1:15" ht="27" customHeight="1" x14ac:dyDescent="0.25">
      <c r="A166" s="15" t="str">
        <f t="shared" si="110"/>
        <v>РЩ1-3 (АВР-Б-40-2-1)</v>
      </c>
      <c r="B166" s="15"/>
      <c r="C166" s="15"/>
      <c r="D166" s="16"/>
      <c r="E166" s="15"/>
      <c r="F166" s="19"/>
      <c r="G166" s="17"/>
      <c r="H166" s="12">
        <f>G166*0.55</f>
        <v>0</v>
      </c>
      <c r="I166" s="18">
        <f ca="1">SUM(I155:I165)</f>
        <v>304161</v>
      </c>
      <c r="J166" s="15"/>
      <c r="K166" s="13" t="str">
        <f t="shared" si="113"/>
        <v>Блок3</v>
      </c>
      <c r="L166">
        <v>304161</v>
      </c>
      <c r="M166">
        <f t="shared" si="114"/>
        <v>1</v>
      </c>
      <c r="N166">
        <f t="shared" si="97"/>
        <v>0</v>
      </c>
      <c r="O166" s="23">
        <f t="shared" si="116"/>
        <v>0</v>
      </c>
    </row>
    <row r="167" spans="1:15" ht="27" customHeight="1" x14ac:dyDescent="0.25">
      <c r="A167" s="8" t="str">
        <f>D167</f>
        <v>РЩ2-3 (АВР-Б-40-2-1)</v>
      </c>
      <c r="B167" s="4"/>
      <c r="C167" s="5"/>
      <c r="D167" s="4" t="s">
        <v>135</v>
      </c>
      <c r="E167" s="8">
        <v>1</v>
      </c>
      <c r="F167" s="9" t="s">
        <v>9</v>
      </c>
      <c r="G167" s="6"/>
      <c r="H167" s="6"/>
      <c r="I167" s="7"/>
      <c r="J167" s="4" t="s">
        <v>10</v>
      </c>
      <c r="K167" s="8" t="s">
        <v>58</v>
      </c>
      <c r="M167">
        <f>E167</f>
        <v>1</v>
      </c>
      <c r="N167">
        <f t="shared" si="97"/>
        <v>1</v>
      </c>
      <c r="O167" s="23">
        <f t="shared" si="116"/>
        <v>0</v>
      </c>
    </row>
    <row r="168" spans="1:15" ht="27" customHeight="1" x14ac:dyDescent="0.25">
      <c r="A168" s="13" t="str">
        <f t="shared" ref="A168:A179" si="117">A167</f>
        <v>РЩ2-3 (АВР-Б-40-2-1)</v>
      </c>
      <c r="B168" s="10" t="s">
        <v>11</v>
      </c>
      <c r="C168" s="11" t="s">
        <v>168</v>
      </c>
      <c r="D168" s="10" t="s">
        <v>169</v>
      </c>
      <c r="E168" s="13">
        <v>1</v>
      </c>
      <c r="F168" s="14" t="s">
        <v>12</v>
      </c>
      <c r="G168" s="10">
        <v>130000</v>
      </c>
      <c r="H168" s="12">
        <f t="shared" ref="H168:H169" si="118">0.6*G168</f>
        <v>78000</v>
      </c>
      <c r="I168" s="12">
        <f t="shared" ref="I168:I178" si="119">H168*E168</f>
        <v>78000</v>
      </c>
      <c r="J168" s="10" t="s">
        <v>13</v>
      </c>
      <c r="K168" s="13" t="str">
        <f t="shared" ref="K168:K179" si="120">K167</f>
        <v>Блок3</v>
      </c>
      <c r="L168">
        <v>78000</v>
      </c>
      <c r="M168">
        <f t="shared" ref="M168:M179" si="121">M167</f>
        <v>1</v>
      </c>
      <c r="N168">
        <f t="shared" si="97"/>
        <v>1</v>
      </c>
      <c r="O168" s="23">
        <f t="shared" si="116"/>
        <v>78000</v>
      </c>
    </row>
    <row r="169" spans="1:15" ht="27" customHeight="1" x14ac:dyDescent="0.25">
      <c r="A169" s="13" t="str">
        <f t="shared" si="117"/>
        <v>РЩ2-3 (АВР-Б-40-2-1)</v>
      </c>
      <c r="B169" s="10" t="s">
        <v>44</v>
      </c>
      <c r="C169" s="11" t="s">
        <v>243</v>
      </c>
      <c r="D169" s="10" t="s">
        <v>244</v>
      </c>
      <c r="E169" s="13">
        <v>1</v>
      </c>
      <c r="F169" s="14" t="s">
        <v>12</v>
      </c>
      <c r="G169" s="10">
        <v>116176</v>
      </c>
      <c r="H169" s="12">
        <f t="shared" si="118"/>
        <v>69705.599999999991</v>
      </c>
      <c r="I169" s="12">
        <f t="shared" si="119"/>
        <v>69705.599999999991</v>
      </c>
      <c r="J169" s="10" t="s">
        <v>14</v>
      </c>
      <c r="K169" s="13" t="str">
        <f t="shared" si="120"/>
        <v>Блок3</v>
      </c>
      <c r="L169">
        <v>69705.599999999991</v>
      </c>
      <c r="M169">
        <f t="shared" si="121"/>
        <v>1</v>
      </c>
      <c r="N169">
        <f t="shared" si="97"/>
        <v>1</v>
      </c>
      <c r="O169" s="23">
        <f t="shared" si="116"/>
        <v>69705.599999999991</v>
      </c>
    </row>
    <row r="170" spans="1:15" ht="27" customHeight="1" x14ac:dyDescent="0.25">
      <c r="A170" s="13" t="str">
        <f t="shared" si="117"/>
        <v>РЩ2-3 (АВР-Б-40-2-1)</v>
      </c>
      <c r="B170" s="10" t="s">
        <v>293</v>
      </c>
      <c r="C170" s="11" t="s">
        <v>213</v>
      </c>
      <c r="D170" s="10" t="s">
        <v>214</v>
      </c>
      <c r="E170" s="13">
        <v>2</v>
      </c>
      <c r="F170" s="14" t="s">
        <v>12</v>
      </c>
      <c r="G170" s="10">
        <v>7690</v>
      </c>
      <c r="H170" s="12">
        <f t="shared" ref="H170:H172" si="122">0.3*G170</f>
        <v>2307</v>
      </c>
      <c r="I170" s="12">
        <f t="shared" si="119"/>
        <v>4614</v>
      </c>
      <c r="J170" s="10" t="s">
        <v>207</v>
      </c>
      <c r="K170" s="13" t="str">
        <f t="shared" si="120"/>
        <v>Блок3</v>
      </c>
      <c r="L170">
        <v>4614</v>
      </c>
      <c r="M170">
        <f t="shared" si="121"/>
        <v>1</v>
      </c>
      <c r="N170">
        <f t="shared" si="97"/>
        <v>2</v>
      </c>
      <c r="O170" s="23">
        <f>N170*G170</f>
        <v>15380</v>
      </c>
    </row>
    <row r="171" spans="1:15" ht="27" customHeight="1" x14ac:dyDescent="0.25">
      <c r="A171" s="13" t="str">
        <f t="shared" si="117"/>
        <v>РЩ2-3 (АВР-Б-40-2-1)</v>
      </c>
      <c r="B171" s="10" t="s">
        <v>293</v>
      </c>
      <c r="C171" s="11" t="s">
        <v>231</v>
      </c>
      <c r="D171" s="10" t="s">
        <v>232</v>
      </c>
      <c r="E171" s="13">
        <v>2</v>
      </c>
      <c r="F171" s="14" t="s">
        <v>12</v>
      </c>
      <c r="G171" s="10">
        <v>7690</v>
      </c>
      <c r="H171" s="12">
        <f t="shared" si="122"/>
        <v>2307</v>
      </c>
      <c r="I171" s="12">
        <f t="shared" si="119"/>
        <v>4614</v>
      </c>
      <c r="J171" s="10" t="s">
        <v>207</v>
      </c>
      <c r="K171" s="13" t="str">
        <f t="shared" si="120"/>
        <v>Блок3</v>
      </c>
      <c r="L171">
        <v>4614</v>
      </c>
      <c r="M171">
        <f t="shared" si="121"/>
        <v>1</v>
      </c>
      <c r="N171">
        <f t="shared" si="97"/>
        <v>2</v>
      </c>
      <c r="O171" s="23">
        <f>N171*G171</f>
        <v>15380</v>
      </c>
    </row>
    <row r="172" spans="1:15" ht="27" customHeight="1" x14ac:dyDescent="0.25">
      <c r="A172" s="13" t="str">
        <f t="shared" si="117"/>
        <v>РЩ2-3 (АВР-Б-40-2-1)</v>
      </c>
      <c r="B172" s="10" t="s">
        <v>294</v>
      </c>
      <c r="C172" s="11" t="s">
        <v>203</v>
      </c>
      <c r="D172" s="10" t="s">
        <v>204</v>
      </c>
      <c r="E172" s="13">
        <v>2</v>
      </c>
      <c r="F172" s="14" t="s">
        <v>12</v>
      </c>
      <c r="G172" s="10">
        <v>13450</v>
      </c>
      <c r="H172" s="12">
        <f t="shared" si="122"/>
        <v>4035</v>
      </c>
      <c r="I172" s="12">
        <f t="shared" si="119"/>
        <v>8070</v>
      </c>
      <c r="J172" s="10" t="s">
        <v>207</v>
      </c>
      <c r="K172" s="13" t="str">
        <f t="shared" si="120"/>
        <v>Блок3</v>
      </c>
      <c r="L172">
        <v>8070</v>
      </c>
      <c r="M172">
        <f t="shared" si="121"/>
        <v>1</v>
      </c>
      <c r="N172">
        <f t="shared" si="97"/>
        <v>2</v>
      </c>
      <c r="O172" s="23">
        <f>N172*G172</f>
        <v>26900</v>
      </c>
    </row>
    <row r="173" spans="1:15" ht="27" customHeight="1" x14ac:dyDescent="0.25">
      <c r="A173" s="13" t="str">
        <f t="shared" si="117"/>
        <v>РЩ2-3 (АВР-Б-40-2-1)</v>
      </c>
      <c r="B173" s="10" t="s">
        <v>18</v>
      </c>
      <c r="C173" s="11" t="s">
        <v>233</v>
      </c>
      <c r="D173" s="10" t="s">
        <v>234</v>
      </c>
      <c r="E173" s="13">
        <v>1</v>
      </c>
      <c r="F173" s="14" t="s">
        <v>12</v>
      </c>
      <c r="G173" s="10">
        <v>5884</v>
      </c>
      <c r="H173" s="12">
        <f>0.6*G173</f>
        <v>3530.4</v>
      </c>
      <c r="I173" s="12">
        <f t="shared" si="119"/>
        <v>3530.4</v>
      </c>
      <c r="J173" s="10" t="s">
        <v>14</v>
      </c>
      <c r="K173" s="13" t="str">
        <f t="shared" si="120"/>
        <v>Блок3</v>
      </c>
      <c r="L173">
        <v>3530.4</v>
      </c>
      <c r="M173">
        <f t="shared" si="121"/>
        <v>1</v>
      </c>
      <c r="N173">
        <f t="shared" si="97"/>
        <v>1</v>
      </c>
      <c r="O173" s="23">
        <f>N173*H173</f>
        <v>3530.4</v>
      </c>
    </row>
    <row r="174" spans="1:15" ht="27" customHeight="1" x14ac:dyDescent="0.25">
      <c r="A174" s="13" t="str">
        <f t="shared" si="117"/>
        <v>РЩ2-3 (АВР-Б-40-2-1)</v>
      </c>
      <c r="B174" s="10" t="s">
        <v>293</v>
      </c>
      <c r="C174" s="11" t="s">
        <v>205</v>
      </c>
      <c r="D174" s="10" t="s">
        <v>206</v>
      </c>
      <c r="E174" s="13">
        <v>1</v>
      </c>
      <c r="F174" s="14" t="s">
        <v>12</v>
      </c>
      <c r="G174" s="10">
        <v>7090</v>
      </c>
      <c r="H174" s="12">
        <f>0.3*G174</f>
        <v>2127</v>
      </c>
      <c r="I174" s="12">
        <f t="shared" si="119"/>
        <v>2127</v>
      </c>
      <c r="J174" s="10" t="s">
        <v>207</v>
      </c>
      <c r="K174" s="13" t="str">
        <f t="shared" si="120"/>
        <v>Блок3</v>
      </c>
      <c r="L174">
        <v>2127</v>
      </c>
      <c r="M174">
        <f t="shared" si="121"/>
        <v>1</v>
      </c>
      <c r="N174">
        <f t="shared" si="97"/>
        <v>1</v>
      </c>
      <c r="O174" s="23">
        <f>N174*G174</f>
        <v>7090</v>
      </c>
    </row>
    <row r="175" spans="1:15" ht="27" customHeight="1" x14ac:dyDescent="0.25">
      <c r="A175" s="13" t="str">
        <f t="shared" si="117"/>
        <v>РЩ2-3 (АВР-Б-40-2-1)</v>
      </c>
      <c r="B175" s="10" t="s">
        <v>15</v>
      </c>
      <c r="C175" s="11" t="s">
        <v>299</v>
      </c>
      <c r="D175" s="10" t="s">
        <v>300</v>
      </c>
      <c r="E175" s="13">
        <v>1</v>
      </c>
      <c r="F175" s="14" t="s">
        <v>12</v>
      </c>
      <c r="G175" s="10">
        <v>32400</v>
      </c>
      <c r="H175" s="12">
        <f>G175</f>
        <v>32400</v>
      </c>
      <c r="I175" s="12">
        <f t="shared" si="119"/>
        <v>32400</v>
      </c>
      <c r="J175" s="10" t="s">
        <v>16</v>
      </c>
      <c r="K175" s="13" t="str">
        <f t="shared" si="120"/>
        <v>Блок3</v>
      </c>
      <c r="L175">
        <v>32400</v>
      </c>
      <c r="M175">
        <f t="shared" si="121"/>
        <v>1</v>
      </c>
      <c r="N175">
        <f t="shared" si="97"/>
        <v>1</v>
      </c>
      <c r="O175" s="23">
        <f t="shared" ref="O175:O185" si="123">N175*H175</f>
        <v>32400</v>
      </c>
    </row>
    <row r="176" spans="1:15" ht="27" customHeight="1" x14ac:dyDescent="0.25">
      <c r="A176" s="13" t="str">
        <f t="shared" si="117"/>
        <v>РЩ2-3 (АВР-Б-40-2-1)</v>
      </c>
      <c r="B176" s="10" t="s">
        <v>30</v>
      </c>
      <c r="C176" s="11"/>
      <c r="D176" s="10" t="s">
        <v>31</v>
      </c>
      <c r="E176" s="13">
        <v>6</v>
      </c>
      <c r="F176" s="14" t="s">
        <v>12</v>
      </c>
      <c r="G176" s="10">
        <v>3850</v>
      </c>
      <c r="H176" s="12">
        <f>G176</f>
        <v>3850</v>
      </c>
      <c r="I176" s="12">
        <f t="shared" si="119"/>
        <v>23100</v>
      </c>
      <c r="J176" s="10" t="s">
        <v>25</v>
      </c>
      <c r="K176" s="13" t="str">
        <f t="shared" si="120"/>
        <v>Блок3</v>
      </c>
      <c r="L176">
        <v>23100</v>
      </c>
      <c r="M176">
        <f t="shared" si="121"/>
        <v>1</v>
      </c>
      <c r="N176">
        <f t="shared" si="97"/>
        <v>6</v>
      </c>
      <c r="O176" s="23">
        <f t="shared" si="123"/>
        <v>23100</v>
      </c>
    </row>
    <row r="177" spans="1:15" ht="27" customHeight="1" x14ac:dyDescent="0.25">
      <c r="A177" s="10" t="str">
        <f t="shared" si="117"/>
        <v>РЩ2-3 (АВР-Б-40-2-1)</v>
      </c>
      <c r="B177" s="10" t="s">
        <v>19</v>
      </c>
      <c r="C177" s="11" t="s">
        <v>19</v>
      </c>
      <c r="D177" s="10" t="s">
        <v>19</v>
      </c>
      <c r="E177" s="10">
        <v>1</v>
      </c>
      <c r="F177" s="10" t="s">
        <v>12</v>
      </c>
      <c r="G177" s="10">
        <f ca="1">OFFSET(G177,1,2)</f>
        <v>39000</v>
      </c>
      <c r="H177" s="12">
        <f ca="1">G177</f>
        <v>39000</v>
      </c>
      <c r="I177" s="12">
        <f t="shared" ca="1" si="119"/>
        <v>39000</v>
      </c>
      <c r="J177" s="10" t="s">
        <v>19</v>
      </c>
      <c r="K177" s="13" t="str">
        <f t="shared" si="120"/>
        <v>Блок3</v>
      </c>
      <c r="L177">
        <v>39000</v>
      </c>
      <c r="M177">
        <f t="shared" si="121"/>
        <v>1</v>
      </c>
      <c r="N177">
        <f t="shared" si="97"/>
        <v>1</v>
      </c>
      <c r="O177" s="23">
        <f t="shared" ca="1" si="123"/>
        <v>39000</v>
      </c>
    </row>
    <row r="178" spans="1:15" ht="27" customHeight="1" x14ac:dyDescent="0.25">
      <c r="A178" s="10" t="str">
        <f t="shared" si="117"/>
        <v>РЩ2-3 (АВР-Б-40-2-1)</v>
      </c>
      <c r="B178" s="10" t="s">
        <v>20</v>
      </c>
      <c r="C178" s="11" t="s">
        <v>20</v>
      </c>
      <c r="D178" s="10" t="s">
        <v>20</v>
      </c>
      <c r="E178" s="10">
        <f>60*G178</f>
        <v>390</v>
      </c>
      <c r="F178" s="10" t="s">
        <v>12</v>
      </c>
      <c r="G178" s="10">
        <v>6.5</v>
      </c>
      <c r="H178" s="12">
        <v>100</v>
      </c>
      <c r="I178" s="12">
        <f t="shared" si="119"/>
        <v>39000</v>
      </c>
      <c r="J178" s="10" t="s">
        <v>20</v>
      </c>
      <c r="K178" s="13" t="str">
        <f t="shared" si="120"/>
        <v>Блок3</v>
      </c>
      <c r="L178">
        <v>39000</v>
      </c>
      <c r="M178">
        <f t="shared" si="121"/>
        <v>1</v>
      </c>
      <c r="N178">
        <f t="shared" si="97"/>
        <v>390</v>
      </c>
      <c r="O178" s="23">
        <f t="shared" si="123"/>
        <v>39000</v>
      </c>
    </row>
    <row r="179" spans="1:15" ht="27" customHeight="1" x14ac:dyDescent="0.25">
      <c r="A179" s="15" t="str">
        <f t="shared" si="117"/>
        <v>РЩ2-3 (АВР-Б-40-2-1)</v>
      </c>
      <c r="B179" s="15"/>
      <c r="C179" s="15"/>
      <c r="D179" s="16"/>
      <c r="E179" s="15"/>
      <c r="F179" s="19"/>
      <c r="G179" s="17"/>
      <c r="H179" s="12">
        <f>G179*0.55</f>
        <v>0</v>
      </c>
      <c r="I179" s="18">
        <f ca="1">SUM(I168:I178)</f>
        <v>304161</v>
      </c>
      <c r="J179" s="15"/>
      <c r="K179" s="13" t="str">
        <f t="shared" si="120"/>
        <v>Блок3</v>
      </c>
      <c r="L179">
        <v>304161</v>
      </c>
      <c r="M179">
        <f t="shared" si="121"/>
        <v>1</v>
      </c>
      <c r="N179">
        <f t="shared" si="97"/>
        <v>0</v>
      </c>
      <c r="O179" s="23">
        <f t="shared" si="123"/>
        <v>0</v>
      </c>
    </row>
    <row r="180" spans="1:15" ht="27" customHeight="1" x14ac:dyDescent="0.25">
      <c r="A180" s="8" t="str">
        <f>D180</f>
        <v>ВРУ1-4</v>
      </c>
      <c r="B180" s="4"/>
      <c r="C180" s="5"/>
      <c r="D180" s="4" t="s">
        <v>65</v>
      </c>
      <c r="E180" s="8">
        <v>1</v>
      </c>
      <c r="F180" s="9" t="s">
        <v>9</v>
      </c>
      <c r="G180" s="6"/>
      <c r="H180" s="6"/>
      <c r="I180" s="7"/>
      <c r="J180" s="4" t="s">
        <v>10</v>
      </c>
      <c r="K180" s="8" t="s">
        <v>66</v>
      </c>
      <c r="M180">
        <f>E180</f>
        <v>1</v>
      </c>
      <c r="N180">
        <f t="shared" si="97"/>
        <v>1</v>
      </c>
      <c r="O180" s="23">
        <f t="shared" si="123"/>
        <v>0</v>
      </c>
    </row>
    <row r="181" spans="1:15" ht="27" customHeight="1" x14ac:dyDescent="0.25">
      <c r="A181" s="13" t="str">
        <f t="shared" ref="A181:A191" si="124">A180</f>
        <v>ВРУ1-4</v>
      </c>
      <c r="B181" s="10" t="s">
        <v>11</v>
      </c>
      <c r="C181" s="11" t="s">
        <v>172</v>
      </c>
      <c r="D181" s="10" t="s">
        <v>173</v>
      </c>
      <c r="E181" s="13">
        <v>1</v>
      </c>
      <c r="F181" s="14" t="s">
        <v>12</v>
      </c>
      <c r="G181" s="10">
        <v>156500</v>
      </c>
      <c r="H181" s="12">
        <f>0.6*G181</f>
        <v>93900</v>
      </c>
      <c r="I181" s="12">
        <f t="shared" ref="I181:I190" si="125">H181*E181</f>
        <v>93900</v>
      </c>
      <c r="J181" s="10" t="s">
        <v>13</v>
      </c>
      <c r="K181" s="13" t="str">
        <f t="shared" ref="K181:K183" si="126">K180</f>
        <v>Блок4</v>
      </c>
      <c r="L181">
        <v>93900</v>
      </c>
      <c r="M181">
        <f t="shared" ref="M181:M191" si="127">M180</f>
        <v>1</v>
      </c>
      <c r="N181">
        <f t="shared" si="97"/>
        <v>1</v>
      </c>
      <c r="O181" s="23">
        <f t="shared" si="123"/>
        <v>93900</v>
      </c>
    </row>
    <row r="182" spans="1:15" ht="27" customHeight="1" x14ac:dyDescent="0.25">
      <c r="A182" s="13" t="str">
        <f t="shared" si="124"/>
        <v>ВРУ1-4</v>
      </c>
      <c r="B182" s="10" t="s">
        <v>23</v>
      </c>
      <c r="C182" s="11" t="s">
        <v>307</v>
      </c>
      <c r="D182" s="10" t="s">
        <v>308</v>
      </c>
      <c r="E182" s="13">
        <v>6</v>
      </c>
      <c r="F182" s="14" t="s">
        <v>12</v>
      </c>
      <c r="G182" s="10">
        <v>5523</v>
      </c>
      <c r="H182" s="12">
        <f t="shared" ref="H182:H183" si="128">G182</f>
        <v>5523</v>
      </c>
      <c r="I182" s="12">
        <f t="shared" si="125"/>
        <v>33138</v>
      </c>
      <c r="J182" s="10" t="s">
        <v>25</v>
      </c>
      <c r="K182" s="13" t="str">
        <f t="shared" si="126"/>
        <v>Блок4</v>
      </c>
      <c r="L182">
        <v>33138</v>
      </c>
      <c r="M182">
        <f t="shared" si="127"/>
        <v>1</v>
      </c>
      <c r="N182">
        <f t="shared" si="97"/>
        <v>6</v>
      </c>
      <c r="O182" s="23">
        <f t="shared" si="123"/>
        <v>33138</v>
      </c>
    </row>
    <row r="183" spans="1:15" ht="27" customHeight="1" x14ac:dyDescent="0.25">
      <c r="A183" s="13" t="str">
        <f t="shared" si="124"/>
        <v>ВРУ1-4</v>
      </c>
      <c r="B183" s="10" t="s">
        <v>26</v>
      </c>
      <c r="C183" s="11" t="s">
        <v>177</v>
      </c>
      <c r="D183" s="10" t="s">
        <v>178</v>
      </c>
      <c r="E183" s="13">
        <v>2</v>
      </c>
      <c r="F183" s="14" t="s">
        <v>12</v>
      </c>
      <c r="G183" s="10">
        <v>25500</v>
      </c>
      <c r="H183" s="12">
        <f t="shared" si="128"/>
        <v>25500</v>
      </c>
      <c r="I183" s="12">
        <f t="shared" si="125"/>
        <v>51000</v>
      </c>
      <c r="J183" s="10" t="s">
        <v>25</v>
      </c>
      <c r="K183" s="13" t="str">
        <f t="shared" si="126"/>
        <v>Блок4</v>
      </c>
      <c r="L183">
        <v>51000</v>
      </c>
      <c r="M183">
        <f t="shared" si="127"/>
        <v>1</v>
      </c>
      <c r="N183">
        <f t="shared" si="97"/>
        <v>2</v>
      </c>
      <c r="O183" s="23">
        <f t="shared" si="123"/>
        <v>51000</v>
      </c>
    </row>
    <row r="184" spans="1:15" ht="27" customHeight="1" x14ac:dyDescent="0.25">
      <c r="A184" s="13" t="str">
        <f t="shared" si="124"/>
        <v>ВРУ1-4</v>
      </c>
      <c r="B184" s="10" t="s">
        <v>127</v>
      </c>
      <c r="C184" s="11" t="s">
        <v>130</v>
      </c>
      <c r="D184" s="10" t="s">
        <v>131</v>
      </c>
      <c r="E184" s="13">
        <v>6</v>
      </c>
      <c r="F184" s="14" t="s">
        <v>12</v>
      </c>
      <c r="G184" s="10">
        <v>4750</v>
      </c>
      <c r="H184" s="12">
        <f t="shared" ref="H184:H185" si="129">0.6*G184</f>
        <v>2850</v>
      </c>
      <c r="I184" s="12">
        <f t="shared" si="125"/>
        <v>17100</v>
      </c>
      <c r="J184" s="10" t="s">
        <v>14</v>
      </c>
      <c r="K184" s="13" t="str">
        <f>K182</f>
        <v>Блок4</v>
      </c>
      <c r="L184">
        <v>17100</v>
      </c>
      <c r="M184">
        <f t="shared" si="127"/>
        <v>1</v>
      </c>
      <c r="N184">
        <f t="shared" si="97"/>
        <v>6</v>
      </c>
      <c r="O184" s="23">
        <f t="shared" si="123"/>
        <v>17100</v>
      </c>
    </row>
    <row r="185" spans="1:15" ht="27" customHeight="1" x14ac:dyDescent="0.25">
      <c r="A185" s="13" t="str">
        <f t="shared" si="124"/>
        <v>ВРУ1-4</v>
      </c>
      <c r="B185" s="10" t="s">
        <v>126</v>
      </c>
      <c r="C185" s="11" t="s">
        <v>128</v>
      </c>
      <c r="D185" s="10" t="s">
        <v>129</v>
      </c>
      <c r="E185" s="13">
        <v>6</v>
      </c>
      <c r="F185" s="14" t="s">
        <v>12</v>
      </c>
      <c r="G185" s="10">
        <v>3317</v>
      </c>
      <c r="H185" s="12">
        <f t="shared" si="129"/>
        <v>1990.1999999999998</v>
      </c>
      <c r="I185" s="12">
        <f t="shared" si="125"/>
        <v>11941.199999999999</v>
      </c>
      <c r="J185" s="10" t="s">
        <v>14</v>
      </c>
      <c r="K185" s="13" t="str">
        <f t="shared" ref="K185:K191" si="130">K183</f>
        <v>Блок4</v>
      </c>
      <c r="L185">
        <v>11941.199999999999</v>
      </c>
      <c r="M185">
        <f t="shared" si="127"/>
        <v>1</v>
      </c>
      <c r="N185">
        <f t="shared" si="97"/>
        <v>6</v>
      </c>
      <c r="O185" s="23">
        <f t="shared" si="123"/>
        <v>11941.199999999999</v>
      </c>
    </row>
    <row r="186" spans="1:15" ht="27" customHeight="1" x14ac:dyDescent="0.25">
      <c r="A186" s="13" t="str">
        <f t="shared" si="124"/>
        <v>ВРУ1-4</v>
      </c>
      <c r="B186" s="10" t="s">
        <v>293</v>
      </c>
      <c r="C186" s="11" t="s">
        <v>189</v>
      </c>
      <c r="D186" s="10" t="s">
        <v>190</v>
      </c>
      <c r="E186" s="13">
        <v>2</v>
      </c>
      <c r="F186" s="14" t="s">
        <v>12</v>
      </c>
      <c r="G186" s="10">
        <v>1390</v>
      </c>
      <c r="H186" s="12">
        <f>0.3*G186</f>
        <v>417</v>
      </c>
      <c r="I186" s="12">
        <f t="shared" si="125"/>
        <v>834</v>
      </c>
      <c r="J186" s="10" t="s">
        <v>207</v>
      </c>
      <c r="K186" s="13" t="str">
        <f t="shared" si="130"/>
        <v>Блок4</v>
      </c>
      <c r="L186">
        <v>834</v>
      </c>
      <c r="M186">
        <f t="shared" si="127"/>
        <v>1</v>
      </c>
      <c r="N186">
        <f t="shared" si="97"/>
        <v>2</v>
      </c>
      <c r="O186" s="23">
        <f>N186*G186</f>
        <v>2780</v>
      </c>
    </row>
    <row r="187" spans="1:15" ht="27" customHeight="1" x14ac:dyDescent="0.25">
      <c r="A187" s="13" t="str">
        <f t="shared" si="124"/>
        <v>ВРУ1-4</v>
      </c>
      <c r="B187" s="10" t="s">
        <v>15</v>
      </c>
      <c r="C187" s="11" t="s">
        <v>297</v>
      </c>
      <c r="D187" s="24" t="s">
        <v>298</v>
      </c>
      <c r="E187" s="13">
        <v>2</v>
      </c>
      <c r="F187" s="14" t="s">
        <v>12</v>
      </c>
      <c r="G187" s="10">
        <v>89000</v>
      </c>
      <c r="H187" s="12">
        <f>G187</f>
        <v>89000</v>
      </c>
      <c r="I187" s="12">
        <f t="shared" si="125"/>
        <v>178000</v>
      </c>
      <c r="J187" s="10" t="s">
        <v>16</v>
      </c>
      <c r="K187" s="13" t="str">
        <f t="shared" si="130"/>
        <v>Блок4</v>
      </c>
      <c r="L187">
        <v>178000</v>
      </c>
      <c r="M187">
        <f t="shared" si="127"/>
        <v>1</v>
      </c>
      <c r="N187">
        <f t="shared" si="97"/>
        <v>2</v>
      </c>
      <c r="O187" s="23">
        <f t="shared" ref="O187:O194" si="131">N187*H187</f>
        <v>178000</v>
      </c>
    </row>
    <row r="188" spans="1:15" ht="27" customHeight="1" x14ac:dyDescent="0.25">
      <c r="A188" s="13" t="str">
        <f t="shared" si="124"/>
        <v>ВРУ1-4</v>
      </c>
      <c r="B188" s="10" t="s">
        <v>30</v>
      </c>
      <c r="C188" s="11"/>
      <c r="D188" s="10" t="s">
        <v>31</v>
      </c>
      <c r="E188" s="13">
        <v>6</v>
      </c>
      <c r="F188" s="14" t="s">
        <v>12</v>
      </c>
      <c r="G188" s="10">
        <v>3850</v>
      </c>
      <c r="H188" s="12">
        <f>G188</f>
        <v>3850</v>
      </c>
      <c r="I188" s="12">
        <f t="shared" si="125"/>
        <v>23100</v>
      </c>
      <c r="J188" s="10" t="s">
        <v>25</v>
      </c>
      <c r="K188" s="13" t="str">
        <f t="shared" si="130"/>
        <v>Блок4</v>
      </c>
      <c r="L188">
        <v>23100</v>
      </c>
      <c r="M188">
        <f t="shared" si="127"/>
        <v>1</v>
      </c>
      <c r="N188">
        <f t="shared" si="97"/>
        <v>6</v>
      </c>
      <c r="O188" s="23">
        <f t="shared" si="131"/>
        <v>23100</v>
      </c>
    </row>
    <row r="189" spans="1:15" ht="27" customHeight="1" x14ac:dyDescent="0.25">
      <c r="A189" s="10" t="str">
        <f t="shared" si="124"/>
        <v>ВРУ1-4</v>
      </c>
      <c r="B189" s="10" t="s">
        <v>19</v>
      </c>
      <c r="C189" s="11" t="s">
        <v>19</v>
      </c>
      <c r="D189" s="10" t="s">
        <v>19</v>
      </c>
      <c r="E189" s="10">
        <v>1</v>
      </c>
      <c r="F189" s="10" t="s">
        <v>12</v>
      </c>
      <c r="G189" s="10">
        <f ca="1">OFFSET(G189,1,2)</f>
        <v>48000</v>
      </c>
      <c r="H189" s="12">
        <f ca="1">G189</f>
        <v>48000</v>
      </c>
      <c r="I189" s="12">
        <f t="shared" ca="1" si="125"/>
        <v>48000</v>
      </c>
      <c r="J189" s="10" t="s">
        <v>19</v>
      </c>
      <c r="K189" s="13" t="str">
        <f t="shared" si="130"/>
        <v>Блок4</v>
      </c>
      <c r="L189">
        <v>48000</v>
      </c>
      <c r="M189">
        <f t="shared" si="127"/>
        <v>1</v>
      </c>
      <c r="N189">
        <f t="shared" si="97"/>
        <v>1</v>
      </c>
      <c r="O189" s="23">
        <f t="shared" ca="1" si="131"/>
        <v>48000</v>
      </c>
    </row>
    <row r="190" spans="1:15" ht="27" customHeight="1" x14ac:dyDescent="0.25">
      <c r="A190" s="10" t="str">
        <f t="shared" si="124"/>
        <v>ВРУ1-4</v>
      </c>
      <c r="B190" s="10" t="s">
        <v>20</v>
      </c>
      <c r="C190" s="11" t="s">
        <v>20</v>
      </c>
      <c r="D190" s="10" t="s">
        <v>20</v>
      </c>
      <c r="E190" s="10">
        <f>60*G190</f>
        <v>480</v>
      </c>
      <c r="F190" s="10" t="s">
        <v>12</v>
      </c>
      <c r="G190" s="10">
        <v>8</v>
      </c>
      <c r="H190" s="12">
        <v>100</v>
      </c>
      <c r="I190" s="12">
        <f t="shared" si="125"/>
        <v>48000</v>
      </c>
      <c r="J190" s="10" t="s">
        <v>20</v>
      </c>
      <c r="K190" s="13" t="str">
        <f t="shared" si="130"/>
        <v>Блок4</v>
      </c>
      <c r="L190">
        <v>48000</v>
      </c>
      <c r="M190">
        <f t="shared" si="127"/>
        <v>1</v>
      </c>
      <c r="N190">
        <f t="shared" si="97"/>
        <v>480</v>
      </c>
      <c r="O190" s="23">
        <f t="shared" si="131"/>
        <v>48000</v>
      </c>
    </row>
    <row r="191" spans="1:15" ht="27" customHeight="1" x14ac:dyDescent="0.25">
      <c r="A191" s="15" t="str">
        <f t="shared" si="124"/>
        <v>ВРУ1-4</v>
      </c>
      <c r="B191" s="15"/>
      <c r="C191" s="15"/>
      <c r="D191" s="16"/>
      <c r="E191" s="15"/>
      <c r="F191" s="19"/>
      <c r="G191" s="17"/>
      <c r="H191" s="12">
        <f>G191*0.55</f>
        <v>0</v>
      </c>
      <c r="I191" s="18">
        <f ca="1">SUM(I181:I190)</f>
        <v>505013.2</v>
      </c>
      <c r="J191" s="15"/>
      <c r="K191" s="13" t="str">
        <f t="shared" si="130"/>
        <v>Блок4</v>
      </c>
      <c r="L191">
        <v>505013.2</v>
      </c>
      <c r="M191">
        <f t="shared" si="127"/>
        <v>1</v>
      </c>
      <c r="N191">
        <f t="shared" si="97"/>
        <v>0</v>
      </c>
      <c r="O191" s="23">
        <f t="shared" si="131"/>
        <v>0</v>
      </c>
    </row>
    <row r="192" spans="1:15" ht="27" customHeight="1" x14ac:dyDescent="0.25">
      <c r="A192" s="8" t="str">
        <f>D192</f>
        <v>РУ-1-4</v>
      </c>
      <c r="B192" s="4"/>
      <c r="C192" s="5"/>
      <c r="D192" s="4" t="s">
        <v>67</v>
      </c>
      <c r="E192" s="8">
        <v>1</v>
      </c>
      <c r="F192" s="9" t="s">
        <v>9</v>
      </c>
      <c r="G192" s="6"/>
      <c r="H192" s="6"/>
      <c r="I192" s="7"/>
      <c r="J192" s="4" t="s">
        <v>10</v>
      </c>
      <c r="K192" s="8" t="s">
        <v>66</v>
      </c>
      <c r="M192">
        <f>E192</f>
        <v>1</v>
      </c>
      <c r="N192">
        <f t="shared" si="97"/>
        <v>1</v>
      </c>
      <c r="O192" s="23">
        <f t="shared" si="131"/>
        <v>0</v>
      </c>
    </row>
    <row r="193" spans="1:15" ht="27" customHeight="1" x14ac:dyDescent="0.25">
      <c r="A193" s="13" t="str">
        <f t="shared" ref="A193:A200" si="132">A192</f>
        <v>РУ-1-4</v>
      </c>
      <c r="B193" s="10" t="s">
        <v>11</v>
      </c>
      <c r="C193" s="11" t="s">
        <v>170</v>
      </c>
      <c r="D193" s="10" t="s">
        <v>171</v>
      </c>
      <c r="E193" s="13">
        <v>1</v>
      </c>
      <c r="F193" s="14" t="s">
        <v>12</v>
      </c>
      <c r="G193" s="10">
        <v>145000</v>
      </c>
      <c r="H193" s="12">
        <f t="shared" ref="H193:H194" si="133">0.6*G193</f>
        <v>87000</v>
      </c>
      <c r="I193" s="12">
        <f t="shared" ref="I193:I199" si="134">H193*E193</f>
        <v>87000</v>
      </c>
      <c r="J193" s="10" t="s">
        <v>13</v>
      </c>
      <c r="K193" s="13" t="str">
        <f>K192</f>
        <v>Блок4</v>
      </c>
      <c r="L193">
        <v>87000</v>
      </c>
      <c r="M193">
        <f t="shared" ref="M193:M200" si="135">M192</f>
        <v>1</v>
      </c>
      <c r="N193">
        <f t="shared" si="97"/>
        <v>1</v>
      </c>
      <c r="O193" s="23">
        <f t="shared" si="131"/>
        <v>87000</v>
      </c>
    </row>
    <row r="194" spans="1:15" ht="27" customHeight="1" x14ac:dyDescent="0.25">
      <c r="A194" s="13" t="str">
        <f t="shared" si="132"/>
        <v>РУ-1-4</v>
      </c>
      <c r="B194" s="10" t="s">
        <v>294</v>
      </c>
      <c r="C194" s="11" t="s">
        <v>229</v>
      </c>
      <c r="D194" s="10" t="s">
        <v>230</v>
      </c>
      <c r="E194" s="13">
        <v>1</v>
      </c>
      <c r="F194" s="14" t="s">
        <v>12</v>
      </c>
      <c r="G194" s="10">
        <v>34800</v>
      </c>
      <c r="H194" s="12">
        <f t="shared" si="133"/>
        <v>20880</v>
      </c>
      <c r="I194" s="12">
        <f t="shared" si="134"/>
        <v>20880</v>
      </c>
      <c r="J194" s="10" t="s">
        <v>14</v>
      </c>
      <c r="K194" s="13" t="str">
        <f>K193</f>
        <v>Блок4</v>
      </c>
      <c r="L194">
        <v>20880</v>
      </c>
      <c r="M194">
        <f t="shared" si="135"/>
        <v>1</v>
      </c>
      <c r="N194">
        <f t="shared" si="97"/>
        <v>1</v>
      </c>
      <c r="O194" s="23">
        <f t="shared" si="131"/>
        <v>20880</v>
      </c>
    </row>
    <row r="195" spans="1:15" ht="27" customHeight="1" x14ac:dyDescent="0.25">
      <c r="A195" s="13" t="str">
        <f t="shared" si="132"/>
        <v>РУ-1-4</v>
      </c>
      <c r="B195" s="10" t="s">
        <v>294</v>
      </c>
      <c r="C195" s="11" t="s">
        <v>227</v>
      </c>
      <c r="D195" s="10" t="s">
        <v>228</v>
      </c>
      <c r="E195" s="13">
        <v>2</v>
      </c>
      <c r="F195" s="14" t="s">
        <v>12</v>
      </c>
      <c r="G195" s="10">
        <v>29990</v>
      </c>
      <c r="H195" s="12">
        <f t="shared" ref="H195:H197" si="136">0.3*G195</f>
        <v>8997</v>
      </c>
      <c r="I195" s="12">
        <f t="shared" si="134"/>
        <v>17994</v>
      </c>
      <c r="J195" s="10" t="s">
        <v>207</v>
      </c>
      <c r="K195" s="13" t="str">
        <f>K194</f>
        <v>Блок4</v>
      </c>
      <c r="L195">
        <v>17994</v>
      </c>
      <c r="M195">
        <f t="shared" si="135"/>
        <v>1</v>
      </c>
      <c r="N195">
        <f t="shared" si="97"/>
        <v>2</v>
      </c>
      <c r="O195" s="23">
        <f>N195*G195</f>
        <v>59980</v>
      </c>
    </row>
    <row r="196" spans="1:15" ht="27" customHeight="1" x14ac:dyDescent="0.25">
      <c r="A196" s="13" t="str">
        <f t="shared" si="132"/>
        <v>РУ-1-4</v>
      </c>
      <c r="B196" s="10" t="s">
        <v>293</v>
      </c>
      <c r="C196" s="11" t="s">
        <v>217</v>
      </c>
      <c r="D196" s="10" t="s">
        <v>218</v>
      </c>
      <c r="E196" s="13">
        <v>2</v>
      </c>
      <c r="F196" s="14" t="s">
        <v>12</v>
      </c>
      <c r="G196" s="10">
        <v>7850</v>
      </c>
      <c r="H196" s="12">
        <f t="shared" si="136"/>
        <v>2355</v>
      </c>
      <c r="I196" s="12">
        <f t="shared" si="134"/>
        <v>4710</v>
      </c>
      <c r="J196" s="10" t="s">
        <v>207</v>
      </c>
      <c r="K196" s="13" t="str">
        <f>K195</f>
        <v>Блок4</v>
      </c>
      <c r="L196">
        <v>4710</v>
      </c>
      <c r="M196">
        <f t="shared" si="135"/>
        <v>1</v>
      </c>
      <c r="N196">
        <f t="shared" si="97"/>
        <v>2</v>
      </c>
      <c r="O196" s="23">
        <f>N196*G196</f>
        <v>15700</v>
      </c>
    </row>
    <row r="197" spans="1:15" ht="27" customHeight="1" x14ac:dyDescent="0.25">
      <c r="A197" s="13" t="str">
        <f t="shared" si="132"/>
        <v>РУ-1-4</v>
      </c>
      <c r="B197" s="10" t="s">
        <v>293</v>
      </c>
      <c r="C197" s="11" t="s">
        <v>215</v>
      </c>
      <c r="D197" s="10" t="s">
        <v>216</v>
      </c>
      <c r="E197" s="13">
        <v>1</v>
      </c>
      <c r="F197" s="14" t="s">
        <v>12</v>
      </c>
      <c r="G197" s="10">
        <v>7850</v>
      </c>
      <c r="H197" s="12">
        <f t="shared" si="136"/>
        <v>2355</v>
      </c>
      <c r="I197" s="12">
        <f t="shared" si="134"/>
        <v>2355</v>
      </c>
      <c r="J197" s="10" t="s">
        <v>207</v>
      </c>
      <c r="K197" s="13" t="str">
        <f>K196</f>
        <v>Блок4</v>
      </c>
      <c r="L197">
        <v>2355</v>
      </c>
      <c r="M197">
        <f t="shared" si="135"/>
        <v>1</v>
      </c>
      <c r="N197">
        <f t="shared" si="97"/>
        <v>1</v>
      </c>
      <c r="O197" s="23">
        <f>N197*G197</f>
        <v>7850</v>
      </c>
    </row>
    <row r="198" spans="1:15" ht="27" customHeight="1" x14ac:dyDescent="0.25">
      <c r="A198" s="10" t="str">
        <f t="shared" si="132"/>
        <v>РУ-1-4</v>
      </c>
      <c r="B198" s="10" t="s">
        <v>19</v>
      </c>
      <c r="C198" s="11" t="s">
        <v>19</v>
      </c>
      <c r="D198" s="10" t="s">
        <v>19</v>
      </c>
      <c r="E198" s="10">
        <v>1</v>
      </c>
      <c r="F198" s="10" t="s">
        <v>12</v>
      </c>
      <c r="G198" s="10">
        <f ca="1">OFFSET(G198,1,2)</f>
        <v>27000</v>
      </c>
      <c r="H198" s="12">
        <f ca="1">G198</f>
        <v>27000</v>
      </c>
      <c r="I198" s="12">
        <f t="shared" ca="1" si="134"/>
        <v>27000</v>
      </c>
      <c r="J198" s="10" t="s">
        <v>19</v>
      </c>
      <c r="K198" s="13" t="str">
        <f>K196</f>
        <v>Блок4</v>
      </c>
      <c r="L198">
        <v>27000</v>
      </c>
      <c r="M198">
        <f t="shared" si="135"/>
        <v>1</v>
      </c>
      <c r="N198">
        <f t="shared" ref="N198:N261" si="137">M198*E198</f>
        <v>1</v>
      </c>
      <c r="O198" s="23">
        <f ca="1">N198*H198</f>
        <v>27000</v>
      </c>
    </row>
    <row r="199" spans="1:15" ht="27" customHeight="1" x14ac:dyDescent="0.25">
      <c r="A199" s="10" t="str">
        <f t="shared" si="132"/>
        <v>РУ-1-4</v>
      </c>
      <c r="B199" s="10" t="s">
        <v>20</v>
      </c>
      <c r="C199" s="11" t="s">
        <v>20</v>
      </c>
      <c r="D199" s="10" t="s">
        <v>20</v>
      </c>
      <c r="E199" s="10">
        <f>60*G199</f>
        <v>270</v>
      </c>
      <c r="F199" s="10" t="s">
        <v>12</v>
      </c>
      <c r="G199" s="10">
        <v>4.5</v>
      </c>
      <c r="H199" s="12">
        <v>100</v>
      </c>
      <c r="I199" s="12">
        <f t="shared" si="134"/>
        <v>27000</v>
      </c>
      <c r="J199" s="10" t="s">
        <v>20</v>
      </c>
      <c r="K199" s="13" t="str">
        <f>K198</f>
        <v>Блок4</v>
      </c>
      <c r="L199">
        <v>27000</v>
      </c>
      <c r="M199">
        <f t="shared" si="135"/>
        <v>1</v>
      </c>
      <c r="N199">
        <f t="shared" si="137"/>
        <v>270</v>
      </c>
      <c r="O199" s="23">
        <f>N199*H199</f>
        <v>27000</v>
      </c>
    </row>
    <row r="200" spans="1:15" ht="27" customHeight="1" x14ac:dyDescent="0.25">
      <c r="A200" s="15" t="str">
        <f t="shared" si="132"/>
        <v>РУ-1-4</v>
      </c>
      <c r="B200" s="15"/>
      <c r="C200" s="15"/>
      <c r="D200" s="16"/>
      <c r="E200" s="15"/>
      <c r="F200" s="19"/>
      <c r="G200" s="17"/>
      <c r="H200" s="12">
        <f t="shared" ref="H200" si="138">G200*0.55</f>
        <v>0</v>
      </c>
      <c r="I200" s="18">
        <f ca="1">SUM(I193:I199)</f>
        <v>186939</v>
      </c>
      <c r="J200" s="15"/>
      <c r="K200" s="13" t="str">
        <f>K199</f>
        <v>Блок4</v>
      </c>
      <c r="L200">
        <v>186939</v>
      </c>
      <c r="M200">
        <f t="shared" si="135"/>
        <v>1</v>
      </c>
      <c r="N200">
        <f t="shared" si="137"/>
        <v>0</v>
      </c>
      <c r="O200" s="23">
        <f>N200*H200</f>
        <v>0</v>
      </c>
    </row>
    <row r="201" spans="1:15" ht="27" customHeight="1" x14ac:dyDescent="0.25">
      <c r="A201" s="8" t="str">
        <f>D201</f>
        <v>ЩУР.МОП1-4</v>
      </c>
      <c r="B201" s="4"/>
      <c r="C201" s="5"/>
      <c r="D201" s="4" t="s">
        <v>69</v>
      </c>
      <c r="E201" s="8">
        <v>1</v>
      </c>
      <c r="F201" s="9" t="s">
        <v>9</v>
      </c>
      <c r="G201" s="6"/>
      <c r="H201" s="6"/>
      <c r="I201" s="7"/>
      <c r="J201" s="4" t="s">
        <v>10</v>
      </c>
      <c r="K201" s="8" t="s">
        <v>66</v>
      </c>
      <c r="M201">
        <f>E201</f>
        <v>1</v>
      </c>
      <c r="N201">
        <f t="shared" si="137"/>
        <v>1</v>
      </c>
      <c r="O201" s="23">
        <f>N201*H201</f>
        <v>0</v>
      </c>
    </row>
    <row r="202" spans="1:15" ht="27" customHeight="1" x14ac:dyDescent="0.25">
      <c r="A202" s="13" t="str">
        <f t="shared" ref="A202:A208" si="139">A201</f>
        <v>ЩУР.МОП1-4</v>
      </c>
      <c r="B202" s="10" t="s">
        <v>11</v>
      </c>
      <c r="C202" s="11" t="s">
        <v>40</v>
      </c>
      <c r="D202" s="10" t="s">
        <v>41</v>
      </c>
      <c r="E202" s="13">
        <v>1</v>
      </c>
      <c r="F202" s="14" t="s">
        <v>12</v>
      </c>
      <c r="G202" s="10">
        <v>18000</v>
      </c>
      <c r="H202" s="12">
        <f>0.6*G202</f>
        <v>10800</v>
      </c>
      <c r="I202" s="12">
        <f t="shared" ref="I202:I207" si="140">H202*E202</f>
        <v>10800</v>
      </c>
      <c r="J202" s="10" t="s">
        <v>13</v>
      </c>
      <c r="K202" s="13" t="str">
        <f t="shared" ref="K202:K208" si="141">K201</f>
        <v>Блок4</v>
      </c>
      <c r="L202">
        <v>10800</v>
      </c>
      <c r="M202">
        <f t="shared" ref="M202:M208" si="142">M201</f>
        <v>1</v>
      </c>
      <c r="N202">
        <f t="shared" si="137"/>
        <v>1</v>
      </c>
      <c r="O202" s="23">
        <f>N202*H202</f>
        <v>10800</v>
      </c>
    </row>
    <row r="203" spans="1:15" ht="27" customHeight="1" x14ac:dyDescent="0.25">
      <c r="A203" s="13" t="str">
        <f t="shared" si="139"/>
        <v>ЩУР.МОП1-4</v>
      </c>
      <c r="B203" s="10" t="s">
        <v>293</v>
      </c>
      <c r="C203" s="11" t="s">
        <v>195</v>
      </c>
      <c r="D203" s="10" t="s">
        <v>196</v>
      </c>
      <c r="E203" s="13">
        <v>1</v>
      </c>
      <c r="F203" s="14" t="s">
        <v>12</v>
      </c>
      <c r="G203" s="10">
        <v>6190</v>
      </c>
      <c r="H203" s="12">
        <f t="shared" ref="H203:H204" si="143">0.3*G203</f>
        <v>1857</v>
      </c>
      <c r="I203" s="12">
        <f t="shared" si="140"/>
        <v>1857</v>
      </c>
      <c r="J203" s="10" t="s">
        <v>207</v>
      </c>
      <c r="K203" s="13" t="str">
        <f t="shared" si="141"/>
        <v>Блок4</v>
      </c>
      <c r="L203">
        <v>1857</v>
      </c>
      <c r="M203">
        <f t="shared" si="142"/>
        <v>1</v>
      </c>
      <c r="N203">
        <f t="shared" si="137"/>
        <v>1</v>
      </c>
      <c r="O203" s="23">
        <f>N203*G203</f>
        <v>6190</v>
      </c>
    </row>
    <row r="204" spans="1:15" ht="27" customHeight="1" x14ac:dyDescent="0.25">
      <c r="A204" s="13" t="str">
        <f t="shared" si="139"/>
        <v>ЩУР.МОП1-4</v>
      </c>
      <c r="B204" s="10" t="s">
        <v>293</v>
      </c>
      <c r="C204" s="11" t="s">
        <v>193</v>
      </c>
      <c r="D204" s="10" t="s">
        <v>194</v>
      </c>
      <c r="E204" s="13">
        <v>4</v>
      </c>
      <c r="F204" s="14" t="s">
        <v>12</v>
      </c>
      <c r="G204" s="10">
        <v>6580</v>
      </c>
      <c r="H204" s="12">
        <f t="shared" si="143"/>
        <v>1974</v>
      </c>
      <c r="I204" s="12">
        <f t="shared" si="140"/>
        <v>7896</v>
      </c>
      <c r="J204" s="10" t="s">
        <v>207</v>
      </c>
      <c r="K204" s="13" t="str">
        <f t="shared" si="141"/>
        <v>Блок4</v>
      </c>
      <c r="L204">
        <v>7896</v>
      </c>
      <c r="M204">
        <f t="shared" si="142"/>
        <v>1</v>
      </c>
      <c r="N204">
        <f t="shared" si="137"/>
        <v>4</v>
      </c>
      <c r="O204" s="23">
        <f>N204*G204</f>
        <v>26320</v>
      </c>
    </row>
    <row r="205" spans="1:15" ht="27" customHeight="1" x14ac:dyDescent="0.25">
      <c r="A205" s="13" t="str">
        <f t="shared" si="139"/>
        <v>ЩУР.МОП1-4</v>
      </c>
      <c r="B205" s="10" t="s">
        <v>15</v>
      </c>
      <c r="C205" s="11" t="s">
        <v>299</v>
      </c>
      <c r="D205" s="10" t="s">
        <v>300</v>
      </c>
      <c r="E205" s="13">
        <v>1</v>
      </c>
      <c r="F205" s="14" t="s">
        <v>12</v>
      </c>
      <c r="G205" s="10">
        <v>32400</v>
      </c>
      <c r="H205" s="12">
        <f>G205</f>
        <v>32400</v>
      </c>
      <c r="I205" s="12">
        <f t="shared" si="140"/>
        <v>32400</v>
      </c>
      <c r="J205" s="10" t="s">
        <v>16</v>
      </c>
      <c r="K205" s="13" t="str">
        <f t="shared" si="141"/>
        <v>Блок4</v>
      </c>
      <c r="L205">
        <v>32400</v>
      </c>
      <c r="M205">
        <f t="shared" si="142"/>
        <v>1</v>
      </c>
      <c r="N205">
        <f t="shared" si="137"/>
        <v>1</v>
      </c>
      <c r="O205" s="23">
        <f t="shared" ref="O205:O211" si="144">N205*H205</f>
        <v>32400</v>
      </c>
    </row>
    <row r="206" spans="1:15" ht="27" customHeight="1" x14ac:dyDescent="0.25">
      <c r="A206" s="10" t="str">
        <f t="shared" si="139"/>
        <v>ЩУР.МОП1-4</v>
      </c>
      <c r="B206" s="10" t="s">
        <v>19</v>
      </c>
      <c r="C206" s="11" t="s">
        <v>19</v>
      </c>
      <c r="D206" s="10" t="s">
        <v>19</v>
      </c>
      <c r="E206" s="10">
        <v>1</v>
      </c>
      <c r="F206" s="10" t="s">
        <v>12</v>
      </c>
      <c r="G206" s="10">
        <f ca="1">OFFSET(G206,1,2)</f>
        <v>12000</v>
      </c>
      <c r="H206" s="12">
        <f ca="1">G206</f>
        <v>12000</v>
      </c>
      <c r="I206" s="12">
        <f t="shared" ca="1" si="140"/>
        <v>12000</v>
      </c>
      <c r="J206" s="10" t="s">
        <v>19</v>
      </c>
      <c r="K206" s="13" t="str">
        <f t="shared" si="141"/>
        <v>Блок4</v>
      </c>
      <c r="L206">
        <v>12000</v>
      </c>
      <c r="M206">
        <f t="shared" si="142"/>
        <v>1</v>
      </c>
      <c r="N206">
        <f t="shared" si="137"/>
        <v>1</v>
      </c>
      <c r="O206" s="23">
        <f t="shared" ca="1" si="144"/>
        <v>12000</v>
      </c>
    </row>
    <row r="207" spans="1:15" ht="27" customHeight="1" x14ac:dyDescent="0.25">
      <c r="A207" s="10" t="str">
        <f t="shared" si="139"/>
        <v>ЩУР.МОП1-4</v>
      </c>
      <c r="B207" s="10" t="s">
        <v>20</v>
      </c>
      <c r="C207" s="11" t="s">
        <v>20</v>
      </c>
      <c r="D207" s="10" t="s">
        <v>20</v>
      </c>
      <c r="E207" s="10">
        <f>60*G207</f>
        <v>120</v>
      </c>
      <c r="F207" s="10" t="s">
        <v>12</v>
      </c>
      <c r="G207" s="10">
        <v>2</v>
      </c>
      <c r="H207" s="12">
        <v>100</v>
      </c>
      <c r="I207" s="12">
        <f t="shared" si="140"/>
        <v>12000</v>
      </c>
      <c r="J207" s="10" t="s">
        <v>20</v>
      </c>
      <c r="K207" s="13" t="str">
        <f t="shared" si="141"/>
        <v>Блок4</v>
      </c>
      <c r="L207">
        <v>12000</v>
      </c>
      <c r="M207">
        <f t="shared" si="142"/>
        <v>1</v>
      </c>
      <c r="N207">
        <f t="shared" si="137"/>
        <v>120</v>
      </c>
      <c r="O207" s="23">
        <f t="shared" si="144"/>
        <v>12000</v>
      </c>
    </row>
    <row r="208" spans="1:15" ht="27" customHeight="1" x14ac:dyDescent="0.25">
      <c r="A208" s="15" t="str">
        <f t="shared" si="139"/>
        <v>ЩУР.МОП1-4</v>
      </c>
      <c r="B208" s="15"/>
      <c r="C208" s="15"/>
      <c r="D208" s="16"/>
      <c r="E208" s="15"/>
      <c r="F208" s="19"/>
      <c r="G208" s="17"/>
      <c r="H208" s="12">
        <f>G208*0.55</f>
        <v>0</v>
      </c>
      <c r="I208" s="18">
        <f ca="1">SUM(I202:I207)</f>
        <v>76953</v>
      </c>
      <c r="J208" s="15"/>
      <c r="K208" s="13" t="str">
        <f t="shared" si="141"/>
        <v>Блок4</v>
      </c>
      <c r="L208">
        <v>76953</v>
      </c>
      <c r="M208">
        <f t="shared" si="142"/>
        <v>1</v>
      </c>
      <c r="N208">
        <f t="shared" si="137"/>
        <v>0</v>
      </c>
      <c r="O208" s="23">
        <f t="shared" si="144"/>
        <v>0</v>
      </c>
    </row>
    <row r="209" spans="1:15" ht="27" customHeight="1" x14ac:dyDescent="0.25">
      <c r="A209" s="8" t="str">
        <f>D209</f>
        <v>РЩ1-4 (АВР-Б-40-2-1)</v>
      </c>
      <c r="B209" s="4"/>
      <c r="C209" s="5"/>
      <c r="D209" s="4" t="s">
        <v>136</v>
      </c>
      <c r="E209" s="8">
        <v>1</v>
      </c>
      <c r="F209" s="9" t="s">
        <v>9</v>
      </c>
      <c r="G209" s="6"/>
      <c r="H209" s="6"/>
      <c r="I209" s="7"/>
      <c r="J209" s="4" t="s">
        <v>10</v>
      </c>
      <c r="K209" s="8" t="s">
        <v>66</v>
      </c>
      <c r="M209">
        <f>E209</f>
        <v>1</v>
      </c>
      <c r="N209">
        <f t="shared" si="137"/>
        <v>1</v>
      </c>
      <c r="O209" s="23">
        <f t="shared" si="144"/>
        <v>0</v>
      </c>
    </row>
    <row r="210" spans="1:15" ht="27" customHeight="1" x14ac:dyDescent="0.25">
      <c r="A210" s="13" t="str">
        <f t="shared" ref="A210:A221" si="145">A209</f>
        <v>РЩ1-4 (АВР-Б-40-2-1)</v>
      </c>
      <c r="B210" s="10" t="s">
        <v>11</v>
      </c>
      <c r="C210" s="11" t="s">
        <v>168</v>
      </c>
      <c r="D210" s="10" t="s">
        <v>169</v>
      </c>
      <c r="E210" s="13">
        <v>1</v>
      </c>
      <c r="F210" s="14" t="s">
        <v>12</v>
      </c>
      <c r="G210" s="10">
        <v>130000</v>
      </c>
      <c r="H210" s="12">
        <f t="shared" ref="H210:H211" si="146">0.6*G210</f>
        <v>78000</v>
      </c>
      <c r="I210" s="12">
        <f t="shared" ref="I210:I220" si="147">H210*E210</f>
        <v>78000</v>
      </c>
      <c r="J210" s="10" t="s">
        <v>13</v>
      </c>
      <c r="K210" s="13" t="str">
        <f t="shared" ref="K210:K221" si="148">K209</f>
        <v>Блок4</v>
      </c>
      <c r="L210">
        <v>78000</v>
      </c>
      <c r="M210">
        <f t="shared" ref="M210:M221" si="149">M209</f>
        <v>1</v>
      </c>
      <c r="N210">
        <f t="shared" si="137"/>
        <v>1</v>
      </c>
      <c r="O210" s="23">
        <f t="shared" si="144"/>
        <v>78000</v>
      </c>
    </row>
    <row r="211" spans="1:15" ht="27" customHeight="1" x14ac:dyDescent="0.25">
      <c r="A211" s="13" t="str">
        <f t="shared" si="145"/>
        <v>РЩ1-4 (АВР-Б-40-2-1)</v>
      </c>
      <c r="B211" s="10" t="s">
        <v>44</v>
      </c>
      <c r="C211" s="11" t="s">
        <v>162</v>
      </c>
      <c r="D211" s="10" t="s">
        <v>163</v>
      </c>
      <c r="E211" s="13">
        <v>1</v>
      </c>
      <c r="F211" s="14" t="s">
        <v>12</v>
      </c>
      <c r="G211" s="10">
        <v>114758</v>
      </c>
      <c r="H211" s="12">
        <f t="shared" si="146"/>
        <v>68854.8</v>
      </c>
      <c r="I211" s="12">
        <f t="shared" si="147"/>
        <v>68854.8</v>
      </c>
      <c r="J211" s="10" t="s">
        <v>14</v>
      </c>
      <c r="K211" s="13" t="str">
        <f t="shared" si="148"/>
        <v>Блок4</v>
      </c>
      <c r="L211">
        <v>68854.8</v>
      </c>
      <c r="M211">
        <f t="shared" si="149"/>
        <v>1</v>
      </c>
      <c r="N211">
        <f t="shared" si="137"/>
        <v>1</v>
      </c>
      <c r="O211" s="23">
        <f t="shared" si="144"/>
        <v>68854.8</v>
      </c>
    </row>
    <row r="212" spans="1:15" ht="27" customHeight="1" x14ac:dyDescent="0.25">
      <c r="A212" s="13" t="str">
        <f t="shared" si="145"/>
        <v>РЩ1-4 (АВР-Б-40-2-1)</v>
      </c>
      <c r="B212" s="10" t="s">
        <v>293</v>
      </c>
      <c r="C212" s="11" t="s">
        <v>213</v>
      </c>
      <c r="D212" s="10" t="s">
        <v>214</v>
      </c>
      <c r="E212" s="13">
        <v>2</v>
      </c>
      <c r="F212" s="14" t="s">
        <v>12</v>
      </c>
      <c r="G212" s="10">
        <v>7690</v>
      </c>
      <c r="H212" s="12">
        <f t="shared" ref="H212:H214" si="150">0.3*G212</f>
        <v>2307</v>
      </c>
      <c r="I212" s="12">
        <f t="shared" si="147"/>
        <v>4614</v>
      </c>
      <c r="J212" s="10" t="s">
        <v>207</v>
      </c>
      <c r="K212" s="13" t="str">
        <f t="shared" si="148"/>
        <v>Блок4</v>
      </c>
      <c r="L212">
        <v>4614</v>
      </c>
      <c r="M212">
        <f t="shared" si="149"/>
        <v>1</v>
      </c>
      <c r="N212">
        <f t="shared" si="137"/>
        <v>2</v>
      </c>
      <c r="O212" s="23">
        <f>N212*G212</f>
        <v>15380</v>
      </c>
    </row>
    <row r="213" spans="1:15" ht="27" customHeight="1" x14ac:dyDescent="0.25">
      <c r="A213" s="13" t="str">
        <f t="shared" si="145"/>
        <v>РЩ1-4 (АВР-Б-40-2-1)</v>
      </c>
      <c r="B213" s="10" t="s">
        <v>293</v>
      </c>
      <c r="C213" s="11" t="s">
        <v>231</v>
      </c>
      <c r="D213" s="10" t="s">
        <v>232</v>
      </c>
      <c r="E213" s="13">
        <v>2</v>
      </c>
      <c r="F213" s="14" t="s">
        <v>12</v>
      </c>
      <c r="G213" s="10">
        <v>7690</v>
      </c>
      <c r="H213" s="12">
        <f t="shared" si="150"/>
        <v>2307</v>
      </c>
      <c r="I213" s="12">
        <f t="shared" si="147"/>
        <v>4614</v>
      </c>
      <c r="J213" s="10" t="s">
        <v>207</v>
      </c>
      <c r="K213" s="13" t="str">
        <f t="shared" si="148"/>
        <v>Блок4</v>
      </c>
      <c r="L213">
        <v>4614</v>
      </c>
      <c r="M213">
        <f t="shared" si="149"/>
        <v>1</v>
      </c>
      <c r="N213">
        <f t="shared" si="137"/>
        <v>2</v>
      </c>
      <c r="O213" s="23">
        <f>N213*G213</f>
        <v>15380</v>
      </c>
    </row>
    <row r="214" spans="1:15" ht="27" customHeight="1" x14ac:dyDescent="0.25">
      <c r="A214" s="13" t="str">
        <f t="shared" si="145"/>
        <v>РЩ1-4 (АВР-Б-40-2-1)</v>
      </c>
      <c r="B214" s="10" t="s">
        <v>294</v>
      </c>
      <c r="C214" s="11" t="s">
        <v>203</v>
      </c>
      <c r="D214" s="10" t="s">
        <v>204</v>
      </c>
      <c r="E214" s="13">
        <v>2</v>
      </c>
      <c r="F214" s="14" t="s">
        <v>12</v>
      </c>
      <c r="G214" s="10">
        <v>13450</v>
      </c>
      <c r="H214" s="12">
        <f t="shared" si="150"/>
        <v>4035</v>
      </c>
      <c r="I214" s="12">
        <f t="shared" si="147"/>
        <v>8070</v>
      </c>
      <c r="J214" s="10" t="s">
        <v>207</v>
      </c>
      <c r="K214" s="13" t="str">
        <f t="shared" si="148"/>
        <v>Блок4</v>
      </c>
      <c r="L214">
        <v>8070</v>
      </c>
      <c r="M214">
        <f t="shared" si="149"/>
        <v>1</v>
      </c>
      <c r="N214">
        <f t="shared" si="137"/>
        <v>2</v>
      </c>
      <c r="O214" s="23">
        <f>N214*G214</f>
        <v>26900</v>
      </c>
    </row>
    <row r="215" spans="1:15" ht="27" customHeight="1" x14ac:dyDescent="0.25">
      <c r="A215" s="13" t="str">
        <f t="shared" si="145"/>
        <v>РЩ1-4 (АВР-Б-40-2-1)</v>
      </c>
      <c r="B215" s="10" t="s">
        <v>18</v>
      </c>
      <c r="C215" s="11" t="s">
        <v>233</v>
      </c>
      <c r="D215" s="10" t="s">
        <v>234</v>
      </c>
      <c r="E215" s="13">
        <v>1</v>
      </c>
      <c r="F215" s="14" t="s">
        <v>12</v>
      </c>
      <c r="G215" s="10">
        <v>5884</v>
      </c>
      <c r="H215" s="12">
        <f>0.6*G215</f>
        <v>3530.4</v>
      </c>
      <c r="I215" s="12">
        <f t="shared" si="147"/>
        <v>3530.4</v>
      </c>
      <c r="J215" s="10" t="s">
        <v>14</v>
      </c>
      <c r="K215" s="13" t="str">
        <f t="shared" si="148"/>
        <v>Блок4</v>
      </c>
      <c r="L215">
        <v>3530.4</v>
      </c>
      <c r="M215">
        <f t="shared" si="149"/>
        <v>1</v>
      </c>
      <c r="N215">
        <f t="shared" si="137"/>
        <v>1</v>
      </c>
      <c r="O215" s="23">
        <f>N215*H215</f>
        <v>3530.4</v>
      </c>
    </row>
    <row r="216" spans="1:15" ht="27" customHeight="1" x14ac:dyDescent="0.25">
      <c r="A216" s="13" t="str">
        <f t="shared" si="145"/>
        <v>РЩ1-4 (АВР-Б-40-2-1)</v>
      </c>
      <c r="B216" s="10" t="s">
        <v>293</v>
      </c>
      <c r="C216" s="11" t="s">
        <v>205</v>
      </c>
      <c r="D216" s="10" t="s">
        <v>206</v>
      </c>
      <c r="E216" s="13">
        <v>1</v>
      </c>
      <c r="F216" s="14" t="s">
        <v>12</v>
      </c>
      <c r="G216" s="10">
        <v>7090</v>
      </c>
      <c r="H216" s="12">
        <f>0.3*G216</f>
        <v>2127</v>
      </c>
      <c r="I216" s="12">
        <f t="shared" si="147"/>
        <v>2127</v>
      </c>
      <c r="J216" s="10" t="s">
        <v>207</v>
      </c>
      <c r="K216" s="13" t="str">
        <f t="shared" si="148"/>
        <v>Блок4</v>
      </c>
      <c r="L216">
        <v>2127</v>
      </c>
      <c r="M216">
        <f t="shared" si="149"/>
        <v>1</v>
      </c>
      <c r="N216">
        <f t="shared" si="137"/>
        <v>1</v>
      </c>
      <c r="O216" s="23">
        <f>N216*G216</f>
        <v>7090</v>
      </c>
    </row>
    <row r="217" spans="1:15" ht="27" customHeight="1" x14ac:dyDescent="0.25">
      <c r="A217" s="13" t="str">
        <f t="shared" si="145"/>
        <v>РЩ1-4 (АВР-Б-40-2-1)</v>
      </c>
      <c r="B217" s="10" t="s">
        <v>15</v>
      </c>
      <c r="C217" s="11" t="s">
        <v>299</v>
      </c>
      <c r="D217" s="10" t="s">
        <v>300</v>
      </c>
      <c r="E217" s="13">
        <v>1</v>
      </c>
      <c r="F217" s="14" t="s">
        <v>12</v>
      </c>
      <c r="G217" s="10">
        <v>32400</v>
      </c>
      <c r="H217" s="12">
        <f>G217</f>
        <v>32400</v>
      </c>
      <c r="I217" s="12">
        <f t="shared" si="147"/>
        <v>32400</v>
      </c>
      <c r="J217" s="10" t="s">
        <v>16</v>
      </c>
      <c r="K217" s="13" t="str">
        <f t="shared" si="148"/>
        <v>Блок4</v>
      </c>
      <c r="L217">
        <v>32400</v>
      </c>
      <c r="M217">
        <f t="shared" si="149"/>
        <v>1</v>
      </c>
      <c r="N217">
        <f t="shared" si="137"/>
        <v>1</v>
      </c>
      <c r="O217" s="23">
        <f t="shared" ref="O217:O224" si="151">N217*H217</f>
        <v>32400</v>
      </c>
    </row>
    <row r="218" spans="1:15" ht="27" customHeight="1" x14ac:dyDescent="0.25">
      <c r="A218" s="13" t="str">
        <f t="shared" si="145"/>
        <v>РЩ1-4 (АВР-Б-40-2-1)</v>
      </c>
      <c r="B218" s="10" t="s">
        <v>30</v>
      </c>
      <c r="C218" s="11"/>
      <c r="D218" s="10" t="s">
        <v>31</v>
      </c>
      <c r="E218" s="13">
        <v>6</v>
      </c>
      <c r="F218" s="14" t="s">
        <v>12</v>
      </c>
      <c r="G218" s="10">
        <v>3850</v>
      </c>
      <c r="H218" s="12">
        <f>G218</f>
        <v>3850</v>
      </c>
      <c r="I218" s="12">
        <f t="shared" si="147"/>
        <v>23100</v>
      </c>
      <c r="J218" s="10" t="s">
        <v>25</v>
      </c>
      <c r="K218" s="13" t="str">
        <f t="shared" si="148"/>
        <v>Блок4</v>
      </c>
      <c r="L218">
        <v>23100</v>
      </c>
      <c r="M218">
        <f t="shared" si="149"/>
        <v>1</v>
      </c>
      <c r="N218">
        <f t="shared" si="137"/>
        <v>6</v>
      </c>
      <c r="O218" s="23">
        <f t="shared" si="151"/>
        <v>23100</v>
      </c>
    </row>
    <row r="219" spans="1:15" ht="27" customHeight="1" x14ac:dyDescent="0.25">
      <c r="A219" s="10" t="str">
        <f t="shared" si="145"/>
        <v>РЩ1-4 (АВР-Б-40-2-1)</v>
      </c>
      <c r="B219" s="10" t="s">
        <v>19</v>
      </c>
      <c r="C219" s="11" t="s">
        <v>19</v>
      </c>
      <c r="D219" s="10" t="s">
        <v>19</v>
      </c>
      <c r="E219" s="10">
        <v>1</v>
      </c>
      <c r="F219" s="10" t="s">
        <v>12</v>
      </c>
      <c r="G219" s="10">
        <f ca="1">OFFSET(G219,1,2)</f>
        <v>39000</v>
      </c>
      <c r="H219" s="12">
        <f ca="1">G219</f>
        <v>39000</v>
      </c>
      <c r="I219" s="12">
        <f t="shared" ca="1" si="147"/>
        <v>39000</v>
      </c>
      <c r="J219" s="10" t="s">
        <v>19</v>
      </c>
      <c r="K219" s="13" t="str">
        <f t="shared" si="148"/>
        <v>Блок4</v>
      </c>
      <c r="L219">
        <v>39000</v>
      </c>
      <c r="M219">
        <f t="shared" si="149"/>
        <v>1</v>
      </c>
      <c r="N219">
        <f t="shared" si="137"/>
        <v>1</v>
      </c>
      <c r="O219" s="23">
        <f t="shared" ca="1" si="151"/>
        <v>39000</v>
      </c>
    </row>
    <row r="220" spans="1:15" ht="27" customHeight="1" x14ac:dyDescent="0.25">
      <c r="A220" s="10" t="str">
        <f t="shared" si="145"/>
        <v>РЩ1-4 (АВР-Б-40-2-1)</v>
      </c>
      <c r="B220" s="10" t="s">
        <v>20</v>
      </c>
      <c r="C220" s="11" t="s">
        <v>20</v>
      </c>
      <c r="D220" s="10" t="s">
        <v>20</v>
      </c>
      <c r="E220" s="10">
        <f>60*G220</f>
        <v>390</v>
      </c>
      <c r="F220" s="10" t="s">
        <v>12</v>
      </c>
      <c r="G220" s="10">
        <v>6.5</v>
      </c>
      <c r="H220" s="12">
        <v>100</v>
      </c>
      <c r="I220" s="12">
        <f t="shared" si="147"/>
        <v>39000</v>
      </c>
      <c r="J220" s="10" t="s">
        <v>20</v>
      </c>
      <c r="K220" s="13" t="str">
        <f t="shared" si="148"/>
        <v>Блок4</v>
      </c>
      <c r="L220">
        <v>39000</v>
      </c>
      <c r="M220">
        <f t="shared" si="149"/>
        <v>1</v>
      </c>
      <c r="N220">
        <f t="shared" si="137"/>
        <v>390</v>
      </c>
      <c r="O220" s="23">
        <f t="shared" si="151"/>
        <v>39000</v>
      </c>
    </row>
    <row r="221" spans="1:15" ht="27" customHeight="1" x14ac:dyDescent="0.25">
      <c r="A221" s="15" t="str">
        <f t="shared" si="145"/>
        <v>РЩ1-4 (АВР-Б-40-2-1)</v>
      </c>
      <c r="B221" s="15"/>
      <c r="C221" s="15"/>
      <c r="D221" s="16"/>
      <c r="E221" s="15"/>
      <c r="F221" s="19"/>
      <c r="G221" s="17"/>
      <c r="H221" s="12">
        <f t="shared" ref="H221" si="152">G221*0.55</f>
        <v>0</v>
      </c>
      <c r="I221" s="18">
        <f ca="1">SUM(I210:I220)</f>
        <v>303310.19999999995</v>
      </c>
      <c r="J221" s="15"/>
      <c r="K221" s="13" t="str">
        <f t="shared" si="148"/>
        <v>Блок4</v>
      </c>
      <c r="L221">
        <v>303310.19999999995</v>
      </c>
      <c r="M221">
        <f t="shared" si="149"/>
        <v>1</v>
      </c>
      <c r="N221">
        <f t="shared" si="137"/>
        <v>0</v>
      </c>
      <c r="O221" s="23">
        <f t="shared" si="151"/>
        <v>0</v>
      </c>
    </row>
    <row r="222" spans="1:15" ht="27" customHeight="1" x14ac:dyDescent="0.25">
      <c r="A222" s="8" t="str">
        <f>D222</f>
        <v>РУ1-5</v>
      </c>
      <c r="B222" s="4"/>
      <c r="C222" s="5"/>
      <c r="D222" s="4" t="s">
        <v>70</v>
      </c>
      <c r="E222" s="8">
        <v>1</v>
      </c>
      <c r="F222" s="9" t="s">
        <v>9</v>
      </c>
      <c r="G222" s="6"/>
      <c r="H222" s="6"/>
      <c r="I222" s="7"/>
      <c r="J222" s="4" t="s">
        <v>10</v>
      </c>
      <c r="K222" s="8" t="s">
        <v>71</v>
      </c>
      <c r="M222">
        <f>E222</f>
        <v>1</v>
      </c>
      <c r="N222">
        <f t="shared" si="137"/>
        <v>1</v>
      </c>
      <c r="O222" s="23">
        <f t="shared" si="151"/>
        <v>0</v>
      </c>
    </row>
    <row r="223" spans="1:15" ht="27" customHeight="1" x14ac:dyDescent="0.25">
      <c r="A223" s="13" t="str">
        <f t="shared" ref="A223:A229" si="153">A222</f>
        <v>РУ1-5</v>
      </c>
      <c r="B223" s="10" t="s">
        <v>11</v>
      </c>
      <c r="C223" s="11" t="s">
        <v>170</v>
      </c>
      <c r="D223" s="10" t="s">
        <v>171</v>
      </c>
      <c r="E223" s="13">
        <v>1</v>
      </c>
      <c r="F223" s="14" t="s">
        <v>12</v>
      </c>
      <c r="G223" s="10">
        <v>145000</v>
      </c>
      <c r="H223" s="12">
        <f t="shared" ref="H223:H224" si="154">0.6*G223</f>
        <v>87000</v>
      </c>
      <c r="I223" s="12">
        <f t="shared" ref="I223:I228" si="155">H223*E223</f>
        <v>87000</v>
      </c>
      <c r="J223" s="10" t="s">
        <v>13</v>
      </c>
      <c r="K223" s="13" t="str">
        <f t="shared" ref="K223:K229" si="156">K222</f>
        <v>Блок5</v>
      </c>
      <c r="L223">
        <v>87000</v>
      </c>
      <c r="M223">
        <f t="shared" ref="M223:M229" si="157">M222</f>
        <v>1</v>
      </c>
      <c r="N223">
        <f t="shared" si="137"/>
        <v>1</v>
      </c>
      <c r="O223" s="23">
        <f t="shared" si="151"/>
        <v>87000</v>
      </c>
    </row>
    <row r="224" spans="1:15" ht="27" customHeight="1" x14ac:dyDescent="0.25">
      <c r="A224" s="13" t="str">
        <f t="shared" si="153"/>
        <v>РУ1-5</v>
      </c>
      <c r="B224" s="10" t="s">
        <v>294</v>
      </c>
      <c r="C224" s="11" t="s">
        <v>229</v>
      </c>
      <c r="D224" s="10" t="s">
        <v>230</v>
      </c>
      <c r="E224" s="13">
        <v>1</v>
      </c>
      <c r="F224" s="14" t="s">
        <v>12</v>
      </c>
      <c r="G224" s="10">
        <v>34800</v>
      </c>
      <c r="H224" s="12">
        <f t="shared" si="154"/>
        <v>20880</v>
      </c>
      <c r="I224" s="12">
        <f t="shared" si="155"/>
        <v>20880</v>
      </c>
      <c r="J224" s="10" t="s">
        <v>14</v>
      </c>
      <c r="K224" s="13" t="str">
        <f t="shared" si="156"/>
        <v>Блок5</v>
      </c>
      <c r="L224">
        <v>20880</v>
      </c>
      <c r="M224">
        <f t="shared" si="157"/>
        <v>1</v>
      </c>
      <c r="N224">
        <f t="shared" si="137"/>
        <v>1</v>
      </c>
      <c r="O224" s="23">
        <f t="shared" si="151"/>
        <v>20880</v>
      </c>
    </row>
    <row r="225" spans="1:15" ht="27" customHeight="1" x14ac:dyDescent="0.25">
      <c r="A225" s="13" t="str">
        <f t="shared" si="153"/>
        <v>РУ1-5</v>
      </c>
      <c r="B225" s="10" t="s">
        <v>294</v>
      </c>
      <c r="C225" s="11" t="s">
        <v>227</v>
      </c>
      <c r="D225" s="10" t="s">
        <v>228</v>
      </c>
      <c r="E225" s="13">
        <v>2</v>
      </c>
      <c r="F225" s="14" t="s">
        <v>12</v>
      </c>
      <c r="G225" s="10">
        <v>29990</v>
      </c>
      <c r="H225" s="12">
        <f t="shared" ref="H225:H226" si="158">0.3*G225</f>
        <v>8997</v>
      </c>
      <c r="I225" s="12">
        <f t="shared" si="155"/>
        <v>17994</v>
      </c>
      <c r="J225" s="10" t="s">
        <v>207</v>
      </c>
      <c r="K225" s="13" t="str">
        <f t="shared" si="156"/>
        <v>Блок5</v>
      </c>
      <c r="L225">
        <v>17994</v>
      </c>
      <c r="M225">
        <f t="shared" si="157"/>
        <v>1</v>
      </c>
      <c r="N225">
        <f t="shared" si="137"/>
        <v>2</v>
      </c>
      <c r="O225" s="23">
        <f>N225*G225</f>
        <v>59980</v>
      </c>
    </row>
    <row r="226" spans="1:15" ht="27" customHeight="1" x14ac:dyDescent="0.25">
      <c r="A226" s="13" t="str">
        <f t="shared" si="153"/>
        <v>РУ1-5</v>
      </c>
      <c r="B226" s="10" t="s">
        <v>293</v>
      </c>
      <c r="C226" s="11" t="s">
        <v>217</v>
      </c>
      <c r="D226" s="10" t="s">
        <v>218</v>
      </c>
      <c r="E226" s="13">
        <v>2</v>
      </c>
      <c r="F226" s="14" t="s">
        <v>12</v>
      </c>
      <c r="G226" s="10">
        <v>7850</v>
      </c>
      <c r="H226" s="12">
        <f t="shared" si="158"/>
        <v>2355</v>
      </c>
      <c r="I226" s="12">
        <f t="shared" si="155"/>
        <v>4710</v>
      </c>
      <c r="J226" s="10" t="s">
        <v>207</v>
      </c>
      <c r="K226" s="13" t="str">
        <f t="shared" si="156"/>
        <v>Блок5</v>
      </c>
      <c r="L226">
        <v>4710</v>
      </c>
      <c r="M226">
        <f t="shared" si="157"/>
        <v>1</v>
      </c>
      <c r="N226">
        <f t="shared" si="137"/>
        <v>2</v>
      </c>
      <c r="O226" s="23">
        <f>N226*G226</f>
        <v>15700</v>
      </c>
    </row>
    <row r="227" spans="1:15" ht="27" customHeight="1" x14ac:dyDescent="0.25">
      <c r="A227" s="10" t="str">
        <f t="shared" si="153"/>
        <v>РУ1-5</v>
      </c>
      <c r="B227" s="10" t="s">
        <v>19</v>
      </c>
      <c r="C227" s="11" t="s">
        <v>19</v>
      </c>
      <c r="D227" s="10" t="s">
        <v>19</v>
      </c>
      <c r="E227" s="10">
        <v>1</v>
      </c>
      <c r="F227" s="10" t="s">
        <v>12</v>
      </c>
      <c r="G227" s="10">
        <f ca="1">OFFSET(G227,1,2)</f>
        <v>27000</v>
      </c>
      <c r="H227" s="12">
        <f ca="1">G227</f>
        <v>27000</v>
      </c>
      <c r="I227" s="12">
        <f t="shared" ca="1" si="155"/>
        <v>27000</v>
      </c>
      <c r="J227" s="10" t="s">
        <v>19</v>
      </c>
      <c r="K227" s="13" t="str">
        <f t="shared" si="156"/>
        <v>Блок5</v>
      </c>
      <c r="L227">
        <v>27000</v>
      </c>
      <c r="M227">
        <f t="shared" si="157"/>
        <v>1</v>
      </c>
      <c r="N227">
        <f t="shared" si="137"/>
        <v>1</v>
      </c>
      <c r="O227" s="23">
        <f ca="1">N227*H227</f>
        <v>27000</v>
      </c>
    </row>
    <row r="228" spans="1:15" ht="27" customHeight="1" x14ac:dyDescent="0.25">
      <c r="A228" s="10" t="str">
        <f t="shared" si="153"/>
        <v>РУ1-5</v>
      </c>
      <c r="B228" s="10" t="s">
        <v>20</v>
      </c>
      <c r="C228" s="11" t="s">
        <v>20</v>
      </c>
      <c r="D228" s="10" t="s">
        <v>20</v>
      </c>
      <c r="E228" s="10">
        <f>60*G228</f>
        <v>270</v>
      </c>
      <c r="F228" s="10" t="s">
        <v>12</v>
      </c>
      <c r="G228" s="10">
        <v>4.5</v>
      </c>
      <c r="H228" s="12">
        <v>100</v>
      </c>
      <c r="I228" s="12">
        <f t="shared" si="155"/>
        <v>27000</v>
      </c>
      <c r="J228" s="10" t="s">
        <v>20</v>
      </c>
      <c r="K228" s="13" t="str">
        <f t="shared" si="156"/>
        <v>Блок5</v>
      </c>
      <c r="L228">
        <v>27000</v>
      </c>
      <c r="M228">
        <f t="shared" si="157"/>
        <v>1</v>
      </c>
      <c r="N228">
        <f t="shared" si="137"/>
        <v>270</v>
      </c>
      <c r="O228" s="23">
        <f>N228*H228</f>
        <v>27000</v>
      </c>
    </row>
    <row r="229" spans="1:15" ht="27" customHeight="1" x14ac:dyDescent="0.25">
      <c r="A229" s="15" t="str">
        <f t="shared" si="153"/>
        <v>РУ1-5</v>
      </c>
      <c r="B229" s="15"/>
      <c r="C229" s="15"/>
      <c r="D229" s="16"/>
      <c r="E229" s="15"/>
      <c r="F229" s="19"/>
      <c r="G229" s="17"/>
      <c r="H229" s="12">
        <f t="shared" ref="H229" si="159">G229*0.55</f>
        <v>0</v>
      </c>
      <c r="I229" s="18">
        <f ca="1">SUM(I223:I228)</f>
        <v>184584</v>
      </c>
      <c r="J229" s="15"/>
      <c r="K229" s="13" t="str">
        <f t="shared" si="156"/>
        <v>Блок5</v>
      </c>
      <c r="L229">
        <v>184584</v>
      </c>
      <c r="M229">
        <f t="shared" si="157"/>
        <v>1</v>
      </c>
      <c r="N229">
        <f t="shared" si="137"/>
        <v>0</v>
      </c>
      <c r="O229" s="23">
        <f>N229*H229</f>
        <v>0</v>
      </c>
    </row>
    <row r="230" spans="1:15" ht="27" customHeight="1" x14ac:dyDescent="0.25">
      <c r="A230" s="8" t="str">
        <f>D230</f>
        <v>ЩУР.МОП1-5</v>
      </c>
      <c r="B230" s="4"/>
      <c r="C230" s="5"/>
      <c r="D230" s="4" t="s">
        <v>72</v>
      </c>
      <c r="E230" s="8">
        <v>1</v>
      </c>
      <c r="F230" s="9" t="s">
        <v>9</v>
      </c>
      <c r="G230" s="6"/>
      <c r="H230" s="6"/>
      <c r="I230" s="7"/>
      <c r="J230" s="4" t="s">
        <v>10</v>
      </c>
      <c r="K230" s="8" t="s">
        <v>71</v>
      </c>
      <c r="M230">
        <f>E230</f>
        <v>1</v>
      </c>
      <c r="N230">
        <f t="shared" si="137"/>
        <v>1</v>
      </c>
      <c r="O230" s="23">
        <f>N230*H230</f>
        <v>0</v>
      </c>
    </row>
    <row r="231" spans="1:15" ht="27" customHeight="1" x14ac:dyDescent="0.25">
      <c r="A231" s="13" t="str">
        <f t="shared" ref="A231:A237" si="160">A230</f>
        <v>ЩУР.МОП1-5</v>
      </c>
      <c r="B231" s="10" t="s">
        <v>11</v>
      </c>
      <c r="C231" s="11" t="s">
        <v>40</v>
      </c>
      <c r="D231" s="10" t="s">
        <v>41</v>
      </c>
      <c r="E231" s="13">
        <v>1</v>
      </c>
      <c r="F231" s="14" t="s">
        <v>12</v>
      </c>
      <c r="G231" s="10">
        <v>18000</v>
      </c>
      <c r="H231" s="12">
        <f>0.6*G231</f>
        <v>10800</v>
      </c>
      <c r="I231" s="12">
        <f t="shared" ref="I231:I236" si="161">H231*E231</f>
        <v>10800</v>
      </c>
      <c r="J231" s="10" t="s">
        <v>13</v>
      </c>
      <c r="K231" s="13" t="str">
        <f t="shared" ref="K231:K237" si="162">K230</f>
        <v>Блок5</v>
      </c>
      <c r="L231">
        <v>10800</v>
      </c>
      <c r="M231">
        <f t="shared" ref="M231:M237" si="163">M230</f>
        <v>1</v>
      </c>
      <c r="N231">
        <f t="shared" si="137"/>
        <v>1</v>
      </c>
      <c r="O231" s="23">
        <f>N231*H231</f>
        <v>10800</v>
      </c>
    </row>
    <row r="232" spans="1:15" ht="27" customHeight="1" x14ac:dyDescent="0.25">
      <c r="A232" s="13" t="str">
        <f t="shared" si="160"/>
        <v>ЩУР.МОП1-5</v>
      </c>
      <c r="B232" s="10" t="s">
        <v>293</v>
      </c>
      <c r="C232" s="11" t="s">
        <v>195</v>
      </c>
      <c r="D232" s="10" t="s">
        <v>196</v>
      </c>
      <c r="E232" s="13">
        <v>1</v>
      </c>
      <c r="F232" s="14" t="s">
        <v>12</v>
      </c>
      <c r="G232" s="10">
        <v>6190</v>
      </c>
      <c r="H232" s="12">
        <f t="shared" ref="H232:H233" si="164">0.3*G232</f>
        <v>1857</v>
      </c>
      <c r="I232" s="12">
        <f t="shared" si="161"/>
        <v>1857</v>
      </c>
      <c r="J232" s="10" t="s">
        <v>207</v>
      </c>
      <c r="K232" s="13" t="str">
        <f t="shared" si="162"/>
        <v>Блок5</v>
      </c>
      <c r="L232">
        <v>1857</v>
      </c>
      <c r="M232">
        <f t="shared" si="163"/>
        <v>1</v>
      </c>
      <c r="N232">
        <f t="shared" si="137"/>
        <v>1</v>
      </c>
      <c r="O232" s="23">
        <f>N232*G232</f>
        <v>6190</v>
      </c>
    </row>
    <row r="233" spans="1:15" ht="27" customHeight="1" x14ac:dyDescent="0.25">
      <c r="A233" s="13" t="str">
        <f t="shared" si="160"/>
        <v>ЩУР.МОП1-5</v>
      </c>
      <c r="B233" s="10" t="s">
        <v>293</v>
      </c>
      <c r="C233" s="11" t="s">
        <v>193</v>
      </c>
      <c r="D233" s="10" t="s">
        <v>194</v>
      </c>
      <c r="E233" s="13">
        <v>4</v>
      </c>
      <c r="F233" s="14" t="s">
        <v>12</v>
      </c>
      <c r="G233" s="10">
        <v>6580</v>
      </c>
      <c r="H233" s="12">
        <f t="shared" si="164"/>
        <v>1974</v>
      </c>
      <c r="I233" s="12">
        <f t="shared" si="161"/>
        <v>7896</v>
      </c>
      <c r="J233" s="10" t="s">
        <v>207</v>
      </c>
      <c r="K233" s="13" t="str">
        <f t="shared" si="162"/>
        <v>Блок5</v>
      </c>
      <c r="L233">
        <v>7896</v>
      </c>
      <c r="M233">
        <f t="shared" si="163"/>
        <v>1</v>
      </c>
      <c r="N233">
        <f t="shared" si="137"/>
        <v>4</v>
      </c>
      <c r="O233" s="23">
        <f>N233*G233</f>
        <v>26320</v>
      </c>
    </row>
    <row r="234" spans="1:15" ht="27" customHeight="1" x14ac:dyDescent="0.25">
      <c r="A234" s="13" t="str">
        <f t="shared" si="160"/>
        <v>ЩУР.МОП1-5</v>
      </c>
      <c r="B234" s="10" t="s">
        <v>15</v>
      </c>
      <c r="C234" s="11" t="s">
        <v>299</v>
      </c>
      <c r="D234" s="10" t="s">
        <v>300</v>
      </c>
      <c r="E234" s="13">
        <v>1</v>
      </c>
      <c r="F234" s="14" t="s">
        <v>12</v>
      </c>
      <c r="G234" s="10">
        <v>32400</v>
      </c>
      <c r="H234" s="12">
        <f>G234</f>
        <v>32400</v>
      </c>
      <c r="I234" s="12">
        <f t="shared" si="161"/>
        <v>32400</v>
      </c>
      <c r="J234" s="10" t="s">
        <v>16</v>
      </c>
      <c r="K234" s="13" t="str">
        <f t="shared" si="162"/>
        <v>Блок5</v>
      </c>
      <c r="L234">
        <v>32400</v>
      </c>
      <c r="M234">
        <f t="shared" si="163"/>
        <v>1</v>
      </c>
      <c r="N234">
        <f t="shared" si="137"/>
        <v>1</v>
      </c>
      <c r="O234" s="23">
        <f t="shared" ref="O234:O240" si="165">N234*H234</f>
        <v>32400</v>
      </c>
    </row>
    <row r="235" spans="1:15" ht="27" customHeight="1" x14ac:dyDescent="0.25">
      <c r="A235" s="10" t="str">
        <f t="shared" si="160"/>
        <v>ЩУР.МОП1-5</v>
      </c>
      <c r="B235" s="10" t="s">
        <v>19</v>
      </c>
      <c r="C235" s="11" t="s">
        <v>19</v>
      </c>
      <c r="D235" s="10" t="s">
        <v>19</v>
      </c>
      <c r="E235" s="10">
        <v>1</v>
      </c>
      <c r="F235" s="10" t="s">
        <v>12</v>
      </c>
      <c r="G235" s="10">
        <f ca="1">OFFSET(G235,1,2)</f>
        <v>12000</v>
      </c>
      <c r="H235" s="12">
        <f ca="1">G235</f>
        <v>12000</v>
      </c>
      <c r="I235" s="12">
        <f t="shared" ca="1" si="161"/>
        <v>12000</v>
      </c>
      <c r="J235" s="10" t="s">
        <v>19</v>
      </c>
      <c r="K235" s="13" t="str">
        <f t="shared" si="162"/>
        <v>Блок5</v>
      </c>
      <c r="L235">
        <v>12000</v>
      </c>
      <c r="M235">
        <f t="shared" si="163"/>
        <v>1</v>
      </c>
      <c r="N235">
        <f t="shared" si="137"/>
        <v>1</v>
      </c>
      <c r="O235" s="23">
        <f t="shared" ca="1" si="165"/>
        <v>12000</v>
      </c>
    </row>
    <row r="236" spans="1:15" ht="27" customHeight="1" x14ac:dyDescent="0.25">
      <c r="A236" s="10" t="str">
        <f t="shared" si="160"/>
        <v>ЩУР.МОП1-5</v>
      </c>
      <c r="B236" s="10" t="s">
        <v>20</v>
      </c>
      <c r="C236" s="11" t="s">
        <v>20</v>
      </c>
      <c r="D236" s="10" t="s">
        <v>20</v>
      </c>
      <c r="E236" s="10">
        <f>60*G236</f>
        <v>120</v>
      </c>
      <c r="F236" s="10" t="s">
        <v>12</v>
      </c>
      <c r="G236" s="10">
        <v>2</v>
      </c>
      <c r="H236" s="12">
        <v>100</v>
      </c>
      <c r="I236" s="12">
        <f t="shared" si="161"/>
        <v>12000</v>
      </c>
      <c r="J236" s="10" t="s">
        <v>20</v>
      </c>
      <c r="K236" s="13" t="str">
        <f t="shared" si="162"/>
        <v>Блок5</v>
      </c>
      <c r="L236">
        <v>12000</v>
      </c>
      <c r="M236">
        <f t="shared" si="163"/>
        <v>1</v>
      </c>
      <c r="N236">
        <f t="shared" si="137"/>
        <v>120</v>
      </c>
      <c r="O236" s="23">
        <f t="shared" si="165"/>
        <v>12000</v>
      </c>
    </row>
    <row r="237" spans="1:15" ht="27" customHeight="1" x14ac:dyDescent="0.25">
      <c r="A237" s="15" t="str">
        <f t="shared" si="160"/>
        <v>ЩУР.МОП1-5</v>
      </c>
      <c r="B237" s="15"/>
      <c r="C237" s="15"/>
      <c r="D237" s="16"/>
      <c r="E237" s="15"/>
      <c r="F237" s="19"/>
      <c r="G237" s="17"/>
      <c r="H237" s="12">
        <f>G237*0.55</f>
        <v>0</v>
      </c>
      <c r="I237" s="18">
        <f ca="1">SUM(I231:I236)</f>
        <v>76953</v>
      </c>
      <c r="J237" s="15"/>
      <c r="K237" s="13" t="str">
        <f t="shared" si="162"/>
        <v>Блок5</v>
      </c>
      <c r="L237">
        <v>76953</v>
      </c>
      <c r="M237">
        <f t="shared" si="163"/>
        <v>1</v>
      </c>
      <c r="N237">
        <f t="shared" si="137"/>
        <v>0</v>
      </c>
      <c r="O237" s="23">
        <f t="shared" si="165"/>
        <v>0</v>
      </c>
    </row>
    <row r="238" spans="1:15" ht="27" customHeight="1" x14ac:dyDescent="0.25">
      <c r="A238" s="8" t="str">
        <f>D238</f>
        <v>РЩ1-5 (АВР-Б-40-2-1)</v>
      </c>
      <c r="B238" s="4"/>
      <c r="C238" s="5"/>
      <c r="D238" s="4" t="s">
        <v>137</v>
      </c>
      <c r="E238" s="8">
        <v>1</v>
      </c>
      <c r="F238" s="9" t="s">
        <v>9</v>
      </c>
      <c r="G238" s="6"/>
      <c r="H238" s="6"/>
      <c r="I238" s="7"/>
      <c r="J238" s="4" t="s">
        <v>10</v>
      </c>
      <c r="K238" s="8" t="s">
        <v>71</v>
      </c>
      <c r="M238">
        <f>E238</f>
        <v>1</v>
      </c>
      <c r="N238">
        <f t="shared" si="137"/>
        <v>1</v>
      </c>
      <c r="O238" s="23">
        <f t="shared" si="165"/>
        <v>0</v>
      </c>
    </row>
    <row r="239" spans="1:15" ht="27" customHeight="1" x14ac:dyDescent="0.25">
      <c r="A239" s="13" t="str">
        <f t="shared" ref="A239:A249" si="166">A238</f>
        <v>РЩ1-5 (АВР-Б-40-2-1)</v>
      </c>
      <c r="B239" s="10" t="s">
        <v>11</v>
      </c>
      <c r="C239" s="11" t="s">
        <v>168</v>
      </c>
      <c r="D239" s="10" t="s">
        <v>169</v>
      </c>
      <c r="E239" s="13">
        <v>1</v>
      </c>
      <c r="F239" s="14" t="s">
        <v>12</v>
      </c>
      <c r="G239" s="10">
        <v>130000</v>
      </c>
      <c r="H239" s="12">
        <f t="shared" ref="H239:H240" si="167">0.6*G239</f>
        <v>78000</v>
      </c>
      <c r="I239" s="12">
        <f t="shared" ref="I239:I248" si="168">H239*E239</f>
        <v>78000</v>
      </c>
      <c r="J239" s="10" t="s">
        <v>13</v>
      </c>
      <c r="K239" s="13" t="str">
        <f t="shared" ref="K239:K249" si="169">K238</f>
        <v>Блок5</v>
      </c>
      <c r="L239">
        <v>78000</v>
      </c>
      <c r="M239">
        <f t="shared" ref="M239:M249" si="170">M238</f>
        <v>1</v>
      </c>
      <c r="N239">
        <f t="shared" si="137"/>
        <v>1</v>
      </c>
      <c r="O239" s="23">
        <f t="shared" si="165"/>
        <v>78000</v>
      </c>
    </row>
    <row r="240" spans="1:15" ht="27" customHeight="1" x14ac:dyDescent="0.25">
      <c r="A240" s="13" t="str">
        <f t="shared" si="166"/>
        <v>РЩ1-5 (АВР-Б-40-2-1)</v>
      </c>
      <c r="B240" s="10" t="s">
        <v>44</v>
      </c>
      <c r="C240" s="11" t="s">
        <v>162</v>
      </c>
      <c r="D240" s="10" t="s">
        <v>163</v>
      </c>
      <c r="E240" s="13">
        <v>1</v>
      </c>
      <c r="F240" s="14" t="s">
        <v>12</v>
      </c>
      <c r="G240" s="10">
        <v>114758</v>
      </c>
      <c r="H240" s="12">
        <f t="shared" si="167"/>
        <v>68854.8</v>
      </c>
      <c r="I240" s="12">
        <f t="shared" si="168"/>
        <v>68854.8</v>
      </c>
      <c r="J240" s="10" t="s">
        <v>14</v>
      </c>
      <c r="K240" s="13" t="str">
        <f t="shared" si="169"/>
        <v>Блок5</v>
      </c>
      <c r="L240">
        <v>68854.8</v>
      </c>
      <c r="M240">
        <f t="shared" si="170"/>
        <v>1</v>
      </c>
      <c r="N240">
        <f t="shared" si="137"/>
        <v>1</v>
      </c>
      <c r="O240" s="23">
        <f t="shared" si="165"/>
        <v>68854.8</v>
      </c>
    </row>
    <row r="241" spans="1:15" ht="27" customHeight="1" x14ac:dyDescent="0.25">
      <c r="A241" s="13" t="str">
        <f t="shared" si="166"/>
        <v>РЩ1-5 (АВР-Б-40-2-1)</v>
      </c>
      <c r="B241" s="10" t="s">
        <v>293</v>
      </c>
      <c r="C241" s="11" t="s">
        <v>213</v>
      </c>
      <c r="D241" s="10" t="s">
        <v>214</v>
      </c>
      <c r="E241" s="13">
        <v>3</v>
      </c>
      <c r="F241" s="14" t="s">
        <v>12</v>
      </c>
      <c r="G241" s="10">
        <v>7690</v>
      </c>
      <c r="H241" s="12">
        <f t="shared" ref="H241:H244" si="171">0.3*G241</f>
        <v>2307</v>
      </c>
      <c r="I241" s="12">
        <f t="shared" si="168"/>
        <v>6921</v>
      </c>
      <c r="J241" s="10" t="s">
        <v>207</v>
      </c>
      <c r="K241" s="13" t="str">
        <f t="shared" si="169"/>
        <v>Блок5</v>
      </c>
      <c r="L241">
        <v>6921</v>
      </c>
      <c r="M241">
        <f t="shared" si="170"/>
        <v>1</v>
      </c>
      <c r="N241">
        <f t="shared" si="137"/>
        <v>3</v>
      </c>
      <c r="O241" s="23">
        <f>N241*G241</f>
        <v>23070</v>
      </c>
    </row>
    <row r="242" spans="1:15" ht="27" customHeight="1" x14ac:dyDescent="0.25">
      <c r="A242" s="13" t="str">
        <f t="shared" si="166"/>
        <v>РЩ1-5 (АВР-Б-40-2-1)</v>
      </c>
      <c r="B242" s="10" t="s">
        <v>293</v>
      </c>
      <c r="C242" s="11" t="s">
        <v>231</v>
      </c>
      <c r="D242" s="10" t="s">
        <v>232</v>
      </c>
      <c r="E242" s="13">
        <v>2</v>
      </c>
      <c r="F242" s="14" t="s">
        <v>12</v>
      </c>
      <c r="G242" s="10">
        <v>7690</v>
      </c>
      <c r="H242" s="12">
        <f t="shared" si="171"/>
        <v>2307</v>
      </c>
      <c r="I242" s="12">
        <f t="shared" si="168"/>
        <v>4614</v>
      </c>
      <c r="J242" s="10" t="s">
        <v>207</v>
      </c>
      <c r="K242" s="13" t="str">
        <f t="shared" si="169"/>
        <v>Блок5</v>
      </c>
      <c r="L242">
        <v>4614</v>
      </c>
      <c r="M242">
        <f t="shared" si="170"/>
        <v>1</v>
      </c>
      <c r="N242">
        <f t="shared" si="137"/>
        <v>2</v>
      </c>
      <c r="O242" s="23">
        <f>N242*G242</f>
        <v>15380</v>
      </c>
    </row>
    <row r="243" spans="1:15" ht="27" customHeight="1" x14ac:dyDescent="0.25">
      <c r="A243" s="13" t="str">
        <f t="shared" si="166"/>
        <v>РЩ1-5 (АВР-Б-40-2-1)</v>
      </c>
      <c r="B243" s="10" t="s">
        <v>294</v>
      </c>
      <c r="C243" s="11" t="s">
        <v>203</v>
      </c>
      <c r="D243" s="10" t="s">
        <v>204</v>
      </c>
      <c r="E243" s="13">
        <v>2</v>
      </c>
      <c r="F243" s="14" t="s">
        <v>12</v>
      </c>
      <c r="G243" s="10">
        <v>13450</v>
      </c>
      <c r="H243" s="12">
        <f t="shared" si="171"/>
        <v>4035</v>
      </c>
      <c r="I243" s="12">
        <f t="shared" si="168"/>
        <v>8070</v>
      </c>
      <c r="J243" s="10" t="s">
        <v>207</v>
      </c>
      <c r="K243" s="13" t="str">
        <f t="shared" si="169"/>
        <v>Блок5</v>
      </c>
      <c r="L243">
        <v>8070</v>
      </c>
      <c r="M243">
        <f t="shared" si="170"/>
        <v>1</v>
      </c>
      <c r="N243">
        <f t="shared" si="137"/>
        <v>2</v>
      </c>
      <c r="O243" s="23">
        <f>N243*G243</f>
        <v>26900</v>
      </c>
    </row>
    <row r="244" spans="1:15" ht="27" customHeight="1" x14ac:dyDescent="0.25">
      <c r="A244" s="13" t="str">
        <f t="shared" si="166"/>
        <v>РЩ1-5 (АВР-Б-40-2-1)</v>
      </c>
      <c r="B244" s="10" t="s">
        <v>293</v>
      </c>
      <c r="C244" s="11" t="s">
        <v>205</v>
      </c>
      <c r="D244" s="10" t="s">
        <v>206</v>
      </c>
      <c r="E244" s="13">
        <v>1</v>
      </c>
      <c r="F244" s="14" t="s">
        <v>12</v>
      </c>
      <c r="G244" s="10">
        <v>7090</v>
      </c>
      <c r="H244" s="12">
        <f t="shared" si="171"/>
        <v>2127</v>
      </c>
      <c r="I244" s="12">
        <f t="shared" si="168"/>
        <v>2127</v>
      </c>
      <c r="J244" s="10" t="s">
        <v>207</v>
      </c>
      <c r="K244" s="13" t="str">
        <f t="shared" si="169"/>
        <v>Блок5</v>
      </c>
      <c r="L244">
        <v>2127</v>
      </c>
      <c r="M244">
        <f t="shared" si="170"/>
        <v>1</v>
      </c>
      <c r="N244">
        <f t="shared" si="137"/>
        <v>1</v>
      </c>
      <c r="O244" s="23">
        <f>N244*G244</f>
        <v>7090</v>
      </c>
    </row>
    <row r="245" spans="1:15" ht="27" customHeight="1" x14ac:dyDescent="0.25">
      <c r="A245" s="13" t="str">
        <f t="shared" si="166"/>
        <v>РЩ1-5 (АВР-Б-40-2-1)</v>
      </c>
      <c r="B245" s="10" t="s">
        <v>15</v>
      </c>
      <c r="C245" s="11" t="s">
        <v>299</v>
      </c>
      <c r="D245" s="10" t="s">
        <v>300</v>
      </c>
      <c r="E245" s="13">
        <v>1</v>
      </c>
      <c r="F245" s="14" t="s">
        <v>12</v>
      </c>
      <c r="G245" s="10">
        <v>32400</v>
      </c>
      <c r="H245" s="12">
        <f>G245</f>
        <v>32400</v>
      </c>
      <c r="I245" s="12">
        <f t="shared" si="168"/>
        <v>32400</v>
      </c>
      <c r="J245" s="10" t="s">
        <v>16</v>
      </c>
      <c r="K245" s="13" t="str">
        <f t="shared" si="169"/>
        <v>Блок5</v>
      </c>
      <c r="L245">
        <v>32400</v>
      </c>
      <c r="M245">
        <f t="shared" si="170"/>
        <v>1</v>
      </c>
      <c r="N245">
        <f t="shared" si="137"/>
        <v>1</v>
      </c>
      <c r="O245" s="23">
        <f t="shared" ref="O245:O252" si="172">N245*H245</f>
        <v>32400</v>
      </c>
    </row>
    <row r="246" spans="1:15" ht="27" customHeight="1" x14ac:dyDescent="0.25">
      <c r="A246" s="13" t="str">
        <f t="shared" si="166"/>
        <v>РЩ1-5 (АВР-Б-40-2-1)</v>
      </c>
      <c r="B246" s="10" t="s">
        <v>30</v>
      </c>
      <c r="C246" s="11"/>
      <c r="D246" s="10" t="s">
        <v>31</v>
      </c>
      <c r="E246" s="13">
        <v>6</v>
      </c>
      <c r="F246" s="14" t="s">
        <v>12</v>
      </c>
      <c r="G246" s="10">
        <v>3850</v>
      </c>
      <c r="H246" s="12">
        <f>G246</f>
        <v>3850</v>
      </c>
      <c r="I246" s="12">
        <f t="shared" si="168"/>
        <v>23100</v>
      </c>
      <c r="J246" s="10" t="s">
        <v>25</v>
      </c>
      <c r="K246" s="13" t="str">
        <f t="shared" si="169"/>
        <v>Блок5</v>
      </c>
      <c r="L246">
        <v>23100</v>
      </c>
      <c r="M246">
        <f t="shared" si="170"/>
        <v>1</v>
      </c>
      <c r="N246">
        <f t="shared" si="137"/>
        <v>6</v>
      </c>
      <c r="O246" s="23">
        <f t="shared" si="172"/>
        <v>23100</v>
      </c>
    </row>
    <row r="247" spans="1:15" ht="27" customHeight="1" x14ac:dyDescent="0.25">
      <c r="A247" s="10" t="str">
        <f t="shared" si="166"/>
        <v>РЩ1-5 (АВР-Б-40-2-1)</v>
      </c>
      <c r="B247" s="10" t="s">
        <v>19</v>
      </c>
      <c r="C247" s="11" t="s">
        <v>19</v>
      </c>
      <c r="D247" s="10" t="s">
        <v>19</v>
      </c>
      <c r="E247" s="10">
        <v>1</v>
      </c>
      <c r="F247" s="10" t="s">
        <v>12</v>
      </c>
      <c r="G247" s="10">
        <f ca="1">OFFSET(G247,1,2)</f>
        <v>39000</v>
      </c>
      <c r="H247" s="12">
        <f ca="1">G247</f>
        <v>39000</v>
      </c>
      <c r="I247" s="12">
        <f t="shared" ca="1" si="168"/>
        <v>39000</v>
      </c>
      <c r="J247" s="10" t="s">
        <v>19</v>
      </c>
      <c r="K247" s="13" t="str">
        <f t="shared" si="169"/>
        <v>Блок5</v>
      </c>
      <c r="L247">
        <v>39000</v>
      </c>
      <c r="M247">
        <f t="shared" si="170"/>
        <v>1</v>
      </c>
      <c r="N247">
        <f t="shared" si="137"/>
        <v>1</v>
      </c>
      <c r="O247" s="23">
        <f t="shared" ca="1" si="172"/>
        <v>39000</v>
      </c>
    </row>
    <row r="248" spans="1:15" ht="27" customHeight="1" x14ac:dyDescent="0.25">
      <c r="A248" s="10" t="str">
        <f t="shared" si="166"/>
        <v>РЩ1-5 (АВР-Б-40-2-1)</v>
      </c>
      <c r="B248" s="10" t="s">
        <v>20</v>
      </c>
      <c r="C248" s="11" t="s">
        <v>20</v>
      </c>
      <c r="D248" s="10" t="s">
        <v>20</v>
      </c>
      <c r="E248" s="10">
        <f>60*G248</f>
        <v>390</v>
      </c>
      <c r="F248" s="10" t="s">
        <v>12</v>
      </c>
      <c r="G248" s="10">
        <v>6.5</v>
      </c>
      <c r="H248" s="12">
        <v>100</v>
      </c>
      <c r="I248" s="12">
        <f t="shared" si="168"/>
        <v>39000</v>
      </c>
      <c r="J248" s="10" t="s">
        <v>20</v>
      </c>
      <c r="K248" s="13" t="str">
        <f t="shared" si="169"/>
        <v>Блок5</v>
      </c>
      <c r="L248">
        <v>39000</v>
      </c>
      <c r="M248">
        <f t="shared" si="170"/>
        <v>1</v>
      </c>
      <c r="N248">
        <f t="shared" si="137"/>
        <v>390</v>
      </c>
      <c r="O248" s="23">
        <f t="shared" si="172"/>
        <v>39000</v>
      </c>
    </row>
    <row r="249" spans="1:15" ht="27" customHeight="1" x14ac:dyDescent="0.25">
      <c r="A249" s="15" t="str">
        <f t="shared" si="166"/>
        <v>РЩ1-5 (АВР-Б-40-2-1)</v>
      </c>
      <c r="B249" s="15"/>
      <c r="C249" s="15"/>
      <c r="D249" s="16"/>
      <c r="E249" s="15"/>
      <c r="F249" s="19"/>
      <c r="G249" s="17"/>
      <c r="H249" s="12">
        <f t="shared" ref="H249" si="173">G249*0.55</f>
        <v>0</v>
      </c>
      <c r="I249" s="18">
        <f ca="1">SUM(I239:I248)</f>
        <v>302086.8</v>
      </c>
      <c r="J249" s="15"/>
      <c r="K249" s="13" t="str">
        <f t="shared" si="169"/>
        <v>Блок5</v>
      </c>
      <c r="L249">
        <v>302086.8</v>
      </c>
      <c r="M249">
        <f t="shared" si="170"/>
        <v>1</v>
      </c>
      <c r="N249">
        <f t="shared" si="137"/>
        <v>0</v>
      </c>
      <c r="O249" s="23">
        <f t="shared" si="172"/>
        <v>0</v>
      </c>
    </row>
    <row r="250" spans="1:15" ht="27" customHeight="1" x14ac:dyDescent="0.25">
      <c r="A250" s="8" t="str">
        <f>D250</f>
        <v>РУ1-6</v>
      </c>
      <c r="B250" s="4"/>
      <c r="C250" s="5"/>
      <c r="D250" s="4" t="s">
        <v>73</v>
      </c>
      <c r="E250" s="8">
        <v>1</v>
      </c>
      <c r="F250" s="9" t="s">
        <v>9</v>
      </c>
      <c r="G250" s="6"/>
      <c r="H250" s="6"/>
      <c r="I250" s="7"/>
      <c r="J250" s="4" t="s">
        <v>10</v>
      </c>
      <c r="K250" s="8" t="s">
        <v>74</v>
      </c>
      <c r="M250">
        <f>E250</f>
        <v>1</v>
      </c>
      <c r="N250">
        <f t="shared" si="137"/>
        <v>1</v>
      </c>
      <c r="O250" s="23">
        <f t="shared" si="172"/>
        <v>0</v>
      </c>
    </row>
    <row r="251" spans="1:15" ht="27" customHeight="1" x14ac:dyDescent="0.25">
      <c r="A251" s="13" t="str">
        <f t="shared" ref="A251:A257" si="174">A250</f>
        <v>РУ1-6</v>
      </c>
      <c r="B251" s="10" t="s">
        <v>11</v>
      </c>
      <c r="C251" s="11" t="s">
        <v>170</v>
      </c>
      <c r="D251" s="10" t="s">
        <v>171</v>
      </c>
      <c r="E251" s="13">
        <v>1</v>
      </c>
      <c r="F251" s="14" t="s">
        <v>12</v>
      </c>
      <c r="G251" s="10">
        <v>145000</v>
      </c>
      <c r="H251" s="12">
        <f t="shared" ref="H251:H252" si="175">0.6*G251</f>
        <v>87000</v>
      </c>
      <c r="I251" s="12">
        <f t="shared" ref="I251:I256" si="176">H251*E251</f>
        <v>87000</v>
      </c>
      <c r="J251" s="10" t="s">
        <v>13</v>
      </c>
      <c r="K251" s="13" t="str">
        <f t="shared" ref="K251:K257" si="177">K250</f>
        <v>Блок6</v>
      </c>
      <c r="L251">
        <v>87000</v>
      </c>
      <c r="M251">
        <f t="shared" ref="M251:M257" si="178">M250</f>
        <v>1</v>
      </c>
      <c r="N251">
        <f t="shared" si="137"/>
        <v>1</v>
      </c>
      <c r="O251" s="23">
        <f t="shared" si="172"/>
        <v>87000</v>
      </c>
    </row>
    <row r="252" spans="1:15" ht="27" customHeight="1" x14ac:dyDescent="0.25">
      <c r="A252" s="13" t="str">
        <f t="shared" si="174"/>
        <v>РУ1-6</v>
      </c>
      <c r="B252" s="10" t="s">
        <v>294</v>
      </c>
      <c r="C252" s="11" t="s">
        <v>229</v>
      </c>
      <c r="D252" s="10" t="s">
        <v>230</v>
      </c>
      <c r="E252" s="13">
        <v>1</v>
      </c>
      <c r="F252" s="14" t="s">
        <v>12</v>
      </c>
      <c r="G252" s="10">
        <v>34800</v>
      </c>
      <c r="H252" s="12">
        <f t="shared" si="175"/>
        <v>20880</v>
      </c>
      <c r="I252" s="12">
        <f t="shared" si="176"/>
        <v>20880</v>
      </c>
      <c r="J252" s="10" t="s">
        <v>14</v>
      </c>
      <c r="K252" s="13" t="str">
        <f t="shared" si="177"/>
        <v>Блок6</v>
      </c>
      <c r="L252">
        <v>20880</v>
      </c>
      <c r="M252">
        <f t="shared" si="178"/>
        <v>1</v>
      </c>
      <c r="N252">
        <f t="shared" si="137"/>
        <v>1</v>
      </c>
      <c r="O252" s="23">
        <f t="shared" si="172"/>
        <v>20880</v>
      </c>
    </row>
    <row r="253" spans="1:15" ht="27" customHeight="1" x14ac:dyDescent="0.25">
      <c r="A253" s="13" t="str">
        <f t="shared" si="174"/>
        <v>РУ1-6</v>
      </c>
      <c r="B253" s="10" t="s">
        <v>294</v>
      </c>
      <c r="C253" s="11" t="s">
        <v>225</v>
      </c>
      <c r="D253" s="10" t="s">
        <v>226</v>
      </c>
      <c r="E253" s="13">
        <v>4</v>
      </c>
      <c r="F253" s="14" t="s">
        <v>12</v>
      </c>
      <c r="G253" s="10">
        <v>17300</v>
      </c>
      <c r="H253" s="12">
        <f t="shared" ref="H253:H254" si="179">0.3*G253</f>
        <v>5190</v>
      </c>
      <c r="I253" s="12">
        <f t="shared" si="176"/>
        <v>20760</v>
      </c>
      <c r="J253" s="10" t="s">
        <v>207</v>
      </c>
      <c r="K253" s="13" t="str">
        <f t="shared" si="177"/>
        <v>Блок6</v>
      </c>
      <c r="L253">
        <v>20760</v>
      </c>
      <c r="M253">
        <f t="shared" si="178"/>
        <v>1</v>
      </c>
      <c r="N253">
        <f t="shared" si="137"/>
        <v>4</v>
      </c>
      <c r="O253" s="23">
        <f>N253*G253</f>
        <v>69200</v>
      </c>
    </row>
    <row r="254" spans="1:15" ht="27" customHeight="1" x14ac:dyDescent="0.25">
      <c r="A254" s="13" t="str">
        <f t="shared" si="174"/>
        <v>РУ1-6</v>
      </c>
      <c r="B254" s="10" t="s">
        <v>293</v>
      </c>
      <c r="C254" s="11" t="s">
        <v>217</v>
      </c>
      <c r="D254" s="10" t="s">
        <v>218</v>
      </c>
      <c r="E254" s="13">
        <v>2</v>
      </c>
      <c r="F254" s="14" t="s">
        <v>12</v>
      </c>
      <c r="G254" s="10">
        <v>7850</v>
      </c>
      <c r="H254" s="12">
        <f t="shared" si="179"/>
        <v>2355</v>
      </c>
      <c r="I254" s="12">
        <f t="shared" si="176"/>
        <v>4710</v>
      </c>
      <c r="J254" s="10" t="s">
        <v>207</v>
      </c>
      <c r="K254" s="13" t="str">
        <f t="shared" si="177"/>
        <v>Блок6</v>
      </c>
      <c r="L254">
        <v>4710</v>
      </c>
      <c r="M254">
        <f t="shared" si="178"/>
        <v>1</v>
      </c>
      <c r="N254">
        <f t="shared" si="137"/>
        <v>2</v>
      </c>
      <c r="O254" s="23">
        <f>N254*G254</f>
        <v>15700</v>
      </c>
    </row>
    <row r="255" spans="1:15" ht="27" customHeight="1" x14ac:dyDescent="0.25">
      <c r="A255" s="10" t="str">
        <f t="shared" si="174"/>
        <v>РУ1-6</v>
      </c>
      <c r="B255" s="10" t="s">
        <v>19</v>
      </c>
      <c r="C255" s="11" t="s">
        <v>19</v>
      </c>
      <c r="D255" s="10" t="s">
        <v>19</v>
      </c>
      <c r="E255" s="10">
        <v>1</v>
      </c>
      <c r="F255" s="10" t="s">
        <v>12</v>
      </c>
      <c r="G255" s="10">
        <f ca="1">OFFSET(G255,1,2)</f>
        <v>27000</v>
      </c>
      <c r="H255" s="12">
        <f ca="1">G255</f>
        <v>27000</v>
      </c>
      <c r="I255" s="12">
        <f t="shared" ca="1" si="176"/>
        <v>27000</v>
      </c>
      <c r="J255" s="10" t="s">
        <v>19</v>
      </c>
      <c r="K255" s="13" t="str">
        <f t="shared" si="177"/>
        <v>Блок6</v>
      </c>
      <c r="L255">
        <v>27000</v>
      </c>
      <c r="M255">
        <f t="shared" si="178"/>
        <v>1</v>
      </c>
      <c r="N255">
        <f t="shared" si="137"/>
        <v>1</v>
      </c>
      <c r="O255" s="23">
        <f ca="1">N255*H255</f>
        <v>27000</v>
      </c>
    </row>
    <row r="256" spans="1:15" ht="27" customHeight="1" x14ac:dyDescent="0.25">
      <c r="A256" s="10" t="str">
        <f t="shared" si="174"/>
        <v>РУ1-6</v>
      </c>
      <c r="B256" s="10" t="s">
        <v>20</v>
      </c>
      <c r="C256" s="11" t="s">
        <v>20</v>
      </c>
      <c r="D256" s="10" t="s">
        <v>20</v>
      </c>
      <c r="E256" s="10">
        <f>60*G256</f>
        <v>270</v>
      </c>
      <c r="F256" s="10" t="s">
        <v>12</v>
      </c>
      <c r="G256" s="10">
        <v>4.5</v>
      </c>
      <c r="H256" s="12">
        <v>100</v>
      </c>
      <c r="I256" s="12">
        <f t="shared" si="176"/>
        <v>27000</v>
      </c>
      <c r="J256" s="10" t="s">
        <v>20</v>
      </c>
      <c r="K256" s="13" t="str">
        <f t="shared" si="177"/>
        <v>Блок6</v>
      </c>
      <c r="L256">
        <v>27000</v>
      </c>
      <c r="M256">
        <f t="shared" si="178"/>
        <v>1</v>
      </c>
      <c r="N256">
        <f t="shared" si="137"/>
        <v>270</v>
      </c>
      <c r="O256" s="23">
        <f>N256*H256</f>
        <v>27000</v>
      </c>
    </row>
    <row r="257" spans="1:15" ht="27" customHeight="1" x14ac:dyDescent="0.25">
      <c r="A257" s="15" t="str">
        <f t="shared" si="174"/>
        <v>РУ1-6</v>
      </c>
      <c r="B257" s="15"/>
      <c r="C257" s="15"/>
      <c r="D257" s="16"/>
      <c r="E257" s="15"/>
      <c r="F257" s="19"/>
      <c r="G257" s="17"/>
      <c r="H257" s="12">
        <f t="shared" ref="H257" si="180">G257*0.55</f>
        <v>0</v>
      </c>
      <c r="I257" s="18">
        <f ca="1">SUM(I251:I256)</f>
        <v>187350</v>
      </c>
      <c r="J257" s="15"/>
      <c r="K257" s="13" t="str">
        <f t="shared" si="177"/>
        <v>Блок6</v>
      </c>
      <c r="L257">
        <v>187350</v>
      </c>
      <c r="M257">
        <f t="shared" si="178"/>
        <v>1</v>
      </c>
      <c r="N257">
        <f t="shared" si="137"/>
        <v>0</v>
      </c>
      <c r="O257" s="23">
        <f>N257*H257</f>
        <v>0</v>
      </c>
    </row>
    <row r="258" spans="1:15" ht="27" customHeight="1" x14ac:dyDescent="0.25">
      <c r="A258" s="8" t="str">
        <f>D258</f>
        <v>ЩУР.МОП1-6</v>
      </c>
      <c r="B258" s="4"/>
      <c r="C258" s="5"/>
      <c r="D258" s="4" t="s">
        <v>75</v>
      </c>
      <c r="E258" s="8">
        <v>1</v>
      </c>
      <c r="F258" s="9" t="s">
        <v>9</v>
      </c>
      <c r="G258" s="6"/>
      <c r="H258" s="6"/>
      <c r="I258" s="7"/>
      <c r="J258" s="4" t="s">
        <v>10</v>
      </c>
      <c r="K258" s="8" t="s">
        <v>74</v>
      </c>
      <c r="M258">
        <f>E258</f>
        <v>1</v>
      </c>
      <c r="N258">
        <f t="shared" si="137"/>
        <v>1</v>
      </c>
      <c r="O258" s="23">
        <f>N258*H258</f>
        <v>0</v>
      </c>
    </row>
    <row r="259" spans="1:15" ht="27" customHeight="1" x14ac:dyDescent="0.25">
      <c r="A259" s="13" t="str">
        <f t="shared" ref="A259:A266" si="181">A258</f>
        <v>ЩУР.МОП1-6</v>
      </c>
      <c r="B259" s="10" t="s">
        <v>11</v>
      </c>
      <c r="C259" s="11" t="s">
        <v>40</v>
      </c>
      <c r="D259" s="10" t="s">
        <v>41</v>
      </c>
      <c r="E259" s="13">
        <v>1</v>
      </c>
      <c r="F259" s="14" t="s">
        <v>12</v>
      </c>
      <c r="G259" s="10">
        <v>18000</v>
      </c>
      <c r="H259" s="12">
        <f>0.6*G259</f>
        <v>10800</v>
      </c>
      <c r="I259" s="12">
        <f t="shared" ref="I259:I265" si="182">H259*E259</f>
        <v>10800</v>
      </c>
      <c r="J259" s="10" t="s">
        <v>13</v>
      </c>
      <c r="K259" s="13" t="str">
        <f>K258</f>
        <v>Блок6</v>
      </c>
      <c r="L259">
        <v>10800</v>
      </c>
      <c r="M259">
        <f t="shared" ref="M259:M266" si="183">M258</f>
        <v>1</v>
      </c>
      <c r="N259">
        <f t="shared" si="137"/>
        <v>1</v>
      </c>
      <c r="O259" s="23">
        <f>N259*H259</f>
        <v>10800</v>
      </c>
    </row>
    <row r="260" spans="1:15" ht="27" customHeight="1" x14ac:dyDescent="0.25">
      <c r="A260" s="13" t="str">
        <f t="shared" si="181"/>
        <v>ЩУР.МОП1-6</v>
      </c>
      <c r="B260" s="10" t="s">
        <v>293</v>
      </c>
      <c r="C260" s="11" t="s">
        <v>195</v>
      </c>
      <c r="D260" s="10" t="s">
        <v>196</v>
      </c>
      <c r="E260" s="13">
        <v>1</v>
      </c>
      <c r="F260" s="14" t="s">
        <v>12</v>
      </c>
      <c r="G260" s="10">
        <v>6190</v>
      </c>
      <c r="H260" s="12">
        <f t="shared" ref="H260:H262" si="184">0.3*G260</f>
        <v>1857</v>
      </c>
      <c r="I260" s="12">
        <f t="shared" si="182"/>
        <v>1857</v>
      </c>
      <c r="J260" s="10" t="s">
        <v>207</v>
      </c>
      <c r="K260" s="13" t="str">
        <f>K259</f>
        <v>Блок6</v>
      </c>
      <c r="L260">
        <v>1857</v>
      </c>
      <c r="M260">
        <f t="shared" si="183"/>
        <v>1</v>
      </c>
      <c r="N260">
        <f t="shared" si="137"/>
        <v>1</v>
      </c>
      <c r="O260" s="23">
        <f>N260*G260</f>
        <v>6190</v>
      </c>
    </row>
    <row r="261" spans="1:15" ht="27" customHeight="1" x14ac:dyDescent="0.25">
      <c r="A261" s="13" t="str">
        <f t="shared" si="181"/>
        <v>ЩУР.МОП1-6</v>
      </c>
      <c r="B261" s="10" t="s">
        <v>293</v>
      </c>
      <c r="C261" s="11" t="s">
        <v>193</v>
      </c>
      <c r="D261" s="10" t="s">
        <v>194</v>
      </c>
      <c r="E261" s="13">
        <v>3</v>
      </c>
      <c r="F261" s="14" t="s">
        <v>12</v>
      </c>
      <c r="G261" s="10">
        <v>6580</v>
      </c>
      <c r="H261" s="12">
        <f t="shared" si="184"/>
        <v>1974</v>
      </c>
      <c r="I261" s="12">
        <f t="shared" si="182"/>
        <v>5922</v>
      </c>
      <c r="J261" s="10" t="s">
        <v>207</v>
      </c>
      <c r="K261" s="13" t="str">
        <f>K260</f>
        <v>Блок6</v>
      </c>
      <c r="L261">
        <v>5922</v>
      </c>
      <c r="M261">
        <f t="shared" si="183"/>
        <v>1</v>
      </c>
      <c r="N261">
        <f t="shared" si="137"/>
        <v>3</v>
      </c>
      <c r="O261" s="23">
        <f>N261*G261</f>
        <v>19740</v>
      </c>
    </row>
    <row r="262" spans="1:15" ht="27" customHeight="1" x14ac:dyDescent="0.25">
      <c r="A262" s="13" t="str">
        <f t="shared" si="181"/>
        <v>ЩУР.МОП1-6</v>
      </c>
      <c r="B262" s="10" t="s">
        <v>293</v>
      </c>
      <c r="C262" s="11" t="s">
        <v>201</v>
      </c>
      <c r="D262" s="10" t="s">
        <v>202</v>
      </c>
      <c r="E262" s="13">
        <v>1</v>
      </c>
      <c r="F262" s="14" t="s">
        <v>12</v>
      </c>
      <c r="G262" s="10">
        <v>5750</v>
      </c>
      <c r="H262" s="12">
        <f t="shared" si="184"/>
        <v>1725</v>
      </c>
      <c r="I262" s="12">
        <f t="shared" si="182"/>
        <v>1725</v>
      </c>
      <c r="J262" s="10" t="s">
        <v>207</v>
      </c>
      <c r="K262" s="13" t="str">
        <f>K261</f>
        <v>Блок6</v>
      </c>
      <c r="L262">
        <v>1725</v>
      </c>
      <c r="M262">
        <f t="shared" si="183"/>
        <v>1</v>
      </c>
      <c r="N262">
        <f t="shared" ref="N262:N325" si="185">M262*E262</f>
        <v>1</v>
      </c>
      <c r="O262" s="23">
        <f>N262*G262</f>
        <v>5750</v>
      </c>
    </row>
    <row r="263" spans="1:15" ht="27" customHeight="1" x14ac:dyDescent="0.25">
      <c r="A263" s="13" t="str">
        <f t="shared" si="181"/>
        <v>ЩУР.МОП1-6</v>
      </c>
      <c r="B263" s="10" t="s">
        <v>15</v>
      </c>
      <c r="C263" s="11" t="s">
        <v>299</v>
      </c>
      <c r="D263" s="10" t="s">
        <v>300</v>
      </c>
      <c r="E263" s="13">
        <v>1</v>
      </c>
      <c r="F263" s="14" t="s">
        <v>12</v>
      </c>
      <c r="G263" s="10">
        <v>32400</v>
      </c>
      <c r="H263" s="12">
        <f>G263</f>
        <v>32400</v>
      </c>
      <c r="I263" s="12">
        <f t="shared" si="182"/>
        <v>32400</v>
      </c>
      <c r="J263" s="10" t="s">
        <v>16</v>
      </c>
      <c r="K263" s="13" t="str">
        <f>K261</f>
        <v>Блок6</v>
      </c>
      <c r="L263">
        <v>32400</v>
      </c>
      <c r="M263">
        <f t="shared" si="183"/>
        <v>1</v>
      </c>
      <c r="N263">
        <f t="shared" si="185"/>
        <v>1</v>
      </c>
      <c r="O263" s="23">
        <f t="shared" ref="O263:O269" si="186">N263*H263</f>
        <v>32400</v>
      </c>
    </row>
    <row r="264" spans="1:15" ht="27" customHeight="1" x14ac:dyDescent="0.25">
      <c r="A264" s="10" t="str">
        <f t="shared" si="181"/>
        <v>ЩУР.МОП1-6</v>
      </c>
      <c r="B264" s="10" t="s">
        <v>19</v>
      </c>
      <c r="C264" s="11" t="s">
        <v>19</v>
      </c>
      <c r="D264" s="10" t="s">
        <v>19</v>
      </c>
      <c r="E264" s="10">
        <v>1</v>
      </c>
      <c r="F264" s="10" t="s">
        <v>12</v>
      </c>
      <c r="G264" s="10">
        <f ca="1">OFFSET(G264,1,2)</f>
        <v>12000</v>
      </c>
      <c r="H264" s="12">
        <f ca="1">G264</f>
        <v>12000</v>
      </c>
      <c r="I264" s="12">
        <f t="shared" ca="1" si="182"/>
        <v>12000</v>
      </c>
      <c r="J264" s="10" t="s">
        <v>19</v>
      </c>
      <c r="K264" s="13" t="str">
        <f>K263</f>
        <v>Блок6</v>
      </c>
      <c r="L264">
        <v>12000</v>
      </c>
      <c r="M264">
        <f t="shared" si="183"/>
        <v>1</v>
      </c>
      <c r="N264">
        <f t="shared" si="185"/>
        <v>1</v>
      </c>
      <c r="O264" s="23">
        <f t="shared" ca="1" si="186"/>
        <v>12000</v>
      </c>
    </row>
    <row r="265" spans="1:15" ht="27" customHeight="1" x14ac:dyDescent="0.25">
      <c r="A265" s="10" t="str">
        <f t="shared" si="181"/>
        <v>ЩУР.МОП1-6</v>
      </c>
      <c r="B265" s="10" t="s">
        <v>20</v>
      </c>
      <c r="C265" s="11" t="s">
        <v>20</v>
      </c>
      <c r="D265" s="10" t="s">
        <v>20</v>
      </c>
      <c r="E265" s="10">
        <f>60*G265</f>
        <v>120</v>
      </c>
      <c r="F265" s="10" t="s">
        <v>12</v>
      </c>
      <c r="G265" s="10">
        <v>2</v>
      </c>
      <c r="H265" s="12">
        <v>100</v>
      </c>
      <c r="I265" s="12">
        <f t="shared" si="182"/>
        <v>12000</v>
      </c>
      <c r="J265" s="10" t="s">
        <v>20</v>
      </c>
      <c r="K265" s="13" t="str">
        <f>K264</f>
        <v>Блок6</v>
      </c>
      <c r="L265">
        <v>12000</v>
      </c>
      <c r="M265">
        <f t="shared" si="183"/>
        <v>1</v>
      </c>
      <c r="N265">
        <f t="shared" si="185"/>
        <v>120</v>
      </c>
      <c r="O265" s="23">
        <f t="shared" si="186"/>
        <v>12000</v>
      </c>
    </row>
    <row r="266" spans="1:15" ht="27" customHeight="1" x14ac:dyDescent="0.25">
      <c r="A266" s="15" t="str">
        <f t="shared" si="181"/>
        <v>ЩУР.МОП1-6</v>
      </c>
      <c r="B266" s="15"/>
      <c r="C266" s="15"/>
      <c r="D266" s="16"/>
      <c r="E266" s="15"/>
      <c r="F266" s="19"/>
      <c r="G266" s="17"/>
      <c r="H266" s="12">
        <f>G266*0.55</f>
        <v>0</v>
      </c>
      <c r="I266" s="18">
        <f ca="1">SUM(I259:I265)</f>
        <v>76704</v>
      </c>
      <c r="J266" s="15"/>
      <c r="K266" s="13" t="str">
        <f>K265</f>
        <v>Блок6</v>
      </c>
      <c r="L266">
        <v>76704</v>
      </c>
      <c r="M266">
        <f t="shared" si="183"/>
        <v>1</v>
      </c>
      <c r="N266">
        <f t="shared" si="185"/>
        <v>0</v>
      </c>
      <c r="O266" s="23">
        <f t="shared" si="186"/>
        <v>0</v>
      </c>
    </row>
    <row r="267" spans="1:15" ht="27" customHeight="1" x14ac:dyDescent="0.25">
      <c r="A267" s="8" t="str">
        <f>D267</f>
        <v>РЩ1-6 (АВР-Б-40-2-1)</v>
      </c>
      <c r="B267" s="4"/>
      <c r="C267" s="5"/>
      <c r="D267" s="4" t="s">
        <v>138</v>
      </c>
      <c r="E267" s="8">
        <v>1</v>
      </c>
      <c r="F267" s="9" t="s">
        <v>9</v>
      </c>
      <c r="G267" s="6"/>
      <c r="H267" s="6"/>
      <c r="I267" s="7"/>
      <c r="J267" s="4" t="s">
        <v>10</v>
      </c>
      <c r="K267" s="8" t="s">
        <v>74</v>
      </c>
      <c r="M267">
        <f>E267</f>
        <v>1</v>
      </c>
      <c r="N267">
        <f t="shared" si="185"/>
        <v>1</v>
      </c>
      <c r="O267" s="23">
        <f t="shared" si="186"/>
        <v>0</v>
      </c>
    </row>
    <row r="268" spans="1:15" ht="27" customHeight="1" x14ac:dyDescent="0.25">
      <c r="A268" s="13" t="str">
        <f t="shared" ref="A268:A278" si="187">A267</f>
        <v>РЩ1-6 (АВР-Б-40-2-1)</v>
      </c>
      <c r="B268" s="10" t="s">
        <v>11</v>
      </c>
      <c r="C268" s="11" t="s">
        <v>168</v>
      </c>
      <c r="D268" s="10" t="s">
        <v>169</v>
      </c>
      <c r="E268" s="13">
        <v>1</v>
      </c>
      <c r="F268" s="14" t="s">
        <v>12</v>
      </c>
      <c r="G268" s="10">
        <v>130000</v>
      </c>
      <c r="H268" s="12">
        <f t="shared" ref="H268:H269" si="188">0.6*G268</f>
        <v>78000</v>
      </c>
      <c r="I268" s="12">
        <f t="shared" ref="I268:I277" si="189">H268*E268</f>
        <v>78000</v>
      </c>
      <c r="J268" s="10" t="s">
        <v>13</v>
      </c>
      <c r="K268" s="13" t="str">
        <f t="shared" ref="K268:K278" si="190">K267</f>
        <v>Блок6</v>
      </c>
      <c r="L268">
        <v>78000</v>
      </c>
      <c r="M268">
        <f t="shared" ref="M268:M278" si="191">M267</f>
        <v>1</v>
      </c>
      <c r="N268">
        <f t="shared" si="185"/>
        <v>1</v>
      </c>
      <c r="O268" s="23">
        <f t="shared" si="186"/>
        <v>78000</v>
      </c>
    </row>
    <row r="269" spans="1:15" ht="27" customHeight="1" x14ac:dyDescent="0.25">
      <c r="A269" s="13" t="str">
        <f t="shared" si="187"/>
        <v>РЩ1-6 (АВР-Б-40-2-1)</v>
      </c>
      <c r="B269" s="10" t="s">
        <v>44</v>
      </c>
      <c r="C269" s="11" t="s">
        <v>162</v>
      </c>
      <c r="D269" s="10" t="s">
        <v>163</v>
      </c>
      <c r="E269" s="13">
        <v>1</v>
      </c>
      <c r="F269" s="14" t="s">
        <v>12</v>
      </c>
      <c r="G269" s="10">
        <v>114758</v>
      </c>
      <c r="H269" s="12">
        <f t="shared" si="188"/>
        <v>68854.8</v>
      </c>
      <c r="I269" s="12">
        <f t="shared" si="189"/>
        <v>68854.8</v>
      </c>
      <c r="J269" s="10" t="s">
        <v>14</v>
      </c>
      <c r="K269" s="13" t="str">
        <f t="shared" si="190"/>
        <v>Блок6</v>
      </c>
      <c r="L269">
        <v>68854.8</v>
      </c>
      <c r="M269">
        <f t="shared" si="191"/>
        <v>1</v>
      </c>
      <c r="N269">
        <f t="shared" si="185"/>
        <v>1</v>
      </c>
      <c r="O269" s="23">
        <f t="shared" si="186"/>
        <v>68854.8</v>
      </c>
    </row>
    <row r="270" spans="1:15" ht="27" customHeight="1" x14ac:dyDescent="0.25">
      <c r="A270" s="13" t="str">
        <f t="shared" si="187"/>
        <v>РЩ1-6 (АВР-Б-40-2-1)</v>
      </c>
      <c r="B270" s="10" t="s">
        <v>293</v>
      </c>
      <c r="C270" s="11" t="s">
        <v>213</v>
      </c>
      <c r="D270" s="10" t="s">
        <v>214</v>
      </c>
      <c r="E270" s="13">
        <v>2</v>
      </c>
      <c r="F270" s="14" t="s">
        <v>12</v>
      </c>
      <c r="G270" s="10">
        <v>7690</v>
      </c>
      <c r="H270" s="12">
        <f t="shared" ref="H270:H273" si="192">0.3*G270</f>
        <v>2307</v>
      </c>
      <c r="I270" s="12">
        <f t="shared" si="189"/>
        <v>4614</v>
      </c>
      <c r="J270" s="10" t="s">
        <v>207</v>
      </c>
      <c r="K270" s="13" t="str">
        <f t="shared" si="190"/>
        <v>Блок6</v>
      </c>
      <c r="L270">
        <v>4614</v>
      </c>
      <c r="M270">
        <f t="shared" si="191"/>
        <v>1</v>
      </c>
      <c r="N270">
        <f t="shared" si="185"/>
        <v>2</v>
      </c>
      <c r="O270" s="23">
        <f>N270*G270</f>
        <v>15380</v>
      </c>
    </row>
    <row r="271" spans="1:15" ht="27" customHeight="1" x14ac:dyDescent="0.25">
      <c r="A271" s="13" t="str">
        <f t="shared" si="187"/>
        <v>РЩ1-6 (АВР-Б-40-2-1)</v>
      </c>
      <c r="B271" s="10" t="s">
        <v>293</v>
      </c>
      <c r="C271" s="11" t="s">
        <v>231</v>
      </c>
      <c r="D271" s="10" t="s">
        <v>232</v>
      </c>
      <c r="E271" s="13">
        <v>3</v>
      </c>
      <c r="F271" s="14" t="s">
        <v>12</v>
      </c>
      <c r="G271" s="10">
        <v>7690</v>
      </c>
      <c r="H271" s="12">
        <f t="shared" si="192"/>
        <v>2307</v>
      </c>
      <c r="I271" s="12">
        <f t="shared" si="189"/>
        <v>6921</v>
      </c>
      <c r="J271" s="10" t="s">
        <v>207</v>
      </c>
      <c r="K271" s="13" t="str">
        <f t="shared" si="190"/>
        <v>Блок6</v>
      </c>
      <c r="L271">
        <v>6921</v>
      </c>
      <c r="M271">
        <f t="shared" si="191"/>
        <v>1</v>
      </c>
      <c r="N271">
        <f t="shared" si="185"/>
        <v>3</v>
      </c>
      <c r="O271" s="23">
        <f>N271*G271</f>
        <v>23070</v>
      </c>
    </row>
    <row r="272" spans="1:15" ht="27" customHeight="1" x14ac:dyDescent="0.25">
      <c r="A272" s="13" t="str">
        <f t="shared" si="187"/>
        <v>РЩ1-6 (АВР-Б-40-2-1)</v>
      </c>
      <c r="B272" s="10" t="s">
        <v>294</v>
      </c>
      <c r="C272" s="11" t="s">
        <v>203</v>
      </c>
      <c r="D272" s="10" t="s">
        <v>204</v>
      </c>
      <c r="E272" s="13">
        <v>2</v>
      </c>
      <c r="F272" s="14" t="s">
        <v>12</v>
      </c>
      <c r="G272" s="10">
        <v>13450</v>
      </c>
      <c r="H272" s="12">
        <f t="shared" si="192"/>
        <v>4035</v>
      </c>
      <c r="I272" s="12">
        <f t="shared" si="189"/>
        <v>8070</v>
      </c>
      <c r="J272" s="10" t="s">
        <v>207</v>
      </c>
      <c r="K272" s="13" t="str">
        <f t="shared" si="190"/>
        <v>Блок6</v>
      </c>
      <c r="L272">
        <v>8070</v>
      </c>
      <c r="M272">
        <f t="shared" si="191"/>
        <v>1</v>
      </c>
      <c r="N272">
        <f t="shared" si="185"/>
        <v>2</v>
      </c>
      <c r="O272" s="23">
        <f>N272*G272</f>
        <v>26900</v>
      </c>
    </row>
    <row r="273" spans="1:15" ht="27" customHeight="1" x14ac:dyDescent="0.25">
      <c r="A273" s="13" t="str">
        <f t="shared" si="187"/>
        <v>РЩ1-6 (АВР-Б-40-2-1)</v>
      </c>
      <c r="B273" s="10" t="s">
        <v>293</v>
      </c>
      <c r="C273" s="11" t="s">
        <v>205</v>
      </c>
      <c r="D273" s="10" t="s">
        <v>206</v>
      </c>
      <c r="E273" s="13">
        <v>1</v>
      </c>
      <c r="F273" s="14" t="s">
        <v>12</v>
      </c>
      <c r="G273" s="10">
        <v>7090</v>
      </c>
      <c r="H273" s="12">
        <f t="shared" si="192"/>
        <v>2127</v>
      </c>
      <c r="I273" s="12">
        <f t="shared" si="189"/>
        <v>2127</v>
      </c>
      <c r="J273" s="10" t="s">
        <v>207</v>
      </c>
      <c r="K273" s="13" t="str">
        <f t="shared" si="190"/>
        <v>Блок6</v>
      </c>
      <c r="L273">
        <v>2127</v>
      </c>
      <c r="M273">
        <f t="shared" si="191"/>
        <v>1</v>
      </c>
      <c r="N273">
        <f t="shared" si="185"/>
        <v>1</v>
      </c>
      <c r="O273" s="23">
        <f>N273*G273</f>
        <v>7090</v>
      </c>
    </row>
    <row r="274" spans="1:15" ht="27" customHeight="1" x14ac:dyDescent="0.25">
      <c r="A274" s="13" t="str">
        <f t="shared" si="187"/>
        <v>РЩ1-6 (АВР-Б-40-2-1)</v>
      </c>
      <c r="B274" s="10" t="s">
        <v>15</v>
      </c>
      <c r="C274" s="11" t="s">
        <v>299</v>
      </c>
      <c r="D274" s="10" t="s">
        <v>300</v>
      </c>
      <c r="E274" s="13">
        <v>1</v>
      </c>
      <c r="F274" s="14" t="s">
        <v>12</v>
      </c>
      <c r="G274" s="10">
        <v>32400</v>
      </c>
      <c r="H274" s="12">
        <f>G274</f>
        <v>32400</v>
      </c>
      <c r="I274" s="12">
        <f t="shared" si="189"/>
        <v>32400</v>
      </c>
      <c r="J274" s="10" t="s">
        <v>16</v>
      </c>
      <c r="K274" s="13" t="str">
        <f t="shared" si="190"/>
        <v>Блок6</v>
      </c>
      <c r="L274">
        <v>32400</v>
      </c>
      <c r="M274">
        <f t="shared" si="191"/>
        <v>1</v>
      </c>
      <c r="N274">
        <f t="shared" si="185"/>
        <v>1</v>
      </c>
      <c r="O274" s="23">
        <f t="shared" ref="O274:O284" si="193">N274*H274</f>
        <v>32400</v>
      </c>
    </row>
    <row r="275" spans="1:15" ht="27" customHeight="1" x14ac:dyDescent="0.25">
      <c r="A275" s="13" t="str">
        <f t="shared" si="187"/>
        <v>РЩ1-6 (АВР-Б-40-2-1)</v>
      </c>
      <c r="B275" s="10" t="s">
        <v>30</v>
      </c>
      <c r="C275" s="11"/>
      <c r="D275" s="10" t="s">
        <v>31</v>
      </c>
      <c r="E275" s="13">
        <v>6</v>
      </c>
      <c r="F275" s="14" t="s">
        <v>12</v>
      </c>
      <c r="G275" s="10">
        <v>3850</v>
      </c>
      <c r="H275" s="12">
        <f>G275</f>
        <v>3850</v>
      </c>
      <c r="I275" s="12">
        <f t="shared" si="189"/>
        <v>23100</v>
      </c>
      <c r="J275" s="10" t="s">
        <v>25</v>
      </c>
      <c r="K275" s="13" t="str">
        <f t="shared" si="190"/>
        <v>Блок6</v>
      </c>
      <c r="L275">
        <v>23100</v>
      </c>
      <c r="M275">
        <f t="shared" si="191"/>
        <v>1</v>
      </c>
      <c r="N275">
        <f t="shared" si="185"/>
        <v>6</v>
      </c>
      <c r="O275" s="23">
        <f t="shared" si="193"/>
        <v>23100</v>
      </c>
    </row>
    <row r="276" spans="1:15" ht="27" customHeight="1" x14ac:dyDescent="0.25">
      <c r="A276" s="10" t="str">
        <f t="shared" si="187"/>
        <v>РЩ1-6 (АВР-Б-40-2-1)</v>
      </c>
      <c r="B276" s="10" t="s">
        <v>19</v>
      </c>
      <c r="C276" s="11" t="s">
        <v>19</v>
      </c>
      <c r="D276" s="10" t="s">
        <v>19</v>
      </c>
      <c r="E276" s="10">
        <v>1</v>
      </c>
      <c r="F276" s="10" t="s">
        <v>12</v>
      </c>
      <c r="G276" s="10">
        <f ca="1">OFFSET(G276,1,2)</f>
        <v>39000</v>
      </c>
      <c r="H276" s="12">
        <f ca="1">G276</f>
        <v>39000</v>
      </c>
      <c r="I276" s="12">
        <f t="shared" ca="1" si="189"/>
        <v>39000</v>
      </c>
      <c r="J276" s="10" t="s">
        <v>19</v>
      </c>
      <c r="K276" s="13" t="str">
        <f t="shared" si="190"/>
        <v>Блок6</v>
      </c>
      <c r="L276">
        <v>39000</v>
      </c>
      <c r="M276">
        <f t="shared" si="191"/>
        <v>1</v>
      </c>
      <c r="N276">
        <f t="shared" si="185"/>
        <v>1</v>
      </c>
      <c r="O276" s="23">
        <f t="shared" ca="1" si="193"/>
        <v>39000</v>
      </c>
    </row>
    <row r="277" spans="1:15" ht="27" customHeight="1" x14ac:dyDescent="0.25">
      <c r="A277" s="10" t="str">
        <f t="shared" si="187"/>
        <v>РЩ1-6 (АВР-Б-40-2-1)</v>
      </c>
      <c r="B277" s="10" t="s">
        <v>20</v>
      </c>
      <c r="C277" s="11" t="s">
        <v>20</v>
      </c>
      <c r="D277" s="10" t="s">
        <v>20</v>
      </c>
      <c r="E277" s="10">
        <f>60*G277</f>
        <v>390</v>
      </c>
      <c r="F277" s="10" t="s">
        <v>12</v>
      </c>
      <c r="G277" s="10">
        <v>6.5</v>
      </c>
      <c r="H277" s="12">
        <v>100</v>
      </c>
      <c r="I277" s="12">
        <f t="shared" si="189"/>
        <v>39000</v>
      </c>
      <c r="J277" s="10" t="s">
        <v>20</v>
      </c>
      <c r="K277" s="13" t="str">
        <f t="shared" si="190"/>
        <v>Блок6</v>
      </c>
      <c r="L277">
        <v>39000</v>
      </c>
      <c r="M277">
        <f t="shared" si="191"/>
        <v>1</v>
      </c>
      <c r="N277">
        <f t="shared" si="185"/>
        <v>390</v>
      </c>
      <c r="O277" s="23">
        <f t="shared" si="193"/>
        <v>39000</v>
      </c>
    </row>
    <row r="278" spans="1:15" ht="27" customHeight="1" x14ac:dyDescent="0.25">
      <c r="A278" s="15" t="str">
        <f t="shared" si="187"/>
        <v>РЩ1-6 (АВР-Б-40-2-1)</v>
      </c>
      <c r="B278" s="15"/>
      <c r="C278" s="15"/>
      <c r="D278" s="16"/>
      <c r="E278" s="15"/>
      <c r="F278" s="19"/>
      <c r="G278" s="17"/>
      <c r="H278" s="12">
        <f t="shared" ref="H278" si="194">G278*0.55</f>
        <v>0</v>
      </c>
      <c r="I278" s="18">
        <f ca="1">SUM(I268:I277)</f>
        <v>302086.8</v>
      </c>
      <c r="J278" s="15"/>
      <c r="K278" s="13" t="str">
        <f t="shared" si="190"/>
        <v>Блок6</v>
      </c>
      <c r="L278">
        <v>302086.8</v>
      </c>
      <c r="M278">
        <f t="shared" si="191"/>
        <v>1</v>
      </c>
      <c r="N278">
        <f t="shared" si="185"/>
        <v>0</v>
      </c>
      <c r="O278" s="23">
        <f t="shared" si="193"/>
        <v>0</v>
      </c>
    </row>
    <row r="279" spans="1:15" ht="27" customHeight="1" x14ac:dyDescent="0.25">
      <c r="A279" s="8" t="str">
        <f>D279</f>
        <v>ВРУ1-7</v>
      </c>
      <c r="B279" s="4"/>
      <c r="C279" s="5"/>
      <c r="D279" s="4" t="s">
        <v>76</v>
      </c>
      <c r="E279" s="8">
        <v>1</v>
      </c>
      <c r="F279" s="9" t="s">
        <v>9</v>
      </c>
      <c r="G279" s="6"/>
      <c r="H279" s="6"/>
      <c r="I279" s="7"/>
      <c r="J279" s="4" t="s">
        <v>10</v>
      </c>
      <c r="K279" s="8" t="s">
        <v>77</v>
      </c>
      <c r="M279">
        <f>E279</f>
        <v>1</v>
      </c>
      <c r="N279">
        <f t="shared" si="185"/>
        <v>1</v>
      </c>
      <c r="O279" s="23">
        <f t="shared" si="193"/>
        <v>0</v>
      </c>
    </row>
    <row r="280" spans="1:15" ht="27" customHeight="1" x14ac:dyDescent="0.25">
      <c r="A280" s="13" t="str">
        <f t="shared" ref="A280:A290" si="195">A279</f>
        <v>ВРУ1-7</v>
      </c>
      <c r="B280" s="10" t="s">
        <v>11</v>
      </c>
      <c r="C280" s="11" t="s">
        <v>172</v>
      </c>
      <c r="D280" s="10" t="s">
        <v>173</v>
      </c>
      <c r="E280" s="13">
        <v>1</v>
      </c>
      <c r="F280" s="14" t="s">
        <v>12</v>
      </c>
      <c r="G280" s="10">
        <v>156500</v>
      </c>
      <c r="H280" s="12">
        <f>0.6*G280</f>
        <v>93900</v>
      </c>
      <c r="I280" s="12">
        <f t="shared" ref="I280:I289" si="196">H280*E280</f>
        <v>93900</v>
      </c>
      <c r="J280" s="10" t="s">
        <v>13</v>
      </c>
      <c r="K280" s="13" t="str">
        <f t="shared" ref="K280:K282" si="197">K279</f>
        <v>Блок7</v>
      </c>
      <c r="L280">
        <v>93900</v>
      </c>
      <c r="M280">
        <f t="shared" ref="M280:M290" si="198">M279</f>
        <v>1</v>
      </c>
      <c r="N280">
        <f t="shared" si="185"/>
        <v>1</v>
      </c>
      <c r="O280" s="23">
        <f t="shared" si="193"/>
        <v>93900</v>
      </c>
    </row>
    <row r="281" spans="1:15" ht="27" customHeight="1" x14ac:dyDescent="0.25">
      <c r="A281" s="13" t="str">
        <f t="shared" si="195"/>
        <v>ВРУ1-7</v>
      </c>
      <c r="B281" s="10" t="s">
        <v>23</v>
      </c>
      <c r="C281" s="11" t="s">
        <v>307</v>
      </c>
      <c r="D281" s="10" t="s">
        <v>308</v>
      </c>
      <c r="E281" s="13">
        <v>6</v>
      </c>
      <c r="F281" s="14" t="s">
        <v>12</v>
      </c>
      <c r="G281" s="10">
        <v>5523</v>
      </c>
      <c r="H281" s="12">
        <f t="shared" ref="H281:H282" si="199">G281</f>
        <v>5523</v>
      </c>
      <c r="I281" s="12">
        <f t="shared" si="196"/>
        <v>33138</v>
      </c>
      <c r="J281" s="10" t="s">
        <v>25</v>
      </c>
      <c r="K281" s="13" t="str">
        <f t="shared" si="197"/>
        <v>Блок7</v>
      </c>
      <c r="L281">
        <v>33138</v>
      </c>
      <c r="M281">
        <f t="shared" si="198"/>
        <v>1</v>
      </c>
      <c r="N281">
        <f t="shared" si="185"/>
        <v>6</v>
      </c>
      <c r="O281" s="23">
        <f t="shared" si="193"/>
        <v>33138</v>
      </c>
    </row>
    <row r="282" spans="1:15" ht="27" customHeight="1" x14ac:dyDescent="0.25">
      <c r="A282" s="13" t="str">
        <f t="shared" si="195"/>
        <v>ВРУ1-7</v>
      </c>
      <c r="B282" s="10" t="s">
        <v>26</v>
      </c>
      <c r="C282" s="11" t="s">
        <v>177</v>
      </c>
      <c r="D282" s="10" t="s">
        <v>178</v>
      </c>
      <c r="E282" s="13">
        <v>2</v>
      </c>
      <c r="F282" s="14" t="s">
        <v>12</v>
      </c>
      <c r="G282" s="10">
        <v>25500</v>
      </c>
      <c r="H282" s="12">
        <f t="shared" si="199"/>
        <v>25500</v>
      </c>
      <c r="I282" s="12">
        <f t="shared" si="196"/>
        <v>51000</v>
      </c>
      <c r="J282" s="10" t="s">
        <v>25</v>
      </c>
      <c r="K282" s="13" t="str">
        <f t="shared" si="197"/>
        <v>Блок7</v>
      </c>
      <c r="L282">
        <v>51000</v>
      </c>
      <c r="M282">
        <f t="shared" si="198"/>
        <v>1</v>
      </c>
      <c r="N282">
        <f t="shared" si="185"/>
        <v>2</v>
      </c>
      <c r="O282" s="23">
        <f t="shared" si="193"/>
        <v>51000</v>
      </c>
    </row>
    <row r="283" spans="1:15" ht="27" customHeight="1" x14ac:dyDescent="0.25">
      <c r="A283" s="13" t="str">
        <f t="shared" si="195"/>
        <v>ВРУ1-7</v>
      </c>
      <c r="B283" s="10" t="s">
        <v>127</v>
      </c>
      <c r="C283" s="11" t="s">
        <v>130</v>
      </c>
      <c r="D283" s="10" t="s">
        <v>131</v>
      </c>
      <c r="E283" s="13">
        <v>6</v>
      </c>
      <c r="F283" s="14" t="s">
        <v>12</v>
      </c>
      <c r="G283" s="10">
        <v>4750</v>
      </c>
      <c r="H283" s="12">
        <f t="shared" ref="H283:H284" si="200">0.6*G283</f>
        <v>2850</v>
      </c>
      <c r="I283" s="12">
        <f t="shared" si="196"/>
        <v>17100</v>
      </c>
      <c r="J283" s="10" t="s">
        <v>14</v>
      </c>
      <c r="K283" s="13" t="str">
        <f>K281</f>
        <v>Блок7</v>
      </c>
      <c r="L283">
        <v>17100</v>
      </c>
      <c r="M283">
        <f t="shared" si="198"/>
        <v>1</v>
      </c>
      <c r="N283">
        <f t="shared" si="185"/>
        <v>6</v>
      </c>
      <c r="O283" s="23">
        <f t="shared" si="193"/>
        <v>17100</v>
      </c>
    </row>
    <row r="284" spans="1:15" ht="27" customHeight="1" x14ac:dyDescent="0.25">
      <c r="A284" s="13" t="str">
        <f t="shared" si="195"/>
        <v>ВРУ1-7</v>
      </c>
      <c r="B284" s="10" t="s">
        <v>126</v>
      </c>
      <c r="C284" s="11" t="s">
        <v>128</v>
      </c>
      <c r="D284" s="10" t="s">
        <v>129</v>
      </c>
      <c r="E284" s="13">
        <v>6</v>
      </c>
      <c r="F284" s="14" t="s">
        <v>12</v>
      </c>
      <c r="G284" s="10">
        <v>3317</v>
      </c>
      <c r="H284" s="12">
        <f t="shared" si="200"/>
        <v>1990.1999999999998</v>
      </c>
      <c r="I284" s="12">
        <f t="shared" si="196"/>
        <v>11941.199999999999</v>
      </c>
      <c r="J284" s="10" t="s">
        <v>14</v>
      </c>
      <c r="K284" s="13" t="str">
        <f t="shared" ref="K284:K290" si="201">K282</f>
        <v>Блок7</v>
      </c>
      <c r="L284">
        <v>11941.199999999999</v>
      </c>
      <c r="M284">
        <f t="shared" si="198"/>
        <v>1</v>
      </c>
      <c r="N284">
        <f t="shared" si="185"/>
        <v>6</v>
      </c>
      <c r="O284" s="23">
        <f t="shared" si="193"/>
        <v>11941.199999999999</v>
      </c>
    </row>
    <row r="285" spans="1:15" ht="27" customHeight="1" x14ac:dyDescent="0.25">
      <c r="A285" s="13" t="str">
        <f t="shared" si="195"/>
        <v>ВРУ1-7</v>
      </c>
      <c r="B285" s="10" t="s">
        <v>293</v>
      </c>
      <c r="C285" s="11" t="s">
        <v>189</v>
      </c>
      <c r="D285" s="10" t="s">
        <v>190</v>
      </c>
      <c r="E285" s="13">
        <v>2</v>
      </c>
      <c r="F285" s="14" t="s">
        <v>12</v>
      </c>
      <c r="G285" s="10">
        <v>1390</v>
      </c>
      <c r="H285" s="12">
        <f>0.3*G285</f>
        <v>417</v>
      </c>
      <c r="I285" s="12">
        <f t="shared" si="196"/>
        <v>834</v>
      </c>
      <c r="J285" s="10" t="s">
        <v>207</v>
      </c>
      <c r="K285" s="13" t="str">
        <f t="shared" si="201"/>
        <v>Блок7</v>
      </c>
      <c r="L285">
        <v>834</v>
      </c>
      <c r="M285">
        <f t="shared" si="198"/>
        <v>1</v>
      </c>
      <c r="N285">
        <f t="shared" si="185"/>
        <v>2</v>
      </c>
      <c r="O285" s="23">
        <f>N285*G285</f>
        <v>2780</v>
      </c>
    </row>
    <row r="286" spans="1:15" ht="27" customHeight="1" x14ac:dyDescent="0.25">
      <c r="A286" s="13" t="str">
        <f t="shared" si="195"/>
        <v>ВРУ1-7</v>
      </c>
      <c r="B286" s="10" t="s">
        <v>15</v>
      </c>
      <c r="C286" s="11" t="s">
        <v>297</v>
      </c>
      <c r="D286" s="24" t="s">
        <v>298</v>
      </c>
      <c r="E286" s="13">
        <v>2</v>
      </c>
      <c r="F286" s="14" t="s">
        <v>12</v>
      </c>
      <c r="G286" s="10">
        <v>89000</v>
      </c>
      <c r="H286" s="12">
        <f>G286</f>
        <v>89000</v>
      </c>
      <c r="I286" s="12">
        <f t="shared" si="196"/>
        <v>178000</v>
      </c>
      <c r="J286" s="10" t="s">
        <v>16</v>
      </c>
      <c r="K286" s="13" t="str">
        <f t="shared" si="201"/>
        <v>Блок7</v>
      </c>
      <c r="L286">
        <v>178000</v>
      </c>
      <c r="M286">
        <f t="shared" si="198"/>
        <v>1</v>
      </c>
      <c r="N286">
        <f t="shared" si="185"/>
        <v>2</v>
      </c>
      <c r="O286" s="23">
        <f t="shared" ref="O286:O292" si="202">N286*H286</f>
        <v>178000</v>
      </c>
    </row>
    <row r="287" spans="1:15" ht="27" customHeight="1" x14ac:dyDescent="0.25">
      <c r="A287" s="13" t="str">
        <f t="shared" si="195"/>
        <v>ВРУ1-7</v>
      </c>
      <c r="B287" s="10" t="s">
        <v>30</v>
      </c>
      <c r="C287" s="11"/>
      <c r="D287" s="10" t="s">
        <v>31</v>
      </c>
      <c r="E287" s="13">
        <v>6</v>
      </c>
      <c r="F287" s="14" t="s">
        <v>12</v>
      </c>
      <c r="G287" s="10">
        <v>3850</v>
      </c>
      <c r="H287" s="12">
        <f>G287</f>
        <v>3850</v>
      </c>
      <c r="I287" s="12">
        <f t="shared" si="196"/>
        <v>23100</v>
      </c>
      <c r="J287" s="10" t="s">
        <v>25</v>
      </c>
      <c r="K287" s="13" t="str">
        <f t="shared" si="201"/>
        <v>Блок7</v>
      </c>
      <c r="L287">
        <v>23100</v>
      </c>
      <c r="M287">
        <f t="shared" si="198"/>
        <v>1</v>
      </c>
      <c r="N287">
        <f t="shared" si="185"/>
        <v>6</v>
      </c>
      <c r="O287" s="23">
        <f t="shared" si="202"/>
        <v>23100</v>
      </c>
    </row>
    <row r="288" spans="1:15" ht="27" customHeight="1" x14ac:dyDescent="0.25">
      <c r="A288" s="10" t="str">
        <f t="shared" si="195"/>
        <v>ВРУ1-7</v>
      </c>
      <c r="B288" s="10" t="s">
        <v>19</v>
      </c>
      <c r="C288" s="11" t="s">
        <v>19</v>
      </c>
      <c r="D288" s="10" t="s">
        <v>19</v>
      </c>
      <c r="E288" s="10">
        <v>1</v>
      </c>
      <c r="F288" s="10" t="s">
        <v>12</v>
      </c>
      <c r="G288" s="10">
        <f ca="1">OFFSET(G288,1,2)</f>
        <v>48000</v>
      </c>
      <c r="H288" s="12">
        <f ca="1">G288</f>
        <v>48000</v>
      </c>
      <c r="I288" s="12">
        <f t="shared" ca="1" si="196"/>
        <v>48000</v>
      </c>
      <c r="J288" s="10" t="s">
        <v>19</v>
      </c>
      <c r="K288" s="13" t="str">
        <f t="shared" si="201"/>
        <v>Блок7</v>
      </c>
      <c r="L288">
        <v>48000</v>
      </c>
      <c r="M288">
        <f t="shared" si="198"/>
        <v>1</v>
      </c>
      <c r="N288">
        <f t="shared" si="185"/>
        <v>1</v>
      </c>
      <c r="O288" s="23">
        <f t="shared" ca="1" si="202"/>
        <v>48000</v>
      </c>
    </row>
    <row r="289" spans="1:15" ht="27" customHeight="1" x14ac:dyDescent="0.25">
      <c r="A289" s="10" t="str">
        <f t="shared" si="195"/>
        <v>ВРУ1-7</v>
      </c>
      <c r="B289" s="10" t="s">
        <v>20</v>
      </c>
      <c r="C289" s="11" t="s">
        <v>20</v>
      </c>
      <c r="D289" s="10" t="s">
        <v>20</v>
      </c>
      <c r="E289" s="10">
        <f>60*G289</f>
        <v>480</v>
      </c>
      <c r="F289" s="10" t="s">
        <v>12</v>
      </c>
      <c r="G289" s="10">
        <v>8</v>
      </c>
      <c r="H289" s="12">
        <v>100</v>
      </c>
      <c r="I289" s="12">
        <f t="shared" si="196"/>
        <v>48000</v>
      </c>
      <c r="J289" s="10" t="s">
        <v>20</v>
      </c>
      <c r="K289" s="13" t="str">
        <f t="shared" si="201"/>
        <v>Блок7</v>
      </c>
      <c r="L289">
        <v>48000</v>
      </c>
      <c r="M289">
        <f t="shared" si="198"/>
        <v>1</v>
      </c>
      <c r="N289">
        <f t="shared" si="185"/>
        <v>480</v>
      </c>
      <c r="O289" s="23">
        <f t="shared" si="202"/>
        <v>48000</v>
      </c>
    </row>
    <row r="290" spans="1:15" ht="27" customHeight="1" x14ac:dyDescent="0.25">
      <c r="A290" s="15" t="str">
        <f t="shared" si="195"/>
        <v>ВРУ1-7</v>
      </c>
      <c r="B290" s="15"/>
      <c r="C290" s="15"/>
      <c r="D290" s="16"/>
      <c r="E290" s="15"/>
      <c r="F290" s="19"/>
      <c r="G290" s="17"/>
      <c r="H290" s="12">
        <f>G290*0.55</f>
        <v>0</v>
      </c>
      <c r="I290" s="18">
        <f ca="1">SUM(I280:I289)</f>
        <v>505013.2</v>
      </c>
      <c r="J290" s="15"/>
      <c r="K290" s="13" t="str">
        <f t="shared" si="201"/>
        <v>Блок7</v>
      </c>
      <c r="L290">
        <v>505013.2</v>
      </c>
      <c r="M290">
        <f t="shared" si="198"/>
        <v>1</v>
      </c>
      <c r="N290">
        <f t="shared" si="185"/>
        <v>0</v>
      </c>
      <c r="O290" s="23">
        <f t="shared" si="202"/>
        <v>0</v>
      </c>
    </row>
    <row r="291" spans="1:15" ht="27" customHeight="1" x14ac:dyDescent="0.25">
      <c r="A291" s="8" t="str">
        <f>D291</f>
        <v>РУ-1-7</v>
      </c>
      <c r="B291" s="4"/>
      <c r="C291" s="5"/>
      <c r="D291" s="4" t="s">
        <v>78</v>
      </c>
      <c r="E291" s="8">
        <v>1</v>
      </c>
      <c r="F291" s="9" t="s">
        <v>9</v>
      </c>
      <c r="G291" s="6"/>
      <c r="H291" s="6"/>
      <c r="I291" s="7"/>
      <c r="J291" s="4" t="s">
        <v>10</v>
      </c>
      <c r="K291" s="8" t="s">
        <v>77</v>
      </c>
      <c r="M291">
        <f>E291</f>
        <v>1</v>
      </c>
      <c r="N291">
        <f t="shared" si="185"/>
        <v>1</v>
      </c>
      <c r="O291" s="23">
        <f t="shared" si="202"/>
        <v>0</v>
      </c>
    </row>
    <row r="292" spans="1:15" ht="27" customHeight="1" x14ac:dyDescent="0.25">
      <c r="A292" s="13" t="str">
        <f t="shared" ref="A292:A298" si="203">A291</f>
        <v>РУ-1-7</v>
      </c>
      <c r="B292" s="10" t="s">
        <v>11</v>
      </c>
      <c r="C292" s="11" t="s">
        <v>170</v>
      </c>
      <c r="D292" s="10" t="s">
        <v>171</v>
      </c>
      <c r="E292" s="13">
        <v>1</v>
      </c>
      <c r="F292" s="14" t="s">
        <v>12</v>
      </c>
      <c r="G292" s="10">
        <v>145000</v>
      </c>
      <c r="H292" s="12">
        <f>0.6*G292</f>
        <v>87000</v>
      </c>
      <c r="I292" s="12">
        <f t="shared" ref="I292:I297" si="204">H292*E292</f>
        <v>87000</v>
      </c>
      <c r="J292" s="10" t="s">
        <v>13</v>
      </c>
      <c r="K292" s="13" t="str">
        <f t="shared" ref="K292:K298" si="205">K291</f>
        <v>Блок7</v>
      </c>
      <c r="L292">
        <v>87000</v>
      </c>
      <c r="M292">
        <f t="shared" ref="M292:M298" si="206">M291</f>
        <v>1</v>
      </c>
      <c r="N292">
        <f t="shared" si="185"/>
        <v>1</v>
      </c>
      <c r="O292" s="23">
        <f t="shared" si="202"/>
        <v>87000</v>
      </c>
    </row>
    <row r="293" spans="1:15" ht="27" customHeight="1" x14ac:dyDescent="0.25">
      <c r="A293" s="13" t="str">
        <f t="shared" si="203"/>
        <v>РУ-1-7</v>
      </c>
      <c r="B293" s="10" t="s">
        <v>294</v>
      </c>
      <c r="C293" s="11" t="s">
        <v>225</v>
      </c>
      <c r="D293" s="10" t="s">
        <v>226</v>
      </c>
      <c r="E293" s="13">
        <v>4</v>
      </c>
      <c r="F293" s="14" t="s">
        <v>12</v>
      </c>
      <c r="G293" s="10">
        <v>17300</v>
      </c>
      <c r="H293" s="12">
        <f>0.3*G293</f>
        <v>5190</v>
      </c>
      <c r="I293" s="12">
        <f t="shared" si="204"/>
        <v>20760</v>
      </c>
      <c r="J293" s="10" t="s">
        <v>207</v>
      </c>
      <c r="K293" s="13" t="str">
        <f t="shared" si="205"/>
        <v>Блок7</v>
      </c>
      <c r="L293">
        <v>20760</v>
      </c>
      <c r="M293">
        <f t="shared" si="206"/>
        <v>1</v>
      </c>
      <c r="N293">
        <f t="shared" si="185"/>
        <v>4</v>
      </c>
      <c r="O293" s="23">
        <f>N293*G293</f>
        <v>69200</v>
      </c>
    </row>
    <row r="294" spans="1:15" ht="27" customHeight="1" x14ac:dyDescent="0.25">
      <c r="A294" s="13" t="str">
        <f t="shared" si="203"/>
        <v>РУ-1-7</v>
      </c>
      <c r="B294" s="10" t="s">
        <v>294</v>
      </c>
      <c r="C294" s="11" t="s">
        <v>229</v>
      </c>
      <c r="D294" s="10" t="s">
        <v>230</v>
      </c>
      <c r="E294" s="13">
        <v>1</v>
      </c>
      <c r="F294" s="14" t="s">
        <v>12</v>
      </c>
      <c r="G294" s="10">
        <v>34800</v>
      </c>
      <c r="H294" s="12">
        <f>0.6*G294</f>
        <v>20880</v>
      </c>
      <c r="I294" s="12">
        <f t="shared" si="204"/>
        <v>20880</v>
      </c>
      <c r="J294" s="10" t="s">
        <v>14</v>
      </c>
      <c r="K294" s="13" t="str">
        <f t="shared" si="205"/>
        <v>Блок7</v>
      </c>
      <c r="L294">
        <v>20880</v>
      </c>
      <c r="M294">
        <f t="shared" si="206"/>
        <v>1</v>
      </c>
      <c r="N294">
        <f t="shared" si="185"/>
        <v>1</v>
      </c>
      <c r="O294" s="23">
        <f>N294*H294</f>
        <v>20880</v>
      </c>
    </row>
    <row r="295" spans="1:15" ht="27" customHeight="1" x14ac:dyDescent="0.25">
      <c r="A295" s="13" t="str">
        <f t="shared" si="203"/>
        <v>РУ-1-7</v>
      </c>
      <c r="B295" s="10" t="s">
        <v>293</v>
      </c>
      <c r="C295" s="11" t="s">
        <v>217</v>
      </c>
      <c r="D295" s="10" t="s">
        <v>218</v>
      </c>
      <c r="E295" s="13">
        <v>2</v>
      </c>
      <c r="F295" s="14" t="s">
        <v>12</v>
      </c>
      <c r="G295" s="10">
        <v>7850</v>
      </c>
      <c r="H295" s="12">
        <f>0.3*G295</f>
        <v>2355</v>
      </c>
      <c r="I295" s="12">
        <f t="shared" si="204"/>
        <v>4710</v>
      </c>
      <c r="J295" s="10" t="s">
        <v>207</v>
      </c>
      <c r="K295" s="13" t="str">
        <f t="shared" si="205"/>
        <v>Блок7</v>
      </c>
      <c r="L295">
        <v>4710</v>
      </c>
      <c r="M295">
        <f t="shared" si="206"/>
        <v>1</v>
      </c>
      <c r="N295">
        <f t="shared" si="185"/>
        <v>2</v>
      </c>
      <c r="O295" s="23">
        <f>N295*G295</f>
        <v>15700</v>
      </c>
    </row>
    <row r="296" spans="1:15" ht="27" customHeight="1" x14ac:dyDescent="0.25">
      <c r="A296" s="10" t="str">
        <f t="shared" si="203"/>
        <v>РУ-1-7</v>
      </c>
      <c r="B296" s="10" t="s">
        <v>19</v>
      </c>
      <c r="C296" s="11" t="s">
        <v>19</v>
      </c>
      <c r="D296" s="10" t="s">
        <v>19</v>
      </c>
      <c r="E296" s="10">
        <v>1</v>
      </c>
      <c r="F296" s="10" t="s">
        <v>12</v>
      </c>
      <c r="G296" s="10">
        <f ca="1">OFFSET(G296,1,2)</f>
        <v>27000</v>
      </c>
      <c r="H296" s="12">
        <f ca="1">G296</f>
        <v>27000</v>
      </c>
      <c r="I296" s="12">
        <f t="shared" ca="1" si="204"/>
        <v>27000</v>
      </c>
      <c r="J296" s="10" t="s">
        <v>19</v>
      </c>
      <c r="K296" s="13" t="str">
        <f t="shared" si="205"/>
        <v>Блок7</v>
      </c>
      <c r="L296">
        <v>27000</v>
      </c>
      <c r="M296">
        <f t="shared" si="206"/>
        <v>1</v>
      </c>
      <c r="N296">
        <f t="shared" si="185"/>
        <v>1</v>
      </c>
      <c r="O296" s="23">
        <f ca="1">N296*H296</f>
        <v>27000</v>
      </c>
    </row>
    <row r="297" spans="1:15" ht="27" customHeight="1" x14ac:dyDescent="0.25">
      <c r="A297" s="10" t="str">
        <f t="shared" si="203"/>
        <v>РУ-1-7</v>
      </c>
      <c r="B297" s="10" t="s">
        <v>20</v>
      </c>
      <c r="C297" s="11" t="s">
        <v>20</v>
      </c>
      <c r="D297" s="10" t="s">
        <v>20</v>
      </c>
      <c r="E297" s="10">
        <f>60*G297</f>
        <v>270</v>
      </c>
      <c r="F297" s="10" t="s">
        <v>12</v>
      </c>
      <c r="G297" s="10">
        <v>4.5</v>
      </c>
      <c r="H297" s="12">
        <v>100</v>
      </c>
      <c r="I297" s="12">
        <f t="shared" si="204"/>
        <v>27000</v>
      </c>
      <c r="J297" s="10" t="s">
        <v>20</v>
      </c>
      <c r="K297" s="13" t="str">
        <f t="shared" si="205"/>
        <v>Блок7</v>
      </c>
      <c r="L297">
        <v>27000</v>
      </c>
      <c r="M297">
        <f t="shared" si="206"/>
        <v>1</v>
      </c>
      <c r="N297">
        <f t="shared" si="185"/>
        <v>270</v>
      </c>
      <c r="O297" s="23">
        <f>N297*H297</f>
        <v>27000</v>
      </c>
    </row>
    <row r="298" spans="1:15" ht="27" customHeight="1" x14ac:dyDescent="0.25">
      <c r="A298" s="15" t="str">
        <f t="shared" si="203"/>
        <v>РУ-1-7</v>
      </c>
      <c r="B298" s="15"/>
      <c r="C298" s="15"/>
      <c r="D298" s="16"/>
      <c r="E298" s="15"/>
      <c r="F298" s="19"/>
      <c r="G298" s="17"/>
      <c r="H298" s="12">
        <f t="shared" ref="H298" si="207">G298*0.55</f>
        <v>0</v>
      </c>
      <c r="I298" s="18">
        <f ca="1">SUM(I292:I297)</f>
        <v>187350</v>
      </c>
      <c r="J298" s="15"/>
      <c r="K298" s="13" t="str">
        <f t="shared" si="205"/>
        <v>Блок7</v>
      </c>
      <c r="L298">
        <v>187350</v>
      </c>
      <c r="M298">
        <f t="shared" si="206"/>
        <v>1</v>
      </c>
      <c r="N298">
        <f t="shared" si="185"/>
        <v>0</v>
      </c>
      <c r="O298" s="23">
        <f>N298*H298</f>
        <v>0</v>
      </c>
    </row>
    <row r="299" spans="1:15" ht="27" customHeight="1" x14ac:dyDescent="0.25">
      <c r="A299" s="8" t="str">
        <f>D299</f>
        <v>ЩУР.МОП1-7</v>
      </c>
      <c r="B299" s="4"/>
      <c r="C299" s="5"/>
      <c r="D299" s="4" t="s">
        <v>79</v>
      </c>
      <c r="E299" s="8">
        <v>1</v>
      </c>
      <c r="F299" s="9" t="s">
        <v>9</v>
      </c>
      <c r="G299" s="6"/>
      <c r="H299" s="6"/>
      <c r="I299" s="7"/>
      <c r="J299" s="4" t="s">
        <v>10</v>
      </c>
      <c r="K299" s="8" t="s">
        <v>77</v>
      </c>
      <c r="M299">
        <f>E299</f>
        <v>1</v>
      </c>
      <c r="N299">
        <f t="shared" si="185"/>
        <v>1</v>
      </c>
      <c r="O299" s="23">
        <f>N299*H299</f>
        <v>0</v>
      </c>
    </row>
    <row r="300" spans="1:15" ht="27" customHeight="1" x14ac:dyDescent="0.25">
      <c r="A300" s="13" t="str">
        <f t="shared" ref="A300:A307" si="208">A299</f>
        <v>ЩУР.МОП1-7</v>
      </c>
      <c r="B300" s="10" t="s">
        <v>11</v>
      </c>
      <c r="C300" s="11" t="s">
        <v>40</v>
      </c>
      <c r="D300" s="10" t="s">
        <v>41</v>
      </c>
      <c r="E300" s="13">
        <v>1</v>
      </c>
      <c r="F300" s="14" t="s">
        <v>12</v>
      </c>
      <c r="G300" s="10">
        <v>18000</v>
      </c>
      <c r="H300" s="12">
        <f>0.6*G300</f>
        <v>10800</v>
      </c>
      <c r="I300" s="12">
        <f t="shared" ref="I300:I306" si="209">H300*E300</f>
        <v>10800</v>
      </c>
      <c r="J300" s="10" t="s">
        <v>13</v>
      </c>
      <c r="K300" s="13" t="str">
        <f t="shared" ref="K300:K307" si="210">K299</f>
        <v>Блок7</v>
      </c>
      <c r="L300">
        <v>10800</v>
      </c>
      <c r="M300">
        <f t="shared" ref="M300:M307" si="211">M299</f>
        <v>1</v>
      </c>
      <c r="N300">
        <f t="shared" si="185"/>
        <v>1</v>
      </c>
      <c r="O300" s="23">
        <f>N300*H300</f>
        <v>10800</v>
      </c>
    </row>
    <row r="301" spans="1:15" ht="27" customHeight="1" x14ac:dyDescent="0.25">
      <c r="A301" s="13" t="str">
        <f t="shared" si="208"/>
        <v>ЩУР.МОП1-7</v>
      </c>
      <c r="B301" s="10" t="s">
        <v>293</v>
      </c>
      <c r="C301" s="11" t="s">
        <v>195</v>
      </c>
      <c r="D301" s="10" t="s">
        <v>196</v>
      </c>
      <c r="E301" s="13">
        <v>1</v>
      </c>
      <c r="F301" s="14" t="s">
        <v>12</v>
      </c>
      <c r="G301" s="10">
        <v>6190</v>
      </c>
      <c r="H301" s="12">
        <f t="shared" ref="H301:H303" si="212">0.3*G301</f>
        <v>1857</v>
      </c>
      <c r="I301" s="12">
        <f t="shared" si="209"/>
        <v>1857</v>
      </c>
      <c r="J301" s="10" t="s">
        <v>207</v>
      </c>
      <c r="K301" s="13" t="str">
        <f t="shared" si="210"/>
        <v>Блок7</v>
      </c>
      <c r="L301">
        <v>1857</v>
      </c>
      <c r="M301">
        <f t="shared" si="211"/>
        <v>1</v>
      </c>
      <c r="N301">
        <f t="shared" si="185"/>
        <v>1</v>
      </c>
      <c r="O301" s="23">
        <f>N301*G301</f>
        <v>6190</v>
      </c>
    </row>
    <row r="302" spans="1:15" ht="27" customHeight="1" x14ac:dyDescent="0.25">
      <c r="A302" s="13" t="str">
        <f t="shared" si="208"/>
        <v>ЩУР.МОП1-7</v>
      </c>
      <c r="B302" s="10" t="s">
        <v>293</v>
      </c>
      <c r="C302" s="11" t="s">
        <v>201</v>
      </c>
      <c r="D302" s="10" t="s">
        <v>202</v>
      </c>
      <c r="E302" s="13">
        <v>1</v>
      </c>
      <c r="F302" s="14" t="s">
        <v>12</v>
      </c>
      <c r="G302" s="10">
        <v>5750</v>
      </c>
      <c r="H302" s="12">
        <f t="shared" si="212"/>
        <v>1725</v>
      </c>
      <c r="I302" s="12">
        <f t="shared" si="209"/>
        <v>1725</v>
      </c>
      <c r="J302" s="10" t="s">
        <v>207</v>
      </c>
      <c r="K302" s="13" t="str">
        <f t="shared" si="210"/>
        <v>Блок7</v>
      </c>
      <c r="L302">
        <v>1725</v>
      </c>
      <c r="M302">
        <f t="shared" si="211"/>
        <v>1</v>
      </c>
      <c r="N302">
        <f t="shared" si="185"/>
        <v>1</v>
      </c>
      <c r="O302" s="23">
        <f>N302*G302</f>
        <v>5750</v>
      </c>
    </row>
    <row r="303" spans="1:15" ht="27" customHeight="1" x14ac:dyDescent="0.25">
      <c r="A303" s="13" t="str">
        <f t="shared" si="208"/>
        <v>ЩУР.МОП1-7</v>
      </c>
      <c r="B303" s="10" t="s">
        <v>293</v>
      </c>
      <c r="C303" s="11" t="s">
        <v>193</v>
      </c>
      <c r="D303" s="10" t="s">
        <v>194</v>
      </c>
      <c r="E303" s="13">
        <v>3</v>
      </c>
      <c r="F303" s="14" t="s">
        <v>12</v>
      </c>
      <c r="G303" s="10">
        <v>6580</v>
      </c>
      <c r="H303" s="12">
        <f t="shared" si="212"/>
        <v>1974</v>
      </c>
      <c r="I303" s="12">
        <f t="shared" si="209"/>
        <v>5922</v>
      </c>
      <c r="J303" s="10" t="s">
        <v>207</v>
      </c>
      <c r="K303" s="13" t="str">
        <f t="shared" si="210"/>
        <v>Блок7</v>
      </c>
      <c r="L303">
        <v>5922</v>
      </c>
      <c r="M303">
        <f t="shared" si="211"/>
        <v>1</v>
      </c>
      <c r="N303">
        <f t="shared" si="185"/>
        <v>3</v>
      </c>
      <c r="O303" s="23">
        <f>N303*G303</f>
        <v>19740</v>
      </c>
    </row>
    <row r="304" spans="1:15" ht="27" customHeight="1" x14ac:dyDescent="0.25">
      <c r="A304" s="13" t="str">
        <f t="shared" si="208"/>
        <v>ЩУР.МОП1-7</v>
      </c>
      <c r="B304" s="10" t="s">
        <v>15</v>
      </c>
      <c r="C304" s="11" t="s">
        <v>299</v>
      </c>
      <c r="D304" s="10" t="s">
        <v>300</v>
      </c>
      <c r="E304" s="13">
        <v>1</v>
      </c>
      <c r="F304" s="14" t="s">
        <v>12</v>
      </c>
      <c r="G304" s="10">
        <v>32400</v>
      </c>
      <c r="H304" s="12">
        <f>G304</f>
        <v>32400</v>
      </c>
      <c r="I304" s="12">
        <f t="shared" si="209"/>
        <v>32400</v>
      </c>
      <c r="J304" s="10" t="s">
        <v>16</v>
      </c>
      <c r="K304" s="13" t="str">
        <f t="shared" si="210"/>
        <v>Блок7</v>
      </c>
      <c r="L304">
        <v>32400</v>
      </c>
      <c r="M304">
        <f t="shared" si="211"/>
        <v>1</v>
      </c>
      <c r="N304">
        <f t="shared" si="185"/>
        <v>1</v>
      </c>
      <c r="O304" s="23">
        <f t="shared" ref="O304:O310" si="213">N304*H304</f>
        <v>32400</v>
      </c>
    </row>
    <row r="305" spans="1:15" ht="27" customHeight="1" x14ac:dyDescent="0.25">
      <c r="A305" s="10" t="str">
        <f t="shared" si="208"/>
        <v>ЩУР.МОП1-7</v>
      </c>
      <c r="B305" s="10" t="s">
        <v>19</v>
      </c>
      <c r="C305" s="11" t="s">
        <v>19</v>
      </c>
      <c r="D305" s="10" t="s">
        <v>19</v>
      </c>
      <c r="E305" s="10">
        <v>1</v>
      </c>
      <c r="F305" s="10" t="s">
        <v>12</v>
      </c>
      <c r="G305" s="10">
        <f ca="1">OFFSET(G305,1,2)</f>
        <v>12000</v>
      </c>
      <c r="H305" s="12">
        <f ca="1">G305</f>
        <v>12000</v>
      </c>
      <c r="I305" s="12">
        <f t="shared" ca="1" si="209"/>
        <v>12000</v>
      </c>
      <c r="J305" s="10" t="s">
        <v>19</v>
      </c>
      <c r="K305" s="13" t="str">
        <f t="shared" si="210"/>
        <v>Блок7</v>
      </c>
      <c r="L305">
        <v>12000</v>
      </c>
      <c r="M305">
        <f t="shared" si="211"/>
        <v>1</v>
      </c>
      <c r="N305">
        <f t="shared" si="185"/>
        <v>1</v>
      </c>
      <c r="O305" s="23">
        <f t="shared" ca="1" si="213"/>
        <v>12000</v>
      </c>
    </row>
    <row r="306" spans="1:15" ht="27" customHeight="1" x14ac:dyDescent="0.25">
      <c r="A306" s="10" t="str">
        <f t="shared" si="208"/>
        <v>ЩУР.МОП1-7</v>
      </c>
      <c r="B306" s="10" t="s">
        <v>20</v>
      </c>
      <c r="C306" s="11" t="s">
        <v>20</v>
      </c>
      <c r="D306" s="10" t="s">
        <v>20</v>
      </c>
      <c r="E306" s="10">
        <f>60*G306</f>
        <v>120</v>
      </c>
      <c r="F306" s="10" t="s">
        <v>12</v>
      </c>
      <c r="G306" s="10">
        <v>2</v>
      </c>
      <c r="H306" s="12">
        <v>100</v>
      </c>
      <c r="I306" s="12">
        <f t="shared" si="209"/>
        <v>12000</v>
      </c>
      <c r="J306" s="10" t="s">
        <v>20</v>
      </c>
      <c r="K306" s="13" t="str">
        <f t="shared" si="210"/>
        <v>Блок7</v>
      </c>
      <c r="L306">
        <v>12000</v>
      </c>
      <c r="M306">
        <f t="shared" si="211"/>
        <v>1</v>
      </c>
      <c r="N306">
        <f t="shared" si="185"/>
        <v>120</v>
      </c>
      <c r="O306" s="23">
        <f t="shared" si="213"/>
        <v>12000</v>
      </c>
    </row>
    <row r="307" spans="1:15" ht="27" customHeight="1" x14ac:dyDescent="0.25">
      <c r="A307" s="15" t="str">
        <f t="shared" si="208"/>
        <v>ЩУР.МОП1-7</v>
      </c>
      <c r="B307" s="15"/>
      <c r="C307" s="15"/>
      <c r="D307" s="16"/>
      <c r="E307" s="15"/>
      <c r="F307" s="19"/>
      <c r="G307" s="17"/>
      <c r="H307" s="12">
        <f>G307*0.55</f>
        <v>0</v>
      </c>
      <c r="I307" s="18">
        <f ca="1">SUM(I300:I306)</f>
        <v>76704</v>
      </c>
      <c r="J307" s="15"/>
      <c r="K307" s="13" t="str">
        <f t="shared" si="210"/>
        <v>Блок7</v>
      </c>
      <c r="L307">
        <v>76704</v>
      </c>
      <c r="M307">
        <f t="shared" si="211"/>
        <v>1</v>
      </c>
      <c r="N307">
        <f t="shared" si="185"/>
        <v>0</v>
      </c>
      <c r="O307" s="23">
        <f t="shared" si="213"/>
        <v>0</v>
      </c>
    </row>
    <row r="308" spans="1:15" ht="27" customHeight="1" x14ac:dyDescent="0.25">
      <c r="A308" s="8" t="str">
        <f>D308</f>
        <v>РЩ1-7 (АВР-Б-40-2-1)</v>
      </c>
      <c r="B308" s="4"/>
      <c r="C308" s="5"/>
      <c r="D308" s="4" t="s">
        <v>139</v>
      </c>
      <c r="E308" s="8">
        <v>1</v>
      </c>
      <c r="F308" s="9" t="s">
        <v>9</v>
      </c>
      <c r="G308" s="6"/>
      <c r="H308" s="6"/>
      <c r="I308" s="7"/>
      <c r="J308" s="4" t="s">
        <v>10</v>
      </c>
      <c r="K308" s="8" t="s">
        <v>77</v>
      </c>
      <c r="M308">
        <f>E308</f>
        <v>1</v>
      </c>
      <c r="N308">
        <f t="shared" si="185"/>
        <v>1</v>
      </c>
      <c r="O308" s="23">
        <f t="shared" si="213"/>
        <v>0</v>
      </c>
    </row>
    <row r="309" spans="1:15" ht="27" customHeight="1" x14ac:dyDescent="0.25">
      <c r="A309" s="13" t="str">
        <f t="shared" ref="A309:A319" si="214">A308</f>
        <v>РЩ1-7 (АВР-Б-40-2-1)</v>
      </c>
      <c r="B309" s="10" t="s">
        <v>11</v>
      </c>
      <c r="C309" s="11" t="s">
        <v>168</v>
      </c>
      <c r="D309" s="10" t="s">
        <v>169</v>
      </c>
      <c r="E309" s="13">
        <v>1</v>
      </c>
      <c r="F309" s="14" t="s">
        <v>12</v>
      </c>
      <c r="G309" s="10">
        <v>130000</v>
      </c>
      <c r="H309" s="12">
        <f t="shared" ref="H309:H310" si="215">0.6*G309</f>
        <v>78000</v>
      </c>
      <c r="I309" s="12">
        <f t="shared" ref="I309:I318" si="216">H309*E309</f>
        <v>78000</v>
      </c>
      <c r="J309" s="10" t="s">
        <v>13</v>
      </c>
      <c r="K309" s="13" t="str">
        <f t="shared" ref="K309:K319" si="217">K308</f>
        <v>Блок7</v>
      </c>
      <c r="L309">
        <v>78000</v>
      </c>
      <c r="M309">
        <f t="shared" ref="M309:M319" si="218">M308</f>
        <v>1</v>
      </c>
      <c r="N309">
        <f t="shared" si="185"/>
        <v>1</v>
      </c>
      <c r="O309" s="23">
        <f t="shared" si="213"/>
        <v>78000</v>
      </c>
    </row>
    <row r="310" spans="1:15" ht="27" customHeight="1" x14ac:dyDescent="0.25">
      <c r="A310" s="13" t="str">
        <f t="shared" si="214"/>
        <v>РЩ1-7 (АВР-Б-40-2-1)</v>
      </c>
      <c r="B310" s="10" t="s">
        <v>44</v>
      </c>
      <c r="C310" s="11" t="s">
        <v>162</v>
      </c>
      <c r="D310" s="10" t="s">
        <v>163</v>
      </c>
      <c r="E310" s="13">
        <v>1</v>
      </c>
      <c r="F310" s="14" t="s">
        <v>12</v>
      </c>
      <c r="G310" s="10">
        <v>114758</v>
      </c>
      <c r="H310" s="12">
        <f t="shared" si="215"/>
        <v>68854.8</v>
      </c>
      <c r="I310" s="12">
        <f t="shared" si="216"/>
        <v>68854.8</v>
      </c>
      <c r="J310" s="10" t="s">
        <v>14</v>
      </c>
      <c r="K310" s="13" t="str">
        <f t="shared" si="217"/>
        <v>Блок7</v>
      </c>
      <c r="L310">
        <v>68854.8</v>
      </c>
      <c r="M310">
        <f t="shared" si="218"/>
        <v>1</v>
      </c>
      <c r="N310">
        <f t="shared" si="185"/>
        <v>1</v>
      </c>
      <c r="O310" s="23">
        <f t="shared" si="213"/>
        <v>68854.8</v>
      </c>
    </row>
    <row r="311" spans="1:15" ht="27" customHeight="1" x14ac:dyDescent="0.25">
      <c r="A311" s="13" t="str">
        <f t="shared" si="214"/>
        <v>РЩ1-7 (АВР-Б-40-2-1)</v>
      </c>
      <c r="B311" s="10" t="s">
        <v>293</v>
      </c>
      <c r="C311" s="11" t="s">
        <v>213</v>
      </c>
      <c r="D311" s="10" t="s">
        <v>214</v>
      </c>
      <c r="E311" s="13">
        <v>2</v>
      </c>
      <c r="F311" s="14" t="s">
        <v>12</v>
      </c>
      <c r="G311" s="10">
        <v>7690</v>
      </c>
      <c r="H311" s="12">
        <f t="shared" ref="H311:H314" si="219">0.3*G311</f>
        <v>2307</v>
      </c>
      <c r="I311" s="12">
        <f t="shared" si="216"/>
        <v>4614</v>
      </c>
      <c r="J311" s="10" t="s">
        <v>207</v>
      </c>
      <c r="K311" s="13" t="str">
        <f t="shared" si="217"/>
        <v>Блок7</v>
      </c>
      <c r="L311">
        <v>4614</v>
      </c>
      <c r="M311">
        <f t="shared" si="218"/>
        <v>1</v>
      </c>
      <c r="N311">
        <f t="shared" si="185"/>
        <v>2</v>
      </c>
      <c r="O311" s="23">
        <f>N311*G311</f>
        <v>15380</v>
      </c>
    </row>
    <row r="312" spans="1:15" ht="27" customHeight="1" x14ac:dyDescent="0.25">
      <c r="A312" s="13" t="str">
        <f t="shared" si="214"/>
        <v>РЩ1-7 (АВР-Б-40-2-1)</v>
      </c>
      <c r="B312" s="10" t="s">
        <v>293</v>
      </c>
      <c r="C312" s="11" t="s">
        <v>231</v>
      </c>
      <c r="D312" s="10" t="s">
        <v>232</v>
      </c>
      <c r="E312" s="13">
        <v>3</v>
      </c>
      <c r="F312" s="14" t="s">
        <v>12</v>
      </c>
      <c r="G312" s="10">
        <v>7690</v>
      </c>
      <c r="H312" s="12">
        <f t="shared" si="219"/>
        <v>2307</v>
      </c>
      <c r="I312" s="12">
        <f t="shared" si="216"/>
        <v>6921</v>
      </c>
      <c r="J312" s="10" t="s">
        <v>207</v>
      </c>
      <c r="K312" s="13" t="str">
        <f t="shared" si="217"/>
        <v>Блок7</v>
      </c>
      <c r="L312">
        <v>6921</v>
      </c>
      <c r="M312">
        <f t="shared" si="218"/>
        <v>1</v>
      </c>
      <c r="N312">
        <f t="shared" si="185"/>
        <v>3</v>
      </c>
      <c r="O312" s="23">
        <f>N312*G312</f>
        <v>23070</v>
      </c>
    </row>
    <row r="313" spans="1:15" ht="27" customHeight="1" x14ac:dyDescent="0.25">
      <c r="A313" s="13" t="str">
        <f t="shared" si="214"/>
        <v>РЩ1-7 (АВР-Б-40-2-1)</v>
      </c>
      <c r="B313" s="10" t="s">
        <v>294</v>
      </c>
      <c r="C313" s="11" t="s">
        <v>203</v>
      </c>
      <c r="D313" s="10" t="s">
        <v>204</v>
      </c>
      <c r="E313" s="13">
        <v>2</v>
      </c>
      <c r="F313" s="14" t="s">
        <v>12</v>
      </c>
      <c r="G313" s="10">
        <v>13450</v>
      </c>
      <c r="H313" s="12">
        <f t="shared" si="219"/>
        <v>4035</v>
      </c>
      <c r="I313" s="12">
        <f t="shared" si="216"/>
        <v>8070</v>
      </c>
      <c r="J313" s="10" t="s">
        <v>207</v>
      </c>
      <c r="K313" s="13" t="str">
        <f t="shared" si="217"/>
        <v>Блок7</v>
      </c>
      <c r="L313">
        <v>8070</v>
      </c>
      <c r="M313">
        <f t="shared" si="218"/>
        <v>1</v>
      </c>
      <c r="N313">
        <f t="shared" si="185"/>
        <v>2</v>
      </c>
      <c r="O313" s="23">
        <f>N313*G313</f>
        <v>26900</v>
      </c>
    </row>
    <row r="314" spans="1:15" ht="27" customHeight="1" x14ac:dyDescent="0.25">
      <c r="A314" s="13" t="str">
        <f t="shared" si="214"/>
        <v>РЩ1-7 (АВР-Б-40-2-1)</v>
      </c>
      <c r="B314" s="10" t="s">
        <v>293</v>
      </c>
      <c r="C314" s="11" t="s">
        <v>205</v>
      </c>
      <c r="D314" s="10" t="s">
        <v>206</v>
      </c>
      <c r="E314" s="13">
        <v>1</v>
      </c>
      <c r="F314" s="14" t="s">
        <v>12</v>
      </c>
      <c r="G314" s="10">
        <v>7090</v>
      </c>
      <c r="H314" s="12">
        <f t="shared" si="219"/>
        <v>2127</v>
      </c>
      <c r="I314" s="12">
        <f t="shared" si="216"/>
        <v>2127</v>
      </c>
      <c r="J314" s="10" t="s">
        <v>207</v>
      </c>
      <c r="K314" s="13" t="str">
        <f t="shared" si="217"/>
        <v>Блок7</v>
      </c>
      <c r="L314">
        <v>2127</v>
      </c>
      <c r="M314">
        <f t="shared" si="218"/>
        <v>1</v>
      </c>
      <c r="N314">
        <f t="shared" si="185"/>
        <v>1</v>
      </c>
      <c r="O314" s="23">
        <f>N314*G314</f>
        <v>7090</v>
      </c>
    </row>
    <row r="315" spans="1:15" ht="27" customHeight="1" x14ac:dyDescent="0.25">
      <c r="A315" s="13" t="str">
        <f t="shared" si="214"/>
        <v>РЩ1-7 (АВР-Б-40-2-1)</v>
      </c>
      <c r="B315" s="10" t="s">
        <v>15</v>
      </c>
      <c r="C315" s="11" t="s">
        <v>299</v>
      </c>
      <c r="D315" s="10" t="s">
        <v>300</v>
      </c>
      <c r="E315" s="13">
        <v>1</v>
      </c>
      <c r="F315" s="14" t="s">
        <v>12</v>
      </c>
      <c r="G315" s="10">
        <v>32400</v>
      </c>
      <c r="H315" s="12">
        <f>G315</f>
        <v>32400</v>
      </c>
      <c r="I315" s="12">
        <f t="shared" si="216"/>
        <v>32400</v>
      </c>
      <c r="J315" s="10" t="s">
        <v>16</v>
      </c>
      <c r="K315" s="13" t="str">
        <f t="shared" si="217"/>
        <v>Блок7</v>
      </c>
      <c r="L315">
        <v>32400</v>
      </c>
      <c r="M315">
        <f t="shared" si="218"/>
        <v>1</v>
      </c>
      <c r="N315">
        <f t="shared" si="185"/>
        <v>1</v>
      </c>
      <c r="O315" s="23">
        <f t="shared" ref="O315:O325" si="220">N315*H315</f>
        <v>32400</v>
      </c>
    </row>
    <row r="316" spans="1:15" ht="27" customHeight="1" x14ac:dyDescent="0.25">
      <c r="A316" s="13" t="str">
        <f t="shared" si="214"/>
        <v>РЩ1-7 (АВР-Б-40-2-1)</v>
      </c>
      <c r="B316" s="10" t="s">
        <v>30</v>
      </c>
      <c r="C316" s="11"/>
      <c r="D316" s="10" t="s">
        <v>31</v>
      </c>
      <c r="E316" s="13">
        <v>6</v>
      </c>
      <c r="F316" s="14" t="s">
        <v>12</v>
      </c>
      <c r="G316" s="10">
        <v>3850</v>
      </c>
      <c r="H316" s="12">
        <f>G316</f>
        <v>3850</v>
      </c>
      <c r="I316" s="12">
        <f t="shared" si="216"/>
        <v>23100</v>
      </c>
      <c r="J316" s="10" t="s">
        <v>25</v>
      </c>
      <c r="K316" s="13" t="str">
        <f t="shared" si="217"/>
        <v>Блок7</v>
      </c>
      <c r="L316">
        <v>23100</v>
      </c>
      <c r="M316">
        <f t="shared" si="218"/>
        <v>1</v>
      </c>
      <c r="N316">
        <f t="shared" si="185"/>
        <v>6</v>
      </c>
      <c r="O316" s="23">
        <f t="shared" si="220"/>
        <v>23100</v>
      </c>
    </row>
    <row r="317" spans="1:15" ht="27" customHeight="1" x14ac:dyDescent="0.25">
      <c r="A317" s="10" t="str">
        <f t="shared" si="214"/>
        <v>РЩ1-7 (АВР-Б-40-2-1)</v>
      </c>
      <c r="B317" s="10" t="s">
        <v>19</v>
      </c>
      <c r="C317" s="11" t="s">
        <v>19</v>
      </c>
      <c r="D317" s="10" t="s">
        <v>19</v>
      </c>
      <c r="E317" s="10">
        <v>1</v>
      </c>
      <c r="F317" s="10" t="s">
        <v>12</v>
      </c>
      <c r="G317" s="10">
        <f ca="1">OFFSET(G317,1,2)</f>
        <v>39000</v>
      </c>
      <c r="H317" s="12">
        <f ca="1">G317</f>
        <v>39000</v>
      </c>
      <c r="I317" s="12">
        <f t="shared" ca="1" si="216"/>
        <v>39000</v>
      </c>
      <c r="J317" s="10" t="s">
        <v>19</v>
      </c>
      <c r="K317" s="13" t="str">
        <f t="shared" si="217"/>
        <v>Блок7</v>
      </c>
      <c r="L317">
        <v>39000</v>
      </c>
      <c r="M317">
        <f t="shared" si="218"/>
        <v>1</v>
      </c>
      <c r="N317">
        <f t="shared" si="185"/>
        <v>1</v>
      </c>
      <c r="O317" s="23">
        <f t="shared" ca="1" si="220"/>
        <v>39000</v>
      </c>
    </row>
    <row r="318" spans="1:15" ht="27" customHeight="1" x14ac:dyDescent="0.25">
      <c r="A318" s="10" t="str">
        <f t="shared" si="214"/>
        <v>РЩ1-7 (АВР-Б-40-2-1)</v>
      </c>
      <c r="B318" s="10" t="s">
        <v>20</v>
      </c>
      <c r="C318" s="11" t="s">
        <v>20</v>
      </c>
      <c r="D318" s="10" t="s">
        <v>20</v>
      </c>
      <c r="E318" s="10">
        <f>60*G318</f>
        <v>390</v>
      </c>
      <c r="F318" s="10" t="s">
        <v>12</v>
      </c>
      <c r="G318" s="10">
        <v>6.5</v>
      </c>
      <c r="H318" s="12">
        <v>100</v>
      </c>
      <c r="I318" s="12">
        <f t="shared" si="216"/>
        <v>39000</v>
      </c>
      <c r="J318" s="10" t="s">
        <v>20</v>
      </c>
      <c r="K318" s="13" t="str">
        <f t="shared" si="217"/>
        <v>Блок7</v>
      </c>
      <c r="L318">
        <v>39000</v>
      </c>
      <c r="M318">
        <f t="shared" si="218"/>
        <v>1</v>
      </c>
      <c r="N318">
        <f t="shared" si="185"/>
        <v>390</v>
      </c>
      <c r="O318" s="23">
        <f t="shared" si="220"/>
        <v>39000</v>
      </c>
    </row>
    <row r="319" spans="1:15" ht="27" customHeight="1" x14ac:dyDescent="0.25">
      <c r="A319" s="15" t="str">
        <f t="shared" si="214"/>
        <v>РЩ1-7 (АВР-Б-40-2-1)</v>
      </c>
      <c r="B319" s="15"/>
      <c r="C319" s="15"/>
      <c r="D319" s="16"/>
      <c r="E319" s="15"/>
      <c r="F319" s="19"/>
      <c r="G319" s="17"/>
      <c r="H319" s="12">
        <f t="shared" ref="H319" si="221">G319*0.55</f>
        <v>0</v>
      </c>
      <c r="I319" s="18">
        <f ca="1">SUM(I309:I318)</f>
        <v>302086.8</v>
      </c>
      <c r="J319" s="15"/>
      <c r="K319" s="13" t="str">
        <f t="shared" si="217"/>
        <v>Блок7</v>
      </c>
      <c r="L319">
        <v>302086.8</v>
      </c>
      <c r="M319">
        <f t="shared" si="218"/>
        <v>1</v>
      </c>
      <c r="N319">
        <f t="shared" si="185"/>
        <v>0</v>
      </c>
      <c r="O319" s="23">
        <f t="shared" si="220"/>
        <v>0</v>
      </c>
    </row>
    <row r="320" spans="1:15" ht="27" customHeight="1" x14ac:dyDescent="0.25">
      <c r="A320" s="8" t="str">
        <f>D320</f>
        <v>ВРУ1-8</v>
      </c>
      <c r="B320" s="4"/>
      <c r="C320" s="5"/>
      <c r="D320" s="4" t="s">
        <v>80</v>
      </c>
      <c r="E320" s="8">
        <v>1</v>
      </c>
      <c r="F320" s="9" t="s">
        <v>9</v>
      </c>
      <c r="G320" s="6"/>
      <c r="H320" s="6"/>
      <c r="I320" s="7"/>
      <c r="J320" s="4" t="s">
        <v>10</v>
      </c>
      <c r="K320" s="8" t="s">
        <v>81</v>
      </c>
      <c r="M320">
        <f>E320</f>
        <v>1</v>
      </c>
      <c r="N320">
        <f t="shared" si="185"/>
        <v>1</v>
      </c>
      <c r="O320" s="23">
        <f t="shared" si="220"/>
        <v>0</v>
      </c>
    </row>
    <row r="321" spans="1:15" ht="27" customHeight="1" x14ac:dyDescent="0.25">
      <c r="A321" s="13" t="str">
        <f t="shared" ref="A321:A331" si="222">A320</f>
        <v>ВРУ1-8</v>
      </c>
      <c r="B321" s="10" t="s">
        <v>11</v>
      </c>
      <c r="C321" s="11" t="s">
        <v>172</v>
      </c>
      <c r="D321" s="10" t="s">
        <v>173</v>
      </c>
      <c r="E321" s="13">
        <v>1</v>
      </c>
      <c r="F321" s="14" t="s">
        <v>12</v>
      </c>
      <c r="G321" s="10">
        <v>156500</v>
      </c>
      <c r="H321" s="12">
        <f>0.6*G321</f>
        <v>93900</v>
      </c>
      <c r="I321" s="12">
        <f t="shared" ref="I321:I330" si="223">H321*E321</f>
        <v>93900</v>
      </c>
      <c r="J321" s="10" t="s">
        <v>13</v>
      </c>
      <c r="K321" s="13" t="str">
        <f t="shared" ref="K321:K331" si="224">K320</f>
        <v>Блок8</v>
      </c>
      <c r="L321">
        <v>93900</v>
      </c>
      <c r="M321">
        <f t="shared" ref="M321:M331" si="225">M320</f>
        <v>1</v>
      </c>
      <c r="N321">
        <f t="shared" si="185"/>
        <v>1</v>
      </c>
      <c r="O321" s="23">
        <f t="shared" si="220"/>
        <v>93900</v>
      </c>
    </row>
    <row r="322" spans="1:15" ht="27" customHeight="1" x14ac:dyDescent="0.25">
      <c r="A322" s="13" t="str">
        <f t="shared" si="222"/>
        <v>ВРУ1-8</v>
      </c>
      <c r="B322" s="10" t="s">
        <v>23</v>
      </c>
      <c r="C322" s="11" t="s">
        <v>307</v>
      </c>
      <c r="D322" s="10" t="s">
        <v>308</v>
      </c>
      <c r="E322" s="13">
        <v>6</v>
      </c>
      <c r="F322" s="14" t="s">
        <v>12</v>
      </c>
      <c r="G322" s="10">
        <v>5523</v>
      </c>
      <c r="H322" s="12">
        <f t="shared" ref="H322:H323" si="226">G322</f>
        <v>5523</v>
      </c>
      <c r="I322" s="12">
        <f t="shared" si="223"/>
        <v>33138</v>
      </c>
      <c r="J322" s="10" t="s">
        <v>25</v>
      </c>
      <c r="K322" s="13" t="str">
        <f t="shared" si="224"/>
        <v>Блок8</v>
      </c>
      <c r="L322">
        <v>33138</v>
      </c>
      <c r="M322">
        <f t="shared" si="225"/>
        <v>1</v>
      </c>
      <c r="N322">
        <f t="shared" si="185"/>
        <v>6</v>
      </c>
      <c r="O322" s="23">
        <f t="shared" si="220"/>
        <v>33138</v>
      </c>
    </row>
    <row r="323" spans="1:15" ht="27" customHeight="1" x14ac:dyDescent="0.25">
      <c r="A323" s="13" t="str">
        <f t="shared" si="222"/>
        <v>ВРУ1-8</v>
      </c>
      <c r="B323" s="10" t="s">
        <v>26</v>
      </c>
      <c r="C323" s="11" t="s">
        <v>177</v>
      </c>
      <c r="D323" s="10" t="s">
        <v>178</v>
      </c>
      <c r="E323" s="13">
        <v>2</v>
      </c>
      <c r="F323" s="14" t="s">
        <v>12</v>
      </c>
      <c r="G323" s="10">
        <v>25500</v>
      </c>
      <c r="H323" s="12">
        <f t="shared" si="226"/>
        <v>25500</v>
      </c>
      <c r="I323" s="12">
        <f t="shared" si="223"/>
        <v>51000</v>
      </c>
      <c r="J323" s="10" t="s">
        <v>25</v>
      </c>
      <c r="K323" s="13" t="str">
        <f t="shared" si="224"/>
        <v>Блок8</v>
      </c>
      <c r="L323">
        <v>51000</v>
      </c>
      <c r="M323">
        <f t="shared" si="225"/>
        <v>1</v>
      </c>
      <c r="N323">
        <f t="shared" si="185"/>
        <v>2</v>
      </c>
      <c r="O323" s="23">
        <f t="shared" si="220"/>
        <v>51000</v>
      </c>
    </row>
    <row r="324" spans="1:15" ht="27" customHeight="1" x14ac:dyDescent="0.25">
      <c r="A324" s="13" t="str">
        <f t="shared" si="222"/>
        <v>ВРУ1-8</v>
      </c>
      <c r="B324" s="10" t="s">
        <v>127</v>
      </c>
      <c r="C324" s="11" t="s">
        <v>130</v>
      </c>
      <c r="D324" s="10" t="s">
        <v>131</v>
      </c>
      <c r="E324" s="13">
        <v>6</v>
      </c>
      <c r="F324" s="14" t="s">
        <v>12</v>
      </c>
      <c r="G324" s="10">
        <v>4750</v>
      </c>
      <c r="H324" s="12">
        <f t="shared" ref="H324:H325" si="227">0.6*G324</f>
        <v>2850</v>
      </c>
      <c r="I324" s="12">
        <f t="shared" si="223"/>
        <v>17100</v>
      </c>
      <c r="J324" s="10" t="s">
        <v>14</v>
      </c>
      <c r="K324" s="13" t="str">
        <f t="shared" si="224"/>
        <v>Блок8</v>
      </c>
      <c r="L324">
        <v>17100</v>
      </c>
      <c r="M324">
        <f t="shared" si="225"/>
        <v>1</v>
      </c>
      <c r="N324">
        <f t="shared" si="185"/>
        <v>6</v>
      </c>
      <c r="O324" s="23">
        <f t="shared" si="220"/>
        <v>17100</v>
      </c>
    </row>
    <row r="325" spans="1:15" ht="27" customHeight="1" x14ac:dyDescent="0.25">
      <c r="A325" s="13" t="str">
        <f t="shared" si="222"/>
        <v>ВРУ1-8</v>
      </c>
      <c r="B325" s="10" t="s">
        <v>126</v>
      </c>
      <c r="C325" s="11" t="s">
        <v>128</v>
      </c>
      <c r="D325" s="10" t="s">
        <v>129</v>
      </c>
      <c r="E325" s="13">
        <v>6</v>
      </c>
      <c r="F325" s="14" t="s">
        <v>12</v>
      </c>
      <c r="G325" s="10">
        <v>3317</v>
      </c>
      <c r="H325" s="12">
        <f t="shared" si="227"/>
        <v>1990.1999999999998</v>
      </c>
      <c r="I325" s="12">
        <f t="shared" si="223"/>
        <v>11941.199999999999</v>
      </c>
      <c r="J325" s="10" t="s">
        <v>14</v>
      </c>
      <c r="K325" s="13" t="str">
        <f t="shared" si="224"/>
        <v>Блок8</v>
      </c>
      <c r="L325">
        <v>11941.199999999999</v>
      </c>
      <c r="M325">
        <f t="shared" si="225"/>
        <v>1</v>
      </c>
      <c r="N325">
        <f t="shared" si="185"/>
        <v>6</v>
      </c>
      <c r="O325" s="23">
        <f t="shared" si="220"/>
        <v>11941.199999999999</v>
      </c>
    </row>
    <row r="326" spans="1:15" ht="27" customHeight="1" x14ac:dyDescent="0.25">
      <c r="A326" s="13" t="str">
        <f t="shared" si="222"/>
        <v>ВРУ1-8</v>
      </c>
      <c r="B326" s="10" t="s">
        <v>293</v>
      </c>
      <c r="C326" s="11" t="s">
        <v>189</v>
      </c>
      <c r="D326" s="10" t="s">
        <v>190</v>
      </c>
      <c r="E326" s="13">
        <v>2</v>
      </c>
      <c r="F326" s="14" t="s">
        <v>12</v>
      </c>
      <c r="G326" s="10">
        <v>1390</v>
      </c>
      <c r="H326" s="12">
        <f>0.3*G326</f>
        <v>417</v>
      </c>
      <c r="I326" s="12">
        <f t="shared" si="223"/>
        <v>834</v>
      </c>
      <c r="J326" s="10" t="s">
        <v>207</v>
      </c>
      <c r="K326" s="13" t="str">
        <f t="shared" si="224"/>
        <v>Блок8</v>
      </c>
      <c r="L326">
        <v>834</v>
      </c>
      <c r="M326">
        <f t="shared" si="225"/>
        <v>1</v>
      </c>
      <c r="N326">
        <f t="shared" ref="N326:N389" si="228">M326*E326</f>
        <v>2</v>
      </c>
      <c r="O326" s="23">
        <f>N326*G326</f>
        <v>2780</v>
      </c>
    </row>
    <row r="327" spans="1:15" ht="27" customHeight="1" x14ac:dyDescent="0.25">
      <c r="A327" s="13" t="str">
        <f t="shared" si="222"/>
        <v>ВРУ1-8</v>
      </c>
      <c r="B327" s="10" t="s">
        <v>15</v>
      </c>
      <c r="C327" s="11" t="s">
        <v>297</v>
      </c>
      <c r="D327" s="24" t="s">
        <v>298</v>
      </c>
      <c r="E327" s="13">
        <v>2</v>
      </c>
      <c r="F327" s="14" t="s">
        <v>12</v>
      </c>
      <c r="G327" s="10">
        <v>89000</v>
      </c>
      <c r="H327" s="12">
        <f>G327</f>
        <v>89000</v>
      </c>
      <c r="I327" s="12">
        <f t="shared" si="223"/>
        <v>178000</v>
      </c>
      <c r="J327" s="10" t="s">
        <v>16</v>
      </c>
      <c r="K327" s="13" t="str">
        <f t="shared" si="224"/>
        <v>Блок8</v>
      </c>
      <c r="L327">
        <v>178000</v>
      </c>
      <c r="M327">
        <f t="shared" si="225"/>
        <v>1</v>
      </c>
      <c r="N327">
        <f t="shared" si="228"/>
        <v>2</v>
      </c>
      <c r="O327" s="23">
        <f t="shared" ref="O327:O333" si="229">N327*H327</f>
        <v>178000</v>
      </c>
    </row>
    <row r="328" spans="1:15" ht="27" customHeight="1" x14ac:dyDescent="0.25">
      <c r="A328" s="13" t="str">
        <f t="shared" si="222"/>
        <v>ВРУ1-8</v>
      </c>
      <c r="B328" s="10" t="s">
        <v>30</v>
      </c>
      <c r="C328" s="11"/>
      <c r="D328" s="10" t="s">
        <v>31</v>
      </c>
      <c r="E328" s="13">
        <v>6</v>
      </c>
      <c r="F328" s="14" t="s">
        <v>12</v>
      </c>
      <c r="G328" s="10">
        <v>3850</v>
      </c>
      <c r="H328" s="12">
        <f>G328</f>
        <v>3850</v>
      </c>
      <c r="I328" s="12">
        <f t="shared" si="223"/>
        <v>23100</v>
      </c>
      <c r="J328" s="10" t="s">
        <v>25</v>
      </c>
      <c r="K328" s="13" t="str">
        <f t="shared" si="224"/>
        <v>Блок8</v>
      </c>
      <c r="L328">
        <v>23100</v>
      </c>
      <c r="M328">
        <f t="shared" si="225"/>
        <v>1</v>
      </c>
      <c r="N328">
        <f t="shared" si="228"/>
        <v>6</v>
      </c>
      <c r="O328" s="23">
        <f t="shared" si="229"/>
        <v>23100</v>
      </c>
    </row>
    <row r="329" spans="1:15" ht="27" customHeight="1" x14ac:dyDescent="0.25">
      <c r="A329" s="10" t="str">
        <f t="shared" si="222"/>
        <v>ВРУ1-8</v>
      </c>
      <c r="B329" s="10" t="s">
        <v>19</v>
      </c>
      <c r="C329" s="11" t="s">
        <v>19</v>
      </c>
      <c r="D329" s="10" t="s">
        <v>19</v>
      </c>
      <c r="E329" s="10">
        <v>1</v>
      </c>
      <c r="F329" s="10" t="s">
        <v>12</v>
      </c>
      <c r="G329" s="10">
        <f ca="1">OFFSET(G329,1,2)</f>
        <v>48000</v>
      </c>
      <c r="H329" s="12">
        <f ca="1">G329</f>
        <v>48000</v>
      </c>
      <c r="I329" s="12">
        <f t="shared" ca="1" si="223"/>
        <v>48000</v>
      </c>
      <c r="J329" s="10" t="s">
        <v>19</v>
      </c>
      <c r="K329" s="13" t="str">
        <f t="shared" si="224"/>
        <v>Блок8</v>
      </c>
      <c r="L329">
        <v>48000</v>
      </c>
      <c r="M329">
        <f t="shared" si="225"/>
        <v>1</v>
      </c>
      <c r="N329">
        <f t="shared" si="228"/>
        <v>1</v>
      </c>
      <c r="O329" s="23">
        <f t="shared" ca="1" si="229"/>
        <v>48000</v>
      </c>
    </row>
    <row r="330" spans="1:15" ht="27" customHeight="1" x14ac:dyDescent="0.25">
      <c r="A330" s="10" t="str">
        <f t="shared" si="222"/>
        <v>ВРУ1-8</v>
      </c>
      <c r="B330" s="10" t="s">
        <v>20</v>
      </c>
      <c r="C330" s="11" t="s">
        <v>20</v>
      </c>
      <c r="D330" s="10" t="s">
        <v>20</v>
      </c>
      <c r="E330" s="10">
        <f>60*G330</f>
        <v>480</v>
      </c>
      <c r="F330" s="10" t="s">
        <v>12</v>
      </c>
      <c r="G330" s="10">
        <v>8</v>
      </c>
      <c r="H330" s="12">
        <v>100</v>
      </c>
      <c r="I330" s="12">
        <f t="shared" si="223"/>
        <v>48000</v>
      </c>
      <c r="J330" s="10" t="s">
        <v>20</v>
      </c>
      <c r="K330" s="13" t="str">
        <f t="shared" si="224"/>
        <v>Блок8</v>
      </c>
      <c r="L330">
        <v>48000</v>
      </c>
      <c r="M330">
        <f t="shared" si="225"/>
        <v>1</v>
      </c>
      <c r="N330">
        <f t="shared" si="228"/>
        <v>480</v>
      </c>
      <c r="O330" s="23">
        <f t="shared" si="229"/>
        <v>48000</v>
      </c>
    </row>
    <row r="331" spans="1:15" ht="27" customHeight="1" x14ac:dyDescent="0.25">
      <c r="A331" s="15" t="str">
        <f t="shared" si="222"/>
        <v>ВРУ1-8</v>
      </c>
      <c r="B331" s="15"/>
      <c r="C331" s="15"/>
      <c r="D331" s="16"/>
      <c r="E331" s="15"/>
      <c r="F331" s="19"/>
      <c r="G331" s="17"/>
      <c r="H331" s="12">
        <f>G331*0.55</f>
        <v>0</v>
      </c>
      <c r="I331" s="18">
        <f ca="1">SUM(I321:I330)</f>
        <v>505013.2</v>
      </c>
      <c r="J331" s="15"/>
      <c r="K331" s="13" t="str">
        <f t="shared" si="224"/>
        <v>Блок8</v>
      </c>
      <c r="L331">
        <v>505013.2</v>
      </c>
      <c r="M331">
        <f t="shared" si="225"/>
        <v>1</v>
      </c>
      <c r="N331">
        <f t="shared" si="228"/>
        <v>0</v>
      </c>
      <c r="O331" s="23">
        <f t="shared" si="229"/>
        <v>0</v>
      </c>
    </row>
    <row r="332" spans="1:15" ht="27" customHeight="1" x14ac:dyDescent="0.25">
      <c r="A332" s="8" t="str">
        <f>D332</f>
        <v>РУ-1-8</v>
      </c>
      <c r="B332" s="4"/>
      <c r="C332" s="5"/>
      <c r="D332" s="4" t="s">
        <v>82</v>
      </c>
      <c r="E332" s="8">
        <v>1</v>
      </c>
      <c r="F332" s="9" t="s">
        <v>9</v>
      </c>
      <c r="G332" s="6"/>
      <c r="H332" s="6"/>
      <c r="I332" s="7"/>
      <c r="J332" s="4" t="s">
        <v>10</v>
      </c>
      <c r="K332" s="8" t="s">
        <v>81</v>
      </c>
      <c r="M332">
        <f>E332</f>
        <v>1</v>
      </c>
      <c r="N332">
        <f t="shared" si="228"/>
        <v>1</v>
      </c>
      <c r="O332" s="23">
        <f t="shared" si="229"/>
        <v>0</v>
      </c>
    </row>
    <row r="333" spans="1:15" ht="27" customHeight="1" x14ac:dyDescent="0.25">
      <c r="A333" s="13" t="str">
        <f t="shared" ref="A333:A339" si="230">A332</f>
        <v>РУ-1-8</v>
      </c>
      <c r="B333" s="10" t="s">
        <v>11</v>
      </c>
      <c r="C333" s="11" t="s">
        <v>170</v>
      </c>
      <c r="D333" s="10" t="s">
        <v>171</v>
      </c>
      <c r="E333" s="13">
        <v>1</v>
      </c>
      <c r="F333" s="14" t="s">
        <v>12</v>
      </c>
      <c r="G333" s="10">
        <v>145000</v>
      </c>
      <c r="H333" s="12">
        <f>0.6*G333</f>
        <v>87000</v>
      </c>
      <c r="I333" s="12">
        <f t="shared" ref="I333:I338" si="231">H333*E333</f>
        <v>87000</v>
      </c>
      <c r="J333" s="10" t="s">
        <v>13</v>
      </c>
      <c r="K333" s="13" t="str">
        <f t="shared" ref="K333:K339" si="232">K332</f>
        <v>Блок8</v>
      </c>
      <c r="L333">
        <v>87000</v>
      </c>
      <c r="M333">
        <f t="shared" ref="M333:M339" si="233">M332</f>
        <v>1</v>
      </c>
      <c r="N333">
        <f t="shared" si="228"/>
        <v>1</v>
      </c>
      <c r="O333" s="23">
        <f t="shared" si="229"/>
        <v>87000</v>
      </c>
    </row>
    <row r="334" spans="1:15" ht="27" customHeight="1" x14ac:dyDescent="0.25">
      <c r="A334" s="13" t="str">
        <f t="shared" si="230"/>
        <v>РУ-1-8</v>
      </c>
      <c r="B334" s="10" t="s">
        <v>294</v>
      </c>
      <c r="C334" s="11" t="s">
        <v>225</v>
      </c>
      <c r="D334" s="10" t="s">
        <v>226</v>
      </c>
      <c r="E334" s="13">
        <v>4</v>
      </c>
      <c r="F334" s="14" t="s">
        <v>12</v>
      </c>
      <c r="G334" s="10">
        <v>17300</v>
      </c>
      <c r="H334" s="12">
        <f>0.3*G334</f>
        <v>5190</v>
      </c>
      <c r="I334" s="12">
        <f t="shared" si="231"/>
        <v>20760</v>
      </c>
      <c r="J334" s="10" t="s">
        <v>207</v>
      </c>
      <c r="K334" s="13" t="str">
        <f t="shared" si="232"/>
        <v>Блок8</v>
      </c>
      <c r="L334">
        <v>20760</v>
      </c>
      <c r="M334">
        <f t="shared" si="233"/>
        <v>1</v>
      </c>
      <c r="N334">
        <f t="shared" si="228"/>
        <v>4</v>
      </c>
      <c r="O334" s="23">
        <f>N334*G334</f>
        <v>69200</v>
      </c>
    </row>
    <row r="335" spans="1:15" ht="27" customHeight="1" x14ac:dyDescent="0.25">
      <c r="A335" s="13" t="str">
        <f t="shared" si="230"/>
        <v>РУ-1-8</v>
      </c>
      <c r="B335" s="10" t="s">
        <v>294</v>
      </c>
      <c r="C335" s="11" t="s">
        <v>229</v>
      </c>
      <c r="D335" s="10" t="s">
        <v>230</v>
      </c>
      <c r="E335" s="13">
        <v>1</v>
      </c>
      <c r="F335" s="14" t="s">
        <v>12</v>
      </c>
      <c r="G335" s="10">
        <v>34800</v>
      </c>
      <c r="H335" s="12">
        <f>0.6*G335</f>
        <v>20880</v>
      </c>
      <c r="I335" s="12">
        <f t="shared" si="231"/>
        <v>20880</v>
      </c>
      <c r="J335" s="10" t="s">
        <v>14</v>
      </c>
      <c r="K335" s="13" t="str">
        <f t="shared" si="232"/>
        <v>Блок8</v>
      </c>
      <c r="L335">
        <v>20880</v>
      </c>
      <c r="M335">
        <f t="shared" si="233"/>
        <v>1</v>
      </c>
      <c r="N335">
        <f t="shared" si="228"/>
        <v>1</v>
      </c>
      <c r="O335" s="23">
        <f>N335*H335</f>
        <v>20880</v>
      </c>
    </row>
    <row r="336" spans="1:15" ht="27" customHeight="1" x14ac:dyDescent="0.25">
      <c r="A336" s="13" t="str">
        <f t="shared" si="230"/>
        <v>РУ-1-8</v>
      </c>
      <c r="B336" s="10" t="s">
        <v>293</v>
      </c>
      <c r="C336" s="11" t="s">
        <v>217</v>
      </c>
      <c r="D336" s="10" t="s">
        <v>218</v>
      </c>
      <c r="E336" s="13">
        <v>2</v>
      </c>
      <c r="F336" s="14" t="s">
        <v>12</v>
      </c>
      <c r="G336" s="10">
        <v>7850</v>
      </c>
      <c r="H336" s="12">
        <f>0.3*G336</f>
        <v>2355</v>
      </c>
      <c r="I336" s="12">
        <f t="shared" si="231"/>
        <v>4710</v>
      </c>
      <c r="J336" s="10" t="s">
        <v>207</v>
      </c>
      <c r="K336" s="13" t="str">
        <f t="shared" si="232"/>
        <v>Блок8</v>
      </c>
      <c r="L336">
        <v>4710</v>
      </c>
      <c r="M336">
        <f t="shared" si="233"/>
        <v>1</v>
      </c>
      <c r="N336">
        <f t="shared" si="228"/>
        <v>2</v>
      </c>
      <c r="O336" s="23">
        <f>N336*G336</f>
        <v>15700</v>
      </c>
    </row>
    <row r="337" spans="1:15" ht="27" customHeight="1" x14ac:dyDescent="0.25">
      <c r="A337" s="10" t="str">
        <f t="shared" si="230"/>
        <v>РУ-1-8</v>
      </c>
      <c r="B337" s="10" t="s">
        <v>19</v>
      </c>
      <c r="C337" s="11" t="s">
        <v>19</v>
      </c>
      <c r="D337" s="10" t="s">
        <v>19</v>
      </c>
      <c r="E337" s="10">
        <v>1</v>
      </c>
      <c r="F337" s="10" t="s">
        <v>12</v>
      </c>
      <c r="G337" s="10">
        <f ca="1">OFFSET(G337,1,2)</f>
        <v>27000</v>
      </c>
      <c r="H337" s="12">
        <f ca="1">G337</f>
        <v>27000</v>
      </c>
      <c r="I337" s="12">
        <f t="shared" ca="1" si="231"/>
        <v>27000</v>
      </c>
      <c r="J337" s="10" t="s">
        <v>19</v>
      </c>
      <c r="K337" s="13" t="str">
        <f t="shared" si="232"/>
        <v>Блок8</v>
      </c>
      <c r="L337">
        <v>27000</v>
      </c>
      <c r="M337">
        <f t="shared" si="233"/>
        <v>1</v>
      </c>
      <c r="N337">
        <f t="shared" si="228"/>
        <v>1</v>
      </c>
      <c r="O337" s="23">
        <f ca="1">N337*H337</f>
        <v>27000</v>
      </c>
    </row>
    <row r="338" spans="1:15" ht="27" customHeight="1" x14ac:dyDescent="0.25">
      <c r="A338" s="10" t="str">
        <f t="shared" si="230"/>
        <v>РУ-1-8</v>
      </c>
      <c r="B338" s="10" t="s">
        <v>20</v>
      </c>
      <c r="C338" s="11" t="s">
        <v>20</v>
      </c>
      <c r="D338" s="10" t="s">
        <v>20</v>
      </c>
      <c r="E338" s="10">
        <f>60*G338</f>
        <v>270</v>
      </c>
      <c r="F338" s="10" t="s">
        <v>12</v>
      </c>
      <c r="G338" s="10">
        <v>4.5</v>
      </c>
      <c r="H338" s="12">
        <v>100</v>
      </c>
      <c r="I338" s="12">
        <f t="shared" si="231"/>
        <v>27000</v>
      </c>
      <c r="J338" s="10" t="s">
        <v>20</v>
      </c>
      <c r="K338" s="13" t="str">
        <f t="shared" si="232"/>
        <v>Блок8</v>
      </c>
      <c r="L338">
        <v>27000</v>
      </c>
      <c r="M338">
        <f t="shared" si="233"/>
        <v>1</v>
      </c>
      <c r="N338">
        <f t="shared" si="228"/>
        <v>270</v>
      </c>
      <c r="O338" s="23">
        <f>N338*H338</f>
        <v>27000</v>
      </c>
    </row>
    <row r="339" spans="1:15" ht="27" customHeight="1" x14ac:dyDescent="0.25">
      <c r="A339" s="15" t="str">
        <f t="shared" si="230"/>
        <v>РУ-1-8</v>
      </c>
      <c r="B339" s="15"/>
      <c r="C339" s="15"/>
      <c r="D339" s="16"/>
      <c r="E339" s="15"/>
      <c r="F339" s="19"/>
      <c r="G339" s="17"/>
      <c r="H339" s="12">
        <f t="shared" ref="H339" si="234">G339*0.55</f>
        <v>0</v>
      </c>
      <c r="I339" s="18">
        <f ca="1">SUM(I333:I338)</f>
        <v>187350</v>
      </c>
      <c r="J339" s="15"/>
      <c r="K339" s="13" t="str">
        <f t="shared" si="232"/>
        <v>Блок8</v>
      </c>
      <c r="L339">
        <v>187350</v>
      </c>
      <c r="M339">
        <f t="shared" si="233"/>
        <v>1</v>
      </c>
      <c r="N339">
        <f t="shared" si="228"/>
        <v>0</v>
      </c>
      <c r="O339" s="23">
        <f>N339*H339</f>
        <v>0</v>
      </c>
    </row>
    <row r="340" spans="1:15" ht="27" customHeight="1" x14ac:dyDescent="0.25">
      <c r="A340" s="8" t="str">
        <f>D340</f>
        <v>ЩУР.МОП1-8</v>
      </c>
      <c r="B340" s="4"/>
      <c r="C340" s="5"/>
      <c r="D340" s="4" t="s">
        <v>83</v>
      </c>
      <c r="E340" s="8">
        <v>1</v>
      </c>
      <c r="F340" s="9" t="s">
        <v>9</v>
      </c>
      <c r="G340" s="6"/>
      <c r="H340" s="6"/>
      <c r="I340" s="7"/>
      <c r="J340" s="4" t="s">
        <v>10</v>
      </c>
      <c r="K340" s="8" t="s">
        <v>81</v>
      </c>
      <c r="M340">
        <f>E340</f>
        <v>1</v>
      </c>
      <c r="N340">
        <f t="shared" si="228"/>
        <v>1</v>
      </c>
      <c r="O340" s="23">
        <f>N340*H340</f>
        <v>0</v>
      </c>
    </row>
    <row r="341" spans="1:15" ht="27" customHeight="1" x14ac:dyDescent="0.25">
      <c r="A341" s="13" t="str">
        <f t="shared" ref="A341:A348" si="235">A340</f>
        <v>ЩУР.МОП1-8</v>
      </c>
      <c r="B341" s="10" t="s">
        <v>11</v>
      </c>
      <c r="C341" s="11" t="s">
        <v>40</v>
      </c>
      <c r="D341" s="10" t="s">
        <v>41</v>
      </c>
      <c r="E341" s="13">
        <v>1</v>
      </c>
      <c r="F341" s="14" t="s">
        <v>12</v>
      </c>
      <c r="G341" s="10">
        <v>18000</v>
      </c>
      <c r="H341" s="12">
        <f>0.6*G341</f>
        <v>10800</v>
      </c>
      <c r="I341" s="12">
        <f t="shared" ref="I341:I347" si="236">H341*E341</f>
        <v>10800</v>
      </c>
      <c r="J341" s="10" t="s">
        <v>13</v>
      </c>
      <c r="K341" s="13" t="str">
        <f t="shared" ref="K341:K348" si="237">K340</f>
        <v>Блок8</v>
      </c>
      <c r="L341">
        <v>10800</v>
      </c>
      <c r="M341">
        <f t="shared" ref="M341:M348" si="238">M340</f>
        <v>1</v>
      </c>
      <c r="N341">
        <f t="shared" si="228"/>
        <v>1</v>
      </c>
      <c r="O341" s="23">
        <f>N341*H341</f>
        <v>10800</v>
      </c>
    </row>
    <row r="342" spans="1:15" ht="27" customHeight="1" x14ac:dyDescent="0.25">
      <c r="A342" s="13" t="str">
        <f t="shared" si="235"/>
        <v>ЩУР.МОП1-8</v>
      </c>
      <c r="B342" s="10" t="s">
        <v>293</v>
      </c>
      <c r="C342" s="11" t="s">
        <v>195</v>
      </c>
      <c r="D342" s="10" t="s">
        <v>196</v>
      </c>
      <c r="E342" s="13">
        <v>1</v>
      </c>
      <c r="F342" s="14" t="s">
        <v>12</v>
      </c>
      <c r="G342" s="10">
        <v>6190</v>
      </c>
      <c r="H342" s="12">
        <f t="shared" ref="H342:H344" si="239">0.3*G342</f>
        <v>1857</v>
      </c>
      <c r="I342" s="12">
        <f t="shared" si="236"/>
        <v>1857</v>
      </c>
      <c r="J342" s="10" t="s">
        <v>207</v>
      </c>
      <c r="K342" s="13" t="str">
        <f t="shared" si="237"/>
        <v>Блок8</v>
      </c>
      <c r="L342">
        <v>1857</v>
      </c>
      <c r="M342">
        <f t="shared" si="238"/>
        <v>1</v>
      </c>
      <c r="N342">
        <f t="shared" si="228"/>
        <v>1</v>
      </c>
      <c r="O342" s="23">
        <f>N342*G342</f>
        <v>6190</v>
      </c>
    </row>
    <row r="343" spans="1:15" ht="27" customHeight="1" x14ac:dyDescent="0.25">
      <c r="A343" s="13" t="str">
        <f t="shared" si="235"/>
        <v>ЩУР.МОП1-8</v>
      </c>
      <c r="B343" s="10" t="s">
        <v>293</v>
      </c>
      <c r="C343" s="11" t="s">
        <v>201</v>
      </c>
      <c r="D343" s="10" t="s">
        <v>202</v>
      </c>
      <c r="E343" s="13">
        <v>1</v>
      </c>
      <c r="F343" s="14" t="s">
        <v>12</v>
      </c>
      <c r="G343" s="10">
        <v>5750</v>
      </c>
      <c r="H343" s="12">
        <f t="shared" si="239"/>
        <v>1725</v>
      </c>
      <c r="I343" s="12">
        <f t="shared" si="236"/>
        <v>1725</v>
      </c>
      <c r="J343" s="10" t="s">
        <v>207</v>
      </c>
      <c r="K343" s="13" t="str">
        <f t="shared" si="237"/>
        <v>Блок8</v>
      </c>
      <c r="L343">
        <v>1725</v>
      </c>
      <c r="M343">
        <f t="shared" si="238"/>
        <v>1</v>
      </c>
      <c r="N343">
        <f t="shared" si="228"/>
        <v>1</v>
      </c>
      <c r="O343" s="23">
        <f>N343*G343</f>
        <v>5750</v>
      </c>
    </row>
    <row r="344" spans="1:15" ht="27" customHeight="1" x14ac:dyDescent="0.25">
      <c r="A344" s="13" t="str">
        <f t="shared" si="235"/>
        <v>ЩУР.МОП1-8</v>
      </c>
      <c r="B344" s="10" t="s">
        <v>293</v>
      </c>
      <c r="C344" s="11" t="s">
        <v>193</v>
      </c>
      <c r="D344" s="10" t="s">
        <v>194</v>
      </c>
      <c r="E344" s="13">
        <v>3</v>
      </c>
      <c r="F344" s="14" t="s">
        <v>12</v>
      </c>
      <c r="G344" s="10">
        <v>6580</v>
      </c>
      <c r="H344" s="12">
        <f t="shared" si="239"/>
        <v>1974</v>
      </c>
      <c r="I344" s="12">
        <f t="shared" si="236"/>
        <v>5922</v>
      </c>
      <c r="J344" s="10" t="s">
        <v>207</v>
      </c>
      <c r="K344" s="13" t="str">
        <f t="shared" si="237"/>
        <v>Блок8</v>
      </c>
      <c r="L344">
        <v>5922</v>
      </c>
      <c r="M344">
        <f t="shared" si="238"/>
        <v>1</v>
      </c>
      <c r="N344">
        <f t="shared" si="228"/>
        <v>3</v>
      </c>
      <c r="O344" s="23">
        <f>N344*G344</f>
        <v>19740</v>
      </c>
    </row>
    <row r="345" spans="1:15" ht="27" customHeight="1" x14ac:dyDescent="0.25">
      <c r="A345" s="13" t="str">
        <f t="shared" si="235"/>
        <v>ЩУР.МОП1-8</v>
      </c>
      <c r="B345" s="10" t="s">
        <v>15</v>
      </c>
      <c r="C345" s="11" t="s">
        <v>299</v>
      </c>
      <c r="D345" s="10" t="s">
        <v>300</v>
      </c>
      <c r="E345" s="13">
        <v>1</v>
      </c>
      <c r="F345" s="14" t="s">
        <v>12</v>
      </c>
      <c r="G345" s="10">
        <v>32400</v>
      </c>
      <c r="H345" s="12">
        <f>G345</f>
        <v>32400</v>
      </c>
      <c r="I345" s="12">
        <f t="shared" si="236"/>
        <v>32400</v>
      </c>
      <c r="J345" s="10" t="s">
        <v>16</v>
      </c>
      <c r="K345" s="13" t="str">
        <f t="shared" si="237"/>
        <v>Блок8</v>
      </c>
      <c r="L345">
        <v>32400</v>
      </c>
      <c r="M345">
        <f t="shared" si="238"/>
        <v>1</v>
      </c>
      <c r="N345">
        <f t="shared" si="228"/>
        <v>1</v>
      </c>
      <c r="O345" s="23">
        <f t="shared" ref="O345:O351" si="240">N345*H345</f>
        <v>32400</v>
      </c>
    </row>
    <row r="346" spans="1:15" ht="27" customHeight="1" x14ac:dyDescent="0.25">
      <c r="A346" s="10" t="str">
        <f t="shared" si="235"/>
        <v>ЩУР.МОП1-8</v>
      </c>
      <c r="B346" s="10" t="s">
        <v>19</v>
      </c>
      <c r="C346" s="11" t="s">
        <v>19</v>
      </c>
      <c r="D346" s="10" t="s">
        <v>19</v>
      </c>
      <c r="E346" s="10">
        <v>1</v>
      </c>
      <c r="F346" s="10" t="s">
        <v>12</v>
      </c>
      <c r="G346" s="10">
        <f ca="1">OFFSET(G346,1,2)</f>
        <v>12000</v>
      </c>
      <c r="H346" s="12">
        <f ca="1">G346</f>
        <v>12000</v>
      </c>
      <c r="I346" s="12">
        <f t="shared" ca="1" si="236"/>
        <v>12000</v>
      </c>
      <c r="J346" s="10" t="s">
        <v>19</v>
      </c>
      <c r="K346" s="13" t="str">
        <f t="shared" si="237"/>
        <v>Блок8</v>
      </c>
      <c r="L346">
        <v>12000</v>
      </c>
      <c r="M346">
        <f t="shared" si="238"/>
        <v>1</v>
      </c>
      <c r="N346">
        <f t="shared" si="228"/>
        <v>1</v>
      </c>
      <c r="O346" s="23">
        <f t="shared" ca="1" si="240"/>
        <v>12000</v>
      </c>
    </row>
    <row r="347" spans="1:15" ht="27" customHeight="1" x14ac:dyDescent="0.25">
      <c r="A347" s="10" t="str">
        <f t="shared" si="235"/>
        <v>ЩУР.МОП1-8</v>
      </c>
      <c r="B347" s="10" t="s">
        <v>20</v>
      </c>
      <c r="C347" s="11" t="s">
        <v>20</v>
      </c>
      <c r="D347" s="10" t="s">
        <v>20</v>
      </c>
      <c r="E347" s="10">
        <f>60*G347</f>
        <v>120</v>
      </c>
      <c r="F347" s="10" t="s">
        <v>12</v>
      </c>
      <c r="G347" s="10">
        <v>2</v>
      </c>
      <c r="H347" s="12">
        <v>100</v>
      </c>
      <c r="I347" s="12">
        <f t="shared" si="236"/>
        <v>12000</v>
      </c>
      <c r="J347" s="10" t="s">
        <v>20</v>
      </c>
      <c r="K347" s="13" t="str">
        <f t="shared" si="237"/>
        <v>Блок8</v>
      </c>
      <c r="L347">
        <v>12000</v>
      </c>
      <c r="M347">
        <f t="shared" si="238"/>
        <v>1</v>
      </c>
      <c r="N347">
        <f t="shared" si="228"/>
        <v>120</v>
      </c>
      <c r="O347" s="23">
        <f t="shared" si="240"/>
        <v>12000</v>
      </c>
    </row>
    <row r="348" spans="1:15" ht="27" customHeight="1" x14ac:dyDescent="0.25">
      <c r="A348" s="15" t="str">
        <f t="shared" si="235"/>
        <v>ЩУР.МОП1-8</v>
      </c>
      <c r="B348" s="15"/>
      <c r="C348" s="15"/>
      <c r="D348" s="16"/>
      <c r="E348" s="15"/>
      <c r="F348" s="19"/>
      <c r="G348" s="17"/>
      <c r="H348" s="12">
        <f>G348*0.55</f>
        <v>0</v>
      </c>
      <c r="I348" s="18">
        <f ca="1">SUM(I341:I347)</f>
        <v>76704</v>
      </c>
      <c r="J348" s="15"/>
      <c r="K348" s="13" t="str">
        <f t="shared" si="237"/>
        <v>Блок8</v>
      </c>
      <c r="L348">
        <v>76704</v>
      </c>
      <c r="M348">
        <f t="shared" si="238"/>
        <v>1</v>
      </c>
      <c r="N348">
        <f t="shared" si="228"/>
        <v>0</v>
      </c>
      <c r="O348" s="23">
        <f t="shared" si="240"/>
        <v>0</v>
      </c>
    </row>
    <row r="349" spans="1:15" ht="27" customHeight="1" x14ac:dyDescent="0.25">
      <c r="A349" s="8" t="str">
        <f>D349</f>
        <v>РЩ1-8 (АВР-Б-40-2-1)</v>
      </c>
      <c r="B349" s="4"/>
      <c r="C349" s="5"/>
      <c r="D349" s="4" t="s">
        <v>140</v>
      </c>
      <c r="E349" s="8">
        <v>1</v>
      </c>
      <c r="F349" s="9" t="s">
        <v>9</v>
      </c>
      <c r="G349" s="6"/>
      <c r="H349" s="6"/>
      <c r="I349" s="7"/>
      <c r="J349" s="4" t="s">
        <v>10</v>
      </c>
      <c r="K349" s="8" t="s">
        <v>81</v>
      </c>
      <c r="M349">
        <f>E349</f>
        <v>1</v>
      </c>
      <c r="N349">
        <f t="shared" si="228"/>
        <v>1</v>
      </c>
      <c r="O349" s="23">
        <f t="shared" si="240"/>
        <v>0</v>
      </c>
    </row>
    <row r="350" spans="1:15" ht="27" customHeight="1" x14ac:dyDescent="0.25">
      <c r="A350" s="13" t="str">
        <f t="shared" ref="A350:A360" si="241">A349</f>
        <v>РЩ1-8 (АВР-Б-40-2-1)</v>
      </c>
      <c r="B350" s="10" t="s">
        <v>11</v>
      </c>
      <c r="C350" s="11" t="s">
        <v>168</v>
      </c>
      <c r="D350" s="10" t="s">
        <v>169</v>
      </c>
      <c r="E350" s="13">
        <v>1</v>
      </c>
      <c r="F350" s="14" t="s">
        <v>12</v>
      </c>
      <c r="G350" s="10">
        <v>130000</v>
      </c>
      <c r="H350" s="12">
        <f t="shared" ref="H350:H351" si="242">0.6*G350</f>
        <v>78000</v>
      </c>
      <c r="I350" s="12">
        <f t="shared" ref="I350:I359" si="243">H350*E350</f>
        <v>78000</v>
      </c>
      <c r="J350" s="10" t="s">
        <v>13</v>
      </c>
      <c r="K350" s="13" t="str">
        <f t="shared" ref="K350:K360" si="244">K349</f>
        <v>Блок8</v>
      </c>
      <c r="L350">
        <v>78000</v>
      </c>
      <c r="M350">
        <f t="shared" ref="M350:M360" si="245">M349</f>
        <v>1</v>
      </c>
      <c r="N350">
        <f t="shared" si="228"/>
        <v>1</v>
      </c>
      <c r="O350" s="23">
        <f t="shared" si="240"/>
        <v>78000</v>
      </c>
    </row>
    <row r="351" spans="1:15" ht="27" customHeight="1" x14ac:dyDescent="0.25">
      <c r="A351" s="13" t="str">
        <f t="shared" si="241"/>
        <v>РЩ1-8 (АВР-Б-40-2-1)</v>
      </c>
      <c r="B351" s="10" t="s">
        <v>44</v>
      </c>
      <c r="C351" s="11" t="s">
        <v>162</v>
      </c>
      <c r="D351" s="10" t="s">
        <v>163</v>
      </c>
      <c r="E351" s="13">
        <v>1</v>
      </c>
      <c r="F351" s="14" t="s">
        <v>12</v>
      </c>
      <c r="G351" s="10">
        <v>114758</v>
      </c>
      <c r="H351" s="12">
        <f t="shared" si="242"/>
        <v>68854.8</v>
      </c>
      <c r="I351" s="12">
        <f t="shared" si="243"/>
        <v>68854.8</v>
      </c>
      <c r="J351" s="10" t="s">
        <v>14</v>
      </c>
      <c r="K351" s="13" t="str">
        <f t="shared" si="244"/>
        <v>Блок8</v>
      </c>
      <c r="L351">
        <v>68854.8</v>
      </c>
      <c r="M351">
        <f t="shared" si="245"/>
        <v>1</v>
      </c>
      <c r="N351">
        <f t="shared" si="228"/>
        <v>1</v>
      </c>
      <c r="O351" s="23">
        <f t="shared" si="240"/>
        <v>68854.8</v>
      </c>
    </row>
    <row r="352" spans="1:15" ht="27" customHeight="1" x14ac:dyDescent="0.25">
      <c r="A352" s="13" t="str">
        <f t="shared" si="241"/>
        <v>РЩ1-8 (АВР-Б-40-2-1)</v>
      </c>
      <c r="B352" s="10" t="s">
        <v>293</v>
      </c>
      <c r="C352" s="11" t="s">
        <v>213</v>
      </c>
      <c r="D352" s="10" t="s">
        <v>214</v>
      </c>
      <c r="E352" s="13">
        <v>2</v>
      </c>
      <c r="F352" s="14" t="s">
        <v>12</v>
      </c>
      <c r="G352" s="10">
        <v>7690</v>
      </c>
      <c r="H352" s="12">
        <f t="shared" ref="H352:H355" si="246">0.3*G352</f>
        <v>2307</v>
      </c>
      <c r="I352" s="12">
        <f t="shared" si="243"/>
        <v>4614</v>
      </c>
      <c r="J352" s="10" t="s">
        <v>207</v>
      </c>
      <c r="K352" s="13" t="str">
        <f t="shared" si="244"/>
        <v>Блок8</v>
      </c>
      <c r="L352">
        <v>4614</v>
      </c>
      <c r="M352">
        <f t="shared" si="245"/>
        <v>1</v>
      </c>
      <c r="N352">
        <f t="shared" si="228"/>
        <v>2</v>
      </c>
      <c r="O352" s="23">
        <f>N352*G352</f>
        <v>15380</v>
      </c>
    </row>
    <row r="353" spans="1:15" ht="27" customHeight="1" x14ac:dyDescent="0.25">
      <c r="A353" s="13" t="str">
        <f t="shared" si="241"/>
        <v>РЩ1-8 (АВР-Б-40-2-1)</v>
      </c>
      <c r="B353" s="10" t="s">
        <v>293</v>
      </c>
      <c r="C353" s="11" t="s">
        <v>231</v>
      </c>
      <c r="D353" s="10" t="s">
        <v>232</v>
      </c>
      <c r="E353" s="13">
        <v>3</v>
      </c>
      <c r="F353" s="14" t="s">
        <v>12</v>
      </c>
      <c r="G353" s="10">
        <v>7690</v>
      </c>
      <c r="H353" s="12">
        <f t="shared" si="246"/>
        <v>2307</v>
      </c>
      <c r="I353" s="12">
        <f t="shared" si="243"/>
        <v>6921</v>
      </c>
      <c r="J353" s="10" t="s">
        <v>207</v>
      </c>
      <c r="K353" s="13" t="str">
        <f t="shared" si="244"/>
        <v>Блок8</v>
      </c>
      <c r="L353">
        <v>6921</v>
      </c>
      <c r="M353">
        <f t="shared" si="245"/>
        <v>1</v>
      </c>
      <c r="N353">
        <f t="shared" si="228"/>
        <v>3</v>
      </c>
      <c r="O353" s="23">
        <f>N353*G353</f>
        <v>23070</v>
      </c>
    </row>
    <row r="354" spans="1:15" ht="27" customHeight="1" x14ac:dyDescent="0.25">
      <c r="A354" s="13" t="str">
        <f t="shared" si="241"/>
        <v>РЩ1-8 (АВР-Б-40-2-1)</v>
      </c>
      <c r="B354" s="10" t="s">
        <v>294</v>
      </c>
      <c r="C354" s="11" t="s">
        <v>203</v>
      </c>
      <c r="D354" s="10" t="s">
        <v>204</v>
      </c>
      <c r="E354" s="13">
        <v>2</v>
      </c>
      <c r="F354" s="14" t="s">
        <v>12</v>
      </c>
      <c r="G354" s="10">
        <v>13450</v>
      </c>
      <c r="H354" s="12">
        <f t="shared" si="246"/>
        <v>4035</v>
      </c>
      <c r="I354" s="12">
        <f t="shared" si="243"/>
        <v>8070</v>
      </c>
      <c r="J354" s="10" t="s">
        <v>207</v>
      </c>
      <c r="K354" s="13" t="str">
        <f t="shared" si="244"/>
        <v>Блок8</v>
      </c>
      <c r="L354">
        <v>8070</v>
      </c>
      <c r="M354">
        <f t="shared" si="245"/>
        <v>1</v>
      </c>
      <c r="N354">
        <f t="shared" si="228"/>
        <v>2</v>
      </c>
      <c r="O354" s="23">
        <f>N354*G354</f>
        <v>26900</v>
      </c>
    </row>
    <row r="355" spans="1:15" ht="27" customHeight="1" x14ac:dyDescent="0.25">
      <c r="A355" s="13" t="str">
        <f t="shared" si="241"/>
        <v>РЩ1-8 (АВР-Б-40-2-1)</v>
      </c>
      <c r="B355" s="10" t="s">
        <v>293</v>
      </c>
      <c r="C355" s="11" t="s">
        <v>205</v>
      </c>
      <c r="D355" s="10" t="s">
        <v>206</v>
      </c>
      <c r="E355" s="13">
        <v>1</v>
      </c>
      <c r="F355" s="14" t="s">
        <v>12</v>
      </c>
      <c r="G355" s="10">
        <v>7090</v>
      </c>
      <c r="H355" s="12">
        <f t="shared" si="246"/>
        <v>2127</v>
      </c>
      <c r="I355" s="12">
        <f t="shared" si="243"/>
        <v>2127</v>
      </c>
      <c r="J355" s="10" t="s">
        <v>207</v>
      </c>
      <c r="K355" s="13" t="str">
        <f t="shared" si="244"/>
        <v>Блок8</v>
      </c>
      <c r="L355">
        <v>2127</v>
      </c>
      <c r="M355">
        <f t="shared" si="245"/>
        <v>1</v>
      </c>
      <c r="N355">
        <f t="shared" si="228"/>
        <v>1</v>
      </c>
      <c r="O355" s="23">
        <f>N355*G355</f>
        <v>7090</v>
      </c>
    </row>
    <row r="356" spans="1:15" ht="27" customHeight="1" x14ac:dyDescent="0.25">
      <c r="A356" s="13" t="str">
        <f t="shared" si="241"/>
        <v>РЩ1-8 (АВР-Б-40-2-1)</v>
      </c>
      <c r="B356" s="10" t="s">
        <v>15</v>
      </c>
      <c r="C356" s="11" t="s">
        <v>299</v>
      </c>
      <c r="D356" s="10" t="s">
        <v>300</v>
      </c>
      <c r="E356" s="13">
        <v>1</v>
      </c>
      <c r="F356" s="14" t="s">
        <v>12</v>
      </c>
      <c r="G356" s="10">
        <v>32400</v>
      </c>
      <c r="H356" s="12">
        <f>G356</f>
        <v>32400</v>
      </c>
      <c r="I356" s="12">
        <f t="shared" si="243"/>
        <v>32400</v>
      </c>
      <c r="J356" s="10" t="s">
        <v>16</v>
      </c>
      <c r="K356" s="13" t="str">
        <f t="shared" si="244"/>
        <v>Блок8</v>
      </c>
      <c r="L356">
        <v>32400</v>
      </c>
      <c r="M356">
        <f t="shared" si="245"/>
        <v>1</v>
      </c>
      <c r="N356">
        <f t="shared" si="228"/>
        <v>1</v>
      </c>
      <c r="O356" s="23">
        <f t="shared" ref="O356:O363" si="247">N356*H356</f>
        <v>32400</v>
      </c>
    </row>
    <row r="357" spans="1:15" ht="27" customHeight="1" x14ac:dyDescent="0.25">
      <c r="A357" s="13" t="str">
        <f t="shared" si="241"/>
        <v>РЩ1-8 (АВР-Б-40-2-1)</v>
      </c>
      <c r="B357" s="10" t="s">
        <v>30</v>
      </c>
      <c r="C357" s="11"/>
      <c r="D357" s="10" t="s">
        <v>31</v>
      </c>
      <c r="E357" s="13">
        <v>6</v>
      </c>
      <c r="F357" s="14" t="s">
        <v>12</v>
      </c>
      <c r="G357" s="10">
        <v>3850</v>
      </c>
      <c r="H357" s="12">
        <f>G357</f>
        <v>3850</v>
      </c>
      <c r="I357" s="12">
        <f t="shared" si="243"/>
        <v>23100</v>
      </c>
      <c r="J357" s="10" t="s">
        <v>25</v>
      </c>
      <c r="K357" s="13" t="str">
        <f t="shared" si="244"/>
        <v>Блок8</v>
      </c>
      <c r="L357">
        <v>23100</v>
      </c>
      <c r="M357">
        <f t="shared" si="245"/>
        <v>1</v>
      </c>
      <c r="N357">
        <f t="shared" si="228"/>
        <v>6</v>
      </c>
      <c r="O357" s="23">
        <f t="shared" si="247"/>
        <v>23100</v>
      </c>
    </row>
    <row r="358" spans="1:15" ht="27" customHeight="1" x14ac:dyDescent="0.25">
      <c r="A358" s="10" t="str">
        <f t="shared" si="241"/>
        <v>РЩ1-8 (АВР-Б-40-2-1)</v>
      </c>
      <c r="B358" s="10" t="s">
        <v>19</v>
      </c>
      <c r="C358" s="11" t="s">
        <v>19</v>
      </c>
      <c r="D358" s="10" t="s">
        <v>19</v>
      </c>
      <c r="E358" s="10">
        <v>1</v>
      </c>
      <c r="F358" s="10" t="s">
        <v>12</v>
      </c>
      <c r="G358" s="10">
        <f ca="1">OFFSET(G358,1,2)</f>
        <v>39000</v>
      </c>
      <c r="H358" s="12">
        <f ca="1">G358</f>
        <v>39000</v>
      </c>
      <c r="I358" s="12">
        <f t="shared" ca="1" si="243"/>
        <v>39000</v>
      </c>
      <c r="J358" s="10" t="s">
        <v>19</v>
      </c>
      <c r="K358" s="13" t="str">
        <f t="shared" si="244"/>
        <v>Блок8</v>
      </c>
      <c r="L358">
        <v>39000</v>
      </c>
      <c r="M358">
        <f t="shared" si="245"/>
        <v>1</v>
      </c>
      <c r="N358">
        <f t="shared" si="228"/>
        <v>1</v>
      </c>
      <c r="O358" s="23">
        <f t="shared" ca="1" si="247"/>
        <v>39000</v>
      </c>
    </row>
    <row r="359" spans="1:15" ht="27" customHeight="1" x14ac:dyDescent="0.25">
      <c r="A359" s="10" t="str">
        <f t="shared" si="241"/>
        <v>РЩ1-8 (АВР-Б-40-2-1)</v>
      </c>
      <c r="B359" s="10" t="s">
        <v>20</v>
      </c>
      <c r="C359" s="11" t="s">
        <v>20</v>
      </c>
      <c r="D359" s="10" t="s">
        <v>20</v>
      </c>
      <c r="E359" s="10">
        <f>60*G359</f>
        <v>390</v>
      </c>
      <c r="F359" s="10" t="s">
        <v>12</v>
      </c>
      <c r="G359" s="10">
        <v>6.5</v>
      </c>
      <c r="H359" s="12">
        <v>100</v>
      </c>
      <c r="I359" s="12">
        <f t="shared" si="243"/>
        <v>39000</v>
      </c>
      <c r="J359" s="10" t="s">
        <v>20</v>
      </c>
      <c r="K359" s="13" t="str">
        <f t="shared" si="244"/>
        <v>Блок8</v>
      </c>
      <c r="L359">
        <v>39000</v>
      </c>
      <c r="M359">
        <f t="shared" si="245"/>
        <v>1</v>
      </c>
      <c r="N359">
        <f t="shared" si="228"/>
        <v>390</v>
      </c>
      <c r="O359" s="23">
        <f t="shared" si="247"/>
        <v>39000</v>
      </c>
    </row>
    <row r="360" spans="1:15" ht="27" customHeight="1" x14ac:dyDescent="0.25">
      <c r="A360" s="15" t="str">
        <f t="shared" si="241"/>
        <v>РЩ1-8 (АВР-Б-40-2-1)</v>
      </c>
      <c r="B360" s="15"/>
      <c r="C360" s="15"/>
      <c r="D360" s="16"/>
      <c r="E360" s="15"/>
      <c r="F360" s="19"/>
      <c r="G360" s="17"/>
      <c r="H360" s="12">
        <f t="shared" ref="H360" si="248">G360*0.55</f>
        <v>0</v>
      </c>
      <c r="I360" s="18">
        <f ca="1">SUM(I350:I359)</f>
        <v>302086.8</v>
      </c>
      <c r="J360" s="15"/>
      <c r="K360" s="13" t="str">
        <f t="shared" si="244"/>
        <v>Блок8</v>
      </c>
      <c r="L360">
        <v>302086.8</v>
      </c>
      <c r="M360">
        <f t="shared" si="245"/>
        <v>1</v>
      </c>
      <c r="N360">
        <f t="shared" si="228"/>
        <v>0</v>
      </c>
      <c r="O360" s="23">
        <f t="shared" si="247"/>
        <v>0</v>
      </c>
    </row>
    <row r="361" spans="1:15" ht="27" customHeight="1" x14ac:dyDescent="0.25">
      <c r="A361" s="8" t="str">
        <f>D361</f>
        <v>РУ1-9</v>
      </c>
      <c r="B361" s="4"/>
      <c r="C361" s="5"/>
      <c r="D361" s="4" t="s">
        <v>84</v>
      </c>
      <c r="E361" s="8">
        <v>1</v>
      </c>
      <c r="F361" s="9" t="s">
        <v>9</v>
      </c>
      <c r="G361" s="6"/>
      <c r="H361" s="6"/>
      <c r="I361" s="7"/>
      <c r="J361" s="4" t="s">
        <v>10</v>
      </c>
      <c r="K361" s="8" t="s">
        <v>85</v>
      </c>
      <c r="M361">
        <f>E361</f>
        <v>1</v>
      </c>
      <c r="N361">
        <f t="shared" si="228"/>
        <v>1</v>
      </c>
      <c r="O361" s="23">
        <f t="shared" si="247"/>
        <v>0</v>
      </c>
    </row>
    <row r="362" spans="1:15" ht="27" customHeight="1" x14ac:dyDescent="0.25">
      <c r="A362" s="13" t="str">
        <f t="shared" ref="A362:A368" si="249">A361</f>
        <v>РУ1-9</v>
      </c>
      <c r="B362" s="10" t="s">
        <v>11</v>
      </c>
      <c r="C362" s="11" t="s">
        <v>170</v>
      </c>
      <c r="D362" s="10" t="s">
        <v>171</v>
      </c>
      <c r="E362" s="13">
        <v>1</v>
      </c>
      <c r="F362" s="14" t="s">
        <v>12</v>
      </c>
      <c r="G362" s="10">
        <v>145000</v>
      </c>
      <c r="H362" s="12">
        <f t="shared" ref="H362:H363" si="250">0.6*G362</f>
        <v>87000</v>
      </c>
      <c r="I362" s="12">
        <f t="shared" ref="I362:I367" si="251">H362*E362</f>
        <v>87000</v>
      </c>
      <c r="J362" s="10" t="s">
        <v>13</v>
      </c>
      <c r="K362" s="13" t="str">
        <f t="shared" ref="K362:K368" si="252">K361</f>
        <v>Блок9</v>
      </c>
      <c r="L362">
        <v>87000</v>
      </c>
      <c r="M362">
        <f t="shared" ref="M362:M368" si="253">M361</f>
        <v>1</v>
      </c>
      <c r="N362">
        <f t="shared" si="228"/>
        <v>1</v>
      </c>
      <c r="O362" s="23">
        <f t="shared" si="247"/>
        <v>87000</v>
      </c>
    </row>
    <row r="363" spans="1:15" ht="27" customHeight="1" x14ac:dyDescent="0.25">
      <c r="A363" s="13" t="str">
        <f t="shared" si="249"/>
        <v>РУ1-9</v>
      </c>
      <c r="B363" s="10" t="s">
        <v>294</v>
      </c>
      <c r="C363" s="11" t="s">
        <v>229</v>
      </c>
      <c r="D363" s="10" t="s">
        <v>230</v>
      </c>
      <c r="E363" s="13">
        <v>1</v>
      </c>
      <c r="F363" s="14" t="s">
        <v>12</v>
      </c>
      <c r="G363" s="10">
        <v>34800</v>
      </c>
      <c r="H363" s="12">
        <f t="shared" si="250"/>
        <v>20880</v>
      </c>
      <c r="I363" s="12">
        <f t="shared" si="251"/>
        <v>20880</v>
      </c>
      <c r="J363" s="10" t="s">
        <v>14</v>
      </c>
      <c r="K363" s="13" t="str">
        <f t="shared" si="252"/>
        <v>Блок9</v>
      </c>
      <c r="L363">
        <v>20880</v>
      </c>
      <c r="M363">
        <f t="shared" si="253"/>
        <v>1</v>
      </c>
      <c r="N363">
        <f t="shared" si="228"/>
        <v>1</v>
      </c>
      <c r="O363" s="23">
        <f t="shared" si="247"/>
        <v>20880</v>
      </c>
    </row>
    <row r="364" spans="1:15" ht="27" customHeight="1" x14ac:dyDescent="0.25">
      <c r="A364" s="13" t="str">
        <f t="shared" si="249"/>
        <v>РУ1-9</v>
      </c>
      <c r="B364" s="10" t="s">
        <v>294</v>
      </c>
      <c r="C364" s="11" t="s">
        <v>225</v>
      </c>
      <c r="D364" s="10" t="s">
        <v>226</v>
      </c>
      <c r="E364" s="13">
        <v>4</v>
      </c>
      <c r="F364" s="14" t="s">
        <v>12</v>
      </c>
      <c r="G364" s="10">
        <v>17300</v>
      </c>
      <c r="H364" s="12">
        <f t="shared" ref="H364:H365" si="254">0.3*G364</f>
        <v>5190</v>
      </c>
      <c r="I364" s="12">
        <f t="shared" si="251"/>
        <v>20760</v>
      </c>
      <c r="J364" s="10" t="s">
        <v>207</v>
      </c>
      <c r="K364" s="13" t="str">
        <f t="shared" si="252"/>
        <v>Блок9</v>
      </c>
      <c r="L364">
        <v>20760</v>
      </c>
      <c r="M364">
        <f t="shared" si="253"/>
        <v>1</v>
      </c>
      <c r="N364">
        <f t="shared" si="228"/>
        <v>4</v>
      </c>
      <c r="O364" s="23">
        <f>N364*G364</f>
        <v>69200</v>
      </c>
    </row>
    <row r="365" spans="1:15" ht="27" customHeight="1" x14ac:dyDescent="0.25">
      <c r="A365" s="13" t="str">
        <f t="shared" si="249"/>
        <v>РУ1-9</v>
      </c>
      <c r="B365" s="10" t="s">
        <v>293</v>
      </c>
      <c r="C365" s="11" t="s">
        <v>217</v>
      </c>
      <c r="D365" s="10" t="s">
        <v>218</v>
      </c>
      <c r="E365" s="13">
        <v>2</v>
      </c>
      <c r="F365" s="14" t="s">
        <v>12</v>
      </c>
      <c r="G365" s="10">
        <v>7850</v>
      </c>
      <c r="H365" s="12">
        <f t="shared" si="254"/>
        <v>2355</v>
      </c>
      <c r="I365" s="12">
        <f t="shared" si="251"/>
        <v>4710</v>
      </c>
      <c r="J365" s="10" t="s">
        <v>207</v>
      </c>
      <c r="K365" s="13" t="str">
        <f t="shared" si="252"/>
        <v>Блок9</v>
      </c>
      <c r="L365">
        <v>4710</v>
      </c>
      <c r="M365">
        <f t="shared" si="253"/>
        <v>1</v>
      </c>
      <c r="N365">
        <f t="shared" si="228"/>
        <v>2</v>
      </c>
      <c r="O365" s="23">
        <f>N365*G365</f>
        <v>15700</v>
      </c>
    </row>
    <row r="366" spans="1:15" ht="27" customHeight="1" x14ac:dyDescent="0.25">
      <c r="A366" s="10" t="str">
        <f t="shared" si="249"/>
        <v>РУ1-9</v>
      </c>
      <c r="B366" s="10" t="s">
        <v>19</v>
      </c>
      <c r="C366" s="11" t="s">
        <v>19</v>
      </c>
      <c r="D366" s="10" t="s">
        <v>19</v>
      </c>
      <c r="E366" s="10">
        <v>1</v>
      </c>
      <c r="F366" s="10" t="s">
        <v>12</v>
      </c>
      <c r="G366" s="10">
        <f ca="1">OFFSET(G366,1,2)</f>
        <v>27000</v>
      </c>
      <c r="H366" s="12">
        <f ca="1">G366</f>
        <v>27000</v>
      </c>
      <c r="I366" s="12">
        <f t="shared" ca="1" si="251"/>
        <v>27000</v>
      </c>
      <c r="J366" s="10" t="s">
        <v>19</v>
      </c>
      <c r="K366" s="13" t="str">
        <f t="shared" si="252"/>
        <v>Блок9</v>
      </c>
      <c r="L366">
        <v>27000</v>
      </c>
      <c r="M366">
        <f t="shared" si="253"/>
        <v>1</v>
      </c>
      <c r="N366">
        <f t="shared" si="228"/>
        <v>1</v>
      </c>
      <c r="O366" s="23">
        <f ca="1">N366*H366</f>
        <v>27000</v>
      </c>
    </row>
    <row r="367" spans="1:15" ht="27" customHeight="1" x14ac:dyDescent="0.25">
      <c r="A367" s="10" t="str">
        <f t="shared" si="249"/>
        <v>РУ1-9</v>
      </c>
      <c r="B367" s="10" t="s">
        <v>20</v>
      </c>
      <c r="C367" s="11" t="s">
        <v>20</v>
      </c>
      <c r="D367" s="10" t="s">
        <v>20</v>
      </c>
      <c r="E367" s="10">
        <f>60*G367</f>
        <v>270</v>
      </c>
      <c r="F367" s="10" t="s">
        <v>12</v>
      </c>
      <c r="G367" s="10">
        <v>4.5</v>
      </c>
      <c r="H367" s="12">
        <v>100</v>
      </c>
      <c r="I367" s="12">
        <f t="shared" si="251"/>
        <v>27000</v>
      </c>
      <c r="J367" s="10" t="s">
        <v>20</v>
      </c>
      <c r="K367" s="13" t="str">
        <f t="shared" si="252"/>
        <v>Блок9</v>
      </c>
      <c r="L367">
        <v>27000</v>
      </c>
      <c r="M367">
        <f t="shared" si="253"/>
        <v>1</v>
      </c>
      <c r="N367">
        <f t="shared" si="228"/>
        <v>270</v>
      </c>
      <c r="O367" s="23">
        <f>N367*H367</f>
        <v>27000</v>
      </c>
    </row>
    <row r="368" spans="1:15" ht="27" customHeight="1" x14ac:dyDescent="0.25">
      <c r="A368" s="15" t="str">
        <f t="shared" si="249"/>
        <v>РУ1-9</v>
      </c>
      <c r="B368" s="15"/>
      <c r="C368" s="15"/>
      <c r="D368" s="16"/>
      <c r="E368" s="15"/>
      <c r="F368" s="19"/>
      <c r="G368" s="17"/>
      <c r="H368" s="12">
        <f t="shared" ref="H368" si="255">G368*0.55</f>
        <v>0</v>
      </c>
      <c r="I368" s="18">
        <f ca="1">SUM(I362:I367)</f>
        <v>187350</v>
      </c>
      <c r="J368" s="15"/>
      <c r="K368" s="13" t="str">
        <f t="shared" si="252"/>
        <v>Блок9</v>
      </c>
      <c r="L368">
        <v>187350</v>
      </c>
      <c r="M368">
        <f t="shared" si="253"/>
        <v>1</v>
      </c>
      <c r="N368">
        <f t="shared" si="228"/>
        <v>0</v>
      </c>
      <c r="O368" s="23">
        <f>N368*H368</f>
        <v>0</v>
      </c>
    </row>
    <row r="369" spans="1:15" ht="27" customHeight="1" x14ac:dyDescent="0.25">
      <c r="A369" s="8" t="str">
        <f>D369</f>
        <v>ЩУР.МОП1-9</v>
      </c>
      <c r="B369" s="4"/>
      <c r="C369" s="5"/>
      <c r="D369" s="4" t="s">
        <v>86</v>
      </c>
      <c r="E369" s="8">
        <v>1</v>
      </c>
      <c r="F369" s="9" t="s">
        <v>9</v>
      </c>
      <c r="G369" s="6"/>
      <c r="H369" s="6"/>
      <c r="I369" s="7"/>
      <c r="J369" s="4" t="s">
        <v>10</v>
      </c>
      <c r="K369" s="8" t="s">
        <v>85</v>
      </c>
      <c r="M369">
        <f>E369</f>
        <v>1</v>
      </c>
      <c r="N369">
        <f t="shared" si="228"/>
        <v>1</v>
      </c>
      <c r="O369" s="23">
        <f>N369*H369</f>
        <v>0</v>
      </c>
    </row>
    <row r="370" spans="1:15" ht="27" customHeight="1" x14ac:dyDescent="0.25">
      <c r="A370" s="13" t="str">
        <f t="shared" ref="A370:A377" si="256">A369</f>
        <v>ЩУР.МОП1-9</v>
      </c>
      <c r="B370" s="10" t="s">
        <v>11</v>
      </c>
      <c r="C370" s="11" t="s">
        <v>40</v>
      </c>
      <c r="D370" s="10" t="s">
        <v>41</v>
      </c>
      <c r="E370" s="13">
        <v>1</v>
      </c>
      <c r="F370" s="14" t="s">
        <v>12</v>
      </c>
      <c r="G370" s="10">
        <v>18000</v>
      </c>
      <c r="H370" s="12">
        <f>0.6*G370</f>
        <v>10800</v>
      </c>
      <c r="I370" s="12">
        <f t="shared" ref="I370:I376" si="257">H370*E370</f>
        <v>10800</v>
      </c>
      <c r="J370" s="10" t="s">
        <v>13</v>
      </c>
      <c r="K370" s="13" t="str">
        <f>K369</f>
        <v>Блок9</v>
      </c>
      <c r="L370">
        <v>10800</v>
      </c>
      <c r="M370">
        <f t="shared" ref="M370:M377" si="258">M369</f>
        <v>1</v>
      </c>
      <c r="N370">
        <f t="shared" si="228"/>
        <v>1</v>
      </c>
      <c r="O370" s="23">
        <f>N370*H370</f>
        <v>10800</v>
      </c>
    </row>
    <row r="371" spans="1:15" ht="27" customHeight="1" x14ac:dyDescent="0.25">
      <c r="A371" s="13" t="str">
        <f t="shared" si="256"/>
        <v>ЩУР.МОП1-9</v>
      </c>
      <c r="B371" s="10" t="s">
        <v>293</v>
      </c>
      <c r="C371" s="11" t="s">
        <v>195</v>
      </c>
      <c r="D371" s="10" t="s">
        <v>196</v>
      </c>
      <c r="E371" s="13">
        <v>1</v>
      </c>
      <c r="F371" s="14" t="s">
        <v>12</v>
      </c>
      <c r="G371" s="10">
        <v>6190</v>
      </c>
      <c r="H371" s="12">
        <f t="shared" ref="H371:H373" si="259">0.3*G371</f>
        <v>1857</v>
      </c>
      <c r="I371" s="12">
        <f t="shared" si="257"/>
        <v>1857</v>
      </c>
      <c r="J371" s="10" t="s">
        <v>207</v>
      </c>
      <c r="K371" s="13" t="str">
        <f>K370</f>
        <v>Блок9</v>
      </c>
      <c r="L371">
        <v>1857</v>
      </c>
      <c r="M371">
        <f t="shared" si="258"/>
        <v>1</v>
      </c>
      <c r="N371">
        <f t="shared" si="228"/>
        <v>1</v>
      </c>
      <c r="O371" s="23">
        <f>N371*G371</f>
        <v>6190</v>
      </c>
    </row>
    <row r="372" spans="1:15" ht="27" customHeight="1" x14ac:dyDescent="0.25">
      <c r="A372" s="13" t="str">
        <f t="shared" si="256"/>
        <v>ЩУР.МОП1-9</v>
      </c>
      <c r="B372" s="10" t="s">
        <v>293</v>
      </c>
      <c r="C372" s="11" t="s">
        <v>193</v>
      </c>
      <c r="D372" s="10" t="s">
        <v>194</v>
      </c>
      <c r="E372" s="13">
        <v>3</v>
      </c>
      <c r="F372" s="14" t="s">
        <v>12</v>
      </c>
      <c r="G372" s="10">
        <v>6580</v>
      </c>
      <c r="H372" s="12">
        <f t="shared" si="259"/>
        <v>1974</v>
      </c>
      <c r="I372" s="12">
        <f t="shared" si="257"/>
        <v>5922</v>
      </c>
      <c r="J372" s="10" t="s">
        <v>207</v>
      </c>
      <c r="K372" s="13" t="str">
        <f>K371</f>
        <v>Блок9</v>
      </c>
      <c r="L372">
        <v>5922</v>
      </c>
      <c r="M372">
        <f t="shared" si="258"/>
        <v>1</v>
      </c>
      <c r="N372">
        <f t="shared" si="228"/>
        <v>3</v>
      </c>
      <c r="O372" s="23">
        <f>N372*G372</f>
        <v>19740</v>
      </c>
    </row>
    <row r="373" spans="1:15" ht="27" customHeight="1" x14ac:dyDescent="0.25">
      <c r="A373" s="13" t="str">
        <f t="shared" si="256"/>
        <v>ЩУР.МОП1-9</v>
      </c>
      <c r="B373" s="10" t="s">
        <v>293</v>
      </c>
      <c r="C373" s="11" t="s">
        <v>201</v>
      </c>
      <c r="D373" s="10" t="s">
        <v>202</v>
      </c>
      <c r="E373" s="13">
        <v>1</v>
      </c>
      <c r="F373" s="14" t="s">
        <v>12</v>
      </c>
      <c r="G373" s="10">
        <v>5750</v>
      </c>
      <c r="H373" s="12">
        <f t="shared" si="259"/>
        <v>1725</v>
      </c>
      <c r="I373" s="12">
        <f t="shared" si="257"/>
        <v>1725</v>
      </c>
      <c r="J373" s="10" t="s">
        <v>207</v>
      </c>
      <c r="K373" s="13" t="str">
        <f>K372</f>
        <v>Блок9</v>
      </c>
      <c r="L373">
        <v>1725</v>
      </c>
      <c r="M373">
        <f t="shared" si="258"/>
        <v>1</v>
      </c>
      <c r="N373">
        <f t="shared" si="228"/>
        <v>1</v>
      </c>
      <c r="O373" s="23">
        <f>N373*G373</f>
        <v>5750</v>
      </c>
    </row>
    <row r="374" spans="1:15" ht="27" customHeight="1" x14ac:dyDescent="0.25">
      <c r="A374" s="13" t="str">
        <f t="shared" si="256"/>
        <v>ЩУР.МОП1-9</v>
      </c>
      <c r="B374" s="10" t="s">
        <v>15</v>
      </c>
      <c r="C374" s="11" t="s">
        <v>299</v>
      </c>
      <c r="D374" s="10" t="s">
        <v>300</v>
      </c>
      <c r="E374" s="13">
        <v>1</v>
      </c>
      <c r="F374" s="14" t="s">
        <v>12</v>
      </c>
      <c r="G374" s="10">
        <v>32400</v>
      </c>
      <c r="H374" s="12">
        <f>G374</f>
        <v>32400</v>
      </c>
      <c r="I374" s="12">
        <f t="shared" si="257"/>
        <v>32400</v>
      </c>
      <c r="J374" s="10" t="s">
        <v>16</v>
      </c>
      <c r="K374" s="13" t="str">
        <f>K372</f>
        <v>Блок9</v>
      </c>
      <c r="L374">
        <v>32400</v>
      </c>
      <c r="M374">
        <f t="shared" si="258"/>
        <v>1</v>
      </c>
      <c r="N374">
        <f t="shared" si="228"/>
        <v>1</v>
      </c>
      <c r="O374" s="23">
        <f t="shared" ref="O374:O380" si="260">N374*H374</f>
        <v>32400</v>
      </c>
    </row>
    <row r="375" spans="1:15" ht="27" customHeight="1" x14ac:dyDescent="0.25">
      <c r="A375" s="10" t="str">
        <f t="shared" si="256"/>
        <v>ЩУР.МОП1-9</v>
      </c>
      <c r="B375" s="10" t="s">
        <v>19</v>
      </c>
      <c r="C375" s="11" t="s">
        <v>19</v>
      </c>
      <c r="D375" s="10" t="s">
        <v>19</v>
      </c>
      <c r="E375" s="10">
        <v>1</v>
      </c>
      <c r="F375" s="10" t="s">
        <v>12</v>
      </c>
      <c r="G375" s="10">
        <f ca="1">OFFSET(G375,1,2)</f>
        <v>12000</v>
      </c>
      <c r="H375" s="12">
        <f ca="1">G375</f>
        <v>12000</v>
      </c>
      <c r="I375" s="12">
        <f t="shared" ca="1" si="257"/>
        <v>12000</v>
      </c>
      <c r="J375" s="10" t="s">
        <v>19</v>
      </c>
      <c r="K375" s="13" t="str">
        <f>K374</f>
        <v>Блок9</v>
      </c>
      <c r="L375">
        <v>12000</v>
      </c>
      <c r="M375">
        <f t="shared" si="258"/>
        <v>1</v>
      </c>
      <c r="N375">
        <f t="shared" si="228"/>
        <v>1</v>
      </c>
      <c r="O375" s="23">
        <f t="shared" ca="1" si="260"/>
        <v>12000</v>
      </c>
    </row>
    <row r="376" spans="1:15" ht="27" customHeight="1" x14ac:dyDescent="0.25">
      <c r="A376" s="10" t="str">
        <f t="shared" si="256"/>
        <v>ЩУР.МОП1-9</v>
      </c>
      <c r="B376" s="10" t="s">
        <v>20</v>
      </c>
      <c r="C376" s="11" t="s">
        <v>20</v>
      </c>
      <c r="D376" s="10" t="s">
        <v>20</v>
      </c>
      <c r="E376" s="10">
        <f>60*G376</f>
        <v>120</v>
      </c>
      <c r="F376" s="10" t="s">
        <v>12</v>
      </c>
      <c r="G376" s="10">
        <v>2</v>
      </c>
      <c r="H376" s="12">
        <v>100</v>
      </c>
      <c r="I376" s="12">
        <f t="shared" si="257"/>
        <v>12000</v>
      </c>
      <c r="J376" s="10" t="s">
        <v>20</v>
      </c>
      <c r="K376" s="13" t="str">
        <f>K375</f>
        <v>Блок9</v>
      </c>
      <c r="L376">
        <v>12000</v>
      </c>
      <c r="M376">
        <f t="shared" si="258"/>
        <v>1</v>
      </c>
      <c r="N376">
        <f t="shared" si="228"/>
        <v>120</v>
      </c>
      <c r="O376" s="23">
        <f t="shared" si="260"/>
        <v>12000</v>
      </c>
    </row>
    <row r="377" spans="1:15" ht="27" customHeight="1" x14ac:dyDescent="0.25">
      <c r="A377" s="15" t="str">
        <f t="shared" si="256"/>
        <v>ЩУР.МОП1-9</v>
      </c>
      <c r="B377" s="15"/>
      <c r="C377" s="15"/>
      <c r="D377" s="16"/>
      <c r="E377" s="15"/>
      <c r="F377" s="19"/>
      <c r="G377" s="17"/>
      <c r="H377" s="12">
        <f>G377*0.55</f>
        <v>0</v>
      </c>
      <c r="I377" s="18">
        <f ca="1">SUM(I370:I376)</f>
        <v>76704</v>
      </c>
      <c r="J377" s="15"/>
      <c r="K377" s="13" t="str">
        <f>K376</f>
        <v>Блок9</v>
      </c>
      <c r="L377">
        <v>76704</v>
      </c>
      <c r="M377">
        <f t="shared" si="258"/>
        <v>1</v>
      </c>
      <c r="N377">
        <f t="shared" si="228"/>
        <v>0</v>
      </c>
      <c r="O377" s="23">
        <f t="shared" si="260"/>
        <v>0</v>
      </c>
    </row>
    <row r="378" spans="1:15" ht="27" customHeight="1" x14ac:dyDescent="0.25">
      <c r="A378" s="8" t="str">
        <f>D378</f>
        <v>РЩ1-9 (АВР-Б-40-2-1)</v>
      </c>
      <c r="B378" s="4"/>
      <c r="C378" s="5"/>
      <c r="D378" s="4" t="s">
        <v>141</v>
      </c>
      <c r="E378" s="8">
        <v>1</v>
      </c>
      <c r="F378" s="9" t="s">
        <v>9</v>
      </c>
      <c r="G378" s="6"/>
      <c r="H378" s="6"/>
      <c r="I378" s="7"/>
      <c r="J378" s="4" t="s">
        <v>10</v>
      </c>
      <c r="K378" s="8" t="s">
        <v>85</v>
      </c>
      <c r="M378">
        <f>E378</f>
        <v>1</v>
      </c>
      <c r="N378">
        <f t="shared" si="228"/>
        <v>1</v>
      </c>
      <c r="O378" s="23">
        <f t="shared" si="260"/>
        <v>0</v>
      </c>
    </row>
    <row r="379" spans="1:15" ht="27" customHeight="1" x14ac:dyDescent="0.25">
      <c r="A379" s="13" t="str">
        <f t="shared" ref="A379:A389" si="261">A378</f>
        <v>РЩ1-9 (АВР-Б-40-2-1)</v>
      </c>
      <c r="B379" s="10" t="s">
        <v>11</v>
      </c>
      <c r="C379" s="11" t="s">
        <v>168</v>
      </c>
      <c r="D379" s="10" t="s">
        <v>169</v>
      </c>
      <c r="E379" s="13">
        <v>1</v>
      </c>
      <c r="F379" s="14" t="s">
        <v>12</v>
      </c>
      <c r="G379" s="10">
        <v>130000</v>
      </c>
      <c r="H379" s="12">
        <f t="shared" ref="H379:H380" si="262">0.6*G379</f>
        <v>78000</v>
      </c>
      <c r="I379" s="12">
        <f t="shared" ref="I379:I388" si="263">H379*E379</f>
        <v>78000</v>
      </c>
      <c r="J379" s="10" t="s">
        <v>13</v>
      </c>
      <c r="K379" s="13" t="str">
        <f t="shared" ref="K379:K389" si="264">K378</f>
        <v>Блок9</v>
      </c>
      <c r="L379">
        <v>78000</v>
      </c>
      <c r="M379">
        <f t="shared" ref="M379:M389" si="265">M378</f>
        <v>1</v>
      </c>
      <c r="N379">
        <f t="shared" si="228"/>
        <v>1</v>
      </c>
      <c r="O379" s="23">
        <f t="shared" si="260"/>
        <v>78000</v>
      </c>
    </row>
    <row r="380" spans="1:15" ht="27" customHeight="1" x14ac:dyDescent="0.25">
      <c r="A380" s="13" t="str">
        <f t="shared" si="261"/>
        <v>РЩ1-9 (АВР-Б-40-2-1)</v>
      </c>
      <c r="B380" s="10" t="s">
        <v>44</v>
      </c>
      <c r="C380" s="11" t="s">
        <v>162</v>
      </c>
      <c r="D380" s="10" t="s">
        <v>163</v>
      </c>
      <c r="E380" s="13">
        <v>1</v>
      </c>
      <c r="F380" s="14" t="s">
        <v>12</v>
      </c>
      <c r="G380" s="10">
        <v>114758</v>
      </c>
      <c r="H380" s="12">
        <f t="shared" si="262"/>
        <v>68854.8</v>
      </c>
      <c r="I380" s="12">
        <f t="shared" si="263"/>
        <v>68854.8</v>
      </c>
      <c r="J380" s="10" t="s">
        <v>14</v>
      </c>
      <c r="K380" s="13" t="str">
        <f t="shared" si="264"/>
        <v>Блок9</v>
      </c>
      <c r="L380">
        <v>68854.8</v>
      </c>
      <c r="M380">
        <f t="shared" si="265"/>
        <v>1</v>
      </c>
      <c r="N380">
        <f t="shared" si="228"/>
        <v>1</v>
      </c>
      <c r="O380" s="23">
        <f t="shared" si="260"/>
        <v>68854.8</v>
      </c>
    </row>
    <row r="381" spans="1:15" ht="27" customHeight="1" x14ac:dyDescent="0.25">
      <c r="A381" s="13" t="str">
        <f t="shared" si="261"/>
        <v>РЩ1-9 (АВР-Б-40-2-1)</v>
      </c>
      <c r="B381" s="10" t="s">
        <v>293</v>
      </c>
      <c r="C381" s="11" t="s">
        <v>213</v>
      </c>
      <c r="D381" s="10" t="s">
        <v>214</v>
      </c>
      <c r="E381" s="13">
        <v>2</v>
      </c>
      <c r="F381" s="14" t="s">
        <v>12</v>
      </c>
      <c r="G381" s="10">
        <v>7690</v>
      </c>
      <c r="H381" s="12">
        <f t="shared" ref="H381:H384" si="266">0.3*G381</f>
        <v>2307</v>
      </c>
      <c r="I381" s="12">
        <f t="shared" si="263"/>
        <v>4614</v>
      </c>
      <c r="J381" s="10" t="s">
        <v>207</v>
      </c>
      <c r="K381" s="13" t="str">
        <f t="shared" si="264"/>
        <v>Блок9</v>
      </c>
      <c r="L381">
        <v>4614</v>
      </c>
      <c r="M381">
        <f t="shared" si="265"/>
        <v>1</v>
      </c>
      <c r="N381">
        <f t="shared" si="228"/>
        <v>2</v>
      </c>
      <c r="O381" s="23">
        <f>N381*G381</f>
        <v>15380</v>
      </c>
    </row>
    <row r="382" spans="1:15" ht="27" customHeight="1" x14ac:dyDescent="0.25">
      <c r="A382" s="13" t="str">
        <f t="shared" si="261"/>
        <v>РЩ1-9 (АВР-Б-40-2-1)</v>
      </c>
      <c r="B382" s="10" t="s">
        <v>293</v>
      </c>
      <c r="C382" s="11" t="s">
        <v>231</v>
      </c>
      <c r="D382" s="10" t="s">
        <v>232</v>
      </c>
      <c r="E382" s="13">
        <v>3</v>
      </c>
      <c r="F382" s="14" t="s">
        <v>12</v>
      </c>
      <c r="G382" s="10">
        <v>7690</v>
      </c>
      <c r="H382" s="12">
        <f t="shared" si="266"/>
        <v>2307</v>
      </c>
      <c r="I382" s="12">
        <f t="shared" si="263"/>
        <v>6921</v>
      </c>
      <c r="J382" s="10" t="s">
        <v>207</v>
      </c>
      <c r="K382" s="13" t="str">
        <f t="shared" si="264"/>
        <v>Блок9</v>
      </c>
      <c r="L382">
        <v>6921</v>
      </c>
      <c r="M382">
        <f t="shared" si="265"/>
        <v>1</v>
      </c>
      <c r="N382">
        <f t="shared" si="228"/>
        <v>3</v>
      </c>
      <c r="O382" s="23">
        <f>N382*G382</f>
        <v>23070</v>
      </c>
    </row>
    <row r="383" spans="1:15" ht="27" customHeight="1" x14ac:dyDescent="0.25">
      <c r="A383" s="13" t="str">
        <f t="shared" si="261"/>
        <v>РЩ1-9 (АВР-Б-40-2-1)</v>
      </c>
      <c r="B383" s="10" t="s">
        <v>294</v>
      </c>
      <c r="C383" s="11" t="s">
        <v>203</v>
      </c>
      <c r="D383" s="10" t="s">
        <v>204</v>
      </c>
      <c r="E383" s="13">
        <v>2</v>
      </c>
      <c r="F383" s="14" t="s">
        <v>12</v>
      </c>
      <c r="G383" s="10">
        <v>13450</v>
      </c>
      <c r="H383" s="12">
        <f t="shared" si="266"/>
        <v>4035</v>
      </c>
      <c r="I383" s="12">
        <f t="shared" si="263"/>
        <v>8070</v>
      </c>
      <c r="J383" s="10" t="s">
        <v>207</v>
      </c>
      <c r="K383" s="13" t="str">
        <f t="shared" si="264"/>
        <v>Блок9</v>
      </c>
      <c r="L383">
        <v>8070</v>
      </c>
      <c r="M383">
        <f t="shared" si="265"/>
        <v>1</v>
      </c>
      <c r="N383">
        <f t="shared" si="228"/>
        <v>2</v>
      </c>
      <c r="O383" s="23">
        <f>N383*G383</f>
        <v>26900</v>
      </c>
    </row>
    <row r="384" spans="1:15" ht="27" customHeight="1" x14ac:dyDescent="0.25">
      <c r="A384" s="13" t="str">
        <f t="shared" si="261"/>
        <v>РЩ1-9 (АВР-Б-40-2-1)</v>
      </c>
      <c r="B384" s="10" t="s">
        <v>293</v>
      </c>
      <c r="C384" s="11" t="s">
        <v>205</v>
      </c>
      <c r="D384" s="10" t="s">
        <v>206</v>
      </c>
      <c r="E384" s="13">
        <v>1</v>
      </c>
      <c r="F384" s="14" t="s">
        <v>12</v>
      </c>
      <c r="G384" s="10">
        <v>7090</v>
      </c>
      <c r="H384" s="12">
        <f t="shared" si="266"/>
        <v>2127</v>
      </c>
      <c r="I384" s="12">
        <f t="shared" si="263"/>
        <v>2127</v>
      </c>
      <c r="J384" s="10" t="s">
        <v>207</v>
      </c>
      <c r="K384" s="13" t="str">
        <f t="shared" si="264"/>
        <v>Блок9</v>
      </c>
      <c r="L384">
        <v>2127</v>
      </c>
      <c r="M384">
        <f t="shared" si="265"/>
        <v>1</v>
      </c>
      <c r="N384">
        <f t="shared" si="228"/>
        <v>1</v>
      </c>
      <c r="O384" s="23">
        <f>N384*G384</f>
        <v>7090</v>
      </c>
    </row>
    <row r="385" spans="1:15" ht="27" customHeight="1" x14ac:dyDescent="0.25">
      <c r="A385" s="13" t="str">
        <f t="shared" si="261"/>
        <v>РЩ1-9 (АВР-Б-40-2-1)</v>
      </c>
      <c r="B385" s="10" t="s">
        <v>15</v>
      </c>
      <c r="C385" s="11" t="s">
        <v>299</v>
      </c>
      <c r="D385" s="10" t="s">
        <v>300</v>
      </c>
      <c r="E385" s="13">
        <v>1</v>
      </c>
      <c r="F385" s="14" t="s">
        <v>12</v>
      </c>
      <c r="G385" s="10">
        <v>32400</v>
      </c>
      <c r="H385" s="12">
        <f>G385</f>
        <v>32400</v>
      </c>
      <c r="I385" s="12">
        <f t="shared" si="263"/>
        <v>32400</v>
      </c>
      <c r="J385" s="10" t="s">
        <v>16</v>
      </c>
      <c r="K385" s="13" t="str">
        <f t="shared" si="264"/>
        <v>Блок9</v>
      </c>
      <c r="L385">
        <v>32400</v>
      </c>
      <c r="M385">
        <f t="shared" si="265"/>
        <v>1</v>
      </c>
      <c r="N385">
        <f t="shared" si="228"/>
        <v>1</v>
      </c>
      <c r="O385" s="23">
        <f t="shared" ref="O385:O392" si="267">N385*H385</f>
        <v>32400</v>
      </c>
    </row>
    <row r="386" spans="1:15" ht="27" customHeight="1" x14ac:dyDescent="0.25">
      <c r="A386" s="13" t="str">
        <f t="shared" si="261"/>
        <v>РЩ1-9 (АВР-Б-40-2-1)</v>
      </c>
      <c r="B386" s="10" t="s">
        <v>30</v>
      </c>
      <c r="C386" s="11"/>
      <c r="D386" s="10" t="s">
        <v>31</v>
      </c>
      <c r="E386" s="13">
        <v>6</v>
      </c>
      <c r="F386" s="14" t="s">
        <v>12</v>
      </c>
      <c r="G386" s="10">
        <v>3850</v>
      </c>
      <c r="H386" s="12">
        <f>G386</f>
        <v>3850</v>
      </c>
      <c r="I386" s="12">
        <f t="shared" si="263"/>
        <v>23100</v>
      </c>
      <c r="J386" s="10" t="s">
        <v>25</v>
      </c>
      <c r="K386" s="13" t="str">
        <f t="shared" si="264"/>
        <v>Блок9</v>
      </c>
      <c r="L386">
        <v>23100</v>
      </c>
      <c r="M386">
        <f t="shared" si="265"/>
        <v>1</v>
      </c>
      <c r="N386">
        <f t="shared" si="228"/>
        <v>6</v>
      </c>
      <c r="O386" s="23">
        <f t="shared" si="267"/>
        <v>23100</v>
      </c>
    </row>
    <row r="387" spans="1:15" ht="27" customHeight="1" x14ac:dyDescent="0.25">
      <c r="A387" s="10" t="str">
        <f t="shared" si="261"/>
        <v>РЩ1-9 (АВР-Б-40-2-1)</v>
      </c>
      <c r="B387" s="10" t="s">
        <v>19</v>
      </c>
      <c r="C387" s="11" t="s">
        <v>19</v>
      </c>
      <c r="D387" s="10" t="s">
        <v>19</v>
      </c>
      <c r="E387" s="10">
        <v>1</v>
      </c>
      <c r="F387" s="10" t="s">
        <v>12</v>
      </c>
      <c r="G387" s="10">
        <f ca="1">OFFSET(G387,1,2)</f>
        <v>39000</v>
      </c>
      <c r="H387" s="12">
        <f ca="1">G387</f>
        <v>39000</v>
      </c>
      <c r="I387" s="12">
        <f t="shared" ca="1" si="263"/>
        <v>39000</v>
      </c>
      <c r="J387" s="10" t="s">
        <v>19</v>
      </c>
      <c r="K387" s="13" t="str">
        <f t="shared" si="264"/>
        <v>Блок9</v>
      </c>
      <c r="L387">
        <v>39000</v>
      </c>
      <c r="M387">
        <f t="shared" si="265"/>
        <v>1</v>
      </c>
      <c r="N387">
        <f t="shared" si="228"/>
        <v>1</v>
      </c>
      <c r="O387" s="23">
        <f t="shared" ca="1" si="267"/>
        <v>39000</v>
      </c>
    </row>
    <row r="388" spans="1:15" ht="27" customHeight="1" x14ac:dyDescent="0.25">
      <c r="A388" s="10" t="str">
        <f t="shared" si="261"/>
        <v>РЩ1-9 (АВР-Б-40-2-1)</v>
      </c>
      <c r="B388" s="10" t="s">
        <v>20</v>
      </c>
      <c r="C388" s="11" t="s">
        <v>20</v>
      </c>
      <c r="D388" s="10" t="s">
        <v>20</v>
      </c>
      <c r="E388" s="10">
        <f>60*G388</f>
        <v>390</v>
      </c>
      <c r="F388" s="10" t="s">
        <v>12</v>
      </c>
      <c r="G388" s="10">
        <v>6.5</v>
      </c>
      <c r="H388" s="12">
        <v>100</v>
      </c>
      <c r="I388" s="12">
        <f t="shared" si="263"/>
        <v>39000</v>
      </c>
      <c r="J388" s="10" t="s">
        <v>20</v>
      </c>
      <c r="K388" s="13" t="str">
        <f t="shared" si="264"/>
        <v>Блок9</v>
      </c>
      <c r="L388">
        <v>39000</v>
      </c>
      <c r="M388">
        <f t="shared" si="265"/>
        <v>1</v>
      </c>
      <c r="N388">
        <f t="shared" si="228"/>
        <v>390</v>
      </c>
      <c r="O388" s="23">
        <f t="shared" si="267"/>
        <v>39000</v>
      </c>
    </row>
    <row r="389" spans="1:15" ht="27" customHeight="1" x14ac:dyDescent="0.25">
      <c r="A389" s="15" t="str">
        <f t="shared" si="261"/>
        <v>РЩ1-9 (АВР-Б-40-2-1)</v>
      </c>
      <c r="B389" s="15"/>
      <c r="C389" s="15"/>
      <c r="D389" s="16"/>
      <c r="E389" s="15"/>
      <c r="F389" s="19"/>
      <c r="G389" s="17"/>
      <c r="H389" s="12">
        <f>G389*0.55</f>
        <v>0</v>
      </c>
      <c r="I389" s="18">
        <f ca="1">SUM(I379:I388)</f>
        <v>302086.8</v>
      </c>
      <c r="J389" s="15"/>
      <c r="K389" s="13" t="str">
        <f t="shared" si="264"/>
        <v>Блок9</v>
      </c>
      <c r="L389">
        <v>302086.8</v>
      </c>
      <c r="M389">
        <f t="shared" si="265"/>
        <v>1</v>
      </c>
      <c r="N389">
        <f t="shared" si="228"/>
        <v>0</v>
      </c>
      <c r="O389" s="23">
        <f t="shared" si="267"/>
        <v>0</v>
      </c>
    </row>
    <row r="390" spans="1:15" ht="27" customHeight="1" x14ac:dyDescent="0.25">
      <c r="A390" s="8" t="str">
        <f>D390</f>
        <v>РУ1-10</v>
      </c>
      <c r="B390" s="4"/>
      <c r="C390" s="5"/>
      <c r="D390" s="4" t="s">
        <v>87</v>
      </c>
      <c r="E390" s="8">
        <v>1</v>
      </c>
      <c r="F390" s="9" t="s">
        <v>9</v>
      </c>
      <c r="G390" s="6"/>
      <c r="H390" s="6"/>
      <c r="I390" s="7"/>
      <c r="J390" s="4" t="s">
        <v>10</v>
      </c>
      <c r="K390" s="8" t="s">
        <v>88</v>
      </c>
      <c r="M390">
        <f>E390</f>
        <v>1</v>
      </c>
      <c r="N390">
        <f t="shared" ref="N390:N453" si="268">M390*E390</f>
        <v>1</v>
      </c>
      <c r="O390" s="23">
        <f t="shared" si="267"/>
        <v>0</v>
      </c>
    </row>
    <row r="391" spans="1:15" ht="27" customHeight="1" x14ac:dyDescent="0.25">
      <c r="A391" s="13" t="str">
        <f t="shared" ref="A391:A397" si="269">A390</f>
        <v>РУ1-10</v>
      </c>
      <c r="B391" s="10" t="s">
        <v>11</v>
      </c>
      <c r="C391" s="11" t="s">
        <v>170</v>
      </c>
      <c r="D391" s="10" t="s">
        <v>171</v>
      </c>
      <c r="E391" s="13">
        <v>1</v>
      </c>
      <c r="F391" s="14" t="s">
        <v>12</v>
      </c>
      <c r="G391" s="10">
        <v>145000</v>
      </c>
      <c r="H391" s="12">
        <f t="shared" ref="H391:H392" si="270">0.6*G391</f>
        <v>87000</v>
      </c>
      <c r="I391" s="12">
        <f t="shared" ref="I391:I396" si="271">H391*E391</f>
        <v>87000</v>
      </c>
      <c r="J391" s="10" t="s">
        <v>13</v>
      </c>
      <c r="K391" s="13" t="str">
        <f t="shared" ref="K391:K397" si="272">K390</f>
        <v>Блок10</v>
      </c>
      <c r="L391">
        <v>87000</v>
      </c>
      <c r="M391">
        <f t="shared" ref="M391:M397" si="273">M390</f>
        <v>1</v>
      </c>
      <c r="N391">
        <f t="shared" si="268"/>
        <v>1</v>
      </c>
      <c r="O391" s="23">
        <f t="shared" si="267"/>
        <v>87000</v>
      </c>
    </row>
    <row r="392" spans="1:15" ht="27" customHeight="1" x14ac:dyDescent="0.25">
      <c r="A392" s="13" t="str">
        <f t="shared" si="269"/>
        <v>РУ1-10</v>
      </c>
      <c r="B392" s="10" t="s">
        <v>294</v>
      </c>
      <c r="C392" s="11" t="s">
        <v>229</v>
      </c>
      <c r="D392" s="10" t="s">
        <v>230</v>
      </c>
      <c r="E392" s="13">
        <v>1</v>
      </c>
      <c r="F392" s="14" t="s">
        <v>12</v>
      </c>
      <c r="G392" s="10">
        <v>34800</v>
      </c>
      <c r="H392" s="12">
        <f t="shared" si="270"/>
        <v>20880</v>
      </c>
      <c r="I392" s="12">
        <f t="shared" si="271"/>
        <v>20880</v>
      </c>
      <c r="J392" s="10" t="s">
        <v>14</v>
      </c>
      <c r="K392" s="13" t="str">
        <f t="shared" si="272"/>
        <v>Блок10</v>
      </c>
      <c r="L392">
        <v>20880</v>
      </c>
      <c r="M392">
        <f t="shared" si="273"/>
        <v>1</v>
      </c>
      <c r="N392">
        <f t="shared" si="268"/>
        <v>1</v>
      </c>
      <c r="O392" s="23">
        <f t="shared" si="267"/>
        <v>20880</v>
      </c>
    </row>
    <row r="393" spans="1:15" ht="27" customHeight="1" x14ac:dyDescent="0.25">
      <c r="A393" s="13" t="str">
        <f t="shared" si="269"/>
        <v>РУ1-10</v>
      </c>
      <c r="B393" s="10" t="s">
        <v>294</v>
      </c>
      <c r="C393" s="11" t="s">
        <v>227</v>
      </c>
      <c r="D393" s="10" t="s">
        <v>228</v>
      </c>
      <c r="E393" s="13">
        <v>2</v>
      </c>
      <c r="F393" s="14" t="s">
        <v>12</v>
      </c>
      <c r="G393" s="10">
        <v>29990</v>
      </c>
      <c r="H393" s="12">
        <f t="shared" ref="H393:H394" si="274">0.3*G393</f>
        <v>8997</v>
      </c>
      <c r="I393" s="12">
        <f t="shared" si="271"/>
        <v>17994</v>
      </c>
      <c r="J393" s="10" t="s">
        <v>207</v>
      </c>
      <c r="K393" s="13" t="str">
        <f t="shared" si="272"/>
        <v>Блок10</v>
      </c>
      <c r="L393">
        <v>17994</v>
      </c>
      <c r="M393">
        <f t="shared" si="273"/>
        <v>1</v>
      </c>
      <c r="N393">
        <f t="shared" si="268"/>
        <v>2</v>
      </c>
      <c r="O393" s="23">
        <f>N393*G393</f>
        <v>59980</v>
      </c>
    </row>
    <row r="394" spans="1:15" ht="27" customHeight="1" x14ac:dyDescent="0.25">
      <c r="A394" s="13" t="str">
        <f t="shared" si="269"/>
        <v>РУ1-10</v>
      </c>
      <c r="B394" s="10" t="s">
        <v>293</v>
      </c>
      <c r="C394" s="11" t="s">
        <v>217</v>
      </c>
      <c r="D394" s="10" t="s">
        <v>218</v>
      </c>
      <c r="E394" s="13">
        <v>2</v>
      </c>
      <c r="F394" s="14" t="s">
        <v>12</v>
      </c>
      <c r="G394" s="10">
        <v>7850</v>
      </c>
      <c r="H394" s="12">
        <f t="shared" si="274"/>
        <v>2355</v>
      </c>
      <c r="I394" s="12">
        <f t="shared" si="271"/>
        <v>4710</v>
      </c>
      <c r="J394" s="10" t="s">
        <v>207</v>
      </c>
      <c r="K394" s="13" t="str">
        <f t="shared" si="272"/>
        <v>Блок10</v>
      </c>
      <c r="L394">
        <v>4710</v>
      </c>
      <c r="M394">
        <f t="shared" si="273"/>
        <v>1</v>
      </c>
      <c r="N394">
        <f t="shared" si="268"/>
        <v>2</v>
      </c>
      <c r="O394" s="23">
        <f>N394*G394</f>
        <v>15700</v>
      </c>
    </row>
    <row r="395" spans="1:15" ht="27" customHeight="1" x14ac:dyDescent="0.25">
      <c r="A395" s="10" t="str">
        <f t="shared" si="269"/>
        <v>РУ1-10</v>
      </c>
      <c r="B395" s="10" t="s">
        <v>19</v>
      </c>
      <c r="C395" s="11" t="s">
        <v>19</v>
      </c>
      <c r="D395" s="10" t="s">
        <v>19</v>
      </c>
      <c r="E395" s="10">
        <v>1</v>
      </c>
      <c r="F395" s="10" t="s">
        <v>12</v>
      </c>
      <c r="G395" s="10">
        <f ca="1">OFFSET(G395,1,2)</f>
        <v>27000</v>
      </c>
      <c r="H395" s="12">
        <f ca="1">G395</f>
        <v>27000</v>
      </c>
      <c r="I395" s="12">
        <f t="shared" ca="1" si="271"/>
        <v>27000</v>
      </c>
      <c r="J395" s="10" t="s">
        <v>19</v>
      </c>
      <c r="K395" s="13" t="str">
        <f t="shared" si="272"/>
        <v>Блок10</v>
      </c>
      <c r="L395">
        <v>27000</v>
      </c>
      <c r="M395">
        <f t="shared" si="273"/>
        <v>1</v>
      </c>
      <c r="N395">
        <f t="shared" si="268"/>
        <v>1</v>
      </c>
      <c r="O395" s="23">
        <f ca="1">N395*H395</f>
        <v>27000</v>
      </c>
    </row>
    <row r="396" spans="1:15" ht="27" customHeight="1" x14ac:dyDescent="0.25">
      <c r="A396" s="10" t="str">
        <f t="shared" si="269"/>
        <v>РУ1-10</v>
      </c>
      <c r="B396" s="10" t="s">
        <v>20</v>
      </c>
      <c r="C396" s="11" t="s">
        <v>20</v>
      </c>
      <c r="D396" s="10" t="s">
        <v>20</v>
      </c>
      <c r="E396" s="10">
        <f>60*G396</f>
        <v>270</v>
      </c>
      <c r="F396" s="10" t="s">
        <v>12</v>
      </c>
      <c r="G396" s="10">
        <v>4.5</v>
      </c>
      <c r="H396" s="12">
        <v>100</v>
      </c>
      <c r="I396" s="12">
        <f t="shared" si="271"/>
        <v>27000</v>
      </c>
      <c r="J396" s="10" t="s">
        <v>20</v>
      </c>
      <c r="K396" s="13" t="str">
        <f t="shared" si="272"/>
        <v>Блок10</v>
      </c>
      <c r="L396">
        <v>27000</v>
      </c>
      <c r="M396">
        <f t="shared" si="273"/>
        <v>1</v>
      </c>
      <c r="N396">
        <f t="shared" si="268"/>
        <v>270</v>
      </c>
      <c r="O396" s="23">
        <f>N396*H396</f>
        <v>27000</v>
      </c>
    </row>
    <row r="397" spans="1:15" ht="27" customHeight="1" x14ac:dyDescent="0.25">
      <c r="A397" s="15" t="str">
        <f t="shared" si="269"/>
        <v>РУ1-10</v>
      </c>
      <c r="B397" s="15"/>
      <c r="C397" s="15"/>
      <c r="D397" s="16"/>
      <c r="E397" s="15"/>
      <c r="F397" s="19"/>
      <c r="G397" s="17"/>
      <c r="H397" s="12">
        <f t="shared" ref="H397" si="275">G397*0.55</f>
        <v>0</v>
      </c>
      <c r="I397" s="18">
        <f ca="1">SUM(I391:I396)</f>
        <v>184584</v>
      </c>
      <c r="J397" s="15"/>
      <c r="K397" s="13" t="str">
        <f t="shared" si="272"/>
        <v>Блок10</v>
      </c>
      <c r="L397">
        <v>184584</v>
      </c>
      <c r="M397">
        <f t="shared" si="273"/>
        <v>1</v>
      </c>
      <c r="N397">
        <f t="shared" si="268"/>
        <v>0</v>
      </c>
      <c r="O397" s="23">
        <f>N397*H397</f>
        <v>0</v>
      </c>
    </row>
    <row r="398" spans="1:15" ht="27" customHeight="1" x14ac:dyDescent="0.25">
      <c r="A398" s="8" t="str">
        <f>D398</f>
        <v>ЩУР.МОП1-10</v>
      </c>
      <c r="B398" s="4"/>
      <c r="C398" s="5"/>
      <c r="D398" s="4" t="s">
        <v>89</v>
      </c>
      <c r="E398" s="8">
        <v>1</v>
      </c>
      <c r="F398" s="9" t="s">
        <v>9</v>
      </c>
      <c r="G398" s="6"/>
      <c r="H398" s="6"/>
      <c r="I398" s="7"/>
      <c r="J398" s="4" t="s">
        <v>10</v>
      </c>
      <c r="K398" s="8" t="s">
        <v>88</v>
      </c>
      <c r="M398">
        <f>E398</f>
        <v>1</v>
      </c>
      <c r="N398">
        <f t="shared" si="268"/>
        <v>1</v>
      </c>
      <c r="O398" s="23">
        <f>N398*H398</f>
        <v>0</v>
      </c>
    </row>
    <row r="399" spans="1:15" ht="27" customHeight="1" x14ac:dyDescent="0.25">
      <c r="A399" s="13" t="str">
        <f t="shared" ref="A399:A405" si="276">A398</f>
        <v>ЩУР.МОП1-10</v>
      </c>
      <c r="B399" s="10" t="s">
        <v>11</v>
      </c>
      <c r="C399" s="11" t="s">
        <v>40</v>
      </c>
      <c r="D399" s="10" t="s">
        <v>41</v>
      </c>
      <c r="E399" s="13">
        <v>1</v>
      </c>
      <c r="F399" s="14" t="s">
        <v>12</v>
      </c>
      <c r="G399" s="10">
        <v>18000</v>
      </c>
      <c r="H399" s="12">
        <f>0.6*G399</f>
        <v>10800</v>
      </c>
      <c r="I399" s="12">
        <f t="shared" ref="I399:I404" si="277">H399*E399</f>
        <v>10800</v>
      </c>
      <c r="J399" s="10" t="s">
        <v>13</v>
      </c>
      <c r="K399" s="13" t="str">
        <f t="shared" ref="K399:K405" si="278">K398</f>
        <v>Блок10</v>
      </c>
      <c r="L399">
        <v>10800</v>
      </c>
      <c r="M399">
        <f t="shared" ref="M399:M405" si="279">M398</f>
        <v>1</v>
      </c>
      <c r="N399">
        <f t="shared" si="268"/>
        <v>1</v>
      </c>
      <c r="O399" s="23">
        <f>N399*H399</f>
        <v>10800</v>
      </c>
    </row>
    <row r="400" spans="1:15" ht="27" customHeight="1" x14ac:dyDescent="0.25">
      <c r="A400" s="13" t="str">
        <f t="shared" si="276"/>
        <v>ЩУР.МОП1-10</v>
      </c>
      <c r="B400" s="10" t="s">
        <v>293</v>
      </c>
      <c r="C400" s="11" t="s">
        <v>195</v>
      </c>
      <c r="D400" s="10" t="s">
        <v>196</v>
      </c>
      <c r="E400" s="13">
        <v>1</v>
      </c>
      <c r="F400" s="14" t="s">
        <v>12</v>
      </c>
      <c r="G400" s="10">
        <v>6190</v>
      </c>
      <c r="H400" s="12">
        <f t="shared" ref="H400:H401" si="280">0.3*G400</f>
        <v>1857</v>
      </c>
      <c r="I400" s="12">
        <f t="shared" si="277"/>
        <v>1857</v>
      </c>
      <c r="J400" s="10" t="s">
        <v>207</v>
      </c>
      <c r="K400" s="13" t="str">
        <f t="shared" si="278"/>
        <v>Блок10</v>
      </c>
      <c r="L400">
        <v>1857</v>
      </c>
      <c r="M400">
        <f t="shared" si="279"/>
        <v>1</v>
      </c>
      <c r="N400">
        <f t="shared" si="268"/>
        <v>1</v>
      </c>
      <c r="O400" s="23">
        <f>N400*G400</f>
        <v>6190</v>
      </c>
    </row>
    <row r="401" spans="1:15" ht="27" customHeight="1" x14ac:dyDescent="0.25">
      <c r="A401" s="13" t="str">
        <f t="shared" si="276"/>
        <v>ЩУР.МОП1-10</v>
      </c>
      <c r="B401" s="10" t="s">
        <v>293</v>
      </c>
      <c r="C401" s="11" t="s">
        <v>193</v>
      </c>
      <c r="D401" s="10" t="s">
        <v>194</v>
      </c>
      <c r="E401" s="13">
        <v>4</v>
      </c>
      <c r="F401" s="14" t="s">
        <v>12</v>
      </c>
      <c r="G401" s="10">
        <v>6580</v>
      </c>
      <c r="H401" s="12">
        <f t="shared" si="280"/>
        <v>1974</v>
      </c>
      <c r="I401" s="12">
        <f t="shared" si="277"/>
        <v>7896</v>
      </c>
      <c r="J401" s="10" t="s">
        <v>207</v>
      </c>
      <c r="K401" s="13" t="str">
        <f t="shared" si="278"/>
        <v>Блок10</v>
      </c>
      <c r="L401">
        <v>7896</v>
      </c>
      <c r="M401">
        <f t="shared" si="279"/>
        <v>1</v>
      </c>
      <c r="N401">
        <f t="shared" si="268"/>
        <v>4</v>
      </c>
      <c r="O401" s="23">
        <f>N401*G401</f>
        <v>26320</v>
      </c>
    </row>
    <row r="402" spans="1:15" ht="27" customHeight="1" x14ac:dyDescent="0.25">
      <c r="A402" s="13" t="str">
        <f t="shared" si="276"/>
        <v>ЩУР.МОП1-10</v>
      </c>
      <c r="B402" s="10" t="s">
        <v>15</v>
      </c>
      <c r="C402" s="11" t="s">
        <v>299</v>
      </c>
      <c r="D402" s="10" t="s">
        <v>300</v>
      </c>
      <c r="E402" s="13">
        <v>1</v>
      </c>
      <c r="F402" s="14" t="s">
        <v>12</v>
      </c>
      <c r="G402" s="10">
        <v>32400</v>
      </c>
      <c r="H402" s="12">
        <f>G402</f>
        <v>32400</v>
      </c>
      <c r="I402" s="12">
        <f t="shared" si="277"/>
        <v>32400</v>
      </c>
      <c r="J402" s="10" t="s">
        <v>16</v>
      </c>
      <c r="K402" s="13" t="str">
        <f t="shared" si="278"/>
        <v>Блок10</v>
      </c>
      <c r="L402">
        <v>32400</v>
      </c>
      <c r="M402">
        <f t="shared" si="279"/>
        <v>1</v>
      </c>
      <c r="N402">
        <f t="shared" si="268"/>
        <v>1</v>
      </c>
      <c r="O402" s="23">
        <f t="shared" ref="O402:O408" si="281">N402*H402</f>
        <v>32400</v>
      </c>
    </row>
    <row r="403" spans="1:15" ht="27" customHeight="1" x14ac:dyDescent="0.25">
      <c r="A403" s="10" t="str">
        <f t="shared" si="276"/>
        <v>ЩУР.МОП1-10</v>
      </c>
      <c r="B403" s="10" t="s">
        <v>19</v>
      </c>
      <c r="C403" s="11" t="s">
        <v>19</v>
      </c>
      <c r="D403" s="10" t="s">
        <v>19</v>
      </c>
      <c r="E403" s="10">
        <v>1</v>
      </c>
      <c r="F403" s="10" t="s">
        <v>12</v>
      </c>
      <c r="G403" s="10">
        <f ca="1">OFFSET(G403,1,2)</f>
        <v>12000</v>
      </c>
      <c r="H403" s="12">
        <f ca="1">G403</f>
        <v>12000</v>
      </c>
      <c r="I403" s="12">
        <f t="shared" ca="1" si="277"/>
        <v>12000</v>
      </c>
      <c r="J403" s="10" t="s">
        <v>19</v>
      </c>
      <c r="K403" s="13" t="str">
        <f t="shared" si="278"/>
        <v>Блок10</v>
      </c>
      <c r="L403">
        <v>12000</v>
      </c>
      <c r="M403">
        <f t="shared" si="279"/>
        <v>1</v>
      </c>
      <c r="N403">
        <f t="shared" si="268"/>
        <v>1</v>
      </c>
      <c r="O403" s="23">
        <f t="shared" ca="1" si="281"/>
        <v>12000</v>
      </c>
    </row>
    <row r="404" spans="1:15" ht="27" customHeight="1" x14ac:dyDescent="0.25">
      <c r="A404" s="10" t="str">
        <f t="shared" si="276"/>
        <v>ЩУР.МОП1-10</v>
      </c>
      <c r="B404" s="10" t="s">
        <v>20</v>
      </c>
      <c r="C404" s="11" t="s">
        <v>20</v>
      </c>
      <c r="D404" s="10" t="s">
        <v>20</v>
      </c>
      <c r="E404" s="10">
        <f>60*G404</f>
        <v>120</v>
      </c>
      <c r="F404" s="10" t="s">
        <v>12</v>
      </c>
      <c r="G404" s="10">
        <v>2</v>
      </c>
      <c r="H404" s="12">
        <v>100</v>
      </c>
      <c r="I404" s="12">
        <f t="shared" si="277"/>
        <v>12000</v>
      </c>
      <c r="J404" s="10" t="s">
        <v>20</v>
      </c>
      <c r="K404" s="13" t="str">
        <f t="shared" si="278"/>
        <v>Блок10</v>
      </c>
      <c r="L404">
        <v>12000</v>
      </c>
      <c r="M404">
        <f t="shared" si="279"/>
        <v>1</v>
      </c>
      <c r="N404">
        <f t="shared" si="268"/>
        <v>120</v>
      </c>
      <c r="O404" s="23">
        <f t="shared" si="281"/>
        <v>12000</v>
      </c>
    </row>
    <row r="405" spans="1:15" ht="27" customHeight="1" x14ac:dyDescent="0.25">
      <c r="A405" s="15" t="str">
        <f t="shared" si="276"/>
        <v>ЩУР.МОП1-10</v>
      </c>
      <c r="B405" s="15"/>
      <c r="C405" s="15"/>
      <c r="D405" s="16"/>
      <c r="E405" s="15"/>
      <c r="F405" s="19"/>
      <c r="G405" s="17"/>
      <c r="H405" s="12">
        <f>G405*0.55</f>
        <v>0</v>
      </c>
      <c r="I405" s="18">
        <f ca="1">SUM(I399:I404)</f>
        <v>76953</v>
      </c>
      <c r="J405" s="15"/>
      <c r="K405" s="13" t="str">
        <f t="shared" si="278"/>
        <v>Блок10</v>
      </c>
      <c r="L405">
        <v>76953</v>
      </c>
      <c r="M405">
        <f t="shared" si="279"/>
        <v>1</v>
      </c>
      <c r="N405">
        <f t="shared" si="268"/>
        <v>0</v>
      </c>
      <c r="O405" s="23">
        <f t="shared" si="281"/>
        <v>0</v>
      </c>
    </row>
    <row r="406" spans="1:15" ht="27" customHeight="1" x14ac:dyDescent="0.25">
      <c r="A406" s="8" t="str">
        <f>D406</f>
        <v>РЩ1-10 (АВР-Б-40-2-1)</v>
      </c>
      <c r="B406" s="4"/>
      <c r="C406" s="5"/>
      <c r="D406" s="4" t="s">
        <v>142</v>
      </c>
      <c r="E406" s="8">
        <v>1</v>
      </c>
      <c r="F406" s="9" t="s">
        <v>9</v>
      </c>
      <c r="G406" s="6"/>
      <c r="H406" s="6"/>
      <c r="I406" s="7"/>
      <c r="J406" s="4" t="s">
        <v>10</v>
      </c>
      <c r="K406" s="8" t="s">
        <v>88</v>
      </c>
      <c r="M406">
        <f>E406</f>
        <v>1</v>
      </c>
      <c r="N406">
        <f t="shared" si="268"/>
        <v>1</v>
      </c>
      <c r="O406" s="23">
        <f t="shared" si="281"/>
        <v>0</v>
      </c>
    </row>
    <row r="407" spans="1:15" ht="27" customHeight="1" x14ac:dyDescent="0.25">
      <c r="A407" s="13" t="str">
        <f t="shared" ref="A407:A417" si="282">A406</f>
        <v>РЩ1-10 (АВР-Б-40-2-1)</v>
      </c>
      <c r="B407" s="10" t="s">
        <v>11</v>
      </c>
      <c r="C407" s="11" t="s">
        <v>168</v>
      </c>
      <c r="D407" s="10" t="s">
        <v>169</v>
      </c>
      <c r="E407" s="13">
        <v>1</v>
      </c>
      <c r="F407" s="14" t="s">
        <v>12</v>
      </c>
      <c r="G407" s="10">
        <v>130000</v>
      </c>
      <c r="H407" s="12">
        <f t="shared" ref="H407:H408" si="283">0.6*G407</f>
        <v>78000</v>
      </c>
      <c r="I407" s="12">
        <f t="shared" ref="I407:I416" si="284">H407*E407</f>
        <v>78000</v>
      </c>
      <c r="J407" s="10" t="s">
        <v>13</v>
      </c>
      <c r="K407" s="13" t="str">
        <f t="shared" ref="K407:K417" si="285">K406</f>
        <v>Блок10</v>
      </c>
      <c r="L407">
        <v>78000</v>
      </c>
      <c r="M407">
        <f t="shared" ref="M407:M417" si="286">M406</f>
        <v>1</v>
      </c>
      <c r="N407">
        <f t="shared" si="268"/>
        <v>1</v>
      </c>
      <c r="O407" s="23">
        <f t="shared" si="281"/>
        <v>78000</v>
      </c>
    </row>
    <row r="408" spans="1:15" ht="27" customHeight="1" x14ac:dyDescent="0.25">
      <c r="A408" s="13" t="str">
        <f t="shared" si="282"/>
        <v>РЩ1-10 (АВР-Б-40-2-1)</v>
      </c>
      <c r="B408" s="10" t="s">
        <v>44</v>
      </c>
      <c r="C408" s="11" t="s">
        <v>162</v>
      </c>
      <c r="D408" s="10" t="s">
        <v>163</v>
      </c>
      <c r="E408" s="13">
        <v>1</v>
      </c>
      <c r="F408" s="14" t="s">
        <v>12</v>
      </c>
      <c r="G408" s="10">
        <v>114758</v>
      </c>
      <c r="H408" s="12">
        <f t="shared" si="283"/>
        <v>68854.8</v>
      </c>
      <c r="I408" s="12">
        <f t="shared" si="284"/>
        <v>68854.8</v>
      </c>
      <c r="J408" s="10" t="s">
        <v>14</v>
      </c>
      <c r="K408" s="13" t="str">
        <f t="shared" si="285"/>
        <v>Блок10</v>
      </c>
      <c r="L408">
        <v>68854.8</v>
      </c>
      <c r="M408">
        <f t="shared" si="286"/>
        <v>1</v>
      </c>
      <c r="N408">
        <f t="shared" si="268"/>
        <v>1</v>
      </c>
      <c r="O408" s="23">
        <f t="shared" si="281"/>
        <v>68854.8</v>
      </c>
    </row>
    <row r="409" spans="1:15" ht="27" customHeight="1" x14ac:dyDescent="0.25">
      <c r="A409" s="13" t="str">
        <f t="shared" si="282"/>
        <v>РЩ1-10 (АВР-Б-40-2-1)</v>
      </c>
      <c r="B409" s="10" t="s">
        <v>293</v>
      </c>
      <c r="C409" s="11" t="s">
        <v>213</v>
      </c>
      <c r="D409" s="10" t="s">
        <v>214</v>
      </c>
      <c r="E409" s="13">
        <v>3</v>
      </c>
      <c r="F409" s="14" t="s">
        <v>12</v>
      </c>
      <c r="G409" s="10">
        <v>7690</v>
      </c>
      <c r="H409" s="12">
        <f t="shared" ref="H409:H412" si="287">0.3*G409</f>
        <v>2307</v>
      </c>
      <c r="I409" s="12">
        <f t="shared" si="284"/>
        <v>6921</v>
      </c>
      <c r="J409" s="10" t="s">
        <v>207</v>
      </c>
      <c r="K409" s="13" t="str">
        <f t="shared" si="285"/>
        <v>Блок10</v>
      </c>
      <c r="L409">
        <v>6921</v>
      </c>
      <c r="M409">
        <f t="shared" si="286"/>
        <v>1</v>
      </c>
      <c r="N409">
        <f t="shared" si="268"/>
        <v>3</v>
      </c>
      <c r="O409" s="23">
        <f>N409*G409</f>
        <v>23070</v>
      </c>
    </row>
    <row r="410" spans="1:15" ht="27" customHeight="1" x14ac:dyDescent="0.25">
      <c r="A410" s="13" t="str">
        <f t="shared" si="282"/>
        <v>РЩ1-10 (АВР-Б-40-2-1)</v>
      </c>
      <c r="B410" s="10" t="s">
        <v>293</v>
      </c>
      <c r="C410" s="11" t="s">
        <v>231</v>
      </c>
      <c r="D410" s="10" t="s">
        <v>232</v>
      </c>
      <c r="E410" s="13">
        <v>2</v>
      </c>
      <c r="F410" s="14" t="s">
        <v>12</v>
      </c>
      <c r="G410" s="10">
        <v>7690</v>
      </c>
      <c r="H410" s="12">
        <f t="shared" si="287"/>
        <v>2307</v>
      </c>
      <c r="I410" s="12">
        <f t="shared" si="284"/>
        <v>4614</v>
      </c>
      <c r="J410" s="10" t="s">
        <v>207</v>
      </c>
      <c r="K410" s="13" t="str">
        <f t="shared" si="285"/>
        <v>Блок10</v>
      </c>
      <c r="L410">
        <v>4614</v>
      </c>
      <c r="M410">
        <f t="shared" si="286"/>
        <v>1</v>
      </c>
      <c r="N410">
        <f t="shared" si="268"/>
        <v>2</v>
      </c>
      <c r="O410" s="23">
        <f>N410*G410</f>
        <v>15380</v>
      </c>
    </row>
    <row r="411" spans="1:15" ht="27" customHeight="1" x14ac:dyDescent="0.25">
      <c r="A411" s="13" t="str">
        <f t="shared" si="282"/>
        <v>РЩ1-10 (АВР-Б-40-2-1)</v>
      </c>
      <c r="B411" s="10" t="s">
        <v>294</v>
      </c>
      <c r="C411" s="11" t="s">
        <v>203</v>
      </c>
      <c r="D411" s="10" t="s">
        <v>204</v>
      </c>
      <c r="E411" s="13">
        <v>2</v>
      </c>
      <c r="F411" s="14" t="s">
        <v>12</v>
      </c>
      <c r="G411" s="10">
        <v>13450</v>
      </c>
      <c r="H411" s="12">
        <f t="shared" si="287"/>
        <v>4035</v>
      </c>
      <c r="I411" s="12">
        <f t="shared" si="284"/>
        <v>8070</v>
      </c>
      <c r="J411" s="10" t="s">
        <v>207</v>
      </c>
      <c r="K411" s="13" t="str">
        <f t="shared" si="285"/>
        <v>Блок10</v>
      </c>
      <c r="L411">
        <v>8070</v>
      </c>
      <c r="M411">
        <f t="shared" si="286"/>
        <v>1</v>
      </c>
      <c r="N411">
        <f t="shared" si="268"/>
        <v>2</v>
      </c>
      <c r="O411" s="23">
        <f>N411*G411</f>
        <v>26900</v>
      </c>
    </row>
    <row r="412" spans="1:15" ht="27" customHeight="1" x14ac:dyDescent="0.25">
      <c r="A412" s="13" t="str">
        <f t="shared" si="282"/>
        <v>РЩ1-10 (АВР-Б-40-2-1)</v>
      </c>
      <c r="B412" s="10" t="s">
        <v>293</v>
      </c>
      <c r="C412" s="11" t="s">
        <v>205</v>
      </c>
      <c r="D412" s="10" t="s">
        <v>206</v>
      </c>
      <c r="E412" s="13">
        <v>1</v>
      </c>
      <c r="F412" s="14" t="s">
        <v>12</v>
      </c>
      <c r="G412" s="10">
        <v>7090</v>
      </c>
      <c r="H412" s="12">
        <f t="shared" si="287"/>
        <v>2127</v>
      </c>
      <c r="I412" s="12">
        <f t="shared" si="284"/>
        <v>2127</v>
      </c>
      <c r="J412" s="10" t="s">
        <v>207</v>
      </c>
      <c r="K412" s="13" t="str">
        <f t="shared" si="285"/>
        <v>Блок10</v>
      </c>
      <c r="L412">
        <v>2127</v>
      </c>
      <c r="M412">
        <f t="shared" si="286"/>
        <v>1</v>
      </c>
      <c r="N412">
        <f t="shared" si="268"/>
        <v>1</v>
      </c>
      <c r="O412" s="23">
        <f>N412*G412</f>
        <v>7090</v>
      </c>
    </row>
    <row r="413" spans="1:15" ht="27" customHeight="1" x14ac:dyDescent="0.25">
      <c r="A413" s="13" t="str">
        <f t="shared" si="282"/>
        <v>РЩ1-10 (АВР-Б-40-2-1)</v>
      </c>
      <c r="B413" s="10" t="s">
        <v>15</v>
      </c>
      <c r="C413" s="11" t="s">
        <v>299</v>
      </c>
      <c r="D413" s="10" t="s">
        <v>300</v>
      </c>
      <c r="E413" s="13">
        <v>1</v>
      </c>
      <c r="F413" s="14" t="s">
        <v>12</v>
      </c>
      <c r="G413" s="10">
        <v>32400</v>
      </c>
      <c r="H413" s="12">
        <f>G413</f>
        <v>32400</v>
      </c>
      <c r="I413" s="12">
        <f t="shared" si="284"/>
        <v>32400</v>
      </c>
      <c r="J413" s="10" t="s">
        <v>16</v>
      </c>
      <c r="K413" s="13" t="str">
        <f t="shared" si="285"/>
        <v>Блок10</v>
      </c>
      <c r="L413">
        <v>32400</v>
      </c>
      <c r="M413">
        <f t="shared" si="286"/>
        <v>1</v>
      </c>
      <c r="N413">
        <f t="shared" si="268"/>
        <v>1</v>
      </c>
      <c r="O413" s="23">
        <f t="shared" ref="O413:O423" si="288">N413*H413</f>
        <v>32400</v>
      </c>
    </row>
    <row r="414" spans="1:15" ht="27" customHeight="1" x14ac:dyDescent="0.25">
      <c r="A414" s="13" t="str">
        <f t="shared" si="282"/>
        <v>РЩ1-10 (АВР-Б-40-2-1)</v>
      </c>
      <c r="B414" s="10" t="s">
        <v>30</v>
      </c>
      <c r="C414" s="11"/>
      <c r="D414" s="10" t="s">
        <v>31</v>
      </c>
      <c r="E414" s="13">
        <v>6</v>
      </c>
      <c r="F414" s="14" t="s">
        <v>12</v>
      </c>
      <c r="G414" s="10">
        <v>3850</v>
      </c>
      <c r="H414" s="12">
        <f>G414</f>
        <v>3850</v>
      </c>
      <c r="I414" s="12">
        <f t="shared" si="284"/>
        <v>23100</v>
      </c>
      <c r="J414" s="10" t="s">
        <v>25</v>
      </c>
      <c r="K414" s="13" t="str">
        <f t="shared" si="285"/>
        <v>Блок10</v>
      </c>
      <c r="L414">
        <v>23100</v>
      </c>
      <c r="M414">
        <f t="shared" si="286"/>
        <v>1</v>
      </c>
      <c r="N414">
        <f t="shared" si="268"/>
        <v>6</v>
      </c>
      <c r="O414" s="23">
        <f t="shared" si="288"/>
        <v>23100</v>
      </c>
    </row>
    <row r="415" spans="1:15" ht="27" customHeight="1" x14ac:dyDescent="0.25">
      <c r="A415" s="10" t="str">
        <f t="shared" si="282"/>
        <v>РЩ1-10 (АВР-Б-40-2-1)</v>
      </c>
      <c r="B415" s="10" t="s">
        <v>19</v>
      </c>
      <c r="C415" s="11" t="s">
        <v>19</v>
      </c>
      <c r="D415" s="10" t="s">
        <v>19</v>
      </c>
      <c r="E415" s="10">
        <v>1</v>
      </c>
      <c r="F415" s="10" t="s">
        <v>12</v>
      </c>
      <c r="G415" s="10">
        <f ca="1">OFFSET(G415,1,2)</f>
        <v>39000</v>
      </c>
      <c r="H415" s="12">
        <f ca="1">G415</f>
        <v>39000</v>
      </c>
      <c r="I415" s="12">
        <f t="shared" ca="1" si="284"/>
        <v>39000</v>
      </c>
      <c r="J415" s="10" t="s">
        <v>19</v>
      </c>
      <c r="K415" s="13" t="str">
        <f t="shared" si="285"/>
        <v>Блок10</v>
      </c>
      <c r="L415">
        <v>39000</v>
      </c>
      <c r="M415">
        <f t="shared" si="286"/>
        <v>1</v>
      </c>
      <c r="N415">
        <f t="shared" si="268"/>
        <v>1</v>
      </c>
      <c r="O415" s="23">
        <f t="shared" ca="1" si="288"/>
        <v>39000</v>
      </c>
    </row>
    <row r="416" spans="1:15" ht="27" customHeight="1" x14ac:dyDescent="0.25">
      <c r="A416" s="10" t="str">
        <f t="shared" si="282"/>
        <v>РЩ1-10 (АВР-Б-40-2-1)</v>
      </c>
      <c r="B416" s="10" t="s">
        <v>20</v>
      </c>
      <c r="C416" s="11" t="s">
        <v>20</v>
      </c>
      <c r="D416" s="10" t="s">
        <v>20</v>
      </c>
      <c r="E416" s="10">
        <f>60*G416</f>
        <v>390</v>
      </c>
      <c r="F416" s="10" t="s">
        <v>12</v>
      </c>
      <c r="G416" s="10">
        <v>6.5</v>
      </c>
      <c r="H416" s="12">
        <v>100</v>
      </c>
      <c r="I416" s="12">
        <f t="shared" si="284"/>
        <v>39000</v>
      </c>
      <c r="J416" s="10" t="s">
        <v>20</v>
      </c>
      <c r="K416" s="13" t="str">
        <f t="shared" si="285"/>
        <v>Блок10</v>
      </c>
      <c r="L416">
        <v>39000</v>
      </c>
      <c r="M416">
        <f t="shared" si="286"/>
        <v>1</v>
      </c>
      <c r="N416">
        <f t="shared" si="268"/>
        <v>390</v>
      </c>
      <c r="O416" s="23">
        <f t="shared" si="288"/>
        <v>39000</v>
      </c>
    </row>
    <row r="417" spans="1:15" ht="27" customHeight="1" x14ac:dyDescent="0.25">
      <c r="A417" s="15" t="str">
        <f t="shared" si="282"/>
        <v>РЩ1-10 (АВР-Б-40-2-1)</v>
      </c>
      <c r="B417" s="15"/>
      <c r="C417" s="15"/>
      <c r="D417" s="16"/>
      <c r="E417" s="15"/>
      <c r="F417" s="19"/>
      <c r="G417" s="17"/>
      <c r="H417" s="12">
        <f>G417*0.55</f>
        <v>0</v>
      </c>
      <c r="I417" s="18">
        <f ca="1">SUM(I407:I416)</f>
        <v>302086.8</v>
      </c>
      <c r="J417" s="15"/>
      <c r="K417" s="13" t="str">
        <f t="shared" si="285"/>
        <v>Блок10</v>
      </c>
      <c r="L417">
        <v>302086.8</v>
      </c>
      <c r="M417">
        <f t="shared" si="286"/>
        <v>1</v>
      </c>
      <c r="N417">
        <f t="shared" si="268"/>
        <v>0</v>
      </c>
      <c r="O417" s="23">
        <f t="shared" si="288"/>
        <v>0</v>
      </c>
    </row>
    <row r="418" spans="1:15" ht="27" customHeight="1" x14ac:dyDescent="0.25">
      <c r="A418" s="8" t="str">
        <f>D418</f>
        <v>ВРУ1-11</v>
      </c>
      <c r="B418" s="4"/>
      <c r="C418" s="5"/>
      <c r="D418" s="4" t="s">
        <v>90</v>
      </c>
      <c r="E418" s="8">
        <v>1</v>
      </c>
      <c r="F418" s="9" t="s">
        <v>9</v>
      </c>
      <c r="G418" s="6"/>
      <c r="H418" s="6"/>
      <c r="I418" s="7"/>
      <c r="J418" s="4" t="s">
        <v>10</v>
      </c>
      <c r="K418" s="8" t="s">
        <v>91</v>
      </c>
      <c r="M418">
        <f>E418</f>
        <v>1</v>
      </c>
      <c r="N418">
        <f t="shared" si="268"/>
        <v>1</v>
      </c>
      <c r="O418" s="23">
        <f t="shared" si="288"/>
        <v>0</v>
      </c>
    </row>
    <row r="419" spans="1:15" ht="27" customHeight="1" x14ac:dyDescent="0.25">
      <c r="A419" s="13" t="str">
        <f t="shared" ref="A419:A429" si="289">A418</f>
        <v>ВРУ1-11</v>
      </c>
      <c r="B419" s="10" t="s">
        <v>11</v>
      </c>
      <c r="C419" s="11" t="s">
        <v>172</v>
      </c>
      <c r="D419" s="10" t="s">
        <v>173</v>
      </c>
      <c r="E419" s="13">
        <v>1</v>
      </c>
      <c r="F419" s="14" t="s">
        <v>12</v>
      </c>
      <c r="G419" s="10">
        <v>156500</v>
      </c>
      <c r="H419" s="12">
        <f>0.6*G419</f>
        <v>93900</v>
      </c>
      <c r="I419" s="12">
        <f t="shared" ref="I419:I428" si="290">H419*E419</f>
        <v>93900</v>
      </c>
      <c r="J419" s="10" t="s">
        <v>13</v>
      </c>
      <c r="K419" s="13" t="str">
        <f t="shared" ref="K419:K429" si="291">K418</f>
        <v>Блок11</v>
      </c>
      <c r="L419">
        <v>93900</v>
      </c>
      <c r="M419">
        <f t="shared" ref="M419:M429" si="292">M418</f>
        <v>1</v>
      </c>
      <c r="N419">
        <f t="shared" si="268"/>
        <v>1</v>
      </c>
      <c r="O419" s="23">
        <f t="shared" si="288"/>
        <v>93900</v>
      </c>
    </row>
    <row r="420" spans="1:15" ht="27" customHeight="1" x14ac:dyDescent="0.25">
      <c r="A420" s="13" t="str">
        <f t="shared" si="289"/>
        <v>ВРУ1-11</v>
      </c>
      <c r="B420" s="10" t="s">
        <v>23</v>
      </c>
      <c r="C420" s="11" t="s">
        <v>307</v>
      </c>
      <c r="D420" s="10" t="s">
        <v>308</v>
      </c>
      <c r="E420" s="13">
        <v>6</v>
      </c>
      <c r="F420" s="14" t="s">
        <v>12</v>
      </c>
      <c r="G420" s="10">
        <v>5523</v>
      </c>
      <c r="H420" s="12">
        <f t="shared" ref="H420:H421" si="293">G420</f>
        <v>5523</v>
      </c>
      <c r="I420" s="12">
        <f t="shared" si="290"/>
        <v>33138</v>
      </c>
      <c r="J420" s="10" t="s">
        <v>25</v>
      </c>
      <c r="K420" s="13" t="str">
        <f t="shared" si="291"/>
        <v>Блок11</v>
      </c>
      <c r="L420">
        <v>33138</v>
      </c>
      <c r="M420">
        <f t="shared" si="292"/>
        <v>1</v>
      </c>
      <c r="N420">
        <f t="shared" si="268"/>
        <v>6</v>
      </c>
      <c r="O420" s="23">
        <f t="shared" si="288"/>
        <v>33138</v>
      </c>
    </row>
    <row r="421" spans="1:15" ht="27" customHeight="1" x14ac:dyDescent="0.25">
      <c r="A421" s="13" t="str">
        <f t="shared" si="289"/>
        <v>ВРУ1-11</v>
      </c>
      <c r="B421" s="10" t="s">
        <v>26</v>
      </c>
      <c r="C421" s="11" t="s">
        <v>177</v>
      </c>
      <c r="D421" s="10" t="s">
        <v>178</v>
      </c>
      <c r="E421" s="13">
        <v>2</v>
      </c>
      <c r="F421" s="14" t="s">
        <v>12</v>
      </c>
      <c r="G421" s="10">
        <v>25500</v>
      </c>
      <c r="H421" s="12">
        <f t="shared" si="293"/>
        <v>25500</v>
      </c>
      <c r="I421" s="12">
        <f t="shared" si="290"/>
        <v>51000</v>
      </c>
      <c r="J421" s="10" t="s">
        <v>25</v>
      </c>
      <c r="K421" s="13" t="str">
        <f t="shared" si="291"/>
        <v>Блок11</v>
      </c>
      <c r="L421">
        <v>51000</v>
      </c>
      <c r="M421">
        <f t="shared" si="292"/>
        <v>1</v>
      </c>
      <c r="N421">
        <f t="shared" si="268"/>
        <v>2</v>
      </c>
      <c r="O421" s="23">
        <f t="shared" si="288"/>
        <v>51000</v>
      </c>
    </row>
    <row r="422" spans="1:15" ht="27" customHeight="1" x14ac:dyDescent="0.25">
      <c r="A422" s="13" t="str">
        <f t="shared" si="289"/>
        <v>ВРУ1-11</v>
      </c>
      <c r="B422" s="10" t="s">
        <v>127</v>
      </c>
      <c r="C422" s="11" t="s">
        <v>130</v>
      </c>
      <c r="D422" s="10" t="s">
        <v>131</v>
      </c>
      <c r="E422" s="13">
        <v>6</v>
      </c>
      <c r="F422" s="14" t="s">
        <v>12</v>
      </c>
      <c r="G422" s="10">
        <v>4750</v>
      </c>
      <c r="H422" s="12">
        <f t="shared" ref="H422:H423" si="294">0.6*G422</f>
        <v>2850</v>
      </c>
      <c r="I422" s="12">
        <f t="shared" si="290"/>
        <v>17100</v>
      </c>
      <c r="J422" s="10" t="s">
        <v>14</v>
      </c>
      <c r="K422" s="13" t="str">
        <f t="shared" si="291"/>
        <v>Блок11</v>
      </c>
      <c r="L422">
        <v>17100</v>
      </c>
      <c r="M422">
        <f t="shared" si="292"/>
        <v>1</v>
      </c>
      <c r="N422">
        <f t="shared" si="268"/>
        <v>6</v>
      </c>
      <c r="O422" s="23">
        <f t="shared" si="288"/>
        <v>17100</v>
      </c>
    </row>
    <row r="423" spans="1:15" ht="27" customHeight="1" x14ac:dyDescent="0.25">
      <c r="A423" s="13" t="str">
        <f t="shared" si="289"/>
        <v>ВРУ1-11</v>
      </c>
      <c r="B423" s="10" t="s">
        <v>126</v>
      </c>
      <c r="C423" s="11" t="s">
        <v>128</v>
      </c>
      <c r="D423" s="10" t="s">
        <v>129</v>
      </c>
      <c r="E423" s="13">
        <v>6</v>
      </c>
      <c r="F423" s="14" t="s">
        <v>12</v>
      </c>
      <c r="G423" s="10">
        <v>3317</v>
      </c>
      <c r="H423" s="12">
        <f t="shared" si="294"/>
        <v>1990.1999999999998</v>
      </c>
      <c r="I423" s="12">
        <f t="shared" si="290"/>
        <v>11941.199999999999</v>
      </c>
      <c r="J423" s="10" t="s">
        <v>14</v>
      </c>
      <c r="K423" s="13" t="str">
        <f t="shared" si="291"/>
        <v>Блок11</v>
      </c>
      <c r="L423">
        <v>11941.199999999999</v>
      </c>
      <c r="M423">
        <f t="shared" si="292"/>
        <v>1</v>
      </c>
      <c r="N423">
        <f t="shared" si="268"/>
        <v>6</v>
      </c>
      <c r="O423" s="23">
        <f t="shared" si="288"/>
        <v>11941.199999999999</v>
      </c>
    </row>
    <row r="424" spans="1:15" ht="27" customHeight="1" x14ac:dyDescent="0.25">
      <c r="A424" s="13" t="str">
        <f t="shared" si="289"/>
        <v>ВРУ1-11</v>
      </c>
      <c r="B424" s="10" t="s">
        <v>293</v>
      </c>
      <c r="C424" s="11" t="s">
        <v>189</v>
      </c>
      <c r="D424" s="10" t="s">
        <v>190</v>
      </c>
      <c r="E424" s="13">
        <v>2</v>
      </c>
      <c r="F424" s="14" t="s">
        <v>12</v>
      </c>
      <c r="G424" s="10">
        <v>1390</v>
      </c>
      <c r="H424" s="12">
        <f>0.3*G424</f>
        <v>417</v>
      </c>
      <c r="I424" s="12">
        <f t="shared" si="290"/>
        <v>834</v>
      </c>
      <c r="J424" s="10" t="s">
        <v>207</v>
      </c>
      <c r="K424" s="13" t="str">
        <f t="shared" si="291"/>
        <v>Блок11</v>
      </c>
      <c r="L424">
        <v>834</v>
      </c>
      <c r="M424">
        <f t="shared" si="292"/>
        <v>1</v>
      </c>
      <c r="N424">
        <f t="shared" si="268"/>
        <v>2</v>
      </c>
      <c r="O424" s="23">
        <f>N424*G424</f>
        <v>2780</v>
      </c>
    </row>
    <row r="425" spans="1:15" ht="27" customHeight="1" x14ac:dyDescent="0.25">
      <c r="A425" s="13" t="str">
        <f t="shared" si="289"/>
        <v>ВРУ1-11</v>
      </c>
      <c r="B425" s="10" t="s">
        <v>15</v>
      </c>
      <c r="C425" s="11" t="s">
        <v>297</v>
      </c>
      <c r="D425" s="24" t="s">
        <v>298</v>
      </c>
      <c r="E425" s="13">
        <v>2</v>
      </c>
      <c r="F425" s="14" t="s">
        <v>12</v>
      </c>
      <c r="G425" s="10">
        <v>89000</v>
      </c>
      <c r="H425" s="12">
        <f>G425</f>
        <v>89000</v>
      </c>
      <c r="I425" s="12">
        <f t="shared" si="290"/>
        <v>178000</v>
      </c>
      <c r="J425" s="10" t="s">
        <v>16</v>
      </c>
      <c r="K425" s="13" t="str">
        <f t="shared" si="291"/>
        <v>Блок11</v>
      </c>
      <c r="L425">
        <v>178000</v>
      </c>
      <c r="M425">
        <f t="shared" si="292"/>
        <v>1</v>
      </c>
      <c r="N425">
        <f t="shared" si="268"/>
        <v>2</v>
      </c>
      <c r="O425" s="23">
        <f t="shared" ref="O425:O432" si="295">N425*H425</f>
        <v>178000</v>
      </c>
    </row>
    <row r="426" spans="1:15" ht="27" customHeight="1" x14ac:dyDescent="0.25">
      <c r="A426" s="13" t="str">
        <f t="shared" si="289"/>
        <v>ВРУ1-11</v>
      </c>
      <c r="B426" s="10" t="s">
        <v>30</v>
      </c>
      <c r="C426" s="11"/>
      <c r="D426" s="10" t="s">
        <v>31</v>
      </c>
      <c r="E426" s="13">
        <v>6</v>
      </c>
      <c r="F426" s="14" t="s">
        <v>12</v>
      </c>
      <c r="G426" s="10">
        <v>3850</v>
      </c>
      <c r="H426" s="12">
        <f>G426</f>
        <v>3850</v>
      </c>
      <c r="I426" s="12">
        <f t="shared" si="290"/>
        <v>23100</v>
      </c>
      <c r="J426" s="10" t="s">
        <v>25</v>
      </c>
      <c r="K426" s="13" t="str">
        <f t="shared" si="291"/>
        <v>Блок11</v>
      </c>
      <c r="L426">
        <v>23100</v>
      </c>
      <c r="M426">
        <f t="shared" si="292"/>
        <v>1</v>
      </c>
      <c r="N426">
        <f t="shared" si="268"/>
        <v>6</v>
      </c>
      <c r="O426" s="23">
        <f t="shared" si="295"/>
        <v>23100</v>
      </c>
    </row>
    <row r="427" spans="1:15" ht="27" customHeight="1" x14ac:dyDescent="0.25">
      <c r="A427" s="10" t="str">
        <f t="shared" si="289"/>
        <v>ВРУ1-11</v>
      </c>
      <c r="B427" s="10" t="s">
        <v>19</v>
      </c>
      <c r="C427" s="11" t="s">
        <v>19</v>
      </c>
      <c r="D427" s="10" t="s">
        <v>19</v>
      </c>
      <c r="E427" s="10">
        <v>1</v>
      </c>
      <c r="F427" s="10" t="s">
        <v>12</v>
      </c>
      <c r="G427" s="10">
        <f ca="1">OFFSET(G427,1,2)</f>
        <v>48000</v>
      </c>
      <c r="H427" s="12">
        <f ca="1">G427</f>
        <v>48000</v>
      </c>
      <c r="I427" s="12">
        <f t="shared" ca="1" si="290"/>
        <v>48000</v>
      </c>
      <c r="J427" s="10" t="s">
        <v>19</v>
      </c>
      <c r="K427" s="13" t="str">
        <f t="shared" si="291"/>
        <v>Блок11</v>
      </c>
      <c r="L427">
        <v>48000</v>
      </c>
      <c r="M427">
        <f t="shared" si="292"/>
        <v>1</v>
      </c>
      <c r="N427">
        <f t="shared" si="268"/>
        <v>1</v>
      </c>
      <c r="O427" s="23">
        <f t="shared" ca="1" si="295"/>
        <v>48000</v>
      </c>
    </row>
    <row r="428" spans="1:15" ht="27" customHeight="1" x14ac:dyDescent="0.25">
      <c r="A428" s="10" t="str">
        <f t="shared" si="289"/>
        <v>ВРУ1-11</v>
      </c>
      <c r="B428" s="10" t="s">
        <v>20</v>
      </c>
      <c r="C428" s="11" t="s">
        <v>20</v>
      </c>
      <c r="D428" s="10" t="s">
        <v>20</v>
      </c>
      <c r="E428" s="10">
        <f>60*G428</f>
        <v>480</v>
      </c>
      <c r="F428" s="10" t="s">
        <v>12</v>
      </c>
      <c r="G428" s="10">
        <v>8</v>
      </c>
      <c r="H428" s="12">
        <v>100</v>
      </c>
      <c r="I428" s="12">
        <f t="shared" si="290"/>
        <v>48000</v>
      </c>
      <c r="J428" s="10" t="s">
        <v>20</v>
      </c>
      <c r="K428" s="13" t="str">
        <f t="shared" si="291"/>
        <v>Блок11</v>
      </c>
      <c r="L428">
        <v>48000</v>
      </c>
      <c r="M428">
        <f t="shared" si="292"/>
        <v>1</v>
      </c>
      <c r="N428">
        <f t="shared" si="268"/>
        <v>480</v>
      </c>
      <c r="O428" s="23">
        <f t="shared" si="295"/>
        <v>48000</v>
      </c>
    </row>
    <row r="429" spans="1:15" ht="27" customHeight="1" x14ac:dyDescent="0.25">
      <c r="A429" s="15" t="str">
        <f t="shared" si="289"/>
        <v>ВРУ1-11</v>
      </c>
      <c r="B429" s="15"/>
      <c r="C429" s="15"/>
      <c r="D429" s="16"/>
      <c r="E429" s="15"/>
      <c r="F429" s="19"/>
      <c r="G429" s="17"/>
      <c r="H429" s="12">
        <f>G429*0.55</f>
        <v>0</v>
      </c>
      <c r="I429" s="18">
        <f ca="1">SUM(I419:I428)</f>
        <v>505013.2</v>
      </c>
      <c r="J429" s="15"/>
      <c r="K429" s="13" t="str">
        <f t="shared" si="291"/>
        <v>Блок11</v>
      </c>
      <c r="L429">
        <v>505013.2</v>
      </c>
      <c r="M429">
        <f t="shared" si="292"/>
        <v>1</v>
      </c>
      <c r="N429">
        <f t="shared" si="268"/>
        <v>0</v>
      </c>
      <c r="O429" s="23">
        <f t="shared" si="295"/>
        <v>0</v>
      </c>
    </row>
    <row r="430" spans="1:15" ht="27" customHeight="1" x14ac:dyDescent="0.25">
      <c r="A430" s="8" t="str">
        <f>D430</f>
        <v>РУ-1-11</v>
      </c>
      <c r="B430" s="4"/>
      <c r="C430" s="5"/>
      <c r="D430" s="4" t="s">
        <v>92</v>
      </c>
      <c r="E430" s="8">
        <v>1</v>
      </c>
      <c r="F430" s="9" t="s">
        <v>9</v>
      </c>
      <c r="G430" s="6"/>
      <c r="H430" s="6"/>
      <c r="I430" s="7"/>
      <c r="J430" s="4" t="s">
        <v>10</v>
      </c>
      <c r="K430" s="8" t="s">
        <v>91</v>
      </c>
      <c r="M430">
        <f>E430</f>
        <v>1</v>
      </c>
      <c r="N430">
        <f t="shared" si="268"/>
        <v>1</v>
      </c>
      <c r="O430" s="23">
        <f t="shared" si="295"/>
        <v>0</v>
      </c>
    </row>
    <row r="431" spans="1:15" ht="27" customHeight="1" x14ac:dyDescent="0.25">
      <c r="A431" s="13" t="str">
        <f t="shared" ref="A431:A438" si="296">A430</f>
        <v>РУ-1-11</v>
      </c>
      <c r="B431" s="10" t="s">
        <v>11</v>
      </c>
      <c r="C431" s="11" t="s">
        <v>170</v>
      </c>
      <c r="D431" s="10" t="s">
        <v>171</v>
      </c>
      <c r="E431" s="13">
        <v>1</v>
      </c>
      <c r="F431" s="14" t="s">
        <v>12</v>
      </c>
      <c r="G431" s="10">
        <v>145000</v>
      </c>
      <c r="H431" s="12">
        <f t="shared" ref="H431:H432" si="297">0.6*G431</f>
        <v>87000</v>
      </c>
      <c r="I431" s="12">
        <f t="shared" ref="I431:I437" si="298">H431*E431</f>
        <v>87000</v>
      </c>
      <c r="J431" s="10" t="s">
        <v>13</v>
      </c>
      <c r="K431" s="13" t="str">
        <f t="shared" ref="K431:K438" si="299">K430</f>
        <v>Блок11</v>
      </c>
      <c r="L431">
        <v>87000</v>
      </c>
      <c r="M431">
        <f t="shared" ref="M431:M438" si="300">M430</f>
        <v>1</v>
      </c>
      <c r="N431">
        <f t="shared" si="268"/>
        <v>1</v>
      </c>
      <c r="O431" s="23">
        <f t="shared" si="295"/>
        <v>87000</v>
      </c>
    </row>
    <row r="432" spans="1:15" ht="27" customHeight="1" x14ac:dyDescent="0.25">
      <c r="A432" s="13" t="str">
        <f t="shared" si="296"/>
        <v>РУ-1-11</v>
      </c>
      <c r="B432" s="10" t="s">
        <v>294</v>
      </c>
      <c r="C432" s="11" t="s">
        <v>229</v>
      </c>
      <c r="D432" s="10" t="s">
        <v>230</v>
      </c>
      <c r="E432" s="13">
        <v>1</v>
      </c>
      <c r="F432" s="14" t="s">
        <v>12</v>
      </c>
      <c r="G432" s="10">
        <v>34800</v>
      </c>
      <c r="H432" s="12">
        <f t="shared" si="297"/>
        <v>20880</v>
      </c>
      <c r="I432" s="12">
        <f t="shared" si="298"/>
        <v>20880</v>
      </c>
      <c r="J432" s="10" t="s">
        <v>14</v>
      </c>
      <c r="K432" s="13" t="str">
        <f t="shared" si="299"/>
        <v>Блок11</v>
      </c>
      <c r="L432">
        <v>20880</v>
      </c>
      <c r="M432">
        <f t="shared" si="300"/>
        <v>1</v>
      </c>
      <c r="N432">
        <f t="shared" si="268"/>
        <v>1</v>
      </c>
      <c r="O432" s="23">
        <f t="shared" si="295"/>
        <v>20880</v>
      </c>
    </row>
    <row r="433" spans="1:15" ht="27" customHeight="1" x14ac:dyDescent="0.25">
      <c r="A433" s="13" t="str">
        <f t="shared" si="296"/>
        <v>РУ-1-11</v>
      </c>
      <c r="B433" s="10" t="s">
        <v>294</v>
      </c>
      <c r="C433" s="11" t="s">
        <v>227</v>
      </c>
      <c r="D433" s="10" t="s">
        <v>228</v>
      </c>
      <c r="E433" s="13">
        <v>2</v>
      </c>
      <c r="F433" s="14" t="s">
        <v>12</v>
      </c>
      <c r="G433" s="10">
        <v>29990</v>
      </c>
      <c r="H433" s="12">
        <f t="shared" ref="H433:H435" si="301">0.3*G433</f>
        <v>8997</v>
      </c>
      <c r="I433" s="12">
        <f t="shared" si="298"/>
        <v>17994</v>
      </c>
      <c r="J433" s="10" t="s">
        <v>207</v>
      </c>
      <c r="K433" s="13" t="str">
        <f t="shared" si="299"/>
        <v>Блок11</v>
      </c>
      <c r="L433">
        <v>17994</v>
      </c>
      <c r="M433">
        <f t="shared" si="300"/>
        <v>1</v>
      </c>
      <c r="N433">
        <f t="shared" si="268"/>
        <v>2</v>
      </c>
      <c r="O433" s="23">
        <f>N433*G433</f>
        <v>59980</v>
      </c>
    </row>
    <row r="434" spans="1:15" ht="27" customHeight="1" x14ac:dyDescent="0.25">
      <c r="A434" s="13" t="str">
        <f t="shared" si="296"/>
        <v>РУ-1-11</v>
      </c>
      <c r="B434" s="10" t="s">
        <v>293</v>
      </c>
      <c r="C434" s="11" t="s">
        <v>217</v>
      </c>
      <c r="D434" s="10" t="s">
        <v>218</v>
      </c>
      <c r="E434" s="13">
        <v>2</v>
      </c>
      <c r="F434" s="14" t="s">
        <v>12</v>
      </c>
      <c r="G434" s="10">
        <v>7850</v>
      </c>
      <c r="H434" s="12">
        <f t="shared" si="301"/>
        <v>2355</v>
      </c>
      <c r="I434" s="12">
        <f t="shared" si="298"/>
        <v>4710</v>
      </c>
      <c r="J434" s="10" t="s">
        <v>207</v>
      </c>
      <c r="K434" s="13" t="str">
        <f t="shared" si="299"/>
        <v>Блок11</v>
      </c>
      <c r="L434">
        <v>4710</v>
      </c>
      <c r="M434">
        <f t="shared" si="300"/>
        <v>1</v>
      </c>
      <c r="N434">
        <f t="shared" si="268"/>
        <v>2</v>
      </c>
      <c r="O434" s="23">
        <f>N434*G434</f>
        <v>15700</v>
      </c>
    </row>
    <row r="435" spans="1:15" ht="27" customHeight="1" x14ac:dyDescent="0.25">
      <c r="A435" s="13" t="str">
        <f t="shared" si="296"/>
        <v>РУ-1-11</v>
      </c>
      <c r="B435" s="10" t="s">
        <v>293</v>
      </c>
      <c r="C435" s="11" t="s">
        <v>215</v>
      </c>
      <c r="D435" s="10" t="s">
        <v>216</v>
      </c>
      <c r="E435" s="13">
        <v>1</v>
      </c>
      <c r="F435" s="14" t="s">
        <v>12</v>
      </c>
      <c r="G435" s="10">
        <v>7850</v>
      </c>
      <c r="H435" s="12">
        <f t="shared" si="301"/>
        <v>2355</v>
      </c>
      <c r="I435" s="12">
        <f t="shared" si="298"/>
        <v>2355</v>
      </c>
      <c r="J435" s="10" t="s">
        <v>207</v>
      </c>
      <c r="K435" s="13" t="str">
        <f t="shared" si="299"/>
        <v>Блок11</v>
      </c>
      <c r="L435">
        <v>2355</v>
      </c>
      <c r="M435">
        <f t="shared" si="300"/>
        <v>1</v>
      </c>
      <c r="N435">
        <f t="shared" si="268"/>
        <v>1</v>
      </c>
      <c r="O435" s="23">
        <f>N435*G435</f>
        <v>7850</v>
      </c>
    </row>
    <row r="436" spans="1:15" ht="27" customHeight="1" x14ac:dyDescent="0.25">
      <c r="A436" s="10" t="str">
        <f t="shared" si="296"/>
        <v>РУ-1-11</v>
      </c>
      <c r="B436" s="10" t="s">
        <v>19</v>
      </c>
      <c r="C436" s="11" t="s">
        <v>19</v>
      </c>
      <c r="D436" s="10" t="s">
        <v>19</v>
      </c>
      <c r="E436" s="10">
        <v>1</v>
      </c>
      <c r="F436" s="10" t="s">
        <v>12</v>
      </c>
      <c r="G436" s="10">
        <f ca="1">OFFSET(G436,1,2)</f>
        <v>27000</v>
      </c>
      <c r="H436" s="12">
        <f ca="1">G436</f>
        <v>27000</v>
      </c>
      <c r="I436" s="12">
        <f t="shared" ca="1" si="298"/>
        <v>27000</v>
      </c>
      <c r="J436" s="10" t="s">
        <v>19</v>
      </c>
      <c r="K436" s="13" t="str">
        <f t="shared" si="299"/>
        <v>Блок11</v>
      </c>
      <c r="L436">
        <v>27000</v>
      </c>
      <c r="M436">
        <f t="shared" si="300"/>
        <v>1</v>
      </c>
      <c r="N436">
        <f t="shared" si="268"/>
        <v>1</v>
      </c>
      <c r="O436" s="23">
        <f ca="1">N436*H436</f>
        <v>27000</v>
      </c>
    </row>
    <row r="437" spans="1:15" ht="27" customHeight="1" x14ac:dyDescent="0.25">
      <c r="A437" s="10" t="str">
        <f t="shared" si="296"/>
        <v>РУ-1-11</v>
      </c>
      <c r="B437" s="10" t="s">
        <v>20</v>
      </c>
      <c r="C437" s="11" t="s">
        <v>20</v>
      </c>
      <c r="D437" s="10" t="s">
        <v>20</v>
      </c>
      <c r="E437" s="10">
        <f>60*G437</f>
        <v>270</v>
      </c>
      <c r="F437" s="10" t="s">
        <v>12</v>
      </c>
      <c r="G437" s="10">
        <v>4.5</v>
      </c>
      <c r="H437" s="12">
        <v>100</v>
      </c>
      <c r="I437" s="12">
        <f t="shared" si="298"/>
        <v>27000</v>
      </c>
      <c r="J437" s="10" t="s">
        <v>20</v>
      </c>
      <c r="K437" s="13" t="str">
        <f t="shared" si="299"/>
        <v>Блок11</v>
      </c>
      <c r="L437">
        <v>27000</v>
      </c>
      <c r="M437">
        <f t="shared" si="300"/>
        <v>1</v>
      </c>
      <c r="N437">
        <f t="shared" si="268"/>
        <v>270</v>
      </c>
      <c r="O437" s="23">
        <f>N437*H437</f>
        <v>27000</v>
      </c>
    </row>
    <row r="438" spans="1:15" ht="27" customHeight="1" x14ac:dyDescent="0.25">
      <c r="A438" s="15" t="str">
        <f t="shared" si="296"/>
        <v>РУ-1-11</v>
      </c>
      <c r="B438" s="15"/>
      <c r="C438" s="15"/>
      <c r="D438" s="16"/>
      <c r="E438" s="15"/>
      <c r="F438" s="19"/>
      <c r="G438" s="17"/>
      <c r="H438" s="12">
        <f t="shared" ref="H438" si="302">G438*0.55</f>
        <v>0</v>
      </c>
      <c r="I438" s="18">
        <f ca="1">SUM(I431:I437)</f>
        <v>186939</v>
      </c>
      <c r="J438" s="15"/>
      <c r="K438" s="13" t="str">
        <f t="shared" si="299"/>
        <v>Блок11</v>
      </c>
      <c r="L438">
        <v>186939</v>
      </c>
      <c r="M438">
        <f t="shared" si="300"/>
        <v>1</v>
      </c>
      <c r="N438">
        <f t="shared" si="268"/>
        <v>0</v>
      </c>
      <c r="O438" s="23">
        <f>N438*H438</f>
        <v>0</v>
      </c>
    </row>
    <row r="439" spans="1:15" ht="27" customHeight="1" x14ac:dyDescent="0.25">
      <c r="A439" s="8" t="str">
        <f>D439</f>
        <v>ЩУР.МОП1-11</v>
      </c>
      <c r="B439" s="4"/>
      <c r="C439" s="5"/>
      <c r="D439" s="4" t="s">
        <v>93</v>
      </c>
      <c r="E439" s="8">
        <v>1</v>
      </c>
      <c r="F439" s="9" t="s">
        <v>9</v>
      </c>
      <c r="G439" s="6"/>
      <c r="H439" s="6"/>
      <c r="I439" s="7"/>
      <c r="J439" s="4" t="s">
        <v>10</v>
      </c>
      <c r="K439" s="8" t="s">
        <v>91</v>
      </c>
      <c r="M439">
        <f>E439</f>
        <v>1</v>
      </c>
      <c r="N439">
        <f t="shared" si="268"/>
        <v>1</v>
      </c>
      <c r="O439" s="23">
        <f>N439*H439</f>
        <v>0</v>
      </c>
    </row>
    <row r="440" spans="1:15" ht="27" customHeight="1" x14ac:dyDescent="0.25">
      <c r="A440" s="13" t="str">
        <f t="shared" ref="A440:A446" si="303">A439</f>
        <v>ЩУР.МОП1-11</v>
      </c>
      <c r="B440" s="10" t="s">
        <v>11</v>
      </c>
      <c r="C440" s="11" t="s">
        <v>40</v>
      </c>
      <c r="D440" s="10" t="s">
        <v>41</v>
      </c>
      <c r="E440" s="13">
        <v>1</v>
      </c>
      <c r="F440" s="14" t="s">
        <v>12</v>
      </c>
      <c r="G440" s="10">
        <v>18000</v>
      </c>
      <c r="H440" s="12">
        <f>0.6*G440</f>
        <v>10800</v>
      </c>
      <c r="I440" s="12">
        <f t="shared" ref="I440:I445" si="304">H440*E440</f>
        <v>10800</v>
      </c>
      <c r="J440" s="10" t="s">
        <v>13</v>
      </c>
      <c r="K440" s="13" t="str">
        <f t="shared" ref="K440:K446" si="305">K439</f>
        <v>Блок11</v>
      </c>
      <c r="L440">
        <v>10800</v>
      </c>
      <c r="M440">
        <f t="shared" ref="M440:M446" si="306">M439</f>
        <v>1</v>
      </c>
      <c r="N440">
        <f t="shared" si="268"/>
        <v>1</v>
      </c>
      <c r="O440" s="23">
        <f>N440*H440</f>
        <v>10800</v>
      </c>
    </row>
    <row r="441" spans="1:15" ht="27" customHeight="1" x14ac:dyDescent="0.25">
      <c r="A441" s="13" t="str">
        <f t="shared" si="303"/>
        <v>ЩУР.МОП1-11</v>
      </c>
      <c r="B441" s="10" t="s">
        <v>293</v>
      </c>
      <c r="C441" s="11" t="s">
        <v>195</v>
      </c>
      <c r="D441" s="10" t="s">
        <v>196</v>
      </c>
      <c r="E441" s="13">
        <v>1</v>
      </c>
      <c r="F441" s="14" t="s">
        <v>12</v>
      </c>
      <c r="G441" s="10">
        <v>6190</v>
      </c>
      <c r="H441" s="12">
        <f t="shared" ref="H441:H442" si="307">0.3*G441</f>
        <v>1857</v>
      </c>
      <c r="I441" s="12">
        <f t="shared" si="304"/>
        <v>1857</v>
      </c>
      <c r="J441" s="10" t="s">
        <v>207</v>
      </c>
      <c r="K441" s="13" t="str">
        <f t="shared" si="305"/>
        <v>Блок11</v>
      </c>
      <c r="L441">
        <v>1857</v>
      </c>
      <c r="M441">
        <f t="shared" si="306"/>
        <v>1</v>
      </c>
      <c r="N441">
        <f t="shared" si="268"/>
        <v>1</v>
      </c>
      <c r="O441" s="23">
        <f>N441*G441</f>
        <v>6190</v>
      </c>
    </row>
    <row r="442" spans="1:15" ht="27" customHeight="1" x14ac:dyDescent="0.25">
      <c r="A442" s="13" t="str">
        <f t="shared" si="303"/>
        <v>ЩУР.МОП1-11</v>
      </c>
      <c r="B442" s="10" t="s">
        <v>293</v>
      </c>
      <c r="C442" s="11" t="s">
        <v>193</v>
      </c>
      <c r="D442" s="10" t="s">
        <v>194</v>
      </c>
      <c r="E442" s="13">
        <v>4</v>
      </c>
      <c r="F442" s="14" t="s">
        <v>12</v>
      </c>
      <c r="G442" s="10">
        <v>6580</v>
      </c>
      <c r="H442" s="12">
        <f t="shared" si="307"/>
        <v>1974</v>
      </c>
      <c r="I442" s="12">
        <f t="shared" si="304"/>
        <v>7896</v>
      </c>
      <c r="J442" s="10" t="s">
        <v>207</v>
      </c>
      <c r="K442" s="13" t="str">
        <f t="shared" si="305"/>
        <v>Блок11</v>
      </c>
      <c r="L442">
        <v>7896</v>
      </c>
      <c r="M442">
        <f t="shared" si="306"/>
        <v>1</v>
      </c>
      <c r="N442">
        <f t="shared" si="268"/>
        <v>4</v>
      </c>
      <c r="O442" s="23">
        <f>N442*G442</f>
        <v>26320</v>
      </c>
    </row>
    <row r="443" spans="1:15" ht="27" customHeight="1" x14ac:dyDescent="0.25">
      <c r="A443" s="13" t="str">
        <f t="shared" si="303"/>
        <v>ЩУР.МОП1-11</v>
      </c>
      <c r="B443" s="10" t="s">
        <v>15</v>
      </c>
      <c r="C443" s="11" t="s">
        <v>299</v>
      </c>
      <c r="D443" s="10" t="s">
        <v>300</v>
      </c>
      <c r="E443" s="13">
        <v>1</v>
      </c>
      <c r="F443" s="14" t="s">
        <v>12</v>
      </c>
      <c r="G443" s="10">
        <v>32400</v>
      </c>
      <c r="H443" s="12">
        <f>G443</f>
        <v>32400</v>
      </c>
      <c r="I443" s="12">
        <f t="shared" si="304"/>
        <v>32400</v>
      </c>
      <c r="J443" s="10" t="s">
        <v>16</v>
      </c>
      <c r="K443" s="13" t="str">
        <f t="shared" si="305"/>
        <v>Блок11</v>
      </c>
      <c r="L443">
        <v>32400</v>
      </c>
      <c r="M443">
        <f t="shared" si="306"/>
        <v>1</v>
      </c>
      <c r="N443">
        <f t="shared" si="268"/>
        <v>1</v>
      </c>
      <c r="O443" s="23">
        <f t="shared" ref="O443:O449" si="308">N443*H443</f>
        <v>32400</v>
      </c>
    </row>
    <row r="444" spans="1:15" ht="27" customHeight="1" x14ac:dyDescent="0.25">
      <c r="A444" s="10" t="str">
        <f t="shared" si="303"/>
        <v>ЩУР.МОП1-11</v>
      </c>
      <c r="B444" s="10" t="s">
        <v>19</v>
      </c>
      <c r="C444" s="11" t="s">
        <v>19</v>
      </c>
      <c r="D444" s="10" t="s">
        <v>19</v>
      </c>
      <c r="E444" s="10">
        <v>1</v>
      </c>
      <c r="F444" s="10" t="s">
        <v>12</v>
      </c>
      <c r="G444" s="10">
        <f ca="1">OFFSET(G444,1,2)</f>
        <v>12000</v>
      </c>
      <c r="H444" s="12">
        <f ca="1">G444</f>
        <v>12000</v>
      </c>
      <c r="I444" s="12">
        <f t="shared" ca="1" si="304"/>
        <v>12000</v>
      </c>
      <c r="J444" s="10" t="s">
        <v>19</v>
      </c>
      <c r="K444" s="13" t="str">
        <f t="shared" si="305"/>
        <v>Блок11</v>
      </c>
      <c r="L444">
        <v>12000</v>
      </c>
      <c r="M444">
        <f t="shared" si="306"/>
        <v>1</v>
      </c>
      <c r="N444">
        <f t="shared" si="268"/>
        <v>1</v>
      </c>
      <c r="O444" s="23">
        <f t="shared" ca="1" si="308"/>
        <v>12000</v>
      </c>
    </row>
    <row r="445" spans="1:15" ht="27" customHeight="1" x14ac:dyDescent="0.25">
      <c r="A445" s="10" t="str">
        <f t="shared" si="303"/>
        <v>ЩУР.МОП1-11</v>
      </c>
      <c r="B445" s="10" t="s">
        <v>20</v>
      </c>
      <c r="C445" s="11" t="s">
        <v>20</v>
      </c>
      <c r="D445" s="10" t="s">
        <v>20</v>
      </c>
      <c r="E445" s="10">
        <f>60*G445</f>
        <v>120</v>
      </c>
      <c r="F445" s="10" t="s">
        <v>12</v>
      </c>
      <c r="G445" s="10">
        <v>2</v>
      </c>
      <c r="H445" s="12">
        <v>100</v>
      </c>
      <c r="I445" s="12">
        <f t="shared" si="304"/>
        <v>12000</v>
      </c>
      <c r="J445" s="10" t="s">
        <v>20</v>
      </c>
      <c r="K445" s="13" t="str">
        <f t="shared" si="305"/>
        <v>Блок11</v>
      </c>
      <c r="L445">
        <v>12000</v>
      </c>
      <c r="M445">
        <f t="shared" si="306"/>
        <v>1</v>
      </c>
      <c r="N445">
        <f t="shared" si="268"/>
        <v>120</v>
      </c>
      <c r="O445" s="23">
        <f t="shared" si="308"/>
        <v>12000</v>
      </c>
    </row>
    <row r="446" spans="1:15" ht="27" customHeight="1" x14ac:dyDescent="0.25">
      <c r="A446" s="15" t="str">
        <f t="shared" si="303"/>
        <v>ЩУР.МОП1-11</v>
      </c>
      <c r="B446" s="15"/>
      <c r="C446" s="15"/>
      <c r="D446" s="16"/>
      <c r="E446" s="15"/>
      <c r="F446" s="19"/>
      <c r="G446" s="17"/>
      <c r="H446" s="12">
        <f>G446*0.55</f>
        <v>0</v>
      </c>
      <c r="I446" s="18">
        <f ca="1">SUM(I440:I445)</f>
        <v>76953</v>
      </c>
      <c r="J446" s="15"/>
      <c r="K446" s="13" t="str">
        <f t="shared" si="305"/>
        <v>Блок11</v>
      </c>
      <c r="L446">
        <v>76953</v>
      </c>
      <c r="M446">
        <f t="shared" si="306"/>
        <v>1</v>
      </c>
      <c r="N446">
        <f t="shared" si="268"/>
        <v>0</v>
      </c>
      <c r="O446" s="23">
        <f t="shared" si="308"/>
        <v>0</v>
      </c>
    </row>
    <row r="447" spans="1:15" ht="27" customHeight="1" x14ac:dyDescent="0.25">
      <c r="A447" s="8" t="str">
        <f>D447</f>
        <v>РЩ1-11 (АВР-Б-40-2-1)</v>
      </c>
      <c r="B447" s="4"/>
      <c r="C447" s="5"/>
      <c r="D447" s="4" t="s">
        <v>143</v>
      </c>
      <c r="E447" s="8">
        <v>1</v>
      </c>
      <c r="F447" s="9" t="s">
        <v>9</v>
      </c>
      <c r="G447" s="6"/>
      <c r="H447" s="6"/>
      <c r="I447" s="7"/>
      <c r="J447" s="4" t="s">
        <v>10</v>
      </c>
      <c r="K447" s="8" t="s">
        <v>91</v>
      </c>
      <c r="M447">
        <f>E447</f>
        <v>1</v>
      </c>
      <c r="N447">
        <f t="shared" si="268"/>
        <v>1</v>
      </c>
      <c r="O447" s="23">
        <f t="shared" si="308"/>
        <v>0</v>
      </c>
    </row>
    <row r="448" spans="1:15" ht="27" customHeight="1" x14ac:dyDescent="0.25">
      <c r="A448" s="13" t="str">
        <f t="shared" ref="A448:A459" si="309">A447</f>
        <v>РЩ1-11 (АВР-Б-40-2-1)</v>
      </c>
      <c r="B448" s="10" t="s">
        <v>11</v>
      </c>
      <c r="C448" s="11" t="s">
        <v>168</v>
      </c>
      <c r="D448" s="10" t="s">
        <v>169</v>
      </c>
      <c r="E448" s="13">
        <v>1</v>
      </c>
      <c r="F448" s="14" t="s">
        <v>12</v>
      </c>
      <c r="G448" s="10">
        <v>130000</v>
      </c>
      <c r="H448" s="12">
        <f t="shared" ref="H448:H449" si="310">0.6*G448</f>
        <v>78000</v>
      </c>
      <c r="I448" s="12">
        <f t="shared" ref="I448:I458" si="311">H448*E448</f>
        <v>78000</v>
      </c>
      <c r="J448" s="10" t="s">
        <v>13</v>
      </c>
      <c r="K448" s="13" t="str">
        <f t="shared" ref="K448:K459" si="312">K447</f>
        <v>Блок11</v>
      </c>
      <c r="L448">
        <v>78000</v>
      </c>
      <c r="M448">
        <f t="shared" ref="M448:M459" si="313">M447</f>
        <v>1</v>
      </c>
      <c r="N448">
        <f t="shared" si="268"/>
        <v>1</v>
      </c>
      <c r="O448" s="23">
        <f t="shared" si="308"/>
        <v>78000</v>
      </c>
    </row>
    <row r="449" spans="1:15" ht="27" customHeight="1" x14ac:dyDescent="0.25">
      <c r="A449" s="13" t="str">
        <f t="shared" si="309"/>
        <v>РЩ1-11 (АВР-Б-40-2-1)</v>
      </c>
      <c r="B449" s="10" t="s">
        <v>44</v>
      </c>
      <c r="C449" s="11" t="s">
        <v>162</v>
      </c>
      <c r="D449" s="10" t="s">
        <v>163</v>
      </c>
      <c r="E449" s="13">
        <v>1</v>
      </c>
      <c r="F449" s="14" t="s">
        <v>12</v>
      </c>
      <c r="G449" s="10">
        <v>114758</v>
      </c>
      <c r="H449" s="12">
        <f t="shared" si="310"/>
        <v>68854.8</v>
      </c>
      <c r="I449" s="12">
        <f t="shared" si="311"/>
        <v>68854.8</v>
      </c>
      <c r="J449" s="10" t="s">
        <v>14</v>
      </c>
      <c r="K449" s="13" t="str">
        <f t="shared" si="312"/>
        <v>Блок11</v>
      </c>
      <c r="L449">
        <v>68854.8</v>
      </c>
      <c r="M449">
        <f t="shared" si="313"/>
        <v>1</v>
      </c>
      <c r="N449">
        <f t="shared" si="268"/>
        <v>1</v>
      </c>
      <c r="O449" s="23">
        <f t="shared" si="308"/>
        <v>68854.8</v>
      </c>
    </row>
    <row r="450" spans="1:15" ht="27" customHeight="1" x14ac:dyDescent="0.25">
      <c r="A450" s="13" t="str">
        <f t="shared" si="309"/>
        <v>РЩ1-11 (АВР-Б-40-2-1)</v>
      </c>
      <c r="B450" s="10" t="s">
        <v>293</v>
      </c>
      <c r="C450" s="11" t="s">
        <v>213</v>
      </c>
      <c r="D450" s="10" t="s">
        <v>214</v>
      </c>
      <c r="E450" s="13">
        <v>2</v>
      </c>
      <c r="F450" s="14" t="s">
        <v>12</v>
      </c>
      <c r="G450" s="10">
        <v>7690</v>
      </c>
      <c r="H450" s="12">
        <f t="shared" ref="H450:H452" si="314">0.3*G450</f>
        <v>2307</v>
      </c>
      <c r="I450" s="12">
        <f t="shared" si="311"/>
        <v>4614</v>
      </c>
      <c r="J450" s="10" t="s">
        <v>207</v>
      </c>
      <c r="K450" s="13" t="str">
        <f t="shared" si="312"/>
        <v>Блок11</v>
      </c>
      <c r="L450">
        <v>4614</v>
      </c>
      <c r="M450">
        <f t="shared" si="313"/>
        <v>1</v>
      </c>
      <c r="N450">
        <f t="shared" si="268"/>
        <v>2</v>
      </c>
      <c r="O450" s="23">
        <f>N450*G450</f>
        <v>15380</v>
      </c>
    </row>
    <row r="451" spans="1:15" ht="27" customHeight="1" x14ac:dyDescent="0.25">
      <c r="A451" s="13" t="str">
        <f t="shared" si="309"/>
        <v>РЩ1-11 (АВР-Б-40-2-1)</v>
      </c>
      <c r="B451" s="10" t="s">
        <v>293</v>
      </c>
      <c r="C451" s="11" t="s">
        <v>231</v>
      </c>
      <c r="D451" s="10" t="s">
        <v>232</v>
      </c>
      <c r="E451" s="13">
        <v>2</v>
      </c>
      <c r="F451" s="14" t="s">
        <v>12</v>
      </c>
      <c r="G451" s="10">
        <v>7690</v>
      </c>
      <c r="H451" s="12">
        <f t="shared" si="314"/>
        <v>2307</v>
      </c>
      <c r="I451" s="12">
        <f t="shared" si="311"/>
        <v>4614</v>
      </c>
      <c r="J451" s="10" t="s">
        <v>207</v>
      </c>
      <c r="K451" s="13" t="str">
        <f t="shared" si="312"/>
        <v>Блок11</v>
      </c>
      <c r="L451">
        <v>4614</v>
      </c>
      <c r="M451">
        <f t="shared" si="313"/>
        <v>1</v>
      </c>
      <c r="N451">
        <f t="shared" si="268"/>
        <v>2</v>
      </c>
      <c r="O451" s="23">
        <f>N451*G451</f>
        <v>15380</v>
      </c>
    </row>
    <row r="452" spans="1:15" ht="27" customHeight="1" x14ac:dyDescent="0.25">
      <c r="A452" s="13" t="str">
        <f t="shared" si="309"/>
        <v>РЩ1-11 (АВР-Б-40-2-1)</v>
      </c>
      <c r="B452" s="10" t="s">
        <v>294</v>
      </c>
      <c r="C452" s="11" t="s">
        <v>203</v>
      </c>
      <c r="D452" s="10" t="s">
        <v>204</v>
      </c>
      <c r="E452" s="13">
        <v>2</v>
      </c>
      <c r="F452" s="14" t="s">
        <v>12</v>
      </c>
      <c r="G452" s="10">
        <v>13450</v>
      </c>
      <c r="H452" s="12">
        <f t="shared" si="314"/>
        <v>4035</v>
      </c>
      <c r="I452" s="12">
        <f t="shared" si="311"/>
        <v>8070</v>
      </c>
      <c r="J452" s="10" t="s">
        <v>207</v>
      </c>
      <c r="K452" s="13" t="str">
        <f t="shared" si="312"/>
        <v>Блок11</v>
      </c>
      <c r="L452">
        <v>8070</v>
      </c>
      <c r="M452">
        <f t="shared" si="313"/>
        <v>1</v>
      </c>
      <c r="N452">
        <f t="shared" si="268"/>
        <v>2</v>
      </c>
      <c r="O452" s="23">
        <f>N452*G452</f>
        <v>26900</v>
      </c>
    </row>
    <row r="453" spans="1:15" ht="27" customHeight="1" x14ac:dyDescent="0.25">
      <c r="A453" s="13" t="str">
        <f t="shared" si="309"/>
        <v>РЩ1-11 (АВР-Б-40-2-1)</v>
      </c>
      <c r="B453" s="10" t="s">
        <v>18</v>
      </c>
      <c r="C453" s="11" t="s">
        <v>233</v>
      </c>
      <c r="D453" s="10" t="s">
        <v>234</v>
      </c>
      <c r="E453" s="13">
        <v>1</v>
      </c>
      <c r="F453" s="14" t="s">
        <v>12</v>
      </c>
      <c r="G453" s="10">
        <v>5884</v>
      </c>
      <c r="H453" s="12">
        <f>0.6*G453</f>
        <v>3530.4</v>
      </c>
      <c r="I453" s="12">
        <f t="shared" si="311"/>
        <v>3530.4</v>
      </c>
      <c r="J453" s="10" t="s">
        <v>14</v>
      </c>
      <c r="K453" s="13" t="str">
        <f t="shared" si="312"/>
        <v>Блок11</v>
      </c>
      <c r="L453">
        <v>3530.4</v>
      </c>
      <c r="M453">
        <f t="shared" si="313"/>
        <v>1</v>
      </c>
      <c r="N453">
        <f t="shared" si="268"/>
        <v>1</v>
      </c>
      <c r="O453" s="23">
        <f>N453*H453</f>
        <v>3530.4</v>
      </c>
    </row>
    <row r="454" spans="1:15" ht="27" customHeight="1" x14ac:dyDescent="0.25">
      <c r="A454" s="13" t="str">
        <f t="shared" si="309"/>
        <v>РЩ1-11 (АВР-Б-40-2-1)</v>
      </c>
      <c r="B454" s="10" t="s">
        <v>293</v>
      </c>
      <c r="C454" s="11" t="s">
        <v>205</v>
      </c>
      <c r="D454" s="10" t="s">
        <v>206</v>
      </c>
      <c r="E454" s="13">
        <v>1</v>
      </c>
      <c r="F454" s="14" t="s">
        <v>12</v>
      </c>
      <c r="G454" s="10">
        <v>7090</v>
      </c>
      <c r="H454" s="12">
        <f>0.3*G454</f>
        <v>2127</v>
      </c>
      <c r="I454" s="12">
        <f t="shared" si="311"/>
        <v>2127</v>
      </c>
      <c r="J454" s="10" t="s">
        <v>207</v>
      </c>
      <c r="K454" s="13" t="str">
        <f t="shared" si="312"/>
        <v>Блок11</v>
      </c>
      <c r="L454">
        <v>2127</v>
      </c>
      <c r="M454">
        <f t="shared" si="313"/>
        <v>1</v>
      </c>
      <c r="N454">
        <f t="shared" ref="N454:N517" si="315">M454*E454</f>
        <v>1</v>
      </c>
      <c r="O454" s="23">
        <f>N454*G454</f>
        <v>7090</v>
      </c>
    </row>
    <row r="455" spans="1:15" ht="27" customHeight="1" x14ac:dyDescent="0.25">
      <c r="A455" s="13" t="str">
        <f t="shared" si="309"/>
        <v>РЩ1-11 (АВР-Б-40-2-1)</v>
      </c>
      <c r="B455" s="10" t="s">
        <v>15</v>
      </c>
      <c r="C455" s="11" t="s">
        <v>299</v>
      </c>
      <c r="D455" s="10" t="s">
        <v>300</v>
      </c>
      <c r="E455" s="13">
        <v>1</v>
      </c>
      <c r="F455" s="14" t="s">
        <v>12</v>
      </c>
      <c r="G455" s="10">
        <v>32400</v>
      </c>
      <c r="H455" s="12">
        <f>G455</f>
        <v>32400</v>
      </c>
      <c r="I455" s="12">
        <f t="shared" si="311"/>
        <v>32400</v>
      </c>
      <c r="J455" s="10" t="s">
        <v>16</v>
      </c>
      <c r="K455" s="13" t="str">
        <f t="shared" si="312"/>
        <v>Блок11</v>
      </c>
      <c r="L455">
        <v>32400</v>
      </c>
      <c r="M455">
        <f t="shared" si="313"/>
        <v>1</v>
      </c>
      <c r="N455">
        <f t="shared" si="315"/>
        <v>1</v>
      </c>
      <c r="O455" s="23">
        <f t="shared" ref="O455:O465" si="316">N455*H455</f>
        <v>32400</v>
      </c>
    </row>
    <row r="456" spans="1:15" ht="27" customHeight="1" x14ac:dyDescent="0.25">
      <c r="A456" s="13" t="str">
        <f t="shared" si="309"/>
        <v>РЩ1-11 (АВР-Б-40-2-1)</v>
      </c>
      <c r="B456" s="10" t="s">
        <v>30</v>
      </c>
      <c r="C456" s="11"/>
      <c r="D456" s="10" t="s">
        <v>31</v>
      </c>
      <c r="E456" s="13">
        <v>6</v>
      </c>
      <c r="F456" s="14" t="s">
        <v>12</v>
      </c>
      <c r="G456" s="10">
        <v>3850</v>
      </c>
      <c r="H456" s="12">
        <f>G456</f>
        <v>3850</v>
      </c>
      <c r="I456" s="12">
        <f t="shared" si="311"/>
        <v>23100</v>
      </c>
      <c r="J456" s="10" t="s">
        <v>25</v>
      </c>
      <c r="K456" s="13" t="str">
        <f t="shared" si="312"/>
        <v>Блок11</v>
      </c>
      <c r="L456">
        <v>23100</v>
      </c>
      <c r="M456">
        <f t="shared" si="313"/>
        <v>1</v>
      </c>
      <c r="N456">
        <f t="shared" si="315"/>
        <v>6</v>
      </c>
      <c r="O456" s="23">
        <f t="shared" si="316"/>
        <v>23100</v>
      </c>
    </row>
    <row r="457" spans="1:15" ht="27" customHeight="1" x14ac:dyDescent="0.25">
      <c r="A457" s="10" t="str">
        <f t="shared" si="309"/>
        <v>РЩ1-11 (АВР-Б-40-2-1)</v>
      </c>
      <c r="B457" s="10" t="s">
        <v>19</v>
      </c>
      <c r="C457" s="11" t="s">
        <v>19</v>
      </c>
      <c r="D457" s="10" t="s">
        <v>19</v>
      </c>
      <c r="E457" s="10">
        <v>1</v>
      </c>
      <c r="F457" s="10" t="s">
        <v>12</v>
      </c>
      <c r="G457" s="10">
        <f ca="1">OFFSET(G457,1,2)</f>
        <v>39000</v>
      </c>
      <c r="H457" s="12">
        <f ca="1">G457</f>
        <v>39000</v>
      </c>
      <c r="I457" s="12">
        <f t="shared" ca="1" si="311"/>
        <v>39000</v>
      </c>
      <c r="J457" s="10" t="s">
        <v>19</v>
      </c>
      <c r="K457" s="13" t="str">
        <f t="shared" si="312"/>
        <v>Блок11</v>
      </c>
      <c r="L457">
        <v>39000</v>
      </c>
      <c r="M457">
        <f t="shared" si="313"/>
        <v>1</v>
      </c>
      <c r="N457">
        <f t="shared" si="315"/>
        <v>1</v>
      </c>
      <c r="O457" s="23">
        <f t="shared" ca="1" si="316"/>
        <v>39000</v>
      </c>
    </row>
    <row r="458" spans="1:15" ht="27" customHeight="1" x14ac:dyDescent="0.25">
      <c r="A458" s="10" t="str">
        <f t="shared" si="309"/>
        <v>РЩ1-11 (АВР-Б-40-2-1)</v>
      </c>
      <c r="B458" s="10" t="s">
        <v>20</v>
      </c>
      <c r="C458" s="11" t="s">
        <v>20</v>
      </c>
      <c r="D458" s="10" t="s">
        <v>20</v>
      </c>
      <c r="E458" s="10">
        <f>60*G458</f>
        <v>390</v>
      </c>
      <c r="F458" s="10" t="s">
        <v>12</v>
      </c>
      <c r="G458" s="10">
        <v>6.5</v>
      </c>
      <c r="H458" s="12">
        <v>100</v>
      </c>
      <c r="I458" s="12">
        <f t="shared" si="311"/>
        <v>39000</v>
      </c>
      <c r="J458" s="10" t="s">
        <v>20</v>
      </c>
      <c r="K458" s="13" t="str">
        <f t="shared" si="312"/>
        <v>Блок11</v>
      </c>
      <c r="L458">
        <v>39000</v>
      </c>
      <c r="M458">
        <f t="shared" si="313"/>
        <v>1</v>
      </c>
      <c r="N458">
        <f t="shared" si="315"/>
        <v>390</v>
      </c>
      <c r="O458" s="23">
        <f t="shared" si="316"/>
        <v>39000</v>
      </c>
    </row>
    <row r="459" spans="1:15" ht="27" customHeight="1" x14ac:dyDescent="0.25">
      <c r="A459" s="15" t="str">
        <f t="shared" si="309"/>
        <v>РЩ1-11 (АВР-Б-40-2-1)</v>
      </c>
      <c r="B459" s="15"/>
      <c r="C459" s="15"/>
      <c r="D459" s="16"/>
      <c r="E459" s="15"/>
      <c r="F459" s="19"/>
      <c r="G459" s="17"/>
      <c r="H459" s="12">
        <f>G459*0.55</f>
        <v>0</v>
      </c>
      <c r="I459" s="18">
        <f ca="1">SUM(I448:I458)</f>
        <v>303310.19999999995</v>
      </c>
      <c r="J459" s="15"/>
      <c r="K459" s="13" t="str">
        <f t="shared" si="312"/>
        <v>Блок11</v>
      </c>
      <c r="L459">
        <v>303310.19999999995</v>
      </c>
      <c r="M459">
        <f t="shared" si="313"/>
        <v>1</v>
      </c>
      <c r="N459">
        <f t="shared" si="315"/>
        <v>0</v>
      </c>
      <c r="O459" s="23">
        <f t="shared" si="316"/>
        <v>0</v>
      </c>
    </row>
    <row r="460" spans="1:15" ht="27" customHeight="1" x14ac:dyDescent="0.25">
      <c r="A460" s="8" t="str">
        <f>D460</f>
        <v>ВРУ1-12</v>
      </c>
      <c r="B460" s="4"/>
      <c r="C460" s="5"/>
      <c r="D460" s="4" t="s">
        <v>94</v>
      </c>
      <c r="E460" s="8">
        <v>1</v>
      </c>
      <c r="F460" s="9" t="s">
        <v>9</v>
      </c>
      <c r="G460" s="6"/>
      <c r="H460" s="6"/>
      <c r="I460" s="7"/>
      <c r="J460" s="4" t="s">
        <v>10</v>
      </c>
      <c r="K460" s="8" t="s">
        <v>95</v>
      </c>
      <c r="M460">
        <f>E460</f>
        <v>1</v>
      </c>
      <c r="N460">
        <f t="shared" si="315"/>
        <v>1</v>
      </c>
      <c r="O460" s="23">
        <f t="shared" si="316"/>
        <v>0</v>
      </c>
    </row>
    <row r="461" spans="1:15" ht="27" customHeight="1" x14ac:dyDescent="0.25">
      <c r="A461" s="13" t="str">
        <f t="shared" ref="A461:A471" si="317">A460</f>
        <v>ВРУ1-12</v>
      </c>
      <c r="B461" s="10" t="s">
        <v>11</v>
      </c>
      <c r="C461" s="11" t="s">
        <v>172</v>
      </c>
      <c r="D461" s="10" t="s">
        <v>173</v>
      </c>
      <c r="E461" s="13">
        <v>1</v>
      </c>
      <c r="F461" s="14" t="s">
        <v>12</v>
      </c>
      <c r="G461" s="10">
        <v>156500</v>
      </c>
      <c r="H461" s="12">
        <f>0.6*G461</f>
        <v>93900</v>
      </c>
      <c r="I461" s="12">
        <f t="shared" ref="I461:I470" si="318">H461*E461</f>
        <v>93900</v>
      </c>
      <c r="J461" s="10" t="s">
        <v>13</v>
      </c>
      <c r="K461" s="13" t="str">
        <f t="shared" ref="K461:K471" si="319">K460</f>
        <v>Блок12</v>
      </c>
      <c r="L461">
        <v>93900</v>
      </c>
      <c r="M461">
        <f t="shared" ref="M461:M471" si="320">M460</f>
        <v>1</v>
      </c>
      <c r="N461">
        <f t="shared" si="315"/>
        <v>1</v>
      </c>
      <c r="O461" s="23">
        <f t="shared" si="316"/>
        <v>93900</v>
      </c>
    </row>
    <row r="462" spans="1:15" ht="27" customHeight="1" x14ac:dyDescent="0.25">
      <c r="A462" s="13" t="str">
        <f t="shared" si="317"/>
        <v>ВРУ1-12</v>
      </c>
      <c r="B462" s="10" t="s">
        <v>23</v>
      </c>
      <c r="C462" s="11" t="s">
        <v>307</v>
      </c>
      <c r="D462" s="10" t="s">
        <v>308</v>
      </c>
      <c r="E462" s="13">
        <v>6</v>
      </c>
      <c r="F462" s="14" t="s">
        <v>12</v>
      </c>
      <c r="G462" s="10">
        <v>5523</v>
      </c>
      <c r="H462" s="12">
        <f t="shared" ref="H462:H463" si="321">G462</f>
        <v>5523</v>
      </c>
      <c r="I462" s="12">
        <f t="shared" si="318"/>
        <v>33138</v>
      </c>
      <c r="J462" s="10" t="s">
        <v>25</v>
      </c>
      <c r="K462" s="13" t="str">
        <f t="shared" si="319"/>
        <v>Блок12</v>
      </c>
      <c r="L462">
        <v>33138</v>
      </c>
      <c r="M462">
        <f t="shared" si="320"/>
        <v>1</v>
      </c>
      <c r="N462">
        <f t="shared" si="315"/>
        <v>6</v>
      </c>
      <c r="O462" s="23">
        <f t="shared" si="316"/>
        <v>33138</v>
      </c>
    </row>
    <row r="463" spans="1:15" ht="27" customHeight="1" x14ac:dyDescent="0.25">
      <c r="A463" s="13" t="str">
        <f t="shared" si="317"/>
        <v>ВРУ1-12</v>
      </c>
      <c r="B463" s="10" t="s">
        <v>26</v>
      </c>
      <c r="C463" s="11" t="s">
        <v>177</v>
      </c>
      <c r="D463" s="10" t="s">
        <v>178</v>
      </c>
      <c r="E463" s="13">
        <v>2</v>
      </c>
      <c r="F463" s="14" t="s">
        <v>12</v>
      </c>
      <c r="G463" s="10">
        <v>25500</v>
      </c>
      <c r="H463" s="12">
        <f t="shared" si="321"/>
        <v>25500</v>
      </c>
      <c r="I463" s="12">
        <f t="shared" si="318"/>
        <v>51000</v>
      </c>
      <c r="J463" s="10" t="s">
        <v>25</v>
      </c>
      <c r="K463" s="13" t="str">
        <f t="shared" si="319"/>
        <v>Блок12</v>
      </c>
      <c r="L463">
        <v>51000</v>
      </c>
      <c r="M463">
        <f t="shared" si="320"/>
        <v>1</v>
      </c>
      <c r="N463">
        <f t="shared" si="315"/>
        <v>2</v>
      </c>
      <c r="O463" s="23">
        <f t="shared" si="316"/>
        <v>51000</v>
      </c>
    </row>
    <row r="464" spans="1:15" ht="27" customHeight="1" x14ac:dyDescent="0.25">
      <c r="A464" s="13" t="str">
        <f t="shared" si="317"/>
        <v>ВРУ1-12</v>
      </c>
      <c r="B464" s="10" t="s">
        <v>127</v>
      </c>
      <c r="C464" s="11" t="s">
        <v>130</v>
      </c>
      <c r="D464" s="10" t="s">
        <v>131</v>
      </c>
      <c r="E464" s="13">
        <v>6</v>
      </c>
      <c r="F464" s="14" t="s">
        <v>12</v>
      </c>
      <c r="G464" s="10">
        <v>4750</v>
      </c>
      <c r="H464" s="12">
        <f t="shared" ref="H464:H465" si="322">0.6*G464</f>
        <v>2850</v>
      </c>
      <c r="I464" s="12">
        <f t="shared" si="318"/>
        <v>17100</v>
      </c>
      <c r="J464" s="10" t="s">
        <v>14</v>
      </c>
      <c r="K464" s="13" t="str">
        <f t="shared" si="319"/>
        <v>Блок12</v>
      </c>
      <c r="L464">
        <v>17100</v>
      </c>
      <c r="M464">
        <f t="shared" si="320"/>
        <v>1</v>
      </c>
      <c r="N464">
        <f t="shared" si="315"/>
        <v>6</v>
      </c>
      <c r="O464" s="23">
        <f t="shared" si="316"/>
        <v>17100</v>
      </c>
    </row>
    <row r="465" spans="1:15" ht="27" customHeight="1" x14ac:dyDescent="0.25">
      <c r="A465" s="13" t="str">
        <f t="shared" si="317"/>
        <v>ВРУ1-12</v>
      </c>
      <c r="B465" s="10" t="s">
        <v>126</v>
      </c>
      <c r="C465" s="11" t="s">
        <v>128</v>
      </c>
      <c r="D465" s="10" t="s">
        <v>129</v>
      </c>
      <c r="E465" s="13">
        <v>6</v>
      </c>
      <c r="F465" s="14" t="s">
        <v>12</v>
      </c>
      <c r="G465" s="10">
        <v>3317</v>
      </c>
      <c r="H465" s="12">
        <f t="shared" si="322"/>
        <v>1990.1999999999998</v>
      </c>
      <c r="I465" s="12">
        <f t="shared" si="318"/>
        <v>11941.199999999999</v>
      </c>
      <c r="J465" s="10" t="s">
        <v>14</v>
      </c>
      <c r="K465" s="13" t="str">
        <f t="shared" si="319"/>
        <v>Блок12</v>
      </c>
      <c r="L465">
        <v>11941.199999999999</v>
      </c>
      <c r="M465">
        <f t="shared" si="320"/>
        <v>1</v>
      </c>
      <c r="N465">
        <f t="shared" si="315"/>
        <v>6</v>
      </c>
      <c r="O465" s="23">
        <f t="shared" si="316"/>
        <v>11941.199999999999</v>
      </c>
    </row>
    <row r="466" spans="1:15" ht="27" customHeight="1" x14ac:dyDescent="0.25">
      <c r="A466" s="13" t="str">
        <f t="shared" si="317"/>
        <v>ВРУ1-12</v>
      </c>
      <c r="B466" s="10" t="s">
        <v>293</v>
      </c>
      <c r="C466" s="11" t="s">
        <v>189</v>
      </c>
      <c r="D466" s="10" t="s">
        <v>190</v>
      </c>
      <c r="E466" s="13">
        <v>2</v>
      </c>
      <c r="F466" s="14" t="s">
        <v>12</v>
      </c>
      <c r="G466" s="10">
        <v>1390</v>
      </c>
      <c r="H466" s="12">
        <f>0.3*G466</f>
        <v>417</v>
      </c>
      <c r="I466" s="12">
        <f t="shared" si="318"/>
        <v>834</v>
      </c>
      <c r="J466" s="10" t="s">
        <v>207</v>
      </c>
      <c r="K466" s="13" t="str">
        <f t="shared" si="319"/>
        <v>Блок12</v>
      </c>
      <c r="L466">
        <v>834</v>
      </c>
      <c r="M466">
        <f t="shared" si="320"/>
        <v>1</v>
      </c>
      <c r="N466">
        <f t="shared" si="315"/>
        <v>2</v>
      </c>
      <c r="O466" s="23">
        <f>N466*G466</f>
        <v>2780</v>
      </c>
    </row>
    <row r="467" spans="1:15" ht="27" customHeight="1" x14ac:dyDescent="0.25">
      <c r="A467" s="13" t="str">
        <f t="shared" si="317"/>
        <v>ВРУ1-12</v>
      </c>
      <c r="B467" s="10" t="s">
        <v>15</v>
      </c>
      <c r="C467" s="11" t="s">
        <v>297</v>
      </c>
      <c r="D467" s="24" t="s">
        <v>298</v>
      </c>
      <c r="E467" s="13">
        <v>2</v>
      </c>
      <c r="F467" s="14" t="s">
        <v>12</v>
      </c>
      <c r="G467" s="10">
        <v>89000</v>
      </c>
      <c r="H467" s="12">
        <f>G467</f>
        <v>89000</v>
      </c>
      <c r="I467" s="12">
        <f t="shared" si="318"/>
        <v>178000</v>
      </c>
      <c r="J467" s="10" t="s">
        <v>16</v>
      </c>
      <c r="K467" s="13" t="str">
        <f t="shared" si="319"/>
        <v>Блок12</v>
      </c>
      <c r="L467">
        <v>178000</v>
      </c>
      <c r="M467">
        <f t="shared" si="320"/>
        <v>1</v>
      </c>
      <c r="N467">
        <f t="shared" si="315"/>
        <v>2</v>
      </c>
      <c r="O467" s="23">
        <f t="shared" ref="O467:O473" si="323">N467*H467</f>
        <v>178000</v>
      </c>
    </row>
    <row r="468" spans="1:15" ht="27" customHeight="1" x14ac:dyDescent="0.25">
      <c r="A468" s="13" t="str">
        <f t="shared" si="317"/>
        <v>ВРУ1-12</v>
      </c>
      <c r="B468" s="10" t="s">
        <v>30</v>
      </c>
      <c r="C468" s="11"/>
      <c r="D468" s="10" t="s">
        <v>31</v>
      </c>
      <c r="E468" s="13">
        <v>6</v>
      </c>
      <c r="F468" s="14" t="s">
        <v>12</v>
      </c>
      <c r="G468" s="10">
        <v>3850</v>
      </c>
      <c r="H468" s="12">
        <f>G468</f>
        <v>3850</v>
      </c>
      <c r="I468" s="12">
        <f t="shared" si="318"/>
        <v>23100</v>
      </c>
      <c r="J468" s="10" t="s">
        <v>25</v>
      </c>
      <c r="K468" s="13" t="str">
        <f t="shared" si="319"/>
        <v>Блок12</v>
      </c>
      <c r="L468">
        <v>23100</v>
      </c>
      <c r="M468">
        <f t="shared" si="320"/>
        <v>1</v>
      </c>
      <c r="N468">
        <f t="shared" si="315"/>
        <v>6</v>
      </c>
      <c r="O468" s="23">
        <f t="shared" si="323"/>
        <v>23100</v>
      </c>
    </row>
    <row r="469" spans="1:15" ht="27" customHeight="1" x14ac:dyDescent="0.25">
      <c r="A469" s="10" t="str">
        <f t="shared" si="317"/>
        <v>ВРУ1-12</v>
      </c>
      <c r="B469" s="10" t="s">
        <v>19</v>
      </c>
      <c r="C469" s="11" t="s">
        <v>19</v>
      </c>
      <c r="D469" s="10" t="s">
        <v>19</v>
      </c>
      <c r="E469" s="10">
        <v>1</v>
      </c>
      <c r="F469" s="10" t="s">
        <v>12</v>
      </c>
      <c r="G469" s="10">
        <f ca="1">OFFSET(G469,1,2)</f>
        <v>48000</v>
      </c>
      <c r="H469" s="12">
        <f ca="1">G469</f>
        <v>48000</v>
      </c>
      <c r="I469" s="12">
        <f t="shared" ca="1" si="318"/>
        <v>48000</v>
      </c>
      <c r="J469" s="10" t="s">
        <v>19</v>
      </c>
      <c r="K469" s="13" t="str">
        <f t="shared" si="319"/>
        <v>Блок12</v>
      </c>
      <c r="L469">
        <v>48000</v>
      </c>
      <c r="M469">
        <f t="shared" si="320"/>
        <v>1</v>
      </c>
      <c r="N469">
        <f t="shared" si="315"/>
        <v>1</v>
      </c>
      <c r="O469" s="23">
        <f t="shared" ca="1" si="323"/>
        <v>48000</v>
      </c>
    </row>
    <row r="470" spans="1:15" ht="27" customHeight="1" x14ac:dyDescent="0.25">
      <c r="A470" s="10" t="str">
        <f t="shared" si="317"/>
        <v>ВРУ1-12</v>
      </c>
      <c r="B470" s="10" t="s">
        <v>20</v>
      </c>
      <c r="C470" s="11" t="s">
        <v>20</v>
      </c>
      <c r="D470" s="10" t="s">
        <v>20</v>
      </c>
      <c r="E470" s="10">
        <f>60*G470</f>
        <v>480</v>
      </c>
      <c r="F470" s="10" t="s">
        <v>12</v>
      </c>
      <c r="G470" s="10">
        <v>8</v>
      </c>
      <c r="H470" s="12">
        <v>100</v>
      </c>
      <c r="I470" s="12">
        <f t="shared" si="318"/>
        <v>48000</v>
      </c>
      <c r="J470" s="10" t="s">
        <v>20</v>
      </c>
      <c r="K470" s="13" t="str">
        <f t="shared" si="319"/>
        <v>Блок12</v>
      </c>
      <c r="L470">
        <v>48000</v>
      </c>
      <c r="M470">
        <f t="shared" si="320"/>
        <v>1</v>
      </c>
      <c r="N470">
        <f t="shared" si="315"/>
        <v>480</v>
      </c>
      <c r="O470" s="23">
        <f t="shared" si="323"/>
        <v>48000</v>
      </c>
    </row>
    <row r="471" spans="1:15" ht="27" customHeight="1" x14ac:dyDescent="0.25">
      <c r="A471" s="15" t="str">
        <f t="shared" si="317"/>
        <v>ВРУ1-12</v>
      </c>
      <c r="B471" s="15"/>
      <c r="C471" s="15"/>
      <c r="D471" s="16"/>
      <c r="E471" s="15"/>
      <c r="F471" s="19"/>
      <c r="G471" s="17"/>
      <c r="H471" s="12">
        <f>G471*0.55</f>
        <v>0</v>
      </c>
      <c r="I471" s="18">
        <f ca="1">SUM(I461:I470)</f>
        <v>505013.2</v>
      </c>
      <c r="J471" s="15"/>
      <c r="K471" s="13" t="str">
        <f t="shared" si="319"/>
        <v>Блок12</v>
      </c>
      <c r="L471">
        <v>505013.2</v>
      </c>
      <c r="M471">
        <f t="shared" si="320"/>
        <v>1</v>
      </c>
      <c r="N471">
        <f t="shared" si="315"/>
        <v>0</v>
      </c>
      <c r="O471" s="23">
        <f t="shared" si="323"/>
        <v>0</v>
      </c>
    </row>
    <row r="472" spans="1:15" ht="27" customHeight="1" x14ac:dyDescent="0.25">
      <c r="A472" s="8" t="str">
        <f>D472</f>
        <v>РУ-1-12</v>
      </c>
      <c r="B472" s="4"/>
      <c r="C472" s="5"/>
      <c r="D472" s="4" t="s">
        <v>96</v>
      </c>
      <c r="E472" s="8">
        <v>1</v>
      </c>
      <c r="F472" s="9" t="s">
        <v>9</v>
      </c>
      <c r="G472" s="6"/>
      <c r="H472" s="6"/>
      <c r="I472" s="7"/>
      <c r="J472" s="4" t="s">
        <v>10</v>
      </c>
      <c r="K472" s="8" t="s">
        <v>95</v>
      </c>
      <c r="M472">
        <f>E472</f>
        <v>1</v>
      </c>
      <c r="N472">
        <f t="shared" si="315"/>
        <v>1</v>
      </c>
      <c r="O472" s="23">
        <f t="shared" si="323"/>
        <v>0</v>
      </c>
    </row>
    <row r="473" spans="1:15" ht="27" customHeight="1" x14ac:dyDescent="0.25">
      <c r="A473" s="13" t="str">
        <f t="shared" ref="A473:A479" si="324">A472</f>
        <v>РУ-1-12</v>
      </c>
      <c r="B473" s="10" t="s">
        <v>11</v>
      </c>
      <c r="C473" s="11" t="s">
        <v>170</v>
      </c>
      <c r="D473" s="10" t="s">
        <v>171</v>
      </c>
      <c r="E473" s="13">
        <v>1</v>
      </c>
      <c r="F473" s="14" t="s">
        <v>12</v>
      </c>
      <c r="G473" s="10">
        <v>145000</v>
      </c>
      <c r="H473" s="12">
        <f>0.6*G473</f>
        <v>87000</v>
      </c>
      <c r="I473" s="12">
        <f t="shared" ref="I473:I478" si="325">H473*E473</f>
        <v>87000</v>
      </c>
      <c r="J473" s="10" t="s">
        <v>13</v>
      </c>
      <c r="K473" s="13" t="str">
        <f t="shared" ref="K473:K479" si="326">K472</f>
        <v>Блок12</v>
      </c>
      <c r="L473">
        <v>87000</v>
      </c>
      <c r="M473">
        <f t="shared" ref="M473:M479" si="327">M472</f>
        <v>1</v>
      </c>
      <c r="N473">
        <f t="shared" si="315"/>
        <v>1</v>
      </c>
      <c r="O473" s="23">
        <f t="shared" si="323"/>
        <v>87000</v>
      </c>
    </row>
    <row r="474" spans="1:15" ht="27" customHeight="1" x14ac:dyDescent="0.25">
      <c r="A474" s="13" t="str">
        <f t="shared" si="324"/>
        <v>РУ-1-12</v>
      </c>
      <c r="B474" s="10" t="s">
        <v>294</v>
      </c>
      <c r="C474" s="11" t="s">
        <v>225</v>
      </c>
      <c r="D474" s="10" t="s">
        <v>226</v>
      </c>
      <c r="E474" s="13">
        <v>2</v>
      </c>
      <c r="F474" s="14" t="s">
        <v>12</v>
      </c>
      <c r="G474" s="10">
        <v>17300</v>
      </c>
      <c r="H474" s="12">
        <f t="shared" ref="H474:H476" si="328">0.3*G474</f>
        <v>5190</v>
      </c>
      <c r="I474" s="12">
        <f t="shared" si="325"/>
        <v>10380</v>
      </c>
      <c r="J474" s="10" t="s">
        <v>207</v>
      </c>
      <c r="K474" s="13" t="str">
        <f t="shared" si="326"/>
        <v>Блок12</v>
      </c>
      <c r="L474">
        <v>10380</v>
      </c>
      <c r="M474">
        <f t="shared" si="327"/>
        <v>1</v>
      </c>
      <c r="N474">
        <f t="shared" si="315"/>
        <v>2</v>
      </c>
      <c r="O474" s="23">
        <f>N474*G474</f>
        <v>34600</v>
      </c>
    </row>
    <row r="475" spans="1:15" ht="27" customHeight="1" x14ac:dyDescent="0.25">
      <c r="A475" s="13" t="str">
        <f t="shared" si="324"/>
        <v>РУ-1-12</v>
      </c>
      <c r="B475" s="10" t="s">
        <v>294</v>
      </c>
      <c r="C475" s="11" t="s">
        <v>227</v>
      </c>
      <c r="D475" s="10" t="s">
        <v>228</v>
      </c>
      <c r="E475" s="13">
        <v>1</v>
      </c>
      <c r="F475" s="14" t="s">
        <v>12</v>
      </c>
      <c r="G475" s="10">
        <v>29990</v>
      </c>
      <c r="H475" s="12">
        <f t="shared" si="328"/>
        <v>8997</v>
      </c>
      <c r="I475" s="12">
        <f t="shared" si="325"/>
        <v>8997</v>
      </c>
      <c r="J475" s="10" t="s">
        <v>207</v>
      </c>
      <c r="K475" s="13" t="str">
        <f t="shared" si="326"/>
        <v>Блок12</v>
      </c>
      <c r="L475">
        <v>8997</v>
      </c>
      <c r="M475">
        <f t="shared" si="327"/>
        <v>1</v>
      </c>
      <c r="N475">
        <f t="shared" si="315"/>
        <v>1</v>
      </c>
      <c r="O475" s="23">
        <f>N475*G475</f>
        <v>29990</v>
      </c>
    </row>
    <row r="476" spans="1:15" ht="27" customHeight="1" x14ac:dyDescent="0.25">
      <c r="A476" s="13" t="str">
        <f t="shared" si="324"/>
        <v>РУ-1-12</v>
      </c>
      <c r="B476" s="10" t="s">
        <v>293</v>
      </c>
      <c r="C476" s="11" t="s">
        <v>217</v>
      </c>
      <c r="D476" s="10" t="s">
        <v>218</v>
      </c>
      <c r="E476" s="13">
        <v>2</v>
      </c>
      <c r="F476" s="14" t="s">
        <v>12</v>
      </c>
      <c r="G476" s="10">
        <v>7850</v>
      </c>
      <c r="H476" s="12">
        <f t="shared" si="328"/>
        <v>2355</v>
      </c>
      <c r="I476" s="12">
        <f t="shared" si="325"/>
        <v>4710</v>
      </c>
      <c r="J476" s="10" t="s">
        <v>207</v>
      </c>
      <c r="K476" s="13" t="str">
        <f t="shared" si="326"/>
        <v>Блок12</v>
      </c>
      <c r="L476">
        <v>4710</v>
      </c>
      <c r="M476">
        <f t="shared" si="327"/>
        <v>1</v>
      </c>
      <c r="N476">
        <f t="shared" si="315"/>
        <v>2</v>
      </c>
      <c r="O476" s="23">
        <f>N476*G476</f>
        <v>15700</v>
      </c>
    </row>
    <row r="477" spans="1:15" ht="27" customHeight="1" x14ac:dyDescent="0.25">
      <c r="A477" s="10" t="str">
        <f t="shared" si="324"/>
        <v>РУ-1-12</v>
      </c>
      <c r="B477" s="10" t="s">
        <v>19</v>
      </c>
      <c r="C477" s="11" t="s">
        <v>19</v>
      </c>
      <c r="D477" s="10" t="s">
        <v>19</v>
      </c>
      <c r="E477" s="10">
        <v>1</v>
      </c>
      <c r="F477" s="10" t="s">
        <v>12</v>
      </c>
      <c r="G477" s="10">
        <f ca="1">OFFSET(G477,1,2)</f>
        <v>27000</v>
      </c>
      <c r="H477" s="12">
        <f ca="1">G477</f>
        <v>27000</v>
      </c>
      <c r="I477" s="12">
        <f t="shared" ca="1" si="325"/>
        <v>27000</v>
      </c>
      <c r="J477" s="10" t="s">
        <v>19</v>
      </c>
      <c r="K477" s="13" t="str">
        <f t="shared" si="326"/>
        <v>Блок12</v>
      </c>
      <c r="L477">
        <v>27000</v>
      </c>
      <c r="M477">
        <f t="shared" si="327"/>
        <v>1</v>
      </c>
      <c r="N477">
        <f t="shared" si="315"/>
        <v>1</v>
      </c>
      <c r="O477" s="23">
        <f ca="1">N477*H477</f>
        <v>27000</v>
      </c>
    </row>
    <row r="478" spans="1:15" ht="27" customHeight="1" x14ac:dyDescent="0.25">
      <c r="A478" s="10" t="str">
        <f t="shared" si="324"/>
        <v>РУ-1-12</v>
      </c>
      <c r="B478" s="10" t="s">
        <v>20</v>
      </c>
      <c r="C478" s="11" t="s">
        <v>20</v>
      </c>
      <c r="D478" s="10" t="s">
        <v>20</v>
      </c>
      <c r="E478" s="10">
        <f>60*G478</f>
        <v>270</v>
      </c>
      <c r="F478" s="10" t="s">
        <v>12</v>
      </c>
      <c r="G478" s="10">
        <v>4.5</v>
      </c>
      <c r="H478" s="12">
        <v>100</v>
      </c>
      <c r="I478" s="12">
        <f t="shared" si="325"/>
        <v>27000</v>
      </c>
      <c r="J478" s="10" t="s">
        <v>20</v>
      </c>
      <c r="K478" s="13" t="str">
        <f t="shared" si="326"/>
        <v>Блок12</v>
      </c>
      <c r="L478">
        <v>27000</v>
      </c>
      <c r="M478">
        <f t="shared" si="327"/>
        <v>1</v>
      </c>
      <c r="N478">
        <f t="shared" si="315"/>
        <v>270</v>
      </c>
      <c r="O478" s="23">
        <f>N478*H478</f>
        <v>27000</v>
      </c>
    </row>
    <row r="479" spans="1:15" ht="27" customHeight="1" x14ac:dyDescent="0.25">
      <c r="A479" s="15" t="str">
        <f t="shared" si="324"/>
        <v>РУ-1-12</v>
      </c>
      <c r="B479" s="15"/>
      <c r="C479" s="15"/>
      <c r="D479" s="16"/>
      <c r="E479" s="15"/>
      <c r="F479" s="19"/>
      <c r="G479" s="17"/>
      <c r="H479" s="12">
        <f t="shared" ref="H479" si="329">G479*0.55</f>
        <v>0</v>
      </c>
      <c r="I479" s="18">
        <f ca="1">SUM(I473:I478)</f>
        <v>165087</v>
      </c>
      <c r="J479" s="15"/>
      <c r="K479" s="13" t="str">
        <f t="shared" si="326"/>
        <v>Блок12</v>
      </c>
      <c r="L479">
        <v>165087</v>
      </c>
      <c r="M479">
        <f t="shared" si="327"/>
        <v>1</v>
      </c>
      <c r="N479">
        <f t="shared" si="315"/>
        <v>0</v>
      </c>
      <c r="O479" s="23">
        <f>N479*H479</f>
        <v>0</v>
      </c>
    </row>
    <row r="480" spans="1:15" ht="27" customHeight="1" x14ac:dyDescent="0.25">
      <c r="A480" s="8" t="str">
        <f>D480</f>
        <v>РУ-2-12</v>
      </c>
      <c r="B480" s="4"/>
      <c r="C480" s="5"/>
      <c r="D480" s="4" t="s">
        <v>97</v>
      </c>
      <c r="E480" s="8">
        <v>1</v>
      </c>
      <c r="F480" s="9" t="s">
        <v>9</v>
      </c>
      <c r="G480" s="6"/>
      <c r="H480" s="6"/>
      <c r="I480" s="7"/>
      <c r="J480" s="4" t="s">
        <v>10</v>
      </c>
      <c r="K480" s="8" t="s">
        <v>95</v>
      </c>
      <c r="M480">
        <f>E480</f>
        <v>1</v>
      </c>
      <c r="N480">
        <f t="shared" si="315"/>
        <v>1</v>
      </c>
      <c r="O480" s="23">
        <f>N480*H480</f>
        <v>0</v>
      </c>
    </row>
    <row r="481" spans="1:15" ht="27" customHeight="1" x14ac:dyDescent="0.25">
      <c r="A481" s="13" t="str">
        <f t="shared" ref="A481:A486" si="330">A480</f>
        <v>РУ-2-12</v>
      </c>
      <c r="B481" s="10" t="s">
        <v>11</v>
      </c>
      <c r="C481" s="11" t="s">
        <v>170</v>
      </c>
      <c r="D481" s="10" t="s">
        <v>171</v>
      </c>
      <c r="E481" s="13">
        <v>1</v>
      </c>
      <c r="F481" s="14" t="s">
        <v>12</v>
      </c>
      <c r="G481" s="10">
        <v>145000</v>
      </c>
      <c r="H481" s="12">
        <f>0.6*G481</f>
        <v>87000</v>
      </c>
      <c r="I481" s="12">
        <f t="shared" ref="I481:I486" si="331">H481*E481</f>
        <v>87000</v>
      </c>
      <c r="J481" s="10" t="s">
        <v>13</v>
      </c>
      <c r="K481" s="13" t="str">
        <f t="shared" ref="K481:K487" si="332">K480</f>
        <v>Блок12</v>
      </c>
      <c r="L481">
        <v>87000</v>
      </c>
      <c r="M481">
        <f t="shared" ref="M481:M487" si="333">M480</f>
        <v>1</v>
      </c>
      <c r="N481">
        <f t="shared" si="315"/>
        <v>1</v>
      </c>
      <c r="O481" s="23">
        <f>N481*H481</f>
        <v>87000</v>
      </c>
    </row>
    <row r="482" spans="1:15" ht="27" customHeight="1" x14ac:dyDescent="0.25">
      <c r="A482" s="13" t="str">
        <f t="shared" si="330"/>
        <v>РУ-2-12</v>
      </c>
      <c r="B482" s="10" t="s">
        <v>294</v>
      </c>
      <c r="C482" s="11" t="s">
        <v>227</v>
      </c>
      <c r="D482" s="10" t="s">
        <v>228</v>
      </c>
      <c r="E482" s="13">
        <v>1</v>
      </c>
      <c r="F482" s="14" t="s">
        <v>12</v>
      </c>
      <c r="G482" s="10">
        <v>29990</v>
      </c>
      <c r="H482" s="12">
        <f t="shared" ref="H482:H484" si="334">0.3*G482</f>
        <v>8997</v>
      </c>
      <c r="I482" s="12">
        <f t="shared" si="331"/>
        <v>8997</v>
      </c>
      <c r="J482" s="10" t="s">
        <v>207</v>
      </c>
      <c r="K482" s="13" t="str">
        <f t="shared" si="332"/>
        <v>Блок12</v>
      </c>
      <c r="L482">
        <v>8997</v>
      </c>
      <c r="M482">
        <f t="shared" si="333"/>
        <v>1</v>
      </c>
      <c r="N482">
        <f t="shared" si="315"/>
        <v>1</v>
      </c>
      <c r="O482" s="23">
        <f>N482*G482</f>
        <v>29990</v>
      </c>
    </row>
    <row r="483" spans="1:15" ht="27" customHeight="1" x14ac:dyDescent="0.25">
      <c r="A483" s="13" t="str">
        <f t="shared" si="330"/>
        <v>РУ-2-12</v>
      </c>
      <c r="B483" s="10" t="s">
        <v>294</v>
      </c>
      <c r="C483" s="11" t="s">
        <v>225</v>
      </c>
      <c r="D483" s="10" t="s">
        <v>226</v>
      </c>
      <c r="E483" s="13">
        <v>3</v>
      </c>
      <c r="F483" s="14" t="s">
        <v>12</v>
      </c>
      <c r="G483" s="10">
        <v>17300</v>
      </c>
      <c r="H483" s="12">
        <f t="shared" si="334"/>
        <v>5190</v>
      </c>
      <c r="I483" s="12">
        <f t="shared" si="331"/>
        <v>15570</v>
      </c>
      <c r="J483" s="10" t="s">
        <v>207</v>
      </c>
      <c r="K483" s="13" t="str">
        <f t="shared" si="332"/>
        <v>Блок12</v>
      </c>
      <c r="L483">
        <v>15570</v>
      </c>
      <c r="M483">
        <f t="shared" si="333"/>
        <v>1</v>
      </c>
      <c r="N483">
        <f t="shared" si="315"/>
        <v>3</v>
      </c>
      <c r="O483" s="23">
        <f>N483*G483</f>
        <v>51900</v>
      </c>
    </row>
    <row r="484" spans="1:15" ht="27" customHeight="1" x14ac:dyDescent="0.25">
      <c r="A484" s="13" t="str">
        <f t="shared" si="330"/>
        <v>РУ-2-12</v>
      </c>
      <c r="B484" s="10" t="s">
        <v>294</v>
      </c>
      <c r="C484" s="11" t="s">
        <v>223</v>
      </c>
      <c r="D484" s="10" t="s">
        <v>224</v>
      </c>
      <c r="E484" s="13">
        <v>1</v>
      </c>
      <c r="F484" s="14" t="s">
        <v>12</v>
      </c>
      <c r="G484" s="10">
        <v>16550</v>
      </c>
      <c r="H484" s="12">
        <f t="shared" si="334"/>
        <v>4965</v>
      </c>
      <c r="I484" s="12">
        <f t="shared" si="331"/>
        <v>4965</v>
      </c>
      <c r="J484" s="10" t="s">
        <v>207</v>
      </c>
      <c r="K484" s="13" t="str">
        <f t="shared" si="332"/>
        <v>Блок12</v>
      </c>
      <c r="L484">
        <v>4965</v>
      </c>
      <c r="M484">
        <f t="shared" si="333"/>
        <v>1</v>
      </c>
      <c r="N484">
        <f t="shared" si="315"/>
        <v>1</v>
      </c>
      <c r="O484" s="23">
        <f>N484*G484</f>
        <v>16550</v>
      </c>
    </row>
    <row r="485" spans="1:15" ht="27" customHeight="1" x14ac:dyDescent="0.25">
      <c r="A485" s="10" t="str">
        <f t="shared" si="330"/>
        <v>РУ-2-12</v>
      </c>
      <c r="B485" s="10" t="s">
        <v>19</v>
      </c>
      <c r="C485" s="11" t="s">
        <v>19</v>
      </c>
      <c r="D485" s="10" t="s">
        <v>19</v>
      </c>
      <c r="E485" s="10">
        <v>1</v>
      </c>
      <c r="F485" s="10" t="s">
        <v>12</v>
      </c>
      <c r="G485" s="10">
        <f ca="1">OFFSET(G485,1,2)</f>
        <v>27000</v>
      </c>
      <c r="H485" s="12">
        <f ca="1">G485</f>
        <v>27000</v>
      </c>
      <c r="I485" s="12">
        <f t="shared" ca="1" si="331"/>
        <v>27000</v>
      </c>
      <c r="J485" s="10" t="s">
        <v>20</v>
      </c>
      <c r="K485" s="13" t="str">
        <f t="shared" si="332"/>
        <v>Блок12</v>
      </c>
      <c r="L485">
        <v>27000</v>
      </c>
      <c r="M485">
        <f t="shared" si="333"/>
        <v>1</v>
      </c>
      <c r="N485">
        <f t="shared" si="315"/>
        <v>1</v>
      </c>
      <c r="O485" s="23">
        <f ca="1">N485*H485</f>
        <v>27000</v>
      </c>
    </row>
    <row r="486" spans="1:15" ht="27" customHeight="1" x14ac:dyDescent="0.25">
      <c r="A486" s="10" t="str">
        <f t="shared" si="330"/>
        <v>РУ-2-12</v>
      </c>
      <c r="B486" s="10" t="s">
        <v>20</v>
      </c>
      <c r="C486" s="11" t="s">
        <v>20</v>
      </c>
      <c r="D486" s="10" t="s">
        <v>20</v>
      </c>
      <c r="E486" s="10">
        <f>60*G486</f>
        <v>270</v>
      </c>
      <c r="F486" s="10" t="s">
        <v>12</v>
      </c>
      <c r="G486" s="10">
        <v>4.5</v>
      </c>
      <c r="H486" s="12">
        <v>100</v>
      </c>
      <c r="I486" s="12">
        <f t="shared" si="331"/>
        <v>27000</v>
      </c>
      <c r="J486" s="10" t="s">
        <v>20</v>
      </c>
      <c r="K486" s="13" t="str">
        <f t="shared" si="332"/>
        <v>Блок12</v>
      </c>
      <c r="L486">
        <v>27000</v>
      </c>
      <c r="M486">
        <f t="shared" si="333"/>
        <v>1</v>
      </c>
      <c r="N486">
        <f t="shared" si="315"/>
        <v>270</v>
      </c>
      <c r="O486" s="23">
        <f>N486*H486</f>
        <v>27000</v>
      </c>
    </row>
    <row r="487" spans="1:15" ht="27" customHeight="1" x14ac:dyDescent="0.25">
      <c r="A487" s="15" t="str">
        <f>A485</f>
        <v>РУ-2-12</v>
      </c>
      <c r="B487" s="15"/>
      <c r="C487" s="15" t="s">
        <v>98</v>
      </c>
      <c r="D487" s="16"/>
      <c r="E487" s="15"/>
      <c r="F487" s="19"/>
      <c r="G487" s="17"/>
      <c r="H487" s="12"/>
      <c r="I487" s="18">
        <f ca="1">SUM(I481:I485)</f>
        <v>143532</v>
      </c>
      <c r="J487" s="15"/>
      <c r="K487" s="13" t="str">
        <f t="shared" si="332"/>
        <v>Блок12</v>
      </c>
      <c r="L487">
        <v>143532</v>
      </c>
      <c r="M487">
        <f t="shared" si="333"/>
        <v>1</v>
      </c>
      <c r="N487">
        <f t="shared" si="315"/>
        <v>0</v>
      </c>
      <c r="O487" s="23">
        <f>N487*H487</f>
        <v>0</v>
      </c>
    </row>
    <row r="488" spans="1:15" ht="27" customHeight="1" x14ac:dyDescent="0.25">
      <c r="A488" s="8" t="str">
        <f>D488</f>
        <v>ЩУР.МОП1-12</v>
      </c>
      <c r="B488" s="4"/>
      <c r="C488" s="5"/>
      <c r="D488" s="4" t="s">
        <v>99</v>
      </c>
      <c r="E488" s="8">
        <v>1</v>
      </c>
      <c r="F488" s="9" t="s">
        <v>9</v>
      </c>
      <c r="G488" s="6"/>
      <c r="H488" s="6"/>
      <c r="I488" s="7"/>
      <c r="J488" s="4" t="s">
        <v>10</v>
      </c>
      <c r="K488" s="8" t="s">
        <v>95</v>
      </c>
      <c r="M488">
        <f>E488</f>
        <v>1</v>
      </c>
      <c r="N488">
        <f t="shared" si="315"/>
        <v>1</v>
      </c>
      <c r="O488" s="23">
        <f>N488*H488</f>
        <v>0</v>
      </c>
    </row>
    <row r="489" spans="1:15" ht="27" customHeight="1" x14ac:dyDescent="0.25">
      <c r="A489" s="13" t="str">
        <f t="shared" ref="A489:A496" si="335">A488</f>
        <v>ЩУР.МОП1-12</v>
      </c>
      <c r="B489" s="10" t="s">
        <v>11</v>
      </c>
      <c r="C489" s="11" t="s">
        <v>40</v>
      </c>
      <c r="D489" s="10" t="s">
        <v>41</v>
      </c>
      <c r="E489" s="13">
        <v>1</v>
      </c>
      <c r="F489" s="14" t="s">
        <v>12</v>
      </c>
      <c r="G489" s="10">
        <v>18000</v>
      </c>
      <c r="H489" s="12">
        <f>0.6*G489</f>
        <v>10800</v>
      </c>
      <c r="I489" s="12">
        <f t="shared" ref="I489:I495" si="336">H489*E489</f>
        <v>10800</v>
      </c>
      <c r="J489" s="10" t="s">
        <v>13</v>
      </c>
      <c r="K489" s="13" t="str">
        <f t="shared" ref="K489:K496" si="337">K488</f>
        <v>Блок12</v>
      </c>
      <c r="L489">
        <v>10800</v>
      </c>
      <c r="M489">
        <f t="shared" ref="M489:M496" si="338">M488</f>
        <v>1</v>
      </c>
      <c r="N489">
        <f t="shared" si="315"/>
        <v>1</v>
      </c>
      <c r="O489" s="23">
        <f>N489*H489</f>
        <v>10800</v>
      </c>
    </row>
    <row r="490" spans="1:15" ht="27" customHeight="1" x14ac:dyDescent="0.25">
      <c r="A490" s="13" t="str">
        <f t="shared" si="335"/>
        <v>ЩУР.МОП1-12</v>
      </c>
      <c r="B490" s="10" t="s">
        <v>293</v>
      </c>
      <c r="C490" s="11" t="s">
        <v>195</v>
      </c>
      <c r="D490" s="10" t="s">
        <v>196</v>
      </c>
      <c r="E490" s="13">
        <v>1</v>
      </c>
      <c r="F490" s="14" t="s">
        <v>12</v>
      </c>
      <c r="G490" s="10">
        <v>6190</v>
      </c>
      <c r="H490" s="12">
        <f t="shared" ref="H490:H492" si="339">0.3*G490</f>
        <v>1857</v>
      </c>
      <c r="I490" s="12">
        <f t="shared" si="336"/>
        <v>1857</v>
      </c>
      <c r="J490" s="10" t="s">
        <v>207</v>
      </c>
      <c r="K490" s="13" t="str">
        <f t="shared" si="337"/>
        <v>Блок12</v>
      </c>
      <c r="L490">
        <v>1857</v>
      </c>
      <c r="M490">
        <f t="shared" si="338"/>
        <v>1</v>
      </c>
      <c r="N490">
        <f t="shared" si="315"/>
        <v>1</v>
      </c>
      <c r="O490" s="23">
        <f>N490*G490</f>
        <v>6190</v>
      </c>
    </row>
    <row r="491" spans="1:15" ht="27" customHeight="1" x14ac:dyDescent="0.25">
      <c r="A491" s="13" t="str">
        <f t="shared" si="335"/>
        <v>ЩУР.МОП1-12</v>
      </c>
      <c r="B491" s="10" t="s">
        <v>293</v>
      </c>
      <c r="C491" s="11" t="s">
        <v>201</v>
      </c>
      <c r="D491" s="10" t="s">
        <v>202</v>
      </c>
      <c r="E491" s="13">
        <v>2</v>
      </c>
      <c r="F491" s="14" t="s">
        <v>12</v>
      </c>
      <c r="G491" s="10">
        <v>5750</v>
      </c>
      <c r="H491" s="12">
        <f t="shared" si="339"/>
        <v>1725</v>
      </c>
      <c r="I491" s="12">
        <f t="shared" si="336"/>
        <v>3450</v>
      </c>
      <c r="J491" s="10" t="s">
        <v>207</v>
      </c>
      <c r="K491" s="13" t="str">
        <f t="shared" si="337"/>
        <v>Блок12</v>
      </c>
      <c r="L491">
        <v>3450</v>
      </c>
      <c r="M491">
        <f t="shared" si="338"/>
        <v>1</v>
      </c>
      <c r="N491">
        <f t="shared" si="315"/>
        <v>2</v>
      </c>
      <c r="O491" s="23">
        <f>N491*G491</f>
        <v>11500</v>
      </c>
    </row>
    <row r="492" spans="1:15" ht="27" customHeight="1" x14ac:dyDescent="0.25">
      <c r="A492" s="13" t="str">
        <f t="shared" si="335"/>
        <v>ЩУР.МОП1-12</v>
      </c>
      <c r="B492" s="10" t="s">
        <v>293</v>
      </c>
      <c r="C492" s="11" t="s">
        <v>193</v>
      </c>
      <c r="D492" s="10" t="s">
        <v>194</v>
      </c>
      <c r="E492" s="13">
        <v>2</v>
      </c>
      <c r="F492" s="14" t="s">
        <v>12</v>
      </c>
      <c r="G492" s="10">
        <v>6580</v>
      </c>
      <c r="H492" s="12">
        <f t="shared" si="339"/>
        <v>1974</v>
      </c>
      <c r="I492" s="12">
        <f t="shared" si="336"/>
        <v>3948</v>
      </c>
      <c r="J492" s="10" t="s">
        <v>207</v>
      </c>
      <c r="K492" s="13" t="str">
        <f t="shared" si="337"/>
        <v>Блок12</v>
      </c>
      <c r="L492">
        <v>3948</v>
      </c>
      <c r="M492">
        <f t="shared" si="338"/>
        <v>1</v>
      </c>
      <c r="N492">
        <f t="shared" si="315"/>
        <v>2</v>
      </c>
      <c r="O492" s="23">
        <f>N492*G492</f>
        <v>13160</v>
      </c>
    </row>
    <row r="493" spans="1:15" ht="27" customHeight="1" x14ac:dyDescent="0.25">
      <c r="A493" s="13" t="str">
        <f t="shared" si="335"/>
        <v>ЩУР.МОП1-12</v>
      </c>
      <c r="B493" s="10" t="s">
        <v>15</v>
      </c>
      <c r="C493" s="11" t="s">
        <v>299</v>
      </c>
      <c r="D493" s="10" t="s">
        <v>300</v>
      </c>
      <c r="E493" s="13">
        <v>1</v>
      </c>
      <c r="F493" s="14" t="s">
        <v>12</v>
      </c>
      <c r="G493" s="10">
        <v>32400</v>
      </c>
      <c r="H493" s="12">
        <f>G493</f>
        <v>32400</v>
      </c>
      <c r="I493" s="12">
        <f t="shared" si="336"/>
        <v>32400</v>
      </c>
      <c r="J493" s="10" t="s">
        <v>16</v>
      </c>
      <c r="K493" s="13" t="str">
        <f t="shared" si="337"/>
        <v>Блок12</v>
      </c>
      <c r="L493">
        <v>32400</v>
      </c>
      <c r="M493">
        <f t="shared" si="338"/>
        <v>1</v>
      </c>
      <c r="N493">
        <f t="shared" si="315"/>
        <v>1</v>
      </c>
      <c r="O493" s="23">
        <f t="shared" ref="O493:O498" si="340">N493*H493</f>
        <v>32400</v>
      </c>
    </row>
    <row r="494" spans="1:15" ht="27" customHeight="1" x14ac:dyDescent="0.25">
      <c r="A494" s="10" t="str">
        <f t="shared" si="335"/>
        <v>ЩУР.МОП1-12</v>
      </c>
      <c r="B494" s="10" t="s">
        <v>19</v>
      </c>
      <c r="C494" s="11" t="s">
        <v>19</v>
      </c>
      <c r="D494" s="10" t="s">
        <v>19</v>
      </c>
      <c r="E494" s="10">
        <v>1</v>
      </c>
      <c r="F494" s="10" t="s">
        <v>12</v>
      </c>
      <c r="G494" s="10">
        <f ca="1">OFFSET(G494,1,2)</f>
        <v>12000</v>
      </c>
      <c r="H494" s="12">
        <f ca="1">G494</f>
        <v>12000</v>
      </c>
      <c r="I494" s="12">
        <f t="shared" ca="1" si="336"/>
        <v>12000</v>
      </c>
      <c r="J494" s="10" t="s">
        <v>19</v>
      </c>
      <c r="K494" s="13" t="str">
        <f t="shared" si="337"/>
        <v>Блок12</v>
      </c>
      <c r="L494">
        <v>12000</v>
      </c>
      <c r="M494">
        <f t="shared" si="338"/>
        <v>1</v>
      </c>
      <c r="N494">
        <f t="shared" si="315"/>
        <v>1</v>
      </c>
      <c r="O494" s="23">
        <f t="shared" ca="1" si="340"/>
        <v>12000</v>
      </c>
    </row>
    <row r="495" spans="1:15" ht="27" customHeight="1" x14ac:dyDescent="0.25">
      <c r="A495" s="10" t="str">
        <f t="shared" si="335"/>
        <v>ЩУР.МОП1-12</v>
      </c>
      <c r="B495" s="10" t="s">
        <v>20</v>
      </c>
      <c r="C495" s="11" t="s">
        <v>20</v>
      </c>
      <c r="D495" s="10" t="s">
        <v>20</v>
      </c>
      <c r="E495" s="10">
        <f>60*G495</f>
        <v>120</v>
      </c>
      <c r="F495" s="10" t="s">
        <v>12</v>
      </c>
      <c r="G495" s="10">
        <v>2</v>
      </c>
      <c r="H495" s="12">
        <v>100</v>
      </c>
      <c r="I495" s="12">
        <f t="shared" si="336"/>
        <v>12000</v>
      </c>
      <c r="J495" s="10" t="s">
        <v>20</v>
      </c>
      <c r="K495" s="13" t="str">
        <f t="shared" si="337"/>
        <v>Блок12</v>
      </c>
      <c r="L495">
        <v>12000</v>
      </c>
      <c r="M495">
        <f t="shared" si="338"/>
        <v>1</v>
      </c>
      <c r="N495">
        <f t="shared" si="315"/>
        <v>120</v>
      </c>
      <c r="O495" s="23">
        <f t="shared" si="340"/>
        <v>12000</v>
      </c>
    </row>
    <row r="496" spans="1:15" ht="27" customHeight="1" x14ac:dyDescent="0.25">
      <c r="A496" s="15" t="str">
        <f t="shared" si="335"/>
        <v>ЩУР.МОП1-12</v>
      </c>
      <c r="B496" s="15"/>
      <c r="C496" s="15"/>
      <c r="D496" s="16"/>
      <c r="E496" s="15"/>
      <c r="F496" s="19"/>
      <c r="G496" s="17"/>
      <c r="H496" s="12">
        <f>G496*0.55</f>
        <v>0</v>
      </c>
      <c r="I496" s="18">
        <f ca="1">SUM(I489:I495)</f>
        <v>76455</v>
      </c>
      <c r="J496" s="15"/>
      <c r="K496" s="13" t="str">
        <f t="shared" si="337"/>
        <v>Блок12</v>
      </c>
      <c r="L496">
        <v>76455</v>
      </c>
      <c r="M496">
        <f t="shared" si="338"/>
        <v>1</v>
      </c>
      <c r="N496">
        <f t="shared" si="315"/>
        <v>0</v>
      </c>
      <c r="O496" s="23">
        <f t="shared" si="340"/>
        <v>0</v>
      </c>
    </row>
    <row r="497" spans="1:15" ht="27" customHeight="1" x14ac:dyDescent="0.25">
      <c r="A497" s="8" t="str">
        <f>D497</f>
        <v>ЩУР.МОП2-12</v>
      </c>
      <c r="B497" s="4"/>
      <c r="C497" s="5"/>
      <c r="D497" s="4" t="s">
        <v>100</v>
      </c>
      <c r="E497" s="8">
        <v>1</v>
      </c>
      <c r="F497" s="9" t="s">
        <v>9</v>
      </c>
      <c r="G497" s="6"/>
      <c r="H497" s="6"/>
      <c r="I497" s="7"/>
      <c r="J497" s="4" t="s">
        <v>10</v>
      </c>
      <c r="K497" s="8" t="s">
        <v>95</v>
      </c>
      <c r="M497">
        <f>E497</f>
        <v>1</v>
      </c>
      <c r="N497">
        <f t="shared" si="315"/>
        <v>1</v>
      </c>
      <c r="O497" s="23">
        <f t="shared" si="340"/>
        <v>0</v>
      </c>
    </row>
    <row r="498" spans="1:15" ht="27" customHeight="1" x14ac:dyDescent="0.25">
      <c r="A498" s="13" t="str">
        <f t="shared" ref="A498:A505" si="341">A497</f>
        <v>ЩУР.МОП2-12</v>
      </c>
      <c r="B498" s="10" t="s">
        <v>11</v>
      </c>
      <c r="C498" s="11" t="s">
        <v>40</v>
      </c>
      <c r="D498" s="10" t="s">
        <v>41</v>
      </c>
      <c r="E498" s="13">
        <v>1</v>
      </c>
      <c r="F498" s="14" t="s">
        <v>12</v>
      </c>
      <c r="G498" s="10">
        <v>18000</v>
      </c>
      <c r="H498" s="12">
        <f>0.6*G498</f>
        <v>10800</v>
      </c>
      <c r="I498" s="12">
        <f t="shared" ref="I498:I504" si="342">H498*E498</f>
        <v>10800</v>
      </c>
      <c r="J498" s="10" t="s">
        <v>13</v>
      </c>
      <c r="K498" s="13" t="str">
        <f t="shared" ref="K498:K505" si="343">K497</f>
        <v>Блок12</v>
      </c>
      <c r="L498">
        <v>10800</v>
      </c>
      <c r="M498">
        <f t="shared" ref="M498:M505" si="344">M497</f>
        <v>1</v>
      </c>
      <c r="N498">
        <f t="shared" si="315"/>
        <v>1</v>
      </c>
      <c r="O498" s="23">
        <f t="shared" si="340"/>
        <v>10800</v>
      </c>
    </row>
    <row r="499" spans="1:15" ht="27" customHeight="1" x14ac:dyDescent="0.25">
      <c r="A499" s="13" t="str">
        <f t="shared" si="341"/>
        <v>ЩУР.МОП2-12</v>
      </c>
      <c r="B499" s="10" t="s">
        <v>293</v>
      </c>
      <c r="C499" s="11" t="s">
        <v>195</v>
      </c>
      <c r="D499" s="10" t="s">
        <v>196</v>
      </c>
      <c r="E499" s="13">
        <v>1</v>
      </c>
      <c r="F499" s="14" t="s">
        <v>12</v>
      </c>
      <c r="G499" s="10">
        <v>6190</v>
      </c>
      <c r="H499" s="12">
        <f t="shared" ref="H499:H501" si="345">0.3*G499</f>
        <v>1857</v>
      </c>
      <c r="I499" s="12">
        <f t="shared" si="342"/>
        <v>1857</v>
      </c>
      <c r="J499" s="10" t="s">
        <v>207</v>
      </c>
      <c r="K499" s="13" t="str">
        <f t="shared" si="343"/>
        <v>Блок12</v>
      </c>
      <c r="L499">
        <v>1857</v>
      </c>
      <c r="M499">
        <f t="shared" si="344"/>
        <v>1</v>
      </c>
      <c r="N499">
        <f t="shared" si="315"/>
        <v>1</v>
      </c>
      <c r="O499" s="23">
        <f>N499*G499</f>
        <v>6190</v>
      </c>
    </row>
    <row r="500" spans="1:15" ht="27" customHeight="1" x14ac:dyDescent="0.25">
      <c r="A500" s="13" t="str">
        <f t="shared" si="341"/>
        <v>ЩУР.МОП2-12</v>
      </c>
      <c r="B500" s="10" t="s">
        <v>293</v>
      </c>
      <c r="C500" s="11" t="s">
        <v>201</v>
      </c>
      <c r="D500" s="10" t="s">
        <v>202</v>
      </c>
      <c r="E500" s="13">
        <v>2</v>
      </c>
      <c r="F500" s="14" t="s">
        <v>12</v>
      </c>
      <c r="G500" s="10">
        <v>5750</v>
      </c>
      <c r="H500" s="12">
        <f t="shared" si="345"/>
        <v>1725</v>
      </c>
      <c r="I500" s="12">
        <f t="shared" si="342"/>
        <v>3450</v>
      </c>
      <c r="J500" s="10" t="s">
        <v>207</v>
      </c>
      <c r="K500" s="13" t="str">
        <f t="shared" si="343"/>
        <v>Блок12</v>
      </c>
      <c r="L500">
        <v>3450</v>
      </c>
      <c r="M500">
        <f t="shared" si="344"/>
        <v>1</v>
      </c>
      <c r="N500">
        <f t="shared" si="315"/>
        <v>2</v>
      </c>
      <c r="O500" s="23">
        <f>N500*G500</f>
        <v>11500</v>
      </c>
    </row>
    <row r="501" spans="1:15" ht="27" customHeight="1" x14ac:dyDescent="0.25">
      <c r="A501" s="13" t="str">
        <f t="shared" si="341"/>
        <v>ЩУР.МОП2-12</v>
      </c>
      <c r="B501" s="10" t="s">
        <v>293</v>
      </c>
      <c r="C501" s="11" t="s">
        <v>193</v>
      </c>
      <c r="D501" s="10" t="s">
        <v>194</v>
      </c>
      <c r="E501" s="13">
        <v>2</v>
      </c>
      <c r="F501" s="14" t="s">
        <v>12</v>
      </c>
      <c r="G501" s="10">
        <v>6580</v>
      </c>
      <c r="H501" s="12">
        <f t="shared" si="345"/>
        <v>1974</v>
      </c>
      <c r="I501" s="12">
        <f t="shared" si="342"/>
        <v>3948</v>
      </c>
      <c r="J501" s="10" t="s">
        <v>207</v>
      </c>
      <c r="K501" s="13" t="str">
        <f t="shared" si="343"/>
        <v>Блок12</v>
      </c>
      <c r="L501">
        <v>3948</v>
      </c>
      <c r="M501">
        <f t="shared" si="344"/>
        <v>1</v>
      </c>
      <c r="N501">
        <f t="shared" si="315"/>
        <v>2</v>
      </c>
      <c r="O501" s="23">
        <f>N501*G501</f>
        <v>13160</v>
      </c>
    </row>
    <row r="502" spans="1:15" ht="27" customHeight="1" x14ac:dyDescent="0.25">
      <c r="A502" s="13" t="str">
        <f t="shared" si="341"/>
        <v>ЩУР.МОП2-12</v>
      </c>
      <c r="B502" s="10" t="s">
        <v>15</v>
      </c>
      <c r="C502" s="11" t="s">
        <v>299</v>
      </c>
      <c r="D502" s="10" t="s">
        <v>300</v>
      </c>
      <c r="E502" s="13">
        <v>1</v>
      </c>
      <c r="F502" s="14" t="s">
        <v>12</v>
      </c>
      <c r="G502" s="10">
        <v>32400</v>
      </c>
      <c r="H502" s="12">
        <f>G502</f>
        <v>32400</v>
      </c>
      <c r="I502" s="12">
        <f t="shared" si="342"/>
        <v>32400</v>
      </c>
      <c r="J502" s="10" t="s">
        <v>16</v>
      </c>
      <c r="K502" s="13" t="str">
        <f t="shared" si="343"/>
        <v>Блок12</v>
      </c>
      <c r="L502">
        <v>32400</v>
      </c>
      <c r="M502">
        <f t="shared" si="344"/>
        <v>1</v>
      </c>
      <c r="N502">
        <f t="shared" si="315"/>
        <v>1</v>
      </c>
      <c r="O502" s="23">
        <f t="shared" ref="O502:O508" si="346">N502*H502</f>
        <v>32400</v>
      </c>
    </row>
    <row r="503" spans="1:15" ht="27" customHeight="1" x14ac:dyDescent="0.25">
      <c r="A503" s="10" t="str">
        <f t="shared" si="341"/>
        <v>ЩУР.МОП2-12</v>
      </c>
      <c r="B503" s="10" t="s">
        <v>19</v>
      </c>
      <c r="C503" s="11" t="s">
        <v>19</v>
      </c>
      <c r="D503" s="10" t="s">
        <v>19</v>
      </c>
      <c r="E503" s="10">
        <v>1</v>
      </c>
      <c r="F503" s="10" t="s">
        <v>12</v>
      </c>
      <c r="G503" s="10">
        <f ca="1">OFFSET(G503,1,2)</f>
        <v>12000</v>
      </c>
      <c r="H503" s="12">
        <f ca="1">G503</f>
        <v>12000</v>
      </c>
      <c r="I503" s="12">
        <f t="shared" ca="1" si="342"/>
        <v>12000</v>
      </c>
      <c r="J503" s="10" t="s">
        <v>19</v>
      </c>
      <c r="K503" s="13" t="str">
        <f t="shared" si="343"/>
        <v>Блок12</v>
      </c>
      <c r="L503">
        <v>12000</v>
      </c>
      <c r="M503">
        <f t="shared" si="344"/>
        <v>1</v>
      </c>
      <c r="N503">
        <f t="shared" si="315"/>
        <v>1</v>
      </c>
      <c r="O503" s="23">
        <f t="shared" ca="1" si="346"/>
        <v>12000</v>
      </c>
    </row>
    <row r="504" spans="1:15" ht="27" customHeight="1" x14ac:dyDescent="0.25">
      <c r="A504" s="10" t="str">
        <f t="shared" si="341"/>
        <v>ЩУР.МОП2-12</v>
      </c>
      <c r="B504" s="10" t="s">
        <v>20</v>
      </c>
      <c r="C504" s="11" t="s">
        <v>20</v>
      </c>
      <c r="D504" s="10" t="s">
        <v>20</v>
      </c>
      <c r="E504" s="10">
        <f>60*G504</f>
        <v>120</v>
      </c>
      <c r="F504" s="10" t="s">
        <v>12</v>
      </c>
      <c r="G504" s="10">
        <v>2</v>
      </c>
      <c r="H504" s="12">
        <v>100</v>
      </c>
      <c r="I504" s="12">
        <f t="shared" si="342"/>
        <v>12000</v>
      </c>
      <c r="J504" s="10" t="s">
        <v>20</v>
      </c>
      <c r="K504" s="13" t="str">
        <f t="shared" si="343"/>
        <v>Блок12</v>
      </c>
      <c r="L504">
        <v>12000</v>
      </c>
      <c r="M504">
        <f t="shared" si="344"/>
        <v>1</v>
      </c>
      <c r="N504">
        <f t="shared" si="315"/>
        <v>120</v>
      </c>
      <c r="O504" s="23">
        <f t="shared" si="346"/>
        <v>12000</v>
      </c>
    </row>
    <row r="505" spans="1:15" ht="27" customHeight="1" x14ac:dyDescent="0.25">
      <c r="A505" s="15" t="str">
        <f t="shared" si="341"/>
        <v>ЩУР.МОП2-12</v>
      </c>
      <c r="B505" s="15"/>
      <c r="C505" s="15"/>
      <c r="D505" s="16"/>
      <c r="E505" s="15"/>
      <c r="F505" s="19"/>
      <c r="G505" s="17"/>
      <c r="H505" s="12">
        <f>G505*0.55</f>
        <v>0</v>
      </c>
      <c r="I505" s="18">
        <f ca="1">SUM(I498:I504)</f>
        <v>76455</v>
      </c>
      <c r="J505" s="15"/>
      <c r="K505" s="13" t="str">
        <f t="shared" si="343"/>
        <v>Блок12</v>
      </c>
      <c r="L505">
        <v>76455</v>
      </c>
      <c r="M505">
        <f t="shared" si="344"/>
        <v>1</v>
      </c>
      <c r="N505">
        <f t="shared" si="315"/>
        <v>0</v>
      </c>
      <c r="O505" s="23">
        <f t="shared" si="346"/>
        <v>0</v>
      </c>
    </row>
    <row r="506" spans="1:15" ht="27" customHeight="1" x14ac:dyDescent="0.25">
      <c r="A506" s="8" t="str">
        <f>D506</f>
        <v>РЩ1-12 (АВР-Б-40-2-1)</v>
      </c>
      <c r="B506" s="4"/>
      <c r="C506" s="5"/>
      <c r="D506" s="4" t="s">
        <v>144</v>
      </c>
      <c r="E506" s="8">
        <v>1</v>
      </c>
      <c r="F506" s="9" t="s">
        <v>9</v>
      </c>
      <c r="G506" s="6"/>
      <c r="H506" s="6"/>
      <c r="I506" s="7"/>
      <c r="J506" s="4" t="s">
        <v>10</v>
      </c>
      <c r="K506" s="8" t="s">
        <v>95</v>
      </c>
      <c r="M506">
        <f>E506</f>
        <v>1</v>
      </c>
      <c r="N506">
        <f t="shared" si="315"/>
        <v>1</v>
      </c>
      <c r="O506" s="23">
        <f t="shared" si="346"/>
        <v>0</v>
      </c>
    </row>
    <row r="507" spans="1:15" ht="27" customHeight="1" x14ac:dyDescent="0.25">
      <c r="A507" s="13" t="str">
        <f t="shared" ref="A507:A517" si="347">A506</f>
        <v>РЩ1-12 (АВР-Б-40-2-1)</v>
      </c>
      <c r="B507" s="10" t="s">
        <v>11</v>
      </c>
      <c r="C507" s="11" t="s">
        <v>168</v>
      </c>
      <c r="D507" s="10" t="s">
        <v>169</v>
      </c>
      <c r="E507" s="13">
        <v>1</v>
      </c>
      <c r="F507" s="14" t="s">
        <v>12</v>
      </c>
      <c r="G507" s="10">
        <v>130000</v>
      </c>
      <c r="H507" s="12">
        <f t="shared" ref="H507:H508" si="348">0.6*G507</f>
        <v>78000</v>
      </c>
      <c r="I507" s="12">
        <f t="shared" ref="I507:I516" si="349">H507*E507</f>
        <v>78000</v>
      </c>
      <c r="J507" s="10" t="s">
        <v>13</v>
      </c>
      <c r="K507" s="13" t="str">
        <f t="shared" ref="K507:K517" si="350">K506</f>
        <v>Блок12</v>
      </c>
      <c r="L507">
        <v>78000</v>
      </c>
      <c r="M507">
        <f t="shared" ref="M507:M517" si="351">M506</f>
        <v>1</v>
      </c>
      <c r="N507">
        <f t="shared" si="315"/>
        <v>1</v>
      </c>
      <c r="O507" s="23">
        <f t="shared" si="346"/>
        <v>78000</v>
      </c>
    </row>
    <row r="508" spans="1:15" ht="27" customHeight="1" x14ac:dyDescent="0.25">
      <c r="A508" s="13" t="str">
        <f t="shared" si="347"/>
        <v>РЩ1-12 (АВР-Б-40-2-1)</v>
      </c>
      <c r="B508" s="10" t="s">
        <v>44</v>
      </c>
      <c r="C508" s="11" t="s">
        <v>162</v>
      </c>
      <c r="D508" s="10" t="s">
        <v>163</v>
      </c>
      <c r="E508" s="13">
        <v>1</v>
      </c>
      <c r="F508" s="14" t="s">
        <v>12</v>
      </c>
      <c r="G508" s="10">
        <v>114758</v>
      </c>
      <c r="H508" s="12">
        <f t="shared" si="348"/>
        <v>68854.8</v>
      </c>
      <c r="I508" s="12">
        <f t="shared" si="349"/>
        <v>68854.8</v>
      </c>
      <c r="J508" s="10" t="s">
        <v>14</v>
      </c>
      <c r="K508" s="13" t="str">
        <f t="shared" si="350"/>
        <v>Блок12</v>
      </c>
      <c r="L508">
        <v>68854.8</v>
      </c>
      <c r="M508">
        <f t="shared" si="351"/>
        <v>1</v>
      </c>
      <c r="N508">
        <f t="shared" si="315"/>
        <v>1</v>
      </c>
      <c r="O508" s="23">
        <f t="shared" si="346"/>
        <v>68854.8</v>
      </c>
    </row>
    <row r="509" spans="1:15" ht="27" customHeight="1" x14ac:dyDescent="0.25">
      <c r="A509" s="13" t="str">
        <f t="shared" si="347"/>
        <v>РЩ1-12 (АВР-Б-40-2-1)</v>
      </c>
      <c r="B509" s="10" t="s">
        <v>293</v>
      </c>
      <c r="C509" s="11" t="s">
        <v>213</v>
      </c>
      <c r="D509" s="10" t="s">
        <v>214</v>
      </c>
      <c r="E509" s="13">
        <v>2</v>
      </c>
      <c r="F509" s="14" t="s">
        <v>12</v>
      </c>
      <c r="G509" s="10">
        <v>7690</v>
      </c>
      <c r="H509" s="12">
        <f t="shared" ref="H509:H512" si="352">0.3*G509</f>
        <v>2307</v>
      </c>
      <c r="I509" s="12">
        <f t="shared" si="349"/>
        <v>4614</v>
      </c>
      <c r="J509" s="10" t="s">
        <v>207</v>
      </c>
      <c r="K509" s="13" t="str">
        <f t="shared" si="350"/>
        <v>Блок12</v>
      </c>
      <c r="L509">
        <v>4614</v>
      </c>
      <c r="M509">
        <f t="shared" si="351"/>
        <v>1</v>
      </c>
      <c r="N509">
        <f t="shared" si="315"/>
        <v>2</v>
      </c>
      <c r="O509" s="23">
        <f>N509*G509</f>
        <v>15380</v>
      </c>
    </row>
    <row r="510" spans="1:15" ht="27" customHeight="1" x14ac:dyDescent="0.25">
      <c r="A510" s="13" t="str">
        <f t="shared" si="347"/>
        <v>РЩ1-12 (АВР-Б-40-2-1)</v>
      </c>
      <c r="B510" s="10" t="s">
        <v>293</v>
      </c>
      <c r="C510" s="11" t="s">
        <v>231</v>
      </c>
      <c r="D510" s="10" t="s">
        <v>232</v>
      </c>
      <c r="E510" s="13">
        <v>2</v>
      </c>
      <c r="F510" s="14" t="s">
        <v>12</v>
      </c>
      <c r="G510" s="10">
        <v>7690</v>
      </c>
      <c r="H510" s="12">
        <f t="shared" si="352"/>
        <v>2307</v>
      </c>
      <c r="I510" s="12">
        <f t="shared" si="349"/>
        <v>4614</v>
      </c>
      <c r="J510" s="10" t="s">
        <v>207</v>
      </c>
      <c r="K510" s="13" t="str">
        <f t="shared" si="350"/>
        <v>Блок12</v>
      </c>
      <c r="L510">
        <v>4614</v>
      </c>
      <c r="M510">
        <f t="shared" si="351"/>
        <v>1</v>
      </c>
      <c r="N510">
        <f t="shared" si="315"/>
        <v>2</v>
      </c>
      <c r="O510" s="23">
        <f>N510*G510</f>
        <v>15380</v>
      </c>
    </row>
    <row r="511" spans="1:15" ht="27" customHeight="1" x14ac:dyDescent="0.25">
      <c r="A511" s="13" t="str">
        <f t="shared" si="347"/>
        <v>РЩ1-12 (АВР-Б-40-2-1)</v>
      </c>
      <c r="B511" s="10" t="s">
        <v>294</v>
      </c>
      <c r="C511" s="11" t="s">
        <v>203</v>
      </c>
      <c r="D511" s="10" t="s">
        <v>204</v>
      </c>
      <c r="E511" s="13">
        <v>2</v>
      </c>
      <c r="F511" s="14" t="s">
        <v>12</v>
      </c>
      <c r="G511" s="10">
        <v>13450</v>
      </c>
      <c r="H511" s="12">
        <f t="shared" si="352"/>
        <v>4035</v>
      </c>
      <c r="I511" s="12">
        <f t="shared" si="349"/>
        <v>8070</v>
      </c>
      <c r="J511" s="10" t="s">
        <v>207</v>
      </c>
      <c r="K511" s="13" t="str">
        <f t="shared" si="350"/>
        <v>Блок12</v>
      </c>
      <c r="L511">
        <v>8070</v>
      </c>
      <c r="M511">
        <f t="shared" si="351"/>
        <v>1</v>
      </c>
      <c r="N511">
        <f t="shared" si="315"/>
        <v>2</v>
      </c>
      <c r="O511" s="23">
        <f>N511*G511</f>
        <v>26900</v>
      </c>
    </row>
    <row r="512" spans="1:15" ht="27" customHeight="1" x14ac:dyDescent="0.25">
      <c r="A512" s="13" t="str">
        <f t="shared" si="347"/>
        <v>РЩ1-12 (АВР-Б-40-2-1)</v>
      </c>
      <c r="B512" s="10" t="s">
        <v>293</v>
      </c>
      <c r="C512" s="11" t="s">
        <v>205</v>
      </c>
      <c r="D512" s="10" t="s">
        <v>206</v>
      </c>
      <c r="E512" s="13">
        <v>1</v>
      </c>
      <c r="F512" s="14" t="s">
        <v>12</v>
      </c>
      <c r="G512" s="10">
        <v>7090</v>
      </c>
      <c r="H512" s="12">
        <f t="shared" si="352"/>
        <v>2127</v>
      </c>
      <c r="I512" s="12">
        <f t="shared" si="349"/>
        <v>2127</v>
      </c>
      <c r="J512" s="10" t="s">
        <v>207</v>
      </c>
      <c r="K512" s="13" t="str">
        <f t="shared" si="350"/>
        <v>Блок12</v>
      </c>
      <c r="L512">
        <v>2127</v>
      </c>
      <c r="M512">
        <f t="shared" si="351"/>
        <v>1</v>
      </c>
      <c r="N512">
        <f t="shared" si="315"/>
        <v>1</v>
      </c>
      <c r="O512" s="23">
        <f>N512*G512</f>
        <v>7090</v>
      </c>
    </row>
    <row r="513" spans="1:15" ht="27" customHeight="1" x14ac:dyDescent="0.25">
      <c r="A513" s="13" t="str">
        <f t="shared" si="347"/>
        <v>РЩ1-12 (АВР-Б-40-2-1)</v>
      </c>
      <c r="B513" s="10" t="s">
        <v>15</v>
      </c>
      <c r="C513" s="11" t="s">
        <v>299</v>
      </c>
      <c r="D513" s="10" t="s">
        <v>300</v>
      </c>
      <c r="E513" s="13">
        <v>1</v>
      </c>
      <c r="F513" s="14" t="s">
        <v>12</v>
      </c>
      <c r="G513" s="10">
        <v>32400</v>
      </c>
      <c r="H513" s="12">
        <f>G513</f>
        <v>32400</v>
      </c>
      <c r="I513" s="12">
        <f t="shared" si="349"/>
        <v>32400</v>
      </c>
      <c r="J513" s="10" t="s">
        <v>16</v>
      </c>
      <c r="K513" s="13" t="str">
        <f t="shared" si="350"/>
        <v>Блок12</v>
      </c>
      <c r="L513">
        <v>32400</v>
      </c>
      <c r="M513">
        <f t="shared" si="351"/>
        <v>1</v>
      </c>
      <c r="N513">
        <f t="shared" si="315"/>
        <v>1</v>
      </c>
      <c r="O513" s="23">
        <f t="shared" ref="O513:O520" si="353">N513*H513</f>
        <v>32400</v>
      </c>
    </row>
    <row r="514" spans="1:15" ht="27" customHeight="1" x14ac:dyDescent="0.25">
      <c r="A514" s="13" t="str">
        <f t="shared" si="347"/>
        <v>РЩ1-12 (АВР-Б-40-2-1)</v>
      </c>
      <c r="B514" s="10" t="s">
        <v>30</v>
      </c>
      <c r="C514" s="11"/>
      <c r="D514" s="10" t="s">
        <v>31</v>
      </c>
      <c r="E514" s="13">
        <v>6</v>
      </c>
      <c r="F514" s="14" t="s">
        <v>12</v>
      </c>
      <c r="G514" s="10">
        <v>3850</v>
      </c>
      <c r="H514" s="12">
        <f>G514</f>
        <v>3850</v>
      </c>
      <c r="I514" s="12">
        <f t="shared" si="349"/>
        <v>23100</v>
      </c>
      <c r="J514" s="10" t="s">
        <v>25</v>
      </c>
      <c r="K514" s="13" t="str">
        <f t="shared" si="350"/>
        <v>Блок12</v>
      </c>
      <c r="L514">
        <v>23100</v>
      </c>
      <c r="M514">
        <f t="shared" si="351"/>
        <v>1</v>
      </c>
      <c r="N514">
        <f t="shared" si="315"/>
        <v>6</v>
      </c>
      <c r="O514" s="23">
        <f t="shared" si="353"/>
        <v>23100</v>
      </c>
    </row>
    <row r="515" spans="1:15" ht="27" customHeight="1" x14ac:dyDescent="0.25">
      <c r="A515" s="10" t="str">
        <f t="shared" si="347"/>
        <v>РЩ1-12 (АВР-Б-40-2-1)</v>
      </c>
      <c r="B515" s="10" t="s">
        <v>19</v>
      </c>
      <c r="C515" s="11" t="s">
        <v>19</v>
      </c>
      <c r="D515" s="10" t="s">
        <v>19</v>
      </c>
      <c r="E515" s="10">
        <v>1</v>
      </c>
      <c r="F515" s="10" t="s">
        <v>12</v>
      </c>
      <c r="G515" s="10">
        <f ca="1">OFFSET(G515,1,2)</f>
        <v>39000</v>
      </c>
      <c r="H515" s="12">
        <f ca="1">G515</f>
        <v>39000</v>
      </c>
      <c r="I515" s="12">
        <f t="shared" ca="1" si="349"/>
        <v>39000</v>
      </c>
      <c r="J515" s="10" t="s">
        <v>19</v>
      </c>
      <c r="K515" s="13" t="str">
        <f t="shared" si="350"/>
        <v>Блок12</v>
      </c>
      <c r="L515">
        <v>39000</v>
      </c>
      <c r="M515">
        <f t="shared" si="351"/>
        <v>1</v>
      </c>
      <c r="N515">
        <f t="shared" si="315"/>
        <v>1</v>
      </c>
      <c r="O515" s="23">
        <f t="shared" ca="1" si="353"/>
        <v>39000</v>
      </c>
    </row>
    <row r="516" spans="1:15" ht="27" customHeight="1" x14ac:dyDescent="0.25">
      <c r="A516" s="10" t="str">
        <f t="shared" si="347"/>
        <v>РЩ1-12 (АВР-Б-40-2-1)</v>
      </c>
      <c r="B516" s="10" t="s">
        <v>20</v>
      </c>
      <c r="C516" s="11" t="s">
        <v>20</v>
      </c>
      <c r="D516" s="10" t="s">
        <v>20</v>
      </c>
      <c r="E516" s="10">
        <f>60*G516</f>
        <v>390</v>
      </c>
      <c r="F516" s="10" t="s">
        <v>12</v>
      </c>
      <c r="G516" s="10">
        <v>6.5</v>
      </c>
      <c r="H516" s="12">
        <v>100</v>
      </c>
      <c r="I516" s="12">
        <f t="shared" si="349"/>
        <v>39000</v>
      </c>
      <c r="J516" s="10" t="s">
        <v>20</v>
      </c>
      <c r="K516" s="13" t="str">
        <f t="shared" si="350"/>
        <v>Блок12</v>
      </c>
      <c r="L516">
        <v>39000</v>
      </c>
      <c r="M516">
        <f t="shared" si="351"/>
        <v>1</v>
      </c>
      <c r="N516">
        <f t="shared" si="315"/>
        <v>390</v>
      </c>
      <c r="O516" s="23">
        <f t="shared" si="353"/>
        <v>39000</v>
      </c>
    </row>
    <row r="517" spans="1:15" ht="27" customHeight="1" x14ac:dyDescent="0.25">
      <c r="A517" s="15" t="str">
        <f t="shared" si="347"/>
        <v>РЩ1-12 (АВР-Б-40-2-1)</v>
      </c>
      <c r="B517" s="15"/>
      <c r="C517" s="15"/>
      <c r="D517" s="16"/>
      <c r="E517" s="15"/>
      <c r="F517" s="19"/>
      <c r="G517" s="17"/>
      <c r="H517" s="12">
        <f>G517*0.55</f>
        <v>0</v>
      </c>
      <c r="I517" s="18">
        <f ca="1">SUM(I507:I516)</f>
        <v>299779.8</v>
      </c>
      <c r="J517" s="15"/>
      <c r="K517" s="13" t="str">
        <f t="shared" si="350"/>
        <v>Блок12</v>
      </c>
      <c r="L517">
        <v>299779.8</v>
      </c>
      <c r="M517">
        <f t="shared" si="351"/>
        <v>1</v>
      </c>
      <c r="N517">
        <f t="shared" si="315"/>
        <v>0</v>
      </c>
      <c r="O517" s="23">
        <f t="shared" si="353"/>
        <v>0</v>
      </c>
    </row>
    <row r="518" spans="1:15" ht="27" customHeight="1" x14ac:dyDescent="0.25">
      <c r="A518" s="8" t="str">
        <f>D518</f>
        <v>РЩ2-12 (АВР-Б-40-2-1)</v>
      </c>
      <c r="B518" s="4"/>
      <c r="C518" s="5"/>
      <c r="D518" s="4" t="s">
        <v>145</v>
      </c>
      <c r="E518" s="8">
        <v>1</v>
      </c>
      <c r="F518" s="9" t="s">
        <v>9</v>
      </c>
      <c r="G518" s="6"/>
      <c r="H518" s="6"/>
      <c r="I518" s="7"/>
      <c r="J518" s="4" t="s">
        <v>10</v>
      </c>
      <c r="K518" s="8" t="s">
        <v>95</v>
      </c>
      <c r="M518">
        <f>E518</f>
        <v>1</v>
      </c>
      <c r="N518">
        <f t="shared" ref="N518:N581" si="354">M518*E518</f>
        <v>1</v>
      </c>
      <c r="O518" s="23">
        <f t="shared" si="353"/>
        <v>0</v>
      </c>
    </row>
    <row r="519" spans="1:15" ht="27" customHeight="1" x14ac:dyDescent="0.25">
      <c r="A519" s="13" t="str">
        <f t="shared" ref="A519:A530" si="355">A518</f>
        <v>РЩ2-12 (АВР-Б-40-2-1)</v>
      </c>
      <c r="B519" s="10" t="s">
        <v>11</v>
      </c>
      <c r="C519" s="11" t="s">
        <v>168</v>
      </c>
      <c r="D519" s="10" t="s">
        <v>169</v>
      </c>
      <c r="E519" s="13">
        <v>1</v>
      </c>
      <c r="F519" s="14" t="s">
        <v>12</v>
      </c>
      <c r="G519" s="10">
        <v>130000</v>
      </c>
      <c r="H519" s="12">
        <f t="shared" ref="H519:H520" si="356">0.6*G519</f>
        <v>78000</v>
      </c>
      <c r="I519" s="12">
        <f t="shared" ref="I519:I529" si="357">H519*E519</f>
        <v>78000</v>
      </c>
      <c r="J519" s="10" t="s">
        <v>13</v>
      </c>
      <c r="K519" s="13" t="str">
        <f t="shared" ref="K519:K530" si="358">K518</f>
        <v>Блок12</v>
      </c>
      <c r="L519">
        <v>78000</v>
      </c>
      <c r="M519">
        <f t="shared" ref="M519:M530" si="359">M518</f>
        <v>1</v>
      </c>
      <c r="N519">
        <f t="shared" si="354"/>
        <v>1</v>
      </c>
      <c r="O519" s="23">
        <f t="shared" si="353"/>
        <v>78000</v>
      </c>
    </row>
    <row r="520" spans="1:15" ht="27" customHeight="1" x14ac:dyDescent="0.25">
      <c r="A520" s="13" t="str">
        <f t="shared" si="355"/>
        <v>РЩ2-12 (АВР-Б-40-2-1)</v>
      </c>
      <c r="B520" s="10" t="s">
        <v>44</v>
      </c>
      <c r="C520" s="11" t="s">
        <v>162</v>
      </c>
      <c r="D520" s="10" t="s">
        <v>163</v>
      </c>
      <c r="E520" s="13">
        <v>1</v>
      </c>
      <c r="F520" s="14" t="s">
        <v>12</v>
      </c>
      <c r="G520" s="10">
        <v>114758</v>
      </c>
      <c r="H520" s="12">
        <f t="shared" si="356"/>
        <v>68854.8</v>
      </c>
      <c r="I520" s="12">
        <f t="shared" si="357"/>
        <v>68854.8</v>
      </c>
      <c r="J520" s="10" t="s">
        <v>14</v>
      </c>
      <c r="K520" s="13" t="str">
        <f t="shared" si="358"/>
        <v>Блок12</v>
      </c>
      <c r="L520">
        <v>68854.8</v>
      </c>
      <c r="M520">
        <f t="shared" si="359"/>
        <v>1</v>
      </c>
      <c r="N520">
        <f t="shared" si="354"/>
        <v>1</v>
      </c>
      <c r="O520" s="23">
        <f t="shared" si="353"/>
        <v>68854.8</v>
      </c>
    </row>
    <row r="521" spans="1:15" ht="27" customHeight="1" x14ac:dyDescent="0.25">
      <c r="A521" s="13" t="str">
        <f t="shared" si="355"/>
        <v>РЩ2-12 (АВР-Б-40-2-1)</v>
      </c>
      <c r="B521" s="10" t="s">
        <v>293</v>
      </c>
      <c r="C521" s="11" t="s">
        <v>213</v>
      </c>
      <c r="D521" s="10" t="s">
        <v>214</v>
      </c>
      <c r="E521" s="13">
        <v>2</v>
      </c>
      <c r="F521" s="14" t="s">
        <v>12</v>
      </c>
      <c r="G521" s="10">
        <v>7690</v>
      </c>
      <c r="H521" s="12">
        <f t="shared" ref="H521:H523" si="360">0.3*G521</f>
        <v>2307</v>
      </c>
      <c r="I521" s="12">
        <f t="shared" si="357"/>
        <v>4614</v>
      </c>
      <c r="J521" s="10" t="s">
        <v>207</v>
      </c>
      <c r="K521" s="13" t="str">
        <f t="shared" si="358"/>
        <v>Блок12</v>
      </c>
      <c r="L521">
        <v>4614</v>
      </c>
      <c r="M521">
        <f t="shared" si="359"/>
        <v>1</v>
      </c>
      <c r="N521">
        <f t="shared" si="354"/>
        <v>2</v>
      </c>
      <c r="O521" s="23">
        <f>N521*G521</f>
        <v>15380</v>
      </c>
    </row>
    <row r="522" spans="1:15" ht="27" customHeight="1" x14ac:dyDescent="0.25">
      <c r="A522" s="13" t="str">
        <f t="shared" si="355"/>
        <v>РЩ2-12 (АВР-Б-40-2-1)</v>
      </c>
      <c r="B522" s="10" t="s">
        <v>293</v>
      </c>
      <c r="C522" s="11" t="s">
        <v>231</v>
      </c>
      <c r="D522" s="10" t="s">
        <v>232</v>
      </c>
      <c r="E522" s="13">
        <v>2</v>
      </c>
      <c r="F522" s="14" t="s">
        <v>12</v>
      </c>
      <c r="G522" s="10">
        <v>7690</v>
      </c>
      <c r="H522" s="12">
        <f t="shared" si="360"/>
        <v>2307</v>
      </c>
      <c r="I522" s="12">
        <f t="shared" si="357"/>
        <v>4614</v>
      </c>
      <c r="J522" s="10" t="s">
        <v>207</v>
      </c>
      <c r="K522" s="13" t="str">
        <f t="shared" si="358"/>
        <v>Блок12</v>
      </c>
      <c r="L522">
        <v>4614</v>
      </c>
      <c r="M522">
        <f t="shared" si="359"/>
        <v>1</v>
      </c>
      <c r="N522">
        <f t="shared" si="354"/>
        <v>2</v>
      </c>
      <c r="O522" s="23">
        <f>N522*G522</f>
        <v>15380</v>
      </c>
    </row>
    <row r="523" spans="1:15" ht="27" customHeight="1" x14ac:dyDescent="0.25">
      <c r="A523" s="13" t="str">
        <f t="shared" si="355"/>
        <v>РЩ2-12 (АВР-Б-40-2-1)</v>
      </c>
      <c r="B523" s="10" t="s">
        <v>294</v>
      </c>
      <c r="C523" s="11" t="s">
        <v>203</v>
      </c>
      <c r="D523" s="10" t="s">
        <v>204</v>
      </c>
      <c r="E523" s="13">
        <v>2</v>
      </c>
      <c r="F523" s="14" t="s">
        <v>12</v>
      </c>
      <c r="G523" s="10">
        <v>13450</v>
      </c>
      <c r="H523" s="12">
        <f t="shared" si="360"/>
        <v>4035</v>
      </c>
      <c r="I523" s="12">
        <f t="shared" si="357"/>
        <v>8070</v>
      </c>
      <c r="J523" s="10" t="s">
        <v>207</v>
      </c>
      <c r="K523" s="13" t="str">
        <f t="shared" si="358"/>
        <v>Блок12</v>
      </c>
      <c r="L523">
        <v>8070</v>
      </c>
      <c r="M523">
        <f t="shared" si="359"/>
        <v>1</v>
      </c>
      <c r="N523">
        <f t="shared" si="354"/>
        <v>2</v>
      </c>
      <c r="O523" s="23">
        <f>N523*G523</f>
        <v>26900</v>
      </c>
    </row>
    <row r="524" spans="1:15" ht="27" customHeight="1" x14ac:dyDescent="0.25">
      <c r="A524" s="13" t="str">
        <f t="shared" si="355"/>
        <v>РЩ2-12 (АВР-Б-40-2-1)</v>
      </c>
      <c r="B524" s="10" t="s">
        <v>18</v>
      </c>
      <c r="C524" s="11" t="s">
        <v>233</v>
      </c>
      <c r="D524" s="10" t="s">
        <v>234</v>
      </c>
      <c r="E524" s="13">
        <v>1</v>
      </c>
      <c r="F524" s="14" t="s">
        <v>12</v>
      </c>
      <c r="G524" s="10">
        <v>5884</v>
      </c>
      <c r="H524" s="12">
        <f>0.6*G524</f>
        <v>3530.4</v>
      </c>
      <c r="I524" s="12">
        <f t="shared" si="357"/>
        <v>3530.4</v>
      </c>
      <c r="J524" s="10" t="s">
        <v>14</v>
      </c>
      <c r="K524" s="13" t="str">
        <f t="shared" si="358"/>
        <v>Блок12</v>
      </c>
      <c r="L524">
        <v>3530.4</v>
      </c>
      <c r="M524">
        <f t="shared" si="359"/>
        <v>1</v>
      </c>
      <c r="N524">
        <f t="shared" si="354"/>
        <v>1</v>
      </c>
      <c r="O524" s="23">
        <f>N524*H524</f>
        <v>3530.4</v>
      </c>
    </row>
    <row r="525" spans="1:15" ht="27" customHeight="1" x14ac:dyDescent="0.25">
      <c r="A525" s="13" t="str">
        <f t="shared" si="355"/>
        <v>РЩ2-12 (АВР-Б-40-2-1)</v>
      </c>
      <c r="B525" s="10" t="s">
        <v>293</v>
      </c>
      <c r="C525" s="11" t="s">
        <v>205</v>
      </c>
      <c r="D525" s="10" t="s">
        <v>206</v>
      </c>
      <c r="E525" s="13">
        <v>1</v>
      </c>
      <c r="F525" s="14" t="s">
        <v>12</v>
      </c>
      <c r="G525" s="10">
        <v>7090</v>
      </c>
      <c r="H525" s="12">
        <f>0.3*G525</f>
        <v>2127</v>
      </c>
      <c r="I525" s="12">
        <f t="shared" si="357"/>
        <v>2127</v>
      </c>
      <c r="J525" s="10" t="s">
        <v>207</v>
      </c>
      <c r="K525" s="13" t="str">
        <f t="shared" si="358"/>
        <v>Блок12</v>
      </c>
      <c r="L525">
        <v>2127</v>
      </c>
      <c r="M525">
        <f t="shared" si="359"/>
        <v>1</v>
      </c>
      <c r="N525">
        <f t="shared" si="354"/>
        <v>1</v>
      </c>
      <c r="O525" s="23">
        <f>N525*G525</f>
        <v>7090</v>
      </c>
    </row>
    <row r="526" spans="1:15" ht="27" customHeight="1" x14ac:dyDescent="0.25">
      <c r="A526" s="13" t="str">
        <f t="shared" si="355"/>
        <v>РЩ2-12 (АВР-Б-40-2-1)</v>
      </c>
      <c r="B526" s="10" t="s">
        <v>15</v>
      </c>
      <c r="C526" s="11" t="s">
        <v>299</v>
      </c>
      <c r="D526" s="10" t="s">
        <v>300</v>
      </c>
      <c r="E526" s="13">
        <v>1</v>
      </c>
      <c r="F526" s="14" t="s">
        <v>12</v>
      </c>
      <c r="G526" s="10">
        <v>32400</v>
      </c>
      <c r="H526" s="12">
        <f>G526</f>
        <v>32400</v>
      </c>
      <c r="I526" s="12">
        <f t="shared" si="357"/>
        <v>32400</v>
      </c>
      <c r="J526" s="10" t="s">
        <v>16</v>
      </c>
      <c r="K526" s="13" t="str">
        <f t="shared" si="358"/>
        <v>Блок12</v>
      </c>
      <c r="L526">
        <v>32400</v>
      </c>
      <c r="M526">
        <f t="shared" si="359"/>
        <v>1</v>
      </c>
      <c r="N526">
        <f t="shared" si="354"/>
        <v>1</v>
      </c>
      <c r="O526" s="23">
        <f t="shared" ref="O526:O536" si="361">N526*H526</f>
        <v>32400</v>
      </c>
    </row>
    <row r="527" spans="1:15" ht="27" customHeight="1" x14ac:dyDescent="0.25">
      <c r="A527" s="13" t="str">
        <f t="shared" si="355"/>
        <v>РЩ2-12 (АВР-Б-40-2-1)</v>
      </c>
      <c r="B527" s="10" t="s">
        <v>30</v>
      </c>
      <c r="C527" s="11"/>
      <c r="D527" s="10" t="s">
        <v>31</v>
      </c>
      <c r="E527" s="13">
        <v>6</v>
      </c>
      <c r="F527" s="14" t="s">
        <v>12</v>
      </c>
      <c r="G527" s="10">
        <v>3850</v>
      </c>
      <c r="H527" s="12">
        <f>G527</f>
        <v>3850</v>
      </c>
      <c r="I527" s="12">
        <f t="shared" si="357"/>
        <v>23100</v>
      </c>
      <c r="J527" s="10" t="s">
        <v>25</v>
      </c>
      <c r="K527" s="13" t="str">
        <f t="shared" si="358"/>
        <v>Блок12</v>
      </c>
      <c r="L527">
        <v>23100</v>
      </c>
      <c r="M527">
        <f t="shared" si="359"/>
        <v>1</v>
      </c>
      <c r="N527">
        <f t="shared" si="354"/>
        <v>6</v>
      </c>
      <c r="O527" s="23">
        <f t="shared" si="361"/>
        <v>23100</v>
      </c>
    </row>
    <row r="528" spans="1:15" ht="27" customHeight="1" x14ac:dyDescent="0.25">
      <c r="A528" s="10" t="str">
        <f t="shared" si="355"/>
        <v>РЩ2-12 (АВР-Б-40-2-1)</v>
      </c>
      <c r="B528" s="10" t="s">
        <v>19</v>
      </c>
      <c r="C528" s="11" t="s">
        <v>19</v>
      </c>
      <c r="D528" s="10" t="s">
        <v>19</v>
      </c>
      <c r="E528" s="10">
        <v>1</v>
      </c>
      <c r="F528" s="10" t="s">
        <v>12</v>
      </c>
      <c r="G528" s="10">
        <f ca="1">OFFSET(G528,1,2)</f>
        <v>39000</v>
      </c>
      <c r="H528" s="12">
        <f ca="1">G528</f>
        <v>39000</v>
      </c>
      <c r="I528" s="12">
        <f t="shared" ca="1" si="357"/>
        <v>39000</v>
      </c>
      <c r="J528" s="10" t="s">
        <v>19</v>
      </c>
      <c r="K528" s="13" t="str">
        <f t="shared" si="358"/>
        <v>Блок12</v>
      </c>
      <c r="L528">
        <v>39000</v>
      </c>
      <c r="M528">
        <f t="shared" si="359"/>
        <v>1</v>
      </c>
      <c r="N528">
        <f t="shared" si="354"/>
        <v>1</v>
      </c>
      <c r="O528" s="23">
        <f t="shared" ca="1" si="361"/>
        <v>39000</v>
      </c>
    </row>
    <row r="529" spans="1:15" ht="27" customHeight="1" x14ac:dyDescent="0.25">
      <c r="A529" s="10" t="str">
        <f t="shared" si="355"/>
        <v>РЩ2-12 (АВР-Б-40-2-1)</v>
      </c>
      <c r="B529" s="10" t="s">
        <v>20</v>
      </c>
      <c r="C529" s="11" t="s">
        <v>20</v>
      </c>
      <c r="D529" s="10" t="s">
        <v>20</v>
      </c>
      <c r="E529" s="10">
        <f>60*G529</f>
        <v>390</v>
      </c>
      <c r="F529" s="10" t="s">
        <v>12</v>
      </c>
      <c r="G529" s="10">
        <v>6.5</v>
      </c>
      <c r="H529" s="12">
        <v>100</v>
      </c>
      <c r="I529" s="12">
        <f t="shared" si="357"/>
        <v>39000</v>
      </c>
      <c r="J529" s="10" t="s">
        <v>20</v>
      </c>
      <c r="K529" s="13" t="str">
        <f t="shared" si="358"/>
        <v>Блок12</v>
      </c>
      <c r="L529">
        <v>39000</v>
      </c>
      <c r="M529">
        <f t="shared" si="359"/>
        <v>1</v>
      </c>
      <c r="N529">
        <f t="shared" si="354"/>
        <v>390</v>
      </c>
      <c r="O529" s="23">
        <f t="shared" si="361"/>
        <v>39000</v>
      </c>
    </row>
    <row r="530" spans="1:15" ht="27" customHeight="1" x14ac:dyDescent="0.25">
      <c r="A530" s="15" t="str">
        <f t="shared" si="355"/>
        <v>РЩ2-12 (АВР-Б-40-2-1)</v>
      </c>
      <c r="B530" s="15"/>
      <c r="C530" s="15"/>
      <c r="D530" s="16"/>
      <c r="E530" s="15"/>
      <c r="F530" s="19"/>
      <c r="G530" s="17"/>
      <c r="H530" s="12">
        <f>G530*0.55</f>
        <v>0</v>
      </c>
      <c r="I530" s="18">
        <f ca="1">SUM(I519:I529)</f>
        <v>303310.19999999995</v>
      </c>
      <c r="J530" s="15"/>
      <c r="K530" s="13" t="str">
        <f t="shared" si="358"/>
        <v>Блок12</v>
      </c>
      <c r="L530">
        <v>303310.19999999995</v>
      </c>
      <c r="M530">
        <f t="shared" si="359"/>
        <v>1</v>
      </c>
      <c r="N530">
        <f t="shared" si="354"/>
        <v>0</v>
      </c>
      <c r="O530" s="23">
        <f t="shared" si="361"/>
        <v>0</v>
      </c>
    </row>
    <row r="531" spans="1:15" ht="27" customHeight="1" x14ac:dyDescent="0.25">
      <c r="A531" s="8" t="str">
        <f>D531</f>
        <v>ВРУ1-13</v>
      </c>
      <c r="B531" s="4"/>
      <c r="C531" s="5"/>
      <c r="D531" s="4" t="s">
        <v>101</v>
      </c>
      <c r="E531" s="8">
        <v>1</v>
      </c>
      <c r="F531" s="9" t="s">
        <v>9</v>
      </c>
      <c r="G531" s="6"/>
      <c r="H531" s="6"/>
      <c r="I531" s="7"/>
      <c r="J531" s="4" t="s">
        <v>10</v>
      </c>
      <c r="K531" s="8" t="s">
        <v>102</v>
      </c>
      <c r="M531">
        <f>E531</f>
        <v>1</v>
      </c>
      <c r="N531">
        <f t="shared" si="354"/>
        <v>1</v>
      </c>
      <c r="O531" s="23">
        <f t="shared" si="361"/>
        <v>0</v>
      </c>
    </row>
    <row r="532" spans="1:15" ht="27" customHeight="1" x14ac:dyDescent="0.25">
      <c r="A532" s="13" t="str">
        <f t="shared" ref="A532:A542" si="362">A531</f>
        <v>ВРУ1-13</v>
      </c>
      <c r="B532" s="10" t="s">
        <v>11</v>
      </c>
      <c r="C532" s="11" t="s">
        <v>172</v>
      </c>
      <c r="D532" s="10" t="s">
        <v>173</v>
      </c>
      <c r="E532" s="13">
        <v>1</v>
      </c>
      <c r="F532" s="14" t="s">
        <v>12</v>
      </c>
      <c r="G532" s="10">
        <v>156500</v>
      </c>
      <c r="H532" s="12">
        <f>0.6*G532</f>
        <v>93900</v>
      </c>
      <c r="I532" s="12">
        <f t="shared" ref="I532:I541" si="363">H532*E532</f>
        <v>93900</v>
      </c>
      <c r="J532" s="10" t="s">
        <v>13</v>
      </c>
      <c r="K532" s="13" t="str">
        <f t="shared" ref="K532:K542" si="364">K531</f>
        <v>Блок13</v>
      </c>
      <c r="L532">
        <v>93900</v>
      </c>
      <c r="M532">
        <f t="shared" ref="M532:M542" si="365">M531</f>
        <v>1</v>
      </c>
      <c r="N532">
        <f t="shared" si="354"/>
        <v>1</v>
      </c>
      <c r="O532" s="23">
        <f t="shared" si="361"/>
        <v>93900</v>
      </c>
    </row>
    <row r="533" spans="1:15" ht="27" customHeight="1" x14ac:dyDescent="0.25">
      <c r="A533" s="13" t="str">
        <f t="shared" si="362"/>
        <v>ВРУ1-13</v>
      </c>
      <c r="B533" s="10" t="s">
        <v>23</v>
      </c>
      <c r="C533" s="11" t="s">
        <v>307</v>
      </c>
      <c r="D533" s="10" t="s">
        <v>308</v>
      </c>
      <c r="E533" s="13">
        <v>6</v>
      </c>
      <c r="F533" s="14" t="s">
        <v>12</v>
      </c>
      <c r="G533" s="10">
        <v>5523</v>
      </c>
      <c r="H533" s="12">
        <f t="shared" ref="H533:H534" si="366">G533</f>
        <v>5523</v>
      </c>
      <c r="I533" s="12">
        <f t="shared" si="363"/>
        <v>33138</v>
      </c>
      <c r="J533" s="10" t="s">
        <v>25</v>
      </c>
      <c r="K533" s="13" t="str">
        <f t="shared" si="364"/>
        <v>Блок13</v>
      </c>
      <c r="L533">
        <v>33138</v>
      </c>
      <c r="M533">
        <f t="shared" si="365"/>
        <v>1</v>
      </c>
      <c r="N533">
        <f t="shared" si="354"/>
        <v>6</v>
      </c>
      <c r="O533" s="23">
        <f t="shared" si="361"/>
        <v>33138</v>
      </c>
    </row>
    <row r="534" spans="1:15" ht="27" customHeight="1" x14ac:dyDescent="0.25">
      <c r="A534" s="13" t="str">
        <f t="shared" si="362"/>
        <v>ВРУ1-13</v>
      </c>
      <c r="B534" s="10" t="s">
        <v>26</v>
      </c>
      <c r="C534" s="11" t="s">
        <v>177</v>
      </c>
      <c r="D534" s="10" t="s">
        <v>178</v>
      </c>
      <c r="E534" s="13">
        <v>2</v>
      </c>
      <c r="F534" s="14" t="s">
        <v>12</v>
      </c>
      <c r="G534" s="10">
        <v>25500</v>
      </c>
      <c r="H534" s="12">
        <f t="shared" si="366"/>
        <v>25500</v>
      </c>
      <c r="I534" s="12">
        <f t="shared" si="363"/>
        <v>51000</v>
      </c>
      <c r="J534" s="10" t="s">
        <v>25</v>
      </c>
      <c r="K534" s="13" t="str">
        <f t="shared" si="364"/>
        <v>Блок13</v>
      </c>
      <c r="L534">
        <v>51000</v>
      </c>
      <c r="M534">
        <f t="shared" si="365"/>
        <v>1</v>
      </c>
      <c r="N534">
        <f t="shared" si="354"/>
        <v>2</v>
      </c>
      <c r="O534" s="23">
        <f t="shared" si="361"/>
        <v>51000</v>
      </c>
    </row>
    <row r="535" spans="1:15" ht="27" customHeight="1" x14ac:dyDescent="0.25">
      <c r="A535" s="13" t="str">
        <f t="shared" si="362"/>
        <v>ВРУ1-13</v>
      </c>
      <c r="B535" s="10" t="s">
        <v>127</v>
      </c>
      <c r="C535" s="11" t="s">
        <v>130</v>
      </c>
      <c r="D535" s="10" t="s">
        <v>131</v>
      </c>
      <c r="E535" s="13">
        <v>6</v>
      </c>
      <c r="F535" s="14" t="s">
        <v>12</v>
      </c>
      <c r="G535" s="10">
        <v>4750</v>
      </c>
      <c r="H535" s="12">
        <f t="shared" ref="H535:H536" si="367">0.6*G535</f>
        <v>2850</v>
      </c>
      <c r="I535" s="12">
        <f t="shared" si="363"/>
        <v>17100</v>
      </c>
      <c r="J535" s="10" t="s">
        <v>14</v>
      </c>
      <c r="K535" s="13" t="str">
        <f t="shared" si="364"/>
        <v>Блок13</v>
      </c>
      <c r="L535">
        <v>17100</v>
      </c>
      <c r="M535">
        <f t="shared" si="365"/>
        <v>1</v>
      </c>
      <c r="N535">
        <f t="shared" si="354"/>
        <v>6</v>
      </c>
      <c r="O535" s="23">
        <f t="shared" si="361"/>
        <v>17100</v>
      </c>
    </row>
    <row r="536" spans="1:15" ht="27" customHeight="1" x14ac:dyDescent="0.25">
      <c r="A536" s="13" t="str">
        <f t="shared" si="362"/>
        <v>ВРУ1-13</v>
      </c>
      <c r="B536" s="10" t="s">
        <v>126</v>
      </c>
      <c r="C536" s="11" t="s">
        <v>128</v>
      </c>
      <c r="D536" s="10" t="s">
        <v>129</v>
      </c>
      <c r="E536" s="13">
        <v>6</v>
      </c>
      <c r="F536" s="14" t="s">
        <v>12</v>
      </c>
      <c r="G536" s="10">
        <v>3317</v>
      </c>
      <c r="H536" s="12">
        <f t="shared" si="367"/>
        <v>1990.1999999999998</v>
      </c>
      <c r="I536" s="12">
        <f t="shared" si="363"/>
        <v>11941.199999999999</v>
      </c>
      <c r="J536" s="10" t="s">
        <v>14</v>
      </c>
      <c r="K536" s="13" t="str">
        <f t="shared" si="364"/>
        <v>Блок13</v>
      </c>
      <c r="L536">
        <v>11941.199999999999</v>
      </c>
      <c r="M536">
        <f t="shared" si="365"/>
        <v>1</v>
      </c>
      <c r="N536">
        <f t="shared" si="354"/>
        <v>6</v>
      </c>
      <c r="O536" s="23">
        <f t="shared" si="361"/>
        <v>11941.199999999999</v>
      </c>
    </row>
    <row r="537" spans="1:15" ht="27" customHeight="1" x14ac:dyDescent="0.25">
      <c r="A537" s="13" t="str">
        <f t="shared" si="362"/>
        <v>ВРУ1-13</v>
      </c>
      <c r="B537" s="10" t="s">
        <v>293</v>
      </c>
      <c r="C537" s="11" t="s">
        <v>189</v>
      </c>
      <c r="D537" s="10" t="s">
        <v>190</v>
      </c>
      <c r="E537" s="13">
        <v>2</v>
      </c>
      <c r="F537" s="14" t="s">
        <v>12</v>
      </c>
      <c r="G537" s="10">
        <v>1390</v>
      </c>
      <c r="H537" s="12">
        <f>0.3*G537</f>
        <v>417</v>
      </c>
      <c r="I537" s="12">
        <f t="shared" si="363"/>
        <v>834</v>
      </c>
      <c r="J537" s="10" t="s">
        <v>207</v>
      </c>
      <c r="K537" s="13" t="str">
        <f t="shared" si="364"/>
        <v>Блок13</v>
      </c>
      <c r="L537">
        <v>834</v>
      </c>
      <c r="M537">
        <f t="shared" si="365"/>
        <v>1</v>
      </c>
      <c r="N537">
        <f t="shared" si="354"/>
        <v>2</v>
      </c>
      <c r="O537" s="23">
        <f>N537*G537</f>
        <v>2780</v>
      </c>
    </row>
    <row r="538" spans="1:15" ht="27" customHeight="1" x14ac:dyDescent="0.25">
      <c r="A538" s="13" t="str">
        <f t="shared" si="362"/>
        <v>ВРУ1-13</v>
      </c>
      <c r="B538" s="10" t="s">
        <v>15</v>
      </c>
      <c r="C538" s="11" t="s">
        <v>297</v>
      </c>
      <c r="D538" s="24" t="s">
        <v>298</v>
      </c>
      <c r="E538" s="13">
        <v>2</v>
      </c>
      <c r="F538" s="14" t="s">
        <v>12</v>
      </c>
      <c r="G538" s="10">
        <v>89000</v>
      </c>
      <c r="H538" s="12">
        <f>G538</f>
        <v>89000</v>
      </c>
      <c r="I538" s="12">
        <f t="shared" si="363"/>
        <v>178000</v>
      </c>
      <c r="J538" s="10" t="s">
        <v>16</v>
      </c>
      <c r="K538" s="13" t="str">
        <f t="shared" si="364"/>
        <v>Блок13</v>
      </c>
      <c r="L538">
        <v>178000</v>
      </c>
      <c r="M538">
        <f t="shared" si="365"/>
        <v>1</v>
      </c>
      <c r="N538">
        <f t="shared" si="354"/>
        <v>2</v>
      </c>
      <c r="O538" s="23">
        <f t="shared" ref="O538:O544" si="368">N538*H538</f>
        <v>178000</v>
      </c>
    </row>
    <row r="539" spans="1:15" ht="27" customHeight="1" x14ac:dyDescent="0.25">
      <c r="A539" s="13" t="str">
        <f t="shared" si="362"/>
        <v>ВРУ1-13</v>
      </c>
      <c r="B539" s="10" t="s">
        <v>30</v>
      </c>
      <c r="C539" s="11"/>
      <c r="D539" s="10" t="s">
        <v>31</v>
      </c>
      <c r="E539" s="13">
        <v>6</v>
      </c>
      <c r="F539" s="14" t="s">
        <v>12</v>
      </c>
      <c r="G539" s="10">
        <v>3850</v>
      </c>
      <c r="H539" s="12">
        <f>G539</f>
        <v>3850</v>
      </c>
      <c r="I539" s="12">
        <f t="shared" si="363"/>
        <v>23100</v>
      </c>
      <c r="J539" s="10" t="s">
        <v>25</v>
      </c>
      <c r="K539" s="13" t="str">
        <f t="shared" si="364"/>
        <v>Блок13</v>
      </c>
      <c r="L539">
        <v>23100</v>
      </c>
      <c r="M539">
        <f t="shared" si="365"/>
        <v>1</v>
      </c>
      <c r="N539">
        <f t="shared" si="354"/>
        <v>6</v>
      </c>
      <c r="O539" s="23">
        <f t="shared" si="368"/>
        <v>23100</v>
      </c>
    </row>
    <row r="540" spans="1:15" ht="27" customHeight="1" x14ac:dyDescent="0.25">
      <c r="A540" s="10" t="str">
        <f t="shared" si="362"/>
        <v>ВРУ1-13</v>
      </c>
      <c r="B540" s="10" t="s">
        <v>19</v>
      </c>
      <c r="C540" s="11" t="s">
        <v>19</v>
      </c>
      <c r="D540" s="10" t="s">
        <v>19</v>
      </c>
      <c r="E540" s="10">
        <v>1</v>
      </c>
      <c r="F540" s="10" t="s">
        <v>12</v>
      </c>
      <c r="G540" s="10">
        <f ca="1">OFFSET(G540,1,2)</f>
        <v>48000</v>
      </c>
      <c r="H540" s="12">
        <f ca="1">G540</f>
        <v>48000</v>
      </c>
      <c r="I540" s="12">
        <f t="shared" ca="1" si="363"/>
        <v>48000</v>
      </c>
      <c r="J540" s="10" t="s">
        <v>19</v>
      </c>
      <c r="K540" s="13" t="str">
        <f t="shared" si="364"/>
        <v>Блок13</v>
      </c>
      <c r="L540">
        <v>48000</v>
      </c>
      <c r="M540">
        <f t="shared" si="365"/>
        <v>1</v>
      </c>
      <c r="N540">
        <f t="shared" si="354"/>
        <v>1</v>
      </c>
      <c r="O540" s="23">
        <f t="shared" ca="1" si="368"/>
        <v>48000</v>
      </c>
    </row>
    <row r="541" spans="1:15" ht="27" customHeight="1" x14ac:dyDescent="0.25">
      <c r="A541" s="10" t="str">
        <f t="shared" si="362"/>
        <v>ВРУ1-13</v>
      </c>
      <c r="B541" s="10" t="s">
        <v>20</v>
      </c>
      <c r="C541" s="11" t="s">
        <v>20</v>
      </c>
      <c r="D541" s="10" t="s">
        <v>20</v>
      </c>
      <c r="E541" s="10">
        <f>60*G541</f>
        <v>480</v>
      </c>
      <c r="F541" s="10" t="s">
        <v>12</v>
      </c>
      <c r="G541" s="10">
        <v>8</v>
      </c>
      <c r="H541" s="12">
        <v>100</v>
      </c>
      <c r="I541" s="12">
        <f t="shared" si="363"/>
        <v>48000</v>
      </c>
      <c r="J541" s="10" t="s">
        <v>20</v>
      </c>
      <c r="K541" s="13" t="str">
        <f t="shared" si="364"/>
        <v>Блок13</v>
      </c>
      <c r="L541">
        <v>48000</v>
      </c>
      <c r="M541">
        <f t="shared" si="365"/>
        <v>1</v>
      </c>
      <c r="N541">
        <f t="shared" si="354"/>
        <v>480</v>
      </c>
      <c r="O541" s="23">
        <f t="shared" si="368"/>
        <v>48000</v>
      </c>
    </row>
    <row r="542" spans="1:15" ht="27" customHeight="1" x14ac:dyDescent="0.25">
      <c r="A542" s="15" t="str">
        <f t="shared" si="362"/>
        <v>ВРУ1-13</v>
      </c>
      <c r="B542" s="15"/>
      <c r="C542" s="15"/>
      <c r="D542" s="16"/>
      <c r="E542" s="15"/>
      <c r="F542" s="19"/>
      <c r="G542" s="17"/>
      <c r="H542" s="12">
        <f>G542*0.55</f>
        <v>0</v>
      </c>
      <c r="I542" s="18">
        <f ca="1">SUM(I532:I541)</f>
        <v>505013.2</v>
      </c>
      <c r="J542" s="15"/>
      <c r="K542" s="13" t="str">
        <f t="shared" si="364"/>
        <v>Блок13</v>
      </c>
      <c r="L542">
        <v>505013.2</v>
      </c>
      <c r="M542">
        <f t="shared" si="365"/>
        <v>1</v>
      </c>
      <c r="N542">
        <f t="shared" si="354"/>
        <v>0</v>
      </c>
      <c r="O542" s="23">
        <f t="shared" si="368"/>
        <v>0</v>
      </c>
    </row>
    <row r="543" spans="1:15" ht="27" customHeight="1" x14ac:dyDescent="0.25">
      <c r="A543" s="8" t="str">
        <f>D543</f>
        <v>РУ-1-13</v>
      </c>
      <c r="B543" s="4"/>
      <c r="C543" s="5"/>
      <c r="D543" s="4" t="s">
        <v>103</v>
      </c>
      <c r="E543" s="8">
        <v>1</v>
      </c>
      <c r="F543" s="9" t="s">
        <v>9</v>
      </c>
      <c r="G543" s="6"/>
      <c r="H543" s="6"/>
      <c r="I543" s="7"/>
      <c r="J543" s="4" t="s">
        <v>10</v>
      </c>
      <c r="K543" s="8" t="s">
        <v>102</v>
      </c>
      <c r="M543">
        <f>E543</f>
        <v>1</v>
      </c>
      <c r="N543">
        <f t="shared" si="354"/>
        <v>1</v>
      </c>
      <c r="O543" s="23">
        <f t="shared" si="368"/>
        <v>0</v>
      </c>
    </row>
    <row r="544" spans="1:15" ht="27" customHeight="1" x14ac:dyDescent="0.25">
      <c r="A544" s="13" t="str">
        <f t="shared" ref="A544:A550" si="369">A543</f>
        <v>РУ-1-13</v>
      </c>
      <c r="B544" s="10" t="s">
        <v>11</v>
      </c>
      <c r="C544" s="11" t="s">
        <v>170</v>
      </c>
      <c r="D544" s="10" t="s">
        <v>171</v>
      </c>
      <c r="E544" s="13">
        <v>1</v>
      </c>
      <c r="F544" s="14" t="s">
        <v>12</v>
      </c>
      <c r="G544" s="10">
        <v>145000</v>
      </c>
      <c r="H544" s="12">
        <f>0.6*G544</f>
        <v>87000</v>
      </c>
      <c r="I544" s="12">
        <f t="shared" ref="I544:I549" si="370">H544*E544</f>
        <v>87000</v>
      </c>
      <c r="J544" s="10" t="s">
        <v>13</v>
      </c>
      <c r="K544" s="13" t="str">
        <f t="shared" ref="K544:K550" si="371">K543</f>
        <v>Блок13</v>
      </c>
      <c r="L544">
        <v>87000</v>
      </c>
      <c r="M544">
        <f t="shared" ref="M544:M550" si="372">M543</f>
        <v>1</v>
      </c>
      <c r="N544">
        <f t="shared" si="354"/>
        <v>1</v>
      </c>
      <c r="O544" s="23">
        <f t="shared" si="368"/>
        <v>87000</v>
      </c>
    </row>
    <row r="545" spans="1:15" ht="27" customHeight="1" x14ac:dyDescent="0.25">
      <c r="A545" s="13" t="str">
        <f t="shared" si="369"/>
        <v>РУ-1-13</v>
      </c>
      <c r="B545" s="10" t="s">
        <v>294</v>
      </c>
      <c r="C545" s="11" t="s">
        <v>225</v>
      </c>
      <c r="D545" s="10" t="s">
        <v>226</v>
      </c>
      <c r="E545" s="13">
        <v>2</v>
      </c>
      <c r="F545" s="14" t="s">
        <v>12</v>
      </c>
      <c r="G545" s="10">
        <v>17300</v>
      </c>
      <c r="H545" s="12">
        <f t="shared" ref="H545:H547" si="373">0.3*G545</f>
        <v>5190</v>
      </c>
      <c r="I545" s="12">
        <f t="shared" si="370"/>
        <v>10380</v>
      </c>
      <c r="J545" s="10" t="s">
        <v>207</v>
      </c>
      <c r="K545" s="13" t="str">
        <f t="shared" si="371"/>
        <v>Блок13</v>
      </c>
      <c r="L545">
        <v>10380</v>
      </c>
      <c r="M545">
        <f t="shared" si="372"/>
        <v>1</v>
      </c>
      <c r="N545">
        <f t="shared" si="354"/>
        <v>2</v>
      </c>
      <c r="O545" s="23">
        <f>N545*G545</f>
        <v>34600</v>
      </c>
    </row>
    <row r="546" spans="1:15" ht="27" customHeight="1" x14ac:dyDescent="0.25">
      <c r="A546" s="13" t="str">
        <f t="shared" si="369"/>
        <v>РУ-1-13</v>
      </c>
      <c r="B546" s="10" t="s">
        <v>294</v>
      </c>
      <c r="C546" s="11" t="s">
        <v>227</v>
      </c>
      <c r="D546" s="10" t="s">
        <v>228</v>
      </c>
      <c r="E546" s="13">
        <v>1</v>
      </c>
      <c r="F546" s="14" t="s">
        <v>12</v>
      </c>
      <c r="G546" s="10">
        <v>29990</v>
      </c>
      <c r="H546" s="12">
        <f t="shared" si="373"/>
        <v>8997</v>
      </c>
      <c r="I546" s="12">
        <f t="shared" si="370"/>
        <v>8997</v>
      </c>
      <c r="J546" s="10" t="s">
        <v>207</v>
      </c>
      <c r="K546" s="13" t="str">
        <f t="shared" si="371"/>
        <v>Блок13</v>
      </c>
      <c r="L546">
        <v>8997</v>
      </c>
      <c r="M546">
        <f t="shared" si="372"/>
        <v>1</v>
      </c>
      <c r="N546">
        <f t="shared" si="354"/>
        <v>1</v>
      </c>
      <c r="O546" s="23">
        <f>N546*G546</f>
        <v>29990</v>
      </c>
    </row>
    <row r="547" spans="1:15" ht="27" customHeight="1" x14ac:dyDescent="0.25">
      <c r="A547" s="13" t="str">
        <f t="shared" si="369"/>
        <v>РУ-1-13</v>
      </c>
      <c r="B547" s="10" t="s">
        <v>293</v>
      </c>
      <c r="C547" s="11" t="s">
        <v>217</v>
      </c>
      <c r="D547" s="10" t="s">
        <v>218</v>
      </c>
      <c r="E547" s="13">
        <v>2</v>
      </c>
      <c r="F547" s="14" t="s">
        <v>12</v>
      </c>
      <c r="G547" s="10">
        <v>7850</v>
      </c>
      <c r="H547" s="12">
        <f t="shared" si="373"/>
        <v>2355</v>
      </c>
      <c r="I547" s="12">
        <f t="shared" si="370"/>
        <v>4710</v>
      </c>
      <c r="J547" s="10" t="s">
        <v>207</v>
      </c>
      <c r="K547" s="13" t="str">
        <f t="shared" si="371"/>
        <v>Блок13</v>
      </c>
      <c r="L547">
        <v>4710</v>
      </c>
      <c r="M547">
        <f t="shared" si="372"/>
        <v>1</v>
      </c>
      <c r="N547">
        <f t="shared" si="354"/>
        <v>2</v>
      </c>
      <c r="O547" s="23">
        <f>N547*G547</f>
        <v>15700</v>
      </c>
    </row>
    <row r="548" spans="1:15" ht="27" customHeight="1" x14ac:dyDescent="0.25">
      <c r="A548" s="10" t="str">
        <f t="shared" si="369"/>
        <v>РУ-1-13</v>
      </c>
      <c r="B548" s="10" t="s">
        <v>19</v>
      </c>
      <c r="C548" s="11" t="s">
        <v>19</v>
      </c>
      <c r="D548" s="10" t="s">
        <v>19</v>
      </c>
      <c r="E548" s="10">
        <v>1</v>
      </c>
      <c r="F548" s="10" t="s">
        <v>12</v>
      </c>
      <c r="G548" s="10">
        <f ca="1">OFFSET(G548,1,2)</f>
        <v>27000</v>
      </c>
      <c r="H548" s="12">
        <f ca="1">G548</f>
        <v>27000</v>
      </c>
      <c r="I548" s="12">
        <f t="shared" ca="1" si="370"/>
        <v>27000</v>
      </c>
      <c r="J548" s="10" t="s">
        <v>19</v>
      </c>
      <c r="K548" s="13" t="str">
        <f t="shared" si="371"/>
        <v>Блок13</v>
      </c>
      <c r="L548">
        <v>27000</v>
      </c>
      <c r="M548">
        <f t="shared" si="372"/>
        <v>1</v>
      </c>
      <c r="N548">
        <f t="shared" si="354"/>
        <v>1</v>
      </c>
      <c r="O548" s="23">
        <f ca="1">N548*H548</f>
        <v>27000</v>
      </c>
    </row>
    <row r="549" spans="1:15" ht="27" customHeight="1" x14ac:dyDescent="0.25">
      <c r="A549" s="10" t="str">
        <f t="shared" si="369"/>
        <v>РУ-1-13</v>
      </c>
      <c r="B549" s="10" t="s">
        <v>20</v>
      </c>
      <c r="C549" s="11" t="s">
        <v>20</v>
      </c>
      <c r="D549" s="10" t="s">
        <v>20</v>
      </c>
      <c r="E549" s="10">
        <f>60*G549</f>
        <v>270</v>
      </c>
      <c r="F549" s="10" t="s">
        <v>12</v>
      </c>
      <c r="G549" s="10">
        <v>4.5</v>
      </c>
      <c r="H549" s="12">
        <v>100</v>
      </c>
      <c r="I549" s="12">
        <f t="shared" si="370"/>
        <v>27000</v>
      </c>
      <c r="J549" s="10" t="s">
        <v>20</v>
      </c>
      <c r="K549" s="13" t="str">
        <f t="shared" si="371"/>
        <v>Блок13</v>
      </c>
      <c r="L549">
        <v>27000</v>
      </c>
      <c r="M549">
        <f t="shared" si="372"/>
        <v>1</v>
      </c>
      <c r="N549">
        <f t="shared" si="354"/>
        <v>270</v>
      </c>
      <c r="O549" s="23">
        <f>N549*H549</f>
        <v>27000</v>
      </c>
    </row>
    <row r="550" spans="1:15" ht="27" customHeight="1" x14ac:dyDescent="0.25">
      <c r="A550" s="15" t="str">
        <f t="shared" si="369"/>
        <v>РУ-1-13</v>
      </c>
      <c r="B550" s="15"/>
      <c r="C550" s="15"/>
      <c r="D550" s="16"/>
      <c r="E550" s="15"/>
      <c r="F550" s="19"/>
      <c r="G550" s="17"/>
      <c r="H550" s="12">
        <f t="shared" ref="H550" si="374">G550*0.55</f>
        <v>0</v>
      </c>
      <c r="I550" s="18">
        <f ca="1">SUM(I544:I549)</f>
        <v>165087</v>
      </c>
      <c r="J550" s="15"/>
      <c r="K550" s="13" t="str">
        <f t="shared" si="371"/>
        <v>Блок13</v>
      </c>
      <c r="L550">
        <v>165087</v>
      </c>
      <c r="M550">
        <f t="shared" si="372"/>
        <v>1</v>
      </c>
      <c r="N550">
        <f t="shared" si="354"/>
        <v>0</v>
      </c>
      <c r="O550" s="23">
        <f>N550*H550</f>
        <v>0</v>
      </c>
    </row>
    <row r="551" spans="1:15" ht="27" customHeight="1" x14ac:dyDescent="0.25">
      <c r="A551" s="8" t="str">
        <f>D551</f>
        <v>РУ-2-13</v>
      </c>
      <c r="B551" s="4"/>
      <c r="C551" s="5"/>
      <c r="D551" s="4" t="s">
        <v>104</v>
      </c>
      <c r="E551" s="8">
        <v>1</v>
      </c>
      <c r="F551" s="9" t="s">
        <v>9</v>
      </c>
      <c r="G551" s="6"/>
      <c r="H551" s="6"/>
      <c r="I551" s="7"/>
      <c r="J551" s="4" t="s">
        <v>10</v>
      </c>
      <c r="K551" s="8" t="s">
        <v>102</v>
      </c>
      <c r="M551">
        <f>E551</f>
        <v>1</v>
      </c>
      <c r="N551">
        <f t="shared" si="354"/>
        <v>1</v>
      </c>
      <c r="O551" s="23">
        <f>N551*H551</f>
        <v>0</v>
      </c>
    </row>
    <row r="552" spans="1:15" ht="27" customHeight="1" x14ac:dyDescent="0.25">
      <c r="A552" s="13" t="str">
        <f t="shared" ref="A552:A558" si="375">A551</f>
        <v>РУ-2-13</v>
      </c>
      <c r="B552" s="10" t="s">
        <v>11</v>
      </c>
      <c r="C552" s="11" t="s">
        <v>170</v>
      </c>
      <c r="D552" s="10" t="s">
        <v>171</v>
      </c>
      <c r="E552" s="13">
        <v>1</v>
      </c>
      <c r="F552" s="14" t="s">
        <v>12</v>
      </c>
      <c r="G552" s="10">
        <v>145000</v>
      </c>
      <c r="H552" s="12">
        <f>0.6*G552</f>
        <v>87000</v>
      </c>
      <c r="I552" s="12">
        <f t="shared" ref="I552:I557" si="376">H552*E552</f>
        <v>87000</v>
      </c>
      <c r="J552" s="10" t="s">
        <v>13</v>
      </c>
      <c r="K552" s="13" t="str">
        <f t="shared" ref="K552:K558" si="377">K551</f>
        <v>Блок13</v>
      </c>
      <c r="L552">
        <v>87000</v>
      </c>
      <c r="M552">
        <f t="shared" ref="M552:M558" si="378">M551</f>
        <v>1</v>
      </c>
      <c r="N552">
        <f t="shared" si="354"/>
        <v>1</v>
      </c>
      <c r="O552" s="23">
        <f>N552*H552</f>
        <v>87000</v>
      </c>
    </row>
    <row r="553" spans="1:15" ht="27" customHeight="1" x14ac:dyDescent="0.25">
      <c r="A553" s="13" t="str">
        <f t="shared" si="375"/>
        <v>РУ-2-13</v>
      </c>
      <c r="B553" s="10" t="s">
        <v>294</v>
      </c>
      <c r="C553" s="11" t="s">
        <v>227</v>
      </c>
      <c r="D553" s="10" t="s">
        <v>228</v>
      </c>
      <c r="E553" s="13">
        <v>1</v>
      </c>
      <c r="F553" s="14" t="s">
        <v>12</v>
      </c>
      <c r="G553" s="10">
        <v>29990</v>
      </c>
      <c r="H553" s="12">
        <f t="shared" ref="H553:H555" si="379">0.3*G553</f>
        <v>8997</v>
      </c>
      <c r="I553" s="12">
        <f t="shared" si="376"/>
        <v>8997</v>
      </c>
      <c r="J553" s="10" t="s">
        <v>207</v>
      </c>
      <c r="K553" s="13" t="str">
        <f t="shared" si="377"/>
        <v>Блок13</v>
      </c>
      <c r="L553">
        <v>8997</v>
      </c>
      <c r="M553">
        <f t="shared" si="378"/>
        <v>1</v>
      </c>
      <c r="N553">
        <f t="shared" si="354"/>
        <v>1</v>
      </c>
      <c r="O553" s="23">
        <f>N553*G553</f>
        <v>29990</v>
      </c>
    </row>
    <row r="554" spans="1:15" ht="27" customHeight="1" x14ac:dyDescent="0.25">
      <c r="A554" s="13" t="str">
        <f t="shared" si="375"/>
        <v>РУ-2-13</v>
      </c>
      <c r="B554" s="10" t="s">
        <v>294</v>
      </c>
      <c r="C554" s="11" t="s">
        <v>211</v>
      </c>
      <c r="D554" s="10" t="s">
        <v>212</v>
      </c>
      <c r="E554" s="13">
        <v>3</v>
      </c>
      <c r="F554" s="14" t="s">
        <v>12</v>
      </c>
      <c r="G554" s="10">
        <v>16550</v>
      </c>
      <c r="H554" s="12">
        <f t="shared" si="379"/>
        <v>4965</v>
      </c>
      <c r="I554" s="12">
        <f t="shared" si="376"/>
        <v>14895</v>
      </c>
      <c r="J554" s="10" t="s">
        <v>207</v>
      </c>
      <c r="K554" s="13" t="str">
        <f t="shared" si="377"/>
        <v>Блок13</v>
      </c>
      <c r="L554">
        <v>14895</v>
      </c>
      <c r="M554">
        <f t="shared" si="378"/>
        <v>1</v>
      </c>
      <c r="N554">
        <f t="shared" si="354"/>
        <v>3</v>
      </c>
      <c r="O554" s="23">
        <f>N554*G554</f>
        <v>49650</v>
      </c>
    </row>
    <row r="555" spans="1:15" ht="27" customHeight="1" x14ac:dyDescent="0.25">
      <c r="A555" s="13" t="str">
        <f t="shared" si="375"/>
        <v>РУ-2-13</v>
      </c>
      <c r="B555" s="10" t="s">
        <v>294</v>
      </c>
      <c r="C555" s="11" t="s">
        <v>223</v>
      </c>
      <c r="D555" s="10" t="s">
        <v>224</v>
      </c>
      <c r="E555" s="13">
        <v>1</v>
      </c>
      <c r="F555" s="14" t="s">
        <v>12</v>
      </c>
      <c r="G555" s="10">
        <v>16550</v>
      </c>
      <c r="H555" s="12">
        <f t="shared" si="379"/>
        <v>4965</v>
      </c>
      <c r="I555" s="12">
        <f t="shared" si="376"/>
        <v>4965</v>
      </c>
      <c r="J555" s="10" t="s">
        <v>207</v>
      </c>
      <c r="K555" s="13" t="str">
        <f t="shared" si="377"/>
        <v>Блок13</v>
      </c>
      <c r="L555">
        <v>4965</v>
      </c>
      <c r="M555">
        <f t="shared" si="378"/>
        <v>1</v>
      </c>
      <c r="N555">
        <f t="shared" si="354"/>
        <v>1</v>
      </c>
      <c r="O555" s="23">
        <f>N555*G555</f>
        <v>16550</v>
      </c>
    </row>
    <row r="556" spans="1:15" ht="27" customHeight="1" x14ac:dyDescent="0.25">
      <c r="A556" s="10" t="str">
        <f t="shared" si="375"/>
        <v>РУ-2-13</v>
      </c>
      <c r="B556" s="10" t="s">
        <v>19</v>
      </c>
      <c r="C556" s="11" t="s">
        <v>19</v>
      </c>
      <c r="D556" s="10" t="s">
        <v>19</v>
      </c>
      <c r="E556" s="10">
        <v>1</v>
      </c>
      <c r="F556" s="10" t="s">
        <v>12</v>
      </c>
      <c r="G556" s="10">
        <f ca="1">OFFSET(G556,1,2)</f>
        <v>27000</v>
      </c>
      <c r="H556" s="12">
        <f ca="1">G556</f>
        <v>27000</v>
      </c>
      <c r="I556" s="12">
        <f t="shared" ca="1" si="376"/>
        <v>27000</v>
      </c>
      <c r="J556" s="10" t="s">
        <v>19</v>
      </c>
      <c r="K556" s="13" t="str">
        <f t="shared" si="377"/>
        <v>Блок13</v>
      </c>
      <c r="L556">
        <v>27000</v>
      </c>
      <c r="M556">
        <f t="shared" si="378"/>
        <v>1</v>
      </c>
      <c r="N556">
        <f t="shared" si="354"/>
        <v>1</v>
      </c>
      <c r="O556" s="23">
        <f ca="1">N556*H556</f>
        <v>27000</v>
      </c>
    </row>
    <row r="557" spans="1:15" ht="27" customHeight="1" x14ac:dyDescent="0.25">
      <c r="A557" s="10" t="str">
        <f t="shared" si="375"/>
        <v>РУ-2-13</v>
      </c>
      <c r="B557" s="10" t="s">
        <v>20</v>
      </c>
      <c r="C557" s="11" t="s">
        <v>20</v>
      </c>
      <c r="D557" s="10" t="s">
        <v>20</v>
      </c>
      <c r="E557" s="10">
        <f>60*G557</f>
        <v>270</v>
      </c>
      <c r="F557" s="10" t="s">
        <v>12</v>
      </c>
      <c r="G557" s="10">
        <v>4.5</v>
      </c>
      <c r="H557" s="12">
        <v>100</v>
      </c>
      <c r="I557" s="12">
        <f t="shared" si="376"/>
        <v>27000</v>
      </c>
      <c r="J557" s="10" t="s">
        <v>20</v>
      </c>
      <c r="K557" s="13" t="str">
        <f t="shared" si="377"/>
        <v>Блок13</v>
      </c>
      <c r="L557">
        <v>27000</v>
      </c>
      <c r="M557">
        <f t="shared" si="378"/>
        <v>1</v>
      </c>
      <c r="N557">
        <f t="shared" si="354"/>
        <v>270</v>
      </c>
      <c r="O557" s="23">
        <f>N557*H557</f>
        <v>27000</v>
      </c>
    </row>
    <row r="558" spans="1:15" ht="27" customHeight="1" x14ac:dyDescent="0.25">
      <c r="A558" s="15" t="str">
        <f t="shared" si="375"/>
        <v>РУ-2-13</v>
      </c>
      <c r="B558" s="15"/>
      <c r="C558" s="15"/>
      <c r="D558" s="16"/>
      <c r="E558" s="15"/>
      <c r="F558" s="19"/>
      <c r="G558" s="17"/>
      <c r="H558" s="12">
        <f>G558*0.55</f>
        <v>0</v>
      </c>
      <c r="I558" s="18">
        <f ca="1">SUM(I552:I557)</f>
        <v>169857</v>
      </c>
      <c r="J558" s="15"/>
      <c r="K558" s="13" t="str">
        <f t="shared" si="377"/>
        <v>Блок13</v>
      </c>
      <c r="L558">
        <v>169857</v>
      </c>
      <c r="M558">
        <f t="shared" si="378"/>
        <v>1</v>
      </c>
      <c r="N558">
        <f t="shared" si="354"/>
        <v>0</v>
      </c>
      <c r="O558" s="23">
        <f>N558*H558</f>
        <v>0</v>
      </c>
    </row>
    <row r="559" spans="1:15" ht="27" customHeight="1" x14ac:dyDescent="0.25">
      <c r="A559" s="8" t="str">
        <f>D559</f>
        <v>ЩУР.МОП1-13</v>
      </c>
      <c r="B559" s="4"/>
      <c r="C559" s="5"/>
      <c r="D559" s="4" t="s">
        <v>105</v>
      </c>
      <c r="E559" s="8">
        <v>1</v>
      </c>
      <c r="F559" s="9" t="s">
        <v>9</v>
      </c>
      <c r="G559" s="6"/>
      <c r="H559" s="6"/>
      <c r="I559" s="7"/>
      <c r="J559" s="4" t="s">
        <v>10</v>
      </c>
      <c r="K559" s="8" t="s">
        <v>102</v>
      </c>
      <c r="M559">
        <f>E559</f>
        <v>1</v>
      </c>
      <c r="N559">
        <f t="shared" si="354"/>
        <v>1</v>
      </c>
      <c r="O559" s="23">
        <f>N559*H559</f>
        <v>0</v>
      </c>
    </row>
    <row r="560" spans="1:15" ht="27" customHeight="1" x14ac:dyDescent="0.25">
      <c r="A560" s="13" t="str">
        <f t="shared" ref="A560:A567" si="380">A559</f>
        <v>ЩУР.МОП1-13</v>
      </c>
      <c r="B560" s="10" t="s">
        <v>11</v>
      </c>
      <c r="C560" s="11" t="s">
        <v>40</v>
      </c>
      <c r="D560" s="10" t="s">
        <v>41</v>
      </c>
      <c r="E560" s="13">
        <v>1</v>
      </c>
      <c r="F560" s="14" t="s">
        <v>12</v>
      </c>
      <c r="G560" s="10">
        <v>18000</v>
      </c>
      <c r="H560" s="12">
        <f>0.6*G560</f>
        <v>10800</v>
      </c>
      <c r="I560" s="12">
        <f t="shared" ref="I560:I566" si="381">H560*E560</f>
        <v>10800</v>
      </c>
      <c r="J560" s="10" t="s">
        <v>13</v>
      </c>
      <c r="K560" s="13" t="str">
        <f t="shared" ref="K560:K567" si="382">K559</f>
        <v>Блок13</v>
      </c>
      <c r="L560">
        <v>10800</v>
      </c>
      <c r="M560">
        <f t="shared" ref="M560:M567" si="383">M559</f>
        <v>1</v>
      </c>
      <c r="N560">
        <f t="shared" si="354"/>
        <v>1</v>
      </c>
      <c r="O560" s="23">
        <f>N560*H560</f>
        <v>10800</v>
      </c>
    </row>
    <row r="561" spans="1:15" ht="27" customHeight="1" x14ac:dyDescent="0.25">
      <c r="A561" s="13" t="str">
        <f t="shared" si="380"/>
        <v>ЩУР.МОП1-13</v>
      </c>
      <c r="B561" s="10" t="s">
        <v>293</v>
      </c>
      <c r="C561" s="11" t="s">
        <v>195</v>
      </c>
      <c r="D561" s="10" t="s">
        <v>196</v>
      </c>
      <c r="E561" s="13">
        <v>1</v>
      </c>
      <c r="F561" s="14" t="s">
        <v>12</v>
      </c>
      <c r="G561" s="10">
        <v>6190</v>
      </c>
      <c r="H561" s="12">
        <f t="shared" ref="H561:H563" si="384">0.3*G561</f>
        <v>1857</v>
      </c>
      <c r="I561" s="12">
        <f t="shared" si="381"/>
        <v>1857</v>
      </c>
      <c r="J561" s="10" t="s">
        <v>207</v>
      </c>
      <c r="K561" s="13" t="str">
        <f t="shared" si="382"/>
        <v>Блок13</v>
      </c>
      <c r="L561">
        <v>1857</v>
      </c>
      <c r="M561">
        <f t="shared" si="383"/>
        <v>1</v>
      </c>
      <c r="N561">
        <f t="shared" si="354"/>
        <v>1</v>
      </c>
      <c r="O561" s="23">
        <f>N561*G561</f>
        <v>6190</v>
      </c>
    </row>
    <row r="562" spans="1:15" ht="27" customHeight="1" x14ac:dyDescent="0.25">
      <c r="A562" s="13" t="str">
        <f t="shared" si="380"/>
        <v>ЩУР.МОП1-13</v>
      </c>
      <c r="B562" s="10" t="s">
        <v>293</v>
      </c>
      <c r="C562" s="11" t="s">
        <v>199</v>
      </c>
      <c r="D562" s="10" t="s">
        <v>200</v>
      </c>
      <c r="E562" s="13">
        <v>2</v>
      </c>
      <c r="F562" s="14" t="s">
        <v>12</v>
      </c>
      <c r="G562" s="10">
        <v>5950</v>
      </c>
      <c r="H562" s="12">
        <f t="shared" si="384"/>
        <v>1785</v>
      </c>
      <c r="I562" s="12">
        <f t="shared" si="381"/>
        <v>3570</v>
      </c>
      <c r="J562" s="10" t="s">
        <v>207</v>
      </c>
      <c r="K562" s="13" t="str">
        <f t="shared" si="382"/>
        <v>Блок13</v>
      </c>
      <c r="L562">
        <v>3570</v>
      </c>
      <c r="M562">
        <f t="shared" si="383"/>
        <v>1</v>
      </c>
      <c r="N562">
        <f t="shared" si="354"/>
        <v>2</v>
      </c>
      <c r="O562" s="23">
        <f>N562*G562</f>
        <v>11900</v>
      </c>
    </row>
    <row r="563" spans="1:15" ht="27" customHeight="1" x14ac:dyDescent="0.25">
      <c r="A563" s="13" t="str">
        <f t="shared" si="380"/>
        <v>ЩУР.МОП1-13</v>
      </c>
      <c r="B563" s="10" t="s">
        <v>293</v>
      </c>
      <c r="C563" s="11" t="s">
        <v>193</v>
      </c>
      <c r="D563" s="10" t="s">
        <v>194</v>
      </c>
      <c r="E563" s="13">
        <v>2</v>
      </c>
      <c r="F563" s="14" t="s">
        <v>12</v>
      </c>
      <c r="G563" s="10">
        <v>6580</v>
      </c>
      <c r="H563" s="12">
        <f t="shared" si="384"/>
        <v>1974</v>
      </c>
      <c r="I563" s="12">
        <f t="shared" si="381"/>
        <v>3948</v>
      </c>
      <c r="J563" s="10" t="s">
        <v>207</v>
      </c>
      <c r="K563" s="13" t="str">
        <f t="shared" si="382"/>
        <v>Блок13</v>
      </c>
      <c r="L563">
        <v>3948</v>
      </c>
      <c r="M563">
        <f t="shared" si="383"/>
        <v>1</v>
      </c>
      <c r="N563">
        <f t="shared" si="354"/>
        <v>2</v>
      </c>
      <c r="O563" s="23">
        <f>N563*G563</f>
        <v>13160</v>
      </c>
    </row>
    <row r="564" spans="1:15" ht="27" customHeight="1" x14ac:dyDescent="0.25">
      <c r="A564" s="13" t="str">
        <f t="shared" si="380"/>
        <v>ЩУР.МОП1-13</v>
      </c>
      <c r="B564" s="10" t="s">
        <v>15</v>
      </c>
      <c r="C564" s="11" t="s">
        <v>299</v>
      </c>
      <c r="D564" s="10" t="s">
        <v>300</v>
      </c>
      <c r="E564" s="13">
        <v>1</v>
      </c>
      <c r="F564" s="14" t="s">
        <v>12</v>
      </c>
      <c r="G564" s="10">
        <v>32400</v>
      </c>
      <c r="H564" s="12">
        <f>G564</f>
        <v>32400</v>
      </c>
      <c r="I564" s="12">
        <f t="shared" si="381"/>
        <v>32400</v>
      </c>
      <c r="J564" s="10" t="s">
        <v>16</v>
      </c>
      <c r="K564" s="13" t="str">
        <f t="shared" si="382"/>
        <v>Блок13</v>
      </c>
      <c r="L564">
        <v>32400</v>
      </c>
      <c r="M564">
        <f t="shared" si="383"/>
        <v>1</v>
      </c>
      <c r="N564">
        <f t="shared" si="354"/>
        <v>1</v>
      </c>
      <c r="O564" s="23">
        <f t="shared" ref="O564:O570" si="385">N564*H564</f>
        <v>32400</v>
      </c>
    </row>
    <row r="565" spans="1:15" ht="27" customHeight="1" x14ac:dyDescent="0.25">
      <c r="A565" s="10" t="str">
        <f t="shared" si="380"/>
        <v>ЩУР.МОП1-13</v>
      </c>
      <c r="B565" s="10" t="s">
        <v>19</v>
      </c>
      <c r="C565" s="11" t="s">
        <v>19</v>
      </c>
      <c r="D565" s="10" t="s">
        <v>19</v>
      </c>
      <c r="E565" s="10">
        <v>1</v>
      </c>
      <c r="F565" s="10" t="s">
        <v>12</v>
      </c>
      <c r="G565" s="10">
        <f ca="1">OFFSET(G565,1,2)</f>
        <v>12000</v>
      </c>
      <c r="H565" s="12">
        <f ca="1">G565</f>
        <v>12000</v>
      </c>
      <c r="I565" s="12">
        <f t="shared" ca="1" si="381"/>
        <v>12000</v>
      </c>
      <c r="J565" s="10" t="s">
        <v>19</v>
      </c>
      <c r="K565" s="13" t="str">
        <f t="shared" si="382"/>
        <v>Блок13</v>
      </c>
      <c r="L565">
        <v>12000</v>
      </c>
      <c r="M565">
        <f t="shared" si="383"/>
        <v>1</v>
      </c>
      <c r="N565">
        <f t="shared" si="354"/>
        <v>1</v>
      </c>
      <c r="O565" s="23">
        <f t="shared" ca="1" si="385"/>
        <v>12000</v>
      </c>
    </row>
    <row r="566" spans="1:15" ht="27" customHeight="1" x14ac:dyDescent="0.25">
      <c r="A566" s="10" t="str">
        <f t="shared" si="380"/>
        <v>ЩУР.МОП1-13</v>
      </c>
      <c r="B566" s="10" t="s">
        <v>20</v>
      </c>
      <c r="C566" s="11" t="s">
        <v>20</v>
      </c>
      <c r="D566" s="10" t="s">
        <v>20</v>
      </c>
      <c r="E566" s="10">
        <f>60*G566</f>
        <v>120</v>
      </c>
      <c r="F566" s="10" t="s">
        <v>12</v>
      </c>
      <c r="G566" s="10">
        <v>2</v>
      </c>
      <c r="H566" s="12">
        <v>100</v>
      </c>
      <c r="I566" s="12">
        <f t="shared" si="381"/>
        <v>12000</v>
      </c>
      <c r="J566" s="10" t="s">
        <v>20</v>
      </c>
      <c r="K566" s="13" t="str">
        <f t="shared" si="382"/>
        <v>Блок13</v>
      </c>
      <c r="L566">
        <v>12000</v>
      </c>
      <c r="M566">
        <f t="shared" si="383"/>
        <v>1</v>
      </c>
      <c r="N566">
        <f t="shared" si="354"/>
        <v>120</v>
      </c>
      <c r="O566" s="23">
        <f t="shared" si="385"/>
        <v>12000</v>
      </c>
    </row>
    <row r="567" spans="1:15" ht="27" customHeight="1" x14ac:dyDescent="0.25">
      <c r="A567" s="15" t="str">
        <f t="shared" si="380"/>
        <v>ЩУР.МОП1-13</v>
      </c>
      <c r="B567" s="15"/>
      <c r="C567" s="15"/>
      <c r="D567" s="16"/>
      <c r="E567" s="15"/>
      <c r="F567" s="19"/>
      <c r="G567" s="17"/>
      <c r="H567" s="12">
        <f>G567*0.55</f>
        <v>0</v>
      </c>
      <c r="I567" s="18">
        <f ca="1">SUM(I560:I566)</f>
        <v>76575</v>
      </c>
      <c r="J567" s="15"/>
      <c r="K567" s="13" t="str">
        <f t="shared" si="382"/>
        <v>Блок13</v>
      </c>
      <c r="L567">
        <v>76575</v>
      </c>
      <c r="M567">
        <f t="shared" si="383"/>
        <v>1</v>
      </c>
      <c r="N567">
        <f t="shared" si="354"/>
        <v>0</v>
      </c>
      <c r="O567" s="23">
        <f t="shared" si="385"/>
        <v>0</v>
      </c>
    </row>
    <row r="568" spans="1:15" ht="27" customHeight="1" x14ac:dyDescent="0.25">
      <c r="A568" s="8" t="str">
        <f>D568</f>
        <v>РЩ1-13 (АВР-Б-40-2-1)</v>
      </c>
      <c r="B568" s="4"/>
      <c r="C568" s="5"/>
      <c r="D568" s="4" t="s">
        <v>146</v>
      </c>
      <c r="E568" s="8">
        <v>1</v>
      </c>
      <c r="F568" s="9" t="s">
        <v>9</v>
      </c>
      <c r="G568" s="6"/>
      <c r="H568" s="6"/>
      <c r="I568" s="7"/>
      <c r="J568" s="4" t="s">
        <v>10</v>
      </c>
      <c r="K568" s="8" t="s">
        <v>102</v>
      </c>
      <c r="M568">
        <f>E568</f>
        <v>1</v>
      </c>
      <c r="N568">
        <f t="shared" si="354"/>
        <v>1</v>
      </c>
      <c r="O568" s="23">
        <f t="shared" si="385"/>
        <v>0</v>
      </c>
    </row>
    <row r="569" spans="1:15" ht="27" customHeight="1" x14ac:dyDescent="0.25">
      <c r="A569" s="13" t="str">
        <f t="shared" ref="A569:A580" si="386">A568</f>
        <v>РЩ1-13 (АВР-Б-40-2-1)</v>
      </c>
      <c r="B569" s="10" t="s">
        <v>11</v>
      </c>
      <c r="C569" s="11" t="s">
        <v>168</v>
      </c>
      <c r="D569" s="10" t="s">
        <v>169</v>
      </c>
      <c r="E569" s="13">
        <v>1</v>
      </c>
      <c r="F569" s="14" t="s">
        <v>12</v>
      </c>
      <c r="G569" s="10">
        <v>130000</v>
      </c>
      <c r="H569" s="12">
        <f t="shared" ref="H569:H570" si="387">0.6*G569</f>
        <v>78000</v>
      </c>
      <c r="I569" s="12">
        <f t="shared" ref="I569:I579" si="388">H569*E569</f>
        <v>78000</v>
      </c>
      <c r="J569" s="10" t="s">
        <v>13</v>
      </c>
      <c r="K569" s="13" t="str">
        <f t="shared" ref="K569:K580" si="389">K568</f>
        <v>Блок13</v>
      </c>
      <c r="L569">
        <v>78000</v>
      </c>
      <c r="M569">
        <f t="shared" ref="M569:M580" si="390">M568</f>
        <v>1</v>
      </c>
      <c r="N569">
        <f t="shared" si="354"/>
        <v>1</v>
      </c>
      <c r="O569" s="23">
        <f t="shared" si="385"/>
        <v>78000</v>
      </c>
    </row>
    <row r="570" spans="1:15" ht="27" customHeight="1" x14ac:dyDescent="0.25">
      <c r="A570" s="13" t="str">
        <f t="shared" si="386"/>
        <v>РЩ1-13 (АВР-Б-40-2-1)</v>
      </c>
      <c r="B570" s="10" t="s">
        <v>44</v>
      </c>
      <c r="C570" s="11" t="s">
        <v>162</v>
      </c>
      <c r="D570" s="10" t="s">
        <v>163</v>
      </c>
      <c r="E570" s="13">
        <v>1</v>
      </c>
      <c r="F570" s="14" t="s">
        <v>12</v>
      </c>
      <c r="G570" s="10">
        <v>114758</v>
      </c>
      <c r="H570" s="12">
        <f t="shared" si="387"/>
        <v>68854.8</v>
      </c>
      <c r="I570" s="12">
        <f t="shared" si="388"/>
        <v>68854.8</v>
      </c>
      <c r="J570" s="10" t="s">
        <v>14</v>
      </c>
      <c r="K570" s="13" t="str">
        <f t="shared" si="389"/>
        <v>Блок13</v>
      </c>
      <c r="L570">
        <v>68854.8</v>
      </c>
      <c r="M570">
        <f t="shared" si="390"/>
        <v>1</v>
      </c>
      <c r="N570">
        <f t="shared" si="354"/>
        <v>1</v>
      </c>
      <c r="O570" s="23">
        <f t="shared" si="385"/>
        <v>68854.8</v>
      </c>
    </row>
    <row r="571" spans="1:15" ht="27" customHeight="1" x14ac:dyDescent="0.25">
      <c r="A571" s="13" t="str">
        <f t="shared" si="386"/>
        <v>РЩ1-13 (АВР-Б-40-2-1)</v>
      </c>
      <c r="B571" s="10" t="s">
        <v>293</v>
      </c>
      <c r="C571" s="11" t="s">
        <v>213</v>
      </c>
      <c r="D571" s="10" t="s">
        <v>214</v>
      </c>
      <c r="E571" s="13">
        <v>2</v>
      </c>
      <c r="F571" s="14" t="s">
        <v>12</v>
      </c>
      <c r="G571" s="10">
        <v>7690</v>
      </c>
      <c r="H571" s="12">
        <f t="shared" ref="H571:H573" si="391">0.3*G571</f>
        <v>2307</v>
      </c>
      <c r="I571" s="12">
        <f t="shared" si="388"/>
        <v>4614</v>
      </c>
      <c r="J571" s="10" t="s">
        <v>207</v>
      </c>
      <c r="K571" s="13" t="str">
        <f t="shared" si="389"/>
        <v>Блок13</v>
      </c>
      <c r="L571">
        <v>4614</v>
      </c>
      <c r="M571">
        <f t="shared" si="390"/>
        <v>1</v>
      </c>
      <c r="N571">
        <f t="shared" si="354"/>
        <v>2</v>
      </c>
      <c r="O571" s="23">
        <f>N571*G571</f>
        <v>15380</v>
      </c>
    </row>
    <row r="572" spans="1:15" ht="27" customHeight="1" x14ac:dyDescent="0.25">
      <c r="A572" s="13" t="str">
        <f t="shared" si="386"/>
        <v>РЩ1-13 (АВР-Б-40-2-1)</v>
      </c>
      <c r="B572" s="10" t="s">
        <v>293</v>
      </c>
      <c r="C572" s="11" t="s">
        <v>231</v>
      </c>
      <c r="D572" s="10" t="s">
        <v>232</v>
      </c>
      <c r="E572" s="13">
        <v>2</v>
      </c>
      <c r="F572" s="14" t="s">
        <v>12</v>
      </c>
      <c r="G572" s="10">
        <v>7690</v>
      </c>
      <c r="H572" s="12">
        <f t="shared" si="391"/>
        <v>2307</v>
      </c>
      <c r="I572" s="12">
        <f t="shared" si="388"/>
        <v>4614</v>
      </c>
      <c r="J572" s="10" t="s">
        <v>207</v>
      </c>
      <c r="K572" s="13" t="str">
        <f t="shared" si="389"/>
        <v>Блок13</v>
      </c>
      <c r="L572">
        <v>4614</v>
      </c>
      <c r="M572">
        <f t="shared" si="390"/>
        <v>1</v>
      </c>
      <c r="N572">
        <f t="shared" si="354"/>
        <v>2</v>
      </c>
      <c r="O572" s="23">
        <f>N572*G572</f>
        <v>15380</v>
      </c>
    </row>
    <row r="573" spans="1:15" ht="27" customHeight="1" x14ac:dyDescent="0.25">
      <c r="A573" s="13" t="str">
        <f t="shared" si="386"/>
        <v>РЩ1-13 (АВР-Б-40-2-1)</v>
      </c>
      <c r="B573" s="10" t="s">
        <v>294</v>
      </c>
      <c r="C573" s="11" t="s">
        <v>203</v>
      </c>
      <c r="D573" s="10" t="s">
        <v>204</v>
      </c>
      <c r="E573" s="13">
        <v>2</v>
      </c>
      <c r="F573" s="14" t="s">
        <v>12</v>
      </c>
      <c r="G573" s="10">
        <v>13450</v>
      </c>
      <c r="H573" s="12">
        <f t="shared" si="391"/>
        <v>4035</v>
      </c>
      <c r="I573" s="12">
        <f t="shared" si="388"/>
        <v>8070</v>
      </c>
      <c r="J573" s="10" t="s">
        <v>207</v>
      </c>
      <c r="K573" s="13" t="str">
        <f t="shared" si="389"/>
        <v>Блок13</v>
      </c>
      <c r="L573">
        <v>8070</v>
      </c>
      <c r="M573">
        <f t="shared" si="390"/>
        <v>1</v>
      </c>
      <c r="N573">
        <f t="shared" si="354"/>
        <v>2</v>
      </c>
      <c r="O573" s="23">
        <f>N573*G573</f>
        <v>26900</v>
      </c>
    </row>
    <row r="574" spans="1:15" ht="27" customHeight="1" x14ac:dyDescent="0.25">
      <c r="A574" s="13" t="str">
        <f t="shared" si="386"/>
        <v>РЩ1-13 (АВР-Б-40-2-1)</v>
      </c>
      <c r="B574" s="10" t="s">
        <v>18</v>
      </c>
      <c r="C574" s="11" t="s">
        <v>233</v>
      </c>
      <c r="D574" s="10" t="s">
        <v>234</v>
      </c>
      <c r="E574" s="13">
        <v>1</v>
      </c>
      <c r="F574" s="14" t="s">
        <v>12</v>
      </c>
      <c r="G574" s="10">
        <v>5884</v>
      </c>
      <c r="H574" s="12">
        <f>0.6*G574</f>
        <v>3530.4</v>
      </c>
      <c r="I574" s="12">
        <f t="shared" si="388"/>
        <v>3530.4</v>
      </c>
      <c r="J574" s="10" t="s">
        <v>14</v>
      </c>
      <c r="K574" s="13" t="str">
        <f t="shared" si="389"/>
        <v>Блок13</v>
      </c>
      <c r="L574">
        <v>3530.4</v>
      </c>
      <c r="M574">
        <f t="shared" si="390"/>
        <v>1</v>
      </c>
      <c r="N574">
        <f t="shared" si="354"/>
        <v>1</v>
      </c>
      <c r="O574" s="23">
        <f>N574*H574</f>
        <v>3530.4</v>
      </c>
    </row>
    <row r="575" spans="1:15" ht="27" customHeight="1" x14ac:dyDescent="0.25">
      <c r="A575" s="13" t="str">
        <f t="shared" si="386"/>
        <v>РЩ1-13 (АВР-Б-40-2-1)</v>
      </c>
      <c r="B575" s="10" t="s">
        <v>293</v>
      </c>
      <c r="C575" s="11" t="s">
        <v>205</v>
      </c>
      <c r="D575" s="10" t="s">
        <v>206</v>
      </c>
      <c r="E575" s="13">
        <v>1</v>
      </c>
      <c r="F575" s="14" t="s">
        <v>12</v>
      </c>
      <c r="G575" s="10">
        <v>7090</v>
      </c>
      <c r="H575" s="12">
        <f>0.3*G575</f>
        <v>2127</v>
      </c>
      <c r="I575" s="12">
        <f t="shared" si="388"/>
        <v>2127</v>
      </c>
      <c r="J575" s="10" t="s">
        <v>207</v>
      </c>
      <c r="K575" s="13" t="str">
        <f t="shared" si="389"/>
        <v>Блок13</v>
      </c>
      <c r="L575">
        <v>2127</v>
      </c>
      <c r="M575">
        <f t="shared" si="390"/>
        <v>1</v>
      </c>
      <c r="N575">
        <f t="shared" si="354"/>
        <v>1</v>
      </c>
      <c r="O575" s="23">
        <f>N575*G575</f>
        <v>7090</v>
      </c>
    </row>
    <row r="576" spans="1:15" ht="27" customHeight="1" x14ac:dyDescent="0.25">
      <c r="A576" s="13" t="str">
        <f t="shared" si="386"/>
        <v>РЩ1-13 (АВР-Б-40-2-1)</v>
      </c>
      <c r="B576" s="10" t="s">
        <v>15</v>
      </c>
      <c r="C576" s="11" t="s">
        <v>299</v>
      </c>
      <c r="D576" s="10" t="s">
        <v>300</v>
      </c>
      <c r="E576" s="13">
        <v>1</v>
      </c>
      <c r="F576" s="14" t="s">
        <v>12</v>
      </c>
      <c r="G576" s="10">
        <v>32400</v>
      </c>
      <c r="H576" s="12">
        <f>G576</f>
        <v>32400</v>
      </c>
      <c r="I576" s="12">
        <f t="shared" si="388"/>
        <v>32400</v>
      </c>
      <c r="J576" s="10" t="s">
        <v>16</v>
      </c>
      <c r="K576" s="13" t="str">
        <f t="shared" si="389"/>
        <v>Блок13</v>
      </c>
      <c r="L576">
        <v>32400</v>
      </c>
      <c r="M576">
        <f t="shared" si="390"/>
        <v>1</v>
      </c>
      <c r="N576">
        <f t="shared" si="354"/>
        <v>1</v>
      </c>
      <c r="O576" s="23">
        <f t="shared" ref="O576:O586" si="392">N576*H576</f>
        <v>32400</v>
      </c>
    </row>
    <row r="577" spans="1:15" ht="27" customHeight="1" x14ac:dyDescent="0.25">
      <c r="A577" s="13" t="str">
        <f t="shared" si="386"/>
        <v>РЩ1-13 (АВР-Б-40-2-1)</v>
      </c>
      <c r="B577" s="10" t="s">
        <v>30</v>
      </c>
      <c r="C577" s="11"/>
      <c r="D577" s="10" t="s">
        <v>31</v>
      </c>
      <c r="E577" s="13">
        <v>6</v>
      </c>
      <c r="F577" s="14" t="s">
        <v>12</v>
      </c>
      <c r="G577" s="10">
        <v>3850</v>
      </c>
      <c r="H577" s="12">
        <f>G577</f>
        <v>3850</v>
      </c>
      <c r="I577" s="12">
        <f t="shared" si="388"/>
        <v>23100</v>
      </c>
      <c r="J577" s="10" t="s">
        <v>25</v>
      </c>
      <c r="K577" s="13" t="str">
        <f t="shared" si="389"/>
        <v>Блок13</v>
      </c>
      <c r="L577">
        <v>23100</v>
      </c>
      <c r="M577">
        <f t="shared" si="390"/>
        <v>1</v>
      </c>
      <c r="N577">
        <f t="shared" si="354"/>
        <v>6</v>
      </c>
      <c r="O577" s="23">
        <f t="shared" si="392"/>
        <v>23100</v>
      </c>
    </row>
    <row r="578" spans="1:15" ht="27" customHeight="1" x14ac:dyDescent="0.25">
      <c r="A578" s="10" t="str">
        <f t="shared" si="386"/>
        <v>РЩ1-13 (АВР-Б-40-2-1)</v>
      </c>
      <c r="B578" s="10" t="s">
        <v>19</v>
      </c>
      <c r="C578" s="11" t="s">
        <v>19</v>
      </c>
      <c r="D578" s="10" t="s">
        <v>19</v>
      </c>
      <c r="E578" s="10">
        <v>1</v>
      </c>
      <c r="F578" s="10" t="s">
        <v>12</v>
      </c>
      <c r="G578" s="10">
        <f ca="1">OFFSET(G578,1,2)</f>
        <v>39000</v>
      </c>
      <c r="H578" s="12">
        <f ca="1">G578</f>
        <v>39000</v>
      </c>
      <c r="I578" s="12">
        <f t="shared" ca="1" si="388"/>
        <v>39000</v>
      </c>
      <c r="J578" s="10" t="s">
        <v>19</v>
      </c>
      <c r="K578" s="13" t="str">
        <f t="shared" si="389"/>
        <v>Блок13</v>
      </c>
      <c r="L578">
        <v>39000</v>
      </c>
      <c r="M578">
        <f t="shared" si="390"/>
        <v>1</v>
      </c>
      <c r="N578">
        <f t="shared" si="354"/>
        <v>1</v>
      </c>
      <c r="O578" s="23">
        <f t="shared" ca="1" si="392"/>
        <v>39000</v>
      </c>
    </row>
    <row r="579" spans="1:15" ht="27" customHeight="1" x14ac:dyDescent="0.25">
      <c r="A579" s="10" t="str">
        <f t="shared" si="386"/>
        <v>РЩ1-13 (АВР-Б-40-2-1)</v>
      </c>
      <c r="B579" s="10" t="s">
        <v>20</v>
      </c>
      <c r="C579" s="11" t="s">
        <v>20</v>
      </c>
      <c r="D579" s="10" t="s">
        <v>20</v>
      </c>
      <c r="E579" s="10">
        <f>60*G579</f>
        <v>390</v>
      </c>
      <c r="F579" s="10" t="s">
        <v>12</v>
      </c>
      <c r="G579" s="10">
        <v>6.5</v>
      </c>
      <c r="H579" s="12">
        <v>100</v>
      </c>
      <c r="I579" s="12">
        <f t="shared" si="388"/>
        <v>39000</v>
      </c>
      <c r="J579" s="10" t="s">
        <v>20</v>
      </c>
      <c r="K579" s="13" t="str">
        <f t="shared" si="389"/>
        <v>Блок13</v>
      </c>
      <c r="L579">
        <v>39000</v>
      </c>
      <c r="M579">
        <f t="shared" si="390"/>
        <v>1</v>
      </c>
      <c r="N579">
        <f t="shared" si="354"/>
        <v>390</v>
      </c>
      <c r="O579" s="23">
        <f t="shared" si="392"/>
        <v>39000</v>
      </c>
    </row>
    <row r="580" spans="1:15" ht="27" customHeight="1" x14ac:dyDescent="0.25">
      <c r="A580" s="15" t="str">
        <f t="shared" si="386"/>
        <v>РЩ1-13 (АВР-Б-40-2-1)</v>
      </c>
      <c r="B580" s="15"/>
      <c r="C580" s="15"/>
      <c r="D580" s="16"/>
      <c r="E580" s="15"/>
      <c r="F580" s="19"/>
      <c r="G580" s="17"/>
      <c r="H580" s="12">
        <f>G580*0.55</f>
        <v>0</v>
      </c>
      <c r="I580" s="18">
        <f ca="1">SUM(I569:I579)</f>
        <v>303310.19999999995</v>
      </c>
      <c r="J580" s="15"/>
      <c r="K580" s="13" t="str">
        <f t="shared" si="389"/>
        <v>Блок13</v>
      </c>
      <c r="L580">
        <v>303310.19999999995</v>
      </c>
      <c r="M580">
        <f t="shared" si="390"/>
        <v>1</v>
      </c>
      <c r="N580">
        <f t="shared" si="354"/>
        <v>0</v>
      </c>
      <c r="O580" s="23">
        <f t="shared" si="392"/>
        <v>0</v>
      </c>
    </row>
    <row r="581" spans="1:15" ht="27" customHeight="1" x14ac:dyDescent="0.25">
      <c r="A581" s="8" t="str">
        <f>D581</f>
        <v>ВРУ1-14</v>
      </c>
      <c r="B581" s="4"/>
      <c r="C581" s="5"/>
      <c r="D581" s="4" t="s">
        <v>106</v>
      </c>
      <c r="E581" s="8">
        <v>1</v>
      </c>
      <c r="F581" s="9" t="s">
        <v>9</v>
      </c>
      <c r="G581" s="6"/>
      <c r="H581" s="6"/>
      <c r="I581" s="7"/>
      <c r="J581" s="4" t="s">
        <v>10</v>
      </c>
      <c r="K581" s="8" t="s">
        <v>107</v>
      </c>
      <c r="M581">
        <f>E581</f>
        <v>1</v>
      </c>
      <c r="N581">
        <f t="shared" si="354"/>
        <v>1</v>
      </c>
      <c r="O581" s="23">
        <f t="shared" si="392"/>
        <v>0</v>
      </c>
    </row>
    <row r="582" spans="1:15" ht="27" customHeight="1" x14ac:dyDescent="0.25">
      <c r="A582" s="13" t="str">
        <f t="shared" ref="A582:A592" si="393">A581</f>
        <v>ВРУ1-14</v>
      </c>
      <c r="B582" s="10" t="s">
        <v>11</v>
      </c>
      <c r="C582" s="11" t="s">
        <v>172</v>
      </c>
      <c r="D582" s="10" t="s">
        <v>173</v>
      </c>
      <c r="E582" s="13">
        <v>1</v>
      </c>
      <c r="F582" s="14" t="s">
        <v>12</v>
      </c>
      <c r="G582" s="10">
        <v>156500</v>
      </c>
      <c r="H582" s="12">
        <f>0.6*G582</f>
        <v>93900</v>
      </c>
      <c r="I582" s="12">
        <f t="shared" ref="I582:I591" si="394">H582*E582</f>
        <v>93900</v>
      </c>
      <c r="J582" s="10" t="s">
        <v>13</v>
      </c>
      <c r="K582" s="13" t="str">
        <f t="shared" ref="K582:K592" si="395">K581</f>
        <v>Блок14</v>
      </c>
      <c r="L582">
        <v>93900</v>
      </c>
      <c r="M582">
        <f t="shared" ref="M582:M592" si="396">M581</f>
        <v>1</v>
      </c>
      <c r="N582">
        <f t="shared" ref="N582:N645" si="397">M582*E582</f>
        <v>1</v>
      </c>
      <c r="O582" s="23">
        <f t="shared" si="392"/>
        <v>93900</v>
      </c>
    </row>
    <row r="583" spans="1:15" ht="27" customHeight="1" x14ac:dyDescent="0.25">
      <c r="A583" s="13" t="str">
        <f t="shared" si="393"/>
        <v>ВРУ1-14</v>
      </c>
      <c r="B583" s="10" t="s">
        <v>23</v>
      </c>
      <c r="C583" s="11" t="s">
        <v>307</v>
      </c>
      <c r="D583" s="10" t="s">
        <v>308</v>
      </c>
      <c r="E583" s="13">
        <v>6</v>
      </c>
      <c r="F583" s="14" t="s">
        <v>12</v>
      </c>
      <c r="G583" s="10">
        <v>5523</v>
      </c>
      <c r="H583" s="12">
        <f t="shared" ref="H583:H584" si="398">G583</f>
        <v>5523</v>
      </c>
      <c r="I583" s="12">
        <f t="shared" si="394"/>
        <v>33138</v>
      </c>
      <c r="J583" s="10" t="s">
        <v>25</v>
      </c>
      <c r="K583" s="13" t="str">
        <f t="shared" si="395"/>
        <v>Блок14</v>
      </c>
      <c r="L583">
        <v>33138</v>
      </c>
      <c r="M583">
        <f t="shared" si="396"/>
        <v>1</v>
      </c>
      <c r="N583">
        <f t="shared" si="397"/>
        <v>6</v>
      </c>
      <c r="O583" s="23">
        <f t="shared" si="392"/>
        <v>33138</v>
      </c>
    </row>
    <row r="584" spans="1:15" ht="27" customHeight="1" x14ac:dyDescent="0.25">
      <c r="A584" s="13" t="str">
        <f t="shared" si="393"/>
        <v>ВРУ1-14</v>
      </c>
      <c r="B584" s="10" t="s">
        <v>26</v>
      </c>
      <c r="C584" s="11" t="s">
        <v>177</v>
      </c>
      <c r="D584" s="10" t="s">
        <v>178</v>
      </c>
      <c r="E584" s="13">
        <v>2</v>
      </c>
      <c r="F584" s="14" t="s">
        <v>12</v>
      </c>
      <c r="G584" s="10">
        <v>25500</v>
      </c>
      <c r="H584" s="12">
        <f t="shared" si="398"/>
        <v>25500</v>
      </c>
      <c r="I584" s="12">
        <f t="shared" si="394"/>
        <v>51000</v>
      </c>
      <c r="J584" s="10" t="s">
        <v>25</v>
      </c>
      <c r="K584" s="13" t="str">
        <f t="shared" si="395"/>
        <v>Блок14</v>
      </c>
      <c r="L584">
        <v>51000</v>
      </c>
      <c r="M584">
        <f t="shared" si="396"/>
        <v>1</v>
      </c>
      <c r="N584">
        <f t="shared" si="397"/>
        <v>2</v>
      </c>
      <c r="O584" s="23">
        <f t="shared" si="392"/>
        <v>51000</v>
      </c>
    </row>
    <row r="585" spans="1:15" ht="27" customHeight="1" x14ac:dyDescent="0.25">
      <c r="A585" s="13" t="str">
        <f t="shared" si="393"/>
        <v>ВРУ1-14</v>
      </c>
      <c r="B585" s="10" t="s">
        <v>127</v>
      </c>
      <c r="C585" s="11" t="s">
        <v>130</v>
      </c>
      <c r="D585" s="10" t="s">
        <v>131</v>
      </c>
      <c r="E585" s="13">
        <v>6</v>
      </c>
      <c r="F585" s="14" t="s">
        <v>12</v>
      </c>
      <c r="G585" s="10">
        <v>4750</v>
      </c>
      <c r="H585" s="12">
        <f t="shared" ref="H585:H586" si="399">0.6*G585</f>
        <v>2850</v>
      </c>
      <c r="I585" s="12">
        <f t="shared" si="394"/>
        <v>17100</v>
      </c>
      <c r="J585" s="10" t="s">
        <v>14</v>
      </c>
      <c r="K585" s="13" t="str">
        <f t="shared" si="395"/>
        <v>Блок14</v>
      </c>
      <c r="L585">
        <v>17100</v>
      </c>
      <c r="M585">
        <f t="shared" si="396"/>
        <v>1</v>
      </c>
      <c r="N585">
        <f t="shared" si="397"/>
        <v>6</v>
      </c>
      <c r="O585" s="23">
        <f t="shared" si="392"/>
        <v>17100</v>
      </c>
    </row>
    <row r="586" spans="1:15" ht="27" customHeight="1" x14ac:dyDescent="0.25">
      <c r="A586" s="13" t="str">
        <f t="shared" si="393"/>
        <v>ВРУ1-14</v>
      </c>
      <c r="B586" s="10" t="s">
        <v>126</v>
      </c>
      <c r="C586" s="11" t="s">
        <v>128</v>
      </c>
      <c r="D586" s="10" t="s">
        <v>129</v>
      </c>
      <c r="E586" s="13">
        <v>6</v>
      </c>
      <c r="F586" s="14" t="s">
        <v>12</v>
      </c>
      <c r="G586" s="10">
        <v>3317</v>
      </c>
      <c r="H586" s="12">
        <f t="shared" si="399"/>
        <v>1990.1999999999998</v>
      </c>
      <c r="I586" s="12">
        <f t="shared" si="394"/>
        <v>11941.199999999999</v>
      </c>
      <c r="J586" s="10" t="s">
        <v>14</v>
      </c>
      <c r="K586" s="13" t="str">
        <f t="shared" si="395"/>
        <v>Блок14</v>
      </c>
      <c r="L586">
        <v>11941.199999999999</v>
      </c>
      <c r="M586">
        <f t="shared" si="396"/>
        <v>1</v>
      </c>
      <c r="N586">
        <f t="shared" si="397"/>
        <v>6</v>
      </c>
      <c r="O586" s="23">
        <f t="shared" si="392"/>
        <v>11941.199999999999</v>
      </c>
    </row>
    <row r="587" spans="1:15" ht="27" customHeight="1" x14ac:dyDescent="0.25">
      <c r="A587" s="13" t="str">
        <f t="shared" si="393"/>
        <v>ВРУ1-14</v>
      </c>
      <c r="B587" s="10" t="s">
        <v>293</v>
      </c>
      <c r="C587" s="11" t="s">
        <v>189</v>
      </c>
      <c r="D587" s="10" t="s">
        <v>190</v>
      </c>
      <c r="E587" s="13">
        <v>2</v>
      </c>
      <c r="F587" s="14" t="s">
        <v>12</v>
      </c>
      <c r="G587" s="10">
        <v>1390</v>
      </c>
      <c r="H587" s="12">
        <f>0.3*G587</f>
        <v>417</v>
      </c>
      <c r="I587" s="12">
        <f t="shared" si="394"/>
        <v>834</v>
      </c>
      <c r="J587" s="10" t="s">
        <v>207</v>
      </c>
      <c r="K587" s="13" t="str">
        <f t="shared" si="395"/>
        <v>Блок14</v>
      </c>
      <c r="L587">
        <v>834</v>
      </c>
      <c r="M587">
        <f t="shared" si="396"/>
        <v>1</v>
      </c>
      <c r="N587">
        <f t="shared" si="397"/>
        <v>2</v>
      </c>
      <c r="O587" s="23">
        <f>N587*G587</f>
        <v>2780</v>
      </c>
    </row>
    <row r="588" spans="1:15" ht="27" customHeight="1" x14ac:dyDescent="0.25">
      <c r="A588" s="13" t="str">
        <f t="shared" si="393"/>
        <v>ВРУ1-14</v>
      </c>
      <c r="B588" s="10" t="s">
        <v>15</v>
      </c>
      <c r="C588" s="11" t="s">
        <v>297</v>
      </c>
      <c r="D588" s="24" t="s">
        <v>298</v>
      </c>
      <c r="E588" s="13">
        <v>2</v>
      </c>
      <c r="F588" s="14" t="s">
        <v>12</v>
      </c>
      <c r="G588" s="10">
        <v>89000</v>
      </c>
      <c r="H588" s="12">
        <f>G588</f>
        <v>89000</v>
      </c>
      <c r="I588" s="12">
        <f t="shared" si="394"/>
        <v>178000</v>
      </c>
      <c r="J588" s="10" t="s">
        <v>16</v>
      </c>
      <c r="K588" s="13" t="str">
        <f t="shared" si="395"/>
        <v>Блок14</v>
      </c>
      <c r="L588">
        <v>178000</v>
      </c>
      <c r="M588">
        <f t="shared" si="396"/>
        <v>1</v>
      </c>
      <c r="N588">
        <f t="shared" si="397"/>
        <v>2</v>
      </c>
      <c r="O588" s="23">
        <f t="shared" ref="O588:O594" si="400">N588*H588</f>
        <v>178000</v>
      </c>
    </row>
    <row r="589" spans="1:15" ht="27" customHeight="1" x14ac:dyDescent="0.25">
      <c r="A589" s="13" t="str">
        <f t="shared" si="393"/>
        <v>ВРУ1-14</v>
      </c>
      <c r="B589" s="10" t="s">
        <v>30</v>
      </c>
      <c r="C589" s="11"/>
      <c r="D589" s="10" t="s">
        <v>31</v>
      </c>
      <c r="E589" s="13">
        <v>6</v>
      </c>
      <c r="F589" s="14" t="s">
        <v>12</v>
      </c>
      <c r="G589" s="10">
        <v>3850</v>
      </c>
      <c r="H589" s="12">
        <f>G589</f>
        <v>3850</v>
      </c>
      <c r="I589" s="12">
        <f t="shared" si="394"/>
        <v>23100</v>
      </c>
      <c r="J589" s="10" t="s">
        <v>25</v>
      </c>
      <c r="K589" s="13" t="str">
        <f t="shared" si="395"/>
        <v>Блок14</v>
      </c>
      <c r="L589">
        <v>23100</v>
      </c>
      <c r="M589">
        <f t="shared" si="396"/>
        <v>1</v>
      </c>
      <c r="N589">
        <f t="shared" si="397"/>
        <v>6</v>
      </c>
      <c r="O589" s="23">
        <f t="shared" si="400"/>
        <v>23100</v>
      </c>
    </row>
    <row r="590" spans="1:15" ht="27" customHeight="1" x14ac:dyDescent="0.25">
      <c r="A590" s="10" t="str">
        <f t="shared" si="393"/>
        <v>ВРУ1-14</v>
      </c>
      <c r="B590" s="10" t="s">
        <v>19</v>
      </c>
      <c r="C590" s="11" t="s">
        <v>19</v>
      </c>
      <c r="D590" s="10" t="s">
        <v>19</v>
      </c>
      <c r="E590" s="10">
        <v>1</v>
      </c>
      <c r="F590" s="10" t="s">
        <v>12</v>
      </c>
      <c r="G590" s="10">
        <f ca="1">OFFSET(G590,1,2)</f>
        <v>48000</v>
      </c>
      <c r="H590" s="12">
        <f ca="1">G590</f>
        <v>48000</v>
      </c>
      <c r="I590" s="12">
        <f t="shared" ca="1" si="394"/>
        <v>48000</v>
      </c>
      <c r="J590" s="10" t="s">
        <v>19</v>
      </c>
      <c r="K590" s="13" t="str">
        <f t="shared" si="395"/>
        <v>Блок14</v>
      </c>
      <c r="L590">
        <v>48000</v>
      </c>
      <c r="M590">
        <f t="shared" si="396"/>
        <v>1</v>
      </c>
      <c r="N590">
        <f t="shared" si="397"/>
        <v>1</v>
      </c>
      <c r="O590" s="23">
        <f t="shared" ca="1" si="400"/>
        <v>48000</v>
      </c>
    </row>
    <row r="591" spans="1:15" ht="27" customHeight="1" x14ac:dyDescent="0.25">
      <c r="A591" s="10" t="str">
        <f t="shared" si="393"/>
        <v>ВРУ1-14</v>
      </c>
      <c r="B591" s="10" t="s">
        <v>20</v>
      </c>
      <c r="C591" s="11" t="s">
        <v>20</v>
      </c>
      <c r="D591" s="10" t="s">
        <v>20</v>
      </c>
      <c r="E591" s="10">
        <f>60*G591</f>
        <v>480</v>
      </c>
      <c r="F591" s="10" t="s">
        <v>12</v>
      </c>
      <c r="G591" s="10">
        <v>8</v>
      </c>
      <c r="H591" s="12">
        <v>100</v>
      </c>
      <c r="I591" s="12">
        <f t="shared" si="394"/>
        <v>48000</v>
      </c>
      <c r="J591" s="10" t="s">
        <v>20</v>
      </c>
      <c r="K591" s="13" t="str">
        <f t="shared" si="395"/>
        <v>Блок14</v>
      </c>
      <c r="L591">
        <v>48000</v>
      </c>
      <c r="M591">
        <f t="shared" si="396"/>
        <v>1</v>
      </c>
      <c r="N591">
        <f t="shared" si="397"/>
        <v>480</v>
      </c>
      <c r="O591" s="23">
        <f t="shared" si="400"/>
        <v>48000</v>
      </c>
    </row>
    <row r="592" spans="1:15" ht="27" customHeight="1" x14ac:dyDescent="0.25">
      <c r="A592" s="15" t="str">
        <f t="shared" si="393"/>
        <v>ВРУ1-14</v>
      </c>
      <c r="B592" s="15"/>
      <c r="C592" s="15"/>
      <c r="D592" s="16"/>
      <c r="E592" s="15"/>
      <c r="F592" s="19"/>
      <c r="G592" s="17"/>
      <c r="H592" s="12">
        <f>G592*0.55</f>
        <v>0</v>
      </c>
      <c r="I592" s="18">
        <f ca="1">SUM(I582:I591)</f>
        <v>505013.2</v>
      </c>
      <c r="J592" s="15"/>
      <c r="K592" s="13" t="str">
        <f t="shared" si="395"/>
        <v>Блок14</v>
      </c>
      <c r="L592">
        <v>505013.2</v>
      </c>
      <c r="M592">
        <f t="shared" si="396"/>
        <v>1</v>
      </c>
      <c r="N592">
        <f t="shared" si="397"/>
        <v>0</v>
      </c>
      <c r="O592" s="23">
        <f t="shared" si="400"/>
        <v>0</v>
      </c>
    </row>
    <row r="593" spans="1:15" ht="27" customHeight="1" x14ac:dyDescent="0.25">
      <c r="A593" s="8" t="str">
        <f>D593</f>
        <v>РУ-1-14</v>
      </c>
      <c r="B593" s="4"/>
      <c r="C593" s="5"/>
      <c r="D593" s="4" t="s">
        <v>108</v>
      </c>
      <c r="E593" s="8">
        <v>1</v>
      </c>
      <c r="F593" s="9" t="s">
        <v>9</v>
      </c>
      <c r="G593" s="6"/>
      <c r="H593" s="6"/>
      <c r="I593" s="7"/>
      <c r="J593" s="4" t="s">
        <v>10</v>
      </c>
      <c r="K593" s="8" t="s">
        <v>107</v>
      </c>
      <c r="M593">
        <f>E593</f>
        <v>1</v>
      </c>
      <c r="N593">
        <f t="shared" si="397"/>
        <v>1</v>
      </c>
      <c r="O593" s="23">
        <f t="shared" si="400"/>
        <v>0</v>
      </c>
    </row>
    <row r="594" spans="1:15" ht="27" customHeight="1" x14ac:dyDescent="0.25">
      <c r="A594" s="13" t="str">
        <f t="shared" ref="A594:A600" si="401">A593</f>
        <v>РУ-1-14</v>
      </c>
      <c r="B594" s="10" t="s">
        <v>11</v>
      </c>
      <c r="C594" s="11" t="s">
        <v>170</v>
      </c>
      <c r="D594" s="10" t="s">
        <v>171</v>
      </c>
      <c r="E594" s="13">
        <v>1</v>
      </c>
      <c r="F594" s="14" t="s">
        <v>12</v>
      </c>
      <c r="G594" s="10">
        <v>145000</v>
      </c>
      <c r="H594" s="12">
        <f>0.6*G594</f>
        <v>87000</v>
      </c>
      <c r="I594" s="12">
        <f t="shared" ref="I594:I599" si="402">H594*E594</f>
        <v>87000</v>
      </c>
      <c r="J594" s="10" t="s">
        <v>13</v>
      </c>
      <c r="K594" s="13" t="str">
        <f t="shared" ref="K594:K600" si="403">K593</f>
        <v>Блок14</v>
      </c>
      <c r="L594">
        <v>87000</v>
      </c>
      <c r="M594">
        <f t="shared" ref="M594:M600" si="404">M593</f>
        <v>1</v>
      </c>
      <c r="N594">
        <f t="shared" si="397"/>
        <v>1</v>
      </c>
      <c r="O594" s="23">
        <f t="shared" si="400"/>
        <v>87000</v>
      </c>
    </row>
    <row r="595" spans="1:15" ht="27" customHeight="1" x14ac:dyDescent="0.25">
      <c r="A595" s="13" t="str">
        <f t="shared" si="401"/>
        <v>РУ-1-14</v>
      </c>
      <c r="B595" s="10" t="s">
        <v>294</v>
      </c>
      <c r="C595" s="11" t="s">
        <v>225</v>
      </c>
      <c r="D595" s="10" t="s">
        <v>226</v>
      </c>
      <c r="E595" s="13">
        <v>2</v>
      </c>
      <c r="F595" s="14" t="s">
        <v>12</v>
      </c>
      <c r="G595" s="10">
        <v>17300</v>
      </c>
      <c r="H595" s="12">
        <f t="shared" ref="H595:H597" si="405">0.3*G595</f>
        <v>5190</v>
      </c>
      <c r="I595" s="12">
        <f t="shared" si="402"/>
        <v>10380</v>
      </c>
      <c r="J595" s="10" t="s">
        <v>207</v>
      </c>
      <c r="K595" s="13" t="str">
        <f t="shared" si="403"/>
        <v>Блок14</v>
      </c>
      <c r="L595">
        <v>10380</v>
      </c>
      <c r="M595">
        <f t="shared" si="404"/>
        <v>1</v>
      </c>
      <c r="N595">
        <f t="shared" si="397"/>
        <v>2</v>
      </c>
      <c r="O595" s="23">
        <f>N595*G595</f>
        <v>34600</v>
      </c>
    </row>
    <row r="596" spans="1:15" ht="27" customHeight="1" x14ac:dyDescent="0.25">
      <c r="A596" s="13" t="str">
        <f t="shared" si="401"/>
        <v>РУ-1-14</v>
      </c>
      <c r="B596" s="10" t="s">
        <v>294</v>
      </c>
      <c r="C596" s="11" t="s">
        <v>227</v>
      </c>
      <c r="D596" s="10" t="s">
        <v>228</v>
      </c>
      <c r="E596" s="13">
        <v>1</v>
      </c>
      <c r="F596" s="14" t="s">
        <v>12</v>
      </c>
      <c r="G596" s="10">
        <v>29990</v>
      </c>
      <c r="H596" s="12">
        <f t="shared" si="405"/>
        <v>8997</v>
      </c>
      <c r="I596" s="12">
        <f t="shared" si="402"/>
        <v>8997</v>
      </c>
      <c r="J596" s="10" t="s">
        <v>207</v>
      </c>
      <c r="K596" s="13" t="str">
        <f t="shared" si="403"/>
        <v>Блок14</v>
      </c>
      <c r="L596">
        <v>8997</v>
      </c>
      <c r="M596">
        <f t="shared" si="404"/>
        <v>1</v>
      </c>
      <c r="N596">
        <f t="shared" si="397"/>
        <v>1</v>
      </c>
      <c r="O596" s="23">
        <f>N596*G596</f>
        <v>29990</v>
      </c>
    </row>
    <row r="597" spans="1:15" ht="27" customHeight="1" x14ac:dyDescent="0.25">
      <c r="A597" s="13" t="str">
        <f t="shared" si="401"/>
        <v>РУ-1-14</v>
      </c>
      <c r="B597" s="10" t="s">
        <v>293</v>
      </c>
      <c r="C597" s="11" t="s">
        <v>217</v>
      </c>
      <c r="D597" s="10" t="s">
        <v>218</v>
      </c>
      <c r="E597" s="13">
        <v>2</v>
      </c>
      <c r="F597" s="14" t="s">
        <v>12</v>
      </c>
      <c r="G597" s="10">
        <v>7850</v>
      </c>
      <c r="H597" s="12">
        <f t="shared" si="405"/>
        <v>2355</v>
      </c>
      <c r="I597" s="12">
        <f t="shared" si="402"/>
        <v>4710</v>
      </c>
      <c r="J597" s="10" t="s">
        <v>207</v>
      </c>
      <c r="K597" s="13" t="str">
        <f t="shared" si="403"/>
        <v>Блок14</v>
      </c>
      <c r="L597">
        <v>4710</v>
      </c>
      <c r="M597">
        <f t="shared" si="404"/>
        <v>1</v>
      </c>
      <c r="N597">
        <f t="shared" si="397"/>
        <v>2</v>
      </c>
      <c r="O597" s="23">
        <f>N597*G597</f>
        <v>15700</v>
      </c>
    </row>
    <row r="598" spans="1:15" ht="27" customHeight="1" x14ac:dyDescent="0.25">
      <c r="A598" s="10" t="str">
        <f t="shared" si="401"/>
        <v>РУ-1-14</v>
      </c>
      <c r="B598" s="10" t="s">
        <v>19</v>
      </c>
      <c r="C598" s="11" t="s">
        <v>19</v>
      </c>
      <c r="D598" s="10" t="s">
        <v>19</v>
      </c>
      <c r="E598" s="10">
        <v>1</v>
      </c>
      <c r="F598" s="10" t="s">
        <v>12</v>
      </c>
      <c r="G598" s="10">
        <f ca="1">OFFSET(G598,1,2)</f>
        <v>27000</v>
      </c>
      <c r="H598" s="12">
        <f ca="1">G598</f>
        <v>27000</v>
      </c>
      <c r="I598" s="12">
        <f t="shared" ca="1" si="402"/>
        <v>27000</v>
      </c>
      <c r="J598" s="10" t="s">
        <v>19</v>
      </c>
      <c r="K598" s="13" t="str">
        <f t="shared" si="403"/>
        <v>Блок14</v>
      </c>
      <c r="L598">
        <v>27000</v>
      </c>
      <c r="M598">
        <f t="shared" si="404"/>
        <v>1</v>
      </c>
      <c r="N598">
        <f t="shared" si="397"/>
        <v>1</v>
      </c>
      <c r="O598" s="23">
        <f ca="1">N598*H598</f>
        <v>27000</v>
      </c>
    </row>
    <row r="599" spans="1:15" ht="27" customHeight="1" x14ac:dyDescent="0.25">
      <c r="A599" s="10" t="str">
        <f t="shared" si="401"/>
        <v>РУ-1-14</v>
      </c>
      <c r="B599" s="10" t="s">
        <v>20</v>
      </c>
      <c r="C599" s="11" t="s">
        <v>20</v>
      </c>
      <c r="D599" s="10" t="s">
        <v>20</v>
      </c>
      <c r="E599" s="10">
        <f>60*G599</f>
        <v>270</v>
      </c>
      <c r="F599" s="10" t="s">
        <v>12</v>
      </c>
      <c r="G599" s="10">
        <v>4.5</v>
      </c>
      <c r="H599" s="12">
        <v>100</v>
      </c>
      <c r="I599" s="12">
        <f t="shared" si="402"/>
        <v>27000</v>
      </c>
      <c r="J599" s="10" t="s">
        <v>20</v>
      </c>
      <c r="K599" s="13" t="str">
        <f t="shared" si="403"/>
        <v>Блок14</v>
      </c>
      <c r="L599">
        <v>27000</v>
      </c>
      <c r="M599">
        <f t="shared" si="404"/>
        <v>1</v>
      </c>
      <c r="N599">
        <f t="shared" si="397"/>
        <v>270</v>
      </c>
      <c r="O599" s="23">
        <f>N599*H599</f>
        <v>27000</v>
      </c>
    </row>
    <row r="600" spans="1:15" ht="27" customHeight="1" x14ac:dyDescent="0.25">
      <c r="A600" s="15" t="str">
        <f t="shared" si="401"/>
        <v>РУ-1-14</v>
      </c>
      <c r="B600" s="15"/>
      <c r="C600" s="15"/>
      <c r="D600" s="16"/>
      <c r="E600" s="15"/>
      <c r="F600" s="19"/>
      <c r="G600" s="17"/>
      <c r="H600" s="12">
        <f t="shared" ref="H600" si="406">G600*0.55</f>
        <v>0</v>
      </c>
      <c r="I600" s="18">
        <f ca="1">SUM(I594:I599)</f>
        <v>165087</v>
      </c>
      <c r="J600" s="15"/>
      <c r="K600" s="13" t="str">
        <f t="shared" si="403"/>
        <v>Блок14</v>
      </c>
      <c r="L600">
        <v>165087</v>
      </c>
      <c r="M600">
        <f t="shared" si="404"/>
        <v>1</v>
      </c>
      <c r="N600">
        <f t="shared" si="397"/>
        <v>0</v>
      </c>
      <c r="O600" s="23">
        <f>N600*H600</f>
        <v>0</v>
      </c>
    </row>
    <row r="601" spans="1:15" ht="27" customHeight="1" x14ac:dyDescent="0.25">
      <c r="A601" s="8" t="str">
        <f>D601</f>
        <v>РУ-2-14</v>
      </c>
      <c r="B601" s="4"/>
      <c r="C601" s="5"/>
      <c r="D601" s="4" t="s">
        <v>109</v>
      </c>
      <c r="E601" s="8">
        <v>1</v>
      </c>
      <c r="F601" s="9" t="s">
        <v>9</v>
      </c>
      <c r="G601" s="6"/>
      <c r="H601" s="6"/>
      <c r="I601" s="7"/>
      <c r="J601" s="4" t="s">
        <v>10</v>
      </c>
      <c r="K601" s="8" t="s">
        <v>107</v>
      </c>
      <c r="M601">
        <f>E601</f>
        <v>1</v>
      </c>
      <c r="N601">
        <f t="shared" si="397"/>
        <v>1</v>
      </c>
      <c r="O601" s="23">
        <f>N601*H601</f>
        <v>0</v>
      </c>
    </row>
    <row r="602" spans="1:15" ht="27" customHeight="1" x14ac:dyDescent="0.25">
      <c r="A602" s="13" t="str">
        <f t="shared" ref="A602:A608" si="407">A601</f>
        <v>РУ-2-14</v>
      </c>
      <c r="B602" s="10" t="s">
        <v>11</v>
      </c>
      <c r="C602" s="11" t="s">
        <v>170</v>
      </c>
      <c r="D602" s="10" t="s">
        <v>171</v>
      </c>
      <c r="E602" s="13">
        <v>1</v>
      </c>
      <c r="F602" s="14" t="s">
        <v>12</v>
      </c>
      <c r="G602" s="10">
        <v>145000</v>
      </c>
      <c r="H602" s="12">
        <f>0.6*G602</f>
        <v>87000</v>
      </c>
      <c r="I602" s="12">
        <f t="shared" ref="I602:I607" si="408">H602*E602</f>
        <v>87000</v>
      </c>
      <c r="J602" s="10" t="s">
        <v>13</v>
      </c>
      <c r="K602" s="13" t="str">
        <f t="shared" ref="K602:K608" si="409">K601</f>
        <v>Блок14</v>
      </c>
      <c r="L602">
        <v>87000</v>
      </c>
      <c r="M602">
        <f t="shared" ref="M602:M608" si="410">M601</f>
        <v>1</v>
      </c>
      <c r="N602">
        <f t="shared" si="397"/>
        <v>1</v>
      </c>
      <c r="O602" s="23">
        <f>N602*H602</f>
        <v>87000</v>
      </c>
    </row>
    <row r="603" spans="1:15" ht="27" customHeight="1" x14ac:dyDescent="0.25">
      <c r="A603" s="13" t="str">
        <f t="shared" si="407"/>
        <v>РУ-2-14</v>
      </c>
      <c r="B603" s="10" t="s">
        <v>294</v>
      </c>
      <c r="C603" s="11" t="s">
        <v>227</v>
      </c>
      <c r="D603" s="10" t="s">
        <v>228</v>
      </c>
      <c r="E603" s="13">
        <v>1</v>
      </c>
      <c r="F603" s="14" t="s">
        <v>12</v>
      </c>
      <c r="G603" s="10">
        <v>29990</v>
      </c>
      <c r="H603" s="12">
        <f t="shared" ref="H603:H605" si="411">0.3*G603</f>
        <v>8997</v>
      </c>
      <c r="I603" s="12">
        <f t="shared" si="408"/>
        <v>8997</v>
      </c>
      <c r="J603" s="10" t="s">
        <v>207</v>
      </c>
      <c r="K603" s="13" t="str">
        <f t="shared" si="409"/>
        <v>Блок14</v>
      </c>
      <c r="L603">
        <v>8997</v>
      </c>
      <c r="M603">
        <f t="shared" si="410"/>
        <v>1</v>
      </c>
      <c r="N603">
        <f t="shared" si="397"/>
        <v>1</v>
      </c>
      <c r="O603" s="23">
        <f>N603*G603</f>
        <v>29990</v>
      </c>
    </row>
    <row r="604" spans="1:15" ht="27" customHeight="1" x14ac:dyDescent="0.25">
      <c r="A604" s="13" t="str">
        <f t="shared" si="407"/>
        <v>РУ-2-14</v>
      </c>
      <c r="B604" s="10" t="s">
        <v>294</v>
      </c>
      <c r="C604" s="11" t="s">
        <v>211</v>
      </c>
      <c r="D604" s="10" t="s">
        <v>212</v>
      </c>
      <c r="E604" s="13">
        <v>3</v>
      </c>
      <c r="F604" s="14" t="s">
        <v>12</v>
      </c>
      <c r="G604" s="10">
        <v>16550</v>
      </c>
      <c r="H604" s="12">
        <f t="shared" si="411"/>
        <v>4965</v>
      </c>
      <c r="I604" s="12">
        <f t="shared" si="408"/>
        <v>14895</v>
      </c>
      <c r="J604" s="10" t="s">
        <v>207</v>
      </c>
      <c r="K604" s="13" t="str">
        <f t="shared" si="409"/>
        <v>Блок14</v>
      </c>
      <c r="L604">
        <v>14895</v>
      </c>
      <c r="M604">
        <f t="shared" si="410"/>
        <v>1</v>
      </c>
      <c r="N604">
        <f t="shared" si="397"/>
        <v>3</v>
      </c>
      <c r="O604" s="23">
        <f>N604*G604</f>
        <v>49650</v>
      </c>
    </row>
    <row r="605" spans="1:15" ht="27" customHeight="1" x14ac:dyDescent="0.25">
      <c r="A605" s="13" t="str">
        <f t="shared" si="407"/>
        <v>РУ-2-14</v>
      </c>
      <c r="B605" s="10" t="s">
        <v>294</v>
      </c>
      <c r="C605" s="11" t="s">
        <v>223</v>
      </c>
      <c r="D605" s="10" t="s">
        <v>224</v>
      </c>
      <c r="E605" s="13">
        <v>1</v>
      </c>
      <c r="F605" s="14" t="s">
        <v>12</v>
      </c>
      <c r="G605" s="10">
        <v>16550</v>
      </c>
      <c r="H605" s="12">
        <f t="shared" si="411"/>
        <v>4965</v>
      </c>
      <c r="I605" s="12">
        <f t="shared" si="408"/>
        <v>4965</v>
      </c>
      <c r="J605" s="10" t="s">
        <v>207</v>
      </c>
      <c r="K605" s="13" t="str">
        <f t="shared" si="409"/>
        <v>Блок14</v>
      </c>
      <c r="L605">
        <v>4965</v>
      </c>
      <c r="M605">
        <f t="shared" si="410"/>
        <v>1</v>
      </c>
      <c r="N605">
        <f t="shared" si="397"/>
        <v>1</v>
      </c>
      <c r="O605" s="23">
        <f>N605*G605</f>
        <v>16550</v>
      </c>
    </row>
    <row r="606" spans="1:15" ht="27" customHeight="1" x14ac:dyDescent="0.25">
      <c r="A606" s="10" t="str">
        <f t="shared" si="407"/>
        <v>РУ-2-14</v>
      </c>
      <c r="B606" s="10" t="s">
        <v>19</v>
      </c>
      <c r="C606" s="11" t="s">
        <v>19</v>
      </c>
      <c r="D606" s="10" t="s">
        <v>19</v>
      </c>
      <c r="E606" s="10">
        <v>1</v>
      </c>
      <c r="F606" s="10" t="s">
        <v>12</v>
      </c>
      <c r="G606" s="10">
        <f ca="1">OFFSET(G606,1,2)</f>
        <v>27000</v>
      </c>
      <c r="H606" s="12">
        <f ca="1">G606</f>
        <v>27000</v>
      </c>
      <c r="I606" s="12">
        <f t="shared" ca="1" si="408"/>
        <v>27000</v>
      </c>
      <c r="J606" s="10" t="s">
        <v>19</v>
      </c>
      <c r="K606" s="13" t="str">
        <f t="shared" si="409"/>
        <v>Блок14</v>
      </c>
      <c r="L606">
        <v>27000</v>
      </c>
      <c r="M606">
        <f t="shared" si="410"/>
        <v>1</v>
      </c>
      <c r="N606">
        <f t="shared" si="397"/>
        <v>1</v>
      </c>
      <c r="O606" s="23">
        <f ca="1">N606*H606</f>
        <v>27000</v>
      </c>
    </row>
    <row r="607" spans="1:15" ht="27" customHeight="1" x14ac:dyDescent="0.25">
      <c r="A607" s="10" t="str">
        <f t="shared" si="407"/>
        <v>РУ-2-14</v>
      </c>
      <c r="B607" s="10" t="s">
        <v>20</v>
      </c>
      <c r="C607" s="11" t="s">
        <v>20</v>
      </c>
      <c r="D607" s="10" t="s">
        <v>20</v>
      </c>
      <c r="E607" s="10">
        <f>60*G607</f>
        <v>270</v>
      </c>
      <c r="F607" s="10" t="s">
        <v>12</v>
      </c>
      <c r="G607" s="10">
        <v>4.5</v>
      </c>
      <c r="H607" s="12">
        <v>100</v>
      </c>
      <c r="I607" s="12">
        <f t="shared" si="408"/>
        <v>27000</v>
      </c>
      <c r="J607" s="10" t="s">
        <v>20</v>
      </c>
      <c r="K607" s="13" t="str">
        <f t="shared" si="409"/>
        <v>Блок14</v>
      </c>
      <c r="L607">
        <v>27000</v>
      </c>
      <c r="M607">
        <f t="shared" si="410"/>
        <v>1</v>
      </c>
      <c r="N607">
        <f t="shared" si="397"/>
        <v>270</v>
      </c>
      <c r="O607" s="23">
        <f>N607*H607</f>
        <v>27000</v>
      </c>
    </row>
    <row r="608" spans="1:15" ht="27" customHeight="1" x14ac:dyDescent="0.25">
      <c r="A608" s="15" t="str">
        <f t="shared" si="407"/>
        <v>РУ-2-14</v>
      </c>
      <c r="B608" s="15"/>
      <c r="C608" s="15"/>
      <c r="D608" s="16"/>
      <c r="E608" s="15"/>
      <c r="F608" s="19"/>
      <c r="G608" s="17"/>
      <c r="H608" s="12">
        <f>G608*0.55</f>
        <v>0</v>
      </c>
      <c r="I608" s="18">
        <f ca="1">SUM(I602:I607)</f>
        <v>169857</v>
      </c>
      <c r="J608" s="15"/>
      <c r="K608" s="13" t="str">
        <f t="shared" si="409"/>
        <v>Блок14</v>
      </c>
      <c r="L608">
        <v>169857</v>
      </c>
      <c r="M608">
        <f t="shared" si="410"/>
        <v>1</v>
      </c>
      <c r="N608">
        <f t="shared" si="397"/>
        <v>0</v>
      </c>
      <c r="O608" s="23">
        <f>N608*H608</f>
        <v>0</v>
      </c>
    </row>
    <row r="609" spans="1:15" ht="27" customHeight="1" x14ac:dyDescent="0.25">
      <c r="A609" s="8" t="str">
        <f>D609</f>
        <v>ЩУР.МОП1-14</v>
      </c>
      <c r="B609" s="4"/>
      <c r="C609" s="5"/>
      <c r="D609" s="4" t="s">
        <v>110</v>
      </c>
      <c r="E609" s="8">
        <v>1</v>
      </c>
      <c r="F609" s="9" t="s">
        <v>9</v>
      </c>
      <c r="G609" s="6"/>
      <c r="H609" s="6"/>
      <c r="I609" s="7"/>
      <c r="J609" s="4" t="s">
        <v>10</v>
      </c>
      <c r="K609" s="8" t="s">
        <v>107</v>
      </c>
      <c r="M609">
        <f>E609</f>
        <v>1</v>
      </c>
      <c r="N609">
        <f t="shared" si="397"/>
        <v>1</v>
      </c>
      <c r="O609" s="23">
        <f>N609*H609</f>
        <v>0</v>
      </c>
    </row>
    <row r="610" spans="1:15" ht="27" customHeight="1" x14ac:dyDescent="0.25">
      <c r="A610" s="13" t="str">
        <f t="shared" ref="A610:A617" si="412">A609</f>
        <v>ЩУР.МОП1-14</v>
      </c>
      <c r="B610" s="10" t="s">
        <v>11</v>
      </c>
      <c r="C610" s="11" t="s">
        <v>40</v>
      </c>
      <c r="D610" s="10" t="s">
        <v>41</v>
      </c>
      <c r="E610" s="13">
        <v>1</v>
      </c>
      <c r="F610" s="14" t="s">
        <v>12</v>
      </c>
      <c r="G610" s="10">
        <v>18000</v>
      </c>
      <c r="H610" s="12">
        <f>0.6*G610</f>
        <v>10800</v>
      </c>
      <c r="I610" s="12">
        <f t="shared" ref="I610:I616" si="413">H610*E610</f>
        <v>10800</v>
      </c>
      <c r="J610" s="10" t="s">
        <v>13</v>
      </c>
      <c r="K610" s="13" t="str">
        <f t="shared" ref="K610:K617" si="414">K609</f>
        <v>Блок14</v>
      </c>
      <c r="L610">
        <v>10800</v>
      </c>
      <c r="M610">
        <f t="shared" ref="M610:M617" si="415">M609</f>
        <v>1</v>
      </c>
      <c r="N610">
        <f t="shared" si="397"/>
        <v>1</v>
      </c>
      <c r="O610" s="23">
        <f>N610*H610</f>
        <v>10800</v>
      </c>
    </row>
    <row r="611" spans="1:15" ht="27" customHeight="1" x14ac:dyDescent="0.25">
      <c r="A611" s="13" t="str">
        <f t="shared" si="412"/>
        <v>ЩУР.МОП1-14</v>
      </c>
      <c r="B611" s="10" t="s">
        <v>293</v>
      </c>
      <c r="C611" s="11" t="s">
        <v>195</v>
      </c>
      <c r="D611" s="10" t="s">
        <v>196</v>
      </c>
      <c r="E611" s="13">
        <v>1</v>
      </c>
      <c r="F611" s="14" t="s">
        <v>12</v>
      </c>
      <c r="G611" s="10">
        <v>6190</v>
      </c>
      <c r="H611" s="12">
        <f t="shared" ref="H611:H613" si="416">0.3*G611</f>
        <v>1857</v>
      </c>
      <c r="I611" s="12">
        <f t="shared" si="413"/>
        <v>1857</v>
      </c>
      <c r="J611" s="10" t="s">
        <v>207</v>
      </c>
      <c r="K611" s="13" t="str">
        <f t="shared" si="414"/>
        <v>Блок14</v>
      </c>
      <c r="L611">
        <v>1857</v>
      </c>
      <c r="M611">
        <f t="shared" si="415"/>
        <v>1</v>
      </c>
      <c r="N611">
        <f t="shared" si="397"/>
        <v>1</v>
      </c>
      <c r="O611" s="23">
        <f>N611*G611</f>
        <v>6190</v>
      </c>
    </row>
    <row r="612" spans="1:15" ht="27" customHeight="1" x14ac:dyDescent="0.25">
      <c r="A612" s="13" t="str">
        <f t="shared" si="412"/>
        <v>ЩУР.МОП1-14</v>
      </c>
      <c r="B612" s="10" t="s">
        <v>293</v>
      </c>
      <c r="C612" s="11" t="s">
        <v>199</v>
      </c>
      <c r="D612" s="10" t="s">
        <v>200</v>
      </c>
      <c r="E612" s="13">
        <v>2</v>
      </c>
      <c r="F612" s="14" t="s">
        <v>12</v>
      </c>
      <c r="G612" s="10">
        <v>5950</v>
      </c>
      <c r="H612" s="12">
        <f t="shared" si="416"/>
        <v>1785</v>
      </c>
      <c r="I612" s="12">
        <f t="shared" si="413"/>
        <v>3570</v>
      </c>
      <c r="J612" s="10" t="s">
        <v>207</v>
      </c>
      <c r="K612" s="13" t="str">
        <f t="shared" si="414"/>
        <v>Блок14</v>
      </c>
      <c r="L612">
        <v>3570</v>
      </c>
      <c r="M612">
        <f t="shared" si="415"/>
        <v>1</v>
      </c>
      <c r="N612">
        <f t="shared" si="397"/>
        <v>2</v>
      </c>
      <c r="O612" s="23">
        <f>N612*G612</f>
        <v>11900</v>
      </c>
    </row>
    <row r="613" spans="1:15" ht="27" customHeight="1" x14ac:dyDescent="0.25">
      <c r="A613" s="13" t="str">
        <f t="shared" si="412"/>
        <v>ЩУР.МОП1-14</v>
      </c>
      <c r="B613" s="10" t="s">
        <v>293</v>
      </c>
      <c r="C613" s="11" t="s">
        <v>193</v>
      </c>
      <c r="D613" s="10" t="s">
        <v>194</v>
      </c>
      <c r="E613" s="13">
        <v>2</v>
      </c>
      <c r="F613" s="14" t="s">
        <v>12</v>
      </c>
      <c r="G613" s="10">
        <v>6580</v>
      </c>
      <c r="H613" s="12">
        <f t="shared" si="416"/>
        <v>1974</v>
      </c>
      <c r="I613" s="12">
        <f t="shared" si="413"/>
        <v>3948</v>
      </c>
      <c r="J613" s="10" t="s">
        <v>207</v>
      </c>
      <c r="K613" s="13" t="str">
        <f t="shared" si="414"/>
        <v>Блок14</v>
      </c>
      <c r="L613">
        <v>3948</v>
      </c>
      <c r="M613">
        <f t="shared" si="415"/>
        <v>1</v>
      </c>
      <c r="N613">
        <f t="shared" si="397"/>
        <v>2</v>
      </c>
      <c r="O613" s="23">
        <f>N613*G613</f>
        <v>13160</v>
      </c>
    </row>
    <row r="614" spans="1:15" ht="27" customHeight="1" x14ac:dyDescent="0.25">
      <c r="A614" s="13" t="str">
        <f t="shared" si="412"/>
        <v>ЩУР.МОП1-14</v>
      </c>
      <c r="B614" s="10" t="s">
        <v>15</v>
      </c>
      <c r="C614" s="11" t="s">
        <v>299</v>
      </c>
      <c r="D614" s="10" t="s">
        <v>300</v>
      </c>
      <c r="E614" s="13">
        <v>1</v>
      </c>
      <c r="F614" s="14" t="s">
        <v>12</v>
      </c>
      <c r="G614" s="10">
        <v>32400</v>
      </c>
      <c r="H614" s="12">
        <f>G614</f>
        <v>32400</v>
      </c>
      <c r="I614" s="12">
        <f t="shared" si="413"/>
        <v>32400</v>
      </c>
      <c r="J614" s="10" t="s">
        <v>16</v>
      </c>
      <c r="K614" s="13" t="str">
        <f t="shared" si="414"/>
        <v>Блок14</v>
      </c>
      <c r="L614">
        <v>32400</v>
      </c>
      <c r="M614">
        <f t="shared" si="415"/>
        <v>1</v>
      </c>
      <c r="N614">
        <f t="shared" si="397"/>
        <v>1</v>
      </c>
      <c r="O614" s="23">
        <f t="shared" ref="O614:O620" si="417">N614*H614</f>
        <v>32400</v>
      </c>
    </row>
    <row r="615" spans="1:15" ht="27" customHeight="1" x14ac:dyDescent="0.25">
      <c r="A615" s="10" t="str">
        <f t="shared" si="412"/>
        <v>ЩУР.МОП1-14</v>
      </c>
      <c r="B615" s="10" t="s">
        <v>19</v>
      </c>
      <c r="C615" s="11" t="s">
        <v>19</v>
      </c>
      <c r="D615" s="10" t="s">
        <v>19</v>
      </c>
      <c r="E615" s="10">
        <v>1</v>
      </c>
      <c r="F615" s="10" t="s">
        <v>12</v>
      </c>
      <c r="G615" s="10">
        <f ca="1">OFFSET(G615,1,2)</f>
        <v>12000</v>
      </c>
      <c r="H615" s="12">
        <f ca="1">G615</f>
        <v>12000</v>
      </c>
      <c r="I615" s="12">
        <f t="shared" ca="1" si="413"/>
        <v>12000</v>
      </c>
      <c r="J615" s="10" t="s">
        <v>19</v>
      </c>
      <c r="K615" s="13" t="str">
        <f t="shared" si="414"/>
        <v>Блок14</v>
      </c>
      <c r="L615">
        <v>12000</v>
      </c>
      <c r="M615">
        <f t="shared" si="415"/>
        <v>1</v>
      </c>
      <c r="N615">
        <f t="shared" si="397"/>
        <v>1</v>
      </c>
      <c r="O615" s="23">
        <f t="shared" ca="1" si="417"/>
        <v>12000</v>
      </c>
    </row>
    <row r="616" spans="1:15" ht="27" customHeight="1" x14ac:dyDescent="0.25">
      <c r="A616" s="10" t="str">
        <f t="shared" si="412"/>
        <v>ЩУР.МОП1-14</v>
      </c>
      <c r="B616" s="10" t="s">
        <v>20</v>
      </c>
      <c r="C616" s="11" t="s">
        <v>20</v>
      </c>
      <c r="D616" s="10" t="s">
        <v>20</v>
      </c>
      <c r="E616" s="10">
        <f>60*G616</f>
        <v>120</v>
      </c>
      <c r="F616" s="10" t="s">
        <v>12</v>
      </c>
      <c r="G616" s="10">
        <v>2</v>
      </c>
      <c r="H616" s="12">
        <v>100</v>
      </c>
      <c r="I616" s="12">
        <f t="shared" si="413"/>
        <v>12000</v>
      </c>
      <c r="J616" s="10" t="s">
        <v>20</v>
      </c>
      <c r="K616" s="13" t="str">
        <f t="shared" si="414"/>
        <v>Блок14</v>
      </c>
      <c r="L616">
        <v>12000</v>
      </c>
      <c r="M616">
        <f t="shared" si="415"/>
        <v>1</v>
      </c>
      <c r="N616">
        <f t="shared" si="397"/>
        <v>120</v>
      </c>
      <c r="O616" s="23">
        <f t="shared" si="417"/>
        <v>12000</v>
      </c>
    </row>
    <row r="617" spans="1:15" ht="27" customHeight="1" x14ac:dyDescent="0.25">
      <c r="A617" s="15" t="str">
        <f t="shared" si="412"/>
        <v>ЩУР.МОП1-14</v>
      </c>
      <c r="B617" s="15"/>
      <c r="C617" s="15"/>
      <c r="D617" s="16"/>
      <c r="E617" s="15"/>
      <c r="F617" s="19"/>
      <c r="G617" s="17"/>
      <c r="H617" s="12">
        <f>G617*0.55</f>
        <v>0</v>
      </c>
      <c r="I617" s="18">
        <f ca="1">SUM(I610:I616)</f>
        <v>76575</v>
      </c>
      <c r="J617" s="15"/>
      <c r="K617" s="13" t="str">
        <f t="shared" si="414"/>
        <v>Блок14</v>
      </c>
      <c r="L617">
        <v>76575</v>
      </c>
      <c r="M617">
        <f t="shared" si="415"/>
        <v>1</v>
      </c>
      <c r="N617">
        <f t="shared" si="397"/>
        <v>0</v>
      </c>
      <c r="O617" s="23">
        <f t="shared" si="417"/>
        <v>0</v>
      </c>
    </row>
    <row r="618" spans="1:15" ht="27" customHeight="1" x14ac:dyDescent="0.25">
      <c r="A618" s="8" t="str">
        <f>D618</f>
        <v>РЩ1-14 (АВР-Б-40-2-1)</v>
      </c>
      <c r="B618" s="4"/>
      <c r="C618" s="5"/>
      <c r="D618" s="4" t="s">
        <v>147</v>
      </c>
      <c r="E618" s="8">
        <v>1</v>
      </c>
      <c r="F618" s="9" t="s">
        <v>9</v>
      </c>
      <c r="G618" s="6"/>
      <c r="H618" s="6"/>
      <c r="I618" s="7"/>
      <c r="J618" s="4" t="s">
        <v>10</v>
      </c>
      <c r="K618" s="8" t="s">
        <v>107</v>
      </c>
      <c r="M618">
        <f>E618</f>
        <v>1</v>
      </c>
      <c r="N618">
        <f t="shared" si="397"/>
        <v>1</v>
      </c>
      <c r="O618" s="23">
        <f t="shared" si="417"/>
        <v>0</v>
      </c>
    </row>
    <row r="619" spans="1:15" ht="27" customHeight="1" x14ac:dyDescent="0.25">
      <c r="A619" s="13" t="str">
        <f t="shared" ref="A619:A630" si="418">A618</f>
        <v>РЩ1-14 (АВР-Б-40-2-1)</v>
      </c>
      <c r="B619" s="10" t="s">
        <v>11</v>
      </c>
      <c r="C619" s="11" t="s">
        <v>168</v>
      </c>
      <c r="D619" s="10" t="s">
        <v>169</v>
      </c>
      <c r="E619" s="13">
        <v>1</v>
      </c>
      <c r="F619" s="14" t="s">
        <v>12</v>
      </c>
      <c r="G619" s="10">
        <v>130000</v>
      </c>
      <c r="H619" s="12">
        <f t="shared" ref="H619:H620" si="419">0.6*G619</f>
        <v>78000</v>
      </c>
      <c r="I619" s="12">
        <f t="shared" ref="I619:I629" si="420">H619*E619</f>
        <v>78000</v>
      </c>
      <c r="J619" s="10" t="s">
        <v>13</v>
      </c>
      <c r="K619" s="13" t="str">
        <f t="shared" ref="K619:K630" si="421">K618</f>
        <v>Блок14</v>
      </c>
      <c r="L619">
        <v>78000</v>
      </c>
      <c r="M619">
        <f t="shared" ref="M619:M630" si="422">M618</f>
        <v>1</v>
      </c>
      <c r="N619">
        <f t="shared" si="397"/>
        <v>1</v>
      </c>
      <c r="O619" s="23">
        <f t="shared" si="417"/>
        <v>78000</v>
      </c>
    </row>
    <row r="620" spans="1:15" ht="27" customHeight="1" x14ac:dyDescent="0.25">
      <c r="A620" s="13" t="str">
        <f t="shared" si="418"/>
        <v>РЩ1-14 (АВР-Б-40-2-1)</v>
      </c>
      <c r="B620" s="10" t="s">
        <v>44</v>
      </c>
      <c r="C620" s="11" t="s">
        <v>162</v>
      </c>
      <c r="D620" s="10" t="s">
        <v>163</v>
      </c>
      <c r="E620" s="13">
        <v>1</v>
      </c>
      <c r="F620" s="14" t="s">
        <v>12</v>
      </c>
      <c r="G620" s="10">
        <v>114758</v>
      </c>
      <c r="H620" s="12">
        <f t="shared" si="419"/>
        <v>68854.8</v>
      </c>
      <c r="I620" s="12">
        <f t="shared" si="420"/>
        <v>68854.8</v>
      </c>
      <c r="J620" s="10" t="s">
        <v>14</v>
      </c>
      <c r="K620" s="13" t="str">
        <f t="shared" si="421"/>
        <v>Блок14</v>
      </c>
      <c r="L620">
        <v>68854.8</v>
      </c>
      <c r="M620">
        <f t="shared" si="422"/>
        <v>1</v>
      </c>
      <c r="N620">
        <f t="shared" si="397"/>
        <v>1</v>
      </c>
      <c r="O620" s="23">
        <f t="shared" si="417"/>
        <v>68854.8</v>
      </c>
    </row>
    <row r="621" spans="1:15" ht="27" customHeight="1" x14ac:dyDescent="0.25">
      <c r="A621" s="13" t="str">
        <f t="shared" si="418"/>
        <v>РЩ1-14 (АВР-Б-40-2-1)</v>
      </c>
      <c r="B621" s="10" t="s">
        <v>293</v>
      </c>
      <c r="C621" s="11" t="s">
        <v>213</v>
      </c>
      <c r="D621" s="10" t="s">
        <v>214</v>
      </c>
      <c r="E621" s="13">
        <v>2</v>
      </c>
      <c r="F621" s="14" t="s">
        <v>12</v>
      </c>
      <c r="G621" s="10">
        <v>7690</v>
      </c>
      <c r="H621" s="12">
        <f t="shared" ref="H621:H623" si="423">0.3*G621</f>
        <v>2307</v>
      </c>
      <c r="I621" s="12">
        <f t="shared" si="420"/>
        <v>4614</v>
      </c>
      <c r="J621" s="10" t="s">
        <v>207</v>
      </c>
      <c r="K621" s="13" t="str">
        <f t="shared" si="421"/>
        <v>Блок14</v>
      </c>
      <c r="L621">
        <v>4614</v>
      </c>
      <c r="M621">
        <f t="shared" si="422"/>
        <v>1</v>
      </c>
      <c r="N621">
        <f t="shared" si="397"/>
        <v>2</v>
      </c>
      <c r="O621" s="23">
        <f>N621*G621</f>
        <v>15380</v>
      </c>
    </row>
    <row r="622" spans="1:15" ht="27" customHeight="1" x14ac:dyDescent="0.25">
      <c r="A622" s="13" t="str">
        <f t="shared" si="418"/>
        <v>РЩ1-14 (АВР-Б-40-2-1)</v>
      </c>
      <c r="B622" s="10" t="s">
        <v>293</v>
      </c>
      <c r="C622" s="11" t="s">
        <v>231</v>
      </c>
      <c r="D622" s="10" t="s">
        <v>232</v>
      </c>
      <c r="E622" s="13">
        <v>2</v>
      </c>
      <c r="F622" s="14" t="s">
        <v>12</v>
      </c>
      <c r="G622" s="10">
        <v>7690</v>
      </c>
      <c r="H622" s="12">
        <f t="shared" si="423"/>
        <v>2307</v>
      </c>
      <c r="I622" s="12">
        <f t="shared" si="420"/>
        <v>4614</v>
      </c>
      <c r="J622" s="10" t="s">
        <v>207</v>
      </c>
      <c r="K622" s="13" t="str">
        <f t="shared" si="421"/>
        <v>Блок14</v>
      </c>
      <c r="L622">
        <v>4614</v>
      </c>
      <c r="M622">
        <f t="shared" si="422"/>
        <v>1</v>
      </c>
      <c r="N622">
        <f t="shared" si="397"/>
        <v>2</v>
      </c>
      <c r="O622" s="23">
        <f>N622*G622</f>
        <v>15380</v>
      </c>
    </row>
    <row r="623" spans="1:15" ht="27" customHeight="1" x14ac:dyDescent="0.25">
      <c r="A623" s="13" t="str">
        <f t="shared" si="418"/>
        <v>РЩ1-14 (АВР-Б-40-2-1)</v>
      </c>
      <c r="B623" s="10" t="s">
        <v>294</v>
      </c>
      <c r="C623" s="11" t="s">
        <v>203</v>
      </c>
      <c r="D623" s="10" t="s">
        <v>204</v>
      </c>
      <c r="E623" s="13">
        <v>2</v>
      </c>
      <c r="F623" s="14" t="s">
        <v>12</v>
      </c>
      <c r="G623" s="10">
        <v>13450</v>
      </c>
      <c r="H623" s="12">
        <f t="shared" si="423"/>
        <v>4035</v>
      </c>
      <c r="I623" s="12">
        <f t="shared" si="420"/>
        <v>8070</v>
      </c>
      <c r="J623" s="10" t="s">
        <v>207</v>
      </c>
      <c r="K623" s="13" t="str">
        <f t="shared" si="421"/>
        <v>Блок14</v>
      </c>
      <c r="L623">
        <v>8070</v>
      </c>
      <c r="M623">
        <f t="shared" si="422"/>
        <v>1</v>
      </c>
      <c r="N623">
        <f t="shared" si="397"/>
        <v>2</v>
      </c>
      <c r="O623" s="23">
        <f>N623*G623</f>
        <v>26900</v>
      </c>
    </row>
    <row r="624" spans="1:15" ht="27" customHeight="1" x14ac:dyDescent="0.25">
      <c r="A624" s="13" t="str">
        <f t="shared" si="418"/>
        <v>РЩ1-14 (АВР-Б-40-2-1)</v>
      </c>
      <c r="B624" s="10" t="s">
        <v>18</v>
      </c>
      <c r="C624" s="11" t="s">
        <v>233</v>
      </c>
      <c r="D624" s="10" t="s">
        <v>234</v>
      </c>
      <c r="E624" s="13">
        <v>1</v>
      </c>
      <c r="F624" s="14" t="s">
        <v>12</v>
      </c>
      <c r="G624" s="10">
        <v>5884</v>
      </c>
      <c r="H624" s="12">
        <f>0.6*G624</f>
        <v>3530.4</v>
      </c>
      <c r="I624" s="12">
        <f t="shared" si="420"/>
        <v>3530.4</v>
      </c>
      <c r="J624" s="10" t="s">
        <v>14</v>
      </c>
      <c r="K624" s="13" t="str">
        <f t="shared" si="421"/>
        <v>Блок14</v>
      </c>
      <c r="L624">
        <v>3530.4</v>
      </c>
      <c r="M624">
        <f t="shared" si="422"/>
        <v>1</v>
      </c>
      <c r="N624">
        <f t="shared" si="397"/>
        <v>1</v>
      </c>
      <c r="O624" s="23">
        <f>N624*H624</f>
        <v>3530.4</v>
      </c>
    </row>
    <row r="625" spans="1:15" ht="27" customHeight="1" x14ac:dyDescent="0.25">
      <c r="A625" s="13" t="str">
        <f t="shared" si="418"/>
        <v>РЩ1-14 (АВР-Б-40-2-1)</v>
      </c>
      <c r="B625" s="10" t="s">
        <v>293</v>
      </c>
      <c r="C625" s="11" t="s">
        <v>205</v>
      </c>
      <c r="D625" s="10" t="s">
        <v>206</v>
      </c>
      <c r="E625" s="13">
        <v>1</v>
      </c>
      <c r="F625" s="14" t="s">
        <v>12</v>
      </c>
      <c r="G625" s="10">
        <v>7090</v>
      </c>
      <c r="H625" s="12">
        <f>0.3*G625</f>
        <v>2127</v>
      </c>
      <c r="I625" s="12">
        <f t="shared" si="420"/>
        <v>2127</v>
      </c>
      <c r="J625" s="10" t="s">
        <v>207</v>
      </c>
      <c r="K625" s="13" t="str">
        <f t="shared" si="421"/>
        <v>Блок14</v>
      </c>
      <c r="L625">
        <v>2127</v>
      </c>
      <c r="M625">
        <f t="shared" si="422"/>
        <v>1</v>
      </c>
      <c r="N625">
        <f t="shared" si="397"/>
        <v>1</v>
      </c>
      <c r="O625" s="23">
        <f>N625*G625</f>
        <v>7090</v>
      </c>
    </row>
    <row r="626" spans="1:15" ht="27" customHeight="1" x14ac:dyDescent="0.25">
      <c r="A626" s="13" t="str">
        <f t="shared" si="418"/>
        <v>РЩ1-14 (АВР-Б-40-2-1)</v>
      </c>
      <c r="B626" s="10" t="s">
        <v>15</v>
      </c>
      <c r="C626" s="11" t="s">
        <v>299</v>
      </c>
      <c r="D626" s="10" t="s">
        <v>300</v>
      </c>
      <c r="E626" s="13">
        <v>1</v>
      </c>
      <c r="F626" s="14" t="s">
        <v>12</v>
      </c>
      <c r="G626" s="10">
        <v>32400</v>
      </c>
      <c r="H626" s="12">
        <f>G626</f>
        <v>32400</v>
      </c>
      <c r="I626" s="12">
        <f t="shared" si="420"/>
        <v>32400</v>
      </c>
      <c r="J626" s="10" t="s">
        <v>16</v>
      </c>
      <c r="K626" s="13" t="str">
        <f t="shared" si="421"/>
        <v>Блок14</v>
      </c>
      <c r="L626">
        <v>32400</v>
      </c>
      <c r="M626">
        <f t="shared" si="422"/>
        <v>1</v>
      </c>
      <c r="N626">
        <f t="shared" si="397"/>
        <v>1</v>
      </c>
      <c r="O626" s="23">
        <f t="shared" ref="O626:O638" si="424">N626*H626</f>
        <v>32400</v>
      </c>
    </row>
    <row r="627" spans="1:15" ht="27" customHeight="1" x14ac:dyDescent="0.25">
      <c r="A627" s="13" t="str">
        <f t="shared" si="418"/>
        <v>РЩ1-14 (АВР-Б-40-2-1)</v>
      </c>
      <c r="B627" s="10" t="s">
        <v>30</v>
      </c>
      <c r="C627" s="11"/>
      <c r="D627" s="10" t="s">
        <v>31</v>
      </c>
      <c r="E627" s="13">
        <v>6</v>
      </c>
      <c r="F627" s="14" t="s">
        <v>12</v>
      </c>
      <c r="G627" s="10">
        <v>3850</v>
      </c>
      <c r="H627" s="12">
        <f>G627</f>
        <v>3850</v>
      </c>
      <c r="I627" s="12">
        <f t="shared" si="420"/>
        <v>23100</v>
      </c>
      <c r="J627" s="10" t="s">
        <v>25</v>
      </c>
      <c r="K627" s="13" t="str">
        <f t="shared" si="421"/>
        <v>Блок14</v>
      </c>
      <c r="L627">
        <v>23100</v>
      </c>
      <c r="M627">
        <f t="shared" si="422"/>
        <v>1</v>
      </c>
      <c r="N627">
        <f t="shared" si="397"/>
        <v>6</v>
      </c>
      <c r="O627" s="23">
        <f t="shared" si="424"/>
        <v>23100</v>
      </c>
    </row>
    <row r="628" spans="1:15" ht="27" customHeight="1" x14ac:dyDescent="0.25">
      <c r="A628" s="10" t="str">
        <f t="shared" si="418"/>
        <v>РЩ1-14 (АВР-Б-40-2-1)</v>
      </c>
      <c r="B628" s="10" t="s">
        <v>19</v>
      </c>
      <c r="C628" s="11" t="s">
        <v>19</v>
      </c>
      <c r="D628" s="10" t="s">
        <v>19</v>
      </c>
      <c r="E628" s="10">
        <v>1</v>
      </c>
      <c r="F628" s="10" t="s">
        <v>12</v>
      </c>
      <c r="G628" s="10">
        <f ca="1">OFFSET(G628,1,2)</f>
        <v>39000</v>
      </c>
      <c r="H628" s="12">
        <f ca="1">G628</f>
        <v>39000</v>
      </c>
      <c r="I628" s="12">
        <f t="shared" ca="1" si="420"/>
        <v>39000</v>
      </c>
      <c r="J628" s="10" t="s">
        <v>19</v>
      </c>
      <c r="K628" s="13" t="str">
        <f t="shared" si="421"/>
        <v>Блок14</v>
      </c>
      <c r="L628">
        <v>39000</v>
      </c>
      <c r="M628">
        <f t="shared" si="422"/>
        <v>1</v>
      </c>
      <c r="N628">
        <f t="shared" si="397"/>
        <v>1</v>
      </c>
      <c r="O628" s="23">
        <f t="shared" ca="1" si="424"/>
        <v>39000</v>
      </c>
    </row>
    <row r="629" spans="1:15" ht="27" customHeight="1" x14ac:dyDescent="0.25">
      <c r="A629" s="10" t="str">
        <f t="shared" si="418"/>
        <v>РЩ1-14 (АВР-Б-40-2-1)</v>
      </c>
      <c r="B629" s="10" t="s">
        <v>20</v>
      </c>
      <c r="C629" s="11" t="s">
        <v>20</v>
      </c>
      <c r="D629" s="10" t="s">
        <v>20</v>
      </c>
      <c r="E629" s="10">
        <f>60*G629</f>
        <v>390</v>
      </c>
      <c r="F629" s="10" t="s">
        <v>12</v>
      </c>
      <c r="G629" s="10">
        <v>6.5</v>
      </c>
      <c r="H629" s="12">
        <v>100</v>
      </c>
      <c r="I629" s="12">
        <f t="shared" si="420"/>
        <v>39000</v>
      </c>
      <c r="J629" s="10" t="s">
        <v>20</v>
      </c>
      <c r="K629" s="13" t="str">
        <f t="shared" si="421"/>
        <v>Блок14</v>
      </c>
      <c r="L629">
        <v>39000</v>
      </c>
      <c r="M629">
        <f t="shared" si="422"/>
        <v>1</v>
      </c>
      <c r="N629">
        <f t="shared" si="397"/>
        <v>390</v>
      </c>
      <c r="O629" s="23">
        <f t="shared" si="424"/>
        <v>39000</v>
      </c>
    </row>
    <row r="630" spans="1:15" ht="27" customHeight="1" x14ac:dyDescent="0.25">
      <c r="A630" s="15" t="str">
        <f t="shared" si="418"/>
        <v>РЩ1-14 (АВР-Б-40-2-1)</v>
      </c>
      <c r="B630" s="15"/>
      <c r="C630" s="15"/>
      <c r="D630" s="16"/>
      <c r="E630" s="15"/>
      <c r="F630" s="19"/>
      <c r="G630" s="17"/>
      <c r="H630" s="12">
        <f>G630*0.55</f>
        <v>0</v>
      </c>
      <c r="I630" s="18">
        <f ca="1">SUM(I619:I629)</f>
        <v>303310.19999999995</v>
      </c>
      <c r="J630" s="15"/>
      <c r="K630" s="13" t="str">
        <f t="shared" si="421"/>
        <v>Блок14</v>
      </c>
      <c r="L630">
        <v>303310.19999999995</v>
      </c>
      <c r="M630">
        <f t="shared" si="422"/>
        <v>1</v>
      </c>
      <c r="N630">
        <f t="shared" si="397"/>
        <v>0</v>
      </c>
      <c r="O630" s="23">
        <f t="shared" si="424"/>
        <v>0</v>
      </c>
    </row>
    <row r="631" spans="1:15" ht="27" customHeight="1" x14ac:dyDescent="0.25">
      <c r="A631" s="8" t="str">
        <f>D631</f>
        <v>ЩРп c</v>
      </c>
      <c r="B631" s="4"/>
      <c r="C631" s="5"/>
      <c r="D631" s="4" t="s">
        <v>152</v>
      </c>
      <c r="E631" s="8">
        <v>1</v>
      </c>
      <c r="F631" s="9" t="s">
        <v>9</v>
      </c>
      <c r="G631" s="6"/>
      <c r="H631" s="6"/>
      <c r="I631" s="7"/>
      <c r="J631" s="4" t="s">
        <v>10</v>
      </c>
      <c r="K631" s="8" t="s">
        <v>111</v>
      </c>
      <c r="M631">
        <f>E631</f>
        <v>1</v>
      </c>
      <c r="N631">
        <f t="shared" si="397"/>
        <v>1</v>
      </c>
      <c r="O631" s="23">
        <f t="shared" si="424"/>
        <v>0</v>
      </c>
    </row>
    <row r="632" spans="1:15" ht="27" customHeight="1" x14ac:dyDescent="0.25">
      <c r="A632" s="13" t="str">
        <f t="shared" ref="A632:A658" si="425">A631</f>
        <v>ЩРп c</v>
      </c>
      <c r="B632" s="10" t="s">
        <v>11</v>
      </c>
      <c r="C632" s="11" t="s">
        <v>247</v>
      </c>
      <c r="D632" s="10" t="s">
        <v>248</v>
      </c>
      <c r="E632" s="13">
        <v>1</v>
      </c>
      <c r="F632" s="14" t="s">
        <v>12</v>
      </c>
      <c r="G632" s="10">
        <v>156500</v>
      </c>
      <c r="H632" s="12">
        <f>0.6*G632</f>
        <v>93900</v>
      </c>
      <c r="I632" s="12">
        <f t="shared" ref="I632:I657" si="426">H632*E632</f>
        <v>93900</v>
      </c>
      <c r="J632" s="10" t="s">
        <v>13</v>
      </c>
      <c r="K632" s="13" t="str">
        <f t="shared" ref="K632:K658" si="427">K631</f>
        <v>Блок15</v>
      </c>
      <c r="L632">
        <v>93900</v>
      </c>
      <c r="M632">
        <f t="shared" ref="M632:M658" si="428">M631</f>
        <v>1</v>
      </c>
      <c r="N632">
        <f t="shared" si="397"/>
        <v>1</v>
      </c>
      <c r="O632" s="23">
        <f t="shared" si="424"/>
        <v>93900</v>
      </c>
    </row>
    <row r="633" spans="1:15" ht="27" customHeight="1" x14ac:dyDescent="0.25">
      <c r="A633" s="13" t="str">
        <f>A631</f>
        <v>ЩРп c</v>
      </c>
      <c r="B633" s="10" t="s">
        <v>249</v>
      </c>
      <c r="C633" s="11" t="s">
        <v>250</v>
      </c>
      <c r="D633" s="10" t="s">
        <v>251</v>
      </c>
      <c r="E633" s="13">
        <v>1</v>
      </c>
      <c r="F633" s="14" t="s">
        <v>12</v>
      </c>
      <c r="G633" s="10">
        <v>4806</v>
      </c>
      <c r="H633" s="12">
        <f t="shared" ref="H633:H634" si="429">G633</f>
        <v>4806</v>
      </c>
      <c r="I633" s="12">
        <f t="shared" si="426"/>
        <v>4806</v>
      </c>
      <c r="J633" s="10" t="s">
        <v>25</v>
      </c>
      <c r="K633" s="13" t="s">
        <v>111</v>
      </c>
      <c r="L633">
        <v>4806</v>
      </c>
      <c r="M633">
        <f>M631</f>
        <v>1</v>
      </c>
      <c r="N633">
        <f t="shared" si="397"/>
        <v>1</v>
      </c>
      <c r="O633" s="23">
        <f t="shared" si="424"/>
        <v>4806</v>
      </c>
    </row>
    <row r="634" spans="1:15" ht="27" customHeight="1" x14ac:dyDescent="0.25">
      <c r="A634" s="13" t="str">
        <f>A632</f>
        <v>ЩРп c</v>
      </c>
      <c r="B634" s="10" t="s">
        <v>252</v>
      </c>
      <c r="C634" s="11" t="s">
        <v>253</v>
      </c>
      <c r="D634" s="10" t="s">
        <v>254</v>
      </c>
      <c r="E634" s="13">
        <v>1</v>
      </c>
      <c r="F634" s="14" t="s">
        <v>12</v>
      </c>
      <c r="G634" s="10">
        <v>9000</v>
      </c>
      <c r="H634" s="12">
        <f t="shared" si="429"/>
        <v>9000</v>
      </c>
      <c r="I634" s="12">
        <f t="shared" si="426"/>
        <v>9000</v>
      </c>
      <c r="J634" s="10" t="s">
        <v>25</v>
      </c>
      <c r="K634" s="13" t="s">
        <v>111</v>
      </c>
      <c r="L634">
        <v>9000</v>
      </c>
      <c r="M634">
        <f>M632</f>
        <v>1</v>
      </c>
      <c r="N634">
        <f t="shared" si="397"/>
        <v>1</v>
      </c>
      <c r="O634" s="23">
        <f t="shared" si="424"/>
        <v>9000</v>
      </c>
    </row>
    <row r="635" spans="1:15" ht="27" customHeight="1" x14ac:dyDescent="0.25">
      <c r="A635" s="13" t="str">
        <f>A632</f>
        <v>ЩРп c</v>
      </c>
      <c r="B635" s="10" t="s">
        <v>44</v>
      </c>
      <c r="C635" s="11" t="s">
        <v>164</v>
      </c>
      <c r="D635" s="10" t="s">
        <v>165</v>
      </c>
      <c r="E635" s="13">
        <v>1</v>
      </c>
      <c r="F635" s="14" t="s">
        <v>12</v>
      </c>
      <c r="G635" s="10">
        <v>201639</v>
      </c>
      <c r="H635" s="12">
        <f t="shared" ref="H635:H637" si="430">0.6*G635</f>
        <v>120983.4</v>
      </c>
      <c r="I635" s="12">
        <f t="shared" si="426"/>
        <v>120983.4</v>
      </c>
      <c r="J635" s="10" t="s">
        <v>14</v>
      </c>
      <c r="K635" s="13" t="s">
        <v>111</v>
      </c>
      <c r="L635">
        <v>120983.4</v>
      </c>
      <c r="M635">
        <f>M632</f>
        <v>1</v>
      </c>
      <c r="N635">
        <f t="shared" si="397"/>
        <v>1</v>
      </c>
      <c r="O635" s="23">
        <f t="shared" si="424"/>
        <v>120983.4</v>
      </c>
    </row>
    <row r="636" spans="1:15" ht="27" customHeight="1" x14ac:dyDescent="0.25">
      <c r="A636" s="13" t="str">
        <f t="shared" si="425"/>
        <v>ЩРп c</v>
      </c>
      <c r="B636" s="10" t="s">
        <v>49</v>
      </c>
      <c r="C636" s="10">
        <v>593071</v>
      </c>
      <c r="D636" s="10" t="s">
        <v>50</v>
      </c>
      <c r="E636" s="13">
        <v>6</v>
      </c>
      <c r="F636" s="14" t="s">
        <v>12</v>
      </c>
      <c r="G636" s="10">
        <v>836</v>
      </c>
      <c r="H636" s="12">
        <f t="shared" si="430"/>
        <v>501.59999999999997</v>
      </c>
      <c r="I636" s="12">
        <f t="shared" si="426"/>
        <v>3009.6</v>
      </c>
      <c r="J636" s="10" t="s">
        <v>14</v>
      </c>
      <c r="K636" s="13" t="s">
        <v>111</v>
      </c>
      <c r="L636">
        <v>3009.6</v>
      </c>
      <c r="M636">
        <f t="shared" si="428"/>
        <v>1</v>
      </c>
      <c r="N636">
        <f t="shared" si="397"/>
        <v>6</v>
      </c>
      <c r="O636" s="23">
        <f t="shared" si="424"/>
        <v>3009.6</v>
      </c>
    </row>
    <row r="637" spans="1:15" ht="27" customHeight="1" x14ac:dyDescent="0.25">
      <c r="A637" s="13" t="str">
        <f t="shared" si="425"/>
        <v>ЩРп c</v>
      </c>
      <c r="B637" s="10" t="s">
        <v>49</v>
      </c>
      <c r="C637" s="10">
        <v>593150</v>
      </c>
      <c r="D637" s="10" t="s">
        <v>51</v>
      </c>
      <c r="E637" s="13">
        <v>3</v>
      </c>
      <c r="F637" s="14" t="s">
        <v>12</v>
      </c>
      <c r="G637" s="10">
        <v>836</v>
      </c>
      <c r="H637" s="12">
        <f t="shared" si="430"/>
        <v>501.59999999999997</v>
      </c>
      <c r="I637" s="12">
        <f t="shared" si="426"/>
        <v>1504.8</v>
      </c>
      <c r="J637" s="10" t="s">
        <v>14</v>
      </c>
      <c r="K637" s="13" t="s">
        <v>111</v>
      </c>
      <c r="L637">
        <v>1504.8</v>
      </c>
      <c r="M637">
        <f t="shared" si="428"/>
        <v>1</v>
      </c>
      <c r="N637">
        <f t="shared" si="397"/>
        <v>3</v>
      </c>
      <c r="O637" s="23">
        <f t="shared" si="424"/>
        <v>1504.8</v>
      </c>
    </row>
    <row r="638" spans="1:15" ht="27" customHeight="1" x14ac:dyDescent="0.25">
      <c r="A638" s="13" t="str">
        <f>A640</f>
        <v>ЩРп c</v>
      </c>
      <c r="B638" s="10" t="s">
        <v>15</v>
      </c>
      <c r="C638" s="11" t="s">
        <v>299</v>
      </c>
      <c r="D638" s="10" t="s">
        <v>300</v>
      </c>
      <c r="E638" s="13">
        <v>1</v>
      </c>
      <c r="F638" s="14" t="s">
        <v>12</v>
      </c>
      <c r="G638" s="10">
        <v>32400</v>
      </c>
      <c r="H638" s="12">
        <f>G638</f>
        <v>32400</v>
      </c>
      <c r="I638" s="12">
        <f t="shared" si="426"/>
        <v>32400</v>
      </c>
      <c r="J638" s="10" t="s">
        <v>16</v>
      </c>
      <c r="K638" s="13" t="str">
        <f>K640</f>
        <v>Блок15</v>
      </c>
      <c r="L638">
        <v>32400</v>
      </c>
      <c r="M638">
        <f>M640</f>
        <v>1</v>
      </c>
      <c r="N638">
        <f t="shared" si="397"/>
        <v>1</v>
      </c>
      <c r="O638" s="23">
        <f t="shared" si="424"/>
        <v>32400</v>
      </c>
    </row>
    <row r="639" spans="1:15" ht="27" customHeight="1" x14ac:dyDescent="0.25">
      <c r="A639" s="13" t="str">
        <f>A638</f>
        <v>ЩРп c</v>
      </c>
      <c r="B639" s="10" t="s">
        <v>294</v>
      </c>
      <c r="C639" s="11" t="s">
        <v>219</v>
      </c>
      <c r="D639" s="10" t="s">
        <v>220</v>
      </c>
      <c r="E639" s="13">
        <v>2</v>
      </c>
      <c r="F639" s="14" t="s">
        <v>12</v>
      </c>
      <c r="G639" s="10">
        <v>12850</v>
      </c>
      <c r="H639" s="12">
        <f>0.3*G639</f>
        <v>3855</v>
      </c>
      <c r="I639" s="12">
        <f t="shared" si="426"/>
        <v>7710</v>
      </c>
      <c r="J639" s="10" t="s">
        <v>207</v>
      </c>
      <c r="K639" s="13" t="str">
        <f>K640</f>
        <v>Блок15</v>
      </c>
      <c r="L639">
        <v>7710</v>
      </c>
      <c r="M639">
        <f>M638</f>
        <v>1</v>
      </c>
      <c r="N639">
        <f t="shared" si="397"/>
        <v>2</v>
      </c>
      <c r="O639" s="23">
        <f>N639*G639</f>
        <v>25700</v>
      </c>
    </row>
    <row r="640" spans="1:15" ht="27" customHeight="1" x14ac:dyDescent="0.25">
      <c r="A640" s="13" t="str">
        <f>A632</f>
        <v>ЩРп c</v>
      </c>
      <c r="B640" s="10" t="s">
        <v>112</v>
      </c>
      <c r="C640" s="11" t="s">
        <v>245</v>
      </c>
      <c r="D640" s="10" t="s">
        <v>246</v>
      </c>
      <c r="E640" s="13">
        <v>1</v>
      </c>
      <c r="F640" s="14" t="s">
        <v>12</v>
      </c>
      <c r="G640" s="10">
        <v>36692</v>
      </c>
      <c r="H640" s="12">
        <f t="shared" ref="H640:H642" si="431">0.6*G640</f>
        <v>22015.200000000001</v>
      </c>
      <c r="I640" s="12">
        <f t="shared" si="426"/>
        <v>22015.200000000001</v>
      </c>
      <c r="J640" s="10" t="s">
        <v>14</v>
      </c>
      <c r="K640" s="13" t="str">
        <f>K632</f>
        <v>Блок15</v>
      </c>
      <c r="L640">
        <v>22015.200000000001</v>
      </c>
      <c r="M640">
        <f>M632</f>
        <v>1</v>
      </c>
      <c r="N640">
        <f t="shared" si="397"/>
        <v>1</v>
      </c>
      <c r="O640" s="23">
        <f>N640*H640</f>
        <v>22015.200000000001</v>
      </c>
    </row>
    <row r="641" spans="1:15" ht="27" customHeight="1" x14ac:dyDescent="0.25">
      <c r="A641" s="13" t="str">
        <f>A639</f>
        <v>ЩРп c</v>
      </c>
      <c r="B641" s="10" t="s">
        <v>112</v>
      </c>
      <c r="C641" s="11" t="s">
        <v>235</v>
      </c>
      <c r="D641" s="10" t="s">
        <v>236</v>
      </c>
      <c r="E641" s="13">
        <v>2</v>
      </c>
      <c r="F641" s="14" t="s">
        <v>12</v>
      </c>
      <c r="G641" s="10">
        <v>13330</v>
      </c>
      <c r="H641" s="12">
        <f t="shared" si="431"/>
        <v>7998</v>
      </c>
      <c r="I641" s="12">
        <f t="shared" si="426"/>
        <v>15996</v>
      </c>
      <c r="J641" s="10" t="s">
        <v>14</v>
      </c>
      <c r="K641" s="13" t="str">
        <f>K639</f>
        <v>Блок15</v>
      </c>
      <c r="L641">
        <v>15996</v>
      </c>
      <c r="M641">
        <f>M639</f>
        <v>1</v>
      </c>
      <c r="N641">
        <f t="shared" si="397"/>
        <v>2</v>
      </c>
      <c r="O641" s="23">
        <f>N641*H641</f>
        <v>15996</v>
      </c>
    </row>
    <row r="642" spans="1:15" ht="27" customHeight="1" x14ac:dyDescent="0.25">
      <c r="A642" s="13" t="str">
        <f>A635</f>
        <v>ЩРп c</v>
      </c>
      <c r="B642" s="10" t="s">
        <v>256</v>
      </c>
      <c r="C642" s="11" t="s">
        <v>257</v>
      </c>
      <c r="D642" s="10" t="s">
        <v>258</v>
      </c>
      <c r="E642" s="13">
        <v>3</v>
      </c>
      <c r="F642" s="14" t="s">
        <v>12</v>
      </c>
      <c r="G642" s="10">
        <v>1632</v>
      </c>
      <c r="H642" s="12">
        <f t="shared" si="431"/>
        <v>979.19999999999993</v>
      </c>
      <c r="I642" s="12">
        <f t="shared" si="426"/>
        <v>2937.6</v>
      </c>
      <c r="J642" s="10" t="s">
        <v>14</v>
      </c>
      <c r="K642" s="13" t="str">
        <f>K635</f>
        <v>Блок15</v>
      </c>
      <c r="L642">
        <v>2937.6</v>
      </c>
      <c r="M642">
        <f>M635</f>
        <v>1</v>
      </c>
      <c r="N642">
        <f t="shared" si="397"/>
        <v>3</v>
      </c>
      <c r="O642" s="23">
        <f>N642*H642</f>
        <v>2937.6</v>
      </c>
    </row>
    <row r="643" spans="1:15" ht="27" customHeight="1" x14ac:dyDescent="0.25">
      <c r="A643" s="13" t="str">
        <f t="shared" ref="A643" si="432">A634</f>
        <v>ЩРп c</v>
      </c>
      <c r="B643" s="10" t="s">
        <v>255</v>
      </c>
      <c r="C643" s="11" t="s">
        <v>259</v>
      </c>
      <c r="D643" s="10" t="s">
        <v>260</v>
      </c>
      <c r="E643" s="13">
        <v>4</v>
      </c>
      <c r="F643" s="14" t="s">
        <v>12</v>
      </c>
      <c r="G643" s="10">
        <v>4950</v>
      </c>
      <c r="H643" s="12">
        <f t="shared" ref="H643:H645" si="433">0.3*G643</f>
        <v>1485</v>
      </c>
      <c r="I643" s="12">
        <f t="shared" si="426"/>
        <v>5940</v>
      </c>
      <c r="J643" s="10" t="s">
        <v>207</v>
      </c>
      <c r="K643" s="13" t="str">
        <f t="shared" ref="K643" si="434">K634</f>
        <v>Блок15</v>
      </c>
      <c r="L643">
        <v>5940</v>
      </c>
      <c r="M643">
        <f t="shared" ref="M643" si="435">M634</f>
        <v>1</v>
      </c>
      <c r="N643">
        <f t="shared" si="397"/>
        <v>4</v>
      </c>
      <c r="O643" s="23">
        <f>N643*H643</f>
        <v>5940</v>
      </c>
    </row>
    <row r="644" spans="1:15" ht="27" customHeight="1" x14ac:dyDescent="0.25">
      <c r="A644" s="13" t="str">
        <f>A636</f>
        <v>ЩРп c</v>
      </c>
      <c r="B644" s="10" t="s">
        <v>256</v>
      </c>
      <c r="C644" s="11" t="s">
        <v>261</v>
      </c>
      <c r="D644" s="10" t="s">
        <v>262</v>
      </c>
      <c r="E644" s="13">
        <v>4</v>
      </c>
      <c r="F644" s="14" t="s">
        <v>12</v>
      </c>
      <c r="G644" s="10">
        <v>3560</v>
      </c>
      <c r="H644" s="12">
        <f t="shared" si="433"/>
        <v>1068</v>
      </c>
      <c r="I644" s="12">
        <f t="shared" si="426"/>
        <v>4272</v>
      </c>
      <c r="J644" s="10" t="s">
        <v>207</v>
      </c>
      <c r="K644" s="13" t="str">
        <f>K636</f>
        <v>Блок15</v>
      </c>
      <c r="L644">
        <v>4272</v>
      </c>
      <c r="M644">
        <f>M636</f>
        <v>1</v>
      </c>
      <c r="N644">
        <f t="shared" si="397"/>
        <v>4</v>
      </c>
      <c r="O644" s="23">
        <f>N644*H644</f>
        <v>4272</v>
      </c>
    </row>
    <row r="645" spans="1:15" ht="27" customHeight="1" x14ac:dyDescent="0.25">
      <c r="A645" s="13" t="str">
        <f>A641</f>
        <v>ЩРп c</v>
      </c>
      <c r="B645" s="10" t="s">
        <v>18</v>
      </c>
      <c r="C645" s="11" t="s">
        <v>209</v>
      </c>
      <c r="D645" s="10" t="s">
        <v>210</v>
      </c>
      <c r="E645" s="13">
        <v>3</v>
      </c>
      <c r="F645" s="14" t="s">
        <v>12</v>
      </c>
      <c r="G645" s="10">
        <v>14990</v>
      </c>
      <c r="H645" s="12">
        <f t="shared" si="433"/>
        <v>4497</v>
      </c>
      <c r="I645" s="12">
        <f t="shared" si="426"/>
        <v>13491</v>
      </c>
      <c r="J645" s="10" t="s">
        <v>207</v>
      </c>
      <c r="K645" s="13" t="str">
        <f>K641</f>
        <v>Блок15</v>
      </c>
      <c r="L645">
        <v>13491</v>
      </c>
      <c r="M645">
        <f>M641</f>
        <v>1</v>
      </c>
      <c r="N645">
        <f t="shared" si="397"/>
        <v>3</v>
      </c>
      <c r="O645" s="23">
        <f>N645*G645</f>
        <v>44970</v>
      </c>
    </row>
    <row r="646" spans="1:15" ht="27" customHeight="1" x14ac:dyDescent="0.25">
      <c r="A646" s="13" t="str">
        <f t="shared" si="425"/>
        <v>ЩРп c</v>
      </c>
      <c r="B646" s="10" t="s">
        <v>18</v>
      </c>
      <c r="C646" s="11" t="s">
        <v>233</v>
      </c>
      <c r="D646" s="10" t="s">
        <v>234</v>
      </c>
      <c r="E646" s="13">
        <v>1</v>
      </c>
      <c r="F646" s="14" t="s">
        <v>12</v>
      </c>
      <c r="G646" s="10">
        <v>5884</v>
      </c>
      <c r="H646" s="12">
        <f>0.6*G646</f>
        <v>3530.4</v>
      </c>
      <c r="I646" s="12">
        <f t="shared" si="426"/>
        <v>3530.4</v>
      </c>
      <c r="J646" s="10" t="s">
        <v>14</v>
      </c>
      <c r="K646" s="13" t="str">
        <f t="shared" si="427"/>
        <v>Блок15</v>
      </c>
      <c r="L646">
        <v>3530.4</v>
      </c>
      <c r="M646">
        <f t="shared" si="428"/>
        <v>1</v>
      </c>
      <c r="N646">
        <f t="shared" ref="N646:N709" si="436">M646*E646</f>
        <v>1</v>
      </c>
      <c r="O646" s="23">
        <f>N646*H646</f>
        <v>3530.4</v>
      </c>
    </row>
    <row r="647" spans="1:15" ht="27" customHeight="1" x14ac:dyDescent="0.25">
      <c r="A647" s="13" t="str">
        <f>A645</f>
        <v>ЩРп c</v>
      </c>
      <c r="B647" s="10" t="s">
        <v>293</v>
      </c>
      <c r="C647" s="11" t="s">
        <v>295</v>
      </c>
      <c r="D647" s="10" t="s">
        <v>296</v>
      </c>
      <c r="E647" s="13">
        <v>2</v>
      </c>
      <c r="F647" s="14" t="s">
        <v>12</v>
      </c>
      <c r="G647" s="10">
        <v>5450</v>
      </c>
      <c r="H647" s="12">
        <f t="shared" ref="H647:H648" si="437">0.3*G647</f>
        <v>1635</v>
      </c>
      <c r="I647" s="12">
        <f t="shared" si="426"/>
        <v>3270</v>
      </c>
      <c r="J647" s="10" t="s">
        <v>207</v>
      </c>
      <c r="K647" s="13" t="str">
        <f>K645</f>
        <v>Блок15</v>
      </c>
      <c r="L647">
        <v>3270</v>
      </c>
      <c r="M647">
        <f>M645</f>
        <v>1</v>
      </c>
      <c r="N647">
        <f t="shared" si="436"/>
        <v>2</v>
      </c>
      <c r="O647" s="23">
        <f t="shared" ref="O647:O655" si="438">N647*G647</f>
        <v>10900</v>
      </c>
    </row>
    <row r="648" spans="1:15" ht="27" customHeight="1" x14ac:dyDescent="0.25">
      <c r="A648" s="13" t="str">
        <f>A646</f>
        <v>ЩРп c</v>
      </c>
      <c r="B648" s="10" t="s">
        <v>293</v>
      </c>
      <c r="C648" s="11" t="s">
        <v>191</v>
      </c>
      <c r="D648" s="10" t="s">
        <v>192</v>
      </c>
      <c r="E648" s="13">
        <v>4</v>
      </c>
      <c r="F648" s="14" t="s">
        <v>12</v>
      </c>
      <c r="G648" s="10">
        <v>2360</v>
      </c>
      <c r="H648" s="12">
        <f t="shared" si="437"/>
        <v>708</v>
      </c>
      <c r="I648" s="12">
        <f t="shared" si="426"/>
        <v>2832</v>
      </c>
      <c r="J648" s="10" t="s">
        <v>207</v>
      </c>
      <c r="K648" s="13" t="str">
        <f>K646</f>
        <v>Блок15</v>
      </c>
      <c r="L648">
        <v>2832</v>
      </c>
      <c r="M648">
        <f>M646</f>
        <v>1</v>
      </c>
      <c r="N648">
        <f t="shared" si="436"/>
        <v>4</v>
      </c>
      <c r="O648" s="23">
        <f t="shared" si="438"/>
        <v>9440</v>
      </c>
    </row>
    <row r="649" spans="1:15" ht="27" customHeight="1" x14ac:dyDescent="0.25">
      <c r="A649" s="13" t="str">
        <f t="shared" si="425"/>
        <v>ЩРп c</v>
      </c>
      <c r="B649" s="10" t="s">
        <v>263</v>
      </c>
      <c r="C649" s="11" t="s">
        <v>264</v>
      </c>
      <c r="D649" s="10" t="s">
        <v>265</v>
      </c>
      <c r="E649" s="13">
        <v>2</v>
      </c>
      <c r="F649" s="14" t="s">
        <v>12</v>
      </c>
      <c r="G649" s="10">
        <v>1610</v>
      </c>
      <c r="H649" s="12">
        <f t="shared" ref="H649:H655" si="439">0.6*G649</f>
        <v>966</v>
      </c>
      <c r="I649" s="12">
        <f t="shared" si="426"/>
        <v>1932</v>
      </c>
      <c r="J649" s="10" t="s">
        <v>14</v>
      </c>
      <c r="K649" s="13" t="str">
        <f t="shared" si="427"/>
        <v>Блок15</v>
      </c>
      <c r="L649">
        <v>1932</v>
      </c>
      <c r="M649">
        <f t="shared" ref="M649:M650" si="440">M648</f>
        <v>1</v>
      </c>
      <c r="N649">
        <f t="shared" si="436"/>
        <v>2</v>
      </c>
      <c r="O649" s="23">
        <f t="shared" si="438"/>
        <v>3220</v>
      </c>
    </row>
    <row r="650" spans="1:15" ht="27" customHeight="1" x14ac:dyDescent="0.25">
      <c r="A650" s="13" t="str">
        <f t="shared" si="425"/>
        <v>ЩРп c</v>
      </c>
      <c r="B650" s="10" t="s">
        <v>268</v>
      </c>
      <c r="C650" s="11" t="s">
        <v>266</v>
      </c>
      <c r="D650" s="10" t="s">
        <v>267</v>
      </c>
      <c r="E650" s="13">
        <v>2</v>
      </c>
      <c r="F650" s="14" t="s">
        <v>12</v>
      </c>
      <c r="G650" s="10">
        <v>689</v>
      </c>
      <c r="H650" s="12">
        <f t="shared" si="439"/>
        <v>413.4</v>
      </c>
      <c r="I650" s="12">
        <f t="shared" si="426"/>
        <v>826.8</v>
      </c>
      <c r="J650" s="10" t="s">
        <v>14</v>
      </c>
      <c r="K650" s="13" t="str">
        <f t="shared" si="427"/>
        <v>Блок15</v>
      </c>
      <c r="L650">
        <v>826.8</v>
      </c>
      <c r="M650">
        <f t="shared" si="440"/>
        <v>1</v>
      </c>
      <c r="N650">
        <f t="shared" si="436"/>
        <v>2</v>
      </c>
      <c r="O650" s="23">
        <f t="shared" si="438"/>
        <v>1378</v>
      </c>
    </row>
    <row r="651" spans="1:15" ht="27" customHeight="1" x14ac:dyDescent="0.25">
      <c r="A651" s="13" t="str">
        <f t="shared" si="425"/>
        <v>ЩРп c</v>
      </c>
      <c r="B651" s="10" t="s">
        <v>276</v>
      </c>
      <c r="C651" s="11" t="s">
        <v>277</v>
      </c>
      <c r="D651" s="10" t="s">
        <v>278</v>
      </c>
      <c r="E651" s="13">
        <v>2</v>
      </c>
      <c r="F651" s="14" t="s">
        <v>12</v>
      </c>
      <c r="G651" s="10">
        <v>1836</v>
      </c>
      <c r="H651" s="12">
        <f t="shared" si="439"/>
        <v>1101.5999999999999</v>
      </c>
      <c r="I651" s="12">
        <f t="shared" si="426"/>
        <v>2203.1999999999998</v>
      </c>
      <c r="J651" s="10" t="s">
        <v>14</v>
      </c>
      <c r="K651" s="13" t="str">
        <f t="shared" si="427"/>
        <v>Блок15</v>
      </c>
      <c r="L651">
        <v>2203.1999999999998</v>
      </c>
      <c r="M651">
        <f t="shared" ref="M651" si="441">M650</f>
        <v>1</v>
      </c>
      <c r="N651">
        <f t="shared" si="436"/>
        <v>2</v>
      </c>
      <c r="O651" s="23">
        <f t="shared" si="438"/>
        <v>3672</v>
      </c>
    </row>
    <row r="652" spans="1:15" ht="27" customHeight="1" x14ac:dyDescent="0.25">
      <c r="A652" s="13" t="str">
        <f>A650</f>
        <v>ЩРп c</v>
      </c>
      <c r="B652" s="10" t="s">
        <v>269</v>
      </c>
      <c r="C652" s="11" t="s">
        <v>270</v>
      </c>
      <c r="D652" s="10" t="s">
        <v>271</v>
      </c>
      <c r="E652" s="13">
        <v>1</v>
      </c>
      <c r="F652" s="14" t="s">
        <v>12</v>
      </c>
      <c r="G652" s="10">
        <v>1738</v>
      </c>
      <c r="H652" s="12">
        <f t="shared" si="439"/>
        <v>1042.8</v>
      </c>
      <c r="I652" s="12">
        <f t="shared" si="426"/>
        <v>1042.8</v>
      </c>
      <c r="J652" s="10" t="s">
        <v>14</v>
      </c>
      <c r="K652" s="13" t="str">
        <f>K650</f>
        <v>Блок15</v>
      </c>
      <c r="L652">
        <v>1042.8</v>
      </c>
      <c r="M652">
        <f>M650</f>
        <v>1</v>
      </c>
      <c r="N652">
        <f t="shared" si="436"/>
        <v>1</v>
      </c>
      <c r="O652" s="23">
        <f t="shared" si="438"/>
        <v>1738</v>
      </c>
    </row>
    <row r="653" spans="1:15" ht="27" customHeight="1" x14ac:dyDescent="0.25">
      <c r="A653" s="13" t="str">
        <f t="shared" si="425"/>
        <v>ЩРп c</v>
      </c>
      <c r="B653" s="10" t="s">
        <v>272</v>
      </c>
      <c r="C653" s="11"/>
      <c r="D653" s="10" t="s">
        <v>273</v>
      </c>
      <c r="E653" s="13">
        <v>2</v>
      </c>
      <c r="F653" s="14" t="s">
        <v>12</v>
      </c>
      <c r="G653" s="10">
        <v>1738</v>
      </c>
      <c r="H653" s="12">
        <f t="shared" si="439"/>
        <v>1042.8</v>
      </c>
      <c r="I653" s="12">
        <f t="shared" si="426"/>
        <v>2085.6</v>
      </c>
      <c r="J653" s="10" t="s">
        <v>14</v>
      </c>
      <c r="K653" s="13" t="str">
        <f t="shared" si="427"/>
        <v>Блок15</v>
      </c>
      <c r="L653">
        <v>2085.6</v>
      </c>
      <c r="M653">
        <f t="shared" ref="M653:M655" si="442">M652</f>
        <v>1</v>
      </c>
      <c r="N653">
        <f t="shared" si="436"/>
        <v>2</v>
      </c>
      <c r="O653" s="23">
        <f t="shared" si="438"/>
        <v>3476</v>
      </c>
    </row>
    <row r="654" spans="1:15" ht="27" customHeight="1" x14ac:dyDescent="0.25">
      <c r="A654" s="13" t="str">
        <f t="shared" si="425"/>
        <v>ЩРп c</v>
      </c>
      <c r="B654" s="10" t="s">
        <v>272</v>
      </c>
      <c r="C654" s="11"/>
      <c r="D654" s="10" t="s">
        <v>274</v>
      </c>
      <c r="E654" s="13">
        <v>4</v>
      </c>
      <c r="F654" s="14" t="s">
        <v>12</v>
      </c>
      <c r="G654" s="10">
        <v>1738</v>
      </c>
      <c r="H654" s="12">
        <f t="shared" si="439"/>
        <v>1042.8</v>
      </c>
      <c r="I654" s="12">
        <f t="shared" si="426"/>
        <v>4171.2</v>
      </c>
      <c r="J654" s="10" t="s">
        <v>14</v>
      </c>
      <c r="K654" s="13" t="str">
        <f t="shared" si="427"/>
        <v>Блок15</v>
      </c>
      <c r="L654">
        <v>4171.2</v>
      </c>
      <c r="M654">
        <f t="shared" si="442"/>
        <v>1</v>
      </c>
      <c r="N654">
        <f t="shared" si="436"/>
        <v>4</v>
      </c>
      <c r="O654" s="23">
        <f t="shared" si="438"/>
        <v>6952</v>
      </c>
    </row>
    <row r="655" spans="1:15" ht="27" customHeight="1" x14ac:dyDescent="0.25">
      <c r="A655" s="13" t="str">
        <f t="shared" si="425"/>
        <v>ЩРп c</v>
      </c>
      <c r="B655" s="10" t="s">
        <v>272</v>
      </c>
      <c r="C655" s="11"/>
      <c r="D655" s="10" t="s">
        <v>275</v>
      </c>
      <c r="E655" s="13">
        <v>3</v>
      </c>
      <c r="F655" s="14" t="s">
        <v>12</v>
      </c>
      <c r="G655" s="10">
        <v>1738</v>
      </c>
      <c r="H655" s="12">
        <f t="shared" si="439"/>
        <v>1042.8</v>
      </c>
      <c r="I655" s="12">
        <f t="shared" si="426"/>
        <v>3128.3999999999996</v>
      </c>
      <c r="J655" s="10" t="s">
        <v>14</v>
      </c>
      <c r="K655" s="13" t="str">
        <f t="shared" si="427"/>
        <v>Блок15</v>
      </c>
      <c r="L655">
        <v>3128.3999999999996</v>
      </c>
      <c r="M655">
        <f t="shared" si="442"/>
        <v>1</v>
      </c>
      <c r="N655">
        <f t="shared" si="436"/>
        <v>3</v>
      </c>
      <c r="O655" s="23">
        <f t="shared" si="438"/>
        <v>5214</v>
      </c>
    </row>
    <row r="656" spans="1:15" ht="27" customHeight="1" x14ac:dyDescent="0.25">
      <c r="A656" s="10" t="str">
        <f>A648</f>
        <v>ЩРп c</v>
      </c>
      <c r="B656" s="10" t="s">
        <v>19</v>
      </c>
      <c r="C656" s="11" t="s">
        <v>19</v>
      </c>
      <c r="D656" s="10" t="s">
        <v>19</v>
      </c>
      <c r="E656" s="10">
        <v>1</v>
      </c>
      <c r="F656" s="10" t="s">
        <v>12</v>
      </c>
      <c r="G656" s="10">
        <f ca="1">OFFSET(G656,1,2)</f>
        <v>60000</v>
      </c>
      <c r="H656" s="12">
        <f ca="1">G656</f>
        <v>60000</v>
      </c>
      <c r="I656" s="12">
        <f t="shared" ca="1" si="426"/>
        <v>60000</v>
      </c>
      <c r="J656" s="10" t="s">
        <v>19</v>
      </c>
      <c r="K656" s="13" t="str">
        <f>K648</f>
        <v>Блок15</v>
      </c>
      <c r="L656">
        <v>60000</v>
      </c>
      <c r="M656">
        <f>M648</f>
        <v>1</v>
      </c>
      <c r="N656">
        <f t="shared" si="436"/>
        <v>1</v>
      </c>
      <c r="O656" s="23">
        <f t="shared" ref="O656:O667" ca="1" si="443">N656*H656</f>
        <v>60000</v>
      </c>
    </row>
    <row r="657" spans="1:15" ht="27" customHeight="1" x14ac:dyDescent="0.25">
      <c r="A657" s="10" t="str">
        <f t="shared" si="425"/>
        <v>ЩРп c</v>
      </c>
      <c r="B657" s="10" t="s">
        <v>20</v>
      </c>
      <c r="C657" s="11" t="s">
        <v>20</v>
      </c>
      <c r="D657" s="10" t="s">
        <v>20</v>
      </c>
      <c r="E657" s="10">
        <f>60*G657</f>
        <v>600</v>
      </c>
      <c r="F657" s="10" t="s">
        <v>12</v>
      </c>
      <c r="G657" s="10">
        <v>10</v>
      </c>
      <c r="H657" s="12">
        <v>100</v>
      </c>
      <c r="I657" s="12">
        <f t="shared" si="426"/>
        <v>60000</v>
      </c>
      <c r="J657" s="10" t="s">
        <v>20</v>
      </c>
      <c r="K657" s="13" t="str">
        <f t="shared" si="427"/>
        <v>Блок15</v>
      </c>
      <c r="L657">
        <v>60000</v>
      </c>
      <c r="M657">
        <f t="shared" si="428"/>
        <v>1</v>
      </c>
      <c r="N657">
        <f t="shared" si="436"/>
        <v>600</v>
      </c>
      <c r="O657" s="23">
        <f t="shared" si="443"/>
        <v>60000</v>
      </c>
    </row>
    <row r="658" spans="1:15" ht="27" customHeight="1" x14ac:dyDescent="0.25">
      <c r="A658" s="15" t="str">
        <f t="shared" si="425"/>
        <v>ЩРп c</v>
      </c>
      <c r="B658" s="15"/>
      <c r="C658" s="15"/>
      <c r="D658" s="16"/>
      <c r="E658" s="15"/>
      <c r="F658" s="19"/>
      <c r="G658" s="17"/>
      <c r="H658" s="12">
        <f t="shared" ref="H658" si="444">G658*0.55</f>
        <v>0</v>
      </c>
      <c r="I658" s="18">
        <f ca="1">SUM(I632:I657)</f>
        <v>482988</v>
      </c>
      <c r="J658" s="15"/>
      <c r="K658" s="13" t="str">
        <f t="shared" si="427"/>
        <v>Блок15</v>
      </c>
      <c r="L658">
        <v>482988</v>
      </c>
      <c r="M658">
        <f t="shared" si="428"/>
        <v>1</v>
      </c>
      <c r="N658">
        <f t="shared" si="436"/>
        <v>0</v>
      </c>
      <c r="O658" s="23">
        <f t="shared" si="443"/>
        <v>0</v>
      </c>
    </row>
    <row r="659" spans="1:15" ht="27" customHeight="1" x14ac:dyDescent="0.25">
      <c r="A659" s="8" t="str">
        <f>D659</f>
        <v>ЩР15</v>
      </c>
      <c r="B659" s="4"/>
      <c r="C659" s="5"/>
      <c r="D659" s="4" t="s">
        <v>118</v>
      </c>
      <c r="E659" s="8">
        <v>1</v>
      </c>
      <c r="F659" s="9" t="s">
        <v>9</v>
      </c>
      <c r="G659" s="6"/>
      <c r="H659" s="6"/>
      <c r="I659" s="7"/>
      <c r="J659" s="4" t="s">
        <v>10</v>
      </c>
      <c r="K659" s="8" t="s">
        <v>111</v>
      </c>
      <c r="M659">
        <f>E659</f>
        <v>1</v>
      </c>
      <c r="N659">
        <f t="shared" si="436"/>
        <v>1</v>
      </c>
      <c r="O659" s="23">
        <f t="shared" si="443"/>
        <v>0</v>
      </c>
    </row>
    <row r="660" spans="1:15" ht="27" customHeight="1" x14ac:dyDescent="0.25">
      <c r="A660" s="13" t="str">
        <f t="shared" ref="A660:A688" si="445">A659</f>
        <v>ЩР15</v>
      </c>
      <c r="B660" s="10" t="s">
        <v>11</v>
      </c>
      <c r="C660" s="11" t="s">
        <v>247</v>
      </c>
      <c r="D660" s="10" t="s">
        <v>248</v>
      </c>
      <c r="E660" s="13">
        <v>1</v>
      </c>
      <c r="F660" s="14" t="s">
        <v>12</v>
      </c>
      <c r="G660" s="10">
        <v>156500</v>
      </c>
      <c r="H660" s="12">
        <f>0.6*G660</f>
        <v>93900</v>
      </c>
      <c r="I660" s="12">
        <f t="shared" ref="I660:I687" si="446">H660*E660</f>
        <v>93900</v>
      </c>
      <c r="J660" s="10" t="s">
        <v>13</v>
      </c>
      <c r="K660" s="13" t="str">
        <f>K659</f>
        <v>Блок15</v>
      </c>
      <c r="L660">
        <v>93900</v>
      </c>
      <c r="M660">
        <f t="shared" ref="M660:M688" si="447">M659</f>
        <v>1</v>
      </c>
      <c r="N660">
        <f t="shared" si="436"/>
        <v>1</v>
      </c>
      <c r="O660" s="23">
        <f t="shared" si="443"/>
        <v>93900</v>
      </c>
    </row>
    <row r="661" spans="1:15" ht="27" customHeight="1" x14ac:dyDescent="0.25">
      <c r="A661" s="13" t="str">
        <f>A659</f>
        <v>ЩР15</v>
      </c>
      <c r="B661" s="10" t="s">
        <v>249</v>
      </c>
      <c r="C661" s="11" t="s">
        <v>250</v>
      </c>
      <c r="D661" s="10" t="s">
        <v>251</v>
      </c>
      <c r="E661" s="13">
        <v>1</v>
      </c>
      <c r="F661" s="14" t="s">
        <v>12</v>
      </c>
      <c r="G661" s="10">
        <v>4806</v>
      </c>
      <c r="H661" s="12">
        <f t="shared" ref="H661:H662" si="448">G661</f>
        <v>4806</v>
      </c>
      <c r="I661" s="12">
        <f t="shared" si="446"/>
        <v>4806</v>
      </c>
      <c r="J661" s="10" t="s">
        <v>25</v>
      </c>
      <c r="K661" s="13" t="s">
        <v>111</v>
      </c>
      <c r="L661">
        <v>4806</v>
      </c>
      <c r="M661">
        <f>M659</f>
        <v>1</v>
      </c>
      <c r="N661">
        <f t="shared" si="436"/>
        <v>1</v>
      </c>
      <c r="O661" s="23">
        <f t="shared" si="443"/>
        <v>4806</v>
      </c>
    </row>
    <row r="662" spans="1:15" ht="27" customHeight="1" x14ac:dyDescent="0.25">
      <c r="A662" s="13" t="str">
        <f>A660</f>
        <v>ЩР15</v>
      </c>
      <c r="B662" s="10" t="s">
        <v>252</v>
      </c>
      <c r="C662" s="11" t="s">
        <v>253</v>
      </c>
      <c r="D662" s="10" t="s">
        <v>254</v>
      </c>
      <c r="E662" s="13">
        <v>1</v>
      </c>
      <c r="F662" s="14" t="s">
        <v>12</v>
      </c>
      <c r="G662" s="10">
        <v>9000</v>
      </c>
      <c r="H662" s="12">
        <f t="shared" si="448"/>
        <v>9000</v>
      </c>
      <c r="I662" s="12">
        <f t="shared" si="446"/>
        <v>9000</v>
      </c>
      <c r="J662" s="10" t="s">
        <v>25</v>
      </c>
      <c r="K662" s="13" t="s">
        <v>111</v>
      </c>
      <c r="L662">
        <v>9000</v>
      </c>
      <c r="M662">
        <f>M660</f>
        <v>1</v>
      </c>
      <c r="N662">
        <f t="shared" si="436"/>
        <v>1</v>
      </c>
      <c r="O662" s="23">
        <f t="shared" si="443"/>
        <v>9000</v>
      </c>
    </row>
    <row r="663" spans="1:15" ht="27" customHeight="1" x14ac:dyDescent="0.25">
      <c r="A663" s="13" t="str">
        <f>A660</f>
        <v>ЩР15</v>
      </c>
      <c r="B663" s="10" t="s">
        <v>15</v>
      </c>
      <c r="C663" s="11" t="s">
        <v>301</v>
      </c>
      <c r="D663" s="10" t="s">
        <v>302</v>
      </c>
      <c r="E663" s="13">
        <v>1</v>
      </c>
      <c r="F663" s="14" t="s">
        <v>12</v>
      </c>
      <c r="G663" s="10">
        <v>32300</v>
      </c>
      <c r="H663" s="12">
        <f>G663</f>
        <v>32300</v>
      </c>
      <c r="I663" s="12">
        <f t="shared" si="446"/>
        <v>32300</v>
      </c>
      <c r="J663" s="10" t="s">
        <v>16</v>
      </c>
      <c r="K663" s="13" t="str">
        <f t="shared" ref="K663" si="449">K660</f>
        <v>Блок15</v>
      </c>
      <c r="L663">
        <v>32300</v>
      </c>
      <c r="M663">
        <f>M660</f>
        <v>1</v>
      </c>
      <c r="N663">
        <f t="shared" si="436"/>
        <v>1</v>
      </c>
      <c r="O663" s="23">
        <f t="shared" si="443"/>
        <v>32300</v>
      </c>
    </row>
    <row r="664" spans="1:15" ht="27" customHeight="1" x14ac:dyDescent="0.25">
      <c r="A664" s="13" t="str">
        <f t="shared" si="445"/>
        <v>ЩР15</v>
      </c>
      <c r="B664" s="10" t="s">
        <v>44</v>
      </c>
      <c r="C664" s="11" t="s">
        <v>166</v>
      </c>
      <c r="D664" s="10" t="s">
        <v>167</v>
      </c>
      <c r="E664" s="13">
        <v>1</v>
      </c>
      <c r="F664" s="14" t="s">
        <v>12</v>
      </c>
      <c r="G664" s="10">
        <v>207656</v>
      </c>
      <c r="H664" s="12">
        <f t="shared" ref="H664:H667" si="450">0.6*G664</f>
        <v>124593.59999999999</v>
      </c>
      <c r="I664" s="12">
        <f t="shared" si="446"/>
        <v>124593.59999999999</v>
      </c>
      <c r="J664" s="10" t="s">
        <v>14</v>
      </c>
      <c r="K664" s="13" t="s">
        <v>111</v>
      </c>
      <c r="L664">
        <v>124593.59999999999</v>
      </c>
      <c r="M664">
        <f t="shared" si="447"/>
        <v>1</v>
      </c>
      <c r="N664">
        <f t="shared" si="436"/>
        <v>1</v>
      </c>
      <c r="O664" s="23">
        <f t="shared" si="443"/>
        <v>124593.59999999999</v>
      </c>
    </row>
    <row r="665" spans="1:15" ht="27" customHeight="1" x14ac:dyDescent="0.25">
      <c r="A665" s="13" t="str">
        <f t="shared" si="445"/>
        <v>ЩР15</v>
      </c>
      <c r="B665" s="10" t="s">
        <v>49</v>
      </c>
      <c r="C665" s="10">
        <v>593071</v>
      </c>
      <c r="D665" s="10" t="s">
        <v>50</v>
      </c>
      <c r="E665" s="13">
        <v>2</v>
      </c>
      <c r="F665" s="14" t="s">
        <v>12</v>
      </c>
      <c r="G665" s="10">
        <v>836</v>
      </c>
      <c r="H665" s="12">
        <f t="shared" si="450"/>
        <v>501.59999999999997</v>
      </c>
      <c r="I665" s="12">
        <f t="shared" si="446"/>
        <v>1003.1999999999999</v>
      </c>
      <c r="J665" s="10" t="s">
        <v>14</v>
      </c>
      <c r="K665" s="13" t="s">
        <v>111</v>
      </c>
      <c r="L665">
        <v>1003.1999999999999</v>
      </c>
      <c r="M665">
        <f t="shared" si="447"/>
        <v>1</v>
      </c>
      <c r="N665">
        <f t="shared" si="436"/>
        <v>2</v>
      </c>
      <c r="O665" s="23">
        <f t="shared" si="443"/>
        <v>1003.1999999999999</v>
      </c>
    </row>
    <row r="666" spans="1:15" ht="27" customHeight="1" x14ac:dyDescent="0.25">
      <c r="A666" s="13" t="str">
        <f t="shared" si="445"/>
        <v>ЩР15</v>
      </c>
      <c r="B666" s="10" t="s">
        <v>49</v>
      </c>
      <c r="C666" s="10">
        <v>593150</v>
      </c>
      <c r="D666" s="10" t="s">
        <v>51</v>
      </c>
      <c r="E666" s="13">
        <v>1</v>
      </c>
      <c r="F666" s="14" t="s">
        <v>12</v>
      </c>
      <c r="G666" s="10">
        <v>836</v>
      </c>
      <c r="H666" s="12">
        <f t="shared" si="450"/>
        <v>501.59999999999997</v>
      </c>
      <c r="I666" s="12">
        <f t="shared" si="446"/>
        <v>501.59999999999997</v>
      </c>
      <c r="J666" s="10" t="s">
        <v>14</v>
      </c>
      <c r="K666" s="13" t="s">
        <v>111</v>
      </c>
      <c r="L666">
        <v>501.59999999999997</v>
      </c>
      <c r="M666">
        <f t="shared" si="447"/>
        <v>1</v>
      </c>
      <c r="N666">
        <f t="shared" si="436"/>
        <v>1</v>
      </c>
      <c r="O666" s="23">
        <f t="shared" si="443"/>
        <v>501.59999999999997</v>
      </c>
    </row>
    <row r="667" spans="1:15" ht="27" customHeight="1" x14ac:dyDescent="0.25">
      <c r="A667" s="13" t="str">
        <f t="shared" si="445"/>
        <v>ЩР15</v>
      </c>
      <c r="B667" s="10" t="s">
        <v>286</v>
      </c>
      <c r="C667" s="10" t="s">
        <v>287</v>
      </c>
      <c r="D667" s="10" t="s">
        <v>288</v>
      </c>
      <c r="E667" s="13">
        <v>1</v>
      </c>
      <c r="F667" s="14" t="s">
        <v>12</v>
      </c>
      <c r="G667" s="10">
        <v>2495</v>
      </c>
      <c r="H667" s="12">
        <f t="shared" si="450"/>
        <v>1497</v>
      </c>
      <c r="I667" s="12">
        <f t="shared" si="446"/>
        <v>1497</v>
      </c>
      <c r="J667" s="10" t="s">
        <v>14</v>
      </c>
      <c r="K667" s="13" t="s">
        <v>111</v>
      </c>
      <c r="L667">
        <v>1497</v>
      </c>
      <c r="M667">
        <f t="shared" ref="M667" si="451">M666</f>
        <v>1</v>
      </c>
      <c r="N667">
        <f t="shared" si="436"/>
        <v>1</v>
      </c>
      <c r="O667" s="23">
        <f t="shared" si="443"/>
        <v>1497</v>
      </c>
    </row>
    <row r="668" spans="1:15" ht="27" customHeight="1" x14ac:dyDescent="0.25">
      <c r="A668" s="13" t="str">
        <f>A663</f>
        <v>ЩР15</v>
      </c>
      <c r="B668" s="10" t="s">
        <v>294</v>
      </c>
      <c r="C668" s="11" t="s">
        <v>223</v>
      </c>
      <c r="D668" s="10" t="s">
        <v>224</v>
      </c>
      <c r="E668" s="13">
        <v>2</v>
      </c>
      <c r="F668" s="14" t="s">
        <v>12</v>
      </c>
      <c r="G668" s="10">
        <v>16550</v>
      </c>
      <c r="H668" s="12">
        <f t="shared" ref="H668:H670" si="452">0.3*G668</f>
        <v>4965</v>
      </c>
      <c r="I668" s="12">
        <f t="shared" si="446"/>
        <v>9930</v>
      </c>
      <c r="J668" s="10" t="s">
        <v>207</v>
      </c>
      <c r="K668" s="13" t="str">
        <f>K660</f>
        <v>Блок15</v>
      </c>
      <c r="L668">
        <v>9930</v>
      </c>
      <c r="M668">
        <f>M663</f>
        <v>1</v>
      </c>
      <c r="N668">
        <f t="shared" si="436"/>
        <v>2</v>
      </c>
      <c r="O668" s="23">
        <f>N668*G668</f>
        <v>33100</v>
      </c>
    </row>
    <row r="669" spans="1:15" ht="27" customHeight="1" x14ac:dyDescent="0.25">
      <c r="A669" s="13" t="str">
        <f t="shared" si="445"/>
        <v>ЩР15</v>
      </c>
      <c r="B669" s="10" t="s">
        <v>294</v>
      </c>
      <c r="C669" s="11" t="s">
        <v>221</v>
      </c>
      <c r="D669" s="10" t="s">
        <v>222</v>
      </c>
      <c r="E669" s="13">
        <v>2</v>
      </c>
      <c r="F669" s="14" t="s">
        <v>12</v>
      </c>
      <c r="G669" s="10">
        <v>12990</v>
      </c>
      <c r="H669" s="12">
        <f t="shared" si="452"/>
        <v>3897</v>
      </c>
      <c r="I669" s="12">
        <f t="shared" si="446"/>
        <v>7794</v>
      </c>
      <c r="J669" s="10" t="s">
        <v>207</v>
      </c>
      <c r="K669" s="13" t="str">
        <f>K668</f>
        <v>Блок15</v>
      </c>
      <c r="L669">
        <v>7794</v>
      </c>
      <c r="M669">
        <f t="shared" si="447"/>
        <v>1</v>
      </c>
      <c r="N669">
        <f t="shared" si="436"/>
        <v>2</v>
      </c>
      <c r="O669" s="23">
        <f>N669*G669</f>
        <v>25980</v>
      </c>
    </row>
    <row r="670" spans="1:15" ht="27" customHeight="1" x14ac:dyDescent="0.25">
      <c r="A670" s="13" t="str">
        <f>A668</f>
        <v>ЩР15</v>
      </c>
      <c r="B670" s="10" t="s">
        <v>293</v>
      </c>
      <c r="C670" s="11" t="s">
        <v>295</v>
      </c>
      <c r="D670" s="10" t="s">
        <v>296</v>
      </c>
      <c r="E670" s="13">
        <v>2</v>
      </c>
      <c r="F670" s="14" t="s">
        <v>12</v>
      </c>
      <c r="G670" s="10">
        <v>5450</v>
      </c>
      <c r="H670" s="12">
        <f t="shared" si="452"/>
        <v>1635</v>
      </c>
      <c r="I670" s="12">
        <f t="shared" si="446"/>
        <v>3270</v>
      </c>
      <c r="J670" s="10" t="s">
        <v>207</v>
      </c>
      <c r="K670" s="13" t="str">
        <f>K668</f>
        <v>Блок15</v>
      </c>
      <c r="L670">
        <v>3270</v>
      </c>
      <c r="M670">
        <f>M668</f>
        <v>1</v>
      </c>
      <c r="N670">
        <f t="shared" si="436"/>
        <v>2</v>
      </c>
      <c r="O670" s="23">
        <f>N670*G670</f>
        <v>10900</v>
      </c>
    </row>
    <row r="671" spans="1:15" ht="27" customHeight="1" x14ac:dyDescent="0.25">
      <c r="A671" s="13" t="str">
        <f>A669</f>
        <v>ЩР15</v>
      </c>
      <c r="B671" s="10" t="s">
        <v>293</v>
      </c>
      <c r="C671" s="11">
        <v>296841</v>
      </c>
      <c r="D671" s="10" t="s">
        <v>122</v>
      </c>
      <c r="E671" s="13">
        <v>1</v>
      </c>
      <c r="F671" s="14" t="s">
        <v>12</v>
      </c>
      <c r="G671" s="10">
        <v>3058</v>
      </c>
      <c r="H671" s="12">
        <f t="shared" ref="H671:H688" si="453">G671*0.55</f>
        <v>1681.9</v>
      </c>
      <c r="I671" s="12">
        <f t="shared" si="446"/>
        <v>1681.9</v>
      </c>
      <c r="J671" s="10" t="s">
        <v>28</v>
      </c>
      <c r="K671" s="13" t="str">
        <f>K669</f>
        <v>Блок15</v>
      </c>
      <c r="L671">
        <v>1681.9</v>
      </c>
      <c r="M671">
        <f>M669</f>
        <v>1</v>
      </c>
      <c r="N671">
        <f t="shared" si="436"/>
        <v>1</v>
      </c>
      <c r="O671" s="23">
        <f>N671*H671</f>
        <v>1681.9</v>
      </c>
    </row>
    <row r="672" spans="1:15" ht="27" customHeight="1" x14ac:dyDescent="0.25">
      <c r="A672" s="13" t="str">
        <f t="shared" si="445"/>
        <v>ЩР15</v>
      </c>
      <c r="B672" s="10" t="s">
        <v>293</v>
      </c>
      <c r="C672" s="11" t="s">
        <v>199</v>
      </c>
      <c r="D672" s="10" t="s">
        <v>200</v>
      </c>
      <c r="E672" s="13">
        <v>2</v>
      </c>
      <c r="F672" s="14" t="s">
        <v>12</v>
      </c>
      <c r="G672" s="10">
        <v>5950</v>
      </c>
      <c r="H672" s="12">
        <f t="shared" ref="H672:H679" si="454">0.3*G672</f>
        <v>1785</v>
      </c>
      <c r="I672" s="12">
        <f t="shared" si="446"/>
        <v>3570</v>
      </c>
      <c r="J672" s="10" t="s">
        <v>207</v>
      </c>
      <c r="K672" s="13" t="str">
        <f>K671</f>
        <v>Блок15</v>
      </c>
      <c r="L672">
        <v>3570</v>
      </c>
      <c r="M672">
        <f t="shared" si="447"/>
        <v>1</v>
      </c>
      <c r="N672">
        <f t="shared" si="436"/>
        <v>2</v>
      </c>
      <c r="O672" s="23">
        <f>N672*G672</f>
        <v>11900</v>
      </c>
    </row>
    <row r="673" spans="1:15" ht="27" customHeight="1" x14ac:dyDescent="0.25">
      <c r="A673" s="13" t="str">
        <f t="shared" si="445"/>
        <v>ЩР15</v>
      </c>
      <c r="B673" s="10" t="s">
        <v>293</v>
      </c>
      <c r="C673" s="11" t="s">
        <v>197</v>
      </c>
      <c r="D673" s="10" t="s">
        <v>198</v>
      </c>
      <c r="E673" s="13">
        <v>1</v>
      </c>
      <c r="F673" s="14" t="s">
        <v>12</v>
      </c>
      <c r="G673" s="10">
        <v>6580</v>
      </c>
      <c r="H673" s="12">
        <f t="shared" si="454"/>
        <v>1974</v>
      </c>
      <c r="I673" s="12">
        <f t="shared" si="446"/>
        <v>1974</v>
      </c>
      <c r="J673" s="10" t="s">
        <v>207</v>
      </c>
      <c r="K673" s="13" t="str">
        <f>K671</f>
        <v>Блок15</v>
      </c>
      <c r="L673">
        <v>1974</v>
      </c>
      <c r="M673">
        <f t="shared" si="447"/>
        <v>1</v>
      </c>
      <c r="N673">
        <f t="shared" si="436"/>
        <v>1</v>
      </c>
      <c r="O673" s="23">
        <f>N673*G673</f>
        <v>6580</v>
      </c>
    </row>
    <row r="674" spans="1:15" ht="27" customHeight="1" x14ac:dyDescent="0.25">
      <c r="A674" s="13" t="str">
        <f t="shared" si="445"/>
        <v>ЩР15</v>
      </c>
      <c r="B674" s="10" t="s">
        <v>293</v>
      </c>
      <c r="C674" s="11" t="s">
        <v>199</v>
      </c>
      <c r="D674" s="10" t="s">
        <v>200</v>
      </c>
      <c r="E674" s="13">
        <v>1</v>
      </c>
      <c r="F674" s="14" t="s">
        <v>12</v>
      </c>
      <c r="G674" s="10">
        <v>5950</v>
      </c>
      <c r="H674" s="12">
        <f t="shared" si="454"/>
        <v>1785</v>
      </c>
      <c r="I674" s="12">
        <f t="shared" si="446"/>
        <v>1785</v>
      </c>
      <c r="J674" s="10" t="s">
        <v>207</v>
      </c>
      <c r="K674" s="13" t="str">
        <f>K673</f>
        <v>Блок15</v>
      </c>
      <c r="L674">
        <v>1785</v>
      </c>
      <c r="M674">
        <f t="shared" si="447"/>
        <v>1</v>
      </c>
      <c r="N674">
        <f t="shared" si="436"/>
        <v>1</v>
      </c>
      <c r="O674" s="23">
        <f>N674*G674</f>
        <v>5950</v>
      </c>
    </row>
    <row r="675" spans="1:15" ht="27" customHeight="1" x14ac:dyDescent="0.25">
      <c r="A675" s="13" t="str">
        <f t="shared" si="445"/>
        <v>ЩР15</v>
      </c>
      <c r="B675" s="10" t="s">
        <v>293</v>
      </c>
      <c r="C675" s="11" t="s">
        <v>191</v>
      </c>
      <c r="D675" s="10" t="s">
        <v>192</v>
      </c>
      <c r="E675" s="13">
        <v>11</v>
      </c>
      <c r="F675" s="14" t="s">
        <v>12</v>
      </c>
      <c r="G675" s="10">
        <v>2360</v>
      </c>
      <c r="H675" s="12">
        <f t="shared" si="454"/>
        <v>708</v>
      </c>
      <c r="I675" s="12">
        <f t="shared" si="446"/>
        <v>7788</v>
      </c>
      <c r="J675" s="10" t="s">
        <v>207</v>
      </c>
      <c r="K675" s="13" t="str">
        <f>K674</f>
        <v>Блок15</v>
      </c>
      <c r="L675">
        <v>7788</v>
      </c>
      <c r="M675">
        <f t="shared" si="447"/>
        <v>1</v>
      </c>
      <c r="N675">
        <f t="shared" si="436"/>
        <v>11</v>
      </c>
      <c r="O675" s="23">
        <f>N675*G675</f>
        <v>25960</v>
      </c>
    </row>
    <row r="676" spans="1:15" ht="27" customHeight="1" x14ac:dyDescent="0.25">
      <c r="A676" s="13" t="str">
        <f>A666</f>
        <v>ЩР15</v>
      </c>
      <c r="B676" s="10" t="s">
        <v>255</v>
      </c>
      <c r="C676" s="11" t="s">
        <v>289</v>
      </c>
      <c r="D676" s="10" t="s">
        <v>290</v>
      </c>
      <c r="E676" s="13">
        <v>1</v>
      </c>
      <c r="F676" s="14" t="s">
        <v>12</v>
      </c>
      <c r="G676" s="10">
        <v>10600</v>
      </c>
      <c r="H676" s="12">
        <f t="shared" si="454"/>
        <v>3180</v>
      </c>
      <c r="I676" s="12">
        <f t="shared" si="446"/>
        <v>3180</v>
      </c>
      <c r="J676" s="10" t="s">
        <v>207</v>
      </c>
      <c r="K676" s="13" t="str">
        <f>K666</f>
        <v>Блок15</v>
      </c>
      <c r="L676">
        <v>3180</v>
      </c>
      <c r="M676">
        <f>M666</f>
        <v>1</v>
      </c>
      <c r="N676">
        <f t="shared" si="436"/>
        <v>1</v>
      </c>
      <c r="O676" s="23">
        <f>N676*H676</f>
        <v>3180</v>
      </c>
    </row>
    <row r="677" spans="1:15" ht="27" customHeight="1" x14ac:dyDescent="0.25">
      <c r="A677" s="13" t="str">
        <f>A669</f>
        <v>ЩР15</v>
      </c>
      <c r="B677" s="10" t="s">
        <v>255</v>
      </c>
      <c r="C677" s="11" t="s">
        <v>291</v>
      </c>
      <c r="D677" s="10" t="s">
        <v>292</v>
      </c>
      <c r="E677" s="13">
        <v>2</v>
      </c>
      <c r="F677" s="14" t="s">
        <v>12</v>
      </c>
      <c r="G677" s="10">
        <v>8830</v>
      </c>
      <c r="H677" s="12">
        <f t="shared" si="454"/>
        <v>2649</v>
      </c>
      <c r="I677" s="12">
        <f t="shared" si="446"/>
        <v>5298</v>
      </c>
      <c r="J677" s="10" t="s">
        <v>207</v>
      </c>
      <c r="K677" s="13" t="str">
        <f>K669</f>
        <v>Блок15</v>
      </c>
      <c r="L677">
        <v>5298</v>
      </c>
      <c r="M677">
        <f>M669</f>
        <v>1</v>
      </c>
      <c r="N677">
        <f t="shared" si="436"/>
        <v>2</v>
      </c>
      <c r="O677" s="23">
        <f>N677*H677</f>
        <v>5298</v>
      </c>
    </row>
    <row r="678" spans="1:15" ht="27" customHeight="1" x14ac:dyDescent="0.25">
      <c r="A678" s="13" t="str">
        <f t="shared" ref="A678" si="455">A669</f>
        <v>ЩР15</v>
      </c>
      <c r="B678" s="10" t="s">
        <v>279</v>
      </c>
      <c r="C678" s="11" t="s">
        <v>303</v>
      </c>
      <c r="D678" s="10" t="s">
        <v>304</v>
      </c>
      <c r="E678" s="13">
        <v>1</v>
      </c>
      <c r="F678" s="14" t="s">
        <v>12</v>
      </c>
      <c r="G678" s="10">
        <v>15770</v>
      </c>
      <c r="H678" s="12">
        <f t="shared" si="454"/>
        <v>4731</v>
      </c>
      <c r="I678" s="12">
        <f t="shared" si="446"/>
        <v>4731</v>
      </c>
      <c r="J678" s="10" t="s">
        <v>207</v>
      </c>
      <c r="K678" s="13" t="str">
        <f t="shared" ref="K678" si="456">K669</f>
        <v>Блок15</v>
      </c>
      <c r="L678">
        <v>4731</v>
      </c>
      <c r="M678">
        <f t="shared" ref="M678" si="457">M669</f>
        <v>1</v>
      </c>
      <c r="N678">
        <f t="shared" si="436"/>
        <v>1</v>
      </c>
      <c r="O678" s="23">
        <f>N678*H678</f>
        <v>4731</v>
      </c>
    </row>
    <row r="679" spans="1:15" ht="27" customHeight="1" x14ac:dyDescent="0.25">
      <c r="A679" s="13" t="str">
        <f>A671</f>
        <v>ЩР15</v>
      </c>
      <c r="B679" s="10" t="s">
        <v>279</v>
      </c>
      <c r="C679" s="11" t="s">
        <v>305</v>
      </c>
      <c r="D679" s="25" t="s">
        <v>306</v>
      </c>
      <c r="E679" s="13">
        <v>2</v>
      </c>
      <c r="F679" s="14" t="s">
        <v>12</v>
      </c>
      <c r="G679" s="10">
        <v>13990</v>
      </c>
      <c r="H679" s="12">
        <f t="shared" si="454"/>
        <v>4197</v>
      </c>
      <c r="I679" s="12">
        <f t="shared" si="446"/>
        <v>8394</v>
      </c>
      <c r="J679" s="10" t="s">
        <v>207</v>
      </c>
      <c r="K679" s="13" t="str">
        <f>K671</f>
        <v>Блок15</v>
      </c>
      <c r="L679">
        <v>8394</v>
      </c>
      <c r="M679">
        <f>M671</f>
        <v>1</v>
      </c>
      <c r="N679">
        <f t="shared" si="436"/>
        <v>2</v>
      </c>
      <c r="O679" s="23">
        <f>N679*H679</f>
        <v>8394</v>
      </c>
    </row>
    <row r="680" spans="1:15" ht="27" customHeight="1" x14ac:dyDescent="0.25">
      <c r="A680" s="13" t="str">
        <f>A675</f>
        <v>ЩР15</v>
      </c>
      <c r="B680" s="10" t="s">
        <v>263</v>
      </c>
      <c r="C680" s="11" t="s">
        <v>264</v>
      </c>
      <c r="D680" s="10" t="s">
        <v>265</v>
      </c>
      <c r="E680" s="13">
        <v>3</v>
      </c>
      <c r="F680" s="14" t="s">
        <v>12</v>
      </c>
      <c r="G680" s="10">
        <v>1610</v>
      </c>
      <c r="H680" s="12">
        <f t="shared" ref="H680:H685" si="458">0.6*G680</f>
        <v>966</v>
      </c>
      <c r="I680" s="12">
        <f t="shared" si="446"/>
        <v>2898</v>
      </c>
      <c r="J680" s="10" t="s">
        <v>14</v>
      </c>
      <c r="K680" s="13" t="str">
        <f>K675</f>
        <v>Блок15</v>
      </c>
      <c r="L680">
        <v>2898</v>
      </c>
      <c r="M680">
        <f>M675</f>
        <v>1</v>
      </c>
      <c r="N680">
        <f t="shared" si="436"/>
        <v>3</v>
      </c>
      <c r="O680" s="23">
        <f t="shared" ref="O680:O685" si="459">N680*G680</f>
        <v>4830</v>
      </c>
    </row>
    <row r="681" spans="1:15" ht="27" customHeight="1" x14ac:dyDescent="0.25">
      <c r="A681" s="13" t="str">
        <f t="shared" si="445"/>
        <v>ЩР15</v>
      </c>
      <c r="B681" s="10" t="s">
        <v>268</v>
      </c>
      <c r="C681" s="11" t="s">
        <v>266</v>
      </c>
      <c r="D681" s="10" t="s">
        <v>267</v>
      </c>
      <c r="E681" s="13">
        <v>2</v>
      </c>
      <c r="F681" s="14" t="s">
        <v>12</v>
      </c>
      <c r="G681" s="10">
        <v>689</v>
      </c>
      <c r="H681" s="12">
        <f t="shared" si="458"/>
        <v>413.4</v>
      </c>
      <c r="I681" s="12">
        <f t="shared" si="446"/>
        <v>826.8</v>
      </c>
      <c r="J681" s="10" t="s">
        <v>14</v>
      </c>
      <c r="K681" s="13" t="str">
        <f t="shared" ref="K681:K684" si="460">K680</f>
        <v>Блок15</v>
      </c>
      <c r="L681">
        <v>826.8</v>
      </c>
      <c r="M681">
        <f t="shared" si="447"/>
        <v>1</v>
      </c>
      <c r="N681">
        <f t="shared" si="436"/>
        <v>2</v>
      </c>
      <c r="O681" s="23">
        <f t="shared" si="459"/>
        <v>1378</v>
      </c>
    </row>
    <row r="682" spans="1:15" ht="27" customHeight="1" x14ac:dyDescent="0.25">
      <c r="A682" s="13" t="str">
        <f t="shared" si="445"/>
        <v>ЩР15</v>
      </c>
      <c r="B682" s="10" t="s">
        <v>276</v>
      </c>
      <c r="C682" s="11" t="s">
        <v>277</v>
      </c>
      <c r="D682" s="10" t="s">
        <v>278</v>
      </c>
      <c r="E682" s="13">
        <v>1</v>
      </c>
      <c r="F682" s="14" t="s">
        <v>12</v>
      </c>
      <c r="G682" s="10">
        <v>1836</v>
      </c>
      <c r="H682" s="12">
        <f t="shared" si="458"/>
        <v>1101.5999999999999</v>
      </c>
      <c r="I682" s="12">
        <f t="shared" si="446"/>
        <v>1101.5999999999999</v>
      </c>
      <c r="J682" s="10" t="s">
        <v>14</v>
      </c>
      <c r="K682" s="13" t="str">
        <f t="shared" si="460"/>
        <v>Блок15</v>
      </c>
      <c r="L682">
        <v>1101.5999999999999</v>
      </c>
      <c r="M682">
        <f t="shared" si="447"/>
        <v>1</v>
      </c>
      <c r="N682">
        <f t="shared" si="436"/>
        <v>1</v>
      </c>
      <c r="O682" s="23">
        <f t="shared" si="459"/>
        <v>1836</v>
      </c>
    </row>
    <row r="683" spans="1:15" ht="27" customHeight="1" x14ac:dyDescent="0.25">
      <c r="A683" s="13" t="str">
        <f t="shared" si="445"/>
        <v>ЩР15</v>
      </c>
      <c r="B683" s="10" t="s">
        <v>280</v>
      </c>
      <c r="C683" s="11" t="s">
        <v>281</v>
      </c>
      <c r="D683" s="10" t="s">
        <v>282</v>
      </c>
      <c r="E683" s="13">
        <v>2</v>
      </c>
      <c r="F683" s="14" t="s">
        <v>12</v>
      </c>
      <c r="G683" s="10">
        <v>1602</v>
      </c>
      <c r="H683" s="12">
        <f t="shared" si="458"/>
        <v>961.19999999999993</v>
      </c>
      <c r="I683" s="12">
        <f t="shared" si="446"/>
        <v>1922.3999999999999</v>
      </c>
      <c r="J683" s="10" t="s">
        <v>14</v>
      </c>
      <c r="K683" s="13" t="str">
        <f t="shared" si="460"/>
        <v>Блок15</v>
      </c>
      <c r="L683">
        <v>1922.3999999999999</v>
      </c>
      <c r="M683">
        <f t="shared" ref="M683" si="461">M682</f>
        <v>1</v>
      </c>
      <c r="N683">
        <f t="shared" si="436"/>
        <v>2</v>
      </c>
      <c r="O683" s="23">
        <f t="shared" si="459"/>
        <v>3204</v>
      </c>
    </row>
    <row r="684" spans="1:15" ht="27" customHeight="1" x14ac:dyDescent="0.25">
      <c r="A684" s="13" t="str">
        <f t="shared" si="445"/>
        <v>ЩР15</v>
      </c>
      <c r="B684" s="10" t="s">
        <v>283</v>
      </c>
      <c r="C684" s="11" t="s">
        <v>284</v>
      </c>
      <c r="D684" s="10" t="s">
        <v>285</v>
      </c>
      <c r="E684" s="13">
        <v>4</v>
      </c>
      <c r="F684" s="14" t="s">
        <v>12</v>
      </c>
      <c r="G684" s="10">
        <v>350</v>
      </c>
      <c r="H684" s="12">
        <f t="shared" si="458"/>
        <v>210</v>
      </c>
      <c r="I684" s="12">
        <f t="shared" si="446"/>
        <v>840</v>
      </c>
      <c r="J684" s="10" t="s">
        <v>14</v>
      </c>
      <c r="K684" s="13" t="str">
        <f t="shared" si="460"/>
        <v>Блок15</v>
      </c>
      <c r="L684">
        <v>840</v>
      </c>
      <c r="M684">
        <f t="shared" ref="M684" si="462">M683</f>
        <v>1</v>
      </c>
      <c r="N684">
        <f t="shared" si="436"/>
        <v>4</v>
      </c>
      <c r="O684" s="23">
        <f t="shared" si="459"/>
        <v>1400</v>
      </c>
    </row>
    <row r="685" spans="1:15" ht="27" customHeight="1" x14ac:dyDescent="0.25">
      <c r="A685" s="13" t="str">
        <f>A683</f>
        <v>ЩР15</v>
      </c>
      <c r="B685" s="10" t="s">
        <v>269</v>
      </c>
      <c r="C685" s="11" t="s">
        <v>270</v>
      </c>
      <c r="D685" s="10" t="s">
        <v>271</v>
      </c>
      <c r="E685" s="13">
        <v>1</v>
      </c>
      <c r="F685" s="14" t="s">
        <v>12</v>
      </c>
      <c r="G685" s="10">
        <v>1738</v>
      </c>
      <c r="H685" s="12">
        <f t="shared" si="458"/>
        <v>1042.8</v>
      </c>
      <c r="I685" s="12">
        <f t="shared" si="446"/>
        <v>1042.8</v>
      </c>
      <c r="J685" s="10" t="s">
        <v>14</v>
      </c>
      <c r="K685" s="13" t="str">
        <f>K683</f>
        <v>Блок15</v>
      </c>
      <c r="L685">
        <v>1042.8</v>
      </c>
      <c r="M685">
        <f>M683</f>
        <v>1</v>
      </c>
      <c r="N685">
        <f t="shared" si="436"/>
        <v>1</v>
      </c>
      <c r="O685" s="23">
        <f t="shared" si="459"/>
        <v>1738</v>
      </c>
    </row>
    <row r="686" spans="1:15" ht="27" customHeight="1" x14ac:dyDescent="0.25">
      <c r="A686" s="10" t="str">
        <f>A675</f>
        <v>ЩР15</v>
      </c>
      <c r="B686" s="10" t="s">
        <v>19</v>
      </c>
      <c r="C686" s="11" t="s">
        <v>19</v>
      </c>
      <c r="D686" s="10" t="s">
        <v>19</v>
      </c>
      <c r="E686" s="10">
        <v>1</v>
      </c>
      <c r="F686" s="10" t="s">
        <v>12</v>
      </c>
      <c r="G686" s="10">
        <f ca="1">OFFSET(G686,1,2)</f>
        <v>60000</v>
      </c>
      <c r="H686" s="12">
        <f ca="1">G686</f>
        <v>60000</v>
      </c>
      <c r="I686" s="12">
        <f t="shared" ca="1" si="446"/>
        <v>60000</v>
      </c>
      <c r="J686" s="10" t="s">
        <v>19</v>
      </c>
      <c r="K686" s="13" t="str">
        <f>K675</f>
        <v>Блок15</v>
      </c>
      <c r="L686">
        <v>60000</v>
      </c>
      <c r="M686">
        <f>M675</f>
        <v>1</v>
      </c>
      <c r="N686">
        <f t="shared" si="436"/>
        <v>1</v>
      </c>
      <c r="O686" s="23">
        <f ca="1">N686*H686</f>
        <v>60000</v>
      </c>
    </row>
    <row r="687" spans="1:15" ht="27" customHeight="1" x14ac:dyDescent="0.25">
      <c r="A687" s="10" t="str">
        <f t="shared" si="445"/>
        <v>ЩР15</v>
      </c>
      <c r="B687" s="10" t="s">
        <v>20</v>
      </c>
      <c r="C687" s="11" t="s">
        <v>20</v>
      </c>
      <c r="D687" s="10" t="s">
        <v>20</v>
      </c>
      <c r="E687" s="10">
        <f>60*G687</f>
        <v>600</v>
      </c>
      <c r="F687" s="10" t="s">
        <v>12</v>
      </c>
      <c r="G687" s="10">
        <v>10</v>
      </c>
      <c r="H687" s="12">
        <v>100</v>
      </c>
      <c r="I687" s="12">
        <f t="shared" si="446"/>
        <v>60000</v>
      </c>
      <c r="J687" s="10" t="s">
        <v>20</v>
      </c>
      <c r="K687" s="13" t="str">
        <f>K686</f>
        <v>Блок15</v>
      </c>
      <c r="L687">
        <v>60000</v>
      </c>
      <c r="M687">
        <f t="shared" si="447"/>
        <v>1</v>
      </c>
      <c r="N687">
        <f t="shared" si="436"/>
        <v>600</v>
      </c>
      <c r="O687" s="23">
        <f>N687*H687</f>
        <v>60000</v>
      </c>
    </row>
    <row r="688" spans="1:15" ht="27" customHeight="1" x14ac:dyDescent="0.25">
      <c r="A688" s="15" t="str">
        <f t="shared" si="445"/>
        <v>ЩР15</v>
      </c>
      <c r="B688" s="15"/>
      <c r="C688" s="15"/>
      <c r="D688" s="16"/>
      <c r="E688" s="15"/>
      <c r="F688" s="19"/>
      <c r="G688" s="17"/>
      <c r="H688" s="12">
        <f t="shared" si="453"/>
        <v>0</v>
      </c>
      <c r="I688" s="18">
        <f ca="1">SUM(I660:I687)</f>
        <v>455628.89999999997</v>
      </c>
      <c r="J688" s="15"/>
      <c r="K688" s="13" t="str">
        <f>K687</f>
        <v>Блок15</v>
      </c>
      <c r="L688">
        <v>455628.89999999997</v>
      </c>
      <c r="M688">
        <f t="shared" si="447"/>
        <v>1</v>
      </c>
      <c r="N688">
        <f t="shared" si="436"/>
        <v>0</v>
      </c>
      <c r="O688" s="23">
        <f>N688*H688</f>
        <v>0</v>
      </c>
    </row>
    <row r="689" spans="1:15" ht="27" customHeight="1" x14ac:dyDescent="0.25">
      <c r="A689" s="8" t="str">
        <f>D689</f>
        <v>ЩЭ-3</v>
      </c>
      <c r="B689" s="4"/>
      <c r="C689" s="5"/>
      <c r="D689" s="4" t="s">
        <v>155</v>
      </c>
      <c r="E689" s="8">
        <v>4</v>
      </c>
      <c r="F689" s="9" t="s">
        <v>9</v>
      </c>
      <c r="G689" s="6"/>
      <c r="H689" s="6"/>
      <c r="I689" s="7"/>
      <c r="J689" s="4" t="s">
        <v>10</v>
      </c>
      <c r="K689" s="8" t="s">
        <v>111</v>
      </c>
      <c r="M689">
        <f>E689</f>
        <v>4</v>
      </c>
      <c r="N689">
        <f t="shared" si="436"/>
        <v>16</v>
      </c>
      <c r="O689" s="23">
        <f>N689*H689</f>
        <v>0</v>
      </c>
    </row>
    <row r="690" spans="1:15" ht="27" customHeight="1" x14ac:dyDescent="0.25">
      <c r="A690" s="13" t="str">
        <f t="shared" ref="A690:A696" si="463">A689</f>
        <v>ЩЭ-3</v>
      </c>
      <c r="B690" s="10" t="s">
        <v>11</v>
      </c>
      <c r="C690" s="11" t="s">
        <v>319</v>
      </c>
      <c r="D690" s="10" t="s">
        <v>320</v>
      </c>
      <c r="E690" s="13">
        <v>1</v>
      </c>
      <c r="F690" s="14" t="s">
        <v>12</v>
      </c>
      <c r="G690" s="10">
        <v>48000</v>
      </c>
      <c r="H690" s="12">
        <f>0.6*G690</f>
        <v>28800</v>
      </c>
      <c r="I690" s="12">
        <f t="shared" ref="I690:I695" si="464">H690*E690</f>
        <v>28800</v>
      </c>
      <c r="J690" s="10" t="s">
        <v>13</v>
      </c>
      <c r="K690" s="13" t="s">
        <v>111</v>
      </c>
      <c r="L690">
        <v>28800</v>
      </c>
      <c r="M690">
        <f t="shared" ref="M690:M696" si="465">M689</f>
        <v>4</v>
      </c>
      <c r="N690">
        <f t="shared" si="436"/>
        <v>4</v>
      </c>
      <c r="O690" s="23">
        <f>N690*H690</f>
        <v>115200</v>
      </c>
    </row>
    <row r="691" spans="1:15" ht="27" customHeight="1" x14ac:dyDescent="0.25">
      <c r="A691" s="13" t="str">
        <f>A689</f>
        <v>ЩЭ-3</v>
      </c>
      <c r="B691" s="10" t="s">
        <v>293</v>
      </c>
      <c r="C691" s="11" t="s">
        <v>313</v>
      </c>
      <c r="D691" s="10" t="s">
        <v>314</v>
      </c>
      <c r="E691" s="13">
        <v>3</v>
      </c>
      <c r="F691" s="14" t="s">
        <v>12</v>
      </c>
      <c r="G691" s="10">
        <v>2064</v>
      </c>
      <c r="H691" s="12">
        <f>G691*0.6</f>
        <v>1238.3999999999999</v>
      </c>
      <c r="I691" s="12">
        <f t="shared" si="464"/>
        <v>3715.2</v>
      </c>
      <c r="J691" s="10" t="s">
        <v>208</v>
      </c>
      <c r="K691" s="13" t="s">
        <v>111</v>
      </c>
      <c r="L691">
        <v>3715.2</v>
      </c>
      <c r="M691">
        <f>M689</f>
        <v>4</v>
      </c>
      <c r="N691">
        <f t="shared" si="436"/>
        <v>12</v>
      </c>
      <c r="O691" s="23">
        <f>N691*G691</f>
        <v>24768</v>
      </c>
    </row>
    <row r="692" spans="1:15" ht="27" customHeight="1" x14ac:dyDescent="0.25">
      <c r="A692" s="13" t="str">
        <f>A690</f>
        <v>ЩЭ-3</v>
      </c>
      <c r="B692" s="10" t="s">
        <v>18</v>
      </c>
      <c r="C692" s="11" t="s">
        <v>311</v>
      </c>
      <c r="D692" s="10" t="s">
        <v>312</v>
      </c>
      <c r="E692" s="13">
        <v>3</v>
      </c>
      <c r="F692" s="14" t="s">
        <v>12</v>
      </c>
      <c r="G692" s="10">
        <v>5834</v>
      </c>
      <c r="H692" s="12">
        <f>G692*0.35</f>
        <v>2041.8999999999999</v>
      </c>
      <c r="I692" s="12">
        <f t="shared" si="464"/>
        <v>6125.7</v>
      </c>
      <c r="J692" s="10" t="s">
        <v>14</v>
      </c>
      <c r="K692" s="13" t="s">
        <v>111</v>
      </c>
      <c r="L692">
        <v>6125.7</v>
      </c>
      <c r="M692">
        <f>M690</f>
        <v>4</v>
      </c>
      <c r="N692">
        <f t="shared" si="436"/>
        <v>12</v>
      </c>
      <c r="O692" s="23">
        <f>N692*G692</f>
        <v>70008</v>
      </c>
    </row>
    <row r="693" spans="1:15" ht="27" customHeight="1" x14ac:dyDescent="0.25">
      <c r="A693" s="13" t="str">
        <f t="shared" si="463"/>
        <v>ЩЭ-3</v>
      </c>
      <c r="B693" s="10" t="s">
        <v>15</v>
      </c>
      <c r="C693" s="11" t="s">
        <v>309</v>
      </c>
      <c r="D693" s="10" t="s">
        <v>310</v>
      </c>
      <c r="E693" s="13">
        <v>3</v>
      </c>
      <c r="F693" s="14" t="s">
        <v>12</v>
      </c>
      <c r="G693" s="10">
        <v>39500</v>
      </c>
      <c r="H693" s="12">
        <f>G693</f>
        <v>39500</v>
      </c>
      <c r="I693" s="12">
        <f t="shared" si="464"/>
        <v>118500</v>
      </c>
      <c r="J693" s="10" t="s">
        <v>16</v>
      </c>
      <c r="K693" s="13" t="s">
        <v>111</v>
      </c>
      <c r="L693">
        <v>118500</v>
      </c>
      <c r="M693">
        <f t="shared" si="465"/>
        <v>4</v>
      </c>
      <c r="N693">
        <f t="shared" si="436"/>
        <v>12</v>
      </c>
      <c r="O693" s="23">
        <f t="shared" ref="O693:O698" si="466">N693*H693</f>
        <v>474000</v>
      </c>
    </row>
    <row r="694" spans="1:15" ht="27" customHeight="1" x14ac:dyDescent="0.25">
      <c r="A694" s="10" t="str">
        <f t="shared" si="463"/>
        <v>ЩЭ-3</v>
      </c>
      <c r="B694" s="10" t="s">
        <v>19</v>
      </c>
      <c r="C694" s="11" t="s">
        <v>19</v>
      </c>
      <c r="D694" s="10" t="s">
        <v>19</v>
      </c>
      <c r="E694" s="10">
        <v>1</v>
      </c>
      <c r="F694" s="10" t="s">
        <v>12</v>
      </c>
      <c r="G694" s="10">
        <f ca="1">OFFSET(G694,1,2)</f>
        <v>18000</v>
      </c>
      <c r="H694" s="12">
        <f ca="1">G694</f>
        <v>18000</v>
      </c>
      <c r="I694" s="12">
        <f t="shared" ca="1" si="464"/>
        <v>18000</v>
      </c>
      <c r="J694" s="10" t="s">
        <v>19</v>
      </c>
      <c r="K694" s="13" t="s">
        <v>111</v>
      </c>
      <c r="L694">
        <v>18000</v>
      </c>
      <c r="M694">
        <f t="shared" si="465"/>
        <v>4</v>
      </c>
      <c r="N694">
        <f t="shared" si="436"/>
        <v>4</v>
      </c>
      <c r="O694" s="23">
        <f t="shared" ca="1" si="466"/>
        <v>72000</v>
      </c>
    </row>
    <row r="695" spans="1:15" ht="27" customHeight="1" x14ac:dyDescent="0.25">
      <c r="A695" s="10" t="str">
        <f t="shared" si="463"/>
        <v>ЩЭ-3</v>
      </c>
      <c r="B695" s="10" t="s">
        <v>20</v>
      </c>
      <c r="C695" s="11" t="s">
        <v>20</v>
      </c>
      <c r="D695" s="10" t="s">
        <v>20</v>
      </c>
      <c r="E695" s="10">
        <f>60*G695</f>
        <v>180</v>
      </c>
      <c r="F695" s="10" t="s">
        <v>12</v>
      </c>
      <c r="G695" s="10">
        <v>3</v>
      </c>
      <c r="H695" s="12">
        <v>100</v>
      </c>
      <c r="I695" s="12">
        <f t="shared" si="464"/>
        <v>18000</v>
      </c>
      <c r="J695" s="10" t="s">
        <v>20</v>
      </c>
      <c r="K695" s="13" t="s">
        <v>111</v>
      </c>
      <c r="L695">
        <v>18000</v>
      </c>
      <c r="M695">
        <f t="shared" si="465"/>
        <v>4</v>
      </c>
      <c r="N695">
        <f t="shared" si="436"/>
        <v>720</v>
      </c>
      <c r="O695" s="23">
        <f t="shared" si="466"/>
        <v>72000</v>
      </c>
    </row>
    <row r="696" spans="1:15" ht="27" customHeight="1" x14ac:dyDescent="0.25">
      <c r="A696" s="15" t="str">
        <f t="shared" si="463"/>
        <v>ЩЭ-3</v>
      </c>
      <c r="B696" s="15"/>
      <c r="C696" s="15"/>
      <c r="D696" s="16"/>
      <c r="E696" s="15"/>
      <c r="F696" s="19"/>
      <c r="G696" s="17"/>
      <c r="H696" s="12">
        <f t="shared" ref="H696" si="467">G696*0.55</f>
        <v>0</v>
      </c>
      <c r="I696" s="18">
        <f ca="1">SUM(I690:I695)</f>
        <v>193140.9</v>
      </c>
      <c r="J696" s="15"/>
      <c r="K696" s="13" t="s">
        <v>111</v>
      </c>
      <c r="L696">
        <v>193140.9</v>
      </c>
      <c r="M696">
        <f t="shared" si="465"/>
        <v>4</v>
      </c>
      <c r="N696">
        <f t="shared" si="436"/>
        <v>0</v>
      </c>
      <c r="O696" s="23">
        <f t="shared" si="466"/>
        <v>0</v>
      </c>
    </row>
    <row r="697" spans="1:15" ht="27" customHeight="1" x14ac:dyDescent="0.25">
      <c r="A697" s="8" t="str">
        <f>D697</f>
        <v>ЩЭ-4</v>
      </c>
      <c r="B697" s="4"/>
      <c r="C697" s="5"/>
      <c r="D697" s="4" t="s">
        <v>156</v>
      </c>
      <c r="E697" s="8">
        <v>72</v>
      </c>
      <c r="F697" s="9" t="s">
        <v>9</v>
      </c>
      <c r="G697" s="6"/>
      <c r="H697" s="6"/>
      <c r="I697" s="7"/>
      <c r="J697" s="4" t="s">
        <v>10</v>
      </c>
      <c r="K697" s="8" t="s">
        <v>111</v>
      </c>
      <c r="M697">
        <f>E697</f>
        <v>72</v>
      </c>
      <c r="N697">
        <f t="shared" si="436"/>
        <v>5184</v>
      </c>
      <c r="O697" s="23">
        <f t="shared" si="466"/>
        <v>0</v>
      </c>
    </row>
    <row r="698" spans="1:15" ht="27" customHeight="1" x14ac:dyDescent="0.25">
      <c r="A698" s="13" t="str">
        <f t="shared" ref="A698:A704" si="468">A697</f>
        <v>ЩЭ-4</v>
      </c>
      <c r="B698" s="10" t="s">
        <v>11</v>
      </c>
      <c r="C698" s="11" t="s">
        <v>315</v>
      </c>
      <c r="D698" s="10" t="s">
        <v>318</v>
      </c>
      <c r="E698" s="13">
        <v>1</v>
      </c>
      <c r="F698" s="14" t="s">
        <v>12</v>
      </c>
      <c r="G698" s="10">
        <v>48000</v>
      </c>
      <c r="H698" s="12">
        <f>0.6*G698</f>
        <v>28800</v>
      </c>
      <c r="I698" s="12">
        <f t="shared" ref="I698:I703" si="469">H698*E698</f>
        <v>28800</v>
      </c>
      <c r="J698" s="10" t="s">
        <v>13</v>
      </c>
      <c r="K698" s="13" t="s">
        <v>111</v>
      </c>
      <c r="L698">
        <v>28800</v>
      </c>
      <c r="M698">
        <f t="shared" ref="M698:M704" si="470">M697</f>
        <v>72</v>
      </c>
      <c r="N698">
        <f t="shared" si="436"/>
        <v>72</v>
      </c>
      <c r="O698" s="23">
        <f t="shared" si="466"/>
        <v>2073600</v>
      </c>
    </row>
    <row r="699" spans="1:15" ht="27" customHeight="1" x14ac:dyDescent="0.25">
      <c r="A699" s="13" t="str">
        <f t="shared" si="468"/>
        <v>ЩЭ-4</v>
      </c>
      <c r="B699" s="10" t="s">
        <v>293</v>
      </c>
      <c r="C699" s="11" t="s">
        <v>313</v>
      </c>
      <c r="D699" s="10" t="s">
        <v>314</v>
      </c>
      <c r="E699" s="13">
        <v>4</v>
      </c>
      <c r="F699" s="14" t="s">
        <v>12</v>
      </c>
      <c r="G699" s="10">
        <v>2064</v>
      </c>
      <c r="H699" s="12">
        <f>G699*0.6</f>
        <v>1238.3999999999999</v>
      </c>
      <c r="I699" s="12">
        <f t="shared" si="469"/>
        <v>4953.5999999999995</v>
      </c>
      <c r="J699" s="10" t="s">
        <v>208</v>
      </c>
      <c r="K699" s="13" t="s">
        <v>111</v>
      </c>
      <c r="L699">
        <v>4953.5999999999995</v>
      </c>
      <c r="M699">
        <f t="shared" si="470"/>
        <v>72</v>
      </c>
      <c r="N699">
        <f t="shared" si="436"/>
        <v>288</v>
      </c>
      <c r="O699" s="23">
        <f>N699*G699</f>
        <v>594432</v>
      </c>
    </row>
    <row r="700" spans="1:15" ht="27" customHeight="1" x14ac:dyDescent="0.25">
      <c r="A700" s="13" t="str">
        <f>A698</f>
        <v>ЩЭ-4</v>
      </c>
      <c r="B700" s="10" t="s">
        <v>18</v>
      </c>
      <c r="C700" s="11" t="s">
        <v>311</v>
      </c>
      <c r="D700" s="10" t="s">
        <v>312</v>
      </c>
      <c r="E700" s="13">
        <v>4</v>
      </c>
      <c r="F700" s="14" t="s">
        <v>12</v>
      </c>
      <c r="G700" s="10">
        <v>5834</v>
      </c>
      <c r="H700" s="12">
        <f>G700*0.35</f>
        <v>2041.8999999999999</v>
      </c>
      <c r="I700" s="12">
        <f t="shared" si="469"/>
        <v>8167.5999999999995</v>
      </c>
      <c r="J700" s="10" t="s">
        <v>14</v>
      </c>
      <c r="K700" s="13" t="s">
        <v>111</v>
      </c>
      <c r="L700">
        <v>8167.5999999999995</v>
      </c>
      <c r="M700">
        <f>M698</f>
        <v>72</v>
      </c>
      <c r="N700">
        <f t="shared" si="436"/>
        <v>288</v>
      </c>
      <c r="O700" s="23">
        <f>N700*G700</f>
        <v>1680192</v>
      </c>
    </row>
    <row r="701" spans="1:15" ht="27" customHeight="1" x14ac:dyDescent="0.25">
      <c r="A701" s="13" t="str">
        <f>A699</f>
        <v>ЩЭ-4</v>
      </c>
      <c r="B701" s="10" t="s">
        <v>15</v>
      </c>
      <c r="C701" s="11" t="s">
        <v>309</v>
      </c>
      <c r="D701" s="10" t="s">
        <v>310</v>
      </c>
      <c r="E701" s="13">
        <v>4</v>
      </c>
      <c r="F701" s="14" t="s">
        <v>12</v>
      </c>
      <c r="G701" s="10">
        <v>39500</v>
      </c>
      <c r="H701" s="12">
        <f>G701</f>
        <v>39500</v>
      </c>
      <c r="I701" s="12">
        <f t="shared" si="469"/>
        <v>158000</v>
      </c>
      <c r="J701" s="10" t="s">
        <v>16</v>
      </c>
      <c r="K701" s="13" t="s">
        <v>111</v>
      </c>
      <c r="L701">
        <v>158000</v>
      </c>
      <c r="M701">
        <f>M699</f>
        <v>72</v>
      </c>
      <c r="N701">
        <f t="shared" si="436"/>
        <v>288</v>
      </c>
      <c r="O701" s="23">
        <f t="shared" ref="O701:O706" si="471">N701*H701</f>
        <v>11376000</v>
      </c>
    </row>
    <row r="702" spans="1:15" ht="27" customHeight="1" x14ac:dyDescent="0.25">
      <c r="A702" s="10" t="str">
        <f t="shared" si="468"/>
        <v>ЩЭ-4</v>
      </c>
      <c r="B702" s="10" t="s">
        <v>19</v>
      </c>
      <c r="C702" s="11" t="s">
        <v>19</v>
      </c>
      <c r="D702" s="10" t="s">
        <v>19</v>
      </c>
      <c r="E702" s="10">
        <v>1</v>
      </c>
      <c r="F702" s="10" t="s">
        <v>12</v>
      </c>
      <c r="G702" s="10">
        <f ca="1">OFFSET(G702,1,2)</f>
        <v>24000</v>
      </c>
      <c r="H702" s="12">
        <f ca="1">G702</f>
        <v>24000</v>
      </c>
      <c r="I702" s="12">
        <f t="shared" ca="1" si="469"/>
        <v>24000</v>
      </c>
      <c r="J702" s="10" t="s">
        <v>19</v>
      </c>
      <c r="K702" s="13" t="s">
        <v>111</v>
      </c>
      <c r="L702">
        <v>24000</v>
      </c>
      <c r="M702">
        <f t="shared" si="470"/>
        <v>72</v>
      </c>
      <c r="N702">
        <f t="shared" si="436"/>
        <v>72</v>
      </c>
      <c r="O702" s="23">
        <f t="shared" ca="1" si="471"/>
        <v>1728000</v>
      </c>
    </row>
    <row r="703" spans="1:15" ht="27" customHeight="1" x14ac:dyDescent="0.25">
      <c r="A703" s="10" t="str">
        <f t="shared" si="468"/>
        <v>ЩЭ-4</v>
      </c>
      <c r="B703" s="10" t="s">
        <v>20</v>
      </c>
      <c r="C703" s="11" t="s">
        <v>20</v>
      </c>
      <c r="D703" s="10" t="s">
        <v>20</v>
      </c>
      <c r="E703" s="10">
        <f>60*G703</f>
        <v>240</v>
      </c>
      <c r="F703" s="10" t="s">
        <v>12</v>
      </c>
      <c r="G703" s="10">
        <v>4</v>
      </c>
      <c r="H703" s="12">
        <v>100</v>
      </c>
      <c r="I703" s="12">
        <f t="shared" si="469"/>
        <v>24000</v>
      </c>
      <c r="J703" s="10" t="s">
        <v>20</v>
      </c>
      <c r="K703" s="13" t="s">
        <v>111</v>
      </c>
      <c r="L703">
        <v>24000</v>
      </c>
      <c r="M703">
        <f t="shared" si="470"/>
        <v>72</v>
      </c>
      <c r="N703">
        <f t="shared" si="436"/>
        <v>17280</v>
      </c>
      <c r="O703" s="23">
        <f t="shared" si="471"/>
        <v>1728000</v>
      </c>
    </row>
    <row r="704" spans="1:15" ht="27" customHeight="1" x14ac:dyDescent="0.25">
      <c r="A704" s="15" t="str">
        <f t="shared" si="468"/>
        <v>ЩЭ-4</v>
      </c>
      <c r="B704" s="15"/>
      <c r="C704" s="15"/>
      <c r="D704" s="16"/>
      <c r="E704" s="15"/>
      <c r="F704" s="19"/>
      <c r="G704" s="17"/>
      <c r="H704" s="12">
        <f t="shared" ref="H704" si="472">G704*0.55</f>
        <v>0</v>
      </c>
      <c r="I704" s="18">
        <f ca="1">SUM(I698:I703)</f>
        <v>247921.2</v>
      </c>
      <c r="J704" s="15"/>
      <c r="K704" s="13" t="s">
        <v>111</v>
      </c>
      <c r="L704">
        <v>247921.2</v>
      </c>
      <c r="M704">
        <f t="shared" si="470"/>
        <v>72</v>
      </c>
      <c r="N704">
        <f t="shared" si="436"/>
        <v>0</v>
      </c>
      <c r="O704" s="23">
        <f t="shared" si="471"/>
        <v>0</v>
      </c>
    </row>
    <row r="705" spans="1:15" ht="27" customHeight="1" x14ac:dyDescent="0.25">
      <c r="A705" s="8" t="str">
        <f>D705</f>
        <v>ЩЭ-6</v>
      </c>
      <c r="B705" s="4"/>
      <c r="C705" s="5"/>
      <c r="D705" s="4" t="s">
        <v>159</v>
      </c>
      <c r="E705" s="8">
        <v>2</v>
      </c>
      <c r="F705" s="9" t="s">
        <v>9</v>
      </c>
      <c r="G705" s="6"/>
      <c r="H705" s="6"/>
      <c r="I705" s="7"/>
      <c r="J705" s="4" t="s">
        <v>10</v>
      </c>
      <c r="K705" s="8" t="s">
        <v>111</v>
      </c>
      <c r="M705">
        <f>E705</f>
        <v>2</v>
      </c>
      <c r="N705">
        <f t="shared" si="436"/>
        <v>4</v>
      </c>
      <c r="O705" s="23">
        <f t="shared" si="471"/>
        <v>0</v>
      </c>
    </row>
    <row r="706" spans="1:15" ht="27" customHeight="1" x14ac:dyDescent="0.25">
      <c r="A706" s="13" t="str">
        <f t="shared" ref="A706:A712" si="473">A705</f>
        <v>ЩЭ-6</v>
      </c>
      <c r="B706" s="10" t="s">
        <v>11</v>
      </c>
      <c r="C706" s="11" t="s">
        <v>315</v>
      </c>
      <c r="D706" s="10" t="s">
        <v>317</v>
      </c>
      <c r="E706" s="13">
        <v>1</v>
      </c>
      <c r="F706" s="14" t="s">
        <v>12</v>
      </c>
      <c r="G706" s="10">
        <v>52000</v>
      </c>
      <c r="H706" s="12">
        <f>0.6*G706</f>
        <v>31200</v>
      </c>
      <c r="I706" s="12">
        <f t="shared" ref="I706:I711" si="474">H706*E706</f>
        <v>31200</v>
      </c>
      <c r="J706" s="10" t="s">
        <v>13</v>
      </c>
      <c r="K706" s="13" t="s">
        <v>111</v>
      </c>
      <c r="L706">
        <v>31200</v>
      </c>
      <c r="M706">
        <f t="shared" ref="M706:M712" si="475">M705</f>
        <v>2</v>
      </c>
      <c r="N706">
        <f t="shared" si="436"/>
        <v>2</v>
      </c>
      <c r="O706" s="23">
        <f t="shared" si="471"/>
        <v>62400</v>
      </c>
    </row>
    <row r="707" spans="1:15" ht="27" customHeight="1" x14ac:dyDescent="0.25">
      <c r="A707" s="13" t="str">
        <f t="shared" si="473"/>
        <v>ЩЭ-6</v>
      </c>
      <c r="B707" s="10" t="s">
        <v>293</v>
      </c>
      <c r="C707" s="11" t="s">
        <v>313</v>
      </c>
      <c r="D707" s="10" t="s">
        <v>314</v>
      </c>
      <c r="E707" s="13">
        <v>6</v>
      </c>
      <c r="F707" s="14" t="s">
        <v>12</v>
      </c>
      <c r="G707" s="10">
        <v>2064</v>
      </c>
      <c r="H707" s="12">
        <f>G707*0.6</f>
        <v>1238.3999999999999</v>
      </c>
      <c r="I707" s="12">
        <f t="shared" si="474"/>
        <v>7430.4</v>
      </c>
      <c r="J707" s="10" t="s">
        <v>208</v>
      </c>
      <c r="K707" s="13" t="s">
        <v>111</v>
      </c>
      <c r="L707">
        <v>7430.4</v>
      </c>
      <c r="M707">
        <f t="shared" si="475"/>
        <v>2</v>
      </c>
      <c r="N707">
        <f t="shared" si="436"/>
        <v>12</v>
      </c>
      <c r="O707" s="23">
        <f>N707*G707</f>
        <v>24768</v>
      </c>
    </row>
    <row r="708" spans="1:15" ht="27" customHeight="1" x14ac:dyDescent="0.25">
      <c r="A708" s="13" t="str">
        <f>A706</f>
        <v>ЩЭ-6</v>
      </c>
      <c r="B708" s="10" t="s">
        <v>18</v>
      </c>
      <c r="C708" s="11" t="s">
        <v>311</v>
      </c>
      <c r="D708" s="10" t="s">
        <v>312</v>
      </c>
      <c r="E708" s="13">
        <v>6</v>
      </c>
      <c r="F708" s="14" t="s">
        <v>12</v>
      </c>
      <c r="G708" s="10">
        <v>5834</v>
      </c>
      <c r="H708" s="12">
        <f>G708*0.35</f>
        <v>2041.8999999999999</v>
      </c>
      <c r="I708" s="12">
        <f t="shared" si="474"/>
        <v>12251.4</v>
      </c>
      <c r="J708" s="10" t="s">
        <v>14</v>
      </c>
      <c r="K708" s="13" t="s">
        <v>111</v>
      </c>
      <c r="L708">
        <v>12251.4</v>
      </c>
      <c r="M708">
        <f>M706</f>
        <v>2</v>
      </c>
      <c r="N708">
        <f t="shared" si="436"/>
        <v>12</v>
      </c>
      <c r="O708" s="23">
        <f>N708*G708</f>
        <v>70008</v>
      </c>
    </row>
    <row r="709" spans="1:15" ht="27" customHeight="1" x14ac:dyDescent="0.25">
      <c r="A709" s="13" t="str">
        <f t="shared" si="473"/>
        <v>ЩЭ-6</v>
      </c>
      <c r="B709" s="10" t="s">
        <v>15</v>
      </c>
      <c r="C709" s="11" t="s">
        <v>309</v>
      </c>
      <c r="D709" s="10" t="s">
        <v>310</v>
      </c>
      <c r="E709" s="13">
        <v>6</v>
      </c>
      <c r="F709" s="14" t="s">
        <v>12</v>
      </c>
      <c r="G709" s="10">
        <v>39500</v>
      </c>
      <c r="H709" s="12">
        <f>G709</f>
        <v>39500</v>
      </c>
      <c r="I709" s="12">
        <f t="shared" si="474"/>
        <v>237000</v>
      </c>
      <c r="J709" s="10" t="s">
        <v>16</v>
      </c>
      <c r="K709" s="13" t="s">
        <v>111</v>
      </c>
      <c r="L709">
        <v>237000</v>
      </c>
      <c r="M709">
        <f t="shared" si="475"/>
        <v>2</v>
      </c>
      <c r="N709">
        <f t="shared" si="436"/>
        <v>12</v>
      </c>
      <c r="O709" s="23">
        <f t="shared" ref="O709:O714" si="476">N709*H709</f>
        <v>474000</v>
      </c>
    </row>
    <row r="710" spans="1:15" ht="27" customHeight="1" x14ac:dyDescent="0.25">
      <c r="A710" s="10" t="str">
        <f t="shared" si="473"/>
        <v>ЩЭ-6</v>
      </c>
      <c r="B710" s="10" t="s">
        <v>19</v>
      </c>
      <c r="C710" s="11" t="s">
        <v>19</v>
      </c>
      <c r="D710" s="10" t="s">
        <v>19</v>
      </c>
      <c r="E710" s="10">
        <v>1</v>
      </c>
      <c r="F710" s="10" t="s">
        <v>12</v>
      </c>
      <c r="G710" s="10">
        <f ca="1">OFFSET(G710,1,2)</f>
        <v>27000</v>
      </c>
      <c r="H710" s="12">
        <f ca="1">G710</f>
        <v>27000</v>
      </c>
      <c r="I710" s="12">
        <f t="shared" ca="1" si="474"/>
        <v>27000</v>
      </c>
      <c r="J710" s="10" t="s">
        <v>19</v>
      </c>
      <c r="K710" s="13" t="s">
        <v>111</v>
      </c>
      <c r="L710">
        <v>27000</v>
      </c>
      <c r="M710">
        <f t="shared" si="475"/>
        <v>2</v>
      </c>
      <c r="N710">
        <f t="shared" ref="N710:N719" si="477">M710*E710</f>
        <v>2</v>
      </c>
      <c r="O710" s="23">
        <f t="shared" ca="1" si="476"/>
        <v>54000</v>
      </c>
    </row>
    <row r="711" spans="1:15" ht="27" customHeight="1" x14ac:dyDescent="0.25">
      <c r="A711" s="10" t="str">
        <f t="shared" si="473"/>
        <v>ЩЭ-6</v>
      </c>
      <c r="B711" s="10" t="s">
        <v>20</v>
      </c>
      <c r="C711" s="11" t="s">
        <v>20</v>
      </c>
      <c r="D711" s="10" t="s">
        <v>20</v>
      </c>
      <c r="E711" s="10">
        <f>60*G711</f>
        <v>270</v>
      </c>
      <c r="F711" s="10" t="s">
        <v>12</v>
      </c>
      <c r="G711" s="10">
        <v>4.5</v>
      </c>
      <c r="H711" s="12">
        <v>100</v>
      </c>
      <c r="I711" s="12">
        <f t="shared" si="474"/>
        <v>27000</v>
      </c>
      <c r="J711" s="10" t="s">
        <v>20</v>
      </c>
      <c r="K711" s="13" t="s">
        <v>111</v>
      </c>
      <c r="L711">
        <v>27000</v>
      </c>
      <c r="M711">
        <f t="shared" si="475"/>
        <v>2</v>
      </c>
      <c r="N711">
        <f t="shared" si="477"/>
        <v>540</v>
      </c>
      <c r="O711" s="23">
        <f t="shared" si="476"/>
        <v>54000</v>
      </c>
    </row>
    <row r="712" spans="1:15" ht="27" customHeight="1" x14ac:dyDescent="0.25">
      <c r="A712" s="15" t="str">
        <f t="shared" si="473"/>
        <v>ЩЭ-6</v>
      </c>
      <c r="B712" s="15"/>
      <c r="C712" s="15"/>
      <c r="D712" s="16"/>
      <c r="E712" s="15"/>
      <c r="F712" s="19"/>
      <c r="G712" s="17"/>
      <c r="H712" s="12">
        <f t="shared" ref="H712" si="478">G712*0.55</f>
        <v>0</v>
      </c>
      <c r="I712" s="18">
        <f ca="1">SUM(I706:I711)</f>
        <v>341881.8</v>
      </c>
      <c r="J712" s="15"/>
      <c r="K712" s="13" t="s">
        <v>111</v>
      </c>
      <c r="L712">
        <v>341881.8</v>
      </c>
      <c r="M712">
        <f t="shared" si="475"/>
        <v>2</v>
      </c>
      <c r="N712">
        <f t="shared" si="477"/>
        <v>0</v>
      </c>
      <c r="O712" s="23">
        <f t="shared" si="476"/>
        <v>0</v>
      </c>
    </row>
    <row r="713" spans="1:15" ht="27" customHeight="1" x14ac:dyDescent="0.25">
      <c r="A713" s="8" t="str">
        <f>D713</f>
        <v>ЩЭ-7</v>
      </c>
      <c r="B713" s="4"/>
      <c r="C713" s="5"/>
      <c r="D713" s="4" t="s">
        <v>161</v>
      </c>
      <c r="E713" s="8">
        <v>18</v>
      </c>
      <c r="F713" s="9" t="s">
        <v>9</v>
      </c>
      <c r="G713" s="6"/>
      <c r="H713" s="6"/>
      <c r="I713" s="7"/>
      <c r="J713" s="4" t="s">
        <v>10</v>
      </c>
      <c r="K713" s="8" t="s">
        <v>111</v>
      </c>
      <c r="M713">
        <f>E713</f>
        <v>18</v>
      </c>
      <c r="N713">
        <f t="shared" si="477"/>
        <v>324</v>
      </c>
      <c r="O713" s="23">
        <f t="shared" si="476"/>
        <v>0</v>
      </c>
    </row>
    <row r="714" spans="1:15" ht="27" customHeight="1" x14ac:dyDescent="0.25">
      <c r="A714" s="13" t="str">
        <f t="shared" ref="A714:A720" si="479">A713</f>
        <v>ЩЭ-7</v>
      </c>
      <c r="B714" s="10" t="s">
        <v>11</v>
      </c>
      <c r="C714" s="11" t="s">
        <v>315</v>
      </c>
      <c r="D714" s="10" t="s">
        <v>316</v>
      </c>
      <c r="E714" s="13">
        <v>1</v>
      </c>
      <c r="F714" s="14" t="s">
        <v>12</v>
      </c>
      <c r="G714" s="10">
        <v>52000</v>
      </c>
      <c r="H714" s="12">
        <f>0.6*G714</f>
        <v>31200</v>
      </c>
      <c r="I714" s="12">
        <f t="shared" ref="I714:I719" si="480">H714*E714</f>
        <v>31200</v>
      </c>
      <c r="J714" s="10" t="s">
        <v>13</v>
      </c>
      <c r="K714" s="13" t="s">
        <v>111</v>
      </c>
      <c r="L714">
        <v>31200</v>
      </c>
      <c r="M714">
        <f t="shared" ref="M714:M720" si="481">M713</f>
        <v>18</v>
      </c>
      <c r="N714">
        <f t="shared" si="477"/>
        <v>18</v>
      </c>
      <c r="O714" s="23">
        <f t="shared" si="476"/>
        <v>561600</v>
      </c>
    </row>
    <row r="715" spans="1:15" ht="27" customHeight="1" x14ac:dyDescent="0.25">
      <c r="A715" s="13" t="str">
        <f t="shared" si="479"/>
        <v>ЩЭ-7</v>
      </c>
      <c r="B715" s="10" t="s">
        <v>293</v>
      </c>
      <c r="C715" s="11" t="s">
        <v>313</v>
      </c>
      <c r="D715" s="10" t="s">
        <v>314</v>
      </c>
      <c r="E715" s="13">
        <v>7</v>
      </c>
      <c r="F715" s="14" t="s">
        <v>12</v>
      </c>
      <c r="G715" s="10">
        <v>2064</v>
      </c>
      <c r="H715" s="12">
        <f>G715*0.6</f>
        <v>1238.3999999999999</v>
      </c>
      <c r="I715" s="12">
        <f t="shared" si="480"/>
        <v>8668.7999999999993</v>
      </c>
      <c r="J715" s="10" t="s">
        <v>208</v>
      </c>
      <c r="K715" s="13" t="s">
        <v>111</v>
      </c>
      <c r="L715">
        <v>8668.7999999999993</v>
      </c>
      <c r="M715" t="e">
        <f>#REF!</f>
        <v>#REF!</v>
      </c>
      <c r="N715" t="e">
        <f t="shared" si="477"/>
        <v>#REF!</v>
      </c>
      <c r="O715" s="23" t="e">
        <f>N715*G715</f>
        <v>#REF!</v>
      </c>
    </row>
    <row r="716" spans="1:15" ht="27" customHeight="1" x14ac:dyDescent="0.25">
      <c r="A716" s="13" t="str">
        <f t="shared" si="479"/>
        <v>ЩЭ-7</v>
      </c>
      <c r="B716" s="10" t="s">
        <v>18</v>
      </c>
      <c r="C716" s="11" t="s">
        <v>311</v>
      </c>
      <c r="D716" s="10" t="s">
        <v>312</v>
      </c>
      <c r="E716" s="13">
        <v>7</v>
      </c>
      <c r="F716" s="14" t="s">
        <v>12</v>
      </c>
      <c r="G716" s="10">
        <v>5834</v>
      </c>
      <c r="H716" s="12">
        <f>G716*0.35</f>
        <v>2041.8999999999999</v>
      </c>
      <c r="I716" s="12">
        <f t="shared" si="480"/>
        <v>14293.3</v>
      </c>
      <c r="J716" s="10" t="s">
        <v>14</v>
      </c>
      <c r="K716" s="13" t="s">
        <v>111</v>
      </c>
      <c r="L716">
        <v>14293.3</v>
      </c>
      <c r="M716" t="e">
        <f>#REF!</f>
        <v>#REF!</v>
      </c>
      <c r="N716" t="e">
        <f t="shared" si="477"/>
        <v>#REF!</v>
      </c>
      <c r="O716" s="23" t="e">
        <f>N716*G716</f>
        <v>#REF!</v>
      </c>
    </row>
    <row r="717" spans="1:15" ht="27" customHeight="1" x14ac:dyDescent="0.25">
      <c r="A717" s="13" t="str">
        <f t="shared" si="479"/>
        <v>ЩЭ-7</v>
      </c>
      <c r="B717" s="10" t="s">
        <v>15</v>
      </c>
      <c r="C717" s="11" t="s">
        <v>309</v>
      </c>
      <c r="D717" s="10" t="s">
        <v>310</v>
      </c>
      <c r="E717" s="13">
        <v>7</v>
      </c>
      <c r="F717" s="14" t="s">
        <v>12</v>
      </c>
      <c r="G717" s="10">
        <v>39500</v>
      </c>
      <c r="H717" s="12">
        <f>G717</f>
        <v>39500</v>
      </c>
      <c r="I717" s="12">
        <f t="shared" si="480"/>
        <v>276500</v>
      </c>
      <c r="J717" s="10" t="s">
        <v>16</v>
      </c>
      <c r="K717" s="13" t="s">
        <v>111</v>
      </c>
      <c r="L717">
        <v>276500</v>
      </c>
      <c r="M717" t="e">
        <f>#REF!</f>
        <v>#REF!</v>
      </c>
      <c r="N717" t="e">
        <f t="shared" si="477"/>
        <v>#REF!</v>
      </c>
      <c r="O717" s="23" t="e">
        <f>N717*H717</f>
        <v>#REF!</v>
      </c>
    </row>
    <row r="718" spans="1:15" ht="27" customHeight="1" x14ac:dyDescent="0.25">
      <c r="A718" s="13" t="str">
        <f t="shared" si="479"/>
        <v>ЩЭ-7</v>
      </c>
      <c r="B718" s="10" t="s">
        <v>19</v>
      </c>
      <c r="C718" s="11" t="s">
        <v>19</v>
      </c>
      <c r="D718" s="10" t="s">
        <v>19</v>
      </c>
      <c r="E718" s="10">
        <v>1</v>
      </c>
      <c r="F718" s="10" t="s">
        <v>12</v>
      </c>
      <c r="G718" s="10">
        <f ca="1">OFFSET(G718,1,2)</f>
        <v>30000</v>
      </c>
      <c r="H718" s="12">
        <f ca="1">G718</f>
        <v>30000</v>
      </c>
      <c r="I718" s="12">
        <f t="shared" ca="1" si="480"/>
        <v>30000</v>
      </c>
      <c r="J718" s="10" t="s">
        <v>19</v>
      </c>
      <c r="K718" s="13" t="s">
        <v>111</v>
      </c>
      <c r="L718">
        <v>30000</v>
      </c>
      <c r="M718" t="e">
        <f t="shared" si="481"/>
        <v>#REF!</v>
      </c>
      <c r="N718" t="e">
        <f t="shared" si="477"/>
        <v>#REF!</v>
      </c>
      <c r="O718" s="23" t="e">
        <f ca="1">N718*H718</f>
        <v>#REF!</v>
      </c>
    </row>
    <row r="719" spans="1:15" ht="27" customHeight="1" x14ac:dyDescent="0.25">
      <c r="A719" s="13" t="str">
        <f t="shared" si="479"/>
        <v>ЩЭ-7</v>
      </c>
      <c r="B719" s="10" t="s">
        <v>20</v>
      </c>
      <c r="C719" s="11" t="s">
        <v>20</v>
      </c>
      <c r="D719" s="10" t="s">
        <v>20</v>
      </c>
      <c r="E719" s="10">
        <f>60*G719</f>
        <v>300</v>
      </c>
      <c r="F719" s="10" t="s">
        <v>12</v>
      </c>
      <c r="G719" s="10">
        <v>5</v>
      </c>
      <c r="H719" s="12">
        <v>100</v>
      </c>
      <c r="I719" s="12">
        <f t="shared" si="480"/>
        <v>30000</v>
      </c>
      <c r="J719" s="10" t="s">
        <v>20</v>
      </c>
      <c r="K719" s="13" t="s">
        <v>111</v>
      </c>
      <c r="L719">
        <v>30000</v>
      </c>
      <c r="M719" t="e">
        <f t="shared" si="481"/>
        <v>#REF!</v>
      </c>
      <c r="N719" t="e">
        <f t="shared" si="477"/>
        <v>#REF!</v>
      </c>
      <c r="O719" s="23" t="e">
        <f>N719*H719</f>
        <v>#REF!</v>
      </c>
    </row>
    <row r="720" spans="1:15" ht="27" customHeight="1" x14ac:dyDescent="0.25">
      <c r="A720" s="13" t="str">
        <f t="shared" si="479"/>
        <v>ЩЭ-7</v>
      </c>
      <c r="B720" s="15"/>
      <c r="C720" s="15"/>
      <c r="D720" s="16"/>
      <c r="E720" s="15"/>
      <c r="F720" s="19"/>
      <c r="G720" s="17"/>
      <c r="H720" s="12">
        <f t="shared" ref="H720" si="482">G720*0.55</f>
        <v>0</v>
      </c>
      <c r="I720" s="18">
        <f ca="1">SUM(I714:I719)</f>
        <v>390662.1</v>
      </c>
      <c r="J720" s="15"/>
      <c r="K720" s="13" t="s">
        <v>111</v>
      </c>
      <c r="L720">
        <v>390662.1</v>
      </c>
      <c r="M720" t="e">
        <f t="shared" si="481"/>
        <v>#REF!</v>
      </c>
      <c r="O720" s="23">
        <f>N720*H720</f>
        <v>0</v>
      </c>
    </row>
  </sheetData>
  <autoFilter ref="A1:K720" xr:uid="{199731C4-AB2C-4A56-A62C-451163DDF05F}"/>
  <phoneticPr fontId="8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53264-4C11-4BE3-A448-65B586C0519E}">
  <dimension ref="A1:T735"/>
  <sheetViews>
    <sheetView tabSelected="1" workbookViewId="0">
      <pane xSplit="17" ySplit="1" topLeftCell="R71" activePane="bottomRight" state="frozen"/>
      <selection pane="topRight" activeCell="R1" sqref="R1"/>
      <selection pane="bottomLeft" activeCell="A2" sqref="A2"/>
      <selection pane="bottomRight" activeCell="D72" sqref="D72"/>
    </sheetView>
  </sheetViews>
  <sheetFormatPr defaultRowHeight="35.25" customHeight="1" x14ac:dyDescent="0.25"/>
  <cols>
    <col min="1" max="1" width="21" customWidth="1"/>
    <col min="4" max="4" width="70.7109375" customWidth="1"/>
    <col min="13" max="13" width="17" customWidth="1"/>
    <col min="17" max="17" width="12.7109375" customWidth="1"/>
    <col min="19" max="19" width="37.140625" customWidth="1"/>
  </cols>
  <sheetData>
    <row r="1" spans="1:17" ht="35.25" customHeight="1" x14ac:dyDescent="0.25">
      <c r="A1" s="1" t="s">
        <v>6</v>
      </c>
      <c r="B1" s="1" t="s">
        <v>0</v>
      </c>
      <c r="C1" s="2" t="s">
        <v>2</v>
      </c>
      <c r="D1" s="1" t="s">
        <v>3</v>
      </c>
      <c r="E1" s="1" t="s">
        <v>4</v>
      </c>
      <c r="F1" s="1" t="s">
        <v>4</v>
      </c>
      <c r="G1" s="3" t="s">
        <v>5</v>
      </c>
      <c r="H1" s="1" t="s">
        <v>6</v>
      </c>
      <c r="I1" s="1" t="s">
        <v>7</v>
      </c>
      <c r="J1" s="1" t="s">
        <v>8</v>
      </c>
      <c r="K1" s="1"/>
      <c r="L1" s="1" t="s">
        <v>2</v>
      </c>
      <c r="M1" s="1" t="s">
        <v>3</v>
      </c>
      <c r="N1" s="1" t="s">
        <v>6</v>
      </c>
      <c r="O1" s="1" t="s">
        <v>241</v>
      </c>
      <c r="P1" s="1" t="s">
        <v>242</v>
      </c>
      <c r="Q1" s="26"/>
    </row>
    <row r="2" spans="1:17" ht="35.25" customHeight="1" x14ac:dyDescent="0.25">
      <c r="A2" s="8" t="str">
        <f>D2</f>
        <v>ВРУ1-1-1</v>
      </c>
      <c r="B2" s="4"/>
      <c r="C2" s="5"/>
      <c r="D2" s="4" t="s">
        <v>21</v>
      </c>
      <c r="E2" s="6"/>
      <c r="F2" s="6"/>
      <c r="G2" s="7"/>
      <c r="H2" s="8">
        <v>1</v>
      </c>
      <c r="I2" s="9" t="s">
        <v>9</v>
      </c>
      <c r="J2" s="4" t="s">
        <v>10</v>
      </c>
      <c r="K2" s="8" t="s">
        <v>22</v>
      </c>
      <c r="L2" s="8"/>
      <c r="M2" s="8"/>
      <c r="N2" s="8"/>
      <c r="O2" s="26">
        <f>H2</f>
        <v>1</v>
      </c>
      <c r="P2" s="26">
        <f>O2*H2</f>
        <v>1</v>
      </c>
      <c r="Q2" s="27">
        <f t="shared" ref="Q2:Q7" si="0">P2*F2</f>
        <v>0</v>
      </c>
    </row>
    <row r="3" spans="1:17" ht="35.25" customHeight="1" x14ac:dyDescent="0.25">
      <c r="A3" s="13" t="str">
        <f t="shared" ref="A3:A13" si="1">A2</f>
        <v>ВРУ1-1-1</v>
      </c>
      <c r="B3" s="10" t="s">
        <v>11</v>
      </c>
      <c r="C3" s="11" t="s">
        <v>172</v>
      </c>
      <c r="D3" s="10" t="s">
        <v>173</v>
      </c>
      <c r="E3" s="10">
        <v>156500</v>
      </c>
      <c r="F3" s="12">
        <f>0.6*E3</f>
        <v>93900</v>
      </c>
      <c r="G3" s="12">
        <f>F3*H3</f>
        <v>93900</v>
      </c>
      <c r="H3" s="13">
        <v>1</v>
      </c>
      <c r="I3" s="14" t="s">
        <v>12</v>
      </c>
      <c r="J3" s="10" t="s">
        <v>13</v>
      </c>
      <c r="K3" s="13" t="str">
        <f t="shared" ref="K3:K13" si="2">K2</f>
        <v>Блок1</v>
      </c>
      <c r="L3" s="13"/>
      <c r="M3" s="13"/>
      <c r="N3" s="13"/>
      <c r="O3" s="26">
        <f t="shared" ref="O3:O13" si="3">O2</f>
        <v>1</v>
      </c>
      <c r="P3" s="26">
        <f>O3*H3</f>
        <v>1</v>
      </c>
      <c r="Q3" s="27">
        <f t="shared" si="0"/>
        <v>93900</v>
      </c>
    </row>
    <row r="4" spans="1:17" ht="35.25" customHeight="1" x14ac:dyDescent="0.25">
      <c r="A4" s="13" t="str">
        <f t="shared" si="1"/>
        <v>ВРУ1-1-1</v>
      </c>
      <c r="B4" s="10" t="s">
        <v>23</v>
      </c>
      <c r="C4" s="11" t="s">
        <v>307</v>
      </c>
      <c r="D4" s="10" t="s">
        <v>308</v>
      </c>
      <c r="E4" s="10">
        <v>5523</v>
      </c>
      <c r="F4" s="12">
        <f>E4</f>
        <v>5523</v>
      </c>
      <c r="G4" s="12">
        <f>F4*H4</f>
        <v>33138</v>
      </c>
      <c r="H4" s="13">
        <v>6</v>
      </c>
      <c r="I4" s="14" t="s">
        <v>12</v>
      </c>
      <c r="J4" s="10" t="s">
        <v>25</v>
      </c>
      <c r="K4" s="13" t="str">
        <f t="shared" si="2"/>
        <v>Блок1</v>
      </c>
      <c r="L4" s="13"/>
      <c r="M4" s="13"/>
      <c r="N4" s="13"/>
      <c r="O4" s="26">
        <f t="shared" si="3"/>
        <v>1</v>
      </c>
      <c r="P4" s="26">
        <f>O4*H4</f>
        <v>6</v>
      </c>
      <c r="Q4" s="27">
        <f t="shared" si="0"/>
        <v>33138</v>
      </c>
    </row>
    <row r="5" spans="1:17" ht="35.25" customHeight="1" x14ac:dyDescent="0.25">
      <c r="A5" s="13" t="str">
        <f t="shared" si="1"/>
        <v>ВРУ1-1-1</v>
      </c>
      <c r="B5" s="10" t="s">
        <v>26</v>
      </c>
      <c r="C5" s="11" t="s">
        <v>177</v>
      </c>
      <c r="D5" s="10" t="s">
        <v>178</v>
      </c>
      <c r="E5" s="10">
        <v>25500</v>
      </c>
      <c r="F5" s="12">
        <f>E5</f>
        <v>25500</v>
      </c>
      <c r="G5" s="12">
        <f>F5*H5</f>
        <v>51000</v>
      </c>
      <c r="H5" s="13">
        <v>2</v>
      </c>
      <c r="I5" s="14" t="s">
        <v>12</v>
      </c>
      <c r="J5" s="10" t="s">
        <v>25</v>
      </c>
      <c r="K5" s="13" t="str">
        <f t="shared" si="2"/>
        <v>Блок1</v>
      </c>
      <c r="L5" s="13"/>
      <c r="M5" s="13"/>
      <c r="N5" s="13"/>
      <c r="O5" s="26">
        <f t="shared" si="3"/>
        <v>1</v>
      </c>
      <c r="P5" s="26">
        <f>O5*H5</f>
        <v>2</v>
      </c>
      <c r="Q5" s="27">
        <f t="shared" si="0"/>
        <v>51000</v>
      </c>
    </row>
    <row r="6" spans="1:17" ht="35.25" customHeight="1" x14ac:dyDescent="0.25">
      <c r="A6" s="13" t="str">
        <f t="shared" si="1"/>
        <v>ВРУ1-1-1</v>
      </c>
      <c r="B6" s="10" t="s">
        <v>127</v>
      </c>
      <c r="C6" s="11" t="s">
        <v>130</v>
      </c>
      <c r="D6" s="10" t="s">
        <v>131</v>
      </c>
      <c r="E6" s="10">
        <v>4750</v>
      </c>
      <c r="F6" s="12">
        <f t="shared" ref="F6:F7" si="4">0.6*E6</f>
        <v>2850</v>
      </c>
      <c r="G6" s="12">
        <f>F6*H6</f>
        <v>17100</v>
      </c>
      <c r="H6" s="13">
        <v>6</v>
      </c>
      <c r="I6" s="14" t="s">
        <v>12</v>
      </c>
      <c r="J6" s="10" t="s">
        <v>14</v>
      </c>
      <c r="K6" s="13" t="str">
        <f>K4</f>
        <v>Блок1</v>
      </c>
      <c r="L6" s="13"/>
      <c r="M6" s="13"/>
      <c r="N6" s="13"/>
      <c r="O6" s="26">
        <f t="shared" si="3"/>
        <v>1</v>
      </c>
      <c r="P6" s="26">
        <f>O6*H6</f>
        <v>6</v>
      </c>
      <c r="Q6" s="27">
        <f t="shared" si="0"/>
        <v>17100</v>
      </c>
    </row>
    <row r="7" spans="1:17" ht="35.25" customHeight="1" x14ac:dyDescent="0.25">
      <c r="A7" s="13" t="str">
        <f t="shared" si="1"/>
        <v>ВРУ1-1-1</v>
      </c>
      <c r="B7" s="10" t="s">
        <v>126</v>
      </c>
      <c r="C7" s="11" t="s">
        <v>128</v>
      </c>
      <c r="D7" s="10" t="s">
        <v>129</v>
      </c>
      <c r="E7" s="10">
        <v>3317</v>
      </c>
      <c r="F7" s="12">
        <f t="shared" si="4"/>
        <v>1990.1999999999998</v>
      </c>
      <c r="G7" s="12">
        <f>F7*H7</f>
        <v>11941.199999999999</v>
      </c>
      <c r="H7" s="13">
        <v>6</v>
      </c>
      <c r="I7" s="14" t="s">
        <v>12</v>
      </c>
      <c r="J7" s="10" t="s">
        <v>14</v>
      </c>
      <c r="K7" s="13" t="str">
        <f>K5</f>
        <v>Блок1</v>
      </c>
      <c r="L7" s="13"/>
      <c r="M7" s="13"/>
      <c r="N7" s="13"/>
      <c r="O7" s="26">
        <f t="shared" si="3"/>
        <v>1</v>
      </c>
      <c r="P7" s="26">
        <f>O7*H7</f>
        <v>6</v>
      </c>
      <c r="Q7" s="27">
        <f t="shared" si="0"/>
        <v>11941.199999999999</v>
      </c>
    </row>
    <row r="8" spans="1:17" ht="35.25" customHeight="1" x14ac:dyDescent="0.25">
      <c r="A8" s="13" t="str">
        <f t="shared" si="1"/>
        <v>ВРУ1-1-1</v>
      </c>
      <c r="B8" s="10" t="s">
        <v>293</v>
      </c>
      <c r="C8" s="11" t="s">
        <v>189</v>
      </c>
      <c r="D8" s="10" t="s">
        <v>190</v>
      </c>
      <c r="E8" s="10">
        <v>1390</v>
      </c>
      <c r="F8" s="12">
        <f>0.3*E8</f>
        <v>417</v>
      </c>
      <c r="G8" s="12">
        <f>F8*H8</f>
        <v>834</v>
      </c>
      <c r="H8" s="13">
        <v>2</v>
      </c>
      <c r="I8" s="14" t="s">
        <v>12</v>
      </c>
      <c r="J8" s="10" t="s">
        <v>207</v>
      </c>
      <c r="K8" s="13" t="str">
        <f t="shared" si="2"/>
        <v>Блок1</v>
      </c>
      <c r="L8" s="13"/>
      <c r="M8" s="13"/>
      <c r="N8" s="13"/>
      <c r="O8" s="26">
        <f t="shared" si="3"/>
        <v>1</v>
      </c>
      <c r="P8" s="26">
        <f>O8*H8</f>
        <v>2</v>
      </c>
      <c r="Q8" s="27">
        <f>P8*E8</f>
        <v>2780</v>
      </c>
    </row>
    <row r="9" spans="1:17" ht="35.25" customHeight="1" x14ac:dyDescent="0.25">
      <c r="A9" s="13" t="str">
        <f t="shared" si="1"/>
        <v>ВРУ1-1-1</v>
      </c>
      <c r="B9" s="10" t="s">
        <v>15</v>
      </c>
      <c r="C9" s="11" t="s">
        <v>297</v>
      </c>
      <c r="D9" s="24" t="s">
        <v>298</v>
      </c>
      <c r="E9" s="10">
        <v>89000</v>
      </c>
      <c r="F9" s="12">
        <f>E9</f>
        <v>89000</v>
      </c>
      <c r="G9" s="12">
        <f>F9*H9</f>
        <v>178000</v>
      </c>
      <c r="H9" s="13">
        <v>2</v>
      </c>
      <c r="I9" s="14" t="s">
        <v>12</v>
      </c>
      <c r="J9" s="10" t="s">
        <v>16</v>
      </c>
      <c r="K9" s="13" t="str">
        <f t="shared" si="2"/>
        <v>Блок1</v>
      </c>
      <c r="L9" s="13"/>
      <c r="M9" s="13"/>
      <c r="N9" s="13"/>
      <c r="O9" s="26">
        <f t="shared" si="3"/>
        <v>1</v>
      </c>
      <c r="P9" s="26">
        <f>O9*H9</f>
        <v>2</v>
      </c>
      <c r="Q9" s="27">
        <f t="shared" ref="Q9:Q15" si="5">P9*F9</f>
        <v>178000</v>
      </c>
    </row>
    <row r="10" spans="1:17" ht="35.25" customHeight="1" x14ac:dyDescent="0.25">
      <c r="A10" s="13" t="str">
        <f t="shared" si="1"/>
        <v>ВРУ1-1-1</v>
      </c>
      <c r="B10" s="10" t="s">
        <v>30</v>
      </c>
      <c r="C10" s="11"/>
      <c r="D10" s="10" t="s">
        <v>31</v>
      </c>
      <c r="E10" s="10">
        <v>3850</v>
      </c>
      <c r="F10" s="12">
        <f>E10</f>
        <v>3850</v>
      </c>
      <c r="G10" s="12">
        <f>F10*H10</f>
        <v>23100</v>
      </c>
      <c r="H10" s="13">
        <v>6</v>
      </c>
      <c r="I10" s="14" t="s">
        <v>12</v>
      </c>
      <c r="J10" s="10" t="s">
        <v>25</v>
      </c>
      <c r="K10" s="13" t="str">
        <f t="shared" si="2"/>
        <v>Блок1</v>
      </c>
      <c r="L10" s="13"/>
      <c r="M10" s="13"/>
      <c r="N10" s="13"/>
      <c r="O10" s="26">
        <f t="shared" si="3"/>
        <v>1</v>
      </c>
      <c r="P10" s="26">
        <f>O10*H10</f>
        <v>6</v>
      </c>
      <c r="Q10" s="27">
        <f t="shared" si="5"/>
        <v>23100</v>
      </c>
    </row>
    <row r="11" spans="1:17" ht="35.25" customHeight="1" x14ac:dyDescent="0.25">
      <c r="A11" s="10" t="str">
        <f t="shared" si="1"/>
        <v>ВРУ1-1-1</v>
      </c>
      <c r="B11" s="10" t="s">
        <v>19</v>
      </c>
      <c r="C11" s="11" t="s">
        <v>19</v>
      </c>
      <c r="D11" s="10" t="s">
        <v>19</v>
      </c>
      <c r="E11" s="10">
        <f ca="1">OFFSET(E11,1,2)</f>
        <v>48000</v>
      </c>
      <c r="F11" s="12">
        <f ca="1">E11</f>
        <v>48000</v>
      </c>
      <c r="G11" s="12">
        <f ca="1">F11*H11</f>
        <v>48000</v>
      </c>
      <c r="H11" s="10">
        <v>1</v>
      </c>
      <c r="I11" s="10" t="s">
        <v>12</v>
      </c>
      <c r="J11" s="10" t="s">
        <v>19</v>
      </c>
      <c r="K11" s="13" t="str">
        <f t="shared" si="2"/>
        <v>Блок1</v>
      </c>
      <c r="L11" s="13"/>
      <c r="M11" s="13"/>
      <c r="N11" s="13"/>
      <c r="O11" s="26">
        <f t="shared" si="3"/>
        <v>1</v>
      </c>
      <c r="P11" s="26">
        <f>O11*H11</f>
        <v>1</v>
      </c>
      <c r="Q11" s="27">
        <f t="shared" ca="1" si="5"/>
        <v>48000</v>
      </c>
    </row>
    <row r="12" spans="1:17" ht="35.25" customHeight="1" x14ac:dyDescent="0.25">
      <c r="A12" s="10" t="str">
        <f t="shared" si="1"/>
        <v>ВРУ1-1-1</v>
      </c>
      <c r="B12" s="10" t="s">
        <v>20</v>
      </c>
      <c r="C12" s="11" t="s">
        <v>20</v>
      </c>
      <c r="D12" s="10" t="s">
        <v>20</v>
      </c>
      <c r="E12" s="10">
        <v>8</v>
      </c>
      <c r="F12" s="12">
        <v>100</v>
      </c>
      <c r="G12" s="12">
        <f>F12*H12</f>
        <v>48000</v>
      </c>
      <c r="H12" s="10">
        <f>60*E12</f>
        <v>480</v>
      </c>
      <c r="I12" s="10" t="s">
        <v>12</v>
      </c>
      <c r="J12" s="10" t="s">
        <v>20</v>
      </c>
      <c r="K12" s="13" t="str">
        <f t="shared" si="2"/>
        <v>Блок1</v>
      </c>
      <c r="L12" s="13"/>
      <c r="M12" s="13"/>
      <c r="N12" s="13"/>
      <c r="O12" s="26">
        <f t="shared" si="3"/>
        <v>1</v>
      </c>
      <c r="P12" s="26">
        <f>O12*H12</f>
        <v>480</v>
      </c>
      <c r="Q12" s="27">
        <f t="shared" si="5"/>
        <v>48000</v>
      </c>
    </row>
    <row r="13" spans="1:17" ht="35.25" customHeight="1" x14ac:dyDescent="0.25">
      <c r="A13" s="15" t="str">
        <f t="shared" si="1"/>
        <v>ВРУ1-1-1</v>
      </c>
      <c r="B13" s="15"/>
      <c r="C13" s="15"/>
      <c r="D13" s="16"/>
      <c r="E13" s="28"/>
      <c r="F13" s="12">
        <f>E13*0.55</f>
        <v>0</v>
      </c>
      <c r="G13" s="28">
        <f ca="1">SUM(G3:G12)</f>
        <v>505013.2</v>
      </c>
      <c r="H13" s="15"/>
      <c r="I13" s="19"/>
      <c r="J13" s="15"/>
      <c r="K13" s="13" t="str">
        <f t="shared" si="2"/>
        <v>Блок1</v>
      </c>
      <c r="L13" s="13"/>
      <c r="M13" s="13"/>
      <c r="N13" s="13"/>
      <c r="O13" s="26">
        <f t="shared" si="3"/>
        <v>1</v>
      </c>
      <c r="P13" s="26">
        <f>O13*H13</f>
        <v>0</v>
      </c>
      <c r="Q13" s="27">
        <f t="shared" si="5"/>
        <v>0</v>
      </c>
    </row>
    <row r="14" spans="1:17" ht="35.25" customHeight="1" x14ac:dyDescent="0.25">
      <c r="A14" s="8" t="str">
        <f>D14</f>
        <v>РУ-1-1</v>
      </c>
      <c r="B14" s="4"/>
      <c r="C14" s="5"/>
      <c r="D14" s="4" t="s">
        <v>32</v>
      </c>
      <c r="E14" s="6"/>
      <c r="F14" s="6"/>
      <c r="G14" s="7"/>
      <c r="H14" s="8">
        <v>1</v>
      </c>
      <c r="I14" s="9" t="s">
        <v>9</v>
      </c>
      <c r="J14" s="4" t="s">
        <v>10</v>
      </c>
      <c r="K14" s="8" t="s">
        <v>22</v>
      </c>
      <c r="L14" s="8"/>
      <c r="M14" s="8"/>
      <c r="N14" s="8"/>
      <c r="O14" s="26">
        <f>H14</f>
        <v>1</v>
      </c>
      <c r="P14" s="26">
        <f>O14*H14</f>
        <v>1</v>
      </c>
      <c r="Q14" s="27">
        <f t="shared" si="5"/>
        <v>0</v>
      </c>
    </row>
    <row r="15" spans="1:17" ht="35.25" customHeight="1" x14ac:dyDescent="0.25">
      <c r="A15" s="13" t="str">
        <f t="shared" ref="A15:A22" si="6">A14</f>
        <v>РУ-1-1</v>
      </c>
      <c r="B15" s="10" t="s">
        <v>11</v>
      </c>
      <c r="C15" s="11" t="s">
        <v>170</v>
      </c>
      <c r="D15" s="10" t="s">
        <v>171</v>
      </c>
      <c r="E15" s="10">
        <v>145000</v>
      </c>
      <c r="F15" s="12">
        <f>0.6*E15</f>
        <v>87000</v>
      </c>
      <c r="G15" s="12">
        <f>F15*H15</f>
        <v>87000</v>
      </c>
      <c r="H15" s="13">
        <v>1</v>
      </c>
      <c r="I15" s="14" t="s">
        <v>12</v>
      </c>
      <c r="J15" s="10" t="s">
        <v>13</v>
      </c>
      <c r="K15" s="13" t="str">
        <f t="shared" ref="K15:K22" si="7">K14</f>
        <v>Блок1</v>
      </c>
      <c r="L15" s="13"/>
      <c r="M15" s="13"/>
      <c r="N15" s="13"/>
      <c r="O15" s="26">
        <f t="shared" ref="O15:O22" si="8">O14</f>
        <v>1</v>
      </c>
      <c r="P15" s="26">
        <f>O15*H15</f>
        <v>1</v>
      </c>
      <c r="Q15" s="27">
        <f t="shared" si="5"/>
        <v>87000</v>
      </c>
    </row>
    <row r="16" spans="1:17" ht="35.25" customHeight="1" x14ac:dyDescent="0.25">
      <c r="A16" s="13" t="str">
        <f>A17</f>
        <v>РУ-1-1</v>
      </c>
      <c r="B16" s="10" t="s">
        <v>294</v>
      </c>
      <c r="C16" s="11" t="s">
        <v>227</v>
      </c>
      <c r="D16" s="10" t="s">
        <v>228</v>
      </c>
      <c r="E16" s="10">
        <v>29990</v>
      </c>
      <c r="F16" s="12">
        <f>0.3*E16</f>
        <v>8997</v>
      </c>
      <c r="G16" s="12">
        <f>F16*H16</f>
        <v>8997</v>
      </c>
      <c r="H16" s="13">
        <v>1</v>
      </c>
      <c r="I16" s="14" t="s">
        <v>12</v>
      </c>
      <c r="J16" s="10" t="s">
        <v>207</v>
      </c>
      <c r="K16" s="13" t="str">
        <f>K17</f>
        <v>Блок1</v>
      </c>
      <c r="L16" s="13"/>
      <c r="M16" s="13"/>
      <c r="N16" s="13"/>
      <c r="O16" s="26">
        <f>O17</f>
        <v>1</v>
      </c>
      <c r="P16" s="26">
        <f>O16*H16</f>
        <v>1</v>
      </c>
      <c r="Q16" s="27">
        <f>P16*E16</f>
        <v>29990</v>
      </c>
    </row>
    <row r="17" spans="1:18" ht="35.25" customHeight="1" x14ac:dyDescent="0.25">
      <c r="A17" s="13" t="str">
        <f>A15</f>
        <v>РУ-1-1</v>
      </c>
      <c r="B17" s="10" t="s">
        <v>294</v>
      </c>
      <c r="C17" s="11" t="s">
        <v>225</v>
      </c>
      <c r="D17" s="10" t="s">
        <v>226</v>
      </c>
      <c r="E17" s="10">
        <v>17300</v>
      </c>
      <c r="F17" s="12">
        <f t="shared" ref="F17:F19" si="9">0.3*E17</f>
        <v>5190</v>
      </c>
      <c r="G17" s="12">
        <f>F17*H17</f>
        <v>10380</v>
      </c>
      <c r="H17" s="13">
        <v>2</v>
      </c>
      <c r="I17" s="14" t="s">
        <v>12</v>
      </c>
      <c r="J17" s="10" t="s">
        <v>207</v>
      </c>
      <c r="K17" s="13" t="str">
        <f>K15</f>
        <v>Блок1</v>
      </c>
      <c r="L17" s="13"/>
      <c r="M17" s="13"/>
      <c r="N17" s="13"/>
      <c r="O17" s="26">
        <f>O15</f>
        <v>1</v>
      </c>
      <c r="P17" s="26">
        <f>O17*H17</f>
        <v>2</v>
      </c>
      <c r="Q17" s="27">
        <f>P17*E17</f>
        <v>34600</v>
      </c>
    </row>
    <row r="18" spans="1:18" ht="35.25" customHeight="1" x14ac:dyDescent="0.25">
      <c r="A18" s="13" t="str">
        <f>A17</f>
        <v>РУ-1-1</v>
      </c>
      <c r="B18" s="10" t="s">
        <v>294</v>
      </c>
      <c r="C18" s="30" t="s">
        <v>211</v>
      </c>
      <c r="D18" s="31" t="s">
        <v>212</v>
      </c>
      <c r="E18" s="10">
        <v>16550</v>
      </c>
      <c r="F18" s="12">
        <f t="shared" si="9"/>
        <v>4965</v>
      </c>
      <c r="G18" s="12">
        <f>F18*N18</f>
        <v>4965</v>
      </c>
      <c r="H18" s="29">
        <v>1</v>
      </c>
      <c r="I18" s="14" t="s">
        <v>12</v>
      </c>
      <c r="J18" s="10" t="s">
        <v>207</v>
      </c>
      <c r="K18" s="13" t="str">
        <f>K17</f>
        <v>Блок1</v>
      </c>
      <c r="L18" s="11" t="s">
        <v>322</v>
      </c>
      <c r="M18" s="10" t="s">
        <v>323</v>
      </c>
      <c r="N18" s="13">
        <v>1</v>
      </c>
      <c r="O18" s="26">
        <f>O17</f>
        <v>1</v>
      </c>
      <c r="P18" s="26">
        <f>O18*N18</f>
        <v>1</v>
      </c>
      <c r="Q18" s="27">
        <f>P18*E18</f>
        <v>16550</v>
      </c>
      <c r="R18" t="s">
        <v>321</v>
      </c>
    </row>
    <row r="19" spans="1:18" ht="35.25" customHeight="1" x14ac:dyDescent="0.25">
      <c r="A19" s="13" t="str">
        <f>A16</f>
        <v>РУ-1-1</v>
      </c>
      <c r="B19" s="10" t="s">
        <v>293</v>
      </c>
      <c r="C19" s="11" t="s">
        <v>217</v>
      </c>
      <c r="D19" s="10" t="s">
        <v>218</v>
      </c>
      <c r="E19" s="10">
        <v>7850</v>
      </c>
      <c r="F19" s="12">
        <f t="shared" si="9"/>
        <v>2355</v>
      </c>
      <c r="G19" s="12">
        <f>F19*H19</f>
        <v>2355</v>
      </c>
      <c r="H19" s="13">
        <v>1</v>
      </c>
      <c r="I19" s="14" t="s">
        <v>12</v>
      </c>
      <c r="J19" s="10" t="s">
        <v>207</v>
      </c>
      <c r="K19" s="13" t="str">
        <f>K16</f>
        <v>Блок1</v>
      </c>
      <c r="L19" s="13"/>
      <c r="M19" s="13"/>
      <c r="N19" s="13"/>
      <c r="O19" s="26">
        <f>O16</f>
        <v>1</v>
      </c>
      <c r="P19" s="26">
        <f>O19*H19</f>
        <v>1</v>
      </c>
      <c r="Q19" s="27">
        <f>P19*E19</f>
        <v>7850</v>
      </c>
    </row>
    <row r="20" spans="1:18" ht="35.25" customHeight="1" x14ac:dyDescent="0.25">
      <c r="A20" s="10" t="str">
        <f t="shared" si="6"/>
        <v>РУ-1-1</v>
      </c>
      <c r="B20" s="10" t="s">
        <v>19</v>
      </c>
      <c r="C20" s="11" t="s">
        <v>19</v>
      </c>
      <c r="D20" s="10" t="s">
        <v>19</v>
      </c>
      <c r="E20" s="10">
        <f ca="1">OFFSET(E20,1,2)</f>
        <v>27000</v>
      </c>
      <c r="F20" s="12">
        <f ca="1">E20</f>
        <v>27000</v>
      </c>
      <c r="G20" s="12">
        <f ca="1">F20*H20</f>
        <v>27000</v>
      </c>
      <c r="H20" s="10">
        <v>1</v>
      </c>
      <c r="I20" s="10" t="s">
        <v>12</v>
      </c>
      <c r="J20" s="10" t="s">
        <v>19</v>
      </c>
      <c r="K20" s="13" t="str">
        <f t="shared" si="7"/>
        <v>Блок1</v>
      </c>
      <c r="L20" s="13"/>
      <c r="M20" s="13"/>
      <c r="N20" s="13"/>
      <c r="O20" s="26">
        <f t="shared" si="8"/>
        <v>1</v>
      </c>
      <c r="P20" s="26">
        <f>O20*H20</f>
        <v>1</v>
      </c>
      <c r="Q20" s="27">
        <f ca="1">P20*F20</f>
        <v>27000</v>
      </c>
    </row>
    <row r="21" spans="1:18" ht="35.25" customHeight="1" x14ac:dyDescent="0.25">
      <c r="A21" s="10" t="str">
        <f t="shared" si="6"/>
        <v>РУ-1-1</v>
      </c>
      <c r="B21" s="10" t="s">
        <v>20</v>
      </c>
      <c r="C21" s="11" t="s">
        <v>20</v>
      </c>
      <c r="D21" s="10" t="s">
        <v>20</v>
      </c>
      <c r="E21" s="10">
        <v>4.5</v>
      </c>
      <c r="F21" s="12">
        <v>100</v>
      </c>
      <c r="G21" s="12">
        <f>F21*H21</f>
        <v>27000</v>
      </c>
      <c r="H21" s="10">
        <f>60*E21</f>
        <v>270</v>
      </c>
      <c r="I21" s="10" t="s">
        <v>12</v>
      </c>
      <c r="J21" s="10" t="s">
        <v>20</v>
      </c>
      <c r="K21" s="13" t="str">
        <f t="shared" si="7"/>
        <v>Блок1</v>
      </c>
      <c r="L21" s="13"/>
      <c r="M21" s="13"/>
      <c r="N21" s="13"/>
      <c r="O21" s="26">
        <f t="shared" si="8"/>
        <v>1</v>
      </c>
      <c r="P21" s="26">
        <f>O21*H21</f>
        <v>270</v>
      </c>
      <c r="Q21" s="27">
        <f>P21*F21</f>
        <v>27000</v>
      </c>
    </row>
    <row r="22" spans="1:18" ht="35.25" customHeight="1" x14ac:dyDescent="0.25">
      <c r="A22" s="15" t="str">
        <f t="shared" si="6"/>
        <v>РУ-1-1</v>
      </c>
      <c r="B22" s="15"/>
      <c r="C22" s="15"/>
      <c r="D22" s="16"/>
      <c r="E22" s="28"/>
      <c r="F22" s="12">
        <f t="shared" ref="F22" si="10">E22*0.55</f>
        <v>0</v>
      </c>
      <c r="G22" s="28">
        <f ca="1">SUM(G15:G21)</f>
        <v>167697</v>
      </c>
      <c r="H22" s="15"/>
      <c r="I22" s="19"/>
      <c r="J22" s="15"/>
      <c r="K22" s="13" t="str">
        <f t="shared" si="7"/>
        <v>Блок1</v>
      </c>
      <c r="L22" s="13"/>
      <c r="M22" s="13"/>
      <c r="N22" s="13"/>
      <c r="O22" s="26">
        <f t="shared" si="8"/>
        <v>1</v>
      </c>
      <c r="P22" s="26">
        <f>O22*H22</f>
        <v>0</v>
      </c>
      <c r="Q22" s="27">
        <f>P22*F22</f>
        <v>0</v>
      </c>
    </row>
    <row r="23" spans="1:18" ht="35.25" customHeight="1" x14ac:dyDescent="0.25">
      <c r="A23" s="8" t="str">
        <f>D23</f>
        <v>РУ-1-2</v>
      </c>
      <c r="B23" s="4"/>
      <c r="C23" s="5"/>
      <c r="D23" s="4" t="s">
        <v>36</v>
      </c>
      <c r="E23" s="6"/>
      <c r="F23" s="6"/>
      <c r="G23" s="7"/>
      <c r="H23" s="8">
        <v>1</v>
      </c>
      <c r="I23" s="9" t="s">
        <v>9</v>
      </c>
      <c r="J23" s="4" t="s">
        <v>10</v>
      </c>
      <c r="K23" s="8" t="s">
        <v>22</v>
      </c>
      <c r="L23" s="8"/>
      <c r="M23" s="8"/>
      <c r="N23" s="8"/>
      <c r="O23" s="26">
        <f>H23</f>
        <v>1</v>
      </c>
      <c r="P23" s="26">
        <f>O23*H23</f>
        <v>1</v>
      </c>
      <c r="Q23" s="27">
        <f>P23*F23</f>
        <v>0</v>
      </c>
    </row>
    <row r="24" spans="1:18" ht="35.25" customHeight="1" x14ac:dyDescent="0.25">
      <c r="A24" s="13" t="str">
        <f t="shared" ref="A24:A32" si="11">A23</f>
        <v>РУ-1-2</v>
      </c>
      <c r="B24" s="10" t="s">
        <v>11</v>
      </c>
      <c r="C24" s="11" t="s">
        <v>170</v>
      </c>
      <c r="D24" s="10" t="s">
        <v>171</v>
      </c>
      <c r="E24" s="10">
        <v>145000</v>
      </c>
      <c r="F24" s="12">
        <f>0.6*E24</f>
        <v>87000</v>
      </c>
      <c r="G24" s="12">
        <f>F24*H24</f>
        <v>87000</v>
      </c>
      <c r="H24" s="13">
        <v>1</v>
      </c>
      <c r="I24" s="14" t="s">
        <v>12</v>
      </c>
      <c r="J24" s="10" t="s">
        <v>13</v>
      </c>
      <c r="K24" s="13" t="str">
        <f t="shared" ref="K24:K32" si="12">K23</f>
        <v>Блок1</v>
      </c>
      <c r="L24" s="13"/>
      <c r="M24" s="13"/>
      <c r="N24" s="13"/>
      <c r="O24" s="26">
        <f t="shared" ref="O24:O32" si="13">O23</f>
        <v>1</v>
      </c>
      <c r="P24" s="26">
        <f>O24*H24</f>
        <v>1</v>
      </c>
      <c r="Q24" s="27">
        <f>P24*F24</f>
        <v>87000</v>
      </c>
    </row>
    <row r="25" spans="1:18" ht="35.25" customHeight="1" x14ac:dyDescent="0.25">
      <c r="A25" s="13" t="str">
        <f t="shared" si="11"/>
        <v>РУ-1-2</v>
      </c>
      <c r="B25" s="10" t="s">
        <v>294</v>
      </c>
      <c r="C25" s="11" t="s">
        <v>227</v>
      </c>
      <c r="D25" s="10" t="s">
        <v>228</v>
      </c>
      <c r="E25" s="10">
        <v>29990</v>
      </c>
      <c r="F25" s="12">
        <f t="shared" ref="F25:F28" si="14">0.3*E25</f>
        <v>8997</v>
      </c>
      <c r="G25" s="12">
        <f>F25*H25</f>
        <v>8997</v>
      </c>
      <c r="H25" s="13">
        <v>1</v>
      </c>
      <c r="I25" s="14" t="s">
        <v>12</v>
      </c>
      <c r="J25" s="10" t="s">
        <v>207</v>
      </c>
      <c r="K25" s="13" t="str">
        <f t="shared" si="12"/>
        <v>Блок1</v>
      </c>
      <c r="L25" s="13"/>
      <c r="M25" s="13"/>
      <c r="N25" s="13"/>
      <c r="O25" s="26">
        <f t="shared" si="13"/>
        <v>1</v>
      </c>
      <c r="P25" s="26">
        <f>O25*H25</f>
        <v>1</v>
      </c>
      <c r="Q25" s="27">
        <f>P25*E25</f>
        <v>29990</v>
      </c>
    </row>
    <row r="26" spans="1:18" ht="35.25" customHeight="1" x14ac:dyDescent="0.25">
      <c r="A26" s="13" t="str">
        <f t="shared" si="11"/>
        <v>РУ-1-2</v>
      </c>
      <c r="B26" s="10" t="s">
        <v>294</v>
      </c>
      <c r="C26" s="11" t="s">
        <v>211</v>
      </c>
      <c r="D26" s="10" t="s">
        <v>212</v>
      </c>
      <c r="E26" s="10">
        <v>16550</v>
      </c>
      <c r="F26" s="12">
        <f t="shared" si="14"/>
        <v>4965</v>
      </c>
      <c r="G26" s="12">
        <f>F26*H26</f>
        <v>4965</v>
      </c>
      <c r="H26" s="13">
        <v>1</v>
      </c>
      <c r="I26" s="14" t="s">
        <v>12</v>
      </c>
      <c r="J26" s="10" t="s">
        <v>207</v>
      </c>
      <c r="K26" s="13" t="str">
        <f t="shared" si="12"/>
        <v>Блок1</v>
      </c>
      <c r="L26" s="13"/>
      <c r="M26" s="13"/>
      <c r="N26" s="13"/>
      <c r="O26" s="26">
        <f t="shared" si="13"/>
        <v>1</v>
      </c>
      <c r="P26" s="26">
        <f>O26*H26</f>
        <v>1</v>
      </c>
      <c r="Q26" s="27">
        <f>P26*E26</f>
        <v>16550</v>
      </c>
    </row>
    <row r="27" spans="1:18" ht="35.25" customHeight="1" x14ac:dyDescent="0.25">
      <c r="A27" s="13" t="str">
        <f t="shared" si="11"/>
        <v>РУ-1-2</v>
      </c>
      <c r="B27" s="10" t="s">
        <v>294</v>
      </c>
      <c r="C27" s="11" t="s">
        <v>223</v>
      </c>
      <c r="D27" s="10" t="s">
        <v>224</v>
      </c>
      <c r="E27" s="10">
        <v>16550</v>
      </c>
      <c r="F27" s="12">
        <f t="shared" si="14"/>
        <v>4965</v>
      </c>
      <c r="G27" s="12">
        <f>F27*H27</f>
        <v>9930</v>
      </c>
      <c r="H27" s="13">
        <v>2</v>
      </c>
      <c r="I27" s="14" t="s">
        <v>12</v>
      </c>
      <c r="J27" s="10" t="s">
        <v>207</v>
      </c>
      <c r="K27" s="13" t="str">
        <f t="shared" si="12"/>
        <v>Блок1</v>
      </c>
      <c r="L27" s="13"/>
      <c r="M27" s="13"/>
      <c r="N27" s="13"/>
      <c r="O27" s="26">
        <f t="shared" si="13"/>
        <v>1</v>
      </c>
      <c r="P27" s="26">
        <f>O27*H27</f>
        <v>2</v>
      </c>
      <c r="Q27" s="27">
        <f>P27*E27</f>
        <v>33100</v>
      </c>
    </row>
    <row r="28" spans="1:18" ht="35.25" customHeight="1" x14ac:dyDescent="0.25">
      <c r="A28" s="13" t="str">
        <f t="shared" si="11"/>
        <v>РУ-1-2</v>
      </c>
      <c r="B28" s="10" t="s">
        <v>293</v>
      </c>
      <c r="C28" s="11" t="s">
        <v>322</v>
      </c>
      <c r="D28" s="10" t="s">
        <v>323</v>
      </c>
      <c r="E28" s="10">
        <v>7225</v>
      </c>
      <c r="F28" s="12">
        <f t="shared" si="14"/>
        <v>2167.5</v>
      </c>
      <c r="G28" s="12">
        <f>F28*H28</f>
        <v>2167.5</v>
      </c>
      <c r="H28" s="13">
        <v>1</v>
      </c>
      <c r="I28" s="14" t="s">
        <v>12</v>
      </c>
      <c r="J28" s="10" t="s">
        <v>207</v>
      </c>
      <c r="K28" s="13" t="str">
        <f t="shared" si="12"/>
        <v>Блок1</v>
      </c>
      <c r="L28" s="13"/>
      <c r="M28" s="13"/>
      <c r="N28" s="13"/>
      <c r="O28" s="26">
        <f t="shared" si="13"/>
        <v>1</v>
      </c>
      <c r="P28" s="26">
        <f>O28*H28</f>
        <v>1</v>
      </c>
      <c r="Q28" s="27">
        <f>P28*E28</f>
        <v>7225</v>
      </c>
    </row>
    <row r="29" spans="1:18" ht="35.25" customHeight="1" x14ac:dyDescent="0.25">
      <c r="A29" s="13" t="str">
        <f>A27</f>
        <v>РУ-1-2</v>
      </c>
      <c r="B29" s="10" t="s">
        <v>15</v>
      </c>
      <c r="C29" s="11" t="s">
        <v>301</v>
      </c>
      <c r="D29" s="10" t="s">
        <v>302</v>
      </c>
      <c r="E29" s="10">
        <v>32300</v>
      </c>
      <c r="F29" s="12">
        <f>E29</f>
        <v>32300</v>
      </c>
      <c r="G29" s="12">
        <f>F29*H29</f>
        <v>64600</v>
      </c>
      <c r="H29" s="13">
        <v>2</v>
      </c>
      <c r="I29" s="14" t="s">
        <v>12</v>
      </c>
      <c r="J29" s="10" t="s">
        <v>16</v>
      </c>
      <c r="K29" s="13" t="str">
        <f>K27</f>
        <v>Блок1</v>
      </c>
      <c r="L29" s="13"/>
      <c r="M29" s="13"/>
      <c r="N29" s="13"/>
      <c r="O29" s="26">
        <f t="shared" ref="O29" si="15">O27</f>
        <v>1</v>
      </c>
      <c r="P29" s="26">
        <f>O29*H29</f>
        <v>2</v>
      </c>
      <c r="Q29" s="27">
        <f t="shared" ref="Q29:Q34" si="16">P29*F29</f>
        <v>64600</v>
      </c>
    </row>
    <row r="30" spans="1:18" ht="35.25" customHeight="1" x14ac:dyDescent="0.25">
      <c r="A30" s="10" t="str">
        <f>A27</f>
        <v>РУ-1-2</v>
      </c>
      <c r="B30" s="10" t="s">
        <v>19</v>
      </c>
      <c r="C30" s="11" t="s">
        <v>19</v>
      </c>
      <c r="D30" s="10" t="s">
        <v>19</v>
      </c>
      <c r="E30" s="10">
        <f ca="1">OFFSET(E30,1,2)</f>
        <v>27000</v>
      </c>
      <c r="F30" s="12">
        <f ca="1">E30</f>
        <v>27000</v>
      </c>
      <c r="G30" s="12">
        <f ca="1">F30*H30</f>
        <v>27000</v>
      </c>
      <c r="H30" s="10">
        <v>1</v>
      </c>
      <c r="I30" s="10" t="s">
        <v>12</v>
      </c>
      <c r="J30" s="10" t="s">
        <v>19</v>
      </c>
      <c r="K30" s="13" t="str">
        <f t="shared" si="12"/>
        <v>Блок1</v>
      </c>
      <c r="L30" s="13"/>
      <c r="M30" s="13"/>
      <c r="N30" s="13"/>
      <c r="O30" s="26">
        <f>O27</f>
        <v>1</v>
      </c>
      <c r="P30" s="26">
        <f>O30*H30</f>
        <v>1</v>
      </c>
      <c r="Q30" s="27">
        <f t="shared" ca="1" si="16"/>
        <v>27000</v>
      </c>
    </row>
    <row r="31" spans="1:18" ht="35.25" customHeight="1" x14ac:dyDescent="0.25">
      <c r="A31" s="10" t="str">
        <f t="shared" si="11"/>
        <v>РУ-1-2</v>
      </c>
      <c r="B31" s="10" t="s">
        <v>20</v>
      </c>
      <c r="C31" s="11" t="s">
        <v>20</v>
      </c>
      <c r="D31" s="10" t="s">
        <v>20</v>
      </c>
      <c r="E31" s="10">
        <v>4.5</v>
      </c>
      <c r="F31" s="12">
        <v>100</v>
      </c>
      <c r="G31" s="12">
        <f>F31*H31</f>
        <v>27000</v>
      </c>
      <c r="H31" s="10">
        <f>60*E31</f>
        <v>270</v>
      </c>
      <c r="I31" s="10" t="s">
        <v>12</v>
      </c>
      <c r="J31" s="10" t="s">
        <v>20</v>
      </c>
      <c r="K31" s="13" t="str">
        <f t="shared" si="12"/>
        <v>Блок1</v>
      </c>
      <c r="L31" s="13"/>
      <c r="M31" s="13"/>
      <c r="N31" s="13"/>
      <c r="O31" s="26">
        <f t="shared" si="13"/>
        <v>1</v>
      </c>
      <c r="P31" s="26">
        <f>O31*H31</f>
        <v>270</v>
      </c>
      <c r="Q31" s="27">
        <f t="shared" si="16"/>
        <v>27000</v>
      </c>
    </row>
    <row r="32" spans="1:18" ht="35.25" customHeight="1" x14ac:dyDescent="0.25">
      <c r="A32" s="15" t="str">
        <f t="shared" si="11"/>
        <v>РУ-1-2</v>
      </c>
      <c r="B32" s="15"/>
      <c r="C32" s="15"/>
      <c r="D32" s="16"/>
      <c r="E32" s="28"/>
      <c r="F32" s="12">
        <f>E32*0.55</f>
        <v>0</v>
      </c>
      <c r="G32" s="28">
        <f ca="1">SUM(G24:G31)</f>
        <v>231659.5</v>
      </c>
      <c r="H32" s="15"/>
      <c r="I32" s="19"/>
      <c r="J32" s="15"/>
      <c r="K32" s="13" t="str">
        <f t="shared" si="12"/>
        <v>Блок1</v>
      </c>
      <c r="L32" s="13"/>
      <c r="M32" s="13"/>
      <c r="N32" s="13"/>
      <c r="O32" s="26">
        <f t="shared" si="13"/>
        <v>1</v>
      </c>
      <c r="P32" s="26">
        <f>O32*H32</f>
        <v>0</v>
      </c>
      <c r="Q32" s="27">
        <f t="shared" si="16"/>
        <v>0</v>
      </c>
    </row>
    <row r="33" spans="1:17" ht="35.25" customHeight="1" x14ac:dyDescent="0.25">
      <c r="A33" s="8" t="str">
        <f>D33</f>
        <v>ЩУР.МОП1</v>
      </c>
      <c r="B33" s="4"/>
      <c r="C33" s="5"/>
      <c r="D33" s="4" t="s">
        <v>39</v>
      </c>
      <c r="E33" s="6"/>
      <c r="F33" s="6"/>
      <c r="G33" s="7"/>
      <c r="H33" s="8">
        <v>1</v>
      </c>
      <c r="I33" s="9" t="s">
        <v>9</v>
      </c>
      <c r="J33" s="4" t="s">
        <v>10</v>
      </c>
      <c r="K33" s="8" t="s">
        <v>22</v>
      </c>
      <c r="L33" s="8"/>
      <c r="M33" s="8"/>
      <c r="N33" s="8"/>
      <c r="O33" s="26">
        <f>H33</f>
        <v>1</v>
      </c>
      <c r="P33" s="26">
        <f>O33*H33</f>
        <v>1</v>
      </c>
      <c r="Q33" s="27">
        <f t="shared" si="16"/>
        <v>0</v>
      </c>
    </row>
    <row r="34" spans="1:17" ht="35.25" customHeight="1" x14ac:dyDescent="0.25">
      <c r="A34" s="13" t="str">
        <f t="shared" ref="A34:A42" si="17">A33</f>
        <v>ЩУР.МОП1</v>
      </c>
      <c r="B34" s="10" t="s">
        <v>11</v>
      </c>
      <c r="C34" s="11" t="s">
        <v>328</v>
      </c>
      <c r="D34" s="10" t="s">
        <v>329</v>
      </c>
      <c r="E34" s="10">
        <v>27000</v>
      </c>
      <c r="F34" s="12">
        <f>0.6*E34</f>
        <v>16200</v>
      </c>
      <c r="G34" s="12">
        <f>F34*H34</f>
        <v>16200</v>
      </c>
      <c r="H34" s="13">
        <v>1</v>
      </c>
      <c r="I34" s="14" t="s">
        <v>12</v>
      </c>
      <c r="J34" s="10" t="s">
        <v>13</v>
      </c>
      <c r="K34" s="13" t="str">
        <f t="shared" ref="K34:K42" si="18">K33</f>
        <v>Блок1</v>
      </c>
      <c r="L34" s="13"/>
      <c r="M34" s="13"/>
      <c r="N34" s="13"/>
      <c r="O34" s="26">
        <f t="shared" ref="O34:O42" si="19">O33</f>
        <v>1</v>
      </c>
      <c r="P34" s="26">
        <f>O34*H34</f>
        <v>1</v>
      </c>
      <c r="Q34" s="27">
        <f t="shared" si="16"/>
        <v>16200</v>
      </c>
    </row>
    <row r="35" spans="1:17" ht="35.25" customHeight="1" x14ac:dyDescent="0.25">
      <c r="A35" s="13" t="str">
        <f t="shared" si="17"/>
        <v>ЩУР.МОП1</v>
      </c>
      <c r="B35" s="10" t="s">
        <v>293</v>
      </c>
      <c r="C35" s="11" t="s">
        <v>333</v>
      </c>
      <c r="D35" s="10" t="s">
        <v>334</v>
      </c>
      <c r="E35" s="10">
        <v>29710</v>
      </c>
      <c r="F35" s="12">
        <f t="shared" ref="F35:F38" si="20">0.3*E35</f>
        <v>8913</v>
      </c>
      <c r="G35" s="12">
        <f>F35*H35</f>
        <v>8913</v>
      </c>
      <c r="H35" s="13">
        <v>1</v>
      </c>
      <c r="I35" s="14" t="s">
        <v>12</v>
      </c>
      <c r="J35" s="10" t="s">
        <v>207</v>
      </c>
      <c r="K35" s="13" t="str">
        <f t="shared" si="18"/>
        <v>Блок1</v>
      </c>
      <c r="L35" s="13"/>
      <c r="M35" s="13"/>
      <c r="N35" s="13"/>
      <c r="O35" s="26">
        <f t="shared" si="19"/>
        <v>1</v>
      </c>
      <c r="P35" s="26">
        <f>O35*H35</f>
        <v>1</v>
      </c>
      <c r="Q35" s="27">
        <f>P35*E35</f>
        <v>29710</v>
      </c>
    </row>
    <row r="36" spans="1:17" ht="35.25" customHeight="1" x14ac:dyDescent="0.25">
      <c r="A36" s="13" t="str">
        <f t="shared" si="17"/>
        <v>ЩУР.МОП1</v>
      </c>
      <c r="B36" s="10" t="s">
        <v>293</v>
      </c>
      <c r="C36" s="11" t="s">
        <v>199</v>
      </c>
      <c r="D36" s="10" t="s">
        <v>200</v>
      </c>
      <c r="E36" s="10">
        <v>5950</v>
      </c>
      <c r="F36" s="12">
        <f t="shared" si="20"/>
        <v>1785</v>
      </c>
      <c r="G36" s="12">
        <f>F36*H36</f>
        <v>3570</v>
      </c>
      <c r="H36" s="13">
        <v>2</v>
      </c>
      <c r="I36" s="14" t="s">
        <v>12</v>
      </c>
      <c r="J36" s="10" t="s">
        <v>207</v>
      </c>
      <c r="K36" s="13" t="str">
        <f t="shared" si="18"/>
        <v>Блок1</v>
      </c>
      <c r="L36" s="13"/>
      <c r="M36" s="13"/>
      <c r="N36" s="13"/>
      <c r="O36" s="26">
        <f t="shared" si="19"/>
        <v>1</v>
      </c>
      <c r="P36" s="26">
        <f>O36*H36</f>
        <v>2</v>
      </c>
      <c r="Q36" s="27">
        <f>P36*E36</f>
        <v>11900</v>
      </c>
    </row>
    <row r="37" spans="1:17" ht="35.25" customHeight="1" x14ac:dyDescent="0.25">
      <c r="A37" s="13" t="str">
        <f t="shared" si="17"/>
        <v>ЩУР.МОП1</v>
      </c>
      <c r="B37" s="10" t="s">
        <v>293</v>
      </c>
      <c r="C37" s="11" t="s">
        <v>193</v>
      </c>
      <c r="D37" s="10" t="s">
        <v>194</v>
      </c>
      <c r="E37" s="10">
        <v>6580</v>
      </c>
      <c r="F37" s="12">
        <f t="shared" si="20"/>
        <v>1974</v>
      </c>
      <c r="G37" s="12">
        <f>F37*H37</f>
        <v>5922</v>
      </c>
      <c r="H37" s="13">
        <v>3</v>
      </c>
      <c r="I37" s="14" t="s">
        <v>12</v>
      </c>
      <c r="J37" s="10" t="s">
        <v>207</v>
      </c>
      <c r="K37" s="13" t="str">
        <f t="shared" si="18"/>
        <v>Блок1</v>
      </c>
      <c r="L37" s="13"/>
      <c r="M37" s="13"/>
      <c r="N37" s="13"/>
      <c r="O37" s="26">
        <f t="shared" si="19"/>
        <v>1</v>
      </c>
      <c r="P37" s="26">
        <f>O37*H37</f>
        <v>3</v>
      </c>
      <c r="Q37" s="27">
        <f>P37*E37</f>
        <v>19740</v>
      </c>
    </row>
    <row r="38" spans="1:17" ht="35.25" customHeight="1" x14ac:dyDescent="0.25">
      <c r="A38" s="13" t="str">
        <f t="shared" si="17"/>
        <v>ЩУР.МОП1</v>
      </c>
      <c r="B38" s="10" t="s">
        <v>18</v>
      </c>
      <c r="C38" s="32" t="s">
        <v>339</v>
      </c>
      <c r="D38" s="33" t="s">
        <v>340</v>
      </c>
      <c r="E38" s="34">
        <v>15525</v>
      </c>
      <c r="F38" s="12">
        <f t="shared" si="20"/>
        <v>4657.5</v>
      </c>
      <c r="G38" s="12">
        <f>F38*H38</f>
        <v>9315</v>
      </c>
      <c r="H38" s="34">
        <v>2</v>
      </c>
      <c r="I38" s="14" t="s">
        <v>12</v>
      </c>
      <c r="J38" s="10" t="s">
        <v>207</v>
      </c>
      <c r="K38" s="13" t="str">
        <f t="shared" si="18"/>
        <v>Блок1</v>
      </c>
      <c r="L38" s="13" t="s">
        <v>326</v>
      </c>
      <c r="M38" s="13" t="s">
        <v>327</v>
      </c>
      <c r="N38" s="13">
        <v>2</v>
      </c>
      <c r="O38" s="26">
        <f t="shared" si="19"/>
        <v>1</v>
      </c>
      <c r="P38" s="26">
        <f>O38*H38</f>
        <v>2</v>
      </c>
      <c r="Q38" s="27">
        <f>P38*E38</f>
        <v>31050</v>
      </c>
    </row>
    <row r="39" spans="1:17" ht="35.25" customHeight="1" x14ac:dyDescent="0.25">
      <c r="A39" s="13" t="str">
        <f>A37</f>
        <v>ЩУР.МОП1</v>
      </c>
      <c r="B39" s="10" t="s">
        <v>15</v>
      </c>
      <c r="C39" s="11" t="s">
        <v>301</v>
      </c>
      <c r="D39" s="10" t="s">
        <v>302</v>
      </c>
      <c r="E39" s="10">
        <v>32300</v>
      </c>
      <c r="F39" s="12">
        <f>E39</f>
        <v>32300</v>
      </c>
      <c r="G39" s="12">
        <f>F39*H39</f>
        <v>32300</v>
      </c>
      <c r="H39" s="13">
        <v>1</v>
      </c>
      <c r="I39" s="14" t="s">
        <v>12</v>
      </c>
      <c r="J39" s="10" t="s">
        <v>16</v>
      </c>
      <c r="K39" s="13" t="str">
        <f>K37</f>
        <v>Блок1</v>
      </c>
      <c r="L39" s="13"/>
      <c r="M39" s="13"/>
      <c r="N39" s="13"/>
      <c r="O39" s="26">
        <f>O37</f>
        <v>1</v>
      </c>
      <c r="P39" s="26">
        <f>O39*H39</f>
        <v>1</v>
      </c>
      <c r="Q39" s="27">
        <f t="shared" ref="Q39:Q45" si="21">P39*F39</f>
        <v>32300</v>
      </c>
    </row>
    <row r="40" spans="1:17" ht="35.25" customHeight="1" x14ac:dyDescent="0.25">
      <c r="A40" s="10" t="str">
        <f t="shared" si="17"/>
        <v>ЩУР.МОП1</v>
      </c>
      <c r="B40" s="10" t="s">
        <v>19</v>
      </c>
      <c r="C40" s="11" t="s">
        <v>19</v>
      </c>
      <c r="D40" s="10" t="s">
        <v>19</v>
      </c>
      <c r="E40" s="10">
        <f ca="1">OFFSET(E40,1,2)</f>
        <v>12000</v>
      </c>
      <c r="F40" s="12">
        <f ca="1">E40</f>
        <v>12000</v>
      </c>
      <c r="G40" s="12">
        <f ca="1">F40*H40</f>
        <v>12000</v>
      </c>
      <c r="H40" s="10">
        <v>1</v>
      </c>
      <c r="I40" s="10" t="s">
        <v>12</v>
      </c>
      <c r="J40" s="10" t="s">
        <v>19</v>
      </c>
      <c r="K40" s="13" t="str">
        <f t="shared" si="18"/>
        <v>Блок1</v>
      </c>
      <c r="L40" s="13"/>
      <c r="M40" s="13"/>
      <c r="N40" s="13"/>
      <c r="O40" s="26">
        <f t="shared" si="19"/>
        <v>1</v>
      </c>
      <c r="P40" s="26">
        <f>O40*H40</f>
        <v>1</v>
      </c>
      <c r="Q40" s="27">
        <f t="shared" ca="1" si="21"/>
        <v>12000</v>
      </c>
    </row>
    <row r="41" spans="1:17" ht="35.25" customHeight="1" x14ac:dyDescent="0.25">
      <c r="A41" s="10" t="str">
        <f t="shared" si="17"/>
        <v>ЩУР.МОП1</v>
      </c>
      <c r="B41" s="10" t="s">
        <v>20</v>
      </c>
      <c r="C41" s="11" t="s">
        <v>20</v>
      </c>
      <c r="D41" s="10" t="s">
        <v>20</v>
      </c>
      <c r="E41" s="10">
        <v>2</v>
      </c>
      <c r="F41" s="12">
        <v>100</v>
      </c>
      <c r="G41" s="12">
        <f>F41*H41</f>
        <v>12000</v>
      </c>
      <c r="H41" s="10">
        <f>60*E41</f>
        <v>120</v>
      </c>
      <c r="I41" s="10" t="s">
        <v>12</v>
      </c>
      <c r="J41" s="10" t="s">
        <v>20</v>
      </c>
      <c r="K41" s="13" t="str">
        <f t="shared" si="18"/>
        <v>Блок1</v>
      </c>
      <c r="L41" s="13"/>
      <c r="M41" s="13"/>
      <c r="N41" s="13"/>
      <c r="O41" s="26">
        <f t="shared" si="19"/>
        <v>1</v>
      </c>
      <c r="P41" s="26">
        <f>O41*H41</f>
        <v>120</v>
      </c>
      <c r="Q41" s="27">
        <f t="shared" si="21"/>
        <v>12000</v>
      </c>
    </row>
    <row r="42" spans="1:17" ht="35.25" customHeight="1" x14ac:dyDescent="0.25">
      <c r="A42" s="15" t="str">
        <f t="shared" si="17"/>
        <v>ЩУР.МОП1</v>
      </c>
      <c r="B42" s="15"/>
      <c r="C42" s="15"/>
      <c r="D42" s="16"/>
      <c r="E42" s="28"/>
      <c r="F42" s="12">
        <f>E42*0.55</f>
        <v>0</v>
      </c>
      <c r="G42" s="28">
        <f ca="1">SUM(G34:G41)</f>
        <v>100220</v>
      </c>
      <c r="H42" s="15"/>
      <c r="I42" s="19"/>
      <c r="J42" s="15"/>
      <c r="K42" s="13" t="str">
        <f t="shared" si="18"/>
        <v>Блок1</v>
      </c>
      <c r="L42" s="13"/>
      <c r="M42" s="13"/>
      <c r="N42" s="13"/>
      <c r="O42" s="26">
        <f t="shared" si="19"/>
        <v>1</v>
      </c>
      <c r="P42" s="26">
        <f>O42*H42</f>
        <v>0</v>
      </c>
      <c r="Q42" s="27">
        <f t="shared" si="21"/>
        <v>0</v>
      </c>
    </row>
    <row r="43" spans="1:17" ht="35.25" customHeight="1" x14ac:dyDescent="0.25">
      <c r="A43" s="8" t="str">
        <f>D43</f>
        <v>РЩ1-1 (АВР-Б-40-2-1)</v>
      </c>
      <c r="B43" s="4"/>
      <c r="C43" s="5"/>
      <c r="D43" s="4" t="s">
        <v>132</v>
      </c>
      <c r="E43" s="6"/>
      <c r="F43" s="6"/>
      <c r="G43" s="7"/>
      <c r="H43" s="8">
        <v>1</v>
      </c>
      <c r="I43" s="9" t="s">
        <v>9</v>
      </c>
      <c r="J43" s="4" t="s">
        <v>10</v>
      </c>
      <c r="K43" s="8" t="s">
        <v>22</v>
      </c>
      <c r="L43" s="8"/>
      <c r="M43" s="8"/>
      <c r="N43" s="8"/>
      <c r="O43" s="26">
        <f>H43</f>
        <v>1</v>
      </c>
      <c r="P43" s="26">
        <f>O43*H43</f>
        <v>1</v>
      </c>
      <c r="Q43" s="27">
        <f t="shared" si="21"/>
        <v>0</v>
      </c>
    </row>
    <row r="44" spans="1:17" ht="35.25" customHeight="1" x14ac:dyDescent="0.25">
      <c r="A44" s="13" t="str">
        <f t="shared" ref="A44:A56" si="22">A43</f>
        <v>РЩ1-1 (АВР-Б-40-2-1)</v>
      </c>
      <c r="B44" s="10" t="s">
        <v>11</v>
      </c>
      <c r="C44" s="11" t="s">
        <v>168</v>
      </c>
      <c r="D44" s="10" t="s">
        <v>169</v>
      </c>
      <c r="E44" s="10">
        <v>130000</v>
      </c>
      <c r="F44" s="12">
        <f t="shared" ref="F44:F45" si="23">0.6*E44</f>
        <v>78000</v>
      </c>
      <c r="G44" s="12">
        <f>F44*H44</f>
        <v>78000</v>
      </c>
      <c r="H44" s="13">
        <v>1</v>
      </c>
      <c r="I44" s="14" t="s">
        <v>12</v>
      </c>
      <c r="J44" s="10" t="s">
        <v>13</v>
      </c>
      <c r="K44" s="13" t="str">
        <f t="shared" ref="K44:K56" si="24">K43</f>
        <v>Блок1</v>
      </c>
      <c r="L44" s="13"/>
      <c r="M44" s="13"/>
      <c r="N44" s="13"/>
      <c r="O44" s="26">
        <f t="shared" ref="O44:O56" si="25">O43</f>
        <v>1</v>
      </c>
      <c r="P44" s="26">
        <f>O44*H44</f>
        <v>1</v>
      </c>
      <c r="Q44" s="27">
        <f t="shared" si="21"/>
        <v>78000</v>
      </c>
    </row>
    <row r="45" spans="1:17" ht="35.25" customHeight="1" x14ac:dyDescent="0.25">
      <c r="A45" s="13" t="str">
        <f t="shared" si="22"/>
        <v>РЩ1-1 (АВР-Б-40-2-1)</v>
      </c>
      <c r="B45" s="10" t="s">
        <v>44</v>
      </c>
      <c r="C45" s="11" t="s">
        <v>162</v>
      </c>
      <c r="D45" s="10" t="s">
        <v>163</v>
      </c>
      <c r="E45" s="10">
        <v>114758</v>
      </c>
      <c r="F45" s="12">
        <f t="shared" si="23"/>
        <v>68854.8</v>
      </c>
      <c r="G45" s="12">
        <f>F45*H45</f>
        <v>68854.8</v>
      </c>
      <c r="H45" s="13">
        <v>1</v>
      </c>
      <c r="I45" s="14" t="s">
        <v>12</v>
      </c>
      <c r="J45" s="10" t="s">
        <v>14</v>
      </c>
      <c r="K45" s="13" t="str">
        <f t="shared" si="24"/>
        <v>Блок1</v>
      </c>
      <c r="L45" s="13"/>
      <c r="M45" s="13"/>
      <c r="N45" s="13"/>
      <c r="O45" s="26">
        <f t="shared" si="25"/>
        <v>1</v>
      </c>
      <c r="P45" s="26">
        <f>O45*H45</f>
        <v>1</v>
      </c>
      <c r="Q45" s="27">
        <f t="shared" si="21"/>
        <v>68854.8</v>
      </c>
    </row>
    <row r="46" spans="1:17" ht="35.25" customHeight="1" x14ac:dyDescent="0.25">
      <c r="A46" s="13" t="str">
        <f t="shared" si="22"/>
        <v>РЩ1-1 (АВР-Б-40-2-1)</v>
      </c>
      <c r="B46" s="10" t="s">
        <v>293</v>
      </c>
      <c r="C46" s="11" t="s">
        <v>213</v>
      </c>
      <c r="D46" s="10" t="s">
        <v>214</v>
      </c>
      <c r="E46" s="10">
        <v>7690</v>
      </c>
      <c r="F46" s="12">
        <f t="shared" ref="F46:F48" si="26">0.3*E46</f>
        <v>2307</v>
      </c>
      <c r="G46" s="12">
        <f>F46*H46</f>
        <v>4614</v>
      </c>
      <c r="H46" s="13">
        <v>2</v>
      </c>
      <c r="I46" s="14" t="s">
        <v>12</v>
      </c>
      <c r="J46" s="10" t="s">
        <v>207</v>
      </c>
      <c r="K46" s="13" t="str">
        <f t="shared" si="24"/>
        <v>Блок1</v>
      </c>
      <c r="L46" s="13"/>
      <c r="M46" s="13"/>
      <c r="N46" s="13"/>
      <c r="O46" s="26">
        <f t="shared" si="25"/>
        <v>1</v>
      </c>
      <c r="P46" s="26">
        <f>O46*H46</f>
        <v>2</v>
      </c>
      <c r="Q46" s="27">
        <f>P46*E46</f>
        <v>15380</v>
      </c>
    </row>
    <row r="47" spans="1:17" ht="35.25" customHeight="1" x14ac:dyDescent="0.25">
      <c r="A47" s="13" t="str">
        <f t="shared" si="22"/>
        <v>РЩ1-1 (АВР-Б-40-2-1)</v>
      </c>
      <c r="B47" s="10" t="s">
        <v>293</v>
      </c>
      <c r="C47" s="11" t="s">
        <v>231</v>
      </c>
      <c r="D47" s="10" t="s">
        <v>232</v>
      </c>
      <c r="E47" s="10">
        <v>7690</v>
      </c>
      <c r="F47" s="12">
        <f t="shared" si="26"/>
        <v>2307</v>
      </c>
      <c r="G47" s="12">
        <f>F47*H47</f>
        <v>4614</v>
      </c>
      <c r="H47" s="13">
        <v>2</v>
      </c>
      <c r="I47" s="14" t="s">
        <v>12</v>
      </c>
      <c r="J47" s="10" t="s">
        <v>207</v>
      </c>
      <c r="K47" s="13" t="str">
        <f t="shared" si="24"/>
        <v>Блок1</v>
      </c>
      <c r="L47" s="13"/>
      <c r="M47" s="13"/>
      <c r="N47" s="13"/>
      <c r="O47" s="26">
        <f t="shared" si="25"/>
        <v>1</v>
      </c>
      <c r="P47" s="26">
        <f>O47*H47</f>
        <v>2</v>
      </c>
      <c r="Q47" s="27">
        <f>P47*E47</f>
        <v>15380</v>
      </c>
    </row>
    <row r="48" spans="1:17" ht="35.25" customHeight="1" x14ac:dyDescent="0.25">
      <c r="A48" s="13" t="str">
        <f t="shared" si="22"/>
        <v>РЩ1-1 (АВР-Б-40-2-1)</v>
      </c>
      <c r="B48" s="10" t="s">
        <v>294</v>
      </c>
      <c r="C48" s="11" t="s">
        <v>203</v>
      </c>
      <c r="D48" s="10" t="s">
        <v>204</v>
      </c>
      <c r="E48" s="10">
        <v>13450</v>
      </c>
      <c r="F48" s="12">
        <f t="shared" si="26"/>
        <v>4035</v>
      </c>
      <c r="G48" s="12">
        <f>F48*H48</f>
        <v>8070</v>
      </c>
      <c r="H48" s="13">
        <v>2</v>
      </c>
      <c r="I48" s="14" t="s">
        <v>12</v>
      </c>
      <c r="J48" s="10" t="s">
        <v>207</v>
      </c>
      <c r="K48" s="13" t="str">
        <f t="shared" si="24"/>
        <v>Блок1</v>
      </c>
      <c r="L48" s="13"/>
      <c r="M48" s="13"/>
      <c r="N48" s="13"/>
      <c r="O48" s="26">
        <f t="shared" si="25"/>
        <v>1</v>
      </c>
      <c r="P48" s="26">
        <f>O48*H48</f>
        <v>2</v>
      </c>
      <c r="Q48" s="27">
        <f>P48*E48</f>
        <v>26900</v>
      </c>
    </row>
    <row r="49" spans="1:17" ht="35.25" customHeight="1" x14ac:dyDescent="0.25">
      <c r="A49" s="13" t="str">
        <f t="shared" si="22"/>
        <v>РЩ1-1 (АВР-Б-40-2-1)</v>
      </c>
      <c r="B49" s="10" t="s">
        <v>18</v>
      </c>
      <c r="C49" s="11" t="s">
        <v>233</v>
      </c>
      <c r="D49" s="10" t="s">
        <v>234</v>
      </c>
      <c r="E49" s="10">
        <v>5884</v>
      </c>
      <c r="F49" s="12">
        <f>0.6*E49</f>
        <v>3530.4</v>
      </c>
      <c r="G49" s="12">
        <f>F49*H49</f>
        <v>3530.4</v>
      </c>
      <c r="H49" s="13">
        <v>1</v>
      </c>
      <c r="I49" s="14" t="s">
        <v>12</v>
      </c>
      <c r="J49" s="10" t="s">
        <v>14</v>
      </c>
      <c r="K49" s="13" t="str">
        <f t="shared" si="24"/>
        <v>Блок1</v>
      </c>
      <c r="L49" s="13"/>
      <c r="M49" s="13"/>
      <c r="N49" s="13"/>
      <c r="O49" s="26">
        <f t="shared" si="25"/>
        <v>1</v>
      </c>
      <c r="P49" s="26">
        <f>O49*H49</f>
        <v>1</v>
      </c>
      <c r="Q49" s="27">
        <f>P49*F49</f>
        <v>3530.4</v>
      </c>
    </row>
    <row r="50" spans="1:17" ht="35.25" customHeight="1" x14ac:dyDescent="0.25">
      <c r="A50" s="13" t="str">
        <f t="shared" si="22"/>
        <v>РЩ1-1 (АВР-Б-40-2-1)</v>
      </c>
      <c r="B50" s="10" t="s">
        <v>293</v>
      </c>
      <c r="C50" s="11" t="s">
        <v>205</v>
      </c>
      <c r="D50" s="10" t="s">
        <v>206</v>
      </c>
      <c r="E50" s="10">
        <v>7090</v>
      </c>
      <c r="F50" s="12">
        <f>0.3*E50</f>
        <v>2127</v>
      </c>
      <c r="G50" s="12">
        <f>F50*H50</f>
        <v>2127</v>
      </c>
      <c r="H50" s="13">
        <v>1</v>
      </c>
      <c r="I50" s="14" t="s">
        <v>12</v>
      </c>
      <c r="J50" s="10" t="s">
        <v>207</v>
      </c>
      <c r="K50" s="13" t="str">
        <f t="shared" si="24"/>
        <v>Блок1</v>
      </c>
      <c r="L50" s="13"/>
      <c r="M50" s="13"/>
      <c r="N50" s="13"/>
      <c r="O50" s="26">
        <f t="shared" si="25"/>
        <v>1</v>
      </c>
      <c r="P50" s="26">
        <f>O50*H50</f>
        <v>1</v>
      </c>
      <c r="Q50" s="27">
        <f>P50*E50</f>
        <v>7090</v>
      </c>
    </row>
    <row r="51" spans="1:17" ht="35.25" customHeight="1" x14ac:dyDescent="0.25">
      <c r="A51" s="13" t="str">
        <f t="shared" si="22"/>
        <v>РЩ1-1 (АВР-Б-40-2-1)</v>
      </c>
      <c r="B51" s="10" t="s">
        <v>293</v>
      </c>
      <c r="C51" s="11" t="s">
        <v>330</v>
      </c>
      <c r="D51" s="10" t="s">
        <v>331</v>
      </c>
      <c r="E51" s="10">
        <v>895</v>
      </c>
      <c r="F51" s="12">
        <f>0.3*E51</f>
        <v>268.5</v>
      </c>
      <c r="G51" s="12">
        <f>F51*H51</f>
        <v>268.5</v>
      </c>
      <c r="H51" s="13">
        <v>1</v>
      </c>
      <c r="I51" s="14" t="s">
        <v>12</v>
      </c>
      <c r="J51" s="10" t="s">
        <v>208</v>
      </c>
      <c r="K51" s="13" t="str">
        <f t="shared" si="24"/>
        <v>Блок1</v>
      </c>
      <c r="L51" s="13"/>
      <c r="M51" s="13"/>
      <c r="N51" s="13"/>
      <c r="O51" s="26">
        <f t="shared" si="25"/>
        <v>1</v>
      </c>
      <c r="P51" s="26">
        <f>O51*H51</f>
        <v>1</v>
      </c>
      <c r="Q51" s="27">
        <f>P51*E51</f>
        <v>895</v>
      </c>
    </row>
    <row r="52" spans="1:17" ht="35.25" customHeight="1" x14ac:dyDescent="0.25">
      <c r="A52" s="13" t="str">
        <f>A50</f>
        <v>РЩ1-1 (АВР-Б-40-2-1)</v>
      </c>
      <c r="B52" s="10" t="s">
        <v>15</v>
      </c>
      <c r="C52" s="11" t="s">
        <v>299</v>
      </c>
      <c r="D52" s="10" t="s">
        <v>300</v>
      </c>
      <c r="E52" s="10">
        <v>32400</v>
      </c>
      <c r="F52" s="12">
        <f>E52</f>
        <v>32400</v>
      </c>
      <c r="G52" s="12">
        <f>F52*H52</f>
        <v>32400</v>
      </c>
      <c r="H52" s="13">
        <v>1</v>
      </c>
      <c r="I52" s="14" t="s">
        <v>12</v>
      </c>
      <c r="J52" s="10" t="s">
        <v>16</v>
      </c>
      <c r="K52" s="13" t="str">
        <f>K50</f>
        <v>Блок1</v>
      </c>
      <c r="L52" s="13"/>
      <c r="M52" s="13"/>
      <c r="N52" s="13"/>
      <c r="O52" s="26">
        <f>O50</f>
        <v>1</v>
      </c>
      <c r="P52" s="26">
        <f>O52*H52</f>
        <v>1</v>
      </c>
      <c r="Q52" s="27">
        <f t="shared" ref="Q52:Q62" si="27">P52*F52</f>
        <v>32400</v>
      </c>
    </row>
    <row r="53" spans="1:17" ht="35.25" customHeight="1" x14ac:dyDescent="0.25">
      <c r="A53" s="13" t="str">
        <f t="shared" si="22"/>
        <v>РЩ1-1 (АВР-Б-40-2-1)</v>
      </c>
      <c r="B53" s="10" t="s">
        <v>30</v>
      </c>
      <c r="C53" s="11"/>
      <c r="D53" s="10" t="s">
        <v>31</v>
      </c>
      <c r="E53" s="10">
        <v>3850</v>
      </c>
      <c r="F53" s="12">
        <f>E53</f>
        <v>3850</v>
      </c>
      <c r="G53" s="12">
        <f>F53*H53</f>
        <v>23100</v>
      </c>
      <c r="H53" s="13">
        <v>6</v>
      </c>
      <c r="I53" s="14" t="s">
        <v>12</v>
      </c>
      <c r="J53" s="10" t="s">
        <v>25</v>
      </c>
      <c r="K53" s="13" t="str">
        <f t="shared" si="24"/>
        <v>Блок1</v>
      </c>
      <c r="L53" s="13"/>
      <c r="M53" s="13"/>
      <c r="N53" s="13"/>
      <c r="O53" s="26">
        <f t="shared" si="25"/>
        <v>1</v>
      </c>
      <c r="P53" s="26">
        <f>O53*H53</f>
        <v>6</v>
      </c>
      <c r="Q53" s="27">
        <f t="shared" si="27"/>
        <v>23100</v>
      </c>
    </row>
    <row r="54" spans="1:17" ht="35.25" customHeight="1" x14ac:dyDescent="0.25">
      <c r="A54" s="10" t="str">
        <f t="shared" si="22"/>
        <v>РЩ1-1 (АВР-Б-40-2-1)</v>
      </c>
      <c r="B54" s="10" t="s">
        <v>19</v>
      </c>
      <c r="C54" s="11" t="s">
        <v>19</v>
      </c>
      <c r="D54" s="10" t="s">
        <v>19</v>
      </c>
      <c r="E54" s="10">
        <f ca="1">OFFSET(E54,1,2)</f>
        <v>39000</v>
      </c>
      <c r="F54" s="12">
        <f ca="1">E54</f>
        <v>39000</v>
      </c>
      <c r="G54" s="12">
        <f ca="1">F54*H54</f>
        <v>39000</v>
      </c>
      <c r="H54" s="10">
        <v>1</v>
      </c>
      <c r="I54" s="10" t="s">
        <v>12</v>
      </c>
      <c r="J54" s="10" t="s">
        <v>19</v>
      </c>
      <c r="K54" s="13" t="str">
        <f t="shared" si="24"/>
        <v>Блок1</v>
      </c>
      <c r="L54" s="13"/>
      <c r="M54" s="13"/>
      <c r="N54" s="13"/>
      <c r="O54" s="26">
        <f t="shared" si="25"/>
        <v>1</v>
      </c>
      <c r="P54" s="26">
        <f>O54*H54</f>
        <v>1</v>
      </c>
      <c r="Q54" s="27">
        <f t="shared" ca="1" si="27"/>
        <v>39000</v>
      </c>
    </row>
    <row r="55" spans="1:17" ht="35.25" customHeight="1" x14ac:dyDescent="0.25">
      <c r="A55" s="10" t="str">
        <f t="shared" si="22"/>
        <v>РЩ1-1 (АВР-Б-40-2-1)</v>
      </c>
      <c r="B55" s="10" t="s">
        <v>20</v>
      </c>
      <c r="C55" s="11" t="s">
        <v>20</v>
      </c>
      <c r="D55" s="10" t="s">
        <v>20</v>
      </c>
      <c r="E55" s="10">
        <v>6.5</v>
      </c>
      <c r="F55" s="12">
        <v>100</v>
      </c>
      <c r="G55" s="12">
        <f>F55*H55</f>
        <v>39000</v>
      </c>
      <c r="H55" s="10">
        <f>60*E55</f>
        <v>390</v>
      </c>
      <c r="I55" s="10" t="s">
        <v>12</v>
      </c>
      <c r="J55" s="10" t="s">
        <v>20</v>
      </c>
      <c r="K55" s="13" t="str">
        <f t="shared" si="24"/>
        <v>Блок1</v>
      </c>
      <c r="L55" s="13"/>
      <c r="M55" s="13"/>
      <c r="N55" s="13"/>
      <c r="O55" s="26">
        <f t="shared" si="25"/>
        <v>1</v>
      </c>
      <c r="P55" s="26">
        <f>O55*H55</f>
        <v>390</v>
      </c>
      <c r="Q55" s="27">
        <f t="shared" si="27"/>
        <v>39000</v>
      </c>
    </row>
    <row r="56" spans="1:17" ht="35.25" customHeight="1" x14ac:dyDescent="0.25">
      <c r="A56" s="15" t="str">
        <f t="shared" si="22"/>
        <v>РЩ1-1 (АВР-Б-40-2-1)</v>
      </c>
      <c r="B56" s="15"/>
      <c r="C56" s="15"/>
      <c r="D56" s="16"/>
      <c r="E56" s="28"/>
      <c r="F56" s="12">
        <f>E56*0.55</f>
        <v>0</v>
      </c>
      <c r="G56" s="28">
        <f ca="1">SUM(G44:G55)</f>
        <v>303578.69999999995</v>
      </c>
      <c r="H56" s="15"/>
      <c r="I56" s="19"/>
      <c r="J56" s="15"/>
      <c r="K56" s="13" t="str">
        <f t="shared" si="24"/>
        <v>Блок1</v>
      </c>
      <c r="L56" s="13"/>
      <c r="M56" s="13"/>
      <c r="N56" s="13"/>
      <c r="O56" s="26">
        <f t="shared" si="25"/>
        <v>1</v>
      </c>
      <c r="P56" s="26">
        <f>O56*H56</f>
        <v>0</v>
      </c>
      <c r="Q56" s="27">
        <f t="shared" si="27"/>
        <v>0</v>
      </c>
    </row>
    <row r="57" spans="1:17" ht="35.25" customHeight="1" x14ac:dyDescent="0.25">
      <c r="A57" s="8" t="str">
        <f>D57</f>
        <v>ВРУ1-2</v>
      </c>
      <c r="B57" s="4"/>
      <c r="C57" s="5"/>
      <c r="D57" s="4" t="s">
        <v>52</v>
      </c>
      <c r="E57" s="6"/>
      <c r="F57" s="6"/>
      <c r="G57" s="7"/>
      <c r="H57" s="8">
        <v>1</v>
      </c>
      <c r="I57" s="9" t="s">
        <v>9</v>
      </c>
      <c r="J57" s="4" t="s">
        <v>10</v>
      </c>
      <c r="K57" s="8" t="s">
        <v>53</v>
      </c>
      <c r="L57" s="8"/>
      <c r="M57" s="8"/>
      <c r="N57" s="8"/>
      <c r="O57" s="26">
        <f>H57</f>
        <v>1</v>
      </c>
      <c r="P57" s="26">
        <f>O57*H57</f>
        <v>1</v>
      </c>
      <c r="Q57" s="27">
        <f t="shared" si="27"/>
        <v>0</v>
      </c>
    </row>
    <row r="58" spans="1:17" ht="35.25" customHeight="1" x14ac:dyDescent="0.25">
      <c r="A58" s="13" t="str">
        <f t="shared" ref="A58:A68" si="28">A57</f>
        <v>ВРУ1-2</v>
      </c>
      <c r="B58" s="10" t="s">
        <v>11</v>
      </c>
      <c r="C58" s="11" t="s">
        <v>172</v>
      </c>
      <c r="D58" s="10" t="s">
        <v>173</v>
      </c>
      <c r="E58" s="10">
        <v>156500</v>
      </c>
      <c r="F58" s="12">
        <f>0.6*E58</f>
        <v>93900</v>
      </c>
      <c r="G58" s="12">
        <f>F58*H58</f>
        <v>93900</v>
      </c>
      <c r="H58" s="13">
        <v>1</v>
      </c>
      <c r="I58" s="14" t="s">
        <v>12</v>
      </c>
      <c r="J58" s="10" t="s">
        <v>13</v>
      </c>
      <c r="K58" s="13" t="str">
        <f t="shared" ref="K58:K68" si="29">K57</f>
        <v>Блок2</v>
      </c>
      <c r="L58" s="13"/>
      <c r="M58" s="13"/>
      <c r="N58" s="13"/>
      <c r="O58" s="26">
        <f t="shared" ref="O58:O68" si="30">O57</f>
        <v>1</v>
      </c>
      <c r="P58" s="26">
        <f>O58*H58</f>
        <v>1</v>
      </c>
      <c r="Q58" s="27">
        <f t="shared" si="27"/>
        <v>93900</v>
      </c>
    </row>
    <row r="59" spans="1:17" ht="35.25" customHeight="1" x14ac:dyDescent="0.25">
      <c r="A59" s="13" t="str">
        <f t="shared" si="28"/>
        <v>ВРУ1-2</v>
      </c>
      <c r="B59" s="10" t="s">
        <v>23</v>
      </c>
      <c r="C59" s="11" t="s">
        <v>307</v>
      </c>
      <c r="D59" s="10" t="s">
        <v>308</v>
      </c>
      <c r="E59" s="10">
        <v>5523</v>
      </c>
      <c r="F59" s="12">
        <f t="shared" ref="F59:F60" si="31">E59</f>
        <v>5523</v>
      </c>
      <c r="G59" s="12">
        <f>F59*H59</f>
        <v>33138</v>
      </c>
      <c r="H59" s="13">
        <v>6</v>
      </c>
      <c r="I59" s="14" t="s">
        <v>12</v>
      </c>
      <c r="J59" s="10" t="s">
        <v>25</v>
      </c>
      <c r="K59" s="13" t="str">
        <f t="shared" si="29"/>
        <v>Блок2</v>
      </c>
      <c r="L59" s="13"/>
      <c r="M59" s="13"/>
      <c r="N59" s="13"/>
      <c r="O59" s="26">
        <f t="shared" si="30"/>
        <v>1</v>
      </c>
      <c r="P59" s="26">
        <f>O59*H59</f>
        <v>6</v>
      </c>
      <c r="Q59" s="27">
        <f t="shared" si="27"/>
        <v>33138</v>
      </c>
    </row>
    <row r="60" spans="1:17" ht="35.25" customHeight="1" x14ac:dyDescent="0.25">
      <c r="A60" s="13" t="str">
        <f t="shared" si="28"/>
        <v>ВРУ1-2</v>
      </c>
      <c r="B60" s="10" t="s">
        <v>26</v>
      </c>
      <c r="C60" s="11" t="s">
        <v>177</v>
      </c>
      <c r="D60" s="10" t="s">
        <v>178</v>
      </c>
      <c r="E60" s="10">
        <v>25500</v>
      </c>
      <c r="F60" s="12">
        <f t="shared" si="31"/>
        <v>25500</v>
      </c>
      <c r="G60" s="12">
        <f>F60*H60</f>
        <v>51000</v>
      </c>
      <c r="H60" s="13">
        <v>2</v>
      </c>
      <c r="I60" s="14" t="s">
        <v>12</v>
      </c>
      <c r="J60" s="10" t="s">
        <v>25</v>
      </c>
      <c r="K60" s="13" t="str">
        <f t="shared" si="29"/>
        <v>Блок2</v>
      </c>
      <c r="L60" s="13"/>
      <c r="M60" s="13"/>
      <c r="N60" s="13"/>
      <c r="O60" s="26">
        <f t="shared" si="30"/>
        <v>1</v>
      </c>
      <c r="P60" s="26">
        <f>O60*H60</f>
        <v>2</v>
      </c>
      <c r="Q60" s="27">
        <f t="shared" si="27"/>
        <v>51000</v>
      </c>
    </row>
    <row r="61" spans="1:17" ht="35.25" customHeight="1" x14ac:dyDescent="0.25">
      <c r="A61" s="13" t="str">
        <f t="shared" si="28"/>
        <v>ВРУ1-2</v>
      </c>
      <c r="B61" s="10" t="s">
        <v>127</v>
      </c>
      <c r="C61" s="11" t="s">
        <v>130</v>
      </c>
      <c r="D61" s="10" t="s">
        <v>131</v>
      </c>
      <c r="E61" s="10">
        <v>4750</v>
      </c>
      <c r="F61" s="12">
        <f t="shared" ref="F61:F62" si="32">0.6*E61</f>
        <v>2850</v>
      </c>
      <c r="G61" s="12">
        <f>F61*H61</f>
        <v>17100</v>
      </c>
      <c r="H61" s="13">
        <v>6</v>
      </c>
      <c r="I61" s="14" t="s">
        <v>12</v>
      </c>
      <c r="J61" s="10" t="s">
        <v>14</v>
      </c>
      <c r="K61" s="13" t="str">
        <f>K59</f>
        <v>Блок2</v>
      </c>
      <c r="L61" s="13"/>
      <c r="M61" s="13"/>
      <c r="N61" s="13"/>
      <c r="O61" s="26">
        <f t="shared" si="30"/>
        <v>1</v>
      </c>
      <c r="P61" s="26">
        <f>O61*H61</f>
        <v>6</v>
      </c>
      <c r="Q61" s="27">
        <f t="shared" si="27"/>
        <v>17100</v>
      </c>
    </row>
    <row r="62" spans="1:17" ht="35.25" customHeight="1" x14ac:dyDescent="0.25">
      <c r="A62" s="13" t="str">
        <f t="shared" si="28"/>
        <v>ВРУ1-2</v>
      </c>
      <c r="B62" s="10" t="s">
        <v>126</v>
      </c>
      <c r="C62" s="11" t="s">
        <v>128</v>
      </c>
      <c r="D62" s="10" t="s">
        <v>129</v>
      </c>
      <c r="E62" s="10">
        <v>3317</v>
      </c>
      <c r="F62" s="12">
        <f t="shared" si="32"/>
        <v>1990.1999999999998</v>
      </c>
      <c r="G62" s="12">
        <f>F62*H62</f>
        <v>11941.199999999999</v>
      </c>
      <c r="H62" s="13">
        <v>6</v>
      </c>
      <c r="I62" s="14" t="s">
        <v>12</v>
      </c>
      <c r="J62" s="10" t="s">
        <v>14</v>
      </c>
      <c r="K62" s="13" t="str">
        <f>K60</f>
        <v>Блок2</v>
      </c>
      <c r="L62" s="13"/>
      <c r="M62" s="13"/>
      <c r="N62" s="13"/>
      <c r="O62" s="26">
        <f t="shared" si="30"/>
        <v>1</v>
      </c>
      <c r="P62" s="26">
        <f>O62*H62</f>
        <v>6</v>
      </c>
      <c r="Q62" s="27">
        <f t="shared" si="27"/>
        <v>11941.199999999999</v>
      </c>
    </row>
    <row r="63" spans="1:17" ht="35.25" customHeight="1" x14ac:dyDescent="0.25">
      <c r="A63" s="13" t="str">
        <f t="shared" si="28"/>
        <v>ВРУ1-2</v>
      </c>
      <c r="B63" s="10" t="s">
        <v>293</v>
      </c>
      <c r="C63" s="11" t="s">
        <v>189</v>
      </c>
      <c r="D63" s="10" t="s">
        <v>190</v>
      </c>
      <c r="E63" s="10">
        <v>1390</v>
      </c>
      <c r="F63" s="12">
        <f>0.3*E63</f>
        <v>417</v>
      </c>
      <c r="G63" s="12">
        <f>F63*H63</f>
        <v>834</v>
      </c>
      <c r="H63" s="13">
        <v>2</v>
      </c>
      <c r="I63" s="14" t="s">
        <v>12</v>
      </c>
      <c r="J63" s="10" t="s">
        <v>207</v>
      </c>
      <c r="K63" s="13" t="str">
        <f t="shared" ref="K63:K64" si="33">K61</f>
        <v>Блок2</v>
      </c>
      <c r="L63" s="13"/>
      <c r="M63" s="13"/>
      <c r="N63" s="13"/>
      <c r="O63" s="26">
        <f t="shared" si="30"/>
        <v>1</v>
      </c>
      <c r="P63" s="26">
        <f>O63*H63</f>
        <v>2</v>
      </c>
      <c r="Q63" s="27">
        <f>P63*E63</f>
        <v>2780</v>
      </c>
    </row>
    <row r="64" spans="1:17" ht="35.25" customHeight="1" x14ac:dyDescent="0.25">
      <c r="A64" s="13" t="str">
        <f t="shared" si="28"/>
        <v>ВРУ1-2</v>
      </c>
      <c r="B64" s="10" t="s">
        <v>15</v>
      </c>
      <c r="C64" s="11" t="s">
        <v>297</v>
      </c>
      <c r="D64" s="24" t="s">
        <v>298</v>
      </c>
      <c r="E64" s="10">
        <v>89000</v>
      </c>
      <c r="F64" s="12">
        <f>E64</f>
        <v>89000</v>
      </c>
      <c r="G64" s="12">
        <f>F64*H64</f>
        <v>178000</v>
      </c>
      <c r="H64" s="13">
        <v>2</v>
      </c>
      <c r="I64" s="14" t="s">
        <v>12</v>
      </c>
      <c r="J64" s="10" t="s">
        <v>16</v>
      </c>
      <c r="K64" s="13" t="str">
        <f t="shared" si="33"/>
        <v>Блок2</v>
      </c>
      <c r="L64" s="13"/>
      <c r="M64" s="13"/>
      <c r="N64" s="13"/>
      <c r="O64" s="26">
        <f t="shared" si="30"/>
        <v>1</v>
      </c>
      <c r="P64" s="26">
        <f>O64*H64</f>
        <v>2</v>
      </c>
      <c r="Q64" s="27">
        <f t="shared" ref="Q64:Q70" si="34">P64*F64</f>
        <v>178000</v>
      </c>
    </row>
    <row r="65" spans="1:17" ht="35.25" customHeight="1" x14ac:dyDescent="0.25">
      <c r="A65" s="13" t="str">
        <f t="shared" si="28"/>
        <v>ВРУ1-2</v>
      </c>
      <c r="B65" s="10" t="s">
        <v>30</v>
      </c>
      <c r="C65" s="11"/>
      <c r="D65" s="10" t="s">
        <v>31</v>
      </c>
      <c r="E65" s="10">
        <v>3850</v>
      </c>
      <c r="F65" s="12">
        <f>E65</f>
        <v>3850</v>
      </c>
      <c r="G65" s="12">
        <f>F65*H65</f>
        <v>23100</v>
      </c>
      <c r="H65" s="13">
        <v>6</v>
      </c>
      <c r="I65" s="14" t="s">
        <v>12</v>
      </c>
      <c r="J65" s="10" t="s">
        <v>25</v>
      </c>
      <c r="K65" s="13" t="str">
        <f t="shared" si="29"/>
        <v>Блок2</v>
      </c>
      <c r="L65" s="13"/>
      <c r="M65" s="13"/>
      <c r="N65" s="13"/>
      <c r="O65" s="26">
        <f t="shared" si="30"/>
        <v>1</v>
      </c>
      <c r="P65" s="26">
        <f>O65*H65</f>
        <v>6</v>
      </c>
      <c r="Q65" s="27">
        <f t="shared" si="34"/>
        <v>23100</v>
      </c>
    </row>
    <row r="66" spans="1:17" ht="35.25" customHeight="1" x14ac:dyDescent="0.25">
      <c r="A66" s="10" t="str">
        <f t="shared" si="28"/>
        <v>ВРУ1-2</v>
      </c>
      <c r="B66" s="10" t="s">
        <v>19</v>
      </c>
      <c r="C66" s="11" t="s">
        <v>19</v>
      </c>
      <c r="D66" s="10" t="s">
        <v>19</v>
      </c>
      <c r="E66" s="10">
        <f ca="1">OFFSET(E66,1,2)</f>
        <v>48000</v>
      </c>
      <c r="F66" s="12">
        <f ca="1">E66</f>
        <v>48000</v>
      </c>
      <c r="G66" s="12">
        <f ca="1">F66*H66</f>
        <v>48000</v>
      </c>
      <c r="H66" s="10">
        <v>1</v>
      </c>
      <c r="I66" s="10" t="s">
        <v>12</v>
      </c>
      <c r="J66" s="10" t="s">
        <v>19</v>
      </c>
      <c r="K66" s="13" t="str">
        <f t="shared" si="29"/>
        <v>Блок2</v>
      </c>
      <c r="L66" s="13"/>
      <c r="M66" s="13"/>
      <c r="N66" s="13"/>
      <c r="O66" s="26">
        <f t="shared" si="30"/>
        <v>1</v>
      </c>
      <c r="P66" s="26">
        <f>O66*H66</f>
        <v>1</v>
      </c>
      <c r="Q66" s="27">
        <f t="shared" ca="1" si="34"/>
        <v>48000</v>
      </c>
    </row>
    <row r="67" spans="1:17" ht="35.25" customHeight="1" x14ac:dyDescent="0.25">
      <c r="A67" s="10" t="str">
        <f t="shared" si="28"/>
        <v>ВРУ1-2</v>
      </c>
      <c r="B67" s="10" t="s">
        <v>20</v>
      </c>
      <c r="C67" s="11" t="s">
        <v>20</v>
      </c>
      <c r="D67" s="10" t="s">
        <v>20</v>
      </c>
      <c r="E67" s="10">
        <v>8</v>
      </c>
      <c r="F67" s="12">
        <v>100</v>
      </c>
      <c r="G67" s="12">
        <f>F67*H67</f>
        <v>48000</v>
      </c>
      <c r="H67" s="10">
        <f>60*E67</f>
        <v>480</v>
      </c>
      <c r="I67" s="10" t="s">
        <v>12</v>
      </c>
      <c r="J67" s="10" t="s">
        <v>20</v>
      </c>
      <c r="K67" s="13" t="str">
        <f t="shared" si="29"/>
        <v>Блок2</v>
      </c>
      <c r="L67" s="13"/>
      <c r="M67" s="13"/>
      <c r="N67" s="13"/>
      <c r="O67" s="26">
        <f t="shared" si="30"/>
        <v>1</v>
      </c>
      <c r="P67" s="26">
        <f>O67*H67</f>
        <v>480</v>
      </c>
      <c r="Q67" s="27">
        <f t="shared" si="34"/>
        <v>48000</v>
      </c>
    </row>
    <row r="68" spans="1:17" ht="35.25" customHeight="1" x14ac:dyDescent="0.25">
      <c r="A68" s="15" t="str">
        <f t="shared" si="28"/>
        <v>ВРУ1-2</v>
      </c>
      <c r="B68" s="15"/>
      <c r="C68" s="15"/>
      <c r="D68" s="16"/>
      <c r="E68" s="28"/>
      <c r="F68" s="12">
        <f>E68*0.55</f>
        <v>0</v>
      </c>
      <c r="G68" s="28">
        <f ca="1">SUM(G58:G67)</f>
        <v>505013.2</v>
      </c>
      <c r="H68" s="15"/>
      <c r="I68" s="19"/>
      <c r="J68" s="15"/>
      <c r="K68" s="13" t="str">
        <f t="shared" si="29"/>
        <v>Блок2</v>
      </c>
      <c r="L68" s="13"/>
      <c r="M68" s="13"/>
      <c r="N68" s="13"/>
      <c r="O68" s="26">
        <f t="shared" si="30"/>
        <v>1</v>
      </c>
      <c r="P68" s="26">
        <f>O68*H68</f>
        <v>0</v>
      </c>
      <c r="Q68" s="27">
        <f t="shared" si="34"/>
        <v>0</v>
      </c>
    </row>
    <row r="69" spans="1:17" ht="35.25" customHeight="1" x14ac:dyDescent="0.25">
      <c r="A69" s="8" t="str">
        <f>D69</f>
        <v>РУ-1-1(Блок2)</v>
      </c>
      <c r="B69" s="4"/>
      <c r="C69" s="5"/>
      <c r="D69" s="4" t="s">
        <v>338</v>
      </c>
      <c r="E69" s="6"/>
      <c r="F69" s="6"/>
      <c r="G69" s="7"/>
      <c r="H69" s="8">
        <v>1</v>
      </c>
      <c r="I69" s="9" t="s">
        <v>9</v>
      </c>
      <c r="J69" s="4" t="s">
        <v>10</v>
      </c>
      <c r="K69" s="8" t="s">
        <v>53</v>
      </c>
      <c r="L69" s="8"/>
      <c r="M69" s="8"/>
      <c r="N69" s="8"/>
      <c r="O69" s="26">
        <f>H69</f>
        <v>1</v>
      </c>
      <c r="P69" s="26">
        <f>O69*H69</f>
        <v>1</v>
      </c>
      <c r="Q69" s="27">
        <f t="shared" si="34"/>
        <v>0</v>
      </c>
    </row>
    <row r="70" spans="1:17" ht="35.25" customHeight="1" x14ac:dyDescent="0.25">
      <c r="A70" s="13" t="str">
        <f>A69</f>
        <v>РУ-1-1(Блок2)</v>
      </c>
      <c r="B70" s="10" t="s">
        <v>11</v>
      </c>
      <c r="C70" s="11" t="s">
        <v>170</v>
      </c>
      <c r="D70" s="10" t="s">
        <v>171</v>
      </c>
      <c r="E70" s="10">
        <v>145000</v>
      </c>
      <c r="F70" s="12">
        <f>0.6*E70</f>
        <v>87000</v>
      </c>
      <c r="G70" s="12">
        <f>F70*H70</f>
        <v>87000</v>
      </c>
      <c r="H70" s="13">
        <v>1</v>
      </c>
      <c r="I70" s="14" t="s">
        <v>12</v>
      </c>
      <c r="J70" s="10" t="s">
        <v>13</v>
      </c>
      <c r="K70" s="13" t="str">
        <f t="shared" ref="K70:K77" si="35">K69</f>
        <v>Блок2</v>
      </c>
      <c r="L70" s="13"/>
      <c r="M70" s="13"/>
      <c r="N70" s="13"/>
      <c r="O70" s="26">
        <f t="shared" ref="O70:O77" si="36">O69</f>
        <v>1</v>
      </c>
      <c r="P70" s="26">
        <f>O70*H70</f>
        <v>1</v>
      </c>
      <c r="Q70" s="27">
        <f t="shared" si="34"/>
        <v>87000</v>
      </c>
    </row>
    <row r="71" spans="1:17" ht="35.25" customHeight="1" x14ac:dyDescent="0.25">
      <c r="A71" s="13" t="str">
        <f t="shared" ref="A71:A77" si="37">A70</f>
        <v>РУ-1-1(Блок2)</v>
      </c>
      <c r="B71" s="10" t="s">
        <v>294</v>
      </c>
      <c r="C71" s="11" t="s">
        <v>225</v>
      </c>
      <c r="D71" s="10" t="s">
        <v>226</v>
      </c>
      <c r="E71" s="10">
        <v>17300</v>
      </c>
      <c r="F71" s="12">
        <f t="shared" ref="F71:F74" si="38">0.3*E71</f>
        <v>5190</v>
      </c>
      <c r="G71" s="12">
        <f>F71*H71</f>
        <v>10380</v>
      </c>
      <c r="H71" s="13">
        <v>2</v>
      </c>
      <c r="I71" s="14" t="s">
        <v>12</v>
      </c>
      <c r="J71" s="10" t="s">
        <v>207</v>
      </c>
      <c r="K71" s="13" t="str">
        <f t="shared" si="35"/>
        <v>Блок2</v>
      </c>
      <c r="L71" s="13"/>
      <c r="M71" s="13"/>
      <c r="N71" s="13"/>
      <c r="O71" s="26">
        <f t="shared" si="36"/>
        <v>1</v>
      </c>
      <c r="P71" s="26">
        <f>O71*H71</f>
        <v>2</v>
      </c>
      <c r="Q71" s="27">
        <f>P71*E71</f>
        <v>34600</v>
      </c>
    </row>
    <row r="72" spans="1:17" ht="35.25" customHeight="1" x14ac:dyDescent="0.25">
      <c r="A72" s="13" t="str">
        <f t="shared" si="37"/>
        <v>РУ-1-1(Блок2)</v>
      </c>
      <c r="B72" s="10" t="s">
        <v>294</v>
      </c>
      <c r="C72" s="11" t="s">
        <v>227</v>
      </c>
      <c r="D72" s="10" t="s">
        <v>228</v>
      </c>
      <c r="E72" s="10">
        <v>29990</v>
      </c>
      <c r="F72" s="12">
        <f t="shared" si="38"/>
        <v>8997</v>
      </c>
      <c r="G72" s="12">
        <f>F72*H72</f>
        <v>8997</v>
      </c>
      <c r="H72" s="13">
        <v>1</v>
      </c>
      <c r="I72" s="14" t="s">
        <v>12</v>
      </c>
      <c r="J72" s="10" t="s">
        <v>207</v>
      </c>
      <c r="K72" s="13" t="str">
        <f t="shared" si="35"/>
        <v>Блок2</v>
      </c>
      <c r="L72" s="13"/>
      <c r="M72" s="13"/>
      <c r="N72" s="13"/>
      <c r="O72" s="26">
        <f t="shared" si="36"/>
        <v>1</v>
      </c>
      <c r="P72" s="26">
        <f>O72*H72</f>
        <v>1</v>
      </c>
      <c r="Q72" s="27">
        <f>P72*E72</f>
        <v>29990</v>
      </c>
    </row>
    <row r="73" spans="1:17" ht="35.25" customHeight="1" x14ac:dyDescent="0.25">
      <c r="A73" s="13" t="str">
        <f>A71</f>
        <v>РУ-1-1(Блок2)</v>
      </c>
      <c r="B73" s="10" t="s">
        <v>294</v>
      </c>
      <c r="C73" s="11" t="s">
        <v>211</v>
      </c>
      <c r="D73" s="10" t="s">
        <v>212</v>
      </c>
      <c r="E73" s="10">
        <v>17140</v>
      </c>
      <c r="F73" s="12">
        <f t="shared" ref="F73" si="39">0.3*E73</f>
        <v>5142</v>
      </c>
      <c r="G73" s="12">
        <f>F73*H73</f>
        <v>5142</v>
      </c>
      <c r="H73" s="13">
        <v>1</v>
      </c>
      <c r="I73" s="14" t="s">
        <v>12</v>
      </c>
      <c r="J73" s="10" t="s">
        <v>207</v>
      </c>
      <c r="K73" s="13" t="str">
        <f>K71</f>
        <v>Блок2</v>
      </c>
      <c r="L73" s="13"/>
      <c r="M73" s="13"/>
      <c r="N73" s="13"/>
      <c r="O73" s="26">
        <f>O71</f>
        <v>1</v>
      </c>
      <c r="P73" s="26">
        <f>O73*H73</f>
        <v>1</v>
      </c>
      <c r="Q73" s="27">
        <f>P73*E73</f>
        <v>17140</v>
      </c>
    </row>
    <row r="74" spans="1:17" ht="35.25" customHeight="1" x14ac:dyDescent="0.25">
      <c r="A74" s="13" t="str">
        <f>A72</f>
        <v>РУ-1-1(Блок2)</v>
      </c>
      <c r="B74" s="10" t="s">
        <v>293</v>
      </c>
      <c r="C74" s="11" t="s">
        <v>217</v>
      </c>
      <c r="D74" s="10" t="s">
        <v>218</v>
      </c>
      <c r="E74" s="10">
        <v>7850</v>
      </c>
      <c r="F74" s="12">
        <f t="shared" si="38"/>
        <v>2355</v>
      </c>
      <c r="G74" s="12">
        <f>F74*H74</f>
        <v>2355</v>
      </c>
      <c r="H74" s="13">
        <v>1</v>
      </c>
      <c r="I74" s="14" t="s">
        <v>12</v>
      </c>
      <c r="J74" s="10" t="s">
        <v>207</v>
      </c>
      <c r="K74" s="13" t="str">
        <f>K72</f>
        <v>Блок2</v>
      </c>
      <c r="L74" s="13"/>
      <c r="M74" s="13"/>
      <c r="N74" s="13"/>
      <c r="O74" s="26">
        <f>O72</f>
        <v>1</v>
      </c>
      <c r="P74" s="26">
        <f>O74*H74</f>
        <v>1</v>
      </c>
      <c r="Q74" s="27">
        <f>P74*E74</f>
        <v>7850</v>
      </c>
    </row>
    <row r="75" spans="1:17" ht="35.25" customHeight="1" x14ac:dyDescent="0.25">
      <c r="A75" s="10" t="str">
        <f t="shared" si="37"/>
        <v>РУ-1-1(Блок2)</v>
      </c>
      <c r="B75" s="10" t="s">
        <v>19</v>
      </c>
      <c r="C75" s="11" t="s">
        <v>19</v>
      </c>
      <c r="D75" s="10" t="s">
        <v>19</v>
      </c>
      <c r="E75" s="10">
        <f ca="1">OFFSET(E75,1,2)</f>
        <v>27000</v>
      </c>
      <c r="F75" s="12">
        <f ca="1">E75</f>
        <v>27000</v>
      </c>
      <c r="G75" s="12">
        <f ca="1">F75*H75</f>
        <v>27000</v>
      </c>
      <c r="H75" s="10">
        <v>1</v>
      </c>
      <c r="I75" s="10" t="s">
        <v>12</v>
      </c>
      <c r="J75" s="10" t="s">
        <v>19</v>
      </c>
      <c r="K75" s="13" t="str">
        <f t="shared" si="35"/>
        <v>Блок2</v>
      </c>
      <c r="L75" s="13"/>
      <c r="M75" s="13"/>
      <c r="N75" s="13"/>
      <c r="O75" s="26">
        <f t="shared" si="36"/>
        <v>1</v>
      </c>
      <c r="P75" s="26">
        <f>O75*H75</f>
        <v>1</v>
      </c>
      <c r="Q75" s="27">
        <f ca="1">P75*F75</f>
        <v>27000</v>
      </c>
    </row>
    <row r="76" spans="1:17" ht="35.25" customHeight="1" x14ac:dyDescent="0.25">
      <c r="A76" s="10" t="str">
        <f t="shared" si="37"/>
        <v>РУ-1-1(Блок2)</v>
      </c>
      <c r="B76" s="10" t="s">
        <v>20</v>
      </c>
      <c r="C76" s="11" t="s">
        <v>20</v>
      </c>
      <c r="D76" s="10" t="s">
        <v>20</v>
      </c>
      <c r="E76" s="10">
        <v>4.5</v>
      </c>
      <c r="F76" s="12">
        <v>100</v>
      </c>
      <c r="G76" s="12">
        <f>F76*H76</f>
        <v>27000</v>
      </c>
      <c r="H76" s="10">
        <f>60*E76</f>
        <v>270</v>
      </c>
      <c r="I76" s="10" t="s">
        <v>12</v>
      </c>
      <c r="J76" s="10" t="s">
        <v>20</v>
      </c>
      <c r="K76" s="13" t="str">
        <f t="shared" si="35"/>
        <v>Блок2</v>
      </c>
      <c r="L76" s="13"/>
      <c r="M76" s="13"/>
      <c r="N76" s="13"/>
      <c r="O76" s="26">
        <f t="shared" si="36"/>
        <v>1</v>
      </c>
      <c r="P76" s="26">
        <f>O76*H76</f>
        <v>270</v>
      </c>
      <c r="Q76" s="27">
        <f>P76*F76</f>
        <v>27000</v>
      </c>
    </row>
    <row r="77" spans="1:17" ht="35.25" customHeight="1" x14ac:dyDescent="0.25">
      <c r="A77" s="15" t="str">
        <f t="shared" si="37"/>
        <v>РУ-1-1(Блок2)</v>
      </c>
      <c r="B77" s="15"/>
      <c r="C77" s="15"/>
      <c r="D77" s="16"/>
      <c r="E77" s="28"/>
      <c r="F77" s="12">
        <f t="shared" ref="F77" si="40">E77*0.55</f>
        <v>0</v>
      </c>
      <c r="G77" s="28">
        <f ca="1">SUM(G70:G76)</f>
        <v>167874</v>
      </c>
      <c r="H77" s="15"/>
      <c r="I77" s="19"/>
      <c r="J77" s="15"/>
      <c r="K77" s="13" t="str">
        <f t="shared" si="35"/>
        <v>Блок2</v>
      </c>
      <c r="L77" s="13"/>
      <c r="M77" s="13"/>
      <c r="N77" s="13"/>
      <c r="O77" s="26">
        <f t="shared" si="36"/>
        <v>1</v>
      </c>
      <c r="P77" s="26">
        <f>O77*H77</f>
        <v>0</v>
      </c>
      <c r="Q77" s="27">
        <f>P77*F77</f>
        <v>0</v>
      </c>
    </row>
    <row r="78" spans="1:17" ht="35.25" customHeight="1" x14ac:dyDescent="0.25">
      <c r="A78" s="8" t="str">
        <f>D78</f>
        <v>РУ-1-2</v>
      </c>
      <c r="B78" s="4"/>
      <c r="C78" s="5"/>
      <c r="D78" s="4" t="s">
        <v>36</v>
      </c>
      <c r="E78" s="6"/>
      <c r="F78" s="6"/>
      <c r="G78" s="7"/>
      <c r="H78" s="8">
        <v>1</v>
      </c>
      <c r="I78" s="9" t="s">
        <v>9</v>
      </c>
      <c r="J78" s="4" t="s">
        <v>10</v>
      </c>
      <c r="K78" s="8" t="s">
        <v>53</v>
      </c>
      <c r="L78" s="8"/>
      <c r="M78" s="8"/>
      <c r="N78" s="8"/>
      <c r="O78" s="26">
        <f>H78</f>
        <v>1</v>
      </c>
      <c r="P78" s="26">
        <f>O78*H78</f>
        <v>1</v>
      </c>
      <c r="Q78" s="27">
        <f>P78*F78</f>
        <v>0</v>
      </c>
    </row>
    <row r="79" spans="1:17" ht="35.25" customHeight="1" x14ac:dyDescent="0.25">
      <c r="A79" s="13" t="str">
        <f t="shared" ref="A79:A87" si="41">A78</f>
        <v>РУ-1-2</v>
      </c>
      <c r="B79" s="10" t="s">
        <v>11</v>
      </c>
      <c r="C79" s="11" t="s">
        <v>170</v>
      </c>
      <c r="D79" s="10" t="s">
        <v>171</v>
      </c>
      <c r="E79" s="10">
        <v>145000</v>
      </c>
      <c r="F79" s="12">
        <f>0.6*E79</f>
        <v>87000</v>
      </c>
      <c r="G79" s="12">
        <f>F79*H79</f>
        <v>87000</v>
      </c>
      <c r="H79" s="13">
        <v>1</v>
      </c>
      <c r="I79" s="14" t="s">
        <v>12</v>
      </c>
      <c r="J79" s="10" t="s">
        <v>13</v>
      </c>
      <c r="K79" s="13" t="str">
        <f t="shared" ref="K79:K87" si="42">K78</f>
        <v>Блок2</v>
      </c>
      <c r="L79" s="13"/>
      <c r="M79" s="13"/>
      <c r="N79" s="13"/>
      <c r="O79" s="26">
        <f t="shared" ref="O79:O87" si="43">O78</f>
        <v>1</v>
      </c>
      <c r="P79" s="26">
        <f>O79*H79</f>
        <v>1</v>
      </c>
      <c r="Q79" s="27">
        <f>P79*F79</f>
        <v>87000</v>
      </c>
    </row>
    <row r="80" spans="1:17" ht="35.25" customHeight="1" x14ac:dyDescent="0.25">
      <c r="A80" s="13" t="str">
        <f t="shared" si="41"/>
        <v>РУ-1-2</v>
      </c>
      <c r="B80" s="10" t="s">
        <v>294</v>
      </c>
      <c r="C80" s="11" t="s">
        <v>227</v>
      </c>
      <c r="D80" s="10" t="s">
        <v>228</v>
      </c>
      <c r="E80" s="10">
        <v>29990</v>
      </c>
      <c r="F80" s="12">
        <f t="shared" ref="F80:F82" si="44">0.3*E80</f>
        <v>8997</v>
      </c>
      <c r="G80" s="12">
        <f>F80*H80</f>
        <v>8997</v>
      </c>
      <c r="H80" s="13">
        <v>1</v>
      </c>
      <c r="I80" s="14" t="s">
        <v>12</v>
      </c>
      <c r="J80" s="10" t="s">
        <v>207</v>
      </c>
      <c r="K80" s="13" t="str">
        <f t="shared" si="42"/>
        <v>Блок2</v>
      </c>
      <c r="L80" s="13"/>
      <c r="M80" s="13"/>
      <c r="N80" s="13"/>
      <c r="O80" s="26">
        <f t="shared" si="43"/>
        <v>1</v>
      </c>
      <c r="P80" s="26">
        <f>O80*H80</f>
        <v>1</v>
      </c>
      <c r="Q80" s="27">
        <f>P80*E80</f>
        <v>29990</v>
      </c>
    </row>
    <row r="81" spans="1:17" ht="35.25" customHeight="1" x14ac:dyDescent="0.25">
      <c r="A81" s="13" t="str">
        <f t="shared" si="41"/>
        <v>РУ-1-2</v>
      </c>
      <c r="B81" s="10" t="s">
        <v>294</v>
      </c>
      <c r="C81" s="11" t="s">
        <v>211</v>
      </c>
      <c r="D81" s="10" t="s">
        <v>212</v>
      </c>
      <c r="E81" s="10">
        <v>16550</v>
      </c>
      <c r="F81" s="12">
        <f t="shared" si="44"/>
        <v>4965</v>
      </c>
      <c r="G81" s="12">
        <f>F81*H81</f>
        <v>4965</v>
      </c>
      <c r="H81" s="13">
        <v>1</v>
      </c>
      <c r="I81" s="14" t="s">
        <v>12</v>
      </c>
      <c r="J81" s="10" t="s">
        <v>207</v>
      </c>
      <c r="K81" s="13" t="str">
        <f t="shared" si="42"/>
        <v>Блок2</v>
      </c>
      <c r="L81" s="13"/>
      <c r="M81" s="13"/>
      <c r="N81" s="13"/>
      <c r="O81" s="26">
        <f t="shared" si="43"/>
        <v>1</v>
      </c>
      <c r="P81" s="26">
        <f>O81*H81</f>
        <v>1</v>
      </c>
      <c r="Q81" s="27">
        <f>P81*E81</f>
        <v>16550</v>
      </c>
    </row>
    <row r="82" spans="1:17" ht="35.25" customHeight="1" x14ac:dyDescent="0.25">
      <c r="A82" s="13" t="str">
        <f t="shared" si="41"/>
        <v>РУ-1-2</v>
      </c>
      <c r="B82" s="10" t="s">
        <v>294</v>
      </c>
      <c r="C82" s="11" t="s">
        <v>223</v>
      </c>
      <c r="D82" s="10" t="s">
        <v>224</v>
      </c>
      <c r="E82" s="10">
        <v>16550</v>
      </c>
      <c r="F82" s="12">
        <f t="shared" si="44"/>
        <v>4965</v>
      </c>
      <c r="G82" s="12">
        <f>F82*H82</f>
        <v>9930</v>
      </c>
      <c r="H82" s="13">
        <v>2</v>
      </c>
      <c r="I82" s="14" t="s">
        <v>12</v>
      </c>
      <c r="J82" s="10" t="s">
        <v>207</v>
      </c>
      <c r="K82" s="13" t="str">
        <f t="shared" si="42"/>
        <v>Блок2</v>
      </c>
      <c r="L82" s="13"/>
      <c r="M82" s="13"/>
      <c r="N82" s="13"/>
      <c r="O82" s="26">
        <f t="shared" si="43"/>
        <v>1</v>
      </c>
      <c r="P82" s="26">
        <f>O82*H82</f>
        <v>2</v>
      </c>
      <c r="Q82" s="27">
        <f>P82*E82</f>
        <v>33100</v>
      </c>
    </row>
    <row r="83" spans="1:17" ht="35.25" customHeight="1" x14ac:dyDescent="0.25">
      <c r="A83" s="13" t="str">
        <f t="shared" si="41"/>
        <v>РУ-1-2</v>
      </c>
      <c r="B83" s="10" t="s">
        <v>293</v>
      </c>
      <c r="C83" s="11" t="s">
        <v>322</v>
      </c>
      <c r="D83" s="10" t="s">
        <v>323</v>
      </c>
      <c r="E83" s="10">
        <v>7225</v>
      </c>
      <c r="F83" s="12">
        <f t="shared" ref="F83" si="45">0.3*E83</f>
        <v>2167.5</v>
      </c>
      <c r="G83" s="12">
        <f>F83*H83</f>
        <v>2167.5</v>
      </c>
      <c r="H83" s="13">
        <v>1</v>
      </c>
      <c r="I83" s="14" t="s">
        <v>12</v>
      </c>
      <c r="J83" s="10" t="s">
        <v>207</v>
      </c>
      <c r="K83" s="13" t="str">
        <f t="shared" si="42"/>
        <v>Блок2</v>
      </c>
      <c r="L83" s="13"/>
      <c r="M83" s="13"/>
      <c r="N83" s="13"/>
      <c r="O83" s="26">
        <f t="shared" si="43"/>
        <v>1</v>
      </c>
      <c r="P83" s="26">
        <f>O83*H83</f>
        <v>1</v>
      </c>
      <c r="Q83" s="27">
        <f>P83*E83</f>
        <v>7225</v>
      </c>
    </row>
    <row r="84" spans="1:17" ht="35.25" customHeight="1" x14ac:dyDescent="0.25">
      <c r="A84" s="13" t="str">
        <f>A82</f>
        <v>РУ-1-2</v>
      </c>
      <c r="B84" s="10" t="s">
        <v>15</v>
      </c>
      <c r="C84" s="11" t="s">
        <v>301</v>
      </c>
      <c r="D84" s="10" t="s">
        <v>302</v>
      </c>
      <c r="E84" s="10">
        <v>32300</v>
      </c>
      <c r="F84" s="12">
        <f>E84</f>
        <v>32300</v>
      </c>
      <c r="G84" s="12">
        <f>F84*H84</f>
        <v>64600</v>
      </c>
      <c r="H84" s="13">
        <v>2</v>
      </c>
      <c r="I84" s="14" t="s">
        <v>12</v>
      </c>
      <c r="J84" s="10" t="s">
        <v>16</v>
      </c>
      <c r="K84" s="13" t="str">
        <f>K82</f>
        <v>Блок2</v>
      </c>
      <c r="L84" s="13"/>
      <c r="M84" s="13"/>
      <c r="N84" s="13"/>
      <c r="O84" s="26">
        <f>O82</f>
        <v>1</v>
      </c>
      <c r="P84" s="26">
        <f>O84*H84</f>
        <v>2</v>
      </c>
      <c r="Q84" s="27">
        <f t="shared" ref="Q84:Q89" si="46">P84*F84</f>
        <v>64600</v>
      </c>
    </row>
    <row r="85" spans="1:17" ht="35.25" customHeight="1" x14ac:dyDescent="0.25">
      <c r="A85" s="10" t="str">
        <f>A82</f>
        <v>РУ-1-2</v>
      </c>
      <c r="B85" s="10" t="s">
        <v>19</v>
      </c>
      <c r="C85" s="11" t="s">
        <v>19</v>
      </c>
      <c r="D85" s="10" t="s">
        <v>19</v>
      </c>
      <c r="E85" s="10">
        <f ca="1">OFFSET(E85,1,2)</f>
        <v>27000</v>
      </c>
      <c r="F85" s="12">
        <f ca="1">E85</f>
        <v>27000</v>
      </c>
      <c r="G85" s="12">
        <f ca="1">F85*H85</f>
        <v>27000</v>
      </c>
      <c r="H85" s="10">
        <v>1</v>
      </c>
      <c r="I85" s="10" t="s">
        <v>12</v>
      </c>
      <c r="J85" s="10" t="s">
        <v>19</v>
      </c>
      <c r="K85" s="13" t="str">
        <f t="shared" si="42"/>
        <v>Блок2</v>
      </c>
      <c r="L85" s="13"/>
      <c r="M85" s="13"/>
      <c r="N85" s="13"/>
      <c r="O85" s="26">
        <f>O82</f>
        <v>1</v>
      </c>
      <c r="P85" s="26">
        <f>O85*H85</f>
        <v>1</v>
      </c>
      <c r="Q85" s="27">
        <f t="shared" ca="1" si="46"/>
        <v>27000</v>
      </c>
    </row>
    <row r="86" spans="1:17" ht="35.25" customHeight="1" x14ac:dyDescent="0.25">
      <c r="A86" s="10" t="str">
        <f t="shared" si="41"/>
        <v>РУ-1-2</v>
      </c>
      <c r="B86" s="10" t="s">
        <v>20</v>
      </c>
      <c r="C86" s="11" t="s">
        <v>20</v>
      </c>
      <c r="D86" s="10" t="s">
        <v>20</v>
      </c>
      <c r="E86" s="10">
        <v>4.5</v>
      </c>
      <c r="F86" s="12">
        <v>100</v>
      </c>
      <c r="G86" s="12">
        <f>F86*H86</f>
        <v>27000</v>
      </c>
      <c r="H86" s="10">
        <f>60*E86</f>
        <v>270</v>
      </c>
      <c r="I86" s="10" t="s">
        <v>12</v>
      </c>
      <c r="J86" s="10" t="s">
        <v>20</v>
      </c>
      <c r="K86" s="13" t="str">
        <f t="shared" si="42"/>
        <v>Блок2</v>
      </c>
      <c r="L86" s="13"/>
      <c r="M86" s="13"/>
      <c r="N86" s="13"/>
      <c r="O86" s="26">
        <f t="shared" si="43"/>
        <v>1</v>
      </c>
      <c r="P86" s="26">
        <f>O86*H86</f>
        <v>270</v>
      </c>
      <c r="Q86" s="27">
        <f t="shared" si="46"/>
        <v>27000</v>
      </c>
    </row>
    <row r="87" spans="1:17" ht="35.25" customHeight="1" x14ac:dyDescent="0.25">
      <c r="A87" s="15" t="str">
        <f t="shared" si="41"/>
        <v>РУ-1-2</v>
      </c>
      <c r="B87" s="15"/>
      <c r="C87" s="15"/>
      <c r="D87" s="16"/>
      <c r="E87" s="28"/>
      <c r="F87" s="12">
        <f>E87*0.55</f>
        <v>0</v>
      </c>
      <c r="G87" s="28">
        <f ca="1">SUM(G79:G86)</f>
        <v>231659.5</v>
      </c>
      <c r="H87" s="15"/>
      <c r="I87" s="19"/>
      <c r="J87" s="15"/>
      <c r="K87" s="13" t="str">
        <f t="shared" si="42"/>
        <v>Блок2</v>
      </c>
      <c r="L87" s="13"/>
      <c r="M87" s="13"/>
      <c r="N87" s="13"/>
      <c r="O87" s="26">
        <f t="shared" si="43"/>
        <v>1</v>
      </c>
      <c r="P87" s="26">
        <f>O87*H87</f>
        <v>0</v>
      </c>
      <c r="Q87" s="27">
        <f t="shared" si="46"/>
        <v>0</v>
      </c>
    </row>
    <row r="88" spans="1:17" ht="35.25" customHeight="1" x14ac:dyDescent="0.25">
      <c r="A88" s="8" t="str">
        <f>D88</f>
        <v>ЩУР.МОП1-2</v>
      </c>
      <c r="B88" s="4"/>
      <c r="C88" s="5"/>
      <c r="D88" s="4" t="s">
        <v>56</v>
      </c>
      <c r="E88" s="6"/>
      <c r="F88" s="6"/>
      <c r="G88" s="7"/>
      <c r="H88" s="8">
        <v>1</v>
      </c>
      <c r="I88" s="9" t="s">
        <v>9</v>
      </c>
      <c r="J88" s="4" t="s">
        <v>10</v>
      </c>
      <c r="K88" s="8" t="s">
        <v>53</v>
      </c>
      <c r="L88" s="8"/>
      <c r="M88" s="8"/>
      <c r="N88" s="8"/>
      <c r="O88" s="26">
        <f>H88</f>
        <v>1</v>
      </c>
      <c r="P88" s="26">
        <f>O88*H88</f>
        <v>1</v>
      </c>
      <c r="Q88" s="27">
        <f t="shared" si="46"/>
        <v>0</v>
      </c>
    </row>
    <row r="89" spans="1:17" ht="35.25" customHeight="1" x14ac:dyDescent="0.25">
      <c r="A89" s="13" t="str">
        <f t="shared" ref="A89:A97" si="47">A88</f>
        <v>ЩУР.МОП1-2</v>
      </c>
      <c r="B89" s="10" t="s">
        <v>11</v>
      </c>
      <c r="C89" s="11" t="s">
        <v>328</v>
      </c>
      <c r="D89" s="10" t="s">
        <v>329</v>
      </c>
      <c r="E89" s="10">
        <v>27000</v>
      </c>
      <c r="F89" s="12">
        <f>0.6*E89</f>
        <v>16200</v>
      </c>
      <c r="G89" s="12">
        <f>F89*H89</f>
        <v>16200</v>
      </c>
      <c r="H89" s="13">
        <v>1</v>
      </c>
      <c r="I89" s="14" t="s">
        <v>12</v>
      </c>
      <c r="J89" s="10" t="s">
        <v>13</v>
      </c>
      <c r="K89" s="13" t="str">
        <f t="shared" ref="K89:K97" si="48">K88</f>
        <v>Блок2</v>
      </c>
      <c r="L89" s="13"/>
      <c r="M89" s="13"/>
      <c r="N89" s="13"/>
      <c r="O89" s="26">
        <f t="shared" ref="O89:O97" si="49">O88</f>
        <v>1</v>
      </c>
      <c r="P89" s="26">
        <f>O89*H89</f>
        <v>1</v>
      </c>
      <c r="Q89" s="27">
        <f t="shared" si="46"/>
        <v>16200</v>
      </c>
    </row>
    <row r="90" spans="1:17" ht="35.25" customHeight="1" x14ac:dyDescent="0.25">
      <c r="A90" s="13" t="str">
        <f>A88</f>
        <v>ЩУР.МОП1-2</v>
      </c>
      <c r="B90" s="10" t="s">
        <v>293</v>
      </c>
      <c r="C90" s="11" t="s">
        <v>333</v>
      </c>
      <c r="D90" s="10" t="s">
        <v>334</v>
      </c>
      <c r="E90" s="10">
        <v>29710</v>
      </c>
      <c r="F90" s="12">
        <f t="shared" ref="F90" si="50">0.3*E90</f>
        <v>8913</v>
      </c>
      <c r="G90" s="12">
        <f>F90*H90</f>
        <v>8913</v>
      </c>
      <c r="H90" s="13">
        <v>1</v>
      </c>
      <c r="I90" s="14" t="s">
        <v>12</v>
      </c>
      <c r="J90" s="10" t="s">
        <v>207</v>
      </c>
      <c r="K90" s="13" t="str">
        <f>K88</f>
        <v>Блок2</v>
      </c>
      <c r="L90" s="13"/>
      <c r="M90" s="13"/>
      <c r="N90" s="13"/>
      <c r="O90" s="26">
        <f>O88</f>
        <v>1</v>
      </c>
      <c r="P90" s="26">
        <f>O90*H90</f>
        <v>1</v>
      </c>
      <c r="Q90" s="27">
        <f>P90*E90</f>
        <v>29710</v>
      </c>
    </row>
    <row r="91" spans="1:17" ht="35.25" customHeight="1" x14ac:dyDescent="0.25">
      <c r="A91" s="13" t="str">
        <f>A89</f>
        <v>ЩУР.МОП1-2</v>
      </c>
      <c r="B91" s="10" t="s">
        <v>293</v>
      </c>
      <c r="C91" s="11" t="s">
        <v>341</v>
      </c>
      <c r="D91" s="10" t="s">
        <v>342</v>
      </c>
      <c r="E91" s="10">
        <v>1655</v>
      </c>
      <c r="F91" s="12">
        <f t="shared" ref="F91:F93" si="51">0.3*E91</f>
        <v>496.5</v>
      </c>
      <c r="G91" s="12">
        <f>F91*H91</f>
        <v>993</v>
      </c>
      <c r="H91" s="13">
        <v>2</v>
      </c>
      <c r="I91" s="14" t="s">
        <v>12</v>
      </c>
      <c r="J91" s="10" t="s">
        <v>207</v>
      </c>
      <c r="K91" s="13" t="str">
        <f>K89</f>
        <v>Блок2</v>
      </c>
      <c r="L91" s="13"/>
      <c r="M91" s="13"/>
      <c r="N91" s="13"/>
      <c r="O91" s="26">
        <f>O89</f>
        <v>1</v>
      </c>
      <c r="P91" s="26">
        <f>O91*H91</f>
        <v>2</v>
      </c>
      <c r="Q91" s="27">
        <f>P91*E91</f>
        <v>3310</v>
      </c>
    </row>
    <row r="92" spans="1:17" ht="35.25" customHeight="1" x14ac:dyDescent="0.25">
      <c r="A92" s="13" t="str">
        <f t="shared" si="47"/>
        <v>ЩУР.МОП1-2</v>
      </c>
      <c r="B92" s="10" t="s">
        <v>293</v>
      </c>
      <c r="C92" s="11" t="s">
        <v>199</v>
      </c>
      <c r="D92" s="10" t="s">
        <v>200</v>
      </c>
      <c r="E92" s="10">
        <v>5950</v>
      </c>
      <c r="F92" s="12">
        <f t="shared" si="51"/>
        <v>1785</v>
      </c>
      <c r="G92" s="12">
        <f>F92*H92</f>
        <v>3570</v>
      </c>
      <c r="H92" s="13">
        <v>2</v>
      </c>
      <c r="I92" s="14" t="s">
        <v>12</v>
      </c>
      <c r="J92" s="10" t="s">
        <v>207</v>
      </c>
      <c r="K92" s="13" t="str">
        <f t="shared" si="48"/>
        <v>Блок2</v>
      </c>
      <c r="L92" s="13"/>
      <c r="M92" s="13"/>
      <c r="N92" s="13"/>
      <c r="O92" s="26">
        <f t="shared" si="49"/>
        <v>1</v>
      </c>
      <c r="P92" s="26">
        <f>O92*H92</f>
        <v>2</v>
      </c>
      <c r="Q92" s="27">
        <f>P92*E92</f>
        <v>11900</v>
      </c>
    </row>
    <row r="93" spans="1:17" ht="35.25" customHeight="1" x14ac:dyDescent="0.25">
      <c r="A93" s="13" t="str">
        <f t="shared" si="47"/>
        <v>ЩУР.МОП1-2</v>
      </c>
      <c r="B93" s="10" t="s">
        <v>293</v>
      </c>
      <c r="C93" s="11" t="s">
        <v>193</v>
      </c>
      <c r="D93" s="10" t="s">
        <v>194</v>
      </c>
      <c r="E93" s="10">
        <v>6580</v>
      </c>
      <c r="F93" s="12">
        <f t="shared" si="51"/>
        <v>1974</v>
      </c>
      <c r="G93" s="12">
        <f>F93*H93</f>
        <v>5922</v>
      </c>
      <c r="H93" s="13">
        <v>3</v>
      </c>
      <c r="I93" s="14" t="s">
        <v>12</v>
      </c>
      <c r="J93" s="10" t="s">
        <v>207</v>
      </c>
      <c r="K93" s="13" t="str">
        <f t="shared" si="48"/>
        <v>Блок2</v>
      </c>
      <c r="L93" s="13"/>
      <c r="M93" s="13"/>
      <c r="N93" s="13"/>
      <c r="O93" s="26">
        <f t="shared" si="49"/>
        <v>1</v>
      </c>
      <c r="P93" s="26">
        <f>O93*H93</f>
        <v>3</v>
      </c>
      <c r="Q93" s="27">
        <f>P93*E93</f>
        <v>19740</v>
      </c>
    </row>
    <row r="94" spans="1:17" ht="35.25" customHeight="1" x14ac:dyDescent="0.25">
      <c r="A94" s="13" t="str">
        <f t="shared" si="47"/>
        <v>ЩУР.МОП1-2</v>
      </c>
      <c r="B94" s="10" t="s">
        <v>15</v>
      </c>
      <c r="C94" s="11" t="s">
        <v>301</v>
      </c>
      <c r="D94" s="10" t="s">
        <v>302</v>
      </c>
      <c r="E94" s="10">
        <v>32300</v>
      </c>
      <c r="F94" s="12">
        <f>E94</f>
        <v>32300</v>
      </c>
      <c r="G94" s="12">
        <f>F94*H94</f>
        <v>32300</v>
      </c>
      <c r="H94" s="13">
        <v>1</v>
      </c>
      <c r="I94" s="14" t="s">
        <v>12</v>
      </c>
      <c r="J94" s="10" t="s">
        <v>16</v>
      </c>
      <c r="K94" s="13" t="str">
        <f t="shared" si="48"/>
        <v>Блок2</v>
      </c>
      <c r="L94" s="13"/>
      <c r="M94" s="13"/>
      <c r="N94" s="13"/>
      <c r="O94" s="26">
        <f t="shared" si="49"/>
        <v>1</v>
      </c>
      <c r="P94" s="26">
        <f>O94*H94</f>
        <v>1</v>
      </c>
      <c r="Q94" s="27">
        <f t="shared" ref="Q94:Q100" si="52">P94*F94</f>
        <v>32300</v>
      </c>
    </row>
    <row r="95" spans="1:17" ht="35.25" customHeight="1" x14ac:dyDescent="0.25">
      <c r="A95" s="10" t="str">
        <f t="shared" si="47"/>
        <v>ЩУР.МОП1-2</v>
      </c>
      <c r="B95" s="10" t="s">
        <v>19</v>
      </c>
      <c r="C95" s="11" t="s">
        <v>19</v>
      </c>
      <c r="D95" s="10" t="s">
        <v>19</v>
      </c>
      <c r="E95" s="10">
        <f ca="1">OFFSET(E95,1,2)</f>
        <v>12000</v>
      </c>
      <c r="F95" s="12">
        <f ca="1">E95</f>
        <v>12000</v>
      </c>
      <c r="G95" s="12">
        <f ca="1">F95*H95</f>
        <v>12000</v>
      </c>
      <c r="H95" s="10">
        <v>1</v>
      </c>
      <c r="I95" s="10" t="s">
        <v>12</v>
      </c>
      <c r="J95" s="10" t="s">
        <v>19</v>
      </c>
      <c r="K95" s="13" t="str">
        <f t="shared" si="48"/>
        <v>Блок2</v>
      </c>
      <c r="L95" s="13"/>
      <c r="M95" s="13"/>
      <c r="N95" s="13"/>
      <c r="O95" s="26">
        <f t="shared" si="49"/>
        <v>1</v>
      </c>
      <c r="P95" s="26">
        <f>O95*H95</f>
        <v>1</v>
      </c>
      <c r="Q95" s="27">
        <f t="shared" ca="1" si="52"/>
        <v>12000</v>
      </c>
    </row>
    <row r="96" spans="1:17" ht="35.25" customHeight="1" x14ac:dyDescent="0.25">
      <c r="A96" s="10" t="str">
        <f t="shared" si="47"/>
        <v>ЩУР.МОП1-2</v>
      </c>
      <c r="B96" s="10" t="s">
        <v>20</v>
      </c>
      <c r="C96" s="11" t="s">
        <v>20</v>
      </c>
      <c r="D96" s="10" t="s">
        <v>20</v>
      </c>
      <c r="E96" s="10">
        <v>2</v>
      </c>
      <c r="F96" s="12">
        <v>100</v>
      </c>
      <c r="G96" s="12">
        <f>F96*H96</f>
        <v>12000</v>
      </c>
      <c r="H96" s="10">
        <f>60*E96</f>
        <v>120</v>
      </c>
      <c r="I96" s="10" t="s">
        <v>12</v>
      </c>
      <c r="J96" s="10" t="s">
        <v>20</v>
      </c>
      <c r="K96" s="13" t="str">
        <f t="shared" si="48"/>
        <v>Блок2</v>
      </c>
      <c r="L96" s="13"/>
      <c r="M96" s="13"/>
      <c r="N96" s="13"/>
      <c r="O96" s="26">
        <f t="shared" si="49"/>
        <v>1</v>
      </c>
      <c r="P96" s="26">
        <f>O96*H96</f>
        <v>120</v>
      </c>
      <c r="Q96" s="27">
        <f t="shared" si="52"/>
        <v>12000</v>
      </c>
    </row>
    <row r="97" spans="1:17" ht="35.25" customHeight="1" x14ac:dyDescent="0.25">
      <c r="A97" s="15" t="str">
        <f t="shared" si="47"/>
        <v>ЩУР.МОП1-2</v>
      </c>
      <c r="B97" s="15"/>
      <c r="C97" s="15"/>
      <c r="D97" s="16"/>
      <c r="E97" s="28"/>
      <c r="F97" s="12">
        <f>E97*0.55</f>
        <v>0</v>
      </c>
      <c r="G97" s="28">
        <f ca="1">SUM(G89:G96)</f>
        <v>91898</v>
      </c>
      <c r="H97" s="15"/>
      <c r="I97" s="19"/>
      <c r="J97" s="15"/>
      <c r="K97" s="13" t="str">
        <f t="shared" si="48"/>
        <v>Блок2</v>
      </c>
      <c r="L97" s="13"/>
      <c r="M97" s="13"/>
      <c r="N97" s="13"/>
      <c r="O97" s="26">
        <f t="shared" si="49"/>
        <v>1</v>
      </c>
      <c r="P97" s="26">
        <f>O97*H97</f>
        <v>0</v>
      </c>
      <c r="Q97" s="27">
        <f t="shared" si="52"/>
        <v>0</v>
      </c>
    </row>
    <row r="98" spans="1:17" ht="35.25" customHeight="1" x14ac:dyDescent="0.25">
      <c r="A98" s="8" t="str">
        <f>D98</f>
        <v>РЩ1-2 (АВР-Б-40-2-1)</v>
      </c>
      <c r="B98" s="4"/>
      <c r="C98" s="5"/>
      <c r="D98" s="4" t="s">
        <v>133</v>
      </c>
      <c r="E98" s="6"/>
      <c r="F98" s="6"/>
      <c r="G98" s="7"/>
      <c r="H98" s="8">
        <v>1</v>
      </c>
      <c r="I98" s="9" t="s">
        <v>9</v>
      </c>
      <c r="J98" s="4" t="s">
        <v>10</v>
      </c>
      <c r="K98" s="8" t="s">
        <v>53</v>
      </c>
      <c r="L98" s="8"/>
      <c r="M98" s="8"/>
      <c r="N98" s="8"/>
      <c r="O98" s="26">
        <f>H98</f>
        <v>1</v>
      </c>
      <c r="P98" s="26">
        <f>O98*H98</f>
        <v>1</v>
      </c>
      <c r="Q98" s="27">
        <f t="shared" si="52"/>
        <v>0</v>
      </c>
    </row>
    <row r="99" spans="1:17" ht="35.25" customHeight="1" x14ac:dyDescent="0.25">
      <c r="A99" s="13" t="str">
        <f t="shared" ref="A99:A111" si="53">A98</f>
        <v>РЩ1-2 (АВР-Б-40-2-1)</v>
      </c>
      <c r="B99" s="10" t="s">
        <v>11</v>
      </c>
      <c r="C99" s="11" t="s">
        <v>168</v>
      </c>
      <c r="D99" s="10" t="s">
        <v>169</v>
      </c>
      <c r="E99" s="10">
        <v>130000</v>
      </c>
      <c r="F99" s="12">
        <f t="shared" ref="F99:F100" si="54">0.6*E99</f>
        <v>78000</v>
      </c>
      <c r="G99" s="12">
        <f>F99*H99</f>
        <v>78000</v>
      </c>
      <c r="H99" s="13">
        <v>1</v>
      </c>
      <c r="I99" s="14" t="s">
        <v>12</v>
      </c>
      <c r="J99" s="10" t="s">
        <v>13</v>
      </c>
      <c r="K99" s="13" t="str">
        <f t="shared" ref="K99:K111" si="55">K98</f>
        <v>Блок2</v>
      </c>
      <c r="L99" s="13"/>
      <c r="M99" s="13"/>
      <c r="N99" s="13"/>
      <c r="O99" s="26">
        <f t="shared" ref="O99:O111" si="56">O98</f>
        <v>1</v>
      </c>
      <c r="P99" s="26">
        <f>O99*H99</f>
        <v>1</v>
      </c>
      <c r="Q99" s="27">
        <f t="shared" si="52"/>
        <v>78000</v>
      </c>
    </row>
    <row r="100" spans="1:17" ht="35.25" customHeight="1" x14ac:dyDescent="0.25">
      <c r="A100" s="13" t="str">
        <f t="shared" si="53"/>
        <v>РЩ1-2 (АВР-Б-40-2-1)</v>
      </c>
      <c r="B100" s="10" t="s">
        <v>44</v>
      </c>
      <c r="C100" s="11" t="s">
        <v>162</v>
      </c>
      <c r="D100" s="10" t="s">
        <v>163</v>
      </c>
      <c r="E100" s="10">
        <v>114758</v>
      </c>
      <c r="F100" s="12">
        <f t="shared" si="54"/>
        <v>68854.8</v>
      </c>
      <c r="G100" s="12">
        <f>F100*H100</f>
        <v>68854.8</v>
      </c>
      <c r="H100" s="13">
        <v>1</v>
      </c>
      <c r="I100" s="14" t="s">
        <v>12</v>
      </c>
      <c r="J100" s="10" t="s">
        <v>14</v>
      </c>
      <c r="K100" s="13" t="str">
        <f t="shared" si="55"/>
        <v>Блок2</v>
      </c>
      <c r="L100" s="13"/>
      <c r="M100" s="13"/>
      <c r="N100" s="13"/>
      <c r="O100" s="26">
        <f t="shared" si="56"/>
        <v>1</v>
      </c>
      <c r="P100" s="26">
        <f>O100*H100</f>
        <v>1</v>
      </c>
      <c r="Q100" s="27">
        <f t="shared" si="52"/>
        <v>68854.8</v>
      </c>
    </row>
    <row r="101" spans="1:17" ht="35.25" customHeight="1" x14ac:dyDescent="0.25">
      <c r="A101" s="13" t="str">
        <f t="shared" si="53"/>
        <v>РЩ1-2 (АВР-Б-40-2-1)</v>
      </c>
      <c r="B101" s="10" t="s">
        <v>293</v>
      </c>
      <c r="C101" s="11" t="s">
        <v>213</v>
      </c>
      <c r="D101" s="10" t="s">
        <v>214</v>
      </c>
      <c r="E101" s="10">
        <v>7690</v>
      </c>
      <c r="F101" s="12">
        <f t="shared" ref="F101:F104" si="57">0.3*E101</f>
        <v>2307</v>
      </c>
      <c r="G101" s="12">
        <f>F101*H101</f>
        <v>4614</v>
      </c>
      <c r="H101" s="13">
        <v>2</v>
      </c>
      <c r="I101" s="14" t="s">
        <v>12</v>
      </c>
      <c r="J101" s="10" t="s">
        <v>207</v>
      </c>
      <c r="K101" s="13" t="str">
        <f t="shared" si="55"/>
        <v>Блок2</v>
      </c>
      <c r="L101" s="13"/>
      <c r="M101" s="13"/>
      <c r="N101" s="13"/>
      <c r="O101" s="26">
        <f t="shared" si="56"/>
        <v>1</v>
      </c>
      <c r="P101" s="26">
        <f>O101*H101</f>
        <v>2</v>
      </c>
      <c r="Q101" s="27">
        <f>P101*E101</f>
        <v>15380</v>
      </c>
    </row>
    <row r="102" spans="1:17" ht="35.25" customHeight="1" x14ac:dyDescent="0.25">
      <c r="A102" s="13" t="str">
        <f>A100</f>
        <v>РЩ1-2 (АВР-Б-40-2-1)</v>
      </c>
      <c r="B102" s="10" t="s">
        <v>293</v>
      </c>
      <c r="C102" s="11" t="s">
        <v>330</v>
      </c>
      <c r="D102" s="10" t="s">
        <v>331</v>
      </c>
      <c r="E102" s="10">
        <v>7690</v>
      </c>
      <c r="F102" s="12">
        <f t="shared" ref="F102" si="58">0.3*E102</f>
        <v>2307</v>
      </c>
      <c r="G102" s="12">
        <f>F102*H102</f>
        <v>2307</v>
      </c>
      <c r="H102" s="13">
        <v>1</v>
      </c>
      <c r="I102" s="14" t="s">
        <v>12</v>
      </c>
      <c r="J102" s="10" t="s">
        <v>208</v>
      </c>
      <c r="K102" s="13" t="str">
        <f>K100</f>
        <v>Блок2</v>
      </c>
      <c r="L102" s="13"/>
      <c r="M102" s="13"/>
      <c r="N102" s="13"/>
      <c r="O102" s="26">
        <f>O100</f>
        <v>1</v>
      </c>
      <c r="P102" s="26">
        <f>O102*H102</f>
        <v>1</v>
      </c>
      <c r="Q102" s="27">
        <f>P102*E102</f>
        <v>7690</v>
      </c>
    </row>
    <row r="103" spans="1:17" ht="35.25" customHeight="1" x14ac:dyDescent="0.25">
      <c r="A103" s="13" t="str">
        <f>A101</f>
        <v>РЩ1-2 (АВР-Б-40-2-1)</v>
      </c>
      <c r="B103" s="10" t="s">
        <v>293</v>
      </c>
      <c r="C103" s="11" t="s">
        <v>231</v>
      </c>
      <c r="D103" s="10" t="s">
        <v>232</v>
      </c>
      <c r="E103" s="10">
        <v>7690</v>
      </c>
      <c r="F103" s="12">
        <f t="shared" si="57"/>
        <v>2307</v>
      </c>
      <c r="G103" s="12">
        <f>F103*H103</f>
        <v>4614</v>
      </c>
      <c r="H103" s="13">
        <v>2</v>
      </c>
      <c r="I103" s="14" t="s">
        <v>12</v>
      </c>
      <c r="J103" s="10" t="s">
        <v>207</v>
      </c>
      <c r="K103" s="13" t="str">
        <f>K101</f>
        <v>Блок2</v>
      </c>
      <c r="L103" s="13"/>
      <c r="M103" s="13"/>
      <c r="N103" s="13"/>
      <c r="O103" s="26">
        <f>O101</f>
        <v>1</v>
      </c>
      <c r="P103" s="26">
        <f>O103*H103</f>
        <v>2</v>
      </c>
      <c r="Q103" s="27">
        <f>P103*E103</f>
        <v>15380</v>
      </c>
    </row>
    <row r="104" spans="1:17" ht="35.25" customHeight="1" x14ac:dyDescent="0.25">
      <c r="A104" s="13" t="str">
        <f t="shared" si="53"/>
        <v>РЩ1-2 (АВР-Б-40-2-1)</v>
      </c>
      <c r="B104" s="10" t="s">
        <v>294</v>
      </c>
      <c r="C104" s="11" t="s">
        <v>203</v>
      </c>
      <c r="D104" s="10" t="s">
        <v>204</v>
      </c>
      <c r="E104" s="10">
        <v>13450</v>
      </c>
      <c r="F104" s="12">
        <f t="shared" si="57"/>
        <v>4035</v>
      </c>
      <c r="G104" s="12">
        <f>F104*H104</f>
        <v>8070</v>
      </c>
      <c r="H104" s="13">
        <v>2</v>
      </c>
      <c r="I104" s="14" t="s">
        <v>12</v>
      </c>
      <c r="J104" s="10" t="s">
        <v>207</v>
      </c>
      <c r="K104" s="13" t="str">
        <f t="shared" si="55"/>
        <v>Блок2</v>
      </c>
      <c r="L104" s="13"/>
      <c r="M104" s="13"/>
      <c r="N104" s="13"/>
      <c r="O104" s="26">
        <f t="shared" si="56"/>
        <v>1</v>
      </c>
      <c r="P104" s="26">
        <f>O104*H104</f>
        <v>2</v>
      </c>
      <c r="Q104" s="27">
        <f>P104*E104</f>
        <v>26900</v>
      </c>
    </row>
    <row r="105" spans="1:17" ht="35.25" customHeight="1" x14ac:dyDescent="0.25">
      <c r="A105" s="13" t="str">
        <f t="shared" si="53"/>
        <v>РЩ1-2 (АВР-Б-40-2-1)</v>
      </c>
      <c r="B105" s="10" t="s">
        <v>18</v>
      </c>
      <c r="C105" s="11" t="s">
        <v>233</v>
      </c>
      <c r="D105" s="10" t="s">
        <v>234</v>
      </c>
      <c r="E105" s="10">
        <v>5884</v>
      </c>
      <c r="F105" s="12">
        <f>0.6*E105</f>
        <v>3530.4</v>
      </c>
      <c r="G105" s="12">
        <f>F105*H105</f>
        <v>3530.4</v>
      </c>
      <c r="H105" s="13">
        <v>1</v>
      </c>
      <c r="I105" s="14" t="s">
        <v>12</v>
      </c>
      <c r="J105" s="10" t="s">
        <v>14</v>
      </c>
      <c r="K105" s="13" t="str">
        <f t="shared" si="55"/>
        <v>Блок2</v>
      </c>
      <c r="L105" s="13"/>
      <c r="M105" s="13"/>
      <c r="N105" s="13"/>
      <c r="O105" s="26">
        <f t="shared" si="56"/>
        <v>1</v>
      </c>
      <c r="P105" s="26">
        <f>O105*H105</f>
        <v>1</v>
      </c>
      <c r="Q105" s="27">
        <f>P105*F105</f>
        <v>3530.4</v>
      </c>
    </row>
    <row r="106" spans="1:17" ht="35.25" customHeight="1" x14ac:dyDescent="0.25">
      <c r="A106" s="13" t="str">
        <f t="shared" si="53"/>
        <v>РЩ1-2 (АВР-Б-40-2-1)</v>
      </c>
      <c r="B106" s="10" t="s">
        <v>293</v>
      </c>
      <c r="C106" s="11" t="s">
        <v>205</v>
      </c>
      <c r="D106" s="10" t="s">
        <v>206</v>
      </c>
      <c r="E106" s="10">
        <v>7090</v>
      </c>
      <c r="F106" s="12">
        <f>0.3*E106</f>
        <v>2127</v>
      </c>
      <c r="G106" s="12">
        <f>F106*H106</f>
        <v>2127</v>
      </c>
      <c r="H106" s="13">
        <v>1</v>
      </c>
      <c r="I106" s="14" t="s">
        <v>12</v>
      </c>
      <c r="J106" s="10" t="s">
        <v>207</v>
      </c>
      <c r="K106" s="13" t="str">
        <f t="shared" si="55"/>
        <v>Блок2</v>
      </c>
      <c r="L106" s="13"/>
      <c r="M106" s="13"/>
      <c r="N106" s="13"/>
      <c r="O106" s="26">
        <f t="shared" si="56"/>
        <v>1</v>
      </c>
      <c r="P106" s="26">
        <f>O106*H106</f>
        <v>1</v>
      </c>
      <c r="Q106" s="27">
        <f>P106*E106</f>
        <v>7090</v>
      </c>
    </row>
    <row r="107" spans="1:17" ht="35.25" customHeight="1" x14ac:dyDescent="0.25">
      <c r="A107" s="13" t="str">
        <f t="shared" si="53"/>
        <v>РЩ1-2 (АВР-Б-40-2-1)</v>
      </c>
      <c r="B107" s="10" t="s">
        <v>15</v>
      </c>
      <c r="C107" s="11" t="s">
        <v>299</v>
      </c>
      <c r="D107" s="10" t="s">
        <v>300</v>
      </c>
      <c r="E107" s="10">
        <v>32400</v>
      </c>
      <c r="F107" s="12">
        <f>E107</f>
        <v>32400</v>
      </c>
      <c r="G107" s="12">
        <f>F107*H107</f>
        <v>32400</v>
      </c>
      <c r="H107" s="13">
        <v>1</v>
      </c>
      <c r="I107" s="14" t="s">
        <v>12</v>
      </c>
      <c r="J107" s="10" t="s">
        <v>16</v>
      </c>
      <c r="K107" s="13" t="str">
        <f t="shared" si="55"/>
        <v>Блок2</v>
      </c>
      <c r="L107" s="13"/>
      <c r="M107" s="13"/>
      <c r="N107" s="13"/>
      <c r="O107" s="26">
        <f t="shared" si="56"/>
        <v>1</v>
      </c>
      <c r="P107" s="26">
        <f>O107*H107</f>
        <v>1</v>
      </c>
      <c r="Q107" s="27">
        <f t="shared" ref="Q107:Q117" si="59">P107*F107</f>
        <v>32400</v>
      </c>
    </row>
    <row r="108" spans="1:17" ht="35.25" customHeight="1" x14ac:dyDescent="0.25">
      <c r="A108" s="13" t="str">
        <f t="shared" si="53"/>
        <v>РЩ1-2 (АВР-Б-40-2-1)</v>
      </c>
      <c r="B108" s="10" t="s">
        <v>30</v>
      </c>
      <c r="C108" s="11"/>
      <c r="D108" s="10" t="s">
        <v>31</v>
      </c>
      <c r="E108" s="10">
        <v>3850</v>
      </c>
      <c r="F108" s="12">
        <f>E108</f>
        <v>3850</v>
      </c>
      <c r="G108" s="12">
        <f>F108*H108</f>
        <v>23100</v>
      </c>
      <c r="H108" s="13">
        <v>6</v>
      </c>
      <c r="I108" s="14" t="s">
        <v>12</v>
      </c>
      <c r="J108" s="10" t="s">
        <v>25</v>
      </c>
      <c r="K108" s="13" t="str">
        <f t="shared" si="55"/>
        <v>Блок2</v>
      </c>
      <c r="L108" s="13"/>
      <c r="M108" s="13"/>
      <c r="N108" s="13"/>
      <c r="O108" s="26">
        <f t="shared" si="56"/>
        <v>1</v>
      </c>
      <c r="P108" s="26">
        <f>O108*H108</f>
        <v>6</v>
      </c>
      <c r="Q108" s="27">
        <f t="shared" si="59"/>
        <v>23100</v>
      </c>
    </row>
    <row r="109" spans="1:17" ht="35.25" customHeight="1" x14ac:dyDescent="0.25">
      <c r="A109" s="10" t="str">
        <f t="shared" si="53"/>
        <v>РЩ1-2 (АВР-Б-40-2-1)</v>
      </c>
      <c r="B109" s="10" t="s">
        <v>19</v>
      </c>
      <c r="C109" s="11" t="s">
        <v>19</v>
      </c>
      <c r="D109" s="10" t="s">
        <v>19</v>
      </c>
      <c r="E109" s="10">
        <f ca="1">OFFSET(E109,1,2)</f>
        <v>39000</v>
      </c>
      <c r="F109" s="12">
        <f ca="1">E109</f>
        <v>39000</v>
      </c>
      <c r="G109" s="12">
        <f ca="1">F109*H109</f>
        <v>39000</v>
      </c>
      <c r="H109" s="10">
        <v>1</v>
      </c>
      <c r="I109" s="10" t="s">
        <v>12</v>
      </c>
      <c r="J109" s="10" t="s">
        <v>19</v>
      </c>
      <c r="K109" s="13" t="str">
        <f t="shared" si="55"/>
        <v>Блок2</v>
      </c>
      <c r="L109" s="13"/>
      <c r="M109" s="13"/>
      <c r="N109" s="13"/>
      <c r="O109" s="26">
        <f t="shared" si="56"/>
        <v>1</v>
      </c>
      <c r="P109" s="26">
        <f>O109*H109</f>
        <v>1</v>
      </c>
      <c r="Q109" s="27">
        <f t="shared" ca="1" si="59"/>
        <v>39000</v>
      </c>
    </row>
    <row r="110" spans="1:17" ht="35.25" customHeight="1" x14ac:dyDescent="0.25">
      <c r="A110" s="10" t="str">
        <f t="shared" si="53"/>
        <v>РЩ1-2 (АВР-Б-40-2-1)</v>
      </c>
      <c r="B110" s="10" t="s">
        <v>20</v>
      </c>
      <c r="C110" s="11" t="s">
        <v>20</v>
      </c>
      <c r="D110" s="10" t="s">
        <v>20</v>
      </c>
      <c r="E110" s="10">
        <v>6.5</v>
      </c>
      <c r="F110" s="12">
        <v>100</v>
      </c>
      <c r="G110" s="12">
        <f>F110*H110</f>
        <v>39000</v>
      </c>
      <c r="H110" s="10">
        <f>60*E110</f>
        <v>390</v>
      </c>
      <c r="I110" s="10" t="s">
        <v>12</v>
      </c>
      <c r="J110" s="10" t="s">
        <v>20</v>
      </c>
      <c r="K110" s="13" t="str">
        <f t="shared" si="55"/>
        <v>Блок2</v>
      </c>
      <c r="L110" s="13"/>
      <c r="M110" s="13"/>
      <c r="N110" s="13"/>
      <c r="O110" s="26">
        <f t="shared" si="56"/>
        <v>1</v>
      </c>
      <c r="P110" s="26">
        <f>O110*H110</f>
        <v>390</v>
      </c>
      <c r="Q110" s="27">
        <f t="shared" si="59"/>
        <v>39000</v>
      </c>
    </row>
    <row r="111" spans="1:17" ht="35.25" customHeight="1" x14ac:dyDescent="0.25">
      <c r="A111" s="15" t="str">
        <f t="shared" si="53"/>
        <v>РЩ1-2 (АВР-Б-40-2-1)</v>
      </c>
      <c r="B111" s="15"/>
      <c r="C111" s="15"/>
      <c r="D111" s="16"/>
      <c r="E111" s="28"/>
      <c r="F111" s="12">
        <f>E111*0.55</f>
        <v>0</v>
      </c>
      <c r="G111" s="28">
        <f ca="1">SUM(G99:G110)</f>
        <v>305617.19999999995</v>
      </c>
      <c r="H111" s="15"/>
      <c r="I111" s="19"/>
      <c r="J111" s="15"/>
      <c r="K111" s="13" t="str">
        <f t="shared" si="55"/>
        <v>Блок2</v>
      </c>
      <c r="L111" s="13"/>
      <c r="M111" s="13"/>
      <c r="N111" s="13"/>
      <c r="O111" s="26">
        <f t="shared" si="56"/>
        <v>1</v>
      </c>
      <c r="P111" s="26">
        <f>O111*H111</f>
        <v>0</v>
      </c>
      <c r="Q111" s="27">
        <f t="shared" si="59"/>
        <v>0</v>
      </c>
    </row>
    <row r="112" spans="1:17" ht="35.25" customHeight="1" x14ac:dyDescent="0.25">
      <c r="A112" s="8" t="str">
        <f>D112</f>
        <v>ВРУ1-3</v>
      </c>
      <c r="B112" s="4"/>
      <c r="C112" s="5"/>
      <c r="D112" s="4" t="s">
        <v>57</v>
      </c>
      <c r="E112" s="6"/>
      <c r="F112" s="6"/>
      <c r="G112" s="7"/>
      <c r="H112" s="8">
        <v>1</v>
      </c>
      <c r="I112" s="9" t="s">
        <v>9</v>
      </c>
      <c r="J112" s="4" t="s">
        <v>10</v>
      </c>
      <c r="K112" s="8" t="s">
        <v>58</v>
      </c>
      <c r="L112" s="8"/>
      <c r="M112" s="8"/>
      <c r="N112" s="8"/>
      <c r="O112" s="26">
        <f>H112</f>
        <v>1</v>
      </c>
      <c r="P112" s="26">
        <f>O112*H112</f>
        <v>1</v>
      </c>
      <c r="Q112" s="27">
        <f t="shared" si="59"/>
        <v>0</v>
      </c>
    </row>
    <row r="113" spans="1:17" ht="35.25" customHeight="1" x14ac:dyDescent="0.25">
      <c r="A113" s="13" t="str">
        <f t="shared" ref="A113:A123" si="60">A112</f>
        <v>ВРУ1-3</v>
      </c>
      <c r="B113" s="10" t="s">
        <v>11</v>
      </c>
      <c r="C113" s="11" t="s">
        <v>172</v>
      </c>
      <c r="D113" s="10" t="s">
        <v>173</v>
      </c>
      <c r="E113" s="10">
        <v>156500</v>
      </c>
      <c r="F113" s="12">
        <f>0.6*E113</f>
        <v>93900</v>
      </c>
      <c r="G113" s="12">
        <f>F113*H113</f>
        <v>93900</v>
      </c>
      <c r="H113" s="13">
        <v>1</v>
      </c>
      <c r="I113" s="14" t="s">
        <v>12</v>
      </c>
      <c r="J113" s="10" t="s">
        <v>13</v>
      </c>
      <c r="K113" s="13" t="str">
        <f t="shared" ref="K113:K115" si="61">K112</f>
        <v>Блок3</v>
      </c>
      <c r="L113" s="13"/>
      <c r="M113" s="13"/>
      <c r="N113" s="13"/>
      <c r="O113" s="26">
        <f t="shared" ref="O113:O123" si="62">O112</f>
        <v>1</v>
      </c>
      <c r="P113" s="26">
        <f>O113*H113</f>
        <v>1</v>
      </c>
      <c r="Q113" s="27">
        <f t="shared" si="59"/>
        <v>93900</v>
      </c>
    </row>
    <row r="114" spans="1:17" ht="35.25" customHeight="1" x14ac:dyDescent="0.25">
      <c r="A114" s="13" t="str">
        <f t="shared" si="60"/>
        <v>ВРУ1-3</v>
      </c>
      <c r="B114" s="10" t="s">
        <v>23</v>
      </c>
      <c r="C114" s="11" t="s">
        <v>307</v>
      </c>
      <c r="D114" s="10" t="s">
        <v>308</v>
      </c>
      <c r="E114" s="10">
        <v>5523</v>
      </c>
      <c r="F114" s="12">
        <f t="shared" ref="F114:F115" si="63">E114</f>
        <v>5523</v>
      </c>
      <c r="G114" s="12">
        <f>F114*H114</f>
        <v>33138</v>
      </c>
      <c r="H114" s="13">
        <v>6</v>
      </c>
      <c r="I114" s="14" t="s">
        <v>12</v>
      </c>
      <c r="J114" s="10" t="s">
        <v>25</v>
      </c>
      <c r="K114" s="13" t="str">
        <f t="shared" si="61"/>
        <v>Блок3</v>
      </c>
      <c r="L114" s="13"/>
      <c r="M114" s="13"/>
      <c r="N114" s="13"/>
      <c r="O114" s="26">
        <f t="shared" si="62"/>
        <v>1</v>
      </c>
      <c r="P114" s="26">
        <f>O114*H114</f>
        <v>6</v>
      </c>
      <c r="Q114" s="27">
        <f t="shared" si="59"/>
        <v>33138</v>
      </c>
    </row>
    <row r="115" spans="1:17" ht="35.25" customHeight="1" x14ac:dyDescent="0.25">
      <c r="A115" s="13" t="str">
        <f t="shared" si="60"/>
        <v>ВРУ1-3</v>
      </c>
      <c r="B115" s="10" t="s">
        <v>26</v>
      </c>
      <c r="C115" s="11" t="s">
        <v>177</v>
      </c>
      <c r="D115" s="10" t="s">
        <v>178</v>
      </c>
      <c r="E115" s="10">
        <v>25500</v>
      </c>
      <c r="F115" s="12">
        <f t="shared" si="63"/>
        <v>25500</v>
      </c>
      <c r="G115" s="12">
        <f>F115*H115</f>
        <v>51000</v>
      </c>
      <c r="H115" s="13">
        <v>2</v>
      </c>
      <c r="I115" s="14" t="s">
        <v>12</v>
      </c>
      <c r="J115" s="10" t="s">
        <v>25</v>
      </c>
      <c r="K115" s="13" t="str">
        <f t="shared" si="61"/>
        <v>Блок3</v>
      </c>
      <c r="L115" s="13"/>
      <c r="M115" s="13"/>
      <c r="N115" s="13"/>
      <c r="O115" s="26">
        <f t="shared" si="62"/>
        <v>1</v>
      </c>
      <c r="P115" s="26">
        <f>O115*H115</f>
        <v>2</v>
      </c>
      <c r="Q115" s="27">
        <f t="shared" si="59"/>
        <v>51000</v>
      </c>
    </row>
    <row r="116" spans="1:17" ht="35.25" customHeight="1" x14ac:dyDescent="0.25">
      <c r="A116" s="13" t="str">
        <f t="shared" si="60"/>
        <v>ВРУ1-3</v>
      </c>
      <c r="B116" s="10" t="s">
        <v>127</v>
      </c>
      <c r="C116" s="11" t="s">
        <v>130</v>
      </c>
      <c r="D116" s="10" t="s">
        <v>131</v>
      </c>
      <c r="E116" s="10">
        <v>4750</v>
      </c>
      <c r="F116" s="12">
        <f t="shared" ref="F116:F117" si="64">0.6*E116</f>
        <v>2850</v>
      </c>
      <c r="G116" s="12">
        <f>F116*H116</f>
        <v>17100</v>
      </c>
      <c r="H116" s="13">
        <v>6</v>
      </c>
      <c r="I116" s="14" t="s">
        <v>12</v>
      </c>
      <c r="J116" s="10" t="s">
        <v>14</v>
      </c>
      <c r="K116" s="13" t="str">
        <f>K114</f>
        <v>Блок3</v>
      </c>
      <c r="L116" s="13"/>
      <c r="M116" s="13"/>
      <c r="N116" s="13"/>
      <c r="O116" s="26">
        <f t="shared" si="62"/>
        <v>1</v>
      </c>
      <c r="P116" s="26">
        <f>O116*H116</f>
        <v>6</v>
      </c>
      <c r="Q116" s="27">
        <f t="shared" si="59"/>
        <v>17100</v>
      </c>
    </row>
    <row r="117" spans="1:17" ht="35.25" customHeight="1" x14ac:dyDescent="0.25">
      <c r="A117" s="13" t="str">
        <f t="shared" si="60"/>
        <v>ВРУ1-3</v>
      </c>
      <c r="B117" s="10" t="s">
        <v>126</v>
      </c>
      <c r="C117" s="11" t="s">
        <v>128</v>
      </c>
      <c r="D117" s="10" t="s">
        <v>129</v>
      </c>
      <c r="E117" s="10">
        <v>3317</v>
      </c>
      <c r="F117" s="12">
        <f t="shared" si="64"/>
        <v>1990.1999999999998</v>
      </c>
      <c r="G117" s="12">
        <f>F117*H117</f>
        <v>11941.199999999999</v>
      </c>
      <c r="H117" s="13">
        <v>6</v>
      </c>
      <c r="I117" s="14" t="s">
        <v>12</v>
      </c>
      <c r="J117" s="10" t="s">
        <v>14</v>
      </c>
      <c r="K117" s="13" t="str">
        <f>K115</f>
        <v>Блок3</v>
      </c>
      <c r="L117" s="13"/>
      <c r="M117" s="13"/>
      <c r="N117" s="13"/>
      <c r="O117" s="26">
        <f t="shared" si="62"/>
        <v>1</v>
      </c>
      <c r="P117" s="26">
        <f>O117*H117</f>
        <v>6</v>
      </c>
      <c r="Q117" s="27">
        <f t="shared" si="59"/>
        <v>11941.199999999999</v>
      </c>
    </row>
    <row r="118" spans="1:17" ht="35.25" customHeight="1" x14ac:dyDescent="0.25">
      <c r="A118" s="13" t="str">
        <f t="shared" si="60"/>
        <v>ВРУ1-3</v>
      </c>
      <c r="B118" s="10" t="s">
        <v>293</v>
      </c>
      <c r="C118" s="11" t="s">
        <v>189</v>
      </c>
      <c r="D118" s="10" t="s">
        <v>190</v>
      </c>
      <c r="E118" s="10">
        <v>1390</v>
      </c>
      <c r="F118" s="12">
        <f>0.3*E118</f>
        <v>417</v>
      </c>
      <c r="G118" s="12">
        <f>F118*H118</f>
        <v>834</v>
      </c>
      <c r="H118" s="13">
        <v>2</v>
      </c>
      <c r="I118" s="14" t="s">
        <v>12</v>
      </c>
      <c r="J118" s="10" t="s">
        <v>207</v>
      </c>
      <c r="K118" s="13" t="str">
        <f t="shared" ref="K118:K123" si="65">K116</f>
        <v>Блок3</v>
      </c>
      <c r="L118" s="13"/>
      <c r="M118" s="13"/>
      <c r="N118" s="13"/>
      <c r="O118" s="26">
        <f t="shared" si="62"/>
        <v>1</v>
      </c>
      <c r="P118" s="26">
        <f>O118*H118</f>
        <v>2</v>
      </c>
      <c r="Q118" s="27">
        <f>P118*E118</f>
        <v>2780</v>
      </c>
    </row>
    <row r="119" spans="1:17" ht="35.25" customHeight="1" x14ac:dyDescent="0.25">
      <c r="A119" s="13" t="str">
        <f t="shared" si="60"/>
        <v>ВРУ1-3</v>
      </c>
      <c r="B119" s="10" t="s">
        <v>15</v>
      </c>
      <c r="C119" s="11" t="s">
        <v>297</v>
      </c>
      <c r="D119" s="24" t="s">
        <v>298</v>
      </c>
      <c r="E119" s="10">
        <v>89000</v>
      </c>
      <c r="F119" s="12">
        <f>E119</f>
        <v>89000</v>
      </c>
      <c r="G119" s="12">
        <f>F119*H119</f>
        <v>178000</v>
      </c>
      <c r="H119" s="13">
        <v>2</v>
      </c>
      <c r="I119" s="14" t="s">
        <v>12</v>
      </c>
      <c r="J119" s="10" t="s">
        <v>16</v>
      </c>
      <c r="K119" s="13" t="str">
        <f t="shared" si="65"/>
        <v>Блок3</v>
      </c>
      <c r="L119" s="13"/>
      <c r="M119" s="13"/>
      <c r="N119" s="13"/>
      <c r="O119" s="26">
        <f t="shared" si="62"/>
        <v>1</v>
      </c>
      <c r="P119" s="26">
        <f>O119*H119</f>
        <v>2</v>
      </c>
      <c r="Q119" s="27">
        <f t="shared" ref="Q119:Q125" si="66">P119*F119</f>
        <v>178000</v>
      </c>
    </row>
    <row r="120" spans="1:17" ht="35.25" customHeight="1" x14ac:dyDescent="0.25">
      <c r="A120" s="13" t="str">
        <f t="shared" si="60"/>
        <v>ВРУ1-3</v>
      </c>
      <c r="B120" s="10" t="s">
        <v>30</v>
      </c>
      <c r="C120" s="11"/>
      <c r="D120" s="10" t="s">
        <v>31</v>
      </c>
      <c r="E120" s="10">
        <v>3850</v>
      </c>
      <c r="F120" s="12">
        <f>E120</f>
        <v>3850</v>
      </c>
      <c r="G120" s="12">
        <f>F120*H120</f>
        <v>23100</v>
      </c>
      <c r="H120" s="13">
        <v>6</v>
      </c>
      <c r="I120" s="14" t="s">
        <v>12</v>
      </c>
      <c r="J120" s="10" t="s">
        <v>25</v>
      </c>
      <c r="K120" s="13" t="str">
        <f t="shared" si="65"/>
        <v>Блок3</v>
      </c>
      <c r="L120" s="13"/>
      <c r="M120" s="13"/>
      <c r="N120" s="13"/>
      <c r="O120" s="26">
        <f t="shared" si="62"/>
        <v>1</v>
      </c>
      <c r="P120" s="26">
        <f>O120*H120</f>
        <v>6</v>
      </c>
      <c r="Q120" s="27">
        <f t="shared" si="66"/>
        <v>23100</v>
      </c>
    </row>
    <row r="121" spans="1:17" ht="35.25" customHeight="1" x14ac:dyDescent="0.25">
      <c r="A121" s="10" t="str">
        <f t="shared" si="60"/>
        <v>ВРУ1-3</v>
      </c>
      <c r="B121" s="10" t="s">
        <v>19</v>
      </c>
      <c r="C121" s="11" t="s">
        <v>19</v>
      </c>
      <c r="D121" s="10" t="s">
        <v>19</v>
      </c>
      <c r="E121" s="10">
        <f ca="1">OFFSET(E121,1,2)</f>
        <v>48000</v>
      </c>
      <c r="F121" s="12">
        <f ca="1">E121</f>
        <v>48000</v>
      </c>
      <c r="G121" s="12">
        <f ca="1">F121*H121</f>
        <v>48000</v>
      </c>
      <c r="H121" s="10">
        <v>1</v>
      </c>
      <c r="I121" s="10" t="s">
        <v>12</v>
      </c>
      <c r="J121" s="10" t="s">
        <v>19</v>
      </c>
      <c r="K121" s="13" t="str">
        <f t="shared" si="65"/>
        <v>Блок3</v>
      </c>
      <c r="L121" s="13"/>
      <c r="M121" s="13"/>
      <c r="N121" s="13"/>
      <c r="O121" s="26">
        <f t="shared" si="62"/>
        <v>1</v>
      </c>
      <c r="P121" s="26">
        <f>O121*H121</f>
        <v>1</v>
      </c>
      <c r="Q121" s="27">
        <f t="shared" ca="1" si="66"/>
        <v>48000</v>
      </c>
    </row>
    <row r="122" spans="1:17" ht="35.25" customHeight="1" x14ac:dyDescent="0.25">
      <c r="A122" s="10" t="str">
        <f t="shared" si="60"/>
        <v>ВРУ1-3</v>
      </c>
      <c r="B122" s="10" t="s">
        <v>20</v>
      </c>
      <c r="C122" s="11" t="s">
        <v>20</v>
      </c>
      <c r="D122" s="10" t="s">
        <v>20</v>
      </c>
      <c r="E122" s="10">
        <v>8</v>
      </c>
      <c r="F122" s="12">
        <v>100</v>
      </c>
      <c r="G122" s="12">
        <f>F122*H122</f>
        <v>48000</v>
      </c>
      <c r="H122" s="10">
        <f>60*E122</f>
        <v>480</v>
      </c>
      <c r="I122" s="10" t="s">
        <v>12</v>
      </c>
      <c r="J122" s="10" t="s">
        <v>20</v>
      </c>
      <c r="K122" s="13" t="str">
        <f t="shared" si="65"/>
        <v>Блок3</v>
      </c>
      <c r="L122" s="13"/>
      <c r="M122" s="13"/>
      <c r="N122" s="13"/>
      <c r="O122" s="26">
        <f t="shared" si="62"/>
        <v>1</v>
      </c>
      <c r="P122" s="26">
        <f>O122*H122</f>
        <v>480</v>
      </c>
      <c r="Q122" s="27">
        <f t="shared" si="66"/>
        <v>48000</v>
      </c>
    </row>
    <row r="123" spans="1:17" ht="35.25" customHeight="1" x14ac:dyDescent="0.25">
      <c r="A123" s="15" t="str">
        <f t="shared" si="60"/>
        <v>ВРУ1-3</v>
      </c>
      <c r="B123" s="15"/>
      <c r="C123" s="15"/>
      <c r="D123" s="16"/>
      <c r="E123" s="28"/>
      <c r="F123" s="12">
        <f>E123*0.55</f>
        <v>0</v>
      </c>
      <c r="G123" s="28">
        <f ca="1">SUM(G113:G122)</f>
        <v>505013.2</v>
      </c>
      <c r="H123" s="15"/>
      <c r="I123" s="19"/>
      <c r="J123" s="15"/>
      <c r="K123" s="13" t="str">
        <f t="shared" si="65"/>
        <v>Блок3</v>
      </c>
      <c r="L123" s="13"/>
      <c r="M123" s="13"/>
      <c r="N123" s="13"/>
      <c r="O123" s="26">
        <f t="shared" si="62"/>
        <v>1</v>
      </c>
      <c r="P123" s="26">
        <f>O123*H123</f>
        <v>0</v>
      </c>
      <c r="Q123" s="27">
        <f t="shared" si="66"/>
        <v>0</v>
      </c>
    </row>
    <row r="124" spans="1:17" ht="35.25" customHeight="1" x14ac:dyDescent="0.25">
      <c r="A124" s="8" t="str">
        <f>D124</f>
        <v>РУ-1-3(Блок3)</v>
      </c>
      <c r="B124" s="4"/>
      <c r="C124" s="5"/>
      <c r="D124" s="4" t="s">
        <v>59</v>
      </c>
      <c r="E124" s="6"/>
      <c r="F124" s="6"/>
      <c r="G124" s="7"/>
      <c r="H124" s="8">
        <v>1</v>
      </c>
      <c r="I124" s="9" t="s">
        <v>9</v>
      </c>
      <c r="J124" s="4" t="s">
        <v>10</v>
      </c>
      <c r="K124" s="8" t="s">
        <v>58</v>
      </c>
      <c r="L124" s="8"/>
      <c r="M124" s="8"/>
      <c r="N124" s="8"/>
      <c r="O124" s="26">
        <f>H124</f>
        <v>1</v>
      </c>
      <c r="P124" s="26">
        <f>O124*H124</f>
        <v>1</v>
      </c>
      <c r="Q124" s="27">
        <f t="shared" si="66"/>
        <v>0</v>
      </c>
    </row>
    <row r="125" spans="1:17" ht="35.25" customHeight="1" x14ac:dyDescent="0.25">
      <c r="A125" s="13" t="str">
        <f t="shared" ref="A125:A132" si="67">A124</f>
        <v>РУ-1-3(Блок3)</v>
      </c>
      <c r="B125" s="10" t="s">
        <v>11</v>
      </c>
      <c r="C125" s="11" t="s">
        <v>170</v>
      </c>
      <c r="D125" s="10" t="s">
        <v>171</v>
      </c>
      <c r="E125" s="10">
        <v>145000</v>
      </c>
      <c r="F125" s="12">
        <f>0.6*E125</f>
        <v>87000</v>
      </c>
      <c r="G125" s="12">
        <f>F125*H125</f>
        <v>87000</v>
      </c>
      <c r="H125" s="13">
        <v>1</v>
      </c>
      <c r="I125" s="14" t="s">
        <v>12</v>
      </c>
      <c r="J125" s="10" t="s">
        <v>13</v>
      </c>
      <c r="K125" s="13" t="str">
        <f t="shared" ref="K125:K132" si="68">K124</f>
        <v>Блок3</v>
      </c>
      <c r="L125" s="13"/>
      <c r="M125" s="13"/>
      <c r="N125" s="13"/>
      <c r="O125" s="26">
        <f t="shared" ref="O125:O132" si="69">O124</f>
        <v>1</v>
      </c>
      <c r="P125" s="26">
        <f>O125*H125</f>
        <v>1</v>
      </c>
      <c r="Q125" s="27">
        <f t="shared" si="66"/>
        <v>87000</v>
      </c>
    </row>
    <row r="126" spans="1:17" ht="35.25" customHeight="1" x14ac:dyDescent="0.25">
      <c r="A126" s="13" t="str">
        <f t="shared" si="67"/>
        <v>РУ-1-3(Блок3)</v>
      </c>
      <c r="B126" s="10" t="s">
        <v>294</v>
      </c>
      <c r="C126" s="11" t="s">
        <v>225</v>
      </c>
      <c r="D126" s="10" t="s">
        <v>226</v>
      </c>
      <c r="E126" s="10">
        <v>17300</v>
      </c>
      <c r="F126" s="12">
        <f t="shared" ref="F126:F129" si="70">0.3*E126</f>
        <v>5190</v>
      </c>
      <c r="G126" s="12">
        <f>F126*H126</f>
        <v>10380</v>
      </c>
      <c r="H126" s="13">
        <v>2</v>
      </c>
      <c r="I126" s="14" t="s">
        <v>12</v>
      </c>
      <c r="J126" s="10" t="s">
        <v>207</v>
      </c>
      <c r="K126" s="13" t="str">
        <f t="shared" si="68"/>
        <v>Блок3</v>
      </c>
      <c r="L126" s="13"/>
      <c r="M126" s="13"/>
      <c r="N126" s="13"/>
      <c r="O126" s="26">
        <f t="shared" si="69"/>
        <v>1</v>
      </c>
      <c r="P126" s="26">
        <f>O126*H126</f>
        <v>2</v>
      </c>
      <c r="Q126" s="27">
        <f>P126*E126</f>
        <v>34600</v>
      </c>
    </row>
    <row r="127" spans="1:17" ht="35.25" customHeight="1" x14ac:dyDescent="0.25">
      <c r="A127" s="13" t="str">
        <f t="shared" si="67"/>
        <v>РУ-1-3(Блок3)</v>
      </c>
      <c r="B127" s="10" t="s">
        <v>294</v>
      </c>
      <c r="C127" s="11" t="s">
        <v>227</v>
      </c>
      <c r="D127" s="10" t="s">
        <v>228</v>
      </c>
      <c r="E127" s="10">
        <v>29990</v>
      </c>
      <c r="F127" s="12">
        <f t="shared" si="70"/>
        <v>8997</v>
      </c>
      <c r="G127" s="12">
        <f>F127*H127</f>
        <v>8997</v>
      </c>
      <c r="H127" s="13">
        <v>1</v>
      </c>
      <c r="I127" s="14" t="s">
        <v>12</v>
      </c>
      <c r="J127" s="10" t="s">
        <v>207</v>
      </c>
      <c r="K127" s="13" t="str">
        <f t="shared" si="68"/>
        <v>Блок3</v>
      </c>
      <c r="L127" s="13"/>
      <c r="M127" s="13"/>
      <c r="N127" s="13"/>
      <c r="O127" s="26">
        <f t="shared" si="69"/>
        <v>1</v>
      </c>
      <c r="P127" s="26">
        <f>O127*H127</f>
        <v>1</v>
      </c>
      <c r="Q127" s="27">
        <f>P127*E127</f>
        <v>29990</v>
      </c>
    </row>
    <row r="128" spans="1:17" ht="35.25" customHeight="1" x14ac:dyDescent="0.25">
      <c r="A128" s="13" t="str">
        <f>A126</f>
        <v>РУ-1-3(Блок3)</v>
      </c>
      <c r="B128" s="10" t="s">
        <v>294</v>
      </c>
      <c r="C128" s="11" t="s">
        <v>211</v>
      </c>
      <c r="D128" s="10" t="s">
        <v>212</v>
      </c>
      <c r="E128" s="10">
        <v>17140</v>
      </c>
      <c r="F128" s="12">
        <f t="shared" ref="F128" si="71">0.3*E128</f>
        <v>5142</v>
      </c>
      <c r="G128" s="12">
        <f>F128*H128</f>
        <v>5142</v>
      </c>
      <c r="H128" s="13">
        <v>1</v>
      </c>
      <c r="I128" s="14" t="s">
        <v>12</v>
      </c>
      <c r="J128" s="10" t="s">
        <v>207</v>
      </c>
      <c r="K128" s="13" t="str">
        <f>K126</f>
        <v>Блок3</v>
      </c>
      <c r="L128" s="13"/>
      <c r="M128" s="13"/>
      <c r="N128" s="13"/>
      <c r="O128" s="26">
        <f>O126</f>
        <v>1</v>
      </c>
      <c r="P128" s="26">
        <f>O128*H128</f>
        <v>1</v>
      </c>
      <c r="Q128" s="27">
        <f>P128*E128</f>
        <v>17140</v>
      </c>
    </row>
    <row r="129" spans="1:17" ht="35.25" customHeight="1" x14ac:dyDescent="0.25">
      <c r="A129" s="13" t="str">
        <f>A127</f>
        <v>РУ-1-3(Блок3)</v>
      </c>
      <c r="B129" s="10" t="s">
        <v>293</v>
      </c>
      <c r="C129" s="11" t="s">
        <v>217</v>
      </c>
      <c r="D129" s="10" t="s">
        <v>218</v>
      </c>
      <c r="E129" s="10">
        <v>7850</v>
      </c>
      <c r="F129" s="12">
        <f t="shared" si="70"/>
        <v>2355</v>
      </c>
      <c r="G129" s="12">
        <f>F129*H129</f>
        <v>2355</v>
      </c>
      <c r="H129" s="13">
        <v>1</v>
      </c>
      <c r="I129" s="14" t="s">
        <v>12</v>
      </c>
      <c r="J129" s="10" t="s">
        <v>207</v>
      </c>
      <c r="K129" s="13" t="str">
        <f>K127</f>
        <v>Блок3</v>
      </c>
      <c r="L129" s="13"/>
      <c r="M129" s="13"/>
      <c r="N129" s="13"/>
      <c r="O129" s="26">
        <f>O127</f>
        <v>1</v>
      </c>
      <c r="P129" s="26">
        <f>O129*H129</f>
        <v>1</v>
      </c>
      <c r="Q129" s="27">
        <f>P129*E129</f>
        <v>7850</v>
      </c>
    </row>
    <row r="130" spans="1:17" ht="35.25" customHeight="1" x14ac:dyDescent="0.25">
      <c r="A130" s="10" t="str">
        <f t="shared" si="67"/>
        <v>РУ-1-3(Блок3)</v>
      </c>
      <c r="B130" s="10" t="s">
        <v>19</v>
      </c>
      <c r="C130" s="11" t="s">
        <v>19</v>
      </c>
      <c r="D130" s="10" t="s">
        <v>19</v>
      </c>
      <c r="E130" s="10">
        <f ca="1">OFFSET(E130,1,2)</f>
        <v>27000</v>
      </c>
      <c r="F130" s="12">
        <f ca="1">E130</f>
        <v>27000</v>
      </c>
      <c r="G130" s="12">
        <f ca="1">F130*H130</f>
        <v>27000</v>
      </c>
      <c r="H130" s="10">
        <v>1</v>
      </c>
      <c r="I130" s="10" t="s">
        <v>12</v>
      </c>
      <c r="J130" s="10" t="s">
        <v>19</v>
      </c>
      <c r="K130" s="13" t="str">
        <f t="shared" si="68"/>
        <v>Блок3</v>
      </c>
      <c r="L130" s="13"/>
      <c r="M130" s="13"/>
      <c r="N130" s="13"/>
      <c r="O130" s="26">
        <f t="shared" si="69"/>
        <v>1</v>
      </c>
      <c r="P130" s="26">
        <f>O130*H130</f>
        <v>1</v>
      </c>
      <c r="Q130" s="27">
        <f ca="1">P130*F130</f>
        <v>27000</v>
      </c>
    </row>
    <row r="131" spans="1:17" ht="35.25" customHeight="1" x14ac:dyDescent="0.25">
      <c r="A131" s="10" t="str">
        <f t="shared" si="67"/>
        <v>РУ-1-3(Блок3)</v>
      </c>
      <c r="B131" s="10" t="s">
        <v>20</v>
      </c>
      <c r="C131" s="11" t="s">
        <v>20</v>
      </c>
      <c r="D131" s="10" t="s">
        <v>20</v>
      </c>
      <c r="E131" s="10">
        <v>4.5</v>
      </c>
      <c r="F131" s="12">
        <v>100</v>
      </c>
      <c r="G131" s="12">
        <f>F131*H131</f>
        <v>27000</v>
      </c>
      <c r="H131" s="10">
        <f>60*E131</f>
        <v>270</v>
      </c>
      <c r="I131" s="10" t="s">
        <v>12</v>
      </c>
      <c r="J131" s="10" t="s">
        <v>20</v>
      </c>
      <c r="K131" s="13" t="str">
        <f t="shared" si="68"/>
        <v>Блок3</v>
      </c>
      <c r="L131" s="13"/>
      <c r="M131" s="13"/>
      <c r="N131" s="13"/>
      <c r="O131" s="26">
        <f t="shared" si="69"/>
        <v>1</v>
      </c>
      <c r="P131" s="26">
        <f>O131*H131</f>
        <v>270</v>
      </c>
      <c r="Q131" s="27">
        <f>P131*F131</f>
        <v>27000</v>
      </c>
    </row>
    <row r="132" spans="1:17" ht="35.25" customHeight="1" x14ac:dyDescent="0.25">
      <c r="A132" s="15" t="str">
        <f t="shared" si="67"/>
        <v>РУ-1-3(Блок3)</v>
      </c>
      <c r="B132" s="15"/>
      <c r="C132" s="15"/>
      <c r="D132" s="16"/>
      <c r="E132" s="28"/>
      <c r="F132" s="12">
        <f t="shared" ref="F132" si="72">E132*0.55</f>
        <v>0</v>
      </c>
      <c r="G132" s="28">
        <f ca="1">SUM(G125:G131)</f>
        <v>167874</v>
      </c>
      <c r="H132" s="15"/>
      <c r="I132" s="19"/>
      <c r="J132" s="15"/>
      <c r="K132" s="13" t="str">
        <f t="shared" si="68"/>
        <v>Блок3</v>
      </c>
      <c r="L132" s="13"/>
      <c r="M132" s="13"/>
      <c r="N132" s="13"/>
      <c r="O132" s="26">
        <f t="shared" si="69"/>
        <v>1</v>
      </c>
      <c r="P132" s="26">
        <f>O132*H132</f>
        <v>0</v>
      </c>
      <c r="Q132" s="27">
        <f>P132*F132</f>
        <v>0</v>
      </c>
    </row>
    <row r="133" spans="1:17" ht="35.25" customHeight="1" x14ac:dyDescent="0.25">
      <c r="A133" s="8" t="str">
        <f>D133</f>
        <v>РУ-2-3</v>
      </c>
      <c r="B133" s="4"/>
      <c r="C133" s="5"/>
      <c r="D133" s="4" t="s">
        <v>60</v>
      </c>
      <c r="E133" s="6"/>
      <c r="F133" s="6"/>
      <c r="G133" s="7"/>
      <c r="H133" s="8">
        <v>1</v>
      </c>
      <c r="I133" s="9" t="s">
        <v>9</v>
      </c>
      <c r="J133" s="4" t="s">
        <v>10</v>
      </c>
      <c r="K133" s="8" t="s">
        <v>58</v>
      </c>
      <c r="L133" s="8"/>
      <c r="M133" s="8"/>
      <c r="N133" s="8"/>
      <c r="O133" s="26">
        <f>H133</f>
        <v>1</v>
      </c>
      <c r="P133" s="26">
        <f>O133*H133</f>
        <v>1</v>
      </c>
      <c r="Q133" s="27">
        <f>P133*F133</f>
        <v>0</v>
      </c>
    </row>
    <row r="134" spans="1:17" ht="35.25" customHeight="1" x14ac:dyDescent="0.25">
      <c r="A134" s="13" t="str">
        <f t="shared" ref="A134:A140" si="73">A133</f>
        <v>РУ-2-3</v>
      </c>
      <c r="B134" s="10" t="s">
        <v>11</v>
      </c>
      <c r="C134" s="11" t="s">
        <v>170</v>
      </c>
      <c r="D134" s="10" t="s">
        <v>171</v>
      </c>
      <c r="E134" s="10">
        <v>145000</v>
      </c>
      <c r="F134" s="12">
        <f>0.6*E134</f>
        <v>87000</v>
      </c>
      <c r="G134" s="12">
        <f>F134*H134</f>
        <v>87000</v>
      </c>
      <c r="H134" s="13">
        <v>1</v>
      </c>
      <c r="I134" s="14" t="s">
        <v>12</v>
      </c>
      <c r="J134" s="10" t="s">
        <v>13</v>
      </c>
      <c r="K134" s="13" t="str">
        <f>K133</f>
        <v>Блок3</v>
      </c>
      <c r="L134" s="13"/>
      <c r="M134" s="13"/>
      <c r="N134" s="13"/>
      <c r="O134" s="26">
        <f t="shared" ref="O134:O140" si="74">O133</f>
        <v>1</v>
      </c>
      <c r="P134" s="26">
        <f>O134*H134</f>
        <v>1</v>
      </c>
      <c r="Q134" s="27">
        <f>P134*F134</f>
        <v>87000</v>
      </c>
    </row>
    <row r="135" spans="1:17" ht="35.25" customHeight="1" x14ac:dyDescent="0.25">
      <c r="A135" s="13" t="str">
        <f t="shared" si="73"/>
        <v>РУ-2-3</v>
      </c>
      <c r="B135" s="10" t="s">
        <v>294</v>
      </c>
      <c r="C135" s="11" t="s">
        <v>227</v>
      </c>
      <c r="D135" s="10" t="s">
        <v>228</v>
      </c>
      <c r="E135" s="10">
        <v>29990</v>
      </c>
      <c r="F135" s="12">
        <f t="shared" ref="F135:F137" si="75">0.3*E135</f>
        <v>8997</v>
      </c>
      <c r="G135" s="12">
        <f>F135*H135</f>
        <v>8997</v>
      </c>
      <c r="H135" s="13">
        <v>1</v>
      </c>
      <c r="I135" s="14" t="s">
        <v>12</v>
      </c>
      <c r="J135" s="10" t="s">
        <v>207</v>
      </c>
      <c r="K135" s="13" t="str">
        <f>K134</f>
        <v>Блок3</v>
      </c>
      <c r="L135" s="13"/>
      <c r="M135" s="13"/>
      <c r="N135" s="13"/>
      <c r="O135" s="26">
        <f t="shared" si="74"/>
        <v>1</v>
      </c>
      <c r="P135" s="26">
        <f>O135*H135</f>
        <v>1</v>
      </c>
      <c r="Q135" s="27">
        <f>P135*E135</f>
        <v>29990</v>
      </c>
    </row>
    <row r="136" spans="1:17" ht="35.25" customHeight="1" x14ac:dyDescent="0.25">
      <c r="A136" s="13" t="str">
        <f t="shared" si="73"/>
        <v>РУ-2-3</v>
      </c>
      <c r="B136" s="10" t="s">
        <v>294</v>
      </c>
      <c r="C136" s="11" t="s">
        <v>225</v>
      </c>
      <c r="D136" s="10" t="s">
        <v>226</v>
      </c>
      <c r="E136" s="10">
        <v>17300</v>
      </c>
      <c r="F136" s="12">
        <f t="shared" si="75"/>
        <v>5190</v>
      </c>
      <c r="G136" s="12">
        <f>F136*H136</f>
        <v>10380</v>
      </c>
      <c r="H136" s="13">
        <v>2</v>
      </c>
      <c r="I136" s="14" t="s">
        <v>12</v>
      </c>
      <c r="J136" s="10" t="s">
        <v>207</v>
      </c>
      <c r="K136" s="13" t="s">
        <v>58</v>
      </c>
      <c r="L136" s="13"/>
      <c r="M136" s="13"/>
      <c r="N136" s="13"/>
      <c r="O136" s="26">
        <f t="shared" si="74"/>
        <v>1</v>
      </c>
      <c r="P136" s="26">
        <f>O136*H136</f>
        <v>2</v>
      </c>
      <c r="Q136" s="27">
        <f>P136*E136</f>
        <v>34600</v>
      </c>
    </row>
    <row r="137" spans="1:17" ht="35.25" customHeight="1" x14ac:dyDescent="0.25">
      <c r="A137" s="13" t="str">
        <f t="shared" si="73"/>
        <v>РУ-2-3</v>
      </c>
      <c r="B137" s="10" t="s">
        <v>293</v>
      </c>
      <c r="C137" s="11" t="s">
        <v>217</v>
      </c>
      <c r="D137" s="10" t="s">
        <v>218</v>
      </c>
      <c r="E137" s="10">
        <v>7850</v>
      </c>
      <c r="F137" s="12">
        <f t="shared" si="75"/>
        <v>2355</v>
      </c>
      <c r="G137" s="12">
        <f>F137*H137</f>
        <v>4710</v>
      </c>
      <c r="H137" s="13">
        <v>2</v>
      </c>
      <c r="I137" s="14" t="s">
        <v>12</v>
      </c>
      <c r="J137" s="10" t="s">
        <v>207</v>
      </c>
      <c r="K137" s="13" t="s">
        <v>58</v>
      </c>
      <c r="L137" s="13"/>
      <c r="M137" s="13"/>
      <c r="N137" s="13"/>
      <c r="O137" s="26">
        <f t="shared" si="74"/>
        <v>1</v>
      </c>
      <c r="P137" s="26">
        <f>O137*H137</f>
        <v>2</v>
      </c>
      <c r="Q137" s="27">
        <f>P137*E137</f>
        <v>15700</v>
      </c>
    </row>
    <row r="138" spans="1:17" ht="35.25" customHeight="1" x14ac:dyDescent="0.25">
      <c r="A138" s="10" t="str">
        <f t="shared" si="73"/>
        <v>РУ-2-3</v>
      </c>
      <c r="B138" s="10" t="s">
        <v>19</v>
      </c>
      <c r="C138" s="11" t="s">
        <v>19</v>
      </c>
      <c r="D138" s="10" t="s">
        <v>19</v>
      </c>
      <c r="E138" s="10">
        <f ca="1">OFFSET(E138,1,2)</f>
        <v>27000</v>
      </c>
      <c r="F138" s="12">
        <f ca="1">E138</f>
        <v>27000</v>
      </c>
      <c r="G138" s="12">
        <f ca="1">F138*H138</f>
        <v>27000</v>
      </c>
      <c r="H138" s="10">
        <v>1</v>
      </c>
      <c r="I138" s="10" t="s">
        <v>12</v>
      </c>
      <c r="J138" s="10" t="s">
        <v>19</v>
      </c>
      <c r="K138" s="13" t="s">
        <v>66</v>
      </c>
      <c r="L138" s="13"/>
      <c r="M138" s="13"/>
      <c r="N138" s="13"/>
      <c r="O138" s="26">
        <f t="shared" si="74"/>
        <v>1</v>
      </c>
      <c r="P138" s="26">
        <f>O138*H138</f>
        <v>1</v>
      </c>
      <c r="Q138" s="27">
        <f ca="1">P138*F138</f>
        <v>27000</v>
      </c>
    </row>
    <row r="139" spans="1:17" ht="35.25" customHeight="1" x14ac:dyDescent="0.25">
      <c r="A139" s="10" t="str">
        <f t="shared" si="73"/>
        <v>РУ-2-3</v>
      </c>
      <c r="B139" s="10" t="s">
        <v>20</v>
      </c>
      <c r="C139" s="11" t="s">
        <v>20</v>
      </c>
      <c r="D139" s="10" t="s">
        <v>20</v>
      </c>
      <c r="E139" s="10">
        <v>4.5</v>
      </c>
      <c r="F139" s="12">
        <v>100</v>
      </c>
      <c r="G139" s="12">
        <f>F139*H139</f>
        <v>27000</v>
      </c>
      <c r="H139" s="10">
        <f>60*E139</f>
        <v>270</v>
      </c>
      <c r="I139" s="10" t="s">
        <v>12</v>
      </c>
      <c r="J139" s="10" t="s">
        <v>20</v>
      </c>
      <c r="K139" s="13" t="s">
        <v>71</v>
      </c>
      <c r="L139" s="13"/>
      <c r="M139" s="13"/>
      <c r="N139" s="13"/>
      <c r="O139" s="26">
        <f t="shared" si="74"/>
        <v>1</v>
      </c>
      <c r="P139" s="26">
        <f>O139*H139</f>
        <v>270</v>
      </c>
      <c r="Q139" s="27">
        <f>P139*F139</f>
        <v>27000</v>
      </c>
    </row>
    <row r="140" spans="1:17" ht="35.25" customHeight="1" x14ac:dyDescent="0.25">
      <c r="A140" s="15" t="str">
        <f t="shared" si="73"/>
        <v>РУ-2-3</v>
      </c>
      <c r="B140" s="15"/>
      <c r="C140" s="15"/>
      <c r="D140" s="16"/>
      <c r="E140" s="28"/>
      <c r="F140" s="12">
        <f>E140*0.55</f>
        <v>0</v>
      </c>
      <c r="G140" s="28">
        <f ca="1">SUM(G134:G139)</f>
        <v>165087</v>
      </c>
      <c r="H140" s="15"/>
      <c r="I140" s="19"/>
      <c r="J140" s="15"/>
      <c r="K140" s="13" t="s">
        <v>74</v>
      </c>
      <c r="L140" s="13"/>
      <c r="M140" s="13"/>
      <c r="N140" s="13"/>
      <c r="O140" s="26">
        <f t="shared" si="74"/>
        <v>1</v>
      </c>
      <c r="P140" s="26">
        <f>O140*H140</f>
        <v>0</v>
      </c>
      <c r="Q140" s="27">
        <f>P140*F140</f>
        <v>0</v>
      </c>
    </row>
    <row r="141" spans="1:17" ht="35.25" customHeight="1" x14ac:dyDescent="0.25">
      <c r="A141" s="8" t="str">
        <f>D141</f>
        <v>ЩУР.МОП1-3</v>
      </c>
      <c r="B141" s="4"/>
      <c r="C141" s="5"/>
      <c r="D141" s="4" t="s">
        <v>63</v>
      </c>
      <c r="E141" s="6"/>
      <c r="F141" s="6"/>
      <c r="G141" s="7"/>
      <c r="H141" s="8">
        <v>1</v>
      </c>
      <c r="I141" s="9" t="s">
        <v>9</v>
      </c>
      <c r="J141" s="4" t="s">
        <v>10</v>
      </c>
      <c r="K141" s="8" t="s">
        <v>58</v>
      </c>
      <c r="L141" s="8"/>
      <c r="M141" s="8"/>
      <c r="N141" s="8"/>
      <c r="O141" s="26">
        <f>H141</f>
        <v>1</v>
      </c>
      <c r="P141" s="26">
        <f>O141*H141</f>
        <v>1</v>
      </c>
      <c r="Q141" s="27">
        <f>P141*F141</f>
        <v>0</v>
      </c>
    </row>
    <row r="142" spans="1:17" ht="35.25" customHeight="1" x14ac:dyDescent="0.25">
      <c r="A142" s="13" t="str">
        <f t="shared" ref="A142:A150" si="76">A141</f>
        <v>ЩУР.МОП1-3</v>
      </c>
      <c r="B142" s="10" t="s">
        <v>11</v>
      </c>
      <c r="C142" s="11" t="s">
        <v>328</v>
      </c>
      <c r="D142" s="10" t="s">
        <v>329</v>
      </c>
      <c r="E142" s="10">
        <v>27000</v>
      </c>
      <c r="F142" s="12">
        <f>0.6*E142</f>
        <v>16200</v>
      </c>
      <c r="G142" s="12">
        <f>F142*H142</f>
        <v>16200</v>
      </c>
      <c r="H142" s="13">
        <v>1</v>
      </c>
      <c r="I142" s="14" t="s">
        <v>12</v>
      </c>
      <c r="J142" s="10" t="s">
        <v>13</v>
      </c>
      <c r="K142" s="13" t="str">
        <f t="shared" ref="K142:K150" si="77">K141</f>
        <v>Блок3</v>
      </c>
      <c r="L142" s="13"/>
      <c r="M142" s="13"/>
      <c r="N142" s="13"/>
      <c r="O142" s="26">
        <f t="shared" ref="O142:O150" si="78">O141</f>
        <v>1</v>
      </c>
      <c r="P142" s="26">
        <f>O142*H142</f>
        <v>1</v>
      </c>
      <c r="Q142" s="27">
        <f>P142*F142</f>
        <v>16200</v>
      </c>
    </row>
    <row r="143" spans="1:17" ht="35.25" customHeight="1" x14ac:dyDescent="0.25">
      <c r="A143" s="13" t="str">
        <f>A141</f>
        <v>ЩУР.МОП1-3</v>
      </c>
      <c r="B143" s="10" t="s">
        <v>293</v>
      </c>
      <c r="C143" s="11" t="s">
        <v>333</v>
      </c>
      <c r="D143" s="10" t="s">
        <v>334</v>
      </c>
      <c r="E143" s="10">
        <v>29710</v>
      </c>
      <c r="F143" s="12">
        <f t="shared" ref="F143" si="79">0.3*E143</f>
        <v>8913</v>
      </c>
      <c r="G143" s="12">
        <f>F143*H143</f>
        <v>8913</v>
      </c>
      <c r="H143" s="13">
        <v>1</v>
      </c>
      <c r="I143" s="14" t="s">
        <v>12</v>
      </c>
      <c r="J143" s="10" t="s">
        <v>207</v>
      </c>
      <c r="K143" s="13" t="str">
        <f>K141</f>
        <v>Блок3</v>
      </c>
      <c r="L143" s="13"/>
      <c r="M143" s="13"/>
      <c r="N143" s="13"/>
      <c r="O143" s="26">
        <f>O141</f>
        <v>1</v>
      </c>
      <c r="P143" s="26">
        <f>O143*H143</f>
        <v>1</v>
      </c>
      <c r="Q143" s="27">
        <f>P143*E143</f>
        <v>29710</v>
      </c>
    </row>
    <row r="144" spans="1:17" ht="35.25" customHeight="1" x14ac:dyDescent="0.25">
      <c r="A144" s="13" t="str">
        <f>A142</f>
        <v>ЩУР.МОП1-3</v>
      </c>
      <c r="B144" s="10" t="s">
        <v>18</v>
      </c>
      <c r="C144" s="32" t="s">
        <v>339</v>
      </c>
      <c r="D144" s="33" t="s">
        <v>340</v>
      </c>
      <c r="E144" s="10">
        <v>15525</v>
      </c>
      <c r="F144" s="12">
        <f t="shared" ref="F144:F146" si="80">0.3*E144</f>
        <v>4657.5</v>
      </c>
      <c r="G144" s="12">
        <f>F144*H144</f>
        <v>9315</v>
      </c>
      <c r="H144" s="34">
        <v>2</v>
      </c>
      <c r="I144" s="14" t="s">
        <v>12</v>
      </c>
      <c r="J144" s="10" t="s">
        <v>207</v>
      </c>
      <c r="K144" s="13" t="str">
        <f>K142</f>
        <v>Блок3</v>
      </c>
      <c r="L144" s="13"/>
      <c r="M144" s="13"/>
      <c r="N144" s="13"/>
      <c r="O144" s="26">
        <f>O142</f>
        <v>1</v>
      </c>
      <c r="P144" s="26">
        <f>O144*H144</f>
        <v>2</v>
      </c>
      <c r="Q144" s="27">
        <f>P144*E144</f>
        <v>31050</v>
      </c>
    </row>
    <row r="145" spans="1:17" ht="35.25" customHeight="1" x14ac:dyDescent="0.25">
      <c r="A145" s="13" t="str">
        <f t="shared" si="76"/>
        <v>ЩУР.МОП1-3</v>
      </c>
      <c r="B145" s="10" t="s">
        <v>293</v>
      </c>
      <c r="C145" s="11" t="s">
        <v>201</v>
      </c>
      <c r="D145" s="10" t="s">
        <v>202</v>
      </c>
      <c r="E145" s="10">
        <v>5750</v>
      </c>
      <c r="F145" s="12">
        <f t="shared" si="80"/>
        <v>1725</v>
      </c>
      <c r="G145" s="12">
        <f>F145*H145</f>
        <v>3450</v>
      </c>
      <c r="H145" s="13">
        <v>2</v>
      </c>
      <c r="I145" s="14" t="s">
        <v>12</v>
      </c>
      <c r="J145" s="10" t="s">
        <v>207</v>
      </c>
      <c r="K145" s="13" t="str">
        <f t="shared" si="77"/>
        <v>Блок3</v>
      </c>
      <c r="L145" s="13"/>
      <c r="M145" s="13"/>
      <c r="N145" s="13"/>
      <c r="O145" s="26">
        <f t="shared" si="78"/>
        <v>1</v>
      </c>
      <c r="P145" s="26">
        <f>O145*H145</f>
        <v>2</v>
      </c>
      <c r="Q145" s="27">
        <f>P145*E145</f>
        <v>11500</v>
      </c>
    </row>
    <row r="146" spans="1:17" ht="35.25" customHeight="1" x14ac:dyDescent="0.25">
      <c r="A146" s="13" t="str">
        <f t="shared" si="76"/>
        <v>ЩУР.МОП1-3</v>
      </c>
      <c r="B146" s="10" t="s">
        <v>293</v>
      </c>
      <c r="C146" s="11" t="s">
        <v>193</v>
      </c>
      <c r="D146" s="10" t="s">
        <v>194</v>
      </c>
      <c r="E146" s="10">
        <v>6580</v>
      </c>
      <c r="F146" s="12">
        <f t="shared" si="80"/>
        <v>1974</v>
      </c>
      <c r="G146" s="12">
        <f>F146*H146</f>
        <v>5922</v>
      </c>
      <c r="H146" s="13">
        <v>3</v>
      </c>
      <c r="I146" s="14" t="s">
        <v>12</v>
      </c>
      <c r="J146" s="10" t="s">
        <v>207</v>
      </c>
      <c r="K146" s="13" t="str">
        <f t="shared" si="77"/>
        <v>Блок3</v>
      </c>
      <c r="L146" s="13"/>
      <c r="M146" s="13"/>
      <c r="N146" s="13"/>
      <c r="O146" s="26">
        <f t="shared" si="78"/>
        <v>1</v>
      </c>
      <c r="P146" s="26">
        <f>O146*H146</f>
        <v>3</v>
      </c>
      <c r="Q146" s="27">
        <f>P146*E146</f>
        <v>19740</v>
      </c>
    </row>
    <row r="147" spans="1:17" ht="35.25" customHeight="1" x14ac:dyDescent="0.25">
      <c r="A147" s="13" t="str">
        <f t="shared" si="76"/>
        <v>ЩУР.МОП1-3</v>
      </c>
      <c r="B147" s="10" t="s">
        <v>15</v>
      </c>
      <c r="C147" s="11" t="s">
        <v>301</v>
      </c>
      <c r="D147" s="10" t="s">
        <v>302</v>
      </c>
      <c r="E147" s="10">
        <v>32300</v>
      </c>
      <c r="F147" s="12">
        <f>E147</f>
        <v>32300</v>
      </c>
      <c r="G147" s="12">
        <f>F147*H147</f>
        <v>32300</v>
      </c>
      <c r="H147" s="13">
        <v>1</v>
      </c>
      <c r="I147" s="14" t="s">
        <v>12</v>
      </c>
      <c r="J147" s="10" t="s">
        <v>16</v>
      </c>
      <c r="K147" s="13" t="str">
        <f t="shared" si="77"/>
        <v>Блок3</v>
      </c>
      <c r="L147" s="13"/>
      <c r="M147" s="13"/>
      <c r="N147" s="13"/>
      <c r="O147" s="26">
        <f t="shared" si="78"/>
        <v>1</v>
      </c>
      <c r="P147" s="26">
        <f>O147*H147</f>
        <v>1</v>
      </c>
      <c r="Q147" s="27">
        <f t="shared" ref="Q147:Q152" si="81">P147*F147</f>
        <v>32300</v>
      </c>
    </row>
    <row r="148" spans="1:17" ht="35.25" customHeight="1" x14ac:dyDescent="0.25">
      <c r="A148" s="10" t="str">
        <f t="shared" si="76"/>
        <v>ЩУР.МОП1-3</v>
      </c>
      <c r="B148" s="10" t="s">
        <v>19</v>
      </c>
      <c r="C148" s="11" t="s">
        <v>19</v>
      </c>
      <c r="D148" s="10" t="s">
        <v>19</v>
      </c>
      <c r="E148" s="10">
        <f ca="1">OFFSET(E148,1,2)</f>
        <v>12000</v>
      </c>
      <c r="F148" s="12">
        <f ca="1">E148</f>
        <v>12000</v>
      </c>
      <c r="G148" s="12">
        <f ca="1">F148*H148</f>
        <v>12000</v>
      </c>
      <c r="H148" s="10">
        <v>1</v>
      </c>
      <c r="I148" s="10" t="s">
        <v>12</v>
      </c>
      <c r="J148" s="10" t="s">
        <v>19</v>
      </c>
      <c r="K148" s="13" t="str">
        <f t="shared" si="77"/>
        <v>Блок3</v>
      </c>
      <c r="L148" s="13"/>
      <c r="M148" s="13"/>
      <c r="N148" s="13"/>
      <c r="O148" s="26">
        <f t="shared" si="78"/>
        <v>1</v>
      </c>
      <c r="P148" s="26">
        <f>O148*H148</f>
        <v>1</v>
      </c>
      <c r="Q148" s="27">
        <f t="shared" ca="1" si="81"/>
        <v>12000</v>
      </c>
    </row>
    <row r="149" spans="1:17" ht="35.25" customHeight="1" x14ac:dyDescent="0.25">
      <c r="A149" s="10" t="str">
        <f t="shared" si="76"/>
        <v>ЩУР.МОП1-3</v>
      </c>
      <c r="B149" s="10" t="s">
        <v>20</v>
      </c>
      <c r="C149" s="11" t="s">
        <v>20</v>
      </c>
      <c r="D149" s="10" t="s">
        <v>20</v>
      </c>
      <c r="E149" s="10">
        <v>2</v>
      </c>
      <c r="F149" s="12">
        <v>100</v>
      </c>
      <c r="G149" s="12">
        <f>F149*H149</f>
        <v>12000</v>
      </c>
      <c r="H149" s="10">
        <f>60*E149</f>
        <v>120</v>
      </c>
      <c r="I149" s="10" t="s">
        <v>12</v>
      </c>
      <c r="J149" s="10" t="s">
        <v>20</v>
      </c>
      <c r="K149" s="13" t="str">
        <f t="shared" si="77"/>
        <v>Блок3</v>
      </c>
      <c r="L149" s="13"/>
      <c r="M149" s="13"/>
      <c r="N149" s="13"/>
      <c r="O149" s="26">
        <f t="shared" si="78"/>
        <v>1</v>
      </c>
      <c r="P149" s="26">
        <f>O149*H149</f>
        <v>120</v>
      </c>
      <c r="Q149" s="27">
        <f t="shared" si="81"/>
        <v>12000</v>
      </c>
    </row>
    <row r="150" spans="1:17" ht="35.25" customHeight="1" x14ac:dyDescent="0.25">
      <c r="A150" s="15" t="str">
        <f t="shared" si="76"/>
        <v>ЩУР.МОП1-3</v>
      </c>
      <c r="B150" s="15"/>
      <c r="C150" s="15"/>
      <c r="D150" s="16"/>
      <c r="E150" s="28"/>
      <c r="F150" s="12">
        <f>E150*0.55</f>
        <v>0</v>
      </c>
      <c r="G150" s="28">
        <f ca="1">SUM(G142:G149)</f>
        <v>100100</v>
      </c>
      <c r="H150" s="15"/>
      <c r="I150" s="19"/>
      <c r="J150" s="15"/>
      <c r="K150" s="13" t="str">
        <f t="shared" si="77"/>
        <v>Блок3</v>
      </c>
      <c r="L150" s="13"/>
      <c r="M150" s="13"/>
      <c r="N150" s="13"/>
      <c r="O150" s="26">
        <f t="shared" si="78"/>
        <v>1</v>
      </c>
      <c r="P150" s="26">
        <f>O150*H150</f>
        <v>0</v>
      </c>
      <c r="Q150" s="27">
        <f t="shared" si="81"/>
        <v>0</v>
      </c>
    </row>
    <row r="151" spans="1:17" ht="35.25" customHeight="1" x14ac:dyDescent="0.25">
      <c r="A151" s="8" t="str">
        <f>D151</f>
        <v>ЩУР.МОП2-3</v>
      </c>
      <c r="B151" s="4"/>
      <c r="C151" s="5"/>
      <c r="D151" s="4" t="s">
        <v>64</v>
      </c>
      <c r="E151" s="6"/>
      <c r="F151" s="6"/>
      <c r="G151" s="7"/>
      <c r="H151" s="8">
        <v>1</v>
      </c>
      <c r="I151" s="9" t="s">
        <v>9</v>
      </c>
      <c r="J151" s="4" t="s">
        <v>10</v>
      </c>
      <c r="K151" s="8" t="s">
        <v>58</v>
      </c>
      <c r="L151" s="8"/>
      <c r="M151" s="8"/>
      <c r="N151" s="8"/>
      <c r="O151" s="26">
        <f>H151</f>
        <v>1</v>
      </c>
      <c r="P151" s="26">
        <f>O151*H151</f>
        <v>1</v>
      </c>
      <c r="Q151" s="27">
        <f t="shared" si="81"/>
        <v>0</v>
      </c>
    </row>
    <row r="152" spans="1:17" ht="35.25" customHeight="1" x14ac:dyDescent="0.25">
      <c r="A152" s="13" t="str">
        <f t="shared" ref="A152:A159" si="82">A151</f>
        <v>ЩУР.МОП2-3</v>
      </c>
      <c r="B152" s="10" t="s">
        <v>11</v>
      </c>
      <c r="C152" s="11" t="s">
        <v>328</v>
      </c>
      <c r="D152" s="10" t="s">
        <v>329</v>
      </c>
      <c r="E152" s="10">
        <v>27000</v>
      </c>
      <c r="F152" s="12">
        <f>0.6*E152</f>
        <v>16200</v>
      </c>
      <c r="G152" s="12">
        <f>F152*H152</f>
        <v>16200</v>
      </c>
      <c r="H152" s="13">
        <v>1</v>
      </c>
      <c r="I152" s="14" t="s">
        <v>12</v>
      </c>
      <c r="J152" s="10" t="s">
        <v>13</v>
      </c>
      <c r="K152" s="13" t="str">
        <f t="shared" ref="K152:K159" si="83">K151</f>
        <v>Блок3</v>
      </c>
      <c r="L152" s="13"/>
      <c r="M152" s="13"/>
      <c r="N152" s="13"/>
      <c r="O152" s="26">
        <f t="shared" ref="O152:O159" si="84">O151</f>
        <v>1</v>
      </c>
      <c r="P152" s="26">
        <f>O152*H152</f>
        <v>1</v>
      </c>
      <c r="Q152" s="27">
        <f t="shared" si="81"/>
        <v>16200</v>
      </c>
    </row>
    <row r="153" spans="1:17" ht="35.25" customHeight="1" x14ac:dyDescent="0.25">
      <c r="A153" s="13" t="str">
        <f t="shared" si="82"/>
        <v>ЩУР.МОП2-3</v>
      </c>
      <c r="B153" s="10" t="s">
        <v>293</v>
      </c>
      <c r="C153" s="11" t="s">
        <v>195</v>
      </c>
      <c r="D153" s="10" t="s">
        <v>196</v>
      </c>
      <c r="E153" s="10">
        <v>6190</v>
      </c>
      <c r="F153" s="12">
        <f t="shared" ref="F153:F155" si="85">0.3*E153</f>
        <v>1857</v>
      </c>
      <c r="G153" s="12">
        <f>F153*H153</f>
        <v>1857</v>
      </c>
      <c r="H153" s="13">
        <v>1</v>
      </c>
      <c r="I153" s="14" t="s">
        <v>12</v>
      </c>
      <c r="J153" s="10" t="s">
        <v>207</v>
      </c>
      <c r="K153" s="13" t="str">
        <f t="shared" si="83"/>
        <v>Блок3</v>
      </c>
      <c r="L153" s="13"/>
      <c r="M153" s="13"/>
      <c r="N153" s="13"/>
      <c r="O153" s="26">
        <f t="shared" si="84"/>
        <v>1</v>
      </c>
      <c r="P153" s="26">
        <f>O153*H153</f>
        <v>1</v>
      </c>
      <c r="Q153" s="27">
        <f>P153*E153</f>
        <v>6190</v>
      </c>
    </row>
    <row r="154" spans="1:17" ht="35.25" customHeight="1" x14ac:dyDescent="0.25">
      <c r="A154" s="13" t="str">
        <f t="shared" si="82"/>
        <v>ЩУР.МОП2-3</v>
      </c>
      <c r="B154" s="10" t="s">
        <v>293</v>
      </c>
      <c r="C154" s="11" t="s">
        <v>201</v>
      </c>
      <c r="D154" s="10" t="s">
        <v>202</v>
      </c>
      <c r="E154" s="10">
        <v>5750</v>
      </c>
      <c r="F154" s="12">
        <f t="shared" si="85"/>
        <v>1725</v>
      </c>
      <c r="G154" s="12">
        <f>F154*H154</f>
        <v>3450</v>
      </c>
      <c r="H154" s="13">
        <v>2</v>
      </c>
      <c r="I154" s="14" t="s">
        <v>12</v>
      </c>
      <c r="J154" s="10" t="s">
        <v>207</v>
      </c>
      <c r="K154" s="13" t="str">
        <f t="shared" si="83"/>
        <v>Блок3</v>
      </c>
      <c r="L154" s="13"/>
      <c r="M154" s="13"/>
      <c r="N154" s="13"/>
      <c r="O154" s="26">
        <f t="shared" si="84"/>
        <v>1</v>
      </c>
      <c r="P154" s="26">
        <f>O154*H154</f>
        <v>2</v>
      </c>
      <c r="Q154" s="27">
        <f>P154*E154</f>
        <v>11500</v>
      </c>
    </row>
    <row r="155" spans="1:17" ht="35.25" customHeight="1" x14ac:dyDescent="0.25">
      <c r="A155" s="13" t="str">
        <f t="shared" si="82"/>
        <v>ЩУР.МОП2-3</v>
      </c>
      <c r="B155" s="10" t="s">
        <v>293</v>
      </c>
      <c r="C155" s="11" t="s">
        <v>193</v>
      </c>
      <c r="D155" s="10" t="s">
        <v>194</v>
      </c>
      <c r="E155" s="10">
        <v>6580</v>
      </c>
      <c r="F155" s="12">
        <f t="shared" si="85"/>
        <v>1974</v>
      </c>
      <c r="G155" s="12">
        <f>F155*H155</f>
        <v>3948</v>
      </c>
      <c r="H155" s="13">
        <v>2</v>
      </c>
      <c r="I155" s="14" t="s">
        <v>12</v>
      </c>
      <c r="J155" s="10" t="s">
        <v>207</v>
      </c>
      <c r="K155" s="13" t="str">
        <f t="shared" si="83"/>
        <v>Блок3</v>
      </c>
      <c r="L155" s="13"/>
      <c r="M155" s="13"/>
      <c r="N155" s="13"/>
      <c r="O155" s="26">
        <f t="shared" si="84"/>
        <v>1</v>
      </c>
      <c r="P155" s="26">
        <f>O155*H155</f>
        <v>2</v>
      </c>
      <c r="Q155" s="27">
        <f>P155*E155</f>
        <v>13160</v>
      </c>
    </row>
    <row r="156" spans="1:17" ht="35.25" customHeight="1" x14ac:dyDescent="0.25">
      <c r="A156" s="13" t="str">
        <f t="shared" si="82"/>
        <v>ЩУР.МОП2-3</v>
      </c>
      <c r="B156" s="10" t="s">
        <v>15</v>
      </c>
      <c r="C156" s="11" t="s">
        <v>299</v>
      </c>
      <c r="D156" s="10" t="s">
        <v>300</v>
      </c>
      <c r="E156" s="10">
        <v>32400</v>
      </c>
      <c r="F156" s="12">
        <f>E156</f>
        <v>32400</v>
      </c>
      <c r="G156" s="12">
        <f>F156*H156</f>
        <v>32400</v>
      </c>
      <c r="H156" s="13">
        <v>1</v>
      </c>
      <c r="I156" s="14" t="s">
        <v>12</v>
      </c>
      <c r="J156" s="10" t="s">
        <v>16</v>
      </c>
      <c r="K156" s="13" t="str">
        <f t="shared" si="83"/>
        <v>Блок3</v>
      </c>
      <c r="L156" s="13"/>
      <c r="M156" s="13"/>
      <c r="N156" s="13"/>
      <c r="O156" s="26">
        <f t="shared" si="84"/>
        <v>1</v>
      </c>
      <c r="P156" s="26">
        <f>O156*H156</f>
        <v>1</v>
      </c>
      <c r="Q156" s="27">
        <f t="shared" ref="Q156:Q162" si="86">P156*F156</f>
        <v>32400</v>
      </c>
    </row>
    <row r="157" spans="1:17" ht="35.25" customHeight="1" x14ac:dyDescent="0.25">
      <c r="A157" s="10" t="str">
        <f t="shared" si="82"/>
        <v>ЩУР.МОП2-3</v>
      </c>
      <c r="B157" s="10" t="s">
        <v>19</v>
      </c>
      <c r="C157" s="11" t="s">
        <v>19</v>
      </c>
      <c r="D157" s="10" t="s">
        <v>19</v>
      </c>
      <c r="E157" s="10">
        <f ca="1">OFFSET(E157,1,2)</f>
        <v>12000</v>
      </c>
      <c r="F157" s="12">
        <f ca="1">E157</f>
        <v>12000</v>
      </c>
      <c r="G157" s="12">
        <f ca="1">F157*H157</f>
        <v>12000</v>
      </c>
      <c r="H157" s="10">
        <v>1</v>
      </c>
      <c r="I157" s="10" t="s">
        <v>12</v>
      </c>
      <c r="J157" s="10" t="s">
        <v>19</v>
      </c>
      <c r="K157" s="13" t="str">
        <f t="shared" si="83"/>
        <v>Блок3</v>
      </c>
      <c r="L157" s="13"/>
      <c r="M157" s="13"/>
      <c r="N157" s="13"/>
      <c r="O157" s="26">
        <f t="shared" si="84"/>
        <v>1</v>
      </c>
      <c r="P157" s="26">
        <f>O157*H157</f>
        <v>1</v>
      </c>
      <c r="Q157" s="27">
        <f t="shared" ca="1" si="86"/>
        <v>12000</v>
      </c>
    </row>
    <row r="158" spans="1:17" ht="35.25" customHeight="1" x14ac:dyDescent="0.25">
      <c r="A158" s="10" t="str">
        <f t="shared" si="82"/>
        <v>ЩУР.МОП2-3</v>
      </c>
      <c r="B158" s="10" t="s">
        <v>20</v>
      </c>
      <c r="C158" s="11" t="s">
        <v>20</v>
      </c>
      <c r="D158" s="10" t="s">
        <v>20</v>
      </c>
      <c r="E158" s="10">
        <v>2</v>
      </c>
      <c r="F158" s="12">
        <v>100</v>
      </c>
      <c r="G158" s="12">
        <f>F158*H158</f>
        <v>12000</v>
      </c>
      <c r="H158" s="10">
        <f>60*E158</f>
        <v>120</v>
      </c>
      <c r="I158" s="10" t="s">
        <v>12</v>
      </c>
      <c r="J158" s="10" t="s">
        <v>20</v>
      </c>
      <c r="K158" s="13" t="str">
        <f t="shared" si="83"/>
        <v>Блок3</v>
      </c>
      <c r="L158" s="13"/>
      <c r="M158" s="13"/>
      <c r="N158" s="13"/>
      <c r="O158" s="26">
        <f t="shared" si="84"/>
        <v>1</v>
      </c>
      <c r="P158" s="26">
        <f>O158*H158</f>
        <v>120</v>
      </c>
      <c r="Q158" s="27">
        <f t="shared" si="86"/>
        <v>12000</v>
      </c>
    </row>
    <row r="159" spans="1:17" ht="35.25" customHeight="1" x14ac:dyDescent="0.25">
      <c r="A159" s="15" t="str">
        <f t="shared" si="82"/>
        <v>ЩУР.МОП2-3</v>
      </c>
      <c r="B159" s="15"/>
      <c r="C159" s="15"/>
      <c r="D159" s="16"/>
      <c r="E159" s="28"/>
      <c r="F159" s="12">
        <f>E159*0.55</f>
        <v>0</v>
      </c>
      <c r="G159" s="28">
        <f ca="1">SUM(G152:G158)</f>
        <v>81855</v>
      </c>
      <c r="H159" s="15"/>
      <c r="I159" s="19"/>
      <c r="J159" s="15"/>
      <c r="K159" s="13" t="str">
        <f t="shared" si="83"/>
        <v>Блок3</v>
      </c>
      <c r="L159" s="13"/>
      <c r="M159" s="13"/>
      <c r="N159" s="13"/>
      <c r="O159" s="26">
        <f t="shared" si="84"/>
        <v>1</v>
      </c>
      <c r="P159" s="26">
        <f>O159*H159</f>
        <v>0</v>
      </c>
      <c r="Q159" s="27">
        <f t="shared" si="86"/>
        <v>0</v>
      </c>
    </row>
    <row r="160" spans="1:17" ht="35.25" customHeight="1" x14ac:dyDescent="0.25">
      <c r="A160" s="8" t="str">
        <f>D160</f>
        <v>РЩ1-3 (АВР-Б-40-2-1)</v>
      </c>
      <c r="B160" s="4"/>
      <c r="C160" s="5"/>
      <c r="D160" s="4" t="s">
        <v>134</v>
      </c>
      <c r="E160" s="6"/>
      <c r="F160" s="6"/>
      <c r="G160" s="7"/>
      <c r="H160" s="8">
        <v>1</v>
      </c>
      <c r="I160" s="9" t="s">
        <v>9</v>
      </c>
      <c r="J160" s="4" t="s">
        <v>10</v>
      </c>
      <c r="K160" s="8" t="s">
        <v>58</v>
      </c>
      <c r="L160" s="8"/>
      <c r="M160" s="8"/>
      <c r="N160" s="8"/>
      <c r="O160" s="26">
        <f>H160</f>
        <v>1</v>
      </c>
      <c r="P160" s="26">
        <f>O160*H160</f>
        <v>1</v>
      </c>
      <c r="Q160" s="27">
        <f t="shared" si="86"/>
        <v>0</v>
      </c>
    </row>
    <row r="161" spans="1:17" ht="35.25" customHeight="1" x14ac:dyDescent="0.25">
      <c r="A161" s="13" t="str">
        <f t="shared" ref="A161:A173" si="87">A160</f>
        <v>РЩ1-3 (АВР-Б-40-2-1)</v>
      </c>
      <c r="B161" s="10" t="s">
        <v>11</v>
      </c>
      <c r="C161" s="11" t="s">
        <v>168</v>
      </c>
      <c r="D161" s="10" t="s">
        <v>169</v>
      </c>
      <c r="E161" s="10">
        <v>130000</v>
      </c>
      <c r="F161" s="12">
        <f t="shared" ref="F161:F162" si="88">0.6*E161</f>
        <v>78000</v>
      </c>
      <c r="G161" s="12">
        <f>F161*H161</f>
        <v>78000</v>
      </c>
      <c r="H161" s="13">
        <v>1</v>
      </c>
      <c r="I161" s="14" t="s">
        <v>12</v>
      </c>
      <c r="J161" s="10" t="s">
        <v>13</v>
      </c>
      <c r="K161" s="13" t="str">
        <f t="shared" ref="K161:K173" si="89">K160</f>
        <v>Блок3</v>
      </c>
      <c r="L161" s="13"/>
      <c r="M161" s="13"/>
      <c r="N161" s="13"/>
      <c r="O161" s="26">
        <f t="shared" ref="O161:O173" si="90">O160</f>
        <v>1</v>
      </c>
      <c r="P161" s="26">
        <f>O161*H161</f>
        <v>1</v>
      </c>
      <c r="Q161" s="27">
        <f t="shared" si="86"/>
        <v>78000</v>
      </c>
    </row>
    <row r="162" spans="1:17" ht="35.25" customHeight="1" x14ac:dyDescent="0.25">
      <c r="A162" s="13" t="str">
        <f t="shared" si="87"/>
        <v>РЩ1-3 (АВР-Б-40-2-1)</v>
      </c>
      <c r="B162" s="10" t="s">
        <v>44</v>
      </c>
      <c r="C162" s="11" t="s">
        <v>243</v>
      </c>
      <c r="D162" s="10" t="s">
        <v>244</v>
      </c>
      <c r="E162" s="10">
        <v>116176</v>
      </c>
      <c r="F162" s="12">
        <f t="shared" si="88"/>
        <v>69705.599999999991</v>
      </c>
      <c r="G162" s="12">
        <f>F162*H162</f>
        <v>69705.599999999991</v>
      </c>
      <c r="H162" s="13">
        <v>1</v>
      </c>
      <c r="I162" s="14" t="s">
        <v>12</v>
      </c>
      <c r="J162" s="10" t="s">
        <v>14</v>
      </c>
      <c r="K162" s="13" t="str">
        <f t="shared" si="89"/>
        <v>Блок3</v>
      </c>
      <c r="L162" s="13"/>
      <c r="M162" s="13"/>
      <c r="N162" s="13"/>
      <c r="O162" s="26">
        <f t="shared" si="90"/>
        <v>1</v>
      </c>
      <c r="P162" s="26">
        <f>O162*H162</f>
        <v>1</v>
      </c>
      <c r="Q162" s="27">
        <f t="shared" si="86"/>
        <v>69705.599999999991</v>
      </c>
    </row>
    <row r="163" spans="1:17" ht="35.25" customHeight="1" x14ac:dyDescent="0.25">
      <c r="A163" s="13" t="str">
        <f t="shared" si="87"/>
        <v>РЩ1-3 (АВР-Б-40-2-1)</v>
      </c>
      <c r="B163" s="10" t="s">
        <v>293</v>
      </c>
      <c r="C163" s="11" t="s">
        <v>213</v>
      </c>
      <c r="D163" s="10" t="s">
        <v>214</v>
      </c>
      <c r="E163" s="10">
        <v>7690</v>
      </c>
      <c r="F163" s="12">
        <f t="shared" ref="F163:F166" si="91">0.3*E163</f>
        <v>2307</v>
      </c>
      <c r="G163" s="12">
        <f>F163*H163</f>
        <v>4614</v>
      </c>
      <c r="H163" s="13">
        <v>2</v>
      </c>
      <c r="I163" s="14" t="s">
        <v>12</v>
      </c>
      <c r="J163" s="10" t="s">
        <v>207</v>
      </c>
      <c r="K163" s="13" t="str">
        <f t="shared" si="89"/>
        <v>Блок3</v>
      </c>
      <c r="L163" s="13"/>
      <c r="M163" s="13"/>
      <c r="N163" s="13"/>
      <c r="O163" s="26">
        <f t="shared" si="90"/>
        <v>1</v>
      </c>
      <c r="P163" s="26">
        <f>O163*H163</f>
        <v>2</v>
      </c>
      <c r="Q163" s="27">
        <f>P163*E163</f>
        <v>15380</v>
      </c>
    </row>
    <row r="164" spans="1:17" ht="35.25" customHeight="1" x14ac:dyDescent="0.25">
      <c r="A164" s="13" t="str">
        <f>A162</f>
        <v>РЩ1-3 (АВР-Б-40-2-1)</v>
      </c>
      <c r="B164" s="10" t="s">
        <v>293</v>
      </c>
      <c r="C164" s="11" t="s">
        <v>330</v>
      </c>
      <c r="D164" s="10" t="s">
        <v>331</v>
      </c>
      <c r="E164" s="10">
        <v>7690</v>
      </c>
      <c r="F164" s="12">
        <f t="shared" ref="F164" si="92">0.3*E164</f>
        <v>2307</v>
      </c>
      <c r="G164" s="12">
        <f>F164*H164</f>
        <v>2307</v>
      </c>
      <c r="H164" s="13">
        <v>1</v>
      </c>
      <c r="I164" s="14" t="s">
        <v>12</v>
      </c>
      <c r="J164" s="10" t="s">
        <v>208</v>
      </c>
      <c r="K164" s="13" t="str">
        <f>K162</f>
        <v>Блок3</v>
      </c>
      <c r="L164" s="13"/>
      <c r="M164" s="13"/>
      <c r="N164" s="13"/>
      <c r="O164" s="26">
        <f>O162</f>
        <v>1</v>
      </c>
      <c r="P164" s="26">
        <f>O164*H164</f>
        <v>1</v>
      </c>
      <c r="Q164" s="27">
        <f>P164*E164</f>
        <v>7690</v>
      </c>
    </row>
    <row r="165" spans="1:17" ht="35.25" customHeight="1" x14ac:dyDescent="0.25">
      <c r="A165" s="13" t="str">
        <f>A163</f>
        <v>РЩ1-3 (АВР-Б-40-2-1)</v>
      </c>
      <c r="B165" s="10" t="s">
        <v>293</v>
      </c>
      <c r="C165" s="11" t="s">
        <v>231</v>
      </c>
      <c r="D165" s="10" t="s">
        <v>232</v>
      </c>
      <c r="E165" s="10">
        <v>7690</v>
      </c>
      <c r="F165" s="12">
        <f t="shared" si="91"/>
        <v>2307</v>
      </c>
      <c r="G165" s="12">
        <f>F165*H165</f>
        <v>4614</v>
      </c>
      <c r="H165" s="13">
        <v>2</v>
      </c>
      <c r="I165" s="14" t="s">
        <v>12</v>
      </c>
      <c r="J165" s="10" t="s">
        <v>207</v>
      </c>
      <c r="K165" s="13" t="str">
        <f>K163</f>
        <v>Блок3</v>
      </c>
      <c r="L165" s="13"/>
      <c r="M165" s="13"/>
      <c r="N165" s="13"/>
      <c r="O165" s="26">
        <f>O163</f>
        <v>1</v>
      </c>
      <c r="P165" s="26">
        <f>O165*H165</f>
        <v>2</v>
      </c>
      <c r="Q165" s="27">
        <f>P165*E165</f>
        <v>15380</v>
      </c>
    </row>
    <row r="166" spans="1:17" ht="35.25" customHeight="1" x14ac:dyDescent="0.25">
      <c r="A166" s="13" t="str">
        <f t="shared" si="87"/>
        <v>РЩ1-3 (АВР-Б-40-2-1)</v>
      </c>
      <c r="B166" s="10" t="s">
        <v>294</v>
      </c>
      <c r="C166" s="11" t="s">
        <v>203</v>
      </c>
      <c r="D166" s="10" t="s">
        <v>204</v>
      </c>
      <c r="E166" s="10">
        <v>13450</v>
      </c>
      <c r="F166" s="12">
        <f t="shared" si="91"/>
        <v>4035</v>
      </c>
      <c r="G166" s="12">
        <f>F166*H166</f>
        <v>8070</v>
      </c>
      <c r="H166" s="13">
        <v>2</v>
      </c>
      <c r="I166" s="14" t="s">
        <v>12</v>
      </c>
      <c r="J166" s="10" t="s">
        <v>207</v>
      </c>
      <c r="K166" s="13" t="str">
        <f t="shared" si="89"/>
        <v>Блок3</v>
      </c>
      <c r="L166" s="13"/>
      <c r="M166" s="13"/>
      <c r="N166" s="13"/>
      <c r="O166" s="26">
        <f t="shared" si="90"/>
        <v>1</v>
      </c>
      <c r="P166" s="26">
        <f>O166*H166</f>
        <v>2</v>
      </c>
      <c r="Q166" s="27">
        <f>P166*E166</f>
        <v>26900</v>
      </c>
    </row>
    <row r="167" spans="1:17" ht="35.25" customHeight="1" x14ac:dyDescent="0.25">
      <c r="A167" s="13" t="str">
        <f t="shared" si="87"/>
        <v>РЩ1-3 (АВР-Б-40-2-1)</v>
      </c>
      <c r="B167" s="10" t="s">
        <v>18</v>
      </c>
      <c r="C167" s="11" t="s">
        <v>233</v>
      </c>
      <c r="D167" s="10" t="s">
        <v>234</v>
      </c>
      <c r="E167" s="10">
        <v>5884</v>
      </c>
      <c r="F167" s="12">
        <f>0.6*E167</f>
        <v>3530.4</v>
      </c>
      <c r="G167" s="12">
        <f>F167*H167</f>
        <v>3530.4</v>
      </c>
      <c r="H167" s="13">
        <v>1</v>
      </c>
      <c r="I167" s="14" t="s">
        <v>12</v>
      </c>
      <c r="J167" s="10" t="s">
        <v>14</v>
      </c>
      <c r="K167" s="13" t="str">
        <f t="shared" si="89"/>
        <v>Блок3</v>
      </c>
      <c r="L167" s="13"/>
      <c r="M167" s="13"/>
      <c r="N167" s="13"/>
      <c r="O167" s="26">
        <f t="shared" si="90"/>
        <v>1</v>
      </c>
      <c r="P167" s="26">
        <f>O167*H167</f>
        <v>1</v>
      </c>
      <c r="Q167" s="27">
        <f>P167*F167</f>
        <v>3530.4</v>
      </c>
    </row>
    <row r="168" spans="1:17" ht="35.25" customHeight="1" x14ac:dyDescent="0.25">
      <c r="A168" s="13" t="str">
        <f t="shared" si="87"/>
        <v>РЩ1-3 (АВР-Б-40-2-1)</v>
      </c>
      <c r="B168" s="10" t="s">
        <v>293</v>
      </c>
      <c r="C168" s="11" t="s">
        <v>205</v>
      </c>
      <c r="D168" s="10" t="s">
        <v>206</v>
      </c>
      <c r="E168" s="10">
        <v>7090</v>
      </c>
      <c r="F168" s="12">
        <f>0.3*E168</f>
        <v>2127</v>
      </c>
      <c r="G168" s="12">
        <f>F168*H168</f>
        <v>2127</v>
      </c>
      <c r="H168" s="13">
        <v>1</v>
      </c>
      <c r="I168" s="14" t="s">
        <v>12</v>
      </c>
      <c r="J168" s="10" t="s">
        <v>207</v>
      </c>
      <c r="K168" s="13" t="str">
        <f t="shared" si="89"/>
        <v>Блок3</v>
      </c>
      <c r="L168" s="13"/>
      <c r="M168" s="13"/>
      <c r="N168" s="13"/>
      <c r="O168" s="26">
        <f t="shared" si="90"/>
        <v>1</v>
      </c>
      <c r="P168" s="26">
        <f>O168*H168</f>
        <v>1</v>
      </c>
      <c r="Q168" s="27">
        <f>P168*E168</f>
        <v>7090</v>
      </c>
    </row>
    <row r="169" spans="1:17" ht="35.25" customHeight="1" x14ac:dyDescent="0.25">
      <c r="A169" s="13" t="str">
        <f t="shared" si="87"/>
        <v>РЩ1-3 (АВР-Б-40-2-1)</v>
      </c>
      <c r="B169" s="10" t="s">
        <v>15</v>
      </c>
      <c r="C169" s="11" t="s">
        <v>299</v>
      </c>
      <c r="D169" s="10" t="s">
        <v>300</v>
      </c>
      <c r="E169" s="10">
        <v>32400</v>
      </c>
      <c r="F169" s="12">
        <f>E169</f>
        <v>32400</v>
      </c>
      <c r="G169" s="12">
        <f>F169*H169</f>
        <v>32400</v>
      </c>
      <c r="H169" s="13">
        <v>1</v>
      </c>
      <c r="I169" s="14" t="s">
        <v>12</v>
      </c>
      <c r="J169" s="10" t="s">
        <v>16</v>
      </c>
      <c r="K169" s="13" t="str">
        <f t="shared" si="89"/>
        <v>Блок3</v>
      </c>
      <c r="L169" s="13"/>
      <c r="M169" s="13"/>
      <c r="N169" s="13"/>
      <c r="O169" s="26">
        <f t="shared" si="90"/>
        <v>1</v>
      </c>
      <c r="P169" s="26">
        <f>O169*H169</f>
        <v>1</v>
      </c>
      <c r="Q169" s="27">
        <f t="shared" ref="Q169:Q176" si="93">P169*F169</f>
        <v>32400</v>
      </c>
    </row>
    <row r="170" spans="1:17" ht="35.25" customHeight="1" x14ac:dyDescent="0.25">
      <c r="A170" s="13" t="str">
        <f t="shared" si="87"/>
        <v>РЩ1-3 (АВР-Б-40-2-1)</v>
      </c>
      <c r="B170" s="10" t="s">
        <v>30</v>
      </c>
      <c r="C170" s="11"/>
      <c r="D170" s="10" t="s">
        <v>31</v>
      </c>
      <c r="E170" s="10">
        <v>3850</v>
      </c>
      <c r="F170" s="12">
        <f>E170</f>
        <v>3850</v>
      </c>
      <c r="G170" s="12">
        <f>F170*H170</f>
        <v>23100</v>
      </c>
      <c r="H170" s="13">
        <v>6</v>
      </c>
      <c r="I170" s="14" t="s">
        <v>12</v>
      </c>
      <c r="J170" s="10" t="s">
        <v>25</v>
      </c>
      <c r="K170" s="13" t="str">
        <f t="shared" si="89"/>
        <v>Блок3</v>
      </c>
      <c r="L170" s="13"/>
      <c r="M170" s="13"/>
      <c r="N170" s="13"/>
      <c r="O170" s="26">
        <f t="shared" si="90"/>
        <v>1</v>
      </c>
      <c r="P170" s="26">
        <f>O170*H170</f>
        <v>6</v>
      </c>
      <c r="Q170" s="27">
        <f t="shared" si="93"/>
        <v>23100</v>
      </c>
    </row>
    <row r="171" spans="1:17" ht="35.25" customHeight="1" x14ac:dyDescent="0.25">
      <c r="A171" s="10" t="str">
        <f t="shared" si="87"/>
        <v>РЩ1-3 (АВР-Б-40-2-1)</v>
      </c>
      <c r="B171" s="10" t="s">
        <v>19</v>
      </c>
      <c r="C171" s="11" t="s">
        <v>19</v>
      </c>
      <c r="D171" s="10" t="s">
        <v>19</v>
      </c>
      <c r="E171" s="10">
        <f ca="1">OFFSET(E171,1,2)</f>
        <v>39000</v>
      </c>
      <c r="F171" s="12">
        <f ca="1">E171</f>
        <v>39000</v>
      </c>
      <c r="G171" s="12">
        <f ca="1">F171*H171</f>
        <v>39000</v>
      </c>
      <c r="H171" s="10">
        <v>1</v>
      </c>
      <c r="I171" s="10" t="s">
        <v>12</v>
      </c>
      <c r="J171" s="10" t="s">
        <v>19</v>
      </c>
      <c r="K171" s="13" t="str">
        <f t="shared" si="89"/>
        <v>Блок3</v>
      </c>
      <c r="L171" s="13"/>
      <c r="M171" s="13"/>
      <c r="N171" s="13"/>
      <c r="O171" s="26">
        <f t="shared" si="90"/>
        <v>1</v>
      </c>
      <c r="P171" s="26">
        <f>O171*H171</f>
        <v>1</v>
      </c>
      <c r="Q171" s="27">
        <f t="shared" ca="1" si="93"/>
        <v>39000</v>
      </c>
    </row>
    <row r="172" spans="1:17" ht="35.25" customHeight="1" x14ac:dyDescent="0.25">
      <c r="A172" s="10" t="str">
        <f t="shared" si="87"/>
        <v>РЩ1-3 (АВР-Б-40-2-1)</v>
      </c>
      <c r="B172" s="10" t="s">
        <v>20</v>
      </c>
      <c r="C172" s="11" t="s">
        <v>20</v>
      </c>
      <c r="D172" s="10" t="s">
        <v>20</v>
      </c>
      <c r="E172" s="10">
        <v>6.5</v>
      </c>
      <c r="F172" s="12">
        <v>100</v>
      </c>
      <c r="G172" s="12">
        <f>F172*H172</f>
        <v>39000</v>
      </c>
      <c r="H172" s="10">
        <f>60*E172</f>
        <v>390</v>
      </c>
      <c r="I172" s="10" t="s">
        <v>12</v>
      </c>
      <c r="J172" s="10" t="s">
        <v>20</v>
      </c>
      <c r="K172" s="13" t="str">
        <f t="shared" si="89"/>
        <v>Блок3</v>
      </c>
      <c r="L172" s="13"/>
      <c r="M172" s="13"/>
      <c r="N172" s="13"/>
      <c r="O172" s="26">
        <f t="shared" si="90"/>
        <v>1</v>
      </c>
      <c r="P172" s="26">
        <f>O172*H172</f>
        <v>390</v>
      </c>
      <c r="Q172" s="27">
        <f t="shared" si="93"/>
        <v>39000</v>
      </c>
    </row>
    <row r="173" spans="1:17" ht="35.25" customHeight="1" x14ac:dyDescent="0.25">
      <c r="A173" s="15" t="str">
        <f t="shared" si="87"/>
        <v>РЩ1-3 (АВР-Б-40-2-1)</v>
      </c>
      <c r="B173" s="15"/>
      <c r="C173" s="15"/>
      <c r="D173" s="16"/>
      <c r="E173" s="28"/>
      <c r="F173" s="12">
        <f>E173*0.55</f>
        <v>0</v>
      </c>
      <c r="G173" s="28">
        <f ca="1">SUM(G161:G172)</f>
        <v>306468</v>
      </c>
      <c r="H173" s="15"/>
      <c r="I173" s="19"/>
      <c r="J173" s="15"/>
      <c r="K173" s="13" t="str">
        <f t="shared" si="89"/>
        <v>Блок3</v>
      </c>
      <c r="L173" s="13"/>
      <c r="M173" s="13"/>
      <c r="N173" s="13"/>
      <c r="O173" s="26">
        <f t="shared" si="90"/>
        <v>1</v>
      </c>
      <c r="P173" s="26">
        <f>O173*H173</f>
        <v>0</v>
      </c>
      <c r="Q173" s="27">
        <f t="shared" si="93"/>
        <v>0</v>
      </c>
    </row>
    <row r="174" spans="1:17" ht="35.25" customHeight="1" x14ac:dyDescent="0.25">
      <c r="A174" s="8" t="str">
        <f>D174</f>
        <v>РЩ2-3 (АВР-Б-40-2-1)</v>
      </c>
      <c r="B174" s="4"/>
      <c r="C174" s="5"/>
      <c r="D174" s="4" t="s">
        <v>135</v>
      </c>
      <c r="E174" s="6"/>
      <c r="F174" s="6"/>
      <c r="G174" s="7"/>
      <c r="H174" s="8">
        <v>1</v>
      </c>
      <c r="I174" s="9" t="s">
        <v>9</v>
      </c>
      <c r="J174" s="4" t="s">
        <v>10</v>
      </c>
      <c r="K174" s="8" t="s">
        <v>58</v>
      </c>
      <c r="L174" s="8"/>
      <c r="M174" s="8"/>
      <c r="N174" s="8"/>
      <c r="O174" s="26">
        <f>H174</f>
        <v>1</v>
      </c>
      <c r="P174" s="26">
        <f>O174*H174</f>
        <v>1</v>
      </c>
      <c r="Q174" s="27">
        <f t="shared" si="93"/>
        <v>0</v>
      </c>
    </row>
    <row r="175" spans="1:17" ht="35.25" customHeight="1" x14ac:dyDescent="0.25">
      <c r="A175" s="13" t="str">
        <f t="shared" ref="A175:A186" si="94">A174</f>
        <v>РЩ2-3 (АВР-Б-40-2-1)</v>
      </c>
      <c r="B175" s="10" t="s">
        <v>11</v>
      </c>
      <c r="C175" s="11" t="s">
        <v>168</v>
      </c>
      <c r="D175" s="10" t="s">
        <v>169</v>
      </c>
      <c r="E175" s="10">
        <v>130000</v>
      </c>
      <c r="F175" s="12">
        <f t="shared" ref="F175:F176" si="95">0.6*E175</f>
        <v>78000</v>
      </c>
      <c r="G175" s="12">
        <f>F175*H175</f>
        <v>78000</v>
      </c>
      <c r="H175" s="13">
        <v>1</v>
      </c>
      <c r="I175" s="14" t="s">
        <v>12</v>
      </c>
      <c r="J175" s="10" t="s">
        <v>13</v>
      </c>
      <c r="K175" s="13" t="str">
        <f t="shared" ref="K175:K186" si="96">K174</f>
        <v>Блок3</v>
      </c>
      <c r="L175" s="13"/>
      <c r="M175" s="13"/>
      <c r="N175" s="13"/>
      <c r="O175" s="26">
        <f t="shared" ref="O175:O186" si="97">O174</f>
        <v>1</v>
      </c>
      <c r="P175" s="26">
        <f>O175*H175</f>
        <v>1</v>
      </c>
      <c r="Q175" s="27">
        <f t="shared" si="93"/>
        <v>78000</v>
      </c>
    </row>
    <row r="176" spans="1:17" ht="35.25" customHeight="1" x14ac:dyDescent="0.25">
      <c r="A176" s="13" t="str">
        <f t="shared" si="94"/>
        <v>РЩ2-3 (АВР-Б-40-2-1)</v>
      </c>
      <c r="B176" s="10" t="s">
        <v>44</v>
      </c>
      <c r="C176" s="11" t="s">
        <v>243</v>
      </c>
      <c r="D176" s="10" t="s">
        <v>244</v>
      </c>
      <c r="E176" s="10">
        <v>116176</v>
      </c>
      <c r="F176" s="12">
        <f t="shared" si="95"/>
        <v>69705.599999999991</v>
      </c>
      <c r="G176" s="12">
        <f>F176*H176</f>
        <v>69705.599999999991</v>
      </c>
      <c r="H176" s="13">
        <v>1</v>
      </c>
      <c r="I176" s="14" t="s">
        <v>12</v>
      </c>
      <c r="J176" s="10" t="s">
        <v>14</v>
      </c>
      <c r="K176" s="13" t="str">
        <f t="shared" si="96"/>
        <v>Блок3</v>
      </c>
      <c r="L176" s="13"/>
      <c r="M176" s="13"/>
      <c r="N176" s="13"/>
      <c r="O176" s="26">
        <f t="shared" si="97"/>
        <v>1</v>
      </c>
      <c r="P176" s="26">
        <f>O176*H176</f>
        <v>1</v>
      </c>
      <c r="Q176" s="27">
        <f t="shared" si="93"/>
        <v>69705.599999999991</v>
      </c>
    </row>
    <row r="177" spans="1:17" ht="35.25" customHeight="1" x14ac:dyDescent="0.25">
      <c r="A177" s="13" t="str">
        <f t="shared" si="94"/>
        <v>РЩ2-3 (АВР-Б-40-2-1)</v>
      </c>
      <c r="B177" s="10" t="s">
        <v>293</v>
      </c>
      <c r="C177" s="11" t="s">
        <v>213</v>
      </c>
      <c r="D177" s="10" t="s">
        <v>214</v>
      </c>
      <c r="E177" s="10">
        <v>7690</v>
      </c>
      <c r="F177" s="12">
        <f t="shared" ref="F177:F179" si="98">0.3*E177</f>
        <v>2307</v>
      </c>
      <c r="G177" s="12">
        <f>F177*H177</f>
        <v>4614</v>
      </c>
      <c r="H177" s="13">
        <v>2</v>
      </c>
      <c r="I177" s="14" t="s">
        <v>12</v>
      </c>
      <c r="J177" s="10" t="s">
        <v>207</v>
      </c>
      <c r="K177" s="13" t="str">
        <f t="shared" si="96"/>
        <v>Блок3</v>
      </c>
      <c r="L177" s="13"/>
      <c r="M177" s="13"/>
      <c r="N177" s="13"/>
      <c r="O177" s="26">
        <f t="shared" si="97"/>
        <v>1</v>
      </c>
      <c r="P177" s="26">
        <f>O177*H177</f>
        <v>2</v>
      </c>
      <c r="Q177" s="27">
        <f>P177*E177</f>
        <v>15380</v>
      </c>
    </row>
    <row r="178" spans="1:17" ht="35.25" customHeight="1" x14ac:dyDescent="0.25">
      <c r="A178" s="13" t="str">
        <f t="shared" si="94"/>
        <v>РЩ2-3 (АВР-Б-40-2-1)</v>
      </c>
      <c r="B178" s="10" t="s">
        <v>293</v>
      </c>
      <c r="C178" s="11" t="s">
        <v>231</v>
      </c>
      <c r="D178" s="10" t="s">
        <v>232</v>
      </c>
      <c r="E178" s="10">
        <v>7690</v>
      </c>
      <c r="F178" s="12">
        <f t="shared" si="98"/>
        <v>2307</v>
      </c>
      <c r="G178" s="12">
        <f>F178*H178</f>
        <v>4614</v>
      </c>
      <c r="H178" s="13">
        <v>2</v>
      </c>
      <c r="I178" s="14" t="s">
        <v>12</v>
      </c>
      <c r="J178" s="10" t="s">
        <v>207</v>
      </c>
      <c r="K178" s="13" t="str">
        <f t="shared" si="96"/>
        <v>Блок3</v>
      </c>
      <c r="L178" s="13"/>
      <c r="M178" s="13"/>
      <c r="N178" s="13"/>
      <c r="O178" s="26">
        <f t="shared" si="97"/>
        <v>1</v>
      </c>
      <c r="P178" s="26">
        <f>O178*H178</f>
        <v>2</v>
      </c>
      <c r="Q178" s="27">
        <f>P178*E178</f>
        <v>15380</v>
      </c>
    </row>
    <row r="179" spans="1:17" ht="35.25" customHeight="1" x14ac:dyDescent="0.25">
      <c r="A179" s="13" t="str">
        <f t="shared" si="94"/>
        <v>РЩ2-3 (АВР-Б-40-2-1)</v>
      </c>
      <c r="B179" s="10" t="s">
        <v>294</v>
      </c>
      <c r="C179" s="11" t="s">
        <v>203</v>
      </c>
      <c r="D179" s="10" t="s">
        <v>204</v>
      </c>
      <c r="E179" s="10">
        <v>13450</v>
      </c>
      <c r="F179" s="12">
        <f t="shared" si="98"/>
        <v>4035</v>
      </c>
      <c r="G179" s="12">
        <f>F179*H179</f>
        <v>8070</v>
      </c>
      <c r="H179" s="13">
        <v>2</v>
      </c>
      <c r="I179" s="14" t="s">
        <v>12</v>
      </c>
      <c r="J179" s="10" t="s">
        <v>207</v>
      </c>
      <c r="K179" s="13" t="str">
        <f t="shared" si="96"/>
        <v>Блок3</v>
      </c>
      <c r="L179" s="13"/>
      <c r="M179" s="13"/>
      <c r="N179" s="13"/>
      <c r="O179" s="26">
        <f t="shared" si="97"/>
        <v>1</v>
      </c>
      <c r="P179" s="26">
        <f>O179*H179</f>
        <v>2</v>
      </c>
      <c r="Q179" s="27">
        <f>P179*E179</f>
        <v>26900</v>
      </c>
    </row>
    <row r="180" spans="1:17" ht="35.25" customHeight="1" x14ac:dyDescent="0.25">
      <c r="A180" s="13" t="str">
        <f t="shared" si="94"/>
        <v>РЩ2-3 (АВР-Б-40-2-1)</v>
      </c>
      <c r="B180" s="10" t="s">
        <v>293</v>
      </c>
      <c r="C180" s="11" t="s">
        <v>330</v>
      </c>
      <c r="D180" s="10" t="s">
        <v>331</v>
      </c>
      <c r="E180" s="10">
        <v>5884</v>
      </c>
      <c r="F180" s="12">
        <f>0.6*E180</f>
        <v>3530.4</v>
      </c>
      <c r="G180" s="12">
        <f>F180*H180</f>
        <v>3530.4</v>
      </c>
      <c r="H180" s="13">
        <v>1</v>
      </c>
      <c r="I180" s="14" t="s">
        <v>12</v>
      </c>
      <c r="J180" s="10" t="s">
        <v>208</v>
      </c>
      <c r="K180" s="13" t="str">
        <f t="shared" si="96"/>
        <v>Блок3</v>
      </c>
      <c r="L180" s="13"/>
      <c r="M180" s="13"/>
      <c r="N180" s="13"/>
      <c r="O180" s="26">
        <f t="shared" si="97"/>
        <v>1</v>
      </c>
      <c r="P180" s="26">
        <f>O180*H180</f>
        <v>1</v>
      </c>
      <c r="Q180" s="27">
        <f>P180*F180</f>
        <v>3530.4</v>
      </c>
    </row>
    <row r="181" spans="1:17" ht="35.25" customHeight="1" x14ac:dyDescent="0.25">
      <c r="A181" s="13" t="str">
        <f t="shared" si="94"/>
        <v>РЩ2-3 (АВР-Б-40-2-1)</v>
      </c>
      <c r="B181" s="10" t="s">
        <v>293</v>
      </c>
      <c r="C181" s="11" t="s">
        <v>205</v>
      </c>
      <c r="D181" s="10" t="s">
        <v>206</v>
      </c>
      <c r="E181" s="10">
        <v>7090</v>
      </c>
      <c r="F181" s="12">
        <f>0.3*E181</f>
        <v>2127</v>
      </c>
      <c r="G181" s="12">
        <f>F181*H181</f>
        <v>2127</v>
      </c>
      <c r="H181" s="13">
        <v>1</v>
      </c>
      <c r="I181" s="14" t="s">
        <v>12</v>
      </c>
      <c r="J181" s="10" t="s">
        <v>207</v>
      </c>
      <c r="K181" s="13" t="str">
        <f t="shared" si="96"/>
        <v>Блок3</v>
      </c>
      <c r="L181" s="13"/>
      <c r="M181" s="13"/>
      <c r="N181" s="13"/>
      <c r="O181" s="26">
        <f t="shared" si="97"/>
        <v>1</v>
      </c>
      <c r="P181" s="26">
        <f>O181*H181</f>
        <v>1</v>
      </c>
      <c r="Q181" s="27">
        <f>P181*E181</f>
        <v>7090</v>
      </c>
    </row>
    <row r="182" spans="1:17" ht="35.25" customHeight="1" x14ac:dyDescent="0.25">
      <c r="A182" s="13" t="str">
        <f t="shared" si="94"/>
        <v>РЩ2-3 (АВР-Б-40-2-1)</v>
      </c>
      <c r="B182" s="10" t="s">
        <v>15</v>
      </c>
      <c r="C182" s="11" t="s">
        <v>299</v>
      </c>
      <c r="D182" s="10" t="s">
        <v>300</v>
      </c>
      <c r="E182" s="10">
        <v>32400</v>
      </c>
      <c r="F182" s="12">
        <f>E182</f>
        <v>32400</v>
      </c>
      <c r="G182" s="12">
        <f>F182*H182</f>
        <v>32400</v>
      </c>
      <c r="H182" s="13">
        <v>1</v>
      </c>
      <c r="I182" s="14" t="s">
        <v>12</v>
      </c>
      <c r="J182" s="10" t="s">
        <v>16</v>
      </c>
      <c r="K182" s="13" t="str">
        <f t="shared" si="96"/>
        <v>Блок3</v>
      </c>
      <c r="L182" s="13"/>
      <c r="M182" s="13"/>
      <c r="N182" s="13"/>
      <c r="O182" s="26">
        <f t="shared" si="97"/>
        <v>1</v>
      </c>
      <c r="P182" s="26">
        <f>O182*H182</f>
        <v>1</v>
      </c>
      <c r="Q182" s="27">
        <f t="shared" ref="Q182:Q192" si="99">P182*F182</f>
        <v>32400</v>
      </c>
    </row>
    <row r="183" spans="1:17" ht="35.25" customHeight="1" x14ac:dyDescent="0.25">
      <c r="A183" s="13" t="str">
        <f t="shared" si="94"/>
        <v>РЩ2-3 (АВР-Б-40-2-1)</v>
      </c>
      <c r="B183" s="10" t="s">
        <v>30</v>
      </c>
      <c r="C183" s="11"/>
      <c r="D183" s="10" t="s">
        <v>31</v>
      </c>
      <c r="E183" s="10">
        <v>3850</v>
      </c>
      <c r="F183" s="12">
        <f>E183</f>
        <v>3850</v>
      </c>
      <c r="G183" s="12">
        <f>F183*H183</f>
        <v>23100</v>
      </c>
      <c r="H183" s="13">
        <v>6</v>
      </c>
      <c r="I183" s="14" t="s">
        <v>12</v>
      </c>
      <c r="J183" s="10" t="s">
        <v>25</v>
      </c>
      <c r="K183" s="13" t="str">
        <f t="shared" si="96"/>
        <v>Блок3</v>
      </c>
      <c r="L183" s="13"/>
      <c r="M183" s="13"/>
      <c r="N183" s="13"/>
      <c r="O183" s="26">
        <f t="shared" si="97"/>
        <v>1</v>
      </c>
      <c r="P183" s="26">
        <f>O183*H183</f>
        <v>6</v>
      </c>
      <c r="Q183" s="27">
        <f t="shared" si="99"/>
        <v>23100</v>
      </c>
    </row>
    <row r="184" spans="1:17" ht="35.25" customHeight="1" x14ac:dyDescent="0.25">
      <c r="A184" s="10" t="str">
        <f t="shared" si="94"/>
        <v>РЩ2-3 (АВР-Б-40-2-1)</v>
      </c>
      <c r="B184" s="10" t="s">
        <v>19</v>
      </c>
      <c r="C184" s="11" t="s">
        <v>19</v>
      </c>
      <c r="D184" s="10" t="s">
        <v>19</v>
      </c>
      <c r="E184" s="10">
        <f ca="1">OFFSET(E184,1,2)</f>
        <v>39000</v>
      </c>
      <c r="F184" s="12">
        <f ca="1">E184</f>
        <v>39000</v>
      </c>
      <c r="G184" s="12">
        <f ca="1">F184*H184</f>
        <v>39000</v>
      </c>
      <c r="H184" s="10">
        <v>1</v>
      </c>
      <c r="I184" s="10" t="s">
        <v>12</v>
      </c>
      <c r="J184" s="10" t="s">
        <v>19</v>
      </c>
      <c r="K184" s="13" t="str">
        <f t="shared" si="96"/>
        <v>Блок3</v>
      </c>
      <c r="L184" s="13"/>
      <c r="M184" s="13"/>
      <c r="N184" s="13"/>
      <c r="O184" s="26">
        <f t="shared" si="97"/>
        <v>1</v>
      </c>
      <c r="P184" s="26">
        <f>O184*H184</f>
        <v>1</v>
      </c>
      <c r="Q184" s="27">
        <f t="shared" ca="1" si="99"/>
        <v>39000</v>
      </c>
    </row>
    <row r="185" spans="1:17" ht="35.25" customHeight="1" x14ac:dyDescent="0.25">
      <c r="A185" s="10" t="str">
        <f t="shared" si="94"/>
        <v>РЩ2-3 (АВР-Б-40-2-1)</v>
      </c>
      <c r="B185" s="10" t="s">
        <v>20</v>
      </c>
      <c r="C185" s="11" t="s">
        <v>20</v>
      </c>
      <c r="D185" s="10" t="s">
        <v>20</v>
      </c>
      <c r="E185" s="10">
        <v>6.5</v>
      </c>
      <c r="F185" s="12">
        <v>100</v>
      </c>
      <c r="G185" s="12">
        <f>F185*H185</f>
        <v>39000</v>
      </c>
      <c r="H185" s="10">
        <f>60*E185</f>
        <v>390</v>
      </c>
      <c r="I185" s="10" t="s">
        <v>12</v>
      </c>
      <c r="J185" s="10" t="s">
        <v>20</v>
      </c>
      <c r="K185" s="13" t="str">
        <f t="shared" si="96"/>
        <v>Блок3</v>
      </c>
      <c r="L185" s="13"/>
      <c r="M185" s="13"/>
      <c r="N185" s="13"/>
      <c r="O185" s="26">
        <f t="shared" si="97"/>
        <v>1</v>
      </c>
      <c r="P185" s="26">
        <f>O185*H185</f>
        <v>390</v>
      </c>
      <c r="Q185" s="27">
        <f t="shared" si="99"/>
        <v>39000</v>
      </c>
    </row>
    <row r="186" spans="1:17" ht="35.25" customHeight="1" x14ac:dyDescent="0.25">
      <c r="A186" s="15" t="str">
        <f t="shared" si="94"/>
        <v>РЩ2-3 (АВР-Б-40-2-1)</v>
      </c>
      <c r="B186" s="15"/>
      <c r="C186" s="15"/>
      <c r="D186" s="16"/>
      <c r="E186" s="28"/>
      <c r="F186" s="12">
        <f>E186*0.55</f>
        <v>0</v>
      </c>
      <c r="G186" s="28">
        <f ca="1">SUM(G175:G185)</f>
        <v>304161</v>
      </c>
      <c r="H186" s="15"/>
      <c r="I186" s="19"/>
      <c r="J186" s="15"/>
      <c r="K186" s="13" t="str">
        <f t="shared" si="96"/>
        <v>Блок3</v>
      </c>
      <c r="L186" s="13"/>
      <c r="M186" s="13"/>
      <c r="N186" s="13"/>
      <c r="O186" s="26">
        <f t="shared" si="97"/>
        <v>1</v>
      </c>
      <c r="P186" s="26">
        <f>O186*H186</f>
        <v>0</v>
      </c>
      <c r="Q186" s="27">
        <f t="shared" si="99"/>
        <v>0</v>
      </c>
    </row>
    <row r="187" spans="1:17" ht="35.25" customHeight="1" x14ac:dyDescent="0.25">
      <c r="A187" s="8" t="str">
        <f>D187</f>
        <v>ВРУ1-4</v>
      </c>
      <c r="B187" s="4"/>
      <c r="C187" s="5"/>
      <c r="D187" s="4" t="s">
        <v>65</v>
      </c>
      <c r="E187" s="6"/>
      <c r="F187" s="6"/>
      <c r="G187" s="7"/>
      <c r="H187" s="8">
        <v>1</v>
      </c>
      <c r="I187" s="9" t="s">
        <v>9</v>
      </c>
      <c r="J187" s="4" t="s">
        <v>10</v>
      </c>
      <c r="K187" s="8" t="s">
        <v>66</v>
      </c>
      <c r="L187" s="8"/>
      <c r="M187" s="8"/>
      <c r="N187" s="8"/>
      <c r="O187" s="26">
        <f>H187</f>
        <v>1</v>
      </c>
      <c r="P187" s="26">
        <f>O187*H187</f>
        <v>1</v>
      </c>
      <c r="Q187" s="27">
        <f t="shared" si="99"/>
        <v>0</v>
      </c>
    </row>
    <row r="188" spans="1:17" ht="35.25" customHeight="1" x14ac:dyDescent="0.25">
      <c r="A188" s="13" t="str">
        <f t="shared" ref="A188:A198" si="100">A187</f>
        <v>ВРУ1-4</v>
      </c>
      <c r="B188" s="10" t="s">
        <v>11</v>
      </c>
      <c r="C188" s="11" t="s">
        <v>172</v>
      </c>
      <c r="D188" s="10" t="s">
        <v>173</v>
      </c>
      <c r="E188" s="10">
        <v>156500</v>
      </c>
      <c r="F188" s="12">
        <f>0.6*E188</f>
        <v>93900</v>
      </c>
      <c r="G188" s="12">
        <f>F188*H188</f>
        <v>93900</v>
      </c>
      <c r="H188" s="13">
        <v>1</v>
      </c>
      <c r="I188" s="14" t="s">
        <v>12</v>
      </c>
      <c r="J188" s="10" t="s">
        <v>13</v>
      </c>
      <c r="K188" s="13" t="str">
        <f t="shared" ref="K188:K190" si="101">K187</f>
        <v>Блок4</v>
      </c>
      <c r="L188" s="13"/>
      <c r="M188" s="13"/>
      <c r="N188" s="13"/>
      <c r="O188" s="26">
        <f t="shared" ref="O188:O198" si="102">O187</f>
        <v>1</v>
      </c>
      <c r="P188" s="26">
        <f>O188*H188</f>
        <v>1</v>
      </c>
      <c r="Q188" s="27">
        <f t="shared" si="99"/>
        <v>93900</v>
      </c>
    </row>
    <row r="189" spans="1:17" ht="35.25" customHeight="1" x14ac:dyDescent="0.25">
      <c r="A189" s="13" t="str">
        <f t="shared" si="100"/>
        <v>ВРУ1-4</v>
      </c>
      <c r="B189" s="10" t="s">
        <v>23</v>
      </c>
      <c r="C189" s="11" t="s">
        <v>307</v>
      </c>
      <c r="D189" s="10" t="s">
        <v>308</v>
      </c>
      <c r="E189" s="10">
        <v>5523</v>
      </c>
      <c r="F189" s="12">
        <f t="shared" ref="F189:F190" si="103">E189</f>
        <v>5523</v>
      </c>
      <c r="G189" s="12">
        <f>F189*H189</f>
        <v>33138</v>
      </c>
      <c r="H189" s="13">
        <v>6</v>
      </c>
      <c r="I189" s="14" t="s">
        <v>12</v>
      </c>
      <c r="J189" s="10" t="s">
        <v>25</v>
      </c>
      <c r="K189" s="13" t="str">
        <f t="shared" si="101"/>
        <v>Блок4</v>
      </c>
      <c r="L189" s="13"/>
      <c r="M189" s="13"/>
      <c r="N189" s="13"/>
      <c r="O189" s="26">
        <f t="shared" si="102"/>
        <v>1</v>
      </c>
      <c r="P189" s="26">
        <f>O189*H189</f>
        <v>6</v>
      </c>
      <c r="Q189" s="27">
        <f t="shared" si="99"/>
        <v>33138</v>
      </c>
    </row>
    <row r="190" spans="1:17" ht="35.25" customHeight="1" x14ac:dyDescent="0.25">
      <c r="A190" s="13" t="str">
        <f t="shared" si="100"/>
        <v>ВРУ1-4</v>
      </c>
      <c r="B190" s="10" t="s">
        <v>26</v>
      </c>
      <c r="C190" s="11" t="s">
        <v>177</v>
      </c>
      <c r="D190" s="10" t="s">
        <v>178</v>
      </c>
      <c r="E190" s="10">
        <v>25500</v>
      </c>
      <c r="F190" s="12">
        <f t="shared" si="103"/>
        <v>25500</v>
      </c>
      <c r="G190" s="12">
        <f>F190*H190</f>
        <v>51000</v>
      </c>
      <c r="H190" s="13">
        <v>2</v>
      </c>
      <c r="I190" s="14" t="s">
        <v>12</v>
      </c>
      <c r="J190" s="10" t="s">
        <v>25</v>
      </c>
      <c r="K190" s="13" t="str">
        <f t="shared" si="101"/>
        <v>Блок4</v>
      </c>
      <c r="L190" s="13"/>
      <c r="M190" s="13"/>
      <c r="N190" s="13"/>
      <c r="O190" s="26">
        <f t="shared" si="102"/>
        <v>1</v>
      </c>
      <c r="P190" s="26">
        <f>O190*H190</f>
        <v>2</v>
      </c>
      <c r="Q190" s="27">
        <f t="shared" si="99"/>
        <v>51000</v>
      </c>
    </row>
    <row r="191" spans="1:17" ht="35.25" customHeight="1" x14ac:dyDescent="0.25">
      <c r="A191" s="13" t="str">
        <f t="shared" si="100"/>
        <v>ВРУ1-4</v>
      </c>
      <c r="B191" s="10" t="s">
        <v>127</v>
      </c>
      <c r="C191" s="11" t="s">
        <v>130</v>
      </c>
      <c r="D191" s="10" t="s">
        <v>131</v>
      </c>
      <c r="E191" s="10">
        <v>4750</v>
      </c>
      <c r="F191" s="12">
        <f t="shared" ref="F191:F192" si="104">0.6*E191</f>
        <v>2850</v>
      </c>
      <c r="G191" s="12">
        <f>F191*H191</f>
        <v>17100</v>
      </c>
      <c r="H191" s="13">
        <v>6</v>
      </c>
      <c r="I191" s="14" t="s">
        <v>12</v>
      </c>
      <c r="J191" s="10" t="s">
        <v>14</v>
      </c>
      <c r="K191" s="13" t="str">
        <f>K189</f>
        <v>Блок4</v>
      </c>
      <c r="L191" s="13"/>
      <c r="M191" s="13"/>
      <c r="N191" s="13"/>
      <c r="O191" s="26">
        <f t="shared" si="102"/>
        <v>1</v>
      </c>
      <c r="P191" s="26">
        <f>O191*H191</f>
        <v>6</v>
      </c>
      <c r="Q191" s="27">
        <f t="shared" si="99"/>
        <v>17100</v>
      </c>
    </row>
    <row r="192" spans="1:17" ht="35.25" customHeight="1" x14ac:dyDescent="0.25">
      <c r="A192" s="13" t="str">
        <f t="shared" si="100"/>
        <v>ВРУ1-4</v>
      </c>
      <c r="B192" s="10" t="s">
        <v>126</v>
      </c>
      <c r="C192" s="11" t="s">
        <v>128</v>
      </c>
      <c r="D192" s="10" t="s">
        <v>129</v>
      </c>
      <c r="E192" s="10">
        <v>3317</v>
      </c>
      <c r="F192" s="12">
        <f t="shared" si="104"/>
        <v>1990.1999999999998</v>
      </c>
      <c r="G192" s="12">
        <f>F192*H192</f>
        <v>11941.199999999999</v>
      </c>
      <c r="H192" s="13">
        <v>6</v>
      </c>
      <c r="I192" s="14" t="s">
        <v>12</v>
      </c>
      <c r="J192" s="10" t="s">
        <v>14</v>
      </c>
      <c r="K192" s="13" t="str">
        <f t="shared" ref="K192:K198" si="105">K190</f>
        <v>Блок4</v>
      </c>
      <c r="L192" s="13"/>
      <c r="M192" s="13"/>
      <c r="N192" s="13"/>
      <c r="O192" s="26">
        <f t="shared" si="102"/>
        <v>1</v>
      </c>
      <c r="P192" s="26">
        <f>O192*H192</f>
        <v>6</v>
      </c>
      <c r="Q192" s="27">
        <f t="shared" si="99"/>
        <v>11941.199999999999</v>
      </c>
    </row>
    <row r="193" spans="1:17" ht="35.25" customHeight="1" x14ac:dyDescent="0.25">
      <c r="A193" s="13" t="str">
        <f t="shared" si="100"/>
        <v>ВРУ1-4</v>
      </c>
      <c r="B193" s="10" t="s">
        <v>293</v>
      </c>
      <c r="C193" s="11" t="s">
        <v>189</v>
      </c>
      <c r="D193" s="10" t="s">
        <v>190</v>
      </c>
      <c r="E193" s="10">
        <v>1390</v>
      </c>
      <c r="F193" s="12">
        <f>0.3*E193</f>
        <v>417</v>
      </c>
      <c r="G193" s="12">
        <f>F193*H193</f>
        <v>834</v>
      </c>
      <c r="H193" s="13">
        <v>2</v>
      </c>
      <c r="I193" s="14" t="s">
        <v>12</v>
      </c>
      <c r="J193" s="10" t="s">
        <v>207</v>
      </c>
      <c r="K193" s="13" t="str">
        <f t="shared" si="105"/>
        <v>Блок4</v>
      </c>
      <c r="L193" s="13"/>
      <c r="M193" s="13"/>
      <c r="N193" s="13"/>
      <c r="O193" s="26">
        <f t="shared" si="102"/>
        <v>1</v>
      </c>
      <c r="P193" s="26">
        <f>O193*H193</f>
        <v>2</v>
      </c>
      <c r="Q193" s="27">
        <f>P193*E193</f>
        <v>2780</v>
      </c>
    </row>
    <row r="194" spans="1:17" ht="35.25" customHeight="1" x14ac:dyDescent="0.25">
      <c r="A194" s="13" t="str">
        <f t="shared" si="100"/>
        <v>ВРУ1-4</v>
      </c>
      <c r="B194" s="10" t="s">
        <v>15</v>
      </c>
      <c r="C194" s="11" t="s">
        <v>297</v>
      </c>
      <c r="D194" s="24" t="s">
        <v>298</v>
      </c>
      <c r="E194" s="10">
        <v>89000</v>
      </c>
      <c r="F194" s="12">
        <f>E194</f>
        <v>89000</v>
      </c>
      <c r="G194" s="12">
        <f>F194*H194</f>
        <v>178000</v>
      </c>
      <c r="H194" s="13">
        <v>2</v>
      </c>
      <c r="I194" s="14" t="s">
        <v>12</v>
      </c>
      <c r="J194" s="10" t="s">
        <v>16</v>
      </c>
      <c r="K194" s="13" t="str">
        <f t="shared" si="105"/>
        <v>Блок4</v>
      </c>
      <c r="L194" s="13"/>
      <c r="M194" s="13"/>
      <c r="N194" s="13"/>
      <c r="O194" s="26">
        <f t="shared" si="102"/>
        <v>1</v>
      </c>
      <c r="P194" s="26">
        <f>O194*H194</f>
        <v>2</v>
      </c>
      <c r="Q194" s="27">
        <f t="shared" ref="Q194:Q201" si="106">P194*F194</f>
        <v>178000</v>
      </c>
    </row>
    <row r="195" spans="1:17" ht="35.25" customHeight="1" x14ac:dyDescent="0.25">
      <c r="A195" s="13" t="str">
        <f t="shared" si="100"/>
        <v>ВРУ1-4</v>
      </c>
      <c r="B195" s="10" t="s">
        <v>30</v>
      </c>
      <c r="C195" s="11"/>
      <c r="D195" s="10" t="s">
        <v>31</v>
      </c>
      <c r="E195" s="10">
        <v>3850</v>
      </c>
      <c r="F195" s="12">
        <f>E195</f>
        <v>3850</v>
      </c>
      <c r="G195" s="12">
        <f>F195*H195</f>
        <v>23100</v>
      </c>
      <c r="H195" s="13">
        <v>6</v>
      </c>
      <c r="I195" s="14" t="s">
        <v>12</v>
      </c>
      <c r="J195" s="10" t="s">
        <v>25</v>
      </c>
      <c r="K195" s="13" t="str">
        <f t="shared" si="105"/>
        <v>Блок4</v>
      </c>
      <c r="L195" s="13"/>
      <c r="M195" s="13"/>
      <c r="N195" s="13"/>
      <c r="O195" s="26">
        <f t="shared" si="102"/>
        <v>1</v>
      </c>
      <c r="P195" s="26">
        <f>O195*H195</f>
        <v>6</v>
      </c>
      <c r="Q195" s="27">
        <f t="shared" si="106"/>
        <v>23100</v>
      </c>
    </row>
    <row r="196" spans="1:17" ht="35.25" customHeight="1" x14ac:dyDescent="0.25">
      <c r="A196" s="10" t="str">
        <f t="shared" si="100"/>
        <v>ВРУ1-4</v>
      </c>
      <c r="B196" s="10" t="s">
        <v>19</v>
      </c>
      <c r="C196" s="11" t="s">
        <v>19</v>
      </c>
      <c r="D196" s="10" t="s">
        <v>19</v>
      </c>
      <c r="E196" s="10">
        <f ca="1">OFFSET(E196,1,2)</f>
        <v>48000</v>
      </c>
      <c r="F196" s="12">
        <f ca="1">E196</f>
        <v>48000</v>
      </c>
      <c r="G196" s="12">
        <f ca="1">F196*H196</f>
        <v>48000</v>
      </c>
      <c r="H196" s="10">
        <v>1</v>
      </c>
      <c r="I196" s="10" t="s">
        <v>12</v>
      </c>
      <c r="J196" s="10" t="s">
        <v>19</v>
      </c>
      <c r="K196" s="13" t="str">
        <f t="shared" si="105"/>
        <v>Блок4</v>
      </c>
      <c r="L196" s="13"/>
      <c r="M196" s="13"/>
      <c r="N196" s="13"/>
      <c r="O196" s="26">
        <f t="shared" si="102"/>
        <v>1</v>
      </c>
      <c r="P196" s="26">
        <f>O196*H196</f>
        <v>1</v>
      </c>
      <c r="Q196" s="27">
        <f t="shared" ca="1" si="106"/>
        <v>48000</v>
      </c>
    </row>
    <row r="197" spans="1:17" ht="35.25" customHeight="1" x14ac:dyDescent="0.25">
      <c r="A197" s="10" t="str">
        <f t="shared" si="100"/>
        <v>ВРУ1-4</v>
      </c>
      <c r="B197" s="10" t="s">
        <v>20</v>
      </c>
      <c r="C197" s="11" t="s">
        <v>20</v>
      </c>
      <c r="D197" s="10" t="s">
        <v>20</v>
      </c>
      <c r="E197" s="10">
        <v>8</v>
      </c>
      <c r="F197" s="12">
        <v>100</v>
      </c>
      <c r="G197" s="12">
        <f>F197*H197</f>
        <v>48000</v>
      </c>
      <c r="H197" s="10">
        <f>60*E197</f>
        <v>480</v>
      </c>
      <c r="I197" s="10" t="s">
        <v>12</v>
      </c>
      <c r="J197" s="10" t="s">
        <v>20</v>
      </c>
      <c r="K197" s="13" t="str">
        <f t="shared" si="105"/>
        <v>Блок4</v>
      </c>
      <c r="L197" s="13"/>
      <c r="M197" s="13"/>
      <c r="N197" s="13"/>
      <c r="O197" s="26">
        <f t="shared" si="102"/>
        <v>1</v>
      </c>
      <c r="P197" s="26">
        <f>O197*H197</f>
        <v>480</v>
      </c>
      <c r="Q197" s="27">
        <f t="shared" si="106"/>
        <v>48000</v>
      </c>
    </row>
    <row r="198" spans="1:17" ht="35.25" customHeight="1" x14ac:dyDescent="0.25">
      <c r="A198" s="15" t="str">
        <f t="shared" si="100"/>
        <v>ВРУ1-4</v>
      </c>
      <c r="B198" s="15"/>
      <c r="C198" s="15"/>
      <c r="D198" s="16"/>
      <c r="E198" s="28"/>
      <c r="F198" s="12">
        <f>E198*0.55</f>
        <v>0</v>
      </c>
      <c r="G198" s="28">
        <f ca="1">SUM(G188:G197)</f>
        <v>505013.2</v>
      </c>
      <c r="H198" s="15"/>
      <c r="I198" s="19"/>
      <c r="J198" s="15"/>
      <c r="K198" s="13" t="str">
        <f t="shared" si="105"/>
        <v>Блок4</v>
      </c>
      <c r="L198" s="13"/>
      <c r="M198" s="13"/>
      <c r="N198" s="13"/>
      <c r="O198" s="26">
        <f t="shared" si="102"/>
        <v>1</v>
      </c>
      <c r="P198" s="26">
        <f>O198*H198</f>
        <v>0</v>
      </c>
      <c r="Q198" s="27">
        <f t="shared" si="106"/>
        <v>0</v>
      </c>
    </row>
    <row r="199" spans="1:17" ht="35.25" customHeight="1" x14ac:dyDescent="0.25">
      <c r="A199" s="8" t="str">
        <f>D199</f>
        <v>РУ-1-4</v>
      </c>
      <c r="B199" s="4"/>
      <c r="C199" s="5"/>
      <c r="D199" s="4" t="s">
        <v>67</v>
      </c>
      <c r="E199" s="6"/>
      <c r="F199" s="6"/>
      <c r="G199" s="7"/>
      <c r="H199" s="8">
        <v>1</v>
      </c>
      <c r="I199" s="9" t="s">
        <v>9</v>
      </c>
      <c r="J199" s="4" t="s">
        <v>10</v>
      </c>
      <c r="K199" s="8" t="s">
        <v>66</v>
      </c>
      <c r="L199" s="8"/>
      <c r="M199" s="8"/>
      <c r="N199" s="8"/>
      <c r="O199" s="26">
        <f>H199</f>
        <v>1</v>
      </c>
      <c r="P199" s="26">
        <f>O199*H199</f>
        <v>1</v>
      </c>
      <c r="Q199" s="27">
        <f t="shared" si="106"/>
        <v>0</v>
      </c>
    </row>
    <row r="200" spans="1:17" ht="35.25" customHeight="1" x14ac:dyDescent="0.25">
      <c r="A200" s="13" t="str">
        <f t="shared" ref="A200:A208" si="107">A199</f>
        <v>РУ-1-4</v>
      </c>
      <c r="B200" s="10" t="s">
        <v>11</v>
      </c>
      <c r="C200" s="11" t="s">
        <v>170</v>
      </c>
      <c r="D200" s="10" t="s">
        <v>171</v>
      </c>
      <c r="E200" s="10">
        <v>145000</v>
      </c>
      <c r="F200" s="12">
        <f t="shared" ref="F200:F201" si="108">0.6*E200</f>
        <v>87000</v>
      </c>
      <c r="G200" s="12">
        <f>F200*H200</f>
        <v>87000</v>
      </c>
      <c r="H200" s="13">
        <v>1</v>
      </c>
      <c r="I200" s="14" t="s">
        <v>12</v>
      </c>
      <c r="J200" s="10" t="s">
        <v>13</v>
      </c>
      <c r="K200" s="13" t="str">
        <f>K199</f>
        <v>Блок4</v>
      </c>
      <c r="L200" s="13"/>
      <c r="M200" s="13"/>
      <c r="N200" s="13"/>
      <c r="O200" s="26">
        <f t="shared" ref="O200:O208" si="109">O199</f>
        <v>1</v>
      </c>
      <c r="P200" s="26">
        <f>O200*H200</f>
        <v>1</v>
      </c>
      <c r="Q200" s="27">
        <f t="shared" si="106"/>
        <v>87000</v>
      </c>
    </row>
    <row r="201" spans="1:17" ht="35.25" customHeight="1" x14ac:dyDescent="0.25">
      <c r="A201" s="13" t="str">
        <f t="shared" si="107"/>
        <v>РУ-1-4</v>
      </c>
      <c r="B201" s="10" t="s">
        <v>294</v>
      </c>
      <c r="C201" s="11" t="s">
        <v>229</v>
      </c>
      <c r="D201" s="10" t="s">
        <v>230</v>
      </c>
      <c r="E201" s="10">
        <v>34800</v>
      </c>
      <c r="F201" s="12">
        <f t="shared" si="108"/>
        <v>20880</v>
      </c>
      <c r="G201" s="12">
        <f>F201*H201</f>
        <v>20880</v>
      </c>
      <c r="H201" s="13">
        <v>1</v>
      </c>
      <c r="I201" s="14" t="s">
        <v>12</v>
      </c>
      <c r="J201" s="10" t="s">
        <v>14</v>
      </c>
      <c r="K201" s="13" t="str">
        <f>K200</f>
        <v>Блок4</v>
      </c>
      <c r="L201" s="13"/>
      <c r="M201" s="13"/>
      <c r="N201" s="13"/>
      <c r="O201" s="26">
        <f t="shared" si="109"/>
        <v>1</v>
      </c>
      <c r="P201" s="26">
        <f>O201*H201</f>
        <v>1</v>
      </c>
      <c r="Q201" s="27">
        <f t="shared" si="106"/>
        <v>20880</v>
      </c>
    </row>
    <row r="202" spans="1:17" ht="35.25" customHeight="1" x14ac:dyDescent="0.25">
      <c r="A202" s="13" t="str">
        <f t="shared" si="107"/>
        <v>РУ-1-4</v>
      </c>
      <c r="B202" s="10" t="s">
        <v>294</v>
      </c>
      <c r="C202" s="11" t="s">
        <v>227</v>
      </c>
      <c r="D202" s="10" t="s">
        <v>228</v>
      </c>
      <c r="E202" s="10">
        <v>29990</v>
      </c>
      <c r="F202" s="12">
        <f t="shared" ref="F202:F205" si="110">0.3*E202</f>
        <v>8997</v>
      </c>
      <c r="G202" s="12">
        <f>F202*H202</f>
        <v>17994</v>
      </c>
      <c r="H202" s="13">
        <v>2</v>
      </c>
      <c r="I202" s="14" t="s">
        <v>12</v>
      </c>
      <c r="J202" s="10" t="s">
        <v>207</v>
      </c>
      <c r="K202" s="13" t="str">
        <f>K201</f>
        <v>Блок4</v>
      </c>
      <c r="L202" s="13"/>
      <c r="M202" s="13"/>
      <c r="N202" s="13"/>
      <c r="O202" s="26">
        <f t="shared" si="109"/>
        <v>1</v>
      </c>
      <c r="P202" s="26">
        <f>O202*H202</f>
        <v>2</v>
      </c>
      <c r="Q202" s="27">
        <f>P202*E202</f>
        <v>59980</v>
      </c>
    </row>
    <row r="203" spans="1:17" ht="35.25" customHeight="1" x14ac:dyDescent="0.25">
      <c r="A203" s="13" t="str">
        <f>A201</f>
        <v>РУ-1-4</v>
      </c>
      <c r="B203" s="10" t="s">
        <v>293</v>
      </c>
      <c r="C203" s="11" t="s">
        <v>333</v>
      </c>
      <c r="D203" s="10" t="s">
        <v>334</v>
      </c>
      <c r="E203" s="10">
        <v>29710</v>
      </c>
      <c r="F203" s="12">
        <f t="shared" ref="F203" si="111">0.3*E203</f>
        <v>8913</v>
      </c>
      <c r="G203" s="12">
        <f>F203*H203</f>
        <v>8913</v>
      </c>
      <c r="H203" s="13">
        <v>1</v>
      </c>
      <c r="I203" s="14" t="s">
        <v>12</v>
      </c>
      <c r="J203" s="10" t="s">
        <v>207</v>
      </c>
      <c r="K203" s="13" t="str">
        <f>K201</f>
        <v>Блок4</v>
      </c>
      <c r="L203" s="13"/>
      <c r="M203" s="13"/>
      <c r="N203" s="13"/>
      <c r="O203" s="26">
        <f>O201</f>
        <v>1</v>
      </c>
      <c r="P203" s="26">
        <f>O203*H203</f>
        <v>1</v>
      </c>
      <c r="Q203" s="27">
        <f>P203*E203</f>
        <v>29710</v>
      </c>
    </row>
    <row r="204" spans="1:17" ht="35.25" customHeight="1" x14ac:dyDescent="0.25">
      <c r="A204" s="13" t="str">
        <f>A202</f>
        <v>РУ-1-4</v>
      </c>
      <c r="B204" s="10" t="s">
        <v>293</v>
      </c>
      <c r="C204" s="11" t="s">
        <v>217</v>
      </c>
      <c r="D204" s="10" t="s">
        <v>218</v>
      </c>
      <c r="E204" s="10">
        <v>7850</v>
      </c>
      <c r="F204" s="12">
        <f t="shared" si="110"/>
        <v>2355</v>
      </c>
      <c r="G204" s="12">
        <f>F204*H204</f>
        <v>4710</v>
      </c>
      <c r="H204" s="13">
        <v>2</v>
      </c>
      <c r="I204" s="14" t="s">
        <v>12</v>
      </c>
      <c r="J204" s="10" t="s">
        <v>207</v>
      </c>
      <c r="K204" s="13" t="str">
        <f>K202</f>
        <v>Блок4</v>
      </c>
      <c r="L204" s="13"/>
      <c r="M204" s="13"/>
      <c r="N204" s="13"/>
      <c r="O204" s="26">
        <f>O202</f>
        <v>1</v>
      </c>
      <c r="P204" s="26">
        <f>O204*H204</f>
        <v>2</v>
      </c>
      <c r="Q204" s="27">
        <f>P204*E204</f>
        <v>15700</v>
      </c>
    </row>
    <row r="205" spans="1:17" ht="35.25" customHeight="1" x14ac:dyDescent="0.25">
      <c r="A205" s="13" t="str">
        <f t="shared" si="107"/>
        <v>РУ-1-4</v>
      </c>
      <c r="B205" s="10" t="s">
        <v>293</v>
      </c>
      <c r="C205" s="11" t="s">
        <v>215</v>
      </c>
      <c r="D205" s="10" t="s">
        <v>216</v>
      </c>
      <c r="E205" s="10">
        <v>7850</v>
      </c>
      <c r="F205" s="12">
        <f t="shared" si="110"/>
        <v>2355</v>
      </c>
      <c r="G205" s="12">
        <f>F205*H205</f>
        <v>2355</v>
      </c>
      <c r="H205" s="13">
        <v>1</v>
      </c>
      <c r="I205" s="14" t="s">
        <v>12</v>
      </c>
      <c r="J205" s="10" t="s">
        <v>207</v>
      </c>
      <c r="K205" s="13" t="str">
        <f>K204</f>
        <v>Блок4</v>
      </c>
      <c r="L205" s="13"/>
      <c r="M205" s="13"/>
      <c r="N205" s="13"/>
      <c r="O205" s="26">
        <f t="shared" si="109"/>
        <v>1</v>
      </c>
      <c r="P205" s="26">
        <f>O205*H205</f>
        <v>1</v>
      </c>
      <c r="Q205" s="27">
        <f>P205*E205</f>
        <v>7850</v>
      </c>
    </row>
    <row r="206" spans="1:17" ht="35.25" customHeight="1" x14ac:dyDescent="0.25">
      <c r="A206" s="10" t="str">
        <f t="shared" si="107"/>
        <v>РУ-1-4</v>
      </c>
      <c r="B206" s="10" t="s">
        <v>19</v>
      </c>
      <c r="C206" s="11" t="s">
        <v>19</v>
      </c>
      <c r="D206" s="10" t="s">
        <v>19</v>
      </c>
      <c r="E206" s="10">
        <f ca="1">OFFSET(E206,1,2)</f>
        <v>27000</v>
      </c>
      <c r="F206" s="12">
        <f ca="1">E206</f>
        <v>27000</v>
      </c>
      <c r="G206" s="12">
        <f ca="1">F206*H206</f>
        <v>27000</v>
      </c>
      <c r="H206" s="10">
        <v>1</v>
      </c>
      <c r="I206" s="10" t="s">
        <v>12</v>
      </c>
      <c r="J206" s="10" t="s">
        <v>19</v>
      </c>
      <c r="K206" s="13" t="str">
        <f>K204</f>
        <v>Блок4</v>
      </c>
      <c r="L206" s="13"/>
      <c r="M206" s="13"/>
      <c r="N206" s="13"/>
      <c r="O206" s="26">
        <f t="shared" si="109"/>
        <v>1</v>
      </c>
      <c r="P206" s="26">
        <f>O206*H206</f>
        <v>1</v>
      </c>
      <c r="Q206" s="27">
        <f ca="1">P206*F206</f>
        <v>27000</v>
      </c>
    </row>
    <row r="207" spans="1:17" ht="35.25" customHeight="1" x14ac:dyDescent="0.25">
      <c r="A207" s="10" t="str">
        <f t="shared" si="107"/>
        <v>РУ-1-4</v>
      </c>
      <c r="B207" s="10" t="s">
        <v>20</v>
      </c>
      <c r="C207" s="11" t="s">
        <v>20</v>
      </c>
      <c r="D207" s="10" t="s">
        <v>20</v>
      </c>
      <c r="E207" s="10">
        <v>4.5</v>
      </c>
      <c r="F207" s="12">
        <v>100</v>
      </c>
      <c r="G207" s="12">
        <f>F207*H207</f>
        <v>27000</v>
      </c>
      <c r="H207" s="10">
        <f>60*E207</f>
        <v>270</v>
      </c>
      <c r="I207" s="10" t="s">
        <v>12</v>
      </c>
      <c r="J207" s="10" t="s">
        <v>20</v>
      </c>
      <c r="K207" s="13" t="str">
        <f>K206</f>
        <v>Блок4</v>
      </c>
      <c r="L207" s="13"/>
      <c r="M207" s="13"/>
      <c r="N207" s="13"/>
      <c r="O207" s="26">
        <f t="shared" si="109"/>
        <v>1</v>
      </c>
      <c r="P207" s="26">
        <f>O207*H207</f>
        <v>270</v>
      </c>
      <c r="Q207" s="27">
        <f>P207*F207</f>
        <v>27000</v>
      </c>
    </row>
    <row r="208" spans="1:17" ht="35.25" customHeight="1" x14ac:dyDescent="0.25">
      <c r="A208" s="15" t="str">
        <f t="shared" si="107"/>
        <v>РУ-1-4</v>
      </c>
      <c r="B208" s="15"/>
      <c r="C208" s="15"/>
      <c r="D208" s="16"/>
      <c r="E208" s="28"/>
      <c r="F208" s="12">
        <f t="shared" ref="F208" si="112">E208*0.55</f>
        <v>0</v>
      </c>
      <c r="G208" s="28">
        <f ca="1">SUM(G200:G207)</f>
        <v>195852</v>
      </c>
      <c r="H208" s="15"/>
      <c r="I208" s="19"/>
      <c r="J208" s="15"/>
      <c r="K208" s="13" t="str">
        <f>K207</f>
        <v>Блок4</v>
      </c>
      <c r="L208" s="13"/>
      <c r="M208" s="13"/>
      <c r="N208" s="13"/>
      <c r="O208" s="26">
        <f t="shared" si="109"/>
        <v>1</v>
      </c>
      <c r="P208" s="26">
        <f>O208*H208</f>
        <v>0</v>
      </c>
      <c r="Q208" s="27">
        <f>P208*F208</f>
        <v>0</v>
      </c>
    </row>
    <row r="209" spans="1:17" ht="35.25" customHeight="1" x14ac:dyDescent="0.25">
      <c r="A209" s="8" t="str">
        <f>D209</f>
        <v>ЩУР.МОП1-4</v>
      </c>
      <c r="B209" s="4"/>
      <c r="C209" s="5"/>
      <c r="D209" s="4" t="s">
        <v>69</v>
      </c>
      <c r="E209" s="6"/>
      <c r="F209" s="6"/>
      <c r="G209" s="7"/>
      <c r="H209" s="8">
        <v>1</v>
      </c>
      <c r="I209" s="9" t="s">
        <v>9</v>
      </c>
      <c r="J209" s="4" t="s">
        <v>10</v>
      </c>
      <c r="K209" s="8" t="s">
        <v>66</v>
      </c>
      <c r="L209" s="8"/>
      <c r="M209" s="8"/>
      <c r="N209" s="8"/>
      <c r="O209" s="26">
        <f>H209</f>
        <v>1</v>
      </c>
      <c r="P209" s="26">
        <f>O209*H209</f>
        <v>1</v>
      </c>
      <c r="Q209" s="27">
        <f>P209*F209</f>
        <v>0</v>
      </c>
    </row>
    <row r="210" spans="1:17" ht="35.25" customHeight="1" x14ac:dyDescent="0.25">
      <c r="A210" s="13" t="str">
        <f t="shared" ref="A210:A217" si="113">A209</f>
        <v>ЩУР.МОП1-4</v>
      </c>
      <c r="B210" s="10" t="s">
        <v>11</v>
      </c>
      <c r="C210" s="11" t="s">
        <v>328</v>
      </c>
      <c r="D210" s="10" t="s">
        <v>329</v>
      </c>
      <c r="E210" s="10">
        <v>27000</v>
      </c>
      <c r="F210" s="12">
        <f>0.6*E210</f>
        <v>16200</v>
      </c>
      <c r="G210" s="12">
        <f>F210*H210</f>
        <v>16200</v>
      </c>
      <c r="H210" s="13">
        <v>1</v>
      </c>
      <c r="I210" s="14" t="s">
        <v>12</v>
      </c>
      <c r="J210" s="10" t="s">
        <v>13</v>
      </c>
      <c r="K210" s="13" t="str">
        <f t="shared" ref="K210:K217" si="114">K209</f>
        <v>Блок4</v>
      </c>
      <c r="L210" s="13"/>
      <c r="M210" s="13"/>
      <c r="N210" s="13"/>
      <c r="O210" s="26">
        <f t="shared" ref="O210:O217" si="115">O209</f>
        <v>1</v>
      </c>
      <c r="P210" s="26">
        <f>O210*H210</f>
        <v>1</v>
      </c>
      <c r="Q210" s="27">
        <f>P210*F210</f>
        <v>16200</v>
      </c>
    </row>
    <row r="211" spans="1:17" ht="35.25" customHeight="1" x14ac:dyDescent="0.25">
      <c r="A211" s="13" t="str">
        <f>A209</f>
        <v>ЩУР.МОП1-4</v>
      </c>
      <c r="B211" s="10" t="s">
        <v>293</v>
      </c>
      <c r="C211" s="11" t="s">
        <v>343</v>
      </c>
      <c r="D211" s="10" t="s">
        <v>344</v>
      </c>
      <c r="E211" s="10">
        <v>5010</v>
      </c>
      <c r="F211" s="12">
        <f t="shared" ref="F211" si="116">0.3*E211</f>
        <v>1503</v>
      </c>
      <c r="G211" s="12">
        <f>F211*H211</f>
        <v>1503</v>
      </c>
      <c r="H211" s="13">
        <v>1</v>
      </c>
      <c r="I211" s="14" t="s">
        <v>12</v>
      </c>
      <c r="J211" s="10" t="s">
        <v>207</v>
      </c>
      <c r="K211" s="13" t="str">
        <f>K209</f>
        <v>Блок4</v>
      </c>
      <c r="L211" s="13"/>
      <c r="M211" s="13"/>
      <c r="N211" s="13"/>
      <c r="O211" s="26">
        <f>O209</f>
        <v>1</v>
      </c>
      <c r="P211" s="26">
        <f>O211*H211</f>
        <v>1</v>
      </c>
      <c r="Q211" s="27">
        <f>P211*E211</f>
        <v>5010</v>
      </c>
    </row>
    <row r="212" spans="1:17" ht="35.25" customHeight="1" x14ac:dyDescent="0.25">
      <c r="A212" s="13" t="str">
        <f>A210</f>
        <v>ЩУР.МОП1-4</v>
      </c>
      <c r="B212" s="10" t="s">
        <v>293</v>
      </c>
      <c r="C212" s="11" t="s">
        <v>341</v>
      </c>
      <c r="D212" s="10" t="s">
        <v>342</v>
      </c>
      <c r="E212" s="10">
        <v>1655</v>
      </c>
      <c r="F212" s="12">
        <f t="shared" ref="F212:F213" si="117">0.3*E212</f>
        <v>496.5</v>
      </c>
      <c r="G212" s="12">
        <f>F212*H212</f>
        <v>993</v>
      </c>
      <c r="H212" s="13">
        <v>2</v>
      </c>
      <c r="I212" s="14" t="s">
        <v>12</v>
      </c>
      <c r="J212" s="10" t="s">
        <v>207</v>
      </c>
      <c r="K212" s="13" t="str">
        <f>K210</f>
        <v>Блок4</v>
      </c>
      <c r="L212" s="13"/>
      <c r="M212" s="13"/>
      <c r="N212" s="13"/>
      <c r="O212" s="26">
        <f>O210</f>
        <v>1</v>
      </c>
      <c r="P212" s="26">
        <f>O212*H212</f>
        <v>2</v>
      </c>
      <c r="Q212" s="27">
        <f>P212*E212</f>
        <v>3310</v>
      </c>
    </row>
    <row r="213" spans="1:17" ht="35.25" customHeight="1" x14ac:dyDescent="0.25">
      <c r="A213" s="13" t="str">
        <f t="shared" si="113"/>
        <v>ЩУР.МОП1-4</v>
      </c>
      <c r="B213" s="10" t="s">
        <v>293</v>
      </c>
      <c r="C213" s="11" t="s">
        <v>193</v>
      </c>
      <c r="D213" s="10" t="s">
        <v>194</v>
      </c>
      <c r="E213" s="10">
        <v>6580</v>
      </c>
      <c r="F213" s="12">
        <f t="shared" si="117"/>
        <v>1974</v>
      </c>
      <c r="G213" s="12">
        <f>F213*H213</f>
        <v>7896</v>
      </c>
      <c r="H213" s="13">
        <v>4</v>
      </c>
      <c r="I213" s="14" t="s">
        <v>12</v>
      </c>
      <c r="J213" s="10" t="s">
        <v>207</v>
      </c>
      <c r="K213" s="13" t="str">
        <f t="shared" si="114"/>
        <v>Блок4</v>
      </c>
      <c r="L213" s="13"/>
      <c r="M213" s="13"/>
      <c r="N213" s="13"/>
      <c r="O213" s="26">
        <f t="shared" si="115"/>
        <v>1</v>
      </c>
      <c r="P213" s="26">
        <f>O213*H213</f>
        <v>4</v>
      </c>
      <c r="Q213" s="27">
        <f>P213*E213</f>
        <v>26320</v>
      </c>
    </row>
    <row r="214" spans="1:17" ht="35.25" customHeight="1" x14ac:dyDescent="0.25">
      <c r="A214" s="13" t="str">
        <f t="shared" si="113"/>
        <v>ЩУР.МОП1-4</v>
      </c>
      <c r="B214" s="10" t="s">
        <v>15</v>
      </c>
      <c r="C214" s="11" t="s">
        <v>299</v>
      </c>
      <c r="D214" s="10" t="s">
        <v>300</v>
      </c>
      <c r="E214" s="10">
        <v>32400</v>
      </c>
      <c r="F214" s="12">
        <f>E214</f>
        <v>32400</v>
      </c>
      <c r="G214" s="12">
        <f>F214*H214</f>
        <v>32400</v>
      </c>
      <c r="H214" s="13">
        <v>1</v>
      </c>
      <c r="I214" s="14" t="s">
        <v>12</v>
      </c>
      <c r="J214" s="10" t="s">
        <v>16</v>
      </c>
      <c r="K214" s="13" t="str">
        <f t="shared" si="114"/>
        <v>Блок4</v>
      </c>
      <c r="L214" s="13"/>
      <c r="M214" s="13"/>
      <c r="N214" s="13"/>
      <c r="O214" s="26">
        <f t="shared" si="115"/>
        <v>1</v>
      </c>
      <c r="P214" s="26">
        <f>O214*H214</f>
        <v>1</v>
      </c>
      <c r="Q214" s="27">
        <f t="shared" ref="Q214:Q220" si="118">P214*F214</f>
        <v>32400</v>
      </c>
    </row>
    <row r="215" spans="1:17" ht="35.25" customHeight="1" x14ac:dyDescent="0.25">
      <c r="A215" s="10" t="str">
        <f t="shared" si="113"/>
        <v>ЩУР.МОП1-4</v>
      </c>
      <c r="B215" s="10" t="s">
        <v>19</v>
      </c>
      <c r="C215" s="11" t="s">
        <v>19</v>
      </c>
      <c r="D215" s="10" t="s">
        <v>19</v>
      </c>
      <c r="E215" s="10">
        <f ca="1">OFFSET(E215,1,2)</f>
        <v>12000</v>
      </c>
      <c r="F215" s="12">
        <f ca="1">E215</f>
        <v>12000</v>
      </c>
      <c r="G215" s="12">
        <f ca="1">F215*H215</f>
        <v>12000</v>
      </c>
      <c r="H215" s="10">
        <v>1</v>
      </c>
      <c r="I215" s="10" t="s">
        <v>12</v>
      </c>
      <c r="J215" s="10" t="s">
        <v>19</v>
      </c>
      <c r="K215" s="13" t="str">
        <f t="shared" si="114"/>
        <v>Блок4</v>
      </c>
      <c r="L215" s="13"/>
      <c r="M215" s="13"/>
      <c r="N215" s="13"/>
      <c r="O215" s="26">
        <f t="shared" si="115"/>
        <v>1</v>
      </c>
      <c r="P215" s="26">
        <f>O215*H215</f>
        <v>1</v>
      </c>
      <c r="Q215" s="27">
        <f t="shared" ca="1" si="118"/>
        <v>12000</v>
      </c>
    </row>
    <row r="216" spans="1:17" ht="35.25" customHeight="1" x14ac:dyDescent="0.25">
      <c r="A216" s="10" t="str">
        <f t="shared" si="113"/>
        <v>ЩУР.МОП1-4</v>
      </c>
      <c r="B216" s="10" t="s">
        <v>20</v>
      </c>
      <c r="C216" s="11" t="s">
        <v>20</v>
      </c>
      <c r="D216" s="10" t="s">
        <v>20</v>
      </c>
      <c r="E216" s="10">
        <v>2</v>
      </c>
      <c r="F216" s="12">
        <v>100</v>
      </c>
      <c r="G216" s="12">
        <f>F216*H216</f>
        <v>12000</v>
      </c>
      <c r="H216" s="10">
        <f>60*E216</f>
        <v>120</v>
      </c>
      <c r="I216" s="10" t="s">
        <v>12</v>
      </c>
      <c r="J216" s="10" t="s">
        <v>20</v>
      </c>
      <c r="K216" s="13" t="str">
        <f t="shared" si="114"/>
        <v>Блок4</v>
      </c>
      <c r="L216" s="13"/>
      <c r="M216" s="13"/>
      <c r="N216" s="13"/>
      <c r="O216" s="26">
        <f t="shared" si="115"/>
        <v>1</v>
      </c>
      <c r="P216" s="26">
        <f>O216*H216</f>
        <v>120</v>
      </c>
      <c r="Q216" s="27">
        <f t="shared" si="118"/>
        <v>12000</v>
      </c>
    </row>
    <row r="217" spans="1:17" ht="35.25" customHeight="1" x14ac:dyDescent="0.25">
      <c r="A217" s="15" t="str">
        <f t="shared" si="113"/>
        <v>ЩУР.МОП1-4</v>
      </c>
      <c r="B217" s="15"/>
      <c r="C217" s="15"/>
      <c r="D217" s="16"/>
      <c r="E217" s="28"/>
      <c r="F217" s="12">
        <f>E217*0.55</f>
        <v>0</v>
      </c>
      <c r="G217" s="28">
        <f ca="1">SUM(G210:G216)</f>
        <v>82992</v>
      </c>
      <c r="H217" s="15"/>
      <c r="I217" s="19"/>
      <c r="J217" s="15"/>
      <c r="K217" s="13" t="str">
        <f t="shared" si="114"/>
        <v>Блок4</v>
      </c>
      <c r="L217" s="13"/>
      <c r="M217" s="13"/>
      <c r="N217" s="13"/>
      <c r="O217" s="26">
        <f t="shared" si="115"/>
        <v>1</v>
      </c>
      <c r="P217" s="26">
        <f>O217*H217</f>
        <v>0</v>
      </c>
      <c r="Q217" s="27">
        <f t="shared" si="118"/>
        <v>0</v>
      </c>
    </row>
    <row r="218" spans="1:17" ht="35.25" customHeight="1" x14ac:dyDescent="0.25">
      <c r="A218" s="8" t="str">
        <f>D218</f>
        <v>РЩ1-4 (АВР-Б-40-2-1)</v>
      </c>
      <c r="B218" s="4"/>
      <c r="C218" s="5"/>
      <c r="D218" s="4" t="s">
        <v>136</v>
      </c>
      <c r="E218" s="6"/>
      <c r="F218" s="6"/>
      <c r="G218" s="7"/>
      <c r="H218" s="8">
        <v>1</v>
      </c>
      <c r="I218" s="9" t="s">
        <v>9</v>
      </c>
      <c r="J218" s="4" t="s">
        <v>10</v>
      </c>
      <c r="K218" s="8" t="s">
        <v>66</v>
      </c>
      <c r="L218" s="8"/>
      <c r="M218" s="8"/>
      <c r="N218" s="8"/>
      <c r="O218" s="26">
        <f>H218</f>
        <v>1</v>
      </c>
      <c r="P218" s="26">
        <f>O218*H218</f>
        <v>1</v>
      </c>
      <c r="Q218" s="27">
        <f t="shared" si="118"/>
        <v>0</v>
      </c>
    </row>
    <row r="219" spans="1:17" ht="35.25" customHeight="1" x14ac:dyDescent="0.25">
      <c r="A219" s="13" t="str">
        <f t="shared" ref="A219:A230" si="119">A218</f>
        <v>РЩ1-4 (АВР-Б-40-2-1)</v>
      </c>
      <c r="B219" s="10" t="s">
        <v>11</v>
      </c>
      <c r="C219" s="11" t="s">
        <v>168</v>
      </c>
      <c r="D219" s="10" t="s">
        <v>169</v>
      </c>
      <c r="E219" s="10">
        <v>130000</v>
      </c>
      <c r="F219" s="12">
        <f t="shared" ref="F219:F220" si="120">0.6*E219</f>
        <v>78000</v>
      </c>
      <c r="G219" s="12">
        <f>F219*H219</f>
        <v>78000</v>
      </c>
      <c r="H219" s="13">
        <v>1</v>
      </c>
      <c r="I219" s="14" t="s">
        <v>12</v>
      </c>
      <c r="J219" s="10" t="s">
        <v>13</v>
      </c>
      <c r="K219" s="13" t="str">
        <f t="shared" ref="K219:K230" si="121">K218</f>
        <v>Блок4</v>
      </c>
      <c r="L219" s="13"/>
      <c r="M219" s="13"/>
      <c r="N219" s="13"/>
      <c r="O219" s="26">
        <f t="shared" ref="O219:O230" si="122">O218</f>
        <v>1</v>
      </c>
      <c r="P219" s="26">
        <f>O219*H219</f>
        <v>1</v>
      </c>
      <c r="Q219" s="27">
        <f t="shared" si="118"/>
        <v>78000</v>
      </c>
    </row>
    <row r="220" spans="1:17" ht="35.25" customHeight="1" x14ac:dyDescent="0.25">
      <c r="A220" s="13" t="str">
        <f t="shared" si="119"/>
        <v>РЩ1-4 (АВР-Б-40-2-1)</v>
      </c>
      <c r="B220" s="10" t="s">
        <v>44</v>
      </c>
      <c r="C220" s="11" t="s">
        <v>162</v>
      </c>
      <c r="D220" s="10" t="s">
        <v>163</v>
      </c>
      <c r="E220" s="10">
        <v>114758</v>
      </c>
      <c r="F220" s="12">
        <f t="shared" si="120"/>
        <v>68854.8</v>
      </c>
      <c r="G220" s="12">
        <f>F220*H220</f>
        <v>68854.8</v>
      </c>
      <c r="H220" s="13">
        <v>1</v>
      </c>
      <c r="I220" s="14" t="s">
        <v>12</v>
      </c>
      <c r="J220" s="10" t="s">
        <v>14</v>
      </c>
      <c r="K220" s="13" t="str">
        <f t="shared" si="121"/>
        <v>Блок4</v>
      </c>
      <c r="L220" s="13"/>
      <c r="M220" s="13"/>
      <c r="N220" s="13"/>
      <c r="O220" s="26">
        <f t="shared" si="122"/>
        <v>1</v>
      </c>
      <c r="P220" s="26">
        <f>O220*H220</f>
        <v>1</v>
      </c>
      <c r="Q220" s="27">
        <f t="shared" si="118"/>
        <v>68854.8</v>
      </c>
    </row>
    <row r="221" spans="1:17" ht="35.25" customHeight="1" x14ac:dyDescent="0.25">
      <c r="A221" s="13" t="str">
        <f t="shared" si="119"/>
        <v>РЩ1-4 (АВР-Б-40-2-1)</v>
      </c>
      <c r="B221" s="10" t="s">
        <v>293</v>
      </c>
      <c r="C221" s="11" t="s">
        <v>213</v>
      </c>
      <c r="D221" s="10" t="s">
        <v>214</v>
      </c>
      <c r="E221" s="10">
        <v>7690</v>
      </c>
      <c r="F221" s="12">
        <f t="shared" ref="F221:F223" si="123">0.3*E221</f>
        <v>2307</v>
      </c>
      <c r="G221" s="12">
        <f>F221*H221</f>
        <v>4614</v>
      </c>
      <c r="H221" s="13">
        <v>2</v>
      </c>
      <c r="I221" s="14" t="s">
        <v>12</v>
      </c>
      <c r="J221" s="10" t="s">
        <v>207</v>
      </c>
      <c r="K221" s="13" t="str">
        <f t="shared" si="121"/>
        <v>Блок4</v>
      </c>
      <c r="L221" s="13"/>
      <c r="M221" s="13"/>
      <c r="N221" s="13"/>
      <c r="O221" s="26">
        <f t="shared" si="122"/>
        <v>1</v>
      </c>
      <c r="P221" s="26">
        <f>O221*H221</f>
        <v>2</v>
      </c>
      <c r="Q221" s="27">
        <f>P221*E221</f>
        <v>15380</v>
      </c>
    </row>
    <row r="222" spans="1:17" ht="35.25" customHeight="1" x14ac:dyDescent="0.25">
      <c r="A222" s="13" t="str">
        <f t="shared" si="119"/>
        <v>РЩ1-4 (АВР-Б-40-2-1)</v>
      </c>
      <c r="B222" s="10" t="s">
        <v>293</v>
      </c>
      <c r="C222" s="11" t="s">
        <v>231</v>
      </c>
      <c r="D222" s="10" t="s">
        <v>232</v>
      </c>
      <c r="E222" s="10">
        <v>7690</v>
      </c>
      <c r="F222" s="12">
        <f t="shared" si="123"/>
        <v>2307</v>
      </c>
      <c r="G222" s="12">
        <f>F222*H222</f>
        <v>4614</v>
      </c>
      <c r="H222" s="13">
        <v>2</v>
      </c>
      <c r="I222" s="14" t="s">
        <v>12</v>
      </c>
      <c r="J222" s="10" t="s">
        <v>207</v>
      </c>
      <c r="K222" s="13" t="str">
        <f t="shared" si="121"/>
        <v>Блок4</v>
      </c>
      <c r="L222" s="13"/>
      <c r="M222" s="13"/>
      <c r="N222" s="13"/>
      <c r="O222" s="26">
        <f t="shared" si="122"/>
        <v>1</v>
      </c>
      <c r="P222" s="26">
        <f>O222*H222</f>
        <v>2</v>
      </c>
      <c r="Q222" s="27">
        <f>P222*E222</f>
        <v>15380</v>
      </c>
    </row>
    <row r="223" spans="1:17" ht="35.25" customHeight="1" x14ac:dyDescent="0.25">
      <c r="A223" s="13" t="str">
        <f t="shared" si="119"/>
        <v>РЩ1-4 (АВР-Б-40-2-1)</v>
      </c>
      <c r="B223" s="10" t="s">
        <v>294</v>
      </c>
      <c r="C223" s="11" t="s">
        <v>203</v>
      </c>
      <c r="D223" s="10" t="s">
        <v>204</v>
      </c>
      <c r="E223" s="10">
        <v>13450</v>
      </c>
      <c r="F223" s="12">
        <f t="shared" si="123"/>
        <v>4035</v>
      </c>
      <c r="G223" s="12">
        <f>F223*H223</f>
        <v>8070</v>
      </c>
      <c r="H223" s="13">
        <v>2</v>
      </c>
      <c r="I223" s="14" t="s">
        <v>12</v>
      </c>
      <c r="J223" s="10" t="s">
        <v>207</v>
      </c>
      <c r="K223" s="13" t="str">
        <f t="shared" si="121"/>
        <v>Блок4</v>
      </c>
      <c r="L223" s="13"/>
      <c r="M223" s="13"/>
      <c r="N223" s="13"/>
      <c r="O223" s="26">
        <f t="shared" si="122"/>
        <v>1</v>
      </c>
      <c r="P223" s="26">
        <f>O223*H223</f>
        <v>2</v>
      </c>
      <c r="Q223" s="27">
        <f>P223*E223</f>
        <v>26900</v>
      </c>
    </row>
    <row r="224" spans="1:17" ht="35.25" customHeight="1" x14ac:dyDescent="0.25">
      <c r="A224" s="13" t="str">
        <f t="shared" si="119"/>
        <v>РЩ1-4 (АВР-Б-40-2-1)</v>
      </c>
      <c r="B224" s="10" t="s">
        <v>18</v>
      </c>
      <c r="C224" s="11" t="s">
        <v>233</v>
      </c>
      <c r="D224" s="10" t="s">
        <v>234</v>
      </c>
      <c r="E224" s="10">
        <v>5884</v>
      </c>
      <c r="F224" s="12">
        <f>0.6*E224</f>
        <v>3530.4</v>
      </c>
      <c r="G224" s="12">
        <f>F224*H224</f>
        <v>3530.4</v>
      </c>
      <c r="H224" s="13">
        <v>1</v>
      </c>
      <c r="I224" s="14" t="s">
        <v>12</v>
      </c>
      <c r="J224" s="10" t="s">
        <v>14</v>
      </c>
      <c r="K224" s="13" t="str">
        <f t="shared" si="121"/>
        <v>Блок4</v>
      </c>
      <c r="L224" s="13"/>
      <c r="M224" s="13"/>
      <c r="N224" s="13"/>
      <c r="O224" s="26">
        <f t="shared" si="122"/>
        <v>1</v>
      </c>
      <c r="P224" s="26">
        <f>O224*H224</f>
        <v>1</v>
      </c>
      <c r="Q224" s="27">
        <f>P224*F224</f>
        <v>3530.4</v>
      </c>
    </row>
    <row r="225" spans="1:17" ht="35.25" customHeight="1" x14ac:dyDescent="0.25">
      <c r="A225" s="13" t="str">
        <f t="shared" si="119"/>
        <v>РЩ1-4 (АВР-Б-40-2-1)</v>
      </c>
      <c r="B225" s="10" t="s">
        <v>293</v>
      </c>
      <c r="C225" s="11" t="s">
        <v>205</v>
      </c>
      <c r="D225" s="10" t="s">
        <v>206</v>
      </c>
      <c r="E225" s="10">
        <v>7090</v>
      </c>
      <c r="F225" s="12">
        <f>0.3*E225</f>
        <v>2127</v>
      </c>
      <c r="G225" s="12">
        <f>F225*H225</f>
        <v>2127</v>
      </c>
      <c r="H225" s="13">
        <v>1</v>
      </c>
      <c r="I225" s="14" t="s">
        <v>12</v>
      </c>
      <c r="J225" s="10" t="s">
        <v>207</v>
      </c>
      <c r="K225" s="13" t="str">
        <f t="shared" si="121"/>
        <v>Блок4</v>
      </c>
      <c r="L225" s="13"/>
      <c r="M225" s="13"/>
      <c r="N225" s="13"/>
      <c r="O225" s="26">
        <f t="shared" si="122"/>
        <v>1</v>
      </c>
      <c r="P225" s="26">
        <f>O225*H225</f>
        <v>1</v>
      </c>
      <c r="Q225" s="27">
        <f>P225*E225</f>
        <v>7090</v>
      </c>
    </row>
    <row r="226" spans="1:17" ht="35.25" customHeight="1" x14ac:dyDescent="0.25">
      <c r="A226" s="13" t="str">
        <f t="shared" si="119"/>
        <v>РЩ1-4 (АВР-Б-40-2-1)</v>
      </c>
      <c r="B226" s="10" t="s">
        <v>15</v>
      </c>
      <c r="C226" s="11" t="s">
        <v>299</v>
      </c>
      <c r="D226" s="10" t="s">
        <v>300</v>
      </c>
      <c r="E226" s="10">
        <v>32400</v>
      </c>
      <c r="F226" s="12">
        <f>E226</f>
        <v>32400</v>
      </c>
      <c r="G226" s="12">
        <f>F226*H226</f>
        <v>32400</v>
      </c>
      <c r="H226" s="13">
        <v>1</v>
      </c>
      <c r="I226" s="14" t="s">
        <v>12</v>
      </c>
      <c r="J226" s="10" t="s">
        <v>16</v>
      </c>
      <c r="K226" s="13" t="str">
        <f t="shared" si="121"/>
        <v>Блок4</v>
      </c>
      <c r="L226" s="13"/>
      <c r="M226" s="13"/>
      <c r="N226" s="13"/>
      <c r="O226" s="26">
        <f t="shared" si="122"/>
        <v>1</v>
      </c>
      <c r="P226" s="26">
        <f>O226*H226</f>
        <v>1</v>
      </c>
      <c r="Q226" s="27">
        <f t="shared" ref="Q226:Q233" si="124">P226*F226</f>
        <v>32400</v>
      </c>
    </row>
    <row r="227" spans="1:17" ht="35.25" customHeight="1" x14ac:dyDescent="0.25">
      <c r="A227" s="13" t="str">
        <f t="shared" si="119"/>
        <v>РЩ1-4 (АВР-Б-40-2-1)</v>
      </c>
      <c r="B227" s="10" t="s">
        <v>30</v>
      </c>
      <c r="C227" s="11"/>
      <c r="D227" s="10" t="s">
        <v>31</v>
      </c>
      <c r="E227" s="10">
        <v>3850</v>
      </c>
      <c r="F227" s="12">
        <f>E227</f>
        <v>3850</v>
      </c>
      <c r="G227" s="12">
        <f>F227*H227</f>
        <v>23100</v>
      </c>
      <c r="H227" s="13">
        <v>6</v>
      </c>
      <c r="I227" s="14" t="s">
        <v>12</v>
      </c>
      <c r="J227" s="10" t="s">
        <v>25</v>
      </c>
      <c r="K227" s="13" t="str">
        <f t="shared" si="121"/>
        <v>Блок4</v>
      </c>
      <c r="L227" s="13"/>
      <c r="M227" s="13"/>
      <c r="N227" s="13"/>
      <c r="O227" s="26">
        <f t="shared" si="122"/>
        <v>1</v>
      </c>
      <c r="P227" s="26">
        <f>O227*H227</f>
        <v>6</v>
      </c>
      <c r="Q227" s="27">
        <f t="shared" si="124"/>
        <v>23100</v>
      </c>
    </row>
    <row r="228" spans="1:17" ht="35.25" customHeight="1" x14ac:dyDescent="0.25">
      <c r="A228" s="10" t="str">
        <f t="shared" si="119"/>
        <v>РЩ1-4 (АВР-Б-40-2-1)</v>
      </c>
      <c r="B228" s="10" t="s">
        <v>19</v>
      </c>
      <c r="C228" s="11" t="s">
        <v>19</v>
      </c>
      <c r="D228" s="10" t="s">
        <v>19</v>
      </c>
      <c r="E228" s="10">
        <f ca="1">OFFSET(E228,1,2)</f>
        <v>39000</v>
      </c>
      <c r="F228" s="12">
        <f ca="1">E228</f>
        <v>39000</v>
      </c>
      <c r="G228" s="12">
        <f ca="1">F228*H228</f>
        <v>39000</v>
      </c>
      <c r="H228" s="10">
        <v>1</v>
      </c>
      <c r="I228" s="10" t="s">
        <v>12</v>
      </c>
      <c r="J228" s="10" t="s">
        <v>19</v>
      </c>
      <c r="K228" s="13" t="str">
        <f t="shared" si="121"/>
        <v>Блок4</v>
      </c>
      <c r="L228" s="13"/>
      <c r="M228" s="13"/>
      <c r="N228" s="13"/>
      <c r="O228" s="26">
        <f t="shared" si="122"/>
        <v>1</v>
      </c>
      <c r="P228" s="26">
        <f>O228*H228</f>
        <v>1</v>
      </c>
      <c r="Q228" s="27">
        <f t="shared" ca="1" si="124"/>
        <v>39000</v>
      </c>
    </row>
    <row r="229" spans="1:17" ht="35.25" customHeight="1" x14ac:dyDescent="0.25">
      <c r="A229" s="10" t="str">
        <f t="shared" si="119"/>
        <v>РЩ1-4 (АВР-Б-40-2-1)</v>
      </c>
      <c r="B229" s="10" t="s">
        <v>20</v>
      </c>
      <c r="C229" s="11" t="s">
        <v>20</v>
      </c>
      <c r="D229" s="10" t="s">
        <v>20</v>
      </c>
      <c r="E229" s="10">
        <v>6.5</v>
      </c>
      <c r="F229" s="12">
        <v>100</v>
      </c>
      <c r="G229" s="12">
        <f>F229*H229</f>
        <v>39000</v>
      </c>
      <c r="H229" s="10">
        <f>60*E229</f>
        <v>390</v>
      </c>
      <c r="I229" s="10" t="s">
        <v>12</v>
      </c>
      <c r="J229" s="10" t="s">
        <v>20</v>
      </c>
      <c r="K229" s="13" t="str">
        <f t="shared" si="121"/>
        <v>Блок4</v>
      </c>
      <c r="L229" s="13"/>
      <c r="M229" s="13"/>
      <c r="N229" s="13"/>
      <c r="O229" s="26">
        <f t="shared" si="122"/>
        <v>1</v>
      </c>
      <c r="P229" s="26">
        <f>O229*H229</f>
        <v>390</v>
      </c>
      <c r="Q229" s="27">
        <f t="shared" si="124"/>
        <v>39000</v>
      </c>
    </row>
    <row r="230" spans="1:17" ht="35.25" customHeight="1" x14ac:dyDescent="0.25">
      <c r="A230" s="15" t="str">
        <f t="shared" si="119"/>
        <v>РЩ1-4 (АВР-Б-40-2-1)</v>
      </c>
      <c r="B230" s="15"/>
      <c r="C230" s="15"/>
      <c r="D230" s="16"/>
      <c r="E230" s="28"/>
      <c r="F230" s="12">
        <f t="shared" ref="F230" si="125">E230*0.55</f>
        <v>0</v>
      </c>
      <c r="G230" s="28">
        <f ca="1">SUM(G219:G229)</f>
        <v>303310.19999999995</v>
      </c>
      <c r="H230" s="15"/>
      <c r="I230" s="19"/>
      <c r="J230" s="15"/>
      <c r="K230" s="13" t="str">
        <f t="shared" si="121"/>
        <v>Блок4</v>
      </c>
      <c r="L230" s="13"/>
      <c r="M230" s="13"/>
      <c r="N230" s="13"/>
      <c r="O230" s="26">
        <f t="shared" si="122"/>
        <v>1</v>
      </c>
      <c r="P230" s="26">
        <f>O230*H230</f>
        <v>0</v>
      </c>
      <c r="Q230" s="27">
        <f t="shared" si="124"/>
        <v>0</v>
      </c>
    </row>
    <row r="231" spans="1:17" ht="35.25" customHeight="1" x14ac:dyDescent="0.25">
      <c r="A231" s="8" t="str">
        <f>D231</f>
        <v>РУ1-5</v>
      </c>
      <c r="B231" s="4"/>
      <c r="C231" s="5"/>
      <c r="D231" s="4" t="s">
        <v>70</v>
      </c>
      <c r="E231" s="6"/>
      <c r="F231" s="6"/>
      <c r="G231" s="7"/>
      <c r="H231" s="8">
        <v>1</v>
      </c>
      <c r="I231" s="9" t="s">
        <v>9</v>
      </c>
      <c r="J231" s="4" t="s">
        <v>10</v>
      </c>
      <c r="K231" s="8" t="s">
        <v>71</v>
      </c>
      <c r="L231" s="8"/>
      <c r="M231" s="8"/>
      <c r="N231" s="8"/>
      <c r="O231" s="26">
        <f>H231</f>
        <v>1</v>
      </c>
      <c r="P231" s="26">
        <f>O231*H231</f>
        <v>1</v>
      </c>
      <c r="Q231" s="27">
        <f t="shared" si="124"/>
        <v>0</v>
      </c>
    </row>
    <row r="232" spans="1:17" ht="35.25" customHeight="1" x14ac:dyDescent="0.25">
      <c r="A232" s="13" t="str">
        <f t="shared" ref="A232:A239" si="126">A231</f>
        <v>РУ1-5</v>
      </c>
      <c r="B232" s="10" t="s">
        <v>11</v>
      </c>
      <c r="C232" s="11" t="s">
        <v>170</v>
      </c>
      <c r="D232" s="10" t="s">
        <v>171</v>
      </c>
      <c r="E232" s="10">
        <v>145000</v>
      </c>
      <c r="F232" s="12">
        <f t="shared" ref="F232:F233" si="127">0.6*E232</f>
        <v>87000</v>
      </c>
      <c r="G232" s="12">
        <f>F232*H232</f>
        <v>87000</v>
      </c>
      <c r="H232" s="13">
        <v>1</v>
      </c>
      <c r="I232" s="14" t="s">
        <v>12</v>
      </c>
      <c r="J232" s="10" t="s">
        <v>13</v>
      </c>
      <c r="K232" s="13" t="str">
        <f t="shared" ref="K232:K239" si="128">K231</f>
        <v>Блок5</v>
      </c>
      <c r="L232" s="13"/>
      <c r="M232" s="13"/>
      <c r="N232" s="13"/>
      <c r="O232" s="26">
        <f t="shared" ref="O232:O239" si="129">O231</f>
        <v>1</v>
      </c>
      <c r="P232" s="26">
        <f>O232*H232</f>
        <v>1</v>
      </c>
      <c r="Q232" s="27">
        <f t="shared" si="124"/>
        <v>87000</v>
      </c>
    </row>
    <row r="233" spans="1:17" ht="35.25" customHeight="1" x14ac:dyDescent="0.25">
      <c r="A233" s="13" t="str">
        <f t="shared" si="126"/>
        <v>РУ1-5</v>
      </c>
      <c r="B233" s="10" t="s">
        <v>294</v>
      </c>
      <c r="C233" s="11" t="s">
        <v>229</v>
      </c>
      <c r="D233" s="10" t="s">
        <v>230</v>
      </c>
      <c r="E233" s="10">
        <v>34800</v>
      </c>
      <c r="F233" s="12">
        <f t="shared" si="127"/>
        <v>20880</v>
      </c>
      <c r="G233" s="12">
        <f>F233*H233</f>
        <v>20880</v>
      </c>
      <c r="H233" s="13">
        <v>1</v>
      </c>
      <c r="I233" s="14" t="s">
        <v>12</v>
      </c>
      <c r="J233" s="10" t="s">
        <v>14</v>
      </c>
      <c r="K233" s="13" t="str">
        <f t="shared" si="128"/>
        <v>Блок5</v>
      </c>
      <c r="L233" s="13"/>
      <c r="M233" s="13"/>
      <c r="N233" s="13"/>
      <c r="O233" s="26">
        <f t="shared" si="129"/>
        <v>1</v>
      </c>
      <c r="P233" s="26">
        <f>O233*H233</f>
        <v>1</v>
      </c>
      <c r="Q233" s="27">
        <f t="shared" si="124"/>
        <v>20880</v>
      </c>
    </row>
    <row r="234" spans="1:17" ht="35.25" customHeight="1" x14ac:dyDescent="0.25">
      <c r="A234" s="13" t="str">
        <f t="shared" si="126"/>
        <v>РУ1-5</v>
      </c>
      <c r="B234" s="10" t="s">
        <v>294</v>
      </c>
      <c r="C234" s="11" t="s">
        <v>227</v>
      </c>
      <c r="D234" s="10" t="s">
        <v>228</v>
      </c>
      <c r="E234" s="10">
        <v>29990</v>
      </c>
      <c r="F234" s="12">
        <f t="shared" ref="F234:F236" si="130">0.3*E234</f>
        <v>8997</v>
      </c>
      <c r="G234" s="12">
        <f>F234*H234</f>
        <v>17994</v>
      </c>
      <c r="H234" s="13">
        <v>2</v>
      </c>
      <c r="I234" s="14" t="s">
        <v>12</v>
      </c>
      <c r="J234" s="10" t="s">
        <v>207</v>
      </c>
      <c r="K234" s="13" t="str">
        <f t="shared" si="128"/>
        <v>Блок5</v>
      </c>
      <c r="L234" s="13"/>
      <c r="M234" s="13"/>
      <c r="N234" s="13"/>
      <c r="O234" s="26">
        <f t="shared" si="129"/>
        <v>1</v>
      </c>
      <c r="P234" s="26">
        <f>O234*H234</f>
        <v>2</v>
      </c>
      <c r="Q234" s="27">
        <f>P234*E234</f>
        <v>59980</v>
      </c>
    </row>
    <row r="235" spans="1:17" ht="35.25" customHeight="1" x14ac:dyDescent="0.25">
      <c r="A235" s="13" t="str">
        <f>A233</f>
        <v>РУ1-5</v>
      </c>
      <c r="B235" s="10" t="s">
        <v>293</v>
      </c>
      <c r="C235" s="11" t="s">
        <v>333</v>
      </c>
      <c r="D235" s="10" t="s">
        <v>334</v>
      </c>
      <c r="E235" s="10">
        <v>29710</v>
      </c>
      <c r="F235" s="12">
        <f t="shared" ref="F235" si="131">0.3*E235</f>
        <v>8913</v>
      </c>
      <c r="G235" s="12">
        <f>F235*H235</f>
        <v>8913</v>
      </c>
      <c r="H235" s="13">
        <v>1</v>
      </c>
      <c r="I235" s="14" t="s">
        <v>12</v>
      </c>
      <c r="J235" s="10" t="s">
        <v>207</v>
      </c>
      <c r="K235" s="13" t="str">
        <f>K233</f>
        <v>Блок5</v>
      </c>
      <c r="L235" s="13"/>
      <c r="M235" s="13"/>
      <c r="N235" s="13"/>
      <c r="O235" s="26">
        <f>O233</f>
        <v>1</v>
      </c>
      <c r="P235" s="26">
        <f>O235*H235</f>
        <v>1</v>
      </c>
      <c r="Q235" s="27">
        <f>P235*E235</f>
        <v>29710</v>
      </c>
    </row>
    <row r="236" spans="1:17" ht="35.25" customHeight="1" x14ac:dyDescent="0.25">
      <c r="A236" s="13" t="str">
        <f>A234</f>
        <v>РУ1-5</v>
      </c>
      <c r="B236" s="10" t="s">
        <v>293</v>
      </c>
      <c r="C236" s="11" t="s">
        <v>217</v>
      </c>
      <c r="D236" s="10" t="s">
        <v>218</v>
      </c>
      <c r="E236" s="10">
        <v>7850</v>
      </c>
      <c r="F236" s="12">
        <f t="shared" si="130"/>
        <v>2355</v>
      </c>
      <c r="G236" s="12">
        <f>F236*H236</f>
        <v>2355</v>
      </c>
      <c r="H236" s="13">
        <v>1</v>
      </c>
      <c r="I236" s="14" t="s">
        <v>12</v>
      </c>
      <c r="J236" s="10" t="s">
        <v>207</v>
      </c>
      <c r="K236" s="13" t="str">
        <f>K234</f>
        <v>Блок5</v>
      </c>
      <c r="L236" s="13"/>
      <c r="M236" s="13"/>
      <c r="N236" s="13"/>
      <c r="O236" s="26">
        <f>O234</f>
        <v>1</v>
      </c>
      <c r="P236" s="26">
        <f>O236*H236</f>
        <v>1</v>
      </c>
      <c r="Q236" s="27">
        <f>P236*E236</f>
        <v>7850</v>
      </c>
    </row>
    <row r="237" spans="1:17" ht="35.25" customHeight="1" x14ac:dyDescent="0.25">
      <c r="A237" s="10" t="str">
        <f t="shared" si="126"/>
        <v>РУ1-5</v>
      </c>
      <c r="B237" s="10" t="s">
        <v>19</v>
      </c>
      <c r="C237" s="11" t="s">
        <v>19</v>
      </c>
      <c r="D237" s="10" t="s">
        <v>19</v>
      </c>
      <c r="E237" s="10">
        <f ca="1">OFFSET(E237,1,2)</f>
        <v>27000</v>
      </c>
      <c r="F237" s="12">
        <f ca="1">E237</f>
        <v>27000</v>
      </c>
      <c r="G237" s="12">
        <f ca="1">F237*H237</f>
        <v>27000</v>
      </c>
      <c r="H237" s="10">
        <v>1</v>
      </c>
      <c r="I237" s="10" t="s">
        <v>12</v>
      </c>
      <c r="J237" s="10" t="s">
        <v>19</v>
      </c>
      <c r="K237" s="13" t="str">
        <f t="shared" si="128"/>
        <v>Блок5</v>
      </c>
      <c r="L237" s="13"/>
      <c r="M237" s="13"/>
      <c r="N237" s="13"/>
      <c r="O237" s="26">
        <f t="shared" si="129"/>
        <v>1</v>
      </c>
      <c r="P237" s="26">
        <f>O237*H237</f>
        <v>1</v>
      </c>
      <c r="Q237" s="27">
        <f ca="1">P237*F237</f>
        <v>27000</v>
      </c>
    </row>
    <row r="238" spans="1:17" ht="35.25" customHeight="1" x14ac:dyDescent="0.25">
      <c r="A238" s="10" t="str">
        <f t="shared" si="126"/>
        <v>РУ1-5</v>
      </c>
      <c r="B238" s="10" t="s">
        <v>20</v>
      </c>
      <c r="C238" s="11" t="s">
        <v>20</v>
      </c>
      <c r="D238" s="10" t="s">
        <v>20</v>
      </c>
      <c r="E238" s="10">
        <v>4.5</v>
      </c>
      <c r="F238" s="12">
        <v>100</v>
      </c>
      <c r="G238" s="12">
        <f>F238*H238</f>
        <v>27000</v>
      </c>
      <c r="H238" s="10">
        <f>60*E238</f>
        <v>270</v>
      </c>
      <c r="I238" s="10" t="s">
        <v>12</v>
      </c>
      <c r="J238" s="10" t="s">
        <v>20</v>
      </c>
      <c r="K238" s="13" t="str">
        <f t="shared" si="128"/>
        <v>Блок5</v>
      </c>
      <c r="L238" s="13"/>
      <c r="M238" s="13"/>
      <c r="N238" s="13"/>
      <c r="O238" s="26">
        <f t="shared" si="129"/>
        <v>1</v>
      </c>
      <c r="P238" s="26">
        <f>O238*H238</f>
        <v>270</v>
      </c>
      <c r="Q238" s="27">
        <f>P238*F238</f>
        <v>27000</v>
      </c>
    </row>
    <row r="239" spans="1:17" ht="35.25" customHeight="1" x14ac:dyDescent="0.25">
      <c r="A239" s="15" t="str">
        <f t="shared" si="126"/>
        <v>РУ1-5</v>
      </c>
      <c r="B239" s="15"/>
      <c r="C239" s="15"/>
      <c r="D239" s="16"/>
      <c r="E239" s="28"/>
      <c r="F239" s="12">
        <f t="shared" ref="F239" si="132">E239*0.55</f>
        <v>0</v>
      </c>
      <c r="G239" s="28">
        <f ca="1">SUM(G232:G238)</f>
        <v>191142</v>
      </c>
      <c r="H239" s="15"/>
      <c r="I239" s="19"/>
      <c r="J239" s="15"/>
      <c r="K239" s="13" t="str">
        <f t="shared" si="128"/>
        <v>Блок5</v>
      </c>
      <c r="L239" s="13"/>
      <c r="M239" s="13"/>
      <c r="N239" s="13"/>
      <c r="O239" s="26">
        <f t="shared" si="129"/>
        <v>1</v>
      </c>
      <c r="P239" s="26">
        <f>O239*H239</f>
        <v>0</v>
      </c>
      <c r="Q239" s="27">
        <f>P239*F239</f>
        <v>0</v>
      </c>
    </row>
    <row r="240" spans="1:17" ht="35.25" customHeight="1" x14ac:dyDescent="0.25">
      <c r="A240" s="8" t="str">
        <f>D240</f>
        <v>ЩУР.МОП1-5</v>
      </c>
      <c r="B240" s="4"/>
      <c r="C240" s="5"/>
      <c r="D240" s="4" t="s">
        <v>72</v>
      </c>
      <c r="E240" s="6"/>
      <c r="F240" s="6"/>
      <c r="G240" s="7"/>
      <c r="H240" s="8">
        <v>1</v>
      </c>
      <c r="I240" s="9" t="s">
        <v>9</v>
      </c>
      <c r="J240" s="4" t="s">
        <v>10</v>
      </c>
      <c r="K240" s="8" t="s">
        <v>71</v>
      </c>
      <c r="L240" s="8"/>
      <c r="M240" s="8"/>
      <c r="N240" s="8"/>
      <c r="O240" s="26">
        <f>H240</f>
        <v>1</v>
      </c>
      <c r="P240" s="26">
        <f>O240*H240</f>
        <v>1</v>
      </c>
      <c r="Q240" s="27">
        <f>P240*F240</f>
        <v>0</v>
      </c>
    </row>
    <row r="241" spans="1:17" ht="35.25" customHeight="1" x14ac:dyDescent="0.25">
      <c r="A241" s="13" t="str">
        <f t="shared" ref="A241:A248" si="133">A240</f>
        <v>ЩУР.МОП1-5</v>
      </c>
      <c r="B241" s="10" t="s">
        <v>11</v>
      </c>
      <c r="C241" s="11" t="s">
        <v>328</v>
      </c>
      <c r="D241" s="10" t="s">
        <v>329</v>
      </c>
      <c r="E241" s="10">
        <v>27000</v>
      </c>
      <c r="F241" s="12">
        <f>0.6*E241</f>
        <v>16200</v>
      </c>
      <c r="G241" s="12">
        <f>F241*H241</f>
        <v>16200</v>
      </c>
      <c r="H241" s="13">
        <v>1</v>
      </c>
      <c r="I241" s="14" t="s">
        <v>12</v>
      </c>
      <c r="J241" s="10" t="s">
        <v>13</v>
      </c>
      <c r="K241" s="13" t="str">
        <f t="shared" ref="K241:K248" si="134">K240</f>
        <v>Блок5</v>
      </c>
      <c r="L241" s="13"/>
      <c r="M241" s="13"/>
      <c r="N241" s="13"/>
      <c r="O241" s="26">
        <f t="shared" ref="O241:O248" si="135">O240</f>
        <v>1</v>
      </c>
      <c r="P241" s="26">
        <f>O241*H241</f>
        <v>1</v>
      </c>
      <c r="Q241" s="27">
        <f>P241*F241</f>
        <v>16200</v>
      </c>
    </row>
    <row r="242" spans="1:17" ht="35.25" customHeight="1" x14ac:dyDescent="0.25">
      <c r="A242" s="13" t="str">
        <f>A240</f>
        <v>ЩУР.МОП1-5</v>
      </c>
      <c r="B242" s="10" t="s">
        <v>293</v>
      </c>
      <c r="C242" s="11" t="s">
        <v>343</v>
      </c>
      <c r="D242" s="10" t="s">
        <v>344</v>
      </c>
      <c r="E242" s="10">
        <v>5010</v>
      </c>
      <c r="F242" s="12">
        <f t="shared" ref="F242" si="136">0.3*E242</f>
        <v>1503</v>
      </c>
      <c r="G242" s="12">
        <f>F242*H242</f>
        <v>1503</v>
      </c>
      <c r="H242" s="13">
        <v>1</v>
      </c>
      <c r="I242" s="14" t="s">
        <v>12</v>
      </c>
      <c r="J242" s="10" t="s">
        <v>207</v>
      </c>
      <c r="K242" s="13" t="str">
        <f>K240</f>
        <v>Блок5</v>
      </c>
      <c r="L242" s="13"/>
      <c r="M242" s="13"/>
      <c r="N242" s="13"/>
      <c r="O242" s="26">
        <f>O240</f>
        <v>1</v>
      </c>
      <c r="P242" s="26">
        <f>O242*H242</f>
        <v>1</v>
      </c>
      <c r="Q242" s="27">
        <f>P242*E242</f>
        <v>5010</v>
      </c>
    </row>
    <row r="243" spans="1:17" ht="35.25" customHeight="1" x14ac:dyDescent="0.25">
      <c r="A243" s="13" t="str">
        <f>A241</f>
        <v>ЩУР.МОП1-5</v>
      </c>
      <c r="B243" s="10" t="s">
        <v>293</v>
      </c>
      <c r="C243" s="11" t="s">
        <v>341</v>
      </c>
      <c r="D243" s="10" t="s">
        <v>342</v>
      </c>
      <c r="E243" s="10">
        <v>1655</v>
      </c>
      <c r="F243" s="12">
        <f t="shared" ref="F243:F244" si="137">0.3*E243</f>
        <v>496.5</v>
      </c>
      <c r="G243" s="12">
        <f>F243*H243</f>
        <v>993</v>
      </c>
      <c r="H243" s="13">
        <v>2</v>
      </c>
      <c r="I243" s="14" t="s">
        <v>12</v>
      </c>
      <c r="J243" s="10" t="s">
        <v>207</v>
      </c>
      <c r="K243" s="13" t="str">
        <f>K241</f>
        <v>Блок5</v>
      </c>
      <c r="L243" s="13"/>
      <c r="M243" s="13"/>
      <c r="N243" s="13"/>
      <c r="O243" s="26">
        <f>O241</f>
        <v>1</v>
      </c>
      <c r="P243" s="26">
        <f>O243*H243</f>
        <v>2</v>
      </c>
      <c r="Q243" s="27">
        <f>P243*E243</f>
        <v>3310</v>
      </c>
    </row>
    <row r="244" spans="1:17" ht="35.25" customHeight="1" x14ac:dyDescent="0.25">
      <c r="A244" s="13" t="str">
        <f t="shared" si="133"/>
        <v>ЩУР.МОП1-5</v>
      </c>
      <c r="B244" s="10" t="s">
        <v>293</v>
      </c>
      <c r="C244" s="11" t="s">
        <v>193</v>
      </c>
      <c r="D244" s="10" t="s">
        <v>194</v>
      </c>
      <c r="E244" s="10">
        <v>6580</v>
      </c>
      <c r="F244" s="12">
        <f t="shared" si="137"/>
        <v>1974</v>
      </c>
      <c r="G244" s="12">
        <f>F244*H244</f>
        <v>7896</v>
      </c>
      <c r="H244" s="13">
        <v>4</v>
      </c>
      <c r="I244" s="14" t="s">
        <v>12</v>
      </c>
      <c r="J244" s="10" t="s">
        <v>207</v>
      </c>
      <c r="K244" s="13" t="str">
        <f t="shared" si="134"/>
        <v>Блок5</v>
      </c>
      <c r="L244" s="13"/>
      <c r="M244" s="13"/>
      <c r="N244" s="13"/>
      <c r="O244" s="26">
        <f t="shared" si="135"/>
        <v>1</v>
      </c>
      <c r="P244" s="26">
        <f>O244*H244</f>
        <v>4</v>
      </c>
      <c r="Q244" s="27">
        <f>P244*E244</f>
        <v>26320</v>
      </c>
    </row>
    <row r="245" spans="1:17" ht="35.25" customHeight="1" x14ac:dyDescent="0.25">
      <c r="A245" s="13" t="str">
        <f t="shared" si="133"/>
        <v>ЩУР.МОП1-5</v>
      </c>
      <c r="B245" s="10" t="s">
        <v>15</v>
      </c>
      <c r="C245" s="11" t="s">
        <v>299</v>
      </c>
      <c r="D245" s="10" t="s">
        <v>300</v>
      </c>
      <c r="E245" s="10">
        <v>32400</v>
      </c>
      <c r="F245" s="12">
        <f>E245</f>
        <v>32400</v>
      </c>
      <c r="G245" s="12">
        <f>F245*H245</f>
        <v>32400</v>
      </c>
      <c r="H245" s="13">
        <v>1</v>
      </c>
      <c r="I245" s="14" t="s">
        <v>12</v>
      </c>
      <c r="J245" s="10" t="s">
        <v>16</v>
      </c>
      <c r="K245" s="13" t="str">
        <f t="shared" si="134"/>
        <v>Блок5</v>
      </c>
      <c r="L245" s="13"/>
      <c r="M245" s="13"/>
      <c r="N245" s="13"/>
      <c r="O245" s="26">
        <f t="shared" si="135"/>
        <v>1</v>
      </c>
      <c r="P245" s="26">
        <f>O245*H245</f>
        <v>1</v>
      </c>
      <c r="Q245" s="27">
        <f t="shared" ref="Q245:Q251" si="138">P245*F245</f>
        <v>32400</v>
      </c>
    </row>
    <row r="246" spans="1:17" ht="35.25" customHeight="1" x14ac:dyDescent="0.25">
      <c r="A246" s="10" t="str">
        <f t="shared" si="133"/>
        <v>ЩУР.МОП1-5</v>
      </c>
      <c r="B246" s="10" t="s">
        <v>19</v>
      </c>
      <c r="C246" s="11" t="s">
        <v>19</v>
      </c>
      <c r="D246" s="10" t="s">
        <v>19</v>
      </c>
      <c r="E246" s="10">
        <f ca="1">OFFSET(E246,1,2)</f>
        <v>12000</v>
      </c>
      <c r="F246" s="12">
        <f ca="1">E246</f>
        <v>12000</v>
      </c>
      <c r="G246" s="12">
        <f ca="1">F246*H246</f>
        <v>12000</v>
      </c>
      <c r="H246" s="10">
        <v>1</v>
      </c>
      <c r="I246" s="10" t="s">
        <v>12</v>
      </c>
      <c r="J246" s="10" t="s">
        <v>19</v>
      </c>
      <c r="K246" s="13" t="str">
        <f t="shared" si="134"/>
        <v>Блок5</v>
      </c>
      <c r="L246" s="13"/>
      <c r="M246" s="13"/>
      <c r="N246" s="13"/>
      <c r="O246" s="26">
        <f t="shared" si="135"/>
        <v>1</v>
      </c>
      <c r="P246" s="26">
        <f>O246*H246</f>
        <v>1</v>
      </c>
      <c r="Q246" s="27">
        <f t="shared" ca="1" si="138"/>
        <v>12000</v>
      </c>
    </row>
    <row r="247" spans="1:17" ht="35.25" customHeight="1" x14ac:dyDescent="0.25">
      <c r="A247" s="10" t="str">
        <f t="shared" si="133"/>
        <v>ЩУР.МОП1-5</v>
      </c>
      <c r="B247" s="10" t="s">
        <v>20</v>
      </c>
      <c r="C247" s="11" t="s">
        <v>20</v>
      </c>
      <c r="D247" s="10" t="s">
        <v>20</v>
      </c>
      <c r="E247" s="10">
        <v>2</v>
      </c>
      <c r="F247" s="12">
        <v>100</v>
      </c>
      <c r="G247" s="12">
        <f>F247*H247</f>
        <v>12000</v>
      </c>
      <c r="H247" s="10">
        <f>60*E247</f>
        <v>120</v>
      </c>
      <c r="I247" s="10" t="s">
        <v>12</v>
      </c>
      <c r="J247" s="10" t="s">
        <v>20</v>
      </c>
      <c r="K247" s="13" t="str">
        <f t="shared" si="134"/>
        <v>Блок5</v>
      </c>
      <c r="L247" s="13"/>
      <c r="M247" s="13"/>
      <c r="N247" s="13"/>
      <c r="O247" s="26">
        <f t="shared" si="135"/>
        <v>1</v>
      </c>
      <c r="P247" s="26">
        <f>O247*H247</f>
        <v>120</v>
      </c>
      <c r="Q247" s="27">
        <f t="shared" si="138"/>
        <v>12000</v>
      </c>
    </row>
    <row r="248" spans="1:17" ht="35.25" customHeight="1" x14ac:dyDescent="0.25">
      <c r="A248" s="15" t="str">
        <f t="shared" si="133"/>
        <v>ЩУР.МОП1-5</v>
      </c>
      <c r="B248" s="15"/>
      <c r="C248" s="15"/>
      <c r="D248" s="16"/>
      <c r="E248" s="28"/>
      <c r="F248" s="12">
        <f>E248*0.55</f>
        <v>0</v>
      </c>
      <c r="G248" s="28">
        <f ca="1">SUM(G241:G247)</f>
        <v>82992</v>
      </c>
      <c r="H248" s="15"/>
      <c r="I248" s="19"/>
      <c r="J248" s="15"/>
      <c r="K248" s="13" t="str">
        <f t="shared" si="134"/>
        <v>Блок5</v>
      </c>
      <c r="L248" s="13"/>
      <c r="M248" s="13"/>
      <c r="N248" s="13"/>
      <c r="O248" s="26">
        <f t="shared" si="135"/>
        <v>1</v>
      </c>
      <c r="P248" s="26">
        <f>O248*H248</f>
        <v>0</v>
      </c>
      <c r="Q248" s="27">
        <f t="shared" si="138"/>
        <v>0</v>
      </c>
    </row>
    <row r="249" spans="1:17" ht="35.25" customHeight="1" x14ac:dyDescent="0.25">
      <c r="A249" s="8" t="str">
        <f>D249</f>
        <v>РЩ1-5 (АВР-Б-40-2-1)</v>
      </c>
      <c r="B249" s="4"/>
      <c r="C249" s="5"/>
      <c r="D249" s="4" t="s">
        <v>137</v>
      </c>
      <c r="E249" s="6"/>
      <c r="F249" s="6"/>
      <c r="G249" s="7"/>
      <c r="H249" s="8">
        <v>1</v>
      </c>
      <c r="I249" s="9" t="s">
        <v>9</v>
      </c>
      <c r="J249" s="4" t="s">
        <v>10</v>
      </c>
      <c r="K249" s="8" t="s">
        <v>71</v>
      </c>
      <c r="L249" s="8"/>
      <c r="M249" s="8"/>
      <c r="N249" s="8"/>
      <c r="O249" s="26">
        <f>H249</f>
        <v>1</v>
      </c>
      <c r="P249" s="26">
        <f>O249*H249</f>
        <v>1</v>
      </c>
      <c r="Q249" s="27">
        <f t="shared" si="138"/>
        <v>0</v>
      </c>
    </row>
    <row r="250" spans="1:17" ht="35.25" customHeight="1" x14ac:dyDescent="0.25">
      <c r="A250" s="13" t="str">
        <f t="shared" ref="A250:A260" si="139">A249</f>
        <v>РЩ1-5 (АВР-Б-40-2-1)</v>
      </c>
      <c r="B250" s="10" t="s">
        <v>11</v>
      </c>
      <c r="C250" s="11" t="s">
        <v>168</v>
      </c>
      <c r="D250" s="10" t="s">
        <v>169</v>
      </c>
      <c r="E250" s="10">
        <v>130000</v>
      </c>
      <c r="F250" s="12">
        <f t="shared" ref="F250:F251" si="140">0.6*E250</f>
        <v>78000</v>
      </c>
      <c r="G250" s="12">
        <f>F250*H250</f>
        <v>78000</v>
      </c>
      <c r="H250" s="13">
        <v>1</v>
      </c>
      <c r="I250" s="14" t="s">
        <v>12</v>
      </c>
      <c r="J250" s="10" t="s">
        <v>13</v>
      </c>
      <c r="K250" s="13" t="str">
        <f t="shared" ref="K250:K260" si="141">K249</f>
        <v>Блок5</v>
      </c>
      <c r="L250" s="13"/>
      <c r="M250" s="13"/>
      <c r="N250" s="13"/>
      <c r="O250" s="26">
        <f t="shared" ref="O250:O260" si="142">O249</f>
        <v>1</v>
      </c>
      <c r="P250" s="26">
        <f>O250*H250</f>
        <v>1</v>
      </c>
      <c r="Q250" s="27">
        <f t="shared" si="138"/>
        <v>78000</v>
      </c>
    </row>
    <row r="251" spans="1:17" ht="35.25" customHeight="1" x14ac:dyDescent="0.25">
      <c r="A251" s="13" t="str">
        <f t="shared" si="139"/>
        <v>РЩ1-5 (АВР-Б-40-2-1)</v>
      </c>
      <c r="B251" s="10" t="s">
        <v>44</v>
      </c>
      <c r="C251" s="11" t="s">
        <v>162</v>
      </c>
      <c r="D251" s="10" t="s">
        <v>163</v>
      </c>
      <c r="E251" s="10">
        <v>114758</v>
      </c>
      <c r="F251" s="12">
        <f t="shared" si="140"/>
        <v>68854.8</v>
      </c>
      <c r="G251" s="12">
        <f>F251*H251</f>
        <v>68854.8</v>
      </c>
      <c r="H251" s="13">
        <v>1</v>
      </c>
      <c r="I251" s="14" t="s">
        <v>12</v>
      </c>
      <c r="J251" s="10" t="s">
        <v>14</v>
      </c>
      <c r="K251" s="13" t="str">
        <f t="shared" si="141"/>
        <v>Блок5</v>
      </c>
      <c r="L251" s="13"/>
      <c r="M251" s="13"/>
      <c r="N251" s="13"/>
      <c r="O251" s="26">
        <f t="shared" si="142"/>
        <v>1</v>
      </c>
      <c r="P251" s="26">
        <f>O251*H251</f>
        <v>1</v>
      </c>
      <c r="Q251" s="27">
        <f t="shared" si="138"/>
        <v>68854.8</v>
      </c>
    </row>
    <row r="252" spans="1:17" ht="35.25" customHeight="1" x14ac:dyDescent="0.25">
      <c r="A252" s="13" t="str">
        <f t="shared" si="139"/>
        <v>РЩ1-5 (АВР-Б-40-2-1)</v>
      </c>
      <c r="B252" s="10" t="s">
        <v>293</v>
      </c>
      <c r="C252" s="11" t="s">
        <v>213</v>
      </c>
      <c r="D252" s="10" t="s">
        <v>214</v>
      </c>
      <c r="E252" s="10">
        <v>7690</v>
      </c>
      <c r="F252" s="12">
        <f t="shared" ref="F252:F255" si="143">0.3*E252</f>
        <v>2307</v>
      </c>
      <c r="G252" s="12">
        <f>F252*H252</f>
        <v>6921</v>
      </c>
      <c r="H252" s="13">
        <v>3</v>
      </c>
      <c r="I252" s="14" t="s">
        <v>12</v>
      </c>
      <c r="J252" s="10" t="s">
        <v>207</v>
      </c>
      <c r="K252" s="13" t="str">
        <f t="shared" si="141"/>
        <v>Блок5</v>
      </c>
      <c r="L252" s="13"/>
      <c r="M252" s="13"/>
      <c r="N252" s="13"/>
      <c r="O252" s="26">
        <f t="shared" si="142"/>
        <v>1</v>
      </c>
      <c r="P252" s="26">
        <f>O252*H252</f>
        <v>3</v>
      </c>
      <c r="Q252" s="27">
        <f>P252*E252</f>
        <v>23070</v>
      </c>
    </row>
    <row r="253" spans="1:17" ht="35.25" customHeight="1" x14ac:dyDescent="0.25">
      <c r="A253" s="13" t="str">
        <f t="shared" si="139"/>
        <v>РЩ1-5 (АВР-Б-40-2-1)</v>
      </c>
      <c r="B253" s="10" t="s">
        <v>293</v>
      </c>
      <c r="C253" s="11" t="s">
        <v>231</v>
      </c>
      <c r="D253" s="10" t="s">
        <v>232</v>
      </c>
      <c r="E253" s="10">
        <v>7690</v>
      </c>
      <c r="F253" s="12">
        <f t="shared" si="143"/>
        <v>2307</v>
      </c>
      <c r="G253" s="12">
        <f>F253*H253</f>
        <v>4614</v>
      </c>
      <c r="H253" s="13">
        <v>2</v>
      </c>
      <c r="I253" s="14" t="s">
        <v>12</v>
      </c>
      <c r="J253" s="10" t="s">
        <v>207</v>
      </c>
      <c r="K253" s="13" t="str">
        <f t="shared" si="141"/>
        <v>Блок5</v>
      </c>
      <c r="L253" s="13"/>
      <c r="M253" s="13"/>
      <c r="N253" s="13"/>
      <c r="O253" s="26">
        <f t="shared" si="142"/>
        <v>1</v>
      </c>
      <c r="P253" s="26">
        <f>O253*H253</f>
        <v>2</v>
      </c>
      <c r="Q253" s="27">
        <f>P253*E253</f>
        <v>15380</v>
      </c>
    </row>
    <row r="254" spans="1:17" ht="35.25" customHeight="1" x14ac:dyDescent="0.25">
      <c r="A254" s="13" t="str">
        <f t="shared" si="139"/>
        <v>РЩ1-5 (АВР-Б-40-2-1)</v>
      </c>
      <c r="B254" s="10" t="s">
        <v>294</v>
      </c>
      <c r="C254" s="11" t="s">
        <v>203</v>
      </c>
      <c r="D254" s="10" t="s">
        <v>204</v>
      </c>
      <c r="E254" s="10">
        <v>13450</v>
      </c>
      <c r="F254" s="12">
        <f t="shared" si="143"/>
        <v>4035</v>
      </c>
      <c r="G254" s="12">
        <f>F254*H254</f>
        <v>8070</v>
      </c>
      <c r="H254" s="13">
        <v>2</v>
      </c>
      <c r="I254" s="14" t="s">
        <v>12</v>
      </c>
      <c r="J254" s="10" t="s">
        <v>207</v>
      </c>
      <c r="K254" s="13" t="str">
        <f t="shared" si="141"/>
        <v>Блок5</v>
      </c>
      <c r="L254" s="13"/>
      <c r="M254" s="13"/>
      <c r="N254" s="13"/>
      <c r="O254" s="26">
        <f t="shared" si="142"/>
        <v>1</v>
      </c>
      <c r="P254" s="26">
        <f>O254*H254</f>
        <v>2</v>
      </c>
      <c r="Q254" s="27">
        <f>P254*E254</f>
        <v>26900</v>
      </c>
    </row>
    <row r="255" spans="1:17" ht="35.25" customHeight="1" x14ac:dyDescent="0.25">
      <c r="A255" s="13" t="str">
        <f t="shared" si="139"/>
        <v>РЩ1-5 (АВР-Б-40-2-1)</v>
      </c>
      <c r="B255" s="10" t="s">
        <v>293</v>
      </c>
      <c r="C255" s="11" t="s">
        <v>205</v>
      </c>
      <c r="D255" s="10" t="s">
        <v>206</v>
      </c>
      <c r="E255" s="10">
        <v>7090</v>
      </c>
      <c r="F255" s="12">
        <f t="shared" si="143"/>
        <v>2127</v>
      </c>
      <c r="G255" s="12">
        <f>F255*H255</f>
        <v>2127</v>
      </c>
      <c r="H255" s="13">
        <v>1</v>
      </c>
      <c r="I255" s="14" t="s">
        <v>12</v>
      </c>
      <c r="J255" s="10" t="s">
        <v>207</v>
      </c>
      <c r="K255" s="13" t="str">
        <f t="shared" si="141"/>
        <v>Блок5</v>
      </c>
      <c r="L255" s="13"/>
      <c r="M255" s="13"/>
      <c r="N255" s="13"/>
      <c r="O255" s="26">
        <f t="shared" si="142"/>
        <v>1</v>
      </c>
      <c r="P255" s="26">
        <f>O255*H255</f>
        <v>1</v>
      </c>
      <c r="Q255" s="27">
        <f>P255*E255</f>
        <v>7090</v>
      </c>
    </row>
    <row r="256" spans="1:17" ht="35.25" customHeight="1" x14ac:dyDescent="0.25">
      <c r="A256" s="13" t="str">
        <f t="shared" si="139"/>
        <v>РЩ1-5 (АВР-Б-40-2-1)</v>
      </c>
      <c r="B256" s="10" t="s">
        <v>15</v>
      </c>
      <c r="C256" s="11" t="s">
        <v>299</v>
      </c>
      <c r="D256" s="10" t="s">
        <v>300</v>
      </c>
      <c r="E256" s="10">
        <v>32400</v>
      </c>
      <c r="F256" s="12">
        <f>E256</f>
        <v>32400</v>
      </c>
      <c r="G256" s="12">
        <f>F256*H256</f>
        <v>32400</v>
      </c>
      <c r="H256" s="13">
        <v>1</v>
      </c>
      <c r="I256" s="14" t="s">
        <v>12</v>
      </c>
      <c r="J256" s="10" t="s">
        <v>16</v>
      </c>
      <c r="K256" s="13" t="str">
        <f t="shared" si="141"/>
        <v>Блок5</v>
      </c>
      <c r="L256" s="13"/>
      <c r="M256" s="13"/>
      <c r="N256" s="13"/>
      <c r="O256" s="26">
        <f t="shared" si="142"/>
        <v>1</v>
      </c>
      <c r="P256" s="26">
        <f>O256*H256</f>
        <v>1</v>
      </c>
      <c r="Q256" s="27">
        <f t="shared" ref="Q256:Q263" si="144">P256*F256</f>
        <v>32400</v>
      </c>
    </row>
    <row r="257" spans="1:20" ht="35.25" customHeight="1" x14ac:dyDescent="0.25">
      <c r="A257" s="13" t="str">
        <f t="shared" si="139"/>
        <v>РЩ1-5 (АВР-Б-40-2-1)</v>
      </c>
      <c r="B257" s="10" t="s">
        <v>30</v>
      </c>
      <c r="C257" s="11"/>
      <c r="D257" s="10" t="s">
        <v>31</v>
      </c>
      <c r="E257" s="10">
        <v>3850</v>
      </c>
      <c r="F257" s="12">
        <f>E257</f>
        <v>3850</v>
      </c>
      <c r="G257" s="12">
        <f>F257*H257</f>
        <v>23100</v>
      </c>
      <c r="H257" s="13">
        <v>6</v>
      </c>
      <c r="I257" s="14" t="s">
        <v>12</v>
      </c>
      <c r="J257" s="10" t="s">
        <v>25</v>
      </c>
      <c r="K257" s="13" t="str">
        <f t="shared" si="141"/>
        <v>Блок5</v>
      </c>
      <c r="L257" s="13"/>
      <c r="M257" s="13"/>
      <c r="N257" s="13"/>
      <c r="O257" s="26">
        <f t="shared" si="142"/>
        <v>1</v>
      </c>
      <c r="P257" s="26">
        <f>O257*H257</f>
        <v>6</v>
      </c>
      <c r="Q257" s="27">
        <f t="shared" si="144"/>
        <v>23100</v>
      </c>
    </row>
    <row r="258" spans="1:20" ht="35.25" customHeight="1" x14ac:dyDescent="0.25">
      <c r="A258" s="10" t="str">
        <f t="shared" si="139"/>
        <v>РЩ1-5 (АВР-Б-40-2-1)</v>
      </c>
      <c r="B258" s="10" t="s">
        <v>19</v>
      </c>
      <c r="C258" s="11" t="s">
        <v>19</v>
      </c>
      <c r="D258" s="10" t="s">
        <v>19</v>
      </c>
      <c r="E258" s="10">
        <f ca="1">OFFSET(E258,1,2)</f>
        <v>39000</v>
      </c>
      <c r="F258" s="12">
        <f ca="1">E258</f>
        <v>39000</v>
      </c>
      <c r="G258" s="12">
        <f ca="1">F258*H258</f>
        <v>39000</v>
      </c>
      <c r="H258" s="10">
        <v>1</v>
      </c>
      <c r="I258" s="10" t="s">
        <v>12</v>
      </c>
      <c r="J258" s="10" t="s">
        <v>19</v>
      </c>
      <c r="K258" s="13" t="str">
        <f t="shared" si="141"/>
        <v>Блок5</v>
      </c>
      <c r="L258" s="13"/>
      <c r="M258" s="13"/>
      <c r="N258" s="13"/>
      <c r="O258" s="26">
        <f t="shared" si="142"/>
        <v>1</v>
      </c>
      <c r="P258" s="26">
        <f>O258*H258</f>
        <v>1</v>
      </c>
      <c r="Q258" s="27">
        <f t="shared" ca="1" si="144"/>
        <v>39000</v>
      </c>
    </row>
    <row r="259" spans="1:20" ht="35.25" customHeight="1" x14ac:dyDescent="0.25">
      <c r="A259" s="10" t="str">
        <f t="shared" si="139"/>
        <v>РЩ1-5 (АВР-Б-40-2-1)</v>
      </c>
      <c r="B259" s="10" t="s">
        <v>20</v>
      </c>
      <c r="C259" s="11" t="s">
        <v>20</v>
      </c>
      <c r="D259" s="10" t="s">
        <v>20</v>
      </c>
      <c r="E259" s="10">
        <v>6.5</v>
      </c>
      <c r="F259" s="12">
        <v>100</v>
      </c>
      <c r="G259" s="12">
        <f>F259*H259</f>
        <v>39000</v>
      </c>
      <c r="H259" s="10">
        <f>60*E259</f>
        <v>390</v>
      </c>
      <c r="I259" s="10" t="s">
        <v>12</v>
      </c>
      <c r="J259" s="10" t="s">
        <v>20</v>
      </c>
      <c r="K259" s="13" t="str">
        <f t="shared" si="141"/>
        <v>Блок5</v>
      </c>
      <c r="L259" s="13"/>
      <c r="M259" s="13"/>
      <c r="N259" s="13"/>
      <c r="O259" s="26">
        <f t="shared" si="142"/>
        <v>1</v>
      </c>
      <c r="P259" s="26">
        <f>O259*H259</f>
        <v>390</v>
      </c>
      <c r="Q259" s="27">
        <f t="shared" si="144"/>
        <v>39000</v>
      </c>
    </row>
    <row r="260" spans="1:20" ht="35.25" customHeight="1" x14ac:dyDescent="0.25">
      <c r="A260" s="15" t="str">
        <f t="shared" si="139"/>
        <v>РЩ1-5 (АВР-Б-40-2-1)</v>
      </c>
      <c r="B260" s="15"/>
      <c r="C260" s="15"/>
      <c r="D260" s="16"/>
      <c r="E260" s="28"/>
      <c r="F260" s="12">
        <f t="shared" ref="F260" si="145">E260*0.55</f>
        <v>0</v>
      </c>
      <c r="G260" s="28">
        <f ca="1">SUM(G250:G259)</f>
        <v>302086.8</v>
      </c>
      <c r="H260" s="15"/>
      <c r="I260" s="19"/>
      <c r="J260" s="15"/>
      <c r="K260" s="13" t="str">
        <f t="shared" si="141"/>
        <v>Блок5</v>
      </c>
      <c r="L260" s="13"/>
      <c r="M260" s="13"/>
      <c r="N260" s="13"/>
      <c r="O260" s="26">
        <f t="shared" si="142"/>
        <v>1</v>
      </c>
      <c r="P260" s="26">
        <f>O260*H260</f>
        <v>0</v>
      </c>
      <c r="Q260" s="27">
        <f t="shared" si="144"/>
        <v>0</v>
      </c>
    </row>
    <row r="261" spans="1:20" ht="35.25" customHeight="1" x14ac:dyDescent="0.25">
      <c r="A261" s="8" t="str">
        <f>D261</f>
        <v>РУ1-6</v>
      </c>
      <c r="B261" s="4"/>
      <c r="C261" s="5"/>
      <c r="D261" s="4" t="s">
        <v>73</v>
      </c>
      <c r="E261" s="6"/>
      <c r="F261" s="6"/>
      <c r="G261" s="7"/>
      <c r="H261" s="8">
        <v>1</v>
      </c>
      <c r="I261" s="9" t="s">
        <v>9</v>
      </c>
      <c r="J261" s="4" t="s">
        <v>10</v>
      </c>
      <c r="K261" s="8" t="s">
        <v>74</v>
      </c>
      <c r="L261" s="8"/>
      <c r="M261" s="8"/>
      <c r="N261" s="8"/>
      <c r="O261" s="26">
        <f>H261</f>
        <v>1</v>
      </c>
      <c r="P261" s="26">
        <f>O261*H261</f>
        <v>1</v>
      </c>
      <c r="Q261" s="27">
        <f t="shared" si="144"/>
        <v>0</v>
      </c>
    </row>
    <row r="262" spans="1:20" ht="35.25" customHeight="1" x14ac:dyDescent="0.25">
      <c r="A262" s="13" t="str">
        <f t="shared" ref="A262:A269" si="146">A261</f>
        <v>РУ1-6</v>
      </c>
      <c r="B262" s="10" t="s">
        <v>11</v>
      </c>
      <c r="C262" s="11" t="s">
        <v>170</v>
      </c>
      <c r="D262" s="10" t="s">
        <v>171</v>
      </c>
      <c r="E262" s="10">
        <v>145000</v>
      </c>
      <c r="F262" s="12">
        <f t="shared" ref="F262:F263" si="147">0.6*E262</f>
        <v>87000</v>
      </c>
      <c r="G262" s="12">
        <f>F262*H262</f>
        <v>87000</v>
      </c>
      <c r="H262" s="13">
        <v>1</v>
      </c>
      <c r="I262" s="14" t="s">
        <v>12</v>
      </c>
      <c r="J262" s="10" t="s">
        <v>13</v>
      </c>
      <c r="K262" s="13" t="str">
        <f t="shared" ref="K262:K269" si="148">K261</f>
        <v>Блок6</v>
      </c>
      <c r="L262" s="13"/>
      <c r="M262" s="13"/>
      <c r="N262" s="13"/>
      <c r="O262" s="26">
        <f t="shared" ref="O262:O269" si="149">O261</f>
        <v>1</v>
      </c>
      <c r="P262" s="26">
        <f>O262*H262</f>
        <v>1</v>
      </c>
      <c r="Q262" s="27">
        <f t="shared" si="144"/>
        <v>87000</v>
      </c>
    </row>
    <row r="263" spans="1:20" ht="35.25" customHeight="1" x14ac:dyDescent="0.25">
      <c r="A263" s="13" t="str">
        <f t="shared" si="146"/>
        <v>РУ1-6</v>
      </c>
      <c r="B263" s="10" t="s">
        <v>294</v>
      </c>
      <c r="C263" s="11" t="s">
        <v>229</v>
      </c>
      <c r="D263" s="10" t="s">
        <v>230</v>
      </c>
      <c r="E263" s="10">
        <v>34800</v>
      </c>
      <c r="F263" s="12">
        <f t="shared" si="147"/>
        <v>20880</v>
      </c>
      <c r="G263" s="12">
        <f>F263*H263</f>
        <v>20880</v>
      </c>
      <c r="H263" s="13">
        <v>1</v>
      </c>
      <c r="I263" s="14" t="s">
        <v>12</v>
      </c>
      <c r="J263" s="10" t="s">
        <v>14</v>
      </c>
      <c r="K263" s="13" t="str">
        <f t="shared" si="148"/>
        <v>Блок6</v>
      </c>
      <c r="L263" s="13"/>
      <c r="M263" s="13"/>
      <c r="N263" s="13"/>
      <c r="O263" s="26">
        <f t="shared" si="149"/>
        <v>1</v>
      </c>
      <c r="P263" s="26">
        <f>O263*H263</f>
        <v>1</v>
      </c>
      <c r="Q263" s="27">
        <f t="shared" si="144"/>
        <v>20880</v>
      </c>
    </row>
    <row r="264" spans="1:20" ht="35.25" customHeight="1" x14ac:dyDescent="0.25">
      <c r="A264" s="13" t="str">
        <f t="shared" si="146"/>
        <v>РУ1-6</v>
      </c>
      <c r="B264" s="10" t="s">
        <v>294</v>
      </c>
      <c r="C264" s="11" t="s">
        <v>225</v>
      </c>
      <c r="D264" s="10" t="s">
        <v>226</v>
      </c>
      <c r="E264" s="10">
        <v>17300</v>
      </c>
      <c r="F264" s="12">
        <f t="shared" ref="F264:F266" si="150">0.3*E264</f>
        <v>5190</v>
      </c>
      <c r="G264" s="12">
        <f>F264*H264</f>
        <v>20760</v>
      </c>
      <c r="H264" s="13">
        <v>4</v>
      </c>
      <c r="I264" s="14" t="s">
        <v>12</v>
      </c>
      <c r="J264" s="10" t="s">
        <v>207</v>
      </c>
      <c r="K264" s="13" t="str">
        <f t="shared" si="148"/>
        <v>Блок6</v>
      </c>
      <c r="L264" s="13"/>
      <c r="M264" s="13"/>
      <c r="N264" s="13"/>
      <c r="O264" s="26">
        <f t="shared" si="149"/>
        <v>1</v>
      </c>
      <c r="P264" s="26">
        <f>O264*H264</f>
        <v>4</v>
      </c>
      <c r="Q264" s="27">
        <f>P264*E264</f>
        <v>69200</v>
      </c>
    </row>
    <row r="265" spans="1:20" ht="35.25" customHeight="1" x14ac:dyDescent="0.25">
      <c r="A265" s="13" t="str">
        <f>A263</f>
        <v>РУ1-6</v>
      </c>
      <c r="B265" s="10" t="s">
        <v>294</v>
      </c>
      <c r="C265" s="11" t="s">
        <v>211</v>
      </c>
      <c r="D265" s="10" t="s">
        <v>212</v>
      </c>
      <c r="E265" s="10">
        <v>17140</v>
      </c>
      <c r="F265" s="12">
        <f t="shared" ref="F265" si="151">0.3*E265</f>
        <v>5142</v>
      </c>
      <c r="G265" s="12">
        <f>F265*H265</f>
        <v>5142</v>
      </c>
      <c r="H265" s="13">
        <v>1</v>
      </c>
      <c r="I265" s="14" t="s">
        <v>12</v>
      </c>
      <c r="J265" s="10" t="s">
        <v>207</v>
      </c>
      <c r="K265" s="13" t="str">
        <f>K263</f>
        <v>Блок6</v>
      </c>
      <c r="L265" s="13"/>
      <c r="M265" s="13"/>
      <c r="N265" s="13"/>
      <c r="O265" s="26">
        <f>O263</f>
        <v>1</v>
      </c>
      <c r="P265" s="26">
        <f>O265*H265</f>
        <v>1</v>
      </c>
      <c r="Q265" s="27">
        <f>P265*E265</f>
        <v>17140</v>
      </c>
    </row>
    <row r="266" spans="1:20" ht="35.25" customHeight="1" x14ac:dyDescent="0.25">
      <c r="A266" s="13" t="str">
        <f>A264</f>
        <v>РУ1-6</v>
      </c>
      <c r="B266" s="10" t="s">
        <v>293</v>
      </c>
      <c r="C266" s="11" t="s">
        <v>217</v>
      </c>
      <c r="D266" s="10" t="s">
        <v>218</v>
      </c>
      <c r="E266" s="10">
        <v>7850</v>
      </c>
      <c r="F266" s="12">
        <f t="shared" si="150"/>
        <v>2355</v>
      </c>
      <c r="G266" s="12">
        <f>F266*H266</f>
        <v>2355</v>
      </c>
      <c r="H266" s="13">
        <v>1</v>
      </c>
      <c r="I266" s="14" t="s">
        <v>12</v>
      </c>
      <c r="J266" s="10" t="s">
        <v>207</v>
      </c>
      <c r="K266" s="13" t="str">
        <f>K264</f>
        <v>Блок6</v>
      </c>
      <c r="L266" s="13"/>
      <c r="M266" s="13"/>
      <c r="N266" s="13"/>
      <c r="O266" s="26">
        <f>O264</f>
        <v>1</v>
      </c>
      <c r="P266" s="26">
        <f>O266*H266</f>
        <v>1</v>
      </c>
      <c r="Q266" s="27">
        <f>P266*E266</f>
        <v>7850</v>
      </c>
    </row>
    <row r="267" spans="1:20" ht="35.25" customHeight="1" x14ac:dyDescent="0.25">
      <c r="A267" s="10" t="str">
        <f t="shared" si="146"/>
        <v>РУ1-6</v>
      </c>
      <c r="B267" s="10" t="s">
        <v>19</v>
      </c>
      <c r="C267" s="11" t="s">
        <v>19</v>
      </c>
      <c r="D267" s="10" t="s">
        <v>19</v>
      </c>
      <c r="E267" s="10">
        <f ca="1">OFFSET(E267,1,2)</f>
        <v>27000</v>
      </c>
      <c r="F267" s="12">
        <f ca="1">E267</f>
        <v>27000</v>
      </c>
      <c r="G267" s="12">
        <f ca="1">F267*H267</f>
        <v>27000</v>
      </c>
      <c r="H267" s="10">
        <v>1</v>
      </c>
      <c r="I267" s="10" t="s">
        <v>12</v>
      </c>
      <c r="J267" s="10" t="s">
        <v>19</v>
      </c>
      <c r="K267" s="13" t="str">
        <f t="shared" si="148"/>
        <v>Блок6</v>
      </c>
      <c r="L267" s="13"/>
      <c r="M267" s="13"/>
      <c r="N267" s="13"/>
      <c r="O267" s="26">
        <f t="shared" si="149"/>
        <v>1</v>
      </c>
      <c r="P267" s="26">
        <f>O267*H267</f>
        <v>1</v>
      </c>
      <c r="Q267" s="27">
        <f ca="1">P267*F267</f>
        <v>27000</v>
      </c>
    </row>
    <row r="268" spans="1:20" ht="35.25" customHeight="1" x14ac:dyDescent="0.25">
      <c r="A268" s="10" t="str">
        <f t="shared" si="146"/>
        <v>РУ1-6</v>
      </c>
      <c r="B268" s="10" t="s">
        <v>20</v>
      </c>
      <c r="C268" s="11" t="s">
        <v>20</v>
      </c>
      <c r="D268" s="10" t="s">
        <v>20</v>
      </c>
      <c r="E268" s="10">
        <v>4.5</v>
      </c>
      <c r="F268" s="12">
        <v>100</v>
      </c>
      <c r="G268" s="12">
        <f>F268*H268</f>
        <v>27000</v>
      </c>
      <c r="H268" s="10">
        <f>60*E268</f>
        <v>270</v>
      </c>
      <c r="I268" s="10" t="s">
        <v>12</v>
      </c>
      <c r="J268" s="10" t="s">
        <v>20</v>
      </c>
      <c r="K268" s="13" t="str">
        <f t="shared" si="148"/>
        <v>Блок6</v>
      </c>
      <c r="L268" s="13"/>
      <c r="M268" s="13"/>
      <c r="N268" s="13"/>
      <c r="O268" s="26">
        <f t="shared" si="149"/>
        <v>1</v>
      </c>
      <c r="P268" s="26">
        <f>O268*H268</f>
        <v>270</v>
      </c>
      <c r="Q268" s="27">
        <f>P268*F268</f>
        <v>27000</v>
      </c>
    </row>
    <row r="269" spans="1:20" ht="35.25" customHeight="1" x14ac:dyDescent="0.25">
      <c r="A269" s="15" t="str">
        <f t="shared" si="146"/>
        <v>РУ1-6</v>
      </c>
      <c r="B269" s="15"/>
      <c r="C269" s="15"/>
      <c r="D269" s="16"/>
      <c r="E269" s="28"/>
      <c r="F269" s="12">
        <f t="shared" ref="F269" si="152">E269*0.55</f>
        <v>0</v>
      </c>
      <c r="G269" s="28">
        <f ca="1">SUM(G262:G268)</f>
        <v>190137</v>
      </c>
      <c r="H269" s="15"/>
      <c r="I269" s="19"/>
      <c r="J269" s="15"/>
      <c r="K269" s="13" t="str">
        <f t="shared" si="148"/>
        <v>Блок6</v>
      </c>
      <c r="L269" s="13"/>
      <c r="M269" s="13"/>
      <c r="N269" s="13"/>
      <c r="O269" s="26">
        <f t="shared" si="149"/>
        <v>1</v>
      </c>
      <c r="P269" s="26">
        <f>O269*H269</f>
        <v>0</v>
      </c>
      <c r="Q269" s="27">
        <f>P269*F269</f>
        <v>0</v>
      </c>
    </row>
    <row r="270" spans="1:20" ht="35.25" customHeight="1" x14ac:dyDescent="0.25">
      <c r="A270" s="8" t="str">
        <f>D270</f>
        <v>ЩУР.МОП1-6</v>
      </c>
      <c r="B270" s="4"/>
      <c r="C270" s="5"/>
      <c r="D270" s="4" t="s">
        <v>75</v>
      </c>
      <c r="E270" s="6"/>
      <c r="F270" s="6"/>
      <c r="G270" s="7"/>
      <c r="H270" s="8">
        <v>1</v>
      </c>
      <c r="I270" s="9" t="s">
        <v>9</v>
      </c>
      <c r="J270" s="4" t="s">
        <v>10</v>
      </c>
      <c r="K270" s="8" t="s">
        <v>74</v>
      </c>
      <c r="L270" s="8"/>
      <c r="M270" s="8"/>
      <c r="N270" s="8"/>
      <c r="O270" s="26">
        <f>H270</f>
        <v>1</v>
      </c>
      <c r="P270" s="26">
        <f>O270*H270</f>
        <v>1</v>
      </c>
      <c r="Q270" s="27">
        <f>P270*F270</f>
        <v>0</v>
      </c>
    </row>
    <row r="271" spans="1:20" ht="35.25" customHeight="1" x14ac:dyDescent="0.25">
      <c r="A271" s="13" t="str">
        <f t="shared" ref="A271:A279" si="153">A270</f>
        <v>ЩУР.МОП1-6</v>
      </c>
      <c r="B271" s="10" t="s">
        <v>11</v>
      </c>
      <c r="C271" s="11" t="s">
        <v>328</v>
      </c>
      <c r="D271" s="10" t="s">
        <v>329</v>
      </c>
      <c r="E271" s="10">
        <v>27000</v>
      </c>
      <c r="F271" s="12">
        <f>0.6*E271</f>
        <v>16200</v>
      </c>
      <c r="G271" s="12">
        <f>F271*H271</f>
        <v>16200</v>
      </c>
      <c r="H271" s="13">
        <v>1</v>
      </c>
      <c r="I271" s="14" t="s">
        <v>12</v>
      </c>
      <c r="J271" s="10" t="s">
        <v>13</v>
      </c>
      <c r="K271" s="13" t="str">
        <f t="shared" ref="K271:K272" si="154">K270</f>
        <v>Блок6</v>
      </c>
      <c r="L271" s="13"/>
      <c r="M271" s="13"/>
      <c r="N271" s="13"/>
      <c r="O271" s="26">
        <f t="shared" ref="O271:O272" si="155">O270</f>
        <v>1</v>
      </c>
      <c r="P271" s="26">
        <f>O271*H271</f>
        <v>1</v>
      </c>
      <c r="Q271" s="27">
        <f>P271*F271</f>
        <v>16200</v>
      </c>
    </row>
    <row r="272" spans="1:20" ht="35.25" customHeight="1" x14ac:dyDescent="0.25">
      <c r="A272" s="13" t="str">
        <f t="shared" si="153"/>
        <v>ЩУР.МОП1-6</v>
      </c>
      <c r="B272" s="10" t="s">
        <v>293</v>
      </c>
      <c r="C272" s="11" t="s">
        <v>333</v>
      </c>
      <c r="D272" s="10" t="s">
        <v>334</v>
      </c>
      <c r="E272" s="10">
        <v>29710</v>
      </c>
      <c r="F272" s="12">
        <f t="shared" ref="F272" si="156">0.3*E272</f>
        <v>8913</v>
      </c>
      <c r="G272" s="12">
        <f>F272*H272</f>
        <v>8913</v>
      </c>
      <c r="H272" s="13">
        <v>1</v>
      </c>
      <c r="I272" s="14" t="s">
        <v>12</v>
      </c>
      <c r="J272" s="10" t="s">
        <v>207</v>
      </c>
      <c r="K272" s="13" t="str">
        <f t="shared" si="154"/>
        <v>Блок6</v>
      </c>
      <c r="L272" s="13"/>
      <c r="M272" s="13"/>
      <c r="N272" s="13"/>
      <c r="O272" s="26">
        <f t="shared" si="155"/>
        <v>1</v>
      </c>
      <c r="P272" s="26">
        <f>O272*H272</f>
        <v>1</v>
      </c>
      <c r="Q272" s="27">
        <f>P272*E272</f>
        <v>29710</v>
      </c>
      <c r="R272" t="s">
        <v>195</v>
      </c>
      <c r="S272" t="s">
        <v>196</v>
      </c>
      <c r="T272">
        <v>1</v>
      </c>
    </row>
    <row r="273" spans="1:17" ht="35.25" customHeight="1" x14ac:dyDescent="0.25">
      <c r="A273" s="13" t="str">
        <f t="shared" si="153"/>
        <v>ЩУР.МОП1-6</v>
      </c>
      <c r="B273" s="10" t="s">
        <v>293</v>
      </c>
      <c r="C273" s="11" t="s">
        <v>341</v>
      </c>
      <c r="D273" s="10" t="s">
        <v>342</v>
      </c>
      <c r="E273" s="10">
        <v>1655</v>
      </c>
      <c r="F273" s="12">
        <f t="shared" ref="F273:F275" si="157">0.3*E273</f>
        <v>496.5</v>
      </c>
      <c r="G273" s="12">
        <f>F273*H273</f>
        <v>1986</v>
      </c>
      <c r="H273" s="13">
        <v>4</v>
      </c>
      <c r="I273" s="14" t="s">
        <v>12</v>
      </c>
      <c r="J273" s="10" t="s">
        <v>207</v>
      </c>
      <c r="K273" s="13" t="str">
        <f>K271</f>
        <v>Блок6</v>
      </c>
      <c r="L273" s="13"/>
      <c r="M273" s="13"/>
      <c r="N273" s="13"/>
      <c r="O273" s="26">
        <f>O271</f>
        <v>1</v>
      </c>
      <c r="P273" s="26">
        <f>O273*H273</f>
        <v>4</v>
      </c>
      <c r="Q273" s="27">
        <f>P273*E273</f>
        <v>6620</v>
      </c>
    </row>
    <row r="274" spans="1:17" ht="35.25" customHeight="1" x14ac:dyDescent="0.25">
      <c r="A274" s="13" t="str">
        <f t="shared" si="153"/>
        <v>ЩУР.МОП1-6</v>
      </c>
      <c r="B274" s="10" t="s">
        <v>293</v>
      </c>
      <c r="C274" s="11" t="s">
        <v>193</v>
      </c>
      <c r="D274" s="10" t="s">
        <v>194</v>
      </c>
      <c r="E274" s="10">
        <v>6580</v>
      </c>
      <c r="F274" s="12">
        <f t="shared" si="157"/>
        <v>1974</v>
      </c>
      <c r="G274" s="12">
        <f>F274*H274</f>
        <v>9870</v>
      </c>
      <c r="H274" s="13">
        <v>5</v>
      </c>
      <c r="I274" s="14" t="s">
        <v>12</v>
      </c>
      <c r="J274" s="10" t="s">
        <v>207</v>
      </c>
      <c r="K274" s="13" t="str">
        <f>K273</f>
        <v>Блок6</v>
      </c>
      <c r="L274" s="13"/>
      <c r="M274" s="13"/>
      <c r="N274" s="13"/>
      <c r="O274" s="26">
        <f t="shared" ref="O274:O279" si="158">O273</f>
        <v>1</v>
      </c>
      <c r="P274" s="26">
        <f>O274*H274</f>
        <v>5</v>
      </c>
      <c r="Q274" s="27">
        <f>P274*E274</f>
        <v>32900</v>
      </c>
    </row>
    <row r="275" spans="1:17" ht="35.25" customHeight="1" x14ac:dyDescent="0.25">
      <c r="A275" s="13" t="str">
        <f t="shared" si="153"/>
        <v>ЩУР.МОП1-6</v>
      </c>
      <c r="B275" s="10" t="s">
        <v>293</v>
      </c>
      <c r="C275" s="11" t="s">
        <v>201</v>
      </c>
      <c r="D275" s="10" t="s">
        <v>202</v>
      </c>
      <c r="E275" s="10">
        <v>5750</v>
      </c>
      <c r="F275" s="12">
        <f t="shared" si="157"/>
        <v>1725</v>
      </c>
      <c r="G275" s="12">
        <f>F275*H275</f>
        <v>1725</v>
      </c>
      <c r="H275" s="13">
        <v>1</v>
      </c>
      <c r="I275" s="14" t="s">
        <v>12</v>
      </c>
      <c r="J275" s="10" t="s">
        <v>207</v>
      </c>
      <c r="K275" s="13" t="str">
        <f>K274</f>
        <v>Блок6</v>
      </c>
      <c r="L275" s="13"/>
      <c r="M275" s="13"/>
      <c r="N275" s="13"/>
      <c r="O275" s="26">
        <f t="shared" si="158"/>
        <v>1</v>
      </c>
      <c r="P275" s="26">
        <f>O275*H275</f>
        <v>1</v>
      </c>
      <c r="Q275" s="27">
        <f>P275*E275</f>
        <v>5750</v>
      </c>
    </row>
    <row r="276" spans="1:17" ht="35.25" customHeight="1" x14ac:dyDescent="0.25">
      <c r="A276" s="13" t="str">
        <f t="shared" si="153"/>
        <v>ЩУР.МОП1-6</v>
      </c>
      <c r="B276" s="10" t="s">
        <v>15</v>
      </c>
      <c r="C276" s="11" t="s">
        <v>335</v>
      </c>
      <c r="D276" s="10" t="s">
        <v>336</v>
      </c>
      <c r="E276" s="10">
        <v>32400</v>
      </c>
      <c r="F276" s="12">
        <f>E276</f>
        <v>32400</v>
      </c>
      <c r="G276" s="12">
        <f>F276*H276</f>
        <v>32400</v>
      </c>
      <c r="H276" s="13">
        <v>1</v>
      </c>
      <c r="I276" s="14" t="s">
        <v>12</v>
      </c>
      <c r="J276" s="10" t="s">
        <v>16</v>
      </c>
      <c r="K276" s="13" t="str">
        <f>K274</f>
        <v>Блок6</v>
      </c>
      <c r="L276" s="13"/>
      <c r="M276" s="13"/>
      <c r="N276" s="13"/>
      <c r="O276" s="26">
        <f t="shared" si="158"/>
        <v>1</v>
      </c>
      <c r="P276" s="26">
        <f>O276*H276</f>
        <v>1</v>
      </c>
      <c r="Q276" s="27">
        <f t="shared" ref="Q276:Q282" si="159">P276*F276</f>
        <v>32400</v>
      </c>
    </row>
    <row r="277" spans="1:17" ht="35.25" customHeight="1" x14ac:dyDescent="0.25">
      <c r="A277" s="13" t="str">
        <f t="shared" si="153"/>
        <v>ЩУР.МОП1-6</v>
      </c>
      <c r="B277" s="10" t="s">
        <v>19</v>
      </c>
      <c r="C277" s="11" t="s">
        <v>19</v>
      </c>
      <c r="D277" s="10" t="s">
        <v>19</v>
      </c>
      <c r="E277" s="10">
        <f ca="1">OFFSET(E277,1,2)</f>
        <v>12000</v>
      </c>
      <c r="F277" s="12">
        <f ca="1">E277</f>
        <v>12000</v>
      </c>
      <c r="G277" s="12">
        <f ca="1">F277*H277</f>
        <v>12000</v>
      </c>
      <c r="H277" s="10">
        <v>1</v>
      </c>
      <c r="I277" s="10" t="s">
        <v>12</v>
      </c>
      <c r="J277" s="10" t="s">
        <v>19</v>
      </c>
      <c r="K277" s="13" t="str">
        <f>K276</f>
        <v>Блок6</v>
      </c>
      <c r="L277" s="13"/>
      <c r="M277" s="13"/>
      <c r="N277" s="13"/>
      <c r="O277" s="26">
        <f t="shared" si="158"/>
        <v>1</v>
      </c>
      <c r="P277" s="26">
        <f>O277*H277</f>
        <v>1</v>
      </c>
      <c r="Q277" s="27">
        <f t="shared" ca="1" si="159"/>
        <v>12000</v>
      </c>
    </row>
    <row r="278" spans="1:17" ht="35.25" customHeight="1" x14ac:dyDescent="0.25">
      <c r="A278" s="13" t="str">
        <f t="shared" si="153"/>
        <v>ЩУР.МОП1-6</v>
      </c>
      <c r="B278" s="10" t="s">
        <v>20</v>
      </c>
      <c r="C278" s="11" t="s">
        <v>20</v>
      </c>
      <c r="D278" s="10" t="s">
        <v>20</v>
      </c>
      <c r="E278" s="10">
        <v>2</v>
      </c>
      <c r="F278" s="12">
        <v>100</v>
      </c>
      <c r="G278" s="12">
        <f>F278*H278</f>
        <v>12000</v>
      </c>
      <c r="H278" s="10">
        <f>60*E278</f>
        <v>120</v>
      </c>
      <c r="I278" s="10" t="s">
        <v>12</v>
      </c>
      <c r="J278" s="10" t="s">
        <v>20</v>
      </c>
      <c r="K278" s="13" t="str">
        <f>K277</f>
        <v>Блок6</v>
      </c>
      <c r="L278" s="13"/>
      <c r="M278" s="13"/>
      <c r="N278" s="13"/>
      <c r="O278" s="26">
        <f t="shared" si="158"/>
        <v>1</v>
      </c>
      <c r="P278" s="26">
        <f>O278*H278</f>
        <v>120</v>
      </c>
      <c r="Q278" s="27">
        <f t="shared" si="159"/>
        <v>12000</v>
      </c>
    </row>
    <row r="279" spans="1:17" ht="35.25" customHeight="1" x14ac:dyDescent="0.25">
      <c r="A279" s="13" t="str">
        <f t="shared" si="153"/>
        <v>ЩУР.МОП1-6</v>
      </c>
      <c r="B279" s="15"/>
      <c r="C279" s="15"/>
      <c r="D279" s="16"/>
      <c r="E279" s="28"/>
      <c r="F279" s="12">
        <f>E279*0.55</f>
        <v>0</v>
      </c>
      <c r="G279" s="28">
        <f ca="1">SUM(G273:G278)</f>
        <v>69981</v>
      </c>
      <c r="H279" s="15"/>
      <c r="I279" s="19"/>
      <c r="J279" s="15"/>
      <c r="K279" s="13" t="str">
        <f>K278</f>
        <v>Блок6</v>
      </c>
      <c r="L279" s="13"/>
      <c r="M279" s="13"/>
      <c r="N279" s="13"/>
      <c r="O279" s="26">
        <f t="shared" si="158"/>
        <v>1</v>
      </c>
      <c r="P279" s="26">
        <f>O279*H279</f>
        <v>0</v>
      </c>
      <c r="Q279" s="27">
        <f t="shared" si="159"/>
        <v>0</v>
      </c>
    </row>
    <row r="280" spans="1:17" ht="35.25" customHeight="1" x14ac:dyDescent="0.25">
      <c r="A280" s="8" t="str">
        <f>D280</f>
        <v>РЩ1-6 (АВР-Б-40-2-1)</v>
      </c>
      <c r="B280" s="4"/>
      <c r="C280" s="5"/>
      <c r="D280" s="4" t="s">
        <v>138</v>
      </c>
      <c r="E280" s="6"/>
      <c r="F280" s="6"/>
      <c r="G280" s="7"/>
      <c r="H280" s="8">
        <v>1</v>
      </c>
      <c r="I280" s="9" t="s">
        <v>9</v>
      </c>
      <c r="J280" s="4" t="s">
        <v>10</v>
      </c>
      <c r="K280" s="8" t="s">
        <v>74</v>
      </c>
      <c r="L280" s="8"/>
      <c r="M280" s="8"/>
      <c r="N280" s="8"/>
      <c r="O280" s="26">
        <f>H280</f>
        <v>1</v>
      </c>
      <c r="P280" s="26">
        <f>O280*H280</f>
        <v>1</v>
      </c>
      <c r="Q280" s="27">
        <f t="shared" si="159"/>
        <v>0</v>
      </c>
    </row>
    <row r="281" spans="1:17" ht="35.25" customHeight="1" x14ac:dyDescent="0.25">
      <c r="A281" s="13" t="str">
        <f t="shared" ref="A281:A291" si="160">A280</f>
        <v>РЩ1-6 (АВР-Б-40-2-1)</v>
      </c>
      <c r="B281" s="10" t="s">
        <v>11</v>
      </c>
      <c r="C281" s="11" t="s">
        <v>168</v>
      </c>
      <c r="D281" s="10" t="s">
        <v>169</v>
      </c>
      <c r="E281" s="10">
        <v>130000</v>
      </c>
      <c r="F281" s="12">
        <f t="shared" ref="F281:F282" si="161">0.6*E281</f>
        <v>78000</v>
      </c>
      <c r="G281" s="12">
        <f>F281*H281</f>
        <v>78000</v>
      </c>
      <c r="H281" s="13">
        <v>1</v>
      </c>
      <c r="I281" s="14" t="s">
        <v>12</v>
      </c>
      <c r="J281" s="10" t="s">
        <v>13</v>
      </c>
      <c r="K281" s="13" t="str">
        <f t="shared" ref="K281:K291" si="162">K280</f>
        <v>Блок6</v>
      </c>
      <c r="L281" s="13"/>
      <c r="M281" s="13"/>
      <c r="N281" s="13"/>
      <c r="O281" s="26">
        <f t="shared" ref="O281:O291" si="163">O280</f>
        <v>1</v>
      </c>
      <c r="P281" s="26">
        <f>O281*H281</f>
        <v>1</v>
      </c>
      <c r="Q281" s="27">
        <f t="shared" si="159"/>
        <v>78000</v>
      </c>
    </row>
    <row r="282" spans="1:17" ht="35.25" customHeight="1" x14ac:dyDescent="0.25">
      <c r="A282" s="13" t="str">
        <f t="shared" si="160"/>
        <v>РЩ1-6 (АВР-Б-40-2-1)</v>
      </c>
      <c r="B282" s="10" t="s">
        <v>44</v>
      </c>
      <c r="C282" s="11" t="s">
        <v>162</v>
      </c>
      <c r="D282" s="10" t="s">
        <v>163</v>
      </c>
      <c r="E282" s="10">
        <v>114758</v>
      </c>
      <c r="F282" s="12">
        <f t="shared" si="161"/>
        <v>68854.8</v>
      </c>
      <c r="G282" s="12">
        <f>F282*H282</f>
        <v>68854.8</v>
      </c>
      <c r="H282" s="13">
        <v>1</v>
      </c>
      <c r="I282" s="14" t="s">
        <v>12</v>
      </c>
      <c r="J282" s="10" t="s">
        <v>14</v>
      </c>
      <c r="K282" s="13" t="str">
        <f t="shared" si="162"/>
        <v>Блок6</v>
      </c>
      <c r="L282" s="13"/>
      <c r="M282" s="13"/>
      <c r="N282" s="13"/>
      <c r="O282" s="26">
        <f t="shared" si="163"/>
        <v>1</v>
      </c>
      <c r="P282" s="26">
        <f>O282*H282</f>
        <v>1</v>
      </c>
      <c r="Q282" s="27">
        <f t="shared" si="159"/>
        <v>68854.8</v>
      </c>
    </row>
    <row r="283" spans="1:17" ht="35.25" customHeight="1" x14ac:dyDescent="0.25">
      <c r="A283" s="13" t="str">
        <f t="shared" si="160"/>
        <v>РЩ1-6 (АВР-Б-40-2-1)</v>
      </c>
      <c r="B283" s="10" t="s">
        <v>293</v>
      </c>
      <c r="C283" s="11" t="s">
        <v>213</v>
      </c>
      <c r="D283" s="10" t="s">
        <v>214</v>
      </c>
      <c r="E283" s="10">
        <v>7690</v>
      </c>
      <c r="F283" s="12">
        <f t="shared" ref="F283:F286" si="164">0.3*E283</f>
        <v>2307</v>
      </c>
      <c r="G283" s="12">
        <f>F283*H283</f>
        <v>4614</v>
      </c>
      <c r="H283" s="13">
        <v>2</v>
      </c>
      <c r="I283" s="14" t="s">
        <v>12</v>
      </c>
      <c r="J283" s="10" t="s">
        <v>207</v>
      </c>
      <c r="K283" s="13" t="str">
        <f t="shared" si="162"/>
        <v>Блок6</v>
      </c>
      <c r="L283" s="13"/>
      <c r="M283" s="13"/>
      <c r="N283" s="13"/>
      <c r="O283" s="26">
        <f t="shared" si="163"/>
        <v>1</v>
      </c>
      <c r="P283" s="26">
        <f>O283*H283</f>
        <v>2</v>
      </c>
      <c r="Q283" s="27">
        <f>P283*E283</f>
        <v>15380</v>
      </c>
    </row>
    <row r="284" spans="1:17" ht="35.25" customHeight="1" x14ac:dyDescent="0.25">
      <c r="A284" s="13" t="str">
        <f t="shared" si="160"/>
        <v>РЩ1-6 (АВР-Б-40-2-1)</v>
      </c>
      <c r="B284" s="10" t="s">
        <v>293</v>
      </c>
      <c r="C284" s="11" t="s">
        <v>231</v>
      </c>
      <c r="D284" s="10" t="s">
        <v>232</v>
      </c>
      <c r="E284" s="10">
        <v>7690</v>
      </c>
      <c r="F284" s="12">
        <f t="shared" si="164"/>
        <v>2307</v>
      </c>
      <c r="G284" s="12">
        <f>F284*H284</f>
        <v>6921</v>
      </c>
      <c r="H284" s="13">
        <v>3</v>
      </c>
      <c r="I284" s="14" t="s">
        <v>12</v>
      </c>
      <c r="J284" s="10" t="s">
        <v>207</v>
      </c>
      <c r="K284" s="13" t="str">
        <f t="shared" si="162"/>
        <v>Блок6</v>
      </c>
      <c r="L284" s="13"/>
      <c r="M284" s="13"/>
      <c r="N284" s="13"/>
      <c r="O284" s="26">
        <f t="shared" si="163"/>
        <v>1</v>
      </c>
      <c r="P284" s="26">
        <f>O284*H284</f>
        <v>3</v>
      </c>
      <c r="Q284" s="27">
        <f>P284*E284</f>
        <v>23070</v>
      </c>
    </row>
    <row r="285" spans="1:17" ht="35.25" customHeight="1" x14ac:dyDescent="0.25">
      <c r="A285" s="13" t="str">
        <f t="shared" si="160"/>
        <v>РЩ1-6 (АВР-Б-40-2-1)</v>
      </c>
      <c r="B285" s="10" t="s">
        <v>294</v>
      </c>
      <c r="C285" s="11" t="s">
        <v>203</v>
      </c>
      <c r="D285" s="10" t="s">
        <v>204</v>
      </c>
      <c r="E285" s="10">
        <v>13450</v>
      </c>
      <c r="F285" s="12">
        <f t="shared" si="164"/>
        <v>4035</v>
      </c>
      <c r="G285" s="12">
        <f>F285*H285</f>
        <v>8070</v>
      </c>
      <c r="H285" s="13">
        <v>2</v>
      </c>
      <c r="I285" s="14" t="s">
        <v>12</v>
      </c>
      <c r="J285" s="10" t="s">
        <v>207</v>
      </c>
      <c r="K285" s="13" t="str">
        <f t="shared" si="162"/>
        <v>Блок6</v>
      </c>
      <c r="L285" s="13"/>
      <c r="M285" s="13"/>
      <c r="N285" s="13"/>
      <c r="O285" s="26">
        <f t="shared" si="163"/>
        <v>1</v>
      </c>
      <c r="P285" s="26">
        <f>O285*H285</f>
        <v>2</v>
      </c>
      <c r="Q285" s="27">
        <f>P285*E285</f>
        <v>26900</v>
      </c>
    </row>
    <row r="286" spans="1:17" ht="35.25" customHeight="1" x14ac:dyDescent="0.25">
      <c r="A286" s="13" t="str">
        <f t="shared" si="160"/>
        <v>РЩ1-6 (АВР-Б-40-2-1)</v>
      </c>
      <c r="B286" s="10" t="s">
        <v>293</v>
      </c>
      <c r="C286" s="11" t="s">
        <v>205</v>
      </c>
      <c r="D286" s="10" t="s">
        <v>206</v>
      </c>
      <c r="E286" s="10">
        <v>7090</v>
      </c>
      <c r="F286" s="12">
        <f t="shared" si="164"/>
        <v>2127</v>
      </c>
      <c r="G286" s="12">
        <f>F286*H286</f>
        <v>2127</v>
      </c>
      <c r="H286" s="13">
        <v>1</v>
      </c>
      <c r="I286" s="14" t="s">
        <v>12</v>
      </c>
      <c r="J286" s="10" t="s">
        <v>207</v>
      </c>
      <c r="K286" s="13" t="str">
        <f t="shared" si="162"/>
        <v>Блок6</v>
      </c>
      <c r="L286" s="13"/>
      <c r="M286" s="13"/>
      <c r="N286" s="13"/>
      <c r="O286" s="26">
        <f t="shared" si="163"/>
        <v>1</v>
      </c>
      <c r="P286" s="26">
        <f>O286*H286</f>
        <v>1</v>
      </c>
      <c r="Q286" s="27">
        <f>P286*E286</f>
        <v>7090</v>
      </c>
    </row>
    <row r="287" spans="1:17" ht="35.25" customHeight="1" x14ac:dyDescent="0.25">
      <c r="A287" s="13" t="str">
        <f t="shared" si="160"/>
        <v>РЩ1-6 (АВР-Б-40-2-1)</v>
      </c>
      <c r="B287" s="10" t="s">
        <v>15</v>
      </c>
      <c r="C287" s="11" t="s">
        <v>299</v>
      </c>
      <c r="D287" s="10" t="s">
        <v>300</v>
      </c>
      <c r="E287" s="10">
        <v>32400</v>
      </c>
      <c r="F287" s="12">
        <f>E287</f>
        <v>32400</v>
      </c>
      <c r="G287" s="12">
        <f>F287*H287</f>
        <v>32400</v>
      </c>
      <c r="H287" s="13">
        <v>1</v>
      </c>
      <c r="I287" s="14" t="s">
        <v>12</v>
      </c>
      <c r="J287" s="10" t="s">
        <v>16</v>
      </c>
      <c r="K287" s="13" t="str">
        <f t="shared" si="162"/>
        <v>Блок6</v>
      </c>
      <c r="L287" s="13"/>
      <c r="M287" s="13"/>
      <c r="N287" s="13"/>
      <c r="O287" s="26">
        <f t="shared" si="163"/>
        <v>1</v>
      </c>
      <c r="P287" s="26">
        <f>O287*H287</f>
        <v>1</v>
      </c>
      <c r="Q287" s="27">
        <f t="shared" ref="Q287:Q297" si="165">P287*F287</f>
        <v>32400</v>
      </c>
    </row>
    <row r="288" spans="1:17" ht="35.25" customHeight="1" x14ac:dyDescent="0.25">
      <c r="A288" s="13" t="str">
        <f t="shared" si="160"/>
        <v>РЩ1-6 (АВР-Б-40-2-1)</v>
      </c>
      <c r="B288" s="10" t="s">
        <v>30</v>
      </c>
      <c r="C288" s="11"/>
      <c r="D288" s="10" t="s">
        <v>31</v>
      </c>
      <c r="E288" s="10">
        <v>3850</v>
      </c>
      <c r="F288" s="12">
        <f>E288</f>
        <v>3850</v>
      </c>
      <c r="G288" s="12">
        <f>F288*H288</f>
        <v>23100</v>
      </c>
      <c r="H288" s="13">
        <v>6</v>
      </c>
      <c r="I288" s="14" t="s">
        <v>12</v>
      </c>
      <c r="J288" s="10" t="s">
        <v>25</v>
      </c>
      <c r="K288" s="13" t="str">
        <f t="shared" si="162"/>
        <v>Блок6</v>
      </c>
      <c r="L288" s="13"/>
      <c r="M288" s="13"/>
      <c r="N288" s="13"/>
      <c r="O288" s="26">
        <f t="shared" si="163"/>
        <v>1</v>
      </c>
      <c r="P288" s="26">
        <f>O288*H288</f>
        <v>6</v>
      </c>
      <c r="Q288" s="27">
        <f t="shared" si="165"/>
        <v>23100</v>
      </c>
    </row>
    <row r="289" spans="1:17" ht="35.25" customHeight="1" x14ac:dyDescent="0.25">
      <c r="A289" s="10" t="str">
        <f t="shared" si="160"/>
        <v>РЩ1-6 (АВР-Б-40-2-1)</v>
      </c>
      <c r="B289" s="10" t="s">
        <v>19</v>
      </c>
      <c r="C289" s="11" t="s">
        <v>19</v>
      </c>
      <c r="D289" s="10" t="s">
        <v>19</v>
      </c>
      <c r="E289" s="10">
        <f ca="1">OFFSET(E289,1,2)</f>
        <v>39000</v>
      </c>
      <c r="F289" s="12">
        <f ca="1">E289</f>
        <v>39000</v>
      </c>
      <c r="G289" s="12">
        <f ca="1">F289*H289</f>
        <v>39000</v>
      </c>
      <c r="H289" s="10">
        <v>1</v>
      </c>
      <c r="I289" s="10" t="s">
        <v>12</v>
      </c>
      <c r="J289" s="10" t="s">
        <v>19</v>
      </c>
      <c r="K289" s="13" t="str">
        <f t="shared" si="162"/>
        <v>Блок6</v>
      </c>
      <c r="L289" s="13"/>
      <c r="M289" s="13"/>
      <c r="N289" s="13"/>
      <c r="O289" s="26">
        <f t="shared" si="163"/>
        <v>1</v>
      </c>
      <c r="P289" s="26">
        <f>O289*H289</f>
        <v>1</v>
      </c>
      <c r="Q289" s="27">
        <f t="shared" ca="1" si="165"/>
        <v>39000</v>
      </c>
    </row>
    <row r="290" spans="1:17" ht="35.25" customHeight="1" x14ac:dyDescent="0.25">
      <c r="A290" s="10" t="str">
        <f t="shared" si="160"/>
        <v>РЩ1-6 (АВР-Б-40-2-1)</v>
      </c>
      <c r="B290" s="10" t="s">
        <v>20</v>
      </c>
      <c r="C290" s="11" t="s">
        <v>20</v>
      </c>
      <c r="D290" s="10" t="s">
        <v>20</v>
      </c>
      <c r="E290" s="10">
        <v>6.5</v>
      </c>
      <c r="F290" s="12">
        <v>100</v>
      </c>
      <c r="G290" s="12">
        <f>F290*H290</f>
        <v>39000</v>
      </c>
      <c r="H290" s="10">
        <f>60*E290</f>
        <v>390</v>
      </c>
      <c r="I290" s="10" t="s">
        <v>12</v>
      </c>
      <c r="J290" s="10" t="s">
        <v>20</v>
      </c>
      <c r="K290" s="13" t="str">
        <f t="shared" si="162"/>
        <v>Блок6</v>
      </c>
      <c r="L290" s="13"/>
      <c r="M290" s="13"/>
      <c r="N290" s="13"/>
      <c r="O290" s="26">
        <f t="shared" si="163"/>
        <v>1</v>
      </c>
      <c r="P290" s="26">
        <f>O290*H290</f>
        <v>390</v>
      </c>
      <c r="Q290" s="27">
        <f t="shared" si="165"/>
        <v>39000</v>
      </c>
    </row>
    <row r="291" spans="1:17" ht="35.25" customHeight="1" x14ac:dyDescent="0.25">
      <c r="A291" s="15" t="str">
        <f t="shared" si="160"/>
        <v>РЩ1-6 (АВР-Б-40-2-1)</v>
      </c>
      <c r="B291" s="15"/>
      <c r="C291" s="15"/>
      <c r="D291" s="16"/>
      <c r="E291" s="28"/>
      <c r="F291" s="12">
        <f t="shared" ref="F291" si="166">E291*0.55</f>
        <v>0</v>
      </c>
      <c r="G291" s="28">
        <f ca="1">SUM(G281:G290)</f>
        <v>302086.8</v>
      </c>
      <c r="H291" s="15"/>
      <c r="I291" s="19"/>
      <c r="J291" s="15"/>
      <c r="K291" s="13" t="str">
        <f t="shared" si="162"/>
        <v>Блок6</v>
      </c>
      <c r="L291" s="13"/>
      <c r="M291" s="13"/>
      <c r="N291" s="13"/>
      <c r="O291" s="26">
        <f t="shared" si="163"/>
        <v>1</v>
      </c>
      <c r="P291" s="26">
        <f>O291*H291</f>
        <v>0</v>
      </c>
      <c r="Q291" s="27">
        <f t="shared" si="165"/>
        <v>0</v>
      </c>
    </row>
    <row r="292" spans="1:17" ht="35.25" customHeight="1" x14ac:dyDescent="0.25">
      <c r="A292" s="8" t="str">
        <f>D292</f>
        <v>ВРУ1-7</v>
      </c>
      <c r="B292" s="4"/>
      <c r="C292" s="5"/>
      <c r="D292" s="4" t="s">
        <v>76</v>
      </c>
      <c r="E292" s="6"/>
      <c r="F292" s="6"/>
      <c r="G292" s="7"/>
      <c r="H292" s="8">
        <v>1</v>
      </c>
      <c r="I292" s="9" t="s">
        <v>9</v>
      </c>
      <c r="J292" s="4" t="s">
        <v>10</v>
      </c>
      <c r="K292" s="8" t="s">
        <v>77</v>
      </c>
      <c r="L292" s="8"/>
      <c r="M292" s="8"/>
      <c r="N292" s="8"/>
      <c r="O292" s="26">
        <f>H292</f>
        <v>1</v>
      </c>
      <c r="P292" s="26">
        <f>O292*H292</f>
        <v>1</v>
      </c>
      <c r="Q292" s="27">
        <f t="shared" si="165"/>
        <v>0</v>
      </c>
    </row>
    <row r="293" spans="1:17" ht="35.25" customHeight="1" x14ac:dyDescent="0.25">
      <c r="A293" s="13" t="str">
        <f t="shared" ref="A293:A303" si="167">A292</f>
        <v>ВРУ1-7</v>
      </c>
      <c r="B293" s="10" t="s">
        <v>11</v>
      </c>
      <c r="C293" s="11" t="s">
        <v>172</v>
      </c>
      <c r="D293" s="10" t="s">
        <v>173</v>
      </c>
      <c r="E293" s="10">
        <v>156500</v>
      </c>
      <c r="F293" s="12">
        <f>0.6*E293</f>
        <v>93900</v>
      </c>
      <c r="G293" s="12">
        <f>F293*H293</f>
        <v>93900</v>
      </c>
      <c r="H293" s="13">
        <v>1</v>
      </c>
      <c r="I293" s="14" t="s">
        <v>12</v>
      </c>
      <c r="J293" s="10" t="s">
        <v>13</v>
      </c>
      <c r="K293" s="13" t="str">
        <f t="shared" ref="K293:K295" si="168">K292</f>
        <v>Блок7</v>
      </c>
      <c r="L293" s="13"/>
      <c r="M293" s="13"/>
      <c r="N293" s="13"/>
      <c r="O293" s="26">
        <f t="shared" ref="O293:O303" si="169">O292</f>
        <v>1</v>
      </c>
      <c r="P293" s="26">
        <f>O293*H293</f>
        <v>1</v>
      </c>
      <c r="Q293" s="27">
        <f t="shared" si="165"/>
        <v>93900</v>
      </c>
    </row>
    <row r="294" spans="1:17" ht="35.25" customHeight="1" x14ac:dyDescent="0.25">
      <c r="A294" s="13" t="str">
        <f t="shared" si="167"/>
        <v>ВРУ1-7</v>
      </c>
      <c r="B294" s="10" t="s">
        <v>23</v>
      </c>
      <c r="C294" s="11" t="s">
        <v>307</v>
      </c>
      <c r="D294" s="10" t="s">
        <v>308</v>
      </c>
      <c r="E294" s="10">
        <v>5523</v>
      </c>
      <c r="F294" s="12">
        <f t="shared" ref="F294:F295" si="170">E294</f>
        <v>5523</v>
      </c>
      <c r="G294" s="12">
        <f>F294*H294</f>
        <v>33138</v>
      </c>
      <c r="H294" s="13">
        <v>6</v>
      </c>
      <c r="I294" s="14" t="s">
        <v>12</v>
      </c>
      <c r="J294" s="10" t="s">
        <v>25</v>
      </c>
      <c r="K294" s="13" t="str">
        <f t="shared" si="168"/>
        <v>Блок7</v>
      </c>
      <c r="L294" s="13"/>
      <c r="M294" s="13"/>
      <c r="N294" s="13"/>
      <c r="O294" s="26">
        <f t="shared" si="169"/>
        <v>1</v>
      </c>
      <c r="P294" s="26">
        <f>O294*H294</f>
        <v>6</v>
      </c>
      <c r="Q294" s="27">
        <f t="shared" si="165"/>
        <v>33138</v>
      </c>
    </row>
    <row r="295" spans="1:17" ht="35.25" customHeight="1" x14ac:dyDescent="0.25">
      <c r="A295" s="13" t="str">
        <f t="shared" si="167"/>
        <v>ВРУ1-7</v>
      </c>
      <c r="B295" s="10" t="s">
        <v>26</v>
      </c>
      <c r="C295" s="11" t="s">
        <v>177</v>
      </c>
      <c r="D295" s="10" t="s">
        <v>178</v>
      </c>
      <c r="E295" s="10">
        <v>25500</v>
      </c>
      <c r="F295" s="12">
        <f t="shared" si="170"/>
        <v>25500</v>
      </c>
      <c r="G295" s="12">
        <f>F295*H295</f>
        <v>51000</v>
      </c>
      <c r="H295" s="13">
        <v>2</v>
      </c>
      <c r="I295" s="14" t="s">
        <v>12</v>
      </c>
      <c r="J295" s="10" t="s">
        <v>25</v>
      </c>
      <c r="K295" s="13" t="str">
        <f t="shared" si="168"/>
        <v>Блок7</v>
      </c>
      <c r="L295" s="13"/>
      <c r="M295" s="13"/>
      <c r="N295" s="13"/>
      <c r="O295" s="26">
        <f t="shared" si="169"/>
        <v>1</v>
      </c>
      <c r="P295" s="26">
        <f>O295*H295</f>
        <v>2</v>
      </c>
      <c r="Q295" s="27">
        <f t="shared" si="165"/>
        <v>51000</v>
      </c>
    </row>
    <row r="296" spans="1:17" ht="35.25" customHeight="1" x14ac:dyDescent="0.25">
      <c r="A296" s="13" t="str">
        <f t="shared" si="167"/>
        <v>ВРУ1-7</v>
      </c>
      <c r="B296" s="10" t="s">
        <v>127</v>
      </c>
      <c r="C296" s="11" t="s">
        <v>130</v>
      </c>
      <c r="D296" s="10" t="s">
        <v>131</v>
      </c>
      <c r="E296" s="10">
        <v>4750</v>
      </c>
      <c r="F296" s="12">
        <f t="shared" ref="F296:F297" si="171">0.6*E296</f>
        <v>2850</v>
      </c>
      <c r="G296" s="12">
        <f>F296*H296</f>
        <v>17100</v>
      </c>
      <c r="H296" s="13">
        <v>6</v>
      </c>
      <c r="I296" s="14" t="s">
        <v>12</v>
      </c>
      <c r="J296" s="10" t="s">
        <v>14</v>
      </c>
      <c r="K296" s="13" t="str">
        <f>K294</f>
        <v>Блок7</v>
      </c>
      <c r="L296" s="13"/>
      <c r="M296" s="13"/>
      <c r="N296" s="13"/>
      <c r="O296" s="26">
        <f t="shared" si="169"/>
        <v>1</v>
      </c>
      <c r="P296" s="26">
        <f>O296*H296</f>
        <v>6</v>
      </c>
      <c r="Q296" s="27">
        <f t="shared" si="165"/>
        <v>17100</v>
      </c>
    </row>
    <row r="297" spans="1:17" ht="35.25" customHeight="1" x14ac:dyDescent="0.25">
      <c r="A297" s="13" t="str">
        <f t="shared" si="167"/>
        <v>ВРУ1-7</v>
      </c>
      <c r="B297" s="10" t="s">
        <v>126</v>
      </c>
      <c r="C297" s="11" t="s">
        <v>128</v>
      </c>
      <c r="D297" s="10" t="s">
        <v>129</v>
      </c>
      <c r="E297" s="10">
        <v>3317</v>
      </c>
      <c r="F297" s="12">
        <f t="shared" si="171"/>
        <v>1990.1999999999998</v>
      </c>
      <c r="G297" s="12">
        <f>F297*H297</f>
        <v>11941.199999999999</v>
      </c>
      <c r="H297" s="13">
        <v>6</v>
      </c>
      <c r="I297" s="14" t="s">
        <v>12</v>
      </c>
      <c r="J297" s="10" t="s">
        <v>14</v>
      </c>
      <c r="K297" s="13" t="str">
        <f t="shared" ref="K297:K303" si="172">K295</f>
        <v>Блок7</v>
      </c>
      <c r="L297" s="13"/>
      <c r="M297" s="13"/>
      <c r="N297" s="13"/>
      <c r="O297" s="26">
        <f t="shared" si="169"/>
        <v>1</v>
      </c>
      <c r="P297" s="26">
        <f>O297*H297</f>
        <v>6</v>
      </c>
      <c r="Q297" s="27">
        <f t="shared" si="165"/>
        <v>11941.199999999999</v>
      </c>
    </row>
    <row r="298" spans="1:17" ht="35.25" customHeight="1" x14ac:dyDescent="0.25">
      <c r="A298" s="13" t="str">
        <f t="shared" si="167"/>
        <v>ВРУ1-7</v>
      </c>
      <c r="B298" s="10" t="s">
        <v>293</v>
      </c>
      <c r="C298" s="11" t="s">
        <v>189</v>
      </c>
      <c r="D298" s="10" t="s">
        <v>190</v>
      </c>
      <c r="E298" s="10">
        <v>1390</v>
      </c>
      <c r="F298" s="12">
        <f>0.3*E298</f>
        <v>417</v>
      </c>
      <c r="G298" s="12">
        <f>F298*H298</f>
        <v>834</v>
      </c>
      <c r="H298" s="13">
        <v>2</v>
      </c>
      <c r="I298" s="14" t="s">
        <v>12</v>
      </c>
      <c r="J298" s="10" t="s">
        <v>207</v>
      </c>
      <c r="K298" s="13" t="str">
        <f t="shared" si="172"/>
        <v>Блок7</v>
      </c>
      <c r="L298" s="13"/>
      <c r="M298" s="13"/>
      <c r="N298" s="13"/>
      <c r="O298" s="26">
        <f t="shared" si="169"/>
        <v>1</v>
      </c>
      <c r="P298" s="26">
        <f>O298*H298</f>
        <v>2</v>
      </c>
      <c r="Q298" s="27">
        <f>P298*E298</f>
        <v>2780</v>
      </c>
    </row>
    <row r="299" spans="1:17" ht="35.25" customHeight="1" x14ac:dyDescent="0.25">
      <c r="A299" s="13" t="str">
        <f t="shared" si="167"/>
        <v>ВРУ1-7</v>
      </c>
      <c r="B299" s="10" t="s">
        <v>15</v>
      </c>
      <c r="C299" s="11" t="s">
        <v>297</v>
      </c>
      <c r="D299" s="24" t="s">
        <v>298</v>
      </c>
      <c r="E299" s="10">
        <v>89000</v>
      </c>
      <c r="F299" s="12">
        <f>E299</f>
        <v>89000</v>
      </c>
      <c r="G299" s="12">
        <f>F299*H299</f>
        <v>178000</v>
      </c>
      <c r="H299" s="13">
        <v>2</v>
      </c>
      <c r="I299" s="14" t="s">
        <v>12</v>
      </c>
      <c r="J299" s="10" t="s">
        <v>16</v>
      </c>
      <c r="K299" s="13" t="str">
        <f t="shared" si="172"/>
        <v>Блок7</v>
      </c>
      <c r="L299" s="13"/>
      <c r="M299" s="13"/>
      <c r="N299" s="13"/>
      <c r="O299" s="26">
        <f t="shared" si="169"/>
        <v>1</v>
      </c>
      <c r="P299" s="26">
        <f>O299*H299</f>
        <v>2</v>
      </c>
      <c r="Q299" s="27">
        <f t="shared" ref="Q299:Q305" si="173">P299*F299</f>
        <v>178000</v>
      </c>
    </row>
    <row r="300" spans="1:17" ht="35.25" customHeight="1" x14ac:dyDescent="0.25">
      <c r="A300" s="13" t="str">
        <f t="shared" si="167"/>
        <v>ВРУ1-7</v>
      </c>
      <c r="B300" s="10" t="s">
        <v>30</v>
      </c>
      <c r="C300" s="11"/>
      <c r="D300" s="10" t="s">
        <v>31</v>
      </c>
      <c r="E300" s="10">
        <v>3850</v>
      </c>
      <c r="F300" s="12">
        <f>E300</f>
        <v>3850</v>
      </c>
      <c r="G300" s="12">
        <f>F300*H300</f>
        <v>23100</v>
      </c>
      <c r="H300" s="13">
        <v>6</v>
      </c>
      <c r="I300" s="14" t="s">
        <v>12</v>
      </c>
      <c r="J300" s="10" t="s">
        <v>25</v>
      </c>
      <c r="K300" s="13" t="str">
        <f t="shared" si="172"/>
        <v>Блок7</v>
      </c>
      <c r="L300" s="13"/>
      <c r="M300" s="13"/>
      <c r="N300" s="13"/>
      <c r="O300" s="26">
        <f t="shared" si="169"/>
        <v>1</v>
      </c>
      <c r="P300" s="26">
        <f>O300*H300</f>
        <v>6</v>
      </c>
      <c r="Q300" s="27">
        <f t="shared" si="173"/>
        <v>23100</v>
      </c>
    </row>
    <row r="301" spans="1:17" ht="35.25" customHeight="1" x14ac:dyDescent="0.25">
      <c r="A301" s="10" t="str">
        <f t="shared" si="167"/>
        <v>ВРУ1-7</v>
      </c>
      <c r="B301" s="10" t="s">
        <v>19</v>
      </c>
      <c r="C301" s="11" t="s">
        <v>19</v>
      </c>
      <c r="D301" s="10" t="s">
        <v>19</v>
      </c>
      <c r="E301" s="10">
        <f ca="1">OFFSET(E301,1,2)</f>
        <v>48000</v>
      </c>
      <c r="F301" s="12">
        <f ca="1">E301</f>
        <v>48000</v>
      </c>
      <c r="G301" s="12">
        <f ca="1">F301*H301</f>
        <v>48000</v>
      </c>
      <c r="H301" s="10">
        <v>1</v>
      </c>
      <c r="I301" s="10" t="s">
        <v>12</v>
      </c>
      <c r="J301" s="10" t="s">
        <v>19</v>
      </c>
      <c r="K301" s="13" t="str">
        <f t="shared" si="172"/>
        <v>Блок7</v>
      </c>
      <c r="L301" s="13"/>
      <c r="M301" s="13"/>
      <c r="N301" s="13"/>
      <c r="O301" s="26">
        <f t="shared" si="169"/>
        <v>1</v>
      </c>
      <c r="P301" s="26">
        <f>O301*H301</f>
        <v>1</v>
      </c>
      <c r="Q301" s="27">
        <f t="shared" ca="1" si="173"/>
        <v>48000</v>
      </c>
    </row>
    <row r="302" spans="1:17" ht="35.25" customHeight="1" x14ac:dyDescent="0.25">
      <c r="A302" s="10" t="str">
        <f t="shared" si="167"/>
        <v>ВРУ1-7</v>
      </c>
      <c r="B302" s="10" t="s">
        <v>20</v>
      </c>
      <c r="C302" s="11" t="s">
        <v>20</v>
      </c>
      <c r="D302" s="10" t="s">
        <v>20</v>
      </c>
      <c r="E302" s="10">
        <v>8</v>
      </c>
      <c r="F302" s="12">
        <v>100</v>
      </c>
      <c r="G302" s="12">
        <f>F302*H302</f>
        <v>48000</v>
      </c>
      <c r="H302" s="10">
        <f>60*E302</f>
        <v>480</v>
      </c>
      <c r="I302" s="10" t="s">
        <v>12</v>
      </c>
      <c r="J302" s="10" t="s">
        <v>20</v>
      </c>
      <c r="K302" s="13" t="str">
        <f t="shared" si="172"/>
        <v>Блок7</v>
      </c>
      <c r="L302" s="13"/>
      <c r="M302" s="13"/>
      <c r="N302" s="13"/>
      <c r="O302" s="26">
        <f t="shared" si="169"/>
        <v>1</v>
      </c>
      <c r="P302" s="26">
        <f>O302*H302</f>
        <v>480</v>
      </c>
      <c r="Q302" s="27">
        <f t="shared" si="173"/>
        <v>48000</v>
      </c>
    </row>
    <row r="303" spans="1:17" ht="35.25" customHeight="1" x14ac:dyDescent="0.25">
      <c r="A303" s="15" t="str">
        <f t="shared" si="167"/>
        <v>ВРУ1-7</v>
      </c>
      <c r="B303" s="15"/>
      <c r="C303" s="15"/>
      <c r="D303" s="16"/>
      <c r="E303" s="28"/>
      <c r="F303" s="12">
        <f>E303*0.55</f>
        <v>0</v>
      </c>
      <c r="G303" s="28">
        <f ca="1">SUM(G293:G302)</f>
        <v>505013.2</v>
      </c>
      <c r="H303" s="15"/>
      <c r="I303" s="19"/>
      <c r="J303" s="15"/>
      <c r="K303" s="13" t="str">
        <f t="shared" si="172"/>
        <v>Блок7</v>
      </c>
      <c r="L303" s="13"/>
      <c r="M303" s="13"/>
      <c r="N303" s="13"/>
      <c r="O303" s="26">
        <f t="shared" si="169"/>
        <v>1</v>
      </c>
      <c r="P303" s="26">
        <f>O303*H303</f>
        <v>0</v>
      </c>
      <c r="Q303" s="27">
        <f t="shared" si="173"/>
        <v>0</v>
      </c>
    </row>
    <row r="304" spans="1:17" ht="35.25" customHeight="1" x14ac:dyDescent="0.25">
      <c r="A304" s="8" t="str">
        <f>D304</f>
        <v>РУ-1-7</v>
      </c>
      <c r="B304" s="4"/>
      <c r="C304" s="5"/>
      <c r="D304" s="4" t="s">
        <v>78</v>
      </c>
      <c r="E304" s="6"/>
      <c r="F304" s="6"/>
      <c r="G304" s="7"/>
      <c r="H304" s="8">
        <v>1</v>
      </c>
      <c r="I304" s="9" t="s">
        <v>9</v>
      </c>
      <c r="J304" s="4" t="s">
        <v>10</v>
      </c>
      <c r="K304" s="8" t="s">
        <v>77</v>
      </c>
      <c r="L304" s="8"/>
      <c r="M304" s="8"/>
      <c r="N304" s="8"/>
      <c r="O304" s="26">
        <f>H304</f>
        <v>1</v>
      </c>
      <c r="P304" s="26">
        <f>O304*H304</f>
        <v>1</v>
      </c>
      <c r="Q304" s="27">
        <f t="shared" si="173"/>
        <v>0</v>
      </c>
    </row>
    <row r="305" spans="1:20" ht="35.25" customHeight="1" x14ac:dyDescent="0.25">
      <c r="A305" s="13" t="str">
        <f t="shared" ref="A305:A312" si="174">A304</f>
        <v>РУ-1-7</v>
      </c>
      <c r="B305" s="10" t="s">
        <v>11</v>
      </c>
      <c r="C305" s="11" t="s">
        <v>170</v>
      </c>
      <c r="D305" s="10" t="s">
        <v>171</v>
      </c>
      <c r="E305" s="10">
        <v>145000</v>
      </c>
      <c r="F305" s="12">
        <f>0.6*E305</f>
        <v>87000</v>
      </c>
      <c r="G305" s="12">
        <f>F305*H305</f>
        <v>87000</v>
      </c>
      <c r="H305" s="13">
        <v>1</v>
      </c>
      <c r="I305" s="14" t="s">
        <v>12</v>
      </c>
      <c r="J305" s="10" t="s">
        <v>13</v>
      </c>
      <c r="K305" s="13" t="str">
        <f t="shared" ref="K305:K312" si="175">K304</f>
        <v>Блок7</v>
      </c>
      <c r="L305" s="13"/>
      <c r="M305" s="13"/>
      <c r="N305" s="13"/>
      <c r="O305" s="26">
        <f t="shared" ref="O305:O312" si="176">O304</f>
        <v>1</v>
      </c>
      <c r="P305" s="26">
        <f>O305*H305</f>
        <v>1</v>
      </c>
      <c r="Q305" s="27">
        <f t="shared" si="173"/>
        <v>87000</v>
      </c>
    </row>
    <row r="306" spans="1:20" ht="35.25" customHeight="1" x14ac:dyDescent="0.25">
      <c r="A306" s="13" t="str">
        <f t="shared" si="174"/>
        <v>РУ-1-7</v>
      </c>
      <c r="B306" s="10" t="s">
        <v>294</v>
      </c>
      <c r="C306" s="11" t="s">
        <v>225</v>
      </c>
      <c r="D306" s="10" t="s">
        <v>226</v>
      </c>
      <c r="E306" s="10">
        <v>17300</v>
      </c>
      <c r="F306" s="12">
        <f>0.3*E306</f>
        <v>5190</v>
      </c>
      <c r="G306" s="12">
        <f>F306*H306</f>
        <v>20760</v>
      </c>
      <c r="H306" s="13">
        <v>4</v>
      </c>
      <c r="I306" s="14" t="s">
        <v>12</v>
      </c>
      <c r="J306" s="10" t="s">
        <v>207</v>
      </c>
      <c r="K306" s="13" t="str">
        <f t="shared" si="175"/>
        <v>Блок7</v>
      </c>
      <c r="L306" s="13"/>
      <c r="M306" s="13"/>
      <c r="N306" s="13"/>
      <c r="O306" s="26">
        <f t="shared" si="176"/>
        <v>1</v>
      </c>
      <c r="P306" s="26">
        <f>O306*H306</f>
        <v>4</v>
      </c>
      <c r="Q306" s="27">
        <f>P306*E306</f>
        <v>69200</v>
      </c>
    </row>
    <row r="307" spans="1:20" ht="35.25" customHeight="1" x14ac:dyDescent="0.25">
      <c r="A307" s="13" t="str">
        <f t="shared" si="174"/>
        <v>РУ-1-7</v>
      </c>
      <c r="B307" s="10" t="s">
        <v>294</v>
      </c>
      <c r="C307" s="11" t="s">
        <v>229</v>
      </c>
      <c r="D307" s="10" t="s">
        <v>230</v>
      </c>
      <c r="E307" s="10">
        <v>34800</v>
      </c>
      <c r="F307" s="12">
        <f>0.6*E307</f>
        <v>20880</v>
      </c>
      <c r="G307" s="12">
        <f>F307*H307</f>
        <v>20880</v>
      </c>
      <c r="H307" s="13">
        <v>1</v>
      </c>
      <c r="I307" s="14" t="s">
        <v>12</v>
      </c>
      <c r="J307" s="10" t="s">
        <v>14</v>
      </c>
      <c r="K307" s="13" t="str">
        <f t="shared" si="175"/>
        <v>Блок7</v>
      </c>
      <c r="L307" s="13"/>
      <c r="M307" s="13"/>
      <c r="N307" s="13"/>
      <c r="O307" s="26">
        <f t="shared" si="176"/>
        <v>1</v>
      </c>
      <c r="P307" s="26">
        <f>O307*H307</f>
        <v>1</v>
      </c>
      <c r="Q307" s="27">
        <f>P307*F307</f>
        <v>20880</v>
      </c>
    </row>
    <row r="308" spans="1:20" ht="35.25" customHeight="1" x14ac:dyDescent="0.25">
      <c r="A308" s="13" t="str">
        <f t="shared" si="174"/>
        <v>РУ-1-7</v>
      </c>
      <c r="B308" s="10" t="s">
        <v>294</v>
      </c>
      <c r="C308" s="35" t="s">
        <v>211</v>
      </c>
      <c r="D308" s="36" t="s">
        <v>212</v>
      </c>
      <c r="E308" s="36">
        <v>17140</v>
      </c>
      <c r="F308" s="39">
        <f>0.6*E308</f>
        <v>10284</v>
      </c>
      <c r="G308" s="39">
        <f>F308*H308</f>
        <v>10284</v>
      </c>
      <c r="H308" s="37">
        <v>1</v>
      </c>
      <c r="I308" s="38" t="s">
        <v>12</v>
      </c>
      <c r="J308" s="36" t="s">
        <v>207</v>
      </c>
      <c r="K308" s="13" t="str">
        <f t="shared" si="175"/>
        <v>Блок7</v>
      </c>
      <c r="L308" s="13"/>
      <c r="M308" s="13"/>
      <c r="N308" s="13"/>
      <c r="O308" s="26">
        <f t="shared" si="176"/>
        <v>1</v>
      </c>
      <c r="P308" s="26">
        <f>O308*H308</f>
        <v>1</v>
      </c>
      <c r="Q308" s="27">
        <v>10284</v>
      </c>
    </row>
    <row r="309" spans="1:20" ht="35.25" customHeight="1" x14ac:dyDescent="0.25">
      <c r="A309" s="13" t="str">
        <f>A307</f>
        <v>РУ-1-7</v>
      </c>
      <c r="B309" s="10" t="s">
        <v>293</v>
      </c>
      <c r="C309" s="11" t="s">
        <v>217</v>
      </c>
      <c r="D309" s="10" t="s">
        <v>218</v>
      </c>
      <c r="E309" s="10">
        <v>7850</v>
      </c>
      <c r="F309" s="12">
        <f>0.3*E309</f>
        <v>2355</v>
      </c>
      <c r="G309" s="12">
        <f>F309*H309</f>
        <v>2355</v>
      </c>
      <c r="H309" s="13">
        <v>1</v>
      </c>
      <c r="I309" s="14" t="s">
        <v>12</v>
      </c>
      <c r="J309" s="10" t="s">
        <v>207</v>
      </c>
      <c r="K309" s="13" t="str">
        <f>K307</f>
        <v>Блок7</v>
      </c>
      <c r="L309" s="13"/>
      <c r="M309" s="13"/>
      <c r="N309" s="13"/>
      <c r="O309" s="26">
        <f>O307</f>
        <v>1</v>
      </c>
      <c r="P309" s="26">
        <f>O309*H309</f>
        <v>1</v>
      </c>
      <c r="Q309" s="27">
        <f>P309*E309</f>
        <v>7850</v>
      </c>
      <c r="R309" t="s">
        <v>332</v>
      </c>
    </row>
    <row r="310" spans="1:20" ht="35.25" customHeight="1" x14ac:dyDescent="0.25">
      <c r="A310" s="10" t="str">
        <f t="shared" si="174"/>
        <v>РУ-1-7</v>
      </c>
      <c r="B310" s="10" t="s">
        <v>19</v>
      </c>
      <c r="C310" s="11" t="s">
        <v>19</v>
      </c>
      <c r="D310" s="10" t="s">
        <v>19</v>
      </c>
      <c r="E310" s="10">
        <f ca="1">OFFSET(E310,1,2)</f>
        <v>27000</v>
      </c>
      <c r="F310" s="12">
        <f ca="1">E310</f>
        <v>27000</v>
      </c>
      <c r="G310" s="12">
        <f ca="1">F310*H310</f>
        <v>27000</v>
      </c>
      <c r="H310" s="10">
        <v>1</v>
      </c>
      <c r="I310" s="10" t="s">
        <v>12</v>
      </c>
      <c r="J310" s="10" t="s">
        <v>19</v>
      </c>
      <c r="K310" s="13" t="str">
        <f t="shared" si="175"/>
        <v>Блок7</v>
      </c>
      <c r="L310" s="13"/>
      <c r="M310" s="13"/>
      <c r="N310" s="13"/>
      <c r="O310" s="26">
        <f t="shared" si="176"/>
        <v>1</v>
      </c>
      <c r="P310" s="26">
        <f>O310*H310</f>
        <v>1</v>
      </c>
      <c r="Q310" s="27">
        <f ca="1">P310*F310</f>
        <v>27000</v>
      </c>
    </row>
    <row r="311" spans="1:20" ht="35.25" customHeight="1" x14ac:dyDescent="0.25">
      <c r="A311" s="10" t="str">
        <f t="shared" si="174"/>
        <v>РУ-1-7</v>
      </c>
      <c r="B311" s="10" t="s">
        <v>20</v>
      </c>
      <c r="C311" s="11" t="s">
        <v>20</v>
      </c>
      <c r="D311" s="10" t="s">
        <v>20</v>
      </c>
      <c r="E311" s="10">
        <v>4.5</v>
      </c>
      <c r="F311" s="12">
        <v>100</v>
      </c>
      <c r="G311" s="12">
        <f>F311*H311</f>
        <v>27000</v>
      </c>
      <c r="H311" s="10">
        <f>60*E311</f>
        <v>270</v>
      </c>
      <c r="I311" s="10" t="s">
        <v>12</v>
      </c>
      <c r="J311" s="10" t="s">
        <v>20</v>
      </c>
      <c r="K311" s="13" t="str">
        <f t="shared" si="175"/>
        <v>Блок7</v>
      </c>
      <c r="L311" s="13"/>
      <c r="M311" s="13"/>
      <c r="N311" s="13"/>
      <c r="O311" s="26">
        <f t="shared" si="176"/>
        <v>1</v>
      </c>
      <c r="P311" s="26">
        <f>O311*H311</f>
        <v>270</v>
      </c>
      <c r="Q311" s="27">
        <f>P311*F311</f>
        <v>27000</v>
      </c>
    </row>
    <row r="312" spans="1:20" ht="35.25" customHeight="1" x14ac:dyDescent="0.25">
      <c r="A312" s="15" t="str">
        <f t="shared" si="174"/>
        <v>РУ-1-7</v>
      </c>
      <c r="B312" s="15"/>
      <c r="C312" s="15"/>
      <c r="D312" s="16"/>
      <c r="E312" s="28"/>
      <c r="F312" s="12">
        <f t="shared" ref="F312" si="177">E312*0.55</f>
        <v>0</v>
      </c>
      <c r="G312" s="28">
        <f ca="1">SUM(G305:G311)</f>
        <v>195279</v>
      </c>
      <c r="H312" s="15"/>
      <c r="I312" s="19"/>
      <c r="J312" s="15"/>
      <c r="K312" s="13" t="str">
        <f t="shared" si="175"/>
        <v>Блок7</v>
      </c>
      <c r="L312" s="13"/>
      <c r="M312" s="13"/>
      <c r="N312" s="13"/>
      <c r="O312" s="26">
        <f t="shared" si="176"/>
        <v>1</v>
      </c>
      <c r="P312" s="26">
        <f>O312*H312</f>
        <v>0</v>
      </c>
      <c r="Q312" s="27">
        <v>195279</v>
      </c>
    </row>
    <row r="313" spans="1:20" ht="35.25" customHeight="1" x14ac:dyDescent="0.25">
      <c r="A313" s="8" t="str">
        <f>D313</f>
        <v>ЩУР.МОП1-7</v>
      </c>
      <c r="B313" s="4"/>
      <c r="C313" s="5"/>
      <c r="D313" s="4" t="s">
        <v>79</v>
      </c>
      <c r="E313" s="6"/>
      <c r="F313" s="6"/>
      <c r="G313" s="7"/>
      <c r="H313" s="8">
        <v>1</v>
      </c>
      <c r="I313" s="9" t="s">
        <v>9</v>
      </c>
      <c r="J313" s="4" t="s">
        <v>10</v>
      </c>
      <c r="K313" s="8" t="s">
        <v>77</v>
      </c>
      <c r="L313" s="8"/>
      <c r="M313" s="8"/>
      <c r="N313" s="8"/>
      <c r="O313" s="26">
        <f>H313</f>
        <v>1</v>
      </c>
      <c r="P313" s="26">
        <f>O313*H313</f>
        <v>1</v>
      </c>
      <c r="Q313" s="27">
        <f>P313*F313</f>
        <v>0</v>
      </c>
    </row>
    <row r="314" spans="1:20" ht="35.25" customHeight="1" x14ac:dyDescent="0.25">
      <c r="A314" s="13" t="str">
        <f t="shared" ref="A314:A322" si="178">A313</f>
        <v>ЩУР.МОП1-7</v>
      </c>
      <c r="B314" s="10" t="s">
        <v>11</v>
      </c>
      <c r="C314" s="11" t="s">
        <v>328</v>
      </c>
      <c r="D314" s="10" t="s">
        <v>329</v>
      </c>
      <c r="E314" s="10">
        <v>27000</v>
      </c>
      <c r="F314" s="12">
        <f>0.6*E314</f>
        <v>16200</v>
      </c>
      <c r="G314" s="12">
        <f>F314*H314</f>
        <v>16200</v>
      </c>
      <c r="H314" s="13">
        <v>1</v>
      </c>
      <c r="I314" s="14" t="s">
        <v>12</v>
      </c>
      <c r="J314" s="10" t="s">
        <v>13</v>
      </c>
      <c r="K314" s="13" t="str">
        <f t="shared" ref="K314:K322" si="179">K313</f>
        <v>Блок7</v>
      </c>
      <c r="L314" s="13"/>
      <c r="M314" s="13"/>
      <c r="N314" s="13"/>
      <c r="O314" s="26">
        <f t="shared" ref="O314:O322" si="180">O313</f>
        <v>1</v>
      </c>
      <c r="P314" s="26">
        <f>O314*H314</f>
        <v>1</v>
      </c>
      <c r="Q314" s="27">
        <f>P314*F314</f>
        <v>16200</v>
      </c>
    </row>
    <row r="315" spans="1:20" ht="35.25" customHeight="1" x14ac:dyDescent="0.25">
      <c r="A315" s="13" t="str">
        <f t="shared" si="178"/>
        <v>ЩУР.МОП1-7</v>
      </c>
      <c r="B315" s="10" t="s">
        <v>293</v>
      </c>
      <c r="C315" s="11" t="s">
        <v>333</v>
      </c>
      <c r="D315" s="10" t="s">
        <v>334</v>
      </c>
      <c r="E315" s="10">
        <v>29710</v>
      </c>
      <c r="F315" s="12">
        <f t="shared" ref="F315:F318" si="181">0.3*E315</f>
        <v>8913</v>
      </c>
      <c r="G315" s="12">
        <f>F315*H315</f>
        <v>8913</v>
      </c>
      <c r="H315" s="13">
        <v>1</v>
      </c>
      <c r="I315" s="14" t="s">
        <v>12</v>
      </c>
      <c r="J315" s="10" t="s">
        <v>207</v>
      </c>
      <c r="K315" s="13" t="str">
        <f t="shared" si="179"/>
        <v>Блок7</v>
      </c>
      <c r="L315" s="13"/>
      <c r="M315" s="13"/>
      <c r="N315" s="13"/>
      <c r="O315" s="26">
        <f t="shared" si="180"/>
        <v>1</v>
      </c>
      <c r="P315" s="26">
        <f>O315*H315</f>
        <v>1</v>
      </c>
      <c r="Q315" s="27">
        <f>P315*E315</f>
        <v>29710</v>
      </c>
      <c r="R315" t="s">
        <v>195</v>
      </c>
      <c r="S315" t="s">
        <v>196</v>
      </c>
      <c r="T315">
        <v>1</v>
      </c>
    </row>
    <row r="316" spans="1:20" ht="35.25" customHeight="1" x14ac:dyDescent="0.25">
      <c r="A316" s="13" t="str">
        <f>A314</f>
        <v>ЩУР.МОП1-7</v>
      </c>
      <c r="B316" s="10" t="s">
        <v>293</v>
      </c>
      <c r="C316" s="11" t="s">
        <v>341</v>
      </c>
      <c r="D316" s="10" t="s">
        <v>342</v>
      </c>
      <c r="E316" s="10">
        <v>1655</v>
      </c>
      <c r="F316" s="12">
        <f t="shared" ref="F316" si="182">0.3*E316</f>
        <v>496.5</v>
      </c>
      <c r="G316" s="12">
        <f>F316*H316</f>
        <v>1986</v>
      </c>
      <c r="H316" s="37">
        <v>4</v>
      </c>
      <c r="I316" s="14" t="s">
        <v>12</v>
      </c>
      <c r="J316" s="10" t="s">
        <v>207</v>
      </c>
      <c r="K316" s="13" t="str">
        <f>K314</f>
        <v>Блок7</v>
      </c>
      <c r="L316" s="13"/>
      <c r="M316" s="13"/>
      <c r="N316" s="13"/>
      <c r="O316" s="26">
        <f>O314</f>
        <v>1</v>
      </c>
      <c r="P316" s="26">
        <f>O316*H316</f>
        <v>4</v>
      </c>
      <c r="Q316" s="27">
        <f>P316*E316</f>
        <v>6620</v>
      </c>
      <c r="R316" t="s">
        <v>337</v>
      </c>
    </row>
    <row r="317" spans="1:20" ht="35.25" customHeight="1" x14ac:dyDescent="0.25">
      <c r="A317" s="13" t="str">
        <f>A315</f>
        <v>ЩУР.МОП1-7</v>
      </c>
      <c r="B317" s="10" t="s">
        <v>293</v>
      </c>
      <c r="C317" s="11" t="s">
        <v>201</v>
      </c>
      <c r="D317" s="10" t="s">
        <v>202</v>
      </c>
      <c r="E317" s="10">
        <v>5750</v>
      </c>
      <c r="F317" s="12">
        <f t="shared" si="181"/>
        <v>1725</v>
      </c>
      <c r="G317" s="12">
        <f>F317*H317</f>
        <v>1725</v>
      </c>
      <c r="H317" s="13">
        <v>1</v>
      </c>
      <c r="I317" s="14" t="s">
        <v>12</v>
      </c>
      <c r="J317" s="10" t="s">
        <v>207</v>
      </c>
      <c r="K317" s="13" t="str">
        <f>K315</f>
        <v>Блок7</v>
      </c>
      <c r="L317" s="13"/>
      <c r="M317" s="13"/>
      <c r="N317" s="13"/>
      <c r="O317" s="26">
        <f>O315</f>
        <v>1</v>
      </c>
      <c r="P317" s="26">
        <f>O317*H317</f>
        <v>1</v>
      </c>
      <c r="Q317" s="27">
        <f>P317*E317</f>
        <v>5750</v>
      </c>
    </row>
    <row r="318" spans="1:20" ht="35.25" customHeight="1" x14ac:dyDescent="0.25">
      <c r="A318" s="13" t="str">
        <f t="shared" si="178"/>
        <v>ЩУР.МОП1-7</v>
      </c>
      <c r="B318" s="10" t="s">
        <v>293</v>
      </c>
      <c r="C318" s="11" t="s">
        <v>193</v>
      </c>
      <c r="D318" s="10" t="s">
        <v>194</v>
      </c>
      <c r="E318" s="10">
        <v>6580</v>
      </c>
      <c r="F318" s="12">
        <f t="shared" si="181"/>
        <v>1974</v>
      </c>
      <c r="G318" s="12">
        <f>F318*H318</f>
        <v>9870</v>
      </c>
      <c r="H318" s="37">
        <v>5</v>
      </c>
      <c r="I318" s="14" t="s">
        <v>12</v>
      </c>
      <c r="J318" s="10" t="s">
        <v>207</v>
      </c>
      <c r="K318" s="13" t="str">
        <f t="shared" si="179"/>
        <v>Блок7</v>
      </c>
      <c r="L318" s="13"/>
      <c r="M318" s="13"/>
      <c r="N318" s="13"/>
      <c r="O318" s="26">
        <f t="shared" si="180"/>
        <v>1</v>
      </c>
      <c r="P318" s="26">
        <f>O318*H318</f>
        <v>5</v>
      </c>
      <c r="Q318" s="27">
        <f>P318*E318</f>
        <v>32900</v>
      </c>
    </row>
    <row r="319" spans="1:20" ht="35.25" customHeight="1" x14ac:dyDescent="0.25">
      <c r="A319" s="13" t="str">
        <f t="shared" si="178"/>
        <v>ЩУР.МОП1-7</v>
      </c>
      <c r="B319" s="10" t="s">
        <v>15</v>
      </c>
      <c r="C319" s="35" t="s">
        <v>335</v>
      </c>
      <c r="D319" s="36" t="s">
        <v>336</v>
      </c>
      <c r="E319" s="10">
        <v>32400</v>
      </c>
      <c r="F319" s="12">
        <f>E319</f>
        <v>32400</v>
      </c>
      <c r="G319" s="12">
        <f>F319*H319</f>
        <v>32400</v>
      </c>
      <c r="H319" s="13">
        <v>1</v>
      </c>
      <c r="I319" s="14" t="s">
        <v>12</v>
      </c>
      <c r="J319" s="10" t="s">
        <v>16</v>
      </c>
      <c r="K319" s="13" t="str">
        <f t="shared" si="179"/>
        <v>Блок7</v>
      </c>
      <c r="L319" s="13"/>
      <c r="M319" s="13"/>
      <c r="N319" s="13"/>
      <c r="O319" s="26">
        <f t="shared" si="180"/>
        <v>1</v>
      </c>
      <c r="P319" s="26">
        <f>O319*H319</f>
        <v>1</v>
      </c>
      <c r="Q319" s="27">
        <f t="shared" ref="Q319:Q325" si="183">P319*F319</f>
        <v>32400</v>
      </c>
    </row>
    <row r="320" spans="1:20" ht="35.25" customHeight="1" x14ac:dyDescent="0.25">
      <c r="A320" s="10" t="str">
        <f t="shared" si="178"/>
        <v>ЩУР.МОП1-7</v>
      </c>
      <c r="B320" s="10" t="s">
        <v>19</v>
      </c>
      <c r="C320" s="11" t="s">
        <v>19</v>
      </c>
      <c r="D320" s="10" t="s">
        <v>19</v>
      </c>
      <c r="E320" s="10">
        <f ca="1">OFFSET(E320,1,2)</f>
        <v>12000</v>
      </c>
      <c r="F320" s="12">
        <f ca="1">E320</f>
        <v>12000</v>
      </c>
      <c r="G320" s="12">
        <f ca="1">F320*H320</f>
        <v>12000</v>
      </c>
      <c r="H320" s="10">
        <v>1</v>
      </c>
      <c r="I320" s="10" t="s">
        <v>12</v>
      </c>
      <c r="J320" s="10" t="s">
        <v>19</v>
      </c>
      <c r="K320" s="13" t="str">
        <f t="shared" si="179"/>
        <v>Блок7</v>
      </c>
      <c r="L320" s="13"/>
      <c r="M320" s="13"/>
      <c r="N320" s="13"/>
      <c r="O320" s="26">
        <f t="shared" si="180"/>
        <v>1</v>
      </c>
      <c r="P320" s="26">
        <f>O320*H320</f>
        <v>1</v>
      </c>
      <c r="Q320" s="27">
        <f t="shared" ca="1" si="183"/>
        <v>12000</v>
      </c>
    </row>
    <row r="321" spans="1:17" ht="35.25" customHeight="1" x14ac:dyDescent="0.25">
      <c r="A321" s="10" t="str">
        <f t="shared" si="178"/>
        <v>ЩУР.МОП1-7</v>
      </c>
      <c r="B321" s="10" t="s">
        <v>20</v>
      </c>
      <c r="C321" s="11" t="s">
        <v>20</v>
      </c>
      <c r="D321" s="10" t="s">
        <v>20</v>
      </c>
      <c r="E321" s="10">
        <v>2</v>
      </c>
      <c r="F321" s="12">
        <v>100</v>
      </c>
      <c r="G321" s="12">
        <f>F321*H321</f>
        <v>12000</v>
      </c>
      <c r="H321" s="10">
        <f>60*E321</f>
        <v>120</v>
      </c>
      <c r="I321" s="10" t="s">
        <v>12</v>
      </c>
      <c r="J321" s="10" t="s">
        <v>20</v>
      </c>
      <c r="K321" s="13" t="str">
        <f t="shared" si="179"/>
        <v>Блок7</v>
      </c>
      <c r="L321" s="13"/>
      <c r="M321" s="13"/>
      <c r="N321" s="13"/>
      <c r="O321" s="26">
        <f t="shared" si="180"/>
        <v>1</v>
      </c>
      <c r="P321" s="26">
        <f>O321*H321</f>
        <v>120</v>
      </c>
      <c r="Q321" s="27">
        <f t="shared" si="183"/>
        <v>12000</v>
      </c>
    </row>
    <row r="322" spans="1:17" ht="35.25" customHeight="1" x14ac:dyDescent="0.25">
      <c r="A322" s="15" t="str">
        <f t="shared" si="178"/>
        <v>ЩУР.МОП1-7</v>
      </c>
      <c r="B322" s="15"/>
      <c r="C322" s="15"/>
      <c r="D322" s="16"/>
      <c r="E322" s="28"/>
      <c r="F322" s="12">
        <f>E322*0.55</f>
        <v>0</v>
      </c>
      <c r="G322" s="28">
        <f ca="1">SUM(G314:G321)</f>
        <v>95094</v>
      </c>
      <c r="H322" s="15"/>
      <c r="I322" s="19"/>
      <c r="J322" s="15"/>
      <c r="K322" s="13" t="str">
        <f t="shared" si="179"/>
        <v>Блок7</v>
      </c>
      <c r="L322" s="13"/>
      <c r="M322" s="13"/>
      <c r="N322" s="13"/>
      <c r="O322" s="26">
        <f t="shared" si="180"/>
        <v>1</v>
      </c>
      <c r="P322" s="26">
        <f>O322*H322</f>
        <v>0</v>
      </c>
      <c r="Q322" s="27">
        <f t="shared" si="183"/>
        <v>0</v>
      </c>
    </row>
    <row r="323" spans="1:17" ht="35.25" customHeight="1" x14ac:dyDescent="0.25">
      <c r="A323" s="8" t="str">
        <f>D323</f>
        <v>РЩ1-7 (АВР-Б-40-2-1)</v>
      </c>
      <c r="B323" s="4"/>
      <c r="C323" s="5"/>
      <c r="D323" s="4" t="s">
        <v>139</v>
      </c>
      <c r="E323" s="6"/>
      <c r="F323" s="6"/>
      <c r="G323" s="7"/>
      <c r="H323" s="8">
        <v>1</v>
      </c>
      <c r="I323" s="9" t="s">
        <v>9</v>
      </c>
      <c r="J323" s="4" t="s">
        <v>10</v>
      </c>
      <c r="K323" s="8" t="s">
        <v>77</v>
      </c>
      <c r="L323" s="8"/>
      <c r="M323" s="8"/>
      <c r="N323" s="8"/>
      <c r="O323" s="26">
        <f>H323</f>
        <v>1</v>
      </c>
      <c r="P323" s="26">
        <f>O323*H323</f>
        <v>1</v>
      </c>
      <c r="Q323" s="27">
        <f t="shared" si="183"/>
        <v>0</v>
      </c>
    </row>
    <row r="324" spans="1:17" ht="35.25" customHeight="1" x14ac:dyDescent="0.25">
      <c r="A324" s="13" t="str">
        <f t="shared" ref="A324:A334" si="184">A323</f>
        <v>РЩ1-7 (АВР-Б-40-2-1)</v>
      </c>
      <c r="B324" s="10" t="s">
        <v>11</v>
      </c>
      <c r="C324" s="11" t="s">
        <v>168</v>
      </c>
      <c r="D324" s="10" t="s">
        <v>169</v>
      </c>
      <c r="E324" s="10">
        <v>130000</v>
      </c>
      <c r="F324" s="12">
        <f t="shared" ref="F324:F325" si="185">0.6*E324</f>
        <v>78000</v>
      </c>
      <c r="G324" s="12">
        <f>F324*H324</f>
        <v>78000</v>
      </c>
      <c r="H324" s="13">
        <v>1</v>
      </c>
      <c r="I324" s="14" t="s">
        <v>12</v>
      </c>
      <c r="J324" s="10" t="s">
        <v>13</v>
      </c>
      <c r="K324" s="13" t="str">
        <f t="shared" ref="K324:K334" si="186">K323</f>
        <v>Блок7</v>
      </c>
      <c r="L324" s="13"/>
      <c r="M324" s="13"/>
      <c r="N324" s="13"/>
      <c r="O324" s="26">
        <f t="shared" ref="O324:O334" si="187">O323</f>
        <v>1</v>
      </c>
      <c r="P324" s="26">
        <f>O324*H324</f>
        <v>1</v>
      </c>
      <c r="Q324" s="27">
        <f t="shared" si="183"/>
        <v>78000</v>
      </c>
    </row>
    <row r="325" spans="1:17" ht="35.25" customHeight="1" x14ac:dyDescent="0.25">
      <c r="A325" s="13" t="str">
        <f t="shared" si="184"/>
        <v>РЩ1-7 (АВР-Б-40-2-1)</v>
      </c>
      <c r="B325" s="10" t="s">
        <v>44</v>
      </c>
      <c r="C325" s="11" t="s">
        <v>162</v>
      </c>
      <c r="D325" s="10" t="s">
        <v>163</v>
      </c>
      <c r="E325" s="10">
        <v>114758</v>
      </c>
      <c r="F325" s="12">
        <f t="shared" si="185"/>
        <v>68854.8</v>
      </c>
      <c r="G325" s="12">
        <f>F325*H325</f>
        <v>68854.8</v>
      </c>
      <c r="H325" s="13">
        <v>1</v>
      </c>
      <c r="I325" s="14" t="s">
        <v>12</v>
      </c>
      <c r="J325" s="10" t="s">
        <v>14</v>
      </c>
      <c r="K325" s="13" t="str">
        <f t="shared" si="186"/>
        <v>Блок7</v>
      </c>
      <c r="L325" s="13"/>
      <c r="M325" s="13"/>
      <c r="N325" s="13"/>
      <c r="O325" s="26">
        <f t="shared" si="187"/>
        <v>1</v>
      </c>
      <c r="P325" s="26">
        <f>O325*H325</f>
        <v>1</v>
      </c>
      <c r="Q325" s="27">
        <f t="shared" si="183"/>
        <v>68854.8</v>
      </c>
    </row>
    <row r="326" spans="1:17" ht="35.25" customHeight="1" x14ac:dyDescent="0.25">
      <c r="A326" s="13" t="str">
        <f t="shared" si="184"/>
        <v>РЩ1-7 (АВР-Б-40-2-1)</v>
      </c>
      <c r="B326" s="10" t="s">
        <v>293</v>
      </c>
      <c r="C326" s="11" t="s">
        <v>213</v>
      </c>
      <c r="D326" s="10" t="s">
        <v>214</v>
      </c>
      <c r="E326" s="10">
        <v>7690</v>
      </c>
      <c r="F326" s="12">
        <f t="shared" ref="F326:F329" si="188">0.3*E326</f>
        <v>2307</v>
      </c>
      <c r="G326" s="12">
        <f>F326*H326</f>
        <v>4614</v>
      </c>
      <c r="H326" s="13">
        <v>2</v>
      </c>
      <c r="I326" s="14" t="s">
        <v>12</v>
      </c>
      <c r="J326" s="10" t="s">
        <v>207</v>
      </c>
      <c r="K326" s="13" t="str">
        <f t="shared" si="186"/>
        <v>Блок7</v>
      </c>
      <c r="L326" s="13"/>
      <c r="M326" s="13"/>
      <c r="N326" s="13"/>
      <c r="O326" s="26">
        <f t="shared" si="187"/>
        <v>1</v>
      </c>
      <c r="P326" s="26">
        <f>O326*H326</f>
        <v>2</v>
      </c>
      <c r="Q326" s="27">
        <f>P326*E326</f>
        <v>15380</v>
      </c>
    </row>
    <row r="327" spans="1:17" ht="35.25" customHeight="1" x14ac:dyDescent="0.25">
      <c r="A327" s="13" t="str">
        <f t="shared" si="184"/>
        <v>РЩ1-7 (АВР-Б-40-2-1)</v>
      </c>
      <c r="B327" s="10" t="s">
        <v>293</v>
      </c>
      <c r="C327" s="11" t="s">
        <v>231</v>
      </c>
      <c r="D327" s="10" t="s">
        <v>232</v>
      </c>
      <c r="E327" s="10">
        <v>7690</v>
      </c>
      <c r="F327" s="12">
        <f t="shared" si="188"/>
        <v>2307</v>
      </c>
      <c r="G327" s="12">
        <f>F327*H327</f>
        <v>6921</v>
      </c>
      <c r="H327" s="13">
        <v>3</v>
      </c>
      <c r="I327" s="14" t="s">
        <v>12</v>
      </c>
      <c r="J327" s="10" t="s">
        <v>207</v>
      </c>
      <c r="K327" s="13" t="str">
        <f t="shared" si="186"/>
        <v>Блок7</v>
      </c>
      <c r="L327" s="13"/>
      <c r="M327" s="13"/>
      <c r="N327" s="13"/>
      <c r="O327" s="26">
        <f t="shared" si="187"/>
        <v>1</v>
      </c>
      <c r="P327" s="26">
        <f>O327*H327</f>
        <v>3</v>
      </c>
      <c r="Q327" s="27">
        <f>P327*E327</f>
        <v>23070</v>
      </c>
    </row>
    <row r="328" spans="1:17" ht="35.25" customHeight="1" x14ac:dyDescent="0.25">
      <c r="A328" s="13" t="str">
        <f t="shared" si="184"/>
        <v>РЩ1-7 (АВР-Б-40-2-1)</v>
      </c>
      <c r="B328" s="10" t="s">
        <v>294</v>
      </c>
      <c r="C328" s="11" t="s">
        <v>203</v>
      </c>
      <c r="D328" s="10" t="s">
        <v>204</v>
      </c>
      <c r="E328" s="10">
        <v>13450</v>
      </c>
      <c r="F328" s="12">
        <f t="shared" si="188"/>
        <v>4035</v>
      </c>
      <c r="G328" s="12">
        <f>F328*H328</f>
        <v>8070</v>
      </c>
      <c r="H328" s="13">
        <v>2</v>
      </c>
      <c r="I328" s="14" t="s">
        <v>12</v>
      </c>
      <c r="J328" s="10" t="s">
        <v>207</v>
      </c>
      <c r="K328" s="13" t="str">
        <f t="shared" si="186"/>
        <v>Блок7</v>
      </c>
      <c r="L328" s="13"/>
      <c r="M328" s="13"/>
      <c r="N328" s="13"/>
      <c r="O328" s="26">
        <f t="shared" si="187"/>
        <v>1</v>
      </c>
      <c r="P328" s="26">
        <f>O328*H328</f>
        <v>2</v>
      </c>
      <c r="Q328" s="27">
        <f>P328*E328</f>
        <v>26900</v>
      </c>
    </row>
    <row r="329" spans="1:17" ht="35.25" customHeight="1" x14ac:dyDescent="0.25">
      <c r="A329" s="13" t="str">
        <f t="shared" si="184"/>
        <v>РЩ1-7 (АВР-Б-40-2-1)</v>
      </c>
      <c r="B329" s="10" t="s">
        <v>293</v>
      </c>
      <c r="C329" s="11" t="s">
        <v>205</v>
      </c>
      <c r="D329" s="10" t="s">
        <v>206</v>
      </c>
      <c r="E329" s="10">
        <v>7090</v>
      </c>
      <c r="F329" s="12">
        <f t="shared" si="188"/>
        <v>2127</v>
      </c>
      <c r="G329" s="12">
        <f>F329*H329</f>
        <v>2127</v>
      </c>
      <c r="H329" s="13">
        <v>1</v>
      </c>
      <c r="I329" s="14" t="s">
        <v>12</v>
      </c>
      <c r="J329" s="10" t="s">
        <v>207</v>
      </c>
      <c r="K329" s="13" t="str">
        <f t="shared" si="186"/>
        <v>Блок7</v>
      </c>
      <c r="L329" s="13"/>
      <c r="M329" s="13"/>
      <c r="N329" s="13"/>
      <c r="O329" s="26">
        <f t="shared" si="187"/>
        <v>1</v>
      </c>
      <c r="P329" s="26">
        <f>O329*H329</f>
        <v>1</v>
      </c>
      <c r="Q329" s="27">
        <f>P329*E329</f>
        <v>7090</v>
      </c>
    </row>
    <row r="330" spans="1:17" ht="35.25" customHeight="1" x14ac:dyDescent="0.25">
      <c r="A330" s="13" t="str">
        <f t="shared" si="184"/>
        <v>РЩ1-7 (АВР-Б-40-2-1)</v>
      </c>
      <c r="B330" s="10" t="s">
        <v>15</v>
      </c>
      <c r="C330" s="11" t="s">
        <v>299</v>
      </c>
      <c r="D330" s="10" t="s">
        <v>300</v>
      </c>
      <c r="E330" s="10">
        <v>32400</v>
      </c>
      <c r="F330" s="12">
        <f>E330</f>
        <v>32400</v>
      </c>
      <c r="G330" s="12">
        <f>F330*H330</f>
        <v>32400</v>
      </c>
      <c r="H330" s="13">
        <v>1</v>
      </c>
      <c r="I330" s="14" t="s">
        <v>12</v>
      </c>
      <c r="J330" s="10" t="s">
        <v>16</v>
      </c>
      <c r="K330" s="13" t="str">
        <f t="shared" si="186"/>
        <v>Блок7</v>
      </c>
      <c r="L330" s="13"/>
      <c r="M330" s="13"/>
      <c r="N330" s="13"/>
      <c r="O330" s="26">
        <f t="shared" si="187"/>
        <v>1</v>
      </c>
      <c r="P330" s="26">
        <f>O330*H330</f>
        <v>1</v>
      </c>
      <c r="Q330" s="27">
        <f t="shared" ref="Q330:Q340" si="189">P330*F330</f>
        <v>32400</v>
      </c>
    </row>
    <row r="331" spans="1:17" ht="35.25" customHeight="1" x14ac:dyDescent="0.25">
      <c r="A331" s="13" t="str">
        <f t="shared" si="184"/>
        <v>РЩ1-7 (АВР-Б-40-2-1)</v>
      </c>
      <c r="B331" s="10" t="s">
        <v>30</v>
      </c>
      <c r="C331" s="11"/>
      <c r="D331" s="10" t="s">
        <v>31</v>
      </c>
      <c r="E331" s="10">
        <v>3850</v>
      </c>
      <c r="F331" s="12">
        <f>E331</f>
        <v>3850</v>
      </c>
      <c r="G331" s="12">
        <f>F331*H331</f>
        <v>23100</v>
      </c>
      <c r="H331" s="13">
        <v>6</v>
      </c>
      <c r="I331" s="14" t="s">
        <v>12</v>
      </c>
      <c r="J331" s="10" t="s">
        <v>25</v>
      </c>
      <c r="K331" s="13" t="str">
        <f t="shared" si="186"/>
        <v>Блок7</v>
      </c>
      <c r="L331" s="13"/>
      <c r="M331" s="13"/>
      <c r="N331" s="13"/>
      <c r="O331" s="26">
        <f t="shared" si="187"/>
        <v>1</v>
      </c>
      <c r="P331" s="26">
        <f>O331*H331</f>
        <v>6</v>
      </c>
      <c r="Q331" s="27">
        <f t="shared" si="189"/>
        <v>23100</v>
      </c>
    </row>
    <row r="332" spans="1:17" ht="35.25" customHeight="1" x14ac:dyDescent="0.25">
      <c r="A332" s="10" t="str">
        <f t="shared" si="184"/>
        <v>РЩ1-7 (АВР-Б-40-2-1)</v>
      </c>
      <c r="B332" s="10" t="s">
        <v>19</v>
      </c>
      <c r="C332" s="11" t="s">
        <v>19</v>
      </c>
      <c r="D332" s="10" t="s">
        <v>19</v>
      </c>
      <c r="E332" s="10">
        <f ca="1">OFFSET(E332,1,2)</f>
        <v>39000</v>
      </c>
      <c r="F332" s="12">
        <f ca="1">E332</f>
        <v>39000</v>
      </c>
      <c r="G332" s="12">
        <f ca="1">F332*H332</f>
        <v>39000</v>
      </c>
      <c r="H332" s="10">
        <v>1</v>
      </c>
      <c r="I332" s="10" t="s">
        <v>12</v>
      </c>
      <c r="J332" s="10" t="s">
        <v>19</v>
      </c>
      <c r="K332" s="13" t="str">
        <f t="shared" si="186"/>
        <v>Блок7</v>
      </c>
      <c r="L332" s="13"/>
      <c r="M332" s="13"/>
      <c r="N332" s="13"/>
      <c r="O332" s="26">
        <f t="shared" si="187"/>
        <v>1</v>
      </c>
      <c r="P332" s="26">
        <f>O332*H332</f>
        <v>1</v>
      </c>
      <c r="Q332" s="27">
        <f t="shared" ca="1" si="189"/>
        <v>39000</v>
      </c>
    </row>
    <row r="333" spans="1:17" ht="35.25" customHeight="1" x14ac:dyDescent="0.25">
      <c r="A333" s="10" t="str">
        <f t="shared" si="184"/>
        <v>РЩ1-7 (АВР-Б-40-2-1)</v>
      </c>
      <c r="B333" s="10" t="s">
        <v>20</v>
      </c>
      <c r="C333" s="11" t="s">
        <v>20</v>
      </c>
      <c r="D333" s="10" t="s">
        <v>20</v>
      </c>
      <c r="E333" s="10">
        <v>6.5</v>
      </c>
      <c r="F333" s="12">
        <v>100</v>
      </c>
      <c r="G333" s="12">
        <f>F333*H333</f>
        <v>39000</v>
      </c>
      <c r="H333" s="10">
        <f>60*E333</f>
        <v>390</v>
      </c>
      <c r="I333" s="10" t="s">
        <v>12</v>
      </c>
      <c r="J333" s="10" t="s">
        <v>20</v>
      </c>
      <c r="K333" s="13" t="str">
        <f t="shared" si="186"/>
        <v>Блок7</v>
      </c>
      <c r="L333" s="13"/>
      <c r="M333" s="13"/>
      <c r="N333" s="13"/>
      <c r="O333" s="26">
        <f t="shared" si="187"/>
        <v>1</v>
      </c>
      <c r="P333" s="26">
        <f>O333*H333</f>
        <v>390</v>
      </c>
      <c r="Q333" s="27">
        <f t="shared" si="189"/>
        <v>39000</v>
      </c>
    </row>
    <row r="334" spans="1:17" ht="35.25" customHeight="1" x14ac:dyDescent="0.25">
      <c r="A334" s="15" t="str">
        <f t="shared" si="184"/>
        <v>РЩ1-7 (АВР-Б-40-2-1)</v>
      </c>
      <c r="B334" s="15"/>
      <c r="C334" s="15"/>
      <c r="D334" s="16"/>
      <c r="E334" s="28"/>
      <c r="F334" s="12">
        <f t="shared" ref="F334" si="190">E334*0.55</f>
        <v>0</v>
      </c>
      <c r="G334" s="28">
        <f ca="1">SUM(G324:G333)</f>
        <v>302086.8</v>
      </c>
      <c r="H334" s="15"/>
      <c r="I334" s="19"/>
      <c r="J334" s="15"/>
      <c r="K334" s="13" t="str">
        <f t="shared" si="186"/>
        <v>Блок7</v>
      </c>
      <c r="L334" s="13"/>
      <c r="M334" s="13"/>
      <c r="N334" s="13"/>
      <c r="O334" s="26">
        <f t="shared" si="187"/>
        <v>1</v>
      </c>
      <c r="P334" s="26">
        <f>O334*H334</f>
        <v>0</v>
      </c>
      <c r="Q334" s="27">
        <f t="shared" si="189"/>
        <v>0</v>
      </c>
    </row>
    <row r="335" spans="1:17" ht="35.25" customHeight="1" x14ac:dyDescent="0.25">
      <c r="A335" s="8" t="str">
        <f>D335</f>
        <v>ВРУ1-8</v>
      </c>
      <c r="B335" s="4"/>
      <c r="C335" s="5"/>
      <c r="D335" s="4" t="s">
        <v>80</v>
      </c>
      <c r="E335" s="6"/>
      <c r="F335" s="6"/>
      <c r="G335" s="7"/>
      <c r="H335" s="8">
        <v>1</v>
      </c>
      <c r="I335" s="9" t="s">
        <v>9</v>
      </c>
      <c r="J335" s="4" t="s">
        <v>10</v>
      </c>
      <c r="K335" s="8" t="s">
        <v>81</v>
      </c>
      <c r="L335" s="8"/>
      <c r="M335" s="8"/>
      <c r="N335" s="8"/>
      <c r="O335" s="26">
        <f>H335</f>
        <v>1</v>
      </c>
      <c r="P335" s="26">
        <f>O335*H335</f>
        <v>1</v>
      </c>
      <c r="Q335" s="27">
        <f t="shared" si="189"/>
        <v>0</v>
      </c>
    </row>
    <row r="336" spans="1:17" ht="35.25" customHeight="1" x14ac:dyDescent="0.25">
      <c r="A336" s="13" t="str">
        <f t="shared" ref="A336:A346" si="191">A335</f>
        <v>ВРУ1-8</v>
      </c>
      <c r="B336" s="10" t="s">
        <v>11</v>
      </c>
      <c r="C336" s="11" t="s">
        <v>172</v>
      </c>
      <c r="D336" s="10" t="s">
        <v>173</v>
      </c>
      <c r="E336" s="10">
        <v>156500</v>
      </c>
      <c r="F336" s="12">
        <f>0.6*E336</f>
        <v>93900</v>
      </c>
      <c r="G336" s="12">
        <f>F336*H336</f>
        <v>93900</v>
      </c>
      <c r="H336" s="13">
        <v>1</v>
      </c>
      <c r="I336" s="14" t="s">
        <v>12</v>
      </c>
      <c r="J336" s="10" t="s">
        <v>13</v>
      </c>
      <c r="K336" s="13" t="str">
        <f t="shared" ref="K336:K346" si="192">K335</f>
        <v>Блок8</v>
      </c>
      <c r="L336" s="13"/>
      <c r="M336" s="13"/>
      <c r="N336" s="13"/>
      <c r="O336" s="26">
        <f t="shared" ref="O336:O346" si="193">O335</f>
        <v>1</v>
      </c>
      <c r="P336" s="26">
        <f>O336*H336</f>
        <v>1</v>
      </c>
      <c r="Q336" s="27">
        <f t="shared" si="189"/>
        <v>93900</v>
      </c>
    </row>
    <row r="337" spans="1:17" ht="35.25" customHeight="1" x14ac:dyDescent="0.25">
      <c r="A337" s="13" t="str">
        <f t="shared" si="191"/>
        <v>ВРУ1-8</v>
      </c>
      <c r="B337" s="10" t="s">
        <v>23</v>
      </c>
      <c r="C337" s="11" t="s">
        <v>307</v>
      </c>
      <c r="D337" s="10" t="s">
        <v>308</v>
      </c>
      <c r="E337" s="10">
        <v>5523</v>
      </c>
      <c r="F337" s="12">
        <f t="shared" ref="F337:F338" si="194">E337</f>
        <v>5523</v>
      </c>
      <c r="G337" s="12">
        <f>F337*H337</f>
        <v>33138</v>
      </c>
      <c r="H337" s="13">
        <v>6</v>
      </c>
      <c r="I337" s="14" t="s">
        <v>12</v>
      </c>
      <c r="J337" s="10" t="s">
        <v>25</v>
      </c>
      <c r="K337" s="13" t="str">
        <f t="shared" si="192"/>
        <v>Блок8</v>
      </c>
      <c r="L337" s="13"/>
      <c r="M337" s="13"/>
      <c r="N337" s="13"/>
      <c r="O337" s="26">
        <f t="shared" si="193"/>
        <v>1</v>
      </c>
      <c r="P337" s="26">
        <f>O337*H337</f>
        <v>6</v>
      </c>
      <c r="Q337" s="27">
        <f t="shared" si="189"/>
        <v>33138</v>
      </c>
    </row>
    <row r="338" spans="1:17" ht="35.25" customHeight="1" x14ac:dyDescent="0.25">
      <c r="A338" s="13" t="str">
        <f t="shared" si="191"/>
        <v>ВРУ1-8</v>
      </c>
      <c r="B338" s="10" t="s">
        <v>26</v>
      </c>
      <c r="C338" s="11" t="s">
        <v>177</v>
      </c>
      <c r="D338" s="10" t="s">
        <v>178</v>
      </c>
      <c r="E338" s="10">
        <v>25500</v>
      </c>
      <c r="F338" s="12">
        <f t="shared" si="194"/>
        <v>25500</v>
      </c>
      <c r="G338" s="12">
        <f>F338*H338</f>
        <v>51000</v>
      </c>
      <c r="H338" s="13">
        <v>2</v>
      </c>
      <c r="I338" s="14" t="s">
        <v>12</v>
      </c>
      <c r="J338" s="10" t="s">
        <v>25</v>
      </c>
      <c r="K338" s="13" t="str">
        <f t="shared" si="192"/>
        <v>Блок8</v>
      </c>
      <c r="L338" s="13"/>
      <c r="M338" s="13"/>
      <c r="N338" s="13"/>
      <c r="O338" s="26">
        <f t="shared" si="193"/>
        <v>1</v>
      </c>
      <c r="P338" s="26">
        <f>O338*H338</f>
        <v>2</v>
      </c>
      <c r="Q338" s="27">
        <f t="shared" si="189"/>
        <v>51000</v>
      </c>
    </row>
    <row r="339" spans="1:17" ht="35.25" customHeight="1" x14ac:dyDescent="0.25">
      <c r="A339" s="13" t="str">
        <f t="shared" si="191"/>
        <v>ВРУ1-8</v>
      </c>
      <c r="B339" s="10" t="s">
        <v>127</v>
      </c>
      <c r="C339" s="11" t="s">
        <v>130</v>
      </c>
      <c r="D339" s="10" t="s">
        <v>131</v>
      </c>
      <c r="E339" s="10">
        <v>4750</v>
      </c>
      <c r="F339" s="12">
        <f t="shared" ref="F339:F340" si="195">0.6*E339</f>
        <v>2850</v>
      </c>
      <c r="G339" s="12">
        <f>F339*H339</f>
        <v>17100</v>
      </c>
      <c r="H339" s="13">
        <v>6</v>
      </c>
      <c r="I339" s="14" t="s">
        <v>12</v>
      </c>
      <c r="J339" s="10" t="s">
        <v>14</v>
      </c>
      <c r="K339" s="13" t="str">
        <f t="shared" si="192"/>
        <v>Блок8</v>
      </c>
      <c r="L339" s="13"/>
      <c r="M339" s="13"/>
      <c r="N339" s="13"/>
      <c r="O339" s="26">
        <f t="shared" si="193"/>
        <v>1</v>
      </c>
      <c r="P339" s="26">
        <f>O339*H339</f>
        <v>6</v>
      </c>
      <c r="Q339" s="27">
        <f t="shared" si="189"/>
        <v>17100</v>
      </c>
    </row>
    <row r="340" spans="1:17" ht="35.25" customHeight="1" x14ac:dyDescent="0.25">
      <c r="A340" s="13" t="str">
        <f t="shared" si="191"/>
        <v>ВРУ1-8</v>
      </c>
      <c r="B340" s="10" t="s">
        <v>126</v>
      </c>
      <c r="C340" s="11" t="s">
        <v>128</v>
      </c>
      <c r="D340" s="10" t="s">
        <v>129</v>
      </c>
      <c r="E340" s="10">
        <v>3317</v>
      </c>
      <c r="F340" s="12">
        <f t="shared" si="195"/>
        <v>1990.1999999999998</v>
      </c>
      <c r="G340" s="12">
        <f>F340*H340</f>
        <v>11941.199999999999</v>
      </c>
      <c r="H340" s="13">
        <v>6</v>
      </c>
      <c r="I340" s="14" t="s">
        <v>12</v>
      </c>
      <c r="J340" s="10" t="s">
        <v>14</v>
      </c>
      <c r="K340" s="13" t="str">
        <f t="shared" si="192"/>
        <v>Блок8</v>
      </c>
      <c r="L340" s="13"/>
      <c r="M340" s="13"/>
      <c r="N340" s="13"/>
      <c r="O340" s="26">
        <f t="shared" si="193"/>
        <v>1</v>
      </c>
      <c r="P340" s="26">
        <f>O340*H340</f>
        <v>6</v>
      </c>
      <c r="Q340" s="27">
        <f t="shared" si="189"/>
        <v>11941.199999999999</v>
      </c>
    </row>
    <row r="341" spans="1:17" ht="35.25" customHeight="1" x14ac:dyDescent="0.25">
      <c r="A341" s="13" t="str">
        <f t="shared" si="191"/>
        <v>ВРУ1-8</v>
      </c>
      <c r="B341" s="10" t="s">
        <v>293</v>
      </c>
      <c r="C341" s="11" t="s">
        <v>189</v>
      </c>
      <c r="D341" s="10" t="s">
        <v>190</v>
      </c>
      <c r="E341" s="10">
        <v>1390</v>
      </c>
      <c r="F341" s="12">
        <f>0.3*E341</f>
        <v>417</v>
      </c>
      <c r="G341" s="12">
        <f>F341*H341</f>
        <v>834</v>
      </c>
      <c r="H341" s="13">
        <v>2</v>
      </c>
      <c r="I341" s="14" t="s">
        <v>12</v>
      </c>
      <c r="J341" s="10" t="s">
        <v>207</v>
      </c>
      <c r="K341" s="13" t="str">
        <f t="shared" si="192"/>
        <v>Блок8</v>
      </c>
      <c r="L341" s="13"/>
      <c r="M341" s="13"/>
      <c r="N341" s="13"/>
      <c r="O341" s="26">
        <f t="shared" si="193"/>
        <v>1</v>
      </c>
      <c r="P341" s="26">
        <f>O341*H341</f>
        <v>2</v>
      </c>
      <c r="Q341" s="27">
        <f>P341*E341</f>
        <v>2780</v>
      </c>
    </row>
    <row r="342" spans="1:17" ht="35.25" customHeight="1" x14ac:dyDescent="0.25">
      <c r="A342" s="13" t="str">
        <f t="shared" si="191"/>
        <v>ВРУ1-8</v>
      </c>
      <c r="B342" s="10" t="s">
        <v>15</v>
      </c>
      <c r="C342" s="11" t="s">
        <v>297</v>
      </c>
      <c r="D342" s="24" t="s">
        <v>298</v>
      </c>
      <c r="E342" s="10">
        <v>89000</v>
      </c>
      <c r="F342" s="12">
        <f>E342</f>
        <v>89000</v>
      </c>
      <c r="G342" s="12">
        <f>F342*H342</f>
        <v>178000</v>
      </c>
      <c r="H342" s="13">
        <v>2</v>
      </c>
      <c r="I342" s="14" t="s">
        <v>12</v>
      </c>
      <c r="J342" s="10" t="s">
        <v>16</v>
      </c>
      <c r="K342" s="13" t="str">
        <f t="shared" si="192"/>
        <v>Блок8</v>
      </c>
      <c r="L342" s="13"/>
      <c r="M342" s="13"/>
      <c r="N342" s="13"/>
      <c r="O342" s="26">
        <f t="shared" si="193"/>
        <v>1</v>
      </c>
      <c r="P342" s="26">
        <f>O342*H342</f>
        <v>2</v>
      </c>
      <c r="Q342" s="27">
        <f t="shared" ref="Q342:Q348" si="196">P342*F342</f>
        <v>178000</v>
      </c>
    </row>
    <row r="343" spans="1:17" ht="35.25" customHeight="1" x14ac:dyDescent="0.25">
      <c r="A343" s="13" t="str">
        <f t="shared" si="191"/>
        <v>ВРУ1-8</v>
      </c>
      <c r="B343" s="10" t="s">
        <v>30</v>
      </c>
      <c r="C343" s="11"/>
      <c r="D343" s="10" t="s">
        <v>31</v>
      </c>
      <c r="E343" s="10">
        <v>3850</v>
      </c>
      <c r="F343" s="12">
        <f>E343</f>
        <v>3850</v>
      </c>
      <c r="G343" s="12">
        <f>F343*H343</f>
        <v>23100</v>
      </c>
      <c r="H343" s="13">
        <v>6</v>
      </c>
      <c r="I343" s="14" t="s">
        <v>12</v>
      </c>
      <c r="J343" s="10" t="s">
        <v>25</v>
      </c>
      <c r="K343" s="13" t="str">
        <f t="shared" si="192"/>
        <v>Блок8</v>
      </c>
      <c r="L343" s="13"/>
      <c r="M343" s="13"/>
      <c r="N343" s="13"/>
      <c r="O343" s="26">
        <f t="shared" si="193"/>
        <v>1</v>
      </c>
      <c r="P343" s="26">
        <f>O343*H343</f>
        <v>6</v>
      </c>
      <c r="Q343" s="27">
        <f t="shared" si="196"/>
        <v>23100</v>
      </c>
    </row>
    <row r="344" spans="1:17" ht="35.25" customHeight="1" x14ac:dyDescent="0.25">
      <c r="A344" s="10" t="str">
        <f t="shared" si="191"/>
        <v>ВРУ1-8</v>
      </c>
      <c r="B344" s="10" t="s">
        <v>19</v>
      </c>
      <c r="C344" s="11" t="s">
        <v>19</v>
      </c>
      <c r="D344" s="10" t="s">
        <v>19</v>
      </c>
      <c r="E344" s="10">
        <f ca="1">OFFSET(E344,1,2)</f>
        <v>48000</v>
      </c>
      <c r="F344" s="12">
        <f ca="1">E344</f>
        <v>48000</v>
      </c>
      <c r="G344" s="12">
        <f ca="1">F344*H344</f>
        <v>48000</v>
      </c>
      <c r="H344" s="10">
        <v>1</v>
      </c>
      <c r="I344" s="10" t="s">
        <v>12</v>
      </c>
      <c r="J344" s="10" t="s">
        <v>19</v>
      </c>
      <c r="K344" s="13" t="str">
        <f t="shared" si="192"/>
        <v>Блок8</v>
      </c>
      <c r="L344" s="13"/>
      <c r="M344" s="13"/>
      <c r="N344" s="13"/>
      <c r="O344" s="26">
        <f t="shared" si="193"/>
        <v>1</v>
      </c>
      <c r="P344" s="26">
        <f>O344*H344</f>
        <v>1</v>
      </c>
      <c r="Q344" s="27">
        <f t="shared" ca="1" si="196"/>
        <v>48000</v>
      </c>
    </row>
    <row r="345" spans="1:17" ht="35.25" customHeight="1" x14ac:dyDescent="0.25">
      <c r="A345" s="10" t="str">
        <f t="shared" si="191"/>
        <v>ВРУ1-8</v>
      </c>
      <c r="B345" s="10" t="s">
        <v>20</v>
      </c>
      <c r="C345" s="11" t="s">
        <v>20</v>
      </c>
      <c r="D345" s="10" t="s">
        <v>20</v>
      </c>
      <c r="E345" s="10">
        <v>8</v>
      </c>
      <c r="F345" s="12">
        <v>100</v>
      </c>
      <c r="G345" s="12">
        <f>F345*H345</f>
        <v>48000</v>
      </c>
      <c r="H345" s="10">
        <f>60*E345</f>
        <v>480</v>
      </c>
      <c r="I345" s="10" t="s">
        <v>12</v>
      </c>
      <c r="J345" s="10" t="s">
        <v>20</v>
      </c>
      <c r="K345" s="13" t="str">
        <f t="shared" si="192"/>
        <v>Блок8</v>
      </c>
      <c r="L345" s="13"/>
      <c r="M345" s="13"/>
      <c r="N345" s="13"/>
      <c r="O345" s="26">
        <f t="shared" si="193"/>
        <v>1</v>
      </c>
      <c r="P345" s="26">
        <f>O345*H345</f>
        <v>480</v>
      </c>
      <c r="Q345" s="27">
        <f t="shared" si="196"/>
        <v>48000</v>
      </c>
    </row>
    <row r="346" spans="1:17" ht="35.25" customHeight="1" x14ac:dyDescent="0.25">
      <c r="A346" s="15" t="str">
        <f t="shared" si="191"/>
        <v>ВРУ1-8</v>
      </c>
      <c r="B346" s="15"/>
      <c r="C346" s="15"/>
      <c r="D346" s="16"/>
      <c r="E346" s="28"/>
      <c r="F346" s="12">
        <f>E346*0.55</f>
        <v>0</v>
      </c>
      <c r="G346" s="28">
        <f ca="1">SUM(G336:G345)</f>
        <v>505013.2</v>
      </c>
      <c r="H346" s="15"/>
      <c r="I346" s="19"/>
      <c r="J346" s="15"/>
      <c r="K346" s="13" t="str">
        <f t="shared" si="192"/>
        <v>Блок8</v>
      </c>
      <c r="L346" s="13"/>
      <c r="M346" s="13"/>
      <c r="N346" s="13"/>
      <c r="O346" s="26">
        <f t="shared" si="193"/>
        <v>1</v>
      </c>
      <c r="P346" s="26">
        <f>O346*H346</f>
        <v>0</v>
      </c>
      <c r="Q346" s="27">
        <f t="shared" si="196"/>
        <v>0</v>
      </c>
    </row>
    <row r="347" spans="1:17" ht="35.25" customHeight="1" x14ac:dyDescent="0.25">
      <c r="A347" s="8" t="str">
        <f>D347</f>
        <v>РУ-1-8</v>
      </c>
      <c r="B347" s="4"/>
      <c r="C347" s="5"/>
      <c r="D347" s="4" t="s">
        <v>82</v>
      </c>
      <c r="E347" s="6"/>
      <c r="F347" s="6"/>
      <c r="G347" s="7"/>
      <c r="H347" s="8">
        <v>1</v>
      </c>
      <c r="I347" s="9" t="s">
        <v>9</v>
      </c>
      <c r="J347" s="4" t="s">
        <v>10</v>
      </c>
      <c r="K347" s="8" t="s">
        <v>81</v>
      </c>
      <c r="L347" s="8"/>
      <c r="M347" s="8"/>
      <c r="N347" s="8"/>
      <c r="O347" s="26">
        <f>H347</f>
        <v>1</v>
      </c>
      <c r="P347" s="26">
        <f>O347*H347</f>
        <v>1</v>
      </c>
      <c r="Q347" s="27">
        <f t="shared" si="196"/>
        <v>0</v>
      </c>
    </row>
    <row r="348" spans="1:17" ht="35.25" customHeight="1" x14ac:dyDescent="0.25">
      <c r="A348" s="13" t="str">
        <f t="shared" ref="A348:A354" si="197">A347</f>
        <v>РУ-1-8</v>
      </c>
      <c r="B348" s="10" t="s">
        <v>11</v>
      </c>
      <c r="C348" s="11" t="s">
        <v>170</v>
      </c>
      <c r="D348" s="10" t="s">
        <v>171</v>
      </c>
      <c r="E348" s="10">
        <v>145000</v>
      </c>
      <c r="F348" s="12">
        <f>0.6*E348</f>
        <v>87000</v>
      </c>
      <c r="G348" s="12">
        <f>F348*H348</f>
        <v>87000</v>
      </c>
      <c r="H348" s="13">
        <v>1</v>
      </c>
      <c r="I348" s="14" t="s">
        <v>12</v>
      </c>
      <c r="J348" s="10" t="s">
        <v>13</v>
      </c>
      <c r="K348" s="13" t="str">
        <f t="shared" ref="K348:K354" si="198">K347</f>
        <v>Блок8</v>
      </c>
      <c r="L348" s="13"/>
      <c r="M348" s="13"/>
      <c r="N348" s="13"/>
      <c r="O348" s="26">
        <f t="shared" ref="O348:O354" si="199">O347</f>
        <v>1</v>
      </c>
      <c r="P348" s="26">
        <f>O348*H348</f>
        <v>1</v>
      </c>
      <c r="Q348" s="27">
        <f t="shared" si="196"/>
        <v>87000</v>
      </c>
    </row>
    <row r="349" spans="1:17" ht="35.25" customHeight="1" x14ac:dyDescent="0.25">
      <c r="A349" s="13" t="str">
        <f t="shared" si="197"/>
        <v>РУ-1-8</v>
      </c>
      <c r="B349" s="10" t="s">
        <v>294</v>
      </c>
      <c r="C349" s="11" t="s">
        <v>225</v>
      </c>
      <c r="D349" s="10" t="s">
        <v>226</v>
      </c>
      <c r="E349" s="10">
        <v>17300</v>
      </c>
      <c r="F349" s="12">
        <f>0.3*E349</f>
        <v>5190</v>
      </c>
      <c r="G349" s="12">
        <f>F349*H349</f>
        <v>20760</v>
      </c>
      <c r="H349" s="13">
        <v>4</v>
      </c>
      <c r="I349" s="14" t="s">
        <v>12</v>
      </c>
      <c r="J349" s="10" t="s">
        <v>207</v>
      </c>
      <c r="K349" s="13" t="str">
        <f t="shared" si="198"/>
        <v>Блок8</v>
      </c>
      <c r="L349" s="13"/>
      <c r="M349" s="13"/>
      <c r="N349" s="13"/>
      <c r="O349" s="26">
        <f t="shared" si="199"/>
        <v>1</v>
      </c>
      <c r="P349" s="26">
        <f>O349*H349</f>
        <v>4</v>
      </c>
      <c r="Q349" s="27">
        <f>P349*E349</f>
        <v>69200</v>
      </c>
    </row>
    <row r="350" spans="1:17" ht="35.25" customHeight="1" x14ac:dyDescent="0.25">
      <c r="A350" s="13" t="str">
        <f t="shared" si="197"/>
        <v>РУ-1-8</v>
      </c>
      <c r="B350" s="10" t="s">
        <v>294</v>
      </c>
      <c r="C350" s="11" t="s">
        <v>229</v>
      </c>
      <c r="D350" s="10" t="s">
        <v>230</v>
      </c>
      <c r="E350" s="10">
        <v>34800</v>
      </c>
      <c r="F350" s="12">
        <f>0.6*E350</f>
        <v>20880</v>
      </c>
      <c r="G350" s="12">
        <f>F350*H350</f>
        <v>20880</v>
      </c>
      <c r="H350" s="13">
        <v>1</v>
      </c>
      <c r="I350" s="14" t="s">
        <v>12</v>
      </c>
      <c r="J350" s="10" t="s">
        <v>14</v>
      </c>
      <c r="K350" s="13" t="str">
        <f t="shared" si="198"/>
        <v>Блок8</v>
      </c>
      <c r="L350" s="13"/>
      <c r="M350" s="13"/>
      <c r="N350" s="13"/>
      <c r="O350" s="26">
        <f t="shared" si="199"/>
        <v>1</v>
      </c>
      <c r="P350" s="26">
        <f>O350*H350</f>
        <v>1</v>
      </c>
      <c r="Q350" s="27">
        <f>P350*F350</f>
        <v>20880</v>
      </c>
    </row>
    <row r="351" spans="1:17" ht="35.25" customHeight="1" x14ac:dyDescent="0.25">
      <c r="A351" s="13" t="str">
        <f t="shared" si="197"/>
        <v>РУ-1-8</v>
      </c>
      <c r="B351" s="10" t="s">
        <v>293</v>
      </c>
      <c r="C351" s="11" t="s">
        <v>217</v>
      </c>
      <c r="D351" s="10" t="s">
        <v>218</v>
      </c>
      <c r="E351" s="10">
        <v>7850</v>
      </c>
      <c r="F351" s="12">
        <f>0.3*E351</f>
        <v>2355</v>
      </c>
      <c r="G351" s="12">
        <f>F351*H351</f>
        <v>4710</v>
      </c>
      <c r="H351" s="13">
        <v>2</v>
      </c>
      <c r="I351" s="14" t="s">
        <v>12</v>
      </c>
      <c r="J351" s="10" t="s">
        <v>207</v>
      </c>
      <c r="K351" s="13" t="str">
        <f t="shared" si="198"/>
        <v>Блок8</v>
      </c>
      <c r="L351" s="13"/>
      <c r="M351" s="13"/>
      <c r="N351" s="13"/>
      <c r="O351" s="26">
        <f t="shared" si="199"/>
        <v>1</v>
      </c>
      <c r="P351" s="26">
        <f>O351*H351</f>
        <v>2</v>
      </c>
      <c r="Q351" s="27">
        <f>P351*E351</f>
        <v>15700</v>
      </c>
    </row>
    <row r="352" spans="1:17" ht="35.25" customHeight="1" x14ac:dyDescent="0.25">
      <c r="A352" s="10" t="str">
        <f t="shared" si="197"/>
        <v>РУ-1-8</v>
      </c>
      <c r="B352" s="10" t="s">
        <v>19</v>
      </c>
      <c r="C352" s="11" t="s">
        <v>19</v>
      </c>
      <c r="D352" s="10" t="s">
        <v>19</v>
      </c>
      <c r="E352" s="10">
        <f ca="1">OFFSET(E352,1,2)</f>
        <v>27000</v>
      </c>
      <c r="F352" s="12">
        <f ca="1">E352</f>
        <v>27000</v>
      </c>
      <c r="G352" s="12">
        <f ca="1">F352*H352</f>
        <v>27000</v>
      </c>
      <c r="H352" s="10">
        <v>1</v>
      </c>
      <c r="I352" s="10" t="s">
        <v>12</v>
      </c>
      <c r="J352" s="10" t="s">
        <v>19</v>
      </c>
      <c r="K352" s="13" t="str">
        <f t="shared" si="198"/>
        <v>Блок8</v>
      </c>
      <c r="L352" s="13"/>
      <c r="M352" s="13"/>
      <c r="N352" s="13"/>
      <c r="O352" s="26">
        <f t="shared" si="199"/>
        <v>1</v>
      </c>
      <c r="P352" s="26">
        <f>O352*H352</f>
        <v>1</v>
      </c>
      <c r="Q352" s="27">
        <f ca="1">P352*F352</f>
        <v>27000</v>
      </c>
    </row>
    <row r="353" spans="1:17" ht="35.25" customHeight="1" x14ac:dyDescent="0.25">
      <c r="A353" s="10" t="str">
        <f t="shared" si="197"/>
        <v>РУ-1-8</v>
      </c>
      <c r="B353" s="10" t="s">
        <v>20</v>
      </c>
      <c r="C353" s="11" t="s">
        <v>20</v>
      </c>
      <c r="D353" s="10" t="s">
        <v>20</v>
      </c>
      <c r="E353" s="10">
        <v>4.5</v>
      </c>
      <c r="F353" s="12">
        <v>100</v>
      </c>
      <c r="G353" s="12">
        <f>F353*H353</f>
        <v>27000</v>
      </c>
      <c r="H353" s="10">
        <f>60*E353</f>
        <v>270</v>
      </c>
      <c r="I353" s="10" t="s">
        <v>12</v>
      </c>
      <c r="J353" s="10" t="s">
        <v>20</v>
      </c>
      <c r="K353" s="13" t="str">
        <f t="shared" si="198"/>
        <v>Блок8</v>
      </c>
      <c r="L353" s="13"/>
      <c r="M353" s="13"/>
      <c r="N353" s="13"/>
      <c r="O353" s="26">
        <f t="shared" si="199"/>
        <v>1</v>
      </c>
      <c r="P353" s="26">
        <f>O353*H353</f>
        <v>270</v>
      </c>
      <c r="Q353" s="27">
        <f>P353*F353</f>
        <v>27000</v>
      </c>
    </row>
    <row r="354" spans="1:17" ht="35.25" customHeight="1" x14ac:dyDescent="0.25">
      <c r="A354" s="15" t="str">
        <f t="shared" si="197"/>
        <v>РУ-1-8</v>
      </c>
      <c r="B354" s="15"/>
      <c r="C354" s="15"/>
      <c r="D354" s="16"/>
      <c r="E354" s="28"/>
      <c r="F354" s="12">
        <f t="shared" ref="F354" si="200">E354*0.55</f>
        <v>0</v>
      </c>
      <c r="G354" s="28">
        <f ca="1">SUM(G348:G353)</f>
        <v>187350</v>
      </c>
      <c r="H354" s="15"/>
      <c r="I354" s="19"/>
      <c r="J354" s="15"/>
      <c r="K354" s="13" t="str">
        <f t="shared" si="198"/>
        <v>Блок8</v>
      </c>
      <c r="L354" s="13"/>
      <c r="M354" s="13"/>
      <c r="N354" s="13"/>
      <c r="O354" s="26">
        <f t="shared" si="199"/>
        <v>1</v>
      </c>
      <c r="P354" s="26">
        <f>O354*H354</f>
        <v>0</v>
      </c>
      <c r="Q354" s="27">
        <f>P354*F354</f>
        <v>0</v>
      </c>
    </row>
    <row r="355" spans="1:17" ht="35.25" customHeight="1" x14ac:dyDescent="0.25">
      <c r="A355" s="8" t="str">
        <f>D355</f>
        <v>ЩУР.МОП1-8</v>
      </c>
      <c r="B355" s="4"/>
      <c r="C355" s="5"/>
      <c r="D355" s="4" t="s">
        <v>83</v>
      </c>
      <c r="E355" s="6"/>
      <c r="F355" s="6"/>
      <c r="G355" s="7"/>
      <c r="H355" s="8">
        <v>1</v>
      </c>
      <c r="I355" s="9" t="s">
        <v>9</v>
      </c>
      <c r="J355" s="4" t="s">
        <v>10</v>
      </c>
      <c r="K355" s="8" t="s">
        <v>81</v>
      </c>
      <c r="L355" s="8"/>
      <c r="M355" s="8"/>
      <c r="N355" s="8"/>
      <c r="O355" s="26">
        <f>H355</f>
        <v>1</v>
      </c>
      <c r="P355" s="26">
        <f>O355*H355</f>
        <v>1</v>
      </c>
      <c r="Q355" s="27">
        <f>P355*F355</f>
        <v>0</v>
      </c>
    </row>
    <row r="356" spans="1:17" ht="35.25" customHeight="1" x14ac:dyDescent="0.25">
      <c r="A356" s="13" t="str">
        <f t="shared" ref="A356:A363" si="201">A355</f>
        <v>ЩУР.МОП1-8</v>
      </c>
      <c r="B356" s="10" t="s">
        <v>11</v>
      </c>
      <c r="C356" s="11" t="s">
        <v>328</v>
      </c>
      <c r="D356" s="10" t="s">
        <v>329</v>
      </c>
      <c r="E356" s="10">
        <v>27000</v>
      </c>
      <c r="F356" s="12">
        <f>0.6*E356</f>
        <v>16200</v>
      </c>
      <c r="G356" s="12">
        <f>F356*H356</f>
        <v>16200</v>
      </c>
      <c r="H356" s="13">
        <v>1</v>
      </c>
      <c r="I356" s="14" t="s">
        <v>12</v>
      </c>
      <c r="J356" s="10" t="s">
        <v>13</v>
      </c>
      <c r="K356" s="13" t="str">
        <f t="shared" ref="K356:K363" si="202">K355</f>
        <v>Блок8</v>
      </c>
      <c r="L356" s="13"/>
      <c r="M356" s="13"/>
      <c r="N356" s="13"/>
      <c r="O356" s="26">
        <f t="shared" ref="O356:O363" si="203">O355</f>
        <v>1</v>
      </c>
      <c r="P356" s="26">
        <f>O356*H356</f>
        <v>1</v>
      </c>
      <c r="Q356" s="27">
        <f>P356*F356</f>
        <v>16200</v>
      </c>
    </row>
    <row r="357" spans="1:17" ht="35.25" customHeight="1" x14ac:dyDescent="0.25">
      <c r="A357" s="13" t="str">
        <f t="shared" si="201"/>
        <v>ЩУР.МОП1-8</v>
      </c>
      <c r="B357" s="10" t="s">
        <v>293</v>
      </c>
      <c r="C357" s="11" t="s">
        <v>195</v>
      </c>
      <c r="D357" s="10" t="s">
        <v>196</v>
      </c>
      <c r="E357" s="10">
        <v>6190</v>
      </c>
      <c r="F357" s="12">
        <f t="shared" ref="F357:F359" si="204">0.3*E357</f>
        <v>1857</v>
      </c>
      <c r="G357" s="12">
        <f>F357*H357</f>
        <v>1857</v>
      </c>
      <c r="H357" s="13">
        <v>1</v>
      </c>
      <c r="I357" s="14" t="s">
        <v>12</v>
      </c>
      <c r="J357" s="10" t="s">
        <v>207</v>
      </c>
      <c r="K357" s="13" t="str">
        <f t="shared" si="202"/>
        <v>Блок8</v>
      </c>
      <c r="L357" s="13"/>
      <c r="M357" s="13"/>
      <c r="N357" s="13"/>
      <c r="O357" s="26">
        <f t="shared" si="203"/>
        <v>1</v>
      </c>
      <c r="P357" s="26">
        <f>O357*H357</f>
        <v>1</v>
      </c>
      <c r="Q357" s="27">
        <f>P357*E357</f>
        <v>6190</v>
      </c>
    </row>
    <row r="358" spans="1:17" ht="35.25" customHeight="1" x14ac:dyDescent="0.25">
      <c r="A358" s="13" t="str">
        <f t="shared" si="201"/>
        <v>ЩУР.МОП1-8</v>
      </c>
      <c r="B358" s="10" t="s">
        <v>293</v>
      </c>
      <c r="C358" s="11" t="s">
        <v>201</v>
      </c>
      <c r="D358" s="10" t="s">
        <v>202</v>
      </c>
      <c r="E358" s="10">
        <v>5750</v>
      </c>
      <c r="F358" s="12">
        <f t="shared" si="204"/>
        <v>1725</v>
      </c>
      <c r="G358" s="12">
        <f>F358*H358</f>
        <v>1725</v>
      </c>
      <c r="H358" s="13">
        <v>1</v>
      </c>
      <c r="I358" s="14" t="s">
        <v>12</v>
      </c>
      <c r="J358" s="10" t="s">
        <v>207</v>
      </c>
      <c r="K358" s="13" t="str">
        <f t="shared" si="202"/>
        <v>Блок8</v>
      </c>
      <c r="L358" s="13"/>
      <c r="M358" s="13"/>
      <c r="N358" s="13"/>
      <c r="O358" s="26">
        <f t="shared" si="203"/>
        <v>1</v>
      </c>
      <c r="P358" s="26">
        <f>O358*H358</f>
        <v>1</v>
      </c>
      <c r="Q358" s="27">
        <f>P358*E358</f>
        <v>5750</v>
      </c>
    </row>
    <row r="359" spans="1:17" ht="35.25" customHeight="1" x14ac:dyDescent="0.25">
      <c r="A359" s="13" t="str">
        <f t="shared" si="201"/>
        <v>ЩУР.МОП1-8</v>
      </c>
      <c r="B359" s="10" t="s">
        <v>293</v>
      </c>
      <c r="C359" s="11" t="s">
        <v>193</v>
      </c>
      <c r="D359" s="10" t="s">
        <v>194</v>
      </c>
      <c r="E359" s="10">
        <v>6580</v>
      </c>
      <c r="F359" s="12">
        <f t="shared" si="204"/>
        <v>1974</v>
      </c>
      <c r="G359" s="12">
        <f>F359*H359</f>
        <v>5922</v>
      </c>
      <c r="H359" s="13">
        <v>3</v>
      </c>
      <c r="I359" s="14" t="s">
        <v>12</v>
      </c>
      <c r="J359" s="10" t="s">
        <v>207</v>
      </c>
      <c r="K359" s="13" t="str">
        <f t="shared" si="202"/>
        <v>Блок8</v>
      </c>
      <c r="L359" s="13"/>
      <c r="M359" s="13"/>
      <c r="N359" s="13"/>
      <c r="O359" s="26">
        <f t="shared" si="203"/>
        <v>1</v>
      </c>
      <c r="P359" s="26">
        <f>O359*H359</f>
        <v>3</v>
      </c>
      <c r="Q359" s="27">
        <f>P359*E359</f>
        <v>19740</v>
      </c>
    </row>
    <row r="360" spans="1:17" ht="35.25" customHeight="1" x14ac:dyDescent="0.25">
      <c r="A360" s="13" t="str">
        <f t="shared" si="201"/>
        <v>ЩУР.МОП1-8</v>
      </c>
      <c r="B360" s="10" t="s">
        <v>15</v>
      </c>
      <c r="C360" s="11" t="s">
        <v>299</v>
      </c>
      <c r="D360" s="10" t="s">
        <v>300</v>
      </c>
      <c r="E360" s="10">
        <v>32400</v>
      </c>
      <c r="F360" s="12">
        <f>E360</f>
        <v>32400</v>
      </c>
      <c r="G360" s="12">
        <f>F360*H360</f>
        <v>32400</v>
      </c>
      <c r="H360" s="13">
        <v>1</v>
      </c>
      <c r="I360" s="14" t="s">
        <v>12</v>
      </c>
      <c r="J360" s="10" t="s">
        <v>16</v>
      </c>
      <c r="K360" s="13" t="str">
        <f t="shared" si="202"/>
        <v>Блок8</v>
      </c>
      <c r="L360" s="13"/>
      <c r="M360" s="13"/>
      <c r="N360" s="13"/>
      <c r="O360" s="26">
        <f t="shared" si="203"/>
        <v>1</v>
      </c>
      <c r="P360" s="26">
        <f>O360*H360</f>
        <v>1</v>
      </c>
      <c r="Q360" s="27">
        <f t="shared" ref="Q360:Q366" si="205">P360*F360</f>
        <v>32400</v>
      </c>
    </row>
    <row r="361" spans="1:17" ht="35.25" customHeight="1" x14ac:dyDescent="0.25">
      <c r="A361" s="10" t="str">
        <f t="shared" si="201"/>
        <v>ЩУР.МОП1-8</v>
      </c>
      <c r="B361" s="10" t="s">
        <v>19</v>
      </c>
      <c r="C361" s="11" t="s">
        <v>19</v>
      </c>
      <c r="D361" s="10" t="s">
        <v>19</v>
      </c>
      <c r="E361" s="10">
        <f ca="1">OFFSET(E361,1,2)</f>
        <v>12000</v>
      </c>
      <c r="F361" s="12">
        <f ca="1">E361</f>
        <v>12000</v>
      </c>
      <c r="G361" s="12">
        <f ca="1">F361*H361</f>
        <v>12000</v>
      </c>
      <c r="H361" s="10">
        <v>1</v>
      </c>
      <c r="I361" s="10" t="s">
        <v>12</v>
      </c>
      <c r="J361" s="10" t="s">
        <v>19</v>
      </c>
      <c r="K361" s="13" t="str">
        <f t="shared" si="202"/>
        <v>Блок8</v>
      </c>
      <c r="L361" s="13"/>
      <c r="M361" s="13"/>
      <c r="N361" s="13"/>
      <c r="O361" s="26">
        <f t="shared" si="203"/>
        <v>1</v>
      </c>
      <c r="P361" s="26">
        <f>O361*H361</f>
        <v>1</v>
      </c>
      <c r="Q361" s="27">
        <f t="shared" ca="1" si="205"/>
        <v>12000</v>
      </c>
    </row>
    <row r="362" spans="1:17" ht="35.25" customHeight="1" x14ac:dyDescent="0.25">
      <c r="A362" s="10" t="str">
        <f t="shared" si="201"/>
        <v>ЩУР.МОП1-8</v>
      </c>
      <c r="B362" s="10" t="s">
        <v>20</v>
      </c>
      <c r="C362" s="11" t="s">
        <v>20</v>
      </c>
      <c r="D362" s="10" t="s">
        <v>20</v>
      </c>
      <c r="E362" s="10">
        <v>2</v>
      </c>
      <c r="F362" s="12">
        <v>100</v>
      </c>
      <c r="G362" s="12">
        <f>F362*H362</f>
        <v>12000</v>
      </c>
      <c r="H362" s="10">
        <f>60*E362</f>
        <v>120</v>
      </c>
      <c r="I362" s="10" t="s">
        <v>12</v>
      </c>
      <c r="J362" s="10" t="s">
        <v>20</v>
      </c>
      <c r="K362" s="13" t="str">
        <f t="shared" si="202"/>
        <v>Блок8</v>
      </c>
      <c r="L362" s="13"/>
      <c r="M362" s="13"/>
      <c r="N362" s="13"/>
      <c r="O362" s="26">
        <f t="shared" si="203"/>
        <v>1</v>
      </c>
      <c r="P362" s="26">
        <f>O362*H362</f>
        <v>120</v>
      </c>
      <c r="Q362" s="27">
        <f t="shared" si="205"/>
        <v>12000</v>
      </c>
    </row>
    <row r="363" spans="1:17" ht="35.25" customHeight="1" x14ac:dyDescent="0.25">
      <c r="A363" s="15" t="str">
        <f t="shared" si="201"/>
        <v>ЩУР.МОП1-8</v>
      </c>
      <c r="B363" s="15"/>
      <c r="C363" s="15"/>
      <c r="D363" s="16"/>
      <c r="E363" s="28"/>
      <c r="F363" s="12">
        <f>E363*0.55</f>
        <v>0</v>
      </c>
      <c r="G363" s="28">
        <f ca="1">SUM(G356:G362)</f>
        <v>82104</v>
      </c>
      <c r="H363" s="15"/>
      <c r="I363" s="19"/>
      <c r="J363" s="15"/>
      <c r="K363" s="13" t="str">
        <f t="shared" si="202"/>
        <v>Блок8</v>
      </c>
      <c r="L363" s="13"/>
      <c r="M363" s="13"/>
      <c r="N363" s="13"/>
      <c r="O363" s="26">
        <f t="shared" si="203"/>
        <v>1</v>
      </c>
      <c r="P363" s="26">
        <f>O363*H363</f>
        <v>0</v>
      </c>
      <c r="Q363" s="27">
        <f t="shared" si="205"/>
        <v>0</v>
      </c>
    </row>
    <row r="364" spans="1:17" ht="35.25" customHeight="1" x14ac:dyDescent="0.25">
      <c r="A364" s="8" t="str">
        <f>D364</f>
        <v>РЩ1-8 (АВР-Б-40-2-1)</v>
      </c>
      <c r="B364" s="4"/>
      <c r="C364" s="5"/>
      <c r="D364" s="4" t="s">
        <v>140</v>
      </c>
      <c r="E364" s="6"/>
      <c r="F364" s="6"/>
      <c r="G364" s="7"/>
      <c r="H364" s="8">
        <v>1</v>
      </c>
      <c r="I364" s="9" t="s">
        <v>9</v>
      </c>
      <c r="J364" s="4" t="s">
        <v>10</v>
      </c>
      <c r="K364" s="8" t="s">
        <v>81</v>
      </c>
      <c r="L364" s="8"/>
      <c r="M364" s="8"/>
      <c r="N364" s="8"/>
      <c r="O364" s="26">
        <f>H364</f>
        <v>1</v>
      </c>
      <c r="P364" s="26">
        <f>O364*H364</f>
        <v>1</v>
      </c>
      <c r="Q364" s="27">
        <f t="shared" si="205"/>
        <v>0</v>
      </c>
    </row>
    <row r="365" spans="1:17" ht="35.25" customHeight="1" x14ac:dyDescent="0.25">
      <c r="A365" s="13" t="str">
        <f t="shared" ref="A365:A375" si="206">A364</f>
        <v>РЩ1-8 (АВР-Б-40-2-1)</v>
      </c>
      <c r="B365" s="10" t="s">
        <v>11</v>
      </c>
      <c r="C365" s="11" t="s">
        <v>168</v>
      </c>
      <c r="D365" s="10" t="s">
        <v>169</v>
      </c>
      <c r="E365" s="10">
        <v>130000</v>
      </c>
      <c r="F365" s="12">
        <f t="shared" ref="F365:F366" si="207">0.6*E365</f>
        <v>78000</v>
      </c>
      <c r="G365" s="12">
        <f>F365*H365</f>
        <v>78000</v>
      </c>
      <c r="H365" s="13">
        <v>1</v>
      </c>
      <c r="I365" s="14" t="s">
        <v>12</v>
      </c>
      <c r="J365" s="10" t="s">
        <v>13</v>
      </c>
      <c r="K365" s="13" t="str">
        <f t="shared" ref="K365:K375" si="208">K364</f>
        <v>Блок8</v>
      </c>
      <c r="L365" s="13"/>
      <c r="M365" s="13"/>
      <c r="N365" s="13"/>
      <c r="O365" s="26">
        <f t="shared" ref="O365:O375" si="209">O364</f>
        <v>1</v>
      </c>
      <c r="P365" s="26">
        <f>O365*H365</f>
        <v>1</v>
      </c>
      <c r="Q365" s="27">
        <f t="shared" si="205"/>
        <v>78000</v>
      </c>
    </row>
    <row r="366" spans="1:17" ht="35.25" customHeight="1" x14ac:dyDescent="0.25">
      <c r="A366" s="13" t="str">
        <f t="shared" si="206"/>
        <v>РЩ1-8 (АВР-Б-40-2-1)</v>
      </c>
      <c r="B366" s="10" t="s">
        <v>44</v>
      </c>
      <c r="C366" s="11" t="s">
        <v>162</v>
      </c>
      <c r="D366" s="10" t="s">
        <v>163</v>
      </c>
      <c r="E366" s="10">
        <v>114758</v>
      </c>
      <c r="F366" s="12">
        <f t="shared" si="207"/>
        <v>68854.8</v>
      </c>
      <c r="G366" s="12">
        <f>F366*H366</f>
        <v>68854.8</v>
      </c>
      <c r="H366" s="13">
        <v>1</v>
      </c>
      <c r="I366" s="14" t="s">
        <v>12</v>
      </c>
      <c r="J366" s="10" t="s">
        <v>14</v>
      </c>
      <c r="K366" s="13" t="str">
        <f t="shared" si="208"/>
        <v>Блок8</v>
      </c>
      <c r="L366" s="13"/>
      <c r="M366" s="13"/>
      <c r="N366" s="13"/>
      <c r="O366" s="26">
        <f t="shared" si="209"/>
        <v>1</v>
      </c>
      <c r="P366" s="26">
        <f>O366*H366</f>
        <v>1</v>
      </c>
      <c r="Q366" s="27">
        <f t="shared" si="205"/>
        <v>68854.8</v>
      </c>
    </row>
    <row r="367" spans="1:17" ht="35.25" customHeight="1" x14ac:dyDescent="0.25">
      <c r="A367" s="13" t="str">
        <f t="shared" si="206"/>
        <v>РЩ1-8 (АВР-Б-40-2-1)</v>
      </c>
      <c r="B367" s="10" t="s">
        <v>293</v>
      </c>
      <c r="C367" s="11" t="s">
        <v>213</v>
      </c>
      <c r="D367" s="10" t="s">
        <v>214</v>
      </c>
      <c r="E367" s="10">
        <v>7690</v>
      </c>
      <c r="F367" s="12">
        <f t="shared" ref="F367:F370" si="210">0.3*E367</f>
        <v>2307</v>
      </c>
      <c r="G367" s="12">
        <f>F367*H367</f>
        <v>4614</v>
      </c>
      <c r="H367" s="13">
        <v>2</v>
      </c>
      <c r="I367" s="14" t="s">
        <v>12</v>
      </c>
      <c r="J367" s="10" t="s">
        <v>207</v>
      </c>
      <c r="K367" s="13" t="str">
        <f t="shared" si="208"/>
        <v>Блок8</v>
      </c>
      <c r="L367" s="13"/>
      <c r="M367" s="13"/>
      <c r="N367" s="13"/>
      <c r="O367" s="26">
        <f t="shared" si="209"/>
        <v>1</v>
      </c>
      <c r="P367" s="26">
        <f>O367*H367</f>
        <v>2</v>
      </c>
      <c r="Q367" s="27">
        <f>P367*E367</f>
        <v>15380</v>
      </c>
    </row>
    <row r="368" spans="1:17" ht="35.25" customHeight="1" x14ac:dyDescent="0.25">
      <c r="A368" s="13" t="str">
        <f t="shared" si="206"/>
        <v>РЩ1-8 (АВР-Б-40-2-1)</v>
      </c>
      <c r="B368" s="10" t="s">
        <v>293</v>
      </c>
      <c r="C368" s="11" t="s">
        <v>231</v>
      </c>
      <c r="D368" s="10" t="s">
        <v>232</v>
      </c>
      <c r="E368" s="10">
        <v>7690</v>
      </c>
      <c r="F368" s="12">
        <f t="shared" si="210"/>
        <v>2307</v>
      </c>
      <c r="G368" s="12">
        <f>F368*H368</f>
        <v>6921</v>
      </c>
      <c r="H368" s="13">
        <v>3</v>
      </c>
      <c r="I368" s="14" t="s">
        <v>12</v>
      </c>
      <c r="J368" s="10" t="s">
        <v>207</v>
      </c>
      <c r="K368" s="13" t="str">
        <f t="shared" si="208"/>
        <v>Блок8</v>
      </c>
      <c r="L368" s="13"/>
      <c r="M368" s="13"/>
      <c r="N368" s="13"/>
      <c r="O368" s="26">
        <f t="shared" si="209"/>
        <v>1</v>
      </c>
      <c r="P368" s="26">
        <f>O368*H368</f>
        <v>3</v>
      </c>
      <c r="Q368" s="27">
        <f>P368*E368</f>
        <v>23070</v>
      </c>
    </row>
    <row r="369" spans="1:17" ht="35.25" customHeight="1" x14ac:dyDescent="0.25">
      <c r="A369" s="13" t="str">
        <f t="shared" si="206"/>
        <v>РЩ1-8 (АВР-Б-40-2-1)</v>
      </c>
      <c r="B369" s="10" t="s">
        <v>294</v>
      </c>
      <c r="C369" s="11" t="s">
        <v>203</v>
      </c>
      <c r="D369" s="10" t="s">
        <v>204</v>
      </c>
      <c r="E369" s="10">
        <v>13450</v>
      </c>
      <c r="F369" s="12">
        <f t="shared" si="210"/>
        <v>4035</v>
      </c>
      <c r="G369" s="12">
        <f>F369*H369</f>
        <v>8070</v>
      </c>
      <c r="H369" s="13">
        <v>2</v>
      </c>
      <c r="I369" s="14" t="s">
        <v>12</v>
      </c>
      <c r="J369" s="10" t="s">
        <v>207</v>
      </c>
      <c r="K369" s="13" t="str">
        <f t="shared" si="208"/>
        <v>Блок8</v>
      </c>
      <c r="L369" s="13"/>
      <c r="M369" s="13"/>
      <c r="N369" s="13"/>
      <c r="O369" s="26">
        <f t="shared" si="209"/>
        <v>1</v>
      </c>
      <c r="P369" s="26">
        <f>O369*H369</f>
        <v>2</v>
      </c>
      <c r="Q369" s="27">
        <f>P369*E369</f>
        <v>26900</v>
      </c>
    </row>
    <row r="370" spans="1:17" ht="35.25" customHeight="1" x14ac:dyDescent="0.25">
      <c r="A370" s="13" t="str">
        <f t="shared" si="206"/>
        <v>РЩ1-8 (АВР-Б-40-2-1)</v>
      </c>
      <c r="B370" s="10" t="s">
        <v>293</v>
      </c>
      <c r="C370" s="11" t="s">
        <v>205</v>
      </c>
      <c r="D370" s="10" t="s">
        <v>206</v>
      </c>
      <c r="E370" s="10">
        <v>7090</v>
      </c>
      <c r="F370" s="12">
        <f t="shared" si="210"/>
        <v>2127</v>
      </c>
      <c r="G370" s="12">
        <f>F370*H370</f>
        <v>2127</v>
      </c>
      <c r="H370" s="13">
        <v>1</v>
      </c>
      <c r="I370" s="14" t="s">
        <v>12</v>
      </c>
      <c r="J370" s="10" t="s">
        <v>207</v>
      </c>
      <c r="K370" s="13" t="str">
        <f t="shared" si="208"/>
        <v>Блок8</v>
      </c>
      <c r="L370" s="13"/>
      <c r="M370" s="13"/>
      <c r="N370" s="13"/>
      <c r="O370" s="26">
        <f t="shared" si="209"/>
        <v>1</v>
      </c>
      <c r="P370" s="26">
        <f>O370*H370</f>
        <v>1</v>
      </c>
      <c r="Q370" s="27">
        <f>P370*E370</f>
        <v>7090</v>
      </c>
    </row>
    <row r="371" spans="1:17" ht="35.25" customHeight="1" x14ac:dyDescent="0.25">
      <c r="A371" s="13" t="str">
        <f t="shared" si="206"/>
        <v>РЩ1-8 (АВР-Б-40-2-1)</v>
      </c>
      <c r="B371" s="10" t="s">
        <v>15</v>
      </c>
      <c r="C371" s="11" t="s">
        <v>299</v>
      </c>
      <c r="D371" s="10" t="s">
        <v>300</v>
      </c>
      <c r="E371" s="10">
        <v>32400</v>
      </c>
      <c r="F371" s="12">
        <f>E371</f>
        <v>32400</v>
      </c>
      <c r="G371" s="12">
        <f>F371*H371</f>
        <v>32400</v>
      </c>
      <c r="H371" s="13">
        <v>1</v>
      </c>
      <c r="I371" s="14" t="s">
        <v>12</v>
      </c>
      <c r="J371" s="10" t="s">
        <v>16</v>
      </c>
      <c r="K371" s="13" t="str">
        <f t="shared" si="208"/>
        <v>Блок8</v>
      </c>
      <c r="L371" s="13"/>
      <c r="M371" s="13"/>
      <c r="N371" s="13"/>
      <c r="O371" s="26">
        <f t="shared" si="209"/>
        <v>1</v>
      </c>
      <c r="P371" s="26">
        <f>O371*H371</f>
        <v>1</v>
      </c>
      <c r="Q371" s="27">
        <f t="shared" ref="Q371:Q378" si="211">P371*F371</f>
        <v>32400</v>
      </c>
    </row>
    <row r="372" spans="1:17" ht="35.25" customHeight="1" x14ac:dyDescent="0.25">
      <c r="A372" s="13" t="str">
        <f t="shared" si="206"/>
        <v>РЩ1-8 (АВР-Б-40-2-1)</v>
      </c>
      <c r="B372" s="10" t="s">
        <v>30</v>
      </c>
      <c r="C372" s="11"/>
      <c r="D372" s="10" t="s">
        <v>31</v>
      </c>
      <c r="E372" s="10">
        <v>3850</v>
      </c>
      <c r="F372" s="12">
        <f>E372</f>
        <v>3850</v>
      </c>
      <c r="G372" s="12">
        <f>F372*H372</f>
        <v>23100</v>
      </c>
      <c r="H372" s="13">
        <v>6</v>
      </c>
      <c r="I372" s="14" t="s">
        <v>12</v>
      </c>
      <c r="J372" s="10" t="s">
        <v>25</v>
      </c>
      <c r="K372" s="13" t="str">
        <f t="shared" si="208"/>
        <v>Блок8</v>
      </c>
      <c r="L372" s="13"/>
      <c r="M372" s="13"/>
      <c r="N372" s="13"/>
      <c r="O372" s="26">
        <f t="shared" si="209"/>
        <v>1</v>
      </c>
      <c r="P372" s="26">
        <f>O372*H372</f>
        <v>6</v>
      </c>
      <c r="Q372" s="27">
        <f t="shared" si="211"/>
        <v>23100</v>
      </c>
    </row>
    <row r="373" spans="1:17" ht="35.25" customHeight="1" x14ac:dyDescent="0.25">
      <c r="A373" s="10" t="str">
        <f t="shared" si="206"/>
        <v>РЩ1-8 (АВР-Б-40-2-1)</v>
      </c>
      <c r="B373" s="10" t="s">
        <v>19</v>
      </c>
      <c r="C373" s="11" t="s">
        <v>19</v>
      </c>
      <c r="D373" s="10" t="s">
        <v>19</v>
      </c>
      <c r="E373" s="10">
        <f ca="1">OFFSET(E373,1,2)</f>
        <v>39000</v>
      </c>
      <c r="F373" s="12">
        <f ca="1">E373</f>
        <v>39000</v>
      </c>
      <c r="G373" s="12">
        <f ca="1">F373*H373</f>
        <v>39000</v>
      </c>
      <c r="H373" s="10">
        <v>1</v>
      </c>
      <c r="I373" s="10" t="s">
        <v>12</v>
      </c>
      <c r="J373" s="10" t="s">
        <v>19</v>
      </c>
      <c r="K373" s="13" t="str">
        <f t="shared" si="208"/>
        <v>Блок8</v>
      </c>
      <c r="L373" s="13"/>
      <c r="M373" s="13"/>
      <c r="N373" s="13"/>
      <c r="O373" s="26">
        <f t="shared" si="209"/>
        <v>1</v>
      </c>
      <c r="P373" s="26">
        <f>O373*H373</f>
        <v>1</v>
      </c>
      <c r="Q373" s="27">
        <f t="shared" ca="1" si="211"/>
        <v>39000</v>
      </c>
    </row>
    <row r="374" spans="1:17" ht="35.25" customHeight="1" x14ac:dyDescent="0.25">
      <c r="A374" s="10" t="str">
        <f t="shared" si="206"/>
        <v>РЩ1-8 (АВР-Б-40-2-1)</v>
      </c>
      <c r="B374" s="10" t="s">
        <v>20</v>
      </c>
      <c r="C374" s="11" t="s">
        <v>20</v>
      </c>
      <c r="D374" s="10" t="s">
        <v>20</v>
      </c>
      <c r="E374" s="10">
        <v>6.5</v>
      </c>
      <c r="F374" s="12">
        <v>100</v>
      </c>
      <c r="G374" s="12">
        <f>F374*H374</f>
        <v>39000</v>
      </c>
      <c r="H374" s="10">
        <f>60*E374</f>
        <v>390</v>
      </c>
      <c r="I374" s="10" t="s">
        <v>12</v>
      </c>
      <c r="J374" s="10" t="s">
        <v>20</v>
      </c>
      <c r="K374" s="13" t="str">
        <f t="shared" si="208"/>
        <v>Блок8</v>
      </c>
      <c r="L374" s="13"/>
      <c r="M374" s="13"/>
      <c r="N374" s="13"/>
      <c r="O374" s="26">
        <f t="shared" si="209"/>
        <v>1</v>
      </c>
      <c r="P374" s="26">
        <f>O374*H374</f>
        <v>390</v>
      </c>
      <c r="Q374" s="27">
        <f t="shared" si="211"/>
        <v>39000</v>
      </c>
    </row>
    <row r="375" spans="1:17" ht="35.25" customHeight="1" x14ac:dyDescent="0.25">
      <c r="A375" s="15" t="str">
        <f t="shared" si="206"/>
        <v>РЩ1-8 (АВР-Б-40-2-1)</v>
      </c>
      <c r="B375" s="15"/>
      <c r="C375" s="15"/>
      <c r="D375" s="16"/>
      <c r="E375" s="28"/>
      <c r="F375" s="12">
        <f t="shared" ref="F375" si="212">E375*0.55</f>
        <v>0</v>
      </c>
      <c r="G375" s="28">
        <f ca="1">SUM(G365:G374)</f>
        <v>302086.8</v>
      </c>
      <c r="H375" s="15"/>
      <c r="I375" s="19"/>
      <c r="J375" s="15"/>
      <c r="K375" s="13" t="str">
        <f t="shared" si="208"/>
        <v>Блок8</v>
      </c>
      <c r="L375" s="13"/>
      <c r="M375" s="13"/>
      <c r="N375" s="13"/>
      <c r="O375" s="26">
        <f t="shared" si="209"/>
        <v>1</v>
      </c>
      <c r="P375" s="26">
        <f>O375*H375</f>
        <v>0</v>
      </c>
      <c r="Q375" s="27">
        <f t="shared" si="211"/>
        <v>0</v>
      </c>
    </row>
    <row r="376" spans="1:17" ht="35.25" customHeight="1" x14ac:dyDescent="0.25">
      <c r="A376" s="8" t="str">
        <f>D376</f>
        <v>РУ1-9</v>
      </c>
      <c r="B376" s="4"/>
      <c r="C376" s="5"/>
      <c r="D376" s="4" t="s">
        <v>84</v>
      </c>
      <c r="E376" s="6"/>
      <c r="F376" s="6"/>
      <c r="G376" s="7"/>
      <c r="H376" s="8">
        <v>1</v>
      </c>
      <c r="I376" s="9" t="s">
        <v>9</v>
      </c>
      <c r="J376" s="4" t="s">
        <v>10</v>
      </c>
      <c r="K376" s="8" t="s">
        <v>85</v>
      </c>
      <c r="L376" s="8"/>
      <c r="M376" s="8"/>
      <c r="N376" s="8"/>
      <c r="O376" s="26">
        <f>H376</f>
        <v>1</v>
      </c>
      <c r="P376" s="26">
        <f>O376*H376</f>
        <v>1</v>
      </c>
      <c r="Q376" s="27">
        <f t="shared" si="211"/>
        <v>0</v>
      </c>
    </row>
    <row r="377" spans="1:17" ht="35.25" customHeight="1" x14ac:dyDescent="0.25">
      <c r="A377" s="13" t="str">
        <f t="shared" ref="A377:A383" si="213">A376</f>
        <v>РУ1-9</v>
      </c>
      <c r="B377" s="10" t="s">
        <v>11</v>
      </c>
      <c r="C377" s="11" t="s">
        <v>170</v>
      </c>
      <c r="D377" s="10" t="s">
        <v>171</v>
      </c>
      <c r="E377" s="10">
        <v>145000</v>
      </c>
      <c r="F377" s="12">
        <f t="shared" ref="F377:F378" si="214">0.6*E377</f>
        <v>87000</v>
      </c>
      <c r="G377" s="12">
        <f>F377*H377</f>
        <v>87000</v>
      </c>
      <c r="H377" s="13">
        <v>1</v>
      </c>
      <c r="I377" s="14" t="s">
        <v>12</v>
      </c>
      <c r="J377" s="10" t="s">
        <v>13</v>
      </c>
      <c r="K377" s="13" t="str">
        <f t="shared" ref="K377:K383" si="215">K376</f>
        <v>Блок9</v>
      </c>
      <c r="L377" s="13"/>
      <c r="M377" s="13"/>
      <c r="N377" s="13"/>
      <c r="O377" s="26">
        <f t="shared" ref="O377:O383" si="216">O376</f>
        <v>1</v>
      </c>
      <c r="P377" s="26">
        <f>O377*H377</f>
        <v>1</v>
      </c>
      <c r="Q377" s="27">
        <f t="shared" si="211"/>
        <v>87000</v>
      </c>
    </row>
    <row r="378" spans="1:17" ht="35.25" customHeight="1" x14ac:dyDescent="0.25">
      <c r="A378" s="13" t="str">
        <f t="shared" si="213"/>
        <v>РУ1-9</v>
      </c>
      <c r="B378" s="10" t="s">
        <v>294</v>
      </c>
      <c r="C378" s="11" t="s">
        <v>229</v>
      </c>
      <c r="D378" s="10" t="s">
        <v>230</v>
      </c>
      <c r="E378" s="10">
        <v>34800</v>
      </c>
      <c r="F378" s="12">
        <f t="shared" si="214"/>
        <v>20880</v>
      </c>
      <c r="G378" s="12">
        <f>F378*H378</f>
        <v>20880</v>
      </c>
      <c r="H378" s="13">
        <v>1</v>
      </c>
      <c r="I378" s="14" t="s">
        <v>12</v>
      </c>
      <c r="J378" s="10" t="s">
        <v>14</v>
      </c>
      <c r="K378" s="13" t="str">
        <f t="shared" si="215"/>
        <v>Блок9</v>
      </c>
      <c r="L378" s="13"/>
      <c r="M378" s="13"/>
      <c r="N378" s="13"/>
      <c r="O378" s="26">
        <f t="shared" si="216"/>
        <v>1</v>
      </c>
      <c r="P378" s="26">
        <f>O378*H378</f>
        <v>1</v>
      </c>
      <c r="Q378" s="27">
        <f t="shared" si="211"/>
        <v>20880</v>
      </c>
    </row>
    <row r="379" spans="1:17" ht="35.25" customHeight="1" x14ac:dyDescent="0.25">
      <c r="A379" s="13" t="str">
        <f t="shared" si="213"/>
        <v>РУ1-9</v>
      </c>
      <c r="B379" s="10" t="s">
        <v>294</v>
      </c>
      <c r="C379" s="11" t="s">
        <v>225</v>
      </c>
      <c r="D379" s="10" t="s">
        <v>226</v>
      </c>
      <c r="E379" s="10">
        <v>17300</v>
      </c>
      <c r="F379" s="12">
        <f t="shared" ref="F379:F380" si="217">0.3*E379</f>
        <v>5190</v>
      </c>
      <c r="G379" s="12">
        <f>F379*H379</f>
        <v>20760</v>
      </c>
      <c r="H379" s="13">
        <v>4</v>
      </c>
      <c r="I379" s="14" t="s">
        <v>12</v>
      </c>
      <c r="J379" s="10" t="s">
        <v>207</v>
      </c>
      <c r="K379" s="13" t="str">
        <f t="shared" si="215"/>
        <v>Блок9</v>
      </c>
      <c r="L379" s="13"/>
      <c r="M379" s="13"/>
      <c r="N379" s="13"/>
      <c r="O379" s="26">
        <f t="shared" si="216"/>
        <v>1</v>
      </c>
      <c r="P379" s="26">
        <f>O379*H379</f>
        <v>4</v>
      </c>
      <c r="Q379" s="27">
        <f>P379*E379</f>
        <v>69200</v>
      </c>
    </row>
    <row r="380" spans="1:17" ht="35.25" customHeight="1" x14ac:dyDescent="0.25">
      <c r="A380" s="13" t="str">
        <f t="shared" si="213"/>
        <v>РУ1-9</v>
      </c>
      <c r="B380" s="10" t="s">
        <v>293</v>
      </c>
      <c r="C380" s="11" t="s">
        <v>217</v>
      </c>
      <c r="D380" s="10" t="s">
        <v>218</v>
      </c>
      <c r="E380" s="10">
        <v>7850</v>
      </c>
      <c r="F380" s="12">
        <f t="shared" si="217"/>
        <v>2355</v>
      </c>
      <c r="G380" s="12">
        <f>F380*H380</f>
        <v>4710</v>
      </c>
      <c r="H380" s="13">
        <v>2</v>
      </c>
      <c r="I380" s="14" t="s">
        <v>12</v>
      </c>
      <c r="J380" s="10" t="s">
        <v>207</v>
      </c>
      <c r="K380" s="13" t="str">
        <f t="shared" si="215"/>
        <v>Блок9</v>
      </c>
      <c r="L380" s="13"/>
      <c r="M380" s="13"/>
      <c r="N380" s="13"/>
      <c r="O380" s="26">
        <f t="shared" si="216"/>
        <v>1</v>
      </c>
      <c r="P380" s="26">
        <f>O380*H380</f>
        <v>2</v>
      </c>
      <c r="Q380" s="27">
        <f>P380*E380</f>
        <v>15700</v>
      </c>
    </row>
    <row r="381" spans="1:17" ht="35.25" customHeight="1" x14ac:dyDescent="0.25">
      <c r="A381" s="10" t="str">
        <f t="shared" si="213"/>
        <v>РУ1-9</v>
      </c>
      <c r="B381" s="10" t="s">
        <v>19</v>
      </c>
      <c r="C381" s="11" t="s">
        <v>19</v>
      </c>
      <c r="D381" s="10" t="s">
        <v>19</v>
      </c>
      <c r="E381" s="10">
        <f ca="1">OFFSET(E381,1,2)</f>
        <v>27000</v>
      </c>
      <c r="F381" s="12">
        <f ca="1">E381</f>
        <v>27000</v>
      </c>
      <c r="G381" s="12">
        <f ca="1">F381*H381</f>
        <v>27000</v>
      </c>
      <c r="H381" s="10">
        <v>1</v>
      </c>
      <c r="I381" s="10" t="s">
        <v>12</v>
      </c>
      <c r="J381" s="10" t="s">
        <v>19</v>
      </c>
      <c r="K381" s="13" t="str">
        <f t="shared" si="215"/>
        <v>Блок9</v>
      </c>
      <c r="L381" s="13"/>
      <c r="M381" s="13"/>
      <c r="N381" s="13"/>
      <c r="O381" s="26">
        <f t="shared" si="216"/>
        <v>1</v>
      </c>
      <c r="P381" s="26">
        <f>O381*H381</f>
        <v>1</v>
      </c>
      <c r="Q381" s="27">
        <f ca="1">P381*F381</f>
        <v>27000</v>
      </c>
    </row>
    <row r="382" spans="1:17" ht="35.25" customHeight="1" x14ac:dyDescent="0.25">
      <c r="A382" s="10" t="str">
        <f t="shared" si="213"/>
        <v>РУ1-9</v>
      </c>
      <c r="B382" s="10" t="s">
        <v>20</v>
      </c>
      <c r="C382" s="11" t="s">
        <v>20</v>
      </c>
      <c r="D382" s="10" t="s">
        <v>20</v>
      </c>
      <c r="E382" s="10">
        <v>4.5</v>
      </c>
      <c r="F382" s="12">
        <v>100</v>
      </c>
      <c r="G382" s="12">
        <f>F382*H382</f>
        <v>27000</v>
      </c>
      <c r="H382" s="10">
        <f>60*E382</f>
        <v>270</v>
      </c>
      <c r="I382" s="10" t="s">
        <v>12</v>
      </c>
      <c r="J382" s="10" t="s">
        <v>20</v>
      </c>
      <c r="K382" s="13" t="str">
        <f t="shared" si="215"/>
        <v>Блок9</v>
      </c>
      <c r="L382" s="13"/>
      <c r="M382" s="13"/>
      <c r="N382" s="13"/>
      <c r="O382" s="26">
        <f t="shared" si="216"/>
        <v>1</v>
      </c>
      <c r="P382" s="26">
        <f>O382*H382</f>
        <v>270</v>
      </c>
      <c r="Q382" s="27">
        <f>P382*F382</f>
        <v>27000</v>
      </c>
    </row>
    <row r="383" spans="1:17" ht="35.25" customHeight="1" x14ac:dyDescent="0.25">
      <c r="A383" s="15" t="str">
        <f t="shared" si="213"/>
        <v>РУ1-9</v>
      </c>
      <c r="B383" s="15"/>
      <c r="C383" s="15"/>
      <c r="D383" s="16"/>
      <c r="E383" s="28"/>
      <c r="F383" s="12">
        <f t="shared" ref="F383" si="218">E383*0.55</f>
        <v>0</v>
      </c>
      <c r="G383" s="28">
        <f ca="1">SUM(G377:G382)</f>
        <v>187350</v>
      </c>
      <c r="H383" s="15"/>
      <c r="I383" s="19"/>
      <c r="J383" s="15"/>
      <c r="K383" s="13" t="str">
        <f t="shared" si="215"/>
        <v>Блок9</v>
      </c>
      <c r="L383" s="13"/>
      <c r="M383" s="13"/>
      <c r="N383" s="13"/>
      <c r="O383" s="26">
        <f t="shared" si="216"/>
        <v>1</v>
      </c>
      <c r="P383" s="26">
        <f>O383*H383</f>
        <v>0</v>
      </c>
      <c r="Q383" s="27">
        <f>P383*F383</f>
        <v>0</v>
      </c>
    </row>
    <row r="384" spans="1:17" ht="35.25" customHeight="1" x14ac:dyDescent="0.25">
      <c r="A384" s="8" t="str">
        <f>D384</f>
        <v>ЩУР.МОП1-9</v>
      </c>
      <c r="B384" s="4"/>
      <c r="C384" s="5"/>
      <c r="D384" s="4" t="s">
        <v>86</v>
      </c>
      <c r="E384" s="6"/>
      <c r="F384" s="6"/>
      <c r="G384" s="7"/>
      <c r="H384" s="8">
        <v>1</v>
      </c>
      <c r="I384" s="9" t="s">
        <v>9</v>
      </c>
      <c r="J384" s="4" t="s">
        <v>10</v>
      </c>
      <c r="K384" s="8" t="s">
        <v>85</v>
      </c>
      <c r="L384" s="8"/>
      <c r="M384" s="8"/>
      <c r="N384" s="8"/>
      <c r="O384" s="26">
        <f>H384</f>
        <v>1</v>
      </c>
      <c r="P384" s="26">
        <f>O384*H384</f>
        <v>1</v>
      </c>
      <c r="Q384" s="27">
        <f>P384*F384</f>
        <v>0</v>
      </c>
    </row>
    <row r="385" spans="1:17" ht="35.25" customHeight="1" x14ac:dyDescent="0.25">
      <c r="A385" s="13" t="str">
        <f t="shared" ref="A385:A392" si="219">A384</f>
        <v>ЩУР.МОП1-9</v>
      </c>
      <c r="B385" s="10" t="s">
        <v>11</v>
      </c>
      <c r="C385" s="11" t="s">
        <v>328</v>
      </c>
      <c r="D385" s="10" t="s">
        <v>329</v>
      </c>
      <c r="E385" s="10">
        <v>27000</v>
      </c>
      <c r="F385" s="12">
        <f>0.6*E385</f>
        <v>16200</v>
      </c>
      <c r="G385" s="12">
        <f>F385*H385</f>
        <v>16200</v>
      </c>
      <c r="H385" s="13">
        <v>1</v>
      </c>
      <c r="I385" s="14" t="s">
        <v>12</v>
      </c>
      <c r="J385" s="10" t="s">
        <v>13</v>
      </c>
      <c r="K385" s="13" t="str">
        <f>K384</f>
        <v>Блок9</v>
      </c>
      <c r="L385" s="13"/>
      <c r="M385" s="13"/>
      <c r="N385" s="13"/>
      <c r="O385" s="26">
        <f t="shared" ref="O385:O392" si="220">O384</f>
        <v>1</v>
      </c>
      <c r="P385" s="26">
        <f>O385*H385</f>
        <v>1</v>
      </c>
      <c r="Q385" s="27">
        <f>P385*F385</f>
        <v>16200</v>
      </c>
    </row>
    <row r="386" spans="1:17" ht="35.25" customHeight="1" x14ac:dyDescent="0.25">
      <c r="A386" s="13" t="str">
        <f t="shared" si="219"/>
        <v>ЩУР.МОП1-9</v>
      </c>
      <c r="B386" s="10" t="s">
        <v>293</v>
      </c>
      <c r="C386" s="11" t="s">
        <v>195</v>
      </c>
      <c r="D386" s="10" t="s">
        <v>196</v>
      </c>
      <c r="E386" s="10">
        <v>6190</v>
      </c>
      <c r="F386" s="12">
        <f t="shared" ref="F386:F388" si="221">0.3*E386</f>
        <v>1857</v>
      </c>
      <c r="G386" s="12">
        <f>F386*H386</f>
        <v>1857</v>
      </c>
      <c r="H386" s="13">
        <v>1</v>
      </c>
      <c r="I386" s="14" t="s">
        <v>12</v>
      </c>
      <c r="J386" s="10" t="s">
        <v>207</v>
      </c>
      <c r="K386" s="13" t="str">
        <f>K385</f>
        <v>Блок9</v>
      </c>
      <c r="L386" s="13"/>
      <c r="M386" s="13"/>
      <c r="N386" s="13"/>
      <c r="O386" s="26">
        <f t="shared" si="220"/>
        <v>1</v>
      </c>
      <c r="P386" s="26">
        <f>O386*H386</f>
        <v>1</v>
      </c>
      <c r="Q386" s="27">
        <f>P386*E386</f>
        <v>6190</v>
      </c>
    </row>
    <row r="387" spans="1:17" ht="35.25" customHeight="1" x14ac:dyDescent="0.25">
      <c r="A387" s="13" t="str">
        <f t="shared" si="219"/>
        <v>ЩУР.МОП1-9</v>
      </c>
      <c r="B387" s="10" t="s">
        <v>293</v>
      </c>
      <c r="C387" s="11" t="s">
        <v>193</v>
      </c>
      <c r="D387" s="10" t="s">
        <v>194</v>
      </c>
      <c r="E387" s="10">
        <v>6580</v>
      </c>
      <c r="F387" s="12">
        <f t="shared" si="221"/>
        <v>1974</v>
      </c>
      <c r="G387" s="12">
        <f>F387*H387</f>
        <v>5922</v>
      </c>
      <c r="H387" s="13">
        <v>3</v>
      </c>
      <c r="I387" s="14" t="s">
        <v>12</v>
      </c>
      <c r="J387" s="10" t="s">
        <v>207</v>
      </c>
      <c r="K387" s="13" t="str">
        <f>K386</f>
        <v>Блок9</v>
      </c>
      <c r="L387" s="13"/>
      <c r="M387" s="13"/>
      <c r="N387" s="13"/>
      <c r="O387" s="26">
        <f t="shared" si="220"/>
        <v>1</v>
      </c>
      <c r="P387" s="26">
        <f>O387*H387</f>
        <v>3</v>
      </c>
      <c r="Q387" s="27">
        <f>P387*E387</f>
        <v>19740</v>
      </c>
    </row>
    <row r="388" spans="1:17" ht="35.25" customHeight="1" x14ac:dyDescent="0.25">
      <c r="A388" s="13" t="str">
        <f t="shared" si="219"/>
        <v>ЩУР.МОП1-9</v>
      </c>
      <c r="B388" s="10" t="s">
        <v>293</v>
      </c>
      <c r="C388" s="11" t="s">
        <v>201</v>
      </c>
      <c r="D388" s="10" t="s">
        <v>202</v>
      </c>
      <c r="E388" s="10">
        <v>5750</v>
      </c>
      <c r="F388" s="12">
        <f t="shared" si="221"/>
        <v>1725</v>
      </c>
      <c r="G388" s="12">
        <f>F388*H388</f>
        <v>1725</v>
      </c>
      <c r="H388" s="13">
        <v>1</v>
      </c>
      <c r="I388" s="14" t="s">
        <v>12</v>
      </c>
      <c r="J388" s="10" t="s">
        <v>207</v>
      </c>
      <c r="K388" s="13" t="str">
        <f>K387</f>
        <v>Блок9</v>
      </c>
      <c r="L388" s="13"/>
      <c r="M388" s="13"/>
      <c r="N388" s="13"/>
      <c r="O388" s="26">
        <f t="shared" si="220"/>
        <v>1</v>
      </c>
      <c r="P388" s="26">
        <f>O388*H388</f>
        <v>1</v>
      </c>
      <c r="Q388" s="27">
        <f>P388*E388</f>
        <v>5750</v>
      </c>
    </row>
    <row r="389" spans="1:17" ht="35.25" customHeight="1" x14ac:dyDescent="0.25">
      <c r="A389" s="13" t="str">
        <f t="shared" si="219"/>
        <v>ЩУР.МОП1-9</v>
      </c>
      <c r="B389" s="10" t="s">
        <v>15</v>
      </c>
      <c r="C389" s="11" t="s">
        <v>299</v>
      </c>
      <c r="D389" s="10" t="s">
        <v>300</v>
      </c>
      <c r="E389" s="10">
        <v>32400</v>
      </c>
      <c r="F389" s="12">
        <f>E389</f>
        <v>32400</v>
      </c>
      <c r="G389" s="12">
        <f>F389*H389</f>
        <v>32400</v>
      </c>
      <c r="H389" s="13">
        <v>1</v>
      </c>
      <c r="I389" s="14" t="s">
        <v>12</v>
      </c>
      <c r="J389" s="10" t="s">
        <v>16</v>
      </c>
      <c r="K389" s="13" t="str">
        <f>K387</f>
        <v>Блок9</v>
      </c>
      <c r="L389" s="13"/>
      <c r="M389" s="13"/>
      <c r="N389" s="13"/>
      <c r="O389" s="26">
        <f t="shared" si="220"/>
        <v>1</v>
      </c>
      <c r="P389" s="26">
        <f>O389*H389</f>
        <v>1</v>
      </c>
      <c r="Q389" s="27">
        <f t="shared" ref="Q389:Q395" si="222">P389*F389</f>
        <v>32400</v>
      </c>
    </row>
    <row r="390" spans="1:17" ht="35.25" customHeight="1" x14ac:dyDescent="0.25">
      <c r="A390" s="10" t="str">
        <f t="shared" si="219"/>
        <v>ЩУР.МОП1-9</v>
      </c>
      <c r="B390" s="10" t="s">
        <v>19</v>
      </c>
      <c r="C390" s="11" t="s">
        <v>19</v>
      </c>
      <c r="D390" s="10" t="s">
        <v>19</v>
      </c>
      <c r="E390" s="10">
        <f ca="1">OFFSET(E390,1,2)</f>
        <v>12000</v>
      </c>
      <c r="F390" s="12">
        <f ca="1">E390</f>
        <v>12000</v>
      </c>
      <c r="G390" s="12">
        <f ca="1">F390*H390</f>
        <v>12000</v>
      </c>
      <c r="H390" s="10">
        <v>1</v>
      </c>
      <c r="I390" s="10" t="s">
        <v>12</v>
      </c>
      <c r="J390" s="10" t="s">
        <v>19</v>
      </c>
      <c r="K390" s="13" t="str">
        <f>K389</f>
        <v>Блок9</v>
      </c>
      <c r="L390" s="13"/>
      <c r="M390" s="13"/>
      <c r="N390" s="13"/>
      <c r="O390" s="26">
        <f t="shared" si="220"/>
        <v>1</v>
      </c>
      <c r="P390" s="26">
        <f>O390*H390</f>
        <v>1</v>
      </c>
      <c r="Q390" s="27">
        <f t="shared" ca="1" si="222"/>
        <v>12000</v>
      </c>
    </row>
    <row r="391" spans="1:17" ht="35.25" customHeight="1" x14ac:dyDescent="0.25">
      <c r="A391" s="10" t="str">
        <f t="shared" si="219"/>
        <v>ЩУР.МОП1-9</v>
      </c>
      <c r="B391" s="10" t="s">
        <v>20</v>
      </c>
      <c r="C391" s="11" t="s">
        <v>20</v>
      </c>
      <c r="D391" s="10" t="s">
        <v>20</v>
      </c>
      <c r="E391" s="10">
        <v>2</v>
      </c>
      <c r="F391" s="12">
        <v>100</v>
      </c>
      <c r="G391" s="12">
        <f>F391*H391</f>
        <v>12000</v>
      </c>
      <c r="H391" s="10">
        <f>60*E391</f>
        <v>120</v>
      </c>
      <c r="I391" s="10" t="s">
        <v>12</v>
      </c>
      <c r="J391" s="10" t="s">
        <v>20</v>
      </c>
      <c r="K391" s="13" t="str">
        <f>K390</f>
        <v>Блок9</v>
      </c>
      <c r="L391" s="13"/>
      <c r="M391" s="13"/>
      <c r="N391" s="13"/>
      <c r="O391" s="26">
        <f t="shared" si="220"/>
        <v>1</v>
      </c>
      <c r="P391" s="26">
        <f>O391*H391</f>
        <v>120</v>
      </c>
      <c r="Q391" s="27">
        <f t="shared" si="222"/>
        <v>12000</v>
      </c>
    </row>
    <row r="392" spans="1:17" ht="35.25" customHeight="1" x14ac:dyDescent="0.25">
      <c r="A392" s="15" t="str">
        <f t="shared" si="219"/>
        <v>ЩУР.МОП1-9</v>
      </c>
      <c r="B392" s="15"/>
      <c r="C392" s="15"/>
      <c r="D392" s="16"/>
      <c r="E392" s="28"/>
      <c r="F392" s="12">
        <f>E392*0.55</f>
        <v>0</v>
      </c>
      <c r="G392" s="28">
        <f ca="1">SUM(G385:G391)</f>
        <v>82104</v>
      </c>
      <c r="H392" s="15"/>
      <c r="I392" s="19"/>
      <c r="J392" s="15"/>
      <c r="K392" s="13" t="str">
        <f>K391</f>
        <v>Блок9</v>
      </c>
      <c r="L392" s="13"/>
      <c r="M392" s="13"/>
      <c r="N392" s="13"/>
      <c r="O392" s="26">
        <f t="shared" si="220"/>
        <v>1</v>
      </c>
      <c r="P392" s="26">
        <f>O392*H392</f>
        <v>0</v>
      </c>
      <c r="Q392" s="27">
        <f t="shared" si="222"/>
        <v>0</v>
      </c>
    </row>
    <row r="393" spans="1:17" ht="35.25" customHeight="1" x14ac:dyDescent="0.25">
      <c r="A393" s="8" t="str">
        <f>D393</f>
        <v>РЩ1-9 (АВР-Б-40-2-1)</v>
      </c>
      <c r="B393" s="4"/>
      <c r="C393" s="5"/>
      <c r="D393" s="4" t="s">
        <v>141</v>
      </c>
      <c r="E393" s="6"/>
      <c r="F393" s="6"/>
      <c r="G393" s="7"/>
      <c r="H393" s="8">
        <v>1</v>
      </c>
      <c r="I393" s="9" t="s">
        <v>9</v>
      </c>
      <c r="J393" s="4" t="s">
        <v>10</v>
      </c>
      <c r="K393" s="8" t="s">
        <v>85</v>
      </c>
      <c r="L393" s="8"/>
      <c r="M393" s="8"/>
      <c r="N393" s="8"/>
      <c r="O393" s="26">
        <f>H393</f>
        <v>1</v>
      </c>
      <c r="P393" s="26">
        <f>O393*H393</f>
        <v>1</v>
      </c>
      <c r="Q393" s="27">
        <f t="shared" si="222"/>
        <v>0</v>
      </c>
    </row>
    <row r="394" spans="1:17" ht="35.25" customHeight="1" x14ac:dyDescent="0.25">
      <c r="A394" s="13" t="str">
        <f t="shared" ref="A394:A404" si="223">A393</f>
        <v>РЩ1-9 (АВР-Б-40-2-1)</v>
      </c>
      <c r="B394" s="10" t="s">
        <v>11</v>
      </c>
      <c r="C394" s="11" t="s">
        <v>168</v>
      </c>
      <c r="D394" s="10" t="s">
        <v>169</v>
      </c>
      <c r="E394" s="10">
        <v>130000</v>
      </c>
      <c r="F394" s="12">
        <f t="shared" ref="F394:F395" si="224">0.6*E394</f>
        <v>78000</v>
      </c>
      <c r="G394" s="12">
        <f>F394*H394</f>
        <v>78000</v>
      </c>
      <c r="H394" s="13">
        <v>1</v>
      </c>
      <c r="I394" s="14" t="s">
        <v>12</v>
      </c>
      <c r="J394" s="10" t="s">
        <v>13</v>
      </c>
      <c r="K394" s="13" t="str">
        <f t="shared" ref="K394:K404" si="225">K393</f>
        <v>Блок9</v>
      </c>
      <c r="L394" s="13"/>
      <c r="M394" s="13"/>
      <c r="N394" s="13"/>
      <c r="O394" s="26">
        <f t="shared" ref="O394:O404" si="226">O393</f>
        <v>1</v>
      </c>
      <c r="P394" s="26">
        <f>O394*H394</f>
        <v>1</v>
      </c>
      <c r="Q394" s="27">
        <f t="shared" si="222"/>
        <v>78000</v>
      </c>
    </row>
    <row r="395" spans="1:17" ht="35.25" customHeight="1" x14ac:dyDescent="0.25">
      <c r="A395" s="13" t="str">
        <f t="shared" si="223"/>
        <v>РЩ1-9 (АВР-Б-40-2-1)</v>
      </c>
      <c r="B395" s="10" t="s">
        <v>44</v>
      </c>
      <c r="C395" s="11" t="s">
        <v>162</v>
      </c>
      <c r="D395" s="10" t="s">
        <v>163</v>
      </c>
      <c r="E395" s="10">
        <v>114758</v>
      </c>
      <c r="F395" s="12">
        <f t="shared" si="224"/>
        <v>68854.8</v>
      </c>
      <c r="G395" s="12">
        <f>F395*H395</f>
        <v>68854.8</v>
      </c>
      <c r="H395" s="13">
        <v>1</v>
      </c>
      <c r="I395" s="14" t="s">
        <v>12</v>
      </c>
      <c r="J395" s="10" t="s">
        <v>14</v>
      </c>
      <c r="K395" s="13" t="str">
        <f t="shared" si="225"/>
        <v>Блок9</v>
      </c>
      <c r="L395" s="13"/>
      <c r="M395" s="13"/>
      <c r="N395" s="13"/>
      <c r="O395" s="26">
        <f t="shared" si="226"/>
        <v>1</v>
      </c>
      <c r="P395" s="26">
        <f>O395*H395</f>
        <v>1</v>
      </c>
      <c r="Q395" s="27">
        <f t="shared" si="222"/>
        <v>68854.8</v>
      </c>
    </row>
    <row r="396" spans="1:17" ht="35.25" customHeight="1" x14ac:dyDescent="0.25">
      <c r="A396" s="13" t="str">
        <f t="shared" si="223"/>
        <v>РЩ1-9 (АВР-Б-40-2-1)</v>
      </c>
      <c r="B396" s="10" t="s">
        <v>293</v>
      </c>
      <c r="C396" s="11" t="s">
        <v>213</v>
      </c>
      <c r="D396" s="10" t="s">
        <v>214</v>
      </c>
      <c r="E396" s="10">
        <v>7690</v>
      </c>
      <c r="F396" s="12">
        <f t="shared" ref="F396:F399" si="227">0.3*E396</f>
        <v>2307</v>
      </c>
      <c r="G396" s="12">
        <f>F396*H396</f>
        <v>4614</v>
      </c>
      <c r="H396" s="13">
        <v>2</v>
      </c>
      <c r="I396" s="14" t="s">
        <v>12</v>
      </c>
      <c r="J396" s="10" t="s">
        <v>207</v>
      </c>
      <c r="K396" s="13" t="str">
        <f t="shared" si="225"/>
        <v>Блок9</v>
      </c>
      <c r="L396" s="13"/>
      <c r="M396" s="13"/>
      <c r="N396" s="13"/>
      <c r="O396" s="26">
        <f t="shared" si="226"/>
        <v>1</v>
      </c>
      <c r="P396" s="26">
        <f>O396*H396</f>
        <v>2</v>
      </c>
      <c r="Q396" s="27">
        <f>P396*E396</f>
        <v>15380</v>
      </c>
    </row>
    <row r="397" spans="1:17" ht="35.25" customHeight="1" x14ac:dyDescent="0.25">
      <c r="A397" s="13" t="str">
        <f t="shared" si="223"/>
        <v>РЩ1-9 (АВР-Б-40-2-1)</v>
      </c>
      <c r="B397" s="10" t="s">
        <v>293</v>
      </c>
      <c r="C397" s="11" t="s">
        <v>231</v>
      </c>
      <c r="D397" s="10" t="s">
        <v>232</v>
      </c>
      <c r="E397" s="10">
        <v>7690</v>
      </c>
      <c r="F397" s="12">
        <f t="shared" si="227"/>
        <v>2307</v>
      </c>
      <c r="G397" s="12">
        <f>F397*H397</f>
        <v>6921</v>
      </c>
      <c r="H397" s="13">
        <v>3</v>
      </c>
      <c r="I397" s="14" t="s">
        <v>12</v>
      </c>
      <c r="J397" s="10" t="s">
        <v>207</v>
      </c>
      <c r="K397" s="13" t="str">
        <f t="shared" si="225"/>
        <v>Блок9</v>
      </c>
      <c r="L397" s="13"/>
      <c r="M397" s="13"/>
      <c r="N397" s="13"/>
      <c r="O397" s="26">
        <f t="shared" si="226"/>
        <v>1</v>
      </c>
      <c r="P397" s="26">
        <f>O397*H397</f>
        <v>3</v>
      </c>
      <c r="Q397" s="27">
        <f>P397*E397</f>
        <v>23070</v>
      </c>
    </row>
    <row r="398" spans="1:17" ht="35.25" customHeight="1" x14ac:dyDescent="0.25">
      <c r="A398" s="13" t="str">
        <f t="shared" si="223"/>
        <v>РЩ1-9 (АВР-Б-40-2-1)</v>
      </c>
      <c r="B398" s="10" t="s">
        <v>294</v>
      </c>
      <c r="C398" s="11" t="s">
        <v>203</v>
      </c>
      <c r="D398" s="10" t="s">
        <v>204</v>
      </c>
      <c r="E398" s="10">
        <v>13450</v>
      </c>
      <c r="F398" s="12">
        <f t="shared" si="227"/>
        <v>4035</v>
      </c>
      <c r="G398" s="12">
        <f>F398*H398</f>
        <v>8070</v>
      </c>
      <c r="H398" s="13">
        <v>2</v>
      </c>
      <c r="I398" s="14" t="s">
        <v>12</v>
      </c>
      <c r="J398" s="10" t="s">
        <v>207</v>
      </c>
      <c r="K398" s="13" t="str">
        <f t="shared" si="225"/>
        <v>Блок9</v>
      </c>
      <c r="L398" s="13"/>
      <c r="M398" s="13"/>
      <c r="N398" s="13"/>
      <c r="O398" s="26">
        <f t="shared" si="226"/>
        <v>1</v>
      </c>
      <c r="P398" s="26">
        <f>O398*H398</f>
        <v>2</v>
      </c>
      <c r="Q398" s="27">
        <f>P398*E398</f>
        <v>26900</v>
      </c>
    </row>
    <row r="399" spans="1:17" ht="35.25" customHeight="1" x14ac:dyDescent="0.25">
      <c r="A399" s="13" t="str">
        <f t="shared" si="223"/>
        <v>РЩ1-9 (АВР-Б-40-2-1)</v>
      </c>
      <c r="B399" s="10" t="s">
        <v>293</v>
      </c>
      <c r="C399" s="11" t="s">
        <v>205</v>
      </c>
      <c r="D399" s="10" t="s">
        <v>206</v>
      </c>
      <c r="E399" s="10">
        <v>7090</v>
      </c>
      <c r="F399" s="12">
        <f t="shared" si="227"/>
        <v>2127</v>
      </c>
      <c r="G399" s="12">
        <f>F399*H399</f>
        <v>2127</v>
      </c>
      <c r="H399" s="13">
        <v>1</v>
      </c>
      <c r="I399" s="14" t="s">
        <v>12</v>
      </c>
      <c r="J399" s="10" t="s">
        <v>207</v>
      </c>
      <c r="K399" s="13" t="str">
        <f t="shared" si="225"/>
        <v>Блок9</v>
      </c>
      <c r="L399" s="13"/>
      <c r="M399" s="13"/>
      <c r="N399" s="13"/>
      <c r="O399" s="26">
        <f t="shared" si="226"/>
        <v>1</v>
      </c>
      <c r="P399" s="26">
        <f>O399*H399</f>
        <v>1</v>
      </c>
      <c r="Q399" s="27">
        <f>P399*E399</f>
        <v>7090</v>
      </c>
    </row>
    <row r="400" spans="1:17" ht="35.25" customHeight="1" x14ac:dyDescent="0.25">
      <c r="A400" s="13" t="str">
        <f t="shared" si="223"/>
        <v>РЩ1-9 (АВР-Б-40-2-1)</v>
      </c>
      <c r="B400" s="10" t="s">
        <v>15</v>
      </c>
      <c r="C400" s="11" t="s">
        <v>299</v>
      </c>
      <c r="D400" s="10" t="s">
        <v>300</v>
      </c>
      <c r="E400" s="10">
        <v>32400</v>
      </c>
      <c r="F400" s="12">
        <f>E400</f>
        <v>32400</v>
      </c>
      <c r="G400" s="12">
        <f>F400*H400</f>
        <v>32400</v>
      </c>
      <c r="H400" s="13">
        <v>1</v>
      </c>
      <c r="I400" s="14" t="s">
        <v>12</v>
      </c>
      <c r="J400" s="10" t="s">
        <v>16</v>
      </c>
      <c r="K400" s="13" t="str">
        <f t="shared" si="225"/>
        <v>Блок9</v>
      </c>
      <c r="L400" s="13"/>
      <c r="M400" s="13"/>
      <c r="N400" s="13"/>
      <c r="O400" s="26">
        <f t="shared" si="226"/>
        <v>1</v>
      </c>
      <c r="P400" s="26">
        <f>O400*H400</f>
        <v>1</v>
      </c>
      <c r="Q400" s="27">
        <f t="shared" ref="Q400:Q407" si="228">P400*F400</f>
        <v>32400</v>
      </c>
    </row>
    <row r="401" spans="1:17" ht="35.25" customHeight="1" x14ac:dyDescent="0.25">
      <c r="A401" s="13" t="str">
        <f t="shared" si="223"/>
        <v>РЩ1-9 (АВР-Б-40-2-1)</v>
      </c>
      <c r="B401" s="10" t="s">
        <v>30</v>
      </c>
      <c r="C401" s="11"/>
      <c r="D401" s="10" t="s">
        <v>31</v>
      </c>
      <c r="E401" s="10">
        <v>3850</v>
      </c>
      <c r="F401" s="12">
        <f>E401</f>
        <v>3850</v>
      </c>
      <c r="G401" s="12">
        <f>F401*H401</f>
        <v>23100</v>
      </c>
      <c r="H401" s="13">
        <v>6</v>
      </c>
      <c r="I401" s="14" t="s">
        <v>12</v>
      </c>
      <c r="J401" s="10" t="s">
        <v>25</v>
      </c>
      <c r="K401" s="13" t="str">
        <f t="shared" si="225"/>
        <v>Блок9</v>
      </c>
      <c r="L401" s="13"/>
      <c r="M401" s="13"/>
      <c r="N401" s="13"/>
      <c r="O401" s="26">
        <f t="shared" si="226"/>
        <v>1</v>
      </c>
      <c r="P401" s="26">
        <f>O401*H401</f>
        <v>6</v>
      </c>
      <c r="Q401" s="27">
        <f t="shared" si="228"/>
        <v>23100</v>
      </c>
    </row>
    <row r="402" spans="1:17" ht="35.25" customHeight="1" x14ac:dyDescent="0.25">
      <c r="A402" s="10" t="str">
        <f t="shared" si="223"/>
        <v>РЩ1-9 (АВР-Б-40-2-1)</v>
      </c>
      <c r="B402" s="10" t="s">
        <v>19</v>
      </c>
      <c r="C402" s="11" t="s">
        <v>19</v>
      </c>
      <c r="D402" s="10" t="s">
        <v>19</v>
      </c>
      <c r="E402" s="10">
        <f ca="1">OFFSET(E402,1,2)</f>
        <v>39000</v>
      </c>
      <c r="F402" s="12">
        <f ca="1">E402</f>
        <v>39000</v>
      </c>
      <c r="G402" s="12">
        <f ca="1">F402*H402</f>
        <v>39000</v>
      </c>
      <c r="H402" s="10">
        <v>1</v>
      </c>
      <c r="I402" s="10" t="s">
        <v>12</v>
      </c>
      <c r="J402" s="10" t="s">
        <v>19</v>
      </c>
      <c r="K402" s="13" t="str">
        <f t="shared" si="225"/>
        <v>Блок9</v>
      </c>
      <c r="L402" s="13"/>
      <c r="M402" s="13"/>
      <c r="N402" s="13"/>
      <c r="O402" s="26">
        <f t="shared" si="226"/>
        <v>1</v>
      </c>
      <c r="P402" s="26">
        <f>O402*H402</f>
        <v>1</v>
      </c>
      <c r="Q402" s="27">
        <f t="shared" ca="1" si="228"/>
        <v>39000</v>
      </c>
    </row>
    <row r="403" spans="1:17" ht="35.25" customHeight="1" x14ac:dyDescent="0.25">
      <c r="A403" s="10" t="str">
        <f t="shared" si="223"/>
        <v>РЩ1-9 (АВР-Б-40-2-1)</v>
      </c>
      <c r="B403" s="10" t="s">
        <v>20</v>
      </c>
      <c r="C403" s="11" t="s">
        <v>20</v>
      </c>
      <c r="D403" s="10" t="s">
        <v>20</v>
      </c>
      <c r="E403" s="10">
        <v>6.5</v>
      </c>
      <c r="F403" s="12">
        <v>100</v>
      </c>
      <c r="G403" s="12">
        <f>F403*H403</f>
        <v>39000</v>
      </c>
      <c r="H403" s="10">
        <f>60*E403</f>
        <v>390</v>
      </c>
      <c r="I403" s="10" t="s">
        <v>12</v>
      </c>
      <c r="J403" s="10" t="s">
        <v>20</v>
      </c>
      <c r="K403" s="13" t="str">
        <f t="shared" si="225"/>
        <v>Блок9</v>
      </c>
      <c r="L403" s="13"/>
      <c r="M403" s="13"/>
      <c r="N403" s="13"/>
      <c r="O403" s="26">
        <f t="shared" si="226"/>
        <v>1</v>
      </c>
      <c r="P403" s="26">
        <f>O403*H403</f>
        <v>390</v>
      </c>
      <c r="Q403" s="27">
        <f t="shared" si="228"/>
        <v>39000</v>
      </c>
    </row>
    <row r="404" spans="1:17" ht="35.25" customHeight="1" x14ac:dyDescent="0.25">
      <c r="A404" s="15" t="str">
        <f t="shared" si="223"/>
        <v>РЩ1-9 (АВР-Б-40-2-1)</v>
      </c>
      <c r="B404" s="15"/>
      <c r="C404" s="15"/>
      <c r="D404" s="16"/>
      <c r="E404" s="28"/>
      <c r="F404" s="12">
        <f>E404*0.55</f>
        <v>0</v>
      </c>
      <c r="G404" s="28">
        <f ca="1">SUM(G394:G403)</f>
        <v>302086.8</v>
      </c>
      <c r="H404" s="15"/>
      <c r="I404" s="19"/>
      <c r="J404" s="15"/>
      <c r="K404" s="13" t="str">
        <f t="shared" si="225"/>
        <v>Блок9</v>
      </c>
      <c r="L404" s="13"/>
      <c r="M404" s="13"/>
      <c r="N404" s="13"/>
      <c r="O404" s="26">
        <f t="shared" si="226"/>
        <v>1</v>
      </c>
      <c r="P404" s="26">
        <f>O404*H404</f>
        <v>0</v>
      </c>
      <c r="Q404" s="27">
        <f t="shared" si="228"/>
        <v>0</v>
      </c>
    </row>
    <row r="405" spans="1:17" ht="35.25" customHeight="1" x14ac:dyDescent="0.25">
      <c r="A405" s="8" t="str">
        <f>D405</f>
        <v>РУ1-10</v>
      </c>
      <c r="B405" s="4"/>
      <c r="C405" s="5"/>
      <c r="D405" s="4" t="s">
        <v>87</v>
      </c>
      <c r="E405" s="6"/>
      <c r="F405" s="6"/>
      <c r="G405" s="7"/>
      <c r="H405" s="8">
        <v>1</v>
      </c>
      <c r="I405" s="9" t="s">
        <v>9</v>
      </c>
      <c r="J405" s="4" t="s">
        <v>10</v>
      </c>
      <c r="K405" s="8" t="s">
        <v>88</v>
      </c>
      <c r="L405" s="8"/>
      <c r="M405" s="8"/>
      <c r="N405" s="8"/>
      <c r="O405" s="26">
        <f>H405</f>
        <v>1</v>
      </c>
      <c r="P405" s="26">
        <f>O405*H405</f>
        <v>1</v>
      </c>
      <c r="Q405" s="27">
        <f t="shared" si="228"/>
        <v>0</v>
      </c>
    </row>
    <row r="406" spans="1:17" ht="35.25" customHeight="1" x14ac:dyDescent="0.25">
      <c r="A406" s="13" t="str">
        <f t="shared" ref="A406:A412" si="229">A405</f>
        <v>РУ1-10</v>
      </c>
      <c r="B406" s="10" t="s">
        <v>11</v>
      </c>
      <c r="C406" s="11" t="s">
        <v>170</v>
      </c>
      <c r="D406" s="10" t="s">
        <v>171</v>
      </c>
      <c r="E406" s="10">
        <v>145000</v>
      </c>
      <c r="F406" s="12">
        <f t="shared" ref="F406:F407" si="230">0.6*E406</f>
        <v>87000</v>
      </c>
      <c r="G406" s="12">
        <f>F406*H406</f>
        <v>87000</v>
      </c>
      <c r="H406" s="13">
        <v>1</v>
      </c>
      <c r="I406" s="14" t="s">
        <v>12</v>
      </c>
      <c r="J406" s="10" t="s">
        <v>13</v>
      </c>
      <c r="K406" s="13" t="str">
        <f t="shared" ref="K406:K412" si="231">K405</f>
        <v>Блок10</v>
      </c>
      <c r="L406" s="13"/>
      <c r="M406" s="13"/>
      <c r="N406" s="13"/>
      <c r="O406" s="26">
        <f t="shared" ref="O406:O412" si="232">O405</f>
        <v>1</v>
      </c>
      <c r="P406" s="26">
        <f>O406*H406</f>
        <v>1</v>
      </c>
      <c r="Q406" s="27">
        <f t="shared" si="228"/>
        <v>87000</v>
      </c>
    </row>
    <row r="407" spans="1:17" ht="35.25" customHeight="1" x14ac:dyDescent="0.25">
      <c r="A407" s="13" t="str">
        <f t="shared" si="229"/>
        <v>РУ1-10</v>
      </c>
      <c r="B407" s="10" t="s">
        <v>294</v>
      </c>
      <c r="C407" s="11" t="s">
        <v>229</v>
      </c>
      <c r="D407" s="10" t="s">
        <v>230</v>
      </c>
      <c r="E407" s="10">
        <v>34800</v>
      </c>
      <c r="F407" s="12">
        <f t="shared" si="230"/>
        <v>20880</v>
      </c>
      <c r="G407" s="12">
        <f>F407*H407</f>
        <v>20880</v>
      </c>
      <c r="H407" s="13">
        <v>1</v>
      </c>
      <c r="I407" s="14" t="s">
        <v>12</v>
      </c>
      <c r="J407" s="10" t="s">
        <v>14</v>
      </c>
      <c r="K407" s="13" t="str">
        <f t="shared" si="231"/>
        <v>Блок10</v>
      </c>
      <c r="L407" s="13"/>
      <c r="M407" s="13"/>
      <c r="N407" s="13"/>
      <c r="O407" s="26">
        <f t="shared" si="232"/>
        <v>1</v>
      </c>
      <c r="P407" s="26">
        <f>O407*H407</f>
        <v>1</v>
      </c>
      <c r="Q407" s="27">
        <f t="shared" si="228"/>
        <v>20880</v>
      </c>
    </row>
    <row r="408" spans="1:17" ht="35.25" customHeight="1" x14ac:dyDescent="0.25">
      <c r="A408" s="13" t="str">
        <f t="shared" si="229"/>
        <v>РУ1-10</v>
      </c>
      <c r="B408" s="10" t="s">
        <v>294</v>
      </c>
      <c r="C408" s="11" t="s">
        <v>227</v>
      </c>
      <c r="D408" s="10" t="s">
        <v>228</v>
      </c>
      <c r="E408" s="10">
        <v>29990</v>
      </c>
      <c r="F408" s="12">
        <f t="shared" ref="F408:F409" si="233">0.3*E408</f>
        <v>8997</v>
      </c>
      <c r="G408" s="12">
        <f>F408*H408</f>
        <v>17994</v>
      </c>
      <c r="H408" s="13">
        <v>2</v>
      </c>
      <c r="I408" s="14" t="s">
        <v>12</v>
      </c>
      <c r="J408" s="10" t="s">
        <v>207</v>
      </c>
      <c r="K408" s="13" t="str">
        <f t="shared" si="231"/>
        <v>Блок10</v>
      </c>
      <c r="L408" s="13"/>
      <c r="M408" s="13"/>
      <c r="N408" s="13"/>
      <c r="O408" s="26">
        <f t="shared" si="232"/>
        <v>1</v>
      </c>
      <c r="P408" s="26">
        <f>O408*H408</f>
        <v>2</v>
      </c>
      <c r="Q408" s="27">
        <f>P408*E408</f>
        <v>59980</v>
      </c>
    </row>
    <row r="409" spans="1:17" ht="35.25" customHeight="1" x14ac:dyDescent="0.25">
      <c r="A409" s="13" t="str">
        <f t="shared" si="229"/>
        <v>РУ1-10</v>
      </c>
      <c r="B409" s="10" t="s">
        <v>293</v>
      </c>
      <c r="C409" s="11" t="s">
        <v>217</v>
      </c>
      <c r="D409" s="10" t="s">
        <v>218</v>
      </c>
      <c r="E409" s="10">
        <v>7850</v>
      </c>
      <c r="F409" s="12">
        <f t="shared" si="233"/>
        <v>2355</v>
      </c>
      <c r="G409" s="12">
        <f>F409*H409</f>
        <v>4710</v>
      </c>
      <c r="H409" s="13">
        <v>2</v>
      </c>
      <c r="I409" s="14" t="s">
        <v>12</v>
      </c>
      <c r="J409" s="10" t="s">
        <v>207</v>
      </c>
      <c r="K409" s="13" t="str">
        <f t="shared" si="231"/>
        <v>Блок10</v>
      </c>
      <c r="L409" s="13"/>
      <c r="M409" s="13"/>
      <c r="N409" s="13"/>
      <c r="O409" s="26">
        <f t="shared" si="232"/>
        <v>1</v>
      </c>
      <c r="P409" s="26">
        <f>O409*H409</f>
        <v>2</v>
      </c>
      <c r="Q409" s="27">
        <f>P409*E409</f>
        <v>15700</v>
      </c>
    </row>
    <row r="410" spans="1:17" ht="35.25" customHeight="1" x14ac:dyDescent="0.25">
      <c r="A410" s="10" t="str">
        <f t="shared" si="229"/>
        <v>РУ1-10</v>
      </c>
      <c r="B410" s="10" t="s">
        <v>19</v>
      </c>
      <c r="C410" s="11" t="s">
        <v>19</v>
      </c>
      <c r="D410" s="10" t="s">
        <v>19</v>
      </c>
      <c r="E410" s="10">
        <f ca="1">OFFSET(E410,1,2)</f>
        <v>27000</v>
      </c>
      <c r="F410" s="12">
        <f ca="1">E410</f>
        <v>27000</v>
      </c>
      <c r="G410" s="12">
        <f ca="1">F410*H410</f>
        <v>27000</v>
      </c>
      <c r="H410" s="10">
        <v>1</v>
      </c>
      <c r="I410" s="10" t="s">
        <v>12</v>
      </c>
      <c r="J410" s="10" t="s">
        <v>19</v>
      </c>
      <c r="K410" s="13" t="str">
        <f t="shared" si="231"/>
        <v>Блок10</v>
      </c>
      <c r="L410" s="13"/>
      <c r="M410" s="13"/>
      <c r="N410" s="13"/>
      <c r="O410" s="26">
        <f t="shared" si="232"/>
        <v>1</v>
      </c>
      <c r="P410" s="26">
        <f>O410*H410</f>
        <v>1</v>
      </c>
      <c r="Q410" s="27">
        <f ca="1">P410*F410</f>
        <v>27000</v>
      </c>
    </row>
    <row r="411" spans="1:17" ht="35.25" customHeight="1" x14ac:dyDescent="0.25">
      <c r="A411" s="10" t="str">
        <f t="shared" si="229"/>
        <v>РУ1-10</v>
      </c>
      <c r="B411" s="10" t="s">
        <v>20</v>
      </c>
      <c r="C411" s="11" t="s">
        <v>20</v>
      </c>
      <c r="D411" s="10" t="s">
        <v>20</v>
      </c>
      <c r="E411" s="10">
        <v>4.5</v>
      </c>
      <c r="F411" s="12">
        <v>100</v>
      </c>
      <c r="G411" s="12">
        <f>F411*H411</f>
        <v>27000</v>
      </c>
      <c r="H411" s="10">
        <f>60*E411</f>
        <v>270</v>
      </c>
      <c r="I411" s="10" t="s">
        <v>12</v>
      </c>
      <c r="J411" s="10" t="s">
        <v>20</v>
      </c>
      <c r="K411" s="13" t="str">
        <f t="shared" si="231"/>
        <v>Блок10</v>
      </c>
      <c r="L411" s="13"/>
      <c r="M411" s="13"/>
      <c r="N411" s="13"/>
      <c r="O411" s="26">
        <f t="shared" si="232"/>
        <v>1</v>
      </c>
      <c r="P411" s="26">
        <f>O411*H411</f>
        <v>270</v>
      </c>
      <c r="Q411" s="27">
        <f>P411*F411</f>
        <v>27000</v>
      </c>
    </row>
    <row r="412" spans="1:17" ht="35.25" customHeight="1" x14ac:dyDescent="0.25">
      <c r="A412" s="15" t="str">
        <f t="shared" si="229"/>
        <v>РУ1-10</v>
      </c>
      <c r="B412" s="15"/>
      <c r="C412" s="15"/>
      <c r="D412" s="16"/>
      <c r="E412" s="28"/>
      <c r="F412" s="12">
        <f t="shared" ref="F412" si="234">E412*0.55</f>
        <v>0</v>
      </c>
      <c r="G412" s="28">
        <f ca="1">SUM(G406:G411)</f>
        <v>184584</v>
      </c>
      <c r="H412" s="15"/>
      <c r="I412" s="19"/>
      <c r="J412" s="15"/>
      <c r="K412" s="13" t="str">
        <f t="shared" si="231"/>
        <v>Блок10</v>
      </c>
      <c r="L412" s="13"/>
      <c r="M412" s="13"/>
      <c r="N412" s="13"/>
      <c r="O412" s="26">
        <f t="shared" si="232"/>
        <v>1</v>
      </c>
      <c r="P412" s="26">
        <f>O412*H412</f>
        <v>0</v>
      </c>
      <c r="Q412" s="27">
        <f>P412*F412</f>
        <v>0</v>
      </c>
    </row>
    <row r="413" spans="1:17" ht="35.25" customHeight="1" x14ac:dyDescent="0.25">
      <c r="A413" s="8" t="str">
        <f>D413</f>
        <v>ЩУР.МОП1-10</v>
      </c>
      <c r="B413" s="4"/>
      <c r="C413" s="5"/>
      <c r="D413" s="4" t="s">
        <v>89</v>
      </c>
      <c r="E413" s="6"/>
      <c r="F413" s="6"/>
      <c r="G413" s="7"/>
      <c r="H413" s="8">
        <v>1</v>
      </c>
      <c r="I413" s="9" t="s">
        <v>9</v>
      </c>
      <c r="J413" s="4" t="s">
        <v>10</v>
      </c>
      <c r="K413" s="8" t="s">
        <v>88</v>
      </c>
      <c r="L413" s="8"/>
      <c r="M413" s="8"/>
      <c r="N413" s="8"/>
      <c r="O413" s="26">
        <f>H413</f>
        <v>1</v>
      </c>
      <c r="P413" s="26">
        <f>O413*H413</f>
        <v>1</v>
      </c>
      <c r="Q413" s="27">
        <f>P413*F413</f>
        <v>0</v>
      </c>
    </row>
    <row r="414" spans="1:17" ht="35.25" customHeight="1" x14ac:dyDescent="0.25">
      <c r="A414" s="13" t="str">
        <f t="shared" ref="A414:A420" si="235">A413</f>
        <v>ЩУР.МОП1-10</v>
      </c>
      <c r="B414" s="10" t="s">
        <v>11</v>
      </c>
      <c r="C414" s="11" t="s">
        <v>328</v>
      </c>
      <c r="D414" s="10" t="s">
        <v>329</v>
      </c>
      <c r="E414" s="10">
        <v>27000</v>
      </c>
      <c r="F414" s="12">
        <f>0.6*E414</f>
        <v>16200</v>
      </c>
      <c r="G414" s="12">
        <f>F414*H414</f>
        <v>16200</v>
      </c>
      <c r="H414" s="13">
        <v>1</v>
      </c>
      <c r="I414" s="14" t="s">
        <v>12</v>
      </c>
      <c r="J414" s="10" t="s">
        <v>13</v>
      </c>
      <c r="K414" s="13" t="str">
        <f t="shared" ref="K414:K420" si="236">K413</f>
        <v>Блок10</v>
      </c>
      <c r="L414" s="13"/>
      <c r="M414" s="13"/>
      <c r="N414" s="13"/>
      <c r="O414" s="26">
        <f t="shared" ref="O414:O420" si="237">O413</f>
        <v>1</v>
      </c>
      <c r="P414" s="26">
        <f>O414*H414</f>
        <v>1</v>
      </c>
      <c r="Q414" s="27">
        <f>P414*F414</f>
        <v>16200</v>
      </c>
    </row>
    <row r="415" spans="1:17" ht="35.25" customHeight="1" x14ac:dyDescent="0.25">
      <c r="A415" s="13" t="str">
        <f t="shared" si="235"/>
        <v>ЩУР.МОП1-10</v>
      </c>
      <c r="B415" s="10" t="s">
        <v>293</v>
      </c>
      <c r="C415" s="11" t="s">
        <v>195</v>
      </c>
      <c r="D415" s="10" t="s">
        <v>196</v>
      </c>
      <c r="E415" s="10">
        <v>6190</v>
      </c>
      <c r="F415" s="12">
        <f t="shared" ref="F415:F416" si="238">0.3*E415</f>
        <v>1857</v>
      </c>
      <c r="G415" s="12">
        <f>F415*H415</f>
        <v>1857</v>
      </c>
      <c r="H415" s="13">
        <v>1</v>
      </c>
      <c r="I415" s="14" t="s">
        <v>12</v>
      </c>
      <c r="J415" s="10" t="s">
        <v>207</v>
      </c>
      <c r="K415" s="13" t="str">
        <f t="shared" si="236"/>
        <v>Блок10</v>
      </c>
      <c r="L415" s="13"/>
      <c r="M415" s="13"/>
      <c r="N415" s="13"/>
      <c r="O415" s="26">
        <f t="shared" si="237"/>
        <v>1</v>
      </c>
      <c r="P415" s="26">
        <f>O415*H415</f>
        <v>1</v>
      </c>
      <c r="Q415" s="27">
        <f>P415*E415</f>
        <v>6190</v>
      </c>
    </row>
    <row r="416" spans="1:17" ht="35.25" customHeight="1" x14ac:dyDescent="0.25">
      <c r="A416" s="13" t="str">
        <f t="shared" si="235"/>
        <v>ЩУР.МОП1-10</v>
      </c>
      <c r="B416" s="10" t="s">
        <v>293</v>
      </c>
      <c r="C416" s="11" t="s">
        <v>193</v>
      </c>
      <c r="D416" s="10" t="s">
        <v>194</v>
      </c>
      <c r="E416" s="10">
        <v>6580</v>
      </c>
      <c r="F416" s="12">
        <f t="shared" si="238"/>
        <v>1974</v>
      </c>
      <c r="G416" s="12">
        <f>F416*H416</f>
        <v>7896</v>
      </c>
      <c r="H416" s="13">
        <v>4</v>
      </c>
      <c r="I416" s="14" t="s">
        <v>12</v>
      </c>
      <c r="J416" s="10" t="s">
        <v>207</v>
      </c>
      <c r="K416" s="13" t="str">
        <f t="shared" si="236"/>
        <v>Блок10</v>
      </c>
      <c r="L416" s="13"/>
      <c r="M416" s="13"/>
      <c r="N416" s="13"/>
      <c r="O416" s="26">
        <f t="shared" si="237"/>
        <v>1</v>
      </c>
      <c r="P416" s="26">
        <f>O416*H416</f>
        <v>4</v>
      </c>
      <c r="Q416" s="27">
        <f>P416*E416</f>
        <v>26320</v>
      </c>
    </row>
    <row r="417" spans="1:17" ht="35.25" customHeight="1" x14ac:dyDescent="0.25">
      <c r="A417" s="13" t="str">
        <f t="shared" si="235"/>
        <v>ЩУР.МОП1-10</v>
      </c>
      <c r="B417" s="10" t="s">
        <v>15</v>
      </c>
      <c r="C417" s="11" t="s">
        <v>299</v>
      </c>
      <c r="D417" s="10" t="s">
        <v>300</v>
      </c>
      <c r="E417" s="10">
        <v>32400</v>
      </c>
      <c r="F417" s="12">
        <f>E417</f>
        <v>32400</v>
      </c>
      <c r="G417" s="12">
        <f>F417*H417</f>
        <v>32400</v>
      </c>
      <c r="H417" s="13">
        <v>1</v>
      </c>
      <c r="I417" s="14" t="s">
        <v>12</v>
      </c>
      <c r="J417" s="10" t="s">
        <v>16</v>
      </c>
      <c r="K417" s="13" t="str">
        <f t="shared" si="236"/>
        <v>Блок10</v>
      </c>
      <c r="L417" s="13"/>
      <c r="M417" s="13"/>
      <c r="N417" s="13"/>
      <c r="O417" s="26">
        <f t="shared" si="237"/>
        <v>1</v>
      </c>
      <c r="P417" s="26">
        <f>O417*H417</f>
        <v>1</v>
      </c>
      <c r="Q417" s="27">
        <f t="shared" ref="Q417:Q423" si="239">P417*F417</f>
        <v>32400</v>
      </c>
    </row>
    <row r="418" spans="1:17" ht="35.25" customHeight="1" x14ac:dyDescent="0.25">
      <c r="A418" s="10" t="str">
        <f t="shared" si="235"/>
        <v>ЩУР.МОП1-10</v>
      </c>
      <c r="B418" s="10" t="s">
        <v>19</v>
      </c>
      <c r="C418" s="11" t="s">
        <v>19</v>
      </c>
      <c r="D418" s="10" t="s">
        <v>19</v>
      </c>
      <c r="E418" s="10">
        <f ca="1">OFFSET(E418,1,2)</f>
        <v>12000</v>
      </c>
      <c r="F418" s="12">
        <f ca="1">E418</f>
        <v>12000</v>
      </c>
      <c r="G418" s="12">
        <f ca="1">F418*H418</f>
        <v>12000</v>
      </c>
      <c r="H418" s="10">
        <v>1</v>
      </c>
      <c r="I418" s="10" t="s">
        <v>12</v>
      </c>
      <c r="J418" s="10" t="s">
        <v>19</v>
      </c>
      <c r="K418" s="13" t="str">
        <f t="shared" si="236"/>
        <v>Блок10</v>
      </c>
      <c r="L418" s="13"/>
      <c r="M418" s="13"/>
      <c r="N418" s="13"/>
      <c r="O418" s="26">
        <f t="shared" si="237"/>
        <v>1</v>
      </c>
      <c r="P418" s="26">
        <f>O418*H418</f>
        <v>1</v>
      </c>
      <c r="Q418" s="27">
        <f t="shared" ca="1" si="239"/>
        <v>12000</v>
      </c>
    </row>
    <row r="419" spans="1:17" ht="35.25" customHeight="1" x14ac:dyDescent="0.25">
      <c r="A419" s="10" t="str">
        <f t="shared" si="235"/>
        <v>ЩУР.МОП1-10</v>
      </c>
      <c r="B419" s="10" t="s">
        <v>20</v>
      </c>
      <c r="C419" s="11" t="s">
        <v>20</v>
      </c>
      <c r="D419" s="10" t="s">
        <v>20</v>
      </c>
      <c r="E419" s="10">
        <v>2</v>
      </c>
      <c r="F419" s="12">
        <v>100</v>
      </c>
      <c r="G419" s="12">
        <f>F419*H419</f>
        <v>12000</v>
      </c>
      <c r="H419" s="10">
        <f>60*E419</f>
        <v>120</v>
      </c>
      <c r="I419" s="10" t="s">
        <v>12</v>
      </c>
      <c r="J419" s="10" t="s">
        <v>20</v>
      </c>
      <c r="K419" s="13" t="str">
        <f t="shared" si="236"/>
        <v>Блок10</v>
      </c>
      <c r="L419" s="13"/>
      <c r="M419" s="13"/>
      <c r="N419" s="13"/>
      <c r="O419" s="26">
        <f t="shared" si="237"/>
        <v>1</v>
      </c>
      <c r="P419" s="26">
        <f>O419*H419</f>
        <v>120</v>
      </c>
      <c r="Q419" s="27">
        <f t="shared" si="239"/>
        <v>12000</v>
      </c>
    </row>
    <row r="420" spans="1:17" ht="35.25" customHeight="1" x14ac:dyDescent="0.25">
      <c r="A420" s="15" t="str">
        <f t="shared" si="235"/>
        <v>ЩУР.МОП1-10</v>
      </c>
      <c r="B420" s="15"/>
      <c r="C420" s="15"/>
      <c r="D420" s="16"/>
      <c r="E420" s="28"/>
      <c r="F420" s="12">
        <f>E420*0.55</f>
        <v>0</v>
      </c>
      <c r="G420" s="28">
        <f ca="1">SUM(G414:G419)</f>
        <v>82353</v>
      </c>
      <c r="H420" s="15"/>
      <c r="I420" s="19"/>
      <c r="J420" s="15"/>
      <c r="K420" s="13" t="str">
        <f t="shared" si="236"/>
        <v>Блок10</v>
      </c>
      <c r="L420" s="13"/>
      <c r="M420" s="13"/>
      <c r="N420" s="13"/>
      <c r="O420" s="26">
        <f t="shared" si="237"/>
        <v>1</v>
      </c>
      <c r="P420" s="26">
        <f>O420*H420</f>
        <v>0</v>
      </c>
      <c r="Q420" s="27">
        <f t="shared" si="239"/>
        <v>0</v>
      </c>
    </row>
    <row r="421" spans="1:17" ht="35.25" customHeight="1" x14ac:dyDescent="0.25">
      <c r="A421" s="8" t="str">
        <f>D421</f>
        <v>РЩ1-10 (АВР-Б-40-2-1)</v>
      </c>
      <c r="B421" s="4"/>
      <c r="C421" s="5"/>
      <c r="D421" s="4" t="s">
        <v>142</v>
      </c>
      <c r="E421" s="6"/>
      <c r="F421" s="6"/>
      <c r="G421" s="7"/>
      <c r="H421" s="8">
        <v>1</v>
      </c>
      <c r="I421" s="9" t="s">
        <v>9</v>
      </c>
      <c r="J421" s="4" t="s">
        <v>10</v>
      </c>
      <c r="K421" s="8" t="s">
        <v>88</v>
      </c>
      <c r="L421" s="8"/>
      <c r="M421" s="8"/>
      <c r="N421" s="8"/>
      <c r="O421" s="26">
        <f>H421</f>
        <v>1</v>
      </c>
      <c r="P421" s="26">
        <f>O421*H421</f>
        <v>1</v>
      </c>
      <c r="Q421" s="27">
        <f t="shared" si="239"/>
        <v>0</v>
      </c>
    </row>
    <row r="422" spans="1:17" ht="35.25" customHeight="1" x14ac:dyDescent="0.25">
      <c r="A422" s="13" t="str">
        <f t="shared" ref="A422:A432" si="240">A421</f>
        <v>РЩ1-10 (АВР-Б-40-2-1)</v>
      </c>
      <c r="B422" s="10" t="s">
        <v>11</v>
      </c>
      <c r="C422" s="11" t="s">
        <v>168</v>
      </c>
      <c r="D422" s="10" t="s">
        <v>169</v>
      </c>
      <c r="E422" s="10">
        <v>130000</v>
      </c>
      <c r="F422" s="12">
        <f t="shared" ref="F422:F423" si="241">0.6*E422</f>
        <v>78000</v>
      </c>
      <c r="G422" s="12">
        <f>F422*H422</f>
        <v>78000</v>
      </c>
      <c r="H422" s="13">
        <v>1</v>
      </c>
      <c r="I422" s="14" t="s">
        <v>12</v>
      </c>
      <c r="J422" s="10" t="s">
        <v>13</v>
      </c>
      <c r="K422" s="13" t="str">
        <f t="shared" ref="K422:K432" si="242">K421</f>
        <v>Блок10</v>
      </c>
      <c r="L422" s="13"/>
      <c r="M422" s="13"/>
      <c r="N422" s="13"/>
      <c r="O422" s="26">
        <f t="shared" ref="O422:O432" si="243">O421</f>
        <v>1</v>
      </c>
      <c r="P422" s="26">
        <f>O422*H422</f>
        <v>1</v>
      </c>
      <c r="Q422" s="27">
        <f t="shared" si="239"/>
        <v>78000</v>
      </c>
    </row>
    <row r="423" spans="1:17" ht="35.25" customHeight="1" x14ac:dyDescent="0.25">
      <c r="A423" s="13" t="str">
        <f t="shared" si="240"/>
        <v>РЩ1-10 (АВР-Б-40-2-1)</v>
      </c>
      <c r="B423" s="10" t="s">
        <v>44</v>
      </c>
      <c r="C423" s="11" t="s">
        <v>162</v>
      </c>
      <c r="D423" s="10" t="s">
        <v>163</v>
      </c>
      <c r="E423" s="10">
        <v>114758</v>
      </c>
      <c r="F423" s="12">
        <f t="shared" si="241"/>
        <v>68854.8</v>
      </c>
      <c r="G423" s="12">
        <f>F423*H423</f>
        <v>68854.8</v>
      </c>
      <c r="H423" s="13">
        <v>1</v>
      </c>
      <c r="I423" s="14" t="s">
        <v>12</v>
      </c>
      <c r="J423" s="10" t="s">
        <v>14</v>
      </c>
      <c r="K423" s="13" t="str">
        <f t="shared" si="242"/>
        <v>Блок10</v>
      </c>
      <c r="L423" s="13"/>
      <c r="M423" s="13"/>
      <c r="N423" s="13"/>
      <c r="O423" s="26">
        <f t="shared" si="243"/>
        <v>1</v>
      </c>
      <c r="P423" s="26">
        <f>O423*H423</f>
        <v>1</v>
      </c>
      <c r="Q423" s="27">
        <f t="shared" si="239"/>
        <v>68854.8</v>
      </c>
    </row>
    <row r="424" spans="1:17" ht="35.25" customHeight="1" x14ac:dyDescent="0.25">
      <c r="A424" s="13" t="str">
        <f t="shared" si="240"/>
        <v>РЩ1-10 (АВР-Б-40-2-1)</v>
      </c>
      <c r="B424" s="10" t="s">
        <v>293</v>
      </c>
      <c r="C424" s="11" t="s">
        <v>213</v>
      </c>
      <c r="D424" s="10" t="s">
        <v>214</v>
      </c>
      <c r="E424" s="10">
        <v>7690</v>
      </c>
      <c r="F424" s="12">
        <f t="shared" ref="F424:F427" si="244">0.3*E424</f>
        <v>2307</v>
      </c>
      <c r="G424" s="12">
        <f>F424*H424</f>
        <v>6921</v>
      </c>
      <c r="H424" s="13">
        <v>3</v>
      </c>
      <c r="I424" s="14" t="s">
        <v>12</v>
      </c>
      <c r="J424" s="10" t="s">
        <v>207</v>
      </c>
      <c r="K424" s="13" t="str">
        <f t="shared" si="242"/>
        <v>Блок10</v>
      </c>
      <c r="L424" s="13"/>
      <c r="M424" s="13"/>
      <c r="N424" s="13"/>
      <c r="O424" s="26">
        <f t="shared" si="243"/>
        <v>1</v>
      </c>
      <c r="P424" s="26">
        <f>O424*H424</f>
        <v>3</v>
      </c>
      <c r="Q424" s="27">
        <f>P424*E424</f>
        <v>23070</v>
      </c>
    </row>
    <row r="425" spans="1:17" ht="35.25" customHeight="1" x14ac:dyDescent="0.25">
      <c r="A425" s="13" t="str">
        <f t="shared" si="240"/>
        <v>РЩ1-10 (АВР-Б-40-2-1)</v>
      </c>
      <c r="B425" s="10" t="s">
        <v>293</v>
      </c>
      <c r="C425" s="11" t="s">
        <v>231</v>
      </c>
      <c r="D425" s="10" t="s">
        <v>232</v>
      </c>
      <c r="E425" s="10">
        <v>7690</v>
      </c>
      <c r="F425" s="12">
        <f t="shared" si="244"/>
        <v>2307</v>
      </c>
      <c r="G425" s="12">
        <f>F425*H425</f>
        <v>4614</v>
      </c>
      <c r="H425" s="13">
        <v>2</v>
      </c>
      <c r="I425" s="14" t="s">
        <v>12</v>
      </c>
      <c r="J425" s="10" t="s">
        <v>207</v>
      </c>
      <c r="K425" s="13" t="str">
        <f t="shared" si="242"/>
        <v>Блок10</v>
      </c>
      <c r="L425" s="13"/>
      <c r="M425" s="13"/>
      <c r="N425" s="13"/>
      <c r="O425" s="26">
        <f t="shared" si="243"/>
        <v>1</v>
      </c>
      <c r="P425" s="26">
        <f>O425*H425</f>
        <v>2</v>
      </c>
      <c r="Q425" s="27">
        <f>P425*E425</f>
        <v>15380</v>
      </c>
    </row>
    <row r="426" spans="1:17" ht="35.25" customHeight="1" x14ac:dyDescent="0.25">
      <c r="A426" s="13" t="str">
        <f t="shared" si="240"/>
        <v>РЩ1-10 (АВР-Б-40-2-1)</v>
      </c>
      <c r="B426" s="10" t="s">
        <v>294</v>
      </c>
      <c r="C426" s="11" t="s">
        <v>203</v>
      </c>
      <c r="D426" s="10" t="s">
        <v>204</v>
      </c>
      <c r="E426" s="10">
        <v>13450</v>
      </c>
      <c r="F426" s="12">
        <f t="shared" si="244"/>
        <v>4035</v>
      </c>
      <c r="G426" s="12">
        <f>F426*H426</f>
        <v>8070</v>
      </c>
      <c r="H426" s="13">
        <v>2</v>
      </c>
      <c r="I426" s="14" t="s">
        <v>12</v>
      </c>
      <c r="J426" s="10" t="s">
        <v>207</v>
      </c>
      <c r="K426" s="13" t="str">
        <f t="shared" si="242"/>
        <v>Блок10</v>
      </c>
      <c r="L426" s="13"/>
      <c r="M426" s="13"/>
      <c r="N426" s="13"/>
      <c r="O426" s="26">
        <f t="shared" si="243"/>
        <v>1</v>
      </c>
      <c r="P426" s="26">
        <f>O426*H426</f>
        <v>2</v>
      </c>
      <c r="Q426" s="27">
        <f>P426*E426</f>
        <v>26900</v>
      </c>
    </row>
    <row r="427" spans="1:17" ht="35.25" customHeight="1" x14ac:dyDescent="0.25">
      <c r="A427" s="13" t="str">
        <f t="shared" si="240"/>
        <v>РЩ1-10 (АВР-Б-40-2-1)</v>
      </c>
      <c r="B427" s="10" t="s">
        <v>293</v>
      </c>
      <c r="C427" s="11" t="s">
        <v>205</v>
      </c>
      <c r="D427" s="10" t="s">
        <v>206</v>
      </c>
      <c r="E427" s="10">
        <v>7090</v>
      </c>
      <c r="F427" s="12">
        <f t="shared" si="244"/>
        <v>2127</v>
      </c>
      <c r="G427" s="12">
        <f>F427*H427</f>
        <v>2127</v>
      </c>
      <c r="H427" s="13">
        <v>1</v>
      </c>
      <c r="I427" s="14" t="s">
        <v>12</v>
      </c>
      <c r="J427" s="10" t="s">
        <v>207</v>
      </c>
      <c r="K427" s="13" t="str">
        <f t="shared" si="242"/>
        <v>Блок10</v>
      </c>
      <c r="L427" s="13"/>
      <c r="M427" s="13"/>
      <c r="N427" s="13"/>
      <c r="O427" s="26">
        <f t="shared" si="243"/>
        <v>1</v>
      </c>
      <c r="P427" s="26">
        <f>O427*H427</f>
        <v>1</v>
      </c>
      <c r="Q427" s="27">
        <f>P427*E427</f>
        <v>7090</v>
      </c>
    </row>
    <row r="428" spans="1:17" ht="35.25" customHeight="1" x14ac:dyDescent="0.25">
      <c r="A428" s="13" t="str">
        <f t="shared" si="240"/>
        <v>РЩ1-10 (АВР-Б-40-2-1)</v>
      </c>
      <c r="B428" s="10" t="s">
        <v>15</v>
      </c>
      <c r="C428" s="11" t="s">
        <v>299</v>
      </c>
      <c r="D428" s="10" t="s">
        <v>300</v>
      </c>
      <c r="E428" s="10">
        <v>32400</v>
      </c>
      <c r="F428" s="12">
        <f>E428</f>
        <v>32400</v>
      </c>
      <c r="G428" s="12">
        <f>F428*H428</f>
        <v>32400</v>
      </c>
      <c r="H428" s="13">
        <v>1</v>
      </c>
      <c r="I428" s="14" t="s">
        <v>12</v>
      </c>
      <c r="J428" s="10" t="s">
        <v>16</v>
      </c>
      <c r="K428" s="13" t="str">
        <f t="shared" si="242"/>
        <v>Блок10</v>
      </c>
      <c r="L428" s="13"/>
      <c r="M428" s="13"/>
      <c r="N428" s="13"/>
      <c r="O428" s="26">
        <f t="shared" si="243"/>
        <v>1</v>
      </c>
      <c r="P428" s="26">
        <f>O428*H428</f>
        <v>1</v>
      </c>
      <c r="Q428" s="27">
        <f t="shared" ref="Q428:Q438" si="245">P428*F428</f>
        <v>32400</v>
      </c>
    </row>
    <row r="429" spans="1:17" ht="35.25" customHeight="1" x14ac:dyDescent="0.25">
      <c r="A429" s="13" t="str">
        <f t="shared" si="240"/>
        <v>РЩ1-10 (АВР-Б-40-2-1)</v>
      </c>
      <c r="B429" s="10" t="s">
        <v>30</v>
      </c>
      <c r="C429" s="11"/>
      <c r="D429" s="10" t="s">
        <v>31</v>
      </c>
      <c r="E429" s="10">
        <v>3850</v>
      </c>
      <c r="F429" s="12">
        <f>E429</f>
        <v>3850</v>
      </c>
      <c r="G429" s="12">
        <f>F429*H429</f>
        <v>23100</v>
      </c>
      <c r="H429" s="13">
        <v>6</v>
      </c>
      <c r="I429" s="14" t="s">
        <v>12</v>
      </c>
      <c r="J429" s="10" t="s">
        <v>25</v>
      </c>
      <c r="K429" s="13" t="str">
        <f t="shared" si="242"/>
        <v>Блок10</v>
      </c>
      <c r="L429" s="13"/>
      <c r="M429" s="13"/>
      <c r="N429" s="13"/>
      <c r="O429" s="26">
        <f t="shared" si="243"/>
        <v>1</v>
      </c>
      <c r="P429" s="26">
        <f>O429*H429</f>
        <v>6</v>
      </c>
      <c r="Q429" s="27">
        <f t="shared" si="245"/>
        <v>23100</v>
      </c>
    </row>
    <row r="430" spans="1:17" ht="35.25" customHeight="1" x14ac:dyDescent="0.25">
      <c r="A430" s="10" t="str">
        <f t="shared" si="240"/>
        <v>РЩ1-10 (АВР-Б-40-2-1)</v>
      </c>
      <c r="B430" s="10" t="s">
        <v>19</v>
      </c>
      <c r="C430" s="11" t="s">
        <v>19</v>
      </c>
      <c r="D430" s="10" t="s">
        <v>19</v>
      </c>
      <c r="E430" s="10">
        <f ca="1">OFFSET(E430,1,2)</f>
        <v>39000</v>
      </c>
      <c r="F430" s="12">
        <f ca="1">E430</f>
        <v>39000</v>
      </c>
      <c r="G430" s="12">
        <f ca="1">F430*H430</f>
        <v>39000</v>
      </c>
      <c r="H430" s="10">
        <v>1</v>
      </c>
      <c r="I430" s="10" t="s">
        <v>12</v>
      </c>
      <c r="J430" s="10" t="s">
        <v>19</v>
      </c>
      <c r="K430" s="13" t="str">
        <f t="shared" si="242"/>
        <v>Блок10</v>
      </c>
      <c r="L430" s="13"/>
      <c r="M430" s="13"/>
      <c r="N430" s="13"/>
      <c r="O430" s="26">
        <f t="shared" si="243"/>
        <v>1</v>
      </c>
      <c r="P430" s="26">
        <f>O430*H430</f>
        <v>1</v>
      </c>
      <c r="Q430" s="27">
        <f t="shared" ca="1" si="245"/>
        <v>39000</v>
      </c>
    </row>
    <row r="431" spans="1:17" ht="35.25" customHeight="1" x14ac:dyDescent="0.25">
      <c r="A431" s="10" t="str">
        <f t="shared" si="240"/>
        <v>РЩ1-10 (АВР-Б-40-2-1)</v>
      </c>
      <c r="B431" s="10" t="s">
        <v>20</v>
      </c>
      <c r="C431" s="11" t="s">
        <v>20</v>
      </c>
      <c r="D431" s="10" t="s">
        <v>20</v>
      </c>
      <c r="E431" s="10">
        <v>6.5</v>
      </c>
      <c r="F431" s="12">
        <v>100</v>
      </c>
      <c r="G431" s="12">
        <f>F431*H431</f>
        <v>39000</v>
      </c>
      <c r="H431" s="10">
        <f>60*E431</f>
        <v>390</v>
      </c>
      <c r="I431" s="10" t="s">
        <v>12</v>
      </c>
      <c r="J431" s="10" t="s">
        <v>20</v>
      </c>
      <c r="K431" s="13" t="str">
        <f t="shared" si="242"/>
        <v>Блок10</v>
      </c>
      <c r="L431" s="13"/>
      <c r="M431" s="13"/>
      <c r="N431" s="13"/>
      <c r="O431" s="26">
        <f t="shared" si="243"/>
        <v>1</v>
      </c>
      <c r="P431" s="26">
        <f>O431*H431</f>
        <v>390</v>
      </c>
      <c r="Q431" s="27">
        <f t="shared" si="245"/>
        <v>39000</v>
      </c>
    </row>
    <row r="432" spans="1:17" ht="35.25" customHeight="1" x14ac:dyDescent="0.25">
      <c r="A432" s="15" t="str">
        <f t="shared" si="240"/>
        <v>РЩ1-10 (АВР-Б-40-2-1)</v>
      </c>
      <c r="B432" s="15"/>
      <c r="C432" s="15"/>
      <c r="D432" s="16"/>
      <c r="E432" s="28"/>
      <c r="F432" s="12">
        <f>E432*0.55</f>
        <v>0</v>
      </c>
      <c r="G432" s="28">
        <f ca="1">SUM(G422:G431)</f>
        <v>302086.8</v>
      </c>
      <c r="H432" s="15"/>
      <c r="I432" s="19"/>
      <c r="J432" s="15"/>
      <c r="K432" s="13" t="str">
        <f t="shared" si="242"/>
        <v>Блок10</v>
      </c>
      <c r="L432" s="13"/>
      <c r="M432" s="13"/>
      <c r="N432" s="13"/>
      <c r="O432" s="26">
        <f t="shared" si="243"/>
        <v>1</v>
      </c>
      <c r="P432" s="26">
        <f>O432*H432</f>
        <v>0</v>
      </c>
      <c r="Q432" s="27">
        <f t="shared" si="245"/>
        <v>0</v>
      </c>
    </row>
    <row r="433" spans="1:17" ht="35.25" customHeight="1" x14ac:dyDescent="0.25">
      <c r="A433" s="8" t="str">
        <f>D433</f>
        <v>ВРУ1-11</v>
      </c>
      <c r="B433" s="4"/>
      <c r="C433" s="5"/>
      <c r="D433" s="4" t="s">
        <v>90</v>
      </c>
      <c r="E433" s="6"/>
      <c r="F433" s="6"/>
      <c r="G433" s="7"/>
      <c r="H433" s="8">
        <v>1</v>
      </c>
      <c r="I433" s="9" t="s">
        <v>9</v>
      </c>
      <c r="J433" s="4" t="s">
        <v>10</v>
      </c>
      <c r="K433" s="8" t="s">
        <v>91</v>
      </c>
      <c r="L433" s="8"/>
      <c r="M433" s="8"/>
      <c r="N433" s="8"/>
      <c r="O433" s="26">
        <f>H433</f>
        <v>1</v>
      </c>
      <c r="P433" s="26">
        <f>O433*H433</f>
        <v>1</v>
      </c>
      <c r="Q433" s="27">
        <f t="shared" si="245"/>
        <v>0</v>
      </c>
    </row>
    <row r="434" spans="1:17" ht="35.25" customHeight="1" x14ac:dyDescent="0.25">
      <c r="A434" s="13" t="str">
        <f t="shared" ref="A434:A444" si="246">A433</f>
        <v>ВРУ1-11</v>
      </c>
      <c r="B434" s="10" t="s">
        <v>11</v>
      </c>
      <c r="C434" s="11" t="s">
        <v>172</v>
      </c>
      <c r="D434" s="10" t="s">
        <v>173</v>
      </c>
      <c r="E434" s="10">
        <v>156500</v>
      </c>
      <c r="F434" s="12">
        <f>0.6*E434</f>
        <v>93900</v>
      </c>
      <c r="G434" s="12">
        <f>F434*H434</f>
        <v>93900</v>
      </c>
      <c r="H434" s="13">
        <v>1</v>
      </c>
      <c r="I434" s="14" t="s">
        <v>12</v>
      </c>
      <c r="J434" s="10" t="s">
        <v>13</v>
      </c>
      <c r="K434" s="13" t="str">
        <f t="shared" ref="K434:K444" si="247">K433</f>
        <v>Блок11</v>
      </c>
      <c r="L434" s="13"/>
      <c r="M434" s="13"/>
      <c r="N434" s="13"/>
      <c r="O434" s="26">
        <f t="shared" ref="O434:O444" si="248">O433</f>
        <v>1</v>
      </c>
      <c r="P434" s="26">
        <f>O434*H434</f>
        <v>1</v>
      </c>
      <c r="Q434" s="27">
        <f t="shared" si="245"/>
        <v>93900</v>
      </c>
    </row>
    <row r="435" spans="1:17" ht="35.25" customHeight="1" x14ac:dyDescent="0.25">
      <c r="A435" s="13" t="str">
        <f t="shared" si="246"/>
        <v>ВРУ1-11</v>
      </c>
      <c r="B435" s="10" t="s">
        <v>23</v>
      </c>
      <c r="C435" s="11" t="s">
        <v>307</v>
      </c>
      <c r="D435" s="10" t="s">
        <v>308</v>
      </c>
      <c r="E435" s="10">
        <v>5523</v>
      </c>
      <c r="F435" s="12">
        <f t="shared" ref="F435:F436" si="249">E435</f>
        <v>5523</v>
      </c>
      <c r="G435" s="12">
        <f>F435*H435</f>
        <v>33138</v>
      </c>
      <c r="H435" s="13">
        <v>6</v>
      </c>
      <c r="I435" s="14" t="s">
        <v>12</v>
      </c>
      <c r="J435" s="10" t="s">
        <v>25</v>
      </c>
      <c r="K435" s="13" t="str">
        <f t="shared" si="247"/>
        <v>Блок11</v>
      </c>
      <c r="L435" s="13"/>
      <c r="M435" s="13"/>
      <c r="N435" s="13"/>
      <c r="O435" s="26">
        <f t="shared" si="248"/>
        <v>1</v>
      </c>
      <c r="P435" s="26">
        <f>O435*H435</f>
        <v>6</v>
      </c>
      <c r="Q435" s="27">
        <f t="shared" si="245"/>
        <v>33138</v>
      </c>
    </row>
    <row r="436" spans="1:17" ht="35.25" customHeight="1" x14ac:dyDescent="0.25">
      <c r="A436" s="13" t="str">
        <f t="shared" si="246"/>
        <v>ВРУ1-11</v>
      </c>
      <c r="B436" s="10" t="s">
        <v>26</v>
      </c>
      <c r="C436" s="11" t="s">
        <v>177</v>
      </c>
      <c r="D436" s="10" t="s">
        <v>178</v>
      </c>
      <c r="E436" s="10">
        <v>25500</v>
      </c>
      <c r="F436" s="12">
        <f t="shared" si="249"/>
        <v>25500</v>
      </c>
      <c r="G436" s="12">
        <f>F436*H436</f>
        <v>51000</v>
      </c>
      <c r="H436" s="13">
        <v>2</v>
      </c>
      <c r="I436" s="14" t="s">
        <v>12</v>
      </c>
      <c r="J436" s="10" t="s">
        <v>25</v>
      </c>
      <c r="K436" s="13" t="str">
        <f t="shared" si="247"/>
        <v>Блок11</v>
      </c>
      <c r="L436" s="13"/>
      <c r="M436" s="13"/>
      <c r="N436" s="13"/>
      <c r="O436" s="26">
        <f t="shared" si="248"/>
        <v>1</v>
      </c>
      <c r="P436" s="26">
        <f>O436*H436</f>
        <v>2</v>
      </c>
      <c r="Q436" s="27">
        <f t="shared" si="245"/>
        <v>51000</v>
      </c>
    </row>
    <row r="437" spans="1:17" ht="35.25" customHeight="1" x14ac:dyDescent="0.25">
      <c r="A437" s="13" t="str">
        <f t="shared" si="246"/>
        <v>ВРУ1-11</v>
      </c>
      <c r="B437" s="10" t="s">
        <v>127</v>
      </c>
      <c r="C437" s="11" t="s">
        <v>130</v>
      </c>
      <c r="D437" s="10" t="s">
        <v>131</v>
      </c>
      <c r="E437" s="10">
        <v>4750</v>
      </c>
      <c r="F437" s="12">
        <f t="shared" ref="F437:F438" si="250">0.6*E437</f>
        <v>2850</v>
      </c>
      <c r="G437" s="12">
        <f>F437*H437</f>
        <v>17100</v>
      </c>
      <c r="H437" s="13">
        <v>6</v>
      </c>
      <c r="I437" s="14" t="s">
        <v>12</v>
      </c>
      <c r="J437" s="10" t="s">
        <v>14</v>
      </c>
      <c r="K437" s="13" t="str">
        <f t="shared" si="247"/>
        <v>Блок11</v>
      </c>
      <c r="L437" s="13"/>
      <c r="M437" s="13"/>
      <c r="N437" s="13"/>
      <c r="O437" s="26">
        <f t="shared" si="248"/>
        <v>1</v>
      </c>
      <c r="P437" s="26">
        <f>O437*H437</f>
        <v>6</v>
      </c>
      <c r="Q437" s="27">
        <f t="shared" si="245"/>
        <v>17100</v>
      </c>
    </row>
    <row r="438" spans="1:17" ht="35.25" customHeight="1" x14ac:dyDescent="0.25">
      <c r="A438" s="13" t="str">
        <f t="shared" si="246"/>
        <v>ВРУ1-11</v>
      </c>
      <c r="B438" s="10" t="s">
        <v>126</v>
      </c>
      <c r="C438" s="11" t="s">
        <v>128</v>
      </c>
      <c r="D438" s="10" t="s">
        <v>129</v>
      </c>
      <c r="E438" s="10">
        <v>3317</v>
      </c>
      <c r="F438" s="12">
        <f t="shared" si="250"/>
        <v>1990.1999999999998</v>
      </c>
      <c r="G438" s="12">
        <f>F438*H438</f>
        <v>11941.199999999999</v>
      </c>
      <c r="H438" s="13">
        <v>6</v>
      </c>
      <c r="I438" s="14" t="s">
        <v>12</v>
      </c>
      <c r="J438" s="10" t="s">
        <v>14</v>
      </c>
      <c r="K438" s="13" t="str">
        <f t="shared" si="247"/>
        <v>Блок11</v>
      </c>
      <c r="L438" s="13"/>
      <c r="M438" s="13"/>
      <c r="N438" s="13"/>
      <c r="O438" s="26">
        <f t="shared" si="248"/>
        <v>1</v>
      </c>
      <c r="P438" s="26">
        <f>O438*H438</f>
        <v>6</v>
      </c>
      <c r="Q438" s="27">
        <f t="shared" si="245"/>
        <v>11941.199999999999</v>
      </c>
    </row>
    <row r="439" spans="1:17" ht="35.25" customHeight="1" x14ac:dyDescent="0.25">
      <c r="A439" s="13" t="str">
        <f t="shared" si="246"/>
        <v>ВРУ1-11</v>
      </c>
      <c r="B439" s="10" t="s">
        <v>293</v>
      </c>
      <c r="C439" s="11" t="s">
        <v>189</v>
      </c>
      <c r="D439" s="10" t="s">
        <v>190</v>
      </c>
      <c r="E439" s="10">
        <v>1390</v>
      </c>
      <c r="F439" s="12">
        <f>0.3*E439</f>
        <v>417</v>
      </c>
      <c r="G439" s="12">
        <f>F439*H439</f>
        <v>834</v>
      </c>
      <c r="H439" s="13">
        <v>2</v>
      </c>
      <c r="I439" s="14" t="s">
        <v>12</v>
      </c>
      <c r="J439" s="10" t="s">
        <v>207</v>
      </c>
      <c r="K439" s="13" t="str">
        <f t="shared" si="247"/>
        <v>Блок11</v>
      </c>
      <c r="L439" s="13"/>
      <c r="M439" s="13"/>
      <c r="N439" s="13"/>
      <c r="O439" s="26">
        <f t="shared" si="248"/>
        <v>1</v>
      </c>
      <c r="P439" s="26">
        <f>O439*H439</f>
        <v>2</v>
      </c>
      <c r="Q439" s="27">
        <f>P439*E439</f>
        <v>2780</v>
      </c>
    </row>
    <row r="440" spans="1:17" ht="35.25" customHeight="1" x14ac:dyDescent="0.25">
      <c r="A440" s="13" t="str">
        <f t="shared" si="246"/>
        <v>ВРУ1-11</v>
      </c>
      <c r="B440" s="10" t="s">
        <v>15</v>
      </c>
      <c r="C440" s="11" t="s">
        <v>297</v>
      </c>
      <c r="D440" s="24" t="s">
        <v>298</v>
      </c>
      <c r="E440" s="10">
        <v>89000</v>
      </c>
      <c r="F440" s="12">
        <f>E440</f>
        <v>89000</v>
      </c>
      <c r="G440" s="12">
        <f>F440*H440</f>
        <v>178000</v>
      </c>
      <c r="H440" s="13">
        <v>2</v>
      </c>
      <c r="I440" s="14" t="s">
        <v>12</v>
      </c>
      <c r="J440" s="10" t="s">
        <v>16</v>
      </c>
      <c r="K440" s="13" t="str">
        <f t="shared" si="247"/>
        <v>Блок11</v>
      </c>
      <c r="L440" s="13"/>
      <c r="M440" s="13"/>
      <c r="N440" s="13"/>
      <c r="O440" s="26">
        <f t="shared" si="248"/>
        <v>1</v>
      </c>
      <c r="P440" s="26">
        <f>O440*H440</f>
        <v>2</v>
      </c>
      <c r="Q440" s="27">
        <f t="shared" ref="Q440:Q447" si="251">P440*F440</f>
        <v>178000</v>
      </c>
    </row>
    <row r="441" spans="1:17" ht="35.25" customHeight="1" x14ac:dyDescent="0.25">
      <c r="A441" s="13" t="str">
        <f t="shared" si="246"/>
        <v>ВРУ1-11</v>
      </c>
      <c r="B441" s="10" t="s">
        <v>30</v>
      </c>
      <c r="C441" s="11"/>
      <c r="D441" s="10" t="s">
        <v>31</v>
      </c>
      <c r="E441" s="10">
        <v>3850</v>
      </c>
      <c r="F441" s="12">
        <f>E441</f>
        <v>3850</v>
      </c>
      <c r="G441" s="12">
        <f>F441*H441</f>
        <v>23100</v>
      </c>
      <c r="H441" s="13">
        <v>6</v>
      </c>
      <c r="I441" s="14" t="s">
        <v>12</v>
      </c>
      <c r="J441" s="10" t="s">
        <v>25</v>
      </c>
      <c r="K441" s="13" t="str">
        <f t="shared" si="247"/>
        <v>Блок11</v>
      </c>
      <c r="L441" s="13"/>
      <c r="M441" s="13"/>
      <c r="N441" s="13"/>
      <c r="O441" s="26">
        <f t="shared" si="248"/>
        <v>1</v>
      </c>
      <c r="P441" s="26">
        <f>O441*H441</f>
        <v>6</v>
      </c>
      <c r="Q441" s="27">
        <f t="shared" si="251"/>
        <v>23100</v>
      </c>
    </row>
    <row r="442" spans="1:17" ht="35.25" customHeight="1" x14ac:dyDescent="0.25">
      <c r="A442" s="10" t="str">
        <f t="shared" si="246"/>
        <v>ВРУ1-11</v>
      </c>
      <c r="B442" s="10" t="s">
        <v>19</v>
      </c>
      <c r="C442" s="11" t="s">
        <v>19</v>
      </c>
      <c r="D442" s="10" t="s">
        <v>19</v>
      </c>
      <c r="E442" s="10">
        <f ca="1">OFFSET(E442,1,2)</f>
        <v>48000</v>
      </c>
      <c r="F442" s="12">
        <f ca="1">E442</f>
        <v>48000</v>
      </c>
      <c r="G442" s="12">
        <f ca="1">F442*H442</f>
        <v>48000</v>
      </c>
      <c r="H442" s="10">
        <v>1</v>
      </c>
      <c r="I442" s="10" t="s">
        <v>12</v>
      </c>
      <c r="J442" s="10" t="s">
        <v>19</v>
      </c>
      <c r="K442" s="13" t="str">
        <f t="shared" si="247"/>
        <v>Блок11</v>
      </c>
      <c r="L442" s="13"/>
      <c r="M442" s="13"/>
      <c r="N442" s="13"/>
      <c r="O442" s="26">
        <f t="shared" si="248"/>
        <v>1</v>
      </c>
      <c r="P442" s="26">
        <f>O442*H442</f>
        <v>1</v>
      </c>
      <c r="Q442" s="27">
        <f t="shared" ca="1" si="251"/>
        <v>48000</v>
      </c>
    </row>
    <row r="443" spans="1:17" ht="35.25" customHeight="1" x14ac:dyDescent="0.25">
      <c r="A443" s="10" t="str">
        <f t="shared" si="246"/>
        <v>ВРУ1-11</v>
      </c>
      <c r="B443" s="10" t="s">
        <v>20</v>
      </c>
      <c r="C443" s="11" t="s">
        <v>20</v>
      </c>
      <c r="D443" s="10" t="s">
        <v>20</v>
      </c>
      <c r="E443" s="10">
        <v>8</v>
      </c>
      <c r="F443" s="12">
        <v>100</v>
      </c>
      <c r="G443" s="12">
        <f>F443*H443</f>
        <v>48000</v>
      </c>
      <c r="H443" s="10">
        <f>60*E443</f>
        <v>480</v>
      </c>
      <c r="I443" s="10" t="s">
        <v>12</v>
      </c>
      <c r="J443" s="10" t="s">
        <v>20</v>
      </c>
      <c r="K443" s="13" t="str">
        <f t="shared" si="247"/>
        <v>Блок11</v>
      </c>
      <c r="L443" s="13"/>
      <c r="M443" s="13"/>
      <c r="N443" s="13"/>
      <c r="O443" s="26">
        <f t="shared" si="248"/>
        <v>1</v>
      </c>
      <c r="P443" s="26">
        <f>O443*H443</f>
        <v>480</v>
      </c>
      <c r="Q443" s="27">
        <f t="shared" si="251"/>
        <v>48000</v>
      </c>
    </row>
    <row r="444" spans="1:17" ht="35.25" customHeight="1" x14ac:dyDescent="0.25">
      <c r="A444" s="15" t="str">
        <f t="shared" si="246"/>
        <v>ВРУ1-11</v>
      </c>
      <c r="B444" s="15"/>
      <c r="C444" s="15"/>
      <c r="D444" s="16"/>
      <c r="E444" s="28"/>
      <c r="F444" s="12">
        <f>E444*0.55</f>
        <v>0</v>
      </c>
      <c r="G444" s="28">
        <f ca="1">SUM(G434:G443)</f>
        <v>505013.2</v>
      </c>
      <c r="H444" s="15"/>
      <c r="I444" s="19"/>
      <c r="J444" s="15"/>
      <c r="K444" s="13" t="str">
        <f t="shared" si="247"/>
        <v>Блок11</v>
      </c>
      <c r="L444" s="13"/>
      <c r="M444" s="13"/>
      <c r="N444" s="13"/>
      <c r="O444" s="26">
        <f t="shared" si="248"/>
        <v>1</v>
      </c>
      <c r="P444" s="26">
        <f>O444*H444</f>
        <v>0</v>
      </c>
      <c r="Q444" s="27">
        <f t="shared" si="251"/>
        <v>0</v>
      </c>
    </row>
    <row r="445" spans="1:17" ht="35.25" customHeight="1" x14ac:dyDescent="0.25">
      <c r="A445" s="8" t="str">
        <f>D445</f>
        <v>РУ-1-11</v>
      </c>
      <c r="B445" s="4"/>
      <c r="C445" s="5"/>
      <c r="D445" s="4" t="s">
        <v>92</v>
      </c>
      <c r="E445" s="6"/>
      <c r="F445" s="6"/>
      <c r="G445" s="7"/>
      <c r="H445" s="8">
        <v>1</v>
      </c>
      <c r="I445" s="9" t="s">
        <v>9</v>
      </c>
      <c r="J445" s="4" t="s">
        <v>10</v>
      </c>
      <c r="K445" s="8" t="s">
        <v>91</v>
      </c>
      <c r="L445" s="8"/>
      <c r="M445" s="8"/>
      <c r="N445" s="8"/>
      <c r="O445" s="26">
        <f>H445</f>
        <v>1</v>
      </c>
      <c r="P445" s="26">
        <f>O445*H445</f>
        <v>1</v>
      </c>
      <c r="Q445" s="27">
        <f t="shared" si="251"/>
        <v>0</v>
      </c>
    </row>
    <row r="446" spans="1:17" ht="35.25" customHeight="1" x14ac:dyDescent="0.25">
      <c r="A446" s="13" t="str">
        <f t="shared" ref="A446:A453" si="252">A445</f>
        <v>РУ-1-11</v>
      </c>
      <c r="B446" s="10" t="s">
        <v>11</v>
      </c>
      <c r="C446" s="11" t="s">
        <v>170</v>
      </c>
      <c r="D446" s="10" t="s">
        <v>171</v>
      </c>
      <c r="E446" s="10">
        <v>145000</v>
      </c>
      <c r="F446" s="12">
        <f t="shared" ref="F446:F447" si="253">0.6*E446</f>
        <v>87000</v>
      </c>
      <c r="G446" s="12">
        <f>F446*H446</f>
        <v>87000</v>
      </c>
      <c r="H446" s="13">
        <v>1</v>
      </c>
      <c r="I446" s="14" t="s">
        <v>12</v>
      </c>
      <c r="J446" s="10" t="s">
        <v>13</v>
      </c>
      <c r="K446" s="13" t="str">
        <f t="shared" ref="K446:K453" si="254">K445</f>
        <v>Блок11</v>
      </c>
      <c r="L446" s="13"/>
      <c r="M446" s="13"/>
      <c r="N446" s="13"/>
      <c r="O446" s="26">
        <f t="shared" ref="O446:O453" si="255">O445</f>
        <v>1</v>
      </c>
      <c r="P446" s="26">
        <f>O446*H446</f>
        <v>1</v>
      </c>
      <c r="Q446" s="27">
        <f t="shared" si="251"/>
        <v>87000</v>
      </c>
    </row>
    <row r="447" spans="1:17" ht="35.25" customHeight="1" x14ac:dyDescent="0.25">
      <c r="A447" s="13" t="str">
        <f t="shared" si="252"/>
        <v>РУ-1-11</v>
      </c>
      <c r="B447" s="10" t="s">
        <v>294</v>
      </c>
      <c r="C447" s="11" t="s">
        <v>229</v>
      </c>
      <c r="D447" s="10" t="s">
        <v>230</v>
      </c>
      <c r="E447" s="10">
        <v>34800</v>
      </c>
      <c r="F447" s="12">
        <f t="shared" si="253"/>
        <v>20880</v>
      </c>
      <c r="G447" s="12">
        <f>F447*H447</f>
        <v>20880</v>
      </c>
      <c r="H447" s="13">
        <v>1</v>
      </c>
      <c r="I447" s="14" t="s">
        <v>12</v>
      </c>
      <c r="J447" s="10" t="s">
        <v>14</v>
      </c>
      <c r="K447" s="13" t="str">
        <f t="shared" si="254"/>
        <v>Блок11</v>
      </c>
      <c r="L447" s="13"/>
      <c r="M447" s="13"/>
      <c r="N447" s="13"/>
      <c r="O447" s="26">
        <f t="shared" si="255"/>
        <v>1</v>
      </c>
      <c r="P447" s="26">
        <f>O447*H447</f>
        <v>1</v>
      </c>
      <c r="Q447" s="27">
        <f t="shared" si="251"/>
        <v>20880</v>
      </c>
    </row>
    <row r="448" spans="1:17" ht="35.25" customHeight="1" x14ac:dyDescent="0.25">
      <c r="A448" s="13" t="str">
        <f t="shared" si="252"/>
        <v>РУ-1-11</v>
      </c>
      <c r="B448" s="10" t="s">
        <v>294</v>
      </c>
      <c r="C448" s="11" t="s">
        <v>227</v>
      </c>
      <c r="D448" s="10" t="s">
        <v>228</v>
      </c>
      <c r="E448" s="10">
        <v>29990</v>
      </c>
      <c r="F448" s="12">
        <f t="shared" ref="F448:F450" si="256">0.3*E448</f>
        <v>8997</v>
      </c>
      <c r="G448" s="12">
        <f>F448*H448</f>
        <v>17994</v>
      </c>
      <c r="H448" s="13">
        <v>2</v>
      </c>
      <c r="I448" s="14" t="s">
        <v>12</v>
      </c>
      <c r="J448" s="10" t="s">
        <v>207</v>
      </c>
      <c r="K448" s="13" t="str">
        <f t="shared" si="254"/>
        <v>Блок11</v>
      </c>
      <c r="L448" s="13"/>
      <c r="M448" s="13"/>
      <c r="N448" s="13"/>
      <c r="O448" s="26">
        <f t="shared" si="255"/>
        <v>1</v>
      </c>
      <c r="P448" s="26">
        <f>O448*H448</f>
        <v>2</v>
      </c>
      <c r="Q448" s="27">
        <f>P448*E448</f>
        <v>59980</v>
      </c>
    </row>
    <row r="449" spans="1:17" ht="35.25" customHeight="1" x14ac:dyDescent="0.25">
      <c r="A449" s="13" t="str">
        <f t="shared" si="252"/>
        <v>РУ-1-11</v>
      </c>
      <c r="B449" s="10" t="s">
        <v>293</v>
      </c>
      <c r="C449" s="11" t="s">
        <v>217</v>
      </c>
      <c r="D449" s="10" t="s">
        <v>218</v>
      </c>
      <c r="E449" s="10">
        <v>7850</v>
      </c>
      <c r="F449" s="12">
        <f t="shared" si="256"/>
        <v>2355</v>
      </c>
      <c r="G449" s="12">
        <f>F449*H449</f>
        <v>4710</v>
      </c>
      <c r="H449" s="13">
        <v>2</v>
      </c>
      <c r="I449" s="14" t="s">
        <v>12</v>
      </c>
      <c r="J449" s="10" t="s">
        <v>207</v>
      </c>
      <c r="K449" s="13" t="str">
        <f t="shared" si="254"/>
        <v>Блок11</v>
      </c>
      <c r="L449" s="13"/>
      <c r="M449" s="13"/>
      <c r="N449" s="13"/>
      <c r="O449" s="26">
        <f t="shared" si="255"/>
        <v>1</v>
      </c>
      <c r="P449" s="26">
        <f>O449*H449</f>
        <v>2</v>
      </c>
      <c r="Q449" s="27">
        <f>P449*E449</f>
        <v>15700</v>
      </c>
    </row>
    <row r="450" spans="1:17" ht="35.25" customHeight="1" x14ac:dyDescent="0.25">
      <c r="A450" s="13" t="str">
        <f t="shared" si="252"/>
        <v>РУ-1-11</v>
      </c>
      <c r="B450" s="10" t="s">
        <v>293</v>
      </c>
      <c r="C450" s="11" t="s">
        <v>215</v>
      </c>
      <c r="D450" s="10" t="s">
        <v>216</v>
      </c>
      <c r="E450" s="10">
        <v>7850</v>
      </c>
      <c r="F450" s="12">
        <f t="shared" si="256"/>
        <v>2355</v>
      </c>
      <c r="G450" s="12">
        <f>F450*H450</f>
        <v>2355</v>
      </c>
      <c r="H450" s="13">
        <v>1</v>
      </c>
      <c r="I450" s="14" t="s">
        <v>12</v>
      </c>
      <c r="J450" s="10" t="s">
        <v>207</v>
      </c>
      <c r="K450" s="13" t="str">
        <f t="shared" si="254"/>
        <v>Блок11</v>
      </c>
      <c r="L450" s="13"/>
      <c r="M450" s="13"/>
      <c r="N450" s="13"/>
      <c r="O450" s="26">
        <f t="shared" si="255"/>
        <v>1</v>
      </c>
      <c r="P450" s="26">
        <f>O450*H450</f>
        <v>1</v>
      </c>
      <c r="Q450" s="27">
        <f>P450*E450</f>
        <v>7850</v>
      </c>
    </row>
    <row r="451" spans="1:17" ht="35.25" customHeight="1" x14ac:dyDescent="0.25">
      <c r="A451" s="10" t="str">
        <f t="shared" si="252"/>
        <v>РУ-1-11</v>
      </c>
      <c r="B451" s="10" t="s">
        <v>19</v>
      </c>
      <c r="C451" s="11" t="s">
        <v>19</v>
      </c>
      <c r="D451" s="10" t="s">
        <v>19</v>
      </c>
      <c r="E451" s="10">
        <f ca="1">OFFSET(E451,1,2)</f>
        <v>27000</v>
      </c>
      <c r="F451" s="12">
        <f ca="1">E451</f>
        <v>27000</v>
      </c>
      <c r="G451" s="12">
        <f ca="1">F451*H451</f>
        <v>27000</v>
      </c>
      <c r="H451" s="10">
        <v>1</v>
      </c>
      <c r="I451" s="10" t="s">
        <v>12</v>
      </c>
      <c r="J451" s="10" t="s">
        <v>19</v>
      </c>
      <c r="K451" s="13" t="str">
        <f t="shared" si="254"/>
        <v>Блок11</v>
      </c>
      <c r="L451" s="13"/>
      <c r="M451" s="13"/>
      <c r="N451" s="13"/>
      <c r="O451" s="26">
        <f t="shared" si="255"/>
        <v>1</v>
      </c>
      <c r="P451" s="26">
        <f>O451*H451</f>
        <v>1</v>
      </c>
      <c r="Q451" s="27">
        <f ca="1">P451*F451</f>
        <v>27000</v>
      </c>
    </row>
    <row r="452" spans="1:17" ht="35.25" customHeight="1" x14ac:dyDescent="0.25">
      <c r="A452" s="10" t="str">
        <f t="shared" si="252"/>
        <v>РУ-1-11</v>
      </c>
      <c r="B452" s="10" t="s">
        <v>20</v>
      </c>
      <c r="C452" s="11" t="s">
        <v>20</v>
      </c>
      <c r="D452" s="10" t="s">
        <v>20</v>
      </c>
      <c r="E452" s="10">
        <v>4.5</v>
      </c>
      <c r="F452" s="12">
        <v>100</v>
      </c>
      <c r="G452" s="12">
        <f>F452*H452</f>
        <v>27000</v>
      </c>
      <c r="H452" s="10">
        <f>60*E452</f>
        <v>270</v>
      </c>
      <c r="I452" s="10" t="s">
        <v>12</v>
      </c>
      <c r="J452" s="10" t="s">
        <v>20</v>
      </c>
      <c r="K452" s="13" t="str">
        <f t="shared" si="254"/>
        <v>Блок11</v>
      </c>
      <c r="L452" s="13"/>
      <c r="M452" s="13"/>
      <c r="N452" s="13"/>
      <c r="O452" s="26">
        <f t="shared" si="255"/>
        <v>1</v>
      </c>
      <c r="P452" s="26">
        <f>O452*H452</f>
        <v>270</v>
      </c>
      <c r="Q452" s="27">
        <f>P452*F452</f>
        <v>27000</v>
      </c>
    </row>
    <row r="453" spans="1:17" ht="35.25" customHeight="1" x14ac:dyDescent="0.25">
      <c r="A453" s="15" t="str">
        <f t="shared" si="252"/>
        <v>РУ-1-11</v>
      </c>
      <c r="B453" s="15"/>
      <c r="C453" s="15"/>
      <c r="D453" s="16"/>
      <c r="E453" s="28"/>
      <c r="F453" s="12">
        <f t="shared" ref="F453" si="257">E453*0.55</f>
        <v>0</v>
      </c>
      <c r="G453" s="28">
        <f ca="1">SUM(G446:G452)</f>
        <v>186939</v>
      </c>
      <c r="H453" s="15"/>
      <c r="I453" s="19"/>
      <c r="J453" s="15"/>
      <c r="K453" s="13" t="str">
        <f t="shared" si="254"/>
        <v>Блок11</v>
      </c>
      <c r="L453" s="13"/>
      <c r="M453" s="13"/>
      <c r="N453" s="13"/>
      <c r="O453" s="26">
        <f t="shared" si="255"/>
        <v>1</v>
      </c>
      <c r="P453" s="26">
        <f>O453*H453</f>
        <v>0</v>
      </c>
      <c r="Q453" s="27">
        <f>P453*F453</f>
        <v>0</v>
      </c>
    </row>
    <row r="454" spans="1:17" ht="35.25" customHeight="1" x14ac:dyDescent="0.25">
      <c r="A454" s="8" t="str">
        <f>D454</f>
        <v>ЩУР.МОП1-11</v>
      </c>
      <c r="B454" s="4"/>
      <c r="C454" s="5"/>
      <c r="D454" s="4" t="s">
        <v>93</v>
      </c>
      <c r="E454" s="6"/>
      <c r="F454" s="6"/>
      <c r="G454" s="7"/>
      <c r="H454" s="8">
        <v>1</v>
      </c>
      <c r="I454" s="9" t="s">
        <v>9</v>
      </c>
      <c r="J454" s="4" t="s">
        <v>10</v>
      </c>
      <c r="K454" s="8" t="s">
        <v>91</v>
      </c>
      <c r="L454" s="8"/>
      <c r="M454" s="8"/>
      <c r="N454" s="8"/>
      <c r="O454" s="26">
        <f>H454</f>
        <v>1</v>
      </c>
      <c r="P454" s="26">
        <f>O454*H454</f>
        <v>1</v>
      </c>
      <c r="Q454" s="27">
        <f>P454*F454</f>
        <v>0</v>
      </c>
    </row>
    <row r="455" spans="1:17" ht="35.25" customHeight="1" x14ac:dyDescent="0.25">
      <c r="A455" s="13" t="str">
        <f t="shared" ref="A455:A461" si="258">A454</f>
        <v>ЩУР.МОП1-11</v>
      </c>
      <c r="B455" s="10" t="s">
        <v>11</v>
      </c>
      <c r="C455" s="11" t="s">
        <v>328</v>
      </c>
      <c r="D455" s="10" t="s">
        <v>329</v>
      </c>
      <c r="E455" s="10">
        <v>27000</v>
      </c>
      <c r="F455" s="12">
        <f>0.6*E455</f>
        <v>16200</v>
      </c>
      <c r="G455" s="12">
        <f>F455*H455</f>
        <v>16200</v>
      </c>
      <c r="H455" s="13">
        <v>1</v>
      </c>
      <c r="I455" s="14" t="s">
        <v>12</v>
      </c>
      <c r="J455" s="10" t="s">
        <v>13</v>
      </c>
      <c r="K455" s="13" t="str">
        <f t="shared" ref="K455:K461" si="259">K454</f>
        <v>Блок11</v>
      </c>
      <c r="L455" s="13"/>
      <c r="M455" s="13"/>
      <c r="N455" s="13"/>
      <c r="O455" s="26">
        <f t="shared" ref="O455:O461" si="260">O454</f>
        <v>1</v>
      </c>
      <c r="P455" s="26">
        <f>O455*H455</f>
        <v>1</v>
      </c>
      <c r="Q455" s="27">
        <f>P455*F455</f>
        <v>16200</v>
      </c>
    </row>
    <row r="456" spans="1:17" ht="35.25" customHeight="1" x14ac:dyDescent="0.25">
      <c r="A456" s="13" t="str">
        <f t="shared" si="258"/>
        <v>ЩУР.МОП1-11</v>
      </c>
      <c r="B456" s="10" t="s">
        <v>293</v>
      </c>
      <c r="C456" s="11" t="s">
        <v>195</v>
      </c>
      <c r="D456" s="10" t="s">
        <v>196</v>
      </c>
      <c r="E456" s="10">
        <v>6190</v>
      </c>
      <c r="F456" s="12">
        <f t="shared" ref="F456:F457" si="261">0.3*E456</f>
        <v>1857</v>
      </c>
      <c r="G456" s="12">
        <f>F456*H456</f>
        <v>1857</v>
      </c>
      <c r="H456" s="13">
        <v>1</v>
      </c>
      <c r="I456" s="14" t="s">
        <v>12</v>
      </c>
      <c r="J456" s="10" t="s">
        <v>207</v>
      </c>
      <c r="K456" s="13" t="str">
        <f t="shared" si="259"/>
        <v>Блок11</v>
      </c>
      <c r="L456" s="13"/>
      <c r="M456" s="13"/>
      <c r="N456" s="13"/>
      <c r="O456" s="26">
        <f t="shared" si="260"/>
        <v>1</v>
      </c>
      <c r="P456" s="26">
        <f>O456*H456</f>
        <v>1</v>
      </c>
      <c r="Q456" s="27">
        <f>P456*E456</f>
        <v>6190</v>
      </c>
    </row>
    <row r="457" spans="1:17" ht="35.25" customHeight="1" x14ac:dyDescent="0.25">
      <c r="A457" s="13" t="str">
        <f t="shared" si="258"/>
        <v>ЩУР.МОП1-11</v>
      </c>
      <c r="B457" s="10" t="s">
        <v>293</v>
      </c>
      <c r="C457" s="11" t="s">
        <v>193</v>
      </c>
      <c r="D457" s="10" t="s">
        <v>194</v>
      </c>
      <c r="E457" s="10">
        <v>6580</v>
      </c>
      <c r="F457" s="12">
        <f t="shared" si="261"/>
        <v>1974</v>
      </c>
      <c r="G457" s="12">
        <f>F457*H457</f>
        <v>7896</v>
      </c>
      <c r="H457" s="13">
        <v>4</v>
      </c>
      <c r="I457" s="14" t="s">
        <v>12</v>
      </c>
      <c r="J457" s="10" t="s">
        <v>207</v>
      </c>
      <c r="K457" s="13" t="str">
        <f t="shared" si="259"/>
        <v>Блок11</v>
      </c>
      <c r="L457" s="13"/>
      <c r="M457" s="13"/>
      <c r="N457" s="13"/>
      <c r="O457" s="26">
        <f t="shared" si="260"/>
        <v>1</v>
      </c>
      <c r="P457" s="26">
        <f>O457*H457</f>
        <v>4</v>
      </c>
      <c r="Q457" s="27">
        <f>P457*E457</f>
        <v>26320</v>
      </c>
    </row>
    <row r="458" spans="1:17" ht="35.25" customHeight="1" x14ac:dyDescent="0.25">
      <c r="A458" s="13" t="str">
        <f t="shared" si="258"/>
        <v>ЩУР.МОП1-11</v>
      </c>
      <c r="B458" s="10" t="s">
        <v>15</v>
      </c>
      <c r="C458" s="11" t="s">
        <v>299</v>
      </c>
      <c r="D458" s="10" t="s">
        <v>300</v>
      </c>
      <c r="E458" s="10">
        <v>32400</v>
      </c>
      <c r="F458" s="12">
        <f>E458</f>
        <v>32400</v>
      </c>
      <c r="G458" s="12">
        <f>F458*H458</f>
        <v>32400</v>
      </c>
      <c r="H458" s="13">
        <v>1</v>
      </c>
      <c r="I458" s="14" t="s">
        <v>12</v>
      </c>
      <c r="J458" s="10" t="s">
        <v>16</v>
      </c>
      <c r="K458" s="13" t="str">
        <f t="shared" si="259"/>
        <v>Блок11</v>
      </c>
      <c r="L458" s="13"/>
      <c r="M458" s="13"/>
      <c r="N458" s="13"/>
      <c r="O458" s="26">
        <f t="shared" si="260"/>
        <v>1</v>
      </c>
      <c r="P458" s="26">
        <f>O458*H458</f>
        <v>1</v>
      </c>
      <c r="Q458" s="27">
        <f t="shared" ref="Q458:Q464" si="262">P458*F458</f>
        <v>32400</v>
      </c>
    </row>
    <row r="459" spans="1:17" ht="35.25" customHeight="1" x14ac:dyDescent="0.25">
      <c r="A459" s="10" t="str">
        <f t="shared" si="258"/>
        <v>ЩУР.МОП1-11</v>
      </c>
      <c r="B459" s="10" t="s">
        <v>19</v>
      </c>
      <c r="C459" s="11" t="s">
        <v>19</v>
      </c>
      <c r="D459" s="10" t="s">
        <v>19</v>
      </c>
      <c r="E459" s="10">
        <f ca="1">OFFSET(E459,1,2)</f>
        <v>12000</v>
      </c>
      <c r="F459" s="12">
        <f ca="1">E459</f>
        <v>12000</v>
      </c>
      <c r="G459" s="12">
        <f ca="1">F459*H459</f>
        <v>12000</v>
      </c>
      <c r="H459" s="10">
        <v>1</v>
      </c>
      <c r="I459" s="10" t="s">
        <v>12</v>
      </c>
      <c r="J459" s="10" t="s">
        <v>19</v>
      </c>
      <c r="K459" s="13" t="str">
        <f t="shared" si="259"/>
        <v>Блок11</v>
      </c>
      <c r="L459" s="13"/>
      <c r="M459" s="13"/>
      <c r="N459" s="13"/>
      <c r="O459" s="26">
        <f t="shared" si="260"/>
        <v>1</v>
      </c>
      <c r="P459" s="26">
        <f>O459*H459</f>
        <v>1</v>
      </c>
      <c r="Q459" s="27">
        <f t="shared" ca="1" si="262"/>
        <v>12000</v>
      </c>
    </row>
    <row r="460" spans="1:17" ht="35.25" customHeight="1" x14ac:dyDescent="0.25">
      <c r="A460" s="10" t="str">
        <f t="shared" si="258"/>
        <v>ЩУР.МОП1-11</v>
      </c>
      <c r="B460" s="10" t="s">
        <v>20</v>
      </c>
      <c r="C460" s="11" t="s">
        <v>20</v>
      </c>
      <c r="D460" s="10" t="s">
        <v>20</v>
      </c>
      <c r="E460" s="10">
        <v>2</v>
      </c>
      <c r="F460" s="12">
        <v>100</v>
      </c>
      <c r="G460" s="12">
        <f>F460*H460</f>
        <v>12000</v>
      </c>
      <c r="H460" s="10">
        <f>60*E460</f>
        <v>120</v>
      </c>
      <c r="I460" s="10" t="s">
        <v>12</v>
      </c>
      <c r="J460" s="10" t="s">
        <v>20</v>
      </c>
      <c r="K460" s="13" t="str">
        <f t="shared" si="259"/>
        <v>Блок11</v>
      </c>
      <c r="L460" s="13"/>
      <c r="M460" s="13"/>
      <c r="N460" s="13"/>
      <c r="O460" s="26">
        <f t="shared" si="260"/>
        <v>1</v>
      </c>
      <c r="P460" s="26">
        <f>O460*H460</f>
        <v>120</v>
      </c>
      <c r="Q460" s="27">
        <f t="shared" si="262"/>
        <v>12000</v>
      </c>
    </row>
    <row r="461" spans="1:17" ht="35.25" customHeight="1" x14ac:dyDescent="0.25">
      <c r="A461" s="15" t="str">
        <f t="shared" si="258"/>
        <v>ЩУР.МОП1-11</v>
      </c>
      <c r="B461" s="15"/>
      <c r="C461" s="15"/>
      <c r="D461" s="16"/>
      <c r="E461" s="28"/>
      <c r="F461" s="12">
        <f>E461*0.55</f>
        <v>0</v>
      </c>
      <c r="G461" s="28">
        <f ca="1">SUM(G455:G460)</f>
        <v>82353</v>
      </c>
      <c r="H461" s="15"/>
      <c r="I461" s="19"/>
      <c r="J461" s="15"/>
      <c r="K461" s="13" t="str">
        <f t="shared" si="259"/>
        <v>Блок11</v>
      </c>
      <c r="L461" s="13"/>
      <c r="M461" s="13"/>
      <c r="N461" s="13"/>
      <c r="O461" s="26">
        <f t="shared" si="260"/>
        <v>1</v>
      </c>
      <c r="P461" s="26">
        <f>O461*H461</f>
        <v>0</v>
      </c>
      <c r="Q461" s="27">
        <f t="shared" si="262"/>
        <v>0</v>
      </c>
    </row>
    <row r="462" spans="1:17" ht="35.25" customHeight="1" x14ac:dyDescent="0.25">
      <c r="A462" s="8" t="str">
        <f>D462</f>
        <v>РЩ1-11 (АВР-Б-40-2-1)</v>
      </c>
      <c r="B462" s="4"/>
      <c r="C462" s="5"/>
      <c r="D462" s="4" t="s">
        <v>143</v>
      </c>
      <c r="E462" s="6"/>
      <c r="F462" s="6"/>
      <c r="G462" s="7"/>
      <c r="H462" s="8">
        <v>1</v>
      </c>
      <c r="I462" s="9" t="s">
        <v>9</v>
      </c>
      <c r="J462" s="4" t="s">
        <v>10</v>
      </c>
      <c r="K462" s="8" t="s">
        <v>91</v>
      </c>
      <c r="L462" s="8"/>
      <c r="M462" s="8"/>
      <c r="N462" s="8"/>
      <c r="O462" s="26">
        <f>H462</f>
        <v>1</v>
      </c>
      <c r="P462" s="26">
        <f>O462*H462</f>
        <v>1</v>
      </c>
      <c r="Q462" s="27">
        <f t="shared" si="262"/>
        <v>0</v>
      </c>
    </row>
    <row r="463" spans="1:17" ht="35.25" customHeight="1" x14ac:dyDescent="0.25">
      <c r="A463" s="13" t="str">
        <f t="shared" ref="A463:A474" si="263">A462</f>
        <v>РЩ1-11 (АВР-Б-40-2-1)</v>
      </c>
      <c r="B463" s="10" t="s">
        <v>11</v>
      </c>
      <c r="C463" s="11" t="s">
        <v>168</v>
      </c>
      <c r="D463" s="10" t="s">
        <v>169</v>
      </c>
      <c r="E463" s="10">
        <v>130000</v>
      </c>
      <c r="F463" s="12">
        <f t="shared" ref="F463:F464" si="264">0.6*E463</f>
        <v>78000</v>
      </c>
      <c r="G463" s="12">
        <f>F463*H463</f>
        <v>78000</v>
      </c>
      <c r="H463" s="13">
        <v>1</v>
      </c>
      <c r="I463" s="14" t="s">
        <v>12</v>
      </c>
      <c r="J463" s="10" t="s">
        <v>13</v>
      </c>
      <c r="K463" s="13" t="str">
        <f t="shared" ref="K463:K474" si="265">K462</f>
        <v>Блок11</v>
      </c>
      <c r="L463" s="13"/>
      <c r="M463" s="13"/>
      <c r="N463" s="13"/>
      <c r="O463" s="26">
        <f t="shared" ref="O463:O474" si="266">O462</f>
        <v>1</v>
      </c>
      <c r="P463" s="26">
        <f>O463*H463</f>
        <v>1</v>
      </c>
      <c r="Q463" s="27">
        <f t="shared" si="262"/>
        <v>78000</v>
      </c>
    </row>
    <row r="464" spans="1:17" ht="35.25" customHeight="1" x14ac:dyDescent="0.25">
      <c r="A464" s="13" t="str">
        <f t="shared" si="263"/>
        <v>РЩ1-11 (АВР-Б-40-2-1)</v>
      </c>
      <c r="B464" s="10" t="s">
        <v>44</v>
      </c>
      <c r="C464" s="11" t="s">
        <v>162</v>
      </c>
      <c r="D464" s="10" t="s">
        <v>163</v>
      </c>
      <c r="E464" s="10">
        <v>114758</v>
      </c>
      <c r="F464" s="12">
        <f t="shared" si="264"/>
        <v>68854.8</v>
      </c>
      <c r="G464" s="12">
        <f>F464*H464</f>
        <v>68854.8</v>
      </c>
      <c r="H464" s="13">
        <v>1</v>
      </c>
      <c r="I464" s="14" t="s">
        <v>12</v>
      </c>
      <c r="J464" s="10" t="s">
        <v>14</v>
      </c>
      <c r="K464" s="13" t="str">
        <f t="shared" si="265"/>
        <v>Блок11</v>
      </c>
      <c r="L464" s="13"/>
      <c r="M464" s="13"/>
      <c r="N464" s="13"/>
      <c r="O464" s="26">
        <f t="shared" si="266"/>
        <v>1</v>
      </c>
      <c r="P464" s="26">
        <f>O464*H464</f>
        <v>1</v>
      </c>
      <c r="Q464" s="27">
        <f t="shared" si="262"/>
        <v>68854.8</v>
      </c>
    </row>
    <row r="465" spans="1:17" ht="35.25" customHeight="1" x14ac:dyDescent="0.25">
      <c r="A465" s="13" t="str">
        <f t="shared" si="263"/>
        <v>РЩ1-11 (АВР-Б-40-2-1)</v>
      </c>
      <c r="B465" s="10" t="s">
        <v>293</v>
      </c>
      <c r="C465" s="11" t="s">
        <v>213</v>
      </c>
      <c r="D465" s="10" t="s">
        <v>214</v>
      </c>
      <c r="E465" s="10">
        <v>7690</v>
      </c>
      <c r="F465" s="12">
        <f t="shared" ref="F465:F467" si="267">0.3*E465</f>
        <v>2307</v>
      </c>
      <c r="G465" s="12">
        <f>F465*H465</f>
        <v>4614</v>
      </c>
      <c r="H465" s="13">
        <v>2</v>
      </c>
      <c r="I465" s="14" t="s">
        <v>12</v>
      </c>
      <c r="J465" s="10" t="s">
        <v>207</v>
      </c>
      <c r="K465" s="13" t="str">
        <f t="shared" si="265"/>
        <v>Блок11</v>
      </c>
      <c r="L465" s="13"/>
      <c r="M465" s="13"/>
      <c r="N465" s="13"/>
      <c r="O465" s="26">
        <f t="shared" si="266"/>
        <v>1</v>
      </c>
      <c r="P465" s="26">
        <f>O465*H465</f>
        <v>2</v>
      </c>
      <c r="Q465" s="27">
        <f>P465*E465</f>
        <v>15380</v>
      </c>
    </row>
    <row r="466" spans="1:17" ht="35.25" customHeight="1" x14ac:dyDescent="0.25">
      <c r="A466" s="13" t="str">
        <f t="shared" si="263"/>
        <v>РЩ1-11 (АВР-Б-40-2-1)</v>
      </c>
      <c r="B466" s="10" t="s">
        <v>293</v>
      </c>
      <c r="C466" s="11" t="s">
        <v>231</v>
      </c>
      <c r="D466" s="10" t="s">
        <v>232</v>
      </c>
      <c r="E466" s="10">
        <v>7690</v>
      </c>
      <c r="F466" s="12">
        <f t="shared" si="267"/>
        <v>2307</v>
      </c>
      <c r="G466" s="12">
        <f>F466*H466</f>
        <v>4614</v>
      </c>
      <c r="H466" s="13">
        <v>2</v>
      </c>
      <c r="I466" s="14" t="s">
        <v>12</v>
      </c>
      <c r="J466" s="10" t="s">
        <v>207</v>
      </c>
      <c r="K466" s="13" t="str">
        <f t="shared" si="265"/>
        <v>Блок11</v>
      </c>
      <c r="L466" s="13"/>
      <c r="M466" s="13"/>
      <c r="N466" s="13"/>
      <c r="O466" s="26">
        <f t="shared" si="266"/>
        <v>1</v>
      </c>
      <c r="P466" s="26">
        <f>O466*H466</f>
        <v>2</v>
      </c>
      <c r="Q466" s="27">
        <f>P466*E466</f>
        <v>15380</v>
      </c>
    </row>
    <row r="467" spans="1:17" ht="35.25" customHeight="1" x14ac:dyDescent="0.25">
      <c r="A467" s="13" t="str">
        <f t="shared" si="263"/>
        <v>РЩ1-11 (АВР-Б-40-2-1)</v>
      </c>
      <c r="B467" s="10" t="s">
        <v>294</v>
      </c>
      <c r="C467" s="11" t="s">
        <v>203</v>
      </c>
      <c r="D467" s="10" t="s">
        <v>204</v>
      </c>
      <c r="E467" s="10">
        <v>13450</v>
      </c>
      <c r="F467" s="12">
        <f t="shared" si="267"/>
        <v>4035</v>
      </c>
      <c r="G467" s="12">
        <f>F467*H467</f>
        <v>8070</v>
      </c>
      <c r="H467" s="13">
        <v>2</v>
      </c>
      <c r="I467" s="14" t="s">
        <v>12</v>
      </c>
      <c r="J467" s="10" t="s">
        <v>207</v>
      </c>
      <c r="K467" s="13" t="str">
        <f t="shared" si="265"/>
        <v>Блок11</v>
      </c>
      <c r="L467" s="13"/>
      <c r="M467" s="13"/>
      <c r="N467" s="13"/>
      <c r="O467" s="26">
        <f t="shared" si="266"/>
        <v>1</v>
      </c>
      <c r="P467" s="26">
        <f>O467*H467</f>
        <v>2</v>
      </c>
      <c r="Q467" s="27">
        <f>P467*E467</f>
        <v>26900</v>
      </c>
    </row>
    <row r="468" spans="1:17" ht="35.25" customHeight="1" x14ac:dyDescent="0.25">
      <c r="A468" s="13" t="str">
        <f t="shared" si="263"/>
        <v>РЩ1-11 (АВР-Б-40-2-1)</v>
      </c>
      <c r="B468" s="10" t="s">
        <v>18</v>
      </c>
      <c r="C468" s="11" t="s">
        <v>233</v>
      </c>
      <c r="D468" s="10" t="s">
        <v>234</v>
      </c>
      <c r="E468" s="10">
        <v>5884</v>
      </c>
      <c r="F468" s="12">
        <f>0.6*E468</f>
        <v>3530.4</v>
      </c>
      <c r="G468" s="12">
        <f>F468*H468</f>
        <v>3530.4</v>
      </c>
      <c r="H468" s="13">
        <v>1</v>
      </c>
      <c r="I468" s="14" t="s">
        <v>12</v>
      </c>
      <c r="J468" s="10" t="s">
        <v>14</v>
      </c>
      <c r="K468" s="13" t="str">
        <f t="shared" si="265"/>
        <v>Блок11</v>
      </c>
      <c r="L468" s="13"/>
      <c r="M468" s="13"/>
      <c r="N468" s="13"/>
      <c r="O468" s="26">
        <f t="shared" si="266"/>
        <v>1</v>
      </c>
      <c r="P468" s="26">
        <f>O468*H468</f>
        <v>1</v>
      </c>
      <c r="Q468" s="27">
        <f>P468*F468</f>
        <v>3530.4</v>
      </c>
    </row>
    <row r="469" spans="1:17" ht="35.25" customHeight="1" x14ac:dyDescent="0.25">
      <c r="A469" s="13" t="str">
        <f t="shared" si="263"/>
        <v>РЩ1-11 (АВР-Б-40-2-1)</v>
      </c>
      <c r="B469" s="10" t="s">
        <v>293</v>
      </c>
      <c r="C469" s="11" t="s">
        <v>205</v>
      </c>
      <c r="D469" s="10" t="s">
        <v>206</v>
      </c>
      <c r="E469" s="10">
        <v>7090</v>
      </c>
      <c r="F469" s="12">
        <f>0.3*E469</f>
        <v>2127</v>
      </c>
      <c r="G469" s="12">
        <f>F469*H469</f>
        <v>2127</v>
      </c>
      <c r="H469" s="13">
        <v>1</v>
      </c>
      <c r="I469" s="14" t="s">
        <v>12</v>
      </c>
      <c r="J469" s="10" t="s">
        <v>207</v>
      </c>
      <c r="K469" s="13" t="str">
        <f t="shared" si="265"/>
        <v>Блок11</v>
      </c>
      <c r="L469" s="13"/>
      <c r="M469" s="13"/>
      <c r="N469" s="13"/>
      <c r="O469" s="26">
        <f t="shared" si="266"/>
        <v>1</v>
      </c>
      <c r="P469" s="26">
        <f>O469*H469</f>
        <v>1</v>
      </c>
      <c r="Q469" s="27">
        <f>P469*E469</f>
        <v>7090</v>
      </c>
    </row>
    <row r="470" spans="1:17" ht="35.25" customHeight="1" x14ac:dyDescent="0.25">
      <c r="A470" s="13" t="str">
        <f t="shared" si="263"/>
        <v>РЩ1-11 (АВР-Б-40-2-1)</v>
      </c>
      <c r="B470" s="10" t="s">
        <v>15</v>
      </c>
      <c r="C470" s="11" t="s">
        <v>299</v>
      </c>
      <c r="D470" s="10" t="s">
        <v>300</v>
      </c>
      <c r="E470" s="10">
        <v>32400</v>
      </c>
      <c r="F470" s="12">
        <f>E470</f>
        <v>32400</v>
      </c>
      <c r="G470" s="12">
        <f>F470*H470</f>
        <v>32400</v>
      </c>
      <c r="H470" s="13">
        <v>1</v>
      </c>
      <c r="I470" s="14" t="s">
        <v>12</v>
      </c>
      <c r="J470" s="10" t="s">
        <v>16</v>
      </c>
      <c r="K470" s="13" t="str">
        <f t="shared" si="265"/>
        <v>Блок11</v>
      </c>
      <c r="L470" s="13"/>
      <c r="M470" s="13"/>
      <c r="N470" s="13"/>
      <c r="O470" s="26">
        <f t="shared" si="266"/>
        <v>1</v>
      </c>
      <c r="P470" s="26">
        <f>O470*H470</f>
        <v>1</v>
      </c>
      <c r="Q470" s="27">
        <f t="shared" ref="Q470:Q480" si="268">P470*F470</f>
        <v>32400</v>
      </c>
    </row>
    <row r="471" spans="1:17" ht="35.25" customHeight="1" x14ac:dyDescent="0.25">
      <c r="A471" s="13" t="str">
        <f t="shared" si="263"/>
        <v>РЩ1-11 (АВР-Б-40-2-1)</v>
      </c>
      <c r="B471" s="10" t="s">
        <v>30</v>
      </c>
      <c r="C471" s="11"/>
      <c r="D471" s="10" t="s">
        <v>31</v>
      </c>
      <c r="E471" s="10">
        <v>3850</v>
      </c>
      <c r="F471" s="12">
        <f>E471</f>
        <v>3850</v>
      </c>
      <c r="G471" s="12">
        <f>F471*H471</f>
        <v>23100</v>
      </c>
      <c r="H471" s="13">
        <v>6</v>
      </c>
      <c r="I471" s="14" t="s">
        <v>12</v>
      </c>
      <c r="J471" s="10" t="s">
        <v>25</v>
      </c>
      <c r="K471" s="13" t="str">
        <f t="shared" si="265"/>
        <v>Блок11</v>
      </c>
      <c r="L471" s="13"/>
      <c r="M471" s="13"/>
      <c r="N471" s="13"/>
      <c r="O471" s="26">
        <f t="shared" si="266"/>
        <v>1</v>
      </c>
      <c r="P471" s="26">
        <f>O471*H471</f>
        <v>6</v>
      </c>
      <c r="Q471" s="27">
        <f t="shared" si="268"/>
        <v>23100</v>
      </c>
    </row>
    <row r="472" spans="1:17" ht="35.25" customHeight="1" x14ac:dyDescent="0.25">
      <c r="A472" s="10" t="str">
        <f t="shared" si="263"/>
        <v>РЩ1-11 (АВР-Б-40-2-1)</v>
      </c>
      <c r="B472" s="10" t="s">
        <v>19</v>
      </c>
      <c r="C472" s="11" t="s">
        <v>19</v>
      </c>
      <c r="D472" s="10" t="s">
        <v>19</v>
      </c>
      <c r="E472" s="10">
        <f ca="1">OFFSET(E472,1,2)</f>
        <v>39000</v>
      </c>
      <c r="F472" s="12">
        <f ca="1">E472</f>
        <v>39000</v>
      </c>
      <c r="G472" s="12">
        <f ca="1">F472*H472</f>
        <v>39000</v>
      </c>
      <c r="H472" s="10">
        <v>1</v>
      </c>
      <c r="I472" s="10" t="s">
        <v>12</v>
      </c>
      <c r="J472" s="10" t="s">
        <v>19</v>
      </c>
      <c r="K472" s="13" t="str">
        <f t="shared" si="265"/>
        <v>Блок11</v>
      </c>
      <c r="L472" s="13"/>
      <c r="M472" s="13"/>
      <c r="N472" s="13"/>
      <c r="O472" s="26">
        <f t="shared" si="266"/>
        <v>1</v>
      </c>
      <c r="P472" s="26">
        <f>O472*H472</f>
        <v>1</v>
      </c>
      <c r="Q472" s="27">
        <f t="shared" ca="1" si="268"/>
        <v>39000</v>
      </c>
    </row>
    <row r="473" spans="1:17" ht="35.25" customHeight="1" x14ac:dyDescent="0.25">
      <c r="A473" s="10" t="str">
        <f t="shared" si="263"/>
        <v>РЩ1-11 (АВР-Б-40-2-1)</v>
      </c>
      <c r="B473" s="10" t="s">
        <v>20</v>
      </c>
      <c r="C473" s="11" t="s">
        <v>20</v>
      </c>
      <c r="D473" s="10" t="s">
        <v>20</v>
      </c>
      <c r="E473" s="10">
        <v>6.5</v>
      </c>
      <c r="F473" s="12">
        <v>100</v>
      </c>
      <c r="G473" s="12">
        <f>F473*H473</f>
        <v>39000</v>
      </c>
      <c r="H473" s="10">
        <f>60*E473</f>
        <v>390</v>
      </c>
      <c r="I473" s="10" t="s">
        <v>12</v>
      </c>
      <c r="J473" s="10" t="s">
        <v>20</v>
      </c>
      <c r="K473" s="13" t="str">
        <f t="shared" si="265"/>
        <v>Блок11</v>
      </c>
      <c r="L473" s="13"/>
      <c r="M473" s="13"/>
      <c r="N473" s="13"/>
      <c r="O473" s="26">
        <f t="shared" si="266"/>
        <v>1</v>
      </c>
      <c r="P473" s="26">
        <f>O473*H473</f>
        <v>390</v>
      </c>
      <c r="Q473" s="27">
        <f t="shared" si="268"/>
        <v>39000</v>
      </c>
    </row>
    <row r="474" spans="1:17" ht="35.25" customHeight="1" x14ac:dyDescent="0.25">
      <c r="A474" s="15" t="str">
        <f t="shared" si="263"/>
        <v>РЩ1-11 (АВР-Б-40-2-1)</v>
      </c>
      <c r="B474" s="15"/>
      <c r="C474" s="15"/>
      <c r="D474" s="16"/>
      <c r="E474" s="28"/>
      <c r="F474" s="12">
        <f>E474*0.55</f>
        <v>0</v>
      </c>
      <c r="G474" s="28">
        <f ca="1">SUM(G463:G473)</f>
        <v>303310.19999999995</v>
      </c>
      <c r="H474" s="15"/>
      <c r="I474" s="19"/>
      <c r="J474" s="15"/>
      <c r="K474" s="13" t="str">
        <f t="shared" si="265"/>
        <v>Блок11</v>
      </c>
      <c r="L474" s="13"/>
      <c r="M474" s="13"/>
      <c r="N474" s="13"/>
      <c r="O474" s="26">
        <f t="shared" si="266"/>
        <v>1</v>
      </c>
      <c r="P474" s="26">
        <f>O474*H474</f>
        <v>0</v>
      </c>
      <c r="Q474" s="27">
        <f t="shared" si="268"/>
        <v>0</v>
      </c>
    </row>
    <row r="475" spans="1:17" ht="35.25" customHeight="1" x14ac:dyDescent="0.25">
      <c r="A475" s="8" t="str">
        <f>D475</f>
        <v>ВРУ1-12</v>
      </c>
      <c r="B475" s="4"/>
      <c r="C475" s="5"/>
      <c r="D475" s="4" t="s">
        <v>94</v>
      </c>
      <c r="E475" s="6"/>
      <c r="F475" s="6"/>
      <c r="G475" s="7"/>
      <c r="H475" s="8">
        <v>1</v>
      </c>
      <c r="I475" s="9" t="s">
        <v>9</v>
      </c>
      <c r="J475" s="4" t="s">
        <v>10</v>
      </c>
      <c r="K475" s="8" t="s">
        <v>95</v>
      </c>
      <c r="L475" s="8"/>
      <c r="M475" s="8"/>
      <c r="N475" s="8"/>
      <c r="O475" s="26">
        <f>H475</f>
        <v>1</v>
      </c>
      <c r="P475" s="26">
        <f>O475*H475</f>
        <v>1</v>
      </c>
      <c r="Q475" s="27">
        <f t="shared" si="268"/>
        <v>0</v>
      </c>
    </row>
    <row r="476" spans="1:17" ht="35.25" customHeight="1" x14ac:dyDescent="0.25">
      <c r="A476" s="13" t="str">
        <f t="shared" ref="A476:A486" si="269">A475</f>
        <v>ВРУ1-12</v>
      </c>
      <c r="B476" s="10" t="s">
        <v>11</v>
      </c>
      <c r="C476" s="11" t="s">
        <v>172</v>
      </c>
      <c r="D476" s="10" t="s">
        <v>173</v>
      </c>
      <c r="E476" s="10">
        <v>156500</v>
      </c>
      <c r="F476" s="12">
        <f>0.6*E476</f>
        <v>93900</v>
      </c>
      <c r="G476" s="12">
        <f>F476*H476</f>
        <v>93900</v>
      </c>
      <c r="H476" s="13">
        <v>1</v>
      </c>
      <c r="I476" s="14" t="s">
        <v>12</v>
      </c>
      <c r="J476" s="10" t="s">
        <v>13</v>
      </c>
      <c r="K476" s="13" t="str">
        <f t="shared" ref="K476:K486" si="270">K475</f>
        <v>Блок12</v>
      </c>
      <c r="L476" s="13"/>
      <c r="M476" s="13"/>
      <c r="N476" s="13"/>
      <c r="O476" s="26">
        <f t="shared" ref="O476:O486" si="271">O475</f>
        <v>1</v>
      </c>
      <c r="P476" s="26">
        <f>O476*H476</f>
        <v>1</v>
      </c>
      <c r="Q476" s="27">
        <f t="shared" si="268"/>
        <v>93900</v>
      </c>
    </row>
    <row r="477" spans="1:17" ht="35.25" customHeight="1" x14ac:dyDescent="0.25">
      <c r="A477" s="13" t="str">
        <f t="shared" si="269"/>
        <v>ВРУ1-12</v>
      </c>
      <c r="B477" s="10" t="s">
        <v>23</v>
      </c>
      <c r="C477" s="11" t="s">
        <v>307</v>
      </c>
      <c r="D477" s="10" t="s">
        <v>308</v>
      </c>
      <c r="E477" s="10">
        <v>5523</v>
      </c>
      <c r="F477" s="12">
        <f t="shared" ref="F477:F478" si="272">E477</f>
        <v>5523</v>
      </c>
      <c r="G477" s="12">
        <f>F477*H477</f>
        <v>33138</v>
      </c>
      <c r="H477" s="13">
        <v>6</v>
      </c>
      <c r="I477" s="14" t="s">
        <v>12</v>
      </c>
      <c r="J477" s="10" t="s">
        <v>25</v>
      </c>
      <c r="K477" s="13" t="str">
        <f t="shared" si="270"/>
        <v>Блок12</v>
      </c>
      <c r="L477" s="13"/>
      <c r="M477" s="13"/>
      <c r="N477" s="13"/>
      <c r="O477" s="26">
        <f t="shared" si="271"/>
        <v>1</v>
      </c>
      <c r="P477" s="26">
        <f>O477*H477</f>
        <v>6</v>
      </c>
      <c r="Q477" s="27">
        <f t="shared" si="268"/>
        <v>33138</v>
      </c>
    </row>
    <row r="478" spans="1:17" ht="35.25" customHeight="1" x14ac:dyDescent="0.25">
      <c r="A478" s="13" t="str">
        <f t="shared" si="269"/>
        <v>ВРУ1-12</v>
      </c>
      <c r="B478" s="10" t="s">
        <v>26</v>
      </c>
      <c r="C478" s="11" t="s">
        <v>177</v>
      </c>
      <c r="D478" s="10" t="s">
        <v>178</v>
      </c>
      <c r="E478" s="10">
        <v>25500</v>
      </c>
      <c r="F478" s="12">
        <f t="shared" si="272"/>
        <v>25500</v>
      </c>
      <c r="G478" s="12">
        <f>F478*H478</f>
        <v>51000</v>
      </c>
      <c r="H478" s="13">
        <v>2</v>
      </c>
      <c r="I478" s="14" t="s">
        <v>12</v>
      </c>
      <c r="J478" s="10" t="s">
        <v>25</v>
      </c>
      <c r="K478" s="13" t="str">
        <f t="shared" si="270"/>
        <v>Блок12</v>
      </c>
      <c r="L478" s="13"/>
      <c r="M478" s="13"/>
      <c r="N478" s="13"/>
      <c r="O478" s="26">
        <f t="shared" si="271"/>
        <v>1</v>
      </c>
      <c r="P478" s="26">
        <f>O478*H478</f>
        <v>2</v>
      </c>
      <c r="Q478" s="27">
        <f t="shared" si="268"/>
        <v>51000</v>
      </c>
    </row>
    <row r="479" spans="1:17" ht="35.25" customHeight="1" x14ac:dyDescent="0.25">
      <c r="A479" s="13" t="str">
        <f t="shared" si="269"/>
        <v>ВРУ1-12</v>
      </c>
      <c r="B479" s="10" t="s">
        <v>127</v>
      </c>
      <c r="C479" s="11" t="s">
        <v>130</v>
      </c>
      <c r="D479" s="10" t="s">
        <v>131</v>
      </c>
      <c r="E479" s="10">
        <v>4750</v>
      </c>
      <c r="F479" s="12">
        <f t="shared" ref="F479:F480" si="273">0.6*E479</f>
        <v>2850</v>
      </c>
      <c r="G479" s="12">
        <f>F479*H479</f>
        <v>17100</v>
      </c>
      <c r="H479" s="13">
        <v>6</v>
      </c>
      <c r="I479" s="14" t="s">
        <v>12</v>
      </c>
      <c r="J479" s="10" t="s">
        <v>14</v>
      </c>
      <c r="K479" s="13" t="str">
        <f t="shared" si="270"/>
        <v>Блок12</v>
      </c>
      <c r="L479" s="13"/>
      <c r="M479" s="13"/>
      <c r="N479" s="13"/>
      <c r="O479" s="26">
        <f t="shared" si="271"/>
        <v>1</v>
      </c>
      <c r="P479" s="26">
        <f>O479*H479</f>
        <v>6</v>
      </c>
      <c r="Q479" s="27">
        <f t="shared" si="268"/>
        <v>17100</v>
      </c>
    </row>
    <row r="480" spans="1:17" ht="35.25" customHeight="1" x14ac:dyDescent="0.25">
      <c r="A480" s="13" t="str">
        <f t="shared" si="269"/>
        <v>ВРУ1-12</v>
      </c>
      <c r="B480" s="10" t="s">
        <v>126</v>
      </c>
      <c r="C480" s="11" t="s">
        <v>128</v>
      </c>
      <c r="D480" s="10" t="s">
        <v>129</v>
      </c>
      <c r="E480" s="10">
        <v>3317</v>
      </c>
      <c r="F480" s="12">
        <f t="shared" si="273"/>
        <v>1990.1999999999998</v>
      </c>
      <c r="G480" s="12">
        <f>F480*H480</f>
        <v>11941.199999999999</v>
      </c>
      <c r="H480" s="13">
        <v>6</v>
      </c>
      <c r="I480" s="14" t="s">
        <v>12</v>
      </c>
      <c r="J480" s="10" t="s">
        <v>14</v>
      </c>
      <c r="K480" s="13" t="str">
        <f t="shared" si="270"/>
        <v>Блок12</v>
      </c>
      <c r="L480" s="13"/>
      <c r="M480" s="13"/>
      <c r="N480" s="13"/>
      <c r="O480" s="26">
        <f t="shared" si="271"/>
        <v>1</v>
      </c>
      <c r="P480" s="26">
        <f>O480*H480</f>
        <v>6</v>
      </c>
      <c r="Q480" s="27">
        <f t="shared" si="268"/>
        <v>11941.199999999999</v>
      </c>
    </row>
    <row r="481" spans="1:17" ht="35.25" customHeight="1" x14ac:dyDescent="0.25">
      <c r="A481" s="13" t="str">
        <f t="shared" si="269"/>
        <v>ВРУ1-12</v>
      </c>
      <c r="B481" s="10" t="s">
        <v>293</v>
      </c>
      <c r="C481" s="11" t="s">
        <v>189</v>
      </c>
      <c r="D481" s="10" t="s">
        <v>190</v>
      </c>
      <c r="E481" s="10">
        <v>1390</v>
      </c>
      <c r="F481" s="12">
        <f>0.3*E481</f>
        <v>417</v>
      </c>
      <c r="G481" s="12">
        <f>F481*H481</f>
        <v>834</v>
      </c>
      <c r="H481" s="13">
        <v>2</v>
      </c>
      <c r="I481" s="14" t="s">
        <v>12</v>
      </c>
      <c r="J481" s="10" t="s">
        <v>207</v>
      </c>
      <c r="K481" s="13" t="str">
        <f t="shared" si="270"/>
        <v>Блок12</v>
      </c>
      <c r="L481" s="13"/>
      <c r="M481" s="13"/>
      <c r="N481" s="13"/>
      <c r="O481" s="26">
        <f t="shared" si="271"/>
        <v>1</v>
      </c>
      <c r="P481" s="26">
        <f>O481*H481</f>
        <v>2</v>
      </c>
      <c r="Q481" s="27">
        <f>P481*E481</f>
        <v>2780</v>
      </c>
    </row>
    <row r="482" spans="1:17" ht="35.25" customHeight="1" x14ac:dyDescent="0.25">
      <c r="A482" s="13" t="str">
        <f t="shared" si="269"/>
        <v>ВРУ1-12</v>
      </c>
      <c r="B482" s="10" t="s">
        <v>15</v>
      </c>
      <c r="C482" s="11" t="s">
        <v>297</v>
      </c>
      <c r="D482" s="24" t="s">
        <v>298</v>
      </c>
      <c r="E482" s="10">
        <v>89000</v>
      </c>
      <c r="F482" s="12">
        <f>E482</f>
        <v>89000</v>
      </c>
      <c r="G482" s="12">
        <f>F482*H482</f>
        <v>178000</v>
      </c>
      <c r="H482" s="13">
        <v>2</v>
      </c>
      <c r="I482" s="14" t="s">
        <v>12</v>
      </c>
      <c r="J482" s="10" t="s">
        <v>16</v>
      </c>
      <c r="K482" s="13" t="str">
        <f t="shared" si="270"/>
        <v>Блок12</v>
      </c>
      <c r="L482" s="13"/>
      <c r="M482" s="13"/>
      <c r="N482" s="13"/>
      <c r="O482" s="26">
        <f t="shared" si="271"/>
        <v>1</v>
      </c>
      <c r="P482" s="26">
        <f>O482*H482</f>
        <v>2</v>
      </c>
      <c r="Q482" s="27">
        <f t="shared" ref="Q482:Q488" si="274">P482*F482</f>
        <v>178000</v>
      </c>
    </row>
    <row r="483" spans="1:17" ht="35.25" customHeight="1" x14ac:dyDescent="0.25">
      <c r="A483" s="13" t="str">
        <f t="shared" si="269"/>
        <v>ВРУ1-12</v>
      </c>
      <c r="B483" s="10" t="s">
        <v>30</v>
      </c>
      <c r="C483" s="11"/>
      <c r="D483" s="10" t="s">
        <v>31</v>
      </c>
      <c r="E483" s="10">
        <v>3850</v>
      </c>
      <c r="F483" s="12">
        <f>E483</f>
        <v>3850</v>
      </c>
      <c r="G483" s="12">
        <f>F483*H483</f>
        <v>23100</v>
      </c>
      <c r="H483" s="13">
        <v>6</v>
      </c>
      <c r="I483" s="14" t="s">
        <v>12</v>
      </c>
      <c r="J483" s="10" t="s">
        <v>25</v>
      </c>
      <c r="K483" s="13" t="str">
        <f t="shared" si="270"/>
        <v>Блок12</v>
      </c>
      <c r="L483" s="13"/>
      <c r="M483" s="13"/>
      <c r="N483" s="13"/>
      <c r="O483" s="26">
        <f t="shared" si="271"/>
        <v>1</v>
      </c>
      <c r="P483" s="26">
        <f>O483*H483</f>
        <v>6</v>
      </c>
      <c r="Q483" s="27">
        <f t="shared" si="274"/>
        <v>23100</v>
      </c>
    </row>
    <row r="484" spans="1:17" ht="35.25" customHeight="1" x14ac:dyDescent="0.25">
      <c r="A484" s="10" t="str">
        <f t="shared" si="269"/>
        <v>ВРУ1-12</v>
      </c>
      <c r="B484" s="10" t="s">
        <v>19</v>
      </c>
      <c r="C484" s="11" t="s">
        <v>19</v>
      </c>
      <c r="D484" s="10" t="s">
        <v>19</v>
      </c>
      <c r="E484" s="10">
        <f ca="1">OFFSET(E484,1,2)</f>
        <v>48000</v>
      </c>
      <c r="F484" s="12">
        <f ca="1">E484</f>
        <v>48000</v>
      </c>
      <c r="G484" s="12">
        <f ca="1">F484*H484</f>
        <v>48000</v>
      </c>
      <c r="H484" s="10">
        <v>1</v>
      </c>
      <c r="I484" s="10" t="s">
        <v>12</v>
      </c>
      <c r="J484" s="10" t="s">
        <v>19</v>
      </c>
      <c r="K484" s="13" t="str">
        <f t="shared" si="270"/>
        <v>Блок12</v>
      </c>
      <c r="L484" s="13"/>
      <c r="M484" s="13"/>
      <c r="N484" s="13"/>
      <c r="O484" s="26">
        <f t="shared" si="271"/>
        <v>1</v>
      </c>
      <c r="P484" s="26">
        <f>O484*H484</f>
        <v>1</v>
      </c>
      <c r="Q484" s="27">
        <f t="shared" ca="1" si="274"/>
        <v>48000</v>
      </c>
    </row>
    <row r="485" spans="1:17" ht="35.25" customHeight="1" x14ac:dyDescent="0.25">
      <c r="A485" s="10" t="str">
        <f t="shared" si="269"/>
        <v>ВРУ1-12</v>
      </c>
      <c r="B485" s="10" t="s">
        <v>20</v>
      </c>
      <c r="C485" s="11" t="s">
        <v>20</v>
      </c>
      <c r="D485" s="10" t="s">
        <v>20</v>
      </c>
      <c r="E485" s="10">
        <v>8</v>
      </c>
      <c r="F485" s="12">
        <v>100</v>
      </c>
      <c r="G485" s="12">
        <f>F485*H485</f>
        <v>48000</v>
      </c>
      <c r="H485" s="10">
        <f>60*E485</f>
        <v>480</v>
      </c>
      <c r="I485" s="10" t="s">
        <v>12</v>
      </c>
      <c r="J485" s="10" t="s">
        <v>20</v>
      </c>
      <c r="K485" s="13" t="str">
        <f t="shared" si="270"/>
        <v>Блок12</v>
      </c>
      <c r="L485" s="13"/>
      <c r="M485" s="13"/>
      <c r="N485" s="13"/>
      <c r="O485" s="26">
        <f t="shared" si="271"/>
        <v>1</v>
      </c>
      <c r="P485" s="26">
        <f>O485*H485</f>
        <v>480</v>
      </c>
      <c r="Q485" s="27">
        <f t="shared" si="274"/>
        <v>48000</v>
      </c>
    </row>
    <row r="486" spans="1:17" ht="35.25" customHeight="1" x14ac:dyDescent="0.25">
      <c r="A486" s="15" t="str">
        <f t="shared" si="269"/>
        <v>ВРУ1-12</v>
      </c>
      <c r="B486" s="15"/>
      <c r="C486" s="15"/>
      <c r="D486" s="16"/>
      <c r="E486" s="28"/>
      <c r="F486" s="12">
        <f>E486*0.55</f>
        <v>0</v>
      </c>
      <c r="G486" s="28">
        <f ca="1">SUM(G476:G485)</f>
        <v>505013.2</v>
      </c>
      <c r="H486" s="15"/>
      <c r="I486" s="19"/>
      <c r="J486" s="15"/>
      <c r="K486" s="13" t="str">
        <f t="shared" si="270"/>
        <v>Блок12</v>
      </c>
      <c r="L486" s="13"/>
      <c r="M486" s="13"/>
      <c r="N486" s="13"/>
      <c r="O486" s="26">
        <f t="shared" si="271"/>
        <v>1</v>
      </c>
      <c r="P486" s="26">
        <f>O486*H486</f>
        <v>0</v>
      </c>
      <c r="Q486" s="27">
        <f t="shared" si="274"/>
        <v>0</v>
      </c>
    </row>
    <row r="487" spans="1:17" ht="35.25" customHeight="1" x14ac:dyDescent="0.25">
      <c r="A487" s="8" t="str">
        <f>D487</f>
        <v>РУ-1-12</v>
      </c>
      <c r="B487" s="4"/>
      <c r="C487" s="5"/>
      <c r="D487" s="4" t="s">
        <v>96</v>
      </c>
      <c r="E487" s="6"/>
      <c r="F487" s="6"/>
      <c r="G487" s="7"/>
      <c r="H487" s="8">
        <v>1</v>
      </c>
      <c r="I487" s="9" t="s">
        <v>9</v>
      </c>
      <c r="J487" s="4" t="s">
        <v>10</v>
      </c>
      <c r="K487" s="8" t="s">
        <v>95</v>
      </c>
      <c r="L487" s="8"/>
      <c r="M487" s="8"/>
      <c r="N487" s="8"/>
      <c r="O487" s="26">
        <f>H487</f>
        <v>1</v>
      </c>
      <c r="P487" s="26">
        <f>O487*H487</f>
        <v>1</v>
      </c>
      <c r="Q487" s="27">
        <f t="shared" si="274"/>
        <v>0</v>
      </c>
    </row>
    <row r="488" spans="1:17" ht="35.25" customHeight="1" x14ac:dyDescent="0.25">
      <c r="A488" s="13" t="str">
        <f t="shared" ref="A488:A494" si="275">A487</f>
        <v>РУ-1-12</v>
      </c>
      <c r="B488" s="10" t="s">
        <v>11</v>
      </c>
      <c r="C488" s="11" t="s">
        <v>170</v>
      </c>
      <c r="D488" s="10" t="s">
        <v>171</v>
      </c>
      <c r="E488" s="10">
        <v>145000</v>
      </c>
      <c r="F488" s="12">
        <f>0.6*E488</f>
        <v>87000</v>
      </c>
      <c r="G488" s="12">
        <f>F488*H488</f>
        <v>87000</v>
      </c>
      <c r="H488" s="13">
        <v>1</v>
      </c>
      <c r="I488" s="14" t="s">
        <v>12</v>
      </c>
      <c r="J488" s="10" t="s">
        <v>13</v>
      </c>
      <c r="K488" s="13" t="str">
        <f t="shared" ref="K488:K494" si="276">K487</f>
        <v>Блок12</v>
      </c>
      <c r="L488" s="13"/>
      <c r="M488" s="13"/>
      <c r="N488" s="13"/>
      <c r="O488" s="26">
        <f t="shared" ref="O488:O494" si="277">O487</f>
        <v>1</v>
      </c>
      <c r="P488" s="26">
        <f>O488*H488</f>
        <v>1</v>
      </c>
      <c r="Q488" s="27">
        <f t="shared" si="274"/>
        <v>87000</v>
      </c>
    </row>
    <row r="489" spans="1:17" ht="35.25" customHeight="1" x14ac:dyDescent="0.25">
      <c r="A489" s="13" t="str">
        <f t="shared" si="275"/>
        <v>РУ-1-12</v>
      </c>
      <c r="B489" s="10" t="s">
        <v>294</v>
      </c>
      <c r="C489" s="11" t="s">
        <v>225</v>
      </c>
      <c r="D489" s="10" t="s">
        <v>226</v>
      </c>
      <c r="E489" s="10">
        <v>17300</v>
      </c>
      <c r="F489" s="12">
        <f t="shared" ref="F489:F491" si="278">0.3*E489</f>
        <v>5190</v>
      </c>
      <c r="G489" s="12">
        <f>F489*H489</f>
        <v>10380</v>
      </c>
      <c r="H489" s="13">
        <v>2</v>
      </c>
      <c r="I489" s="14" t="s">
        <v>12</v>
      </c>
      <c r="J489" s="10" t="s">
        <v>207</v>
      </c>
      <c r="K489" s="13" t="str">
        <f t="shared" si="276"/>
        <v>Блок12</v>
      </c>
      <c r="L489" s="13"/>
      <c r="M489" s="13"/>
      <c r="N489" s="13"/>
      <c r="O489" s="26">
        <f t="shared" si="277"/>
        <v>1</v>
      </c>
      <c r="P489" s="26">
        <f>O489*H489</f>
        <v>2</v>
      </c>
      <c r="Q489" s="27">
        <f>P489*E489</f>
        <v>34600</v>
      </c>
    </row>
    <row r="490" spans="1:17" ht="35.25" customHeight="1" x14ac:dyDescent="0.25">
      <c r="A490" s="13" t="str">
        <f t="shared" si="275"/>
        <v>РУ-1-12</v>
      </c>
      <c r="B490" s="10" t="s">
        <v>294</v>
      </c>
      <c r="C490" s="11" t="s">
        <v>227</v>
      </c>
      <c r="D490" s="10" t="s">
        <v>228</v>
      </c>
      <c r="E490" s="10">
        <v>29990</v>
      </c>
      <c r="F490" s="12">
        <f t="shared" si="278"/>
        <v>8997</v>
      </c>
      <c r="G490" s="12">
        <f>F490*H490</f>
        <v>8997</v>
      </c>
      <c r="H490" s="13">
        <v>1</v>
      </c>
      <c r="I490" s="14" t="s">
        <v>12</v>
      </c>
      <c r="J490" s="10" t="s">
        <v>207</v>
      </c>
      <c r="K490" s="13" t="str">
        <f t="shared" si="276"/>
        <v>Блок12</v>
      </c>
      <c r="L490" s="13"/>
      <c r="M490" s="13"/>
      <c r="N490" s="13"/>
      <c r="O490" s="26">
        <f t="shared" si="277"/>
        <v>1</v>
      </c>
      <c r="P490" s="26">
        <f>O490*H490</f>
        <v>1</v>
      </c>
      <c r="Q490" s="27">
        <f>P490*E490</f>
        <v>29990</v>
      </c>
    </row>
    <row r="491" spans="1:17" ht="35.25" customHeight="1" x14ac:dyDescent="0.25">
      <c r="A491" s="13" t="str">
        <f t="shared" si="275"/>
        <v>РУ-1-12</v>
      </c>
      <c r="B491" s="10" t="s">
        <v>293</v>
      </c>
      <c r="C491" s="11" t="s">
        <v>217</v>
      </c>
      <c r="D491" s="10" t="s">
        <v>218</v>
      </c>
      <c r="E491" s="10">
        <v>7850</v>
      </c>
      <c r="F491" s="12">
        <f t="shared" si="278"/>
        <v>2355</v>
      </c>
      <c r="G491" s="12">
        <f>F491*H491</f>
        <v>4710</v>
      </c>
      <c r="H491" s="13">
        <v>2</v>
      </c>
      <c r="I491" s="14" t="s">
        <v>12</v>
      </c>
      <c r="J491" s="10" t="s">
        <v>207</v>
      </c>
      <c r="K491" s="13" t="str">
        <f t="shared" si="276"/>
        <v>Блок12</v>
      </c>
      <c r="L491" s="13"/>
      <c r="M491" s="13"/>
      <c r="N491" s="13"/>
      <c r="O491" s="26">
        <f t="shared" si="277"/>
        <v>1</v>
      </c>
      <c r="P491" s="26">
        <f>O491*H491</f>
        <v>2</v>
      </c>
      <c r="Q491" s="27">
        <f>P491*E491</f>
        <v>15700</v>
      </c>
    </row>
    <row r="492" spans="1:17" ht="35.25" customHeight="1" x14ac:dyDescent="0.25">
      <c r="A492" s="10" t="str">
        <f t="shared" si="275"/>
        <v>РУ-1-12</v>
      </c>
      <c r="B492" s="10" t="s">
        <v>19</v>
      </c>
      <c r="C492" s="11" t="s">
        <v>19</v>
      </c>
      <c r="D492" s="10" t="s">
        <v>19</v>
      </c>
      <c r="E492" s="10">
        <f ca="1">OFFSET(E492,1,2)</f>
        <v>27000</v>
      </c>
      <c r="F492" s="12">
        <f ca="1">E492</f>
        <v>27000</v>
      </c>
      <c r="G492" s="12">
        <f ca="1">F492*H492</f>
        <v>27000</v>
      </c>
      <c r="H492" s="10">
        <v>1</v>
      </c>
      <c r="I492" s="10" t="s">
        <v>12</v>
      </c>
      <c r="J492" s="10" t="s">
        <v>19</v>
      </c>
      <c r="K492" s="13" t="str">
        <f t="shared" si="276"/>
        <v>Блок12</v>
      </c>
      <c r="L492" s="13"/>
      <c r="M492" s="13"/>
      <c r="N492" s="13"/>
      <c r="O492" s="26">
        <f t="shared" si="277"/>
        <v>1</v>
      </c>
      <c r="P492" s="26">
        <f>O492*H492</f>
        <v>1</v>
      </c>
      <c r="Q492" s="27">
        <f ca="1">P492*F492</f>
        <v>27000</v>
      </c>
    </row>
    <row r="493" spans="1:17" ht="35.25" customHeight="1" x14ac:dyDescent="0.25">
      <c r="A493" s="10" t="str">
        <f t="shared" si="275"/>
        <v>РУ-1-12</v>
      </c>
      <c r="B493" s="10" t="s">
        <v>20</v>
      </c>
      <c r="C493" s="11" t="s">
        <v>20</v>
      </c>
      <c r="D493" s="10" t="s">
        <v>20</v>
      </c>
      <c r="E493" s="10">
        <v>4.5</v>
      </c>
      <c r="F493" s="12">
        <v>100</v>
      </c>
      <c r="G493" s="12">
        <f>F493*H493</f>
        <v>27000</v>
      </c>
      <c r="H493" s="10">
        <f>60*E493</f>
        <v>270</v>
      </c>
      <c r="I493" s="10" t="s">
        <v>12</v>
      </c>
      <c r="J493" s="10" t="s">
        <v>20</v>
      </c>
      <c r="K493" s="13" t="str">
        <f t="shared" si="276"/>
        <v>Блок12</v>
      </c>
      <c r="L493" s="13"/>
      <c r="M493" s="13"/>
      <c r="N493" s="13"/>
      <c r="O493" s="26">
        <f t="shared" si="277"/>
        <v>1</v>
      </c>
      <c r="P493" s="26">
        <f>O493*H493</f>
        <v>270</v>
      </c>
      <c r="Q493" s="27">
        <f>P493*F493</f>
        <v>27000</v>
      </c>
    </row>
    <row r="494" spans="1:17" ht="35.25" customHeight="1" x14ac:dyDescent="0.25">
      <c r="A494" s="15" t="str">
        <f t="shared" si="275"/>
        <v>РУ-1-12</v>
      </c>
      <c r="B494" s="15"/>
      <c r="C494" s="15"/>
      <c r="D494" s="16"/>
      <c r="E494" s="28"/>
      <c r="F494" s="12">
        <f t="shared" ref="F494" si="279">E494*0.55</f>
        <v>0</v>
      </c>
      <c r="G494" s="28">
        <f ca="1">SUM(G488:G493)</f>
        <v>165087</v>
      </c>
      <c r="H494" s="15"/>
      <c r="I494" s="19"/>
      <c r="J494" s="15"/>
      <c r="K494" s="13" t="str">
        <f t="shared" si="276"/>
        <v>Блок12</v>
      </c>
      <c r="L494" s="13"/>
      <c r="M494" s="13"/>
      <c r="N494" s="13"/>
      <c r="O494" s="26">
        <f t="shared" si="277"/>
        <v>1</v>
      </c>
      <c r="P494" s="26">
        <f>O494*H494</f>
        <v>0</v>
      </c>
      <c r="Q494" s="27">
        <f>P494*F494</f>
        <v>0</v>
      </c>
    </row>
    <row r="495" spans="1:17" ht="35.25" customHeight="1" x14ac:dyDescent="0.25">
      <c r="A495" s="8" t="str">
        <f>D495</f>
        <v>РУ-2-12</v>
      </c>
      <c r="B495" s="4"/>
      <c r="C495" s="5"/>
      <c r="D495" s="4" t="s">
        <v>97</v>
      </c>
      <c r="E495" s="6"/>
      <c r="F495" s="6"/>
      <c r="G495" s="7"/>
      <c r="H495" s="8">
        <v>1</v>
      </c>
      <c r="I495" s="9" t="s">
        <v>9</v>
      </c>
      <c r="J495" s="4" t="s">
        <v>10</v>
      </c>
      <c r="K495" s="8" t="s">
        <v>95</v>
      </c>
      <c r="L495" s="8"/>
      <c r="M495" s="8"/>
      <c r="N495" s="8"/>
      <c r="O495" s="26">
        <f>H495</f>
        <v>1</v>
      </c>
      <c r="P495" s="26">
        <f>O495*H495</f>
        <v>1</v>
      </c>
      <c r="Q495" s="27">
        <f>P495*F495</f>
        <v>0</v>
      </c>
    </row>
    <row r="496" spans="1:17" ht="35.25" customHeight="1" x14ac:dyDescent="0.25">
      <c r="A496" s="13" t="str">
        <f t="shared" ref="A496:A501" si="280">A495</f>
        <v>РУ-2-12</v>
      </c>
      <c r="B496" s="10" t="s">
        <v>11</v>
      </c>
      <c r="C496" s="11" t="s">
        <v>170</v>
      </c>
      <c r="D496" s="10" t="s">
        <v>171</v>
      </c>
      <c r="E496" s="10">
        <v>145000</v>
      </c>
      <c r="F496" s="12">
        <f>0.6*E496</f>
        <v>87000</v>
      </c>
      <c r="G496" s="12">
        <f>F496*H496</f>
        <v>87000</v>
      </c>
      <c r="H496" s="13">
        <v>1</v>
      </c>
      <c r="I496" s="14" t="s">
        <v>12</v>
      </c>
      <c r="J496" s="10" t="s">
        <v>13</v>
      </c>
      <c r="K496" s="13" t="str">
        <f t="shared" ref="K496:K502" si="281">K495</f>
        <v>Блок12</v>
      </c>
      <c r="L496" s="13"/>
      <c r="M496" s="13"/>
      <c r="N496" s="13"/>
      <c r="O496" s="26">
        <f t="shared" ref="O496:O502" si="282">O495</f>
        <v>1</v>
      </c>
      <c r="P496" s="26">
        <f>O496*H496</f>
        <v>1</v>
      </c>
      <c r="Q496" s="27">
        <f>P496*F496</f>
        <v>87000</v>
      </c>
    </row>
    <row r="497" spans="1:17" ht="35.25" customHeight="1" x14ac:dyDescent="0.25">
      <c r="A497" s="13" t="str">
        <f t="shared" si="280"/>
        <v>РУ-2-12</v>
      </c>
      <c r="B497" s="10" t="s">
        <v>294</v>
      </c>
      <c r="C497" s="11" t="s">
        <v>227</v>
      </c>
      <c r="D497" s="10" t="s">
        <v>228</v>
      </c>
      <c r="E497" s="10">
        <v>29990</v>
      </c>
      <c r="F497" s="12">
        <f t="shared" ref="F497:F499" si="283">0.3*E497</f>
        <v>8997</v>
      </c>
      <c r="G497" s="12">
        <f>F497*H497</f>
        <v>8997</v>
      </c>
      <c r="H497" s="13">
        <v>1</v>
      </c>
      <c r="I497" s="14" t="s">
        <v>12</v>
      </c>
      <c r="J497" s="10" t="s">
        <v>207</v>
      </c>
      <c r="K497" s="13" t="str">
        <f t="shared" si="281"/>
        <v>Блок12</v>
      </c>
      <c r="L497" s="13"/>
      <c r="M497" s="13"/>
      <c r="N497" s="13"/>
      <c r="O497" s="26">
        <f t="shared" si="282"/>
        <v>1</v>
      </c>
      <c r="P497" s="26">
        <f>O497*H497</f>
        <v>1</v>
      </c>
      <c r="Q497" s="27">
        <f>P497*E497</f>
        <v>29990</v>
      </c>
    </row>
    <row r="498" spans="1:17" ht="35.25" customHeight="1" x14ac:dyDescent="0.25">
      <c r="A498" s="13" t="str">
        <f t="shared" si="280"/>
        <v>РУ-2-12</v>
      </c>
      <c r="B498" s="10" t="s">
        <v>294</v>
      </c>
      <c r="C498" s="11" t="s">
        <v>225</v>
      </c>
      <c r="D498" s="10" t="s">
        <v>226</v>
      </c>
      <c r="E498" s="10">
        <v>17300</v>
      </c>
      <c r="F498" s="12">
        <f t="shared" si="283"/>
        <v>5190</v>
      </c>
      <c r="G498" s="12">
        <f>F498*H498</f>
        <v>15570</v>
      </c>
      <c r="H498" s="13">
        <v>3</v>
      </c>
      <c r="I498" s="14" t="s">
        <v>12</v>
      </c>
      <c r="J498" s="10" t="s">
        <v>207</v>
      </c>
      <c r="K498" s="13" t="str">
        <f t="shared" si="281"/>
        <v>Блок12</v>
      </c>
      <c r="L498" s="13"/>
      <c r="M498" s="13"/>
      <c r="N498" s="13"/>
      <c r="O498" s="26">
        <f t="shared" si="282"/>
        <v>1</v>
      </c>
      <c r="P498" s="26">
        <f>O498*H498</f>
        <v>3</v>
      </c>
      <c r="Q498" s="27">
        <f>P498*E498</f>
        <v>51900</v>
      </c>
    </row>
    <row r="499" spans="1:17" ht="35.25" customHeight="1" x14ac:dyDescent="0.25">
      <c r="A499" s="13" t="str">
        <f t="shared" si="280"/>
        <v>РУ-2-12</v>
      </c>
      <c r="B499" s="10" t="s">
        <v>294</v>
      </c>
      <c r="C499" s="11" t="s">
        <v>223</v>
      </c>
      <c r="D499" s="10" t="s">
        <v>224</v>
      </c>
      <c r="E499" s="10">
        <v>16550</v>
      </c>
      <c r="F499" s="12">
        <f t="shared" si="283"/>
        <v>4965</v>
      </c>
      <c r="G499" s="12">
        <f>F499*H499</f>
        <v>4965</v>
      </c>
      <c r="H499" s="13">
        <v>1</v>
      </c>
      <c r="I499" s="14" t="s">
        <v>12</v>
      </c>
      <c r="J499" s="10" t="s">
        <v>207</v>
      </c>
      <c r="K499" s="13" t="str">
        <f t="shared" si="281"/>
        <v>Блок12</v>
      </c>
      <c r="L499" s="13"/>
      <c r="M499" s="13"/>
      <c r="N499" s="13"/>
      <c r="O499" s="26">
        <f t="shared" si="282"/>
        <v>1</v>
      </c>
      <c r="P499" s="26">
        <f>O499*H499</f>
        <v>1</v>
      </c>
      <c r="Q499" s="27">
        <f>P499*E499</f>
        <v>16550</v>
      </c>
    </row>
    <row r="500" spans="1:17" ht="35.25" customHeight="1" x14ac:dyDescent="0.25">
      <c r="A500" s="10" t="str">
        <f t="shared" si="280"/>
        <v>РУ-2-12</v>
      </c>
      <c r="B500" s="10" t="s">
        <v>19</v>
      </c>
      <c r="C500" s="11" t="s">
        <v>19</v>
      </c>
      <c r="D500" s="10" t="s">
        <v>19</v>
      </c>
      <c r="E500" s="10">
        <f ca="1">OFFSET(E500,1,2)</f>
        <v>27000</v>
      </c>
      <c r="F500" s="12">
        <f ca="1">E500</f>
        <v>27000</v>
      </c>
      <c r="G500" s="12">
        <f ca="1">F500*H500</f>
        <v>27000</v>
      </c>
      <c r="H500" s="10">
        <v>1</v>
      </c>
      <c r="I500" s="10" t="s">
        <v>12</v>
      </c>
      <c r="J500" s="10" t="s">
        <v>20</v>
      </c>
      <c r="K500" s="13" t="str">
        <f t="shared" si="281"/>
        <v>Блок12</v>
      </c>
      <c r="L500" s="13"/>
      <c r="M500" s="13"/>
      <c r="N500" s="13"/>
      <c r="O500" s="26">
        <f t="shared" si="282"/>
        <v>1</v>
      </c>
      <c r="P500" s="26">
        <f>O500*H500</f>
        <v>1</v>
      </c>
      <c r="Q500" s="27">
        <f ca="1">P500*F500</f>
        <v>27000</v>
      </c>
    </row>
    <row r="501" spans="1:17" ht="35.25" customHeight="1" x14ac:dyDescent="0.25">
      <c r="A501" s="10" t="str">
        <f t="shared" si="280"/>
        <v>РУ-2-12</v>
      </c>
      <c r="B501" s="10" t="s">
        <v>20</v>
      </c>
      <c r="C501" s="11" t="s">
        <v>20</v>
      </c>
      <c r="D501" s="10" t="s">
        <v>20</v>
      </c>
      <c r="E501" s="10">
        <v>4.5</v>
      </c>
      <c r="F501" s="12">
        <v>100</v>
      </c>
      <c r="G501" s="12">
        <f>F501*H501</f>
        <v>27000</v>
      </c>
      <c r="H501" s="10">
        <f>60*E501</f>
        <v>270</v>
      </c>
      <c r="I501" s="10" t="s">
        <v>12</v>
      </c>
      <c r="J501" s="10" t="s">
        <v>20</v>
      </c>
      <c r="K501" s="13" t="str">
        <f t="shared" si="281"/>
        <v>Блок12</v>
      </c>
      <c r="L501" s="13"/>
      <c r="M501" s="13"/>
      <c r="N501" s="13"/>
      <c r="O501" s="26">
        <f t="shared" si="282"/>
        <v>1</v>
      </c>
      <c r="P501" s="26">
        <f>O501*H501</f>
        <v>270</v>
      </c>
      <c r="Q501" s="27">
        <f>P501*F501</f>
        <v>27000</v>
      </c>
    </row>
    <row r="502" spans="1:17" ht="35.25" customHeight="1" x14ac:dyDescent="0.25">
      <c r="A502" s="15" t="str">
        <f>A500</f>
        <v>РУ-2-12</v>
      </c>
      <c r="B502" s="15"/>
      <c r="C502" s="15" t="s">
        <v>98</v>
      </c>
      <c r="D502" s="16"/>
      <c r="E502" s="28"/>
      <c r="F502" s="12"/>
      <c r="G502" s="28">
        <f ca="1">SUM(G496:G500)</f>
        <v>143532</v>
      </c>
      <c r="H502" s="15"/>
      <c r="I502" s="19"/>
      <c r="J502" s="15"/>
      <c r="K502" s="13" t="str">
        <f t="shared" si="281"/>
        <v>Блок12</v>
      </c>
      <c r="L502" s="13"/>
      <c r="M502" s="13"/>
      <c r="N502" s="13"/>
      <c r="O502" s="26">
        <f t="shared" si="282"/>
        <v>1</v>
      </c>
      <c r="P502" s="26">
        <f>O502*H502</f>
        <v>0</v>
      </c>
      <c r="Q502" s="27">
        <f>P502*F502</f>
        <v>0</v>
      </c>
    </row>
    <row r="503" spans="1:17" ht="35.25" customHeight="1" x14ac:dyDescent="0.25">
      <c r="A503" s="8" t="str">
        <f>D503</f>
        <v>ЩУР.МОП1-12</v>
      </c>
      <c r="B503" s="4"/>
      <c r="C503" s="5"/>
      <c r="D503" s="4" t="s">
        <v>99</v>
      </c>
      <c r="E503" s="6"/>
      <c r="F503" s="6"/>
      <c r="G503" s="7"/>
      <c r="H503" s="8">
        <v>1</v>
      </c>
      <c r="I503" s="9" t="s">
        <v>9</v>
      </c>
      <c r="J503" s="4" t="s">
        <v>10</v>
      </c>
      <c r="K503" s="8" t="s">
        <v>95</v>
      </c>
      <c r="L503" s="8"/>
      <c r="M503" s="8"/>
      <c r="N503" s="8"/>
      <c r="O503" s="26">
        <f>H503</f>
        <v>1</v>
      </c>
      <c r="P503" s="26">
        <f>O503*H503</f>
        <v>1</v>
      </c>
      <c r="Q503" s="27">
        <f>P503*F503</f>
        <v>0</v>
      </c>
    </row>
    <row r="504" spans="1:17" ht="35.25" customHeight="1" x14ac:dyDescent="0.25">
      <c r="A504" s="13" t="str">
        <f t="shared" ref="A504:A511" si="284">A503</f>
        <v>ЩУР.МОП1-12</v>
      </c>
      <c r="B504" s="10" t="s">
        <v>11</v>
      </c>
      <c r="C504" s="11" t="s">
        <v>328</v>
      </c>
      <c r="D504" s="10" t="s">
        <v>329</v>
      </c>
      <c r="E504" s="10">
        <v>27000</v>
      </c>
      <c r="F504" s="12">
        <f>0.6*E504</f>
        <v>16200</v>
      </c>
      <c r="G504" s="12">
        <f>F504*H504</f>
        <v>16200</v>
      </c>
      <c r="H504" s="13">
        <v>1</v>
      </c>
      <c r="I504" s="14" t="s">
        <v>12</v>
      </c>
      <c r="J504" s="10" t="s">
        <v>13</v>
      </c>
      <c r="K504" s="13" t="str">
        <f t="shared" ref="K504:K511" si="285">K503</f>
        <v>Блок12</v>
      </c>
      <c r="L504" s="13"/>
      <c r="M504" s="13"/>
      <c r="N504" s="13"/>
      <c r="O504" s="26">
        <f t="shared" ref="O504:O511" si="286">O503</f>
        <v>1</v>
      </c>
      <c r="P504" s="26">
        <f>O504*H504</f>
        <v>1</v>
      </c>
      <c r="Q504" s="27">
        <f>P504*F504</f>
        <v>16200</v>
      </c>
    </row>
    <row r="505" spans="1:17" ht="35.25" customHeight="1" x14ac:dyDescent="0.25">
      <c r="A505" s="13" t="str">
        <f t="shared" si="284"/>
        <v>ЩУР.МОП1-12</v>
      </c>
      <c r="B505" s="10" t="s">
        <v>293</v>
      </c>
      <c r="C505" s="11" t="s">
        <v>195</v>
      </c>
      <c r="D505" s="10" t="s">
        <v>196</v>
      </c>
      <c r="E505" s="10">
        <v>6190</v>
      </c>
      <c r="F505" s="12">
        <f t="shared" ref="F505:F507" si="287">0.3*E505</f>
        <v>1857</v>
      </c>
      <c r="G505" s="12">
        <f>F505*H505</f>
        <v>1857</v>
      </c>
      <c r="H505" s="13">
        <v>1</v>
      </c>
      <c r="I505" s="14" t="s">
        <v>12</v>
      </c>
      <c r="J505" s="10" t="s">
        <v>207</v>
      </c>
      <c r="K505" s="13" t="str">
        <f t="shared" si="285"/>
        <v>Блок12</v>
      </c>
      <c r="L505" s="13"/>
      <c r="M505" s="13"/>
      <c r="N505" s="13"/>
      <c r="O505" s="26">
        <f t="shared" si="286"/>
        <v>1</v>
      </c>
      <c r="P505" s="26">
        <f>O505*H505</f>
        <v>1</v>
      </c>
      <c r="Q505" s="27">
        <f>P505*E505</f>
        <v>6190</v>
      </c>
    </row>
    <row r="506" spans="1:17" ht="35.25" customHeight="1" x14ac:dyDescent="0.25">
      <c r="A506" s="13" t="str">
        <f t="shared" si="284"/>
        <v>ЩУР.МОП1-12</v>
      </c>
      <c r="B506" s="10" t="s">
        <v>293</v>
      </c>
      <c r="C506" s="11" t="s">
        <v>201</v>
      </c>
      <c r="D506" s="10" t="s">
        <v>202</v>
      </c>
      <c r="E506" s="10">
        <v>5750</v>
      </c>
      <c r="F506" s="12">
        <f t="shared" si="287"/>
        <v>1725</v>
      </c>
      <c r="G506" s="12">
        <f>F506*H506</f>
        <v>3450</v>
      </c>
      <c r="H506" s="13">
        <v>2</v>
      </c>
      <c r="I506" s="14" t="s">
        <v>12</v>
      </c>
      <c r="J506" s="10" t="s">
        <v>207</v>
      </c>
      <c r="K506" s="13" t="str">
        <f t="shared" si="285"/>
        <v>Блок12</v>
      </c>
      <c r="L506" s="13"/>
      <c r="M506" s="13"/>
      <c r="N506" s="13"/>
      <c r="O506" s="26">
        <f t="shared" si="286"/>
        <v>1</v>
      </c>
      <c r="P506" s="26">
        <f>O506*H506</f>
        <v>2</v>
      </c>
      <c r="Q506" s="27">
        <f>P506*E506</f>
        <v>11500</v>
      </c>
    </row>
    <row r="507" spans="1:17" ht="35.25" customHeight="1" x14ac:dyDescent="0.25">
      <c r="A507" s="13" t="str">
        <f t="shared" si="284"/>
        <v>ЩУР.МОП1-12</v>
      </c>
      <c r="B507" s="10" t="s">
        <v>293</v>
      </c>
      <c r="C507" s="11" t="s">
        <v>193</v>
      </c>
      <c r="D507" s="10" t="s">
        <v>194</v>
      </c>
      <c r="E507" s="10">
        <v>6580</v>
      </c>
      <c r="F507" s="12">
        <f t="shared" si="287"/>
        <v>1974</v>
      </c>
      <c r="G507" s="12">
        <f>F507*H507</f>
        <v>3948</v>
      </c>
      <c r="H507" s="13">
        <v>2</v>
      </c>
      <c r="I507" s="14" t="s">
        <v>12</v>
      </c>
      <c r="J507" s="10" t="s">
        <v>207</v>
      </c>
      <c r="K507" s="13" t="str">
        <f t="shared" si="285"/>
        <v>Блок12</v>
      </c>
      <c r="L507" s="13"/>
      <c r="M507" s="13"/>
      <c r="N507" s="13"/>
      <c r="O507" s="26">
        <f t="shared" si="286"/>
        <v>1</v>
      </c>
      <c r="P507" s="26">
        <f>O507*H507</f>
        <v>2</v>
      </c>
      <c r="Q507" s="27">
        <f>P507*E507</f>
        <v>13160</v>
      </c>
    </row>
    <row r="508" spans="1:17" ht="35.25" customHeight="1" x14ac:dyDescent="0.25">
      <c r="A508" s="13" t="str">
        <f t="shared" si="284"/>
        <v>ЩУР.МОП1-12</v>
      </c>
      <c r="B508" s="10" t="s">
        <v>15</v>
      </c>
      <c r="C508" s="11" t="s">
        <v>299</v>
      </c>
      <c r="D508" s="10" t="s">
        <v>300</v>
      </c>
      <c r="E508" s="10">
        <v>32400</v>
      </c>
      <c r="F508" s="12">
        <f>E508</f>
        <v>32400</v>
      </c>
      <c r="G508" s="12">
        <f>F508*H508</f>
        <v>32400</v>
      </c>
      <c r="H508" s="13">
        <v>1</v>
      </c>
      <c r="I508" s="14" t="s">
        <v>12</v>
      </c>
      <c r="J508" s="10" t="s">
        <v>16</v>
      </c>
      <c r="K508" s="13" t="str">
        <f t="shared" si="285"/>
        <v>Блок12</v>
      </c>
      <c r="L508" s="13"/>
      <c r="M508" s="13"/>
      <c r="N508" s="13"/>
      <c r="O508" s="26">
        <f t="shared" si="286"/>
        <v>1</v>
      </c>
      <c r="P508" s="26">
        <f>O508*H508</f>
        <v>1</v>
      </c>
      <c r="Q508" s="27">
        <f t="shared" ref="Q508:Q513" si="288">P508*F508</f>
        <v>32400</v>
      </c>
    </row>
    <row r="509" spans="1:17" ht="35.25" customHeight="1" x14ac:dyDescent="0.25">
      <c r="A509" s="10" t="str">
        <f t="shared" si="284"/>
        <v>ЩУР.МОП1-12</v>
      </c>
      <c r="B509" s="10" t="s">
        <v>19</v>
      </c>
      <c r="C509" s="11" t="s">
        <v>19</v>
      </c>
      <c r="D509" s="10" t="s">
        <v>19</v>
      </c>
      <c r="E509" s="10">
        <f ca="1">OFFSET(E509,1,2)</f>
        <v>12000</v>
      </c>
      <c r="F509" s="12">
        <f ca="1">E509</f>
        <v>12000</v>
      </c>
      <c r="G509" s="12">
        <f ca="1">F509*H509</f>
        <v>12000</v>
      </c>
      <c r="H509" s="10">
        <v>1</v>
      </c>
      <c r="I509" s="10" t="s">
        <v>12</v>
      </c>
      <c r="J509" s="10" t="s">
        <v>19</v>
      </c>
      <c r="K509" s="13" t="str">
        <f t="shared" si="285"/>
        <v>Блок12</v>
      </c>
      <c r="L509" s="13"/>
      <c r="M509" s="13"/>
      <c r="N509" s="13"/>
      <c r="O509" s="26">
        <f t="shared" si="286"/>
        <v>1</v>
      </c>
      <c r="P509" s="26">
        <f>O509*H509</f>
        <v>1</v>
      </c>
      <c r="Q509" s="27">
        <f t="shared" ca="1" si="288"/>
        <v>12000</v>
      </c>
    </row>
    <row r="510" spans="1:17" ht="35.25" customHeight="1" x14ac:dyDescent="0.25">
      <c r="A510" s="10" t="str">
        <f t="shared" si="284"/>
        <v>ЩУР.МОП1-12</v>
      </c>
      <c r="B510" s="10" t="s">
        <v>20</v>
      </c>
      <c r="C510" s="11" t="s">
        <v>20</v>
      </c>
      <c r="D510" s="10" t="s">
        <v>20</v>
      </c>
      <c r="E510" s="10">
        <v>2</v>
      </c>
      <c r="F510" s="12">
        <v>100</v>
      </c>
      <c r="G510" s="12">
        <f>F510*H510</f>
        <v>12000</v>
      </c>
      <c r="H510" s="10">
        <f>60*E510</f>
        <v>120</v>
      </c>
      <c r="I510" s="10" t="s">
        <v>12</v>
      </c>
      <c r="J510" s="10" t="s">
        <v>20</v>
      </c>
      <c r="K510" s="13" t="str">
        <f t="shared" si="285"/>
        <v>Блок12</v>
      </c>
      <c r="L510" s="13"/>
      <c r="M510" s="13"/>
      <c r="N510" s="13"/>
      <c r="O510" s="26">
        <f t="shared" si="286"/>
        <v>1</v>
      </c>
      <c r="P510" s="26">
        <f>O510*H510</f>
        <v>120</v>
      </c>
      <c r="Q510" s="27">
        <f t="shared" si="288"/>
        <v>12000</v>
      </c>
    </row>
    <row r="511" spans="1:17" ht="35.25" customHeight="1" x14ac:dyDescent="0.25">
      <c r="A511" s="15" t="str">
        <f t="shared" si="284"/>
        <v>ЩУР.МОП1-12</v>
      </c>
      <c r="B511" s="15"/>
      <c r="C511" s="15"/>
      <c r="D511" s="16"/>
      <c r="E511" s="28"/>
      <c r="F511" s="12">
        <f>E511*0.55</f>
        <v>0</v>
      </c>
      <c r="G511" s="28">
        <f ca="1">SUM(G504:G510)</f>
        <v>81855</v>
      </c>
      <c r="H511" s="15"/>
      <c r="I511" s="19"/>
      <c r="J511" s="15"/>
      <c r="K511" s="13" t="str">
        <f t="shared" si="285"/>
        <v>Блок12</v>
      </c>
      <c r="L511" s="13"/>
      <c r="M511" s="13"/>
      <c r="N511" s="13"/>
      <c r="O511" s="26">
        <f t="shared" si="286"/>
        <v>1</v>
      </c>
      <c r="P511" s="26">
        <f>O511*H511</f>
        <v>0</v>
      </c>
      <c r="Q511" s="27">
        <f t="shared" si="288"/>
        <v>0</v>
      </c>
    </row>
    <row r="512" spans="1:17" ht="35.25" customHeight="1" x14ac:dyDescent="0.25">
      <c r="A512" s="8" t="str">
        <f>D512</f>
        <v>ЩУР.МОП2-12</v>
      </c>
      <c r="B512" s="4"/>
      <c r="C512" s="5"/>
      <c r="D512" s="4" t="s">
        <v>100</v>
      </c>
      <c r="E512" s="6"/>
      <c r="F512" s="6"/>
      <c r="G512" s="7"/>
      <c r="H512" s="8">
        <v>1</v>
      </c>
      <c r="I512" s="9" t="s">
        <v>9</v>
      </c>
      <c r="J512" s="4" t="s">
        <v>10</v>
      </c>
      <c r="K512" s="8" t="s">
        <v>95</v>
      </c>
      <c r="L512" s="8"/>
      <c r="M512" s="8"/>
      <c r="N512" s="8"/>
      <c r="O512" s="26">
        <f>H512</f>
        <v>1</v>
      </c>
      <c r="P512" s="26">
        <f>O512*H512</f>
        <v>1</v>
      </c>
      <c r="Q512" s="27">
        <f t="shared" si="288"/>
        <v>0</v>
      </c>
    </row>
    <row r="513" spans="1:17" ht="35.25" customHeight="1" x14ac:dyDescent="0.25">
      <c r="A513" s="13" t="str">
        <f t="shared" ref="A513:A520" si="289">A512</f>
        <v>ЩУР.МОП2-12</v>
      </c>
      <c r="B513" s="10" t="s">
        <v>11</v>
      </c>
      <c r="C513" s="11" t="s">
        <v>328</v>
      </c>
      <c r="D513" s="10" t="s">
        <v>329</v>
      </c>
      <c r="E513" s="10">
        <v>27000</v>
      </c>
      <c r="F513" s="12">
        <f>0.6*E513</f>
        <v>16200</v>
      </c>
      <c r="G513" s="12">
        <f>F513*H513</f>
        <v>16200</v>
      </c>
      <c r="H513" s="13">
        <v>1</v>
      </c>
      <c r="I513" s="14" t="s">
        <v>12</v>
      </c>
      <c r="J513" s="10" t="s">
        <v>13</v>
      </c>
      <c r="K513" s="13" t="str">
        <f t="shared" ref="K513:K520" si="290">K512</f>
        <v>Блок12</v>
      </c>
      <c r="L513" s="13"/>
      <c r="M513" s="13"/>
      <c r="N513" s="13"/>
      <c r="O513" s="26">
        <f t="shared" ref="O513:O520" si="291">O512</f>
        <v>1</v>
      </c>
      <c r="P513" s="26">
        <f>O513*H513</f>
        <v>1</v>
      </c>
      <c r="Q513" s="27">
        <f t="shared" si="288"/>
        <v>16200</v>
      </c>
    </row>
    <row r="514" spans="1:17" ht="35.25" customHeight="1" x14ac:dyDescent="0.25">
      <c r="A514" s="13" t="str">
        <f t="shared" si="289"/>
        <v>ЩУР.МОП2-12</v>
      </c>
      <c r="B514" s="10" t="s">
        <v>293</v>
      </c>
      <c r="C514" s="11" t="s">
        <v>195</v>
      </c>
      <c r="D514" s="10" t="s">
        <v>196</v>
      </c>
      <c r="E514" s="10">
        <v>6190</v>
      </c>
      <c r="F514" s="12">
        <f t="shared" ref="F514:F516" si="292">0.3*E514</f>
        <v>1857</v>
      </c>
      <c r="G514" s="12">
        <f>F514*H514</f>
        <v>1857</v>
      </c>
      <c r="H514" s="13">
        <v>1</v>
      </c>
      <c r="I514" s="14" t="s">
        <v>12</v>
      </c>
      <c r="J514" s="10" t="s">
        <v>207</v>
      </c>
      <c r="K514" s="13" t="str">
        <f t="shared" si="290"/>
        <v>Блок12</v>
      </c>
      <c r="L514" s="13"/>
      <c r="M514" s="13"/>
      <c r="N514" s="13"/>
      <c r="O514" s="26">
        <f t="shared" si="291"/>
        <v>1</v>
      </c>
      <c r="P514" s="26">
        <f>O514*H514</f>
        <v>1</v>
      </c>
      <c r="Q514" s="27">
        <f>P514*E514</f>
        <v>6190</v>
      </c>
    </row>
    <row r="515" spans="1:17" ht="35.25" customHeight="1" x14ac:dyDescent="0.25">
      <c r="A515" s="13" t="str">
        <f t="shared" si="289"/>
        <v>ЩУР.МОП2-12</v>
      </c>
      <c r="B515" s="10" t="s">
        <v>293</v>
      </c>
      <c r="C515" s="11" t="s">
        <v>201</v>
      </c>
      <c r="D515" s="10" t="s">
        <v>202</v>
      </c>
      <c r="E515" s="10">
        <v>5750</v>
      </c>
      <c r="F515" s="12">
        <f t="shared" si="292"/>
        <v>1725</v>
      </c>
      <c r="G515" s="12">
        <f>F515*H515</f>
        <v>3450</v>
      </c>
      <c r="H515" s="13">
        <v>2</v>
      </c>
      <c r="I515" s="14" t="s">
        <v>12</v>
      </c>
      <c r="J515" s="10" t="s">
        <v>207</v>
      </c>
      <c r="K515" s="13" t="str">
        <f t="shared" si="290"/>
        <v>Блок12</v>
      </c>
      <c r="L515" s="13"/>
      <c r="M515" s="13"/>
      <c r="N515" s="13"/>
      <c r="O515" s="26">
        <f t="shared" si="291"/>
        <v>1</v>
      </c>
      <c r="P515" s="26">
        <f>O515*H515</f>
        <v>2</v>
      </c>
      <c r="Q515" s="27">
        <f>P515*E515</f>
        <v>11500</v>
      </c>
    </row>
    <row r="516" spans="1:17" ht="35.25" customHeight="1" x14ac:dyDescent="0.25">
      <c r="A516" s="13" t="str">
        <f t="shared" si="289"/>
        <v>ЩУР.МОП2-12</v>
      </c>
      <c r="B516" s="10" t="s">
        <v>293</v>
      </c>
      <c r="C516" s="11" t="s">
        <v>193</v>
      </c>
      <c r="D516" s="10" t="s">
        <v>194</v>
      </c>
      <c r="E516" s="10">
        <v>6580</v>
      </c>
      <c r="F516" s="12">
        <f t="shared" si="292"/>
        <v>1974</v>
      </c>
      <c r="G516" s="12">
        <f>F516*H516</f>
        <v>3948</v>
      </c>
      <c r="H516" s="13">
        <v>2</v>
      </c>
      <c r="I516" s="14" t="s">
        <v>12</v>
      </c>
      <c r="J516" s="10" t="s">
        <v>207</v>
      </c>
      <c r="K516" s="13" t="str">
        <f t="shared" si="290"/>
        <v>Блок12</v>
      </c>
      <c r="L516" s="13"/>
      <c r="M516" s="13"/>
      <c r="N516" s="13"/>
      <c r="O516" s="26">
        <f t="shared" si="291"/>
        <v>1</v>
      </c>
      <c r="P516" s="26">
        <f>O516*H516</f>
        <v>2</v>
      </c>
      <c r="Q516" s="27">
        <f>P516*E516</f>
        <v>13160</v>
      </c>
    </row>
    <row r="517" spans="1:17" ht="35.25" customHeight="1" x14ac:dyDescent="0.25">
      <c r="A517" s="13" t="str">
        <f t="shared" si="289"/>
        <v>ЩУР.МОП2-12</v>
      </c>
      <c r="B517" s="10" t="s">
        <v>15</v>
      </c>
      <c r="C517" s="11" t="s">
        <v>299</v>
      </c>
      <c r="D517" s="10" t="s">
        <v>300</v>
      </c>
      <c r="E517" s="10">
        <v>32400</v>
      </c>
      <c r="F517" s="12">
        <f>E517</f>
        <v>32400</v>
      </c>
      <c r="G517" s="12">
        <f>F517*H517</f>
        <v>32400</v>
      </c>
      <c r="H517" s="13">
        <v>1</v>
      </c>
      <c r="I517" s="14" t="s">
        <v>12</v>
      </c>
      <c r="J517" s="10" t="s">
        <v>16</v>
      </c>
      <c r="K517" s="13" t="str">
        <f t="shared" si="290"/>
        <v>Блок12</v>
      </c>
      <c r="L517" s="13"/>
      <c r="M517" s="13"/>
      <c r="N517" s="13"/>
      <c r="O517" s="26">
        <f t="shared" si="291"/>
        <v>1</v>
      </c>
      <c r="P517" s="26">
        <f>O517*H517</f>
        <v>1</v>
      </c>
      <c r="Q517" s="27">
        <f t="shared" ref="Q517:Q523" si="293">P517*F517</f>
        <v>32400</v>
      </c>
    </row>
    <row r="518" spans="1:17" ht="35.25" customHeight="1" x14ac:dyDescent="0.25">
      <c r="A518" s="10" t="str">
        <f t="shared" si="289"/>
        <v>ЩУР.МОП2-12</v>
      </c>
      <c r="B518" s="10" t="s">
        <v>19</v>
      </c>
      <c r="C518" s="11" t="s">
        <v>19</v>
      </c>
      <c r="D518" s="10" t="s">
        <v>19</v>
      </c>
      <c r="E518" s="10">
        <f ca="1">OFFSET(E518,1,2)</f>
        <v>12000</v>
      </c>
      <c r="F518" s="12">
        <f ca="1">E518</f>
        <v>12000</v>
      </c>
      <c r="G518" s="12">
        <f ca="1">F518*H518</f>
        <v>12000</v>
      </c>
      <c r="H518" s="10">
        <v>1</v>
      </c>
      <c r="I518" s="10" t="s">
        <v>12</v>
      </c>
      <c r="J518" s="10" t="s">
        <v>19</v>
      </c>
      <c r="K518" s="13" t="str">
        <f t="shared" si="290"/>
        <v>Блок12</v>
      </c>
      <c r="L518" s="13"/>
      <c r="M518" s="13"/>
      <c r="N518" s="13"/>
      <c r="O518" s="26">
        <f t="shared" si="291"/>
        <v>1</v>
      </c>
      <c r="P518" s="26">
        <f>O518*H518</f>
        <v>1</v>
      </c>
      <c r="Q518" s="27">
        <f t="shared" ca="1" si="293"/>
        <v>12000</v>
      </c>
    </row>
    <row r="519" spans="1:17" ht="35.25" customHeight="1" x14ac:dyDescent="0.25">
      <c r="A519" s="10" t="str">
        <f t="shared" si="289"/>
        <v>ЩУР.МОП2-12</v>
      </c>
      <c r="B519" s="10" t="s">
        <v>20</v>
      </c>
      <c r="C519" s="11" t="s">
        <v>20</v>
      </c>
      <c r="D519" s="10" t="s">
        <v>20</v>
      </c>
      <c r="E519" s="10">
        <v>2</v>
      </c>
      <c r="F519" s="12">
        <v>100</v>
      </c>
      <c r="G519" s="12">
        <f>F519*H519</f>
        <v>12000</v>
      </c>
      <c r="H519" s="10">
        <f>60*E519</f>
        <v>120</v>
      </c>
      <c r="I519" s="10" t="s">
        <v>12</v>
      </c>
      <c r="J519" s="10" t="s">
        <v>20</v>
      </c>
      <c r="K519" s="13" t="str">
        <f t="shared" si="290"/>
        <v>Блок12</v>
      </c>
      <c r="L519" s="13"/>
      <c r="M519" s="13"/>
      <c r="N519" s="13"/>
      <c r="O519" s="26">
        <f t="shared" si="291"/>
        <v>1</v>
      </c>
      <c r="P519" s="26">
        <f>O519*H519</f>
        <v>120</v>
      </c>
      <c r="Q519" s="27">
        <f t="shared" si="293"/>
        <v>12000</v>
      </c>
    </row>
    <row r="520" spans="1:17" ht="35.25" customHeight="1" x14ac:dyDescent="0.25">
      <c r="A520" s="15" t="str">
        <f t="shared" si="289"/>
        <v>ЩУР.МОП2-12</v>
      </c>
      <c r="B520" s="15"/>
      <c r="C520" s="15"/>
      <c r="D520" s="16"/>
      <c r="E520" s="28"/>
      <c r="F520" s="12">
        <f>E520*0.55</f>
        <v>0</v>
      </c>
      <c r="G520" s="28">
        <f ca="1">SUM(G513:G519)</f>
        <v>81855</v>
      </c>
      <c r="H520" s="15"/>
      <c r="I520" s="19"/>
      <c r="J520" s="15"/>
      <c r="K520" s="13" t="str">
        <f t="shared" si="290"/>
        <v>Блок12</v>
      </c>
      <c r="L520" s="13"/>
      <c r="M520" s="13"/>
      <c r="N520" s="13"/>
      <c r="O520" s="26">
        <f t="shared" si="291"/>
        <v>1</v>
      </c>
      <c r="P520" s="26">
        <f>O520*H520</f>
        <v>0</v>
      </c>
      <c r="Q520" s="27">
        <f t="shared" si="293"/>
        <v>0</v>
      </c>
    </row>
    <row r="521" spans="1:17" ht="35.25" customHeight="1" x14ac:dyDescent="0.25">
      <c r="A521" s="8" t="str">
        <f>D521</f>
        <v>РЩ1-12 (АВР-Б-40-2-1)</v>
      </c>
      <c r="B521" s="4"/>
      <c r="C521" s="5"/>
      <c r="D521" s="4" t="s">
        <v>144</v>
      </c>
      <c r="E521" s="6"/>
      <c r="F521" s="6"/>
      <c r="G521" s="7"/>
      <c r="H521" s="8">
        <v>1</v>
      </c>
      <c r="I521" s="9" t="s">
        <v>9</v>
      </c>
      <c r="J521" s="4" t="s">
        <v>10</v>
      </c>
      <c r="K521" s="8" t="s">
        <v>95</v>
      </c>
      <c r="L521" s="8"/>
      <c r="M521" s="8"/>
      <c r="N521" s="8"/>
      <c r="O521" s="26">
        <f>H521</f>
        <v>1</v>
      </c>
      <c r="P521" s="26">
        <f>O521*H521</f>
        <v>1</v>
      </c>
      <c r="Q521" s="27">
        <f t="shared" si="293"/>
        <v>0</v>
      </c>
    </row>
    <row r="522" spans="1:17" ht="35.25" customHeight="1" x14ac:dyDescent="0.25">
      <c r="A522" s="13" t="str">
        <f t="shared" ref="A522:A532" si="294">A521</f>
        <v>РЩ1-12 (АВР-Б-40-2-1)</v>
      </c>
      <c r="B522" s="10" t="s">
        <v>11</v>
      </c>
      <c r="C522" s="11" t="s">
        <v>168</v>
      </c>
      <c r="D522" s="10" t="s">
        <v>169</v>
      </c>
      <c r="E522" s="10">
        <v>130000</v>
      </c>
      <c r="F522" s="12">
        <f t="shared" ref="F522:F523" si="295">0.6*E522</f>
        <v>78000</v>
      </c>
      <c r="G522" s="12">
        <f>F522*H522</f>
        <v>78000</v>
      </c>
      <c r="H522" s="13">
        <v>1</v>
      </c>
      <c r="I522" s="14" t="s">
        <v>12</v>
      </c>
      <c r="J522" s="10" t="s">
        <v>13</v>
      </c>
      <c r="K522" s="13" t="str">
        <f t="shared" ref="K522:K532" si="296">K521</f>
        <v>Блок12</v>
      </c>
      <c r="L522" s="13"/>
      <c r="M522" s="13"/>
      <c r="N522" s="13"/>
      <c r="O522" s="26">
        <f t="shared" ref="O522:O532" si="297">O521</f>
        <v>1</v>
      </c>
      <c r="P522" s="26">
        <f>O522*H522</f>
        <v>1</v>
      </c>
      <c r="Q522" s="27">
        <f t="shared" si="293"/>
        <v>78000</v>
      </c>
    </row>
    <row r="523" spans="1:17" ht="35.25" customHeight="1" x14ac:dyDescent="0.25">
      <c r="A523" s="13" t="str">
        <f t="shared" si="294"/>
        <v>РЩ1-12 (АВР-Б-40-2-1)</v>
      </c>
      <c r="B523" s="10" t="s">
        <v>44</v>
      </c>
      <c r="C523" s="11" t="s">
        <v>162</v>
      </c>
      <c r="D523" s="10" t="s">
        <v>163</v>
      </c>
      <c r="E523" s="10">
        <v>114758</v>
      </c>
      <c r="F523" s="12">
        <f t="shared" si="295"/>
        <v>68854.8</v>
      </c>
      <c r="G523" s="12">
        <f>F523*H523</f>
        <v>68854.8</v>
      </c>
      <c r="H523" s="13">
        <v>1</v>
      </c>
      <c r="I523" s="14" t="s">
        <v>12</v>
      </c>
      <c r="J523" s="10" t="s">
        <v>14</v>
      </c>
      <c r="K523" s="13" t="str">
        <f t="shared" si="296"/>
        <v>Блок12</v>
      </c>
      <c r="L523" s="13"/>
      <c r="M523" s="13"/>
      <c r="N523" s="13"/>
      <c r="O523" s="26">
        <f t="shared" si="297"/>
        <v>1</v>
      </c>
      <c r="P523" s="26">
        <f>O523*H523</f>
        <v>1</v>
      </c>
      <c r="Q523" s="27">
        <f t="shared" si="293"/>
        <v>68854.8</v>
      </c>
    </row>
    <row r="524" spans="1:17" ht="35.25" customHeight="1" x14ac:dyDescent="0.25">
      <c r="A524" s="13" t="str">
        <f t="shared" si="294"/>
        <v>РЩ1-12 (АВР-Б-40-2-1)</v>
      </c>
      <c r="B524" s="10" t="s">
        <v>293</v>
      </c>
      <c r="C524" s="11" t="s">
        <v>213</v>
      </c>
      <c r="D524" s="10" t="s">
        <v>214</v>
      </c>
      <c r="E524" s="10">
        <v>7690</v>
      </c>
      <c r="F524" s="12">
        <f t="shared" ref="F524:F527" si="298">0.3*E524</f>
        <v>2307</v>
      </c>
      <c r="G524" s="12">
        <f>F524*H524</f>
        <v>4614</v>
      </c>
      <c r="H524" s="13">
        <v>2</v>
      </c>
      <c r="I524" s="14" t="s">
        <v>12</v>
      </c>
      <c r="J524" s="10" t="s">
        <v>207</v>
      </c>
      <c r="K524" s="13" t="str">
        <f t="shared" si="296"/>
        <v>Блок12</v>
      </c>
      <c r="L524" s="13"/>
      <c r="M524" s="13"/>
      <c r="N524" s="13"/>
      <c r="O524" s="26">
        <f t="shared" si="297"/>
        <v>1</v>
      </c>
      <c r="P524" s="26">
        <f>O524*H524</f>
        <v>2</v>
      </c>
      <c r="Q524" s="27">
        <f>P524*E524</f>
        <v>15380</v>
      </c>
    </row>
    <row r="525" spans="1:17" ht="35.25" customHeight="1" x14ac:dyDescent="0.25">
      <c r="A525" s="13" t="str">
        <f t="shared" si="294"/>
        <v>РЩ1-12 (АВР-Б-40-2-1)</v>
      </c>
      <c r="B525" s="10" t="s">
        <v>293</v>
      </c>
      <c r="C525" s="11" t="s">
        <v>231</v>
      </c>
      <c r="D525" s="10" t="s">
        <v>232</v>
      </c>
      <c r="E525" s="10">
        <v>7690</v>
      </c>
      <c r="F525" s="12">
        <f t="shared" si="298"/>
        <v>2307</v>
      </c>
      <c r="G525" s="12">
        <f>F525*H525</f>
        <v>4614</v>
      </c>
      <c r="H525" s="13">
        <v>2</v>
      </c>
      <c r="I525" s="14" t="s">
        <v>12</v>
      </c>
      <c r="J525" s="10" t="s">
        <v>207</v>
      </c>
      <c r="K525" s="13" t="str">
        <f t="shared" si="296"/>
        <v>Блок12</v>
      </c>
      <c r="L525" s="13"/>
      <c r="M525" s="13"/>
      <c r="N525" s="13"/>
      <c r="O525" s="26">
        <f t="shared" si="297"/>
        <v>1</v>
      </c>
      <c r="P525" s="26">
        <f>O525*H525</f>
        <v>2</v>
      </c>
      <c r="Q525" s="27">
        <f>P525*E525</f>
        <v>15380</v>
      </c>
    </row>
    <row r="526" spans="1:17" ht="35.25" customHeight="1" x14ac:dyDescent="0.25">
      <c r="A526" s="13" t="str">
        <f t="shared" si="294"/>
        <v>РЩ1-12 (АВР-Б-40-2-1)</v>
      </c>
      <c r="B526" s="10" t="s">
        <v>294</v>
      </c>
      <c r="C526" s="11" t="s">
        <v>203</v>
      </c>
      <c r="D526" s="10" t="s">
        <v>204</v>
      </c>
      <c r="E526" s="10">
        <v>13450</v>
      </c>
      <c r="F526" s="12">
        <f t="shared" si="298"/>
        <v>4035</v>
      </c>
      <c r="G526" s="12">
        <f>F526*H526</f>
        <v>8070</v>
      </c>
      <c r="H526" s="13">
        <v>2</v>
      </c>
      <c r="I526" s="14" t="s">
        <v>12</v>
      </c>
      <c r="J526" s="10" t="s">
        <v>207</v>
      </c>
      <c r="K526" s="13" t="str">
        <f t="shared" si="296"/>
        <v>Блок12</v>
      </c>
      <c r="L526" s="13"/>
      <c r="M526" s="13"/>
      <c r="N526" s="13"/>
      <c r="O526" s="26">
        <f t="shared" si="297"/>
        <v>1</v>
      </c>
      <c r="P526" s="26">
        <f>O526*H526</f>
        <v>2</v>
      </c>
      <c r="Q526" s="27">
        <f>P526*E526</f>
        <v>26900</v>
      </c>
    </row>
    <row r="527" spans="1:17" ht="35.25" customHeight="1" x14ac:dyDescent="0.25">
      <c r="A527" s="13" t="str">
        <f t="shared" si="294"/>
        <v>РЩ1-12 (АВР-Б-40-2-1)</v>
      </c>
      <c r="B527" s="10" t="s">
        <v>293</v>
      </c>
      <c r="C527" s="11" t="s">
        <v>205</v>
      </c>
      <c r="D527" s="10" t="s">
        <v>206</v>
      </c>
      <c r="E527" s="10">
        <v>7090</v>
      </c>
      <c r="F527" s="12">
        <f t="shared" si="298"/>
        <v>2127</v>
      </c>
      <c r="G527" s="12">
        <f>F527*H527</f>
        <v>2127</v>
      </c>
      <c r="H527" s="13">
        <v>1</v>
      </c>
      <c r="I527" s="14" t="s">
        <v>12</v>
      </c>
      <c r="J527" s="10" t="s">
        <v>207</v>
      </c>
      <c r="K527" s="13" t="str">
        <f t="shared" si="296"/>
        <v>Блок12</v>
      </c>
      <c r="L527" s="13"/>
      <c r="M527" s="13"/>
      <c r="N527" s="13"/>
      <c r="O527" s="26">
        <f t="shared" si="297"/>
        <v>1</v>
      </c>
      <c r="P527" s="26">
        <f>O527*H527</f>
        <v>1</v>
      </c>
      <c r="Q527" s="27">
        <f>P527*E527</f>
        <v>7090</v>
      </c>
    </row>
    <row r="528" spans="1:17" ht="35.25" customHeight="1" x14ac:dyDescent="0.25">
      <c r="A528" s="13" t="str">
        <f t="shared" si="294"/>
        <v>РЩ1-12 (АВР-Б-40-2-1)</v>
      </c>
      <c r="B528" s="10" t="s">
        <v>15</v>
      </c>
      <c r="C528" s="11" t="s">
        <v>299</v>
      </c>
      <c r="D528" s="10" t="s">
        <v>300</v>
      </c>
      <c r="E528" s="10">
        <v>32400</v>
      </c>
      <c r="F528" s="12">
        <f>E528</f>
        <v>32400</v>
      </c>
      <c r="G528" s="12">
        <f>F528*H528</f>
        <v>32400</v>
      </c>
      <c r="H528" s="13">
        <v>1</v>
      </c>
      <c r="I528" s="14" t="s">
        <v>12</v>
      </c>
      <c r="J528" s="10" t="s">
        <v>16</v>
      </c>
      <c r="K528" s="13" t="str">
        <f t="shared" si="296"/>
        <v>Блок12</v>
      </c>
      <c r="L528" s="13"/>
      <c r="M528" s="13"/>
      <c r="N528" s="13"/>
      <c r="O528" s="26">
        <f t="shared" si="297"/>
        <v>1</v>
      </c>
      <c r="P528" s="26">
        <f>O528*H528</f>
        <v>1</v>
      </c>
      <c r="Q528" s="27">
        <f t="shared" ref="Q528:Q535" si="299">P528*F528</f>
        <v>32400</v>
      </c>
    </row>
    <row r="529" spans="1:17" ht="35.25" customHeight="1" x14ac:dyDescent="0.25">
      <c r="A529" s="13" t="str">
        <f t="shared" si="294"/>
        <v>РЩ1-12 (АВР-Б-40-2-1)</v>
      </c>
      <c r="B529" s="10" t="s">
        <v>30</v>
      </c>
      <c r="C529" s="11"/>
      <c r="D529" s="10" t="s">
        <v>31</v>
      </c>
      <c r="E529" s="10">
        <v>3850</v>
      </c>
      <c r="F529" s="12">
        <f>E529</f>
        <v>3850</v>
      </c>
      <c r="G529" s="12">
        <f>F529*H529</f>
        <v>23100</v>
      </c>
      <c r="H529" s="13">
        <v>6</v>
      </c>
      <c r="I529" s="14" t="s">
        <v>12</v>
      </c>
      <c r="J529" s="10" t="s">
        <v>25</v>
      </c>
      <c r="K529" s="13" t="str">
        <f t="shared" si="296"/>
        <v>Блок12</v>
      </c>
      <c r="L529" s="13"/>
      <c r="M529" s="13"/>
      <c r="N529" s="13"/>
      <c r="O529" s="26">
        <f t="shared" si="297"/>
        <v>1</v>
      </c>
      <c r="P529" s="26">
        <f>O529*H529</f>
        <v>6</v>
      </c>
      <c r="Q529" s="27">
        <f t="shared" si="299"/>
        <v>23100</v>
      </c>
    </row>
    <row r="530" spans="1:17" ht="35.25" customHeight="1" x14ac:dyDescent="0.25">
      <c r="A530" s="10" t="str">
        <f t="shared" si="294"/>
        <v>РЩ1-12 (АВР-Б-40-2-1)</v>
      </c>
      <c r="B530" s="10" t="s">
        <v>19</v>
      </c>
      <c r="C530" s="11" t="s">
        <v>19</v>
      </c>
      <c r="D530" s="10" t="s">
        <v>19</v>
      </c>
      <c r="E530" s="10">
        <f ca="1">OFFSET(E530,1,2)</f>
        <v>39000</v>
      </c>
      <c r="F530" s="12">
        <f ca="1">E530</f>
        <v>39000</v>
      </c>
      <c r="G530" s="12">
        <f ca="1">F530*H530</f>
        <v>39000</v>
      </c>
      <c r="H530" s="10">
        <v>1</v>
      </c>
      <c r="I530" s="10" t="s">
        <v>12</v>
      </c>
      <c r="J530" s="10" t="s">
        <v>19</v>
      </c>
      <c r="K530" s="13" t="str">
        <f t="shared" si="296"/>
        <v>Блок12</v>
      </c>
      <c r="L530" s="13"/>
      <c r="M530" s="13"/>
      <c r="N530" s="13"/>
      <c r="O530" s="26">
        <f t="shared" si="297"/>
        <v>1</v>
      </c>
      <c r="P530" s="26">
        <f>O530*H530</f>
        <v>1</v>
      </c>
      <c r="Q530" s="27">
        <f t="shared" ca="1" si="299"/>
        <v>39000</v>
      </c>
    </row>
    <row r="531" spans="1:17" ht="35.25" customHeight="1" x14ac:dyDescent="0.25">
      <c r="A531" s="10" t="str">
        <f t="shared" si="294"/>
        <v>РЩ1-12 (АВР-Б-40-2-1)</v>
      </c>
      <c r="B531" s="10" t="s">
        <v>20</v>
      </c>
      <c r="C531" s="11" t="s">
        <v>20</v>
      </c>
      <c r="D531" s="10" t="s">
        <v>20</v>
      </c>
      <c r="E531" s="10">
        <v>6.5</v>
      </c>
      <c r="F531" s="12">
        <v>100</v>
      </c>
      <c r="G531" s="12">
        <f>F531*H531</f>
        <v>39000</v>
      </c>
      <c r="H531" s="10">
        <f>60*E531</f>
        <v>390</v>
      </c>
      <c r="I531" s="10" t="s">
        <v>12</v>
      </c>
      <c r="J531" s="10" t="s">
        <v>20</v>
      </c>
      <c r="K531" s="13" t="str">
        <f t="shared" si="296"/>
        <v>Блок12</v>
      </c>
      <c r="L531" s="13"/>
      <c r="M531" s="13"/>
      <c r="N531" s="13"/>
      <c r="O531" s="26">
        <f t="shared" si="297"/>
        <v>1</v>
      </c>
      <c r="P531" s="26">
        <f>O531*H531</f>
        <v>390</v>
      </c>
      <c r="Q531" s="27">
        <f t="shared" si="299"/>
        <v>39000</v>
      </c>
    </row>
    <row r="532" spans="1:17" ht="35.25" customHeight="1" x14ac:dyDescent="0.25">
      <c r="A532" s="15" t="str">
        <f t="shared" si="294"/>
        <v>РЩ1-12 (АВР-Б-40-2-1)</v>
      </c>
      <c r="B532" s="15"/>
      <c r="C532" s="15"/>
      <c r="D532" s="16"/>
      <c r="E532" s="28"/>
      <c r="F532" s="12">
        <f>E532*0.55</f>
        <v>0</v>
      </c>
      <c r="G532" s="28">
        <f ca="1">SUM(G522:G531)</f>
        <v>299779.8</v>
      </c>
      <c r="H532" s="15"/>
      <c r="I532" s="19"/>
      <c r="J532" s="15"/>
      <c r="K532" s="13" t="str">
        <f t="shared" si="296"/>
        <v>Блок12</v>
      </c>
      <c r="L532" s="13"/>
      <c r="M532" s="13"/>
      <c r="N532" s="13"/>
      <c r="O532" s="26">
        <f t="shared" si="297"/>
        <v>1</v>
      </c>
      <c r="P532" s="26">
        <f>O532*H532</f>
        <v>0</v>
      </c>
      <c r="Q532" s="27">
        <f t="shared" si="299"/>
        <v>0</v>
      </c>
    </row>
    <row r="533" spans="1:17" ht="35.25" customHeight="1" x14ac:dyDescent="0.25">
      <c r="A533" s="8" t="str">
        <f>D533</f>
        <v>РЩ2-12 (АВР-Б-40-2-1)</v>
      </c>
      <c r="B533" s="4"/>
      <c r="C533" s="5"/>
      <c r="D533" s="4" t="s">
        <v>145</v>
      </c>
      <c r="E533" s="6"/>
      <c r="F533" s="6"/>
      <c r="G533" s="7"/>
      <c r="H533" s="8">
        <v>1</v>
      </c>
      <c r="I533" s="9" t="s">
        <v>9</v>
      </c>
      <c r="J533" s="4" t="s">
        <v>10</v>
      </c>
      <c r="K533" s="8" t="s">
        <v>95</v>
      </c>
      <c r="L533" s="8"/>
      <c r="M533" s="8"/>
      <c r="N533" s="8"/>
      <c r="O533" s="26">
        <f>H533</f>
        <v>1</v>
      </c>
      <c r="P533" s="26">
        <f>O533*H533</f>
        <v>1</v>
      </c>
      <c r="Q533" s="27">
        <f t="shared" si="299"/>
        <v>0</v>
      </c>
    </row>
    <row r="534" spans="1:17" ht="35.25" customHeight="1" x14ac:dyDescent="0.25">
      <c r="A534" s="13" t="str">
        <f t="shared" ref="A534:A545" si="300">A533</f>
        <v>РЩ2-12 (АВР-Б-40-2-1)</v>
      </c>
      <c r="B534" s="10" t="s">
        <v>11</v>
      </c>
      <c r="C534" s="11" t="s">
        <v>168</v>
      </c>
      <c r="D534" s="10" t="s">
        <v>169</v>
      </c>
      <c r="E534" s="10">
        <v>130000</v>
      </c>
      <c r="F534" s="12">
        <f t="shared" ref="F534:F535" si="301">0.6*E534</f>
        <v>78000</v>
      </c>
      <c r="G534" s="12">
        <f>F534*H534</f>
        <v>78000</v>
      </c>
      <c r="H534" s="13">
        <v>1</v>
      </c>
      <c r="I534" s="14" t="s">
        <v>12</v>
      </c>
      <c r="J534" s="10" t="s">
        <v>13</v>
      </c>
      <c r="K534" s="13" t="str">
        <f t="shared" ref="K534:K545" si="302">K533</f>
        <v>Блок12</v>
      </c>
      <c r="L534" s="13"/>
      <c r="M534" s="13"/>
      <c r="N534" s="13"/>
      <c r="O534" s="26">
        <f t="shared" ref="O534:O545" si="303">O533</f>
        <v>1</v>
      </c>
      <c r="P534" s="26">
        <f>O534*H534</f>
        <v>1</v>
      </c>
      <c r="Q534" s="27">
        <f t="shared" si="299"/>
        <v>78000</v>
      </c>
    </row>
    <row r="535" spans="1:17" ht="35.25" customHeight="1" x14ac:dyDescent="0.25">
      <c r="A535" s="13" t="str">
        <f t="shared" si="300"/>
        <v>РЩ2-12 (АВР-Б-40-2-1)</v>
      </c>
      <c r="B535" s="10" t="s">
        <v>44</v>
      </c>
      <c r="C535" s="11" t="s">
        <v>162</v>
      </c>
      <c r="D535" s="10" t="s">
        <v>163</v>
      </c>
      <c r="E535" s="10">
        <v>114758</v>
      </c>
      <c r="F535" s="12">
        <f t="shared" si="301"/>
        <v>68854.8</v>
      </c>
      <c r="G535" s="12">
        <f>F535*H535</f>
        <v>68854.8</v>
      </c>
      <c r="H535" s="13">
        <v>1</v>
      </c>
      <c r="I535" s="14" t="s">
        <v>12</v>
      </c>
      <c r="J535" s="10" t="s">
        <v>14</v>
      </c>
      <c r="K535" s="13" t="str">
        <f t="shared" si="302"/>
        <v>Блок12</v>
      </c>
      <c r="L535" s="13"/>
      <c r="M535" s="13"/>
      <c r="N535" s="13"/>
      <c r="O535" s="26">
        <f t="shared" si="303"/>
        <v>1</v>
      </c>
      <c r="P535" s="26">
        <f>O535*H535</f>
        <v>1</v>
      </c>
      <c r="Q535" s="27">
        <f t="shared" si="299"/>
        <v>68854.8</v>
      </c>
    </row>
    <row r="536" spans="1:17" ht="35.25" customHeight="1" x14ac:dyDescent="0.25">
      <c r="A536" s="13" t="str">
        <f t="shared" si="300"/>
        <v>РЩ2-12 (АВР-Б-40-2-1)</v>
      </c>
      <c r="B536" s="10" t="s">
        <v>293</v>
      </c>
      <c r="C536" s="11" t="s">
        <v>213</v>
      </c>
      <c r="D536" s="10" t="s">
        <v>214</v>
      </c>
      <c r="E536" s="10">
        <v>7690</v>
      </c>
      <c r="F536" s="12">
        <f t="shared" ref="F536:F538" si="304">0.3*E536</f>
        <v>2307</v>
      </c>
      <c r="G536" s="12">
        <f>F536*H536</f>
        <v>4614</v>
      </c>
      <c r="H536" s="13">
        <v>2</v>
      </c>
      <c r="I536" s="14" t="s">
        <v>12</v>
      </c>
      <c r="J536" s="10" t="s">
        <v>207</v>
      </c>
      <c r="K536" s="13" t="str">
        <f t="shared" si="302"/>
        <v>Блок12</v>
      </c>
      <c r="L536" s="13"/>
      <c r="M536" s="13"/>
      <c r="N536" s="13"/>
      <c r="O536" s="26">
        <f t="shared" si="303"/>
        <v>1</v>
      </c>
      <c r="P536" s="26">
        <f>O536*H536</f>
        <v>2</v>
      </c>
      <c r="Q536" s="27">
        <f>P536*E536</f>
        <v>15380</v>
      </c>
    </row>
    <row r="537" spans="1:17" ht="35.25" customHeight="1" x14ac:dyDescent="0.25">
      <c r="A537" s="13" t="str">
        <f t="shared" si="300"/>
        <v>РЩ2-12 (АВР-Б-40-2-1)</v>
      </c>
      <c r="B537" s="10" t="s">
        <v>293</v>
      </c>
      <c r="C537" s="11" t="s">
        <v>231</v>
      </c>
      <c r="D537" s="10" t="s">
        <v>232</v>
      </c>
      <c r="E537" s="10">
        <v>7690</v>
      </c>
      <c r="F537" s="12">
        <f t="shared" si="304"/>
        <v>2307</v>
      </c>
      <c r="G537" s="12">
        <f>F537*H537</f>
        <v>4614</v>
      </c>
      <c r="H537" s="13">
        <v>2</v>
      </c>
      <c r="I537" s="14" t="s">
        <v>12</v>
      </c>
      <c r="J537" s="10" t="s">
        <v>207</v>
      </c>
      <c r="K537" s="13" t="str">
        <f t="shared" si="302"/>
        <v>Блок12</v>
      </c>
      <c r="L537" s="13"/>
      <c r="M537" s="13"/>
      <c r="N537" s="13"/>
      <c r="O537" s="26">
        <f t="shared" si="303"/>
        <v>1</v>
      </c>
      <c r="P537" s="26">
        <f>O537*H537</f>
        <v>2</v>
      </c>
      <c r="Q537" s="27">
        <f>P537*E537</f>
        <v>15380</v>
      </c>
    </row>
    <row r="538" spans="1:17" ht="35.25" customHeight="1" x14ac:dyDescent="0.25">
      <c r="A538" s="13" t="str">
        <f t="shared" si="300"/>
        <v>РЩ2-12 (АВР-Б-40-2-1)</v>
      </c>
      <c r="B538" s="10" t="s">
        <v>294</v>
      </c>
      <c r="C538" s="11" t="s">
        <v>203</v>
      </c>
      <c r="D538" s="10" t="s">
        <v>204</v>
      </c>
      <c r="E538" s="10">
        <v>13450</v>
      </c>
      <c r="F538" s="12">
        <f t="shared" si="304"/>
        <v>4035</v>
      </c>
      <c r="G538" s="12">
        <f>F538*H538</f>
        <v>8070</v>
      </c>
      <c r="H538" s="13">
        <v>2</v>
      </c>
      <c r="I538" s="14" t="s">
        <v>12</v>
      </c>
      <c r="J538" s="10" t="s">
        <v>207</v>
      </c>
      <c r="K538" s="13" t="str">
        <f t="shared" si="302"/>
        <v>Блок12</v>
      </c>
      <c r="L538" s="13"/>
      <c r="M538" s="13"/>
      <c r="N538" s="13"/>
      <c r="O538" s="26">
        <f t="shared" si="303"/>
        <v>1</v>
      </c>
      <c r="P538" s="26">
        <f>O538*H538</f>
        <v>2</v>
      </c>
      <c r="Q538" s="27">
        <f>P538*E538</f>
        <v>26900</v>
      </c>
    </row>
    <row r="539" spans="1:17" ht="35.25" customHeight="1" x14ac:dyDescent="0.25">
      <c r="A539" s="13" t="str">
        <f t="shared" si="300"/>
        <v>РЩ2-12 (АВР-Б-40-2-1)</v>
      </c>
      <c r="B539" s="10" t="s">
        <v>18</v>
      </c>
      <c r="C539" s="11" t="s">
        <v>233</v>
      </c>
      <c r="D539" s="10" t="s">
        <v>234</v>
      </c>
      <c r="E539" s="10">
        <v>5884</v>
      </c>
      <c r="F539" s="12">
        <f>0.6*E539</f>
        <v>3530.4</v>
      </c>
      <c r="G539" s="12">
        <f>F539*H539</f>
        <v>3530.4</v>
      </c>
      <c r="H539" s="13">
        <v>1</v>
      </c>
      <c r="I539" s="14" t="s">
        <v>12</v>
      </c>
      <c r="J539" s="10" t="s">
        <v>14</v>
      </c>
      <c r="K539" s="13" t="str">
        <f t="shared" si="302"/>
        <v>Блок12</v>
      </c>
      <c r="L539" s="13"/>
      <c r="M539" s="13"/>
      <c r="N539" s="13"/>
      <c r="O539" s="26">
        <f t="shared" si="303"/>
        <v>1</v>
      </c>
      <c r="P539" s="26">
        <f>O539*H539</f>
        <v>1</v>
      </c>
      <c r="Q539" s="27">
        <f>P539*F539</f>
        <v>3530.4</v>
      </c>
    </row>
    <row r="540" spans="1:17" ht="35.25" customHeight="1" x14ac:dyDescent="0.25">
      <c r="A540" s="13" t="str">
        <f t="shared" si="300"/>
        <v>РЩ2-12 (АВР-Б-40-2-1)</v>
      </c>
      <c r="B540" s="10" t="s">
        <v>293</v>
      </c>
      <c r="C540" s="11" t="s">
        <v>205</v>
      </c>
      <c r="D540" s="10" t="s">
        <v>206</v>
      </c>
      <c r="E540" s="10">
        <v>7090</v>
      </c>
      <c r="F540" s="12">
        <f>0.3*E540</f>
        <v>2127</v>
      </c>
      <c r="G540" s="12">
        <f>F540*H540</f>
        <v>2127</v>
      </c>
      <c r="H540" s="13">
        <v>1</v>
      </c>
      <c r="I540" s="14" t="s">
        <v>12</v>
      </c>
      <c r="J540" s="10" t="s">
        <v>207</v>
      </c>
      <c r="K540" s="13" t="str">
        <f t="shared" si="302"/>
        <v>Блок12</v>
      </c>
      <c r="L540" s="13"/>
      <c r="M540" s="13"/>
      <c r="N540" s="13"/>
      <c r="O540" s="26">
        <f t="shared" si="303"/>
        <v>1</v>
      </c>
      <c r="P540" s="26">
        <f>O540*H540</f>
        <v>1</v>
      </c>
      <c r="Q540" s="27">
        <f>P540*E540</f>
        <v>7090</v>
      </c>
    </row>
    <row r="541" spans="1:17" ht="35.25" customHeight="1" x14ac:dyDescent="0.25">
      <c r="A541" s="13" t="str">
        <f t="shared" si="300"/>
        <v>РЩ2-12 (АВР-Б-40-2-1)</v>
      </c>
      <c r="B541" s="10" t="s">
        <v>15</v>
      </c>
      <c r="C541" s="11" t="s">
        <v>299</v>
      </c>
      <c r="D541" s="10" t="s">
        <v>300</v>
      </c>
      <c r="E541" s="10">
        <v>32400</v>
      </c>
      <c r="F541" s="12">
        <f>E541</f>
        <v>32400</v>
      </c>
      <c r="G541" s="12">
        <f>F541*H541</f>
        <v>32400</v>
      </c>
      <c r="H541" s="13">
        <v>1</v>
      </c>
      <c r="I541" s="14" t="s">
        <v>12</v>
      </c>
      <c r="J541" s="10" t="s">
        <v>16</v>
      </c>
      <c r="K541" s="13" t="str">
        <f t="shared" si="302"/>
        <v>Блок12</v>
      </c>
      <c r="L541" s="13"/>
      <c r="M541" s="13"/>
      <c r="N541" s="13"/>
      <c r="O541" s="26">
        <f t="shared" si="303"/>
        <v>1</v>
      </c>
      <c r="P541" s="26">
        <f>O541*H541</f>
        <v>1</v>
      </c>
      <c r="Q541" s="27">
        <f t="shared" ref="Q541:Q551" si="305">P541*F541</f>
        <v>32400</v>
      </c>
    </row>
    <row r="542" spans="1:17" ht="35.25" customHeight="1" x14ac:dyDescent="0.25">
      <c r="A542" s="13" t="str">
        <f t="shared" si="300"/>
        <v>РЩ2-12 (АВР-Б-40-2-1)</v>
      </c>
      <c r="B542" s="10" t="s">
        <v>30</v>
      </c>
      <c r="C542" s="11"/>
      <c r="D542" s="10" t="s">
        <v>31</v>
      </c>
      <c r="E542" s="10">
        <v>3850</v>
      </c>
      <c r="F542" s="12">
        <f>E542</f>
        <v>3850</v>
      </c>
      <c r="G542" s="12">
        <f>F542*H542</f>
        <v>23100</v>
      </c>
      <c r="H542" s="13">
        <v>6</v>
      </c>
      <c r="I542" s="14" t="s">
        <v>12</v>
      </c>
      <c r="J542" s="10" t="s">
        <v>25</v>
      </c>
      <c r="K542" s="13" t="str">
        <f t="shared" si="302"/>
        <v>Блок12</v>
      </c>
      <c r="L542" s="13"/>
      <c r="M542" s="13"/>
      <c r="N542" s="13"/>
      <c r="O542" s="26">
        <f t="shared" si="303"/>
        <v>1</v>
      </c>
      <c r="P542" s="26">
        <f>O542*H542</f>
        <v>6</v>
      </c>
      <c r="Q542" s="27">
        <f t="shared" si="305"/>
        <v>23100</v>
      </c>
    </row>
    <row r="543" spans="1:17" ht="35.25" customHeight="1" x14ac:dyDescent="0.25">
      <c r="A543" s="10" t="str">
        <f t="shared" si="300"/>
        <v>РЩ2-12 (АВР-Б-40-2-1)</v>
      </c>
      <c r="B543" s="10" t="s">
        <v>19</v>
      </c>
      <c r="C543" s="11" t="s">
        <v>19</v>
      </c>
      <c r="D543" s="10" t="s">
        <v>19</v>
      </c>
      <c r="E543" s="10">
        <f ca="1">OFFSET(E543,1,2)</f>
        <v>39000</v>
      </c>
      <c r="F543" s="12">
        <f ca="1">E543</f>
        <v>39000</v>
      </c>
      <c r="G543" s="12">
        <f ca="1">F543*H543</f>
        <v>39000</v>
      </c>
      <c r="H543" s="10">
        <v>1</v>
      </c>
      <c r="I543" s="10" t="s">
        <v>12</v>
      </c>
      <c r="J543" s="10" t="s">
        <v>19</v>
      </c>
      <c r="K543" s="13" t="str">
        <f t="shared" si="302"/>
        <v>Блок12</v>
      </c>
      <c r="L543" s="13"/>
      <c r="M543" s="13"/>
      <c r="N543" s="13"/>
      <c r="O543" s="26">
        <f t="shared" si="303"/>
        <v>1</v>
      </c>
      <c r="P543" s="26">
        <f>O543*H543</f>
        <v>1</v>
      </c>
      <c r="Q543" s="27">
        <f t="shared" ca="1" si="305"/>
        <v>39000</v>
      </c>
    </row>
    <row r="544" spans="1:17" ht="35.25" customHeight="1" x14ac:dyDescent="0.25">
      <c r="A544" s="10" t="str">
        <f t="shared" si="300"/>
        <v>РЩ2-12 (АВР-Б-40-2-1)</v>
      </c>
      <c r="B544" s="10" t="s">
        <v>20</v>
      </c>
      <c r="C544" s="11" t="s">
        <v>20</v>
      </c>
      <c r="D544" s="10" t="s">
        <v>20</v>
      </c>
      <c r="E544" s="10">
        <v>6.5</v>
      </c>
      <c r="F544" s="12">
        <v>100</v>
      </c>
      <c r="G544" s="12">
        <f>F544*H544</f>
        <v>39000</v>
      </c>
      <c r="H544" s="10">
        <f>60*E544</f>
        <v>390</v>
      </c>
      <c r="I544" s="10" t="s">
        <v>12</v>
      </c>
      <c r="J544" s="10" t="s">
        <v>20</v>
      </c>
      <c r="K544" s="13" t="str">
        <f t="shared" si="302"/>
        <v>Блок12</v>
      </c>
      <c r="L544" s="13"/>
      <c r="M544" s="13"/>
      <c r="N544" s="13"/>
      <c r="O544" s="26">
        <f t="shared" si="303"/>
        <v>1</v>
      </c>
      <c r="P544" s="26">
        <f>O544*H544</f>
        <v>390</v>
      </c>
      <c r="Q544" s="27">
        <f t="shared" si="305"/>
        <v>39000</v>
      </c>
    </row>
    <row r="545" spans="1:17" ht="35.25" customHeight="1" x14ac:dyDescent="0.25">
      <c r="A545" s="15" t="str">
        <f t="shared" si="300"/>
        <v>РЩ2-12 (АВР-Б-40-2-1)</v>
      </c>
      <c r="B545" s="15"/>
      <c r="C545" s="15"/>
      <c r="D545" s="16"/>
      <c r="E545" s="28"/>
      <c r="F545" s="12">
        <f>E545*0.55</f>
        <v>0</v>
      </c>
      <c r="G545" s="28">
        <f ca="1">SUM(G534:G544)</f>
        <v>303310.19999999995</v>
      </c>
      <c r="H545" s="15"/>
      <c r="I545" s="19"/>
      <c r="J545" s="15"/>
      <c r="K545" s="13" t="str">
        <f t="shared" si="302"/>
        <v>Блок12</v>
      </c>
      <c r="L545" s="13"/>
      <c r="M545" s="13"/>
      <c r="N545" s="13"/>
      <c r="O545" s="26">
        <f t="shared" si="303"/>
        <v>1</v>
      </c>
      <c r="P545" s="26">
        <f>O545*H545</f>
        <v>0</v>
      </c>
      <c r="Q545" s="27">
        <f t="shared" si="305"/>
        <v>0</v>
      </c>
    </row>
    <row r="546" spans="1:17" ht="35.25" customHeight="1" x14ac:dyDescent="0.25">
      <c r="A546" s="8" t="str">
        <f>D546</f>
        <v>ВРУ1-13</v>
      </c>
      <c r="B546" s="4"/>
      <c r="C546" s="5"/>
      <c r="D546" s="4" t="s">
        <v>101</v>
      </c>
      <c r="E546" s="6"/>
      <c r="F546" s="6"/>
      <c r="G546" s="7"/>
      <c r="H546" s="8">
        <v>1</v>
      </c>
      <c r="I546" s="9" t="s">
        <v>9</v>
      </c>
      <c r="J546" s="4" t="s">
        <v>10</v>
      </c>
      <c r="K546" s="8" t="s">
        <v>102</v>
      </c>
      <c r="L546" s="8"/>
      <c r="M546" s="8"/>
      <c r="N546" s="8"/>
      <c r="O546" s="26">
        <f>H546</f>
        <v>1</v>
      </c>
      <c r="P546" s="26">
        <f>O546*H546</f>
        <v>1</v>
      </c>
      <c r="Q546" s="27">
        <f t="shared" si="305"/>
        <v>0</v>
      </c>
    </row>
    <row r="547" spans="1:17" ht="35.25" customHeight="1" x14ac:dyDescent="0.25">
      <c r="A547" s="13" t="str">
        <f t="shared" ref="A547:A557" si="306">A546</f>
        <v>ВРУ1-13</v>
      </c>
      <c r="B547" s="10" t="s">
        <v>11</v>
      </c>
      <c r="C547" s="11" t="s">
        <v>172</v>
      </c>
      <c r="D547" s="10" t="s">
        <v>173</v>
      </c>
      <c r="E547" s="10">
        <v>156500</v>
      </c>
      <c r="F547" s="12">
        <f>0.6*E547</f>
        <v>93900</v>
      </c>
      <c r="G547" s="12">
        <f>F547*H547</f>
        <v>93900</v>
      </c>
      <c r="H547" s="13">
        <v>1</v>
      </c>
      <c r="I547" s="14" t="s">
        <v>12</v>
      </c>
      <c r="J547" s="10" t="s">
        <v>13</v>
      </c>
      <c r="K547" s="13" t="str">
        <f t="shared" ref="K547:K557" si="307">K546</f>
        <v>Блок13</v>
      </c>
      <c r="L547" s="13"/>
      <c r="M547" s="13"/>
      <c r="N547" s="13"/>
      <c r="O547" s="26">
        <f t="shared" ref="O547:O557" si="308">O546</f>
        <v>1</v>
      </c>
      <c r="P547" s="26">
        <f>O547*H547</f>
        <v>1</v>
      </c>
      <c r="Q547" s="27">
        <f t="shared" si="305"/>
        <v>93900</v>
      </c>
    </row>
    <row r="548" spans="1:17" ht="35.25" customHeight="1" x14ac:dyDescent="0.25">
      <c r="A548" s="13" t="str">
        <f t="shared" si="306"/>
        <v>ВРУ1-13</v>
      </c>
      <c r="B548" s="10" t="s">
        <v>23</v>
      </c>
      <c r="C548" s="11" t="s">
        <v>307</v>
      </c>
      <c r="D548" s="10" t="s">
        <v>308</v>
      </c>
      <c r="E548" s="10">
        <v>5523</v>
      </c>
      <c r="F548" s="12">
        <f t="shared" ref="F548:F549" si="309">E548</f>
        <v>5523</v>
      </c>
      <c r="G548" s="12">
        <f>F548*H548</f>
        <v>33138</v>
      </c>
      <c r="H548" s="13">
        <v>6</v>
      </c>
      <c r="I548" s="14" t="s">
        <v>12</v>
      </c>
      <c r="J548" s="10" t="s">
        <v>25</v>
      </c>
      <c r="K548" s="13" t="str">
        <f t="shared" si="307"/>
        <v>Блок13</v>
      </c>
      <c r="L548" s="13"/>
      <c r="M548" s="13"/>
      <c r="N548" s="13"/>
      <c r="O548" s="26">
        <f t="shared" si="308"/>
        <v>1</v>
      </c>
      <c r="P548" s="26">
        <f>O548*H548</f>
        <v>6</v>
      </c>
      <c r="Q548" s="27">
        <f t="shared" si="305"/>
        <v>33138</v>
      </c>
    </row>
    <row r="549" spans="1:17" ht="35.25" customHeight="1" x14ac:dyDescent="0.25">
      <c r="A549" s="13" t="str">
        <f t="shared" si="306"/>
        <v>ВРУ1-13</v>
      </c>
      <c r="B549" s="10" t="s">
        <v>26</v>
      </c>
      <c r="C549" s="11" t="s">
        <v>177</v>
      </c>
      <c r="D549" s="10" t="s">
        <v>178</v>
      </c>
      <c r="E549" s="10">
        <v>25500</v>
      </c>
      <c r="F549" s="12">
        <f t="shared" si="309"/>
        <v>25500</v>
      </c>
      <c r="G549" s="12">
        <f>F549*H549</f>
        <v>51000</v>
      </c>
      <c r="H549" s="13">
        <v>2</v>
      </c>
      <c r="I549" s="14" t="s">
        <v>12</v>
      </c>
      <c r="J549" s="10" t="s">
        <v>25</v>
      </c>
      <c r="K549" s="13" t="str">
        <f t="shared" si="307"/>
        <v>Блок13</v>
      </c>
      <c r="L549" s="13"/>
      <c r="M549" s="13"/>
      <c r="N549" s="13"/>
      <c r="O549" s="26">
        <f t="shared" si="308"/>
        <v>1</v>
      </c>
      <c r="P549" s="26">
        <f>O549*H549</f>
        <v>2</v>
      </c>
      <c r="Q549" s="27">
        <f t="shared" si="305"/>
        <v>51000</v>
      </c>
    </row>
    <row r="550" spans="1:17" ht="35.25" customHeight="1" x14ac:dyDescent="0.25">
      <c r="A550" s="13" t="str">
        <f t="shared" si="306"/>
        <v>ВРУ1-13</v>
      </c>
      <c r="B550" s="10" t="s">
        <v>127</v>
      </c>
      <c r="C550" s="11" t="s">
        <v>130</v>
      </c>
      <c r="D550" s="10" t="s">
        <v>131</v>
      </c>
      <c r="E550" s="10">
        <v>4750</v>
      </c>
      <c r="F550" s="12">
        <f t="shared" ref="F550:F551" si="310">0.6*E550</f>
        <v>2850</v>
      </c>
      <c r="G550" s="12">
        <f>F550*H550</f>
        <v>17100</v>
      </c>
      <c r="H550" s="13">
        <v>6</v>
      </c>
      <c r="I550" s="14" t="s">
        <v>12</v>
      </c>
      <c r="J550" s="10" t="s">
        <v>14</v>
      </c>
      <c r="K550" s="13" t="str">
        <f t="shared" si="307"/>
        <v>Блок13</v>
      </c>
      <c r="L550" s="13"/>
      <c r="M550" s="13"/>
      <c r="N550" s="13"/>
      <c r="O550" s="26">
        <f t="shared" si="308"/>
        <v>1</v>
      </c>
      <c r="P550" s="26">
        <f>O550*H550</f>
        <v>6</v>
      </c>
      <c r="Q550" s="27">
        <f t="shared" si="305"/>
        <v>17100</v>
      </c>
    </row>
    <row r="551" spans="1:17" ht="35.25" customHeight="1" x14ac:dyDescent="0.25">
      <c r="A551" s="13" t="str">
        <f t="shared" si="306"/>
        <v>ВРУ1-13</v>
      </c>
      <c r="B551" s="10" t="s">
        <v>126</v>
      </c>
      <c r="C551" s="11" t="s">
        <v>128</v>
      </c>
      <c r="D551" s="10" t="s">
        <v>129</v>
      </c>
      <c r="E551" s="10">
        <v>3317</v>
      </c>
      <c r="F551" s="12">
        <f t="shared" si="310"/>
        <v>1990.1999999999998</v>
      </c>
      <c r="G551" s="12">
        <f>F551*H551</f>
        <v>11941.199999999999</v>
      </c>
      <c r="H551" s="13">
        <v>6</v>
      </c>
      <c r="I551" s="14" t="s">
        <v>12</v>
      </c>
      <c r="J551" s="10" t="s">
        <v>14</v>
      </c>
      <c r="K551" s="13" t="str">
        <f t="shared" si="307"/>
        <v>Блок13</v>
      </c>
      <c r="L551" s="13"/>
      <c r="M551" s="13"/>
      <c r="N551" s="13"/>
      <c r="O551" s="26">
        <f t="shared" si="308"/>
        <v>1</v>
      </c>
      <c r="P551" s="26">
        <f>O551*H551</f>
        <v>6</v>
      </c>
      <c r="Q551" s="27">
        <f t="shared" si="305"/>
        <v>11941.199999999999</v>
      </c>
    </row>
    <row r="552" spans="1:17" ht="35.25" customHeight="1" x14ac:dyDescent="0.25">
      <c r="A552" s="13" t="str">
        <f t="shared" si="306"/>
        <v>ВРУ1-13</v>
      </c>
      <c r="B552" s="10" t="s">
        <v>293</v>
      </c>
      <c r="C552" s="11" t="s">
        <v>189</v>
      </c>
      <c r="D552" s="10" t="s">
        <v>190</v>
      </c>
      <c r="E552" s="10">
        <v>1390</v>
      </c>
      <c r="F552" s="12">
        <f>0.3*E552</f>
        <v>417</v>
      </c>
      <c r="G552" s="12">
        <f>F552*H552</f>
        <v>834</v>
      </c>
      <c r="H552" s="13">
        <v>2</v>
      </c>
      <c r="I552" s="14" t="s">
        <v>12</v>
      </c>
      <c r="J552" s="10" t="s">
        <v>207</v>
      </c>
      <c r="K552" s="13" t="str">
        <f t="shared" si="307"/>
        <v>Блок13</v>
      </c>
      <c r="L552" s="13"/>
      <c r="M552" s="13"/>
      <c r="N552" s="13"/>
      <c r="O552" s="26">
        <f t="shared" si="308"/>
        <v>1</v>
      </c>
      <c r="P552" s="26">
        <f>O552*H552</f>
        <v>2</v>
      </c>
      <c r="Q552" s="27">
        <f>P552*E552</f>
        <v>2780</v>
      </c>
    </row>
    <row r="553" spans="1:17" ht="35.25" customHeight="1" x14ac:dyDescent="0.25">
      <c r="A553" s="13" t="str">
        <f t="shared" si="306"/>
        <v>ВРУ1-13</v>
      </c>
      <c r="B553" s="10" t="s">
        <v>15</v>
      </c>
      <c r="C553" s="11" t="s">
        <v>297</v>
      </c>
      <c r="D553" s="24" t="s">
        <v>298</v>
      </c>
      <c r="E553" s="10">
        <v>89000</v>
      </c>
      <c r="F553" s="12">
        <f>E553</f>
        <v>89000</v>
      </c>
      <c r="G553" s="12">
        <f>F553*H553</f>
        <v>178000</v>
      </c>
      <c r="H553" s="13">
        <v>2</v>
      </c>
      <c r="I553" s="14" t="s">
        <v>12</v>
      </c>
      <c r="J553" s="10" t="s">
        <v>16</v>
      </c>
      <c r="K553" s="13" t="str">
        <f t="shared" si="307"/>
        <v>Блок13</v>
      </c>
      <c r="L553" s="13"/>
      <c r="M553" s="13"/>
      <c r="N553" s="13"/>
      <c r="O553" s="26">
        <f t="shared" si="308"/>
        <v>1</v>
      </c>
      <c r="P553" s="26">
        <f>O553*H553</f>
        <v>2</v>
      </c>
      <c r="Q553" s="27">
        <f t="shared" ref="Q553:Q559" si="311">P553*F553</f>
        <v>178000</v>
      </c>
    </row>
    <row r="554" spans="1:17" ht="35.25" customHeight="1" x14ac:dyDescent="0.25">
      <c r="A554" s="13" t="str">
        <f t="shared" si="306"/>
        <v>ВРУ1-13</v>
      </c>
      <c r="B554" s="10" t="s">
        <v>30</v>
      </c>
      <c r="C554" s="11"/>
      <c r="D554" s="10" t="s">
        <v>31</v>
      </c>
      <c r="E554" s="10">
        <v>3850</v>
      </c>
      <c r="F554" s="12">
        <f>E554</f>
        <v>3850</v>
      </c>
      <c r="G554" s="12">
        <f>F554*H554</f>
        <v>23100</v>
      </c>
      <c r="H554" s="13">
        <v>6</v>
      </c>
      <c r="I554" s="14" t="s">
        <v>12</v>
      </c>
      <c r="J554" s="10" t="s">
        <v>25</v>
      </c>
      <c r="K554" s="13" t="str">
        <f t="shared" si="307"/>
        <v>Блок13</v>
      </c>
      <c r="L554" s="13"/>
      <c r="M554" s="13"/>
      <c r="N554" s="13"/>
      <c r="O554" s="26">
        <f t="shared" si="308"/>
        <v>1</v>
      </c>
      <c r="P554" s="26">
        <f>O554*H554</f>
        <v>6</v>
      </c>
      <c r="Q554" s="27">
        <f t="shared" si="311"/>
        <v>23100</v>
      </c>
    </row>
    <row r="555" spans="1:17" ht="35.25" customHeight="1" x14ac:dyDescent="0.25">
      <c r="A555" s="10" t="str">
        <f t="shared" si="306"/>
        <v>ВРУ1-13</v>
      </c>
      <c r="B555" s="10" t="s">
        <v>19</v>
      </c>
      <c r="C555" s="11" t="s">
        <v>19</v>
      </c>
      <c r="D555" s="10" t="s">
        <v>19</v>
      </c>
      <c r="E555" s="10">
        <f ca="1">OFFSET(E555,1,2)</f>
        <v>48000</v>
      </c>
      <c r="F555" s="12">
        <f ca="1">E555</f>
        <v>48000</v>
      </c>
      <c r="G555" s="12">
        <f ca="1">F555*H555</f>
        <v>48000</v>
      </c>
      <c r="H555" s="10">
        <v>1</v>
      </c>
      <c r="I555" s="10" t="s">
        <v>12</v>
      </c>
      <c r="J555" s="10" t="s">
        <v>19</v>
      </c>
      <c r="K555" s="13" t="str">
        <f t="shared" si="307"/>
        <v>Блок13</v>
      </c>
      <c r="L555" s="13"/>
      <c r="M555" s="13"/>
      <c r="N555" s="13"/>
      <c r="O555" s="26">
        <f t="shared" si="308"/>
        <v>1</v>
      </c>
      <c r="P555" s="26">
        <f>O555*H555</f>
        <v>1</v>
      </c>
      <c r="Q555" s="27">
        <f t="shared" ca="1" si="311"/>
        <v>48000</v>
      </c>
    </row>
    <row r="556" spans="1:17" ht="35.25" customHeight="1" x14ac:dyDescent="0.25">
      <c r="A556" s="10" t="str">
        <f t="shared" si="306"/>
        <v>ВРУ1-13</v>
      </c>
      <c r="B556" s="10" t="s">
        <v>20</v>
      </c>
      <c r="C556" s="11" t="s">
        <v>20</v>
      </c>
      <c r="D556" s="10" t="s">
        <v>20</v>
      </c>
      <c r="E556" s="10">
        <v>8</v>
      </c>
      <c r="F556" s="12">
        <v>100</v>
      </c>
      <c r="G556" s="12">
        <f>F556*H556</f>
        <v>48000</v>
      </c>
      <c r="H556" s="10">
        <f>60*E556</f>
        <v>480</v>
      </c>
      <c r="I556" s="10" t="s">
        <v>12</v>
      </c>
      <c r="J556" s="10" t="s">
        <v>20</v>
      </c>
      <c r="K556" s="13" t="str">
        <f t="shared" si="307"/>
        <v>Блок13</v>
      </c>
      <c r="L556" s="13"/>
      <c r="M556" s="13"/>
      <c r="N556" s="13"/>
      <c r="O556" s="26">
        <f t="shared" si="308"/>
        <v>1</v>
      </c>
      <c r="P556" s="26">
        <f>O556*H556</f>
        <v>480</v>
      </c>
      <c r="Q556" s="27">
        <f t="shared" si="311"/>
        <v>48000</v>
      </c>
    </row>
    <row r="557" spans="1:17" ht="35.25" customHeight="1" x14ac:dyDescent="0.25">
      <c r="A557" s="15" t="str">
        <f t="shared" si="306"/>
        <v>ВРУ1-13</v>
      </c>
      <c r="B557" s="15"/>
      <c r="C557" s="15"/>
      <c r="D557" s="16"/>
      <c r="E557" s="28"/>
      <c r="F557" s="12">
        <f>E557*0.55</f>
        <v>0</v>
      </c>
      <c r="G557" s="28">
        <f ca="1">SUM(G547:G556)</f>
        <v>505013.2</v>
      </c>
      <c r="H557" s="15"/>
      <c r="I557" s="19"/>
      <c r="J557" s="15"/>
      <c r="K557" s="13" t="str">
        <f t="shared" si="307"/>
        <v>Блок13</v>
      </c>
      <c r="L557" s="13"/>
      <c r="M557" s="13"/>
      <c r="N557" s="13"/>
      <c r="O557" s="26">
        <f t="shared" si="308"/>
        <v>1</v>
      </c>
      <c r="P557" s="26">
        <f>O557*H557</f>
        <v>0</v>
      </c>
      <c r="Q557" s="27">
        <f t="shared" si="311"/>
        <v>0</v>
      </c>
    </row>
    <row r="558" spans="1:17" ht="35.25" customHeight="1" x14ac:dyDescent="0.25">
      <c r="A558" s="8" t="str">
        <f>D558</f>
        <v>РУ-1-13</v>
      </c>
      <c r="B558" s="4"/>
      <c r="C558" s="5"/>
      <c r="D558" s="4" t="s">
        <v>103</v>
      </c>
      <c r="E558" s="6"/>
      <c r="F558" s="6"/>
      <c r="G558" s="7"/>
      <c r="H558" s="8">
        <v>1</v>
      </c>
      <c r="I558" s="9" t="s">
        <v>9</v>
      </c>
      <c r="J558" s="4" t="s">
        <v>10</v>
      </c>
      <c r="K558" s="8" t="s">
        <v>102</v>
      </c>
      <c r="L558" s="8"/>
      <c r="M558" s="8"/>
      <c r="N558" s="8"/>
      <c r="O558" s="26">
        <f>H558</f>
        <v>1</v>
      </c>
      <c r="P558" s="26">
        <f>O558*H558</f>
        <v>1</v>
      </c>
      <c r="Q558" s="27">
        <f t="shared" si="311"/>
        <v>0</v>
      </c>
    </row>
    <row r="559" spans="1:17" ht="35.25" customHeight="1" x14ac:dyDescent="0.25">
      <c r="A559" s="13" t="str">
        <f t="shared" ref="A559:A565" si="312">A558</f>
        <v>РУ-1-13</v>
      </c>
      <c r="B559" s="10" t="s">
        <v>11</v>
      </c>
      <c r="C559" s="11" t="s">
        <v>170</v>
      </c>
      <c r="D559" s="10" t="s">
        <v>171</v>
      </c>
      <c r="E559" s="10">
        <v>145000</v>
      </c>
      <c r="F559" s="12">
        <f>0.6*E559</f>
        <v>87000</v>
      </c>
      <c r="G559" s="12">
        <f>F559*H559</f>
        <v>87000</v>
      </c>
      <c r="H559" s="13">
        <v>1</v>
      </c>
      <c r="I559" s="14" t="s">
        <v>12</v>
      </c>
      <c r="J559" s="10" t="s">
        <v>13</v>
      </c>
      <c r="K559" s="13" t="str">
        <f t="shared" ref="K559:K565" si="313">K558</f>
        <v>Блок13</v>
      </c>
      <c r="L559" s="13"/>
      <c r="M559" s="13"/>
      <c r="N559" s="13"/>
      <c r="O559" s="26">
        <f t="shared" ref="O559:O565" si="314">O558</f>
        <v>1</v>
      </c>
      <c r="P559" s="26">
        <f>O559*H559</f>
        <v>1</v>
      </c>
      <c r="Q559" s="27">
        <f t="shared" si="311"/>
        <v>87000</v>
      </c>
    </row>
    <row r="560" spans="1:17" ht="35.25" customHeight="1" x14ac:dyDescent="0.25">
      <c r="A560" s="13" t="str">
        <f t="shared" si="312"/>
        <v>РУ-1-13</v>
      </c>
      <c r="B560" s="10" t="s">
        <v>294</v>
      </c>
      <c r="C560" s="11" t="s">
        <v>225</v>
      </c>
      <c r="D560" s="10" t="s">
        <v>226</v>
      </c>
      <c r="E560" s="10">
        <v>17300</v>
      </c>
      <c r="F560" s="12">
        <f t="shared" ref="F560:F562" si="315">0.3*E560</f>
        <v>5190</v>
      </c>
      <c r="G560" s="12">
        <f>F560*H560</f>
        <v>10380</v>
      </c>
      <c r="H560" s="13">
        <v>2</v>
      </c>
      <c r="I560" s="14" t="s">
        <v>12</v>
      </c>
      <c r="J560" s="10" t="s">
        <v>207</v>
      </c>
      <c r="K560" s="13" t="str">
        <f t="shared" si="313"/>
        <v>Блок13</v>
      </c>
      <c r="L560" s="13"/>
      <c r="M560" s="13"/>
      <c r="N560" s="13"/>
      <c r="O560" s="26">
        <f t="shared" si="314"/>
        <v>1</v>
      </c>
      <c r="P560" s="26">
        <f>O560*H560</f>
        <v>2</v>
      </c>
      <c r="Q560" s="27">
        <f>P560*E560</f>
        <v>34600</v>
      </c>
    </row>
    <row r="561" spans="1:17" ht="35.25" customHeight="1" x14ac:dyDescent="0.25">
      <c r="A561" s="13" t="str">
        <f t="shared" si="312"/>
        <v>РУ-1-13</v>
      </c>
      <c r="B561" s="10" t="s">
        <v>294</v>
      </c>
      <c r="C561" s="11" t="s">
        <v>227</v>
      </c>
      <c r="D561" s="10" t="s">
        <v>228</v>
      </c>
      <c r="E561" s="10">
        <v>29990</v>
      </c>
      <c r="F561" s="12">
        <f t="shared" si="315"/>
        <v>8997</v>
      </c>
      <c r="G561" s="12">
        <f>F561*H561</f>
        <v>8997</v>
      </c>
      <c r="H561" s="13">
        <v>1</v>
      </c>
      <c r="I561" s="14" t="s">
        <v>12</v>
      </c>
      <c r="J561" s="10" t="s">
        <v>207</v>
      </c>
      <c r="K561" s="13" t="str">
        <f t="shared" si="313"/>
        <v>Блок13</v>
      </c>
      <c r="L561" s="13"/>
      <c r="M561" s="13"/>
      <c r="N561" s="13"/>
      <c r="O561" s="26">
        <f t="shared" si="314"/>
        <v>1</v>
      </c>
      <c r="P561" s="26">
        <f>O561*H561</f>
        <v>1</v>
      </c>
      <c r="Q561" s="27">
        <f>P561*E561</f>
        <v>29990</v>
      </c>
    </row>
    <row r="562" spans="1:17" ht="35.25" customHeight="1" x14ac:dyDescent="0.25">
      <c r="A562" s="13" t="str">
        <f t="shared" si="312"/>
        <v>РУ-1-13</v>
      </c>
      <c r="B562" s="10" t="s">
        <v>293</v>
      </c>
      <c r="C562" s="11" t="s">
        <v>217</v>
      </c>
      <c r="D562" s="10" t="s">
        <v>218</v>
      </c>
      <c r="E562" s="10">
        <v>7850</v>
      </c>
      <c r="F562" s="12">
        <f t="shared" si="315"/>
        <v>2355</v>
      </c>
      <c r="G562" s="12">
        <f>F562*H562</f>
        <v>4710</v>
      </c>
      <c r="H562" s="13">
        <v>2</v>
      </c>
      <c r="I562" s="14" t="s">
        <v>12</v>
      </c>
      <c r="J562" s="10" t="s">
        <v>207</v>
      </c>
      <c r="K562" s="13" t="str">
        <f t="shared" si="313"/>
        <v>Блок13</v>
      </c>
      <c r="L562" s="13"/>
      <c r="M562" s="13"/>
      <c r="N562" s="13"/>
      <c r="O562" s="26">
        <f t="shared" si="314"/>
        <v>1</v>
      </c>
      <c r="P562" s="26">
        <f>O562*H562</f>
        <v>2</v>
      </c>
      <c r="Q562" s="27">
        <f>P562*E562</f>
        <v>15700</v>
      </c>
    </row>
    <row r="563" spans="1:17" ht="35.25" customHeight="1" x14ac:dyDescent="0.25">
      <c r="A563" s="10" t="str">
        <f t="shared" si="312"/>
        <v>РУ-1-13</v>
      </c>
      <c r="B563" s="10" t="s">
        <v>19</v>
      </c>
      <c r="C563" s="11" t="s">
        <v>19</v>
      </c>
      <c r="D563" s="10" t="s">
        <v>19</v>
      </c>
      <c r="E563" s="10">
        <f ca="1">OFFSET(E563,1,2)</f>
        <v>27000</v>
      </c>
      <c r="F563" s="12">
        <f ca="1">E563</f>
        <v>27000</v>
      </c>
      <c r="G563" s="12">
        <f ca="1">F563*H563</f>
        <v>27000</v>
      </c>
      <c r="H563" s="10">
        <v>1</v>
      </c>
      <c r="I563" s="10" t="s">
        <v>12</v>
      </c>
      <c r="J563" s="10" t="s">
        <v>19</v>
      </c>
      <c r="K563" s="13" t="str">
        <f t="shared" si="313"/>
        <v>Блок13</v>
      </c>
      <c r="L563" s="13"/>
      <c r="M563" s="13"/>
      <c r="N563" s="13"/>
      <c r="O563" s="26">
        <f t="shared" si="314"/>
        <v>1</v>
      </c>
      <c r="P563" s="26">
        <f>O563*H563</f>
        <v>1</v>
      </c>
      <c r="Q563" s="27">
        <f ca="1">P563*F563</f>
        <v>27000</v>
      </c>
    </row>
    <row r="564" spans="1:17" ht="35.25" customHeight="1" x14ac:dyDescent="0.25">
      <c r="A564" s="10" t="str">
        <f t="shared" si="312"/>
        <v>РУ-1-13</v>
      </c>
      <c r="B564" s="10" t="s">
        <v>20</v>
      </c>
      <c r="C564" s="11" t="s">
        <v>20</v>
      </c>
      <c r="D564" s="10" t="s">
        <v>20</v>
      </c>
      <c r="E564" s="10">
        <v>4.5</v>
      </c>
      <c r="F564" s="12">
        <v>100</v>
      </c>
      <c r="G564" s="12">
        <f>F564*H564</f>
        <v>27000</v>
      </c>
      <c r="H564" s="10">
        <f>60*E564</f>
        <v>270</v>
      </c>
      <c r="I564" s="10" t="s">
        <v>12</v>
      </c>
      <c r="J564" s="10" t="s">
        <v>20</v>
      </c>
      <c r="K564" s="13" t="str">
        <f t="shared" si="313"/>
        <v>Блок13</v>
      </c>
      <c r="L564" s="13"/>
      <c r="M564" s="13"/>
      <c r="N564" s="13"/>
      <c r="O564" s="26">
        <f t="shared" si="314"/>
        <v>1</v>
      </c>
      <c r="P564" s="26">
        <f>O564*H564</f>
        <v>270</v>
      </c>
      <c r="Q564" s="27">
        <f>P564*F564</f>
        <v>27000</v>
      </c>
    </row>
    <row r="565" spans="1:17" ht="35.25" customHeight="1" x14ac:dyDescent="0.25">
      <c r="A565" s="15" t="str">
        <f t="shared" si="312"/>
        <v>РУ-1-13</v>
      </c>
      <c r="B565" s="15"/>
      <c r="C565" s="15"/>
      <c r="D565" s="16"/>
      <c r="E565" s="28"/>
      <c r="F565" s="12">
        <f t="shared" ref="F565" si="316">E565*0.55</f>
        <v>0</v>
      </c>
      <c r="G565" s="28">
        <f ca="1">SUM(G559:G564)</f>
        <v>165087</v>
      </c>
      <c r="H565" s="15"/>
      <c r="I565" s="19"/>
      <c r="J565" s="15"/>
      <c r="K565" s="13" t="str">
        <f t="shared" si="313"/>
        <v>Блок13</v>
      </c>
      <c r="L565" s="13"/>
      <c r="M565" s="13"/>
      <c r="N565" s="13"/>
      <c r="O565" s="26">
        <f t="shared" si="314"/>
        <v>1</v>
      </c>
      <c r="P565" s="26">
        <f>O565*H565</f>
        <v>0</v>
      </c>
      <c r="Q565" s="27">
        <f>P565*F565</f>
        <v>0</v>
      </c>
    </row>
    <row r="566" spans="1:17" ht="35.25" customHeight="1" x14ac:dyDescent="0.25">
      <c r="A566" s="8" t="str">
        <f>D566</f>
        <v>РУ-2-13</v>
      </c>
      <c r="B566" s="4"/>
      <c r="C566" s="5"/>
      <c r="D566" s="4" t="s">
        <v>104</v>
      </c>
      <c r="E566" s="6"/>
      <c r="F566" s="6"/>
      <c r="G566" s="7"/>
      <c r="H566" s="8">
        <v>1</v>
      </c>
      <c r="I566" s="9" t="s">
        <v>9</v>
      </c>
      <c r="J566" s="4" t="s">
        <v>10</v>
      </c>
      <c r="K566" s="8" t="s">
        <v>102</v>
      </c>
      <c r="L566" s="8"/>
      <c r="M566" s="8"/>
      <c r="N566" s="8"/>
      <c r="O566" s="26">
        <f>H566</f>
        <v>1</v>
      </c>
      <c r="P566" s="26">
        <f>O566*H566</f>
        <v>1</v>
      </c>
      <c r="Q566" s="27">
        <f>P566*F566</f>
        <v>0</v>
      </c>
    </row>
    <row r="567" spans="1:17" ht="35.25" customHeight="1" x14ac:dyDescent="0.25">
      <c r="A567" s="13" t="str">
        <f t="shared" ref="A567:A573" si="317">A566</f>
        <v>РУ-2-13</v>
      </c>
      <c r="B567" s="10" t="s">
        <v>11</v>
      </c>
      <c r="C567" s="11" t="s">
        <v>170</v>
      </c>
      <c r="D567" s="10" t="s">
        <v>171</v>
      </c>
      <c r="E567" s="10">
        <v>145000</v>
      </c>
      <c r="F567" s="12">
        <f>0.6*E567</f>
        <v>87000</v>
      </c>
      <c r="G567" s="12">
        <f>F567*H567</f>
        <v>87000</v>
      </c>
      <c r="H567" s="13">
        <v>1</v>
      </c>
      <c r="I567" s="14" t="s">
        <v>12</v>
      </c>
      <c r="J567" s="10" t="s">
        <v>13</v>
      </c>
      <c r="K567" s="13" t="str">
        <f t="shared" ref="K567:K573" si="318">K566</f>
        <v>Блок13</v>
      </c>
      <c r="L567" s="13"/>
      <c r="M567" s="13"/>
      <c r="N567" s="13"/>
      <c r="O567" s="26">
        <f t="shared" ref="O567:O573" si="319">O566</f>
        <v>1</v>
      </c>
      <c r="P567" s="26">
        <f>O567*H567</f>
        <v>1</v>
      </c>
      <c r="Q567" s="27">
        <f>P567*F567</f>
        <v>87000</v>
      </c>
    </row>
    <row r="568" spans="1:17" ht="35.25" customHeight="1" x14ac:dyDescent="0.25">
      <c r="A568" s="13" t="str">
        <f t="shared" si="317"/>
        <v>РУ-2-13</v>
      </c>
      <c r="B568" s="10" t="s">
        <v>294</v>
      </c>
      <c r="C568" s="11" t="s">
        <v>227</v>
      </c>
      <c r="D568" s="10" t="s">
        <v>228</v>
      </c>
      <c r="E568" s="10">
        <v>29990</v>
      </c>
      <c r="F568" s="12">
        <f t="shared" ref="F568:F570" si="320">0.3*E568</f>
        <v>8997</v>
      </c>
      <c r="G568" s="12">
        <f>F568*H568</f>
        <v>8997</v>
      </c>
      <c r="H568" s="13">
        <v>1</v>
      </c>
      <c r="I568" s="14" t="s">
        <v>12</v>
      </c>
      <c r="J568" s="10" t="s">
        <v>207</v>
      </c>
      <c r="K568" s="13" t="str">
        <f t="shared" si="318"/>
        <v>Блок13</v>
      </c>
      <c r="L568" s="13"/>
      <c r="M568" s="13"/>
      <c r="N568" s="13"/>
      <c r="O568" s="26">
        <f t="shared" si="319"/>
        <v>1</v>
      </c>
      <c r="P568" s="26">
        <f>O568*H568</f>
        <v>1</v>
      </c>
      <c r="Q568" s="27">
        <f>P568*E568</f>
        <v>29990</v>
      </c>
    </row>
    <row r="569" spans="1:17" ht="35.25" customHeight="1" x14ac:dyDescent="0.25">
      <c r="A569" s="13" t="str">
        <f t="shared" si="317"/>
        <v>РУ-2-13</v>
      </c>
      <c r="B569" s="10" t="s">
        <v>294</v>
      </c>
      <c r="C569" s="11" t="s">
        <v>211</v>
      </c>
      <c r="D569" s="10" t="s">
        <v>212</v>
      </c>
      <c r="E569" s="10">
        <v>16550</v>
      </c>
      <c r="F569" s="12">
        <f t="shared" si="320"/>
        <v>4965</v>
      </c>
      <c r="G569" s="12">
        <f>F569*H569</f>
        <v>14895</v>
      </c>
      <c r="H569" s="13">
        <v>3</v>
      </c>
      <c r="I569" s="14" t="s">
        <v>12</v>
      </c>
      <c r="J569" s="10" t="s">
        <v>207</v>
      </c>
      <c r="K569" s="13" t="str">
        <f t="shared" si="318"/>
        <v>Блок13</v>
      </c>
      <c r="L569" s="13"/>
      <c r="M569" s="13"/>
      <c r="N569" s="13"/>
      <c r="O569" s="26">
        <f t="shared" si="319"/>
        <v>1</v>
      </c>
      <c r="P569" s="26">
        <f>O569*H569</f>
        <v>3</v>
      </c>
      <c r="Q569" s="27">
        <f>P569*E569</f>
        <v>49650</v>
      </c>
    </row>
    <row r="570" spans="1:17" ht="35.25" customHeight="1" x14ac:dyDescent="0.25">
      <c r="A570" s="13" t="str">
        <f t="shared" si="317"/>
        <v>РУ-2-13</v>
      </c>
      <c r="B570" s="10" t="s">
        <v>294</v>
      </c>
      <c r="C570" s="11" t="s">
        <v>223</v>
      </c>
      <c r="D570" s="10" t="s">
        <v>224</v>
      </c>
      <c r="E570" s="10">
        <v>16550</v>
      </c>
      <c r="F570" s="12">
        <f t="shared" si="320"/>
        <v>4965</v>
      </c>
      <c r="G570" s="12">
        <f>F570*H570</f>
        <v>4965</v>
      </c>
      <c r="H570" s="13">
        <v>1</v>
      </c>
      <c r="I570" s="14" t="s">
        <v>12</v>
      </c>
      <c r="J570" s="10" t="s">
        <v>207</v>
      </c>
      <c r="K570" s="13" t="str">
        <f t="shared" si="318"/>
        <v>Блок13</v>
      </c>
      <c r="L570" s="13"/>
      <c r="M570" s="13"/>
      <c r="N570" s="13"/>
      <c r="O570" s="26">
        <f t="shared" si="319"/>
        <v>1</v>
      </c>
      <c r="P570" s="26">
        <f>O570*H570</f>
        <v>1</v>
      </c>
      <c r="Q570" s="27">
        <f>P570*E570</f>
        <v>16550</v>
      </c>
    </row>
    <row r="571" spans="1:17" ht="35.25" customHeight="1" x14ac:dyDescent="0.25">
      <c r="A571" s="10" t="str">
        <f t="shared" si="317"/>
        <v>РУ-2-13</v>
      </c>
      <c r="B571" s="10" t="s">
        <v>19</v>
      </c>
      <c r="C571" s="11" t="s">
        <v>19</v>
      </c>
      <c r="D571" s="10" t="s">
        <v>19</v>
      </c>
      <c r="E571" s="10">
        <f ca="1">OFFSET(E571,1,2)</f>
        <v>27000</v>
      </c>
      <c r="F571" s="12">
        <f ca="1">E571</f>
        <v>27000</v>
      </c>
      <c r="G571" s="12">
        <f ca="1">F571*H571</f>
        <v>27000</v>
      </c>
      <c r="H571" s="10">
        <v>1</v>
      </c>
      <c r="I571" s="10" t="s">
        <v>12</v>
      </c>
      <c r="J571" s="10" t="s">
        <v>19</v>
      </c>
      <c r="K571" s="13" t="str">
        <f t="shared" si="318"/>
        <v>Блок13</v>
      </c>
      <c r="L571" s="13"/>
      <c r="M571" s="13"/>
      <c r="N571" s="13"/>
      <c r="O571" s="26">
        <f t="shared" si="319"/>
        <v>1</v>
      </c>
      <c r="P571" s="26">
        <f>O571*H571</f>
        <v>1</v>
      </c>
      <c r="Q571" s="27">
        <f ca="1">P571*F571</f>
        <v>27000</v>
      </c>
    </row>
    <row r="572" spans="1:17" ht="35.25" customHeight="1" x14ac:dyDescent="0.25">
      <c r="A572" s="10" t="str">
        <f t="shared" si="317"/>
        <v>РУ-2-13</v>
      </c>
      <c r="B572" s="10" t="s">
        <v>20</v>
      </c>
      <c r="C572" s="11" t="s">
        <v>20</v>
      </c>
      <c r="D572" s="10" t="s">
        <v>20</v>
      </c>
      <c r="E572" s="10">
        <v>4.5</v>
      </c>
      <c r="F572" s="12">
        <v>100</v>
      </c>
      <c r="G572" s="12">
        <f>F572*H572</f>
        <v>27000</v>
      </c>
      <c r="H572" s="10">
        <f>60*E572</f>
        <v>270</v>
      </c>
      <c r="I572" s="10" t="s">
        <v>12</v>
      </c>
      <c r="J572" s="10" t="s">
        <v>20</v>
      </c>
      <c r="K572" s="13" t="str">
        <f t="shared" si="318"/>
        <v>Блок13</v>
      </c>
      <c r="L572" s="13"/>
      <c r="M572" s="13"/>
      <c r="N572" s="13"/>
      <c r="O572" s="26">
        <f t="shared" si="319"/>
        <v>1</v>
      </c>
      <c r="P572" s="26">
        <f>O572*H572</f>
        <v>270</v>
      </c>
      <c r="Q572" s="27">
        <f>P572*F572</f>
        <v>27000</v>
      </c>
    </row>
    <row r="573" spans="1:17" ht="35.25" customHeight="1" x14ac:dyDescent="0.25">
      <c r="A573" s="15" t="str">
        <f t="shared" si="317"/>
        <v>РУ-2-13</v>
      </c>
      <c r="B573" s="15"/>
      <c r="C573" s="15"/>
      <c r="D573" s="16"/>
      <c r="E573" s="28"/>
      <c r="F573" s="12">
        <f>E573*0.55</f>
        <v>0</v>
      </c>
      <c r="G573" s="28">
        <f ca="1">SUM(G567:G572)</f>
        <v>169857</v>
      </c>
      <c r="H573" s="15"/>
      <c r="I573" s="19"/>
      <c r="J573" s="15"/>
      <c r="K573" s="13" t="str">
        <f t="shared" si="318"/>
        <v>Блок13</v>
      </c>
      <c r="L573" s="13"/>
      <c r="M573" s="13"/>
      <c r="N573" s="13"/>
      <c r="O573" s="26">
        <f t="shared" si="319"/>
        <v>1</v>
      </c>
      <c r="P573" s="26">
        <f>O573*H573</f>
        <v>0</v>
      </c>
      <c r="Q573" s="27">
        <f>P573*F573</f>
        <v>0</v>
      </c>
    </row>
    <row r="574" spans="1:17" ht="35.25" customHeight="1" x14ac:dyDescent="0.25">
      <c r="A574" s="8" t="str">
        <f>D574</f>
        <v>ЩУР.МОП1-13</v>
      </c>
      <c r="B574" s="4"/>
      <c r="C574" s="5"/>
      <c r="D574" s="4" t="s">
        <v>105</v>
      </c>
      <c r="E574" s="6"/>
      <c r="F574" s="6"/>
      <c r="G574" s="7"/>
      <c r="H574" s="8">
        <v>1</v>
      </c>
      <c r="I574" s="9" t="s">
        <v>9</v>
      </c>
      <c r="J574" s="4" t="s">
        <v>10</v>
      </c>
      <c r="K574" s="8" t="s">
        <v>102</v>
      </c>
      <c r="L574" s="8"/>
      <c r="M574" s="8"/>
      <c r="N574" s="8"/>
      <c r="O574" s="26">
        <f>H574</f>
        <v>1</v>
      </c>
      <c r="P574" s="26">
        <f>O574*H574</f>
        <v>1</v>
      </c>
      <c r="Q574" s="27">
        <f>P574*F574</f>
        <v>0</v>
      </c>
    </row>
    <row r="575" spans="1:17" ht="35.25" customHeight="1" x14ac:dyDescent="0.25">
      <c r="A575" s="13" t="str">
        <f t="shared" ref="A575:A582" si="321">A574</f>
        <v>ЩУР.МОП1-13</v>
      </c>
      <c r="B575" s="10" t="s">
        <v>11</v>
      </c>
      <c r="C575" s="11" t="s">
        <v>328</v>
      </c>
      <c r="D575" s="10" t="s">
        <v>329</v>
      </c>
      <c r="E575" s="10">
        <v>27000</v>
      </c>
      <c r="F575" s="12">
        <f>0.6*E575</f>
        <v>16200</v>
      </c>
      <c r="G575" s="12">
        <f>F575*H575</f>
        <v>16200</v>
      </c>
      <c r="H575" s="13">
        <v>1</v>
      </c>
      <c r="I575" s="14" t="s">
        <v>12</v>
      </c>
      <c r="J575" s="10" t="s">
        <v>13</v>
      </c>
      <c r="K575" s="13" t="str">
        <f t="shared" ref="K575:K582" si="322">K574</f>
        <v>Блок13</v>
      </c>
      <c r="L575" s="13"/>
      <c r="M575" s="13"/>
      <c r="N575" s="13"/>
      <c r="O575" s="26">
        <f t="shared" ref="O575:O582" si="323">O574</f>
        <v>1</v>
      </c>
      <c r="P575" s="26">
        <f>O575*H575</f>
        <v>1</v>
      </c>
      <c r="Q575" s="27">
        <f>P575*F575</f>
        <v>16200</v>
      </c>
    </row>
    <row r="576" spans="1:17" ht="35.25" customHeight="1" x14ac:dyDescent="0.25">
      <c r="A576" s="13" t="str">
        <f t="shared" si="321"/>
        <v>ЩУР.МОП1-13</v>
      </c>
      <c r="B576" s="10" t="s">
        <v>293</v>
      </c>
      <c r="C576" s="11" t="s">
        <v>195</v>
      </c>
      <c r="D576" s="10" t="s">
        <v>196</v>
      </c>
      <c r="E576" s="10">
        <v>6190</v>
      </c>
      <c r="F576" s="12">
        <f t="shared" ref="F576:F578" si="324">0.3*E576</f>
        <v>1857</v>
      </c>
      <c r="G576" s="12">
        <f>F576*H576</f>
        <v>1857</v>
      </c>
      <c r="H576" s="13">
        <v>1</v>
      </c>
      <c r="I576" s="14" t="s">
        <v>12</v>
      </c>
      <c r="J576" s="10" t="s">
        <v>207</v>
      </c>
      <c r="K576" s="13" t="str">
        <f t="shared" si="322"/>
        <v>Блок13</v>
      </c>
      <c r="L576" s="13"/>
      <c r="M576" s="13"/>
      <c r="N576" s="13"/>
      <c r="O576" s="26">
        <f t="shared" si="323"/>
        <v>1</v>
      </c>
      <c r="P576" s="26">
        <f>O576*H576</f>
        <v>1</v>
      </c>
      <c r="Q576" s="27">
        <f>P576*E576</f>
        <v>6190</v>
      </c>
    </row>
    <row r="577" spans="1:17" ht="35.25" customHeight="1" x14ac:dyDescent="0.25">
      <c r="A577" s="13" t="str">
        <f t="shared" si="321"/>
        <v>ЩУР.МОП1-13</v>
      </c>
      <c r="B577" s="10" t="s">
        <v>293</v>
      </c>
      <c r="C577" s="11" t="s">
        <v>199</v>
      </c>
      <c r="D577" s="10" t="s">
        <v>200</v>
      </c>
      <c r="E577" s="10">
        <v>5950</v>
      </c>
      <c r="F577" s="12">
        <f t="shared" si="324"/>
        <v>1785</v>
      </c>
      <c r="G577" s="12">
        <f>F577*H577</f>
        <v>3570</v>
      </c>
      <c r="H577" s="13">
        <v>2</v>
      </c>
      <c r="I577" s="14" t="s">
        <v>12</v>
      </c>
      <c r="J577" s="10" t="s">
        <v>207</v>
      </c>
      <c r="K577" s="13" t="str">
        <f t="shared" si="322"/>
        <v>Блок13</v>
      </c>
      <c r="L577" s="13"/>
      <c r="M577" s="13"/>
      <c r="N577" s="13"/>
      <c r="O577" s="26">
        <f t="shared" si="323"/>
        <v>1</v>
      </c>
      <c r="P577" s="26">
        <f>O577*H577</f>
        <v>2</v>
      </c>
      <c r="Q577" s="27">
        <f>P577*E577</f>
        <v>11900</v>
      </c>
    </row>
    <row r="578" spans="1:17" ht="35.25" customHeight="1" x14ac:dyDescent="0.25">
      <c r="A578" s="13" t="str">
        <f t="shared" si="321"/>
        <v>ЩУР.МОП1-13</v>
      </c>
      <c r="B578" s="10" t="s">
        <v>293</v>
      </c>
      <c r="C578" s="11" t="s">
        <v>193</v>
      </c>
      <c r="D578" s="10" t="s">
        <v>194</v>
      </c>
      <c r="E578" s="10">
        <v>6580</v>
      </c>
      <c r="F578" s="12">
        <f t="shared" si="324"/>
        <v>1974</v>
      </c>
      <c r="G578" s="12">
        <f>F578*H578</f>
        <v>3948</v>
      </c>
      <c r="H578" s="13">
        <v>2</v>
      </c>
      <c r="I578" s="14" t="s">
        <v>12</v>
      </c>
      <c r="J578" s="10" t="s">
        <v>207</v>
      </c>
      <c r="K578" s="13" t="str">
        <f t="shared" si="322"/>
        <v>Блок13</v>
      </c>
      <c r="L578" s="13"/>
      <c r="M578" s="13"/>
      <c r="N578" s="13"/>
      <c r="O578" s="26">
        <f t="shared" si="323"/>
        <v>1</v>
      </c>
      <c r="P578" s="26">
        <f>O578*H578</f>
        <v>2</v>
      </c>
      <c r="Q578" s="27">
        <f>P578*E578</f>
        <v>13160</v>
      </c>
    </row>
    <row r="579" spans="1:17" ht="35.25" customHeight="1" x14ac:dyDescent="0.25">
      <c r="A579" s="13" t="str">
        <f t="shared" si="321"/>
        <v>ЩУР.МОП1-13</v>
      </c>
      <c r="B579" s="10" t="s">
        <v>15</v>
      </c>
      <c r="C579" s="11" t="s">
        <v>299</v>
      </c>
      <c r="D579" s="10" t="s">
        <v>300</v>
      </c>
      <c r="E579" s="10">
        <v>32400</v>
      </c>
      <c r="F579" s="12">
        <f>E579</f>
        <v>32400</v>
      </c>
      <c r="G579" s="12">
        <f>F579*H579</f>
        <v>32400</v>
      </c>
      <c r="H579" s="13">
        <v>1</v>
      </c>
      <c r="I579" s="14" t="s">
        <v>12</v>
      </c>
      <c r="J579" s="10" t="s">
        <v>16</v>
      </c>
      <c r="K579" s="13" t="str">
        <f t="shared" si="322"/>
        <v>Блок13</v>
      </c>
      <c r="L579" s="13"/>
      <c r="M579" s="13"/>
      <c r="N579" s="13"/>
      <c r="O579" s="26">
        <f t="shared" si="323"/>
        <v>1</v>
      </c>
      <c r="P579" s="26">
        <f>O579*H579</f>
        <v>1</v>
      </c>
      <c r="Q579" s="27">
        <f t="shared" ref="Q579:Q585" si="325">P579*F579</f>
        <v>32400</v>
      </c>
    </row>
    <row r="580" spans="1:17" ht="35.25" customHeight="1" x14ac:dyDescent="0.25">
      <c r="A580" s="10" t="str">
        <f t="shared" si="321"/>
        <v>ЩУР.МОП1-13</v>
      </c>
      <c r="B580" s="10" t="s">
        <v>19</v>
      </c>
      <c r="C580" s="11" t="s">
        <v>19</v>
      </c>
      <c r="D580" s="10" t="s">
        <v>19</v>
      </c>
      <c r="E580" s="10">
        <f ca="1">OFFSET(E580,1,2)</f>
        <v>12000</v>
      </c>
      <c r="F580" s="12">
        <f ca="1">E580</f>
        <v>12000</v>
      </c>
      <c r="G580" s="12">
        <f ca="1">F580*H580</f>
        <v>12000</v>
      </c>
      <c r="H580" s="10">
        <v>1</v>
      </c>
      <c r="I580" s="10" t="s">
        <v>12</v>
      </c>
      <c r="J580" s="10" t="s">
        <v>19</v>
      </c>
      <c r="K580" s="13" t="str">
        <f t="shared" si="322"/>
        <v>Блок13</v>
      </c>
      <c r="L580" s="13"/>
      <c r="M580" s="13"/>
      <c r="N580" s="13"/>
      <c r="O580" s="26">
        <f t="shared" si="323"/>
        <v>1</v>
      </c>
      <c r="P580" s="26">
        <f>O580*H580</f>
        <v>1</v>
      </c>
      <c r="Q580" s="27">
        <f t="shared" ca="1" si="325"/>
        <v>12000</v>
      </c>
    </row>
    <row r="581" spans="1:17" ht="35.25" customHeight="1" x14ac:dyDescent="0.25">
      <c r="A581" s="10" t="str">
        <f t="shared" si="321"/>
        <v>ЩУР.МОП1-13</v>
      </c>
      <c r="B581" s="10" t="s">
        <v>20</v>
      </c>
      <c r="C581" s="11" t="s">
        <v>20</v>
      </c>
      <c r="D581" s="10" t="s">
        <v>20</v>
      </c>
      <c r="E581" s="10">
        <v>2</v>
      </c>
      <c r="F581" s="12">
        <v>100</v>
      </c>
      <c r="G581" s="12">
        <f>F581*H581</f>
        <v>12000</v>
      </c>
      <c r="H581" s="10">
        <f>60*E581</f>
        <v>120</v>
      </c>
      <c r="I581" s="10" t="s">
        <v>12</v>
      </c>
      <c r="J581" s="10" t="s">
        <v>20</v>
      </c>
      <c r="K581" s="13" t="str">
        <f t="shared" si="322"/>
        <v>Блок13</v>
      </c>
      <c r="L581" s="13"/>
      <c r="M581" s="13"/>
      <c r="N581" s="13"/>
      <c r="O581" s="26">
        <f t="shared" si="323"/>
        <v>1</v>
      </c>
      <c r="P581" s="26">
        <f>O581*H581</f>
        <v>120</v>
      </c>
      <c r="Q581" s="27">
        <f t="shared" si="325"/>
        <v>12000</v>
      </c>
    </row>
    <row r="582" spans="1:17" ht="35.25" customHeight="1" x14ac:dyDescent="0.25">
      <c r="A582" s="15" t="str">
        <f t="shared" si="321"/>
        <v>ЩУР.МОП1-13</v>
      </c>
      <c r="B582" s="15"/>
      <c r="C582" s="15"/>
      <c r="D582" s="16"/>
      <c r="E582" s="28"/>
      <c r="F582" s="12">
        <f>E582*0.55</f>
        <v>0</v>
      </c>
      <c r="G582" s="28">
        <f ca="1">SUM(G575:G581)</f>
        <v>81975</v>
      </c>
      <c r="H582" s="15"/>
      <c r="I582" s="19"/>
      <c r="J582" s="15"/>
      <c r="K582" s="13" t="str">
        <f t="shared" si="322"/>
        <v>Блок13</v>
      </c>
      <c r="L582" s="13"/>
      <c r="M582" s="13"/>
      <c r="N582" s="13"/>
      <c r="O582" s="26">
        <f t="shared" si="323"/>
        <v>1</v>
      </c>
      <c r="P582" s="26">
        <f>O582*H582</f>
        <v>0</v>
      </c>
      <c r="Q582" s="27">
        <f t="shared" si="325"/>
        <v>0</v>
      </c>
    </row>
    <row r="583" spans="1:17" ht="35.25" customHeight="1" x14ac:dyDescent="0.25">
      <c r="A583" s="8" t="str">
        <f>D583</f>
        <v>РЩ1-13 (АВР-Б-40-2-1)</v>
      </c>
      <c r="B583" s="4"/>
      <c r="C583" s="5"/>
      <c r="D583" s="4" t="s">
        <v>146</v>
      </c>
      <c r="E583" s="6"/>
      <c r="F583" s="6"/>
      <c r="G583" s="7"/>
      <c r="H583" s="8">
        <v>1</v>
      </c>
      <c r="I583" s="9" t="s">
        <v>9</v>
      </c>
      <c r="J583" s="4" t="s">
        <v>10</v>
      </c>
      <c r="K583" s="8" t="s">
        <v>102</v>
      </c>
      <c r="L583" s="8"/>
      <c r="M583" s="8"/>
      <c r="N583" s="8"/>
      <c r="O583" s="26">
        <f>H583</f>
        <v>1</v>
      </c>
      <c r="P583" s="26">
        <f>O583*H583</f>
        <v>1</v>
      </c>
      <c r="Q583" s="27">
        <f t="shared" si="325"/>
        <v>0</v>
      </c>
    </row>
    <row r="584" spans="1:17" ht="35.25" customHeight="1" x14ac:dyDescent="0.25">
      <c r="A584" s="13" t="str">
        <f t="shared" ref="A584:A595" si="326">A583</f>
        <v>РЩ1-13 (АВР-Б-40-2-1)</v>
      </c>
      <c r="B584" s="10" t="s">
        <v>11</v>
      </c>
      <c r="C584" s="11" t="s">
        <v>168</v>
      </c>
      <c r="D584" s="10" t="s">
        <v>169</v>
      </c>
      <c r="E584" s="10">
        <v>130000</v>
      </c>
      <c r="F584" s="12">
        <f t="shared" ref="F584:F585" si="327">0.6*E584</f>
        <v>78000</v>
      </c>
      <c r="G584" s="12">
        <f>F584*H584</f>
        <v>78000</v>
      </c>
      <c r="H584" s="13">
        <v>1</v>
      </c>
      <c r="I584" s="14" t="s">
        <v>12</v>
      </c>
      <c r="J584" s="10" t="s">
        <v>13</v>
      </c>
      <c r="K584" s="13" t="str">
        <f t="shared" ref="K584:K595" si="328">K583</f>
        <v>Блок13</v>
      </c>
      <c r="L584" s="13"/>
      <c r="M584" s="13"/>
      <c r="N584" s="13"/>
      <c r="O584" s="26">
        <f t="shared" ref="O584:O595" si="329">O583</f>
        <v>1</v>
      </c>
      <c r="P584" s="26">
        <f>O584*H584</f>
        <v>1</v>
      </c>
      <c r="Q584" s="27">
        <f t="shared" si="325"/>
        <v>78000</v>
      </c>
    </row>
    <row r="585" spans="1:17" ht="35.25" customHeight="1" x14ac:dyDescent="0.25">
      <c r="A585" s="13" t="str">
        <f t="shared" si="326"/>
        <v>РЩ1-13 (АВР-Б-40-2-1)</v>
      </c>
      <c r="B585" s="10" t="s">
        <v>44</v>
      </c>
      <c r="C585" s="11" t="s">
        <v>162</v>
      </c>
      <c r="D585" s="10" t="s">
        <v>163</v>
      </c>
      <c r="E585" s="10">
        <v>114758</v>
      </c>
      <c r="F585" s="12">
        <f t="shared" si="327"/>
        <v>68854.8</v>
      </c>
      <c r="G585" s="12">
        <f>F585*H585</f>
        <v>68854.8</v>
      </c>
      <c r="H585" s="13">
        <v>1</v>
      </c>
      <c r="I585" s="14" t="s">
        <v>12</v>
      </c>
      <c r="J585" s="10" t="s">
        <v>14</v>
      </c>
      <c r="K585" s="13" t="str">
        <f t="shared" si="328"/>
        <v>Блок13</v>
      </c>
      <c r="L585" s="13"/>
      <c r="M585" s="13"/>
      <c r="N585" s="13"/>
      <c r="O585" s="26">
        <f t="shared" si="329"/>
        <v>1</v>
      </c>
      <c r="P585" s="26">
        <f>O585*H585</f>
        <v>1</v>
      </c>
      <c r="Q585" s="27">
        <f t="shared" si="325"/>
        <v>68854.8</v>
      </c>
    </row>
    <row r="586" spans="1:17" ht="35.25" customHeight="1" x14ac:dyDescent="0.25">
      <c r="A586" s="13" t="str">
        <f t="shared" si="326"/>
        <v>РЩ1-13 (АВР-Б-40-2-1)</v>
      </c>
      <c r="B586" s="10" t="s">
        <v>293</v>
      </c>
      <c r="C586" s="11" t="s">
        <v>213</v>
      </c>
      <c r="D586" s="10" t="s">
        <v>214</v>
      </c>
      <c r="E586" s="10">
        <v>7690</v>
      </c>
      <c r="F586" s="12">
        <f t="shared" ref="F586:F588" si="330">0.3*E586</f>
        <v>2307</v>
      </c>
      <c r="G586" s="12">
        <f>F586*H586</f>
        <v>4614</v>
      </c>
      <c r="H586" s="13">
        <v>2</v>
      </c>
      <c r="I586" s="14" t="s">
        <v>12</v>
      </c>
      <c r="J586" s="10" t="s">
        <v>207</v>
      </c>
      <c r="K586" s="13" t="str">
        <f t="shared" si="328"/>
        <v>Блок13</v>
      </c>
      <c r="L586" s="13"/>
      <c r="M586" s="13"/>
      <c r="N586" s="13"/>
      <c r="O586" s="26">
        <f t="shared" si="329"/>
        <v>1</v>
      </c>
      <c r="P586" s="26">
        <f>O586*H586</f>
        <v>2</v>
      </c>
      <c r="Q586" s="27">
        <f>P586*E586</f>
        <v>15380</v>
      </c>
    </row>
    <row r="587" spans="1:17" ht="35.25" customHeight="1" x14ac:dyDescent="0.25">
      <c r="A587" s="13" t="str">
        <f t="shared" si="326"/>
        <v>РЩ1-13 (АВР-Б-40-2-1)</v>
      </c>
      <c r="B587" s="10" t="s">
        <v>293</v>
      </c>
      <c r="C587" s="11" t="s">
        <v>231</v>
      </c>
      <c r="D587" s="10" t="s">
        <v>232</v>
      </c>
      <c r="E587" s="10">
        <v>7690</v>
      </c>
      <c r="F587" s="12">
        <f t="shared" si="330"/>
        <v>2307</v>
      </c>
      <c r="G587" s="12">
        <f>F587*H587</f>
        <v>4614</v>
      </c>
      <c r="H587" s="13">
        <v>2</v>
      </c>
      <c r="I587" s="14" t="s">
        <v>12</v>
      </c>
      <c r="J587" s="10" t="s">
        <v>207</v>
      </c>
      <c r="K587" s="13" t="str">
        <f t="shared" si="328"/>
        <v>Блок13</v>
      </c>
      <c r="L587" s="13"/>
      <c r="M587" s="13"/>
      <c r="N587" s="13"/>
      <c r="O587" s="26">
        <f t="shared" si="329"/>
        <v>1</v>
      </c>
      <c r="P587" s="26">
        <f>O587*H587</f>
        <v>2</v>
      </c>
      <c r="Q587" s="27">
        <f>P587*E587</f>
        <v>15380</v>
      </c>
    </row>
    <row r="588" spans="1:17" ht="35.25" customHeight="1" x14ac:dyDescent="0.25">
      <c r="A588" s="13" t="str">
        <f t="shared" si="326"/>
        <v>РЩ1-13 (АВР-Б-40-2-1)</v>
      </c>
      <c r="B588" s="10" t="s">
        <v>294</v>
      </c>
      <c r="C588" s="11" t="s">
        <v>203</v>
      </c>
      <c r="D588" s="10" t="s">
        <v>204</v>
      </c>
      <c r="E588" s="10">
        <v>13450</v>
      </c>
      <c r="F588" s="12">
        <f t="shared" si="330"/>
        <v>4035</v>
      </c>
      <c r="G588" s="12">
        <f>F588*H588</f>
        <v>8070</v>
      </c>
      <c r="H588" s="13">
        <v>2</v>
      </c>
      <c r="I588" s="14" t="s">
        <v>12</v>
      </c>
      <c r="J588" s="10" t="s">
        <v>207</v>
      </c>
      <c r="K588" s="13" t="str">
        <f t="shared" si="328"/>
        <v>Блок13</v>
      </c>
      <c r="L588" s="13"/>
      <c r="M588" s="13"/>
      <c r="N588" s="13"/>
      <c r="O588" s="26">
        <f t="shared" si="329"/>
        <v>1</v>
      </c>
      <c r="P588" s="26">
        <f>O588*H588</f>
        <v>2</v>
      </c>
      <c r="Q588" s="27">
        <f>P588*E588</f>
        <v>26900</v>
      </c>
    </row>
    <row r="589" spans="1:17" ht="35.25" customHeight="1" x14ac:dyDescent="0.25">
      <c r="A589" s="13" t="str">
        <f t="shared" si="326"/>
        <v>РЩ1-13 (АВР-Б-40-2-1)</v>
      </c>
      <c r="B589" s="10" t="s">
        <v>18</v>
      </c>
      <c r="C589" s="11" t="s">
        <v>233</v>
      </c>
      <c r="D589" s="10" t="s">
        <v>234</v>
      </c>
      <c r="E589" s="10">
        <v>5884</v>
      </c>
      <c r="F589" s="12">
        <f>0.6*E589</f>
        <v>3530.4</v>
      </c>
      <c r="G589" s="12">
        <f>F589*H589</f>
        <v>3530.4</v>
      </c>
      <c r="H589" s="13">
        <v>1</v>
      </c>
      <c r="I589" s="14" t="s">
        <v>12</v>
      </c>
      <c r="J589" s="10" t="s">
        <v>14</v>
      </c>
      <c r="K589" s="13" t="str">
        <f t="shared" si="328"/>
        <v>Блок13</v>
      </c>
      <c r="L589" s="13"/>
      <c r="M589" s="13"/>
      <c r="N589" s="13"/>
      <c r="O589" s="26">
        <f t="shared" si="329"/>
        <v>1</v>
      </c>
      <c r="P589" s="26">
        <f>O589*H589</f>
        <v>1</v>
      </c>
      <c r="Q589" s="27">
        <f>P589*F589</f>
        <v>3530.4</v>
      </c>
    </row>
    <row r="590" spans="1:17" ht="35.25" customHeight="1" x14ac:dyDescent="0.25">
      <c r="A590" s="13" t="str">
        <f t="shared" si="326"/>
        <v>РЩ1-13 (АВР-Б-40-2-1)</v>
      </c>
      <c r="B590" s="10" t="s">
        <v>293</v>
      </c>
      <c r="C590" s="11" t="s">
        <v>205</v>
      </c>
      <c r="D590" s="10" t="s">
        <v>206</v>
      </c>
      <c r="E590" s="10">
        <v>7090</v>
      </c>
      <c r="F590" s="12">
        <f>0.3*E590</f>
        <v>2127</v>
      </c>
      <c r="G590" s="12">
        <f>F590*H590</f>
        <v>2127</v>
      </c>
      <c r="H590" s="13">
        <v>1</v>
      </c>
      <c r="I590" s="14" t="s">
        <v>12</v>
      </c>
      <c r="J590" s="10" t="s">
        <v>207</v>
      </c>
      <c r="K590" s="13" t="str">
        <f t="shared" si="328"/>
        <v>Блок13</v>
      </c>
      <c r="L590" s="13"/>
      <c r="M590" s="13"/>
      <c r="N590" s="13"/>
      <c r="O590" s="26">
        <f t="shared" si="329"/>
        <v>1</v>
      </c>
      <c r="P590" s="26">
        <f>O590*H590</f>
        <v>1</v>
      </c>
      <c r="Q590" s="27">
        <f>P590*E590</f>
        <v>7090</v>
      </c>
    </row>
    <row r="591" spans="1:17" ht="35.25" customHeight="1" x14ac:dyDescent="0.25">
      <c r="A591" s="13" t="str">
        <f t="shared" si="326"/>
        <v>РЩ1-13 (АВР-Б-40-2-1)</v>
      </c>
      <c r="B591" s="10" t="s">
        <v>15</v>
      </c>
      <c r="C591" s="11" t="s">
        <v>299</v>
      </c>
      <c r="D591" s="10" t="s">
        <v>300</v>
      </c>
      <c r="E591" s="10">
        <v>32400</v>
      </c>
      <c r="F591" s="12">
        <f>E591</f>
        <v>32400</v>
      </c>
      <c r="G591" s="12">
        <f>F591*H591</f>
        <v>32400</v>
      </c>
      <c r="H591" s="13">
        <v>1</v>
      </c>
      <c r="I591" s="14" t="s">
        <v>12</v>
      </c>
      <c r="J591" s="10" t="s">
        <v>16</v>
      </c>
      <c r="K591" s="13" t="str">
        <f t="shared" si="328"/>
        <v>Блок13</v>
      </c>
      <c r="L591" s="13"/>
      <c r="M591" s="13"/>
      <c r="N591" s="13"/>
      <c r="O591" s="26">
        <f t="shared" si="329"/>
        <v>1</v>
      </c>
      <c r="P591" s="26">
        <f>O591*H591</f>
        <v>1</v>
      </c>
      <c r="Q591" s="27">
        <f t="shared" ref="Q591:Q601" si="331">P591*F591</f>
        <v>32400</v>
      </c>
    </row>
    <row r="592" spans="1:17" ht="35.25" customHeight="1" x14ac:dyDescent="0.25">
      <c r="A592" s="13" t="str">
        <f t="shared" si="326"/>
        <v>РЩ1-13 (АВР-Б-40-2-1)</v>
      </c>
      <c r="B592" s="10" t="s">
        <v>30</v>
      </c>
      <c r="C592" s="11"/>
      <c r="D592" s="10" t="s">
        <v>31</v>
      </c>
      <c r="E592" s="10">
        <v>3850</v>
      </c>
      <c r="F592" s="12">
        <f>E592</f>
        <v>3850</v>
      </c>
      <c r="G592" s="12">
        <f>F592*H592</f>
        <v>23100</v>
      </c>
      <c r="H592" s="13">
        <v>6</v>
      </c>
      <c r="I592" s="14" t="s">
        <v>12</v>
      </c>
      <c r="J592" s="10" t="s">
        <v>25</v>
      </c>
      <c r="K592" s="13" t="str">
        <f t="shared" si="328"/>
        <v>Блок13</v>
      </c>
      <c r="L592" s="13"/>
      <c r="M592" s="13"/>
      <c r="N592" s="13"/>
      <c r="O592" s="26">
        <f t="shared" si="329"/>
        <v>1</v>
      </c>
      <c r="P592" s="26">
        <f>O592*H592</f>
        <v>6</v>
      </c>
      <c r="Q592" s="27">
        <f t="shared" si="331"/>
        <v>23100</v>
      </c>
    </row>
    <row r="593" spans="1:17" ht="35.25" customHeight="1" x14ac:dyDescent="0.25">
      <c r="A593" s="10" t="str">
        <f t="shared" si="326"/>
        <v>РЩ1-13 (АВР-Б-40-2-1)</v>
      </c>
      <c r="B593" s="10" t="s">
        <v>19</v>
      </c>
      <c r="C593" s="11" t="s">
        <v>19</v>
      </c>
      <c r="D593" s="10" t="s">
        <v>19</v>
      </c>
      <c r="E593" s="10">
        <f ca="1">OFFSET(E593,1,2)</f>
        <v>39000</v>
      </c>
      <c r="F593" s="12">
        <f ca="1">E593</f>
        <v>39000</v>
      </c>
      <c r="G593" s="12">
        <f ca="1">F593*H593</f>
        <v>39000</v>
      </c>
      <c r="H593" s="10">
        <v>1</v>
      </c>
      <c r="I593" s="10" t="s">
        <v>12</v>
      </c>
      <c r="J593" s="10" t="s">
        <v>19</v>
      </c>
      <c r="K593" s="13" t="str">
        <f t="shared" si="328"/>
        <v>Блок13</v>
      </c>
      <c r="L593" s="13"/>
      <c r="M593" s="13"/>
      <c r="N593" s="13"/>
      <c r="O593" s="26">
        <f t="shared" si="329"/>
        <v>1</v>
      </c>
      <c r="P593" s="26">
        <f>O593*H593</f>
        <v>1</v>
      </c>
      <c r="Q593" s="27">
        <f t="shared" ca="1" si="331"/>
        <v>39000</v>
      </c>
    </row>
    <row r="594" spans="1:17" ht="35.25" customHeight="1" x14ac:dyDescent="0.25">
      <c r="A594" s="10" t="str">
        <f t="shared" si="326"/>
        <v>РЩ1-13 (АВР-Б-40-2-1)</v>
      </c>
      <c r="B594" s="10" t="s">
        <v>20</v>
      </c>
      <c r="C594" s="11" t="s">
        <v>20</v>
      </c>
      <c r="D594" s="10" t="s">
        <v>20</v>
      </c>
      <c r="E594" s="10">
        <v>6.5</v>
      </c>
      <c r="F594" s="12">
        <v>100</v>
      </c>
      <c r="G594" s="12">
        <f>F594*H594</f>
        <v>39000</v>
      </c>
      <c r="H594" s="10">
        <f>60*E594</f>
        <v>390</v>
      </c>
      <c r="I594" s="10" t="s">
        <v>12</v>
      </c>
      <c r="J594" s="10" t="s">
        <v>20</v>
      </c>
      <c r="K594" s="13" t="str">
        <f t="shared" si="328"/>
        <v>Блок13</v>
      </c>
      <c r="L594" s="13"/>
      <c r="M594" s="13"/>
      <c r="N594" s="13"/>
      <c r="O594" s="26">
        <f t="shared" si="329"/>
        <v>1</v>
      </c>
      <c r="P594" s="26">
        <f>O594*H594</f>
        <v>390</v>
      </c>
      <c r="Q594" s="27">
        <f t="shared" si="331"/>
        <v>39000</v>
      </c>
    </row>
    <row r="595" spans="1:17" ht="35.25" customHeight="1" x14ac:dyDescent="0.25">
      <c r="A595" s="15" t="str">
        <f t="shared" si="326"/>
        <v>РЩ1-13 (АВР-Б-40-2-1)</v>
      </c>
      <c r="B595" s="15"/>
      <c r="C595" s="15"/>
      <c r="D595" s="16"/>
      <c r="E595" s="28"/>
      <c r="F595" s="12">
        <f>E595*0.55</f>
        <v>0</v>
      </c>
      <c r="G595" s="28">
        <f ca="1">SUM(G584:G594)</f>
        <v>303310.19999999995</v>
      </c>
      <c r="H595" s="15"/>
      <c r="I595" s="19"/>
      <c r="J595" s="15"/>
      <c r="K595" s="13" t="str">
        <f t="shared" si="328"/>
        <v>Блок13</v>
      </c>
      <c r="L595" s="13"/>
      <c r="M595" s="13"/>
      <c r="N595" s="13"/>
      <c r="O595" s="26">
        <f t="shared" si="329"/>
        <v>1</v>
      </c>
      <c r="P595" s="26">
        <f>O595*H595</f>
        <v>0</v>
      </c>
      <c r="Q595" s="27">
        <f t="shared" si="331"/>
        <v>0</v>
      </c>
    </row>
    <row r="596" spans="1:17" ht="35.25" customHeight="1" x14ac:dyDescent="0.25">
      <c r="A596" s="8" t="str">
        <f>D596</f>
        <v>ВРУ1-14</v>
      </c>
      <c r="B596" s="4"/>
      <c r="C596" s="5"/>
      <c r="D596" s="4" t="s">
        <v>106</v>
      </c>
      <c r="E596" s="6"/>
      <c r="F596" s="6"/>
      <c r="G596" s="7"/>
      <c r="H596" s="8">
        <v>1</v>
      </c>
      <c r="I596" s="9" t="s">
        <v>9</v>
      </c>
      <c r="J596" s="4" t="s">
        <v>10</v>
      </c>
      <c r="K596" s="8" t="s">
        <v>107</v>
      </c>
      <c r="L596" s="8"/>
      <c r="M596" s="8"/>
      <c r="N596" s="8"/>
      <c r="O596" s="26">
        <f>H596</f>
        <v>1</v>
      </c>
      <c r="P596" s="26">
        <f>O596*H596</f>
        <v>1</v>
      </c>
      <c r="Q596" s="27">
        <f t="shared" si="331"/>
        <v>0</v>
      </c>
    </row>
    <row r="597" spans="1:17" ht="35.25" customHeight="1" x14ac:dyDescent="0.25">
      <c r="A597" s="13" t="str">
        <f t="shared" ref="A597:A607" si="332">A596</f>
        <v>ВРУ1-14</v>
      </c>
      <c r="B597" s="10" t="s">
        <v>11</v>
      </c>
      <c r="C597" s="11" t="s">
        <v>172</v>
      </c>
      <c r="D597" s="10" t="s">
        <v>173</v>
      </c>
      <c r="E597" s="10">
        <v>156500</v>
      </c>
      <c r="F597" s="12">
        <f>0.6*E597</f>
        <v>93900</v>
      </c>
      <c r="G597" s="12">
        <f>F597*H597</f>
        <v>93900</v>
      </c>
      <c r="H597" s="13">
        <v>1</v>
      </c>
      <c r="I597" s="14" t="s">
        <v>12</v>
      </c>
      <c r="J597" s="10" t="s">
        <v>13</v>
      </c>
      <c r="K597" s="13" t="str">
        <f t="shared" ref="K597:K607" si="333">K596</f>
        <v>Блок14</v>
      </c>
      <c r="L597" s="13"/>
      <c r="M597" s="13"/>
      <c r="N597" s="13"/>
      <c r="O597" s="26">
        <f t="shared" ref="O597:O607" si="334">O596</f>
        <v>1</v>
      </c>
      <c r="P597" s="26">
        <f>O597*H597</f>
        <v>1</v>
      </c>
      <c r="Q597" s="27">
        <f t="shared" si="331"/>
        <v>93900</v>
      </c>
    </row>
    <row r="598" spans="1:17" ht="35.25" customHeight="1" x14ac:dyDescent="0.25">
      <c r="A598" s="13" t="str">
        <f t="shared" si="332"/>
        <v>ВРУ1-14</v>
      </c>
      <c r="B598" s="10" t="s">
        <v>23</v>
      </c>
      <c r="C598" s="11" t="s">
        <v>307</v>
      </c>
      <c r="D598" s="10" t="s">
        <v>308</v>
      </c>
      <c r="E598" s="10">
        <v>5523</v>
      </c>
      <c r="F598" s="12">
        <f t="shared" ref="F598:F599" si="335">E598</f>
        <v>5523</v>
      </c>
      <c r="G598" s="12">
        <f>F598*H598</f>
        <v>33138</v>
      </c>
      <c r="H598" s="13">
        <v>6</v>
      </c>
      <c r="I598" s="14" t="s">
        <v>12</v>
      </c>
      <c r="J598" s="10" t="s">
        <v>25</v>
      </c>
      <c r="K598" s="13" t="str">
        <f t="shared" si="333"/>
        <v>Блок14</v>
      </c>
      <c r="L598" s="13"/>
      <c r="M598" s="13"/>
      <c r="N598" s="13"/>
      <c r="O598" s="26">
        <f t="shared" si="334"/>
        <v>1</v>
      </c>
      <c r="P598" s="26">
        <f>O598*H598</f>
        <v>6</v>
      </c>
      <c r="Q598" s="27">
        <f t="shared" si="331"/>
        <v>33138</v>
      </c>
    </row>
    <row r="599" spans="1:17" ht="35.25" customHeight="1" x14ac:dyDescent="0.25">
      <c r="A599" s="13" t="str">
        <f t="shared" si="332"/>
        <v>ВРУ1-14</v>
      </c>
      <c r="B599" s="10" t="s">
        <v>26</v>
      </c>
      <c r="C599" s="11" t="s">
        <v>177</v>
      </c>
      <c r="D599" s="10" t="s">
        <v>178</v>
      </c>
      <c r="E599" s="10">
        <v>25500</v>
      </c>
      <c r="F599" s="12">
        <f t="shared" si="335"/>
        <v>25500</v>
      </c>
      <c r="G599" s="12">
        <f>F599*H599</f>
        <v>51000</v>
      </c>
      <c r="H599" s="13">
        <v>2</v>
      </c>
      <c r="I599" s="14" t="s">
        <v>12</v>
      </c>
      <c r="J599" s="10" t="s">
        <v>25</v>
      </c>
      <c r="K599" s="13" t="str">
        <f t="shared" si="333"/>
        <v>Блок14</v>
      </c>
      <c r="L599" s="13"/>
      <c r="M599" s="13"/>
      <c r="N599" s="13"/>
      <c r="O599" s="26">
        <f t="shared" si="334"/>
        <v>1</v>
      </c>
      <c r="P599" s="26">
        <f>O599*H599</f>
        <v>2</v>
      </c>
      <c r="Q599" s="27">
        <f t="shared" si="331"/>
        <v>51000</v>
      </c>
    </row>
    <row r="600" spans="1:17" ht="35.25" customHeight="1" x14ac:dyDescent="0.25">
      <c r="A600" s="13" t="str">
        <f t="shared" si="332"/>
        <v>ВРУ1-14</v>
      </c>
      <c r="B600" s="10" t="s">
        <v>127</v>
      </c>
      <c r="C600" s="11" t="s">
        <v>130</v>
      </c>
      <c r="D600" s="10" t="s">
        <v>131</v>
      </c>
      <c r="E600" s="10">
        <v>4750</v>
      </c>
      <c r="F600" s="12">
        <f t="shared" ref="F600:F601" si="336">0.6*E600</f>
        <v>2850</v>
      </c>
      <c r="G600" s="12">
        <f>F600*H600</f>
        <v>17100</v>
      </c>
      <c r="H600" s="13">
        <v>6</v>
      </c>
      <c r="I600" s="14" t="s">
        <v>12</v>
      </c>
      <c r="J600" s="10" t="s">
        <v>14</v>
      </c>
      <c r="K600" s="13" t="str">
        <f t="shared" si="333"/>
        <v>Блок14</v>
      </c>
      <c r="L600" s="13"/>
      <c r="M600" s="13"/>
      <c r="N600" s="13"/>
      <c r="O600" s="26">
        <f t="shared" si="334"/>
        <v>1</v>
      </c>
      <c r="P600" s="26">
        <f>O600*H600</f>
        <v>6</v>
      </c>
      <c r="Q600" s="27">
        <f t="shared" si="331"/>
        <v>17100</v>
      </c>
    </row>
    <row r="601" spans="1:17" ht="35.25" customHeight="1" x14ac:dyDescent="0.25">
      <c r="A601" s="13" t="str">
        <f t="shared" si="332"/>
        <v>ВРУ1-14</v>
      </c>
      <c r="B601" s="10" t="s">
        <v>126</v>
      </c>
      <c r="C601" s="11" t="s">
        <v>128</v>
      </c>
      <c r="D601" s="10" t="s">
        <v>129</v>
      </c>
      <c r="E601" s="10">
        <v>3317</v>
      </c>
      <c r="F601" s="12">
        <f t="shared" si="336"/>
        <v>1990.1999999999998</v>
      </c>
      <c r="G601" s="12">
        <f>F601*H601</f>
        <v>11941.199999999999</v>
      </c>
      <c r="H601" s="13">
        <v>6</v>
      </c>
      <c r="I601" s="14" t="s">
        <v>12</v>
      </c>
      <c r="J601" s="10" t="s">
        <v>14</v>
      </c>
      <c r="K601" s="13" t="str">
        <f t="shared" si="333"/>
        <v>Блок14</v>
      </c>
      <c r="L601" s="13"/>
      <c r="M601" s="13"/>
      <c r="N601" s="13"/>
      <c r="O601" s="26">
        <f t="shared" si="334"/>
        <v>1</v>
      </c>
      <c r="P601" s="26">
        <f>O601*H601</f>
        <v>6</v>
      </c>
      <c r="Q601" s="27">
        <f t="shared" si="331"/>
        <v>11941.199999999999</v>
      </c>
    </row>
    <row r="602" spans="1:17" ht="35.25" customHeight="1" x14ac:dyDescent="0.25">
      <c r="A602" s="13" t="str">
        <f t="shared" si="332"/>
        <v>ВРУ1-14</v>
      </c>
      <c r="B602" s="10" t="s">
        <v>293</v>
      </c>
      <c r="C602" s="11" t="s">
        <v>189</v>
      </c>
      <c r="D602" s="10" t="s">
        <v>190</v>
      </c>
      <c r="E602" s="10">
        <v>1390</v>
      </c>
      <c r="F602" s="12">
        <f>0.3*E602</f>
        <v>417</v>
      </c>
      <c r="G602" s="12">
        <f>F602*H602</f>
        <v>834</v>
      </c>
      <c r="H602" s="13">
        <v>2</v>
      </c>
      <c r="I602" s="14" t="s">
        <v>12</v>
      </c>
      <c r="J602" s="10" t="s">
        <v>207</v>
      </c>
      <c r="K602" s="13" t="str">
        <f t="shared" si="333"/>
        <v>Блок14</v>
      </c>
      <c r="L602" s="13"/>
      <c r="M602" s="13"/>
      <c r="N602" s="13"/>
      <c r="O602" s="26">
        <f t="shared" si="334"/>
        <v>1</v>
      </c>
      <c r="P602" s="26">
        <f>O602*H602</f>
        <v>2</v>
      </c>
      <c r="Q602" s="27">
        <f>P602*E602</f>
        <v>2780</v>
      </c>
    </row>
    <row r="603" spans="1:17" ht="35.25" customHeight="1" x14ac:dyDescent="0.25">
      <c r="A603" s="13" t="str">
        <f t="shared" si="332"/>
        <v>ВРУ1-14</v>
      </c>
      <c r="B603" s="10" t="s">
        <v>15</v>
      </c>
      <c r="C603" s="11" t="s">
        <v>297</v>
      </c>
      <c r="D603" s="24" t="s">
        <v>298</v>
      </c>
      <c r="E603" s="10">
        <v>89000</v>
      </c>
      <c r="F603" s="12">
        <f>E603</f>
        <v>89000</v>
      </c>
      <c r="G603" s="12">
        <f>F603*H603</f>
        <v>178000</v>
      </c>
      <c r="H603" s="13">
        <v>2</v>
      </c>
      <c r="I603" s="14" t="s">
        <v>12</v>
      </c>
      <c r="J603" s="10" t="s">
        <v>16</v>
      </c>
      <c r="K603" s="13" t="str">
        <f t="shared" si="333"/>
        <v>Блок14</v>
      </c>
      <c r="L603" s="13"/>
      <c r="M603" s="13"/>
      <c r="N603" s="13"/>
      <c r="O603" s="26">
        <f t="shared" si="334"/>
        <v>1</v>
      </c>
      <c r="P603" s="26">
        <f>O603*H603</f>
        <v>2</v>
      </c>
      <c r="Q603" s="27">
        <f t="shared" ref="Q603:Q609" si="337">P603*F603</f>
        <v>178000</v>
      </c>
    </row>
    <row r="604" spans="1:17" ht="35.25" customHeight="1" x14ac:dyDescent="0.25">
      <c r="A604" s="13" t="str">
        <f t="shared" si="332"/>
        <v>ВРУ1-14</v>
      </c>
      <c r="B604" s="10" t="s">
        <v>30</v>
      </c>
      <c r="C604" s="11"/>
      <c r="D604" s="10" t="s">
        <v>31</v>
      </c>
      <c r="E604" s="10">
        <v>3850</v>
      </c>
      <c r="F604" s="12">
        <f>E604</f>
        <v>3850</v>
      </c>
      <c r="G604" s="12">
        <f>F604*H604</f>
        <v>23100</v>
      </c>
      <c r="H604" s="13">
        <v>6</v>
      </c>
      <c r="I604" s="14" t="s">
        <v>12</v>
      </c>
      <c r="J604" s="10" t="s">
        <v>25</v>
      </c>
      <c r="K604" s="13" t="str">
        <f t="shared" si="333"/>
        <v>Блок14</v>
      </c>
      <c r="L604" s="13"/>
      <c r="M604" s="13"/>
      <c r="N604" s="13"/>
      <c r="O604" s="26">
        <f t="shared" si="334"/>
        <v>1</v>
      </c>
      <c r="P604" s="26">
        <f>O604*H604</f>
        <v>6</v>
      </c>
      <c r="Q604" s="27">
        <f t="shared" si="337"/>
        <v>23100</v>
      </c>
    </row>
    <row r="605" spans="1:17" ht="35.25" customHeight="1" x14ac:dyDescent="0.25">
      <c r="A605" s="10" t="str">
        <f t="shared" si="332"/>
        <v>ВРУ1-14</v>
      </c>
      <c r="B605" s="10" t="s">
        <v>19</v>
      </c>
      <c r="C605" s="11" t="s">
        <v>19</v>
      </c>
      <c r="D605" s="10" t="s">
        <v>19</v>
      </c>
      <c r="E605" s="10">
        <f ca="1">OFFSET(E605,1,2)</f>
        <v>48000</v>
      </c>
      <c r="F605" s="12">
        <f ca="1">E605</f>
        <v>48000</v>
      </c>
      <c r="G605" s="12">
        <f ca="1">F605*H605</f>
        <v>48000</v>
      </c>
      <c r="H605" s="10">
        <v>1</v>
      </c>
      <c r="I605" s="10" t="s">
        <v>12</v>
      </c>
      <c r="J605" s="10" t="s">
        <v>19</v>
      </c>
      <c r="K605" s="13" t="str">
        <f t="shared" si="333"/>
        <v>Блок14</v>
      </c>
      <c r="L605" s="13"/>
      <c r="M605" s="13"/>
      <c r="N605" s="13"/>
      <c r="O605" s="26">
        <f t="shared" si="334"/>
        <v>1</v>
      </c>
      <c r="P605" s="26">
        <f>O605*H605</f>
        <v>1</v>
      </c>
      <c r="Q605" s="27">
        <f t="shared" ca="1" si="337"/>
        <v>48000</v>
      </c>
    </row>
    <row r="606" spans="1:17" ht="35.25" customHeight="1" x14ac:dyDescent="0.25">
      <c r="A606" s="10" t="str">
        <f t="shared" si="332"/>
        <v>ВРУ1-14</v>
      </c>
      <c r="B606" s="10" t="s">
        <v>20</v>
      </c>
      <c r="C606" s="11" t="s">
        <v>20</v>
      </c>
      <c r="D606" s="10" t="s">
        <v>20</v>
      </c>
      <c r="E606" s="10">
        <v>8</v>
      </c>
      <c r="F606" s="12">
        <v>100</v>
      </c>
      <c r="G606" s="12">
        <f>F606*H606</f>
        <v>48000</v>
      </c>
      <c r="H606" s="10">
        <f>60*E606</f>
        <v>480</v>
      </c>
      <c r="I606" s="10" t="s">
        <v>12</v>
      </c>
      <c r="J606" s="10" t="s">
        <v>20</v>
      </c>
      <c r="K606" s="13" t="str">
        <f t="shared" si="333"/>
        <v>Блок14</v>
      </c>
      <c r="L606" s="13"/>
      <c r="M606" s="13"/>
      <c r="N606" s="13"/>
      <c r="O606" s="26">
        <f t="shared" si="334"/>
        <v>1</v>
      </c>
      <c r="P606" s="26">
        <f>O606*H606</f>
        <v>480</v>
      </c>
      <c r="Q606" s="27">
        <f t="shared" si="337"/>
        <v>48000</v>
      </c>
    </row>
    <row r="607" spans="1:17" ht="35.25" customHeight="1" x14ac:dyDescent="0.25">
      <c r="A607" s="15" t="str">
        <f t="shared" si="332"/>
        <v>ВРУ1-14</v>
      </c>
      <c r="B607" s="15"/>
      <c r="C607" s="15"/>
      <c r="D607" s="16"/>
      <c r="E607" s="28"/>
      <c r="F607" s="12">
        <f>E607*0.55</f>
        <v>0</v>
      </c>
      <c r="G607" s="28">
        <f ca="1">SUM(G597:G606)</f>
        <v>505013.2</v>
      </c>
      <c r="H607" s="15"/>
      <c r="I607" s="19"/>
      <c r="J607" s="15"/>
      <c r="K607" s="13" t="str">
        <f t="shared" si="333"/>
        <v>Блок14</v>
      </c>
      <c r="L607" s="13"/>
      <c r="M607" s="13"/>
      <c r="N607" s="13"/>
      <c r="O607" s="26">
        <f t="shared" si="334"/>
        <v>1</v>
      </c>
      <c r="P607" s="26">
        <f>O607*H607</f>
        <v>0</v>
      </c>
      <c r="Q607" s="27">
        <f t="shared" si="337"/>
        <v>0</v>
      </c>
    </row>
    <row r="608" spans="1:17" ht="35.25" customHeight="1" x14ac:dyDescent="0.25">
      <c r="A608" s="8" t="str">
        <f>D608</f>
        <v>РУ-1-14</v>
      </c>
      <c r="B608" s="4"/>
      <c r="C608" s="5"/>
      <c r="D608" s="4" t="s">
        <v>108</v>
      </c>
      <c r="E608" s="6"/>
      <c r="F608" s="6"/>
      <c r="G608" s="7"/>
      <c r="H608" s="8">
        <v>1</v>
      </c>
      <c r="I608" s="9" t="s">
        <v>9</v>
      </c>
      <c r="J608" s="4" t="s">
        <v>10</v>
      </c>
      <c r="K608" s="8" t="s">
        <v>107</v>
      </c>
      <c r="L608" s="8"/>
      <c r="M608" s="8"/>
      <c r="N608" s="8"/>
      <c r="O608" s="26">
        <f>H608</f>
        <v>1</v>
      </c>
      <c r="P608" s="26">
        <f>O608*H608</f>
        <v>1</v>
      </c>
      <c r="Q608" s="27">
        <f t="shared" si="337"/>
        <v>0</v>
      </c>
    </row>
    <row r="609" spans="1:17" ht="35.25" customHeight="1" x14ac:dyDescent="0.25">
      <c r="A609" s="13" t="str">
        <f t="shared" ref="A609:A615" si="338">A608</f>
        <v>РУ-1-14</v>
      </c>
      <c r="B609" s="10" t="s">
        <v>11</v>
      </c>
      <c r="C609" s="11" t="s">
        <v>170</v>
      </c>
      <c r="D609" s="10" t="s">
        <v>171</v>
      </c>
      <c r="E609" s="10">
        <v>145000</v>
      </c>
      <c r="F609" s="12">
        <f>0.6*E609</f>
        <v>87000</v>
      </c>
      <c r="G609" s="12">
        <f>F609*H609</f>
        <v>87000</v>
      </c>
      <c r="H609" s="13">
        <v>1</v>
      </c>
      <c r="I609" s="14" t="s">
        <v>12</v>
      </c>
      <c r="J609" s="10" t="s">
        <v>13</v>
      </c>
      <c r="K609" s="13" t="str">
        <f t="shared" ref="K609:K615" si="339">K608</f>
        <v>Блок14</v>
      </c>
      <c r="L609" s="13"/>
      <c r="M609" s="13"/>
      <c r="N609" s="13"/>
      <c r="O609" s="26">
        <f t="shared" ref="O609:O615" si="340">O608</f>
        <v>1</v>
      </c>
      <c r="P609" s="26">
        <f>O609*H609</f>
        <v>1</v>
      </c>
      <c r="Q609" s="27">
        <f t="shared" si="337"/>
        <v>87000</v>
      </c>
    </row>
    <row r="610" spans="1:17" ht="35.25" customHeight="1" x14ac:dyDescent="0.25">
      <c r="A610" s="13" t="str">
        <f t="shared" si="338"/>
        <v>РУ-1-14</v>
      </c>
      <c r="B610" s="10" t="s">
        <v>294</v>
      </c>
      <c r="C610" s="11" t="s">
        <v>225</v>
      </c>
      <c r="D610" s="10" t="s">
        <v>226</v>
      </c>
      <c r="E610" s="10">
        <v>17300</v>
      </c>
      <c r="F610" s="12">
        <f t="shared" ref="F610:F612" si="341">0.3*E610</f>
        <v>5190</v>
      </c>
      <c r="G610" s="12">
        <f>F610*H610</f>
        <v>10380</v>
      </c>
      <c r="H610" s="13">
        <v>2</v>
      </c>
      <c r="I610" s="14" t="s">
        <v>12</v>
      </c>
      <c r="J610" s="10" t="s">
        <v>207</v>
      </c>
      <c r="K610" s="13" t="str">
        <f t="shared" si="339"/>
        <v>Блок14</v>
      </c>
      <c r="L610" s="13"/>
      <c r="M610" s="13"/>
      <c r="N610" s="13"/>
      <c r="O610" s="26">
        <f t="shared" si="340"/>
        <v>1</v>
      </c>
      <c r="P610" s="26">
        <f>O610*H610</f>
        <v>2</v>
      </c>
      <c r="Q610" s="27">
        <f>P610*E610</f>
        <v>34600</v>
      </c>
    </row>
    <row r="611" spans="1:17" ht="35.25" customHeight="1" x14ac:dyDescent="0.25">
      <c r="A611" s="13" t="str">
        <f t="shared" si="338"/>
        <v>РУ-1-14</v>
      </c>
      <c r="B611" s="10" t="s">
        <v>294</v>
      </c>
      <c r="C611" s="11" t="s">
        <v>227</v>
      </c>
      <c r="D611" s="10" t="s">
        <v>228</v>
      </c>
      <c r="E611" s="10">
        <v>29990</v>
      </c>
      <c r="F611" s="12">
        <f t="shared" si="341"/>
        <v>8997</v>
      </c>
      <c r="G611" s="12">
        <f>F611*H611</f>
        <v>8997</v>
      </c>
      <c r="H611" s="13">
        <v>1</v>
      </c>
      <c r="I611" s="14" t="s">
        <v>12</v>
      </c>
      <c r="J611" s="10" t="s">
        <v>207</v>
      </c>
      <c r="K611" s="13" t="str">
        <f t="shared" si="339"/>
        <v>Блок14</v>
      </c>
      <c r="L611" s="13"/>
      <c r="M611" s="13"/>
      <c r="N611" s="13"/>
      <c r="O611" s="26">
        <f t="shared" si="340"/>
        <v>1</v>
      </c>
      <c r="P611" s="26">
        <f>O611*H611</f>
        <v>1</v>
      </c>
      <c r="Q611" s="27">
        <f>P611*E611</f>
        <v>29990</v>
      </c>
    </row>
    <row r="612" spans="1:17" ht="35.25" customHeight="1" x14ac:dyDescent="0.25">
      <c r="A612" s="13" t="str">
        <f t="shared" si="338"/>
        <v>РУ-1-14</v>
      </c>
      <c r="B612" s="10" t="s">
        <v>293</v>
      </c>
      <c r="C612" s="11" t="s">
        <v>217</v>
      </c>
      <c r="D612" s="10" t="s">
        <v>218</v>
      </c>
      <c r="E612" s="10">
        <v>7850</v>
      </c>
      <c r="F612" s="12">
        <f t="shared" si="341"/>
        <v>2355</v>
      </c>
      <c r="G612" s="12">
        <f>F612*H612</f>
        <v>4710</v>
      </c>
      <c r="H612" s="13">
        <v>2</v>
      </c>
      <c r="I612" s="14" t="s">
        <v>12</v>
      </c>
      <c r="J612" s="10" t="s">
        <v>207</v>
      </c>
      <c r="K612" s="13" t="str">
        <f t="shared" si="339"/>
        <v>Блок14</v>
      </c>
      <c r="L612" s="13"/>
      <c r="M612" s="13"/>
      <c r="N612" s="13"/>
      <c r="O612" s="26">
        <f t="shared" si="340"/>
        <v>1</v>
      </c>
      <c r="P612" s="26">
        <f>O612*H612</f>
        <v>2</v>
      </c>
      <c r="Q612" s="27">
        <f>P612*E612</f>
        <v>15700</v>
      </c>
    </row>
    <row r="613" spans="1:17" ht="35.25" customHeight="1" x14ac:dyDescent="0.25">
      <c r="A613" s="10" t="str">
        <f t="shared" si="338"/>
        <v>РУ-1-14</v>
      </c>
      <c r="B613" s="10" t="s">
        <v>19</v>
      </c>
      <c r="C613" s="11" t="s">
        <v>19</v>
      </c>
      <c r="D613" s="10" t="s">
        <v>19</v>
      </c>
      <c r="E613" s="10">
        <f ca="1">OFFSET(E613,1,2)</f>
        <v>27000</v>
      </c>
      <c r="F613" s="12">
        <f ca="1">E613</f>
        <v>27000</v>
      </c>
      <c r="G613" s="12">
        <f ca="1">F613*H613</f>
        <v>27000</v>
      </c>
      <c r="H613" s="10">
        <v>1</v>
      </c>
      <c r="I613" s="10" t="s">
        <v>12</v>
      </c>
      <c r="J613" s="10" t="s">
        <v>19</v>
      </c>
      <c r="K613" s="13" t="str">
        <f t="shared" si="339"/>
        <v>Блок14</v>
      </c>
      <c r="L613" s="13"/>
      <c r="M613" s="13"/>
      <c r="N613" s="13"/>
      <c r="O613" s="26">
        <f t="shared" si="340"/>
        <v>1</v>
      </c>
      <c r="P613" s="26">
        <f>O613*H613</f>
        <v>1</v>
      </c>
      <c r="Q613" s="27">
        <f ca="1">P613*F613</f>
        <v>27000</v>
      </c>
    </row>
    <row r="614" spans="1:17" ht="35.25" customHeight="1" x14ac:dyDescent="0.25">
      <c r="A614" s="10" t="str">
        <f t="shared" si="338"/>
        <v>РУ-1-14</v>
      </c>
      <c r="B614" s="10" t="s">
        <v>20</v>
      </c>
      <c r="C614" s="11" t="s">
        <v>20</v>
      </c>
      <c r="D614" s="10" t="s">
        <v>20</v>
      </c>
      <c r="E614" s="10">
        <v>4.5</v>
      </c>
      <c r="F614" s="12">
        <v>100</v>
      </c>
      <c r="G614" s="12">
        <f>F614*H614</f>
        <v>27000</v>
      </c>
      <c r="H614" s="10">
        <f>60*E614</f>
        <v>270</v>
      </c>
      <c r="I614" s="10" t="s">
        <v>12</v>
      </c>
      <c r="J614" s="10" t="s">
        <v>20</v>
      </c>
      <c r="K614" s="13" t="str">
        <f t="shared" si="339"/>
        <v>Блок14</v>
      </c>
      <c r="L614" s="13"/>
      <c r="M614" s="13"/>
      <c r="N614" s="13"/>
      <c r="O614" s="26">
        <f t="shared" si="340"/>
        <v>1</v>
      </c>
      <c r="P614" s="26">
        <f>O614*H614</f>
        <v>270</v>
      </c>
      <c r="Q614" s="27">
        <f>P614*F614</f>
        <v>27000</v>
      </c>
    </row>
    <row r="615" spans="1:17" ht="35.25" customHeight="1" x14ac:dyDescent="0.25">
      <c r="A615" s="15" t="str">
        <f t="shared" si="338"/>
        <v>РУ-1-14</v>
      </c>
      <c r="B615" s="15"/>
      <c r="C615" s="15"/>
      <c r="D615" s="16"/>
      <c r="E615" s="28"/>
      <c r="F615" s="12">
        <f t="shared" ref="F615" si="342">E615*0.55</f>
        <v>0</v>
      </c>
      <c r="G615" s="28">
        <f ca="1">SUM(G609:G614)</f>
        <v>165087</v>
      </c>
      <c r="H615" s="15"/>
      <c r="I615" s="19"/>
      <c r="J615" s="15"/>
      <c r="K615" s="13" t="str">
        <f t="shared" si="339"/>
        <v>Блок14</v>
      </c>
      <c r="L615" s="13"/>
      <c r="M615" s="13"/>
      <c r="N615" s="13"/>
      <c r="O615" s="26">
        <f t="shared" si="340"/>
        <v>1</v>
      </c>
      <c r="P615" s="26">
        <f>O615*H615</f>
        <v>0</v>
      </c>
      <c r="Q615" s="27">
        <f>P615*F615</f>
        <v>0</v>
      </c>
    </row>
    <row r="616" spans="1:17" ht="35.25" customHeight="1" x14ac:dyDescent="0.25">
      <c r="A616" s="8" t="str">
        <f>D616</f>
        <v>РУ-2-14</v>
      </c>
      <c r="B616" s="4"/>
      <c r="C616" s="5"/>
      <c r="D616" s="4" t="s">
        <v>109</v>
      </c>
      <c r="E616" s="6"/>
      <c r="F616" s="6"/>
      <c r="G616" s="7"/>
      <c r="H616" s="8">
        <v>1</v>
      </c>
      <c r="I616" s="9" t="s">
        <v>9</v>
      </c>
      <c r="J616" s="4" t="s">
        <v>10</v>
      </c>
      <c r="K616" s="8" t="s">
        <v>107</v>
      </c>
      <c r="L616" s="8"/>
      <c r="M616" s="8"/>
      <c r="N616" s="8"/>
      <c r="O616" s="26">
        <f>H616</f>
        <v>1</v>
      </c>
      <c r="P616" s="26">
        <f>O616*H616</f>
        <v>1</v>
      </c>
      <c r="Q616" s="27">
        <f>P616*F616</f>
        <v>0</v>
      </c>
    </row>
    <row r="617" spans="1:17" ht="35.25" customHeight="1" x14ac:dyDescent="0.25">
      <c r="A617" s="13" t="str">
        <f t="shared" ref="A617:A623" si="343">A616</f>
        <v>РУ-2-14</v>
      </c>
      <c r="B617" s="10" t="s">
        <v>11</v>
      </c>
      <c r="C617" s="11" t="s">
        <v>170</v>
      </c>
      <c r="D617" s="10" t="s">
        <v>171</v>
      </c>
      <c r="E617" s="10">
        <v>145000</v>
      </c>
      <c r="F617" s="12">
        <f>0.6*E617</f>
        <v>87000</v>
      </c>
      <c r="G617" s="12">
        <f>F617*H617</f>
        <v>87000</v>
      </c>
      <c r="H617" s="13">
        <v>1</v>
      </c>
      <c r="I617" s="14" t="s">
        <v>12</v>
      </c>
      <c r="J617" s="10" t="s">
        <v>13</v>
      </c>
      <c r="K617" s="13" t="str">
        <f t="shared" ref="K617:K623" si="344">K616</f>
        <v>Блок14</v>
      </c>
      <c r="L617" s="13"/>
      <c r="M617" s="13"/>
      <c r="N617" s="13"/>
      <c r="O617" s="26">
        <f t="shared" ref="O617:O623" si="345">O616</f>
        <v>1</v>
      </c>
      <c r="P617" s="26">
        <f>O617*H617</f>
        <v>1</v>
      </c>
      <c r="Q617" s="27">
        <f>P617*F617</f>
        <v>87000</v>
      </c>
    </row>
    <row r="618" spans="1:17" ht="35.25" customHeight="1" x14ac:dyDescent="0.25">
      <c r="A618" s="13" t="str">
        <f t="shared" si="343"/>
        <v>РУ-2-14</v>
      </c>
      <c r="B618" s="10" t="s">
        <v>294</v>
      </c>
      <c r="C618" s="11" t="s">
        <v>227</v>
      </c>
      <c r="D618" s="10" t="s">
        <v>228</v>
      </c>
      <c r="E618" s="10">
        <v>29990</v>
      </c>
      <c r="F618" s="12">
        <f t="shared" ref="F618:F620" si="346">0.3*E618</f>
        <v>8997</v>
      </c>
      <c r="G618" s="12">
        <f>F618*H618</f>
        <v>8997</v>
      </c>
      <c r="H618" s="13">
        <v>1</v>
      </c>
      <c r="I618" s="14" t="s">
        <v>12</v>
      </c>
      <c r="J618" s="10" t="s">
        <v>207</v>
      </c>
      <c r="K618" s="13" t="str">
        <f t="shared" si="344"/>
        <v>Блок14</v>
      </c>
      <c r="L618" s="13"/>
      <c r="M618" s="13"/>
      <c r="N618" s="13"/>
      <c r="O618" s="26">
        <f t="shared" si="345"/>
        <v>1</v>
      </c>
      <c r="P618" s="26">
        <f>O618*H618</f>
        <v>1</v>
      </c>
      <c r="Q618" s="27">
        <f>P618*E618</f>
        <v>29990</v>
      </c>
    </row>
    <row r="619" spans="1:17" ht="35.25" customHeight="1" x14ac:dyDescent="0.25">
      <c r="A619" s="13" t="str">
        <f t="shared" si="343"/>
        <v>РУ-2-14</v>
      </c>
      <c r="B619" s="10" t="s">
        <v>294</v>
      </c>
      <c r="C619" s="11" t="s">
        <v>211</v>
      </c>
      <c r="D619" s="10" t="s">
        <v>212</v>
      </c>
      <c r="E619" s="10">
        <v>16550</v>
      </c>
      <c r="F619" s="12">
        <f t="shared" si="346"/>
        <v>4965</v>
      </c>
      <c r="G619" s="12">
        <f>F619*H619</f>
        <v>14895</v>
      </c>
      <c r="H619" s="13">
        <v>3</v>
      </c>
      <c r="I619" s="14" t="s">
        <v>12</v>
      </c>
      <c r="J619" s="10" t="s">
        <v>207</v>
      </c>
      <c r="K619" s="13" t="str">
        <f t="shared" si="344"/>
        <v>Блок14</v>
      </c>
      <c r="L619" s="13"/>
      <c r="M619" s="13"/>
      <c r="N619" s="13"/>
      <c r="O619" s="26">
        <f t="shared" si="345"/>
        <v>1</v>
      </c>
      <c r="P619" s="26">
        <f>O619*H619</f>
        <v>3</v>
      </c>
      <c r="Q619" s="27">
        <f>P619*E619</f>
        <v>49650</v>
      </c>
    </row>
    <row r="620" spans="1:17" ht="35.25" customHeight="1" x14ac:dyDescent="0.25">
      <c r="A620" s="13" t="str">
        <f t="shared" si="343"/>
        <v>РУ-2-14</v>
      </c>
      <c r="B620" s="10" t="s">
        <v>294</v>
      </c>
      <c r="C620" s="11" t="s">
        <v>223</v>
      </c>
      <c r="D620" s="10" t="s">
        <v>224</v>
      </c>
      <c r="E620" s="10">
        <v>16550</v>
      </c>
      <c r="F620" s="12">
        <f t="shared" si="346"/>
        <v>4965</v>
      </c>
      <c r="G620" s="12">
        <f>F620*H620</f>
        <v>4965</v>
      </c>
      <c r="H620" s="13">
        <v>1</v>
      </c>
      <c r="I620" s="14" t="s">
        <v>12</v>
      </c>
      <c r="J620" s="10" t="s">
        <v>207</v>
      </c>
      <c r="K620" s="13" t="str">
        <f t="shared" si="344"/>
        <v>Блок14</v>
      </c>
      <c r="L620" s="13"/>
      <c r="M620" s="13"/>
      <c r="N620" s="13"/>
      <c r="O620" s="26">
        <f t="shared" si="345"/>
        <v>1</v>
      </c>
      <c r="P620" s="26">
        <f>O620*H620</f>
        <v>1</v>
      </c>
      <c r="Q620" s="27">
        <f>P620*E620</f>
        <v>16550</v>
      </c>
    </row>
    <row r="621" spans="1:17" ht="35.25" customHeight="1" x14ac:dyDescent="0.25">
      <c r="A621" s="10" t="str">
        <f t="shared" si="343"/>
        <v>РУ-2-14</v>
      </c>
      <c r="B621" s="10" t="s">
        <v>19</v>
      </c>
      <c r="C621" s="11" t="s">
        <v>19</v>
      </c>
      <c r="D621" s="10" t="s">
        <v>19</v>
      </c>
      <c r="E621" s="10">
        <f ca="1">OFFSET(E621,1,2)</f>
        <v>27000</v>
      </c>
      <c r="F621" s="12">
        <f ca="1">E621</f>
        <v>27000</v>
      </c>
      <c r="G621" s="12">
        <f ca="1">F621*H621</f>
        <v>27000</v>
      </c>
      <c r="H621" s="10">
        <v>1</v>
      </c>
      <c r="I621" s="10" t="s">
        <v>12</v>
      </c>
      <c r="J621" s="10" t="s">
        <v>19</v>
      </c>
      <c r="K621" s="13" t="str">
        <f t="shared" si="344"/>
        <v>Блок14</v>
      </c>
      <c r="L621" s="13"/>
      <c r="M621" s="13"/>
      <c r="N621" s="13"/>
      <c r="O621" s="26">
        <f t="shared" si="345"/>
        <v>1</v>
      </c>
      <c r="P621" s="26">
        <f>O621*H621</f>
        <v>1</v>
      </c>
      <c r="Q621" s="27">
        <f ca="1">P621*F621</f>
        <v>27000</v>
      </c>
    </row>
    <row r="622" spans="1:17" ht="35.25" customHeight="1" x14ac:dyDescent="0.25">
      <c r="A622" s="10" t="str">
        <f t="shared" si="343"/>
        <v>РУ-2-14</v>
      </c>
      <c r="B622" s="10" t="s">
        <v>20</v>
      </c>
      <c r="C622" s="11" t="s">
        <v>20</v>
      </c>
      <c r="D622" s="10" t="s">
        <v>20</v>
      </c>
      <c r="E622" s="10">
        <v>4.5</v>
      </c>
      <c r="F622" s="12">
        <v>100</v>
      </c>
      <c r="G622" s="12">
        <f>F622*H622</f>
        <v>27000</v>
      </c>
      <c r="H622" s="10">
        <f>60*E622</f>
        <v>270</v>
      </c>
      <c r="I622" s="10" t="s">
        <v>12</v>
      </c>
      <c r="J622" s="10" t="s">
        <v>20</v>
      </c>
      <c r="K622" s="13" t="str">
        <f t="shared" si="344"/>
        <v>Блок14</v>
      </c>
      <c r="L622" s="13"/>
      <c r="M622" s="13"/>
      <c r="N622" s="13"/>
      <c r="O622" s="26">
        <f t="shared" si="345"/>
        <v>1</v>
      </c>
      <c r="P622" s="26">
        <f>O622*H622</f>
        <v>270</v>
      </c>
      <c r="Q622" s="27">
        <f>P622*F622</f>
        <v>27000</v>
      </c>
    </row>
    <row r="623" spans="1:17" ht="35.25" customHeight="1" x14ac:dyDescent="0.25">
      <c r="A623" s="15" t="str">
        <f t="shared" si="343"/>
        <v>РУ-2-14</v>
      </c>
      <c r="B623" s="15"/>
      <c r="C623" s="15"/>
      <c r="D623" s="16"/>
      <c r="E623" s="28"/>
      <c r="F623" s="12">
        <f>E623*0.55</f>
        <v>0</v>
      </c>
      <c r="G623" s="28">
        <f ca="1">SUM(G617:G622)</f>
        <v>169857</v>
      </c>
      <c r="H623" s="15"/>
      <c r="I623" s="19"/>
      <c r="J623" s="15"/>
      <c r="K623" s="13" t="str">
        <f t="shared" si="344"/>
        <v>Блок14</v>
      </c>
      <c r="L623" s="13"/>
      <c r="M623" s="13"/>
      <c r="N623" s="13"/>
      <c r="O623" s="26">
        <f t="shared" si="345"/>
        <v>1</v>
      </c>
      <c r="P623" s="26">
        <f>O623*H623</f>
        <v>0</v>
      </c>
      <c r="Q623" s="27">
        <f>P623*F623</f>
        <v>0</v>
      </c>
    </row>
    <row r="624" spans="1:17" ht="35.25" customHeight="1" x14ac:dyDescent="0.25">
      <c r="A624" s="8" t="str">
        <f>D624</f>
        <v>ЩУР.МОП1-14</v>
      </c>
      <c r="B624" s="4"/>
      <c r="C624" s="5"/>
      <c r="D624" s="4" t="s">
        <v>110</v>
      </c>
      <c r="E624" s="6"/>
      <c r="F624" s="6"/>
      <c r="G624" s="7"/>
      <c r="H624" s="8">
        <v>1</v>
      </c>
      <c r="I624" s="9" t="s">
        <v>9</v>
      </c>
      <c r="J624" s="4" t="s">
        <v>10</v>
      </c>
      <c r="K624" s="8" t="s">
        <v>107</v>
      </c>
      <c r="L624" s="8"/>
      <c r="M624" s="8"/>
      <c r="N624" s="8"/>
      <c r="O624" s="26">
        <f>H624</f>
        <v>1</v>
      </c>
      <c r="P624" s="26">
        <f>O624*H624</f>
        <v>1</v>
      </c>
      <c r="Q624" s="27">
        <f>P624*F624</f>
        <v>0</v>
      </c>
    </row>
    <row r="625" spans="1:17" ht="35.25" customHeight="1" x14ac:dyDescent="0.25">
      <c r="A625" s="13" t="str">
        <f t="shared" ref="A625:A632" si="347">A624</f>
        <v>ЩУР.МОП1-14</v>
      </c>
      <c r="B625" s="10" t="s">
        <v>11</v>
      </c>
      <c r="C625" s="11" t="s">
        <v>328</v>
      </c>
      <c r="D625" s="10" t="s">
        <v>329</v>
      </c>
      <c r="E625" s="10">
        <v>27000</v>
      </c>
      <c r="F625" s="12">
        <f>0.6*E625</f>
        <v>16200</v>
      </c>
      <c r="G625" s="12">
        <f>F625*H625</f>
        <v>16200</v>
      </c>
      <c r="H625" s="13">
        <v>1</v>
      </c>
      <c r="I625" s="14" t="s">
        <v>12</v>
      </c>
      <c r="J625" s="10" t="s">
        <v>13</v>
      </c>
      <c r="K625" s="13" t="str">
        <f t="shared" ref="K625:K632" si="348">K624</f>
        <v>Блок14</v>
      </c>
      <c r="L625" s="13"/>
      <c r="M625" s="13"/>
      <c r="N625" s="13"/>
      <c r="O625" s="26">
        <f t="shared" ref="O625:O632" si="349">O624</f>
        <v>1</v>
      </c>
      <c r="P625" s="26">
        <f>O625*H625</f>
        <v>1</v>
      </c>
      <c r="Q625" s="27">
        <f>P625*F625</f>
        <v>16200</v>
      </c>
    </row>
    <row r="626" spans="1:17" ht="35.25" customHeight="1" x14ac:dyDescent="0.25">
      <c r="A626" s="13" t="str">
        <f t="shared" si="347"/>
        <v>ЩУР.МОП1-14</v>
      </c>
      <c r="B626" s="10" t="s">
        <v>293</v>
      </c>
      <c r="C626" s="11" t="s">
        <v>195</v>
      </c>
      <c r="D626" s="10" t="s">
        <v>196</v>
      </c>
      <c r="E626" s="10">
        <v>6190</v>
      </c>
      <c r="F626" s="12">
        <f t="shared" ref="F626:F628" si="350">0.3*E626</f>
        <v>1857</v>
      </c>
      <c r="G626" s="12">
        <f>F626*H626</f>
        <v>1857</v>
      </c>
      <c r="H626" s="13">
        <v>1</v>
      </c>
      <c r="I626" s="14" t="s">
        <v>12</v>
      </c>
      <c r="J626" s="10" t="s">
        <v>207</v>
      </c>
      <c r="K626" s="13" t="str">
        <f t="shared" si="348"/>
        <v>Блок14</v>
      </c>
      <c r="L626" s="13"/>
      <c r="M626" s="13"/>
      <c r="N626" s="13"/>
      <c r="O626" s="26">
        <f t="shared" si="349"/>
        <v>1</v>
      </c>
      <c r="P626" s="26">
        <f>O626*H626</f>
        <v>1</v>
      </c>
      <c r="Q626" s="27">
        <f>P626*E626</f>
        <v>6190</v>
      </c>
    </row>
    <row r="627" spans="1:17" ht="35.25" customHeight="1" x14ac:dyDescent="0.25">
      <c r="A627" s="13" t="str">
        <f t="shared" si="347"/>
        <v>ЩУР.МОП1-14</v>
      </c>
      <c r="B627" s="10" t="s">
        <v>293</v>
      </c>
      <c r="C627" s="11" t="s">
        <v>199</v>
      </c>
      <c r="D627" s="10" t="s">
        <v>200</v>
      </c>
      <c r="E627" s="10">
        <v>5950</v>
      </c>
      <c r="F627" s="12">
        <f t="shared" si="350"/>
        <v>1785</v>
      </c>
      <c r="G627" s="12">
        <f>F627*H627</f>
        <v>3570</v>
      </c>
      <c r="H627" s="13">
        <v>2</v>
      </c>
      <c r="I627" s="14" t="s">
        <v>12</v>
      </c>
      <c r="J627" s="10" t="s">
        <v>207</v>
      </c>
      <c r="K627" s="13" t="str">
        <f t="shared" si="348"/>
        <v>Блок14</v>
      </c>
      <c r="L627" s="13"/>
      <c r="M627" s="13"/>
      <c r="N627" s="13"/>
      <c r="O627" s="26">
        <f t="shared" si="349"/>
        <v>1</v>
      </c>
      <c r="P627" s="26">
        <f>O627*H627</f>
        <v>2</v>
      </c>
      <c r="Q627" s="27">
        <f>P627*E627</f>
        <v>11900</v>
      </c>
    </row>
    <row r="628" spans="1:17" ht="35.25" customHeight="1" x14ac:dyDescent="0.25">
      <c r="A628" s="13" t="str">
        <f t="shared" si="347"/>
        <v>ЩУР.МОП1-14</v>
      </c>
      <c r="B628" s="10" t="s">
        <v>293</v>
      </c>
      <c r="C628" s="11" t="s">
        <v>193</v>
      </c>
      <c r="D628" s="10" t="s">
        <v>194</v>
      </c>
      <c r="E628" s="10">
        <v>6580</v>
      </c>
      <c r="F628" s="12">
        <f t="shared" si="350"/>
        <v>1974</v>
      </c>
      <c r="G628" s="12">
        <f>F628*H628</f>
        <v>3948</v>
      </c>
      <c r="H628" s="13">
        <v>2</v>
      </c>
      <c r="I628" s="14" t="s">
        <v>12</v>
      </c>
      <c r="J628" s="10" t="s">
        <v>207</v>
      </c>
      <c r="K628" s="13" t="str">
        <f t="shared" si="348"/>
        <v>Блок14</v>
      </c>
      <c r="L628" s="13"/>
      <c r="M628" s="13"/>
      <c r="N628" s="13"/>
      <c r="O628" s="26">
        <f t="shared" si="349"/>
        <v>1</v>
      </c>
      <c r="P628" s="26">
        <f>O628*H628</f>
        <v>2</v>
      </c>
      <c r="Q628" s="27">
        <f>P628*E628</f>
        <v>13160</v>
      </c>
    </row>
    <row r="629" spans="1:17" ht="35.25" customHeight="1" x14ac:dyDescent="0.25">
      <c r="A629" s="13" t="str">
        <f t="shared" si="347"/>
        <v>ЩУР.МОП1-14</v>
      </c>
      <c r="B629" s="10" t="s">
        <v>15</v>
      </c>
      <c r="C629" s="11" t="s">
        <v>299</v>
      </c>
      <c r="D629" s="10" t="s">
        <v>300</v>
      </c>
      <c r="E629" s="10">
        <v>32400</v>
      </c>
      <c r="F629" s="12">
        <f>E629</f>
        <v>32400</v>
      </c>
      <c r="G629" s="12">
        <f>F629*H629</f>
        <v>32400</v>
      </c>
      <c r="H629" s="13">
        <v>1</v>
      </c>
      <c r="I629" s="14" t="s">
        <v>12</v>
      </c>
      <c r="J629" s="10" t="s">
        <v>16</v>
      </c>
      <c r="K629" s="13" t="str">
        <f t="shared" si="348"/>
        <v>Блок14</v>
      </c>
      <c r="L629" s="13"/>
      <c r="M629" s="13"/>
      <c r="N629" s="13"/>
      <c r="O629" s="26">
        <f t="shared" si="349"/>
        <v>1</v>
      </c>
      <c r="P629" s="26">
        <f>O629*H629</f>
        <v>1</v>
      </c>
      <c r="Q629" s="27">
        <f t="shared" ref="Q629:Q635" si="351">P629*F629</f>
        <v>32400</v>
      </c>
    </row>
    <row r="630" spans="1:17" ht="35.25" customHeight="1" x14ac:dyDescent="0.25">
      <c r="A630" s="10" t="str">
        <f t="shared" si="347"/>
        <v>ЩУР.МОП1-14</v>
      </c>
      <c r="B630" s="10" t="s">
        <v>19</v>
      </c>
      <c r="C630" s="11" t="s">
        <v>19</v>
      </c>
      <c r="D630" s="10" t="s">
        <v>19</v>
      </c>
      <c r="E630" s="10">
        <f ca="1">OFFSET(E630,1,2)</f>
        <v>12000</v>
      </c>
      <c r="F630" s="12">
        <f ca="1">E630</f>
        <v>12000</v>
      </c>
      <c r="G630" s="12">
        <f ca="1">F630*H630</f>
        <v>12000</v>
      </c>
      <c r="H630" s="10">
        <v>1</v>
      </c>
      <c r="I630" s="10" t="s">
        <v>12</v>
      </c>
      <c r="J630" s="10" t="s">
        <v>19</v>
      </c>
      <c r="K630" s="13" t="str">
        <f t="shared" si="348"/>
        <v>Блок14</v>
      </c>
      <c r="L630" s="13"/>
      <c r="M630" s="13"/>
      <c r="N630" s="13"/>
      <c r="O630" s="26">
        <f t="shared" si="349"/>
        <v>1</v>
      </c>
      <c r="P630" s="26">
        <f>O630*H630</f>
        <v>1</v>
      </c>
      <c r="Q630" s="27">
        <f t="shared" ca="1" si="351"/>
        <v>12000</v>
      </c>
    </row>
    <row r="631" spans="1:17" ht="35.25" customHeight="1" x14ac:dyDescent="0.25">
      <c r="A631" s="10" t="str">
        <f t="shared" si="347"/>
        <v>ЩУР.МОП1-14</v>
      </c>
      <c r="B631" s="10" t="s">
        <v>20</v>
      </c>
      <c r="C631" s="11" t="s">
        <v>20</v>
      </c>
      <c r="D631" s="10" t="s">
        <v>20</v>
      </c>
      <c r="E631" s="10">
        <v>2</v>
      </c>
      <c r="F631" s="12">
        <v>100</v>
      </c>
      <c r="G631" s="12">
        <f>F631*H631</f>
        <v>12000</v>
      </c>
      <c r="H631" s="10">
        <f>60*E631</f>
        <v>120</v>
      </c>
      <c r="I631" s="10" t="s">
        <v>12</v>
      </c>
      <c r="J631" s="10" t="s">
        <v>20</v>
      </c>
      <c r="K631" s="13" t="str">
        <f t="shared" si="348"/>
        <v>Блок14</v>
      </c>
      <c r="L631" s="13"/>
      <c r="M631" s="13"/>
      <c r="N631" s="13"/>
      <c r="O631" s="26">
        <f t="shared" si="349"/>
        <v>1</v>
      </c>
      <c r="P631" s="26">
        <f>O631*H631</f>
        <v>120</v>
      </c>
      <c r="Q631" s="27">
        <f t="shared" si="351"/>
        <v>12000</v>
      </c>
    </row>
    <row r="632" spans="1:17" ht="35.25" customHeight="1" x14ac:dyDescent="0.25">
      <c r="A632" s="15" t="str">
        <f t="shared" si="347"/>
        <v>ЩУР.МОП1-14</v>
      </c>
      <c r="B632" s="15"/>
      <c r="C632" s="15"/>
      <c r="D632" s="16"/>
      <c r="E632" s="28"/>
      <c r="F632" s="12">
        <f>E632*0.55</f>
        <v>0</v>
      </c>
      <c r="G632" s="28">
        <f ca="1">SUM(G625:G631)</f>
        <v>81975</v>
      </c>
      <c r="H632" s="15"/>
      <c r="I632" s="19"/>
      <c r="J632" s="15"/>
      <c r="K632" s="13" t="str">
        <f t="shared" si="348"/>
        <v>Блок14</v>
      </c>
      <c r="L632" s="13"/>
      <c r="M632" s="13"/>
      <c r="N632" s="13"/>
      <c r="O632" s="26">
        <f t="shared" si="349"/>
        <v>1</v>
      </c>
      <c r="P632" s="26">
        <f>O632*H632</f>
        <v>0</v>
      </c>
      <c r="Q632" s="27">
        <f t="shared" si="351"/>
        <v>0</v>
      </c>
    </row>
    <row r="633" spans="1:17" ht="35.25" customHeight="1" x14ac:dyDescent="0.25">
      <c r="A633" s="8" t="str">
        <f>D633</f>
        <v>РЩ1-14 (АВР-Б-40-2-1)</v>
      </c>
      <c r="B633" s="4"/>
      <c r="C633" s="5"/>
      <c r="D633" s="4" t="s">
        <v>147</v>
      </c>
      <c r="E633" s="6"/>
      <c r="F633" s="6"/>
      <c r="G633" s="7"/>
      <c r="H633" s="8">
        <v>1</v>
      </c>
      <c r="I633" s="9" t="s">
        <v>9</v>
      </c>
      <c r="J633" s="4" t="s">
        <v>10</v>
      </c>
      <c r="K633" s="8" t="s">
        <v>107</v>
      </c>
      <c r="L633" s="8"/>
      <c r="M633" s="8"/>
      <c r="N633" s="8"/>
      <c r="O633" s="26">
        <f>H633</f>
        <v>1</v>
      </c>
      <c r="P633" s="26">
        <f>O633*H633</f>
        <v>1</v>
      </c>
      <c r="Q633" s="27">
        <f t="shared" si="351"/>
        <v>0</v>
      </c>
    </row>
    <row r="634" spans="1:17" ht="35.25" customHeight="1" x14ac:dyDescent="0.25">
      <c r="A634" s="13" t="str">
        <f t="shared" ref="A634:A645" si="352">A633</f>
        <v>РЩ1-14 (АВР-Б-40-2-1)</v>
      </c>
      <c r="B634" s="10" t="s">
        <v>11</v>
      </c>
      <c r="C634" s="11" t="s">
        <v>168</v>
      </c>
      <c r="D634" s="10" t="s">
        <v>169</v>
      </c>
      <c r="E634" s="10">
        <v>130000</v>
      </c>
      <c r="F634" s="12">
        <f t="shared" ref="F634:F635" si="353">0.6*E634</f>
        <v>78000</v>
      </c>
      <c r="G634" s="12">
        <f>F634*H634</f>
        <v>78000</v>
      </c>
      <c r="H634" s="13">
        <v>1</v>
      </c>
      <c r="I634" s="14" t="s">
        <v>12</v>
      </c>
      <c r="J634" s="10" t="s">
        <v>13</v>
      </c>
      <c r="K634" s="13" t="str">
        <f t="shared" ref="K634:K645" si="354">K633</f>
        <v>Блок14</v>
      </c>
      <c r="L634" s="13"/>
      <c r="M634" s="13"/>
      <c r="N634" s="13"/>
      <c r="O634" s="26">
        <f t="shared" ref="O634:O645" si="355">O633</f>
        <v>1</v>
      </c>
      <c r="P634" s="26">
        <f>O634*H634</f>
        <v>1</v>
      </c>
      <c r="Q634" s="27">
        <f t="shared" si="351"/>
        <v>78000</v>
      </c>
    </row>
    <row r="635" spans="1:17" ht="35.25" customHeight="1" x14ac:dyDescent="0.25">
      <c r="A635" s="13" t="str">
        <f t="shared" si="352"/>
        <v>РЩ1-14 (АВР-Б-40-2-1)</v>
      </c>
      <c r="B635" s="10" t="s">
        <v>44</v>
      </c>
      <c r="C635" s="11" t="s">
        <v>162</v>
      </c>
      <c r="D635" s="10" t="s">
        <v>163</v>
      </c>
      <c r="E635" s="10">
        <v>114758</v>
      </c>
      <c r="F635" s="12">
        <f t="shared" si="353"/>
        <v>68854.8</v>
      </c>
      <c r="G635" s="12">
        <f>F635*H635</f>
        <v>68854.8</v>
      </c>
      <c r="H635" s="13">
        <v>1</v>
      </c>
      <c r="I635" s="14" t="s">
        <v>12</v>
      </c>
      <c r="J635" s="10" t="s">
        <v>14</v>
      </c>
      <c r="K635" s="13" t="str">
        <f t="shared" si="354"/>
        <v>Блок14</v>
      </c>
      <c r="L635" s="13"/>
      <c r="M635" s="13"/>
      <c r="N635" s="13"/>
      <c r="O635" s="26">
        <f t="shared" si="355"/>
        <v>1</v>
      </c>
      <c r="P635" s="26">
        <f>O635*H635</f>
        <v>1</v>
      </c>
      <c r="Q635" s="27">
        <f t="shared" si="351"/>
        <v>68854.8</v>
      </c>
    </row>
    <row r="636" spans="1:17" ht="35.25" customHeight="1" x14ac:dyDescent="0.25">
      <c r="A636" s="13" t="str">
        <f t="shared" si="352"/>
        <v>РЩ1-14 (АВР-Б-40-2-1)</v>
      </c>
      <c r="B636" s="10" t="s">
        <v>293</v>
      </c>
      <c r="C636" s="11" t="s">
        <v>213</v>
      </c>
      <c r="D636" s="10" t="s">
        <v>214</v>
      </c>
      <c r="E636" s="10">
        <v>7690</v>
      </c>
      <c r="F636" s="12">
        <f t="shared" ref="F636:F638" si="356">0.3*E636</f>
        <v>2307</v>
      </c>
      <c r="G636" s="12">
        <f>F636*H636</f>
        <v>4614</v>
      </c>
      <c r="H636" s="13">
        <v>2</v>
      </c>
      <c r="I636" s="14" t="s">
        <v>12</v>
      </c>
      <c r="J636" s="10" t="s">
        <v>207</v>
      </c>
      <c r="K636" s="13" t="str">
        <f t="shared" si="354"/>
        <v>Блок14</v>
      </c>
      <c r="L636" s="13"/>
      <c r="M636" s="13"/>
      <c r="N636" s="13"/>
      <c r="O636" s="26">
        <f t="shared" si="355"/>
        <v>1</v>
      </c>
      <c r="P636" s="26">
        <f>O636*H636</f>
        <v>2</v>
      </c>
      <c r="Q636" s="27">
        <f>P636*E636</f>
        <v>15380</v>
      </c>
    </row>
    <row r="637" spans="1:17" ht="35.25" customHeight="1" x14ac:dyDescent="0.25">
      <c r="A637" s="13" t="str">
        <f t="shared" si="352"/>
        <v>РЩ1-14 (АВР-Б-40-2-1)</v>
      </c>
      <c r="B637" s="10" t="s">
        <v>293</v>
      </c>
      <c r="C637" s="11" t="s">
        <v>231</v>
      </c>
      <c r="D637" s="10" t="s">
        <v>232</v>
      </c>
      <c r="E637" s="10">
        <v>7690</v>
      </c>
      <c r="F637" s="12">
        <f t="shared" si="356"/>
        <v>2307</v>
      </c>
      <c r="G637" s="12">
        <f>F637*H637</f>
        <v>4614</v>
      </c>
      <c r="H637" s="13">
        <v>2</v>
      </c>
      <c r="I637" s="14" t="s">
        <v>12</v>
      </c>
      <c r="J637" s="10" t="s">
        <v>207</v>
      </c>
      <c r="K637" s="13" t="str">
        <f t="shared" si="354"/>
        <v>Блок14</v>
      </c>
      <c r="L637" s="13"/>
      <c r="M637" s="13"/>
      <c r="N637" s="13"/>
      <c r="O637" s="26">
        <f t="shared" si="355"/>
        <v>1</v>
      </c>
      <c r="P637" s="26">
        <f>O637*H637</f>
        <v>2</v>
      </c>
      <c r="Q637" s="27">
        <f>P637*E637</f>
        <v>15380</v>
      </c>
    </row>
    <row r="638" spans="1:17" ht="35.25" customHeight="1" x14ac:dyDescent="0.25">
      <c r="A638" s="13" t="str">
        <f t="shared" si="352"/>
        <v>РЩ1-14 (АВР-Б-40-2-1)</v>
      </c>
      <c r="B638" s="10" t="s">
        <v>294</v>
      </c>
      <c r="C638" s="11" t="s">
        <v>203</v>
      </c>
      <c r="D638" s="10" t="s">
        <v>204</v>
      </c>
      <c r="E638" s="10">
        <v>13450</v>
      </c>
      <c r="F638" s="12">
        <f t="shared" si="356"/>
        <v>4035</v>
      </c>
      <c r="G638" s="12">
        <f>F638*H638</f>
        <v>8070</v>
      </c>
      <c r="H638" s="13">
        <v>2</v>
      </c>
      <c r="I638" s="14" t="s">
        <v>12</v>
      </c>
      <c r="J638" s="10" t="s">
        <v>207</v>
      </c>
      <c r="K638" s="13" t="str">
        <f t="shared" si="354"/>
        <v>Блок14</v>
      </c>
      <c r="L638" s="13"/>
      <c r="M638" s="13"/>
      <c r="N638" s="13"/>
      <c r="O638" s="26">
        <f t="shared" si="355"/>
        <v>1</v>
      </c>
      <c r="P638" s="26">
        <f>O638*H638</f>
        <v>2</v>
      </c>
      <c r="Q638" s="27">
        <f>P638*E638</f>
        <v>26900</v>
      </c>
    </row>
    <row r="639" spans="1:17" ht="35.25" customHeight="1" x14ac:dyDescent="0.25">
      <c r="A639" s="13" t="str">
        <f t="shared" si="352"/>
        <v>РЩ1-14 (АВР-Б-40-2-1)</v>
      </c>
      <c r="B639" s="10" t="s">
        <v>18</v>
      </c>
      <c r="C639" s="11" t="s">
        <v>233</v>
      </c>
      <c r="D639" s="10" t="s">
        <v>234</v>
      </c>
      <c r="E639" s="10">
        <v>5884</v>
      </c>
      <c r="F639" s="12">
        <f>0.6*E639</f>
        <v>3530.4</v>
      </c>
      <c r="G639" s="12">
        <f>F639*H639</f>
        <v>3530.4</v>
      </c>
      <c r="H639" s="13">
        <v>1</v>
      </c>
      <c r="I639" s="14" t="s">
        <v>12</v>
      </c>
      <c r="J639" s="10" t="s">
        <v>14</v>
      </c>
      <c r="K639" s="13" t="str">
        <f t="shared" si="354"/>
        <v>Блок14</v>
      </c>
      <c r="L639" s="13"/>
      <c r="M639" s="13"/>
      <c r="N639" s="13"/>
      <c r="O639" s="26">
        <f t="shared" si="355"/>
        <v>1</v>
      </c>
      <c r="P639" s="26">
        <f>O639*H639</f>
        <v>1</v>
      </c>
      <c r="Q639" s="27">
        <f>P639*F639</f>
        <v>3530.4</v>
      </c>
    </row>
    <row r="640" spans="1:17" ht="35.25" customHeight="1" x14ac:dyDescent="0.25">
      <c r="A640" s="13" t="str">
        <f t="shared" si="352"/>
        <v>РЩ1-14 (АВР-Б-40-2-1)</v>
      </c>
      <c r="B640" s="10" t="s">
        <v>293</v>
      </c>
      <c r="C640" s="11" t="s">
        <v>205</v>
      </c>
      <c r="D640" s="10" t="s">
        <v>206</v>
      </c>
      <c r="E640" s="10">
        <v>7090</v>
      </c>
      <c r="F640" s="12">
        <f>0.3*E640</f>
        <v>2127</v>
      </c>
      <c r="G640" s="12">
        <f>F640*H640</f>
        <v>2127</v>
      </c>
      <c r="H640" s="13">
        <v>1</v>
      </c>
      <c r="I640" s="14" t="s">
        <v>12</v>
      </c>
      <c r="J640" s="10" t="s">
        <v>207</v>
      </c>
      <c r="K640" s="13" t="str">
        <f t="shared" si="354"/>
        <v>Блок14</v>
      </c>
      <c r="L640" s="13"/>
      <c r="M640" s="13"/>
      <c r="N640" s="13"/>
      <c r="O640" s="26">
        <f t="shared" si="355"/>
        <v>1</v>
      </c>
      <c r="P640" s="26">
        <f>O640*H640</f>
        <v>1</v>
      </c>
      <c r="Q640" s="27">
        <f>P640*E640</f>
        <v>7090</v>
      </c>
    </row>
    <row r="641" spans="1:17" ht="35.25" customHeight="1" x14ac:dyDescent="0.25">
      <c r="A641" s="13" t="str">
        <f t="shared" si="352"/>
        <v>РЩ1-14 (АВР-Б-40-2-1)</v>
      </c>
      <c r="B641" s="10" t="s">
        <v>15</v>
      </c>
      <c r="C641" s="11" t="s">
        <v>299</v>
      </c>
      <c r="D641" s="10" t="s">
        <v>300</v>
      </c>
      <c r="E641" s="10">
        <v>32400</v>
      </c>
      <c r="F641" s="12">
        <f>E641</f>
        <v>32400</v>
      </c>
      <c r="G641" s="12">
        <f>F641*H641</f>
        <v>32400</v>
      </c>
      <c r="H641" s="13">
        <v>1</v>
      </c>
      <c r="I641" s="14" t="s">
        <v>12</v>
      </c>
      <c r="J641" s="10" t="s">
        <v>16</v>
      </c>
      <c r="K641" s="13" t="str">
        <f t="shared" si="354"/>
        <v>Блок14</v>
      </c>
      <c r="L641" s="13"/>
      <c r="M641" s="13"/>
      <c r="N641" s="13"/>
      <c r="O641" s="26">
        <f t="shared" si="355"/>
        <v>1</v>
      </c>
      <c r="P641" s="26">
        <f>O641*H641</f>
        <v>1</v>
      </c>
      <c r="Q641" s="27">
        <f t="shared" ref="Q641:Q653" si="357">P641*F641</f>
        <v>32400</v>
      </c>
    </row>
    <row r="642" spans="1:17" ht="35.25" customHeight="1" x14ac:dyDescent="0.25">
      <c r="A642" s="13" t="str">
        <f t="shared" si="352"/>
        <v>РЩ1-14 (АВР-Б-40-2-1)</v>
      </c>
      <c r="B642" s="10" t="s">
        <v>30</v>
      </c>
      <c r="C642" s="11"/>
      <c r="D642" s="10" t="s">
        <v>31</v>
      </c>
      <c r="E642" s="10">
        <v>3850</v>
      </c>
      <c r="F642" s="12">
        <f>E642</f>
        <v>3850</v>
      </c>
      <c r="G642" s="12">
        <f>F642*H642</f>
        <v>23100</v>
      </c>
      <c r="H642" s="13">
        <v>6</v>
      </c>
      <c r="I642" s="14" t="s">
        <v>12</v>
      </c>
      <c r="J642" s="10" t="s">
        <v>25</v>
      </c>
      <c r="K642" s="13" t="str">
        <f t="shared" si="354"/>
        <v>Блок14</v>
      </c>
      <c r="L642" s="13"/>
      <c r="M642" s="13"/>
      <c r="N642" s="13"/>
      <c r="O642" s="26">
        <f t="shared" si="355"/>
        <v>1</v>
      </c>
      <c r="P642" s="26">
        <f>O642*H642</f>
        <v>6</v>
      </c>
      <c r="Q642" s="27">
        <f t="shared" si="357"/>
        <v>23100</v>
      </c>
    </row>
    <row r="643" spans="1:17" ht="35.25" customHeight="1" x14ac:dyDescent="0.25">
      <c r="A643" s="10" t="str">
        <f t="shared" si="352"/>
        <v>РЩ1-14 (АВР-Б-40-2-1)</v>
      </c>
      <c r="B643" s="10" t="s">
        <v>19</v>
      </c>
      <c r="C643" s="11" t="s">
        <v>19</v>
      </c>
      <c r="D643" s="10" t="s">
        <v>19</v>
      </c>
      <c r="E643" s="10">
        <f ca="1">OFFSET(E643,1,2)</f>
        <v>39000</v>
      </c>
      <c r="F643" s="12">
        <f ca="1">E643</f>
        <v>39000</v>
      </c>
      <c r="G643" s="12">
        <f ca="1">F643*H643</f>
        <v>39000</v>
      </c>
      <c r="H643" s="10">
        <v>1</v>
      </c>
      <c r="I643" s="10" t="s">
        <v>12</v>
      </c>
      <c r="J643" s="10" t="s">
        <v>19</v>
      </c>
      <c r="K643" s="13" t="str">
        <f t="shared" si="354"/>
        <v>Блок14</v>
      </c>
      <c r="L643" s="13"/>
      <c r="M643" s="13"/>
      <c r="N643" s="13"/>
      <c r="O643" s="26">
        <f t="shared" si="355"/>
        <v>1</v>
      </c>
      <c r="P643" s="26">
        <f>O643*H643</f>
        <v>1</v>
      </c>
      <c r="Q643" s="27">
        <f t="shared" ca="1" si="357"/>
        <v>39000</v>
      </c>
    </row>
    <row r="644" spans="1:17" ht="35.25" customHeight="1" x14ac:dyDescent="0.25">
      <c r="A644" s="10" t="str">
        <f t="shared" si="352"/>
        <v>РЩ1-14 (АВР-Б-40-2-1)</v>
      </c>
      <c r="B644" s="10" t="s">
        <v>20</v>
      </c>
      <c r="C644" s="11" t="s">
        <v>20</v>
      </c>
      <c r="D644" s="10" t="s">
        <v>20</v>
      </c>
      <c r="E644" s="10">
        <v>6.5</v>
      </c>
      <c r="F644" s="12">
        <v>100</v>
      </c>
      <c r="G644" s="12">
        <f>F644*H644</f>
        <v>39000</v>
      </c>
      <c r="H644" s="10">
        <f>60*E644</f>
        <v>390</v>
      </c>
      <c r="I644" s="10" t="s">
        <v>12</v>
      </c>
      <c r="J644" s="10" t="s">
        <v>20</v>
      </c>
      <c r="K644" s="13" t="str">
        <f t="shared" si="354"/>
        <v>Блок14</v>
      </c>
      <c r="L644" s="13"/>
      <c r="M644" s="13"/>
      <c r="N644" s="13"/>
      <c r="O644" s="26">
        <f t="shared" si="355"/>
        <v>1</v>
      </c>
      <c r="P644" s="26">
        <f>O644*H644</f>
        <v>390</v>
      </c>
      <c r="Q644" s="27">
        <f t="shared" si="357"/>
        <v>39000</v>
      </c>
    </row>
    <row r="645" spans="1:17" ht="35.25" customHeight="1" x14ac:dyDescent="0.25">
      <c r="A645" s="15" t="str">
        <f t="shared" si="352"/>
        <v>РЩ1-14 (АВР-Б-40-2-1)</v>
      </c>
      <c r="B645" s="15"/>
      <c r="C645" s="15"/>
      <c r="D645" s="16"/>
      <c r="E645" s="28"/>
      <c r="F645" s="12">
        <f>E645*0.55</f>
        <v>0</v>
      </c>
      <c r="G645" s="28">
        <f ca="1">SUM(G634:G644)</f>
        <v>303310.19999999995</v>
      </c>
      <c r="H645" s="15"/>
      <c r="I645" s="19"/>
      <c r="J645" s="15"/>
      <c r="K645" s="13" t="str">
        <f t="shared" si="354"/>
        <v>Блок14</v>
      </c>
      <c r="L645" s="13"/>
      <c r="M645" s="13"/>
      <c r="N645" s="13"/>
      <c r="O645" s="26">
        <f t="shared" si="355"/>
        <v>1</v>
      </c>
      <c r="P645" s="26">
        <f>O645*H645</f>
        <v>0</v>
      </c>
      <c r="Q645" s="27">
        <f t="shared" si="357"/>
        <v>0</v>
      </c>
    </row>
    <row r="646" spans="1:17" ht="35.25" customHeight="1" x14ac:dyDescent="0.25">
      <c r="A646" s="8" t="str">
        <f>D646</f>
        <v>ЩРп c</v>
      </c>
      <c r="B646" s="4"/>
      <c r="C646" s="5"/>
      <c r="D646" s="4" t="s">
        <v>152</v>
      </c>
      <c r="E646" s="6"/>
      <c r="F646" s="6"/>
      <c r="G646" s="7"/>
      <c r="H646" s="8">
        <v>1</v>
      </c>
      <c r="I646" s="9" t="s">
        <v>9</v>
      </c>
      <c r="J646" s="4" t="s">
        <v>10</v>
      </c>
      <c r="K646" s="8" t="s">
        <v>111</v>
      </c>
      <c r="L646" s="8"/>
      <c r="M646" s="8"/>
      <c r="N646" s="8"/>
      <c r="O646" s="26">
        <f>H646</f>
        <v>1</v>
      </c>
      <c r="P646" s="26">
        <f>O646*H646</f>
        <v>1</v>
      </c>
      <c r="Q646" s="27">
        <f t="shared" si="357"/>
        <v>0</v>
      </c>
    </row>
    <row r="647" spans="1:17" ht="35.25" customHeight="1" x14ac:dyDescent="0.25">
      <c r="A647" s="13" t="str">
        <f t="shared" ref="A647:A673" si="358">A646</f>
        <v>ЩРп c</v>
      </c>
      <c r="B647" s="10" t="s">
        <v>11</v>
      </c>
      <c r="C647" s="11" t="s">
        <v>247</v>
      </c>
      <c r="D647" s="10" t="s">
        <v>248</v>
      </c>
      <c r="E647" s="10">
        <v>156500</v>
      </c>
      <c r="F647" s="12">
        <f>0.6*E647</f>
        <v>93900</v>
      </c>
      <c r="G647" s="12">
        <f>F647*H647</f>
        <v>93900</v>
      </c>
      <c r="H647" s="13">
        <v>1</v>
      </c>
      <c r="I647" s="14" t="s">
        <v>12</v>
      </c>
      <c r="J647" s="10" t="s">
        <v>13</v>
      </c>
      <c r="K647" s="13" t="str">
        <f t="shared" ref="K647:K673" si="359">K646</f>
        <v>Блок15</v>
      </c>
      <c r="L647" s="13"/>
      <c r="M647" s="13"/>
      <c r="N647" s="13"/>
      <c r="O647" s="26">
        <f t="shared" ref="O647:O673" si="360">O646</f>
        <v>1</v>
      </c>
      <c r="P647" s="26">
        <f>O647*H647</f>
        <v>1</v>
      </c>
      <c r="Q647" s="27">
        <f t="shared" si="357"/>
        <v>93900</v>
      </c>
    </row>
    <row r="648" spans="1:17" ht="35.25" customHeight="1" x14ac:dyDescent="0.25">
      <c r="A648" s="13" t="str">
        <f>A646</f>
        <v>ЩРп c</v>
      </c>
      <c r="B648" s="10" t="s">
        <v>249</v>
      </c>
      <c r="C648" s="11" t="s">
        <v>250</v>
      </c>
      <c r="D648" s="10" t="s">
        <v>251</v>
      </c>
      <c r="E648" s="10">
        <v>4806</v>
      </c>
      <c r="F648" s="12">
        <f t="shared" ref="F648:F649" si="361">E648</f>
        <v>4806</v>
      </c>
      <c r="G648" s="12">
        <f>F648*H648</f>
        <v>4806</v>
      </c>
      <c r="H648" s="13">
        <v>1</v>
      </c>
      <c r="I648" s="14" t="s">
        <v>12</v>
      </c>
      <c r="J648" s="10" t="s">
        <v>25</v>
      </c>
      <c r="K648" s="13" t="s">
        <v>111</v>
      </c>
      <c r="L648" s="13"/>
      <c r="M648" s="13"/>
      <c r="N648" s="13"/>
      <c r="O648" s="26">
        <f>O646</f>
        <v>1</v>
      </c>
      <c r="P648" s="26">
        <f>O648*H648</f>
        <v>1</v>
      </c>
      <c r="Q648" s="27">
        <f t="shared" si="357"/>
        <v>4806</v>
      </c>
    </row>
    <row r="649" spans="1:17" ht="35.25" customHeight="1" x14ac:dyDescent="0.25">
      <c r="A649" s="13" t="str">
        <f>A647</f>
        <v>ЩРп c</v>
      </c>
      <c r="B649" s="10" t="s">
        <v>252</v>
      </c>
      <c r="C649" s="11" t="s">
        <v>253</v>
      </c>
      <c r="D649" s="10" t="s">
        <v>254</v>
      </c>
      <c r="E649" s="10">
        <v>9000</v>
      </c>
      <c r="F649" s="12">
        <f t="shared" si="361"/>
        <v>9000</v>
      </c>
      <c r="G649" s="12">
        <f>F649*H649</f>
        <v>9000</v>
      </c>
      <c r="H649" s="13">
        <v>1</v>
      </c>
      <c r="I649" s="14" t="s">
        <v>12</v>
      </c>
      <c r="J649" s="10" t="s">
        <v>25</v>
      </c>
      <c r="K649" s="13" t="s">
        <v>111</v>
      </c>
      <c r="L649" s="13"/>
      <c r="M649" s="13"/>
      <c r="N649" s="13"/>
      <c r="O649" s="26">
        <f>O647</f>
        <v>1</v>
      </c>
      <c r="P649" s="26">
        <f>O649*H649</f>
        <v>1</v>
      </c>
      <c r="Q649" s="27">
        <f t="shared" si="357"/>
        <v>9000</v>
      </c>
    </row>
    <row r="650" spans="1:17" ht="35.25" customHeight="1" x14ac:dyDescent="0.25">
      <c r="A650" s="13" t="str">
        <f>A647</f>
        <v>ЩРп c</v>
      </c>
      <c r="B650" s="10" t="s">
        <v>44</v>
      </c>
      <c r="C650" s="11" t="s">
        <v>164</v>
      </c>
      <c r="D650" s="10" t="s">
        <v>165</v>
      </c>
      <c r="E650" s="10">
        <v>201639</v>
      </c>
      <c r="F650" s="12">
        <f t="shared" ref="F650:F652" si="362">0.6*E650</f>
        <v>120983.4</v>
      </c>
      <c r="G650" s="12">
        <f>F650*H650</f>
        <v>120983.4</v>
      </c>
      <c r="H650" s="13">
        <v>1</v>
      </c>
      <c r="I650" s="14" t="s">
        <v>12</v>
      </c>
      <c r="J650" s="10" t="s">
        <v>14</v>
      </c>
      <c r="K650" s="13" t="s">
        <v>111</v>
      </c>
      <c r="L650" s="13"/>
      <c r="M650" s="13"/>
      <c r="N650" s="13"/>
      <c r="O650" s="26">
        <f>O647</f>
        <v>1</v>
      </c>
      <c r="P650" s="26">
        <f>O650*H650</f>
        <v>1</v>
      </c>
      <c r="Q650" s="27">
        <f t="shared" si="357"/>
        <v>120983.4</v>
      </c>
    </row>
    <row r="651" spans="1:17" ht="35.25" customHeight="1" x14ac:dyDescent="0.25">
      <c r="A651" s="13" t="str">
        <f t="shared" si="358"/>
        <v>ЩРп c</v>
      </c>
      <c r="B651" s="10" t="s">
        <v>49</v>
      </c>
      <c r="C651" s="10">
        <v>593071</v>
      </c>
      <c r="D651" s="10" t="s">
        <v>50</v>
      </c>
      <c r="E651" s="10">
        <v>836</v>
      </c>
      <c r="F651" s="12">
        <f t="shared" si="362"/>
        <v>501.59999999999997</v>
      </c>
      <c r="G651" s="12">
        <f>F651*H651</f>
        <v>3009.6</v>
      </c>
      <c r="H651" s="13">
        <v>6</v>
      </c>
      <c r="I651" s="14" t="s">
        <v>12</v>
      </c>
      <c r="J651" s="10" t="s">
        <v>14</v>
      </c>
      <c r="K651" s="13" t="s">
        <v>111</v>
      </c>
      <c r="L651" s="13"/>
      <c r="M651" s="13"/>
      <c r="N651" s="13"/>
      <c r="O651" s="26">
        <f t="shared" si="360"/>
        <v>1</v>
      </c>
      <c r="P651" s="26">
        <f>O651*H651</f>
        <v>6</v>
      </c>
      <c r="Q651" s="27">
        <f t="shared" si="357"/>
        <v>3009.6</v>
      </c>
    </row>
    <row r="652" spans="1:17" ht="35.25" customHeight="1" x14ac:dyDescent="0.25">
      <c r="A652" s="13" t="str">
        <f t="shared" si="358"/>
        <v>ЩРп c</v>
      </c>
      <c r="B652" s="10" t="s">
        <v>49</v>
      </c>
      <c r="C652" s="10">
        <v>593150</v>
      </c>
      <c r="D652" s="10" t="s">
        <v>51</v>
      </c>
      <c r="E652" s="10">
        <v>836</v>
      </c>
      <c r="F652" s="12">
        <f t="shared" si="362"/>
        <v>501.59999999999997</v>
      </c>
      <c r="G652" s="12">
        <f>F652*H652</f>
        <v>1504.8</v>
      </c>
      <c r="H652" s="13">
        <v>3</v>
      </c>
      <c r="I652" s="14" t="s">
        <v>12</v>
      </c>
      <c r="J652" s="10" t="s">
        <v>14</v>
      </c>
      <c r="K652" s="13" t="s">
        <v>111</v>
      </c>
      <c r="L652" s="13"/>
      <c r="M652" s="13"/>
      <c r="N652" s="13"/>
      <c r="O652" s="26">
        <f t="shared" si="360"/>
        <v>1</v>
      </c>
      <c r="P652" s="26">
        <f>O652*H652</f>
        <v>3</v>
      </c>
      <c r="Q652" s="27">
        <f t="shared" si="357"/>
        <v>1504.8</v>
      </c>
    </row>
    <row r="653" spans="1:17" ht="35.25" customHeight="1" x14ac:dyDescent="0.25">
      <c r="A653" s="13" t="str">
        <f>A655</f>
        <v>ЩРп c</v>
      </c>
      <c r="B653" s="10" t="s">
        <v>15</v>
      </c>
      <c r="C653" s="11" t="s">
        <v>299</v>
      </c>
      <c r="D653" s="10" t="s">
        <v>300</v>
      </c>
      <c r="E653" s="10">
        <v>32400</v>
      </c>
      <c r="F653" s="12">
        <f>E653</f>
        <v>32400</v>
      </c>
      <c r="G653" s="12">
        <f>F653*H653</f>
        <v>32400</v>
      </c>
      <c r="H653" s="13">
        <v>1</v>
      </c>
      <c r="I653" s="14" t="s">
        <v>12</v>
      </c>
      <c r="J653" s="10" t="s">
        <v>16</v>
      </c>
      <c r="K653" s="13" t="str">
        <f>K655</f>
        <v>Блок15</v>
      </c>
      <c r="L653" s="13"/>
      <c r="M653" s="13"/>
      <c r="N653" s="13"/>
      <c r="O653" s="26">
        <f>O655</f>
        <v>1</v>
      </c>
      <c r="P653" s="26">
        <f>O653*H653</f>
        <v>1</v>
      </c>
      <c r="Q653" s="27">
        <f t="shared" si="357"/>
        <v>32400</v>
      </c>
    </row>
    <row r="654" spans="1:17" ht="35.25" customHeight="1" x14ac:dyDescent="0.25">
      <c r="A654" s="13" t="str">
        <f>A653</f>
        <v>ЩРп c</v>
      </c>
      <c r="B654" s="10" t="s">
        <v>294</v>
      </c>
      <c r="C654" s="11" t="s">
        <v>219</v>
      </c>
      <c r="D654" s="10" t="s">
        <v>220</v>
      </c>
      <c r="E654" s="10">
        <v>12850</v>
      </c>
      <c r="F654" s="12">
        <f>0.3*E654</f>
        <v>3855</v>
      </c>
      <c r="G654" s="12">
        <f>F654*H654</f>
        <v>7710</v>
      </c>
      <c r="H654" s="13">
        <v>2</v>
      </c>
      <c r="I654" s="14" t="s">
        <v>12</v>
      </c>
      <c r="J654" s="10" t="s">
        <v>207</v>
      </c>
      <c r="K654" s="13" t="str">
        <f>K655</f>
        <v>Блок15</v>
      </c>
      <c r="L654" s="13"/>
      <c r="M654" s="13"/>
      <c r="N654" s="13"/>
      <c r="O654" s="26">
        <f>O653</f>
        <v>1</v>
      </c>
      <c r="P654" s="26">
        <f>O654*H654</f>
        <v>2</v>
      </c>
      <c r="Q654" s="27">
        <f>P654*E654</f>
        <v>25700</v>
      </c>
    </row>
    <row r="655" spans="1:17" ht="35.25" customHeight="1" x14ac:dyDescent="0.25">
      <c r="A655" s="13" t="str">
        <f>A647</f>
        <v>ЩРп c</v>
      </c>
      <c r="B655" s="10" t="s">
        <v>112</v>
      </c>
      <c r="C655" s="11" t="s">
        <v>245</v>
      </c>
      <c r="D655" s="10" t="s">
        <v>246</v>
      </c>
      <c r="E655" s="10">
        <v>36692</v>
      </c>
      <c r="F655" s="12">
        <f t="shared" ref="F655:F657" si="363">0.6*E655</f>
        <v>22015.200000000001</v>
      </c>
      <c r="G655" s="12">
        <f>F655*H655</f>
        <v>22015.200000000001</v>
      </c>
      <c r="H655" s="13">
        <v>1</v>
      </c>
      <c r="I655" s="14" t="s">
        <v>12</v>
      </c>
      <c r="J655" s="10" t="s">
        <v>14</v>
      </c>
      <c r="K655" s="13" t="str">
        <f>K647</f>
        <v>Блок15</v>
      </c>
      <c r="L655" s="13"/>
      <c r="M655" s="13"/>
      <c r="N655" s="13"/>
      <c r="O655" s="26">
        <f>O647</f>
        <v>1</v>
      </c>
      <c r="P655" s="26">
        <f>O655*H655</f>
        <v>1</v>
      </c>
      <c r="Q655" s="27">
        <f>P655*F655</f>
        <v>22015.200000000001</v>
      </c>
    </row>
    <row r="656" spans="1:17" ht="35.25" customHeight="1" x14ac:dyDescent="0.25">
      <c r="A656" s="13" t="str">
        <f>A654</f>
        <v>ЩРп c</v>
      </c>
      <c r="B656" s="10" t="s">
        <v>112</v>
      </c>
      <c r="C656" s="11" t="s">
        <v>235</v>
      </c>
      <c r="D656" s="10" t="s">
        <v>236</v>
      </c>
      <c r="E656" s="10">
        <v>13330</v>
      </c>
      <c r="F656" s="12">
        <f t="shared" si="363"/>
        <v>7998</v>
      </c>
      <c r="G656" s="12">
        <f>F656*H656</f>
        <v>15996</v>
      </c>
      <c r="H656" s="13">
        <v>2</v>
      </c>
      <c r="I656" s="14" t="s">
        <v>12</v>
      </c>
      <c r="J656" s="10" t="s">
        <v>14</v>
      </c>
      <c r="K656" s="13" t="str">
        <f>K654</f>
        <v>Блок15</v>
      </c>
      <c r="L656" s="13"/>
      <c r="M656" s="13"/>
      <c r="N656" s="13"/>
      <c r="O656" s="26">
        <f>O654</f>
        <v>1</v>
      </c>
      <c r="P656" s="26">
        <f>O656*H656</f>
        <v>2</v>
      </c>
      <c r="Q656" s="27">
        <f>P656*F656</f>
        <v>15996</v>
      </c>
    </row>
    <row r="657" spans="1:17" ht="35.25" customHeight="1" x14ac:dyDescent="0.25">
      <c r="A657" s="13" t="str">
        <f>A650</f>
        <v>ЩРп c</v>
      </c>
      <c r="B657" s="10" t="s">
        <v>256</v>
      </c>
      <c r="C657" s="11" t="s">
        <v>257</v>
      </c>
      <c r="D657" s="10" t="s">
        <v>258</v>
      </c>
      <c r="E657" s="10">
        <v>1632</v>
      </c>
      <c r="F657" s="12">
        <f t="shared" si="363"/>
        <v>979.19999999999993</v>
      </c>
      <c r="G657" s="12">
        <f>F657*H657</f>
        <v>2937.6</v>
      </c>
      <c r="H657" s="13">
        <v>3</v>
      </c>
      <c r="I657" s="14" t="s">
        <v>12</v>
      </c>
      <c r="J657" s="10" t="s">
        <v>14</v>
      </c>
      <c r="K657" s="13" t="str">
        <f>K650</f>
        <v>Блок15</v>
      </c>
      <c r="L657" s="13"/>
      <c r="M657" s="13"/>
      <c r="N657" s="13"/>
      <c r="O657" s="26">
        <f>O650</f>
        <v>1</v>
      </c>
      <c r="P657" s="26">
        <f>O657*H657</f>
        <v>3</v>
      </c>
      <c r="Q657" s="27">
        <f>P657*F657</f>
        <v>2937.6</v>
      </c>
    </row>
    <row r="658" spans="1:17" ht="35.25" customHeight="1" x14ac:dyDescent="0.25">
      <c r="A658" s="13" t="str">
        <f t="shared" ref="A658" si="364">A649</f>
        <v>ЩРп c</v>
      </c>
      <c r="B658" s="10" t="s">
        <v>255</v>
      </c>
      <c r="C658" s="11" t="s">
        <v>259</v>
      </c>
      <c r="D658" s="10" t="s">
        <v>260</v>
      </c>
      <c r="E658" s="10">
        <v>4950</v>
      </c>
      <c r="F658" s="12">
        <f t="shared" ref="F658:F660" si="365">0.3*E658</f>
        <v>1485</v>
      </c>
      <c r="G658" s="12">
        <f>F658*H658</f>
        <v>5940</v>
      </c>
      <c r="H658" s="13">
        <v>4</v>
      </c>
      <c r="I658" s="14" t="s">
        <v>12</v>
      </c>
      <c r="J658" s="10" t="s">
        <v>207</v>
      </c>
      <c r="K658" s="13" t="str">
        <f t="shared" ref="K658" si="366">K649</f>
        <v>Блок15</v>
      </c>
      <c r="L658" s="13"/>
      <c r="M658" s="13"/>
      <c r="N658" s="13"/>
      <c r="O658" s="26">
        <f t="shared" ref="O658" si="367">O649</f>
        <v>1</v>
      </c>
      <c r="P658" s="26">
        <f>O658*H658</f>
        <v>4</v>
      </c>
      <c r="Q658" s="27">
        <f>P658*F658</f>
        <v>5940</v>
      </c>
    </row>
    <row r="659" spans="1:17" ht="35.25" customHeight="1" x14ac:dyDescent="0.25">
      <c r="A659" s="13" t="str">
        <f>A651</f>
        <v>ЩРп c</v>
      </c>
      <c r="B659" s="10" t="s">
        <v>256</v>
      </c>
      <c r="C659" s="11" t="s">
        <v>261</v>
      </c>
      <c r="D659" s="10" t="s">
        <v>262</v>
      </c>
      <c r="E659" s="10">
        <v>3560</v>
      </c>
      <c r="F659" s="12">
        <f t="shared" si="365"/>
        <v>1068</v>
      </c>
      <c r="G659" s="12">
        <f>F659*H659</f>
        <v>4272</v>
      </c>
      <c r="H659" s="13">
        <v>4</v>
      </c>
      <c r="I659" s="14" t="s">
        <v>12</v>
      </c>
      <c r="J659" s="10" t="s">
        <v>207</v>
      </c>
      <c r="K659" s="13" t="str">
        <f>K651</f>
        <v>Блок15</v>
      </c>
      <c r="L659" s="13"/>
      <c r="M659" s="13"/>
      <c r="N659" s="13"/>
      <c r="O659" s="26">
        <f>O651</f>
        <v>1</v>
      </c>
      <c r="P659" s="26">
        <f>O659*H659</f>
        <v>4</v>
      </c>
      <c r="Q659" s="27">
        <f>P659*F659</f>
        <v>4272</v>
      </c>
    </row>
    <row r="660" spans="1:17" ht="35.25" customHeight="1" x14ac:dyDescent="0.25">
      <c r="A660" s="13" t="str">
        <f>A656</f>
        <v>ЩРп c</v>
      </c>
      <c r="B660" s="10" t="s">
        <v>18</v>
      </c>
      <c r="C660" s="11" t="s">
        <v>209</v>
      </c>
      <c r="D660" s="10" t="s">
        <v>210</v>
      </c>
      <c r="E660" s="10">
        <v>14990</v>
      </c>
      <c r="F660" s="12">
        <f t="shared" si="365"/>
        <v>4497</v>
      </c>
      <c r="G660" s="12">
        <f>F660*H660</f>
        <v>13491</v>
      </c>
      <c r="H660" s="13">
        <v>3</v>
      </c>
      <c r="I660" s="14" t="s">
        <v>12</v>
      </c>
      <c r="J660" s="10" t="s">
        <v>207</v>
      </c>
      <c r="K660" s="13" t="str">
        <f>K656</f>
        <v>Блок15</v>
      </c>
      <c r="L660" s="13"/>
      <c r="M660" s="13"/>
      <c r="N660" s="13"/>
      <c r="O660" s="26">
        <f>O656</f>
        <v>1</v>
      </c>
      <c r="P660" s="26">
        <f>O660*H660</f>
        <v>3</v>
      </c>
      <c r="Q660" s="27">
        <f>P660*E660</f>
        <v>44970</v>
      </c>
    </row>
    <row r="661" spans="1:17" ht="35.25" customHeight="1" x14ac:dyDescent="0.25">
      <c r="A661" s="13" t="str">
        <f t="shared" si="358"/>
        <v>ЩРп c</v>
      </c>
      <c r="B661" s="10" t="s">
        <v>18</v>
      </c>
      <c r="C661" s="11" t="s">
        <v>233</v>
      </c>
      <c r="D661" s="10" t="s">
        <v>234</v>
      </c>
      <c r="E661" s="10">
        <v>5884</v>
      </c>
      <c r="F661" s="12">
        <f>0.6*E661</f>
        <v>3530.4</v>
      </c>
      <c r="G661" s="12">
        <f>F661*H661</f>
        <v>3530.4</v>
      </c>
      <c r="H661" s="13">
        <v>1</v>
      </c>
      <c r="I661" s="14" t="s">
        <v>12</v>
      </c>
      <c r="J661" s="10" t="s">
        <v>14</v>
      </c>
      <c r="K661" s="13" t="str">
        <f t="shared" si="359"/>
        <v>Блок15</v>
      </c>
      <c r="L661" s="13"/>
      <c r="M661" s="13"/>
      <c r="N661" s="13"/>
      <c r="O661" s="26">
        <f t="shared" si="360"/>
        <v>1</v>
      </c>
      <c r="P661" s="26">
        <f>O661*H661</f>
        <v>1</v>
      </c>
      <c r="Q661" s="27">
        <f>P661*F661</f>
        <v>3530.4</v>
      </c>
    </row>
    <row r="662" spans="1:17" ht="35.25" customHeight="1" x14ac:dyDescent="0.25">
      <c r="A662" s="13" t="str">
        <f>A660</f>
        <v>ЩРп c</v>
      </c>
      <c r="B662" s="10" t="s">
        <v>293</v>
      </c>
      <c r="C662" s="11" t="s">
        <v>295</v>
      </c>
      <c r="D662" s="10" t="s">
        <v>296</v>
      </c>
      <c r="E662" s="10">
        <v>5450</v>
      </c>
      <c r="F662" s="12">
        <f t="shared" ref="F662:F663" si="368">0.3*E662</f>
        <v>1635</v>
      </c>
      <c r="G662" s="12">
        <f>F662*H662</f>
        <v>3270</v>
      </c>
      <c r="H662" s="13">
        <v>2</v>
      </c>
      <c r="I662" s="14" t="s">
        <v>12</v>
      </c>
      <c r="J662" s="10" t="s">
        <v>207</v>
      </c>
      <c r="K662" s="13" t="str">
        <f>K660</f>
        <v>Блок15</v>
      </c>
      <c r="L662" s="13"/>
      <c r="M662" s="13"/>
      <c r="N662" s="13"/>
      <c r="O662" s="26">
        <f>O660</f>
        <v>1</v>
      </c>
      <c r="P662" s="26">
        <f>O662*H662</f>
        <v>2</v>
      </c>
      <c r="Q662" s="27">
        <f t="shared" ref="Q662:Q670" si="369">P662*E662</f>
        <v>10900</v>
      </c>
    </row>
    <row r="663" spans="1:17" ht="35.25" customHeight="1" x14ac:dyDescent="0.25">
      <c r="A663" s="13" t="str">
        <f>A661</f>
        <v>ЩРп c</v>
      </c>
      <c r="B663" s="10" t="s">
        <v>293</v>
      </c>
      <c r="C663" s="11" t="s">
        <v>191</v>
      </c>
      <c r="D663" s="10" t="s">
        <v>192</v>
      </c>
      <c r="E663" s="10">
        <v>2360</v>
      </c>
      <c r="F663" s="12">
        <f t="shared" si="368"/>
        <v>708</v>
      </c>
      <c r="G663" s="12">
        <f>F663*H663</f>
        <v>2832</v>
      </c>
      <c r="H663" s="13">
        <v>4</v>
      </c>
      <c r="I663" s="14" t="s">
        <v>12</v>
      </c>
      <c r="J663" s="10" t="s">
        <v>207</v>
      </c>
      <c r="K663" s="13" t="str">
        <f>K661</f>
        <v>Блок15</v>
      </c>
      <c r="L663" s="13"/>
      <c r="M663" s="13"/>
      <c r="N663" s="13"/>
      <c r="O663" s="26">
        <f>O661</f>
        <v>1</v>
      </c>
      <c r="P663" s="26">
        <f>O663*H663</f>
        <v>4</v>
      </c>
      <c r="Q663" s="27">
        <f t="shared" si="369"/>
        <v>9440</v>
      </c>
    </row>
    <row r="664" spans="1:17" ht="35.25" customHeight="1" x14ac:dyDescent="0.25">
      <c r="A664" s="13" t="str">
        <f t="shared" si="358"/>
        <v>ЩРп c</v>
      </c>
      <c r="B664" s="10" t="s">
        <v>263</v>
      </c>
      <c r="C664" s="11" t="s">
        <v>264</v>
      </c>
      <c r="D664" s="10" t="s">
        <v>265</v>
      </c>
      <c r="E664" s="10">
        <v>1610</v>
      </c>
      <c r="F664" s="12">
        <f t="shared" ref="F664:F670" si="370">0.6*E664</f>
        <v>966</v>
      </c>
      <c r="G664" s="12">
        <f>F664*H664</f>
        <v>1932</v>
      </c>
      <c r="H664" s="13">
        <v>2</v>
      </c>
      <c r="I664" s="14" t="s">
        <v>12</v>
      </c>
      <c r="J664" s="10" t="s">
        <v>14</v>
      </c>
      <c r="K664" s="13" t="str">
        <f t="shared" si="359"/>
        <v>Блок15</v>
      </c>
      <c r="L664" s="13"/>
      <c r="M664" s="13"/>
      <c r="N664" s="13"/>
      <c r="O664" s="26">
        <f t="shared" ref="O664:O666" si="371">O663</f>
        <v>1</v>
      </c>
      <c r="P664" s="26">
        <f>O664*H664</f>
        <v>2</v>
      </c>
      <c r="Q664" s="27">
        <f t="shared" si="369"/>
        <v>3220</v>
      </c>
    </row>
    <row r="665" spans="1:17" ht="35.25" customHeight="1" x14ac:dyDescent="0.25">
      <c r="A665" s="13" t="str">
        <f t="shared" si="358"/>
        <v>ЩРп c</v>
      </c>
      <c r="B665" s="10" t="s">
        <v>268</v>
      </c>
      <c r="C665" s="11" t="s">
        <v>266</v>
      </c>
      <c r="D665" s="10" t="s">
        <v>267</v>
      </c>
      <c r="E665" s="10">
        <v>689</v>
      </c>
      <c r="F665" s="12">
        <f t="shared" si="370"/>
        <v>413.4</v>
      </c>
      <c r="G665" s="12">
        <f>F665*H665</f>
        <v>826.8</v>
      </c>
      <c r="H665" s="13">
        <v>2</v>
      </c>
      <c r="I665" s="14" t="s">
        <v>12</v>
      </c>
      <c r="J665" s="10" t="s">
        <v>14</v>
      </c>
      <c r="K665" s="13" t="str">
        <f t="shared" si="359"/>
        <v>Блок15</v>
      </c>
      <c r="L665" s="13"/>
      <c r="M665" s="13"/>
      <c r="N665" s="13"/>
      <c r="O665" s="26">
        <f t="shared" si="371"/>
        <v>1</v>
      </c>
      <c r="P665" s="26">
        <f>O665*H665</f>
        <v>2</v>
      </c>
      <c r="Q665" s="27">
        <f t="shared" si="369"/>
        <v>1378</v>
      </c>
    </row>
    <row r="666" spans="1:17" ht="35.25" customHeight="1" x14ac:dyDescent="0.25">
      <c r="A666" s="13" t="str">
        <f t="shared" si="358"/>
        <v>ЩРп c</v>
      </c>
      <c r="B666" s="10" t="s">
        <v>276</v>
      </c>
      <c r="C666" s="11" t="s">
        <v>277</v>
      </c>
      <c r="D666" s="10" t="s">
        <v>278</v>
      </c>
      <c r="E666" s="10">
        <v>1836</v>
      </c>
      <c r="F666" s="12">
        <f t="shared" si="370"/>
        <v>1101.5999999999999</v>
      </c>
      <c r="G666" s="12">
        <f>F666*H666</f>
        <v>2203.1999999999998</v>
      </c>
      <c r="H666" s="13">
        <v>2</v>
      </c>
      <c r="I666" s="14" t="s">
        <v>12</v>
      </c>
      <c r="J666" s="10" t="s">
        <v>14</v>
      </c>
      <c r="K666" s="13" t="str">
        <f t="shared" si="359"/>
        <v>Блок15</v>
      </c>
      <c r="L666" s="13"/>
      <c r="M666" s="13"/>
      <c r="N666" s="13"/>
      <c r="O666" s="26">
        <f t="shared" si="371"/>
        <v>1</v>
      </c>
      <c r="P666" s="26">
        <f>O666*H666</f>
        <v>2</v>
      </c>
      <c r="Q666" s="27">
        <f t="shared" si="369"/>
        <v>3672</v>
      </c>
    </row>
    <row r="667" spans="1:17" ht="35.25" customHeight="1" x14ac:dyDescent="0.25">
      <c r="A667" s="13" t="str">
        <f>A665</f>
        <v>ЩРп c</v>
      </c>
      <c r="B667" s="10" t="s">
        <v>269</v>
      </c>
      <c r="C667" s="11" t="s">
        <v>270</v>
      </c>
      <c r="D667" s="10" t="s">
        <v>271</v>
      </c>
      <c r="E667" s="10">
        <v>1738</v>
      </c>
      <c r="F667" s="12">
        <f t="shared" si="370"/>
        <v>1042.8</v>
      </c>
      <c r="G667" s="12">
        <f>F667*H667</f>
        <v>1042.8</v>
      </c>
      <c r="H667" s="13">
        <v>1</v>
      </c>
      <c r="I667" s="14" t="s">
        <v>12</v>
      </c>
      <c r="J667" s="10" t="s">
        <v>14</v>
      </c>
      <c r="K667" s="13" t="str">
        <f>K665</f>
        <v>Блок15</v>
      </c>
      <c r="L667" s="13"/>
      <c r="M667" s="13"/>
      <c r="N667" s="13"/>
      <c r="O667" s="26">
        <f>O665</f>
        <v>1</v>
      </c>
      <c r="P667" s="26">
        <f>O667*H667</f>
        <v>1</v>
      </c>
      <c r="Q667" s="27">
        <f t="shared" si="369"/>
        <v>1738</v>
      </c>
    </row>
    <row r="668" spans="1:17" ht="35.25" customHeight="1" x14ac:dyDescent="0.25">
      <c r="A668" s="13" t="str">
        <f t="shared" si="358"/>
        <v>ЩРп c</v>
      </c>
      <c r="B668" s="10" t="s">
        <v>272</v>
      </c>
      <c r="C668" s="11"/>
      <c r="D668" s="10" t="s">
        <v>273</v>
      </c>
      <c r="E668" s="10">
        <v>1738</v>
      </c>
      <c r="F668" s="12">
        <f t="shared" si="370"/>
        <v>1042.8</v>
      </c>
      <c r="G668" s="12">
        <f>F668*H668</f>
        <v>2085.6</v>
      </c>
      <c r="H668" s="13">
        <v>2</v>
      </c>
      <c r="I668" s="14" t="s">
        <v>12</v>
      </c>
      <c r="J668" s="10" t="s">
        <v>14</v>
      </c>
      <c r="K668" s="13" t="str">
        <f t="shared" si="359"/>
        <v>Блок15</v>
      </c>
      <c r="L668" s="13"/>
      <c r="M668" s="13"/>
      <c r="N668" s="13"/>
      <c r="O668" s="26">
        <f t="shared" ref="O668:O670" si="372">O667</f>
        <v>1</v>
      </c>
      <c r="P668" s="26">
        <f>O668*H668</f>
        <v>2</v>
      </c>
      <c r="Q668" s="27">
        <f t="shared" si="369"/>
        <v>3476</v>
      </c>
    </row>
    <row r="669" spans="1:17" ht="35.25" customHeight="1" x14ac:dyDescent="0.25">
      <c r="A669" s="13" t="str">
        <f t="shared" si="358"/>
        <v>ЩРп c</v>
      </c>
      <c r="B669" s="10" t="s">
        <v>272</v>
      </c>
      <c r="C669" s="11"/>
      <c r="D669" s="10" t="s">
        <v>274</v>
      </c>
      <c r="E669" s="10">
        <v>1738</v>
      </c>
      <c r="F669" s="12">
        <f t="shared" si="370"/>
        <v>1042.8</v>
      </c>
      <c r="G669" s="12">
        <f>F669*H669</f>
        <v>4171.2</v>
      </c>
      <c r="H669" s="13">
        <v>4</v>
      </c>
      <c r="I669" s="14" t="s">
        <v>12</v>
      </c>
      <c r="J669" s="10" t="s">
        <v>14</v>
      </c>
      <c r="K669" s="13" t="str">
        <f t="shared" si="359"/>
        <v>Блок15</v>
      </c>
      <c r="L669" s="13"/>
      <c r="M669" s="13"/>
      <c r="N669" s="13"/>
      <c r="O669" s="26">
        <f t="shared" si="372"/>
        <v>1</v>
      </c>
      <c r="P669" s="26">
        <f>O669*H669</f>
        <v>4</v>
      </c>
      <c r="Q669" s="27">
        <f t="shared" si="369"/>
        <v>6952</v>
      </c>
    </row>
    <row r="670" spans="1:17" ht="35.25" customHeight="1" x14ac:dyDescent="0.25">
      <c r="A670" s="13" t="str">
        <f t="shared" si="358"/>
        <v>ЩРп c</v>
      </c>
      <c r="B670" s="10" t="s">
        <v>272</v>
      </c>
      <c r="C670" s="11"/>
      <c r="D670" s="10" t="s">
        <v>275</v>
      </c>
      <c r="E670" s="10">
        <v>1738</v>
      </c>
      <c r="F670" s="12">
        <f t="shared" si="370"/>
        <v>1042.8</v>
      </c>
      <c r="G670" s="12">
        <f>F670*H670</f>
        <v>3128.3999999999996</v>
      </c>
      <c r="H670" s="13">
        <v>3</v>
      </c>
      <c r="I670" s="14" t="s">
        <v>12</v>
      </c>
      <c r="J670" s="10" t="s">
        <v>14</v>
      </c>
      <c r="K670" s="13" t="str">
        <f t="shared" si="359"/>
        <v>Блок15</v>
      </c>
      <c r="L670" s="13"/>
      <c r="M670" s="13"/>
      <c r="N670" s="13"/>
      <c r="O670" s="26">
        <f t="shared" si="372"/>
        <v>1</v>
      </c>
      <c r="P670" s="26">
        <f>O670*H670</f>
        <v>3</v>
      </c>
      <c r="Q670" s="27">
        <f t="shared" si="369"/>
        <v>5214</v>
      </c>
    </row>
    <row r="671" spans="1:17" ht="35.25" customHeight="1" x14ac:dyDescent="0.25">
      <c r="A671" s="10" t="str">
        <f>A663</f>
        <v>ЩРп c</v>
      </c>
      <c r="B671" s="10" t="s">
        <v>19</v>
      </c>
      <c r="C671" s="11" t="s">
        <v>19</v>
      </c>
      <c r="D671" s="10" t="s">
        <v>19</v>
      </c>
      <c r="E671" s="10">
        <f ca="1">OFFSET(E671,1,2)</f>
        <v>60000</v>
      </c>
      <c r="F671" s="12">
        <f ca="1">E671</f>
        <v>60000</v>
      </c>
      <c r="G671" s="12">
        <f ca="1">F671*H671</f>
        <v>60000</v>
      </c>
      <c r="H671" s="10">
        <v>1</v>
      </c>
      <c r="I671" s="10" t="s">
        <v>12</v>
      </c>
      <c r="J671" s="10" t="s">
        <v>19</v>
      </c>
      <c r="K671" s="13" t="str">
        <f>K663</f>
        <v>Блок15</v>
      </c>
      <c r="L671" s="13"/>
      <c r="M671" s="13"/>
      <c r="N671" s="13"/>
      <c r="O671" s="26">
        <f>O663</f>
        <v>1</v>
      </c>
      <c r="P671" s="26">
        <f>O671*H671</f>
        <v>1</v>
      </c>
      <c r="Q671" s="27">
        <f t="shared" ref="Q671:Q682" ca="1" si="373">P671*F671</f>
        <v>60000</v>
      </c>
    </row>
    <row r="672" spans="1:17" ht="35.25" customHeight="1" x14ac:dyDescent="0.25">
      <c r="A672" s="10" t="str">
        <f t="shared" si="358"/>
        <v>ЩРп c</v>
      </c>
      <c r="B672" s="10" t="s">
        <v>20</v>
      </c>
      <c r="C672" s="11" t="s">
        <v>20</v>
      </c>
      <c r="D672" s="10" t="s">
        <v>20</v>
      </c>
      <c r="E672" s="10">
        <v>10</v>
      </c>
      <c r="F672" s="12">
        <v>100</v>
      </c>
      <c r="G672" s="12">
        <f>F672*H672</f>
        <v>60000</v>
      </c>
      <c r="H672" s="10">
        <f>60*E672</f>
        <v>600</v>
      </c>
      <c r="I672" s="10" t="s">
        <v>12</v>
      </c>
      <c r="J672" s="10" t="s">
        <v>20</v>
      </c>
      <c r="K672" s="13" t="str">
        <f t="shared" si="359"/>
        <v>Блок15</v>
      </c>
      <c r="L672" s="13"/>
      <c r="M672" s="13"/>
      <c r="N672" s="13"/>
      <c r="O672" s="26">
        <f t="shared" si="360"/>
        <v>1</v>
      </c>
      <c r="P672" s="26">
        <f>O672*H672</f>
        <v>600</v>
      </c>
      <c r="Q672" s="27">
        <f t="shared" si="373"/>
        <v>60000</v>
      </c>
    </row>
    <row r="673" spans="1:17" ht="35.25" customHeight="1" x14ac:dyDescent="0.25">
      <c r="A673" s="15" t="str">
        <f t="shared" si="358"/>
        <v>ЩРп c</v>
      </c>
      <c r="B673" s="15"/>
      <c r="C673" s="15"/>
      <c r="D673" s="16"/>
      <c r="E673" s="28"/>
      <c r="F673" s="12">
        <f t="shared" ref="F673" si="374">E673*0.55</f>
        <v>0</v>
      </c>
      <c r="G673" s="28">
        <f ca="1">SUM(G647:G672)</f>
        <v>482988</v>
      </c>
      <c r="H673" s="15"/>
      <c r="I673" s="19"/>
      <c r="J673" s="15"/>
      <c r="K673" s="13" t="str">
        <f t="shared" si="359"/>
        <v>Блок15</v>
      </c>
      <c r="L673" s="13"/>
      <c r="M673" s="13"/>
      <c r="N673" s="13"/>
      <c r="O673" s="26">
        <f t="shared" si="360"/>
        <v>1</v>
      </c>
      <c r="P673" s="26">
        <f>O673*H673</f>
        <v>0</v>
      </c>
      <c r="Q673" s="27">
        <f t="shared" si="373"/>
        <v>0</v>
      </c>
    </row>
    <row r="674" spans="1:17" ht="35.25" customHeight="1" x14ac:dyDescent="0.25">
      <c r="A674" s="8" t="str">
        <f>D674</f>
        <v>ЩР15</v>
      </c>
      <c r="B674" s="4"/>
      <c r="C674" s="5"/>
      <c r="D674" s="4" t="s">
        <v>118</v>
      </c>
      <c r="E674" s="6"/>
      <c r="F674" s="6"/>
      <c r="G674" s="7"/>
      <c r="H674" s="8">
        <v>1</v>
      </c>
      <c r="I674" s="9" t="s">
        <v>9</v>
      </c>
      <c r="J674" s="4" t="s">
        <v>10</v>
      </c>
      <c r="K674" s="8" t="s">
        <v>111</v>
      </c>
      <c r="L674" s="8"/>
      <c r="M674" s="8"/>
      <c r="N674" s="8"/>
      <c r="O674" s="26">
        <f>H674</f>
        <v>1</v>
      </c>
      <c r="P674" s="26">
        <f>O674*H674</f>
        <v>1</v>
      </c>
      <c r="Q674" s="27">
        <f t="shared" si="373"/>
        <v>0</v>
      </c>
    </row>
    <row r="675" spans="1:17" ht="35.25" customHeight="1" x14ac:dyDescent="0.25">
      <c r="A675" s="13" t="str">
        <f t="shared" ref="A675:A703" si="375">A674</f>
        <v>ЩР15</v>
      </c>
      <c r="B675" s="10" t="s">
        <v>11</v>
      </c>
      <c r="C675" s="11" t="s">
        <v>247</v>
      </c>
      <c r="D675" s="10" t="s">
        <v>248</v>
      </c>
      <c r="E675" s="10">
        <v>156500</v>
      </c>
      <c r="F675" s="12">
        <f>0.6*E675</f>
        <v>93900</v>
      </c>
      <c r="G675" s="12">
        <f>F675*H675</f>
        <v>93900</v>
      </c>
      <c r="H675" s="13">
        <v>1</v>
      </c>
      <c r="I675" s="14" t="s">
        <v>12</v>
      </c>
      <c r="J675" s="10" t="s">
        <v>13</v>
      </c>
      <c r="K675" s="13" t="str">
        <f>K674</f>
        <v>Блок15</v>
      </c>
      <c r="L675" s="13"/>
      <c r="M675" s="13"/>
      <c r="N675" s="13"/>
      <c r="O675" s="26">
        <f t="shared" ref="O675:O703" si="376">O674</f>
        <v>1</v>
      </c>
      <c r="P675" s="26">
        <f>O675*H675</f>
        <v>1</v>
      </c>
      <c r="Q675" s="27">
        <f t="shared" si="373"/>
        <v>93900</v>
      </c>
    </row>
    <row r="676" spans="1:17" ht="35.25" customHeight="1" x14ac:dyDescent="0.25">
      <c r="A676" s="13" t="str">
        <f>A674</f>
        <v>ЩР15</v>
      </c>
      <c r="B676" s="10" t="s">
        <v>249</v>
      </c>
      <c r="C676" s="11" t="s">
        <v>250</v>
      </c>
      <c r="D676" s="10" t="s">
        <v>251</v>
      </c>
      <c r="E676" s="10">
        <v>4806</v>
      </c>
      <c r="F676" s="12">
        <f t="shared" ref="F676:F677" si="377">E676</f>
        <v>4806</v>
      </c>
      <c r="G676" s="12">
        <f>F676*H676</f>
        <v>4806</v>
      </c>
      <c r="H676" s="13">
        <v>1</v>
      </c>
      <c r="I676" s="14" t="s">
        <v>12</v>
      </c>
      <c r="J676" s="10" t="s">
        <v>25</v>
      </c>
      <c r="K676" s="13" t="s">
        <v>111</v>
      </c>
      <c r="L676" s="13"/>
      <c r="M676" s="13"/>
      <c r="N676" s="13"/>
      <c r="O676" s="26">
        <f>O674</f>
        <v>1</v>
      </c>
      <c r="P676" s="26">
        <f>O676*H676</f>
        <v>1</v>
      </c>
      <c r="Q676" s="27">
        <f t="shared" si="373"/>
        <v>4806</v>
      </c>
    </row>
    <row r="677" spans="1:17" ht="35.25" customHeight="1" x14ac:dyDescent="0.25">
      <c r="A677" s="13" t="str">
        <f>A675</f>
        <v>ЩР15</v>
      </c>
      <c r="B677" s="10" t="s">
        <v>252</v>
      </c>
      <c r="C677" s="11" t="s">
        <v>253</v>
      </c>
      <c r="D677" s="10" t="s">
        <v>254</v>
      </c>
      <c r="E677" s="10">
        <v>9000</v>
      </c>
      <c r="F677" s="12">
        <f t="shared" si="377"/>
        <v>9000</v>
      </c>
      <c r="G677" s="12">
        <f>F677*H677</f>
        <v>9000</v>
      </c>
      <c r="H677" s="13">
        <v>1</v>
      </c>
      <c r="I677" s="14" t="s">
        <v>12</v>
      </c>
      <c r="J677" s="10" t="s">
        <v>25</v>
      </c>
      <c r="K677" s="13" t="s">
        <v>111</v>
      </c>
      <c r="L677" s="13"/>
      <c r="M677" s="13"/>
      <c r="N677" s="13"/>
      <c r="O677" s="26">
        <f>O675</f>
        <v>1</v>
      </c>
      <c r="P677" s="26">
        <f>O677*H677</f>
        <v>1</v>
      </c>
      <c r="Q677" s="27">
        <f t="shared" si="373"/>
        <v>9000</v>
      </c>
    </row>
    <row r="678" spans="1:17" ht="35.25" customHeight="1" x14ac:dyDescent="0.25">
      <c r="A678" s="13" t="str">
        <f>A675</f>
        <v>ЩР15</v>
      </c>
      <c r="B678" s="10" t="s">
        <v>15</v>
      </c>
      <c r="C678" s="11" t="s">
        <v>301</v>
      </c>
      <c r="D678" s="10" t="s">
        <v>302</v>
      </c>
      <c r="E678" s="10">
        <v>32300</v>
      </c>
      <c r="F678" s="12">
        <f>E678</f>
        <v>32300</v>
      </c>
      <c r="G678" s="12">
        <f>F678*H678</f>
        <v>32300</v>
      </c>
      <c r="H678" s="13">
        <v>1</v>
      </c>
      <c r="I678" s="14" t="s">
        <v>12</v>
      </c>
      <c r="J678" s="10" t="s">
        <v>16</v>
      </c>
      <c r="K678" s="13" t="str">
        <f t="shared" ref="K678" si="378">K675</f>
        <v>Блок15</v>
      </c>
      <c r="L678" s="13"/>
      <c r="M678" s="13"/>
      <c r="N678" s="13"/>
      <c r="O678" s="26">
        <f>O675</f>
        <v>1</v>
      </c>
      <c r="P678" s="26">
        <f>O678*H678</f>
        <v>1</v>
      </c>
      <c r="Q678" s="27">
        <f t="shared" si="373"/>
        <v>32300</v>
      </c>
    </row>
    <row r="679" spans="1:17" ht="35.25" customHeight="1" x14ac:dyDescent="0.25">
      <c r="A679" s="13" t="str">
        <f t="shared" si="375"/>
        <v>ЩР15</v>
      </c>
      <c r="B679" s="10" t="s">
        <v>44</v>
      </c>
      <c r="C679" s="11" t="s">
        <v>166</v>
      </c>
      <c r="D679" s="10" t="s">
        <v>167</v>
      </c>
      <c r="E679" s="10">
        <v>207656</v>
      </c>
      <c r="F679" s="12">
        <f t="shared" ref="F679:F682" si="379">0.6*E679</f>
        <v>124593.59999999999</v>
      </c>
      <c r="G679" s="12">
        <f>F679*H679</f>
        <v>124593.59999999999</v>
      </c>
      <c r="H679" s="13">
        <v>1</v>
      </c>
      <c r="I679" s="14" t="s">
        <v>12</v>
      </c>
      <c r="J679" s="10" t="s">
        <v>14</v>
      </c>
      <c r="K679" s="13" t="s">
        <v>111</v>
      </c>
      <c r="L679" s="13"/>
      <c r="M679" s="13"/>
      <c r="N679" s="13"/>
      <c r="O679" s="26">
        <f t="shared" si="376"/>
        <v>1</v>
      </c>
      <c r="P679" s="26">
        <f>O679*H679</f>
        <v>1</v>
      </c>
      <c r="Q679" s="27">
        <f t="shared" si="373"/>
        <v>124593.59999999999</v>
      </c>
    </row>
    <row r="680" spans="1:17" ht="35.25" customHeight="1" x14ac:dyDescent="0.25">
      <c r="A680" s="13" t="str">
        <f t="shared" si="375"/>
        <v>ЩР15</v>
      </c>
      <c r="B680" s="10" t="s">
        <v>49</v>
      </c>
      <c r="C680" s="10">
        <v>593071</v>
      </c>
      <c r="D680" s="10" t="s">
        <v>50</v>
      </c>
      <c r="E680" s="10">
        <v>836</v>
      </c>
      <c r="F680" s="12">
        <f t="shared" si="379"/>
        <v>501.59999999999997</v>
      </c>
      <c r="G680" s="12">
        <f>F680*H680</f>
        <v>1003.1999999999999</v>
      </c>
      <c r="H680" s="13">
        <v>2</v>
      </c>
      <c r="I680" s="14" t="s">
        <v>12</v>
      </c>
      <c r="J680" s="10" t="s">
        <v>14</v>
      </c>
      <c r="K680" s="13" t="s">
        <v>111</v>
      </c>
      <c r="L680" s="13"/>
      <c r="M680" s="13"/>
      <c r="N680" s="13"/>
      <c r="O680" s="26">
        <f t="shared" si="376"/>
        <v>1</v>
      </c>
      <c r="P680" s="26">
        <f>O680*H680</f>
        <v>2</v>
      </c>
      <c r="Q680" s="27">
        <f t="shared" si="373"/>
        <v>1003.1999999999999</v>
      </c>
    </row>
    <row r="681" spans="1:17" ht="35.25" customHeight="1" x14ac:dyDescent="0.25">
      <c r="A681" s="13" t="str">
        <f t="shared" si="375"/>
        <v>ЩР15</v>
      </c>
      <c r="B681" s="10" t="s">
        <v>49</v>
      </c>
      <c r="C681" s="10">
        <v>593150</v>
      </c>
      <c r="D681" s="10" t="s">
        <v>51</v>
      </c>
      <c r="E681" s="10">
        <v>836</v>
      </c>
      <c r="F681" s="12">
        <f t="shared" si="379"/>
        <v>501.59999999999997</v>
      </c>
      <c r="G681" s="12">
        <f>F681*H681</f>
        <v>501.59999999999997</v>
      </c>
      <c r="H681" s="13">
        <v>1</v>
      </c>
      <c r="I681" s="14" t="s">
        <v>12</v>
      </c>
      <c r="J681" s="10" t="s">
        <v>14</v>
      </c>
      <c r="K681" s="13" t="s">
        <v>111</v>
      </c>
      <c r="L681" s="13"/>
      <c r="M681" s="13"/>
      <c r="N681" s="13"/>
      <c r="O681" s="26">
        <f t="shared" si="376"/>
        <v>1</v>
      </c>
      <c r="P681" s="26">
        <f>O681*H681</f>
        <v>1</v>
      </c>
      <c r="Q681" s="27">
        <f t="shared" si="373"/>
        <v>501.59999999999997</v>
      </c>
    </row>
    <row r="682" spans="1:17" ht="35.25" customHeight="1" x14ac:dyDescent="0.25">
      <c r="A682" s="13" t="str">
        <f t="shared" si="375"/>
        <v>ЩР15</v>
      </c>
      <c r="B682" s="10" t="s">
        <v>286</v>
      </c>
      <c r="C682" s="10" t="s">
        <v>287</v>
      </c>
      <c r="D682" s="10" t="s">
        <v>288</v>
      </c>
      <c r="E682" s="10">
        <v>2495</v>
      </c>
      <c r="F682" s="12">
        <f t="shared" si="379"/>
        <v>1497</v>
      </c>
      <c r="G682" s="12">
        <f>F682*H682</f>
        <v>1497</v>
      </c>
      <c r="H682" s="13">
        <v>1</v>
      </c>
      <c r="I682" s="14" t="s">
        <v>12</v>
      </c>
      <c r="J682" s="10" t="s">
        <v>14</v>
      </c>
      <c r="K682" s="13" t="s">
        <v>111</v>
      </c>
      <c r="L682" s="13"/>
      <c r="M682" s="13"/>
      <c r="N682" s="13"/>
      <c r="O682" s="26">
        <f t="shared" si="376"/>
        <v>1</v>
      </c>
      <c r="P682" s="26">
        <f>O682*H682</f>
        <v>1</v>
      </c>
      <c r="Q682" s="27">
        <f t="shared" si="373"/>
        <v>1497</v>
      </c>
    </row>
    <row r="683" spans="1:17" ht="35.25" customHeight="1" x14ac:dyDescent="0.25">
      <c r="A683" s="13" t="str">
        <f>A678</f>
        <v>ЩР15</v>
      </c>
      <c r="B683" s="10" t="s">
        <v>294</v>
      </c>
      <c r="C683" s="11" t="s">
        <v>223</v>
      </c>
      <c r="D683" s="10" t="s">
        <v>224</v>
      </c>
      <c r="E683" s="10">
        <v>16550</v>
      </c>
      <c r="F683" s="12">
        <f t="shared" ref="F683:F685" si="380">0.3*E683</f>
        <v>4965</v>
      </c>
      <c r="G683" s="12">
        <f>F683*H683</f>
        <v>9930</v>
      </c>
      <c r="H683" s="13">
        <v>2</v>
      </c>
      <c r="I683" s="14" t="s">
        <v>12</v>
      </c>
      <c r="J683" s="10" t="s">
        <v>207</v>
      </c>
      <c r="K683" s="13" t="str">
        <f>K675</f>
        <v>Блок15</v>
      </c>
      <c r="L683" s="13"/>
      <c r="M683" s="13"/>
      <c r="N683" s="13"/>
      <c r="O683" s="26">
        <f>O678</f>
        <v>1</v>
      </c>
      <c r="P683" s="26">
        <f>O683*H683</f>
        <v>2</v>
      </c>
      <c r="Q683" s="27">
        <f>P683*E683</f>
        <v>33100</v>
      </c>
    </row>
    <row r="684" spans="1:17" ht="35.25" customHeight="1" x14ac:dyDescent="0.25">
      <c r="A684" s="13" t="str">
        <f t="shared" si="375"/>
        <v>ЩР15</v>
      </c>
      <c r="B684" s="10" t="s">
        <v>294</v>
      </c>
      <c r="C684" s="11" t="s">
        <v>221</v>
      </c>
      <c r="D684" s="10" t="s">
        <v>222</v>
      </c>
      <c r="E684" s="10">
        <v>12990</v>
      </c>
      <c r="F684" s="12">
        <f t="shared" si="380"/>
        <v>3897</v>
      </c>
      <c r="G684" s="12">
        <f>F684*H684</f>
        <v>7794</v>
      </c>
      <c r="H684" s="13">
        <v>2</v>
      </c>
      <c r="I684" s="14" t="s">
        <v>12</v>
      </c>
      <c r="J684" s="10" t="s">
        <v>207</v>
      </c>
      <c r="K684" s="13" t="str">
        <f>K683</f>
        <v>Блок15</v>
      </c>
      <c r="L684" s="13"/>
      <c r="M684" s="13"/>
      <c r="N684" s="13"/>
      <c r="O684" s="26">
        <f t="shared" si="376"/>
        <v>1</v>
      </c>
      <c r="P684" s="26">
        <f>O684*H684</f>
        <v>2</v>
      </c>
      <c r="Q684" s="27">
        <f>P684*E684</f>
        <v>25980</v>
      </c>
    </row>
    <row r="685" spans="1:17" ht="35.25" customHeight="1" x14ac:dyDescent="0.25">
      <c r="A685" s="13" t="str">
        <f>A683</f>
        <v>ЩР15</v>
      </c>
      <c r="B685" s="10" t="s">
        <v>293</v>
      </c>
      <c r="C685" s="11" t="s">
        <v>295</v>
      </c>
      <c r="D685" s="10" t="s">
        <v>296</v>
      </c>
      <c r="E685" s="10">
        <v>5450</v>
      </c>
      <c r="F685" s="12">
        <f t="shared" si="380"/>
        <v>1635</v>
      </c>
      <c r="G685" s="12">
        <f>F685*H685</f>
        <v>3270</v>
      </c>
      <c r="H685" s="13">
        <v>2</v>
      </c>
      <c r="I685" s="14" t="s">
        <v>12</v>
      </c>
      <c r="J685" s="10" t="s">
        <v>207</v>
      </c>
      <c r="K685" s="13" t="str">
        <f>K683</f>
        <v>Блок15</v>
      </c>
      <c r="L685" s="13"/>
      <c r="M685" s="13"/>
      <c r="N685" s="13"/>
      <c r="O685" s="26">
        <f>O683</f>
        <v>1</v>
      </c>
      <c r="P685" s="26">
        <f>O685*H685</f>
        <v>2</v>
      </c>
      <c r="Q685" s="27">
        <f>P685*E685</f>
        <v>10900</v>
      </c>
    </row>
    <row r="686" spans="1:17" ht="35.25" customHeight="1" x14ac:dyDescent="0.25">
      <c r="A686" s="13" t="str">
        <f>A684</f>
        <v>ЩР15</v>
      </c>
      <c r="B686" s="10" t="s">
        <v>293</v>
      </c>
      <c r="C686" s="11">
        <v>296841</v>
      </c>
      <c r="D686" s="10" t="s">
        <v>122</v>
      </c>
      <c r="E686" s="10">
        <v>3058</v>
      </c>
      <c r="F686" s="12">
        <f t="shared" ref="F686:F703" si="381">E686*0.55</f>
        <v>1681.9</v>
      </c>
      <c r="G686" s="12">
        <f>F686*H686</f>
        <v>1681.9</v>
      </c>
      <c r="H686" s="13">
        <v>1</v>
      </c>
      <c r="I686" s="14" t="s">
        <v>12</v>
      </c>
      <c r="J686" s="10" t="s">
        <v>28</v>
      </c>
      <c r="K686" s="13" t="str">
        <f>K684</f>
        <v>Блок15</v>
      </c>
      <c r="L686" s="13"/>
      <c r="M686" s="13"/>
      <c r="N686" s="13"/>
      <c r="O686" s="26">
        <f>O684</f>
        <v>1</v>
      </c>
      <c r="P686" s="26">
        <f>O686*H686</f>
        <v>1</v>
      </c>
      <c r="Q686" s="27">
        <f>P686*F686</f>
        <v>1681.9</v>
      </c>
    </row>
    <row r="687" spans="1:17" ht="35.25" customHeight="1" x14ac:dyDescent="0.25">
      <c r="A687" s="13" t="str">
        <f t="shared" si="375"/>
        <v>ЩР15</v>
      </c>
      <c r="B687" s="10" t="s">
        <v>293</v>
      </c>
      <c r="C687" s="11" t="s">
        <v>199</v>
      </c>
      <c r="D687" s="10" t="s">
        <v>200</v>
      </c>
      <c r="E687" s="10">
        <v>5950</v>
      </c>
      <c r="F687" s="12">
        <f t="shared" ref="F687:F694" si="382">0.3*E687</f>
        <v>1785</v>
      </c>
      <c r="G687" s="12">
        <f>F687*H687</f>
        <v>3570</v>
      </c>
      <c r="H687" s="13">
        <v>2</v>
      </c>
      <c r="I687" s="14" t="s">
        <v>12</v>
      </c>
      <c r="J687" s="10" t="s">
        <v>207</v>
      </c>
      <c r="K687" s="13" t="str">
        <f>K686</f>
        <v>Блок15</v>
      </c>
      <c r="L687" s="13"/>
      <c r="M687" s="13"/>
      <c r="N687" s="13"/>
      <c r="O687" s="26">
        <f t="shared" si="376"/>
        <v>1</v>
      </c>
      <c r="P687" s="26">
        <f>O687*H687</f>
        <v>2</v>
      </c>
      <c r="Q687" s="27">
        <f>P687*E687</f>
        <v>11900</v>
      </c>
    </row>
    <row r="688" spans="1:17" ht="35.25" customHeight="1" x14ac:dyDescent="0.25">
      <c r="A688" s="13" t="str">
        <f t="shared" si="375"/>
        <v>ЩР15</v>
      </c>
      <c r="B688" s="10" t="s">
        <v>293</v>
      </c>
      <c r="C688" s="11" t="s">
        <v>197</v>
      </c>
      <c r="D688" s="10" t="s">
        <v>198</v>
      </c>
      <c r="E688" s="10">
        <v>6580</v>
      </c>
      <c r="F688" s="12">
        <f t="shared" si="382"/>
        <v>1974</v>
      </c>
      <c r="G688" s="12">
        <f>F688*H688</f>
        <v>1974</v>
      </c>
      <c r="H688" s="13">
        <v>1</v>
      </c>
      <c r="I688" s="14" t="s">
        <v>12</v>
      </c>
      <c r="J688" s="10" t="s">
        <v>207</v>
      </c>
      <c r="K688" s="13" t="str">
        <f>K686</f>
        <v>Блок15</v>
      </c>
      <c r="L688" s="13"/>
      <c r="M688" s="13"/>
      <c r="N688" s="13"/>
      <c r="O688" s="26">
        <f t="shared" si="376"/>
        <v>1</v>
      </c>
      <c r="P688" s="26">
        <f>O688*H688</f>
        <v>1</v>
      </c>
      <c r="Q688" s="27">
        <f>P688*E688</f>
        <v>6580</v>
      </c>
    </row>
    <row r="689" spans="1:17" ht="35.25" customHeight="1" x14ac:dyDescent="0.25">
      <c r="A689" s="13" t="str">
        <f t="shared" si="375"/>
        <v>ЩР15</v>
      </c>
      <c r="B689" s="10" t="s">
        <v>293</v>
      </c>
      <c r="C689" s="11" t="s">
        <v>199</v>
      </c>
      <c r="D689" s="10" t="s">
        <v>200</v>
      </c>
      <c r="E689" s="10">
        <v>5950</v>
      </c>
      <c r="F689" s="12">
        <f t="shared" si="382"/>
        <v>1785</v>
      </c>
      <c r="G689" s="12">
        <f>F689*H689</f>
        <v>1785</v>
      </c>
      <c r="H689" s="13">
        <v>1</v>
      </c>
      <c r="I689" s="14" t="s">
        <v>12</v>
      </c>
      <c r="J689" s="10" t="s">
        <v>207</v>
      </c>
      <c r="K689" s="13" t="str">
        <f>K688</f>
        <v>Блок15</v>
      </c>
      <c r="L689" s="13"/>
      <c r="M689" s="13"/>
      <c r="N689" s="13"/>
      <c r="O689" s="26">
        <f t="shared" si="376"/>
        <v>1</v>
      </c>
      <c r="P689" s="26">
        <f>O689*H689</f>
        <v>1</v>
      </c>
      <c r="Q689" s="27">
        <f>P689*E689</f>
        <v>5950</v>
      </c>
    </row>
    <row r="690" spans="1:17" ht="35.25" customHeight="1" x14ac:dyDescent="0.25">
      <c r="A690" s="13" t="str">
        <f t="shared" si="375"/>
        <v>ЩР15</v>
      </c>
      <c r="B690" s="10" t="s">
        <v>293</v>
      </c>
      <c r="C690" s="11" t="s">
        <v>191</v>
      </c>
      <c r="D690" s="10" t="s">
        <v>192</v>
      </c>
      <c r="E690" s="10">
        <v>2360</v>
      </c>
      <c r="F690" s="12">
        <f t="shared" si="382"/>
        <v>708</v>
      </c>
      <c r="G690" s="12">
        <f>F690*H690</f>
        <v>7788</v>
      </c>
      <c r="H690" s="13">
        <v>11</v>
      </c>
      <c r="I690" s="14" t="s">
        <v>12</v>
      </c>
      <c r="J690" s="10" t="s">
        <v>207</v>
      </c>
      <c r="K690" s="13" t="str">
        <f>K689</f>
        <v>Блок15</v>
      </c>
      <c r="L690" s="13"/>
      <c r="M690" s="13"/>
      <c r="N690" s="13"/>
      <c r="O690" s="26">
        <f t="shared" si="376"/>
        <v>1</v>
      </c>
      <c r="P690" s="26">
        <f>O690*H690</f>
        <v>11</v>
      </c>
      <c r="Q690" s="27">
        <f>P690*E690</f>
        <v>25960</v>
      </c>
    </row>
    <row r="691" spans="1:17" ht="35.25" customHeight="1" x14ac:dyDescent="0.25">
      <c r="A691" s="13" t="str">
        <f>A681</f>
        <v>ЩР15</v>
      </c>
      <c r="B691" s="10" t="s">
        <v>255</v>
      </c>
      <c r="C691" s="11" t="s">
        <v>289</v>
      </c>
      <c r="D691" s="10" t="s">
        <v>290</v>
      </c>
      <c r="E691" s="10">
        <v>10600</v>
      </c>
      <c r="F691" s="12">
        <f t="shared" si="382"/>
        <v>3180</v>
      </c>
      <c r="G691" s="12">
        <f>F691*H691</f>
        <v>3180</v>
      </c>
      <c r="H691" s="13">
        <v>1</v>
      </c>
      <c r="I691" s="14" t="s">
        <v>12</v>
      </c>
      <c r="J691" s="10" t="s">
        <v>207</v>
      </c>
      <c r="K691" s="13" t="str">
        <f>K681</f>
        <v>Блок15</v>
      </c>
      <c r="L691" s="13"/>
      <c r="M691" s="13"/>
      <c r="N691" s="13"/>
      <c r="O691" s="26">
        <f>O681</f>
        <v>1</v>
      </c>
      <c r="P691" s="26">
        <f>O691*H691</f>
        <v>1</v>
      </c>
      <c r="Q691" s="27">
        <f>P691*F691</f>
        <v>3180</v>
      </c>
    </row>
    <row r="692" spans="1:17" ht="35.25" customHeight="1" x14ac:dyDescent="0.25">
      <c r="A692" s="13" t="str">
        <f>A684</f>
        <v>ЩР15</v>
      </c>
      <c r="B692" s="10" t="s">
        <v>255</v>
      </c>
      <c r="C692" s="11" t="s">
        <v>291</v>
      </c>
      <c r="D692" s="10" t="s">
        <v>292</v>
      </c>
      <c r="E692" s="10">
        <v>8830</v>
      </c>
      <c r="F692" s="12">
        <f t="shared" si="382"/>
        <v>2649</v>
      </c>
      <c r="G692" s="12">
        <f>F692*H692</f>
        <v>5298</v>
      </c>
      <c r="H692" s="13">
        <v>2</v>
      </c>
      <c r="I692" s="14" t="s">
        <v>12</v>
      </c>
      <c r="J692" s="10" t="s">
        <v>207</v>
      </c>
      <c r="K692" s="13" t="str">
        <f>K684</f>
        <v>Блок15</v>
      </c>
      <c r="L692" s="13"/>
      <c r="M692" s="13"/>
      <c r="N692" s="13"/>
      <c r="O692" s="26">
        <f>O684</f>
        <v>1</v>
      </c>
      <c r="P692" s="26">
        <f>O692*H692</f>
        <v>2</v>
      </c>
      <c r="Q692" s="27">
        <f>P692*F692</f>
        <v>5298</v>
      </c>
    </row>
    <row r="693" spans="1:17" ht="35.25" customHeight="1" x14ac:dyDescent="0.25">
      <c r="A693" s="13" t="str">
        <f t="shared" ref="A693" si="383">A684</f>
        <v>ЩР15</v>
      </c>
      <c r="B693" s="10" t="s">
        <v>279</v>
      </c>
      <c r="C693" s="11" t="s">
        <v>303</v>
      </c>
      <c r="D693" s="10" t="s">
        <v>304</v>
      </c>
      <c r="E693" s="10">
        <v>15770</v>
      </c>
      <c r="F693" s="12">
        <f t="shared" si="382"/>
        <v>4731</v>
      </c>
      <c r="G693" s="12">
        <f>F693*H693</f>
        <v>4731</v>
      </c>
      <c r="H693" s="13">
        <v>1</v>
      </c>
      <c r="I693" s="14" t="s">
        <v>12</v>
      </c>
      <c r="J693" s="10" t="s">
        <v>207</v>
      </c>
      <c r="K693" s="13" t="str">
        <f t="shared" ref="K693" si="384">K684</f>
        <v>Блок15</v>
      </c>
      <c r="L693" s="13"/>
      <c r="M693" s="13"/>
      <c r="N693" s="13"/>
      <c r="O693" s="26">
        <f t="shared" ref="O693" si="385">O684</f>
        <v>1</v>
      </c>
      <c r="P693" s="26">
        <f>O693*H693</f>
        <v>1</v>
      </c>
      <c r="Q693" s="27">
        <f>P693*F693</f>
        <v>4731</v>
      </c>
    </row>
    <row r="694" spans="1:17" ht="35.25" customHeight="1" x14ac:dyDescent="0.25">
      <c r="A694" s="13" t="str">
        <f>A686</f>
        <v>ЩР15</v>
      </c>
      <c r="B694" s="10" t="s">
        <v>279</v>
      </c>
      <c r="C694" s="11" t="s">
        <v>305</v>
      </c>
      <c r="D694" s="25" t="s">
        <v>306</v>
      </c>
      <c r="E694" s="10">
        <v>13990</v>
      </c>
      <c r="F694" s="12">
        <f t="shared" si="382"/>
        <v>4197</v>
      </c>
      <c r="G694" s="12">
        <f>F694*H694</f>
        <v>8394</v>
      </c>
      <c r="H694" s="13">
        <v>2</v>
      </c>
      <c r="I694" s="14" t="s">
        <v>12</v>
      </c>
      <c r="J694" s="10" t="s">
        <v>207</v>
      </c>
      <c r="K694" s="13" t="str">
        <f>K686</f>
        <v>Блок15</v>
      </c>
      <c r="L694" s="13"/>
      <c r="M694" s="13"/>
      <c r="N694" s="13"/>
      <c r="O694" s="26">
        <f>O686</f>
        <v>1</v>
      </c>
      <c r="P694" s="26">
        <f>O694*H694</f>
        <v>2</v>
      </c>
      <c r="Q694" s="27">
        <f>P694*F694</f>
        <v>8394</v>
      </c>
    </row>
    <row r="695" spans="1:17" ht="35.25" customHeight="1" x14ac:dyDescent="0.25">
      <c r="A695" s="13" t="str">
        <f>A690</f>
        <v>ЩР15</v>
      </c>
      <c r="B695" s="10" t="s">
        <v>263</v>
      </c>
      <c r="C695" s="11" t="s">
        <v>264</v>
      </c>
      <c r="D695" s="10" t="s">
        <v>265</v>
      </c>
      <c r="E695" s="10">
        <v>1610</v>
      </c>
      <c r="F695" s="12">
        <f t="shared" ref="F695:F700" si="386">0.6*E695</f>
        <v>966</v>
      </c>
      <c r="G695" s="12">
        <f>F695*H695</f>
        <v>2898</v>
      </c>
      <c r="H695" s="13">
        <v>3</v>
      </c>
      <c r="I695" s="14" t="s">
        <v>12</v>
      </c>
      <c r="J695" s="10" t="s">
        <v>14</v>
      </c>
      <c r="K695" s="13" t="str">
        <f>K690</f>
        <v>Блок15</v>
      </c>
      <c r="L695" s="13"/>
      <c r="M695" s="13"/>
      <c r="N695" s="13"/>
      <c r="O695" s="26">
        <f>O690</f>
        <v>1</v>
      </c>
      <c r="P695" s="26">
        <f>O695*H695</f>
        <v>3</v>
      </c>
      <c r="Q695" s="27">
        <f t="shared" ref="Q695:Q700" si="387">P695*E695</f>
        <v>4830</v>
      </c>
    </row>
    <row r="696" spans="1:17" ht="35.25" customHeight="1" x14ac:dyDescent="0.25">
      <c r="A696" s="13" t="str">
        <f t="shared" si="375"/>
        <v>ЩР15</v>
      </c>
      <c r="B696" s="10" t="s">
        <v>268</v>
      </c>
      <c r="C696" s="11" t="s">
        <v>266</v>
      </c>
      <c r="D696" s="10" t="s">
        <v>267</v>
      </c>
      <c r="E696" s="10">
        <v>689</v>
      </c>
      <c r="F696" s="12">
        <f t="shared" si="386"/>
        <v>413.4</v>
      </c>
      <c r="G696" s="12">
        <f>F696*H696</f>
        <v>826.8</v>
      </c>
      <c r="H696" s="13">
        <v>2</v>
      </c>
      <c r="I696" s="14" t="s">
        <v>12</v>
      </c>
      <c r="J696" s="10" t="s">
        <v>14</v>
      </c>
      <c r="K696" s="13" t="str">
        <f t="shared" ref="K696:K699" si="388">K695</f>
        <v>Блок15</v>
      </c>
      <c r="L696" s="13"/>
      <c r="M696" s="13"/>
      <c r="N696" s="13"/>
      <c r="O696" s="26">
        <f t="shared" si="376"/>
        <v>1</v>
      </c>
      <c r="P696" s="26">
        <f>O696*H696</f>
        <v>2</v>
      </c>
      <c r="Q696" s="27">
        <f t="shared" si="387"/>
        <v>1378</v>
      </c>
    </row>
    <row r="697" spans="1:17" ht="35.25" customHeight="1" x14ac:dyDescent="0.25">
      <c r="A697" s="13" t="str">
        <f t="shared" si="375"/>
        <v>ЩР15</v>
      </c>
      <c r="B697" s="10" t="s">
        <v>276</v>
      </c>
      <c r="C697" s="11" t="s">
        <v>277</v>
      </c>
      <c r="D697" s="10" t="s">
        <v>278</v>
      </c>
      <c r="E697" s="10">
        <v>1836</v>
      </c>
      <c r="F697" s="12">
        <f t="shared" si="386"/>
        <v>1101.5999999999999</v>
      </c>
      <c r="G697" s="12">
        <f>F697*H697</f>
        <v>1101.5999999999999</v>
      </c>
      <c r="H697" s="13">
        <v>1</v>
      </c>
      <c r="I697" s="14" t="s">
        <v>12</v>
      </c>
      <c r="J697" s="10" t="s">
        <v>14</v>
      </c>
      <c r="K697" s="13" t="str">
        <f t="shared" si="388"/>
        <v>Блок15</v>
      </c>
      <c r="L697" s="13"/>
      <c r="M697" s="13"/>
      <c r="N697" s="13"/>
      <c r="O697" s="26">
        <f t="shared" si="376"/>
        <v>1</v>
      </c>
      <c r="P697" s="26">
        <f>O697*H697</f>
        <v>1</v>
      </c>
      <c r="Q697" s="27">
        <f t="shared" si="387"/>
        <v>1836</v>
      </c>
    </row>
    <row r="698" spans="1:17" ht="35.25" customHeight="1" x14ac:dyDescent="0.25">
      <c r="A698" s="13" t="str">
        <f t="shared" si="375"/>
        <v>ЩР15</v>
      </c>
      <c r="B698" s="10" t="s">
        <v>280</v>
      </c>
      <c r="C698" s="11" t="s">
        <v>281</v>
      </c>
      <c r="D698" s="10" t="s">
        <v>282</v>
      </c>
      <c r="E698" s="10">
        <v>1602</v>
      </c>
      <c r="F698" s="12">
        <f t="shared" si="386"/>
        <v>961.19999999999993</v>
      </c>
      <c r="G698" s="12">
        <f>F698*H698</f>
        <v>1922.3999999999999</v>
      </c>
      <c r="H698" s="13">
        <v>2</v>
      </c>
      <c r="I698" s="14" t="s">
        <v>12</v>
      </c>
      <c r="J698" s="10" t="s">
        <v>14</v>
      </c>
      <c r="K698" s="13" t="str">
        <f t="shared" si="388"/>
        <v>Блок15</v>
      </c>
      <c r="L698" s="13"/>
      <c r="M698" s="13"/>
      <c r="N698" s="13"/>
      <c r="O698" s="26">
        <f t="shared" si="376"/>
        <v>1</v>
      </c>
      <c r="P698" s="26">
        <f>O698*H698</f>
        <v>2</v>
      </c>
      <c r="Q698" s="27">
        <f t="shared" si="387"/>
        <v>3204</v>
      </c>
    </row>
    <row r="699" spans="1:17" ht="35.25" customHeight="1" x14ac:dyDescent="0.25">
      <c r="A699" s="13" t="str">
        <f t="shared" si="375"/>
        <v>ЩР15</v>
      </c>
      <c r="B699" s="10" t="s">
        <v>283</v>
      </c>
      <c r="C699" s="11" t="s">
        <v>284</v>
      </c>
      <c r="D699" s="10" t="s">
        <v>285</v>
      </c>
      <c r="E699" s="10">
        <v>350</v>
      </c>
      <c r="F699" s="12">
        <f t="shared" si="386"/>
        <v>210</v>
      </c>
      <c r="G699" s="12">
        <f>F699*H699</f>
        <v>840</v>
      </c>
      <c r="H699" s="13">
        <v>4</v>
      </c>
      <c r="I699" s="14" t="s">
        <v>12</v>
      </c>
      <c r="J699" s="10" t="s">
        <v>14</v>
      </c>
      <c r="K699" s="13" t="str">
        <f t="shared" si="388"/>
        <v>Блок15</v>
      </c>
      <c r="L699" s="13"/>
      <c r="M699" s="13"/>
      <c r="N699" s="13"/>
      <c r="O699" s="26">
        <f t="shared" si="376"/>
        <v>1</v>
      </c>
      <c r="P699" s="26">
        <f>O699*H699</f>
        <v>4</v>
      </c>
      <c r="Q699" s="27">
        <f t="shared" si="387"/>
        <v>1400</v>
      </c>
    </row>
    <row r="700" spans="1:17" ht="35.25" customHeight="1" x14ac:dyDescent="0.25">
      <c r="A700" s="13" t="str">
        <f>A698</f>
        <v>ЩР15</v>
      </c>
      <c r="B700" s="10" t="s">
        <v>269</v>
      </c>
      <c r="C700" s="11" t="s">
        <v>270</v>
      </c>
      <c r="D700" s="10" t="s">
        <v>271</v>
      </c>
      <c r="E700" s="10">
        <v>1738</v>
      </c>
      <c r="F700" s="12">
        <f t="shared" si="386"/>
        <v>1042.8</v>
      </c>
      <c r="G700" s="12">
        <f>F700*H700</f>
        <v>1042.8</v>
      </c>
      <c r="H700" s="13">
        <v>1</v>
      </c>
      <c r="I700" s="14" t="s">
        <v>12</v>
      </c>
      <c r="J700" s="10" t="s">
        <v>14</v>
      </c>
      <c r="K700" s="13" t="str">
        <f>K698</f>
        <v>Блок15</v>
      </c>
      <c r="L700" s="13"/>
      <c r="M700" s="13"/>
      <c r="N700" s="13"/>
      <c r="O700" s="26">
        <f>O698</f>
        <v>1</v>
      </c>
      <c r="P700" s="26">
        <f>O700*H700</f>
        <v>1</v>
      </c>
      <c r="Q700" s="27">
        <f t="shared" si="387"/>
        <v>1738</v>
      </c>
    </row>
    <row r="701" spans="1:17" ht="35.25" customHeight="1" x14ac:dyDescent="0.25">
      <c r="A701" s="10" t="str">
        <f>A690</f>
        <v>ЩР15</v>
      </c>
      <c r="B701" s="10" t="s">
        <v>19</v>
      </c>
      <c r="C701" s="11" t="s">
        <v>19</v>
      </c>
      <c r="D701" s="10" t="s">
        <v>19</v>
      </c>
      <c r="E701" s="10">
        <f ca="1">OFFSET(E701,1,2)</f>
        <v>60000</v>
      </c>
      <c r="F701" s="12">
        <f ca="1">E701</f>
        <v>60000</v>
      </c>
      <c r="G701" s="12">
        <f ca="1">F701*H701</f>
        <v>60000</v>
      </c>
      <c r="H701" s="10">
        <v>1</v>
      </c>
      <c r="I701" s="10" t="s">
        <v>12</v>
      </c>
      <c r="J701" s="10" t="s">
        <v>19</v>
      </c>
      <c r="K701" s="13" t="str">
        <f>K690</f>
        <v>Блок15</v>
      </c>
      <c r="L701" s="13"/>
      <c r="M701" s="13"/>
      <c r="N701" s="13"/>
      <c r="O701" s="26">
        <f>O690</f>
        <v>1</v>
      </c>
      <c r="P701" s="26">
        <f>O701*H701</f>
        <v>1</v>
      </c>
      <c r="Q701" s="27">
        <f ca="1">P701*F701</f>
        <v>60000</v>
      </c>
    </row>
    <row r="702" spans="1:17" ht="35.25" customHeight="1" x14ac:dyDescent="0.25">
      <c r="A702" s="10" t="str">
        <f t="shared" si="375"/>
        <v>ЩР15</v>
      </c>
      <c r="B702" s="10" t="s">
        <v>20</v>
      </c>
      <c r="C702" s="11" t="s">
        <v>20</v>
      </c>
      <c r="D702" s="10" t="s">
        <v>20</v>
      </c>
      <c r="E702" s="10">
        <v>10</v>
      </c>
      <c r="F702" s="12">
        <v>100</v>
      </c>
      <c r="G702" s="12">
        <f>F702*H702</f>
        <v>60000</v>
      </c>
      <c r="H702" s="10">
        <f>60*E702</f>
        <v>600</v>
      </c>
      <c r="I702" s="10" t="s">
        <v>12</v>
      </c>
      <c r="J702" s="10" t="s">
        <v>20</v>
      </c>
      <c r="K702" s="13" t="str">
        <f>K701</f>
        <v>Блок15</v>
      </c>
      <c r="L702" s="13"/>
      <c r="M702" s="13"/>
      <c r="N702" s="13"/>
      <c r="O702" s="26">
        <f t="shared" si="376"/>
        <v>1</v>
      </c>
      <c r="P702" s="26">
        <f>O702*H702</f>
        <v>600</v>
      </c>
      <c r="Q702" s="27">
        <f>P702*F702</f>
        <v>60000</v>
      </c>
    </row>
    <row r="703" spans="1:17" ht="35.25" customHeight="1" x14ac:dyDescent="0.25">
      <c r="A703" s="15" t="str">
        <f t="shared" si="375"/>
        <v>ЩР15</v>
      </c>
      <c r="B703" s="15"/>
      <c r="C703" s="15"/>
      <c r="D703" s="16"/>
      <c r="E703" s="28"/>
      <c r="F703" s="12">
        <f t="shared" si="381"/>
        <v>0</v>
      </c>
      <c r="G703" s="28">
        <f ca="1">SUM(G675:G702)</f>
        <v>455628.89999999997</v>
      </c>
      <c r="H703" s="15"/>
      <c r="I703" s="19"/>
      <c r="J703" s="15"/>
      <c r="K703" s="13" t="str">
        <f>K702</f>
        <v>Блок15</v>
      </c>
      <c r="L703" s="13"/>
      <c r="M703" s="13"/>
      <c r="N703" s="13"/>
      <c r="O703" s="26">
        <f t="shared" si="376"/>
        <v>1</v>
      </c>
      <c r="P703" s="26">
        <f>O703*H703</f>
        <v>0</v>
      </c>
      <c r="Q703" s="27">
        <f>P703*F703</f>
        <v>0</v>
      </c>
    </row>
    <row r="704" spans="1:17" ht="35.25" customHeight="1" x14ac:dyDescent="0.25">
      <c r="A704" s="8" t="str">
        <f>D704</f>
        <v>ЩЭ-3</v>
      </c>
      <c r="B704" s="4"/>
      <c r="C704" s="5"/>
      <c r="D704" s="4" t="s">
        <v>155</v>
      </c>
      <c r="E704" s="6"/>
      <c r="F704" s="6"/>
      <c r="G704" s="7"/>
      <c r="H704" s="8">
        <v>4</v>
      </c>
      <c r="I704" s="9" t="s">
        <v>9</v>
      </c>
      <c r="J704" s="4" t="s">
        <v>10</v>
      </c>
      <c r="K704" s="8" t="s">
        <v>111</v>
      </c>
      <c r="L704" s="8"/>
      <c r="M704" s="8"/>
      <c r="N704" s="8"/>
      <c r="O704" s="26">
        <f>H704</f>
        <v>4</v>
      </c>
      <c r="P704" s="26">
        <f>O704*H704</f>
        <v>16</v>
      </c>
      <c r="Q704" s="27">
        <f>P704*F704</f>
        <v>0</v>
      </c>
    </row>
    <row r="705" spans="1:17" ht="35.25" customHeight="1" x14ac:dyDescent="0.25">
      <c r="A705" s="13" t="str">
        <f t="shared" ref="A705:A711" si="389">A704</f>
        <v>ЩЭ-3</v>
      </c>
      <c r="B705" s="10" t="s">
        <v>11</v>
      </c>
      <c r="C705" s="11" t="s">
        <v>319</v>
      </c>
      <c r="D705" s="10" t="s">
        <v>320</v>
      </c>
      <c r="E705" s="10">
        <v>48000</v>
      </c>
      <c r="F705" s="12">
        <f>0.6*E705</f>
        <v>28800</v>
      </c>
      <c r="G705" s="12">
        <f>F705*H705</f>
        <v>28800</v>
      </c>
      <c r="H705" s="13">
        <v>1</v>
      </c>
      <c r="I705" s="14" t="s">
        <v>12</v>
      </c>
      <c r="J705" s="10" t="s">
        <v>13</v>
      </c>
      <c r="K705" s="13" t="s">
        <v>111</v>
      </c>
      <c r="L705" s="13"/>
      <c r="M705" s="13"/>
      <c r="N705" s="13"/>
      <c r="O705" s="26">
        <f t="shared" ref="O705:O711" si="390">O704</f>
        <v>4</v>
      </c>
      <c r="P705" s="26">
        <f>O705*H705</f>
        <v>4</v>
      </c>
      <c r="Q705" s="27">
        <f>P705*F705</f>
        <v>115200</v>
      </c>
    </row>
    <row r="706" spans="1:17" ht="35.25" customHeight="1" x14ac:dyDescent="0.25">
      <c r="A706" s="13" t="str">
        <f>A704</f>
        <v>ЩЭ-3</v>
      </c>
      <c r="B706" s="10" t="s">
        <v>293</v>
      </c>
      <c r="C706" s="11" t="s">
        <v>313</v>
      </c>
      <c r="D706" s="10" t="s">
        <v>314</v>
      </c>
      <c r="E706" s="10">
        <v>2064</v>
      </c>
      <c r="F706" s="12">
        <f>E706*0.6</f>
        <v>1238.3999999999999</v>
      </c>
      <c r="G706" s="12">
        <f>F706*H706</f>
        <v>3715.2</v>
      </c>
      <c r="H706" s="13">
        <v>3</v>
      </c>
      <c r="I706" s="14" t="s">
        <v>12</v>
      </c>
      <c r="J706" s="10" t="s">
        <v>208</v>
      </c>
      <c r="K706" s="13" t="s">
        <v>111</v>
      </c>
      <c r="L706" s="13"/>
      <c r="M706" s="13"/>
      <c r="N706" s="13"/>
      <c r="O706" s="26">
        <f>O704</f>
        <v>4</v>
      </c>
      <c r="P706" s="26">
        <f>O706*H706</f>
        <v>12</v>
      </c>
      <c r="Q706" s="27">
        <f>P706*E706</f>
        <v>24768</v>
      </c>
    </row>
    <row r="707" spans="1:17" ht="35.25" customHeight="1" x14ac:dyDescent="0.25">
      <c r="A707" s="13" t="str">
        <f>A705</f>
        <v>ЩЭ-3</v>
      </c>
      <c r="B707" s="10" t="s">
        <v>18</v>
      </c>
      <c r="C707" s="11" t="s">
        <v>311</v>
      </c>
      <c r="D707" s="10" t="s">
        <v>312</v>
      </c>
      <c r="E707" s="10">
        <v>5834</v>
      </c>
      <c r="F707" s="12">
        <f>E707*0.35</f>
        <v>2041.8999999999999</v>
      </c>
      <c r="G707" s="12">
        <f>F707*H707</f>
        <v>6125.7</v>
      </c>
      <c r="H707" s="13">
        <v>3</v>
      </c>
      <c r="I707" s="14" t="s">
        <v>12</v>
      </c>
      <c r="J707" s="10" t="s">
        <v>14</v>
      </c>
      <c r="K707" s="13" t="s">
        <v>111</v>
      </c>
      <c r="L707" s="13"/>
      <c r="M707" s="13"/>
      <c r="N707" s="13"/>
      <c r="O707" s="26">
        <f>O705</f>
        <v>4</v>
      </c>
      <c r="P707" s="26">
        <f>O707*H707</f>
        <v>12</v>
      </c>
      <c r="Q707" s="27">
        <f>P707*E707</f>
        <v>70008</v>
      </c>
    </row>
    <row r="708" spans="1:17" ht="35.25" customHeight="1" x14ac:dyDescent="0.25">
      <c r="A708" s="13" t="str">
        <f t="shared" si="389"/>
        <v>ЩЭ-3</v>
      </c>
      <c r="B708" s="10" t="s">
        <v>15</v>
      </c>
      <c r="C708" s="11" t="s">
        <v>309</v>
      </c>
      <c r="D708" s="10" t="s">
        <v>310</v>
      </c>
      <c r="E708" s="10">
        <v>39500</v>
      </c>
      <c r="F708" s="12">
        <f>E708</f>
        <v>39500</v>
      </c>
      <c r="G708" s="12">
        <f>F708*H708</f>
        <v>118500</v>
      </c>
      <c r="H708" s="13">
        <v>3</v>
      </c>
      <c r="I708" s="14" t="s">
        <v>12</v>
      </c>
      <c r="J708" s="10" t="s">
        <v>16</v>
      </c>
      <c r="K708" s="13" t="s">
        <v>111</v>
      </c>
      <c r="L708" s="13"/>
      <c r="M708" s="13"/>
      <c r="N708" s="13"/>
      <c r="O708" s="26">
        <f t="shared" si="390"/>
        <v>4</v>
      </c>
      <c r="P708" s="26">
        <f>O708*H708</f>
        <v>12</v>
      </c>
      <c r="Q708" s="27">
        <f t="shared" ref="Q708:Q713" si="391">P708*F708</f>
        <v>474000</v>
      </c>
    </row>
    <row r="709" spans="1:17" ht="35.25" customHeight="1" x14ac:dyDescent="0.25">
      <c r="A709" s="10" t="str">
        <f t="shared" si="389"/>
        <v>ЩЭ-3</v>
      </c>
      <c r="B709" s="10" t="s">
        <v>19</v>
      </c>
      <c r="C709" s="11" t="s">
        <v>19</v>
      </c>
      <c r="D709" s="10" t="s">
        <v>19</v>
      </c>
      <c r="E709" s="10">
        <f ca="1">OFFSET(E709,1,2)</f>
        <v>18000</v>
      </c>
      <c r="F709" s="12">
        <f ca="1">E709</f>
        <v>18000</v>
      </c>
      <c r="G709" s="12">
        <f ca="1">F709*H709</f>
        <v>18000</v>
      </c>
      <c r="H709" s="10">
        <v>1</v>
      </c>
      <c r="I709" s="10" t="s">
        <v>12</v>
      </c>
      <c r="J709" s="10" t="s">
        <v>19</v>
      </c>
      <c r="K709" s="13" t="s">
        <v>111</v>
      </c>
      <c r="L709" s="13"/>
      <c r="M709" s="13"/>
      <c r="N709" s="13"/>
      <c r="O709" s="26">
        <f t="shared" si="390"/>
        <v>4</v>
      </c>
      <c r="P709" s="26">
        <f>O709*H709</f>
        <v>4</v>
      </c>
      <c r="Q709" s="27">
        <f t="shared" ca="1" si="391"/>
        <v>72000</v>
      </c>
    </row>
    <row r="710" spans="1:17" ht="35.25" customHeight="1" x14ac:dyDescent="0.25">
      <c r="A710" s="10" t="str">
        <f t="shared" si="389"/>
        <v>ЩЭ-3</v>
      </c>
      <c r="B710" s="10" t="s">
        <v>20</v>
      </c>
      <c r="C710" s="11" t="s">
        <v>20</v>
      </c>
      <c r="D710" s="10" t="s">
        <v>20</v>
      </c>
      <c r="E710" s="10">
        <v>3</v>
      </c>
      <c r="F710" s="12">
        <v>100</v>
      </c>
      <c r="G710" s="12">
        <f>F710*H710</f>
        <v>18000</v>
      </c>
      <c r="H710" s="10">
        <f>60*E710</f>
        <v>180</v>
      </c>
      <c r="I710" s="10" t="s">
        <v>12</v>
      </c>
      <c r="J710" s="10" t="s">
        <v>20</v>
      </c>
      <c r="K710" s="13" t="s">
        <v>111</v>
      </c>
      <c r="L710" s="13"/>
      <c r="M710" s="13"/>
      <c r="N710" s="13"/>
      <c r="O710" s="26">
        <f t="shared" si="390"/>
        <v>4</v>
      </c>
      <c r="P710" s="26">
        <f>O710*H710</f>
        <v>720</v>
      </c>
      <c r="Q710" s="27">
        <f t="shared" si="391"/>
        <v>72000</v>
      </c>
    </row>
    <row r="711" spans="1:17" ht="35.25" customHeight="1" x14ac:dyDescent="0.25">
      <c r="A711" s="15" t="str">
        <f t="shared" si="389"/>
        <v>ЩЭ-3</v>
      </c>
      <c r="B711" s="15"/>
      <c r="C711" s="15"/>
      <c r="D711" s="16"/>
      <c r="E711" s="28"/>
      <c r="F711" s="12">
        <f t="shared" ref="F711" si="392">E711*0.55</f>
        <v>0</v>
      </c>
      <c r="G711" s="28">
        <f ca="1">SUM(G705:G710)</f>
        <v>193140.9</v>
      </c>
      <c r="H711" s="15"/>
      <c r="I711" s="19"/>
      <c r="J711" s="15"/>
      <c r="K711" s="13" t="s">
        <v>111</v>
      </c>
      <c r="L711" s="13"/>
      <c r="M711" s="13"/>
      <c r="N711" s="13"/>
      <c r="O711" s="26">
        <f t="shared" si="390"/>
        <v>4</v>
      </c>
      <c r="P711" s="26">
        <f>O711*H711</f>
        <v>0</v>
      </c>
      <c r="Q711" s="27">
        <f t="shared" si="391"/>
        <v>0</v>
      </c>
    </row>
    <row r="712" spans="1:17" ht="35.25" customHeight="1" x14ac:dyDescent="0.25">
      <c r="A712" s="8" t="str">
        <f>D712</f>
        <v>ЩЭ-4</v>
      </c>
      <c r="B712" s="4"/>
      <c r="C712" s="5"/>
      <c r="D712" s="4" t="s">
        <v>156</v>
      </c>
      <c r="E712" s="6"/>
      <c r="F712" s="6"/>
      <c r="G712" s="7"/>
      <c r="H712" s="8">
        <v>72</v>
      </c>
      <c r="I712" s="9" t="s">
        <v>9</v>
      </c>
      <c r="J712" s="4" t="s">
        <v>10</v>
      </c>
      <c r="K712" s="8" t="s">
        <v>111</v>
      </c>
      <c r="L712" s="8"/>
      <c r="M712" s="8"/>
      <c r="N712" s="8"/>
      <c r="O712" s="26">
        <f>H712</f>
        <v>72</v>
      </c>
      <c r="P712" s="26">
        <f>O712*H712</f>
        <v>5184</v>
      </c>
      <c r="Q712" s="27">
        <f t="shared" si="391"/>
        <v>0</v>
      </c>
    </row>
    <row r="713" spans="1:17" ht="35.25" customHeight="1" x14ac:dyDescent="0.25">
      <c r="A713" s="13" t="str">
        <f t="shared" ref="A713:A719" si="393">A712</f>
        <v>ЩЭ-4</v>
      </c>
      <c r="B713" s="10" t="s">
        <v>11</v>
      </c>
      <c r="C713" s="11" t="s">
        <v>315</v>
      </c>
      <c r="D713" s="10" t="s">
        <v>318</v>
      </c>
      <c r="E713" s="10">
        <v>48000</v>
      </c>
      <c r="F713" s="12">
        <f>0.6*E713</f>
        <v>28800</v>
      </c>
      <c r="G713" s="12">
        <f>F713*H713</f>
        <v>28800</v>
      </c>
      <c r="H713" s="13">
        <v>1</v>
      </c>
      <c r="I713" s="14" t="s">
        <v>12</v>
      </c>
      <c r="J713" s="10" t="s">
        <v>13</v>
      </c>
      <c r="K713" s="13" t="s">
        <v>111</v>
      </c>
      <c r="L713" s="13"/>
      <c r="M713" s="13"/>
      <c r="N713" s="13"/>
      <c r="O713" s="26">
        <f t="shared" ref="O713:O719" si="394">O712</f>
        <v>72</v>
      </c>
      <c r="P713" s="26">
        <f>O713*H713</f>
        <v>72</v>
      </c>
      <c r="Q713" s="27">
        <f t="shared" si="391"/>
        <v>2073600</v>
      </c>
    </row>
    <row r="714" spans="1:17" ht="35.25" customHeight="1" x14ac:dyDescent="0.25">
      <c r="A714" s="13" t="str">
        <f t="shared" si="393"/>
        <v>ЩЭ-4</v>
      </c>
      <c r="B714" s="10" t="s">
        <v>293</v>
      </c>
      <c r="C714" s="11" t="s">
        <v>313</v>
      </c>
      <c r="D714" s="10" t="s">
        <v>314</v>
      </c>
      <c r="E714" s="10">
        <v>2064</v>
      </c>
      <c r="F714" s="12">
        <f>E714*0.6</f>
        <v>1238.3999999999999</v>
      </c>
      <c r="G714" s="12">
        <f>F714*H714</f>
        <v>4953.5999999999995</v>
      </c>
      <c r="H714" s="13">
        <v>4</v>
      </c>
      <c r="I714" s="14" t="s">
        <v>12</v>
      </c>
      <c r="J714" s="10" t="s">
        <v>208</v>
      </c>
      <c r="K714" s="13" t="s">
        <v>111</v>
      </c>
      <c r="L714" s="13"/>
      <c r="M714" s="13"/>
      <c r="N714" s="13"/>
      <c r="O714" s="26">
        <f t="shared" si="394"/>
        <v>72</v>
      </c>
      <c r="P714" s="26">
        <f>O714*H714</f>
        <v>288</v>
      </c>
      <c r="Q714" s="27">
        <f>P714*E714</f>
        <v>594432</v>
      </c>
    </row>
    <row r="715" spans="1:17" ht="35.25" customHeight="1" x14ac:dyDescent="0.25">
      <c r="A715" s="13" t="str">
        <f>A713</f>
        <v>ЩЭ-4</v>
      </c>
      <c r="B715" s="10" t="s">
        <v>18</v>
      </c>
      <c r="C715" s="11" t="s">
        <v>311</v>
      </c>
      <c r="D715" s="10" t="s">
        <v>312</v>
      </c>
      <c r="E715" s="10">
        <v>5834</v>
      </c>
      <c r="F715" s="12">
        <f>E715*0.35</f>
        <v>2041.8999999999999</v>
      </c>
      <c r="G715" s="12">
        <f>F715*H715</f>
        <v>8167.5999999999995</v>
      </c>
      <c r="H715" s="13">
        <v>4</v>
      </c>
      <c r="I715" s="14" t="s">
        <v>12</v>
      </c>
      <c r="J715" s="10" t="s">
        <v>14</v>
      </c>
      <c r="K715" s="13" t="s">
        <v>111</v>
      </c>
      <c r="L715" s="13"/>
      <c r="M715" s="13"/>
      <c r="N715" s="13"/>
      <c r="O715" s="26">
        <f>O713</f>
        <v>72</v>
      </c>
      <c r="P715" s="26">
        <f>O715*H715</f>
        <v>288</v>
      </c>
      <c r="Q715" s="27">
        <f>P715*E715</f>
        <v>1680192</v>
      </c>
    </row>
    <row r="716" spans="1:17" ht="35.25" customHeight="1" x14ac:dyDescent="0.25">
      <c r="A716" s="13" t="str">
        <f>A714</f>
        <v>ЩЭ-4</v>
      </c>
      <c r="B716" s="10" t="s">
        <v>15</v>
      </c>
      <c r="C716" s="11" t="s">
        <v>309</v>
      </c>
      <c r="D716" s="10" t="s">
        <v>310</v>
      </c>
      <c r="E716" s="10">
        <v>39500</v>
      </c>
      <c r="F716" s="12">
        <f>E716</f>
        <v>39500</v>
      </c>
      <c r="G716" s="12">
        <f>F716*H716</f>
        <v>158000</v>
      </c>
      <c r="H716" s="13">
        <v>4</v>
      </c>
      <c r="I716" s="14" t="s">
        <v>12</v>
      </c>
      <c r="J716" s="10" t="s">
        <v>16</v>
      </c>
      <c r="K716" s="13" t="s">
        <v>111</v>
      </c>
      <c r="L716" s="13"/>
      <c r="M716" s="13"/>
      <c r="N716" s="13"/>
      <c r="O716" s="26">
        <f>O714</f>
        <v>72</v>
      </c>
      <c r="P716" s="26">
        <f>O716*H716</f>
        <v>288</v>
      </c>
      <c r="Q716" s="27">
        <f t="shared" ref="Q716:Q721" si="395">P716*F716</f>
        <v>11376000</v>
      </c>
    </row>
    <row r="717" spans="1:17" ht="35.25" customHeight="1" x14ac:dyDescent="0.25">
      <c r="A717" s="10" t="str">
        <f t="shared" si="393"/>
        <v>ЩЭ-4</v>
      </c>
      <c r="B717" s="10" t="s">
        <v>19</v>
      </c>
      <c r="C717" s="11" t="s">
        <v>19</v>
      </c>
      <c r="D717" s="10" t="s">
        <v>19</v>
      </c>
      <c r="E717" s="10">
        <f ca="1">OFFSET(E717,1,2)</f>
        <v>24000</v>
      </c>
      <c r="F717" s="12">
        <f ca="1">E717</f>
        <v>24000</v>
      </c>
      <c r="G717" s="12">
        <f ca="1">F717*H717</f>
        <v>24000</v>
      </c>
      <c r="H717" s="10">
        <v>1</v>
      </c>
      <c r="I717" s="10" t="s">
        <v>12</v>
      </c>
      <c r="J717" s="10" t="s">
        <v>19</v>
      </c>
      <c r="K717" s="13" t="s">
        <v>111</v>
      </c>
      <c r="L717" s="13"/>
      <c r="M717" s="13"/>
      <c r="N717" s="13"/>
      <c r="O717" s="26">
        <f t="shared" si="394"/>
        <v>72</v>
      </c>
      <c r="P717" s="26">
        <f>O717*H717</f>
        <v>72</v>
      </c>
      <c r="Q717" s="27">
        <f t="shared" ca="1" si="395"/>
        <v>1728000</v>
      </c>
    </row>
    <row r="718" spans="1:17" ht="35.25" customHeight="1" x14ac:dyDescent="0.25">
      <c r="A718" s="10" t="str">
        <f t="shared" si="393"/>
        <v>ЩЭ-4</v>
      </c>
      <c r="B718" s="10" t="s">
        <v>20</v>
      </c>
      <c r="C718" s="11" t="s">
        <v>20</v>
      </c>
      <c r="D718" s="10" t="s">
        <v>20</v>
      </c>
      <c r="E718" s="10">
        <v>4</v>
      </c>
      <c r="F718" s="12">
        <v>100</v>
      </c>
      <c r="G718" s="12">
        <f>F718*H718</f>
        <v>24000</v>
      </c>
      <c r="H718" s="10">
        <f>60*E718</f>
        <v>240</v>
      </c>
      <c r="I718" s="10" t="s">
        <v>12</v>
      </c>
      <c r="J718" s="10" t="s">
        <v>20</v>
      </c>
      <c r="K718" s="13" t="s">
        <v>111</v>
      </c>
      <c r="L718" s="13"/>
      <c r="M718" s="13"/>
      <c r="N718" s="13"/>
      <c r="O718" s="26">
        <f t="shared" si="394"/>
        <v>72</v>
      </c>
      <c r="P718" s="26">
        <f>O718*H718</f>
        <v>17280</v>
      </c>
      <c r="Q718" s="27">
        <f t="shared" si="395"/>
        <v>1728000</v>
      </c>
    </row>
    <row r="719" spans="1:17" ht="35.25" customHeight="1" x14ac:dyDescent="0.25">
      <c r="A719" s="15" t="str">
        <f t="shared" si="393"/>
        <v>ЩЭ-4</v>
      </c>
      <c r="B719" s="15"/>
      <c r="C719" s="15"/>
      <c r="D719" s="16"/>
      <c r="E719" s="28"/>
      <c r="F719" s="12">
        <f t="shared" ref="F719" si="396">E719*0.55</f>
        <v>0</v>
      </c>
      <c r="G719" s="28">
        <f ca="1">SUM(G713:G718)</f>
        <v>247921.2</v>
      </c>
      <c r="H719" s="15"/>
      <c r="I719" s="19"/>
      <c r="J719" s="15"/>
      <c r="K719" s="13" t="s">
        <v>111</v>
      </c>
      <c r="L719" s="13"/>
      <c r="M719" s="13"/>
      <c r="N719" s="13"/>
      <c r="O719" s="26">
        <f t="shared" si="394"/>
        <v>72</v>
      </c>
      <c r="P719" s="26">
        <f>O719*H719</f>
        <v>0</v>
      </c>
      <c r="Q719" s="27">
        <f t="shared" si="395"/>
        <v>0</v>
      </c>
    </row>
    <row r="720" spans="1:17" ht="35.25" customHeight="1" x14ac:dyDescent="0.25">
      <c r="A720" s="8" t="str">
        <f>D720</f>
        <v>ЩЭ-6</v>
      </c>
      <c r="B720" s="4"/>
      <c r="C720" s="5"/>
      <c r="D720" s="4" t="s">
        <v>159</v>
      </c>
      <c r="E720" s="6"/>
      <c r="F720" s="6"/>
      <c r="G720" s="7"/>
      <c r="H720" s="8">
        <v>2</v>
      </c>
      <c r="I720" s="9" t="s">
        <v>9</v>
      </c>
      <c r="J720" s="4" t="s">
        <v>10</v>
      </c>
      <c r="K720" s="8" t="s">
        <v>111</v>
      </c>
      <c r="L720" s="8"/>
      <c r="M720" s="8"/>
      <c r="N720" s="8"/>
      <c r="O720" s="26">
        <f>H720</f>
        <v>2</v>
      </c>
      <c r="P720" s="26">
        <f>O720*H720</f>
        <v>4</v>
      </c>
      <c r="Q720" s="27">
        <f t="shared" si="395"/>
        <v>0</v>
      </c>
    </row>
    <row r="721" spans="1:17" ht="35.25" customHeight="1" x14ac:dyDescent="0.25">
      <c r="A721" s="13" t="str">
        <f t="shared" ref="A721:A727" si="397">A720</f>
        <v>ЩЭ-6</v>
      </c>
      <c r="B721" s="10" t="s">
        <v>11</v>
      </c>
      <c r="C721" s="11" t="s">
        <v>315</v>
      </c>
      <c r="D721" s="10" t="s">
        <v>317</v>
      </c>
      <c r="E721" s="10">
        <v>52000</v>
      </c>
      <c r="F721" s="12">
        <f>0.6*E721</f>
        <v>31200</v>
      </c>
      <c r="G721" s="12">
        <f>F721*H721</f>
        <v>31200</v>
      </c>
      <c r="H721" s="13">
        <v>1</v>
      </c>
      <c r="I721" s="14" t="s">
        <v>12</v>
      </c>
      <c r="J721" s="10" t="s">
        <v>13</v>
      </c>
      <c r="K721" s="13" t="s">
        <v>111</v>
      </c>
      <c r="L721" s="13"/>
      <c r="M721" s="13"/>
      <c r="N721" s="13"/>
      <c r="O721" s="26">
        <f t="shared" ref="O721:O727" si="398">O720</f>
        <v>2</v>
      </c>
      <c r="P721" s="26">
        <f>O721*H721</f>
        <v>2</v>
      </c>
      <c r="Q721" s="27">
        <f t="shared" si="395"/>
        <v>62400</v>
      </c>
    </row>
    <row r="722" spans="1:17" ht="35.25" customHeight="1" x14ac:dyDescent="0.25">
      <c r="A722" s="13" t="str">
        <f t="shared" si="397"/>
        <v>ЩЭ-6</v>
      </c>
      <c r="B722" s="10" t="s">
        <v>293</v>
      </c>
      <c r="C722" s="11" t="s">
        <v>313</v>
      </c>
      <c r="D722" s="10" t="s">
        <v>314</v>
      </c>
      <c r="E722" s="10">
        <v>2064</v>
      </c>
      <c r="F722" s="12">
        <f>E722*0.6</f>
        <v>1238.3999999999999</v>
      </c>
      <c r="G722" s="12">
        <f>F722*H722</f>
        <v>7430.4</v>
      </c>
      <c r="H722" s="13">
        <v>6</v>
      </c>
      <c r="I722" s="14" t="s">
        <v>12</v>
      </c>
      <c r="J722" s="10" t="s">
        <v>208</v>
      </c>
      <c r="K722" s="13" t="s">
        <v>111</v>
      </c>
      <c r="L722" s="13"/>
      <c r="M722" s="13"/>
      <c r="N722" s="13"/>
      <c r="O722" s="26">
        <f t="shared" si="398"/>
        <v>2</v>
      </c>
      <c r="P722" s="26">
        <f>O722*H722</f>
        <v>12</v>
      </c>
      <c r="Q722" s="27">
        <f>P722*E722</f>
        <v>24768</v>
      </c>
    </row>
    <row r="723" spans="1:17" ht="35.25" customHeight="1" x14ac:dyDescent="0.25">
      <c r="A723" s="13" t="str">
        <f>A721</f>
        <v>ЩЭ-6</v>
      </c>
      <c r="B723" s="10" t="s">
        <v>18</v>
      </c>
      <c r="C723" s="11" t="s">
        <v>311</v>
      </c>
      <c r="D723" s="10" t="s">
        <v>312</v>
      </c>
      <c r="E723" s="10">
        <v>5834</v>
      </c>
      <c r="F723" s="12">
        <f>E723*0.35</f>
        <v>2041.8999999999999</v>
      </c>
      <c r="G723" s="12">
        <f>F723*H723</f>
        <v>12251.4</v>
      </c>
      <c r="H723" s="13">
        <v>6</v>
      </c>
      <c r="I723" s="14" t="s">
        <v>12</v>
      </c>
      <c r="J723" s="10" t="s">
        <v>14</v>
      </c>
      <c r="K723" s="13" t="s">
        <v>111</v>
      </c>
      <c r="L723" s="13"/>
      <c r="M723" s="13"/>
      <c r="N723" s="13"/>
      <c r="O723" s="26">
        <f>O721</f>
        <v>2</v>
      </c>
      <c r="P723" s="26">
        <f>O723*H723</f>
        <v>12</v>
      </c>
      <c r="Q723" s="27">
        <f>P723*E723</f>
        <v>70008</v>
      </c>
    </row>
    <row r="724" spans="1:17" ht="35.25" customHeight="1" x14ac:dyDescent="0.25">
      <c r="A724" s="13" t="str">
        <f t="shared" si="397"/>
        <v>ЩЭ-6</v>
      </c>
      <c r="B724" s="10" t="s">
        <v>15</v>
      </c>
      <c r="C724" s="11" t="s">
        <v>309</v>
      </c>
      <c r="D724" s="10" t="s">
        <v>310</v>
      </c>
      <c r="E724" s="10">
        <v>39500</v>
      </c>
      <c r="F724" s="12">
        <f>E724</f>
        <v>39500</v>
      </c>
      <c r="G724" s="12">
        <f>F724*H724</f>
        <v>237000</v>
      </c>
      <c r="H724" s="13">
        <v>6</v>
      </c>
      <c r="I724" s="14" t="s">
        <v>12</v>
      </c>
      <c r="J724" s="10" t="s">
        <v>16</v>
      </c>
      <c r="K724" s="13" t="s">
        <v>111</v>
      </c>
      <c r="L724" s="13"/>
      <c r="M724" s="13"/>
      <c r="N724" s="13"/>
      <c r="O724" s="26">
        <f t="shared" si="398"/>
        <v>2</v>
      </c>
      <c r="P724" s="26">
        <f>O724*H724</f>
        <v>12</v>
      </c>
      <c r="Q724" s="27">
        <f t="shared" ref="Q724:Q729" si="399">P724*F724</f>
        <v>474000</v>
      </c>
    </row>
    <row r="725" spans="1:17" ht="35.25" customHeight="1" x14ac:dyDescent="0.25">
      <c r="A725" s="10" t="str">
        <f t="shared" si="397"/>
        <v>ЩЭ-6</v>
      </c>
      <c r="B725" s="10" t="s">
        <v>19</v>
      </c>
      <c r="C725" s="11" t="s">
        <v>19</v>
      </c>
      <c r="D725" s="10" t="s">
        <v>19</v>
      </c>
      <c r="E725" s="10">
        <f ca="1">OFFSET(E725,1,2)</f>
        <v>27000</v>
      </c>
      <c r="F725" s="12">
        <f ca="1">E725</f>
        <v>27000</v>
      </c>
      <c r="G725" s="12">
        <f ca="1">F725*H725</f>
        <v>27000</v>
      </c>
      <c r="H725" s="10">
        <v>1</v>
      </c>
      <c r="I725" s="10" t="s">
        <v>12</v>
      </c>
      <c r="J725" s="10" t="s">
        <v>19</v>
      </c>
      <c r="K725" s="13" t="s">
        <v>111</v>
      </c>
      <c r="L725" s="13"/>
      <c r="M725" s="13"/>
      <c r="N725" s="13"/>
      <c r="O725" s="26">
        <f t="shared" si="398"/>
        <v>2</v>
      </c>
      <c r="P725" s="26">
        <f>O725*H725</f>
        <v>2</v>
      </c>
      <c r="Q725" s="27">
        <f t="shared" ca="1" si="399"/>
        <v>54000</v>
      </c>
    </row>
    <row r="726" spans="1:17" ht="35.25" customHeight="1" x14ac:dyDescent="0.25">
      <c r="A726" s="10" t="str">
        <f t="shared" si="397"/>
        <v>ЩЭ-6</v>
      </c>
      <c r="B726" s="10" t="s">
        <v>20</v>
      </c>
      <c r="C726" s="11" t="s">
        <v>20</v>
      </c>
      <c r="D726" s="10" t="s">
        <v>20</v>
      </c>
      <c r="E726" s="10">
        <v>4.5</v>
      </c>
      <c r="F726" s="12">
        <v>100</v>
      </c>
      <c r="G726" s="12">
        <f>F726*H726</f>
        <v>27000</v>
      </c>
      <c r="H726" s="10">
        <f>60*E726</f>
        <v>270</v>
      </c>
      <c r="I726" s="10" t="s">
        <v>12</v>
      </c>
      <c r="J726" s="10" t="s">
        <v>20</v>
      </c>
      <c r="K726" s="13" t="s">
        <v>111</v>
      </c>
      <c r="L726" s="13"/>
      <c r="M726" s="13"/>
      <c r="N726" s="13"/>
      <c r="O726" s="26">
        <f t="shared" si="398"/>
        <v>2</v>
      </c>
      <c r="P726" s="26">
        <f>O726*H726</f>
        <v>540</v>
      </c>
      <c r="Q726" s="27">
        <f t="shared" si="399"/>
        <v>54000</v>
      </c>
    </row>
    <row r="727" spans="1:17" ht="35.25" customHeight="1" x14ac:dyDescent="0.25">
      <c r="A727" s="15" t="str">
        <f t="shared" si="397"/>
        <v>ЩЭ-6</v>
      </c>
      <c r="B727" s="15"/>
      <c r="C727" s="15"/>
      <c r="D727" s="16"/>
      <c r="E727" s="28"/>
      <c r="F727" s="12">
        <f t="shared" ref="F727" si="400">E727*0.55</f>
        <v>0</v>
      </c>
      <c r="G727" s="28">
        <f ca="1">SUM(G721:G726)</f>
        <v>341881.8</v>
      </c>
      <c r="H727" s="15"/>
      <c r="I727" s="19"/>
      <c r="J727" s="15"/>
      <c r="K727" s="13" t="s">
        <v>111</v>
      </c>
      <c r="L727" s="13"/>
      <c r="M727" s="13"/>
      <c r="N727" s="13"/>
      <c r="O727" s="26">
        <f t="shared" si="398"/>
        <v>2</v>
      </c>
      <c r="P727" s="26">
        <f>O727*H727</f>
        <v>0</v>
      </c>
      <c r="Q727" s="27">
        <f t="shared" si="399"/>
        <v>0</v>
      </c>
    </row>
    <row r="728" spans="1:17" ht="35.25" customHeight="1" x14ac:dyDescent="0.25">
      <c r="A728" s="8" t="str">
        <f>D728</f>
        <v>ЩЭ-7</v>
      </c>
      <c r="B728" s="4"/>
      <c r="C728" s="5"/>
      <c r="D728" s="4" t="s">
        <v>161</v>
      </c>
      <c r="E728" s="6"/>
      <c r="F728" s="6"/>
      <c r="G728" s="7"/>
      <c r="H728" s="8">
        <v>18</v>
      </c>
      <c r="I728" s="9" t="s">
        <v>9</v>
      </c>
      <c r="J728" s="4" t="s">
        <v>10</v>
      </c>
      <c r="K728" s="8" t="s">
        <v>111</v>
      </c>
      <c r="L728" s="8"/>
      <c r="M728" s="8"/>
      <c r="N728" s="8"/>
      <c r="O728" s="26">
        <f>H728</f>
        <v>18</v>
      </c>
      <c r="P728" s="26">
        <f>O728*H728</f>
        <v>324</v>
      </c>
      <c r="Q728" s="27">
        <f t="shared" si="399"/>
        <v>0</v>
      </c>
    </row>
    <row r="729" spans="1:17" ht="35.25" customHeight="1" x14ac:dyDescent="0.25">
      <c r="A729" s="13" t="str">
        <f t="shared" ref="A729:A735" si="401">A728</f>
        <v>ЩЭ-7</v>
      </c>
      <c r="B729" s="10" t="s">
        <v>11</v>
      </c>
      <c r="C729" s="11" t="s">
        <v>315</v>
      </c>
      <c r="D729" s="10" t="s">
        <v>316</v>
      </c>
      <c r="E729" s="10">
        <v>52000</v>
      </c>
      <c r="F729" s="12">
        <f>0.6*E729</f>
        <v>31200</v>
      </c>
      <c r="G729" s="12">
        <f>F729*H729</f>
        <v>31200</v>
      </c>
      <c r="H729" s="13">
        <v>1</v>
      </c>
      <c r="I729" s="14" t="s">
        <v>12</v>
      </c>
      <c r="J729" s="10" t="s">
        <v>13</v>
      </c>
      <c r="K729" s="13" t="s">
        <v>111</v>
      </c>
      <c r="L729" s="13"/>
      <c r="M729" s="13"/>
      <c r="N729" s="13"/>
      <c r="O729" s="26">
        <f t="shared" ref="O729:O735" si="402">O728</f>
        <v>18</v>
      </c>
      <c r="P729" s="26">
        <f>O729*H729</f>
        <v>18</v>
      </c>
      <c r="Q729" s="27">
        <f t="shared" si="399"/>
        <v>561600</v>
      </c>
    </row>
    <row r="730" spans="1:17" ht="35.25" customHeight="1" x14ac:dyDescent="0.25">
      <c r="A730" s="13" t="str">
        <f t="shared" si="401"/>
        <v>ЩЭ-7</v>
      </c>
      <c r="B730" s="10" t="s">
        <v>293</v>
      </c>
      <c r="C730" s="11" t="s">
        <v>313</v>
      </c>
      <c r="D730" s="10" t="s">
        <v>314</v>
      </c>
      <c r="E730" s="10">
        <v>2064</v>
      </c>
      <c r="F730" s="12">
        <f>E730*0.6</f>
        <v>1238.3999999999999</v>
      </c>
      <c r="G730" s="12">
        <f>F730*H730</f>
        <v>8668.7999999999993</v>
      </c>
      <c r="H730" s="13">
        <v>7</v>
      </c>
      <c r="I730" s="14" t="s">
        <v>12</v>
      </c>
      <c r="J730" s="10" t="s">
        <v>208</v>
      </c>
      <c r="K730" s="13" t="s">
        <v>111</v>
      </c>
      <c r="L730" s="13"/>
      <c r="M730" s="13"/>
      <c r="N730" s="13"/>
      <c r="O730" s="26" t="e">
        <f>#REF!</f>
        <v>#REF!</v>
      </c>
      <c r="P730" s="26" t="e">
        <f>O730*H730</f>
        <v>#REF!</v>
      </c>
      <c r="Q730" s="27" t="e">
        <f>P730*E730</f>
        <v>#REF!</v>
      </c>
    </row>
    <row r="731" spans="1:17" ht="35.25" customHeight="1" x14ac:dyDescent="0.25">
      <c r="A731" s="13" t="str">
        <f t="shared" si="401"/>
        <v>ЩЭ-7</v>
      </c>
      <c r="B731" s="10" t="s">
        <v>18</v>
      </c>
      <c r="C731" s="11" t="s">
        <v>311</v>
      </c>
      <c r="D731" s="10" t="s">
        <v>312</v>
      </c>
      <c r="E731" s="10">
        <v>5834</v>
      </c>
      <c r="F731" s="12">
        <f>E731*0.35</f>
        <v>2041.8999999999999</v>
      </c>
      <c r="G731" s="12">
        <f>F731*H731</f>
        <v>14293.3</v>
      </c>
      <c r="H731" s="13">
        <v>7</v>
      </c>
      <c r="I731" s="14" t="s">
        <v>12</v>
      </c>
      <c r="J731" s="10" t="s">
        <v>14</v>
      </c>
      <c r="K731" s="13" t="s">
        <v>111</v>
      </c>
      <c r="L731" s="13"/>
      <c r="M731" s="13"/>
      <c r="N731" s="13"/>
      <c r="O731" s="26" t="e">
        <f>#REF!</f>
        <v>#REF!</v>
      </c>
      <c r="P731" s="26" t="e">
        <f>O731*H731</f>
        <v>#REF!</v>
      </c>
      <c r="Q731" s="27" t="e">
        <f>P731*E731</f>
        <v>#REF!</v>
      </c>
    </row>
    <row r="732" spans="1:17" ht="35.25" customHeight="1" x14ac:dyDescent="0.25">
      <c r="A732" s="13" t="str">
        <f t="shared" si="401"/>
        <v>ЩЭ-7</v>
      </c>
      <c r="B732" s="10" t="s">
        <v>15</v>
      </c>
      <c r="C732" s="11" t="s">
        <v>309</v>
      </c>
      <c r="D732" s="10" t="s">
        <v>310</v>
      </c>
      <c r="E732" s="10">
        <v>39500</v>
      </c>
      <c r="F732" s="12">
        <f>E732</f>
        <v>39500</v>
      </c>
      <c r="G732" s="12">
        <f>F732*H732</f>
        <v>276500</v>
      </c>
      <c r="H732" s="13">
        <v>7</v>
      </c>
      <c r="I732" s="14" t="s">
        <v>12</v>
      </c>
      <c r="J732" s="10" t="s">
        <v>16</v>
      </c>
      <c r="K732" s="13" t="s">
        <v>111</v>
      </c>
      <c r="L732" s="13"/>
      <c r="M732" s="13"/>
      <c r="N732" s="13"/>
      <c r="O732" s="26" t="e">
        <f>#REF!</f>
        <v>#REF!</v>
      </c>
      <c r="P732" s="26" t="e">
        <f>O732*H732</f>
        <v>#REF!</v>
      </c>
      <c r="Q732" s="27" t="e">
        <f>P732*F732</f>
        <v>#REF!</v>
      </c>
    </row>
    <row r="733" spans="1:17" ht="35.25" customHeight="1" x14ac:dyDescent="0.25">
      <c r="A733" s="13" t="str">
        <f t="shared" si="401"/>
        <v>ЩЭ-7</v>
      </c>
      <c r="B733" s="10" t="s">
        <v>19</v>
      </c>
      <c r="C733" s="11" t="s">
        <v>19</v>
      </c>
      <c r="D733" s="10" t="s">
        <v>19</v>
      </c>
      <c r="E733" s="10">
        <f ca="1">OFFSET(E733,1,2)</f>
        <v>30000</v>
      </c>
      <c r="F733" s="12">
        <f ca="1">E733</f>
        <v>30000</v>
      </c>
      <c r="G733" s="12">
        <f ca="1">F733*H733</f>
        <v>30000</v>
      </c>
      <c r="H733" s="10">
        <v>1</v>
      </c>
      <c r="I733" s="10" t="s">
        <v>12</v>
      </c>
      <c r="J733" s="10" t="s">
        <v>19</v>
      </c>
      <c r="K733" s="13" t="s">
        <v>111</v>
      </c>
      <c r="L733" s="13"/>
      <c r="M733" s="13"/>
      <c r="N733" s="13"/>
      <c r="O733" s="26" t="e">
        <f t="shared" si="402"/>
        <v>#REF!</v>
      </c>
      <c r="P733" s="26" t="e">
        <f>O733*H733</f>
        <v>#REF!</v>
      </c>
      <c r="Q733" s="27" t="e">
        <f ca="1">P733*F733</f>
        <v>#REF!</v>
      </c>
    </row>
    <row r="734" spans="1:17" ht="35.25" customHeight="1" x14ac:dyDescent="0.25">
      <c r="A734" s="13" t="str">
        <f t="shared" si="401"/>
        <v>ЩЭ-7</v>
      </c>
      <c r="B734" s="10" t="s">
        <v>20</v>
      </c>
      <c r="C734" s="11" t="s">
        <v>20</v>
      </c>
      <c r="D734" s="10" t="s">
        <v>20</v>
      </c>
      <c r="E734" s="10">
        <v>5</v>
      </c>
      <c r="F734" s="12">
        <v>100</v>
      </c>
      <c r="G734" s="12">
        <f>F734*H734</f>
        <v>30000</v>
      </c>
      <c r="H734" s="10">
        <f>60*E734</f>
        <v>300</v>
      </c>
      <c r="I734" s="10" t="s">
        <v>12</v>
      </c>
      <c r="J734" s="10" t="s">
        <v>20</v>
      </c>
      <c r="K734" s="13" t="s">
        <v>111</v>
      </c>
      <c r="L734" s="13"/>
      <c r="M734" s="13"/>
      <c r="N734" s="13"/>
      <c r="O734" s="26" t="e">
        <f t="shared" si="402"/>
        <v>#REF!</v>
      </c>
      <c r="P734" s="26" t="e">
        <f>O734*H734</f>
        <v>#REF!</v>
      </c>
      <c r="Q734" s="27" t="e">
        <f>P734*F734</f>
        <v>#REF!</v>
      </c>
    </row>
    <row r="735" spans="1:17" ht="35.25" customHeight="1" x14ac:dyDescent="0.25">
      <c r="A735" s="13" t="str">
        <f t="shared" si="401"/>
        <v>ЩЭ-7</v>
      </c>
      <c r="B735" s="15"/>
      <c r="C735" s="15"/>
      <c r="D735" s="16"/>
      <c r="E735" s="28"/>
      <c r="F735" s="12">
        <f t="shared" ref="F735" si="403">E735*0.55</f>
        <v>0</v>
      </c>
      <c r="G735" s="28">
        <f ca="1">SUM(G729:G734)</f>
        <v>390662.1</v>
      </c>
      <c r="H735" s="15"/>
      <c r="I735" s="19"/>
      <c r="J735" s="15"/>
      <c r="K735" s="13" t="s">
        <v>111</v>
      </c>
      <c r="L735" s="13"/>
      <c r="M735" s="13"/>
      <c r="N735" s="13"/>
      <c r="O735" s="26" t="e">
        <f t="shared" si="402"/>
        <v>#REF!</v>
      </c>
      <c r="P735" s="26"/>
      <c r="Q735" s="27">
        <f>P735*F735</f>
        <v>0</v>
      </c>
    </row>
  </sheetData>
  <autoFilter ref="A1:T735" xr:uid="{E8353264-4C11-4BE3-A448-65B586C0519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45F5BF-1285-4D38-A3B7-B338E0404AA5}">
  <dimension ref="A1:E4"/>
  <sheetViews>
    <sheetView workbookViewId="0">
      <selection sqref="A1:C4"/>
    </sheetView>
  </sheetViews>
  <sheetFormatPr defaultRowHeight="38.25" customHeight="1" x14ac:dyDescent="0.25"/>
  <cols>
    <col min="2" max="2" width="54.28515625" customWidth="1"/>
    <col min="3" max="4" width="9.28515625" style="21" bestFit="1" customWidth="1"/>
    <col min="5" max="5" width="10.140625" style="21" bestFit="1" customWidth="1"/>
  </cols>
  <sheetData>
    <row r="1" spans="1:5" ht="38.25" customHeight="1" x14ac:dyDescent="0.25">
      <c r="A1" t="s">
        <v>309</v>
      </c>
      <c r="B1" t="s">
        <v>310</v>
      </c>
      <c r="C1">
        <v>438</v>
      </c>
      <c r="D1">
        <v>41200</v>
      </c>
      <c r="E1">
        <f>C1*D1</f>
        <v>18045600</v>
      </c>
    </row>
    <row r="2" spans="1:5" ht="38.25" customHeight="1" x14ac:dyDescent="0.25">
      <c r="A2" t="s">
        <v>297</v>
      </c>
      <c r="B2" t="s">
        <v>298</v>
      </c>
      <c r="C2">
        <v>20</v>
      </c>
      <c r="D2">
        <v>72400</v>
      </c>
      <c r="E2">
        <f>C2*D2</f>
        <v>1448000</v>
      </c>
    </row>
    <row r="3" spans="1:5" ht="38.25" customHeight="1" x14ac:dyDescent="0.25">
      <c r="A3" t="s">
        <v>299</v>
      </c>
      <c r="B3" t="s">
        <v>300</v>
      </c>
      <c r="C3">
        <v>33</v>
      </c>
      <c r="D3">
        <v>32400</v>
      </c>
      <c r="E3">
        <f>C3*D3</f>
        <v>1069200</v>
      </c>
    </row>
    <row r="4" spans="1:5" ht="38.25" customHeight="1" x14ac:dyDescent="0.25">
      <c r="A4" t="s">
        <v>301</v>
      </c>
      <c r="B4" t="s">
        <v>302</v>
      </c>
      <c r="C4">
        <v>5</v>
      </c>
      <c r="D4">
        <v>32300</v>
      </c>
      <c r="E4">
        <f>C4*D4</f>
        <v>161500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E2EA57-F5FC-4DED-A660-A86BCCDAA443}">
  <dimension ref="A1:U72"/>
  <sheetViews>
    <sheetView zoomScale="145" zoomScaleNormal="145" workbookViewId="0">
      <pane ySplit="1" topLeftCell="A2" activePane="bottomLeft" state="frozen"/>
      <selection activeCell="B1" sqref="B1"/>
      <selection pane="bottomLeft" activeCell="E72" sqref="E72"/>
    </sheetView>
  </sheetViews>
  <sheetFormatPr defaultRowHeight="15" x14ac:dyDescent="0.25"/>
  <cols>
    <col min="2" max="2" width="38.7109375" customWidth="1"/>
    <col min="4" max="4" width="9.140625" style="21"/>
    <col min="5" max="5" width="12.42578125" style="21" bestFit="1" customWidth="1"/>
    <col min="10" max="10" width="0.28515625" customWidth="1"/>
    <col min="11" max="11" width="9.140625" hidden="1" customWidth="1"/>
    <col min="12" max="12" width="11.7109375" hidden="1" customWidth="1"/>
    <col min="13" max="13" width="10.140625" style="21" hidden="1" customWidth="1"/>
    <col min="14" max="14" width="12.28515625" style="21" hidden="1" customWidth="1"/>
    <col min="15" max="15" width="11.85546875" style="21" hidden="1" customWidth="1"/>
    <col min="16" max="16" width="15.42578125" hidden="1" customWidth="1"/>
    <col min="17" max="17" width="11.42578125" hidden="1" customWidth="1"/>
    <col min="18" max="21" width="9.140625" hidden="1" customWidth="1"/>
  </cols>
  <sheetData>
    <row r="1" spans="1:21" ht="63.75" x14ac:dyDescent="0.25">
      <c r="A1" s="2" t="s">
        <v>2</v>
      </c>
      <c r="B1" s="1" t="s">
        <v>3</v>
      </c>
      <c r="C1" s="1" t="s">
        <v>4</v>
      </c>
      <c r="D1" s="2" t="s">
        <v>4</v>
      </c>
      <c r="E1" s="2" t="s">
        <v>5</v>
      </c>
      <c r="F1" s="1" t="s">
        <v>6</v>
      </c>
      <c r="G1" s="1" t="s">
        <v>7</v>
      </c>
      <c r="H1" s="1" t="s">
        <v>8</v>
      </c>
      <c r="I1" s="1"/>
      <c r="J1" s="3" t="s">
        <v>183</v>
      </c>
      <c r="K1">
        <v>2.2999999999999998</v>
      </c>
      <c r="L1" s="22" t="s">
        <v>184</v>
      </c>
      <c r="M1" s="21" t="s">
        <v>185</v>
      </c>
      <c r="N1" s="21" t="s">
        <v>186</v>
      </c>
      <c r="O1" s="21">
        <v>2.2999999999999998</v>
      </c>
      <c r="P1" s="21" t="s">
        <v>187</v>
      </c>
      <c r="Q1" s="21" t="s">
        <v>188</v>
      </c>
      <c r="R1" s="3" t="s">
        <v>237</v>
      </c>
      <c r="S1" s="3" t="s">
        <v>238</v>
      </c>
      <c r="T1" s="3" t="s">
        <v>239</v>
      </c>
      <c r="U1" s="3" t="s">
        <v>240</v>
      </c>
    </row>
    <row r="2" spans="1:21" x14ac:dyDescent="0.25">
      <c r="A2" s="5"/>
      <c r="B2" s="4" t="s">
        <v>21</v>
      </c>
      <c r="C2" s="6">
        <f>ROUNDUP(K2,-3)</f>
        <v>753000</v>
      </c>
      <c r="D2" s="20">
        <f>0.7*C2</f>
        <v>527100</v>
      </c>
      <c r="E2" s="5">
        <f>D2*F2</f>
        <v>527100</v>
      </c>
      <c r="F2" s="8">
        <v>1</v>
      </c>
      <c r="G2" s="9" t="s">
        <v>9</v>
      </c>
      <c r="H2" s="4" t="s">
        <v>10</v>
      </c>
      <c r="I2" s="8" t="s">
        <v>22</v>
      </c>
      <c r="J2" s="18">
        <v>327390.5</v>
      </c>
      <c r="K2">
        <f>2.3*J2</f>
        <v>752998.14999999991</v>
      </c>
      <c r="L2">
        <f>J2*F2</f>
        <v>327390.5</v>
      </c>
      <c r="M2" s="21">
        <v>327390.5</v>
      </c>
      <c r="N2" s="21">
        <f>M2*F2</f>
        <v>327390.5</v>
      </c>
      <c r="O2" s="21">
        <f>M2*2.3</f>
        <v>752998.14999999991</v>
      </c>
      <c r="P2">
        <f>O2*F2</f>
        <v>752998.14999999991</v>
      </c>
      <c r="Q2">
        <f>ROUNDUP(P2,-3)</f>
        <v>753000</v>
      </c>
      <c r="R2" s="18">
        <v>471813.2</v>
      </c>
      <c r="S2" s="18">
        <f>R2*F2</f>
        <v>471813.2</v>
      </c>
      <c r="T2" s="18">
        <f>R2*2.145</f>
        <v>1012039.314</v>
      </c>
      <c r="U2" s="18">
        <f>T2*F2</f>
        <v>1012039.314</v>
      </c>
    </row>
    <row r="3" spans="1:21" x14ac:dyDescent="0.25">
      <c r="A3" s="5"/>
      <c r="B3" s="4" t="s">
        <v>32</v>
      </c>
      <c r="C3" s="6">
        <f t="shared" ref="C3:C66" si="0">ROUNDUP(K3,-3)</f>
        <v>449000</v>
      </c>
      <c r="D3" s="20">
        <f t="shared" ref="D3:D66" si="1">0.7*C3</f>
        <v>314300</v>
      </c>
      <c r="E3" s="5">
        <f t="shared" ref="E3:E66" si="2">D3*F3</f>
        <v>314300</v>
      </c>
      <c r="F3" s="8">
        <v>1</v>
      </c>
      <c r="G3" s="9" t="s">
        <v>9</v>
      </c>
      <c r="H3" s="4" t="s">
        <v>10</v>
      </c>
      <c r="I3" s="8" t="s">
        <v>22</v>
      </c>
      <c r="J3" s="18">
        <v>195016.09999999998</v>
      </c>
      <c r="K3">
        <f t="shared" ref="K3:K66" si="3">2.3*J3</f>
        <v>448537.02999999991</v>
      </c>
      <c r="L3">
        <f t="shared" ref="L3:L66" si="4">J3*F3</f>
        <v>195016.09999999998</v>
      </c>
      <c r="M3" s="21">
        <v>195016.09999999998</v>
      </c>
      <c r="N3" s="21">
        <f t="shared" ref="N3:N66" si="5">M3*F3</f>
        <v>195016.09999999998</v>
      </c>
      <c r="O3" s="21">
        <f t="shared" ref="O3:O66" si="6">M3*2.3</f>
        <v>448537.02999999991</v>
      </c>
      <c r="P3">
        <f t="shared" ref="P3:P66" si="7">O3*F3</f>
        <v>448537.02999999991</v>
      </c>
      <c r="Q3">
        <f t="shared" ref="Q3:Q66" si="8">ROUNDUP(P3,-3)</f>
        <v>449000</v>
      </c>
      <c r="R3" s="18">
        <v>165087</v>
      </c>
      <c r="S3" s="18">
        <f t="shared" ref="S3:S66" si="9">R3*F3</f>
        <v>165087</v>
      </c>
      <c r="T3" s="18">
        <f t="shared" ref="T3:T66" si="10">R3*2.145</f>
        <v>354111.61499999999</v>
      </c>
      <c r="U3" s="18">
        <f t="shared" ref="U3:U66" si="11">T3*F3</f>
        <v>354111.61499999999</v>
      </c>
    </row>
    <row r="4" spans="1:21" x14ac:dyDescent="0.25">
      <c r="A4" s="5"/>
      <c r="B4" s="4" t="s">
        <v>36</v>
      </c>
      <c r="C4" s="6">
        <f t="shared" si="0"/>
        <v>417000</v>
      </c>
      <c r="D4" s="20">
        <f t="shared" si="1"/>
        <v>291900</v>
      </c>
      <c r="E4" s="5">
        <f t="shared" si="2"/>
        <v>291900</v>
      </c>
      <c r="F4" s="8">
        <v>1</v>
      </c>
      <c r="G4" s="9" t="s">
        <v>9</v>
      </c>
      <c r="H4" s="4" t="s">
        <v>10</v>
      </c>
      <c r="I4" s="8" t="s">
        <v>22</v>
      </c>
      <c r="J4" s="18">
        <v>181102.2</v>
      </c>
      <c r="K4">
        <f t="shared" si="3"/>
        <v>416535.06</v>
      </c>
      <c r="L4">
        <f t="shared" si="4"/>
        <v>181102.2</v>
      </c>
      <c r="M4" s="21">
        <v>181102.2</v>
      </c>
      <c r="N4" s="21">
        <f t="shared" si="5"/>
        <v>181102.2</v>
      </c>
      <c r="O4" s="21">
        <f t="shared" si="6"/>
        <v>416535.06</v>
      </c>
      <c r="P4">
        <f t="shared" si="7"/>
        <v>416535.06</v>
      </c>
      <c r="Q4">
        <f t="shared" si="8"/>
        <v>417000</v>
      </c>
      <c r="R4" s="18">
        <v>189237</v>
      </c>
      <c r="S4" s="18">
        <f t="shared" si="9"/>
        <v>189237</v>
      </c>
      <c r="T4" s="18">
        <f t="shared" si="10"/>
        <v>405913.36499999999</v>
      </c>
      <c r="U4" s="18">
        <f t="shared" si="11"/>
        <v>405913.36499999999</v>
      </c>
    </row>
    <row r="5" spans="1:21" x14ac:dyDescent="0.25">
      <c r="A5" s="5"/>
      <c r="B5" s="4" t="s">
        <v>39</v>
      </c>
      <c r="C5" s="6">
        <f t="shared" si="0"/>
        <v>169000</v>
      </c>
      <c r="D5" s="20">
        <f t="shared" si="1"/>
        <v>118299.99999999999</v>
      </c>
      <c r="E5" s="5">
        <f t="shared" si="2"/>
        <v>118299.99999999999</v>
      </c>
      <c r="F5" s="8">
        <v>1</v>
      </c>
      <c r="G5" s="9" t="s">
        <v>9</v>
      </c>
      <c r="H5" s="4" t="s">
        <v>10</v>
      </c>
      <c r="I5" s="8" t="s">
        <v>22</v>
      </c>
      <c r="J5" s="18">
        <v>73316.899999999994</v>
      </c>
      <c r="K5">
        <f t="shared" si="3"/>
        <v>168628.86999999997</v>
      </c>
      <c r="L5">
        <f t="shared" si="4"/>
        <v>73316.899999999994</v>
      </c>
      <c r="M5" s="21">
        <v>73316.899999999994</v>
      </c>
      <c r="N5" s="21">
        <f t="shared" si="5"/>
        <v>73316.899999999994</v>
      </c>
      <c r="O5" s="21">
        <f t="shared" si="6"/>
        <v>168628.86999999997</v>
      </c>
      <c r="P5">
        <f t="shared" si="7"/>
        <v>168628.86999999997</v>
      </c>
      <c r="Q5">
        <f t="shared" si="8"/>
        <v>169000</v>
      </c>
      <c r="R5" s="18">
        <v>76575</v>
      </c>
      <c r="S5" s="18">
        <f t="shared" si="9"/>
        <v>76575</v>
      </c>
      <c r="T5" s="18">
        <f t="shared" si="10"/>
        <v>164253.375</v>
      </c>
      <c r="U5" s="18">
        <f t="shared" si="11"/>
        <v>164253.375</v>
      </c>
    </row>
    <row r="6" spans="1:21" x14ac:dyDescent="0.25">
      <c r="A6" s="5"/>
      <c r="B6" s="4" t="s">
        <v>132</v>
      </c>
      <c r="C6" s="6">
        <f t="shared" si="0"/>
        <v>691000</v>
      </c>
      <c r="D6" s="20">
        <f t="shared" si="1"/>
        <v>483699.99999999994</v>
      </c>
      <c r="E6" s="5">
        <f t="shared" si="2"/>
        <v>483699.99999999994</v>
      </c>
      <c r="F6" s="8">
        <v>1</v>
      </c>
      <c r="G6" s="9" t="s">
        <v>9</v>
      </c>
      <c r="H6" s="4" t="s">
        <v>10</v>
      </c>
      <c r="I6" s="8" t="s">
        <v>22</v>
      </c>
      <c r="J6" s="18">
        <v>300158.20000000007</v>
      </c>
      <c r="K6">
        <f t="shared" si="3"/>
        <v>690363.8600000001</v>
      </c>
      <c r="L6">
        <f t="shared" si="4"/>
        <v>300158.20000000007</v>
      </c>
      <c r="M6" s="21">
        <v>300158.20000000007</v>
      </c>
      <c r="N6" s="21">
        <f t="shared" si="5"/>
        <v>300158.20000000007</v>
      </c>
      <c r="O6" s="21">
        <f t="shared" si="6"/>
        <v>690363.8600000001</v>
      </c>
      <c r="P6">
        <f t="shared" si="7"/>
        <v>690363.8600000001</v>
      </c>
      <c r="Q6">
        <f t="shared" si="8"/>
        <v>691000</v>
      </c>
      <c r="R6" s="18">
        <v>303310.19999999995</v>
      </c>
      <c r="S6" s="18">
        <f t="shared" si="9"/>
        <v>303310.19999999995</v>
      </c>
      <c r="T6" s="18">
        <f t="shared" si="10"/>
        <v>650600.37899999996</v>
      </c>
      <c r="U6" s="18">
        <f t="shared" si="11"/>
        <v>650600.37899999996</v>
      </c>
    </row>
    <row r="7" spans="1:21" x14ac:dyDescent="0.25">
      <c r="A7" s="5"/>
      <c r="B7" s="4" t="s">
        <v>52</v>
      </c>
      <c r="C7" s="6">
        <f t="shared" si="0"/>
        <v>753000</v>
      </c>
      <c r="D7" s="20">
        <f t="shared" si="1"/>
        <v>527100</v>
      </c>
      <c r="E7" s="5">
        <f t="shared" si="2"/>
        <v>527100</v>
      </c>
      <c r="F7" s="8">
        <v>1</v>
      </c>
      <c r="G7" s="9" t="s">
        <v>9</v>
      </c>
      <c r="H7" s="4" t="s">
        <v>10</v>
      </c>
      <c r="I7" s="8" t="s">
        <v>53</v>
      </c>
      <c r="J7" s="18">
        <v>327390.5</v>
      </c>
      <c r="K7">
        <f t="shared" si="3"/>
        <v>752998.14999999991</v>
      </c>
      <c r="L7">
        <f t="shared" si="4"/>
        <v>327390.5</v>
      </c>
      <c r="M7" s="21">
        <v>327390.5</v>
      </c>
      <c r="N7" s="21">
        <f t="shared" si="5"/>
        <v>327390.5</v>
      </c>
      <c r="O7" s="21">
        <f t="shared" si="6"/>
        <v>752998.14999999991</v>
      </c>
      <c r="P7">
        <f t="shared" si="7"/>
        <v>752998.14999999991</v>
      </c>
      <c r="Q7">
        <f t="shared" si="8"/>
        <v>753000</v>
      </c>
      <c r="R7" s="18">
        <v>471813.2</v>
      </c>
      <c r="S7" s="18">
        <f t="shared" si="9"/>
        <v>471813.2</v>
      </c>
      <c r="T7" s="18">
        <f t="shared" si="10"/>
        <v>1012039.314</v>
      </c>
      <c r="U7" s="18">
        <f t="shared" si="11"/>
        <v>1012039.314</v>
      </c>
    </row>
    <row r="8" spans="1:21" x14ac:dyDescent="0.25">
      <c r="A8" s="5"/>
      <c r="B8" s="4" t="s">
        <v>54</v>
      </c>
      <c r="C8" s="6">
        <f t="shared" si="0"/>
        <v>449000</v>
      </c>
      <c r="D8" s="20">
        <f t="shared" si="1"/>
        <v>314300</v>
      </c>
      <c r="E8" s="5">
        <f t="shared" si="2"/>
        <v>314300</v>
      </c>
      <c r="F8" s="8">
        <v>1</v>
      </c>
      <c r="G8" s="9" t="s">
        <v>9</v>
      </c>
      <c r="H8" s="4" t="s">
        <v>10</v>
      </c>
      <c r="I8" s="8" t="s">
        <v>53</v>
      </c>
      <c r="J8" s="18">
        <v>195016.09999999998</v>
      </c>
      <c r="K8">
        <f t="shared" si="3"/>
        <v>448537.02999999991</v>
      </c>
      <c r="L8">
        <f t="shared" si="4"/>
        <v>195016.09999999998</v>
      </c>
      <c r="M8" s="21">
        <v>195016.09999999998</v>
      </c>
      <c r="N8" s="21">
        <f t="shared" si="5"/>
        <v>195016.09999999998</v>
      </c>
      <c r="O8" s="21">
        <f t="shared" si="6"/>
        <v>448537.02999999991</v>
      </c>
      <c r="P8">
        <f t="shared" si="7"/>
        <v>448537.02999999991</v>
      </c>
      <c r="Q8">
        <f t="shared" si="8"/>
        <v>449000</v>
      </c>
      <c r="R8" s="18">
        <v>165087</v>
      </c>
      <c r="S8" s="18">
        <f t="shared" si="9"/>
        <v>165087</v>
      </c>
      <c r="T8" s="18">
        <f t="shared" si="10"/>
        <v>354111.61499999999</v>
      </c>
      <c r="U8" s="18">
        <f t="shared" si="11"/>
        <v>354111.61499999999</v>
      </c>
    </row>
    <row r="9" spans="1:21" x14ac:dyDescent="0.25">
      <c r="A9" s="5"/>
      <c r="B9" s="4" t="s">
        <v>55</v>
      </c>
      <c r="C9" s="6">
        <f t="shared" si="0"/>
        <v>417000</v>
      </c>
      <c r="D9" s="20">
        <f t="shared" si="1"/>
        <v>291900</v>
      </c>
      <c r="E9" s="5">
        <f t="shared" si="2"/>
        <v>291900</v>
      </c>
      <c r="F9" s="8">
        <v>1</v>
      </c>
      <c r="G9" s="9" t="s">
        <v>9</v>
      </c>
      <c r="H9" s="4" t="s">
        <v>10</v>
      </c>
      <c r="I9" s="8" t="s">
        <v>53</v>
      </c>
      <c r="J9" s="18">
        <v>181102.2</v>
      </c>
      <c r="K9">
        <f t="shared" si="3"/>
        <v>416535.06</v>
      </c>
      <c r="L9">
        <f t="shared" si="4"/>
        <v>181102.2</v>
      </c>
      <c r="M9" s="21">
        <v>181102.2</v>
      </c>
      <c r="N9" s="21">
        <f t="shared" si="5"/>
        <v>181102.2</v>
      </c>
      <c r="O9" s="21">
        <f t="shared" si="6"/>
        <v>416535.06</v>
      </c>
      <c r="P9">
        <f t="shared" si="7"/>
        <v>416535.06</v>
      </c>
      <c r="Q9">
        <f t="shared" si="8"/>
        <v>417000</v>
      </c>
      <c r="R9" s="18">
        <v>202257</v>
      </c>
      <c r="S9" s="18">
        <f t="shared" si="9"/>
        <v>202257</v>
      </c>
      <c r="T9" s="18">
        <f t="shared" si="10"/>
        <v>433841.26500000001</v>
      </c>
      <c r="U9" s="18">
        <f t="shared" si="11"/>
        <v>433841.26500000001</v>
      </c>
    </row>
    <row r="10" spans="1:21" x14ac:dyDescent="0.25">
      <c r="A10" s="5"/>
      <c r="B10" s="4" t="s">
        <v>56</v>
      </c>
      <c r="C10" s="6">
        <f t="shared" si="0"/>
        <v>169000</v>
      </c>
      <c r="D10" s="20">
        <f t="shared" si="1"/>
        <v>118299.99999999999</v>
      </c>
      <c r="E10" s="5">
        <f t="shared" si="2"/>
        <v>118299.99999999999</v>
      </c>
      <c r="F10" s="8">
        <v>1</v>
      </c>
      <c r="G10" s="9" t="s">
        <v>9</v>
      </c>
      <c r="H10" s="4" t="s">
        <v>10</v>
      </c>
      <c r="I10" s="8" t="s">
        <v>53</v>
      </c>
      <c r="J10" s="18">
        <v>73316.899999999994</v>
      </c>
      <c r="K10">
        <f t="shared" si="3"/>
        <v>168628.86999999997</v>
      </c>
      <c r="L10">
        <f t="shared" si="4"/>
        <v>73316.899999999994</v>
      </c>
      <c r="M10" s="21">
        <v>73316.899999999994</v>
      </c>
      <c r="N10" s="21">
        <f t="shared" si="5"/>
        <v>73316.899999999994</v>
      </c>
      <c r="O10" s="21">
        <f t="shared" si="6"/>
        <v>168628.86999999997</v>
      </c>
      <c r="P10">
        <f t="shared" si="7"/>
        <v>168628.86999999997</v>
      </c>
      <c r="Q10">
        <f t="shared" si="8"/>
        <v>169000</v>
      </c>
      <c r="R10" s="18">
        <v>76575</v>
      </c>
      <c r="S10" s="18">
        <f t="shared" si="9"/>
        <v>76575</v>
      </c>
      <c r="T10" s="18">
        <f t="shared" si="10"/>
        <v>164253.375</v>
      </c>
      <c r="U10" s="18">
        <f t="shared" si="11"/>
        <v>164253.375</v>
      </c>
    </row>
    <row r="11" spans="1:21" x14ac:dyDescent="0.25">
      <c r="A11" s="5"/>
      <c r="B11" s="4" t="s">
        <v>133</v>
      </c>
      <c r="C11" s="6">
        <f t="shared" si="0"/>
        <v>691000</v>
      </c>
      <c r="D11" s="20">
        <f t="shared" si="1"/>
        <v>483699.99999999994</v>
      </c>
      <c r="E11" s="5">
        <f t="shared" si="2"/>
        <v>483699.99999999994</v>
      </c>
      <c r="F11" s="8">
        <v>1</v>
      </c>
      <c r="G11" s="9" t="s">
        <v>9</v>
      </c>
      <c r="H11" s="4" t="s">
        <v>10</v>
      </c>
      <c r="I11" s="8" t="s">
        <v>53</v>
      </c>
      <c r="J11" s="18">
        <v>300158.20000000007</v>
      </c>
      <c r="K11">
        <f t="shared" si="3"/>
        <v>690363.8600000001</v>
      </c>
      <c r="L11">
        <f t="shared" si="4"/>
        <v>300158.20000000007</v>
      </c>
      <c r="M11" s="21">
        <v>300158.20000000007</v>
      </c>
      <c r="N11" s="21">
        <f t="shared" si="5"/>
        <v>300158.20000000007</v>
      </c>
      <c r="O11" s="21">
        <f t="shared" si="6"/>
        <v>690363.8600000001</v>
      </c>
      <c r="P11">
        <f t="shared" si="7"/>
        <v>690363.8600000001</v>
      </c>
      <c r="Q11">
        <f t="shared" si="8"/>
        <v>691000</v>
      </c>
      <c r="R11" s="18">
        <v>303310.19999999995</v>
      </c>
      <c r="S11" s="18">
        <f t="shared" si="9"/>
        <v>303310.19999999995</v>
      </c>
      <c r="T11" s="18">
        <f t="shared" si="10"/>
        <v>650600.37899999996</v>
      </c>
      <c r="U11" s="18">
        <f t="shared" si="11"/>
        <v>650600.37899999996</v>
      </c>
    </row>
    <row r="12" spans="1:21" x14ac:dyDescent="0.25">
      <c r="A12" s="5"/>
      <c r="B12" s="4" t="s">
        <v>57</v>
      </c>
      <c r="C12" s="6">
        <f t="shared" si="0"/>
        <v>753000</v>
      </c>
      <c r="D12" s="20">
        <f t="shared" si="1"/>
        <v>527100</v>
      </c>
      <c r="E12" s="5">
        <f t="shared" si="2"/>
        <v>527100</v>
      </c>
      <c r="F12" s="8">
        <v>1</v>
      </c>
      <c r="G12" s="9" t="s">
        <v>9</v>
      </c>
      <c r="H12" s="4" t="s">
        <v>10</v>
      </c>
      <c r="I12" s="8" t="s">
        <v>58</v>
      </c>
      <c r="J12" s="18">
        <v>327390.5</v>
      </c>
      <c r="K12">
        <f t="shared" si="3"/>
        <v>752998.14999999991</v>
      </c>
      <c r="L12">
        <f t="shared" si="4"/>
        <v>327390.5</v>
      </c>
      <c r="M12" s="21">
        <v>327390.5</v>
      </c>
      <c r="N12" s="21">
        <f t="shared" si="5"/>
        <v>327390.5</v>
      </c>
      <c r="O12" s="21">
        <f t="shared" si="6"/>
        <v>752998.14999999991</v>
      </c>
      <c r="P12">
        <f t="shared" si="7"/>
        <v>752998.14999999991</v>
      </c>
      <c r="Q12">
        <f t="shared" si="8"/>
        <v>753000</v>
      </c>
      <c r="R12" s="18">
        <v>471813.2</v>
      </c>
      <c r="S12" s="18">
        <f t="shared" si="9"/>
        <v>471813.2</v>
      </c>
      <c r="T12" s="18">
        <f t="shared" si="10"/>
        <v>1012039.314</v>
      </c>
      <c r="U12" s="18">
        <f t="shared" si="11"/>
        <v>1012039.314</v>
      </c>
    </row>
    <row r="13" spans="1:21" x14ac:dyDescent="0.25">
      <c r="A13" s="5"/>
      <c r="B13" s="4" t="s">
        <v>59</v>
      </c>
      <c r="C13" s="6">
        <f t="shared" si="0"/>
        <v>449000</v>
      </c>
      <c r="D13" s="20">
        <f t="shared" si="1"/>
        <v>314300</v>
      </c>
      <c r="E13" s="5">
        <f t="shared" si="2"/>
        <v>314300</v>
      </c>
      <c r="F13" s="8">
        <v>1</v>
      </c>
      <c r="G13" s="9" t="s">
        <v>9</v>
      </c>
      <c r="H13" s="4" t="s">
        <v>10</v>
      </c>
      <c r="I13" s="8" t="s">
        <v>58</v>
      </c>
      <c r="J13" s="18">
        <v>195016.09999999998</v>
      </c>
      <c r="K13">
        <f t="shared" si="3"/>
        <v>448537.02999999991</v>
      </c>
      <c r="L13">
        <f t="shared" si="4"/>
        <v>195016.09999999998</v>
      </c>
      <c r="M13" s="21">
        <v>195016.09999999998</v>
      </c>
      <c r="N13" s="21">
        <f t="shared" si="5"/>
        <v>195016.09999999998</v>
      </c>
      <c r="O13" s="21">
        <f t="shared" si="6"/>
        <v>448537.02999999991</v>
      </c>
      <c r="P13">
        <f t="shared" si="7"/>
        <v>448537.02999999991</v>
      </c>
      <c r="Q13">
        <f t="shared" si="8"/>
        <v>449000</v>
      </c>
      <c r="R13" s="18">
        <v>165087</v>
      </c>
      <c r="S13" s="18">
        <f t="shared" si="9"/>
        <v>165087</v>
      </c>
      <c r="T13" s="18">
        <f t="shared" si="10"/>
        <v>354111.61499999999</v>
      </c>
      <c r="U13" s="18">
        <f t="shared" si="11"/>
        <v>354111.61499999999</v>
      </c>
    </row>
    <row r="14" spans="1:21" x14ac:dyDescent="0.25">
      <c r="A14" s="5"/>
      <c r="B14" s="4" t="s">
        <v>60</v>
      </c>
      <c r="C14" s="6">
        <f t="shared" si="0"/>
        <v>417000</v>
      </c>
      <c r="D14" s="20">
        <f t="shared" si="1"/>
        <v>291900</v>
      </c>
      <c r="E14" s="5">
        <f t="shared" si="2"/>
        <v>291900</v>
      </c>
      <c r="F14" s="8">
        <v>1</v>
      </c>
      <c r="G14" s="9" t="s">
        <v>9</v>
      </c>
      <c r="H14" s="4" t="s">
        <v>10</v>
      </c>
      <c r="I14" s="8" t="s">
        <v>58</v>
      </c>
      <c r="J14" s="18">
        <v>181102.2</v>
      </c>
      <c r="K14">
        <f t="shared" si="3"/>
        <v>416535.06</v>
      </c>
      <c r="L14">
        <f t="shared" si="4"/>
        <v>181102.2</v>
      </c>
      <c r="M14" s="21">
        <v>181102.2</v>
      </c>
      <c r="N14" s="21">
        <f t="shared" si="5"/>
        <v>181102.2</v>
      </c>
      <c r="O14" s="21">
        <f t="shared" si="6"/>
        <v>416535.06</v>
      </c>
      <c r="P14">
        <f t="shared" si="7"/>
        <v>416535.06</v>
      </c>
      <c r="Q14">
        <f t="shared" si="8"/>
        <v>417000</v>
      </c>
      <c r="R14" s="18">
        <v>167922</v>
      </c>
      <c r="S14" s="18">
        <f t="shared" si="9"/>
        <v>167922</v>
      </c>
      <c r="T14" s="18">
        <f t="shared" si="10"/>
        <v>360192.69</v>
      </c>
      <c r="U14" s="18">
        <f t="shared" si="11"/>
        <v>360192.69</v>
      </c>
    </row>
    <row r="15" spans="1:21" x14ac:dyDescent="0.25">
      <c r="A15" s="5"/>
      <c r="B15" s="4" t="s">
        <v>63</v>
      </c>
      <c r="C15" s="6">
        <f t="shared" si="0"/>
        <v>169000</v>
      </c>
      <c r="D15" s="20">
        <f t="shared" si="1"/>
        <v>118299.99999999999</v>
      </c>
      <c r="E15" s="5">
        <f t="shared" si="2"/>
        <v>118299.99999999999</v>
      </c>
      <c r="F15" s="8">
        <v>1</v>
      </c>
      <c r="G15" s="9" t="s">
        <v>9</v>
      </c>
      <c r="H15" s="4" t="s">
        <v>10</v>
      </c>
      <c r="I15" s="8" t="s">
        <v>58</v>
      </c>
      <c r="J15" s="18">
        <v>73316.899999999994</v>
      </c>
      <c r="K15">
        <f t="shared" si="3"/>
        <v>168628.86999999997</v>
      </c>
      <c r="L15">
        <f t="shared" si="4"/>
        <v>73316.899999999994</v>
      </c>
      <c r="M15" s="21">
        <v>73316.899999999994</v>
      </c>
      <c r="N15" s="21">
        <f t="shared" si="5"/>
        <v>73316.899999999994</v>
      </c>
      <c r="O15" s="21">
        <f t="shared" si="6"/>
        <v>168628.86999999997</v>
      </c>
      <c r="P15">
        <f t="shared" si="7"/>
        <v>168628.86999999997</v>
      </c>
      <c r="Q15">
        <f t="shared" si="8"/>
        <v>169000</v>
      </c>
      <c r="R15" s="18">
        <v>76455</v>
      </c>
      <c r="S15" s="18">
        <f t="shared" si="9"/>
        <v>76455</v>
      </c>
      <c r="T15" s="18">
        <f t="shared" si="10"/>
        <v>163995.97500000001</v>
      </c>
      <c r="U15" s="18">
        <f t="shared" si="11"/>
        <v>163995.97500000001</v>
      </c>
    </row>
    <row r="16" spans="1:21" x14ac:dyDescent="0.25">
      <c r="A16" s="5"/>
      <c r="B16" s="4" t="s">
        <v>64</v>
      </c>
      <c r="C16" s="6">
        <f t="shared" si="0"/>
        <v>169000</v>
      </c>
      <c r="D16" s="20">
        <f t="shared" si="1"/>
        <v>118299.99999999999</v>
      </c>
      <c r="E16" s="5">
        <f t="shared" si="2"/>
        <v>118299.99999999999</v>
      </c>
      <c r="F16" s="8">
        <v>1</v>
      </c>
      <c r="G16" s="9" t="s">
        <v>9</v>
      </c>
      <c r="H16" s="4" t="s">
        <v>10</v>
      </c>
      <c r="I16" s="8" t="s">
        <v>58</v>
      </c>
      <c r="J16" s="18">
        <v>73316.899999999994</v>
      </c>
      <c r="K16">
        <f t="shared" si="3"/>
        <v>168628.86999999997</v>
      </c>
      <c r="L16">
        <f t="shared" si="4"/>
        <v>73316.899999999994</v>
      </c>
      <c r="M16" s="21">
        <v>73316.899999999994</v>
      </c>
      <c r="N16" s="21">
        <f t="shared" si="5"/>
        <v>73316.899999999994</v>
      </c>
      <c r="O16" s="21">
        <f t="shared" si="6"/>
        <v>168628.86999999997</v>
      </c>
      <c r="P16">
        <f t="shared" si="7"/>
        <v>168628.86999999997</v>
      </c>
      <c r="Q16">
        <f t="shared" si="8"/>
        <v>169000</v>
      </c>
      <c r="R16" s="18">
        <v>76455</v>
      </c>
      <c r="S16" s="18">
        <f t="shared" si="9"/>
        <v>76455</v>
      </c>
      <c r="T16" s="18">
        <f t="shared" si="10"/>
        <v>163995.97500000001</v>
      </c>
      <c r="U16" s="18">
        <f t="shared" si="11"/>
        <v>163995.97500000001</v>
      </c>
    </row>
    <row r="17" spans="1:21" x14ac:dyDescent="0.25">
      <c r="A17" s="5"/>
      <c r="B17" s="4" t="s">
        <v>134</v>
      </c>
      <c r="C17" s="6">
        <f t="shared" si="0"/>
        <v>691000</v>
      </c>
      <c r="D17" s="20">
        <f t="shared" si="1"/>
        <v>483699.99999999994</v>
      </c>
      <c r="E17" s="5">
        <f t="shared" si="2"/>
        <v>483699.99999999994</v>
      </c>
      <c r="F17" s="8">
        <v>1</v>
      </c>
      <c r="G17" s="9" t="s">
        <v>9</v>
      </c>
      <c r="H17" s="4" t="s">
        <v>10</v>
      </c>
      <c r="I17" s="8" t="s">
        <v>58</v>
      </c>
      <c r="J17" s="18">
        <v>300158.20000000007</v>
      </c>
      <c r="K17">
        <f t="shared" si="3"/>
        <v>690363.8600000001</v>
      </c>
      <c r="L17">
        <f t="shared" si="4"/>
        <v>300158.20000000007</v>
      </c>
      <c r="M17" s="21">
        <v>300158.20000000007</v>
      </c>
      <c r="N17" s="21">
        <f t="shared" si="5"/>
        <v>300158.20000000007</v>
      </c>
      <c r="O17" s="21">
        <f t="shared" si="6"/>
        <v>690363.8600000001</v>
      </c>
      <c r="P17">
        <f t="shared" si="7"/>
        <v>690363.8600000001</v>
      </c>
      <c r="Q17">
        <f t="shared" si="8"/>
        <v>691000</v>
      </c>
      <c r="R17" s="18">
        <v>304161</v>
      </c>
      <c r="S17" s="18">
        <f t="shared" si="9"/>
        <v>304161</v>
      </c>
      <c r="T17" s="18">
        <f t="shared" si="10"/>
        <v>652425.34499999997</v>
      </c>
      <c r="U17" s="18">
        <f t="shared" si="11"/>
        <v>652425.34499999997</v>
      </c>
    </row>
    <row r="18" spans="1:21" x14ac:dyDescent="0.25">
      <c r="A18" s="5"/>
      <c r="B18" s="4" t="s">
        <v>135</v>
      </c>
      <c r="C18" s="6">
        <f t="shared" si="0"/>
        <v>691000</v>
      </c>
      <c r="D18" s="20">
        <f t="shared" si="1"/>
        <v>483699.99999999994</v>
      </c>
      <c r="E18" s="5">
        <f t="shared" si="2"/>
        <v>483699.99999999994</v>
      </c>
      <c r="F18" s="8">
        <v>1</v>
      </c>
      <c r="G18" s="9" t="s">
        <v>9</v>
      </c>
      <c r="H18" s="4" t="s">
        <v>10</v>
      </c>
      <c r="I18" s="8" t="s">
        <v>58</v>
      </c>
      <c r="J18" s="18">
        <v>300158.20000000007</v>
      </c>
      <c r="K18">
        <f t="shared" si="3"/>
        <v>690363.8600000001</v>
      </c>
      <c r="L18">
        <f t="shared" si="4"/>
        <v>300158.20000000007</v>
      </c>
      <c r="M18" s="21">
        <v>300158.20000000007</v>
      </c>
      <c r="N18" s="21">
        <f t="shared" si="5"/>
        <v>300158.20000000007</v>
      </c>
      <c r="O18" s="21">
        <f t="shared" si="6"/>
        <v>690363.8600000001</v>
      </c>
      <c r="P18">
        <f t="shared" si="7"/>
        <v>690363.8600000001</v>
      </c>
      <c r="Q18">
        <f t="shared" si="8"/>
        <v>691000</v>
      </c>
      <c r="R18" s="18">
        <v>304161</v>
      </c>
      <c r="S18" s="18">
        <f t="shared" si="9"/>
        <v>304161</v>
      </c>
      <c r="T18" s="18">
        <f t="shared" si="10"/>
        <v>652425.34499999997</v>
      </c>
      <c r="U18" s="18">
        <f t="shared" si="11"/>
        <v>652425.34499999997</v>
      </c>
    </row>
    <row r="19" spans="1:21" x14ac:dyDescent="0.25">
      <c r="A19" s="5"/>
      <c r="B19" s="4" t="s">
        <v>65</v>
      </c>
      <c r="C19" s="6">
        <f t="shared" si="0"/>
        <v>753000</v>
      </c>
      <c r="D19" s="20">
        <f t="shared" si="1"/>
        <v>527100</v>
      </c>
      <c r="E19" s="5">
        <f t="shared" si="2"/>
        <v>527100</v>
      </c>
      <c r="F19" s="8">
        <v>1</v>
      </c>
      <c r="G19" s="9" t="s">
        <v>9</v>
      </c>
      <c r="H19" s="4" t="s">
        <v>10</v>
      </c>
      <c r="I19" s="8" t="s">
        <v>66</v>
      </c>
      <c r="J19" s="18">
        <v>327390.5</v>
      </c>
      <c r="K19">
        <f t="shared" si="3"/>
        <v>752998.14999999991</v>
      </c>
      <c r="L19">
        <f t="shared" si="4"/>
        <v>327390.5</v>
      </c>
      <c r="M19" s="21">
        <v>327390.5</v>
      </c>
      <c r="N19" s="21">
        <f t="shared" si="5"/>
        <v>327390.5</v>
      </c>
      <c r="O19" s="21">
        <f t="shared" si="6"/>
        <v>752998.14999999991</v>
      </c>
      <c r="P19">
        <f t="shared" si="7"/>
        <v>752998.14999999991</v>
      </c>
      <c r="Q19">
        <f t="shared" si="8"/>
        <v>753000</v>
      </c>
      <c r="R19" s="18">
        <v>471813.2</v>
      </c>
      <c r="S19" s="18">
        <f t="shared" si="9"/>
        <v>471813.2</v>
      </c>
      <c r="T19" s="18">
        <f t="shared" si="10"/>
        <v>1012039.314</v>
      </c>
      <c r="U19" s="18">
        <f t="shared" si="11"/>
        <v>1012039.314</v>
      </c>
    </row>
    <row r="20" spans="1:21" x14ac:dyDescent="0.25">
      <c r="A20" s="5"/>
      <c r="B20" s="4" t="s">
        <v>67</v>
      </c>
      <c r="C20" s="6">
        <f t="shared" si="0"/>
        <v>471000</v>
      </c>
      <c r="D20" s="20">
        <f t="shared" si="1"/>
        <v>329700</v>
      </c>
      <c r="E20" s="5">
        <f t="shared" si="2"/>
        <v>329700</v>
      </c>
      <c r="F20" s="8">
        <v>1</v>
      </c>
      <c r="G20" s="9" t="s">
        <v>9</v>
      </c>
      <c r="H20" s="4" t="s">
        <v>10</v>
      </c>
      <c r="I20" s="8" t="s">
        <v>66</v>
      </c>
      <c r="J20" s="18">
        <v>204725.8</v>
      </c>
      <c r="K20">
        <f t="shared" si="3"/>
        <v>470869.33999999991</v>
      </c>
      <c r="L20">
        <f t="shared" si="4"/>
        <v>204725.8</v>
      </c>
      <c r="M20" s="21">
        <v>204725.8</v>
      </c>
      <c r="N20" s="21">
        <f t="shared" si="5"/>
        <v>204725.8</v>
      </c>
      <c r="O20" s="21">
        <f t="shared" si="6"/>
        <v>470869.33999999991</v>
      </c>
      <c r="P20">
        <f t="shared" si="7"/>
        <v>470869.33999999991</v>
      </c>
      <c r="Q20">
        <f t="shared" si="8"/>
        <v>471000</v>
      </c>
      <c r="R20" s="18">
        <v>186939</v>
      </c>
      <c r="S20" s="18">
        <f t="shared" si="9"/>
        <v>186939</v>
      </c>
      <c r="T20" s="18">
        <f t="shared" si="10"/>
        <v>400984.15500000003</v>
      </c>
      <c r="U20" s="18">
        <f t="shared" si="11"/>
        <v>400984.15500000003</v>
      </c>
    </row>
    <row r="21" spans="1:21" x14ac:dyDescent="0.25">
      <c r="A21" s="5"/>
      <c r="B21" s="4" t="s">
        <v>69</v>
      </c>
      <c r="C21" s="6">
        <f t="shared" si="0"/>
        <v>171000</v>
      </c>
      <c r="D21" s="20">
        <f t="shared" si="1"/>
        <v>119699.99999999999</v>
      </c>
      <c r="E21" s="5">
        <f t="shared" si="2"/>
        <v>119699.99999999999</v>
      </c>
      <c r="F21" s="8">
        <v>1</v>
      </c>
      <c r="G21" s="9" t="s">
        <v>9</v>
      </c>
      <c r="H21" s="4" t="s">
        <v>10</v>
      </c>
      <c r="I21" s="8" t="s">
        <v>66</v>
      </c>
      <c r="J21" s="18">
        <v>73998.899999999994</v>
      </c>
      <c r="K21">
        <f t="shared" si="3"/>
        <v>170197.46999999997</v>
      </c>
      <c r="L21">
        <f t="shared" si="4"/>
        <v>73998.899999999994</v>
      </c>
      <c r="M21" s="21">
        <v>73998.899999999994</v>
      </c>
      <c r="N21" s="21">
        <f t="shared" si="5"/>
        <v>73998.899999999994</v>
      </c>
      <c r="O21" s="21">
        <f t="shared" si="6"/>
        <v>170197.46999999997</v>
      </c>
      <c r="P21">
        <f t="shared" si="7"/>
        <v>170197.46999999997</v>
      </c>
      <c r="Q21">
        <f t="shared" si="8"/>
        <v>171000</v>
      </c>
      <c r="R21" s="18">
        <v>76953</v>
      </c>
      <c r="S21" s="18">
        <f t="shared" si="9"/>
        <v>76953</v>
      </c>
      <c r="T21" s="18">
        <f t="shared" si="10"/>
        <v>165064.185</v>
      </c>
      <c r="U21" s="18">
        <f t="shared" si="11"/>
        <v>165064.185</v>
      </c>
    </row>
    <row r="22" spans="1:21" x14ac:dyDescent="0.25">
      <c r="A22" s="5"/>
      <c r="B22" s="4" t="s">
        <v>136</v>
      </c>
      <c r="C22" s="6">
        <f t="shared" si="0"/>
        <v>691000</v>
      </c>
      <c r="D22" s="20">
        <f t="shared" si="1"/>
        <v>483699.99999999994</v>
      </c>
      <c r="E22" s="5">
        <f t="shared" si="2"/>
        <v>483699.99999999994</v>
      </c>
      <c r="F22" s="8">
        <v>1</v>
      </c>
      <c r="G22" s="9" t="s">
        <v>9</v>
      </c>
      <c r="H22" s="4" t="s">
        <v>10</v>
      </c>
      <c r="I22" s="8" t="s">
        <v>66</v>
      </c>
      <c r="J22" s="18">
        <v>300158.20000000007</v>
      </c>
      <c r="K22">
        <f t="shared" si="3"/>
        <v>690363.8600000001</v>
      </c>
      <c r="L22">
        <f t="shared" si="4"/>
        <v>300158.20000000007</v>
      </c>
      <c r="M22" s="21">
        <v>300158.20000000007</v>
      </c>
      <c r="N22" s="21">
        <f t="shared" si="5"/>
        <v>300158.20000000007</v>
      </c>
      <c r="O22" s="21">
        <f t="shared" si="6"/>
        <v>690363.8600000001</v>
      </c>
      <c r="P22">
        <f t="shared" si="7"/>
        <v>690363.8600000001</v>
      </c>
      <c r="Q22">
        <f t="shared" si="8"/>
        <v>691000</v>
      </c>
      <c r="R22" s="18">
        <v>303310.19999999995</v>
      </c>
      <c r="S22" s="18">
        <f t="shared" si="9"/>
        <v>303310.19999999995</v>
      </c>
      <c r="T22" s="18">
        <f t="shared" si="10"/>
        <v>650600.37899999996</v>
      </c>
      <c r="U22" s="18">
        <f t="shared" si="11"/>
        <v>650600.37899999996</v>
      </c>
    </row>
    <row r="23" spans="1:21" x14ac:dyDescent="0.25">
      <c r="A23" s="5"/>
      <c r="B23" s="4" t="s">
        <v>70</v>
      </c>
      <c r="C23" s="6">
        <f t="shared" si="0"/>
        <v>450000</v>
      </c>
      <c r="D23" s="20">
        <f t="shared" si="1"/>
        <v>315000</v>
      </c>
      <c r="E23" s="5">
        <f t="shared" si="2"/>
        <v>315000</v>
      </c>
      <c r="F23" s="8">
        <v>1</v>
      </c>
      <c r="G23" s="9" t="s">
        <v>9</v>
      </c>
      <c r="H23" s="4" t="s">
        <v>10</v>
      </c>
      <c r="I23" s="8" t="s">
        <v>71</v>
      </c>
      <c r="J23" s="18">
        <v>195516.59999999998</v>
      </c>
      <c r="K23">
        <f t="shared" si="3"/>
        <v>449688.17999999993</v>
      </c>
      <c r="L23">
        <f t="shared" si="4"/>
        <v>195516.59999999998</v>
      </c>
      <c r="M23" s="21">
        <v>195516.59999999998</v>
      </c>
      <c r="N23" s="21">
        <f t="shared" si="5"/>
        <v>195516.59999999998</v>
      </c>
      <c r="O23" s="21">
        <f t="shared" si="6"/>
        <v>449688.17999999993</v>
      </c>
      <c r="P23">
        <f t="shared" si="7"/>
        <v>449688.17999999993</v>
      </c>
      <c r="Q23">
        <f t="shared" si="8"/>
        <v>450000</v>
      </c>
      <c r="R23" s="18">
        <v>184584</v>
      </c>
      <c r="S23" s="18">
        <f t="shared" si="9"/>
        <v>184584</v>
      </c>
      <c r="T23" s="18">
        <f t="shared" si="10"/>
        <v>395932.68</v>
      </c>
      <c r="U23" s="18">
        <f t="shared" si="11"/>
        <v>395932.68</v>
      </c>
    </row>
    <row r="24" spans="1:21" x14ac:dyDescent="0.25">
      <c r="A24" s="5"/>
      <c r="B24" s="4" t="s">
        <v>72</v>
      </c>
      <c r="C24" s="6">
        <f t="shared" si="0"/>
        <v>171000</v>
      </c>
      <c r="D24" s="20">
        <f t="shared" si="1"/>
        <v>119699.99999999999</v>
      </c>
      <c r="E24" s="5">
        <f t="shared" si="2"/>
        <v>119699.99999999999</v>
      </c>
      <c r="F24" s="8">
        <v>1</v>
      </c>
      <c r="G24" s="9" t="s">
        <v>9</v>
      </c>
      <c r="H24" s="4" t="s">
        <v>10</v>
      </c>
      <c r="I24" s="8" t="s">
        <v>71</v>
      </c>
      <c r="J24" s="18">
        <v>73998.899999999994</v>
      </c>
      <c r="K24">
        <f t="shared" si="3"/>
        <v>170197.46999999997</v>
      </c>
      <c r="L24">
        <f t="shared" si="4"/>
        <v>73998.899999999994</v>
      </c>
      <c r="M24" s="21">
        <v>73998.899999999994</v>
      </c>
      <c r="N24" s="21">
        <f t="shared" si="5"/>
        <v>73998.899999999994</v>
      </c>
      <c r="O24" s="21">
        <f t="shared" si="6"/>
        <v>170197.46999999997</v>
      </c>
      <c r="P24">
        <f t="shared" si="7"/>
        <v>170197.46999999997</v>
      </c>
      <c r="Q24">
        <f t="shared" si="8"/>
        <v>171000</v>
      </c>
      <c r="R24" s="18">
        <v>76953</v>
      </c>
      <c r="S24" s="18">
        <f t="shared" si="9"/>
        <v>76953</v>
      </c>
      <c r="T24" s="18">
        <f t="shared" si="10"/>
        <v>165064.185</v>
      </c>
      <c r="U24" s="18">
        <f t="shared" si="11"/>
        <v>165064.185</v>
      </c>
    </row>
    <row r="25" spans="1:21" x14ac:dyDescent="0.25">
      <c r="A25" s="5"/>
      <c r="B25" s="4" t="s">
        <v>137</v>
      </c>
      <c r="C25" s="6">
        <f t="shared" si="0"/>
        <v>704000</v>
      </c>
      <c r="D25" s="20">
        <f t="shared" si="1"/>
        <v>492799.99999999994</v>
      </c>
      <c r="E25" s="5">
        <f t="shared" si="2"/>
        <v>492799.99999999994</v>
      </c>
      <c r="F25" s="8">
        <v>1</v>
      </c>
      <c r="G25" s="9" t="s">
        <v>9</v>
      </c>
      <c r="H25" s="4" t="s">
        <v>10</v>
      </c>
      <c r="I25" s="8" t="s">
        <v>71</v>
      </c>
      <c r="J25" s="18">
        <v>305862.25</v>
      </c>
      <c r="K25">
        <f t="shared" si="3"/>
        <v>703483.17499999993</v>
      </c>
      <c r="L25">
        <f t="shared" si="4"/>
        <v>305862.25</v>
      </c>
      <c r="M25" s="21">
        <v>305862.25</v>
      </c>
      <c r="N25" s="21">
        <f t="shared" si="5"/>
        <v>305862.25</v>
      </c>
      <c r="O25" s="21">
        <f t="shared" si="6"/>
        <v>703483.17499999993</v>
      </c>
      <c r="P25">
        <f t="shared" si="7"/>
        <v>703483.17499999993</v>
      </c>
      <c r="Q25">
        <f t="shared" si="8"/>
        <v>704000</v>
      </c>
      <c r="R25" s="18">
        <v>302086.8</v>
      </c>
      <c r="S25" s="18">
        <f t="shared" si="9"/>
        <v>302086.8</v>
      </c>
      <c r="T25" s="18">
        <f t="shared" si="10"/>
        <v>647976.18599999999</v>
      </c>
      <c r="U25" s="18">
        <f t="shared" si="11"/>
        <v>647976.18599999999</v>
      </c>
    </row>
    <row r="26" spans="1:21" x14ac:dyDescent="0.25">
      <c r="A26" s="5"/>
      <c r="B26" s="4" t="s">
        <v>73</v>
      </c>
      <c r="C26" s="6">
        <f t="shared" si="0"/>
        <v>522000</v>
      </c>
      <c r="D26" s="20">
        <f t="shared" si="1"/>
        <v>365400</v>
      </c>
      <c r="E26" s="5">
        <f t="shared" si="2"/>
        <v>365400</v>
      </c>
      <c r="F26" s="8">
        <v>1</v>
      </c>
      <c r="G26" s="9" t="s">
        <v>9</v>
      </c>
      <c r="H26" s="4" t="s">
        <v>10</v>
      </c>
      <c r="I26" s="8" t="s">
        <v>74</v>
      </c>
      <c r="J26" s="18">
        <v>226948</v>
      </c>
      <c r="K26">
        <f t="shared" si="3"/>
        <v>521980.39999999997</v>
      </c>
      <c r="L26">
        <f t="shared" si="4"/>
        <v>226948</v>
      </c>
      <c r="M26" s="21">
        <v>226948</v>
      </c>
      <c r="N26" s="21">
        <f t="shared" si="5"/>
        <v>226948</v>
      </c>
      <c r="O26" s="21">
        <f t="shared" si="6"/>
        <v>521980.39999999997</v>
      </c>
      <c r="P26">
        <f t="shared" si="7"/>
        <v>521980.39999999997</v>
      </c>
      <c r="Q26">
        <f t="shared" si="8"/>
        <v>522000</v>
      </c>
      <c r="R26" s="18">
        <v>187350</v>
      </c>
      <c r="S26" s="18">
        <f t="shared" si="9"/>
        <v>187350</v>
      </c>
      <c r="T26" s="18">
        <f t="shared" si="10"/>
        <v>401865.75</v>
      </c>
      <c r="U26" s="18">
        <f t="shared" si="11"/>
        <v>401865.75</v>
      </c>
    </row>
    <row r="27" spans="1:21" x14ac:dyDescent="0.25">
      <c r="A27" s="5"/>
      <c r="B27" s="4" t="s">
        <v>75</v>
      </c>
      <c r="C27" s="6">
        <f t="shared" si="0"/>
        <v>170000</v>
      </c>
      <c r="D27" s="20">
        <f t="shared" si="1"/>
        <v>118999.99999999999</v>
      </c>
      <c r="E27" s="5">
        <f t="shared" si="2"/>
        <v>118999.99999999999</v>
      </c>
      <c r="F27" s="8">
        <v>1</v>
      </c>
      <c r="G27" s="9" t="s">
        <v>9</v>
      </c>
      <c r="H27" s="4" t="s">
        <v>10</v>
      </c>
      <c r="I27" s="8" t="s">
        <v>74</v>
      </c>
      <c r="J27" s="18">
        <v>73657.899999999994</v>
      </c>
      <c r="K27">
        <f t="shared" si="3"/>
        <v>169413.16999999998</v>
      </c>
      <c r="L27">
        <f t="shared" si="4"/>
        <v>73657.899999999994</v>
      </c>
      <c r="M27" s="21">
        <v>73657.899999999994</v>
      </c>
      <c r="N27" s="21">
        <f t="shared" si="5"/>
        <v>73657.899999999994</v>
      </c>
      <c r="O27" s="21">
        <f t="shared" si="6"/>
        <v>169413.16999999998</v>
      </c>
      <c r="P27">
        <f t="shared" si="7"/>
        <v>169413.16999999998</v>
      </c>
      <c r="Q27">
        <f t="shared" si="8"/>
        <v>170000</v>
      </c>
      <c r="R27" s="18">
        <v>76704</v>
      </c>
      <c r="S27" s="18">
        <f t="shared" si="9"/>
        <v>76704</v>
      </c>
      <c r="T27" s="18">
        <f t="shared" si="10"/>
        <v>164530.07999999999</v>
      </c>
      <c r="U27" s="18">
        <f t="shared" si="11"/>
        <v>164530.07999999999</v>
      </c>
    </row>
    <row r="28" spans="1:21" x14ac:dyDescent="0.25">
      <c r="A28" s="5"/>
      <c r="B28" s="4" t="s">
        <v>138</v>
      </c>
      <c r="C28" s="6">
        <f t="shared" si="0"/>
        <v>703000</v>
      </c>
      <c r="D28" s="20">
        <f t="shared" si="1"/>
        <v>492099.99999999994</v>
      </c>
      <c r="E28" s="5">
        <f t="shared" si="2"/>
        <v>492099.99999999994</v>
      </c>
      <c r="F28" s="8">
        <v>1</v>
      </c>
      <c r="G28" s="9" t="s">
        <v>9</v>
      </c>
      <c r="H28" s="4" t="s">
        <v>10</v>
      </c>
      <c r="I28" s="8" t="s">
        <v>74</v>
      </c>
      <c r="J28" s="18">
        <v>305313.34999999998</v>
      </c>
      <c r="K28">
        <f t="shared" si="3"/>
        <v>702220.70499999984</v>
      </c>
      <c r="L28">
        <f t="shared" si="4"/>
        <v>305313.34999999998</v>
      </c>
      <c r="M28" s="21">
        <v>305313.34999999998</v>
      </c>
      <c r="N28" s="21">
        <f t="shared" si="5"/>
        <v>305313.34999999998</v>
      </c>
      <c r="O28" s="21">
        <f t="shared" si="6"/>
        <v>702220.70499999984</v>
      </c>
      <c r="P28">
        <f t="shared" si="7"/>
        <v>702220.70499999984</v>
      </c>
      <c r="Q28">
        <f t="shared" si="8"/>
        <v>703000</v>
      </c>
      <c r="R28" s="18">
        <v>302086.8</v>
      </c>
      <c r="S28" s="18">
        <f t="shared" si="9"/>
        <v>302086.8</v>
      </c>
      <c r="T28" s="18">
        <f t="shared" si="10"/>
        <v>647976.18599999999</v>
      </c>
      <c r="U28" s="18">
        <f t="shared" si="11"/>
        <v>647976.18599999999</v>
      </c>
    </row>
    <row r="29" spans="1:21" x14ac:dyDescent="0.25">
      <c r="A29" s="5"/>
      <c r="B29" s="4" t="s">
        <v>76</v>
      </c>
      <c r="C29" s="6">
        <f t="shared" si="0"/>
        <v>753000</v>
      </c>
      <c r="D29" s="20">
        <f t="shared" si="1"/>
        <v>527100</v>
      </c>
      <c r="E29" s="5">
        <f t="shared" si="2"/>
        <v>527100</v>
      </c>
      <c r="F29" s="8">
        <v>1</v>
      </c>
      <c r="G29" s="9" t="s">
        <v>9</v>
      </c>
      <c r="H29" s="4" t="s">
        <v>10</v>
      </c>
      <c r="I29" s="8" t="s">
        <v>77</v>
      </c>
      <c r="J29" s="18">
        <v>327390.5</v>
      </c>
      <c r="K29">
        <f t="shared" si="3"/>
        <v>752998.14999999991</v>
      </c>
      <c r="L29">
        <f t="shared" si="4"/>
        <v>327390.5</v>
      </c>
      <c r="M29" s="21">
        <v>327390.5</v>
      </c>
      <c r="N29" s="21">
        <f t="shared" si="5"/>
        <v>327390.5</v>
      </c>
      <c r="O29" s="21">
        <f t="shared" si="6"/>
        <v>752998.14999999991</v>
      </c>
      <c r="P29">
        <f t="shared" si="7"/>
        <v>752998.14999999991</v>
      </c>
      <c r="Q29">
        <f t="shared" si="8"/>
        <v>753000</v>
      </c>
      <c r="R29" s="18">
        <v>471813.2</v>
      </c>
      <c r="S29" s="18">
        <f t="shared" si="9"/>
        <v>471813.2</v>
      </c>
      <c r="T29" s="18">
        <f t="shared" si="10"/>
        <v>1012039.314</v>
      </c>
      <c r="U29" s="18">
        <f t="shared" si="11"/>
        <v>1012039.314</v>
      </c>
    </row>
    <row r="30" spans="1:21" x14ac:dyDescent="0.25">
      <c r="A30" s="5"/>
      <c r="B30" s="4" t="s">
        <v>78</v>
      </c>
      <c r="C30" s="6">
        <f t="shared" si="0"/>
        <v>522000</v>
      </c>
      <c r="D30" s="20">
        <f t="shared" si="1"/>
        <v>365400</v>
      </c>
      <c r="E30" s="5">
        <f t="shared" si="2"/>
        <v>365400</v>
      </c>
      <c r="F30" s="8">
        <v>1</v>
      </c>
      <c r="G30" s="9" t="s">
        <v>9</v>
      </c>
      <c r="H30" s="4" t="s">
        <v>10</v>
      </c>
      <c r="I30" s="8" t="s">
        <v>77</v>
      </c>
      <c r="J30" s="18">
        <v>226948</v>
      </c>
      <c r="K30">
        <f t="shared" si="3"/>
        <v>521980.39999999997</v>
      </c>
      <c r="L30">
        <f t="shared" si="4"/>
        <v>226948</v>
      </c>
      <c r="M30" s="21">
        <v>226948</v>
      </c>
      <c r="N30" s="21">
        <f t="shared" si="5"/>
        <v>226948</v>
      </c>
      <c r="O30" s="21">
        <f t="shared" si="6"/>
        <v>521980.39999999997</v>
      </c>
      <c r="P30">
        <f t="shared" si="7"/>
        <v>521980.39999999997</v>
      </c>
      <c r="Q30">
        <f t="shared" si="8"/>
        <v>522000</v>
      </c>
      <c r="R30" s="18">
        <v>187350</v>
      </c>
      <c r="S30" s="18">
        <f t="shared" si="9"/>
        <v>187350</v>
      </c>
      <c r="T30" s="18">
        <f t="shared" si="10"/>
        <v>401865.75</v>
      </c>
      <c r="U30" s="18">
        <f t="shared" si="11"/>
        <v>401865.75</v>
      </c>
    </row>
    <row r="31" spans="1:21" x14ac:dyDescent="0.25">
      <c r="A31" s="5"/>
      <c r="B31" s="4" t="s">
        <v>79</v>
      </c>
      <c r="C31" s="6">
        <f t="shared" si="0"/>
        <v>170000</v>
      </c>
      <c r="D31" s="20">
        <f t="shared" si="1"/>
        <v>118999.99999999999</v>
      </c>
      <c r="E31" s="5">
        <f t="shared" si="2"/>
        <v>118999.99999999999</v>
      </c>
      <c r="F31" s="8">
        <v>1</v>
      </c>
      <c r="G31" s="9" t="s">
        <v>9</v>
      </c>
      <c r="H31" s="4" t="s">
        <v>10</v>
      </c>
      <c r="I31" s="8" t="s">
        <v>77</v>
      </c>
      <c r="J31" s="18">
        <v>73657.899999999994</v>
      </c>
      <c r="K31">
        <f t="shared" si="3"/>
        <v>169413.16999999998</v>
      </c>
      <c r="L31">
        <f t="shared" si="4"/>
        <v>73657.899999999994</v>
      </c>
      <c r="M31" s="21">
        <v>73657.899999999994</v>
      </c>
      <c r="N31" s="21">
        <f t="shared" si="5"/>
        <v>73657.899999999994</v>
      </c>
      <c r="O31" s="21">
        <f t="shared" si="6"/>
        <v>169413.16999999998</v>
      </c>
      <c r="P31">
        <f t="shared" si="7"/>
        <v>169413.16999999998</v>
      </c>
      <c r="Q31">
        <f t="shared" si="8"/>
        <v>170000</v>
      </c>
      <c r="R31" s="18">
        <v>76704</v>
      </c>
      <c r="S31" s="18">
        <f t="shared" si="9"/>
        <v>76704</v>
      </c>
      <c r="T31" s="18">
        <f t="shared" si="10"/>
        <v>164530.07999999999</v>
      </c>
      <c r="U31" s="18">
        <f t="shared" si="11"/>
        <v>164530.07999999999</v>
      </c>
    </row>
    <row r="32" spans="1:21" x14ac:dyDescent="0.25">
      <c r="A32" s="5"/>
      <c r="B32" s="4" t="s">
        <v>139</v>
      </c>
      <c r="C32" s="6">
        <f t="shared" si="0"/>
        <v>703000</v>
      </c>
      <c r="D32" s="20">
        <f t="shared" si="1"/>
        <v>492099.99999999994</v>
      </c>
      <c r="E32" s="5">
        <f t="shared" si="2"/>
        <v>492099.99999999994</v>
      </c>
      <c r="F32" s="8">
        <v>1</v>
      </c>
      <c r="G32" s="9" t="s">
        <v>9</v>
      </c>
      <c r="H32" s="4" t="s">
        <v>10</v>
      </c>
      <c r="I32" s="8" t="s">
        <v>77</v>
      </c>
      <c r="J32" s="18">
        <v>305313.34999999998</v>
      </c>
      <c r="K32">
        <f t="shared" si="3"/>
        <v>702220.70499999984</v>
      </c>
      <c r="L32">
        <f t="shared" si="4"/>
        <v>305313.34999999998</v>
      </c>
      <c r="M32" s="21">
        <v>305313.34999999998</v>
      </c>
      <c r="N32" s="21">
        <f t="shared" si="5"/>
        <v>305313.34999999998</v>
      </c>
      <c r="O32" s="21">
        <f t="shared" si="6"/>
        <v>702220.70499999984</v>
      </c>
      <c r="P32">
        <f t="shared" si="7"/>
        <v>702220.70499999984</v>
      </c>
      <c r="Q32">
        <f t="shared" si="8"/>
        <v>703000</v>
      </c>
      <c r="R32" s="18">
        <v>302086.8</v>
      </c>
      <c r="S32" s="18">
        <f t="shared" si="9"/>
        <v>302086.8</v>
      </c>
      <c r="T32" s="18">
        <f t="shared" si="10"/>
        <v>647976.18599999999</v>
      </c>
      <c r="U32" s="18">
        <f t="shared" si="11"/>
        <v>647976.18599999999</v>
      </c>
    </row>
    <row r="33" spans="1:21" x14ac:dyDescent="0.25">
      <c r="A33" s="5"/>
      <c r="B33" s="4" t="s">
        <v>80</v>
      </c>
      <c r="C33" s="6">
        <f t="shared" si="0"/>
        <v>753000</v>
      </c>
      <c r="D33" s="20">
        <f t="shared" si="1"/>
        <v>527100</v>
      </c>
      <c r="E33" s="5">
        <f t="shared" si="2"/>
        <v>527100</v>
      </c>
      <c r="F33" s="8">
        <v>1</v>
      </c>
      <c r="G33" s="9" t="s">
        <v>9</v>
      </c>
      <c r="H33" s="4" t="s">
        <v>10</v>
      </c>
      <c r="I33" s="8" t="s">
        <v>81</v>
      </c>
      <c r="J33" s="18">
        <v>327390.5</v>
      </c>
      <c r="K33">
        <f t="shared" si="3"/>
        <v>752998.14999999991</v>
      </c>
      <c r="L33">
        <f t="shared" si="4"/>
        <v>327390.5</v>
      </c>
      <c r="M33" s="21">
        <v>327390.5</v>
      </c>
      <c r="N33" s="21">
        <f t="shared" si="5"/>
        <v>327390.5</v>
      </c>
      <c r="O33" s="21">
        <f t="shared" si="6"/>
        <v>752998.14999999991</v>
      </c>
      <c r="P33">
        <f t="shared" si="7"/>
        <v>752998.14999999991</v>
      </c>
      <c r="Q33">
        <f t="shared" si="8"/>
        <v>753000</v>
      </c>
      <c r="R33" s="18">
        <v>471813.2</v>
      </c>
      <c r="S33" s="18">
        <f t="shared" si="9"/>
        <v>471813.2</v>
      </c>
      <c r="T33" s="18">
        <f t="shared" si="10"/>
        <v>1012039.314</v>
      </c>
      <c r="U33" s="18">
        <f t="shared" si="11"/>
        <v>1012039.314</v>
      </c>
    </row>
    <row r="34" spans="1:21" x14ac:dyDescent="0.25">
      <c r="A34" s="5"/>
      <c r="B34" s="4" t="s">
        <v>82</v>
      </c>
      <c r="C34" s="6">
        <f t="shared" si="0"/>
        <v>522000</v>
      </c>
      <c r="D34" s="20">
        <f t="shared" si="1"/>
        <v>365400</v>
      </c>
      <c r="E34" s="5">
        <f t="shared" si="2"/>
        <v>365400</v>
      </c>
      <c r="F34" s="8">
        <v>1</v>
      </c>
      <c r="G34" s="9" t="s">
        <v>9</v>
      </c>
      <c r="H34" s="4" t="s">
        <v>10</v>
      </c>
      <c r="I34" s="8" t="s">
        <v>81</v>
      </c>
      <c r="J34" s="18">
        <v>226948</v>
      </c>
      <c r="K34">
        <f t="shared" si="3"/>
        <v>521980.39999999997</v>
      </c>
      <c r="L34">
        <f t="shared" si="4"/>
        <v>226948</v>
      </c>
      <c r="M34" s="21">
        <v>226948</v>
      </c>
      <c r="N34" s="21">
        <f t="shared" si="5"/>
        <v>226948</v>
      </c>
      <c r="O34" s="21">
        <f t="shared" si="6"/>
        <v>521980.39999999997</v>
      </c>
      <c r="P34">
        <f t="shared" si="7"/>
        <v>521980.39999999997</v>
      </c>
      <c r="Q34">
        <f t="shared" si="8"/>
        <v>522000</v>
      </c>
      <c r="R34" s="18">
        <v>187350</v>
      </c>
      <c r="S34" s="18">
        <f t="shared" si="9"/>
        <v>187350</v>
      </c>
      <c r="T34" s="18">
        <f t="shared" si="10"/>
        <v>401865.75</v>
      </c>
      <c r="U34" s="18">
        <f t="shared" si="11"/>
        <v>401865.75</v>
      </c>
    </row>
    <row r="35" spans="1:21" x14ac:dyDescent="0.25">
      <c r="A35" s="5"/>
      <c r="B35" s="4" t="s">
        <v>83</v>
      </c>
      <c r="C35" s="6">
        <f t="shared" si="0"/>
        <v>170000</v>
      </c>
      <c r="D35" s="20">
        <f t="shared" si="1"/>
        <v>118999.99999999999</v>
      </c>
      <c r="E35" s="5">
        <f t="shared" si="2"/>
        <v>118999.99999999999</v>
      </c>
      <c r="F35" s="8">
        <v>1</v>
      </c>
      <c r="G35" s="9" t="s">
        <v>9</v>
      </c>
      <c r="H35" s="4" t="s">
        <v>10</v>
      </c>
      <c r="I35" s="8" t="s">
        <v>81</v>
      </c>
      <c r="J35" s="18">
        <v>73657.899999999994</v>
      </c>
      <c r="K35">
        <f t="shared" si="3"/>
        <v>169413.16999999998</v>
      </c>
      <c r="L35">
        <f t="shared" si="4"/>
        <v>73657.899999999994</v>
      </c>
      <c r="M35" s="21">
        <v>73657.899999999994</v>
      </c>
      <c r="N35" s="21">
        <f t="shared" si="5"/>
        <v>73657.899999999994</v>
      </c>
      <c r="O35" s="21">
        <f t="shared" si="6"/>
        <v>169413.16999999998</v>
      </c>
      <c r="P35">
        <f t="shared" si="7"/>
        <v>169413.16999999998</v>
      </c>
      <c r="Q35">
        <f t="shared" si="8"/>
        <v>170000</v>
      </c>
      <c r="R35" s="18">
        <v>76704</v>
      </c>
      <c r="S35" s="18">
        <f t="shared" si="9"/>
        <v>76704</v>
      </c>
      <c r="T35" s="18">
        <f t="shared" si="10"/>
        <v>164530.07999999999</v>
      </c>
      <c r="U35" s="18">
        <f t="shared" si="11"/>
        <v>164530.07999999999</v>
      </c>
    </row>
    <row r="36" spans="1:21" x14ac:dyDescent="0.25">
      <c r="A36" s="5"/>
      <c r="B36" s="4" t="s">
        <v>140</v>
      </c>
      <c r="C36" s="6">
        <f t="shared" si="0"/>
        <v>703000</v>
      </c>
      <c r="D36" s="20">
        <f t="shared" si="1"/>
        <v>492099.99999999994</v>
      </c>
      <c r="E36" s="5">
        <f t="shared" si="2"/>
        <v>492099.99999999994</v>
      </c>
      <c r="F36" s="8">
        <v>1</v>
      </c>
      <c r="G36" s="9" t="s">
        <v>9</v>
      </c>
      <c r="H36" s="4" t="s">
        <v>10</v>
      </c>
      <c r="I36" s="8" t="s">
        <v>81</v>
      </c>
      <c r="J36" s="18">
        <v>305313.34999999998</v>
      </c>
      <c r="K36">
        <f t="shared" si="3"/>
        <v>702220.70499999984</v>
      </c>
      <c r="L36">
        <f t="shared" si="4"/>
        <v>305313.34999999998</v>
      </c>
      <c r="M36" s="21">
        <v>305313.34999999998</v>
      </c>
      <c r="N36" s="21">
        <f t="shared" si="5"/>
        <v>305313.34999999998</v>
      </c>
      <c r="O36" s="21">
        <f t="shared" si="6"/>
        <v>702220.70499999984</v>
      </c>
      <c r="P36">
        <f t="shared" si="7"/>
        <v>702220.70499999984</v>
      </c>
      <c r="Q36">
        <f t="shared" si="8"/>
        <v>703000</v>
      </c>
      <c r="R36" s="18">
        <v>302086.8</v>
      </c>
      <c r="S36" s="18">
        <f t="shared" si="9"/>
        <v>302086.8</v>
      </c>
      <c r="T36" s="18">
        <f t="shared" si="10"/>
        <v>647976.18599999999</v>
      </c>
      <c r="U36" s="18">
        <f t="shared" si="11"/>
        <v>647976.18599999999</v>
      </c>
    </row>
    <row r="37" spans="1:21" x14ac:dyDescent="0.25">
      <c r="A37" s="5"/>
      <c r="B37" s="4" t="s">
        <v>84</v>
      </c>
      <c r="C37" s="6">
        <f t="shared" si="0"/>
        <v>522000</v>
      </c>
      <c r="D37" s="20">
        <f t="shared" si="1"/>
        <v>365400</v>
      </c>
      <c r="E37" s="5">
        <f t="shared" si="2"/>
        <v>365400</v>
      </c>
      <c r="F37" s="8">
        <v>1</v>
      </c>
      <c r="G37" s="9" t="s">
        <v>9</v>
      </c>
      <c r="H37" s="4" t="s">
        <v>10</v>
      </c>
      <c r="I37" s="8" t="s">
        <v>85</v>
      </c>
      <c r="J37" s="18">
        <v>226948</v>
      </c>
      <c r="K37">
        <f t="shared" si="3"/>
        <v>521980.39999999997</v>
      </c>
      <c r="L37">
        <f t="shared" si="4"/>
        <v>226948</v>
      </c>
      <c r="M37" s="21">
        <v>226948</v>
      </c>
      <c r="N37" s="21">
        <f t="shared" si="5"/>
        <v>226948</v>
      </c>
      <c r="O37" s="21">
        <f t="shared" si="6"/>
        <v>521980.39999999997</v>
      </c>
      <c r="P37">
        <f t="shared" si="7"/>
        <v>521980.39999999997</v>
      </c>
      <c r="Q37">
        <f t="shared" si="8"/>
        <v>522000</v>
      </c>
      <c r="R37" s="18">
        <v>187350</v>
      </c>
      <c r="S37" s="18">
        <f t="shared" si="9"/>
        <v>187350</v>
      </c>
      <c r="T37" s="18">
        <f t="shared" si="10"/>
        <v>401865.75</v>
      </c>
      <c r="U37" s="18">
        <f t="shared" si="11"/>
        <v>401865.75</v>
      </c>
    </row>
    <row r="38" spans="1:21" x14ac:dyDescent="0.25">
      <c r="A38" s="5"/>
      <c r="B38" s="4" t="s">
        <v>86</v>
      </c>
      <c r="C38" s="6">
        <f t="shared" si="0"/>
        <v>170000</v>
      </c>
      <c r="D38" s="20">
        <f t="shared" si="1"/>
        <v>118999.99999999999</v>
      </c>
      <c r="E38" s="5">
        <f t="shared" si="2"/>
        <v>118999.99999999999</v>
      </c>
      <c r="F38" s="8">
        <v>1</v>
      </c>
      <c r="G38" s="9" t="s">
        <v>9</v>
      </c>
      <c r="H38" s="4" t="s">
        <v>10</v>
      </c>
      <c r="I38" s="8" t="s">
        <v>85</v>
      </c>
      <c r="J38" s="18">
        <v>73657.899999999994</v>
      </c>
      <c r="K38">
        <f t="shared" si="3"/>
        <v>169413.16999999998</v>
      </c>
      <c r="L38">
        <f t="shared" si="4"/>
        <v>73657.899999999994</v>
      </c>
      <c r="M38" s="21">
        <v>73657.899999999994</v>
      </c>
      <c r="N38" s="21">
        <f t="shared" si="5"/>
        <v>73657.899999999994</v>
      </c>
      <c r="O38" s="21">
        <f t="shared" si="6"/>
        <v>169413.16999999998</v>
      </c>
      <c r="P38">
        <f t="shared" si="7"/>
        <v>169413.16999999998</v>
      </c>
      <c r="Q38">
        <f t="shared" si="8"/>
        <v>170000</v>
      </c>
      <c r="R38" s="18">
        <v>76704</v>
      </c>
      <c r="S38" s="18">
        <f t="shared" si="9"/>
        <v>76704</v>
      </c>
      <c r="T38" s="18">
        <f t="shared" si="10"/>
        <v>164530.07999999999</v>
      </c>
      <c r="U38" s="18">
        <f t="shared" si="11"/>
        <v>164530.07999999999</v>
      </c>
    </row>
    <row r="39" spans="1:21" x14ac:dyDescent="0.25">
      <c r="A39" s="5"/>
      <c r="B39" s="4" t="s">
        <v>141</v>
      </c>
      <c r="C39" s="6">
        <f t="shared" si="0"/>
        <v>703000</v>
      </c>
      <c r="D39" s="20">
        <f t="shared" si="1"/>
        <v>492099.99999999994</v>
      </c>
      <c r="E39" s="5">
        <f t="shared" si="2"/>
        <v>492099.99999999994</v>
      </c>
      <c r="F39" s="8">
        <v>1</v>
      </c>
      <c r="G39" s="9" t="s">
        <v>9</v>
      </c>
      <c r="H39" s="4" t="s">
        <v>10</v>
      </c>
      <c r="I39" s="8" t="s">
        <v>85</v>
      </c>
      <c r="J39" s="18">
        <v>305313.34999999998</v>
      </c>
      <c r="K39">
        <f t="shared" si="3"/>
        <v>702220.70499999984</v>
      </c>
      <c r="L39">
        <f t="shared" si="4"/>
        <v>305313.34999999998</v>
      </c>
      <c r="M39" s="21">
        <v>305313.34999999998</v>
      </c>
      <c r="N39" s="21">
        <f t="shared" si="5"/>
        <v>305313.34999999998</v>
      </c>
      <c r="O39" s="21">
        <f t="shared" si="6"/>
        <v>702220.70499999984</v>
      </c>
      <c r="P39">
        <f t="shared" si="7"/>
        <v>702220.70499999984</v>
      </c>
      <c r="Q39">
        <f t="shared" si="8"/>
        <v>703000</v>
      </c>
      <c r="R39" s="18">
        <v>302086.8</v>
      </c>
      <c r="S39" s="18">
        <f t="shared" si="9"/>
        <v>302086.8</v>
      </c>
      <c r="T39" s="18">
        <f t="shared" si="10"/>
        <v>647976.18599999999</v>
      </c>
      <c r="U39" s="18">
        <f t="shared" si="11"/>
        <v>647976.18599999999</v>
      </c>
    </row>
    <row r="40" spans="1:21" x14ac:dyDescent="0.25">
      <c r="A40" s="5"/>
      <c r="B40" s="4" t="s">
        <v>87</v>
      </c>
      <c r="C40" s="6">
        <f t="shared" si="0"/>
        <v>450000</v>
      </c>
      <c r="D40" s="20">
        <f t="shared" si="1"/>
        <v>315000</v>
      </c>
      <c r="E40" s="5">
        <f t="shared" si="2"/>
        <v>315000</v>
      </c>
      <c r="F40" s="8">
        <v>1</v>
      </c>
      <c r="G40" s="9" t="s">
        <v>9</v>
      </c>
      <c r="H40" s="4" t="s">
        <v>10</v>
      </c>
      <c r="I40" s="8" t="s">
        <v>88</v>
      </c>
      <c r="J40" s="18">
        <v>195516.59999999998</v>
      </c>
      <c r="K40">
        <f t="shared" si="3"/>
        <v>449688.17999999993</v>
      </c>
      <c r="L40">
        <f t="shared" si="4"/>
        <v>195516.59999999998</v>
      </c>
      <c r="M40" s="21">
        <v>195516.59999999998</v>
      </c>
      <c r="N40" s="21">
        <f t="shared" si="5"/>
        <v>195516.59999999998</v>
      </c>
      <c r="O40" s="21">
        <f t="shared" si="6"/>
        <v>449688.17999999993</v>
      </c>
      <c r="P40">
        <f t="shared" si="7"/>
        <v>449688.17999999993</v>
      </c>
      <c r="Q40">
        <f t="shared" si="8"/>
        <v>450000</v>
      </c>
      <c r="R40" s="18">
        <v>184584</v>
      </c>
      <c r="S40" s="18">
        <f t="shared" si="9"/>
        <v>184584</v>
      </c>
      <c r="T40" s="18">
        <f t="shared" si="10"/>
        <v>395932.68</v>
      </c>
      <c r="U40" s="18">
        <f t="shared" si="11"/>
        <v>395932.68</v>
      </c>
    </row>
    <row r="41" spans="1:21" x14ac:dyDescent="0.25">
      <c r="A41" s="5"/>
      <c r="B41" s="4" t="s">
        <v>89</v>
      </c>
      <c r="C41" s="6">
        <f t="shared" si="0"/>
        <v>171000</v>
      </c>
      <c r="D41" s="20">
        <f t="shared" si="1"/>
        <v>119699.99999999999</v>
      </c>
      <c r="E41" s="5">
        <f t="shared" si="2"/>
        <v>119699.99999999999</v>
      </c>
      <c r="F41" s="8">
        <v>1</v>
      </c>
      <c r="G41" s="9" t="s">
        <v>9</v>
      </c>
      <c r="H41" s="4" t="s">
        <v>10</v>
      </c>
      <c r="I41" s="8" t="s">
        <v>88</v>
      </c>
      <c r="J41" s="18">
        <v>73998.899999999994</v>
      </c>
      <c r="K41">
        <f t="shared" si="3"/>
        <v>170197.46999999997</v>
      </c>
      <c r="L41">
        <f t="shared" si="4"/>
        <v>73998.899999999994</v>
      </c>
      <c r="M41" s="21">
        <v>73998.899999999994</v>
      </c>
      <c r="N41" s="21">
        <f t="shared" si="5"/>
        <v>73998.899999999994</v>
      </c>
      <c r="O41" s="21">
        <f t="shared" si="6"/>
        <v>170197.46999999997</v>
      </c>
      <c r="P41">
        <f t="shared" si="7"/>
        <v>170197.46999999997</v>
      </c>
      <c r="Q41">
        <f t="shared" si="8"/>
        <v>171000</v>
      </c>
      <c r="R41" s="18">
        <v>76953</v>
      </c>
      <c r="S41" s="18">
        <f t="shared" si="9"/>
        <v>76953</v>
      </c>
      <c r="T41" s="18">
        <f t="shared" si="10"/>
        <v>165064.185</v>
      </c>
      <c r="U41" s="18">
        <f t="shared" si="11"/>
        <v>165064.185</v>
      </c>
    </row>
    <row r="42" spans="1:21" x14ac:dyDescent="0.25">
      <c r="A42" s="5"/>
      <c r="B42" s="4" t="s">
        <v>142</v>
      </c>
      <c r="C42" s="6">
        <f t="shared" si="0"/>
        <v>704000</v>
      </c>
      <c r="D42" s="20">
        <f t="shared" si="1"/>
        <v>492799.99999999994</v>
      </c>
      <c r="E42" s="5">
        <f t="shared" si="2"/>
        <v>492799.99999999994</v>
      </c>
      <c r="F42" s="8">
        <v>1</v>
      </c>
      <c r="G42" s="9" t="s">
        <v>9</v>
      </c>
      <c r="H42" s="4" t="s">
        <v>10</v>
      </c>
      <c r="I42" s="8" t="s">
        <v>88</v>
      </c>
      <c r="J42" s="18">
        <v>305862.25</v>
      </c>
      <c r="K42">
        <f t="shared" si="3"/>
        <v>703483.17499999993</v>
      </c>
      <c r="L42">
        <f t="shared" si="4"/>
        <v>305862.25</v>
      </c>
      <c r="M42" s="21">
        <v>305862.25</v>
      </c>
      <c r="N42" s="21">
        <f t="shared" si="5"/>
        <v>305862.25</v>
      </c>
      <c r="O42" s="21">
        <f t="shared" si="6"/>
        <v>703483.17499999993</v>
      </c>
      <c r="P42">
        <f t="shared" si="7"/>
        <v>703483.17499999993</v>
      </c>
      <c r="Q42">
        <f t="shared" si="8"/>
        <v>704000</v>
      </c>
      <c r="R42" s="18">
        <v>302086.8</v>
      </c>
      <c r="S42" s="18">
        <f t="shared" si="9"/>
        <v>302086.8</v>
      </c>
      <c r="T42" s="18">
        <f t="shared" si="10"/>
        <v>647976.18599999999</v>
      </c>
      <c r="U42" s="18">
        <f t="shared" si="11"/>
        <v>647976.18599999999</v>
      </c>
    </row>
    <row r="43" spans="1:21" x14ac:dyDescent="0.25">
      <c r="A43" s="5"/>
      <c r="B43" s="4" t="s">
        <v>90</v>
      </c>
      <c r="C43" s="6">
        <f t="shared" si="0"/>
        <v>753000</v>
      </c>
      <c r="D43" s="20">
        <f t="shared" si="1"/>
        <v>527100</v>
      </c>
      <c r="E43" s="5">
        <f t="shared" si="2"/>
        <v>527100</v>
      </c>
      <c r="F43" s="8">
        <v>1</v>
      </c>
      <c r="G43" s="9" t="s">
        <v>9</v>
      </c>
      <c r="H43" s="4" t="s">
        <v>10</v>
      </c>
      <c r="I43" s="8" t="s">
        <v>91</v>
      </c>
      <c r="J43" s="18">
        <v>327390.5</v>
      </c>
      <c r="K43">
        <f t="shared" si="3"/>
        <v>752998.14999999991</v>
      </c>
      <c r="L43">
        <f t="shared" si="4"/>
        <v>327390.5</v>
      </c>
      <c r="M43" s="21">
        <v>327390.5</v>
      </c>
      <c r="N43" s="21">
        <f t="shared" si="5"/>
        <v>327390.5</v>
      </c>
      <c r="O43" s="21">
        <f t="shared" si="6"/>
        <v>752998.14999999991</v>
      </c>
      <c r="P43">
        <f t="shared" si="7"/>
        <v>752998.14999999991</v>
      </c>
      <c r="Q43">
        <f t="shared" si="8"/>
        <v>753000</v>
      </c>
      <c r="R43" s="18">
        <v>471813.2</v>
      </c>
      <c r="S43" s="18">
        <f t="shared" si="9"/>
        <v>471813.2</v>
      </c>
      <c r="T43" s="18">
        <f t="shared" si="10"/>
        <v>1012039.314</v>
      </c>
      <c r="U43" s="18">
        <f t="shared" si="11"/>
        <v>1012039.314</v>
      </c>
    </row>
    <row r="44" spans="1:21" x14ac:dyDescent="0.25">
      <c r="A44" s="5"/>
      <c r="B44" s="4" t="s">
        <v>92</v>
      </c>
      <c r="C44" s="6">
        <f t="shared" si="0"/>
        <v>471000</v>
      </c>
      <c r="D44" s="20">
        <f t="shared" si="1"/>
        <v>329700</v>
      </c>
      <c r="E44" s="5">
        <f t="shared" si="2"/>
        <v>329700</v>
      </c>
      <c r="F44" s="8">
        <v>1</v>
      </c>
      <c r="G44" s="9" t="s">
        <v>9</v>
      </c>
      <c r="H44" s="4" t="s">
        <v>10</v>
      </c>
      <c r="I44" s="8" t="s">
        <v>91</v>
      </c>
      <c r="J44" s="18">
        <v>204725.8</v>
      </c>
      <c r="K44">
        <f t="shared" si="3"/>
        <v>470869.33999999991</v>
      </c>
      <c r="L44">
        <f t="shared" si="4"/>
        <v>204725.8</v>
      </c>
      <c r="M44" s="21">
        <v>204725.8</v>
      </c>
      <c r="N44" s="21">
        <f t="shared" si="5"/>
        <v>204725.8</v>
      </c>
      <c r="O44" s="21">
        <f t="shared" si="6"/>
        <v>470869.33999999991</v>
      </c>
      <c r="P44">
        <f t="shared" si="7"/>
        <v>470869.33999999991</v>
      </c>
      <c r="Q44">
        <f t="shared" si="8"/>
        <v>471000</v>
      </c>
      <c r="R44" s="18">
        <v>186939</v>
      </c>
      <c r="S44" s="18">
        <f t="shared" si="9"/>
        <v>186939</v>
      </c>
      <c r="T44" s="18">
        <f t="shared" si="10"/>
        <v>400984.15500000003</v>
      </c>
      <c r="U44" s="18">
        <f t="shared" si="11"/>
        <v>400984.15500000003</v>
      </c>
    </row>
    <row r="45" spans="1:21" x14ac:dyDescent="0.25">
      <c r="A45" s="5"/>
      <c r="B45" s="4" t="s">
        <v>93</v>
      </c>
      <c r="C45" s="6">
        <f t="shared" si="0"/>
        <v>171000</v>
      </c>
      <c r="D45" s="20">
        <f t="shared" si="1"/>
        <v>119699.99999999999</v>
      </c>
      <c r="E45" s="5">
        <f t="shared" si="2"/>
        <v>119699.99999999999</v>
      </c>
      <c r="F45" s="8">
        <v>1</v>
      </c>
      <c r="G45" s="9" t="s">
        <v>9</v>
      </c>
      <c r="H45" s="4" t="s">
        <v>10</v>
      </c>
      <c r="I45" s="8" t="s">
        <v>91</v>
      </c>
      <c r="J45" s="18">
        <v>73998.899999999994</v>
      </c>
      <c r="K45">
        <f t="shared" si="3"/>
        <v>170197.46999999997</v>
      </c>
      <c r="L45">
        <f t="shared" si="4"/>
        <v>73998.899999999994</v>
      </c>
      <c r="M45" s="21">
        <v>73998.899999999994</v>
      </c>
      <c r="N45" s="21">
        <f t="shared" si="5"/>
        <v>73998.899999999994</v>
      </c>
      <c r="O45" s="21">
        <f t="shared" si="6"/>
        <v>170197.46999999997</v>
      </c>
      <c r="P45">
        <f t="shared" si="7"/>
        <v>170197.46999999997</v>
      </c>
      <c r="Q45">
        <f t="shared" si="8"/>
        <v>171000</v>
      </c>
      <c r="R45" s="18">
        <v>76953</v>
      </c>
      <c r="S45" s="18">
        <f t="shared" si="9"/>
        <v>76953</v>
      </c>
      <c r="T45" s="18">
        <f t="shared" si="10"/>
        <v>165064.185</v>
      </c>
      <c r="U45" s="18">
        <f t="shared" si="11"/>
        <v>165064.185</v>
      </c>
    </row>
    <row r="46" spans="1:21" x14ac:dyDescent="0.25">
      <c r="A46" s="5"/>
      <c r="B46" s="4" t="s">
        <v>143</v>
      </c>
      <c r="C46" s="6">
        <f t="shared" si="0"/>
        <v>691000</v>
      </c>
      <c r="D46" s="20">
        <f t="shared" si="1"/>
        <v>483699.99999999994</v>
      </c>
      <c r="E46" s="5">
        <f t="shared" si="2"/>
        <v>483699.99999999994</v>
      </c>
      <c r="F46" s="8">
        <v>1</v>
      </c>
      <c r="G46" s="9" t="s">
        <v>9</v>
      </c>
      <c r="H46" s="4" t="s">
        <v>10</v>
      </c>
      <c r="I46" s="8" t="s">
        <v>91</v>
      </c>
      <c r="J46" s="18">
        <v>300158.20000000007</v>
      </c>
      <c r="K46">
        <f t="shared" si="3"/>
        <v>690363.8600000001</v>
      </c>
      <c r="L46">
        <f t="shared" si="4"/>
        <v>300158.20000000007</v>
      </c>
      <c r="M46" s="21">
        <v>300158.20000000007</v>
      </c>
      <c r="N46" s="21">
        <f t="shared" si="5"/>
        <v>300158.20000000007</v>
      </c>
      <c r="O46" s="21">
        <f t="shared" si="6"/>
        <v>690363.8600000001</v>
      </c>
      <c r="P46">
        <f t="shared" si="7"/>
        <v>690363.8600000001</v>
      </c>
      <c r="Q46">
        <f t="shared" si="8"/>
        <v>691000</v>
      </c>
      <c r="R46" s="18">
        <v>303310.19999999995</v>
      </c>
      <c r="S46" s="18">
        <f t="shared" si="9"/>
        <v>303310.19999999995</v>
      </c>
      <c r="T46" s="18">
        <f t="shared" si="10"/>
        <v>650600.37899999996</v>
      </c>
      <c r="U46" s="18">
        <f t="shared" si="11"/>
        <v>650600.37899999996</v>
      </c>
    </row>
    <row r="47" spans="1:21" x14ac:dyDescent="0.25">
      <c r="A47" s="5"/>
      <c r="B47" s="4" t="s">
        <v>94</v>
      </c>
      <c r="C47" s="6">
        <f t="shared" si="0"/>
        <v>753000</v>
      </c>
      <c r="D47" s="20">
        <f t="shared" si="1"/>
        <v>527100</v>
      </c>
      <c r="E47" s="5">
        <f t="shared" si="2"/>
        <v>527100</v>
      </c>
      <c r="F47" s="8">
        <v>1</v>
      </c>
      <c r="G47" s="9" t="s">
        <v>9</v>
      </c>
      <c r="H47" s="4" t="s">
        <v>10</v>
      </c>
      <c r="I47" s="8" t="s">
        <v>95</v>
      </c>
      <c r="J47" s="18">
        <v>327390.5</v>
      </c>
      <c r="K47">
        <f t="shared" si="3"/>
        <v>752998.14999999991</v>
      </c>
      <c r="L47">
        <f t="shared" si="4"/>
        <v>327390.5</v>
      </c>
      <c r="M47" s="21">
        <v>327390.5</v>
      </c>
      <c r="N47" s="21">
        <f t="shared" si="5"/>
        <v>327390.5</v>
      </c>
      <c r="O47" s="21">
        <f t="shared" si="6"/>
        <v>752998.14999999991</v>
      </c>
      <c r="P47">
        <f t="shared" si="7"/>
        <v>752998.14999999991</v>
      </c>
      <c r="Q47">
        <f t="shared" si="8"/>
        <v>753000</v>
      </c>
      <c r="R47" s="18">
        <v>471813.2</v>
      </c>
      <c r="S47" s="18">
        <f t="shared" si="9"/>
        <v>471813.2</v>
      </c>
      <c r="T47" s="18">
        <f t="shared" si="10"/>
        <v>1012039.314</v>
      </c>
      <c r="U47" s="18">
        <f t="shared" si="11"/>
        <v>1012039.314</v>
      </c>
    </row>
    <row r="48" spans="1:21" x14ac:dyDescent="0.25">
      <c r="A48" s="5"/>
      <c r="B48" s="4" t="s">
        <v>96</v>
      </c>
      <c r="C48" s="6">
        <f t="shared" si="0"/>
        <v>449000</v>
      </c>
      <c r="D48" s="20">
        <f t="shared" si="1"/>
        <v>314300</v>
      </c>
      <c r="E48" s="5">
        <f t="shared" si="2"/>
        <v>314300</v>
      </c>
      <c r="F48" s="8">
        <v>1</v>
      </c>
      <c r="G48" s="9" t="s">
        <v>9</v>
      </c>
      <c r="H48" s="4" t="s">
        <v>10</v>
      </c>
      <c r="I48" s="8" t="s">
        <v>95</v>
      </c>
      <c r="J48" s="18">
        <v>195016.09999999998</v>
      </c>
      <c r="K48">
        <f t="shared" si="3"/>
        <v>448537.02999999991</v>
      </c>
      <c r="L48">
        <f t="shared" si="4"/>
        <v>195016.09999999998</v>
      </c>
      <c r="M48" s="21">
        <v>195016.09999999998</v>
      </c>
      <c r="N48" s="21">
        <f t="shared" si="5"/>
        <v>195016.09999999998</v>
      </c>
      <c r="O48" s="21">
        <f t="shared" si="6"/>
        <v>448537.02999999991</v>
      </c>
      <c r="P48">
        <f t="shared" si="7"/>
        <v>448537.02999999991</v>
      </c>
      <c r="Q48">
        <f t="shared" si="8"/>
        <v>449000</v>
      </c>
      <c r="R48" s="18">
        <v>165087</v>
      </c>
      <c r="S48" s="18">
        <f t="shared" si="9"/>
        <v>165087</v>
      </c>
      <c r="T48" s="18">
        <f t="shared" si="10"/>
        <v>354111.61499999999</v>
      </c>
      <c r="U48" s="18">
        <f t="shared" si="11"/>
        <v>354111.61499999999</v>
      </c>
    </row>
    <row r="49" spans="1:21" x14ac:dyDescent="0.25">
      <c r="A49" s="5"/>
      <c r="B49" s="4" t="s">
        <v>97</v>
      </c>
      <c r="C49" s="6">
        <f t="shared" si="0"/>
        <v>355000</v>
      </c>
      <c r="D49" s="20">
        <f t="shared" si="1"/>
        <v>248499.99999999997</v>
      </c>
      <c r="E49" s="5">
        <f t="shared" si="2"/>
        <v>248499.99999999997</v>
      </c>
      <c r="F49" s="8">
        <v>1</v>
      </c>
      <c r="G49" s="9" t="s">
        <v>9</v>
      </c>
      <c r="H49" s="4" t="s">
        <v>10</v>
      </c>
      <c r="I49" s="8" t="s">
        <v>95</v>
      </c>
      <c r="J49" s="18">
        <v>154102.20000000001</v>
      </c>
      <c r="K49">
        <f t="shared" si="3"/>
        <v>354435.06</v>
      </c>
      <c r="L49">
        <f t="shared" si="4"/>
        <v>154102.20000000001</v>
      </c>
      <c r="M49" s="21">
        <v>154102.20000000001</v>
      </c>
      <c r="N49" s="21">
        <f t="shared" si="5"/>
        <v>154102.20000000001</v>
      </c>
      <c r="O49" s="21">
        <f t="shared" si="6"/>
        <v>354435.06</v>
      </c>
      <c r="P49">
        <f t="shared" si="7"/>
        <v>354435.06</v>
      </c>
      <c r="Q49">
        <f t="shared" si="8"/>
        <v>355000</v>
      </c>
      <c r="R49" s="18">
        <v>143532</v>
      </c>
      <c r="S49" s="18">
        <f t="shared" si="9"/>
        <v>143532</v>
      </c>
      <c r="T49" s="18">
        <f t="shared" si="10"/>
        <v>307876.14</v>
      </c>
      <c r="U49" s="18">
        <f t="shared" si="11"/>
        <v>307876.14</v>
      </c>
    </row>
    <row r="50" spans="1:21" x14ac:dyDescent="0.25">
      <c r="A50" s="5"/>
      <c r="B50" s="4" t="s">
        <v>99</v>
      </c>
      <c r="C50" s="6">
        <f t="shared" si="0"/>
        <v>169000</v>
      </c>
      <c r="D50" s="20">
        <f t="shared" si="1"/>
        <v>118299.99999999999</v>
      </c>
      <c r="E50" s="5">
        <f t="shared" si="2"/>
        <v>118299.99999999999</v>
      </c>
      <c r="F50" s="8">
        <v>1</v>
      </c>
      <c r="G50" s="9" t="s">
        <v>9</v>
      </c>
      <c r="H50" s="4" t="s">
        <v>10</v>
      </c>
      <c r="I50" s="8" t="s">
        <v>95</v>
      </c>
      <c r="J50" s="18">
        <v>73316.899999999994</v>
      </c>
      <c r="K50">
        <f t="shared" si="3"/>
        <v>168628.86999999997</v>
      </c>
      <c r="L50">
        <f t="shared" si="4"/>
        <v>73316.899999999994</v>
      </c>
      <c r="M50" s="21">
        <v>73316.899999999994</v>
      </c>
      <c r="N50" s="21">
        <f t="shared" si="5"/>
        <v>73316.899999999994</v>
      </c>
      <c r="O50" s="21">
        <f t="shared" si="6"/>
        <v>168628.86999999997</v>
      </c>
      <c r="P50">
        <f t="shared" si="7"/>
        <v>168628.86999999997</v>
      </c>
      <c r="Q50">
        <f t="shared" si="8"/>
        <v>169000</v>
      </c>
      <c r="R50" s="18">
        <v>76455</v>
      </c>
      <c r="S50" s="18">
        <f t="shared" si="9"/>
        <v>76455</v>
      </c>
      <c r="T50" s="18">
        <f t="shared" si="10"/>
        <v>163995.97500000001</v>
      </c>
      <c r="U50" s="18">
        <f t="shared" si="11"/>
        <v>163995.97500000001</v>
      </c>
    </row>
    <row r="51" spans="1:21" x14ac:dyDescent="0.25">
      <c r="A51" s="5"/>
      <c r="B51" s="4" t="s">
        <v>100</v>
      </c>
      <c r="C51" s="6">
        <f t="shared" si="0"/>
        <v>169000</v>
      </c>
      <c r="D51" s="20">
        <f t="shared" si="1"/>
        <v>118299.99999999999</v>
      </c>
      <c r="E51" s="5">
        <f t="shared" si="2"/>
        <v>118299.99999999999</v>
      </c>
      <c r="F51" s="8">
        <v>1</v>
      </c>
      <c r="G51" s="9" t="s">
        <v>9</v>
      </c>
      <c r="H51" s="4" t="s">
        <v>10</v>
      </c>
      <c r="I51" s="8" t="s">
        <v>95</v>
      </c>
      <c r="J51" s="18">
        <v>73316.899999999994</v>
      </c>
      <c r="K51">
        <f t="shared" si="3"/>
        <v>168628.86999999997</v>
      </c>
      <c r="L51">
        <f t="shared" si="4"/>
        <v>73316.899999999994</v>
      </c>
      <c r="M51" s="21">
        <v>73316.899999999994</v>
      </c>
      <c r="N51" s="21">
        <f t="shared" si="5"/>
        <v>73316.899999999994</v>
      </c>
      <c r="O51" s="21">
        <f t="shared" si="6"/>
        <v>168628.86999999997</v>
      </c>
      <c r="P51">
        <f t="shared" si="7"/>
        <v>168628.86999999997</v>
      </c>
      <c r="Q51">
        <f t="shared" si="8"/>
        <v>169000</v>
      </c>
      <c r="R51" s="18">
        <v>76455</v>
      </c>
      <c r="S51" s="18">
        <f t="shared" si="9"/>
        <v>76455</v>
      </c>
      <c r="T51" s="18">
        <f t="shared" si="10"/>
        <v>163995.97500000001</v>
      </c>
      <c r="U51" s="18">
        <f t="shared" si="11"/>
        <v>163995.97500000001</v>
      </c>
    </row>
    <row r="52" spans="1:21" x14ac:dyDescent="0.25">
      <c r="A52" s="5"/>
      <c r="B52" s="4" t="s">
        <v>144</v>
      </c>
      <c r="C52" s="6">
        <f t="shared" si="0"/>
        <v>684000</v>
      </c>
      <c r="D52" s="20">
        <f t="shared" si="1"/>
        <v>478799.99999999994</v>
      </c>
      <c r="E52" s="5">
        <f t="shared" si="2"/>
        <v>478799.99999999994</v>
      </c>
      <c r="F52" s="8">
        <v>1</v>
      </c>
      <c r="G52" s="9" t="s">
        <v>9</v>
      </c>
      <c r="H52" s="4" t="s">
        <v>10</v>
      </c>
      <c r="I52" s="8" t="s">
        <v>95</v>
      </c>
      <c r="J52" s="18">
        <v>297205.25</v>
      </c>
      <c r="K52">
        <f t="shared" si="3"/>
        <v>683572.07499999995</v>
      </c>
      <c r="L52">
        <f t="shared" si="4"/>
        <v>297205.25</v>
      </c>
      <c r="M52" s="21">
        <v>297205.25</v>
      </c>
      <c r="N52" s="21">
        <f t="shared" si="5"/>
        <v>297205.25</v>
      </c>
      <c r="O52" s="21">
        <f t="shared" si="6"/>
        <v>683572.07499999995</v>
      </c>
      <c r="P52">
        <f t="shared" si="7"/>
        <v>683572.07499999995</v>
      </c>
      <c r="Q52">
        <f t="shared" si="8"/>
        <v>684000</v>
      </c>
      <c r="R52" s="18">
        <v>299779.8</v>
      </c>
      <c r="S52" s="18">
        <f t="shared" si="9"/>
        <v>299779.8</v>
      </c>
      <c r="T52" s="18">
        <f t="shared" si="10"/>
        <v>643027.67099999997</v>
      </c>
      <c r="U52" s="18">
        <f t="shared" si="11"/>
        <v>643027.67099999997</v>
      </c>
    </row>
    <row r="53" spans="1:21" x14ac:dyDescent="0.25">
      <c r="A53" s="5"/>
      <c r="B53" s="4" t="s">
        <v>145</v>
      </c>
      <c r="C53" s="6">
        <f t="shared" si="0"/>
        <v>691000</v>
      </c>
      <c r="D53" s="20">
        <f t="shared" si="1"/>
        <v>483699.99999999994</v>
      </c>
      <c r="E53" s="5">
        <f t="shared" si="2"/>
        <v>483699.99999999994</v>
      </c>
      <c r="F53" s="8">
        <v>1</v>
      </c>
      <c r="G53" s="9" t="s">
        <v>9</v>
      </c>
      <c r="H53" s="4" t="s">
        <v>10</v>
      </c>
      <c r="I53" s="8" t="s">
        <v>95</v>
      </c>
      <c r="J53" s="18">
        <v>300158.20000000007</v>
      </c>
      <c r="K53">
        <f t="shared" si="3"/>
        <v>690363.8600000001</v>
      </c>
      <c r="L53">
        <f t="shared" si="4"/>
        <v>300158.20000000007</v>
      </c>
      <c r="M53" s="21">
        <v>300158.20000000007</v>
      </c>
      <c r="N53" s="21">
        <f t="shared" si="5"/>
        <v>300158.20000000007</v>
      </c>
      <c r="O53" s="21">
        <f t="shared" si="6"/>
        <v>690363.8600000001</v>
      </c>
      <c r="P53">
        <f t="shared" si="7"/>
        <v>690363.8600000001</v>
      </c>
      <c r="Q53">
        <f t="shared" si="8"/>
        <v>691000</v>
      </c>
      <c r="R53" s="18">
        <v>303310.19999999995</v>
      </c>
      <c r="S53" s="18">
        <f t="shared" si="9"/>
        <v>303310.19999999995</v>
      </c>
      <c r="T53" s="18">
        <f t="shared" si="10"/>
        <v>650600.37899999996</v>
      </c>
      <c r="U53" s="18">
        <f t="shared" si="11"/>
        <v>650600.37899999996</v>
      </c>
    </row>
    <row r="54" spans="1:21" x14ac:dyDescent="0.25">
      <c r="A54" s="5"/>
      <c r="B54" s="4" t="s">
        <v>101</v>
      </c>
      <c r="C54" s="6">
        <f t="shared" si="0"/>
        <v>753000</v>
      </c>
      <c r="D54" s="20">
        <f t="shared" si="1"/>
        <v>527100</v>
      </c>
      <c r="E54" s="5">
        <f t="shared" si="2"/>
        <v>527100</v>
      </c>
      <c r="F54" s="8">
        <v>1</v>
      </c>
      <c r="G54" s="9" t="s">
        <v>9</v>
      </c>
      <c r="H54" s="4" t="s">
        <v>10</v>
      </c>
      <c r="I54" s="8" t="s">
        <v>102</v>
      </c>
      <c r="J54" s="18">
        <v>327390.5</v>
      </c>
      <c r="K54">
        <f t="shared" si="3"/>
        <v>752998.14999999991</v>
      </c>
      <c r="L54">
        <f t="shared" si="4"/>
        <v>327390.5</v>
      </c>
      <c r="M54" s="21">
        <v>327390.5</v>
      </c>
      <c r="N54" s="21">
        <f t="shared" si="5"/>
        <v>327390.5</v>
      </c>
      <c r="O54" s="21">
        <f t="shared" si="6"/>
        <v>752998.14999999991</v>
      </c>
      <c r="P54">
        <f t="shared" si="7"/>
        <v>752998.14999999991</v>
      </c>
      <c r="Q54">
        <f t="shared" si="8"/>
        <v>753000</v>
      </c>
      <c r="R54" s="18">
        <v>471813.2</v>
      </c>
      <c r="S54" s="18">
        <f t="shared" si="9"/>
        <v>471813.2</v>
      </c>
      <c r="T54" s="18">
        <f t="shared" si="10"/>
        <v>1012039.314</v>
      </c>
      <c r="U54" s="18">
        <f t="shared" si="11"/>
        <v>1012039.314</v>
      </c>
    </row>
    <row r="55" spans="1:21" x14ac:dyDescent="0.25">
      <c r="A55" s="5"/>
      <c r="B55" s="4" t="s">
        <v>103</v>
      </c>
      <c r="C55" s="6">
        <f t="shared" si="0"/>
        <v>449000</v>
      </c>
      <c r="D55" s="20">
        <f t="shared" si="1"/>
        <v>314300</v>
      </c>
      <c r="E55" s="5">
        <f t="shared" si="2"/>
        <v>314300</v>
      </c>
      <c r="F55" s="8">
        <v>1</v>
      </c>
      <c r="G55" s="9" t="s">
        <v>9</v>
      </c>
      <c r="H55" s="4" t="s">
        <v>10</v>
      </c>
      <c r="I55" s="8" t="s">
        <v>102</v>
      </c>
      <c r="J55" s="18">
        <v>195016.09999999998</v>
      </c>
      <c r="K55">
        <f t="shared" si="3"/>
        <v>448537.02999999991</v>
      </c>
      <c r="L55">
        <f t="shared" si="4"/>
        <v>195016.09999999998</v>
      </c>
      <c r="M55" s="21">
        <v>195016.09999999998</v>
      </c>
      <c r="N55" s="21">
        <f t="shared" si="5"/>
        <v>195016.09999999998</v>
      </c>
      <c r="O55" s="21">
        <f t="shared" si="6"/>
        <v>448537.02999999991</v>
      </c>
      <c r="P55">
        <f t="shared" si="7"/>
        <v>448537.02999999991</v>
      </c>
      <c r="Q55">
        <f t="shared" si="8"/>
        <v>449000</v>
      </c>
      <c r="R55" s="18">
        <v>165087</v>
      </c>
      <c r="S55" s="18">
        <f t="shared" si="9"/>
        <v>165087</v>
      </c>
      <c r="T55" s="18">
        <f t="shared" si="10"/>
        <v>354111.61499999999</v>
      </c>
      <c r="U55" s="18">
        <f t="shared" si="11"/>
        <v>354111.61499999999</v>
      </c>
    </row>
    <row r="56" spans="1:21" x14ac:dyDescent="0.25">
      <c r="A56" s="5"/>
      <c r="B56" s="4" t="s">
        <v>104</v>
      </c>
      <c r="C56" s="6">
        <f t="shared" si="0"/>
        <v>417000</v>
      </c>
      <c r="D56" s="20">
        <f t="shared" si="1"/>
        <v>291900</v>
      </c>
      <c r="E56" s="5">
        <f t="shared" si="2"/>
        <v>291900</v>
      </c>
      <c r="F56" s="8">
        <v>1</v>
      </c>
      <c r="G56" s="9" t="s">
        <v>9</v>
      </c>
      <c r="H56" s="4" t="s">
        <v>10</v>
      </c>
      <c r="I56" s="8" t="s">
        <v>102</v>
      </c>
      <c r="J56" s="18">
        <v>181102.2</v>
      </c>
      <c r="K56">
        <f t="shared" si="3"/>
        <v>416535.06</v>
      </c>
      <c r="L56">
        <f t="shared" si="4"/>
        <v>181102.2</v>
      </c>
      <c r="M56" s="21">
        <v>181102.2</v>
      </c>
      <c r="N56" s="21">
        <f t="shared" si="5"/>
        <v>181102.2</v>
      </c>
      <c r="O56" s="21">
        <f t="shared" si="6"/>
        <v>416535.06</v>
      </c>
      <c r="P56">
        <f t="shared" si="7"/>
        <v>416535.06</v>
      </c>
      <c r="Q56">
        <f t="shared" si="8"/>
        <v>417000</v>
      </c>
      <c r="R56" s="18">
        <v>169857</v>
      </c>
      <c r="S56" s="18">
        <f t="shared" si="9"/>
        <v>169857</v>
      </c>
      <c r="T56" s="18">
        <f t="shared" si="10"/>
        <v>364343.26500000001</v>
      </c>
      <c r="U56" s="18">
        <f t="shared" si="11"/>
        <v>364343.26500000001</v>
      </c>
    </row>
    <row r="57" spans="1:21" x14ac:dyDescent="0.25">
      <c r="A57" s="5"/>
      <c r="B57" s="4" t="s">
        <v>105</v>
      </c>
      <c r="C57" s="6">
        <f t="shared" si="0"/>
        <v>169000</v>
      </c>
      <c r="D57" s="20">
        <f t="shared" si="1"/>
        <v>118299.99999999999</v>
      </c>
      <c r="E57" s="5">
        <f t="shared" si="2"/>
        <v>118299.99999999999</v>
      </c>
      <c r="F57" s="8">
        <v>1</v>
      </c>
      <c r="G57" s="9" t="s">
        <v>9</v>
      </c>
      <c r="H57" s="4" t="s">
        <v>10</v>
      </c>
      <c r="I57" s="8" t="s">
        <v>102</v>
      </c>
      <c r="J57" s="18">
        <v>73316.899999999994</v>
      </c>
      <c r="K57">
        <f t="shared" si="3"/>
        <v>168628.86999999997</v>
      </c>
      <c r="L57">
        <f t="shared" si="4"/>
        <v>73316.899999999994</v>
      </c>
      <c r="M57" s="21">
        <v>73316.899999999994</v>
      </c>
      <c r="N57" s="21">
        <f t="shared" si="5"/>
        <v>73316.899999999994</v>
      </c>
      <c r="O57" s="21">
        <f t="shared" si="6"/>
        <v>168628.86999999997</v>
      </c>
      <c r="P57">
        <f t="shared" si="7"/>
        <v>168628.86999999997</v>
      </c>
      <c r="Q57">
        <f t="shared" si="8"/>
        <v>169000</v>
      </c>
      <c r="R57" s="18">
        <v>76575</v>
      </c>
      <c r="S57" s="18">
        <f t="shared" si="9"/>
        <v>76575</v>
      </c>
      <c r="T57" s="18">
        <f t="shared" si="10"/>
        <v>164253.375</v>
      </c>
      <c r="U57" s="18">
        <f t="shared" si="11"/>
        <v>164253.375</v>
      </c>
    </row>
    <row r="58" spans="1:21" x14ac:dyDescent="0.25">
      <c r="A58" s="5"/>
      <c r="B58" s="4" t="s">
        <v>146</v>
      </c>
      <c r="C58" s="6">
        <f t="shared" si="0"/>
        <v>691000</v>
      </c>
      <c r="D58" s="20">
        <f t="shared" si="1"/>
        <v>483699.99999999994</v>
      </c>
      <c r="E58" s="5">
        <f t="shared" si="2"/>
        <v>483699.99999999994</v>
      </c>
      <c r="F58" s="8">
        <v>1</v>
      </c>
      <c r="G58" s="9" t="s">
        <v>9</v>
      </c>
      <c r="H58" s="4" t="s">
        <v>10</v>
      </c>
      <c r="I58" s="8" t="s">
        <v>102</v>
      </c>
      <c r="J58" s="18">
        <v>300158.20000000007</v>
      </c>
      <c r="K58">
        <f t="shared" si="3"/>
        <v>690363.8600000001</v>
      </c>
      <c r="L58">
        <f t="shared" si="4"/>
        <v>300158.20000000007</v>
      </c>
      <c r="M58" s="21">
        <v>300158.20000000007</v>
      </c>
      <c r="N58" s="21">
        <f t="shared" si="5"/>
        <v>300158.20000000007</v>
      </c>
      <c r="O58" s="21">
        <f t="shared" si="6"/>
        <v>690363.8600000001</v>
      </c>
      <c r="P58">
        <f t="shared" si="7"/>
        <v>690363.8600000001</v>
      </c>
      <c r="Q58">
        <f t="shared" si="8"/>
        <v>691000</v>
      </c>
      <c r="R58" s="18">
        <v>303310.19999999995</v>
      </c>
      <c r="S58" s="18">
        <f t="shared" si="9"/>
        <v>303310.19999999995</v>
      </c>
      <c r="T58" s="18">
        <f t="shared" si="10"/>
        <v>650600.37899999996</v>
      </c>
      <c r="U58" s="18">
        <f t="shared" si="11"/>
        <v>650600.37899999996</v>
      </c>
    </row>
    <row r="59" spans="1:21" x14ac:dyDescent="0.25">
      <c r="A59" s="5"/>
      <c r="B59" s="4" t="s">
        <v>106</v>
      </c>
      <c r="C59" s="6">
        <f t="shared" si="0"/>
        <v>753000</v>
      </c>
      <c r="D59" s="20">
        <f t="shared" si="1"/>
        <v>527100</v>
      </c>
      <c r="E59" s="5">
        <f t="shared" si="2"/>
        <v>527100</v>
      </c>
      <c r="F59" s="8">
        <v>1</v>
      </c>
      <c r="G59" s="9" t="s">
        <v>9</v>
      </c>
      <c r="H59" s="4" t="s">
        <v>10</v>
      </c>
      <c r="I59" s="8" t="s">
        <v>107</v>
      </c>
      <c r="J59" s="18">
        <v>327390.5</v>
      </c>
      <c r="K59">
        <f t="shared" si="3"/>
        <v>752998.14999999991</v>
      </c>
      <c r="L59">
        <f t="shared" si="4"/>
        <v>327390.5</v>
      </c>
      <c r="M59" s="21">
        <v>327390.5</v>
      </c>
      <c r="N59" s="21">
        <f t="shared" si="5"/>
        <v>327390.5</v>
      </c>
      <c r="O59" s="21">
        <f t="shared" si="6"/>
        <v>752998.14999999991</v>
      </c>
      <c r="P59">
        <f t="shared" si="7"/>
        <v>752998.14999999991</v>
      </c>
      <c r="Q59">
        <f t="shared" si="8"/>
        <v>753000</v>
      </c>
      <c r="R59" s="18">
        <v>471813.2</v>
      </c>
      <c r="S59" s="18">
        <f t="shared" si="9"/>
        <v>471813.2</v>
      </c>
      <c r="T59" s="18">
        <f t="shared" si="10"/>
        <v>1012039.314</v>
      </c>
      <c r="U59" s="18">
        <f t="shared" si="11"/>
        <v>1012039.314</v>
      </c>
    </row>
    <row r="60" spans="1:21" x14ac:dyDescent="0.25">
      <c r="A60" s="5"/>
      <c r="B60" s="4" t="s">
        <v>108</v>
      </c>
      <c r="C60" s="6">
        <f t="shared" si="0"/>
        <v>449000</v>
      </c>
      <c r="D60" s="20">
        <f t="shared" si="1"/>
        <v>314300</v>
      </c>
      <c r="E60" s="5">
        <f t="shared" si="2"/>
        <v>314300</v>
      </c>
      <c r="F60" s="8">
        <v>1</v>
      </c>
      <c r="G60" s="9" t="s">
        <v>9</v>
      </c>
      <c r="H60" s="4" t="s">
        <v>10</v>
      </c>
      <c r="I60" s="8" t="s">
        <v>107</v>
      </c>
      <c r="J60" s="18">
        <v>195016.09999999998</v>
      </c>
      <c r="K60">
        <f t="shared" si="3"/>
        <v>448537.02999999991</v>
      </c>
      <c r="L60">
        <f t="shared" si="4"/>
        <v>195016.09999999998</v>
      </c>
      <c r="M60" s="21">
        <v>195016.09999999998</v>
      </c>
      <c r="N60" s="21">
        <f t="shared" si="5"/>
        <v>195016.09999999998</v>
      </c>
      <c r="O60" s="21">
        <f t="shared" si="6"/>
        <v>448537.02999999991</v>
      </c>
      <c r="P60">
        <f t="shared" si="7"/>
        <v>448537.02999999991</v>
      </c>
      <c r="Q60">
        <f t="shared" si="8"/>
        <v>449000</v>
      </c>
      <c r="R60" s="18">
        <v>165087</v>
      </c>
      <c r="S60" s="18">
        <f t="shared" si="9"/>
        <v>165087</v>
      </c>
      <c r="T60" s="18">
        <f t="shared" si="10"/>
        <v>354111.61499999999</v>
      </c>
      <c r="U60" s="18">
        <f t="shared" si="11"/>
        <v>354111.61499999999</v>
      </c>
    </row>
    <row r="61" spans="1:21" x14ac:dyDescent="0.25">
      <c r="A61" s="5"/>
      <c r="B61" s="4" t="s">
        <v>109</v>
      </c>
      <c r="C61" s="6">
        <f t="shared" si="0"/>
        <v>417000</v>
      </c>
      <c r="D61" s="20">
        <f t="shared" si="1"/>
        <v>291900</v>
      </c>
      <c r="E61" s="5">
        <f t="shared" si="2"/>
        <v>291900</v>
      </c>
      <c r="F61" s="8">
        <v>1</v>
      </c>
      <c r="G61" s="9" t="s">
        <v>9</v>
      </c>
      <c r="H61" s="4" t="s">
        <v>10</v>
      </c>
      <c r="I61" s="8" t="s">
        <v>107</v>
      </c>
      <c r="J61" s="18">
        <v>181102.2</v>
      </c>
      <c r="K61">
        <f t="shared" si="3"/>
        <v>416535.06</v>
      </c>
      <c r="L61">
        <f t="shared" si="4"/>
        <v>181102.2</v>
      </c>
      <c r="M61" s="21">
        <v>181102.2</v>
      </c>
      <c r="N61" s="21">
        <f t="shared" si="5"/>
        <v>181102.2</v>
      </c>
      <c r="O61" s="21">
        <f t="shared" si="6"/>
        <v>416535.06</v>
      </c>
      <c r="P61">
        <f t="shared" si="7"/>
        <v>416535.06</v>
      </c>
      <c r="Q61">
        <f t="shared" si="8"/>
        <v>417000</v>
      </c>
      <c r="R61" s="18">
        <v>169857</v>
      </c>
      <c r="S61" s="18">
        <f t="shared" si="9"/>
        <v>169857</v>
      </c>
      <c r="T61" s="18">
        <f t="shared" si="10"/>
        <v>364343.26500000001</v>
      </c>
      <c r="U61" s="18">
        <f t="shared" si="11"/>
        <v>364343.26500000001</v>
      </c>
    </row>
    <row r="62" spans="1:21" x14ac:dyDescent="0.25">
      <c r="A62" s="5"/>
      <c r="B62" s="4" t="s">
        <v>110</v>
      </c>
      <c r="C62" s="6">
        <f t="shared" si="0"/>
        <v>169000</v>
      </c>
      <c r="D62" s="20">
        <f t="shared" si="1"/>
        <v>118299.99999999999</v>
      </c>
      <c r="E62" s="5">
        <f t="shared" si="2"/>
        <v>118299.99999999999</v>
      </c>
      <c r="F62" s="8">
        <v>1</v>
      </c>
      <c r="G62" s="9" t="s">
        <v>9</v>
      </c>
      <c r="H62" s="4" t="s">
        <v>10</v>
      </c>
      <c r="I62" s="8" t="s">
        <v>107</v>
      </c>
      <c r="J62" s="18">
        <v>73316.899999999994</v>
      </c>
      <c r="K62">
        <f t="shared" si="3"/>
        <v>168628.86999999997</v>
      </c>
      <c r="L62">
        <f t="shared" si="4"/>
        <v>73316.899999999994</v>
      </c>
      <c r="M62" s="21">
        <v>73316.899999999994</v>
      </c>
      <c r="N62" s="21">
        <f t="shared" si="5"/>
        <v>73316.899999999994</v>
      </c>
      <c r="O62" s="21">
        <f t="shared" si="6"/>
        <v>168628.86999999997</v>
      </c>
      <c r="P62">
        <f t="shared" si="7"/>
        <v>168628.86999999997</v>
      </c>
      <c r="Q62">
        <f t="shared" si="8"/>
        <v>169000</v>
      </c>
      <c r="R62" s="18">
        <v>76575</v>
      </c>
      <c r="S62" s="18">
        <f t="shared" si="9"/>
        <v>76575</v>
      </c>
      <c r="T62" s="18">
        <f t="shared" si="10"/>
        <v>164253.375</v>
      </c>
      <c r="U62" s="18">
        <f t="shared" si="11"/>
        <v>164253.375</v>
      </c>
    </row>
    <row r="63" spans="1:21" x14ac:dyDescent="0.25">
      <c r="A63" s="5"/>
      <c r="B63" s="4" t="s">
        <v>147</v>
      </c>
      <c r="C63" s="6">
        <f t="shared" si="0"/>
        <v>691000</v>
      </c>
      <c r="D63" s="20">
        <f t="shared" si="1"/>
        <v>483699.99999999994</v>
      </c>
      <c r="E63" s="5">
        <f t="shared" si="2"/>
        <v>483699.99999999994</v>
      </c>
      <c r="F63" s="8">
        <v>1</v>
      </c>
      <c r="G63" s="9" t="s">
        <v>9</v>
      </c>
      <c r="H63" s="4" t="s">
        <v>10</v>
      </c>
      <c r="I63" s="8" t="s">
        <v>107</v>
      </c>
      <c r="J63" s="18">
        <v>300158.20000000007</v>
      </c>
      <c r="K63">
        <f t="shared" si="3"/>
        <v>690363.8600000001</v>
      </c>
      <c r="L63">
        <f t="shared" si="4"/>
        <v>300158.20000000007</v>
      </c>
      <c r="M63" s="21">
        <v>300158.20000000007</v>
      </c>
      <c r="N63" s="21">
        <f t="shared" si="5"/>
        <v>300158.20000000007</v>
      </c>
      <c r="O63" s="21">
        <f t="shared" si="6"/>
        <v>690363.8600000001</v>
      </c>
      <c r="P63">
        <f t="shared" si="7"/>
        <v>690363.8600000001</v>
      </c>
      <c r="Q63">
        <f t="shared" si="8"/>
        <v>691000</v>
      </c>
      <c r="R63" s="18">
        <v>303310.19999999995</v>
      </c>
      <c r="S63" s="18">
        <f t="shared" si="9"/>
        <v>303310.19999999995</v>
      </c>
      <c r="T63" s="18">
        <f t="shared" si="10"/>
        <v>650600.37899999996</v>
      </c>
      <c r="U63" s="18">
        <f t="shared" si="11"/>
        <v>650600.37899999996</v>
      </c>
    </row>
    <row r="64" spans="1:21" x14ac:dyDescent="0.25">
      <c r="A64" s="5"/>
      <c r="B64" s="4" t="s">
        <v>152</v>
      </c>
      <c r="C64" s="6">
        <f t="shared" si="0"/>
        <v>535000</v>
      </c>
      <c r="D64" s="20">
        <f t="shared" si="1"/>
        <v>374500</v>
      </c>
      <c r="E64" s="5">
        <f t="shared" si="2"/>
        <v>374500</v>
      </c>
      <c r="F64" s="8">
        <v>1</v>
      </c>
      <c r="G64" s="9" t="s">
        <v>9</v>
      </c>
      <c r="H64" s="4" t="s">
        <v>10</v>
      </c>
      <c r="I64" s="8" t="s">
        <v>111</v>
      </c>
      <c r="J64" s="18">
        <v>232584.65000000002</v>
      </c>
      <c r="K64">
        <f t="shared" si="3"/>
        <v>534944.69500000007</v>
      </c>
      <c r="L64">
        <f t="shared" si="4"/>
        <v>232584.65000000002</v>
      </c>
      <c r="M64" s="21">
        <v>232584.65000000002</v>
      </c>
      <c r="N64" s="21">
        <f t="shared" si="5"/>
        <v>232584.65000000002</v>
      </c>
      <c r="O64" s="21">
        <f t="shared" si="6"/>
        <v>534944.69500000007</v>
      </c>
      <c r="P64">
        <f t="shared" si="7"/>
        <v>534944.69500000007</v>
      </c>
      <c r="Q64">
        <f t="shared" si="8"/>
        <v>535000</v>
      </c>
      <c r="R64" s="18">
        <v>482988</v>
      </c>
      <c r="S64" s="18">
        <f t="shared" si="9"/>
        <v>482988</v>
      </c>
      <c r="T64" s="18">
        <f t="shared" si="10"/>
        <v>1036009.26</v>
      </c>
      <c r="U64" s="18">
        <f t="shared" si="11"/>
        <v>1036009.26</v>
      </c>
    </row>
    <row r="65" spans="1:21" x14ac:dyDescent="0.25">
      <c r="A65" s="5"/>
      <c r="B65" s="4" t="s">
        <v>153</v>
      </c>
      <c r="C65" s="6">
        <f t="shared" si="0"/>
        <v>348000</v>
      </c>
      <c r="D65" s="20">
        <f t="shared" si="1"/>
        <v>243599.99999999997</v>
      </c>
      <c r="E65" s="5">
        <f t="shared" si="2"/>
        <v>243599.99999999997</v>
      </c>
      <c r="F65" s="8">
        <v>1</v>
      </c>
      <c r="G65" s="9" t="s">
        <v>9</v>
      </c>
      <c r="H65" s="4" t="s">
        <v>10</v>
      </c>
      <c r="I65" s="8" t="s">
        <v>111</v>
      </c>
      <c r="J65" s="18">
        <v>150980.85000000003</v>
      </c>
      <c r="K65">
        <f t="shared" si="3"/>
        <v>347255.95500000007</v>
      </c>
      <c r="L65">
        <f t="shared" si="4"/>
        <v>150980.85000000003</v>
      </c>
      <c r="M65" s="21">
        <v>150980.85000000003</v>
      </c>
      <c r="N65" s="21">
        <f t="shared" si="5"/>
        <v>150980.85000000003</v>
      </c>
      <c r="O65" s="21">
        <f t="shared" si="6"/>
        <v>347255.95500000007</v>
      </c>
      <c r="P65">
        <f t="shared" si="7"/>
        <v>347255.95500000007</v>
      </c>
      <c r="Q65">
        <f t="shared" si="8"/>
        <v>348000</v>
      </c>
      <c r="R65" s="18">
        <v>455628.89999999997</v>
      </c>
      <c r="S65" s="18">
        <f t="shared" si="9"/>
        <v>455628.89999999997</v>
      </c>
      <c r="T65" s="18">
        <f t="shared" si="10"/>
        <v>977323.99049999996</v>
      </c>
      <c r="U65" s="18">
        <f t="shared" si="11"/>
        <v>977323.99049999996</v>
      </c>
    </row>
    <row r="66" spans="1:21" x14ac:dyDescent="0.25">
      <c r="A66" s="5"/>
      <c r="B66" s="4" t="s">
        <v>118</v>
      </c>
      <c r="C66" s="6">
        <f t="shared" si="0"/>
        <v>385000</v>
      </c>
      <c r="D66" s="20">
        <f t="shared" si="1"/>
        <v>269500</v>
      </c>
      <c r="E66" s="5">
        <f t="shared" si="2"/>
        <v>269500</v>
      </c>
      <c r="F66" s="8">
        <v>1</v>
      </c>
      <c r="G66" s="9" t="s">
        <v>9</v>
      </c>
      <c r="H66" s="4" t="s">
        <v>10</v>
      </c>
      <c r="I66" s="8" t="s">
        <v>111</v>
      </c>
      <c r="J66" s="18">
        <v>167096.75</v>
      </c>
      <c r="K66">
        <f t="shared" si="3"/>
        <v>384322.52499999997</v>
      </c>
      <c r="L66">
        <f t="shared" si="4"/>
        <v>167096.75</v>
      </c>
      <c r="M66" s="21">
        <v>167096.75</v>
      </c>
      <c r="N66" s="21">
        <f t="shared" si="5"/>
        <v>167096.75</v>
      </c>
      <c r="O66" s="21">
        <f t="shared" si="6"/>
        <v>384322.52499999997</v>
      </c>
      <c r="P66">
        <f t="shared" si="7"/>
        <v>384322.52499999997</v>
      </c>
      <c r="Q66">
        <f t="shared" si="8"/>
        <v>385000</v>
      </c>
      <c r="R66" s="18">
        <v>190248</v>
      </c>
      <c r="S66" s="18">
        <f t="shared" si="9"/>
        <v>190248</v>
      </c>
      <c r="T66" s="18">
        <f t="shared" si="10"/>
        <v>408081.96</v>
      </c>
      <c r="U66" s="18">
        <f t="shared" si="11"/>
        <v>408081.96</v>
      </c>
    </row>
    <row r="67" spans="1:21" x14ac:dyDescent="0.25">
      <c r="A67" s="5"/>
      <c r="B67" s="4" t="s">
        <v>154</v>
      </c>
      <c r="C67" s="6">
        <f t="shared" ref="C67:C71" si="12">ROUNDUP(K67,-3)</f>
        <v>355000</v>
      </c>
      <c r="D67" s="20">
        <f t="shared" ref="D67:D71" si="13">0.7*C67</f>
        <v>248499.99999999997</v>
      </c>
      <c r="E67" s="5">
        <f t="shared" ref="E67:E71" si="14">D67*F67</f>
        <v>248499.99999999997</v>
      </c>
      <c r="F67" s="8">
        <v>1</v>
      </c>
      <c r="G67" s="9" t="s">
        <v>9</v>
      </c>
      <c r="H67" s="4" t="s">
        <v>10</v>
      </c>
      <c r="I67" s="8" t="s">
        <v>111</v>
      </c>
      <c r="J67" s="18">
        <v>154290.20000000001</v>
      </c>
      <c r="K67">
        <f t="shared" ref="K67:K71" si="15">2.3*J67</f>
        <v>354867.46</v>
      </c>
      <c r="L67">
        <f t="shared" ref="L67:L71" si="16">J67*F67</f>
        <v>154290.20000000001</v>
      </c>
      <c r="M67" s="21">
        <v>154290.20000000001</v>
      </c>
      <c r="N67" s="21">
        <f t="shared" ref="N67:N71" si="17">M67*F67</f>
        <v>154290.20000000001</v>
      </c>
      <c r="O67" s="21">
        <f t="shared" ref="O67:O71" si="18">M67*2.3</f>
        <v>354867.46</v>
      </c>
      <c r="P67">
        <f t="shared" ref="P67:P71" si="19">O67*F67</f>
        <v>354867.46</v>
      </c>
      <c r="Q67">
        <f t="shared" ref="Q67:Q71" si="20">ROUNDUP(P67,-3)</f>
        <v>355000</v>
      </c>
      <c r="R67" s="18">
        <v>244064</v>
      </c>
      <c r="S67" s="18">
        <f t="shared" ref="S67:S71" si="21">R67*F67</f>
        <v>244064</v>
      </c>
      <c r="T67" s="18">
        <f t="shared" ref="T67:T71" si="22">R67*2.145</f>
        <v>523517.28</v>
      </c>
      <c r="U67" s="18">
        <f t="shared" ref="U67:U71" si="23">T67*F67</f>
        <v>523517.28</v>
      </c>
    </row>
    <row r="68" spans="1:21" x14ac:dyDescent="0.25">
      <c r="A68" s="5"/>
      <c r="B68" s="4" t="s">
        <v>155</v>
      </c>
      <c r="C68" s="6">
        <f t="shared" si="12"/>
        <v>291000</v>
      </c>
      <c r="D68" s="20">
        <f t="shared" si="13"/>
        <v>203700</v>
      </c>
      <c r="E68" s="5">
        <f t="shared" si="14"/>
        <v>814800</v>
      </c>
      <c r="F68" s="8">
        <v>4</v>
      </c>
      <c r="G68" s="9" t="s">
        <v>9</v>
      </c>
      <c r="H68" s="4" t="s">
        <v>10</v>
      </c>
      <c r="I68" s="8" t="s">
        <v>111</v>
      </c>
      <c r="J68" s="18">
        <v>126136.95000000001</v>
      </c>
      <c r="K68">
        <f t="shared" si="15"/>
        <v>290114.98499999999</v>
      </c>
      <c r="L68">
        <f t="shared" si="16"/>
        <v>504547.80000000005</v>
      </c>
      <c r="M68" s="21">
        <v>181486.95</v>
      </c>
      <c r="N68" s="21">
        <f t="shared" si="17"/>
        <v>725947.8</v>
      </c>
      <c r="O68" s="21">
        <f t="shared" si="18"/>
        <v>417419.98499999999</v>
      </c>
      <c r="P68">
        <f t="shared" si="19"/>
        <v>1669679.94</v>
      </c>
      <c r="Q68">
        <f t="shared" si="20"/>
        <v>1670000</v>
      </c>
      <c r="R68" s="18">
        <v>336096</v>
      </c>
      <c r="S68" s="18">
        <f t="shared" si="21"/>
        <v>1344384</v>
      </c>
      <c r="T68" s="18">
        <f t="shared" si="22"/>
        <v>720925.92</v>
      </c>
      <c r="U68" s="18">
        <f t="shared" si="23"/>
        <v>2883703.68</v>
      </c>
    </row>
    <row r="69" spans="1:21" x14ac:dyDescent="0.25">
      <c r="A69" s="5"/>
      <c r="B69" s="4" t="s">
        <v>156</v>
      </c>
      <c r="C69" s="6">
        <f t="shared" si="12"/>
        <v>365000</v>
      </c>
      <c r="D69" s="20">
        <f t="shared" si="13"/>
        <v>255499.99999999997</v>
      </c>
      <c r="E69" s="5">
        <f t="shared" si="14"/>
        <v>18395999.999999996</v>
      </c>
      <c r="F69" s="8">
        <v>72</v>
      </c>
      <c r="G69" s="9" t="s">
        <v>9</v>
      </c>
      <c r="H69" s="4" t="s">
        <v>10</v>
      </c>
      <c r="I69" s="8" t="s">
        <v>111</v>
      </c>
      <c r="J69" s="18">
        <v>158582.6</v>
      </c>
      <c r="K69">
        <f t="shared" si="15"/>
        <v>364739.98</v>
      </c>
      <c r="L69">
        <f t="shared" si="16"/>
        <v>11417947.200000001</v>
      </c>
      <c r="M69" s="21">
        <v>232382.6</v>
      </c>
      <c r="N69" s="21">
        <f t="shared" si="17"/>
        <v>16731547.200000001</v>
      </c>
      <c r="O69" s="21">
        <f t="shared" si="18"/>
        <v>534479.98</v>
      </c>
      <c r="P69">
        <f t="shared" si="19"/>
        <v>38482558.560000002</v>
      </c>
      <c r="Q69">
        <f t="shared" si="20"/>
        <v>38483000</v>
      </c>
      <c r="R69" s="18">
        <v>383912</v>
      </c>
      <c r="S69" s="18">
        <f t="shared" si="21"/>
        <v>27641664</v>
      </c>
      <c r="T69" s="18">
        <f t="shared" si="22"/>
        <v>823491.24</v>
      </c>
      <c r="U69" s="18">
        <f t="shared" si="23"/>
        <v>59291369.280000001</v>
      </c>
    </row>
    <row r="70" spans="1:21" x14ac:dyDescent="0.25">
      <c r="A70" s="5"/>
      <c r="B70" s="4" t="s">
        <v>159</v>
      </c>
      <c r="C70" s="6">
        <f t="shared" si="12"/>
        <v>488000</v>
      </c>
      <c r="D70" s="20">
        <f t="shared" si="13"/>
        <v>341600</v>
      </c>
      <c r="E70" s="5">
        <f t="shared" si="14"/>
        <v>683200</v>
      </c>
      <c r="F70" s="8">
        <v>2</v>
      </c>
      <c r="G70" s="9" t="s">
        <v>9</v>
      </c>
      <c r="H70" s="4" t="s">
        <v>10</v>
      </c>
      <c r="I70" s="8" t="s">
        <v>111</v>
      </c>
      <c r="J70" s="18">
        <v>211923.90000000002</v>
      </c>
      <c r="K70">
        <f t="shared" si="15"/>
        <v>487424.97000000003</v>
      </c>
      <c r="L70">
        <f t="shared" si="16"/>
        <v>423847.80000000005</v>
      </c>
      <c r="M70" s="21">
        <v>322623.90000000002</v>
      </c>
      <c r="N70" s="21">
        <f t="shared" si="17"/>
        <v>645247.80000000005</v>
      </c>
      <c r="O70" s="21">
        <f t="shared" si="18"/>
        <v>742034.97</v>
      </c>
      <c r="P70">
        <f t="shared" si="19"/>
        <v>1484069.94</v>
      </c>
      <c r="Q70">
        <f t="shared" si="20"/>
        <v>1485000</v>
      </c>
      <c r="R70" s="18">
        <v>337008</v>
      </c>
      <c r="S70" s="18">
        <f t="shared" si="21"/>
        <v>674016</v>
      </c>
      <c r="T70" s="18">
        <f t="shared" si="22"/>
        <v>722882.16</v>
      </c>
      <c r="U70" s="18">
        <f t="shared" si="23"/>
        <v>1445764.32</v>
      </c>
    </row>
    <row r="71" spans="1:21" x14ac:dyDescent="0.25">
      <c r="A71" s="5"/>
      <c r="B71" s="4" t="s">
        <v>161</v>
      </c>
      <c r="C71" s="6">
        <f t="shared" si="12"/>
        <v>552000</v>
      </c>
      <c r="D71" s="20">
        <f t="shared" si="13"/>
        <v>386400</v>
      </c>
      <c r="E71" s="5">
        <f t="shared" si="14"/>
        <v>6955200</v>
      </c>
      <c r="F71" s="8">
        <v>18</v>
      </c>
      <c r="G71" s="9" t="s">
        <v>9</v>
      </c>
      <c r="H71" s="4" t="s">
        <v>10</v>
      </c>
      <c r="I71" s="8" t="s">
        <v>111</v>
      </c>
      <c r="J71" s="18">
        <v>239719.55000000005</v>
      </c>
      <c r="K71">
        <f t="shared" si="15"/>
        <v>551354.96500000008</v>
      </c>
      <c r="L71">
        <f t="shared" si="16"/>
        <v>4314951.9000000004</v>
      </c>
      <c r="M71" s="21">
        <v>368869.55</v>
      </c>
      <c r="N71" s="21">
        <f t="shared" si="17"/>
        <v>6639651.8999999994</v>
      </c>
      <c r="O71" s="21">
        <f t="shared" si="18"/>
        <v>848399.96499999985</v>
      </c>
      <c r="P71">
        <f t="shared" si="19"/>
        <v>15271199.369999997</v>
      </c>
      <c r="Q71">
        <f t="shared" si="20"/>
        <v>15272000</v>
      </c>
      <c r="R71" s="18">
        <v>384976</v>
      </c>
      <c r="S71" s="18">
        <f t="shared" si="21"/>
        <v>6929568</v>
      </c>
      <c r="T71" s="18">
        <f t="shared" si="22"/>
        <v>825773.52</v>
      </c>
      <c r="U71" s="18">
        <f t="shared" si="23"/>
        <v>14863923.359999999</v>
      </c>
    </row>
    <row r="72" spans="1:21" x14ac:dyDescent="0.25">
      <c r="E72" s="21">
        <f>SUM(E2:E71)</f>
        <v>49288400</v>
      </c>
      <c r="L72">
        <f>SUM(L2:L71)</f>
        <v>30586908.100000001</v>
      </c>
    </row>
  </sheetData>
  <autoFilter ref="A1:Q72" xr:uid="{45E2EA57-F5FC-4DED-A660-A86BCCDAA443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5</vt:i4>
      </vt:variant>
    </vt:vector>
  </HeadingPairs>
  <TitlesOfParts>
    <vt:vector size="5" baseType="lpstr">
      <vt:lpstr>cnc ile bom</vt:lpstr>
      <vt:lpstr>teksan salt ile bom</vt:lpstr>
      <vt:lpstr>teksan ile revize260807</vt:lpstr>
      <vt:lpstr>sayaclar</vt:lpstr>
      <vt:lpstr>fiyat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Yusuf Kaplan</dc:creator>
  <dc:description/>
  <cp:lastModifiedBy>yusuf kaplan</cp:lastModifiedBy>
  <cp:revision>3</cp:revision>
  <dcterms:created xsi:type="dcterms:W3CDTF">2015-06-05T18:19:34Z</dcterms:created>
  <dcterms:modified xsi:type="dcterms:W3CDTF">2026-09-03T08:57:27Z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HyperlinksChanged">
    <vt:bool>false</vt:bool>
  </property>
  <property fmtid="{D5CDD505-2E9C-101B-9397-08002B2CF9AE}" pid="3" name="LinksUpToDate">
    <vt:bool>false</vt:bool>
  </property>
  <property fmtid="{D5CDD505-2E9C-101B-9397-08002B2CF9AE}" pid="4" name="ScaleCrop">
    <vt:bool>false</vt:bool>
  </property>
  <property fmtid="{D5CDD505-2E9C-101B-9397-08002B2CF9AE}" pid="5" name="ShareDoc">
    <vt:bool>false</vt:bool>
  </property>
</Properties>
</file>