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260630 prigorodnoy yeni proje ve bom\"/>
    </mc:Choice>
  </mc:AlternateContent>
  <xr:revisionPtr revIDLastSave="0" documentId="13_ncr:1_{681D281C-2FC8-4EE8-A672-F8C8863727CE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Sayfa1" sheetId="2" r:id="rId1"/>
    <sheet name="teksan salt ile bom" sheetId="4" r:id="rId2"/>
    <sheet name="sayaclar" sheetId="5" r:id="rId3"/>
    <sheet name="fiyat" sheetId="3" r:id="rId4"/>
  </sheets>
  <definedNames>
    <definedName name="_xlnm._FilterDatabase" localSheetId="3" hidden="1">fiyat!$A$1:$N$72</definedName>
    <definedName name="_xlnm._FilterDatabase" localSheetId="0" hidden="1">Sayfa1!$B$1:$H$693</definedName>
    <definedName name="_xlnm._FilterDatabase" localSheetId="1" hidden="1">'teksan salt ile bom'!$A$1:$G$720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5" l="1"/>
  <c r="E3" i="5"/>
  <c r="E4" i="5"/>
  <c r="E1" i="5"/>
  <c r="G676" i="4"/>
  <c r="G644" i="4"/>
  <c r="G642" i="4"/>
  <c r="G643" i="4"/>
  <c r="Q3" i="3" l="1"/>
  <c r="R3" i="3" s="1"/>
  <c r="Q4" i="3"/>
  <c r="R4" i="3" s="1"/>
  <c r="Q5" i="3"/>
  <c r="R5" i="3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Q16" i="3"/>
  <c r="Q17" i="3"/>
  <c r="R17" i="3" s="1"/>
  <c r="Q18" i="3"/>
  <c r="R18" i="3" s="1"/>
  <c r="Q19" i="3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Q40" i="3"/>
  <c r="Q41" i="3"/>
  <c r="Q42" i="3"/>
  <c r="Q43" i="3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Q68" i="3"/>
  <c r="R68" i="3" s="1"/>
  <c r="Q69" i="3"/>
  <c r="R69" i="3" s="1"/>
  <c r="Q70" i="3"/>
  <c r="R70" i="3" s="1"/>
  <c r="Q71" i="3"/>
  <c r="R71" i="3" s="1"/>
  <c r="Q2" i="3"/>
  <c r="R15" i="3"/>
  <c r="R16" i="3"/>
  <c r="R19" i="3"/>
  <c r="R31" i="3"/>
  <c r="R39" i="3"/>
  <c r="R40" i="3"/>
  <c r="R41" i="3"/>
  <c r="R42" i="3"/>
  <c r="R43" i="3"/>
  <c r="R55" i="3"/>
  <c r="R67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E719" i="4" l="1"/>
  <c r="A713" i="4"/>
  <c r="A714" i="4" s="1"/>
  <c r="A715" i="4" s="1"/>
  <c r="A716" i="4" s="1"/>
  <c r="A717" i="4" s="1"/>
  <c r="A718" i="4" s="1"/>
  <c r="A719" i="4" s="1"/>
  <c r="A720" i="4" s="1"/>
  <c r="E711" i="4"/>
  <c r="A705" i="4"/>
  <c r="E703" i="4"/>
  <c r="A697" i="4"/>
  <c r="A698" i="4" s="1"/>
  <c r="E695" i="4"/>
  <c r="A689" i="4"/>
  <c r="E687" i="4"/>
  <c r="G660" i="4"/>
  <c r="G668" i="4" s="1"/>
  <c r="A659" i="4"/>
  <c r="E657" i="4"/>
  <c r="G632" i="4"/>
  <c r="G640" i="4" s="1"/>
  <c r="A631" i="4"/>
  <c r="E629" i="4"/>
  <c r="G619" i="4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A618" i="4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E616" i="4"/>
  <c r="G610" i="4"/>
  <c r="G611" i="4" s="1"/>
  <c r="G612" i="4" s="1"/>
  <c r="G613" i="4" s="1"/>
  <c r="G614" i="4" s="1"/>
  <c r="G615" i="4" s="1"/>
  <c r="G616" i="4" s="1"/>
  <c r="G617" i="4" s="1"/>
  <c r="A609" i="4"/>
  <c r="A610" i="4" s="1"/>
  <c r="A611" i="4" s="1"/>
  <c r="A612" i="4" s="1"/>
  <c r="A613" i="4" s="1"/>
  <c r="A614" i="4" s="1"/>
  <c r="A615" i="4" s="1"/>
  <c r="A616" i="4" s="1"/>
  <c r="A617" i="4" s="1"/>
  <c r="E607" i="4"/>
  <c r="G602" i="4"/>
  <c r="G603" i="4" s="1"/>
  <c r="G604" i="4" s="1"/>
  <c r="G605" i="4" s="1"/>
  <c r="G606" i="4" s="1"/>
  <c r="G607" i="4" s="1"/>
  <c r="G608" i="4" s="1"/>
  <c r="A601" i="4"/>
  <c r="A602" i="4" s="1"/>
  <c r="A603" i="4" s="1"/>
  <c r="A604" i="4" s="1"/>
  <c r="A605" i="4" s="1"/>
  <c r="A606" i="4" s="1"/>
  <c r="A607" i="4" s="1"/>
  <c r="A608" i="4" s="1"/>
  <c r="E599" i="4"/>
  <c r="G594" i="4"/>
  <c r="G595" i="4" s="1"/>
  <c r="G596" i="4" s="1"/>
  <c r="G597" i="4" s="1"/>
  <c r="G598" i="4" s="1"/>
  <c r="G599" i="4" s="1"/>
  <c r="G600" i="4" s="1"/>
  <c r="A593" i="4"/>
  <c r="A594" i="4" s="1"/>
  <c r="A595" i="4" s="1"/>
  <c r="A596" i="4" s="1"/>
  <c r="A597" i="4" s="1"/>
  <c r="A598" i="4" s="1"/>
  <c r="A599" i="4" s="1"/>
  <c r="A600" i="4" s="1"/>
  <c r="E591" i="4"/>
  <c r="G582" i="4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A581" i="4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E579" i="4"/>
  <c r="G569" i="4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A568" i="4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E566" i="4"/>
  <c r="G560" i="4"/>
  <c r="G561" i="4" s="1"/>
  <c r="G562" i="4" s="1"/>
  <c r="G563" i="4" s="1"/>
  <c r="G564" i="4" s="1"/>
  <c r="G565" i="4" s="1"/>
  <c r="G566" i="4" s="1"/>
  <c r="G567" i="4" s="1"/>
  <c r="A559" i="4"/>
  <c r="A560" i="4" s="1"/>
  <c r="A561" i="4" s="1"/>
  <c r="A562" i="4" s="1"/>
  <c r="A563" i="4" s="1"/>
  <c r="A564" i="4" s="1"/>
  <c r="A565" i="4" s="1"/>
  <c r="A566" i="4" s="1"/>
  <c r="A567" i="4" s="1"/>
  <c r="E557" i="4"/>
  <c r="G552" i="4"/>
  <c r="G553" i="4" s="1"/>
  <c r="G554" i="4" s="1"/>
  <c r="G555" i="4" s="1"/>
  <c r="G556" i="4" s="1"/>
  <c r="G557" i="4" s="1"/>
  <c r="G558" i="4" s="1"/>
  <c r="A551" i="4"/>
  <c r="A552" i="4" s="1"/>
  <c r="A553" i="4" s="1"/>
  <c r="A554" i="4" s="1"/>
  <c r="A555" i="4" s="1"/>
  <c r="A556" i="4" s="1"/>
  <c r="A557" i="4" s="1"/>
  <c r="A558" i="4" s="1"/>
  <c r="E549" i="4"/>
  <c r="G544" i="4"/>
  <c r="G545" i="4" s="1"/>
  <c r="G546" i="4" s="1"/>
  <c r="G547" i="4" s="1"/>
  <c r="G548" i="4" s="1"/>
  <c r="G549" i="4" s="1"/>
  <c r="G550" i="4" s="1"/>
  <c r="A543" i="4"/>
  <c r="A544" i="4" s="1"/>
  <c r="A545" i="4" s="1"/>
  <c r="A546" i="4" s="1"/>
  <c r="A547" i="4" s="1"/>
  <c r="A548" i="4" s="1"/>
  <c r="A549" i="4" s="1"/>
  <c r="A550" i="4" s="1"/>
  <c r="E541" i="4"/>
  <c r="G532" i="4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A531" i="4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E529" i="4"/>
  <c r="G519" i="4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A518" i="4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E516" i="4"/>
  <c r="G507" i="4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A506" i="4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E504" i="4"/>
  <c r="G498" i="4"/>
  <c r="G499" i="4" s="1"/>
  <c r="G500" i="4" s="1"/>
  <c r="G501" i="4" s="1"/>
  <c r="G502" i="4" s="1"/>
  <c r="G503" i="4" s="1"/>
  <c r="G504" i="4" s="1"/>
  <c r="G505" i="4" s="1"/>
  <c r="A497" i="4"/>
  <c r="A498" i="4" s="1"/>
  <c r="A499" i="4" s="1"/>
  <c r="A500" i="4" s="1"/>
  <c r="A501" i="4" s="1"/>
  <c r="A502" i="4" s="1"/>
  <c r="A503" i="4" s="1"/>
  <c r="A504" i="4" s="1"/>
  <c r="A505" i="4" s="1"/>
  <c r="E495" i="4"/>
  <c r="G489" i="4"/>
  <c r="G490" i="4" s="1"/>
  <c r="G491" i="4" s="1"/>
  <c r="G492" i="4" s="1"/>
  <c r="G493" i="4" s="1"/>
  <c r="G494" i="4" s="1"/>
  <c r="G495" i="4" s="1"/>
  <c r="G496" i="4" s="1"/>
  <c r="A488" i="4"/>
  <c r="A489" i="4" s="1"/>
  <c r="A490" i="4" s="1"/>
  <c r="A491" i="4" s="1"/>
  <c r="A492" i="4" s="1"/>
  <c r="A493" i="4" s="1"/>
  <c r="A494" i="4" s="1"/>
  <c r="A495" i="4" s="1"/>
  <c r="A496" i="4" s="1"/>
  <c r="E486" i="4"/>
  <c r="G481" i="4"/>
  <c r="G482" i="4" s="1"/>
  <c r="G483" i="4" s="1"/>
  <c r="G484" i="4" s="1"/>
  <c r="G485" i="4" s="1"/>
  <c r="G486" i="4" s="1"/>
  <c r="G487" i="4" s="1"/>
  <c r="A480" i="4"/>
  <c r="A481" i="4" s="1"/>
  <c r="A482" i="4" s="1"/>
  <c r="A483" i="4" s="1"/>
  <c r="A484" i="4" s="1"/>
  <c r="A485" i="4" s="1"/>
  <c r="E478" i="4"/>
  <c r="G473" i="4"/>
  <c r="G474" i="4" s="1"/>
  <c r="G475" i="4" s="1"/>
  <c r="G476" i="4" s="1"/>
  <c r="G477" i="4" s="1"/>
  <c r="G478" i="4" s="1"/>
  <c r="G479" i="4" s="1"/>
  <c r="A472" i="4"/>
  <c r="A473" i="4" s="1"/>
  <c r="A474" i="4" s="1"/>
  <c r="A475" i="4" s="1"/>
  <c r="A476" i="4" s="1"/>
  <c r="A477" i="4" s="1"/>
  <c r="A478" i="4" s="1"/>
  <c r="A479" i="4" s="1"/>
  <c r="E470" i="4"/>
  <c r="G461" i="4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A460" i="4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E458" i="4"/>
  <c r="G448" i="4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A447" i="4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E445" i="4"/>
  <c r="G440" i="4"/>
  <c r="G441" i="4" s="1"/>
  <c r="G442" i="4" s="1"/>
  <c r="G443" i="4" s="1"/>
  <c r="G444" i="4" s="1"/>
  <c r="G445" i="4" s="1"/>
  <c r="G446" i="4" s="1"/>
  <c r="A439" i="4"/>
  <c r="A440" i="4" s="1"/>
  <c r="A441" i="4" s="1"/>
  <c r="A442" i="4" s="1"/>
  <c r="A443" i="4" s="1"/>
  <c r="A444" i="4" s="1"/>
  <c r="A445" i="4" s="1"/>
  <c r="A446" i="4" s="1"/>
  <c r="E437" i="4"/>
  <c r="G431" i="4"/>
  <c r="G432" i="4" s="1"/>
  <c r="G433" i="4" s="1"/>
  <c r="G434" i="4" s="1"/>
  <c r="G435" i="4" s="1"/>
  <c r="G436" i="4" s="1"/>
  <c r="G437" i="4" s="1"/>
  <c r="G438" i="4" s="1"/>
  <c r="A430" i="4"/>
  <c r="A431" i="4" s="1"/>
  <c r="A432" i="4" s="1"/>
  <c r="A433" i="4" s="1"/>
  <c r="A434" i="4" s="1"/>
  <c r="A435" i="4" s="1"/>
  <c r="A436" i="4" s="1"/>
  <c r="A437" i="4" s="1"/>
  <c r="A438" i="4" s="1"/>
  <c r="E428" i="4"/>
  <c r="G419" i="4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A418" i="4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E416" i="4"/>
  <c r="G407" i="4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A406" i="4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E404" i="4"/>
  <c r="G399" i="4"/>
  <c r="G400" i="4" s="1"/>
  <c r="G401" i="4" s="1"/>
  <c r="G402" i="4" s="1"/>
  <c r="G403" i="4" s="1"/>
  <c r="G404" i="4" s="1"/>
  <c r="G405" i="4" s="1"/>
  <c r="A398" i="4"/>
  <c r="A399" i="4" s="1"/>
  <c r="A400" i="4" s="1"/>
  <c r="A401" i="4" s="1"/>
  <c r="A402" i="4" s="1"/>
  <c r="A403" i="4" s="1"/>
  <c r="A404" i="4" s="1"/>
  <c r="A405" i="4" s="1"/>
  <c r="E396" i="4"/>
  <c r="G391" i="4"/>
  <c r="G392" i="4" s="1"/>
  <c r="G393" i="4" s="1"/>
  <c r="G394" i="4" s="1"/>
  <c r="G395" i="4" s="1"/>
  <c r="G396" i="4" s="1"/>
  <c r="G397" i="4" s="1"/>
  <c r="A390" i="4"/>
  <c r="A391" i="4" s="1"/>
  <c r="A392" i="4" s="1"/>
  <c r="A393" i="4" s="1"/>
  <c r="A394" i="4" s="1"/>
  <c r="A395" i="4" s="1"/>
  <c r="A396" i="4" s="1"/>
  <c r="A397" i="4" s="1"/>
  <c r="E388" i="4"/>
  <c r="G379" i="4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A378" i="4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E376" i="4"/>
  <c r="G370" i="4"/>
  <c r="G371" i="4" s="1"/>
  <c r="G372" i="4" s="1"/>
  <c r="G373" i="4" s="1"/>
  <c r="A369" i="4"/>
  <c r="A370" i="4" s="1"/>
  <c r="A371" i="4" s="1"/>
  <c r="A372" i="4" s="1"/>
  <c r="A373" i="4" s="1"/>
  <c r="A374" i="4" s="1"/>
  <c r="A375" i="4" s="1"/>
  <c r="A376" i="4" s="1"/>
  <c r="A377" i="4" s="1"/>
  <c r="E367" i="4"/>
  <c r="G362" i="4"/>
  <c r="G363" i="4" s="1"/>
  <c r="G364" i="4" s="1"/>
  <c r="G365" i="4" s="1"/>
  <c r="G366" i="4" s="1"/>
  <c r="G367" i="4" s="1"/>
  <c r="G368" i="4" s="1"/>
  <c r="A361" i="4"/>
  <c r="A362" i="4" s="1"/>
  <c r="A363" i="4" s="1"/>
  <c r="A364" i="4" s="1"/>
  <c r="A365" i="4" s="1"/>
  <c r="A366" i="4" s="1"/>
  <c r="A367" i="4" s="1"/>
  <c r="A368" i="4" s="1"/>
  <c r="E359" i="4"/>
  <c r="G350" i="4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A349" i="4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E347" i="4"/>
  <c r="G341" i="4"/>
  <c r="G342" i="4" s="1"/>
  <c r="G343" i="4" s="1"/>
  <c r="G344" i="4" s="1"/>
  <c r="G345" i="4" s="1"/>
  <c r="G346" i="4" s="1"/>
  <c r="G347" i="4" s="1"/>
  <c r="G348" i="4" s="1"/>
  <c r="A340" i="4"/>
  <c r="A341" i="4" s="1"/>
  <c r="A342" i="4" s="1"/>
  <c r="A343" i="4" s="1"/>
  <c r="A344" i="4" s="1"/>
  <c r="A345" i="4" s="1"/>
  <c r="A346" i="4" s="1"/>
  <c r="A347" i="4" s="1"/>
  <c r="A348" i="4" s="1"/>
  <c r="E338" i="4"/>
  <c r="G333" i="4"/>
  <c r="G334" i="4" s="1"/>
  <c r="G335" i="4" s="1"/>
  <c r="G336" i="4" s="1"/>
  <c r="G337" i="4" s="1"/>
  <c r="G338" i="4" s="1"/>
  <c r="G339" i="4" s="1"/>
  <c r="A332" i="4"/>
  <c r="A333" i="4" s="1"/>
  <c r="A334" i="4" s="1"/>
  <c r="A335" i="4" s="1"/>
  <c r="A336" i="4" s="1"/>
  <c r="A337" i="4" s="1"/>
  <c r="A338" i="4" s="1"/>
  <c r="A339" i="4" s="1"/>
  <c r="E330" i="4"/>
  <c r="G321" i="4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A320" i="4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E318" i="4"/>
  <c r="G309" i="4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A308" i="4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E306" i="4"/>
  <c r="G300" i="4"/>
  <c r="G301" i="4" s="1"/>
  <c r="G302" i="4" s="1"/>
  <c r="G303" i="4" s="1"/>
  <c r="G304" i="4" s="1"/>
  <c r="G305" i="4" s="1"/>
  <c r="G306" i="4" s="1"/>
  <c r="G307" i="4" s="1"/>
  <c r="A299" i="4"/>
  <c r="A300" i="4" s="1"/>
  <c r="A301" i="4" s="1"/>
  <c r="A302" i="4" s="1"/>
  <c r="A303" i="4" s="1"/>
  <c r="A304" i="4" s="1"/>
  <c r="A305" i="4" s="1"/>
  <c r="A306" i="4" s="1"/>
  <c r="A307" i="4" s="1"/>
  <c r="E297" i="4"/>
  <c r="G292" i="4"/>
  <c r="G293" i="4" s="1"/>
  <c r="G294" i="4" s="1"/>
  <c r="G295" i="4" s="1"/>
  <c r="G296" i="4" s="1"/>
  <c r="G297" i="4" s="1"/>
  <c r="G298" i="4" s="1"/>
  <c r="A291" i="4"/>
  <c r="A292" i="4" s="1"/>
  <c r="A293" i="4" s="1"/>
  <c r="A294" i="4" s="1"/>
  <c r="A295" i="4" s="1"/>
  <c r="A296" i="4" s="1"/>
  <c r="A297" i="4" s="1"/>
  <c r="A298" i="4" s="1"/>
  <c r="E289" i="4"/>
  <c r="G280" i="4"/>
  <c r="G281" i="4" s="1"/>
  <c r="A279" i="4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E277" i="4"/>
  <c r="G268" i="4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A267" i="4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E265" i="4"/>
  <c r="G259" i="4"/>
  <c r="G260" i="4" s="1"/>
  <c r="G261" i="4" s="1"/>
  <c r="A258" i="4"/>
  <c r="A259" i="4" s="1"/>
  <c r="A260" i="4" s="1"/>
  <c r="A261" i="4" s="1"/>
  <c r="A262" i="4" s="1"/>
  <c r="A263" i="4" s="1"/>
  <c r="A264" i="4" s="1"/>
  <c r="A265" i="4" s="1"/>
  <c r="A266" i="4" s="1"/>
  <c r="E256" i="4"/>
  <c r="G251" i="4"/>
  <c r="G252" i="4" s="1"/>
  <c r="G253" i="4" s="1"/>
  <c r="G254" i="4" s="1"/>
  <c r="G255" i="4" s="1"/>
  <c r="G256" i="4" s="1"/>
  <c r="G257" i="4" s="1"/>
  <c r="A250" i="4"/>
  <c r="A251" i="4" s="1"/>
  <c r="A252" i="4" s="1"/>
  <c r="A253" i="4" s="1"/>
  <c r="A254" i="4" s="1"/>
  <c r="A255" i="4" s="1"/>
  <c r="A256" i="4" s="1"/>
  <c r="A257" i="4" s="1"/>
  <c r="E248" i="4"/>
  <c r="G239" i="4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A238" i="4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E236" i="4"/>
  <c r="G231" i="4"/>
  <c r="G232" i="4" s="1"/>
  <c r="G233" i="4" s="1"/>
  <c r="G234" i="4" s="1"/>
  <c r="G235" i="4" s="1"/>
  <c r="G236" i="4" s="1"/>
  <c r="G237" i="4" s="1"/>
  <c r="A230" i="4"/>
  <c r="A231" i="4" s="1"/>
  <c r="A232" i="4" s="1"/>
  <c r="A233" i="4" s="1"/>
  <c r="A234" i="4" s="1"/>
  <c r="A235" i="4" s="1"/>
  <c r="A236" i="4" s="1"/>
  <c r="A237" i="4" s="1"/>
  <c r="E228" i="4"/>
  <c r="G223" i="4"/>
  <c r="G224" i="4" s="1"/>
  <c r="G225" i="4" s="1"/>
  <c r="G226" i="4" s="1"/>
  <c r="G227" i="4" s="1"/>
  <c r="G228" i="4" s="1"/>
  <c r="G229" i="4" s="1"/>
  <c r="A222" i="4"/>
  <c r="A223" i="4" s="1"/>
  <c r="A224" i="4" s="1"/>
  <c r="A225" i="4" s="1"/>
  <c r="A226" i="4" s="1"/>
  <c r="A227" i="4" s="1"/>
  <c r="A228" i="4" s="1"/>
  <c r="A229" i="4" s="1"/>
  <c r="E220" i="4"/>
  <c r="G210" i="4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A209" i="4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E207" i="4"/>
  <c r="G202" i="4"/>
  <c r="G203" i="4" s="1"/>
  <c r="G204" i="4" s="1"/>
  <c r="G205" i="4" s="1"/>
  <c r="G206" i="4" s="1"/>
  <c r="G207" i="4" s="1"/>
  <c r="G208" i="4" s="1"/>
  <c r="A201" i="4"/>
  <c r="A202" i="4" s="1"/>
  <c r="A203" i="4" s="1"/>
  <c r="A204" i="4" s="1"/>
  <c r="A205" i="4" s="1"/>
  <c r="A206" i="4" s="1"/>
  <c r="A207" i="4" s="1"/>
  <c r="A208" i="4" s="1"/>
  <c r="E199" i="4"/>
  <c r="G193" i="4"/>
  <c r="G194" i="4" s="1"/>
  <c r="G195" i="4" s="1"/>
  <c r="G196" i="4" s="1"/>
  <c r="A192" i="4"/>
  <c r="A193" i="4" s="1"/>
  <c r="A194" i="4" s="1"/>
  <c r="A195" i="4" s="1"/>
  <c r="A196" i="4" s="1"/>
  <c r="A197" i="4" s="1"/>
  <c r="A198" i="4" s="1"/>
  <c r="A199" i="4" s="1"/>
  <c r="A200" i="4" s="1"/>
  <c r="E190" i="4"/>
  <c r="G181" i="4"/>
  <c r="G182" i="4" s="1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E178" i="4"/>
  <c r="G168" i="4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A167" i="4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E165" i="4"/>
  <c r="G155" i="4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A154" i="4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E152" i="4"/>
  <c r="G146" i="4"/>
  <c r="G147" i="4" s="1"/>
  <c r="G148" i="4" s="1"/>
  <c r="G149" i="4" s="1"/>
  <c r="G150" i="4" s="1"/>
  <c r="G151" i="4" s="1"/>
  <c r="G152" i="4" s="1"/>
  <c r="G153" i="4" s="1"/>
  <c r="A145" i="4"/>
  <c r="A146" i="4" s="1"/>
  <c r="A147" i="4" s="1"/>
  <c r="A148" i="4" s="1"/>
  <c r="A149" i="4" s="1"/>
  <c r="A150" i="4" s="1"/>
  <c r="A151" i="4" s="1"/>
  <c r="A152" i="4" s="1"/>
  <c r="A153" i="4" s="1"/>
  <c r="E143" i="4"/>
  <c r="G137" i="4"/>
  <c r="G138" i="4" s="1"/>
  <c r="G139" i="4" s="1"/>
  <c r="G140" i="4" s="1"/>
  <c r="G141" i="4" s="1"/>
  <c r="G142" i="4" s="1"/>
  <c r="G143" i="4" s="1"/>
  <c r="G144" i="4" s="1"/>
  <c r="A136" i="4"/>
  <c r="A137" i="4" s="1"/>
  <c r="A138" i="4" s="1"/>
  <c r="A139" i="4" s="1"/>
  <c r="A140" i="4" s="1"/>
  <c r="A141" i="4" s="1"/>
  <c r="A142" i="4" s="1"/>
  <c r="A143" i="4" s="1"/>
  <c r="A144" i="4" s="1"/>
  <c r="E134" i="4"/>
  <c r="G129" i="4"/>
  <c r="G130" i="4" s="1"/>
  <c r="A128" i="4"/>
  <c r="A129" i="4" s="1"/>
  <c r="A130" i="4" s="1"/>
  <c r="A131" i="4" s="1"/>
  <c r="A132" i="4" s="1"/>
  <c r="A133" i="4" s="1"/>
  <c r="A134" i="4" s="1"/>
  <c r="A135" i="4" s="1"/>
  <c r="E126" i="4"/>
  <c r="G121" i="4"/>
  <c r="G122" i="4" s="1"/>
  <c r="G123" i="4" s="1"/>
  <c r="G124" i="4" s="1"/>
  <c r="G125" i="4" s="1"/>
  <c r="G126" i="4" s="1"/>
  <c r="G127" i="4" s="1"/>
  <c r="A120" i="4"/>
  <c r="A121" i="4" s="1"/>
  <c r="A122" i="4" s="1"/>
  <c r="A123" i="4" s="1"/>
  <c r="A124" i="4" s="1"/>
  <c r="A125" i="4" s="1"/>
  <c r="A126" i="4" s="1"/>
  <c r="A127" i="4" s="1"/>
  <c r="E118" i="4"/>
  <c r="G109" i="4"/>
  <c r="G110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E106" i="4"/>
  <c r="G96" i="4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A95" i="4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E93" i="4"/>
  <c r="G87" i="4"/>
  <c r="G88" i="4" s="1"/>
  <c r="G89" i="4" s="1"/>
  <c r="G90" i="4" s="1"/>
  <c r="G91" i="4" s="1"/>
  <c r="G92" i="4" s="1"/>
  <c r="G93" i="4" s="1"/>
  <c r="G94" i="4" s="1"/>
  <c r="A86" i="4"/>
  <c r="A87" i="4" s="1"/>
  <c r="A88" i="4" s="1"/>
  <c r="A89" i="4" s="1"/>
  <c r="A90" i="4" s="1"/>
  <c r="A91" i="4" s="1"/>
  <c r="A92" i="4" s="1"/>
  <c r="A93" i="4" s="1"/>
  <c r="A94" i="4" s="1"/>
  <c r="E84" i="4"/>
  <c r="G78" i="4"/>
  <c r="G79" i="4" s="1"/>
  <c r="G80" i="4" s="1"/>
  <c r="G81" i="4" s="1"/>
  <c r="G82" i="4" s="1"/>
  <c r="G83" i="4" s="1"/>
  <c r="G84" i="4" s="1"/>
  <c r="G85" i="4" s="1"/>
  <c r="A77" i="4"/>
  <c r="A78" i="4" s="1"/>
  <c r="A79" i="4" s="1"/>
  <c r="A80" i="4" s="1"/>
  <c r="A81" i="4" s="1"/>
  <c r="E75" i="4"/>
  <c r="G70" i="4"/>
  <c r="G71" i="4" s="1"/>
  <c r="G72" i="4" s="1"/>
  <c r="G73" i="4" s="1"/>
  <c r="G74" i="4" s="1"/>
  <c r="G75" i="4" s="1"/>
  <c r="G76" i="4" s="1"/>
  <c r="A69" i="4"/>
  <c r="E67" i="4"/>
  <c r="G58" i="4"/>
  <c r="G59" i="4" s="1"/>
  <c r="A57" i="4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E55" i="4"/>
  <c r="G44" i="4"/>
  <c r="G45" i="4" s="1"/>
  <c r="G46" i="4" s="1"/>
  <c r="G47" i="4" s="1"/>
  <c r="G48" i="4" s="1"/>
  <c r="G49" i="4" s="1"/>
  <c r="G50" i="4" s="1"/>
  <c r="A43" i="4"/>
  <c r="A44" i="4" s="1"/>
  <c r="A45" i="4" s="1"/>
  <c r="A46" i="4" s="1"/>
  <c r="A47" i="4" s="1"/>
  <c r="A48" i="4" s="1"/>
  <c r="A49" i="4" s="1"/>
  <c r="A50" i="4" s="1"/>
  <c r="E41" i="4"/>
  <c r="G34" i="4"/>
  <c r="G35" i="4" s="1"/>
  <c r="G36" i="4" s="1"/>
  <c r="G37" i="4" s="1"/>
  <c r="A33" i="4"/>
  <c r="A34" i="4" s="1"/>
  <c r="A35" i="4" s="1"/>
  <c r="A36" i="4" s="1"/>
  <c r="A37" i="4" s="1"/>
  <c r="E31" i="4"/>
  <c r="G24" i="4"/>
  <c r="G25" i="4" s="1"/>
  <c r="G26" i="4" s="1"/>
  <c r="G27" i="4" s="1"/>
  <c r="A23" i="4"/>
  <c r="A24" i="4" s="1"/>
  <c r="A25" i="4" s="1"/>
  <c r="A26" i="4" s="1"/>
  <c r="A27" i="4" s="1"/>
  <c r="A28" i="4" s="1"/>
  <c r="E21" i="4"/>
  <c r="G15" i="4"/>
  <c r="G16" i="4" s="1"/>
  <c r="A14" i="4"/>
  <c r="A15" i="4" s="1"/>
  <c r="A16" i="4" s="1"/>
  <c r="E12" i="4"/>
  <c r="G3" i="4"/>
  <c r="G4" i="4" s="1"/>
  <c r="G6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N3" i="3"/>
  <c r="N4" i="3"/>
  <c r="N5" i="3"/>
  <c r="N6" i="3"/>
  <c r="N14" i="3"/>
  <c r="N15" i="3"/>
  <c r="N16" i="3"/>
  <c r="N17" i="3"/>
  <c r="N18" i="3"/>
  <c r="N26" i="3"/>
  <c r="N27" i="3"/>
  <c r="N28" i="3"/>
  <c r="N29" i="3"/>
  <c r="N30" i="3"/>
  <c r="N38" i="3"/>
  <c r="N39" i="3"/>
  <c r="N40" i="3"/>
  <c r="N41" i="3"/>
  <c r="N42" i="3"/>
  <c r="N50" i="3"/>
  <c r="N51" i="3"/>
  <c r="N52" i="3"/>
  <c r="N53" i="3"/>
  <c r="N54" i="3"/>
  <c r="N62" i="3"/>
  <c r="N63" i="3"/>
  <c r="N64" i="3"/>
  <c r="N65" i="3"/>
  <c r="N66" i="3"/>
  <c r="M3" i="3"/>
  <c r="M4" i="3"/>
  <c r="M5" i="3"/>
  <c r="M6" i="3"/>
  <c r="M7" i="3"/>
  <c r="N7" i="3" s="1"/>
  <c r="M8" i="3"/>
  <c r="N8" i="3" s="1"/>
  <c r="M11" i="3"/>
  <c r="N11" i="3" s="1"/>
  <c r="M14" i="3"/>
  <c r="M15" i="3"/>
  <c r="M16" i="3"/>
  <c r="M17" i="3"/>
  <c r="M18" i="3"/>
  <c r="M19" i="3"/>
  <c r="N19" i="3" s="1"/>
  <c r="M20" i="3"/>
  <c r="N20" i="3" s="1"/>
  <c r="M23" i="3"/>
  <c r="N23" i="3" s="1"/>
  <c r="M26" i="3"/>
  <c r="M27" i="3"/>
  <c r="M28" i="3"/>
  <c r="M29" i="3"/>
  <c r="M30" i="3"/>
  <c r="M31" i="3"/>
  <c r="N31" i="3" s="1"/>
  <c r="M32" i="3"/>
  <c r="N32" i="3" s="1"/>
  <c r="M35" i="3"/>
  <c r="N35" i="3" s="1"/>
  <c r="M38" i="3"/>
  <c r="M39" i="3"/>
  <c r="M40" i="3"/>
  <c r="M41" i="3"/>
  <c r="M42" i="3"/>
  <c r="M43" i="3"/>
  <c r="N43" i="3" s="1"/>
  <c r="M44" i="3"/>
  <c r="N44" i="3" s="1"/>
  <c r="M47" i="3"/>
  <c r="N47" i="3" s="1"/>
  <c r="M50" i="3"/>
  <c r="M51" i="3"/>
  <c r="M52" i="3"/>
  <c r="M53" i="3"/>
  <c r="M54" i="3"/>
  <c r="M55" i="3"/>
  <c r="N55" i="3" s="1"/>
  <c r="M56" i="3"/>
  <c r="N56" i="3" s="1"/>
  <c r="M59" i="3"/>
  <c r="N59" i="3" s="1"/>
  <c r="M62" i="3"/>
  <c r="M63" i="3"/>
  <c r="M64" i="3"/>
  <c r="M65" i="3"/>
  <c r="M66" i="3"/>
  <c r="M67" i="3"/>
  <c r="N67" i="3" s="1"/>
  <c r="M68" i="3"/>
  <c r="N68" i="3" s="1"/>
  <c r="M71" i="3"/>
  <c r="N71" i="3" s="1"/>
  <c r="L3" i="3"/>
  <c r="L4" i="3"/>
  <c r="L5" i="3"/>
  <c r="L6" i="3"/>
  <c r="L7" i="3"/>
  <c r="L8" i="3"/>
  <c r="L9" i="3"/>
  <c r="M9" i="3" s="1"/>
  <c r="N9" i="3" s="1"/>
  <c r="L10" i="3"/>
  <c r="M10" i="3" s="1"/>
  <c r="N10" i="3" s="1"/>
  <c r="L11" i="3"/>
  <c r="L12" i="3"/>
  <c r="M12" i="3" s="1"/>
  <c r="N12" i="3" s="1"/>
  <c r="L13" i="3"/>
  <c r="M13" i="3" s="1"/>
  <c r="N13" i="3" s="1"/>
  <c r="L14" i="3"/>
  <c r="L15" i="3"/>
  <c r="L16" i="3"/>
  <c r="L17" i="3"/>
  <c r="L18" i="3"/>
  <c r="L19" i="3"/>
  <c r="L20" i="3"/>
  <c r="L21" i="3"/>
  <c r="M21" i="3" s="1"/>
  <c r="N21" i="3" s="1"/>
  <c r="L22" i="3"/>
  <c r="M22" i="3" s="1"/>
  <c r="N22" i="3" s="1"/>
  <c r="L23" i="3"/>
  <c r="L24" i="3"/>
  <c r="M24" i="3" s="1"/>
  <c r="N24" i="3" s="1"/>
  <c r="L25" i="3"/>
  <c r="M25" i="3" s="1"/>
  <c r="N25" i="3" s="1"/>
  <c r="L26" i="3"/>
  <c r="L27" i="3"/>
  <c r="L28" i="3"/>
  <c r="L29" i="3"/>
  <c r="L30" i="3"/>
  <c r="L31" i="3"/>
  <c r="L32" i="3"/>
  <c r="L33" i="3"/>
  <c r="M33" i="3" s="1"/>
  <c r="N33" i="3" s="1"/>
  <c r="L34" i="3"/>
  <c r="M34" i="3" s="1"/>
  <c r="N34" i="3" s="1"/>
  <c r="L35" i="3"/>
  <c r="L36" i="3"/>
  <c r="M36" i="3" s="1"/>
  <c r="N36" i="3" s="1"/>
  <c r="L37" i="3"/>
  <c r="M37" i="3" s="1"/>
  <c r="N37" i="3" s="1"/>
  <c r="L38" i="3"/>
  <c r="L39" i="3"/>
  <c r="L40" i="3"/>
  <c r="L41" i="3"/>
  <c r="L42" i="3"/>
  <c r="L43" i="3"/>
  <c r="L44" i="3"/>
  <c r="L45" i="3"/>
  <c r="M45" i="3" s="1"/>
  <c r="N45" i="3" s="1"/>
  <c r="L46" i="3"/>
  <c r="M46" i="3" s="1"/>
  <c r="N46" i="3" s="1"/>
  <c r="L47" i="3"/>
  <c r="L48" i="3"/>
  <c r="M48" i="3" s="1"/>
  <c r="N48" i="3" s="1"/>
  <c r="L49" i="3"/>
  <c r="M49" i="3" s="1"/>
  <c r="N49" i="3" s="1"/>
  <c r="L50" i="3"/>
  <c r="L51" i="3"/>
  <c r="L52" i="3"/>
  <c r="L53" i="3"/>
  <c r="L54" i="3"/>
  <c r="L55" i="3"/>
  <c r="L56" i="3"/>
  <c r="L57" i="3"/>
  <c r="M57" i="3" s="1"/>
  <c r="N57" i="3" s="1"/>
  <c r="L58" i="3"/>
  <c r="M58" i="3" s="1"/>
  <c r="N58" i="3" s="1"/>
  <c r="L59" i="3"/>
  <c r="L60" i="3"/>
  <c r="M60" i="3" s="1"/>
  <c r="N60" i="3" s="1"/>
  <c r="L61" i="3"/>
  <c r="M61" i="3" s="1"/>
  <c r="N61" i="3" s="1"/>
  <c r="L62" i="3"/>
  <c r="L63" i="3"/>
  <c r="L64" i="3"/>
  <c r="L65" i="3"/>
  <c r="L66" i="3"/>
  <c r="L67" i="3"/>
  <c r="L68" i="3"/>
  <c r="L69" i="3"/>
  <c r="M69" i="3" s="1"/>
  <c r="N69" i="3" s="1"/>
  <c r="L70" i="3"/>
  <c r="M70" i="3" s="1"/>
  <c r="N70" i="3" s="1"/>
  <c r="L71" i="3"/>
  <c r="L2" i="3"/>
  <c r="M2" i="3" s="1"/>
  <c r="N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2" i="3"/>
  <c r="I72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2" i="3"/>
  <c r="A687" i="2"/>
  <c r="A688" i="2" s="1"/>
  <c r="A689" i="2" s="1"/>
  <c r="A690" i="2" s="1"/>
  <c r="A691" i="2" s="1"/>
  <c r="A692" i="2" s="1"/>
  <c r="A693" i="2" s="1"/>
  <c r="A680" i="2"/>
  <c r="A681" i="2" s="1"/>
  <c r="A682" i="2" s="1"/>
  <c r="A683" i="2" s="1"/>
  <c r="A684" i="2" s="1"/>
  <c r="A685" i="2" s="1"/>
  <c r="A686" i="2" s="1"/>
  <c r="A673" i="2"/>
  <c r="A674" i="2" s="1"/>
  <c r="A675" i="2" s="1"/>
  <c r="A676" i="2" s="1"/>
  <c r="A677" i="2" s="1"/>
  <c r="A678" i="2" s="1"/>
  <c r="A679" i="2" s="1"/>
  <c r="A666" i="2"/>
  <c r="A667" i="2" s="1"/>
  <c r="A668" i="2" s="1"/>
  <c r="A669" i="2" s="1"/>
  <c r="A670" i="2" s="1"/>
  <c r="A671" i="2" s="1"/>
  <c r="A672" i="2" s="1"/>
  <c r="A658" i="2"/>
  <c r="A659" i="2" s="1"/>
  <c r="A660" i="2" s="1"/>
  <c r="A661" i="2" s="1"/>
  <c r="A662" i="2" s="1"/>
  <c r="A663" i="2" s="1"/>
  <c r="A664" i="2" s="1"/>
  <c r="A665" i="2" s="1"/>
  <c r="A645" i="2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37" i="2"/>
  <c r="A638" i="2" s="1"/>
  <c r="A639" i="2" s="1"/>
  <c r="A640" i="2" s="1"/>
  <c r="A641" i="2" s="1"/>
  <c r="A642" i="2" s="1"/>
  <c r="A643" i="2" s="1"/>
  <c r="A644" i="2" s="1"/>
  <c r="A625" i="2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03" i="2"/>
  <c r="A604" i="2" s="1"/>
  <c r="A605" i="2" s="1"/>
  <c r="A606" i="2" s="1"/>
  <c r="A607" i="2" s="1"/>
  <c r="A608" i="2" s="1"/>
  <c r="A609" i="2" s="1"/>
  <c r="A610" i="2" s="1"/>
  <c r="A611" i="2" s="1"/>
  <c r="A595" i="2"/>
  <c r="A596" i="2" s="1"/>
  <c r="A597" i="2" s="1"/>
  <c r="A598" i="2" s="1"/>
  <c r="A599" i="2" s="1"/>
  <c r="A600" i="2" s="1"/>
  <c r="A601" i="2" s="1"/>
  <c r="A602" i="2" s="1"/>
  <c r="A587" i="2"/>
  <c r="A588" i="2" s="1"/>
  <c r="A589" i="2" s="1"/>
  <c r="A590" i="2" s="1"/>
  <c r="A591" i="2" s="1"/>
  <c r="A592" i="2" s="1"/>
  <c r="A593" i="2" s="1"/>
  <c r="A594" i="2" s="1"/>
  <c r="A575" i="2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62" i="2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53" i="2"/>
  <c r="A554" i="2" s="1"/>
  <c r="A555" i="2" s="1"/>
  <c r="A556" i="2" s="1"/>
  <c r="A557" i="2" s="1"/>
  <c r="A558" i="2" s="1"/>
  <c r="A559" i="2" s="1"/>
  <c r="A560" i="2" s="1"/>
  <c r="A561" i="2" s="1"/>
  <c r="A545" i="2"/>
  <c r="A546" i="2" s="1"/>
  <c r="A547" i="2" s="1"/>
  <c r="A548" i="2" s="1"/>
  <c r="A549" i="2" s="1"/>
  <c r="A550" i="2" s="1"/>
  <c r="A551" i="2" s="1"/>
  <c r="A552" i="2" s="1"/>
  <c r="A537" i="2"/>
  <c r="A538" i="2" s="1"/>
  <c r="A539" i="2" s="1"/>
  <c r="A540" i="2" s="1"/>
  <c r="A541" i="2" s="1"/>
  <c r="A542" i="2" s="1"/>
  <c r="A543" i="2" s="1"/>
  <c r="A544" i="2" s="1"/>
  <c r="A525" i="2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12" i="2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00" i="2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491" i="2"/>
  <c r="A492" i="2" s="1"/>
  <c r="A493" i="2" s="1"/>
  <c r="A494" i="2" s="1"/>
  <c r="A495" i="2" s="1"/>
  <c r="A496" i="2" s="1"/>
  <c r="A497" i="2" s="1"/>
  <c r="A498" i="2" s="1"/>
  <c r="A499" i="2" s="1"/>
  <c r="A482" i="2"/>
  <c r="A483" i="2" s="1"/>
  <c r="A484" i="2" s="1"/>
  <c r="A485" i="2" s="1"/>
  <c r="A486" i="2" s="1"/>
  <c r="A487" i="2" s="1"/>
  <c r="A488" i="2" s="1"/>
  <c r="A489" i="2" s="1"/>
  <c r="A490" i="2" s="1"/>
  <c r="A474" i="2"/>
  <c r="A475" i="2" s="1"/>
  <c r="A476" i="2" s="1"/>
  <c r="A477" i="2" s="1"/>
  <c r="A478" i="2" s="1"/>
  <c r="A479" i="2" s="1"/>
  <c r="A481" i="2" s="1"/>
  <c r="A466" i="2"/>
  <c r="A467" i="2" s="1"/>
  <c r="A468" i="2" s="1"/>
  <c r="A469" i="2" s="1"/>
  <c r="A470" i="2" s="1"/>
  <c r="A471" i="2" s="1"/>
  <c r="A472" i="2" s="1"/>
  <c r="A473" i="2" s="1"/>
  <c r="A454" i="2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41" i="2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33" i="2"/>
  <c r="A434" i="2" s="1"/>
  <c r="A435" i="2" s="1"/>
  <c r="A436" i="2" s="1"/>
  <c r="A437" i="2" s="1"/>
  <c r="A438" i="2" s="1"/>
  <c r="A439" i="2" s="1"/>
  <c r="A440" i="2" s="1"/>
  <c r="A424" i="2"/>
  <c r="A425" i="2" s="1"/>
  <c r="A426" i="2" s="1"/>
  <c r="A427" i="2" s="1"/>
  <c r="A428" i="2" s="1"/>
  <c r="A429" i="2" s="1"/>
  <c r="A430" i="2" s="1"/>
  <c r="A431" i="2" s="1"/>
  <c r="A432" i="2" s="1"/>
  <c r="A412" i="2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00" i="2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392" i="2"/>
  <c r="A393" i="2" s="1"/>
  <c r="A394" i="2" s="1"/>
  <c r="A395" i="2" s="1"/>
  <c r="A396" i="2" s="1"/>
  <c r="A397" i="2" s="1"/>
  <c r="A398" i="2" s="1"/>
  <c r="A399" i="2" s="1"/>
  <c r="A384" i="2"/>
  <c r="A385" i="2" s="1"/>
  <c r="A386" i="2" s="1"/>
  <c r="A387" i="2" s="1"/>
  <c r="A388" i="2" s="1"/>
  <c r="A389" i="2" s="1"/>
  <c r="A390" i="2" s="1"/>
  <c r="A391" i="2" s="1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63" i="2"/>
  <c r="A364" i="2" s="1"/>
  <c r="A365" i="2" s="1"/>
  <c r="A366" i="2" s="1"/>
  <c r="A367" i="2" s="1"/>
  <c r="A368" i="2" s="1"/>
  <c r="A369" i="2" s="1"/>
  <c r="A370" i="2" s="1"/>
  <c r="A371" i="2" s="1"/>
  <c r="A355" i="2"/>
  <c r="A356" i="2" s="1"/>
  <c r="A357" i="2" s="1"/>
  <c r="A358" i="2" s="1"/>
  <c r="A359" i="2" s="1"/>
  <c r="A360" i="2" s="1"/>
  <c r="A361" i="2" s="1"/>
  <c r="A362" i="2" s="1"/>
  <c r="A343" i="2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34" i="2"/>
  <c r="A335" i="2" s="1"/>
  <c r="A336" i="2" s="1"/>
  <c r="A337" i="2" s="1"/>
  <c r="A338" i="2" s="1"/>
  <c r="A339" i="2" s="1"/>
  <c r="A340" i="2" s="1"/>
  <c r="A341" i="2" s="1"/>
  <c r="A342" i="2" s="1"/>
  <c r="A326" i="2"/>
  <c r="A327" i="2" s="1"/>
  <c r="A328" i="2" s="1"/>
  <c r="A329" i="2" s="1"/>
  <c r="A330" i="2" s="1"/>
  <c r="A331" i="2" s="1"/>
  <c r="A332" i="2" s="1"/>
  <c r="A333" i="2" s="1"/>
  <c r="A314" i="2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02" i="2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293" i="2"/>
  <c r="A294" i="2" s="1"/>
  <c r="A295" i="2" s="1"/>
  <c r="A296" i="2" s="1"/>
  <c r="A297" i="2" s="1"/>
  <c r="A298" i="2" s="1"/>
  <c r="A299" i="2" s="1"/>
  <c r="A300" i="2" s="1"/>
  <c r="A301" i="2" s="1"/>
  <c r="A285" i="2"/>
  <c r="A286" i="2" s="1"/>
  <c r="A287" i="2" s="1"/>
  <c r="A288" i="2" s="1"/>
  <c r="A289" i="2" s="1"/>
  <c r="A290" i="2" s="1"/>
  <c r="A291" i="2" s="1"/>
  <c r="A292" i="2" s="1"/>
  <c r="A273" i="2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61" i="2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52" i="2"/>
  <c r="A253" i="2" s="1"/>
  <c r="A254" i="2" s="1"/>
  <c r="A255" i="2" s="1"/>
  <c r="A256" i="2" s="1"/>
  <c r="A257" i="2" s="1"/>
  <c r="A258" i="2" s="1"/>
  <c r="A259" i="2" s="1"/>
  <c r="A260" i="2" s="1"/>
  <c r="A244" i="2"/>
  <c r="A245" i="2" s="1"/>
  <c r="A246" i="2" s="1"/>
  <c r="A247" i="2" s="1"/>
  <c r="A248" i="2" s="1"/>
  <c r="A249" i="2" s="1"/>
  <c r="A250" i="2" s="1"/>
  <c r="A251" i="2" s="1"/>
  <c r="A232" i="2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24" i="2"/>
  <c r="A225" i="2" s="1"/>
  <c r="A226" i="2" s="1"/>
  <c r="A227" i="2" s="1"/>
  <c r="A228" i="2" s="1"/>
  <c r="A229" i="2" s="1"/>
  <c r="A230" i="2" s="1"/>
  <c r="A231" i="2" s="1"/>
  <c r="A216" i="2"/>
  <c r="A217" i="2" s="1"/>
  <c r="A218" i="2" s="1"/>
  <c r="A219" i="2" s="1"/>
  <c r="A220" i="2" s="1"/>
  <c r="A221" i="2" s="1"/>
  <c r="A222" i="2" s="1"/>
  <c r="A223" i="2" s="1"/>
  <c r="A203" i="2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195" i="2"/>
  <c r="A196" i="2" s="1"/>
  <c r="A197" i="2" s="1"/>
  <c r="A198" i="2" s="1"/>
  <c r="A199" i="2" s="1"/>
  <c r="A200" i="2" s="1"/>
  <c r="A201" i="2" s="1"/>
  <c r="A202" i="2" s="1"/>
  <c r="A186" i="2"/>
  <c r="A187" i="2" s="1"/>
  <c r="A188" i="2" s="1"/>
  <c r="A189" i="2" s="1"/>
  <c r="A190" i="2" s="1"/>
  <c r="A191" i="2" s="1"/>
  <c r="A192" i="2" s="1"/>
  <c r="A193" i="2" s="1"/>
  <c r="A194" i="2" s="1"/>
  <c r="A174" i="2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48" i="2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39" i="2"/>
  <c r="A140" i="2" s="1"/>
  <c r="A141" i="2" s="1"/>
  <c r="A142" i="2" s="1"/>
  <c r="A143" i="2" s="1"/>
  <c r="A144" i="2" s="1"/>
  <c r="A145" i="2" s="1"/>
  <c r="A146" i="2" s="1"/>
  <c r="A147" i="2" s="1"/>
  <c r="A130" i="2"/>
  <c r="A131" i="2" s="1"/>
  <c r="A132" i="2" s="1"/>
  <c r="A133" i="2" s="1"/>
  <c r="A134" i="2" s="1"/>
  <c r="A135" i="2" s="1"/>
  <c r="A136" i="2" s="1"/>
  <c r="A137" i="2" s="1"/>
  <c r="A138" i="2" s="1"/>
  <c r="A122" i="2"/>
  <c r="A123" i="2" s="1"/>
  <c r="A124" i="2" s="1"/>
  <c r="A125" i="2" s="1"/>
  <c r="A126" i="2" s="1"/>
  <c r="A127" i="2" s="1"/>
  <c r="A128" i="2" s="1"/>
  <c r="A129" i="2" s="1"/>
  <c r="A114" i="2"/>
  <c r="A115" i="2" s="1"/>
  <c r="A116" i="2" s="1"/>
  <c r="A117" i="2" s="1"/>
  <c r="A118" i="2" s="1"/>
  <c r="A119" i="2" s="1"/>
  <c r="A120" i="2" s="1"/>
  <c r="A121" i="2" s="1"/>
  <c r="A102" i="2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80" i="2"/>
  <c r="A81" i="2" s="1"/>
  <c r="A82" i="2" s="1"/>
  <c r="A83" i="2" s="1"/>
  <c r="A84" i="2" s="1"/>
  <c r="A85" i="2" s="1"/>
  <c r="A86" i="2" s="1"/>
  <c r="A87" i="2" s="1"/>
  <c r="A88" i="2" s="1"/>
  <c r="A72" i="2"/>
  <c r="A73" i="2" s="1"/>
  <c r="A74" i="2" s="1"/>
  <c r="A75" i="2" s="1"/>
  <c r="A76" i="2" s="1"/>
  <c r="A77" i="2" s="1"/>
  <c r="A78" i="2" s="1"/>
  <c r="A79" i="2" s="1"/>
  <c r="A64" i="2"/>
  <c r="A65" i="2" s="1"/>
  <c r="A66" i="2" s="1"/>
  <c r="A67" i="2" s="1"/>
  <c r="A68" i="2" s="1"/>
  <c r="A69" i="2" s="1"/>
  <c r="A70" i="2" s="1"/>
  <c r="A71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30" i="2"/>
  <c r="A31" i="2" s="1"/>
  <c r="A32" i="2" s="1"/>
  <c r="A33" i="2" s="1"/>
  <c r="A34" i="2" s="1"/>
  <c r="A35" i="2" s="1"/>
  <c r="A36" i="2" s="1"/>
  <c r="A37" i="2" s="1"/>
  <c r="A38" i="2" s="1"/>
  <c r="A22" i="2"/>
  <c r="A23" i="2" s="1"/>
  <c r="A24" i="2" s="1"/>
  <c r="A25" i="2" s="1"/>
  <c r="A26" i="2" s="1"/>
  <c r="A27" i="2" s="1"/>
  <c r="A28" i="2" s="1"/>
  <c r="A29" i="2" s="1"/>
  <c r="A14" i="2"/>
  <c r="A15" i="2" s="1"/>
  <c r="A16" i="2" s="1"/>
  <c r="A17" i="2" s="1"/>
  <c r="A18" i="2" s="1"/>
  <c r="A19" i="2" s="1"/>
  <c r="A20" i="2" s="1"/>
  <c r="A21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G52" i="4" l="1"/>
  <c r="G53" i="4" s="1"/>
  <c r="G54" i="4" s="1"/>
  <c r="G55" i="4" s="1"/>
  <c r="G56" i="4" s="1"/>
  <c r="G51" i="4"/>
  <c r="A52" i="4"/>
  <c r="A53" i="4" s="1"/>
  <c r="A54" i="4" s="1"/>
  <c r="A55" i="4" s="1"/>
  <c r="A56" i="4" s="1"/>
  <c r="A51" i="4"/>
  <c r="A39" i="4"/>
  <c r="A40" i="4" s="1"/>
  <c r="A41" i="4" s="1"/>
  <c r="A42" i="4" s="1"/>
  <c r="A38" i="4"/>
  <c r="G39" i="4"/>
  <c r="G40" i="4" s="1"/>
  <c r="G41" i="4" s="1"/>
  <c r="G42" i="4" s="1"/>
  <c r="G38" i="4"/>
  <c r="G29" i="4"/>
  <c r="G30" i="4" s="1"/>
  <c r="G31" i="4" s="1"/>
  <c r="G32" i="4" s="1"/>
  <c r="G28" i="4"/>
  <c r="A17" i="4"/>
  <c r="A19" i="4" s="1"/>
  <c r="A20" i="4" s="1"/>
  <c r="A21" i="4" s="1"/>
  <c r="A22" i="4" s="1"/>
  <c r="A18" i="4"/>
  <c r="G17" i="4"/>
  <c r="G19" i="4" s="1"/>
  <c r="G20" i="4" s="1"/>
  <c r="G21" i="4" s="1"/>
  <c r="G22" i="4" s="1"/>
  <c r="G18" i="4"/>
  <c r="A699" i="4"/>
  <c r="A701" i="4" s="1"/>
  <c r="A702" i="4" s="1"/>
  <c r="A703" i="4" s="1"/>
  <c r="A704" i="4" s="1"/>
  <c r="A700" i="4"/>
  <c r="A690" i="4"/>
  <c r="A692" i="4" s="1"/>
  <c r="A693" i="4" s="1"/>
  <c r="A694" i="4" s="1"/>
  <c r="A695" i="4" s="1"/>
  <c r="A696" i="4" s="1"/>
  <c r="A691" i="4"/>
  <c r="A706" i="4"/>
  <c r="A70" i="4"/>
  <c r="A71" i="4" s="1"/>
  <c r="A72" i="4" s="1"/>
  <c r="A73" i="4" s="1"/>
  <c r="A74" i="4" s="1"/>
  <c r="A75" i="4" s="1"/>
  <c r="A76" i="4" s="1"/>
  <c r="G669" i="4"/>
  <c r="G678" i="4" s="1"/>
  <c r="G670" i="4"/>
  <c r="A660" i="4"/>
  <c r="A661" i="4"/>
  <c r="A632" i="4"/>
  <c r="A634" i="4" s="1"/>
  <c r="A643" i="4" s="1"/>
  <c r="A633" i="4"/>
  <c r="A83" i="4"/>
  <c r="A84" i="4" s="1"/>
  <c r="A85" i="4" s="1"/>
  <c r="A82" i="4"/>
  <c r="A30" i="4"/>
  <c r="A31" i="4" s="1"/>
  <c r="A32" i="4" s="1"/>
  <c r="A29" i="4"/>
  <c r="G374" i="4"/>
  <c r="G375" i="4" s="1"/>
  <c r="G376" i="4" s="1"/>
  <c r="G377" i="4" s="1"/>
  <c r="G663" i="4"/>
  <c r="G5" i="4"/>
  <c r="G7" i="4" s="1"/>
  <c r="G8" i="4" s="1"/>
  <c r="G9" i="4" s="1"/>
  <c r="G10" i="4" s="1"/>
  <c r="G11" i="4" s="1"/>
  <c r="G12" i="4" s="1"/>
  <c r="G13" i="4" s="1"/>
  <c r="G198" i="4"/>
  <c r="G199" i="4" s="1"/>
  <c r="G200" i="4" s="1"/>
  <c r="G197" i="4"/>
  <c r="G111" i="4"/>
  <c r="G113" i="4" s="1"/>
  <c r="G115" i="4" s="1"/>
  <c r="G117" i="4" s="1"/>
  <c r="G119" i="4" s="1"/>
  <c r="G112" i="4"/>
  <c r="G114" i="4" s="1"/>
  <c r="G116" i="4" s="1"/>
  <c r="G118" i="4" s="1"/>
  <c r="A486" i="4"/>
  <c r="A487" i="4"/>
  <c r="G183" i="4"/>
  <c r="G185" i="4" s="1"/>
  <c r="G187" i="4" s="1"/>
  <c r="G189" i="4" s="1"/>
  <c r="G191" i="4" s="1"/>
  <c r="G184" i="4"/>
  <c r="G186" i="4" s="1"/>
  <c r="G188" i="4" s="1"/>
  <c r="G190" i="4" s="1"/>
  <c r="G263" i="4"/>
  <c r="G264" i="4" s="1"/>
  <c r="G265" i="4" s="1"/>
  <c r="G266" i="4" s="1"/>
  <c r="G262" i="4"/>
  <c r="G283" i="4"/>
  <c r="G285" i="4" s="1"/>
  <c r="G287" i="4" s="1"/>
  <c r="G289" i="4" s="1"/>
  <c r="G282" i="4"/>
  <c r="G284" i="4" s="1"/>
  <c r="G286" i="4" s="1"/>
  <c r="G288" i="4" s="1"/>
  <c r="G290" i="4" s="1"/>
  <c r="G61" i="4"/>
  <c r="G63" i="4" s="1"/>
  <c r="G60" i="4"/>
  <c r="G62" i="4" s="1"/>
  <c r="G64" i="4" s="1"/>
  <c r="G65" i="4" s="1"/>
  <c r="G66" i="4" s="1"/>
  <c r="G67" i="4" s="1"/>
  <c r="G68" i="4" s="1"/>
  <c r="G639" i="4"/>
  <c r="G641" i="4" s="1"/>
  <c r="G645" i="4" s="1"/>
  <c r="G638" i="4"/>
  <c r="A480" i="2"/>
  <c r="A707" i="4" l="1"/>
  <c r="A708" i="4"/>
  <c r="A709" i="4" s="1"/>
  <c r="A710" i="4" s="1"/>
  <c r="A711" i="4" s="1"/>
  <c r="A712" i="4" s="1"/>
  <c r="G671" i="4"/>
  <c r="G679" i="4" s="1"/>
  <c r="G677" i="4"/>
  <c r="A663" i="4"/>
  <c r="A662" i="4"/>
  <c r="G646" i="4"/>
  <c r="G648" i="4" s="1"/>
  <c r="G656" i="4" s="1"/>
  <c r="G657" i="4" s="1"/>
  <c r="G658" i="4" s="1"/>
  <c r="G647" i="4"/>
  <c r="A640" i="4"/>
  <c r="A638" i="4" s="1"/>
  <c r="A639" i="4" s="1"/>
  <c r="A641" i="4" s="1"/>
  <c r="A645" i="4" s="1"/>
  <c r="A635" i="4"/>
  <c r="H646" i="2"/>
  <c r="H626" i="2"/>
  <c r="H613" i="2"/>
  <c r="H604" i="2"/>
  <c r="H596" i="2"/>
  <c r="H588" i="2"/>
  <c r="H576" i="2"/>
  <c r="H563" i="2"/>
  <c r="H554" i="2"/>
  <c r="H546" i="2"/>
  <c r="H538" i="2"/>
  <c r="H526" i="2"/>
  <c r="H513" i="2"/>
  <c r="H501" i="2"/>
  <c r="H492" i="2"/>
  <c r="H483" i="2"/>
  <c r="H475" i="2"/>
  <c r="H467" i="2"/>
  <c r="H455" i="2"/>
  <c r="H442" i="2"/>
  <c r="H434" i="2"/>
  <c r="H425" i="2"/>
  <c r="H413" i="2"/>
  <c r="H401" i="2"/>
  <c r="H393" i="2"/>
  <c r="H385" i="2"/>
  <c r="H373" i="2"/>
  <c r="H364" i="2"/>
  <c r="H356" i="2"/>
  <c r="H344" i="2"/>
  <c r="H335" i="2"/>
  <c r="H327" i="2"/>
  <c r="H315" i="2"/>
  <c r="H303" i="2"/>
  <c r="H294" i="2"/>
  <c r="H286" i="2"/>
  <c r="H274" i="2"/>
  <c r="H262" i="2"/>
  <c r="H253" i="2"/>
  <c r="H245" i="2"/>
  <c r="H233" i="2"/>
  <c r="H225" i="2"/>
  <c r="H217" i="2"/>
  <c r="H204" i="2"/>
  <c r="H196" i="2"/>
  <c r="H187" i="2"/>
  <c r="H175" i="2"/>
  <c r="H162" i="2"/>
  <c r="H149" i="2"/>
  <c r="H140" i="2"/>
  <c r="H131" i="2"/>
  <c r="H127" i="2"/>
  <c r="H123" i="2"/>
  <c r="H115" i="2"/>
  <c r="H103" i="2"/>
  <c r="H90" i="2"/>
  <c r="H81" i="2"/>
  <c r="H73" i="2"/>
  <c r="H65" i="2"/>
  <c r="H53" i="2"/>
  <c r="H40" i="2"/>
  <c r="H31" i="2"/>
  <c r="H23" i="2"/>
  <c r="H15" i="2"/>
  <c r="H3" i="2"/>
  <c r="G649" i="4" l="1"/>
  <c r="G650" i="4" s="1"/>
  <c r="G652" i="4" s="1"/>
  <c r="G653" i="4" s="1"/>
  <c r="G654" i="4" s="1"/>
  <c r="G655" i="4" s="1"/>
  <c r="G672" i="4"/>
  <c r="G673" i="4"/>
  <c r="G674" i="4" s="1"/>
  <c r="G675" i="4" s="1"/>
  <c r="A668" i="4"/>
  <c r="A664" i="4"/>
  <c r="A665" i="4" s="1"/>
  <c r="A666" i="4" s="1"/>
  <c r="A646" i="4"/>
  <c r="A648" i="4" s="1"/>
  <c r="A647" i="4"/>
  <c r="A636" i="4"/>
  <c r="A642" i="4"/>
  <c r="H141" i="2"/>
  <c r="H493" i="2"/>
  <c r="H74" i="2"/>
  <c r="H91" i="2"/>
  <c r="H176" i="2"/>
  <c r="H177" i="2" s="1"/>
  <c r="H246" i="2"/>
  <c r="H263" i="2"/>
  <c r="H316" i="2"/>
  <c r="H317" i="2" s="1"/>
  <c r="H336" i="2"/>
  <c r="H386" i="2"/>
  <c r="H456" i="2"/>
  <c r="H457" i="2" s="1"/>
  <c r="H476" i="2"/>
  <c r="H527" i="2"/>
  <c r="H528" i="2" s="1"/>
  <c r="H529" i="2" s="1"/>
  <c r="H547" i="2"/>
  <c r="H564" i="2"/>
  <c r="H163" i="2"/>
  <c r="H443" i="2"/>
  <c r="H132" i="2"/>
  <c r="H150" i="2"/>
  <c r="H218" i="2"/>
  <c r="H589" i="2"/>
  <c r="H605" i="2"/>
  <c r="H514" i="2"/>
  <c r="H41" i="2"/>
  <c r="H116" i="2"/>
  <c r="H304" i="2"/>
  <c r="H357" i="2"/>
  <c r="H484" i="2"/>
  <c r="H502" i="2"/>
  <c r="H4" i="2"/>
  <c r="H5" i="2" s="1"/>
  <c r="H426" i="2"/>
  <c r="H66" i="2"/>
  <c r="H188" i="2"/>
  <c r="H205" i="2"/>
  <c r="H254" i="2"/>
  <c r="H328" i="2"/>
  <c r="H345" i="2"/>
  <c r="H394" i="2"/>
  <c r="H468" i="2"/>
  <c r="H539" i="2"/>
  <c r="H555" i="2"/>
  <c r="H197" i="2"/>
  <c r="H24" i="2"/>
  <c r="H287" i="2"/>
  <c r="H82" i="2"/>
  <c r="H374" i="2"/>
  <c r="H414" i="2"/>
  <c r="H415" i="2" s="1"/>
  <c r="H627" i="2"/>
  <c r="H128" i="2"/>
  <c r="H234" i="2"/>
  <c r="H16" i="2"/>
  <c r="H32" i="2"/>
  <c r="H124" i="2"/>
  <c r="H275" i="2"/>
  <c r="H276" i="2" s="1"/>
  <c r="H295" i="2"/>
  <c r="H365" i="2"/>
  <c r="H435" i="2"/>
  <c r="H577" i="2"/>
  <c r="H578" i="2" s="1"/>
  <c r="H579" i="2" s="1"/>
  <c r="H597" i="2"/>
  <c r="H614" i="2"/>
  <c r="H54" i="2"/>
  <c r="H55" i="2" s="1"/>
  <c r="H57" i="2" s="1"/>
  <c r="H104" i="2"/>
  <c r="H105" i="2" s="1"/>
  <c r="H226" i="2"/>
  <c r="H402" i="2"/>
  <c r="H648" i="2"/>
  <c r="H647" i="2"/>
  <c r="H106" i="2" l="1"/>
  <c r="H108" i="2" s="1"/>
  <c r="H178" i="2"/>
  <c r="G651" i="4"/>
  <c r="A676" i="4"/>
  <c r="A667" i="4"/>
  <c r="G686" i="4"/>
  <c r="G687" i="4" s="1"/>
  <c r="G688" i="4" s="1"/>
  <c r="G680" i="4"/>
  <c r="G681" i="4" s="1"/>
  <c r="G682" i="4" s="1"/>
  <c r="G683" i="4" s="1"/>
  <c r="A669" i="4"/>
  <c r="A678" i="4" s="1"/>
  <c r="A670" i="4"/>
  <c r="A656" i="4"/>
  <c r="A657" i="4" s="1"/>
  <c r="A658" i="4" s="1"/>
  <c r="A649" i="4"/>
  <c r="A650" i="4" s="1"/>
  <c r="A637" i="4"/>
  <c r="A644" i="4"/>
  <c r="H56" i="2"/>
  <c r="H58" i="2" s="1"/>
  <c r="H6" i="2"/>
  <c r="H198" i="2"/>
  <c r="H329" i="2"/>
  <c r="H179" i="2"/>
  <c r="H615" i="2"/>
  <c r="H133" i="2"/>
  <c r="H503" i="2"/>
  <c r="H180" i="2"/>
  <c r="H598" i="2"/>
  <c r="H255" i="2"/>
  <c r="H277" i="2"/>
  <c r="H403" i="2"/>
  <c r="H33" i="2"/>
  <c r="H375" i="2"/>
  <c r="H540" i="2"/>
  <c r="H206" i="2"/>
  <c r="H485" i="2"/>
  <c r="H606" i="2"/>
  <c r="H164" i="2"/>
  <c r="H387" i="2"/>
  <c r="H92" i="2"/>
  <c r="H515" i="2"/>
  <c r="H556" i="2"/>
  <c r="H444" i="2"/>
  <c r="H416" i="2"/>
  <c r="H458" i="2"/>
  <c r="H227" i="2"/>
  <c r="H436" i="2"/>
  <c r="H17" i="2"/>
  <c r="H83" i="2"/>
  <c r="H469" i="2"/>
  <c r="H189" i="2"/>
  <c r="H358" i="2"/>
  <c r="H590" i="2"/>
  <c r="H565" i="2"/>
  <c r="H337" i="2"/>
  <c r="H75" i="2"/>
  <c r="H278" i="2"/>
  <c r="H42" i="2"/>
  <c r="H530" i="2"/>
  <c r="H247" i="2"/>
  <c r="H580" i="2"/>
  <c r="H107" i="2"/>
  <c r="H366" i="2"/>
  <c r="H235" i="2"/>
  <c r="H288" i="2"/>
  <c r="H395" i="2"/>
  <c r="H67" i="2"/>
  <c r="H305" i="2"/>
  <c r="H219" i="2"/>
  <c r="H548" i="2"/>
  <c r="H318" i="2"/>
  <c r="H494" i="2"/>
  <c r="H7" i="2"/>
  <c r="H628" i="2"/>
  <c r="H649" i="2"/>
  <c r="H477" i="2"/>
  <c r="H629" i="2"/>
  <c r="H296" i="2"/>
  <c r="H129" i="2"/>
  <c r="H25" i="2"/>
  <c r="H346" i="2"/>
  <c r="H427" i="2"/>
  <c r="H117" i="2"/>
  <c r="H151" i="2"/>
  <c r="H264" i="2"/>
  <c r="H142" i="2"/>
  <c r="H59" i="2"/>
  <c r="H60" i="2" s="1"/>
  <c r="G684" i="4" l="1"/>
  <c r="G685" i="4"/>
  <c r="A671" i="4"/>
  <c r="A677" i="4"/>
  <c r="A652" i="4"/>
  <c r="A653" i="4" s="1"/>
  <c r="A654" i="4" s="1"/>
  <c r="A655" i="4" s="1"/>
  <c r="A651" i="4"/>
  <c r="H347" i="2"/>
  <c r="H306" i="2"/>
  <c r="H109" i="2"/>
  <c r="H111" i="2" s="1"/>
  <c r="H76" i="2"/>
  <c r="H470" i="2"/>
  <c r="H445" i="2"/>
  <c r="H607" i="2"/>
  <c r="H404" i="2"/>
  <c r="H557" i="2"/>
  <c r="H616" i="2"/>
  <c r="H134" i="2"/>
  <c r="H8" i="2"/>
  <c r="H257" i="2"/>
  <c r="H258" i="2" s="1"/>
  <c r="H256" i="2"/>
  <c r="H265" i="2"/>
  <c r="H495" i="2"/>
  <c r="H396" i="2"/>
  <c r="H397" i="2" s="1"/>
  <c r="H248" i="2"/>
  <c r="H566" i="2"/>
  <c r="H18" i="2"/>
  <c r="H516" i="2"/>
  <c r="H207" i="2"/>
  <c r="H338" i="2"/>
  <c r="H599" i="2"/>
  <c r="H181" i="2"/>
  <c r="H183" i="2" s="1"/>
  <c r="H68" i="2"/>
  <c r="H152" i="2"/>
  <c r="H297" i="2"/>
  <c r="H319" i="2"/>
  <c r="H289" i="2"/>
  <c r="H531" i="2"/>
  <c r="H591" i="2"/>
  <c r="H437" i="2"/>
  <c r="H438" i="2" s="1"/>
  <c r="H93" i="2"/>
  <c r="H541" i="2"/>
  <c r="H279" i="2"/>
  <c r="H581" i="2"/>
  <c r="H330" i="2"/>
  <c r="H26" i="2"/>
  <c r="H486" i="2"/>
  <c r="H630" i="2"/>
  <c r="H118" i="2"/>
  <c r="H549" i="2"/>
  <c r="H236" i="2"/>
  <c r="H43" i="2"/>
  <c r="H359" i="2"/>
  <c r="H228" i="2"/>
  <c r="H229" i="2" s="1"/>
  <c r="H388" i="2"/>
  <c r="H376" i="2"/>
  <c r="H478" i="2"/>
  <c r="H459" i="2"/>
  <c r="H182" i="2"/>
  <c r="H199" i="2"/>
  <c r="H200" i="2" s="1"/>
  <c r="H428" i="2"/>
  <c r="H165" i="2"/>
  <c r="H143" i="2"/>
  <c r="H84" i="2"/>
  <c r="H220" i="2"/>
  <c r="H367" i="2"/>
  <c r="H368" i="2"/>
  <c r="H369" i="2" s="1"/>
  <c r="H280" i="2"/>
  <c r="H282" i="2" s="1"/>
  <c r="H190" i="2"/>
  <c r="H417" i="2"/>
  <c r="H34" i="2"/>
  <c r="H61" i="2"/>
  <c r="H650" i="2"/>
  <c r="H504" i="2"/>
  <c r="H110" i="2"/>
  <c r="A672" i="4" l="1"/>
  <c r="A673" i="4" s="1"/>
  <c r="A674" i="4" s="1"/>
  <c r="A675" i="4" s="1"/>
  <c r="A679" i="4"/>
  <c r="H284" i="2"/>
  <c r="H582" i="2"/>
  <c r="H583" i="2" s="1"/>
  <c r="H505" i="2"/>
  <c r="H550" i="2"/>
  <c r="H290" i="2"/>
  <c r="H230" i="2"/>
  <c r="H631" i="2"/>
  <c r="H542" i="2"/>
  <c r="H320" i="2"/>
  <c r="H339" i="2"/>
  <c r="H340" i="2" s="1"/>
  <c r="H398" i="2"/>
  <c r="H249" i="2"/>
  <c r="H166" i="2"/>
  <c r="H201" i="2"/>
  <c r="H62" i="2"/>
  <c r="H617" i="2"/>
  <c r="H77" i="2"/>
  <c r="H221" i="2"/>
  <c r="H184" i="2"/>
  <c r="H360" i="2"/>
  <c r="H487" i="2"/>
  <c r="H488" i="2" s="1"/>
  <c r="H94" i="2"/>
  <c r="H298" i="2"/>
  <c r="H299" i="2" s="1"/>
  <c r="H208" i="2"/>
  <c r="H496" i="2"/>
  <c r="H497" i="2" s="1"/>
  <c r="H377" i="2"/>
  <c r="H651" i="2"/>
  <c r="H652" i="2"/>
  <c r="H35" i="2"/>
  <c r="H36" i="2" s="1"/>
  <c r="H558" i="2"/>
  <c r="H559" i="2" s="1"/>
  <c r="H113" i="2"/>
  <c r="H567" i="2"/>
  <c r="H9" i="2"/>
  <c r="H10" i="2" s="1"/>
  <c r="H429" i="2"/>
  <c r="H119" i="2"/>
  <c r="H135" i="2"/>
  <c r="H136" i="2" s="1"/>
  <c r="H85" i="2"/>
  <c r="H86" i="2" s="1"/>
  <c r="H460" i="2"/>
  <c r="H44" i="2"/>
  <c r="H27" i="2"/>
  <c r="H439" i="2"/>
  <c r="H153" i="2"/>
  <c r="H517" i="2"/>
  <c r="H266" i="2"/>
  <c r="H446" i="2"/>
  <c r="H281" i="2"/>
  <c r="H405" i="2"/>
  <c r="H307" i="2"/>
  <c r="H185" i="2"/>
  <c r="H370" i="2"/>
  <c r="H600" i="2"/>
  <c r="H471" i="2"/>
  <c r="H144" i="2"/>
  <c r="H145" i="2" s="1"/>
  <c r="H479" i="2"/>
  <c r="H237" i="2"/>
  <c r="H331" i="2"/>
  <c r="H592" i="2"/>
  <c r="H69" i="2"/>
  <c r="H19" i="2"/>
  <c r="H259" i="2"/>
  <c r="H532" i="2"/>
  <c r="H533" i="2" s="1"/>
  <c r="H389" i="2"/>
  <c r="H418" i="2"/>
  <c r="H112" i="2"/>
  <c r="H192" i="2"/>
  <c r="H191" i="2"/>
  <c r="H608" i="2"/>
  <c r="H609" i="2" s="1"/>
  <c r="H348" i="2"/>
  <c r="A686" i="4" l="1"/>
  <c r="A687" i="4" s="1"/>
  <c r="A688" i="4" s="1"/>
  <c r="A680" i="4"/>
  <c r="A681" i="4" s="1"/>
  <c r="A682" i="4" s="1"/>
  <c r="A683" i="4" s="1"/>
  <c r="H534" i="2"/>
  <c r="H238" i="2"/>
  <c r="H518" i="2"/>
  <c r="H87" i="2"/>
  <c r="H222" i="2"/>
  <c r="H154" i="2"/>
  <c r="H560" i="2"/>
  <c r="H440" i="2"/>
  <c r="H618" i="2"/>
  <c r="H283" i="2"/>
  <c r="H28" i="2"/>
  <c r="H430" i="2"/>
  <c r="H250" i="2"/>
  <c r="H260" i="2"/>
  <c r="H137" i="2"/>
  <c r="H193" i="2"/>
  <c r="H146" i="2"/>
  <c r="H120" i="2"/>
  <c r="H653" i="2"/>
  <c r="H95" i="2"/>
  <c r="H489" i="2"/>
  <c r="H63" i="2"/>
  <c r="H321" i="2"/>
  <c r="H322" i="2" s="1"/>
  <c r="H506" i="2"/>
  <c r="H610" i="2"/>
  <c r="H209" i="2"/>
  <c r="H551" i="2"/>
  <c r="H70" i="2"/>
  <c r="H419" i="2"/>
  <c r="H420" i="2" s="1"/>
  <c r="H378" i="2"/>
  <c r="H361" i="2"/>
  <c r="H202" i="2"/>
  <c r="H543" i="2"/>
  <c r="H584" i="2"/>
  <c r="H300" i="2"/>
  <c r="H601" i="2"/>
  <c r="H45" i="2"/>
  <c r="H390" i="2"/>
  <c r="H332" i="2"/>
  <c r="H371" i="2"/>
  <c r="H267" i="2"/>
  <c r="H461" i="2"/>
  <c r="H462" i="2" s="1"/>
  <c r="H568" i="2"/>
  <c r="H231" i="2"/>
  <c r="H481" i="2"/>
  <c r="H480" i="2"/>
  <c r="H308" i="2"/>
  <c r="H78" i="2"/>
  <c r="H399" i="2"/>
  <c r="H291" i="2"/>
  <c r="H20" i="2"/>
  <c r="H406" i="2"/>
  <c r="H37" i="2"/>
  <c r="H341" i="2"/>
  <c r="H472" i="2"/>
  <c r="H593" i="2"/>
  <c r="H447" i="2"/>
  <c r="H11" i="2"/>
  <c r="H349" i="2"/>
  <c r="H498" i="2"/>
  <c r="H167" i="2"/>
  <c r="H632" i="2"/>
  <c r="A684" i="4" l="1"/>
  <c r="A685" i="4"/>
  <c r="H168" i="2"/>
  <c r="H379" i="2"/>
  <c r="H380" i="2" s="1"/>
  <c r="H194" i="2"/>
  <c r="H12" i="2"/>
  <c r="H333" i="2"/>
  <c r="H544" i="2"/>
  <c r="H552" i="2"/>
  <c r="H490" i="2"/>
  <c r="H138" i="2"/>
  <c r="H619" i="2"/>
  <c r="H519" i="2"/>
  <c r="H473" i="2"/>
  <c r="H155" i="2"/>
  <c r="H342" i="2"/>
  <c r="H79" i="2"/>
  <c r="H421" i="2"/>
  <c r="H71" i="2"/>
  <c r="H507" i="2"/>
  <c r="H508" i="2" s="1"/>
  <c r="H301" i="2"/>
  <c r="H29" i="2"/>
  <c r="H391" i="2"/>
  <c r="H210" i="2"/>
  <c r="H96" i="2"/>
  <c r="H239" i="2"/>
  <c r="H240" i="2" s="1"/>
  <c r="H463" i="2"/>
  <c r="H121" i="2"/>
  <c r="H499" i="2"/>
  <c r="H268" i="2"/>
  <c r="H269" i="2" s="1"/>
  <c r="H147" i="2"/>
  <c r="H223" i="2"/>
  <c r="H350" i="2"/>
  <c r="H351" i="2" s="1"/>
  <c r="H38" i="2"/>
  <c r="H309" i="2"/>
  <c r="H310" i="2" s="1"/>
  <c r="H585" i="2"/>
  <c r="H88" i="2"/>
  <c r="H407" i="2"/>
  <c r="H408" i="2" s="1"/>
  <c r="H633" i="2"/>
  <c r="H594" i="2"/>
  <c r="H292" i="2"/>
  <c r="H602" i="2"/>
  <c r="H431" i="2"/>
  <c r="H323" i="2"/>
  <c r="H448" i="2"/>
  <c r="H21" i="2"/>
  <c r="H569" i="2"/>
  <c r="H46" i="2"/>
  <c r="H362" i="2"/>
  <c r="H611" i="2"/>
  <c r="H654" i="2"/>
  <c r="H251" i="2"/>
  <c r="H561" i="2"/>
  <c r="H535" i="2"/>
  <c r="H241" i="2" l="1"/>
  <c r="H536" i="2"/>
  <c r="H47" i="2"/>
  <c r="H48" i="2" s="1"/>
  <c r="H586" i="2"/>
  <c r="H270" i="2"/>
  <c r="H211" i="2"/>
  <c r="H212" i="2" s="1"/>
  <c r="H422" i="2"/>
  <c r="H620" i="2"/>
  <c r="H621" i="2" s="1"/>
  <c r="H13" i="2"/>
  <c r="H97" i="2"/>
  <c r="H98" i="2" s="1"/>
  <c r="H570" i="2"/>
  <c r="H571" i="2" s="1"/>
  <c r="H311" i="2"/>
  <c r="H409" i="2"/>
  <c r="H432" i="2"/>
  <c r="H520" i="2"/>
  <c r="H521" i="2" s="1"/>
  <c r="H381" i="2"/>
  <c r="H324" i="2"/>
  <c r="H509" i="2"/>
  <c r="H655" i="2"/>
  <c r="H449" i="2"/>
  <c r="H450" i="2" s="1"/>
  <c r="H634" i="2"/>
  <c r="H352" i="2"/>
  <c r="H464" i="2"/>
  <c r="H156" i="2"/>
  <c r="H157" i="2" s="1"/>
  <c r="H169" i="2"/>
  <c r="H170" i="2" s="1"/>
  <c r="H325" i="2" l="1"/>
  <c r="H635" i="2"/>
  <c r="H522" i="2"/>
  <c r="H49" i="2"/>
  <c r="H158" i="2"/>
  <c r="H510" i="2"/>
  <c r="H312" i="2"/>
  <c r="H353" i="2"/>
  <c r="H382" i="2"/>
  <c r="H99" i="2"/>
  <c r="H572" i="2"/>
  <c r="H451" i="2"/>
  <c r="H622" i="2"/>
  <c r="H213" i="2"/>
  <c r="H465" i="2"/>
  <c r="H271" i="2"/>
  <c r="H171" i="2"/>
  <c r="H656" i="2"/>
  <c r="H410" i="2"/>
  <c r="H423" i="2"/>
  <c r="H242" i="2"/>
  <c r="H511" i="2" l="1"/>
  <c r="H159" i="2"/>
  <c r="H100" i="2"/>
  <c r="H50" i="2"/>
  <c r="H313" i="2"/>
  <c r="H452" i="2"/>
  <c r="H573" i="2"/>
  <c r="H272" i="2"/>
  <c r="H383" i="2"/>
  <c r="H523" i="2"/>
  <c r="H411" i="2"/>
  <c r="H172" i="2"/>
  <c r="H243" i="2"/>
  <c r="H214" i="2"/>
  <c r="H354" i="2"/>
  <c r="H636" i="2"/>
  <c r="H623" i="2"/>
  <c r="H657" i="2"/>
  <c r="H173" i="2" l="1"/>
  <c r="H524" i="2"/>
  <c r="H101" i="2"/>
  <c r="H215" i="2"/>
  <c r="H160" i="2"/>
  <c r="H624" i="2"/>
  <c r="H51" i="2"/>
  <c r="H453" i="2"/>
  <c r="H574" i="2"/>
</calcChain>
</file>

<file path=xl/sharedStrings.xml><?xml version="1.0" encoding="utf-8"?>
<sst xmlns="http://schemas.openxmlformats.org/spreadsheetml/2006/main" count="5705" uniqueCount="329">
  <si>
    <t>malzeme</t>
  </si>
  <si>
    <t>D kodu</t>
  </si>
  <si>
    <t>Артикул</t>
  </si>
  <si>
    <t>Номенклатура</t>
  </si>
  <si>
    <t>СУММ.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</si>
  <si>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</si>
  <si>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</si>
  <si>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</si>
  <si>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</si>
  <si>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</si>
  <si>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</si>
  <si>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</si>
  <si>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</si>
  <si>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</si>
  <si>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</si>
  <si>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</si>
  <si>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oto</t>
  </si>
  <si>
    <t>dif</t>
  </si>
  <si>
    <t>монтажный материал</t>
  </si>
  <si>
    <t>монтажная работа</t>
  </si>
  <si>
    <t>ВРУ1-1-1</t>
  </si>
  <si>
    <t>Блок1</t>
  </si>
  <si>
    <t>tt</t>
  </si>
  <si>
    <t>Трансформатор тока Т-66 250/5А</t>
  </si>
  <si>
    <t>pys</t>
  </si>
  <si>
    <t>rubilnik</t>
  </si>
  <si>
    <t>tts</t>
  </si>
  <si>
    <t>cnc</t>
  </si>
  <si>
    <t xml:space="preserve">Авт. выкл. YCB6-63H 1P 6А 4.5kA х-ка C </t>
  </si>
  <si>
    <t>kondencator</t>
  </si>
  <si>
    <t>С1-С3</t>
  </si>
  <si>
    <t>РУ-1-1</t>
  </si>
  <si>
    <t>Авт. выкл. YCM1-250L/3Р 125A 25кА</t>
  </si>
  <si>
    <t>Авт. выкл. YCM1-250L/3Р 160A 25кА</t>
  </si>
  <si>
    <t>Авт. выкл. YCM1-125L/3Р 40A 25кА</t>
  </si>
  <si>
    <t>РУ-1-2</t>
  </si>
  <si>
    <t>Авт. выкл. YCM1-125L/3Р 100A 25кА</t>
  </si>
  <si>
    <t>Авт. выкл. YCM1-125L/3Р 80A 25кА</t>
  </si>
  <si>
    <t>ЩУР.МОП1</t>
  </si>
  <si>
    <t>719-15425</t>
  </si>
  <si>
    <t>Мет.Корпус ЩМП-2 (500x400x220) IP54 TEKSAN</t>
  </si>
  <si>
    <t>Авт. выкл. YCM1-125L/3Р 32A 25кА</t>
  </si>
  <si>
    <t>Авт. выкл. YCM1-63L/3Р 16A 15кА</t>
  </si>
  <si>
    <t>ats</t>
  </si>
  <si>
    <t>Авт. выкл. YCM1-125L/3Р 25A 25кА</t>
  </si>
  <si>
    <t xml:space="preserve">Авт. выкл. YCB7-63N 3P 40A 6кА х-ка C </t>
  </si>
  <si>
    <t>Диф. авт. выкл. YCB7NLE 2P C6 30mA тип AC 6kA</t>
  </si>
  <si>
    <t xml:space="preserve">Авт. выкл. YCB7-63N 3P 4A 6кА х-ка C 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</si>
  <si>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</si>
  <si>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</si>
  <si>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</si>
  <si>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</si>
  <si>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</si>
  <si>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</si>
  <si>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</si>
  <si>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</si>
  <si>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</si>
  <si>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</si>
  <si>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</si>
  <si>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</si>
  <si>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126511</t>
  </si>
  <si>
    <t>126510</t>
  </si>
  <si>
    <t>ЩУР.МОП1-3</t>
  </si>
  <si>
    <t>ЩУР.МОП2-3</t>
  </si>
  <si>
    <t>ВРУ1-4</t>
  </si>
  <si>
    <t>Блок4</t>
  </si>
  <si>
    <t>РУ-1-4</t>
  </si>
  <si>
    <t>Авт. выкл. YCM1-250L/3Р 200A 25кА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</si>
  <si>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</si>
  <si>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</si>
  <si>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</si>
  <si>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</si>
  <si>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</si>
  <si>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</si>
  <si>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</si>
  <si>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</si>
  <si>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</si>
  <si>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</si>
  <si>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</si>
  <si>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</si>
  <si>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</si>
  <si>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</si>
  <si>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</si>
  <si>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</si>
  <si>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</si>
  <si>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</si>
  <si>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</si>
  <si>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</si>
  <si>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</si>
  <si>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</si>
  <si>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</si>
  <si>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</si>
  <si>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</si>
  <si>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</si>
  <si>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</si>
  <si>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</si>
  <si>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</si>
  <si>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монтажная работа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</si>
  <si>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</si>
  <si>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</si>
  <si>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</si>
  <si>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</si>
  <si>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</si>
  <si>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</si>
  <si>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</si>
  <si>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</si>
  <si>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</si>
  <si>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</si>
  <si>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</si>
  <si>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</si>
  <si>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</si>
  <si>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</si>
  <si>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Авт. выкл. YCM1-125L/3Р 50A 25кА</t>
  </si>
  <si>
    <t>dvigatel</t>
  </si>
  <si>
    <t>Автомат защиты двигателя YCP5 25-ME07 1.6-2.5A</t>
  </si>
  <si>
    <t>Диф. авт. выкл. YCB7NLE 2P C25 30mA тип AC 6kA</t>
  </si>
  <si>
    <t xml:space="preserve">Авт. выкл. YCB7-63N 1P 2A 6кА х-ка C </t>
  </si>
  <si>
    <t>ЩР15</t>
  </si>
  <si>
    <t>719-15445</t>
  </si>
  <si>
    <t>Мет.Корпус ЩМП-5 (1000x650x300) IP31 TEKSAN</t>
  </si>
  <si>
    <t>Авт. выкл. YCM1-125L/3Р 63A 25кА</t>
  </si>
  <si>
    <t xml:space="preserve">Авт. выкл. YCB6-63H 3P 20А 4.5kA х-ка D </t>
  </si>
  <si>
    <t xml:space="preserve">Авт. выкл. YCB7-63N 3P 10A 6кА х-ка C </t>
  </si>
  <si>
    <t xml:space="preserve">Авт. выкл. YCB7-63N 3P 16A 6кА х-ка C </t>
  </si>
  <si>
    <t>719-15430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</si>
  <si>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</si>
  <si>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</si>
  <si>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</si>
  <si>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</si>
  <si>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</si>
  <si>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</si>
  <si>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</si>
  <si>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</si>
  <si>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</si>
  <si>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</si>
  <si>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</si>
  <si>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</si>
  <si>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</si>
  <si>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</si>
  <si>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</si>
  <si>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</si>
  <si>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</si>
  <si>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</si>
  <si>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</si>
  <si>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</si>
  <si>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</si>
  <si>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</si>
  <si>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 xml:space="preserve">Авт. выкл. YCB6-63H 3P 25А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</si>
  <si>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</si>
  <si>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</si>
  <si>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20А 4.5kA х-ка C </t>
  </si>
  <si>
    <t>ЩРп c</t>
  </si>
  <si>
    <t>ЩР-(АВР-Б-63-2-1)</t>
  </si>
  <si>
    <t>ЩР15-(АВР-Б-80-2-1)</t>
  </si>
  <si>
    <t>ЩЭ-3</t>
  </si>
  <si>
    <t>ЩЭ-4</t>
  </si>
  <si>
    <t>ЩЭ-3 1100*960</t>
  </si>
  <si>
    <t>ЩЭ-4 1100*960</t>
  </si>
  <si>
    <t>ЩЭ-6</t>
  </si>
  <si>
    <t>ЩЭ-6 1100*960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</si>
  <si>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</si>
  <si>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</si>
  <si>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</si>
  <si>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</si>
  <si>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</si>
  <si>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</si>
  <si>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</si>
  <si>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</si>
  <si>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</si>
  <si>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</si>
  <si>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</si>
  <si>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</si>
  <si>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</si>
  <si>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 xml:space="preserve">Авт. выкл. YCB6-63H 2P 40А 4.5kA х-ка C </t>
  </si>
  <si>
    <t>495089</t>
  </si>
  <si>
    <t>Пускатель NS2-80B 56A-80A (R)</t>
  </si>
  <si>
    <t>270100161_</t>
  </si>
  <si>
    <t xml:space="preserve">                    Рубильник ВР-32-37  В71250-400А на 2 направления (+6камер) UNIT (1/6)</t>
  </si>
  <si>
    <t>IB</t>
  </si>
  <si>
    <t>ДАЛА СА4-Э720 R TX OP P П RS1 Д W (3x220/380V 5-100A)</t>
  </si>
  <si>
    <t>BZ</t>
  </si>
  <si>
    <t>Орман СО-Э711 R TX P IP П RS  LoRaWAN (5-60А 220В)</t>
  </si>
  <si>
    <t>malz</t>
  </si>
  <si>
    <t>topl malzeme</t>
  </si>
  <si>
    <t>malz rev</t>
  </si>
  <si>
    <t>topl malz. Rev</t>
  </si>
  <si>
    <t>topam 2,3</t>
  </si>
  <si>
    <t>ykr yvr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</si>
  <si>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</si>
  <si>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</si>
  <si>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</si>
  <si>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</si>
  <si>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</si>
  <si>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</si>
  <si>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</si>
  <si>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</si>
  <si>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</si>
  <si>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</si>
  <si>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</si>
  <si>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</si>
  <si>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</si>
  <si>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</si>
  <si>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</si>
  <si>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</si>
  <si>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</si>
  <si>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</si>
  <si>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</si>
  <si>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</si>
  <si>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</si>
  <si>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</si>
  <si>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</si>
  <si>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</si>
  <si>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</si>
  <si>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</si>
  <si>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</si>
  <si>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</si>
  <si>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</si>
  <si>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</si>
  <si>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</si>
  <si>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</si>
  <si>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</si>
  <si>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</si>
  <si>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</si>
  <si>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</si>
  <si>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</si>
  <si>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</si>
  <si>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</si>
  <si>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</si>
  <si>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</si>
  <si>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</si>
  <si>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</si>
  <si>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</si>
  <si>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</si>
  <si>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</si>
  <si>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</si>
  <si>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</si>
  <si>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260603 malz rev</t>
  </si>
  <si>
    <t>260603 topl malz</t>
  </si>
  <si>
    <t>260603 2,145</t>
  </si>
  <si>
    <t>toplam fiyat 2,145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</si>
  <si>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</si>
  <si>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</si>
  <si>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</si>
  <si>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</si>
  <si>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</si>
  <si>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</si>
  <si>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</si>
  <si>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</si>
  <si>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</si>
  <si>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</si>
  <si>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</si>
  <si>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</si>
  <si>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</si>
  <si>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</si>
  <si>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</si>
  <si>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</si>
  <si>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</si>
  <si>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</si>
  <si>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</si>
  <si>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</si>
  <si>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</si>
  <si>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</si>
  <si>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</si>
  <si>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</si>
  <si>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</si>
  <si>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</si>
  <si>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</si>
  <si>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</si>
  <si>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</si>
  <si>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</si>
  <si>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</si>
  <si>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</si>
  <si>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</si>
  <si>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</si>
  <si>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</si>
  <si>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</si>
  <si>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</si>
  <si>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</si>
  <si>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</si>
  <si>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</si>
  <si>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</si>
  <si>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</si>
  <si>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</si>
  <si>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</si>
  <si>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</si>
  <si>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</si>
  <si>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</si>
  <si>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</si>
  <si>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</si>
  <si>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</si>
  <si>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</si>
  <si>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</si>
  <si>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</si>
  <si>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</si>
  <si>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</si>
  <si>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</si>
  <si>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</si>
  <si>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</si>
  <si>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</si>
  <si>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</si>
  <si>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</si>
  <si>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</si>
  <si>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</si>
  <si>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</si>
  <si>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</si>
  <si>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</si>
  <si>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</si>
  <si>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</si>
  <si>
    <t>515407</t>
  </si>
  <si>
    <t>Диф. авт. выкл. NXBLE-63YH 1P+N C40 300mA тип AC, 6kA (R)</t>
  </si>
  <si>
    <t>296793</t>
  </si>
  <si>
    <t>Авт. выкл. NXB-63S 2P 50А 4.5kA х-ка C (R)</t>
  </si>
  <si>
    <t>710-15</t>
  </si>
  <si>
    <t>ЩЭ-7 1200*960*150</t>
  </si>
  <si>
    <t>ЩЭ-6 1100*960*150</t>
  </si>
  <si>
    <t>ЩЭ-4 1100*960*150</t>
  </si>
  <si>
    <t>719-15</t>
  </si>
  <si>
    <t>ЩЭ-3 1100*960*150</t>
  </si>
  <si>
    <t>degisti</t>
  </si>
  <si>
    <t>613-363640</t>
  </si>
  <si>
    <t>6VTB-3C63  Автомат 3P 63A  6KA VIKO</t>
  </si>
  <si>
    <t>613-36366</t>
  </si>
  <si>
    <t>6VTB-3C80 Автомат 3P 3x80A  6KA  C TIPI</t>
  </si>
  <si>
    <t>616-36425</t>
  </si>
  <si>
    <t>VTR4-2530 УЗО UZO RCCB  4P 25A 30MA(VIKO) 30шт</t>
  </si>
  <si>
    <t>719-159</t>
  </si>
  <si>
    <t>Мет. ЩМП-3 (650х500х220) IP54</t>
  </si>
  <si>
    <t>611-15209</t>
  </si>
  <si>
    <t>BA47-63 Автомат  1P  16A   NEW  (240шт)   (TEKSAN)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</si>
</sst>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3" fillId="3" borderId="3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712</xdr:row>
      <xdr:rowOff>9238</xdr:rowOff>
    </xdr:from>
    <xdr:to>
      <xdr:col>17</xdr:col>
      <xdr:colOff>582830</xdr:colOff>
      <xdr:row>722</xdr:row>
      <xdr:rowOff>96206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86D68D6-FD75-9E6C-C895-21118000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242782438"/>
          <a:ext cx="6640730" cy="351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3"/>
  <sheetViews>
    <sheetView zoomScaleNormal="100" workbookViewId="0">
      <pane ySplit="1" topLeftCell="A652" activePane="bottomLeft" state="frozen"/>
      <selection pane="bottomLeft" activeCell="J1" sqref="J1:J1048576"/>
    </sheetView>
  </sheetViews>
  <sheetFormatPr defaultColWidth="8.7109375" defaultRowHeight="15" x14ac:dyDescent="0.25"/>
  <cols>
    <col min="1" max="1" width="16.42578125" customWidth="1"/>
    <col min="4" max="4" width="9.28515625" customWidth="1"/>
    <col min="5" max="5" width="72.42578125" customWidth="1"/>
    <col min="8" max="8" width="9.28515625" customWidth="1"/>
    <col min="9" max="9" width="15.7109375" customWidth="1"/>
  </cols>
  <sheetData>
    <row r="1" spans="1:9" ht="39.75" customHeight="1" x14ac:dyDescent="0.25">
      <c r="A1" s="1" t="s">
        <v>5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6</v>
      </c>
      <c r="G1" s="1" t="s">
        <v>7</v>
      </c>
      <c r="H1" s="1"/>
      <c r="I1" s="3" t="s">
        <v>4</v>
      </c>
    </row>
    <row r="2" spans="1:9" ht="39.75" customHeight="1" x14ac:dyDescent="0.25">
      <c r="A2" s="7" t="str">
        <f>E2</f>
        <v>ВРУ1-1-1</v>
      </c>
      <c r="B2" s="4"/>
      <c r="C2" s="4"/>
      <c r="D2" s="5"/>
      <c r="E2" s="4" t="s">
        <v>20</v>
      </c>
      <c r="F2" s="8" t="s">
        <v>8</v>
      </c>
      <c r="G2" s="4" t="s">
        <v>9</v>
      </c>
      <c r="H2" s="7" t="s">
        <v>21</v>
      </c>
      <c r="I2" s="6"/>
    </row>
    <row r="3" spans="1:9" ht="21" customHeight="1" x14ac:dyDescent="0.25">
      <c r="A3" s="12" t="str">
        <f t="shared" ref="A3:A13" si="0">A2</f>
        <v>ВРУ1-1-1</v>
      </c>
      <c r="B3" s="9" t="s">
        <v>10</v>
      </c>
      <c r="C3" s="9"/>
      <c r="D3" s="10" t="s">
        <v>171</v>
      </c>
      <c r="E3" s="9" t="s">
        <v>172</v>
      </c>
      <c r="F3" s="13" t="s">
        <v>11</v>
      </c>
      <c r="G3" s="9" t="s">
        <v>12</v>
      </c>
      <c r="H3" s="12" t="str">
        <f t="shared" ref="H3:H13" si="1">H2</f>
        <v>Блок1</v>
      </c>
      <c r="I3" s="11">
        <v>93900</v>
      </c>
    </row>
    <row r="4" spans="1:9" ht="21" customHeight="1" x14ac:dyDescent="0.25">
      <c r="A4" s="12" t="str">
        <f t="shared" si="0"/>
        <v>ВРУ1-1-1</v>
      </c>
      <c r="B4" s="9" t="s">
        <v>22</v>
      </c>
      <c r="C4" s="9"/>
      <c r="D4" s="10"/>
      <c r="E4" s="9" t="s">
        <v>23</v>
      </c>
      <c r="F4" s="13" t="s">
        <v>11</v>
      </c>
      <c r="G4" s="9" t="s">
        <v>24</v>
      </c>
      <c r="H4" s="12" t="str">
        <f t="shared" si="1"/>
        <v>Блок1</v>
      </c>
      <c r="I4" s="11">
        <v>28206</v>
      </c>
    </row>
    <row r="5" spans="1:9" ht="21" customHeight="1" x14ac:dyDescent="0.25">
      <c r="A5" s="12" t="str">
        <f t="shared" si="0"/>
        <v>ВРУ1-1-1</v>
      </c>
      <c r="B5" s="9" t="s">
        <v>25</v>
      </c>
      <c r="C5" s="9"/>
      <c r="D5" s="10" t="s">
        <v>176</v>
      </c>
      <c r="E5" s="9" t="s">
        <v>177</v>
      </c>
      <c r="F5" s="13" t="s">
        <v>11</v>
      </c>
      <c r="G5" s="9" t="s">
        <v>24</v>
      </c>
      <c r="H5" s="12" t="str">
        <f t="shared" si="1"/>
        <v>Блок1</v>
      </c>
      <c r="I5" s="11">
        <v>28050.000000000004</v>
      </c>
    </row>
    <row r="6" spans="1:9" ht="20.25" customHeight="1" x14ac:dyDescent="0.25">
      <c r="A6" s="12" t="str">
        <f t="shared" si="0"/>
        <v>ВРУ1-1-1</v>
      </c>
      <c r="B6" s="9" t="s">
        <v>126</v>
      </c>
      <c r="C6" s="9"/>
      <c r="D6" s="10" t="s">
        <v>129</v>
      </c>
      <c r="E6" s="9" t="s">
        <v>130</v>
      </c>
      <c r="F6" s="13" t="s">
        <v>11</v>
      </c>
      <c r="G6" s="9" t="s">
        <v>13</v>
      </c>
      <c r="H6" s="12" t="str">
        <f>H4</f>
        <v>Блок1</v>
      </c>
      <c r="I6" s="11">
        <v>5225</v>
      </c>
    </row>
    <row r="7" spans="1:9" ht="20.25" customHeight="1" x14ac:dyDescent="0.25">
      <c r="A7" s="12" t="str">
        <f t="shared" si="0"/>
        <v>ВРУ1-1-1</v>
      </c>
      <c r="B7" s="9" t="s">
        <v>125</v>
      </c>
      <c r="C7" s="9"/>
      <c r="D7" s="10" t="s">
        <v>127</v>
      </c>
      <c r="E7" s="9" t="s">
        <v>128</v>
      </c>
      <c r="F7" s="13" t="s">
        <v>11</v>
      </c>
      <c r="G7" s="9" t="s">
        <v>13</v>
      </c>
      <c r="H7" s="12" t="str">
        <f>H5</f>
        <v>Блок1</v>
      </c>
      <c r="I7" s="11">
        <v>3648.7000000000003</v>
      </c>
    </row>
    <row r="8" spans="1:9" ht="21" customHeight="1" x14ac:dyDescent="0.25">
      <c r="A8" s="12" t="str">
        <f t="shared" si="0"/>
        <v>ВРУ1-1-1</v>
      </c>
      <c r="B8" s="9" t="s">
        <v>16</v>
      </c>
      <c r="C8" s="9"/>
      <c r="D8" s="10">
        <v>296708</v>
      </c>
      <c r="E8" s="9" t="s">
        <v>28</v>
      </c>
      <c r="F8" s="13" t="s">
        <v>11</v>
      </c>
      <c r="G8" s="9" t="s">
        <v>27</v>
      </c>
      <c r="H8" s="12" t="str">
        <f t="shared" si="1"/>
        <v>Блок1</v>
      </c>
      <c r="I8" s="11">
        <v>910.80000000000007</v>
      </c>
    </row>
    <row r="9" spans="1:9" ht="21" customHeight="1" x14ac:dyDescent="0.25">
      <c r="A9" s="12" t="str">
        <f t="shared" si="0"/>
        <v>ВРУ1-1-1</v>
      </c>
      <c r="B9" s="9" t="s">
        <v>14</v>
      </c>
      <c r="C9" s="9"/>
      <c r="D9" s="10" t="s">
        <v>178</v>
      </c>
      <c r="E9" s="9" t="s">
        <v>179</v>
      </c>
      <c r="F9" s="13" t="s">
        <v>11</v>
      </c>
      <c r="G9" s="9" t="s">
        <v>15</v>
      </c>
      <c r="H9" s="12" t="str">
        <f t="shared" si="1"/>
        <v>Блок1</v>
      </c>
      <c r="I9" s="11">
        <v>78200</v>
      </c>
    </row>
    <row r="10" spans="1:9" ht="21" customHeight="1" x14ac:dyDescent="0.25">
      <c r="A10" s="12" t="str">
        <f t="shared" si="0"/>
        <v>ВРУ1-1-1</v>
      </c>
      <c r="B10" s="9" t="s">
        <v>29</v>
      </c>
      <c r="C10" s="9"/>
      <c r="D10" s="10"/>
      <c r="E10" s="9" t="s">
        <v>30</v>
      </c>
      <c r="F10" s="13" t="s">
        <v>11</v>
      </c>
      <c r="G10" s="9" t="s">
        <v>24</v>
      </c>
      <c r="H10" s="12" t="str">
        <f t="shared" si="1"/>
        <v>Блок1</v>
      </c>
      <c r="I10" s="11">
        <v>14850</v>
      </c>
    </row>
    <row r="11" spans="1:9" ht="24" customHeight="1" x14ac:dyDescent="0.25">
      <c r="A11" s="9" t="str">
        <f t="shared" si="0"/>
        <v>ВРУ1-1-1</v>
      </c>
      <c r="B11" s="9" t="s">
        <v>18</v>
      </c>
      <c r="C11" s="9"/>
      <c r="D11" s="10" t="s">
        <v>18</v>
      </c>
      <c r="E11" s="9" t="s">
        <v>18</v>
      </c>
      <c r="F11" s="9" t="s">
        <v>11</v>
      </c>
      <c r="G11" s="9" t="s">
        <v>18</v>
      </c>
      <c r="H11" s="12" t="str">
        <f t="shared" si="1"/>
        <v>Блок1</v>
      </c>
      <c r="I11" s="11">
        <v>26400.000000000004</v>
      </c>
    </row>
    <row r="12" spans="1:9" ht="21" customHeight="1" x14ac:dyDescent="0.25">
      <c r="A12" s="9" t="str">
        <f t="shared" si="0"/>
        <v>ВРУ1-1-1</v>
      </c>
      <c r="B12" s="9" t="s">
        <v>19</v>
      </c>
      <c r="C12" s="9"/>
      <c r="D12" s="10" t="s">
        <v>19</v>
      </c>
      <c r="E12" s="9" t="s">
        <v>19</v>
      </c>
      <c r="F12" s="9" t="s">
        <v>11</v>
      </c>
      <c r="G12" s="9" t="s">
        <v>19</v>
      </c>
      <c r="H12" s="12" t="str">
        <f t="shared" si="1"/>
        <v>Блок1</v>
      </c>
      <c r="I12" s="11">
        <v>48000</v>
      </c>
    </row>
    <row r="13" spans="1:9" ht="30" customHeight="1" x14ac:dyDescent="0.25">
      <c r="A13" s="14" t="str">
        <f t="shared" si="0"/>
        <v>ВРУ1-1-1</v>
      </c>
      <c r="B13" s="14"/>
      <c r="C13" s="14"/>
      <c r="D13" s="14"/>
      <c r="E13" s="15"/>
      <c r="F13" s="17"/>
      <c r="G13" s="14"/>
      <c r="H13" s="12" t="str">
        <f t="shared" si="1"/>
        <v>Блок1</v>
      </c>
      <c r="I13" s="16">
        <v>327390.5</v>
      </c>
    </row>
    <row r="14" spans="1:9" ht="39.75" customHeight="1" x14ac:dyDescent="0.25">
      <c r="A14" s="7" t="str">
        <f>E14</f>
        <v>РУ-1-1</v>
      </c>
      <c r="B14" s="4"/>
      <c r="C14" s="4"/>
      <c r="D14" s="5"/>
      <c r="E14" s="4" t="s">
        <v>31</v>
      </c>
      <c r="F14" s="8" t="s">
        <v>8</v>
      </c>
      <c r="G14" s="4" t="s">
        <v>9</v>
      </c>
      <c r="H14" s="7" t="s">
        <v>21</v>
      </c>
      <c r="I14" s="6"/>
    </row>
    <row r="15" spans="1:9" ht="21" customHeight="1" x14ac:dyDescent="0.25">
      <c r="A15" s="12" t="str">
        <f t="shared" ref="A15:A21" si="2">A14</f>
        <v>РУ-1-1</v>
      </c>
      <c r="B15" s="9" t="s">
        <v>10</v>
      </c>
      <c r="C15" s="9"/>
      <c r="D15" s="10" t="s">
        <v>169</v>
      </c>
      <c r="E15" s="9" t="s">
        <v>170</v>
      </c>
      <c r="F15" s="13" t="s">
        <v>11</v>
      </c>
      <c r="G15" s="9" t="s">
        <v>12</v>
      </c>
      <c r="H15" s="12" t="str">
        <f t="shared" ref="H15:H21" si="3">H14</f>
        <v>Блок1</v>
      </c>
      <c r="I15" s="11">
        <v>87000</v>
      </c>
    </row>
    <row r="16" spans="1:9" ht="21" customHeight="1" x14ac:dyDescent="0.25">
      <c r="A16" s="12" t="str">
        <f t="shared" si="2"/>
        <v>РУ-1-1</v>
      </c>
      <c r="B16" s="9" t="s">
        <v>26</v>
      </c>
      <c r="C16" s="9"/>
      <c r="D16" s="10">
        <v>126583</v>
      </c>
      <c r="E16" s="9" t="s">
        <v>32</v>
      </c>
      <c r="F16" s="13" t="s">
        <v>11</v>
      </c>
      <c r="G16" s="9" t="s">
        <v>27</v>
      </c>
      <c r="H16" s="12" t="str">
        <f t="shared" si="3"/>
        <v>Блок1</v>
      </c>
      <c r="I16" s="11">
        <v>31531.500000000004</v>
      </c>
    </row>
    <row r="17" spans="1:9" ht="21" customHeight="1" x14ac:dyDescent="0.25">
      <c r="A17" s="12" t="str">
        <f t="shared" si="2"/>
        <v>РУ-1-1</v>
      </c>
      <c r="B17" s="9" t="s">
        <v>26</v>
      </c>
      <c r="C17" s="9"/>
      <c r="D17" s="10">
        <v>126584</v>
      </c>
      <c r="E17" s="9" t="s">
        <v>33</v>
      </c>
      <c r="F17" s="13" t="s">
        <v>11</v>
      </c>
      <c r="G17" s="9" t="s">
        <v>27</v>
      </c>
      <c r="H17" s="12" t="str">
        <f t="shared" si="3"/>
        <v>Блок1</v>
      </c>
      <c r="I17" s="11">
        <v>15815.800000000001</v>
      </c>
    </row>
    <row r="18" spans="1:9" ht="21" customHeight="1" x14ac:dyDescent="0.25">
      <c r="A18" s="12" t="str">
        <f t="shared" si="2"/>
        <v>РУ-1-1</v>
      </c>
      <c r="B18" s="9" t="s">
        <v>26</v>
      </c>
      <c r="C18" s="9"/>
      <c r="D18" s="10">
        <v>126507</v>
      </c>
      <c r="E18" s="9" t="s">
        <v>34</v>
      </c>
      <c r="F18" s="13" t="s">
        <v>11</v>
      </c>
      <c r="G18" s="9" t="s">
        <v>27</v>
      </c>
      <c r="H18" s="12" t="str">
        <f t="shared" si="3"/>
        <v>Блок1</v>
      </c>
      <c r="I18" s="11">
        <v>18818.800000000003</v>
      </c>
    </row>
    <row r="19" spans="1:9" ht="24" customHeight="1" x14ac:dyDescent="0.25">
      <c r="A19" s="9" t="str">
        <f t="shared" si="2"/>
        <v>РУ-1-1</v>
      </c>
      <c r="B19" s="9" t="s">
        <v>18</v>
      </c>
      <c r="C19" s="9"/>
      <c r="D19" s="10" t="s">
        <v>18</v>
      </c>
      <c r="E19" s="9" t="s">
        <v>18</v>
      </c>
      <c r="F19" s="9" t="s">
        <v>11</v>
      </c>
      <c r="G19" s="9" t="s">
        <v>18</v>
      </c>
      <c r="H19" s="12" t="str">
        <f t="shared" si="3"/>
        <v>Блок1</v>
      </c>
      <c r="I19" s="11">
        <v>14850.000000000002</v>
      </c>
    </row>
    <row r="20" spans="1:9" ht="21" customHeight="1" x14ac:dyDescent="0.25">
      <c r="A20" s="9" t="str">
        <f t="shared" si="2"/>
        <v>РУ-1-1</v>
      </c>
      <c r="B20" s="9" t="s">
        <v>19</v>
      </c>
      <c r="C20" s="9"/>
      <c r="D20" s="10" t="s">
        <v>19</v>
      </c>
      <c r="E20" s="9" t="s">
        <v>19</v>
      </c>
      <c r="F20" s="9" t="s">
        <v>11</v>
      </c>
      <c r="G20" s="9" t="s">
        <v>19</v>
      </c>
      <c r="H20" s="12" t="str">
        <f t="shared" si="3"/>
        <v>Блок1</v>
      </c>
      <c r="I20" s="11">
        <v>27000</v>
      </c>
    </row>
    <row r="21" spans="1:9" ht="30" customHeight="1" x14ac:dyDescent="0.25">
      <c r="A21" s="14" t="str">
        <f t="shared" si="2"/>
        <v>РУ-1-1</v>
      </c>
      <c r="B21" s="14"/>
      <c r="C21" s="14"/>
      <c r="D21" s="14"/>
      <c r="E21" s="15"/>
      <c r="F21" s="17"/>
      <c r="G21" s="14"/>
      <c r="H21" s="12" t="str">
        <f t="shared" si="3"/>
        <v>Блок1</v>
      </c>
      <c r="I21" s="16">
        <v>195016.09999999998</v>
      </c>
    </row>
    <row r="22" spans="1:9" ht="39.75" customHeight="1" x14ac:dyDescent="0.25">
      <c r="A22" s="7" t="str">
        <f>E22</f>
        <v>РУ-1-2</v>
      </c>
      <c r="B22" s="4"/>
      <c r="C22" s="4"/>
      <c r="D22" s="5"/>
      <c r="E22" s="4" t="s">
        <v>35</v>
      </c>
      <c r="F22" s="8" t="s">
        <v>8</v>
      </c>
      <c r="G22" s="4" t="s">
        <v>9</v>
      </c>
      <c r="H22" s="7" t="s">
        <v>21</v>
      </c>
      <c r="I22" s="6"/>
    </row>
    <row r="23" spans="1:9" ht="21" customHeight="1" x14ac:dyDescent="0.25">
      <c r="A23" s="12" t="str">
        <f t="shared" ref="A23:A29" si="4">A22</f>
        <v>РУ-1-2</v>
      </c>
      <c r="B23" s="9" t="s">
        <v>10</v>
      </c>
      <c r="C23" s="9"/>
      <c r="D23" s="10" t="s">
        <v>169</v>
      </c>
      <c r="E23" s="9" t="s">
        <v>170</v>
      </c>
      <c r="F23" s="13" t="s">
        <v>11</v>
      </c>
      <c r="G23" s="9" t="s">
        <v>12</v>
      </c>
      <c r="H23" s="12" t="str">
        <f t="shared" ref="H23:H29" si="5">H22</f>
        <v>Блок1</v>
      </c>
      <c r="I23" s="11">
        <v>87000</v>
      </c>
    </row>
    <row r="24" spans="1:9" ht="21" customHeight="1" x14ac:dyDescent="0.25">
      <c r="A24" s="12" t="str">
        <f t="shared" si="4"/>
        <v>РУ-1-2</v>
      </c>
      <c r="B24" s="9" t="s">
        <v>26</v>
      </c>
      <c r="C24" s="9"/>
      <c r="D24" s="10">
        <v>126584</v>
      </c>
      <c r="E24" s="9" t="s">
        <v>33</v>
      </c>
      <c r="F24" s="13" t="s">
        <v>11</v>
      </c>
      <c r="G24" s="9" t="s">
        <v>27</v>
      </c>
      <c r="H24" s="12" t="str">
        <f t="shared" si="5"/>
        <v>Блок1</v>
      </c>
      <c r="I24" s="11">
        <v>15815.800000000001</v>
      </c>
    </row>
    <row r="25" spans="1:9" ht="21" customHeight="1" x14ac:dyDescent="0.25">
      <c r="A25" s="12" t="str">
        <f t="shared" si="4"/>
        <v>РУ-1-2</v>
      </c>
      <c r="B25" s="9" t="s">
        <v>26</v>
      </c>
      <c r="C25" s="9"/>
      <c r="D25" s="10">
        <v>126511</v>
      </c>
      <c r="E25" s="9" t="s">
        <v>36</v>
      </c>
      <c r="F25" s="13" t="s">
        <v>11</v>
      </c>
      <c r="G25" s="9" t="s">
        <v>27</v>
      </c>
      <c r="H25" s="12" t="str">
        <f t="shared" si="5"/>
        <v>Блок1</v>
      </c>
      <c r="I25" s="11">
        <v>27327.300000000003</v>
      </c>
    </row>
    <row r="26" spans="1:9" ht="21" customHeight="1" x14ac:dyDescent="0.25">
      <c r="A26" s="12" t="str">
        <f t="shared" si="4"/>
        <v>РУ-1-2</v>
      </c>
      <c r="B26" s="9" t="s">
        <v>26</v>
      </c>
      <c r="C26" s="9"/>
      <c r="D26" s="10">
        <v>126510</v>
      </c>
      <c r="E26" s="9" t="s">
        <v>37</v>
      </c>
      <c r="F26" s="13" t="s">
        <v>11</v>
      </c>
      <c r="G26" s="9" t="s">
        <v>27</v>
      </c>
      <c r="H26" s="12" t="str">
        <f t="shared" si="5"/>
        <v>Блок1</v>
      </c>
      <c r="I26" s="11">
        <v>9109.1</v>
      </c>
    </row>
    <row r="27" spans="1:9" ht="24" customHeight="1" x14ac:dyDescent="0.25">
      <c r="A27" s="9" t="str">
        <f t="shared" si="4"/>
        <v>РУ-1-2</v>
      </c>
      <c r="B27" s="9" t="s">
        <v>18</v>
      </c>
      <c r="C27" s="9"/>
      <c r="D27" s="10" t="s">
        <v>18</v>
      </c>
      <c r="E27" s="9" t="s">
        <v>18</v>
      </c>
      <c r="F27" s="9" t="s">
        <v>11</v>
      </c>
      <c r="G27" s="9" t="s">
        <v>18</v>
      </c>
      <c r="H27" s="12" t="e">
        <f>#REF!</f>
        <v>#REF!</v>
      </c>
      <c r="I27" s="11">
        <v>14850.000000000002</v>
      </c>
    </row>
    <row r="28" spans="1:9" ht="21" customHeight="1" x14ac:dyDescent="0.25">
      <c r="A28" s="9" t="str">
        <f t="shared" si="4"/>
        <v>РУ-1-2</v>
      </c>
      <c r="B28" s="9" t="s">
        <v>19</v>
      </c>
      <c r="C28" s="9"/>
      <c r="D28" s="10" t="s">
        <v>19</v>
      </c>
      <c r="E28" s="9" t="s">
        <v>19</v>
      </c>
      <c r="F28" s="9" t="s">
        <v>11</v>
      </c>
      <c r="G28" s="9" t="s">
        <v>19</v>
      </c>
      <c r="H28" s="12" t="e">
        <f t="shared" si="5"/>
        <v>#REF!</v>
      </c>
      <c r="I28" s="11">
        <v>27000</v>
      </c>
    </row>
    <row r="29" spans="1:9" ht="30" customHeight="1" x14ac:dyDescent="0.25">
      <c r="A29" s="14" t="str">
        <f t="shared" si="4"/>
        <v>РУ-1-2</v>
      </c>
      <c r="B29" s="14"/>
      <c r="C29" s="14"/>
      <c r="D29" s="14"/>
      <c r="E29" s="15"/>
      <c r="F29" s="17"/>
      <c r="G29" s="14"/>
      <c r="H29" s="12" t="e">
        <f t="shared" si="5"/>
        <v>#REF!</v>
      </c>
      <c r="I29" s="16">
        <v>181102.2</v>
      </c>
    </row>
    <row r="30" spans="1:9" ht="39.75" customHeight="1" x14ac:dyDescent="0.25">
      <c r="A30" s="7" t="str">
        <f>E30</f>
        <v>ЩУР.МОП1</v>
      </c>
      <c r="B30" s="4"/>
      <c r="C30" s="4"/>
      <c r="D30" s="5"/>
      <c r="E30" s="4" t="s">
        <v>38</v>
      </c>
      <c r="F30" s="8" t="s">
        <v>8</v>
      </c>
      <c r="G30" s="4" t="s">
        <v>9</v>
      </c>
      <c r="H30" s="7" t="s">
        <v>21</v>
      </c>
      <c r="I30" s="6"/>
    </row>
    <row r="31" spans="1:9" ht="21" customHeight="1" x14ac:dyDescent="0.25">
      <c r="A31" s="12" t="str">
        <f t="shared" ref="A31:A38" si="6">A30</f>
        <v>ЩУР.МОП1</v>
      </c>
      <c r="B31" s="9" t="s">
        <v>10</v>
      </c>
      <c r="C31" s="9"/>
      <c r="D31" s="10" t="s">
        <v>39</v>
      </c>
      <c r="E31" s="9" t="s">
        <v>40</v>
      </c>
      <c r="F31" s="13" t="s">
        <v>11</v>
      </c>
      <c r="G31" s="9" t="s">
        <v>12</v>
      </c>
      <c r="H31" s="12" t="str">
        <f t="shared" ref="H31:H38" si="7">H30</f>
        <v>Блок1</v>
      </c>
      <c r="I31" s="11">
        <v>10800</v>
      </c>
    </row>
    <row r="32" spans="1:9" ht="21" customHeight="1" x14ac:dyDescent="0.25">
      <c r="A32" s="12" t="str">
        <f t="shared" si="6"/>
        <v>ЩУР.МОП1</v>
      </c>
      <c r="B32" s="9" t="s">
        <v>16</v>
      </c>
      <c r="C32" s="9"/>
      <c r="D32" s="10">
        <v>296830</v>
      </c>
      <c r="E32" s="9" t="s">
        <v>148</v>
      </c>
      <c r="F32" s="13" t="s">
        <v>11</v>
      </c>
      <c r="G32" s="9" t="s">
        <v>27</v>
      </c>
      <c r="H32" s="12" t="str">
        <f t="shared" si="7"/>
        <v>Блок1</v>
      </c>
      <c r="I32" s="11">
        <v>854.7</v>
      </c>
    </row>
    <row r="33" spans="1:9" ht="21" customHeight="1" x14ac:dyDescent="0.25">
      <c r="A33" s="12" t="str">
        <f t="shared" si="6"/>
        <v>ЩУР.МОП1</v>
      </c>
      <c r="B33" s="9" t="s">
        <v>16</v>
      </c>
      <c r="C33" s="9"/>
      <c r="D33" s="10">
        <v>296827</v>
      </c>
      <c r="E33" s="9" t="s">
        <v>149</v>
      </c>
      <c r="F33" s="13" t="s">
        <v>11</v>
      </c>
      <c r="G33" s="9" t="s">
        <v>27</v>
      </c>
      <c r="H33" s="12" t="str">
        <f t="shared" si="7"/>
        <v>Блок1</v>
      </c>
      <c r="I33" s="11">
        <v>1640.1000000000001</v>
      </c>
    </row>
    <row r="34" spans="1:9" ht="21" customHeight="1" x14ac:dyDescent="0.25">
      <c r="A34" s="12" t="str">
        <f t="shared" si="6"/>
        <v>ЩУР.МОП1</v>
      </c>
      <c r="B34" s="9" t="s">
        <v>16</v>
      </c>
      <c r="C34" s="9"/>
      <c r="D34" s="10">
        <v>296829</v>
      </c>
      <c r="E34" s="9" t="s">
        <v>147</v>
      </c>
      <c r="F34" s="13" t="s">
        <v>11</v>
      </c>
      <c r="G34" s="9" t="s">
        <v>27</v>
      </c>
      <c r="H34" s="12" t="str">
        <f t="shared" si="7"/>
        <v>Блок1</v>
      </c>
      <c r="I34" s="11">
        <v>2322.1000000000004</v>
      </c>
    </row>
    <row r="35" spans="1:9" ht="21" customHeight="1" x14ac:dyDescent="0.25">
      <c r="A35" s="12" t="str">
        <f t="shared" si="6"/>
        <v>ЩУР.МОП1</v>
      </c>
      <c r="B35" s="9" t="s">
        <v>14</v>
      </c>
      <c r="C35" s="9"/>
      <c r="D35" s="10" t="s">
        <v>178</v>
      </c>
      <c r="E35" s="9" t="s">
        <v>179</v>
      </c>
      <c r="F35" s="13" t="s">
        <v>11</v>
      </c>
      <c r="G35" s="9" t="s">
        <v>15</v>
      </c>
      <c r="H35" s="12" t="str">
        <f t="shared" si="7"/>
        <v>Блок1</v>
      </c>
      <c r="I35" s="11">
        <v>39100</v>
      </c>
    </row>
    <row r="36" spans="1:9" ht="24" customHeight="1" x14ac:dyDescent="0.25">
      <c r="A36" s="9" t="str">
        <f t="shared" si="6"/>
        <v>ЩУР.МОП1</v>
      </c>
      <c r="B36" s="9" t="s">
        <v>18</v>
      </c>
      <c r="C36" s="9"/>
      <c r="D36" s="10" t="s">
        <v>18</v>
      </c>
      <c r="E36" s="9" t="s">
        <v>18</v>
      </c>
      <c r="F36" s="9" t="s">
        <v>11</v>
      </c>
      <c r="G36" s="9" t="s">
        <v>18</v>
      </c>
      <c r="H36" s="12" t="str">
        <f t="shared" si="7"/>
        <v>Блок1</v>
      </c>
      <c r="I36" s="11">
        <v>6600.0000000000009</v>
      </c>
    </row>
    <row r="37" spans="1:9" ht="21" customHeight="1" x14ac:dyDescent="0.25">
      <c r="A37" s="9" t="str">
        <f t="shared" si="6"/>
        <v>ЩУР.МОП1</v>
      </c>
      <c r="B37" s="9" t="s">
        <v>19</v>
      </c>
      <c r="C37" s="9"/>
      <c r="D37" s="10" t="s">
        <v>19</v>
      </c>
      <c r="E37" s="9" t="s">
        <v>19</v>
      </c>
      <c r="F37" s="9" t="s">
        <v>11</v>
      </c>
      <c r="G37" s="9" t="s">
        <v>19</v>
      </c>
      <c r="H37" s="12" t="str">
        <f t="shared" si="7"/>
        <v>Блок1</v>
      </c>
      <c r="I37" s="11">
        <v>12000</v>
      </c>
    </row>
    <row r="38" spans="1:9" ht="30" customHeight="1" x14ac:dyDescent="0.25">
      <c r="A38" s="14" t="str">
        <f t="shared" si="6"/>
        <v>ЩУР.МОП1</v>
      </c>
      <c r="B38" s="14"/>
      <c r="C38" s="14"/>
      <c r="D38" s="14"/>
      <c r="E38" s="15"/>
      <c r="F38" s="17"/>
      <c r="G38" s="14"/>
      <c r="H38" s="12" t="str">
        <f t="shared" si="7"/>
        <v>Блок1</v>
      </c>
      <c r="I38" s="16">
        <v>73316.899999999994</v>
      </c>
    </row>
    <row r="39" spans="1:9" ht="39.75" customHeight="1" x14ac:dyDescent="0.25">
      <c r="A39" s="7" t="str">
        <f>E39</f>
        <v>РЩ1-1 (АВР-Б-40-2-1)</v>
      </c>
      <c r="B39" s="4"/>
      <c r="C39" s="4"/>
      <c r="D39" s="5"/>
      <c r="E39" s="4" t="s">
        <v>131</v>
      </c>
      <c r="F39" s="8" t="s">
        <v>8</v>
      </c>
      <c r="G39" s="4" t="s">
        <v>9</v>
      </c>
      <c r="H39" s="7" t="s">
        <v>21</v>
      </c>
      <c r="I39" s="6"/>
    </row>
    <row r="40" spans="1:9" ht="21" customHeight="1" x14ac:dyDescent="0.25">
      <c r="A40" s="12" t="str">
        <f t="shared" ref="A40:A51" si="8">A39</f>
        <v>РЩ1-1 (АВР-Б-40-2-1)</v>
      </c>
      <c r="B40" s="9" t="s">
        <v>10</v>
      </c>
      <c r="C40" s="9"/>
      <c r="D40" s="10" t="s">
        <v>167</v>
      </c>
      <c r="E40" s="9" t="s">
        <v>168</v>
      </c>
      <c r="F40" s="13" t="s">
        <v>11</v>
      </c>
      <c r="G40" s="9" t="s">
        <v>12</v>
      </c>
      <c r="H40" s="12" t="str">
        <f t="shared" ref="H40:H51" si="9">H39</f>
        <v>Блок1</v>
      </c>
      <c r="I40" s="11">
        <v>78000</v>
      </c>
    </row>
    <row r="41" spans="1:9" ht="21" customHeight="1" x14ac:dyDescent="0.25">
      <c r="A41" s="12" t="str">
        <f t="shared" si="8"/>
        <v>РЩ1-1 (АВР-Б-40-2-1)</v>
      </c>
      <c r="B41" s="9" t="s">
        <v>43</v>
      </c>
      <c r="C41" s="9"/>
      <c r="D41" s="10" t="s">
        <v>161</v>
      </c>
      <c r="E41" s="9" t="s">
        <v>162</v>
      </c>
      <c r="F41" s="13" t="s">
        <v>11</v>
      </c>
      <c r="G41" s="9" t="s">
        <v>13</v>
      </c>
      <c r="H41" s="12" t="str">
        <f t="shared" si="9"/>
        <v>Блок1</v>
      </c>
      <c r="I41" s="11">
        <v>63116.900000000009</v>
      </c>
    </row>
    <row r="42" spans="1:9" ht="21" customHeight="1" x14ac:dyDescent="0.25">
      <c r="A42" s="12" t="str">
        <f t="shared" si="8"/>
        <v>РЩ1-1 (АВР-Б-40-2-1)</v>
      </c>
      <c r="B42" s="9" t="s">
        <v>26</v>
      </c>
      <c r="C42" s="9"/>
      <c r="D42" s="10">
        <v>126505</v>
      </c>
      <c r="E42" s="9" t="s">
        <v>44</v>
      </c>
      <c r="F42" s="13" t="s">
        <v>11</v>
      </c>
      <c r="G42" s="9" t="s">
        <v>27</v>
      </c>
      <c r="H42" s="12" t="str">
        <f t="shared" si="9"/>
        <v>Блок1</v>
      </c>
      <c r="I42" s="11">
        <v>17314</v>
      </c>
    </row>
    <row r="43" spans="1:9" ht="21" customHeight="1" x14ac:dyDescent="0.25">
      <c r="A43" s="12" t="str">
        <f t="shared" si="8"/>
        <v>РЩ1-1 (АВР-Б-40-2-1)</v>
      </c>
      <c r="B43" s="9" t="s">
        <v>26</v>
      </c>
      <c r="C43" s="9"/>
      <c r="D43" s="10">
        <v>126677</v>
      </c>
      <c r="E43" s="9" t="s">
        <v>42</v>
      </c>
      <c r="F43" s="13" t="s">
        <v>11</v>
      </c>
      <c r="G43" s="9" t="s">
        <v>27</v>
      </c>
      <c r="H43" s="12" t="str">
        <f t="shared" si="9"/>
        <v>Блок1</v>
      </c>
      <c r="I43" s="11">
        <v>16216.2</v>
      </c>
    </row>
    <row r="44" spans="1:9" ht="21" customHeight="1" x14ac:dyDescent="0.25">
      <c r="A44" s="12" t="str">
        <f t="shared" si="8"/>
        <v>РЩ1-1 (АВР-Б-40-2-1)</v>
      </c>
      <c r="B44" s="9" t="s">
        <v>16</v>
      </c>
      <c r="C44" s="9"/>
      <c r="D44" s="10">
        <v>814174</v>
      </c>
      <c r="E44" s="9" t="s">
        <v>45</v>
      </c>
      <c r="F44" s="13" t="s">
        <v>11</v>
      </c>
      <c r="G44" s="9" t="s">
        <v>27</v>
      </c>
      <c r="H44" s="12" t="str">
        <f t="shared" si="9"/>
        <v>Блок1</v>
      </c>
      <c r="I44" s="11">
        <v>5305.3</v>
      </c>
    </row>
    <row r="45" spans="1:9" ht="21" customHeight="1" x14ac:dyDescent="0.25">
      <c r="A45" s="12" t="str">
        <f t="shared" si="8"/>
        <v>РЩ1-1 (АВР-Б-40-2-1)</v>
      </c>
      <c r="B45" s="9" t="s">
        <v>17</v>
      </c>
      <c r="C45" s="9"/>
      <c r="D45" s="10">
        <v>819975</v>
      </c>
      <c r="E45" s="9" t="s">
        <v>46</v>
      </c>
      <c r="F45" s="13" t="s">
        <v>11</v>
      </c>
      <c r="G45" s="9" t="s">
        <v>27</v>
      </c>
      <c r="H45" s="12" t="str">
        <f t="shared" si="9"/>
        <v>Блок1</v>
      </c>
      <c r="I45" s="11">
        <v>2952.9500000000003</v>
      </c>
    </row>
    <row r="46" spans="1:9" ht="21" customHeight="1" x14ac:dyDescent="0.25">
      <c r="A46" s="12" t="str">
        <f t="shared" si="8"/>
        <v>РЩ1-1 (АВР-Б-40-2-1)</v>
      </c>
      <c r="B46" s="9" t="s">
        <v>16</v>
      </c>
      <c r="C46" s="9"/>
      <c r="D46" s="10">
        <v>814167</v>
      </c>
      <c r="E46" s="9" t="s">
        <v>47</v>
      </c>
      <c r="F46" s="13" t="s">
        <v>11</v>
      </c>
      <c r="G46" s="9" t="s">
        <v>27</v>
      </c>
      <c r="H46" s="12" t="str">
        <f t="shared" si="9"/>
        <v>Блок1</v>
      </c>
      <c r="I46" s="11">
        <v>2852.8500000000004</v>
      </c>
    </row>
    <row r="47" spans="1:9" ht="21" customHeight="1" x14ac:dyDescent="0.25">
      <c r="A47" s="12" t="str">
        <f t="shared" si="8"/>
        <v>РЩ1-1 (АВР-Б-40-2-1)</v>
      </c>
      <c r="B47" s="9" t="s">
        <v>14</v>
      </c>
      <c r="C47" s="9"/>
      <c r="D47" s="10" t="s">
        <v>178</v>
      </c>
      <c r="E47" s="9" t="s">
        <v>179</v>
      </c>
      <c r="F47" s="13" t="s">
        <v>11</v>
      </c>
      <c r="G47" s="9" t="s">
        <v>15</v>
      </c>
      <c r="H47" s="12" t="str">
        <f t="shared" si="9"/>
        <v>Блок1</v>
      </c>
      <c r="I47" s="11">
        <v>39100</v>
      </c>
    </row>
    <row r="48" spans="1:9" ht="21" customHeight="1" x14ac:dyDescent="0.25">
      <c r="A48" s="12" t="str">
        <f t="shared" si="8"/>
        <v>РЩ1-1 (АВР-Б-40-2-1)</v>
      </c>
      <c r="B48" s="9" t="s">
        <v>29</v>
      </c>
      <c r="C48" s="9"/>
      <c r="D48" s="10"/>
      <c r="E48" s="9" t="s">
        <v>30</v>
      </c>
      <c r="F48" s="13" t="s">
        <v>11</v>
      </c>
      <c r="G48" s="9" t="s">
        <v>24</v>
      </c>
      <c r="H48" s="12" t="e">
        <f>#REF!</f>
        <v>#REF!</v>
      </c>
      <c r="I48" s="11">
        <v>14850</v>
      </c>
    </row>
    <row r="49" spans="1:9" ht="24" customHeight="1" x14ac:dyDescent="0.25">
      <c r="A49" s="9" t="str">
        <f t="shared" si="8"/>
        <v>РЩ1-1 (АВР-Б-40-2-1)</v>
      </c>
      <c r="B49" s="9" t="s">
        <v>18</v>
      </c>
      <c r="C49" s="9"/>
      <c r="D49" s="10" t="s">
        <v>18</v>
      </c>
      <c r="E49" s="9" t="s">
        <v>18</v>
      </c>
      <c r="F49" s="9" t="s">
        <v>11</v>
      </c>
      <c r="G49" s="9" t="s">
        <v>18</v>
      </c>
      <c r="H49" s="12" t="e">
        <f t="shared" si="9"/>
        <v>#REF!</v>
      </c>
      <c r="I49" s="11">
        <v>21450</v>
      </c>
    </row>
    <row r="50" spans="1:9" ht="21" customHeight="1" x14ac:dyDescent="0.25">
      <c r="A50" s="9" t="str">
        <f t="shared" si="8"/>
        <v>РЩ1-1 (АВР-Б-40-2-1)</v>
      </c>
      <c r="B50" s="9" t="s">
        <v>19</v>
      </c>
      <c r="C50" s="9"/>
      <c r="D50" s="10" t="s">
        <v>19</v>
      </c>
      <c r="E50" s="9" t="s">
        <v>19</v>
      </c>
      <c r="F50" s="9" t="s">
        <v>11</v>
      </c>
      <c r="G50" s="9" t="s">
        <v>19</v>
      </c>
      <c r="H50" s="12" t="e">
        <f t="shared" si="9"/>
        <v>#REF!</v>
      </c>
      <c r="I50" s="11">
        <v>39000</v>
      </c>
    </row>
    <row r="51" spans="1:9" ht="30" customHeight="1" x14ac:dyDescent="0.25">
      <c r="A51" s="14" t="str">
        <f t="shared" si="8"/>
        <v>РЩ1-1 (АВР-Б-40-2-1)</v>
      </c>
      <c r="B51" s="14"/>
      <c r="C51" s="14"/>
      <c r="D51" s="14"/>
      <c r="E51" s="15"/>
      <c r="F51" s="17"/>
      <c r="G51" s="14"/>
      <c r="H51" s="12" t="e">
        <f t="shared" si="9"/>
        <v>#REF!</v>
      </c>
      <c r="I51" s="16">
        <v>300158.20000000007</v>
      </c>
    </row>
    <row r="52" spans="1:9" ht="39.75" customHeight="1" x14ac:dyDescent="0.25">
      <c r="A52" s="7" t="str">
        <f>E52</f>
        <v>ВРУ1-2</v>
      </c>
      <c r="B52" s="4"/>
      <c r="C52" s="4"/>
      <c r="D52" s="5"/>
      <c r="E52" s="4" t="s">
        <v>51</v>
      </c>
      <c r="F52" s="8" t="s">
        <v>8</v>
      </c>
      <c r="G52" s="4" t="s">
        <v>9</v>
      </c>
      <c r="H52" s="7" t="s">
        <v>52</v>
      </c>
      <c r="I52" s="6"/>
    </row>
    <row r="53" spans="1:9" ht="21" customHeight="1" x14ac:dyDescent="0.25">
      <c r="A53" s="12" t="str">
        <f t="shared" ref="A53:A63" si="10">A52</f>
        <v>ВРУ1-2</v>
      </c>
      <c r="B53" s="9" t="s">
        <v>10</v>
      </c>
      <c r="C53" s="9"/>
      <c r="D53" s="10" t="s">
        <v>171</v>
      </c>
      <c r="E53" s="9" t="s">
        <v>172</v>
      </c>
      <c r="F53" s="13" t="s">
        <v>11</v>
      </c>
      <c r="G53" s="9" t="s">
        <v>12</v>
      </c>
      <c r="H53" s="12" t="str">
        <f t="shared" ref="H53:H63" si="11">H52</f>
        <v>Блок2</v>
      </c>
      <c r="I53" s="11">
        <v>93900</v>
      </c>
    </row>
    <row r="54" spans="1:9" ht="21" customHeight="1" x14ac:dyDescent="0.25">
      <c r="A54" s="12" t="str">
        <f t="shared" si="10"/>
        <v>ВРУ1-2</v>
      </c>
      <c r="B54" s="9" t="s">
        <v>22</v>
      </c>
      <c r="C54" s="9"/>
      <c r="D54" s="10"/>
      <c r="E54" s="9" t="s">
        <v>23</v>
      </c>
      <c r="F54" s="13" t="s">
        <v>11</v>
      </c>
      <c r="G54" s="9" t="s">
        <v>24</v>
      </c>
      <c r="H54" s="12" t="str">
        <f t="shared" si="11"/>
        <v>Блок2</v>
      </c>
      <c r="I54" s="11">
        <v>28206</v>
      </c>
    </row>
    <row r="55" spans="1:9" ht="21" customHeight="1" x14ac:dyDescent="0.25">
      <c r="A55" s="12" t="str">
        <f t="shared" si="10"/>
        <v>ВРУ1-2</v>
      </c>
      <c r="B55" s="9" t="s">
        <v>25</v>
      </c>
      <c r="C55" s="9"/>
      <c r="D55" s="10" t="s">
        <v>176</v>
      </c>
      <c r="E55" s="9" t="s">
        <v>177</v>
      </c>
      <c r="F55" s="13" t="s">
        <v>11</v>
      </c>
      <c r="G55" s="9" t="s">
        <v>24</v>
      </c>
      <c r="H55" s="12" t="str">
        <f t="shared" si="11"/>
        <v>Блок2</v>
      </c>
      <c r="I55" s="11">
        <v>28050.000000000004</v>
      </c>
    </row>
    <row r="56" spans="1:9" ht="21" customHeight="1" x14ac:dyDescent="0.25">
      <c r="A56" s="12" t="str">
        <f t="shared" si="10"/>
        <v>ВРУ1-2</v>
      </c>
      <c r="B56" s="9" t="s">
        <v>126</v>
      </c>
      <c r="C56" s="9"/>
      <c r="D56" s="10" t="s">
        <v>129</v>
      </c>
      <c r="E56" s="9" t="s">
        <v>130</v>
      </c>
      <c r="F56" s="13" t="s">
        <v>11</v>
      </c>
      <c r="G56" s="9" t="s">
        <v>13</v>
      </c>
      <c r="H56" s="12" t="str">
        <f>H54</f>
        <v>Блок2</v>
      </c>
      <c r="I56" s="11">
        <v>5225</v>
      </c>
    </row>
    <row r="57" spans="1:9" ht="21" customHeight="1" x14ac:dyDescent="0.25">
      <c r="A57" s="12" t="str">
        <f t="shared" si="10"/>
        <v>ВРУ1-2</v>
      </c>
      <c r="B57" s="9" t="s">
        <v>125</v>
      </c>
      <c r="C57" s="9"/>
      <c r="D57" s="10" t="s">
        <v>127</v>
      </c>
      <c r="E57" s="9" t="s">
        <v>128</v>
      </c>
      <c r="F57" s="13" t="s">
        <v>11</v>
      </c>
      <c r="G57" s="9" t="s">
        <v>13</v>
      </c>
      <c r="H57" s="12" t="str">
        <f>H55</f>
        <v>Блок2</v>
      </c>
      <c r="I57" s="11">
        <v>3648.7000000000003</v>
      </c>
    </row>
    <row r="58" spans="1:9" ht="21" customHeight="1" x14ac:dyDescent="0.25">
      <c r="A58" s="12" t="str">
        <f t="shared" si="10"/>
        <v>ВРУ1-2</v>
      </c>
      <c r="B58" s="9" t="s">
        <v>16</v>
      </c>
      <c r="C58" s="9"/>
      <c r="D58" s="10">
        <v>296708</v>
      </c>
      <c r="E58" s="9" t="s">
        <v>28</v>
      </c>
      <c r="F58" s="13" t="s">
        <v>11</v>
      </c>
      <c r="G58" s="9" t="s">
        <v>27</v>
      </c>
      <c r="H58" s="12" t="str">
        <f t="shared" ref="H58:H59" si="12">H56</f>
        <v>Блок2</v>
      </c>
      <c r="I58" s="11">
        <v>910.80000000000007</v>
      </c>
    </row>
    <row r="59" spans="1:9" ht="21" customHeight="1" x14ac:dyDescent="0.25">
      <c r="A59" s="12" t="str">
        <f t="shared" si="10"/>
        <v>ВРУ1-2</v>
      </c>
      <c r="B59" s="9" t="s">
        <v>14</v>
      </c>
      <c r="C59" s="9"/>
      <c r="D59" s="10" t="s">
        <v>178</v>
      </c>
      <c r="E59" s="9" t="s">
        <v>179</v>
      </c>
      <c r="F59" s="13" t="s">
        <v>11</v>
      </c>
      <c r="G59" s="9" t="s">
        <v>15</v>
      </c>
      <c r="H59" s="12" t="str">
        <f t="shared" si="12"/>
        <v>Блок2</v>
      </c>
      <c r="I59" s="11">
        <v>78200</v>
      </c>
    </row>
    <row r="60" spans="1:9" ht="21" customHeight="1" x14ac:dyDescent="0.25">
      <c r="A60" s="12" t="str">
        <f t="shared" si="10"/>
        <v>ВРУ1-2</v>
      </c>
      <c r="B60" s="9" t="s">
        <v>29</v>
      </c>
      <c r="C60" s="9"/>
      <c r="D60" s="10"/>
      <c r="E60" s="9" t="s">
        <v>30</v>
      </c>
      <c r="F60" s="13" t="s">
        <v>11</v>
      </c>
      <c r="G60" s="9" t="s">
        <v>24</v>
      </c>
      <c r="H60" s="12" t="str">
        <f t="shared" si="11"/>
        <v>Блок2</v>
      </c>
      <c r="I60" s="11">
        <v>14850</v>
      </c>
    </row>
    <row r="61" spans="1:9" ht="24" customHeight="1" x14ac:dyDescent="0.25">
      <c r="A61" s="9" t="str">
        <f t="shared" si="10"/>
        <v>ВРУ1-2</v>
      </c>
      <c r="B61" s="9" t="s">
        <v>18</v>
      </c>
      <c r="C61" s="9"/>
      <c r="D61" s="10" t="s">
        <v>18</v>
      </c>
      <c r="E61" s="9" t="s">
        <v>18</v>
      </c>
      <c r="F61" s="9" t="s">
        <v>11</v>
      </c>
      <c r="G61" s="9" t="s">
        <v>18</v>
      </c>
      <c r="H61" s="12" t="str">
        <f t="shared" si="11"/>
        <v>Блок2</v>
      </c>
      <c r="I61" s="11">
        <v>26400.000000000004</v>
      </c>
    </row>
    <row r="62" spans="1:9" ht="21" customHeight="1" x14ac:dyDescent="0.25">
      <c r="A62" s="9" t="str">
        <f t="shared" si="10"/>
        <v>ВРУ1-2</v>
      </c>
      <c r="B62" s="9" t="s">
        <v>19</v>
      </c>
      <c r="C62" s="9"/>
      <c r="D62" s="10" t="s">
        <v>19</v>
      </c>
      <c r="E62" s="9" t="s">
        <v>19</v>
      </c>
      <c r="F62" s="9" t="s">
        <v>11</v>
      </c>
      <c r="G62" s="9" t="s">
        <v>19</v>
      </c>
      <c r="H62" s="12" t="str">
        <f t="shared" si="11"/>
        <v>Блок2</v>
      </c>
      <c r="I62" s="11">
        <v>48000</v>
      </c>
    </row>
    <row r="63" spans="1:9" ht="30" customHeight="1" x14ac:dyDescent="0.25">
      <c r="A63" s="14" t="str">
        <f t="shared" si="10"/>
        <v>ВРУ1-2</v>
      </c>
      <c r="B63" s="14"/>
      <c r="C63" s="14"/>
      <c r="D63" s="14"/>
      <c r="E63" s="15"/>
      <c r="F63" s="17"/>
      <c r="G63" s="14"/>
      <c r="H63" s="12" t="str">
        <f t="shared" si="11"/>
        <v>Блок2</v>
      </c>
      <c r="I63" s="16">
        <v>327390.5</v>
      </c>
    </row>
    <row r="64" spans="1:9" ht="39.75" customHeight="1" x14ac:dyDescent="0.25">
      <c r="A64" s="7" t="str">
        <f>E64</f>
        <v>РУ-1-2(Блок2)</v>
      </c>
      <c r="B64" s="4"/>
      <c r="C64" s="4"/>
      <c r="D64" s="5"/>
      <c r="E64" s="4" t="s">
        <v>53</v>
      </c>
      <c r="F64" s="8" t="s">
        <v>8</v>
      </c>
      <c r="G64" s="4" t="s">
        <v>9</v>
      </c>
      <c r="H64" s="7" t="s">
        <v>52</v>
      </c>
      <c r="I64" s="6"/>
    </row>
    <row r="65" spans="1:9" ht="21" customHeight="1" x14ac:dyDescent="0.25">
      <c r="A65" s="12" t="str">
        <f t="shared" ref="A65:A71" si="13">A64</f>
        <v>РУ-1-2(Блок2)</v>
      </c>
      <c r="B65" s="9" t="s">
        <v>10</v>
      </c>
      <c r="C65" s="9"/>
      <c r="D65" s="10" t="s">
        <v>169</v>
      </c>
      <c r="E65" s="9" t="s">
        <v>170</v>
      </c>
      <c r="F65" s="13" t="s">
        <v>11</v>
      </c>
      <c r="G65" s="9" t="s">
        <v>12</v>
      </c>
      <c r="H65" s="12" t="str">
        <f t="shared" ref="H65:H71" si="14">H64</f>
        <v>Блок2</v>
      </c>
      <c r="I65" s="11">
        <v>87000</v>
      </c>
    </row>
    <row r="66" spans="1:9" ht="21" customHeight="1" x14ac:dyDescent="0.25">
      <c r="A66" s="12" t="str">
        <f t="shared" si="13"/>
        <v>РУ-1-2(Блок2)</v>
      </c>
      <c r="B66" s="9" t="s">
        <v>26</v>
      </c>
      <c r="C66" s="9"/>
      <c r="D66" s="10">
        <v>126583</v>
      </c>
      <c r="E66" s="9" t="s">
        <v>32</v>
      </c>
      <c r="F66" s="13" t="s">
        <v>11</v>
      </c>
      <c r="G66" s="9" t="s">
        <v>27</v>
      </c>
      <c r="H66" s="12" t="str">
        <f t="shared" si="14"/>
        <v>Блок2</v>
      </c>
      <c r="I66" s="11">
        <v>31531.500000000004</v>
      </c>
    </row>
    <row r="67" spans="1:9" ht="21" customHeight="1" x14ac:dyDescent="0.25">
      <c r="A67" s="12" t="str">
        <f t="shared" si="13"/>
        <v>РУ-1-2(Блок2)</v>
      </c>
      <c r="B67" s="9" t="s">
        <v>26</v>
      </c>
      <c r="C67" s="9"/>
      <c r="D67" s="10">
        <v>126584</v>
      </c>
      <c r="E67" s="9" t="s">
        <v>33</v>
      </c>
      <c r="F67" s="13" t="s">
        <v>11</v>
      </c>
      <c r="G67" s="9" t="s">
        <v>27</v>
      </c>
      <c r="H67" s="12" t="str">
        <f t="shared" si="14"/>
        <v>Блок2</v>
      </c>
      <c r="I67" s="11">
        <v>15815.800000000001</v>
      </c>
    </row>
    <row r="68" spans="1:9" ht="21" customHeight="1" x14ac:dyDescent="0.25">
      <c r="A68" s="12" t="str">
        <f t="shared" si="13"/>
        <v>РУ-1-2(Блок2)</v>
      </c>
      <c r="B68" s="9" t="s">
        <v>26</v>
      </c>
      <c r="C68" s="9"/>
      <c r="D68" s="10">
        <v>126507</v>
      </c>
      <c r="E68" s="9" t="s">
        <v>34</v>
      </c>
      <c r="F68" s="13" t="s">
        <v>11</v>
      </c>
      <c r="G68" s="9" t="s">
        <v>27</v>
      </c>
      <c r="H68" s="12" t="str">
        <f t="shared" si="14"/>
        <v>Блок2</v>
      </c>
      <c r="I68" s="11">
        <v>18818.800000000003</v>
      </c>
    </row>
    <row r="69" spans="1:9" ht="24" customHeight="1" x14ac:dyDescent="0.25">
      <c r="A69" s="9" t="str">
        <f t="shared" si="13"/>
        <v>РУ-1-2(Блок2)</v>
      </c>
      <c r="B69" s="9" t="s">
        <v>18</v>
      </c>
      <c r="C69" s="9"/>
      <c r="D69" s="10" t="s">
        <v>18</v>
      </c>
      <c r="E69" s="9" t="s">
        <v>18</v>
      </c>
      <c r="F69" s="9" t="s">
        <v>11</v>
      </c>
      <c r="G69" s="9" t="s">
        <v>18</v>
      </c>
      <c r="H69" s="12" t="str">
        <f t="shared" si="14"/>
        <v>Блок2</v>
      </c>
      <c r="I69" s="11">
        <v>14850.000000000002</v>
      </c>
    </row>
    <row r="70" spans="1:9" ht="21" customHeight="1" x14ac:dyDescent="0.25">
      <c r="A70" s="9" t="str">
        <f t="shared" si="13"/>
        <v>РУ-1-2(Блок2)</v>
      </c>
      <c r="B70" s="9" t="s">
        <v>19</v>
      </c>
      <c r="C70" s="9"/>
      <c r="D70" s="10" t="s">
        <v>19</v>
      </c>
      <c r="E70" s="9" t="s">
        <v>19</v>
      </c>
      <c r="F70" s="9" t="s">
        <v>11</v>
      </c>
      <c r="G70" s="9" t="s">
        <v>19</v>
      </c>
      <c r="H70" s="12" t="str">
        <f t="shared" si="14"/>
        <v>Блок2</v>
      </c>
      <c r="I70" s="11">
        <v>27000</v>
      </c>
    </row>
    <row r="71" spans="1:9" ht="30" customHeight="1" x14ac:dyDescent="0.25">
      <c r="A71" s="14" t="str">
        <f t="shared" si="13"/>
        <v>РУ-1-2(Блок2)</v>
      </c>
      <c r="B71" s="14"/>
      <c r="C71" s="14"/>
      <c r="D71" s="14"/>
      <c r="E71" s="15"/>
      <c r="F71" s="17"/>
      <c r="G71" s="14"/>
      <c r="H71" s="12" t="str">
        <f t="shared" si="14"/>
        <v>Блок2</v>
      </c>
      <c r="I71" s="16">
        <v>195016.09999999998</v>
      </c>
    </row>
    <row r="72" spans="1:9" ht="39.75" customHeight="1" x14ac:dyDescent="0.25">
      <c r="A72" s="7" t="str">
        <f>E72</f>
        <v>РУ-2-2</v>
      </c>
      <c r="B72" s="4"/>
      <c r="C72" s="4"/>
      <c r="D72" s="5"/>
      <c r="E72" s="4" t="s">
        <v>54</v>
      </c>
      <c r="F72" s="8" t="s">
        <v>8</v>
      </c>
      <c r="G72" s="4" t="s">
        <v>9</v>
      </c>
      <c r="H72" s="7" t="s">
        <v>52</v>
      </c>
      <c r="I72" s="6"/>
    </row>
    <row r="73" spans="1:9" ht="21" customHeight="1" x14ac:dyDescent="0.25">
      <c r="A73" s="12" t="str">
        <f t="shared" ref="A73:A79" si="15">A72</f>
        <v>РУ-2-2</v>
      </c>
      <c r="B73" s="9" t="s">
        <v>10</v>
      </c>
      <c r="C73" s="9"/>
      <c r="D73" s="10" t="s">
        <v>169</v>
      </c>
      <c r="E73" s="9" t="s">
        <v>170</v>
      </c>
      <c r="F73" s="13" t="s">
        <v>11</v>
      </c>
      <c r="G73" s="9" t="s">
        <v>12</v>
      </c>
      <c r="H73" s="12" t="str">
        <f t="shared" ref="H73:H79" si="16">H72</f>
        <v>Блок2</v>
      </c>
      <c r="I73" s="11">
        <v>87000</v>
      </c>
    </row>
    <row r="74" spans="1:9" ht="21" customHeight="1" x14ac:dyDescent="0.25">
      <c r="A74" s="12" t="str">
        <f t="shared" si="15"/>
        <v>РУ-2-2</v>
      </c>
      <c r="B74" s="9" t="s">
        <v>26</v>
      </c>
      <c r="C74" s="9"/>
      <c r="D74" s="10">
        <v>126584</v>
      </c>
      <c r="E74" s="9" t="s">
        <v>33</v>
      </c>
      <c r="F74" s="13" t="s">
        <v>11</v>
      </c>
      <c r="G74" s="9" t="s">
        <v>27</v>
      </c>
      <c r="H74" s="12" t="str">
        <f t="shared" si="16"/>
        <v>Блок2</v>
      </c>
      <c r="I74" s="11">
        <v>15815.800000000001</v>
      </c>
    </row>
    <row r="75" spans="1:9" ht="21" customHeight="1" x14ac:dyDescent="0.25">
      <c r="A75" s="12" t="str">
        <f t="shared" si="15"/>
        <v>РУ-2-2</v>
      </c>
      <c r="B75" s="9" t="s">
        <v>26</v>
      </c>
      <c r="C75" s="9"/>
      <c r="D75" s="10">
        <v>126511</v>
      </c>
      <c r="E75" s="9" t="s">
        <v>36</v>
      </c>
      <c r="F75" s="13" t="s">
        <v>11</v>
      </c>
      <c r="G75" s="9" t="s">
        <v>27</v>
      </c>
      <c r="H75" s="12" t="str">
        <f t="shared" si="16"/>
        <v>Блок2</v>
      </c>
      <c r="I75" s="11">
        <v>27327.300000000003</v>
      </c>
    </row>
    <row r="76" spans="1:9" ht="21" customHeight="1" x14ac:dyDescent="0.25">
      <c r="A76" s="12" t="str">
        <f t="shared" si="15"/>
        <v>РУ-2-2</v>
      </c>
      <c r="B76" s="9" t="s">
        <v>26</v>
      </c>
      <c r="C76" s="9"/>
      <c r="D76" s="10">
        <v>126510</v>
      </c>
      <c r="E76" s="9" t="s">
        <v>37</v>
      </c>
      <c r="F76" s="13" t="s">
        <v>11</v>
      </c>
      <c r="G76" s="9" t="s">
        <v>27</v>
      </c>
      <c r="H76" s="12" t="str">
        <f t="shared" si="16"/>
        <v>Блок2</v>
      </c>
      <c r="I76" s="11">
        <v>9109.1</v>
      </c>
    </row>
    <row r="77" spans="1:9" ht="24" customHeight="1" x14ac:dyDescent="0.25">
      <c r="A77" s="9" t="str">
        <f t="shared" si="15"/>
        <v>РУ-2-2</v>
      </c>
      <c r="B77" s="9" t="s">
        <v>18</v>
      </c>
      <c r="C77" s="9"/>
      <c r="D77" s="10" t="s">
        <v>18</v>
      </c>
      <c r="E77" s="9" t="s">
        <v>18</v>
      </c>
      <c r="F77" s="9" t="s">
        <v>11</v>
      </c>
      <c r="G77" s="9" t="s">
        <v>18</v>
      </c>
      <c r="H77" s="12" t="e">
        <f>#REF!</f>
        <v>#REF!</v>
      </c>
      <c r="I77" s="11">
        <v>14850.000000000002</v>
      </c>
    </row>
    <row r="78" spans="1:9" ht="21" customHeight="1" x14ac:dyDescent="0.25">
      <c r="A78" s="9" t="str">
        <f t="shared" si="15"/>
        <v>РУ-2-2</v>
      </c>
      <c r="B78" s="9" t="s">
        <v>19</v>
      </c>
      <c r="C78" s="9"/>
      <c r="D78" s="10" t="s">
        <v>19</v>
      </c>
      <c r="E78" s="9" t="s">
        <v>19</v>
      </c>
      <c r="F78" s="9" t="s">
        <v>11</v>
      </c>
      <c r="G78" s="9" t="s">
        <v>19</v>
      </c>
      <c r="H78" s="12" t="e">
        <f t="shared" si="16"/>
        <v>#REF!</v>
      </c>
      <c r="I78" s="11">
        <v>27000</v>
      </c>
    </row>
    <row r="79" spans="1:9" ht="30" customHeight="1" x14ac:dyDescent="0.25">
      <c r="A79" s="14" t="str">
        <f t="shared" si="15"/>
        <v>РУ-2-2</v>
      </c>
      <c r="B79" s="14"/>
      <c r="C79" s="14"/>
      <c r="D79" s="14"/>
      <c r="E79" s="15"/>
      <c r="F79" s="17"/>
      <c r="G79" s="14"/>
      <c r="H79" s="12" t="e">
        <f t="shared" si="16"/>
        <v>#REF!</v>
      </c>
      <c r="I79" s="16">
        <v>181102.2</v>
      </c>
    </row>
    <row r="80" spans="1:9" ht="39.75" customHeight="1" x14ac:dyDescent="0.25">
      <c r="A80" s="7" t="str">
        <f>E80</f>
        <v>ЩУР.МОП1-2</v>
      </c>
      <c r="B80" s="4"/>
      <c r="C80" s="4"/>
      <c r="D80" s="5"/>
      <c r="E80" s="4" t="s">
        <v>55</v>
      </c>
      <c r="F80" s="8" t="s">
        <v>8</v>
      </c>
      <c r="G80" s="4" t="s">
        <v>9</v>
      </c>
      <c r="H80" s="7" t="s">
        <v>52</v>
      </c>
      <c r="I80" s="6"/>
    </row>
    <row r="81" spans="1:9" ht="21" customHeight="1" x14ac:dyDescent="0.25">
      <c r="A81" s="12" t="str">
        <f t="shared" ref="A81:A88" si="17">A80</f>
        <v>ЩУР.МОП1-2</v>
      </c>
      <c r="B81" s="9" t="s">
        <v>10</v>
      </c>
      <c r="C81" s="9"/>
      <c r="D81" s="10" t="s">
        <v>39</v>
      </c>
      <c r="E81" s="9" t="s">
        <v>40</v>
      </c>
      <c r="F81" s="13" t="s">
        <v>11</v>
      </c>
      <c r="G81" s="9" t="s">
        <v>12</v>
      </c>
      <c r="H81" s="12" t="str">
        <f t="shared" ref="H81:H88" si="18">H80</f>
        <v>Блок2</v>
      </c>
      <c r="I81" s="11">
        <v>10800</v>
      </c>
    </row>
    <row r="82" spans="1:9" ht="21" customHeight="1" x14ac:dyDescent="0.25">
      <c r="A82" s="12" t="str">
        <f t="shared" si="17"/>
        <v>ЩУР.МОП1-2</v>
      </c>
      <c r="B82" s="9" t="s">
        <v>16</v>
      </c>
      <c r="C82" s="9"/>
      <c r="D82" s="10">
        <v>296830</v>
      </c>
      <c r="E82" s="9" t="s">
        <v>148</v>
      </c>
      <c r="F82" s="13" t="s">
        <v>11</v>
      </c>
      <c r="G82" s="9" t="s">
        <v>27</v>
      </c>
      <c r="H82" s="12" t="str">
        <f t="shared" si="18"/>
        <v>Блок2</v>
      </c>
      <c r="I82" s="11">
        <v>854.7</v>
      </c>
    </row>
    <row r="83" spans="1:9" ht="21" customHeight="1" x14ac:dyDescent="0.25">
      <c r="A83" s="12" t="str">
        <f t="shared" si="17"/>
        <v>ЩУР.МОП1-2</v>
      </c>
      <c r="B83" s="9" t="s">
        <v>16</v>
      </c>
      <c r="C83" s="9"/>
      <c r="D83" s="10">
        <v>296827</v>
      </c>
      <c r="E83" s="9" t="s">
        <v>149</v>
      </c>
      <c r="F83" s="13" t="s">
        <v>11</v>
      </c>
      <c r="G83" s="9" t="s">
        <v>27</v>
      </c>
      <c r="H83" s="12" t="str">
        <f t="shared" si="18"/>
        <v>Блок2</v>
      </c>
      <c r="I83" s="11">
        <v>1640.1000000000001</v>
      </c>
    </row>
    <row r="84" spans="1:9" ht="21" customHeight="1" x14ac:dyDescent="0.25">
      <c r="A84" s="12" t="str">
        <f t="shared" si="17"/>
        <v>ЩУР.МОП1-2</v>
      </c>
      <c r="B84" s="9" t="s">
        <v>16</v>
      </c>
      <c r="C84" s="9"/>
      <c r="D84" s="10">
        <v>296829</v>
      </c>
      <c r="E84" s="9" t="s">
        <v>147</v>
      </c>
      <c r="F84" s="13" t="s">
        <v>11</v>
      </c>
      <c r="G84" s="9" t="s">
        <v>27</v>
      </c>
      <c r="H84" s="12" t="str">
        <f t="shared" si="18"/>
        <v>Блок2</v>
      </c>
      <c r="I84" s="11">
        <v>2322.1000000000004</v>
      </c>
    </row>
    <row r="85" spans="1:9" ht="21" customHeight="1" x14ac:dyDescent="0.25">
      <c r="A85" s="12" t="str">
        <f t="shared" si="17"/>
        <v>ЩУР.МОП1-2</v>
      </c>
      <c r="B85" s="9" t="s">
        <v>14</v>
      </c>
      <c r="C85" s="9"/>
      <c r="D85" s="10" t="s">
        <v>178</v>
      </c>
      <c r="E85" s="9" t="s">
        <v>179</v>
      </c>
      <c r="F85" s="13" t="s">
        <v>11</v>
      </c>
      <c r="G85" s="9" t="s">
        <v>15</v>
      </c>
      <c r="H85" s="12" t="str">
        <f t="shared" si="18"/>
        <v>Блок2</v>
      </c>
      <c r="I85" s="11">
        <v>39100</v>
      </c>
    </row>
    <row r="86" spans="1:9" ht="24" customHeight="1" x14ac:dyDescent="0.25">
      <c r="A86" s="9" t="str">
        <f t="shared" si="17"/>
        <v>ЩУР.МОП1-2</v>
      </c>
      <c r="B86" s="9" t="s">
        <v>18</v>
      </c>
      <c r="C86" s="9"/>
      <c r="D86" s="10" t="s">
        <v>18</v>
      </c>
      <c r="E86" s="9" t="s">
        <v>18</v>
      </c>
      <c r="F86" s="9" t="s">
        <v>11</v>
      </c>
      <c r="G86" s="9" t="s">
        <v>18</v>
      </c>
      <c r="H86" s="12" t="str">
        <f t="shared" si="18"/>
        <v>Блок2</v>
      </c>
      <c r="I86" s="11">
        <v>6600.0000000000009</v>
      </c>
    </row>
    <row r="87" spans="1:9" ht="21" customHeight="1" x14ac:dyDescent="0.25">
      <c r="A87" s="9" t="str">
        <f t="shared" si="17"/>
        <v>ЩУР.МОП1-2</v>
      </c>
      <c r="B87" s="9" t="s">
        <v>19</v>
      </c>
      <c r="C87" s="9"/>
      <c r="D87" s="10" t="s">
        <v>19</v>
      </c>
      <c r="E87" s="9" t="s">
        <v>19</v>
      </c>
      <c r="F87" s="9" t="s">
        <v>11</v>
      </c>
      <c r="G87" s="9" t="s">
        <v>19</v>
      </c>
      <c r="H87" s="12" t="str">
        <f t="shared" si="18"/>
        <v>Блок2</v>
      </c>
      <c r="I87" s="11">
        <v>12000</v>
      </c>
    </row>
    <row r="88" spans="1:9" ht="30" customHeight="1" x14ac:dyDescent="0.25">
      <c r="A88" s="14" t="str">
        <f t="shared" si="17"/>
        <v>ЩУР.МОП1-2</v>
      </c>
      <c r="B88" s="14"/>
      <c r="C88" s="14"/>
      <c r="D88" s="14"/>
      <c r="E88" s="15"/>
      <c r="F88" s="17"/>
      <c r="G88" s="14"/>
      <c r="H88" s="12" t="str">
        <f t="shared" si="18"/>
        <v>Блок2</v>
      </c>
      <c r="I88" s="16">
        <v>73316.899999999994</v>
      </c>
    </row>
    <row r="89" spans="1:9" ht="39.75" customHeight="1" x14ac:dyDescent="0.25">
      <c r="A89" s="7" t="str">
        <f>E89</f>
        <v>РЩ1-2 (АВР-Б-40-2-1)</v>
      </c>
      <c r="B89" s="4"/>
      <c r="C89" s="4"/>
      <c r="D89" s="5"/>
      <c r="E89" s="4" t="s">
        <v>132</v>
      </c>
      <c r="F89" s="8" t="s">
        <v>8</v>
      </c>
      <c r="G89" s="4" t="s">
        <v>9</v>
      </c>
      <c r="H89" s="7" t="s">
        <v>52</v>
      </c>
      <c r="I89" s="6"/>
    </row>
    <row r="90" spans="1:9" ht="21" customHeight="1" x14ac:dyDescent="0.25">
      <c r="A90" s="12" t="str">
        <f t="shared" ref="A90:A101" si="19">A89</f>
        <v>РЩ1-2 (АВР-Б-40-2-1)</v>
      </c>
      <c r="B90" s="9" t="s">
        <v>10</v>
      </c>
      <c r="C90" s="9"/>
      <c r="D90" s="10" t="s">
        <v>167</v>
      </c>
      <c r="E90" s="9" t="s">
        <v>168</v>
      </c>
      <c r="F90" s="13" t="s">
        <v>11</v>
      </c>
      <c r="G90" s="9" t="s">
        <v>12</v>
      </c>
      <c r="H90" s="12" t="str">
        <f t="shared" ref="H90:H101" si="20">H89</f>
        <v>Блок2</v>
      </c>
      <c r="I90" s="11">
        <v>78000</v>
      </c>
    </row>
    <row r="91" spans="1:9" ht="21" customHeight="1" x14ac:dyDescent="0.25">
      <c r="A91" s="12" t="str">
        <f t="shared" si="19"/>
        <v>РЩ1-2 (АВР-Б-40-2-1)</v>
      </c>
      <c r="B91" s="9" t="s">
        <v>43</v>
      </c>
      <c r="C91" s="9"/>
      <c r="D91" s="10" t="s">
        <v>161</v>
      </c>
      <c r="E91" s="9" t="s">
        <v>162</v>
      </c>
      <c r="F91" s="13" t="s">
        <v>11</v>
      </c>
      <c r="G91" s="9" t="s">
        <v>13</v>
      </c>
      <c r="H91" s="12" t="str">
        <f t="shared" si="20"/>
        <v>Блок2</v>
      </c>
      <c r="I91" s="11">
        <v>63116.900000000009</v>
      </c>
    </row>
    <row r="92" spans="1:9" ht="21" customHeight="1" x14ac:dyDescent="0.25">
      <c r="A92" s="12" t="str">
        <f t="shared" si="19"/>
        <v>РЩ1-2 (АВР-Б-40-2-1)</v>
      </c>
      <c r="B92" s="9" t="s">
        <v>26</v>
      </c>
      <c r="C92" s="9"/>
      <c r="D92" s="10">
        <v>126505</v>
      </c>
      <c r="E92" s="9" t="s">
        <v>44</v>
      </c>
      <c r="F92" s="13" t="s">
        <v>11</v>
      </c>
      <c r="G92" s="9" t="s">
        <v>27</v>
      </c>
      <c r="H92" s="12" t="str">
        <f t="shared" si="20"/>
        <v>Блок2</v>
      </c>
      <c r="I92" s="11">
        <v>17314</v>
      </c>
    </row>
    <row r="93" spans="1:9" ht="21" customHeight="1" x14ac:dyDescent="0.25">
      <c r="A93" s="12" t="str">
        <f t="shared" si="19"/>
        <v>РЩ1-2 (АВР-Б-40-2-1)</v>
      </c>
      <c r="B93" s="9" t="s">
        <v>26</v>
      </c>
      <c r="C93" s="9"/>
      <c r="D93" s="10">
        <v>126677</v>
      </c>
      <c r="E93" s="9" t="s">
        <v>42</v>
      </c>
      <c r="F93" s="13" t="s">
        <v>11</v>
      </c>
      <c r="G93" s="9" t="s">
        <v>27</v>
      </c>
      <c r="H93" s="12" t="str">
        <f t="shared" si="20"/>
        <v>Блок2</v>
      </c>
      <c r="I93" s="11">
        <v>16216.2</v>
      </c>
    </row>
    <row r="94" spans="1:9" ht="21" customHeight="1" x14ac:dyDescent="0.25">
      <c r="A94" s="12" t="str">
        <f t="shared" si="19"/>
        <v>РЩ1-2 (АВР-Б-40-2-1)</v>
      </c>
      <c r="B94" s="9" t="s">
        <v>16</v>
      </c>
      <c r="C94" s="9"/>
      <c r="D94" s="10">
        <v>814174</v>
      </c>
      <c r="E94" s="9" t="s">
        <v>45</v>
      </c>
      <c r="F94" s="13" t="s">
        <v>11</v>
      </c>
      <c r="G94" s="9" t="s">
        <v>27</v>
      </c>
      <c r="H94" s="12" t="str">
        <f t="shared" si="20"/>
        <v>Блок2</v>
      </c>
      <c r="I94" s="11">
        <v>5305.3</v>
      </c>
    </row>
    <row r="95" spans="1:9" ht="21" customHeight="1" x14ac:dyDescent="0.25">
      <c r="A95" s="12" t="str">
        <f t="shared" si="19"/>
        <v>РЩ1-2 (АВР-Б-40-2-1)</v>
      </c>
      <c r="B95" s="9" t="s">
        <v>17</v>
      </c>
      <c r="C95" s="9"/>
      <c r="D95" s="10">
        <v>819975</v>
      </c>
      <c r="E95" s="9" t="s">
        <v>46</v>
      </c>
      <c r="F95" s="13" t="s">
        <v>11</v>
      </c>
      <c r="G95" s="9" t="s">
        <v>27</v>
      </c>
      <c r="H95" s="12" t="str">
        <f t="shared" si="20"/>
        <v>Блок2</v>
      </c>
      <c r="I95" s="11">
        <v>2952.9500000000003</v>
      </c>
    </row>
    <row r="96" spans="1:9" ht="21" customHeight="1" x14ac:dyDescent="0.25">
      <c r="A96" s="12" t="str">
        <f t="shared" si="19"/>
        <v>РЩ1-2 (АВР-Б-40-2-1)</v>
      </c>
      <c r="B96" s="9" t="s">
        <v>16</v>
      </c>
      <c r="C96" s="9"/>
      <c r="D96" s="10">
        <v>814167</v>
      </c>
      <c r="E96" s="9" t="s">
        <v>47</v>
      </c>
      <c r="F96" s="13" t="s">
        <v>11</v>
      </c>
      <c r="G96" s="9" t="s">
        <v>27</v>
      </c>
      <c r="H96" s="12" t="str">
        <f t="shared" si="20"/>
        <v>Блок2</v>
      </c>
      <c r="I96" s="11">
        <v>2852.8500000000004</v>
      </c>
    </row>
    <row r="97" spans="1:9" ht="21" customHeight="1" x14ac:dyDescent="0.25">
      <c r="A97" s="12" t="str">
        <f t="shared" si="19"/>
        <v>РЩ1-2 (АВР-Б-40-2-1)</v>
      </c>
      <c r="B97" s="9" t="s">
        <v>14</v>
      </c>
      <c r="C97" s="9"/>
      <c r="D97" s="10" t="s">
        <v>178</v>
      </c>
      <c r="E97" s="9" t="s">
        <v>179</v>
      </c>
      <c r="F97" s="13" t="s">
        <v>11</v>
      </c>
      <c r="G97" s="9" t="s">
        <v>15</v>
      </c>
      <c r="H97" s="12" t="str">
        <f t="shared" si="20"/>
        <v>Блок2</v>
      </c>
      <c r="I97" s="11">
        <v>39100</v>
      </c>
    </row>
    <row r="98" spans="1:9" ht="21" customHeight="1" x14ac:dyDescent="0.25">
      <c r="A98" s="12" t="str">
        <f t="shared" si="19"/>
        <v>РЩ1-2 (АВР-Б-40-2-1)</v>
      </c>
      <c r="B98" s="9" t="s">
        <v>29</v>
      </c>
      <c r="C98" s="9"/>
      <c r="D98" s="10"/>
      <c r="E98" s="9" t="s">
        <v>30</v>
      </c>
      <c r="F98" s="13" t="s">
        <v>11</v>
      </c>
      <c r="G98" s="9" t="s">
        <v>24</v>
      </c>
      <c r="H98" s="12" t="e">
        <f>#REF!</f>
        <v>#REF!</v>
      </c>
      <c r="I98" s="11">
        <v>14850</v>
      </c>
    </row>
    <row r="99" spans="1:9" ht="24" customHeight="1" x14ac:dyDescent="0.25">
      <c r="A99" s="9" t="str">
        <f t="shared" si="19"/>
        <v>РЩ1-2 (АВР-Б-40-2-1)</v>
      </c>
      <c r="B99" s="9" t="s">
        <v>18</v>
      </c>
      <c r="C99" s="9"/>
      <c r="D99" s="10" t="s">
        <v>18</v>
      </c>
      <c r="E99" s="9" t="s">
        <v>18</v>
      </c>
      <c r="F99" s="9" t="s">
        <v>11</v>
      </c>
      <c r="G99" s="9" t="s">
        <v>18</v>
      </c>
      <c r="H99" s="12" t="e">
        <f t="shared" si="20"/>
        <v>#REF!</v>
      </c>
      <c r="I99" s="11">
        <v>21450</v>
      </c>
    </row>
    <row r="100" spans="1:9" ht="21" customHeight="1" x14ac:dyDescent="0.25">
      <c r="A100" s="9" t="str">
        <f t="shared" si="19"/>
        <v>РЩ1-2 (АВР-Б-40-2-1)</v>
      </c>
      <c r="B100" s="9" t="s">
        <v>19</v>
      </c>
      <c r="C100" s="9"/>
      <c r="D100" s="10" t="s">
        <v>19</v>
      </c>
      <c r="E100" s="9" t="s">
        <v>19</v>
      </c>
      <c r="F100" s="9" t="s">
        <v>11</v>
      </c>
      <c r="G100" s="9" t="s">
        <v>19</v>
      </c>
      <c r="H100" s="12" t="e">
        <f t="shared" si="20"/>
        <v>#REF!</v>
      </c>
      <c r="I100" s="11">
        <v>39000</v>
      </c>
    </row>
    <row r="101" spans="1:9" ht="30" customHeight="1" x14ac:dyDescent="0.25">
      <c r="A101" s="14" t="str">
        <f t="shared" si="19"/>
        <v>РЩ1-2 (АВР-Б-40-2-1)</v>
      </c>
      <c r="B101" s="14"/>
      <c r="C101" s="14"/>
      <c r="D101" s="14"/>
      <c r="E101" s="15"/>
      <c r="F101" s="17"/>
      <c r="G101" s="14"/>
      <c r="H101" s="12" t="e">
        <f t="shared" si="20"/>
        <v>#REF!</v>
      </c>
      <c r="I101" s="16">
        <v>300158.20000000007</v>
      </c>
    </row>
    <row r="102" spans="1:9" ht="39.75" customHeight="1" x14ac:dyDescent="0.25">
      <c r="A102" s="7" t="str">
        <f>E102</f>
        <v>ВРУ1-3</v>
      </c>
      <c r="B102" s="4"/>
      <c r="C102" s="4"/>
      <c r="D102" s="5"/>
      <c r="E102" s="4" t="s">
        <v>56</v>
      </c>
      <c r="F102" s="8" t="s">
        <v>8</v>
      </c>
      <c r="G102" s="4" t="s">
        <v>9</v>
      </c>
      <c r="H102" s="7" t="s">
        <v>57</v>
      </c>
      <c r="I102" s="6"/>
    </row>
    <row r="103" spans="1:9" ht="21" customHeight="1" x14ac:dyDescent="0.25">
      <c r="A103" s="12" t="str">
        <f t="shared" ref="A103:A113" si="21">A102</f>
        <v>ВРУ1-3</v>
      </c>
      <c r="B103" s="9" t="s">
        <v>10</v>
      </c>
      <c r="C103" s="9"/>
      <c r="D103" s="10" t="s">
        <v>171</v>
      </c>
      <c r="E103" s="9" t="s">
        <v>172</v>
      </c>
      <c r="F103" s="13" t="s">
        <v>11</v>
      </c>
      <c r="G103" s="9" t="s">
        <v>12</v>
      </c>
      <c r="H103" s="12" t="str">
        <f t="shared" ref="H103:H105" si="22">H102</f>
        <v>Блок3</v>
      </c>
      <c r="I103" s="11">
        <v>93900</v>
      </c>
    </row>
    <row r="104" spans="1:9" ht="21" customHeight="1" x14ac:dyDescent="0.25">
      <c r="A104" s="12" t="str">
        <f t="shared" si="21"/>
        <v>ВРУ1-3</v>
      </c>
      <c r="B104" s="9" t="s">
        <v>22</v>
      </c>
      <c r="C104" s="9"/>
      <c r="D104" s="10"/>
      <c r="E104" s="9" t="s">
        <v>23</v>
      </c>
      <c r="F104" s="13" t="s">
        <v>11</v>
      </c>
      <c r="G104" s="9" t="s">
        <v>24</v>
      </c>
      <c r="H104" s="12" t="str">
        <f t="shared" si="22"/>
        <v>Блок3</v>
      </c>
      <c r="I104" s="11">
        <v>28206</v>
      </c>
    </row>
    <row r="105" spans="1:9" ht="21" customHeight="1" x14ac:dyDescent="0.25">
      <c r="A105" s="12" t="str">
        <f t="shared" si="21"/>
        <v>ВРУ1-3</v>
      </c>
      <c r="B105" s="9" t="s">
        <v>25</v>
      </c>
      <c r="C105" s="9"/>
      <c r="D105" s="10" t="s">
        <v>176</v>
      </c>
      <c r="E105" s="9" t="s">
        <v>177</v>
      </c>
      <c r="F105" s="13" t="s">
        <v>11</v>
      </c>
      <c r="G105" s="9" t="s">
        <v>24</v>
      </c>
      <c r="H105" s="12" t="str">
        <f t="shared" si="22"/>
        <v>Блок3</v>
      </c>
      <c r="I105" s="11">
        <v>28050.000000000004</v>
      </c>
    </row>
    <row r="106" spans="1:9" ht="21" customHeight="1" x14ac:dyDescent="0.25">
      <c r="A106" s="12" t="str">
        <f t="shared" si="21"/>
        <v>ВРУ1-3</v>
      </c>
      <c r="B106" s="9" t="s">
        <v>126</v>
      </c>
      <c r="C106" s="9"/>
      <c r="D106" s="10" t="s">
        <v>129</v>
      </c>
      <c r="E106" s="9" t="s">
        <v>130</v>
      </c>
      <c r="F106" s="13" t="s">
        <v>11</v>
      </c>
      <c r="G106" s="9" t="s">
        <v>13</v>
      </c>
      <c r="H106" s="12" t="str">
        <f>H104</f>
        <v>Блок3</v>
      </c>
      <c r="I106" s="11">
        <v>5225</v>
      </c>
    </row>
    <row r="107" spans="1:9" ht="21" customHeight="1" x14ac:dyDescent="0.25">
      <c r="A107" s="12" t="str">
        <f t="shared" si="21"/>
        <v>ВРУ1-3</v>
      </c>
      <c r="B107" s="9" t="s">
        <v>125</v>
      </c>
      <c r="C107" s="9"/>
      <c r="D107" s="10" t="s">
        <v>127</v>
      </c>
      <c r="E107" s="9" t="s">
        <v>128</v>
      </c>
      <c r="F107" s="13" t="s">
        <v>11</v>
      </c>
      <c r="G107" s="9" t="s">
        <v>13</v>
      </c>
      <c r="H107" s="12" t="str">
        <f>H105</f>
        <v>Блок3</v>
      </c>
      <c r="I107" s="11">
        <v>3648.7000000000003</v>
      </c>
    </row>
    <row r="108" spans="1:9" ht="21" customHeight="1" x14ac:dyDescent="0.25">
      <c r="A108" s="12" t="str">
        <f t="shared" si="21"/>
        <v>ВРУ1-3</v>
      </c>
      <c r="B108" s="9" t="s">
        <v>16</v>
      </c>
      <c r="C108" s="9"/>
      <c r="D108" s="10">
        <v>296708</v>
      </c>
      <c r="E108" s="9" t="s">
        <v>28</v>
      </c>
      <c r="F108" s="13" t="s">
        <v>11</v>
      </c>
      <c r="G108" s="9" t="s">
        <v>27</v>
      </c>
      <c r="H108" s="12" t="str">
        <f t="shared" ref="H108:H113" si="23">H106</f>
        <v>Блок3</v>
      </c>
      <c r="I108" s="11">
        <v>910.80000000000007</v>
      </c>
    </row>
    <row r="109" spans="1:9" ht="21" customHeight="1" x14ac:dyDescent="0.25">
      <c r="A109" s="12" t="str">
        <f t="shared" si="21"/>
        <v>ВРУ1-3</v>
      </c>
      <c r="B109" s="9" t="s">
        <v>14</v>
      </c>
      <c r="C109" s="9"/>
      <c r="D109" s="10" t="s">
        <v>178</v>
      </c>
      <c r="E109" s="9" t="s">
        <v>179</v>
      </c>
      <c r="F109" s="13" t="s">
        <v>11</v>
      </c>
      <c r="G109" s="9" t="s">
        <v>15</v>
      </c>
      <c r="H109" s="12" t="str">
        <f t="shared" si="23"/>
        <v>Блок3</v>
      </c>
      <c r="I109" s="11">
        <v>78200</v>
      </c>
    </row>
    <row r="110" spans="1:9" ht="21" customHeight="1" x14ac:dyDescent="0.25">
      <c r="A110" s="12" t="str">
        <f t="shared" si="21"/>
        <v>ВРУ1-3</v>
      </c>
      <c r="B110" s="9" t="s">
        <v>29</v>
      </c>
      <c r="C110" s="9"/>
      <c r="D110" s="10"/>
      <c r="E110" s="9" t="s">
        <v>30</v>
      </c>
      <c r="F110" s="13" t="s">
        <v>11</v>
      </c>
      <c r="G110" s="9" t="s">
        <v>24</v>
      </c>
      <c r="H110" s="12" t="str">
        <f t="shared" si="23"/>
        <v>Блок3</v>
      </c>
      <c r="I110" s="11">
        <v>14850</v>
      </c>
    </row>
    <row r="111" spans="1:9" ht="24" customHeight="1" x14ac:dyDescent="0.25">
      <c r="A111" s="9" t="str">
        <f t="shared" si="21"/>
        <v>ВРУ1-3</v>
      </c>
      <c r="B111" s="9" t="s">
        <v>18</v>
      </c>
      <c r="C111" s="9"/>
      <c r="D111" s="10" t="s">
        <v>18</v>
      </c>
      <c r="E111" s="9" t="s">
        <v>18</v>
      </c>
      <c r="F111" s="9" t="s">
        <v>11</v>
      </c>
      <c r="G111" s="9" t="s">
        <v>18</v>
      </c>
      <c r="H111" s="12" t="str">
        <f t="shared" si="23"/>
        <v>Блок3</v>
      </c>
      <c r="I111" s="11">
        <v>26400.000000000004</v>
      </c>
    </row>
    <row r="112" spans="1:9" ht="21" customHeight="1" x14ac:dyDescent="0.25">
      <c r="A112" s="9" t="str">
        <f t="shared" si="21"/>
        <v>ВРУ1-3</v>
      </c>
      <c r="B112" s="9" t="s">
        <v>19</v>
      </c>
      <c r="C112" s="9"/>
      <c r="D112" s="10" t="s">
        <v>19</v>
      </c>
      <c r="E112" s="9" t="s">
        <v>19</v>
      </c>
      <c r="F112" s="9" t="s">
        <v>11</v>
      </c>
      <c r="G112" s="9" t="s">
        <v>19</v>
      </c>
      <c r="H112" s="12" t="str">
        <f t="shared" si="23"/>
        <v>Блок3</v>
      </c>
      <c r="I112" s="11">
        <v>48000</v>
      </c>
    </row>
    <row r="113" spans="1:9" ht="30" customHeight="1" x14ac:dyDescent="0.25">
      <c r="A113" s="14" t="str">
        <f t="shared" si="21"/>
        <v>ВРУ1-3</v>
      </c>
      <c r="B113" s="14"/>
      <c r="C113" s="14"/>
      <c r="D113" s="14"/>
      <c r="E113" s="15"/>
      <c r="F113" s="17"/>
      <c r="G113" s="14"/>
      <c r="H113" s="12" t="str">
        <f t="shared" si="23"/>
        <v>Блок3</v>
      </c>
      <c r="I113" s="16">
        <v>327390.5</v>
      </c>
    </row>
    <row r="114" spans="1:9" ht="39.75" customHeight="1" x14ac:dyDescent="0.25">
      <c r="A114" s="7" t="str">
        <f>E114</f>
        <v>РУ-1-3(Блок3)</v>
      </c>
      <c r="B114" s="4"/>
      <c r="C114" s="4"/>
      <c r="D114" s="5"/>
      <c r="E114" s="4" t="s">
        <v>58</v>
      </c>
      <c r="F114" s="8" t="s">
        <v>8</v>
      </c>
      <c r="G114" s="4" t="s">
        <v>9</v>
      </c>
      <c r="H114" s="7" t="s">
        <v>57</v>
      </c>
      <c r="I114" s="6"/>
    </row>
    <row r="115" spans="1:9" ht="21" customHeight="1" x14ac:dyDescent="0.25">
      <c r="A115" s="12" t="str">
        <f t="shared" ref="A115:A121" si="24">A114</f>
        <v>РУ-1-3(Блок3)</v>
      </c>
      <c r="B115" s="9" t="s">
        <v>10</v>
      </c>
      <c r="C115" s="9"/>
      <c r="D115" s="10" t="s">
        <v>169</v>
      </c>
      <c r="E115" s="9" t="s">
        <v>170</v>
      </c>
      <c r="F115" s="13" t="s">
        <v>11</v>
      </c>
      <c r="G115" s="9" t="s">
        <v>12</v>
      </c>
      <c r="H115" s="12" t="str">
        <f t="shared" ref="H115:H121" si="25">H114</f>
        <v>Блок3</v>
      </c>
      <c r="I115" s="11">
        <v>87000</v>
      </c>
    </row>
    <row r="116" spans="1:9" ht="21" customHeight="1" x14ac:dyDescent="0.25">
      <c r="A116" s="12" t="str">
        <f t="shared" si="24"/>
        <v>РУ-1-3(Блок3)</v>
      </c>
      <c r="B116" s="9" t="s">
        <v>26</v>
      </c>
      <c r="C116" s="9"/>
      <c r="D116" s="10">
        <v>126583</v>
      </c>
      <c r="E116" s="9" t="s">
        <v>32</v>
      </c>
      <c r="F116" s="13" t="s">
        <v>11</v>
      </c>
      <c r="G116" s="9" t="s">
        <v>27</v>
      </c>
      <c r="H116" s="12" t="str">
        <f t="shared" si="25"/>
        <v>Блок3</v>
      </c>
      <c r="I116" s="11">
        <v>31531.500000000004</v>
      </c>
    </row>
    <row r="117" spans="1:9" ht="21" customHeight="1" x14ac:dyDescent="0.25">
      <c r="A117" s="12" t="str">
        <f t="shared" si="24"/>
        <v>РУ-1-3(Блок3)</v>
      </c>
      <c r="B117" s="9" t="s">
        <v>26</v>
      </c>
      <c r="C117" s="9"/>
      <c r="D117" s="10">
        <v>126584</v>
      </c>
      <c r="E117" s="9" t="s">
        <v>33</v>
      </c>
      <c r="F117" s="13" t="s">
        <v>11</v>
      </c>
      <c r="G117" s="9" t="s">
        <v>27</v>
      </c>
      <c r="H117" s="12" t="str">
        <f t="shared" si="25"/>
        <v>Блок3</v>
      </c>
      <c r="I117" s="11">
        <v>15815.800000000001</v>
      </c>
    </row>
    <row r="118" spans="1:9" ht="21" customHeight="1" x14ac:dyDescent="0.25">
      <c r="A118" s="12" t="str">
        <f t="shared" si="24"/>
        <v>РУ-1-3(Блок3)</v>
      </c>
      <c r="B118" s="9" t="s">
        <v>26</v>
      </c>
      <c r="C118" s="9"/>
      <c r="D118" s="10">
        <v>126507</v>
      </c>
      <c r="E118" s="9" t="s">
        <v>34</v>
      </c>
      <c r="F118" s="13" t="s">
        <v>11</v>
      </c>
      <c r="G118" s="9" t="s">
        <v>27</v>
      </c>
      <c r="H118" s="12" t="str">
        <f t="shared" si="25"/>
        <v>Блок3</v>
      </c>
      <c r="I118" s="11">
        <v>18818.800000000003</v>
      </c>
    </row>
    <row r="119" spans="1:9" ht="24" customHeight="1" x14ac:dyDescent="0.25">
      <c r="A119" s="9" t="str">
        <f t="shared" si="24"/>
        <v>РУ-1-3(Блок3)</v>
      </c>
      <c r="B119" s="9" t="s">
        <v>18</v>
      </c>
      <c r="C119" s="9"/>
      <c r="D119" s="10" t="s">
        <v>18</v>
      </c>
      <c r="E119" s="9" t="s">
        <v>18</v>
      </c>
      <c r="F119" s="9" t="s">
        <v>11</v>
      </c>
      <c r="G119" s="9" t="s">
        <v>18</v>
      </c>
      <c r="H119" s="12" t="str">
        <f t="shared" si="25"/>
        <v>Блок3</v>
      </c>
      <c r="I119" s="11">
        <v>14850.000000000002</v>
      </c>
    </row>
    <row r="120" spans="1:9" ht="21" customHeight="1" x14ac:dyDescent="0.25">
      <c r="A120" s="9" t="str">
        <f t="shared" si="24"/>
        <v>РУ-1-3(Блок3)</v>
      </c>
      <c r="B120" s="9" t="s">
        <v>19</v>
      </c>
      <c r="C120" s="9"/>
      <c r="D120" s="10" t="s">
        <v>19</v>
      </c>
      <c r="E120" s="9" t="s">
        <v>19</v>
      </c>
      <c r="F120" s="9" t="s">
        <v>11</v>
      </c>
      <c r="G120" s="9" t="s">
        <v>19</v>
      </c>
      <c r="H120" s="12" t="str">
        <f t="shared" si="25"/>
        <v>Блок3</v>
      </c>
      <c r="I120" s="11">
        <v>27000</v>
      </c>
    </row>
    <row r="121" spans="1:9" ht="30" customHeight="1" x14ac:dyDescent="0.25">
      <c r="A121" s="14" t="str">
        <f t="shared" si="24"/>
        <v>РУ-1-3(Блок3)</v>
      </c>
      <c r="B121" s="14"/>
      <c r="C121" s="14"/>
      <c r="D121" s="14"/>
      <c r="E121" s="15"/>
      <c r="F121" s="17"/>
      <c r="G121" s="14"/>
      <c r="H121" s="12" t="str">
        <f t="shared" si="25"/>
        <v>Блок3</v>
      </c>
      <c r="I121" s="16">
        <v>195016.09999999998</v>
      </c>
    </row>
    <row r="122" spans="1:9" ht="39.75" customHeight="1" x14ac:dyDescent="0.25">
      <c r="A122" s="7" t="str">
        <f>E122</f>
        <v>РУ-2-3</v>
      </c>
      <c r="B122" s="4"/>
      <c r="C122" s="4"/>
      <c r="D122" s="5"/>
      <c r="E122" s="4" t="s">
        <v>59</v>
      </c>
      <c r="F122" s="8" t="s">
        <v>8</v>
      </c>
      <c r="G122" s="4" t="s">
        <v>9</v>
      </c>
      <c r="H122" s="7" t="s">
        <v>57</v>
      </c>
      <c r="I122" s="6"/>
    </row>
    <row r="123" spans="1:9" ht="21" customHeight="1" x14ac:dyDescent="0.25">
      <c r="A123" s="12" t="str">
        <f t="shared" ref="A123:A129" si="26">A122</f>
        <v>РУ-2-3</v>
      </c>
      <c r="B123" s="9" t="s">
        <v>10</v>
      </c>
      <c r="C123" s="9"/>
      <c r="D123" s="10" t="s">
        <v>169</v>
      </c>
      <c r="E123" s="9" t="s">
        <v>170</v>
      </c>
      <c r="F123" s="13" t="s">
        <v>11</v>
      </c>
      <c r="G123" s="9" t="s">
        <v>12</v>
      </c>
      <c r="H123" s="12" t="str">
        <f>H122</f>
        <v>Блок3</v>
      </c>
      <c r="I123" s="11">
        <v>87000</v>
      </c>
    </row>
    <row r="124" spans="1:9" ht="21" customHeight="1" x14ac:dyDescent="0.25">
      <c r="A124" s="12" t="str">
        <f t="shared" si="26"/>
        <v>РУ-2-3</v>
      </c>
      <c r="B124" s="9" t="s">
        <v>26</v>
      </c>
      <c r="C124" s="9"/>
      <c r="D124" s="10">
        <v>126584</v>
      </c>
      <c r="E124" s="9" t="s">
        <v>33</v>
      </c>
      <c r="F124" s="13" t="s">
        <v>11</v>
      </c>
      <c r="G124" s="9" t="s">
        <v>27</v>
      </c>
      <c r="H124" s="12" t="str">
        <f>H123</f>
        <v>Блок3</v>
      </c>
      <c r="I124" s="11">
        <v>15815.800000000001</v>
      </c>
    </row>
    <row r="125" spans="1:9" ht="21" customHeight="1" x14ac:dyDescent="0.25">
      <c r="A125" s="12" t="str">
        <f t="shared" si="26"/>
        <v>РУ-2-3</v>
      </c>
      <c r="B125" s="9" t="s">
        <v>26</v>
      </c>
      <c r="C125" s="9"/>
      <c r="D125" s="10" t="s">
        <v>60</v>
      </c>
      <c r="E125" s="9" t="s">
        <v>36</v>
      </c>
      <c r="F125" s="13" t="s">
        <v>11</v>
      </c>
      <c r="G125" s="9" t="s">
        <v>27</v>
      </c>
      <c r="H125" s="12" t="s">
        <v>57</v>
      </c>
      <c r="I125" s="11">
        <v>27327.300000000003</v>
      </c>
    </row>
    <row r="126" spans="1:9" ht="21" customHeight="1" x14ac:dyDescent="0.25">
      <c r="A126" s="12" t="str">
        <f t="shared" si="26"/>
        <v>РУ-2-3</v>
      </c>
      <c r="B126" s="9" t="s">
        <v>26</v>
      </c>
      <c r="C126" s="9"/>
      <c r="D126" s="10" t="s">
        <v>61</v>
      </c>
      <c r="E126" s="9" t="s">
        <v>37</v>
      </c>
      <c r="F126" s="13" t="s">
        <v>11</v>
      </c>
      <c r="G126" s="9" t="s">
        <v>27</v>
      </c>
      <c r="H126" s="12" t="s">
        <v>57</v>
      </c>
      <c r="I126" s="11">
        <v>9109.1</v>
      </c>
    </row>
    <row r="127" spans="1:9" ht="24" customHeight="1" x14ac:dyDescent="0.25">
      <c r="A127" s="9" t="str">
        <f t="shared" si="26"/>
        <v>РУ-2-3</v>
      </c>
      <c r="B127" s="9" t="s">
        <v>18</v>
      </c>
      <c r="C127" s="9"/>
      <c r="D127" s="10" t="s">
        <v>18</v>
      </c>
      <c r="E127" s="9" t="s">
        <v>18</v>
      </c>
      <c r="F127" s="9" t="s">
        <v>11</v>
      </c>
      <c r="G127" s="9" t="s">
        <v>18</v>
      </c>
      <c r="H127" s="12" t="e">
        <f>#REF!</f>
        <v>#REF!</v>
      </c>
      <c r="I127" s="11">
        <v>14850.000000000002</v>
      </c>
    </row>
    <row r="128" spans="1:9" ht="21" customHeight="1" x14ac:dyDescent="0.25">
      <c r="A128" s="9" t="str">
        <f t="shared" si="26"/>
        <v>РУ-2-3</v>
      </c>
      <c r="B128" s="9" t="s">
        <v>19</v>
      </c>
      <c r="C128" s="9"/>
      <c r="D128" s="10" t="s">
        <v>19</v>
      </c>
      <c r="E128" s="9" t="s">
        <v>19</v>
      </c>
      <c r="F128" s="9" t="s">
        <v>11</v>
      </c>
      <c r="G128" s="9" t="s">
        <v>19</v>
      </c>
      <c r="H128" s="12" t="e">
        <f>H127</f>
        <v>#REF!</v>
      </c>
      <c r="I128" s="11">
        <v>27000</v>
      </c>
    </row>
    <row r="129" spans="1:9" ht="30" customHeight="1" x14ac:dyDescent="0.25">
      <c r="A129" s="14" t="str">
        <f t="shared" si="26"/>
        <v>РУ-2-3</v>
      </c>
      <c r="B129" s="14"/>
      <c r="C129" s="14"/>
      <c r="D129" s="14"/>
      <c r="E129" s="15"/>
      <c r="F129" s="17"/>
      <c r="G129" s="14"/>
      <c r="H129" s="12" t="e">
        <f>H128</f>
        <v>#REF!</v>
      </c>
      <c r="I129" s="16">
        <v>181102.2</v>
      </c>
    </row>
    <row r="130" spans="1:9" ht="39.75" customHeight="1" x14ac:dyDescent="0.25">
      <c r="A130" s="7" t="str">
        <f>E130</f>
        <v>ЩУР.МОП1-3</v>
      </c>
      <c r="B130" s="4"/>
      <c r="C130" s="4"/>
      <c r="D130" s="5"/>
      <c r="E130" s="4" t="s">
        <v>62</v>
      </c>
      <c r="F130" s="8" t="s">
        <v>8</v>
      </c>
      <c r="G130" s="4" t="s">
        <v>9</v>
      </c>
      <c r="H130" s="7" t="s">
        <v>57</v>
      </c>
      <c r="I130" s="6"/>
    </row>
    <row r="131" spans="1:9" ht="21" customHeight="1" x14ac:dyDescent="0.25">
      <c r="A131" s="12" t="str">
        <f t="shared" ref="A131:A138" si="27">A130</f>
        <v>ЩУР.МОП1-3</v>
      </c>
      <c r="B131" s="9" t="s">
        <v>10</v>
      </c>
      <c r="C131" s="9"/>
      <c r="D131" s="10" t="s">
        <v>39</v>
      </c>
      <c r="E131" s="9" t="s">
        <v>40</v>
      </c>
      <c r="F131" s="13" t="s">
        <v>11</v>
      </c>
      <c r="G131" s="9" t="s">
        <v>12</v>
      </c>
      <c r="H131" s="12" t="str">
        <f t="shared" ref="H131:H138" si="28">H130</f>
        <v>Блок3</v>
      </c>
      <c r="I131" s="11">
        <v>10800</v>
      </c>
    </row>
    <row r="132" spans="1:9" ht="21" customHeight="1" x14ac:dyDescent="0.25">
      <c r="A132" s="12" t="str">
        <f t="shared" si="27"/>
        <v>ЩУР.МОП1-3</v>
      </c>
      <c r="B132" s="9" t="s">
        <v>16</v>
      </c>
      <c r="C132" s="9"/>
      <c r="D132" s="10">
        <v>296830</v>
      </c>
      <c r="E132" s="9" t="s">
        <v>148</v>
      </c>
      <c r="F132" s="13" t="s">
        <v>11</v>
      </c>
      <c r="G132" s="9" t="s">
        <v>27</v>
      </c>
      <c r="H132" s="12" t="str">
        <f t="shared" si="28"/>
        <v>Блок3</v>
      </c>
      <c r="I132" s="11">
        <v>854.7</v>
      </c>
    </row>
    <row r="133" spans="1:9" ht="21" customHeight="1" x14ac:dyDescent="0.25">
      <c r="A133" s="12" t="str">
        <f t="shared" si="27"/>
        <v>ЩУР.МОП1-3</v>
      </c>
      <c r="B133" s="9" t="s">
        <v>16</v>
      </c>
      <c r="C133" s="9"/>
      <c r="D133" s="10">
        <v>296828</v>
      </c>
      <c r="E133" s="9" t="s">
        <v>150</v>
      </c>
      <c r="F133" s="13" t="s">
        <v>11</v>
      </c>
      <c r="G133" s="9" t="s">
        <v>27</v>
      </c>
      <c r="H133" s="12" t="str">
        <f t="shared" si="28"/>
        <v>Блок3</v>
      </c>
      <c r="I133" s="11">
        <v>1640.1000000000001</v>
      </c>
    </row>
    <row r="134" spans="1:9" ht="21" customHeight="1" x14ac:dyDescent="0.25">
      <c r="A134" s="12" t="str">
        <f t="shared" si="27"/>
        <v>ЩУР.МОП1-3</v>
      </c>
      <c r="B134" s="9" t="s">
        <v>16</v>
      </c>
      <c r="C134" s="9"/>
      <c r="D134" s="10">
        <v>296829</v>
      </c>
      <c r="E134" s="9" t="s">
        <v>147</v>
      </c>
      <c r="F134" s="13" t="s">
        <v>11</v>
      </c>
      <c r="G134" s="9" t="s">
        <v>27</v>
      </c>
      <c r="H134" s="12" t="str">
        <f t="shared" si="28"/>
        <v>Блок3</v>
      </c>
      <c r="I134" s="11">
        <v>2322.1000000000004</v>
      </c>
    </row>
    <row r="135" spans="1:9" ht="21" customHeight="1" x14ac:dyDescent="0.25">
      <c r="A135" s="12" t="str">
        <f t="shared" si="27"/>
        <v>ЩУР.МОП1-3</v>
      </c>
      <c r="B135" s="9" t="s">
        <v>14</v>
      </c>
      <c r="C135" s="9"/>
      <c r="D135" s="10" t="s">
        <v>178</v>
      </c>
      <c r="E135" s="9" t="s">
        <v>179</v>
      </c>
      <c r="F135" s="13" t="s">
        <v>11</v>
      </c>
      <c r="G135" s="9" t="s">
        <v>15</v>
      </c>
      <c r="H135" s="12" t="str">
        <f t="shared" si="28"/>
        <v>Блок3</v>
      </c>
      <c r="I135" s="11">
        <v>39100</v>
      </c>
    </row>
    <row r="136" spans="1:9" ht="24" customHeight="1" x14ac:dyDescent="0.25">
      <c r="A136" s="9" t="str">
        <f t="shared" si="27"/>
        <v>ЩУР.МОП1-3</v>
      </c>
      <c r="B136" s="9" t="s">
        <v>18</v>
      </c>
      <c r="C136" s="9"/>
      <c r="D136" s="10" t="s">
        <v>18</v>
      </c>
      <c r="E136" s="9" t="s">
        <v>18</v>
      </c>
      <c r="F136" s="9" t="s">
        <v>11</v>
      </c>
      <c r="G136" s="9" t="s">
        <v>18</v>
      </c>
      <c r="H136" s="12" t="str">
        <f t="shared" si="28"/>
        <v>Блок3</v>
      </c>
      <c r="I136" s="11">
        <v>6600.0000000000009</v>
      </c>
    </row>
    <row r="137" spans="1:9" ht="21" customHeight="1" x14ac:dyDescent="0.25">
      <c r="A137" s="9" t="str">
        <f t="shared" si="27"/>
        <v>ЩУР.МОП1-3</v>
      </c>
      <c r="B137" s="9" t="s">
        <v>19</v>
      </c>
      <c r="C137" s="9"/>
      <c r="D137" s="10" t="s">
        <v>19</v>
      </c>
      <c r="E137" s="9" t="s">
        <v>19</v>
      </c>
      <c r="F137" s="9" t="s">
        <v>11</v>
      </c>
      <c r="G137" s="9" t="s">
        <v>19</v>
      </c>
      <c r="H137" s="12" t="str">
        <f t="shared" si="28"/>
        <v>Блок3</v>
      </c>
      <c r="I137" s="11">
        <v>12000</v>
      </c>
    </row>
    <row r="138" spans="1:9" ht="30" customHeight="1" x14ac:dyDescent="0.25">
      <c r="A138" s="14" t="str">
        <f t="shared" si="27"/>
        <v>ЩУР.МОП1-3</v>
      </c>
      <c r="B138" s="14"/>
      <c r="C138" s="14"/>
      <c r="D138" s="14"/>
      <c r="E138" s="15"/>
      <c r="F138" s="17"/>
      <c r="G138" s="14"/>
      <c r="H138" s="12" t="str">
        <f t="shared" si="28"/>
        <v>Блок3</v>
      </c>
      <c r="I138" s="16">
        <v>73316.899999999994</v>
      </c>
    </row>
    <row r="139" spans="1:9" ht="39.75" customHeight="1" x14ac:dyDescent="0.25">
      <c r="A139" s="7" t="str">
        <f>E139</f>
        <v>ЩУР.МОП2-3</v>
      </c>
      <c r="B139" s="4"/>
      <c r="C139" s="4"/>
      <c r="D139" s="5"/>
      <c r="E139" s="4" t="s">
        <v>63</v>
      </c>
      <c r="F139" s="8" t="s">
        <v>8</v>
      </c>
      <c r="G139" s="4" t="s">
        <v>9</v>
      </c>
      <c r="H139" s="7" t="s">
        <v>57</v>
      </c>
      <c r="I139" s="6"/>
    </row>
    <row r="140" spans="1:9" ht="21" customHeight="1" x14ac:dyDescent="0.25">
      <c r="A140" s="12" t="str">
        <f t="shared" ref="A140:A147" si="29">A139</f>
        <v>ЩУР.МОП2-3</v>
      </c>
      <c r="B140" s="9" t="s">
        <v>10</v>
      </c>
      <c r="C140" s="9"/>
      <c r="D140" s="10" t="s">
        <v>39</v>
      </c>
      <c r="E140" s="9" t="s">
        <v>40</v>
      </c>
      <c r="F140" s="13" t="s">
        <v>11</v>
      </c>
      <c r="G140" s="9" t="s">
        <v>12</v>
      </c>
      <c r="H140" s="12" t="str">
        <f t="shared" ref="H140:H147" si="30">H139</f>
        <v>Блок3</v>
      </c>
      <c r="I140" s="11">
        <v>10800</v>
      </c>
    </row>
    <row r="141" spans="1:9" ht="21" customHeight="1" x14ac:dyDescent="0.25">
      <c r="A141" s="12" t="str">
        <f t="shared" si="29"/>
        <v>ЩУР.МОП2-3</v>
      </c>
      <c r="B141" s="9" t="s">
        <v>16</v>
      </c>
      <c r="C141" s="9"/>
      <c r="D141" s="10">
        <v>296830</v>
      </c>
      <c r="E141" s="9" t="s">
        <v>148</v>
      </c>
      <c r="F141" s="13" t="s">
        <v>11</v>
      </c>
      <c r="G141" s="9" t="s">
        <v>27</v>
      </c>
      <c r="H141" s="12" t="str">
        <f t="shared" si="30"/>
        <v>Блок3</v>
      </c>
      <c r="I141" s="11">
        <v>854.7</v>
      </c>
    </row>
    <row r="142" spans="1:9" ht="21" customHeight="1" x14ac:dyDescent="0.25">
      <c r="A142" s="12" t="str">
        <f t="shared" si="29"/>
        <v>ЩУР.МОП2-3</v>
      </c>
      <c r="B142" s="9" t="s">
        <v>16</v>
      </c>
      <c r="C142" s="9"/>
      <c r="D142" s="10">
        <v>296828</v>
      </c>
      <c r="E142" s="9" t="s">
        <v>150</v>
      </c>
      <c r="F142" s="13" t="s">
        <v>11</v>
      </c>
      <c r="G142" s="9" t="s">
        <v>27</v>
      </c>
      <c r="H142" s="12" t="str">
        <f t="shared" si="30"/>
        <v>Блок3</v>
      </c>
      <c r="I142" s="11">
        <v>1640.1000000000001</v>
      </c>
    </row>
    <row r="143" spans="1:9" ht="21" customHeight="1" x14ac:dyDescent="0.25">
      <c r="A143" s="12" t="str">
        <f t="shared" si="29"/>
        <v>ЩУР.МОП2-3</v>
      </c>
      <c r="B143" s="9" t="s">
        <v>16</v>
      </c>
      <c r="C143" s="9"/>
      <c r="D143" s="10">
        <v>296829</v>
      </c>
      <c r="E143" s="9" t="s">
        <v>147</v>
      </c>
      <c r="F143" s="13" t="s">
        <v>11</v>
      </c>
      <c r="G143" s="9" t="s">
        <v>27</v>
      </c>
      <c r="H143" s="12" t="str">
        <f t="shared" si="30"/>
        <v>Блок3</v>
      </c>
      <c r="I143" s="11">
        <v>2322.1000000000004</v>
      </c>
    </row>
    <row r="144" spans="1:9" ht="21" customHeight="1" x14ac:dyDescent="0.25">
      <c r="A144" s="12" t="str">
        <f t="shared" si="29"/>
        <v>ЩУР.МОП2-3</v>
      </c>
      <c r="B144" s="9" t="s">
        <v>14</v>
      </c>
      <c r="C144" s="9"/>
      <c r="D144" s="10" t="s">
        <v>178</v>
      </c>
      <c r="E144" s="9" t="s">
        <v>179</v>
      </c>
      <c r="F144" s="13" t="s">
        <v>11</v>
      </c>
      <c r="G144" s="9" t="s">
        <v>15</v>
      </c>
      <c r="H144" s="12" t="str">
        <f t="shared" si="30"/>
        <v>Блок3</v>
      </c>
      <c r="I144" s="11">
        <v>39100</v>
      </c>
    </row>
    <row r="145" spans="1:9" ht="24" customHeight="1" x14ac:dyDescent="0.25">
      <c r="A145" s="9" t="str">
        <f t="shared" si="29"/>
        <v>ЩУР.МОП2-3</v>
      </c>
      <c r="B145" s="9" t="s">
        <v>18</v>
      </c>
      <c r="C145" s="9"/>
      <c r="D145" s="10" t="s">
        <v>18</v>
      </c>
      <c r="E145" s="9" t="s">
        <v>18</v>
      </c>
      <c r="F145" s="9" t="s">
        <v>11</v>
      </c>
      <c r="G145" s="9" t="s">
        <v>18</v>
      </c>
      <c r="H145" s="12" t="str">
        <f t="shared" si="30"/>
        <v>Блок3</v>
      </c>
      <c r="I145" s="11">
        <v>6600.0000000000009</v>
      </c>
    </row>
    <row r="146" spans="1:9" ht="21" customHeight="1" x14ac:dyDescent="0.25">
      <c r="A146" s="9" t="str">
        <f t="shared" si="29"/>
        <v>ЩУР.МОП2-3</v>
      </c>
      <c r="B146" s="9" t="s">
        <v>19</v>
      </c>
      <c r="C146" s="9"/>
      <c r="D146" s="10" t="s">
        <v>19</v>
      </c>
      <c r="E146" s="9" t="s">
        <v>19</v>
      </c>
      <c r="F146" s="9" t="s">
        <v>11</v>
      </c>
      <c r="G146" s="9" t="s">
        <v>19</v>
      </c>
      <c r="H146" s="12" t="str">
        <f t="shared" si="30"/>
        <v>Блок3</v>
      </c>
      <c r="I146" s="11">
        <v>12000</v>
      </c>
    </row>
    <row r="147" spans="1:9" ht="30" customHeight="1" x14ac:dyDescent="0.25">
      <c r="A147" s="14" t="str">
        <f t="shared" si="29"/>
        <v>ЩУР.МОП2-3</v>
      </c>
      <c r="B147" s="14"/>
      <c r="C147" s="14"/>
      <c r="D147" s="14"/>
      <c r="E147" s="15"/>
      <c r="F147" s="17"/>
      <c r="G147" s="14"/>
      <c r="H147" s="12" t="str">
        <f t="shared" si="30"/>
        <v>Блок3</v>
      </c>
      <c r="I147" s="16">
        <v>73316.899999999994</v>
      </c>
    </row>
    <row r="148" spans="1:9" ht="39.75" customHeight="1" x14ac:dyDescent="0.25">
      <c r="A148" s="7" t="str">
        <f>E148</f>
        <v>РЩ1-3 (АВР-Б-40-2-1)</v>
      </c>
      <c r="B148" s="4"/>
      <c r="C148" s="4"/>
      <c r="D148" s="5"/>
      <c r="E148" s="4" t="s">
        <v>133</v>
      </c>
      <c r="F148" s="8" t="s">
        <v>8</v>
      </c>
      <c r="G148" s="4" t="s">
        <v>9</v>
      </c>
      <c r="H148" s="7" t="s">
        <v>57</v>
      </c>
      <c r="I148" s="6"/>
    </row>
    <row r="149" spans="1:9" ht="21" customHeight="1" x14ac:dyDescent="0.25">
      <c r="A149" s="12" t="str">
        <f t="shared" ref="A149:A160" si="31">A148</f>
        <v>РЩ1-3 (АВР-Б-40-2-1)</v>
      </c>
      <c r="B149" s="9" t="s">
        <v>10</v>
      </c>
      <c r="C149" s="9"/>
      <c r="D149" s="10" t="s">
        <v>167</v>
      </c>
      <c r="E149" s="9" t="s">
        <v>168</v>
      </c>
      <c r="F149" s="13" t="s">
        <v>11</v>
      </c>
      <c r="G149" s="9" t="s">
        <v>12</v>
      </c>
      <c r="H149" s="12" t="str">
        <f t="shared" ref="H149:H160" si="32">H148</f>
        <v>Блок3</v>
      </c>
      <c r="I149" s="11">
        <v>78000</v>
      </c>
    </row>
    <row r="150" spans="1:9" ht="21" customHeight="1" x14ac:dyDescent="0.25">
      <c r="A150" s="12" t="str">
        <f t="shared" si="31"/>
        <v>РЩ1-3 (АВР-Б-40-2-1)</v>
      </c>
      <c r="B150" s="9" t="s">
        <v>43</v>
      </c>
      <c r="C150" s="9"/>
      <c r="D150" s="10" t="s">
        <v>161</v>
      </c>
      <c r="E150" s="9" t="s">
        <v>162</v>
      </c>
      <c r="F150" s="13" t="s">
        <v>11</v>
      </c>
      <c r="G150" s="9" t="s">
        <v>13</v>
      </c>
      <c r="H150" s="12" t="str">
        <f t="shared" si="32"/>
        <v>Блок3</v>
      </c>
      <c r="I150" s="11">
        <v>63116.900000000009</v>
      </c>
    </row>
    <row r="151" spans="1:9" ht="21" customHeight="1" x14ac:dyDescent="0.25">
      <c r="A151" s="12" t="str">
        <f t="shared" si="31"/>
        <v>РЩ1-3 (АВР-Б-40-2-1)</v>
      </c>
      <c r="B151" s="9" t="s">
        <v>26</v>
      </c>
      <c r="C151" s="9"/>
      <c r="D151" s="10">
        <v>126505</v>
      </c>
      <c r="E151" s="9" t="s">
        <v>44</v>
      </c>
      <c r="F151" s="13" t="s">
        <v>11</v>
      </c>
      <c r="G151" s="9" t="s">
        <v>27</v>
      </c>
      <c r="H151" s="12" t="str">
        <f t="shared" si="32"/>
        <v>Блок3</v>
      </c>
      <c r="I151" s="11">
        <v>17314</v>
      </c>
    </row>
    <row r="152" spans="1:9" ht="21" customHeight="1" x14ac:dyDescent="0.25">
      <c r="A152" s="12" t="str">
        <f t="shared" si="31"/>
        <v>РЩ1-3 (АВР-Б-40-2-1)</v>
      </c>
      <c r="B152" s="9" t="s">
        <v>26</v>
      </c>
      <c r="C152" s="9"/>
      <c r="D152" s="10">
        <v>126677</v>
      </c>
      <c r="E152" s="9" t="s">
        <v>42</v>
      </c>
      <c r="F152" s="13" t="s">
        <v>11</v>
      </c>
      <c r="G152" s="9" t="s">
        <v>27</v>
      </c>
      <c r="H152" s="12" t="str">
        <f t="shared" si="32"/>
        <v>Блок3</v>
      </c>
      <c r="I152" s="11">
        <v>16216.2</v>
      </c>
    </row>
    <row r="153" spans="1:9" ht="21" customHeight="1" x14ac:dyDescent="0.25">
      <c r="A153" s="12" t="str">
        <f t="shared" si="31"/>
        <v>РЩ1-3 (АВР-Б-40-2-1)</v>
      </c>
      <c r="B153" s="9" t="s">
        <v>16</v>
      </c>
      <c r="C153" s="9"/>
      <c r="D153" s="10">
        <v>814174</v>
      </c>
      <c r="E153" s="9" t="s">
        <v>45</v>
      </c>
      <c r="F153" s="13" t="s">
        <v>11</v>
      </c>
      <c r="G153" s="9" t="s">
        <v>27</v>
      </c>
      <c r="H153" s="12" t="str">
        <f t="shared" si="32"/>
        <v>Блок3</v>
      </c>
      <c r="I153" s="11">
        <v>5305.3</v>
      </c>
    </row>
    <row r="154" spans="1:9" ht="21" customHeight="1" x14ac:dyDescent="0.25">
      <c r="A154" s="12" t="str">
        <f t="shared" si="31"/>
        <v>РЩ1-3 (АВР-Б-40-2-1)</v>
      </c>
      <c r="B154" s="9" t="s">
        <v>17</v>
      </c>
      <c r="C154" s="9"/>
      <c r="D154" s="10">
        <v>819975</v>
      </c>
      <c r="E154" s="9" t="s">
        <v>46</v>
      </c>
      <c r="F154" s="13" t="s">
        <v>11</v>
      </c>
      <c r="G154" s="9" t="s">
        <v>27</v>
      </c>
      <c r="H154" s="12" t="str">
        <f t="shared" si="32"/>
        <v>Блок3</v>
      </c>
      <c r="I154" s="11">
        <v>2952.9500000000003</v>
      </c>
    </row>
    <row r="155" spans="1:9" ht="21" customHeight="1" x14ac:dyDescent="0.25">
      <c r="A155" s="12" t="str">
        <f t="shared" si="31"/>
        <v>РЩ1-3 (АВР-Б-40-2-1)</v>
      </c>
      <c r="B155" s="9" t="s">
        <v>16</v>
      </c>
      <c r="C155" s="9"/>
      <c r="D155" s="10">
        <v>814167</v>
      </c>
      <c r="E155" s="9" t="s">
        <v>47</v>
      </c>
      <c r="F155" s="13" t="s">
        <v>11</v>
      </c>
      <c r="G155" s="9" t="s">
        <v>27</v>
      </c>
      <c r="H155" s="12" t="str">
        <f t="shared" si="32"/>
        <v>Блок3</v>
      </c>
      <c r="I155" s="11">
        <v>2852.8500000000004</v>
      </c>
    </row>
    <row r="156" spans="1:9" ht="21" customHeight="1" x14ac:dyDescent="0.25">
      <c r="A156" s="12" t="str">
        <f t="shared" si="31"/>
        <v>РЩ1-3 (АВР-Б-40-2-1)</v>
      </c>
      <c r="B156" s="9" t="s">
        <v>14</v>
      </c>
      <c r="C156" s="9"/>
      <c r="D156" s="10" t="s">
        <v>178</v>
      </c>
      <c r="E156" s="9" t="s">
        <v>179</v>
      </c>
      <c r="F156" s="13" t="s">
        <v>11</v>
      </c>
      <c r="G156" s="9" t="s">
        <v>15</v>
      </c>
      <c r="H156" s="12" t="str">
        <f t="shared" si="32"/>
        <v>Блок3</v>
      </c>
      <c r="I156" s="11">
        <v>39100</v>
      </c>
    </row>
    <row r="157" spans="1:9" ht="21" customHeight="1" x14ac:dyDescent="0.25">
      <c r="A157" s="12" t="str">
        <f t="shared" si="31"/>
        <v>РЩ1-3 (АВР-Б-40-2-1)</v>
      </c>
      <c r="B157" s="9" t="s">
        <v>29</v>
      </c>
      <c r="C157" s="9"/>
      <c r="D157" s="10"/>
      <c r="E157" s="9" t="s">
        <v>30</v>
      </c>
      <c r="F157" s="13" t="s">
        <v>11</v>
      </c>
      <c r="G157" s="9" t="s">
        <v>24</v>
      </c>
      <c r="H157" s="12" t="e">
        <f>#REF!</f>
        <v>#REF!</v>
      </c>
      <c r="I157" s="11">
        <v>14850</v>
      </c>
    </row>
    <row r="158" spans="1:9" ht="24" customHeight="1" x14ac:dyDescent="0.25">
      <c r="A158" s="9" t="str">
        <f t="shared" si="31"/>
        <v>РЩ1-3 (АВР-Б-40-2-1)</v>
      </c>
      <c r="B158" s="9" t="s">
        <v>18</v>
      </c>
      <c r="C158" s="9"/>
      <c r="D158" s="10" t="s">
        <v>18</v>
      </c>
      <c r="E158" s="9" t="s">
        <v>18</v>
      </c>
      <c r="F158" s="9" t="s">
        <v>11</v>
      </c>
      <c r="G158" s="9" t="s">
        <v>18</v>
      </c>
      <c r="H158" s="12" t="e">
        <f t="shared" si="32"/>
        <v>#REF!</v>
      </c>
      <c r="I158" s="11">
        <v>21450</v>
      </c>
    </row>
    <row r="159" spans="1:9" ht="21" customHeight="1" x14ac:dyDescent="0.25">
      <c r="A159" s="9" t="str">
        <f t="shared" si="31"/>
        <v>РЩ1-3 (АВР-Б-40-2-1)</v>
      </c>
      <c r="B159" s="9" t="s">
        <v>19</v>
      </c>
      <c r="C159" s="9"/>
      <c r="D159" s="10" t="s">
        <v>19</v>
      </c>
      <c r="E159" s="9" t="s">
        <v>19</v>
      </c>
      <c r="F159" s="9" t="s">
        <v>11</v>
      </c>
      <c r="G159" s="9" t="s">
        <v>19</v>
      </c>
      <c r="H159" s="12" t="e">
        <f t="shared" si="32"/>
        <v>#REF!</v>
      </c>
      <c r="I159" s="11">
        <v>39000</v>
      </c>
    </row>
    <row r="160" spans="1:9" ht="30" customHeight="1" x14ac:dyDescent="0.25">
      <c r="A160" s="14" t="str">
        <f t="shared" si="31"/>
        <v>РЩ1-3 (АВР-Б-40-2-1)</v>
      </c>
      <c r="B160" s="14"/>
      <c r="C160" s="14"/>
      <c r="D160" s="14"/>
      <c r="E160" s="15"/>
      <c r="F160" s="17"/>
      <c r="G160" s="14"/>
      <c r="H160" s="12" t="e">
        <f t="shared" si="32"/>
        <v>#REF!</v>
      </c>
      <c r="I160" s="16">
        <v>300158.20000000007</v>
      </c>
    </row>
    <row r="161" spans="1:9" ht="39.75" customHeight="1" x14ac:dyDescent="0.25">
      <c r="A161" s="7" t="str">
        <f>E161</f>
        <v>РЩ2-3 (АВР-Б-40-2-1)</v>
      </c>
      <c r="B161" s="4"/>
      <c r="C161" s="4"/>
      <c r="D161" s="5"/>
      <c r="E161" s="4" t="s">
        <v>134</v>
      </c>
      <c r="F161" s="8" t="s">
        <v>8</v>
      </c>
      <c r="G161" s="4" t="s">
        <v>9</v>
      </c>
      <c r="H161" s="7" t="s">
        <v>57</v>
      </c>
      <c r="I161" s="6"/>
    </row>
    <row r="162" spans="1:9" ht="21" customHeight="1" x14ac:dyDescent="0.25">
      <c r="A162" s="12" t="str">
        <f t="shared" ref="A162:A173" si="33">A161</f>
        <v>РЩ2-3 (АВР-Б-40-2-1)</v>
      </c>
      <c r="B162" s="9" t="s">
        <v>10</v>
      </c>
      <c r="C162" s="9"/>
      <c r="D162" s="10" t="s">
        <v>167</v>
      </c>
      <c r="E162" s="9" t="s">
        <v>168</v>
      </c>
      <c r="F162" s="13" t="s">
        <v>11</v>
      </c>
      <c r="G162" s="9" t="s">
        <v>12</v>
      </c>
      <c r="H162" s="12" t="str">
        <f t="shared" ref="H162:H173" si="34">H161</f>
        <v>Блок3</v>
      </c>
      <c r="I162" s="11">
        <v>78000</v>
      </c>
    </row>
    <row r="163" spans="1:9" ht="21" customHeight="1" x14ac:dyDescent="0.25">
      <c r="A163" s="12" t="str">
        <f t="shared" si="33"/>
        <v>РЩ2-3 (АВР-Б-40-2-1)</v>
      </c>
      <c r="B163" s="9" t="s">
        <v>43</v>
      </c>
      <c r="C163" s="9"/>
      <c r="D163" s="10" t="s">
        <v>161</v>
      </c>
      <c r="E163" s="9" t="s">
        <v>162</v>
      </c>
      <c r="F163" s="13" t="s">
        <v>11</v>
      </c>
      <c r="G163" s="9" t="s">
        <v>13</v>
      </c>
      <c r="H163" s="12" t="str">
        <f t="shared" si="34"/>
        <v>Блок3</v>
      </c>
      <c r="I163" s="11">
        <v>63116.900000000009</v>
      </c>
    </row>
    <row r="164" spans="1:9" ht="21" customHeight="1" x14ac:dyDescent="0.25">
      <c r="A164" s="12" t="str">
        <f t="shared" si="33"/>
        <v>РЩ2-3 (АВР-Б-40-2-1)</v>
      </c>
      <c r="B164" s="9" t="s">
        <v>26</v>
      </c>
      <c r="C164" s="9"/>
      <c r="D164" s="10">
        <v>126505</v>
      </c>
      <c r="E164" s="9" t="s">
        <v>44</v>
      </c>
      <c r="F164" s="13" t="s">
        <v>11</v>
      </c>
      <c r="G164" s="9" t="s">
        <v>27</v>
      </c>
      <c r="H164" s="12" t="str">
        <f t="shared" si="34"/>
        <v>Блок3</v>
      </c>
      <c r="I164" s="11">
        <v>17314</v>
      </c>
    </row>
    <row r="165" spans="1:9" ht="21" customHeight="1" x14ac:dyDescent="0.25">
      <c r="A165" s="12" t="str">
        <f t="shared" si="33"/>
        <v>РЩ2-3 (АВР-Б-40-2-1)</v>
      </c>
      <c r="B165" s="9" t="s">
        <v>26</v>
      </c>
      <c r="C165" s="9"/>
      <c r="D165" s="10">
        <v>126677</v>
      </c>
      <c r="E165" s="9" t="s">
        <v>42</v>
      </c>
      <c r="F165" s="13" t="s">
        <v>11</v>
      </c>
      <c r="G165" s="9" t="s">
        <v>27</v>
      </c>
      <c r="H165" s="12" t="str">
        <f t="shared" si="34"/>
        <v>Блок3</v>
      </c>
      <c r="I165" s="11">
        <v>16216.2</v>
      </c>
    </row>
    <row r="166" spans="1:9" ht="21" customHeight="1" x14ac:dyDescent="0.25">
      <c r="A166" s="12" t="str">
        <f t="shared" si="33"/>
        <v>РЩ2-3 (АВР-Б-40-2-1)</v>
      </c>
      <c r="B166" s="9" t="s">
        <v>16</v>
      </c>
      <c r="C166" s="9"/>
      <c r="D166" s="10">
        <v>814174</v>
      </c>
      <c r="E166" s="9" t="s">
        <v>45</v>
      </c>
      <c r="F166" s="13" t="s">
        <v>11</v>
      </c>
      <c r="G166" s="9" t="s">
        <v>27</v>
      </c>
      <c r="H166" s="12" t="str">
        <f t="shared" si="34"/>
        <v>Блок3</v>
      </c>
      <c r="I166" s="11">
        <v>5305.3</v>
      </c>
    </row>
    <row r="167" spans="1:9" ht="21" customHeight="1" x14ac:dyDescent="0.25">
      <c r="A167" s="12" t="str">
        <f t="shared" si="33"/>
        <v>РЩ2-3 (АВР-Б-40-2-1)</v>
      </c>
      <c r="B167" s="9" t="s">
        <v>17</v>
      </c>
      <c r="C167" s="9"/>
      <c r="D167" s="10">
        <v>819975</v>
      </c>
      <c r="E167" s="9" t="s">
        <v>46</v>
      </c>
      <c r="F167" s="13" t="s">
        <v>11</v>
      </c>
      <c r="G167" s="9" t="s">
        <v>27</v>
      </c>
      <c r="H167" s="12" t="str">
        <f t="shared" si="34"/>
        <v>Блок3</v>
      </c>
      <c r="I167" s="11">
        <v>2952.9500000000003</v>
      </c>
    </row>
    <row r="168" spans="1:9" ht="21" customHeight="1" x14ac:dyDescent="0.25">
      <c r="A168" s="12" t="str">
        <f t="shared" si="33"/>
        <v>РЩ2-3 (АВР-Б-40-2-1)</v>
      </c>
      <c r="B168" s="9" t="s">
        <v>16</v>
      </c>
      <c r="C168" s="9"/>
      <c r="D168" s="10">
        <v>814167</v>
      </c>
      <c r="E168" s="9" t="s">
        <v>47</v>
      </c>
      <c r="F168" s="13" t="s">
        <v>11</v>
      </c>
      <c r="G168" s="9" t="s">
        <v>27</v>
      </c>
      <c r="H168" s="12" t="str">
        <f t="shared" si="34"/>
        <v>Блок3</v>
      </c>
      <c r="I168" s="11">
        <v>2852.8500000000004</v>
      </c>
    </row>
    <row r="169" spans="1:9" ht="21" customHeight="1" x14ac:dyDescent="0.25">
      <c r="A169" s="12" t="str">
        <f t="shared" si="33"/>
        <v>РЩ2-3 (АВР-Б-40-2-1)</v>
      </c>
      <c r="B169" s="9" t="s">
        <v>14</v>
      </c>
      <c r="C169" s="9"/>
      <c r="D169" s="10" t="s">
        <v>178</v>
      </c>
      <c r="E169" s="9" t="s">
        <v>179</v>
      </c>
      <c r="F169" s="13" t="s">
        <v>11</v>
      </c>
      <c r="G169" s="9" t="s">
        <v>15</v>
      </c>
      <c r="H169" s="12" t="str">
        <f t="shared" si="34"/>
        <v>Блок3</v>
      </c>
      <c r="I169" s="11">
        <v>39100</v>
      </c>
    </row>
    <row r="170" spans="1:9" ht="21" customHeight="1" x14ac:dyDescent="0.25">
      <c r="A170" s="12" t="str">
        <f t="shared" si="33"/>
        <v>РЩ2-3 (АВР-Б-40-2-1)</v>
      </c>
      <c r="B170" s="9" t="s">
        <v>29</v>
      </c>
      <c r="C170" s="9"/>
      <c r="D170" s="10"/>
      <c r="E170" s="9" t="s">
        <v>30</v>
      </c>
      <c r="F170" s="13" t="s">
        <v>11</v>
      </c>
      <c r="G170" s="9" t="s">
        <v>24</v>
      </c>
      <c r="H170" s="12" t="e">
        <f>#REF!</f>
        <v>#REF!</v>
      </c>
      <c r="I170" s="11">
        <v>14850</v>
      </c>
    </row>
    <row r="171" spans="1:9" ht="24" customHeight="1" x14ac:dyDescent="0.25">
      <c r="A171" s="9" t="str">
        <f t="shared" si="33"/>
        <v>РЩ2-3 (АВР-Б-40-2-1)</v>
      </c>
      <c r="B171" s="9" t="s">
        <v>18</v>
      </c>
      <c r="C171" s="9"/>
      <c r="D171" s="10" t="s">
        <v>18</v>
      </c>
      <c r="E171" s="9" t="s">
        <v>18</v>
      </c>
      <c r="F171" s="9" t="s">
        <v>11</v>
      </c>
      <c r="G171" s="9" t="s">
        <v>18</v>
      </c>
      <c r="H171" s="12" t="e">
        <f t="shared" si="34"/>
        <v>#REF!</v>
      </c>
      <c r="I171" s="11">
        <v>21450</v>
      </c>
    </row>
    <row r="172" spans="1:9" ht="21" customHeight="1" x14ac:dyDescent="0.25">
      <c r="A172" s="9" t="str">
        <f t="shared" si="33"/>
        <v>РЩ2-3 (АВР-Б-40-2-1)</v>
      </c>
      <c r="B172" s="9" t="s">
        <v>19</v>
      </c>
      <c r="C172" s="9"/>
      <c r="D172" s="10" t="s">
        <v>19</v>
      </c>
      <c r="E172" s="9" t="s">
        <v>19</v>
      </c>
      <c r="F172" s="9" t="s">
        <v>11</v>
      </c>
      <c r="G172" s="9" t="s">
        <v>19</v>
      </c>
      <c r="H172" s="12" t="e">
        <f t="shared" si="34"/>
        <v>#REF!</v>
      </c>
      <c r="I172" s="11">
        <v>39000</v>
      </c>
    </row>
    <row r="173" spans="1:9" ht="30" customHeight="1" x14ac:dyDescent="0.25">
      <c r="A173" s="14" t="str">
        <f t="shared" si="33"/>
        <v>РЩ2-3 (АВР-Б-40-2-1)</v>
      </c>
      <c r="B173" s="14"/>
      <c r="C173" s="14"/>
      <c r="D173" s="14"/>
      <c r="E173" s="15"/>
      <c r="F173" s="17"/>
      <c r="G173" s="14"/>
      <c r="H173" s="12" t="e">
        <f t="shared" si="34"/>
        <v>#REF!</v>
      </c>
      <c r="I173" s="16">
        <v>300158.20000000007</v>
      </c>
    </row>
    <row r="174" spans="1:9" ht="39.75" customHeight="1" x14ac:dyDescent="0.25">
      <c r="A174" s="7" t="str">
        <f>E174</f>
        <v>ВРУ1-4</v>
      </c>
      <c r="B174" s="4"/>
      <c r="C174" s="4"/>
      <c r="D174" s="5"/>
      <c r="E174" s="4" t="s">
        <v>64</v>
      </c>
      <c r="F174" s="8" t="s">
        <v>8</v>
      </c>
      <c r="G174" s="4" t="s">
        <v>9</v>
      </c>
      <c r="H174" s="7" t="s">
        <v>65</v>
      </c>
      <c r="I174" s="6"/>
    </row>
    <row r="175" spans="1:9" ht="21" customHeight="1" x14ac:dyDescent="0.25">
      <c r="A175" s="12" t="str">
        <f t="shared" ref="A175:A185" si="35">A174</f>
        <v>ВРУ1-4</v>
      </c>
      <c r="B175" s="9" t="s">
        <v>10</v>
      </c>
      <c r="C175" s="9"/>
      <c r="D175" s="10" t="s">
        <v>171</v>
      </c>
      <c r="E175" s="9" t="s">
        <v>172</v>
      </c>
      <c r="F175" s="13" t="s">
        <v>11</v>
      </c>
      <c r="G175" s="9" t="s">
        <v>12</v>
      </c>
      <c r="H175" s="12" t="str">
        <f t="shared" ref="H175:H177" si="36">H174</f>
        <v>Блок4</v>
      </c>
      <c r="I175" s="11">
        <v>93900</v>
      </c>
    </row>
    <row r="176" spans="1:9" ht="21" customHeight="1" x14ac:dyDescent="0.25">
      <c r="A176" s="12" t="str">
        <f t="shared" si="35"/>
        <v>ВРУ1-4</v>
      </c>
      <c r="B176" s="9" t="s">
        <v>22</v>
      </c>
      <c r="C176" s="9"/>
      <c r="D176" s="10"/>
      <c r="E176" s="9" t="s">
        <v>23</v>
      </c>
      <c r="F176" s="13" t="s">
        <v>11</v>
      </c>
      <c r="G176" s="9" t="s">
        <v>24</v>
      </c>
      <c r="H176" s="12" t="str">
        <f t="shared" si="36"/>
        <v>Блок4</v>
      </c>
      <c r="I176" s="11">
        <v>28206</v>
      </c>
    </row>
    <row r="177" spans="1:9" ht="21" customHeight="1" x14ac:dyDescent="0.25">
      <c r="A177" s="12" t="str">
        <f t="shared" si="35"/>
        <v>ВРУ1-4</v>
      </c>
      <c r="B177" s="9" t="s">
        <v>25</v>
      </c>
      <c r="C177" s="9"/>
      <c r="D177" s="10" t="s">
        <v>176</v>
      </c>
      <c r="E177" s="9" t="s">
        <v>177</v>
      </c>
      <c r="F177" s="13" t="s">
        <v>11</v>
      </c>
      <c r="G177" s="9" t="s">
        <v>24</v>
      </c>
      <c r="H177" s="12" t="str">
        <f t="shared" si="36"/>
        <v>Блок4</v>
      </c>
      <c r="I177" s="11">
        <v>28050.000000000004</v>
      </c>
    </row>
    <row r="178" spans="1:9" ht="21" customHeight="1" x14ac:dyDescent="0.25">
      <c r="A178" s="12" t="str">
        <f t="shared" si="35"/>
        <v>ВРУ1-4</v>
      </c>
      <c r="B178" s="9" t="s">
        <v>126</v>
      </c>
      <c r="C178" s="9"/>
      <c r="D178" s="10" t="s">
        <v>129</v>
      </c>
      <c r="E178" s="9" t="s">
        <v>130</v>
      </c>
      <c r="F178" s="13" t="s">
        <v>11</v>
      </c>
      <c r="G178" s="9" t="s">
        <v>13</v>
      </c>
      <c r="H178" s="12" t="str">
        <f>H176</f>
        <v>Блок4</v>
      </c>
      <c r="I178" s="11">
        <v>5225</v>
      </c>
    </row>
    <row r="179" spans="1:9" ht="21" customHeight="1" x14ac:dyDescent="0.25">
      <c r="A179" s="12" t="str">
        <f t="shared" si="35"/>
        <v>ВРУ1-4</v>
      </c>
      <c r="B179" s="9" t="s">
        <v>125</v>
      </c>
      <c r="C179" s="9"/>
      <c r="D179" s="10" t="s">
        <v>127</v>
      </c>
      <c r="E179" s="9" t="s">
        <v>128</v>
      </c>
      <c r="F179" s="13" t="s">
        <v>11</v>
      </c>
      <c r="G179" s="9" t="s">
        <v>13</v>
      </c>
      <c r="H179" s="12" t="str">
        <f t="shared" ref="H179:H185" si="37">H177</f>
        <v>Блок4</v>
      </c>
      <c r="I179" s="11">
        <v>3648.7000000000003</v>
      </c>
    </row>
    <row r="180" spans="1:9" ht="21" customHeight="1" x14ac:dyDescent="0.25">
      <c r="A180" s="12" t="str">
        <f t="shared" si="35"/>
        <v>ВРУ1-4</v>
      </c>
      <c r="B180" s="9" t="s">
        <v>16</v>
      </c>
      <c r="C180" s="9"/>
      <c r="D180" s="10">
        <v>296708</v>
      </c>
      <c r="E180" s="9" t="s">
        <v>28</v>
      </c>
      <c r="F180" s="13" t="s">
        <v>11</v>
      </c>
      <c r="G180" s="9" t="s">
        <v>27</v>
      </c>
      <c r="H180" s="12" t="str">
        <f t="shared" si="37"/>
        <v>Блок4</v>
      </c>
      <c r="I180" s="11">
        <v>910.80000000000007</v>
      </c>
    </row>
    <row r="181" spans="1:9" ht="21" customHeight="1" x14ac:dyDescent="0.25">
      <c r="A181" s="12" t="str">
        <f t="shared" si="35"/>
        <v>ВРУ1-4</v>
      </c>
      <c r="B181" s="9" t="s">
        <v>14</v>
      </c>
      <c r="C181" s="9"/>
      <c r="D181" s="10" t="s">
        <v>178</v>
      </c>
      <c r="E181" s="9" t="s">
        <v>179</v>
      </c>
      <c r="F181" s="13" t="s">
        <v>11</v>
      </c>
      <c r="G181" s="9" t="s">
        <v>15</v>
      </c>
      <c r="H181" s="12" t="str">
        <f t="shared" si="37"/>
        <v>Блок4</v>
      </c>
      <c r="I181" s="11">
        <v>78200</v>
      </c>
    </row>
    <row r="182" spans="1:9" ht="21" customHeight="1" x14ac:dyDescent="0.25">
      <c r="A182" s="12" t="str">
        <f t="shared" si="35"/>
        <v>ВРУ1-4</v>
      </c>
      <c r="B182" s="9" t="s">
        <v>29</v>
      </c>
      <c r="C182" s="9"/>
      <c r="D182" s="10"/>
      <c r="E182" s="9" t="s">
        <v>30</v>
      </c>
      <c r="F182" s="13" t="s">
        <v>11</v>
      </c>
      <c r="G182" s="9" t="s">
        <v>24</v>
      </c>
      <c r="H182" s="12" t="str">
        <f t="shared" si="37"/>
        <v>Блок4</v>
      </c>
      <c r="I182" s="11">
        <v>14850</v>
      </c>
    </row>
    <row r="183" spans="1:9" ht="24" customHeight="1" x14ac:dyDescent="0.25">
      <c r="A183" s="9" t="str">
        <f t="shared" si="35"/>
        <v>ВРУ1-4</v>
      </c>
      <c r="B183" s="9" t="s">
        <v>18</v>
      </c>
      <c r="C183" s="9"/>
      <c r="D183" s="10" t="s">
        <v>18</v>
      </c>
      <c r="E183" s="9" t="s">
        <v>18</v>
      </c>
      <c r="F183" s="9" t="s">
        <v>11</v>
      </c>
      <c r="G183" s="9" t="s">
        <v>18</v>
      </c>
      <c r="H183" s="12" t="str">
        <f t="shared" si="37"/>
        <v>Блок4</v>
      </c>
      <c r="I183" s="11">
        <v>26400.000000000004</v>
      </c>
    </row>
    <row r="184" spans="1:9" ht="21" customHeight="1" x14ac:dyDescent="0.25">
      <c r="A184" s="9" t="str">
        <f t="shared" si="35"/>
        <v>ВРУ1-4</v>
      </c>
      <c r="B184" s="9" t="s">
        <v>19</v>
      </c>
      <c r="C184" s="9"/>
      <c r="D184" s="10" t="s">
        <v>19</v>
      </c>
      <c r="E184" s="9" t="s">
        <v>19</v>
      </c>
      <c r="F184" s="9" t="s">
        <v>11</v>
      </c>
      <c r="G184" s="9" t="s">
        <v>19</v>
      </c>
      <c r="H184" s="12" t="str">
        <f t="shared" si="37"/>
        <v>Блок4</v>
      </c>
      <c r="I184" s="11">
        <v>48000</v>
      </c>
    </row>
    <row r="185" spans="1:9" ht="30" customHeight="1" x14ac:dyDescent="0.25">
      <c r="A185" s="14" t="str">
        <f t="shared" si="35"/>
        <v>ВРУ1-4</v>
      </c>
      <c r="B185" s="14"/>
      <c r="C185" s="14"/>
      <c r="D185" s="14"/>
      <c r="E185" s="15"/>
      <c r="F185" s="17"/>
      <c r="G185" s="14"/>
      <c r="H185" s="12" t="str">
        <f t="shared" si="37"/>
        <v>Блок4</v>
      </c>
      <c r="I185" s="16">
        <v>327390.5</v>
      </c>
    </row>
    <row r="186" spans="1:9" ht="39.75" customHeight="1" x14ac:dyDescent="0.25">
      <c r="A186" s="7" t="str">
        <f>E186</f>
        <v>РУ-1-4</v>
      </c>
      <c r="B186" s="4"/>
      <c r="C186" s="4"/>
      <c r="D186" s="5"/>
      <c r="E186" s="4" t="s">
        <v>66</v>
      </c>
      <c r="F186" s="8" t="s">
        <v>8</v>
      </c>
      <c r="G186" s="4" t="s">
        <v>9</v>
      </c>
      <c r="H186" s="7" t="s">
        <v>65</v>
      </c>
      <c r="I186" s="6"/>
    </row>
    <row r="187" spans="1:9" ht="21" customHeight="1" x14ac:dyDescent="0.25">
      <c r="A187" s="12" t="str">
        <f t="shared" ref="A187:A194" si="38">A186</f>
        <v>РУ-1-4</v>
      </c>
      <c r="B187" s="9" t="s">
        <v>10</v>
      </c>
      <c r="C187" s="9"/>
      <c r="D187" s="10" t="s">
        <v>169</v>
      </c>
      <c r="E187" s="9" t="s">
        <v>170</v>
      </c>
      <c r="F187" s="13" t="s">
        <v>11</v>
      </c>
      <c r="G187" s="9" t="s">
        <v>12</v>
      </c>
      <c r="H187" s="12" t="str">
        <f>H186</f>
        <v>Блок4</v>
      </c>
      <c r="I187" s="11">
        <v>87000</v>
      </c>
    </row>
    <row r="188" spans="1:9" ht="21" customHeight="1" x14ac:dyDescent="0.25">
      <c r="A188" s="12" t="str">
        <f t="shared" si="38"/>
        <v>РУ-1-4</v>
      </c>
      <c r="B188" s="9" t="s">
        <v>26</v>
      </c>
      <c r="C188" s="9"/>
      <c r="D188" s="10">
        <v>126586</v>
      </c>
      <c r="E188" s="9" t="s">
        <v>67</v>
      </c>
      <c r="F188" s="13" t="s">
        <v>11</v>
      </c>
      <c r="G188" s="9" t="s">
        <v>27</v>
      </c>
      <c r="H188" s="12" t="str">
        <f>H187</f>
        <v>Блок4</v>
      </c>
      <c r="I188" s="11">
        <v>16216.2</v>
      </c>
    </row>
    <row r="189" spans="1:9" ht="21" customHeight="1" x14ac:dyDescent="0.25">
      <c r="A189" s="12" t="str">
        <f t="shared" si="38"/>
        <v>РУ-1-4</v>
      </c>
      <c r="B189" s="9" t="s">
        <v>26</v>
      </c>
      <c r="C189" s="9"/>
      <c r="D189" s="10">
        <v>126584</v>
      </c>
      <c r="E189" s="9" t="s">
        <v>33</v>
      </c>
      <c r="F189" s="13" t="s">
        <v>11</v>
      </c>
      <c r="G189" s="9" t="s">
        <v>27</v>
      </c>
      <c r="H189" s="12" t="str">
        <f>H188</f>
        <v>Блок4</v>
      </c>
      <c r="I189" s="11">
        <v>31631.600000000002</v>
      </c>
    </row>
    <row r="190" spans="1:9" ht="21" customHeight="1" x14ac:dyDescent="0.25">
      <c r="A190" s="12" t="str">
        <f t="shared" si="38"/>
        <v>РУ-1-4</v>
      </c>
      <c r="B190" s="9" t="s">
        <v>26</v>
      </c>
      <c r="C190" s="9"/>
      <c r="D190" s="10">
        <v>126507</v>
      </c>
      <c r="E190" s="9" t="s">
        <v>34</v>
      </c>
      <c r="F190" s="13" t="s">
        <v>11</v>
      </c>
      <c r="G190" s="9" t="s">
        <v>27</v>
      </c>
      <c r="H190" s="12" t="str">
        <f>H189</f>
        <v>Блок4</v>
      </c>
      <c r="I190" s="11">
        <v>18818.800000000003</v>
      </c>
    </row>
    <row r="191" spans="1:9" ht="21" customHeight="1" x14ac:dyDescent="0.25">
      <c r="A191" s="12" t="str">
        <f t="shared" si="38"/>
        <v>РУ-1-4</v>
      </c>
      <c r="B191" s="9" t="s">
        <v>26</v>
      </c>
      <c r="C191" s="9"/>
      <c r="D191" s="10">
        <v>126506</v>
      </c>
      <c r="E191" s="9" t="s">
        <v>41</v>
      </c>
      <c r="F191" s="13" t="s">
        <v>11</v>
      </c>
      <c r="G191" s="9" t="s">
        <v>27</v>
      </c>
      <c r="H191" s="12" t="str">
        <f>H190</f>
        <v>Блок4</v>
      </c>
      <c r="I191" s="11">
        <v>9209.2000000000007</v>
      </c>
    </row>
    <row r="192" spans="1:9" ht="24" customHeight="1" x14ac:dyDescent="0.25">
      <c r="A192" s="9" t="str">
        <f t="shared" si="38"/>
        <v>РУ-1-4</v>
      </c>
      <c r="B192" s="9" t="s">
        <v>18</v>
      </c>
      <c r="C192" s="9"/>
      <c r="D192" s="10" t="s">
        <v>18</v>
      </c>
      <c r="E192" s="9" t="s">
        <v>18</v>
      </c>
      <c r="F192" s="9" t="s">
        <v>11</v>
      </c>
      <c r="G192" s="9" t="s">
        <v>18</v>
      </c>
      <c r="H192" s="12" t="str">
        <f>H190</f>
        <v>Блок4</v>
      </c>
      <c r="I192" s="11">
        <v>14850.000000000002</v>
      </c>
    </row>
    <row r="193" spans="1:9" ht="21" customHeight="1" x14ac:dyDescent="0.25">
      <c r="A193" s="9" t="str">
        <f t="shared" si="38"/>
        <v>РУ-1-4</v>
      </c>
      <c r="B193" s="9" t="s">
        <v>19</v>
      </c>
      <c r="C193" s="9"/>
      <c r="D193" s="10" t="s">
        <v>19</v>
      </c>
      <c r="E193" s="9" t="s">
        <v>19</v>
      </c>
      <c r="F193" s="9" t="s">
        <v>11</v>
      </c>
      <c r="G193" s="9" t="s">
        <v>19</v>
      </c>
      <c r="H193" s="12" t="str">
        <f>H192</f>
        <v>Блок4</v>
      </c>
      <c r="I193" s="11">
        <v>27000</v>
      </c>
    </row>
    <row r="194" spans="1:9" ht="30" customHeight="1" x14ac:dyDescent="0.25">
      <c r="A194" s="14" t="str">
        <f t="shared" si="38"/>
        <v>РУ-1-4</v>
      </c>
      <c r="B194" s="14"/>
      <c r="C194" s="14"/>
      <c r="D194" s="14"/>
      <c r="E194" s="15"/>
      <c r="F194" s="17"/>
      <c r="G194" s="14"/>
      <c r="H194" s="12" t="str">
        <f>H193</f>
        <v>Блок4</v>
      </c>
      <c r="I194" s="16">
        <v>204725.8</v>
      </c>
    </row>
    <row r="195" spans="1:9" ht="39.75" customHeight="1" x14ac:dyDescent="0.25">
      <c r="A195" s="7" t="str">
        <f>E195</f>
        <v>ЩУР.МОП1-4</v>
      </c>
      <c r="B195" s="4"/>
      <c r="C195" s="4"/>
      <c r="D195" s="5"/>
      <c r="E195" s="4" t="s">
        <v>68</v>
      </c>
      <c r="F195" s="8" t="s">
        <v>8</v>
      </c>
      <c r="G195" s="4" t="s">
        <v>9</v>
      </c>
      <c r="H195" s="7" t="s">
        <v>65</v>
      </c>
      <c r="I195" s="6"/>
    </row>
    <row r="196" spans="1:9" ht="21" customHeight="1" x14ac:dyDescent="0.25">
      <c r="A196" s="12" t="str">
        <f t="shared" ref="A196:A202" si="39">A195</f>
        <v>ЩУР.МОП1-4</v>
      </c>
      <c r="B196" s="9" t="s">
        <v>10</v>
      </c>
      <c r="C196" s="9"/>
      <c r="D196" s="10" t="s">
        <v>39</v>
      </c>
      <c r="E196" s="9" t="s">
        <v>40</v>
      </c>
      <c r="F196" s="13" t="s">
        <v>11</v>
      </c>
      <c r="G196" s="9" t="s">
        <v>12</v>
      </c>
      <c r="H196" s="12" t="str">
        <f t="shared" ref="H196:H202" si="40">H195</f>
        <v>Блок4</v>
      </c>
      <c r="I196" s="11">
        <v>10800</v>
      </c>
    </row>
    <row r="197" spans="1:9" ht="21" customHeight="1" x14ac:dyDescent="0.25">
      <c r="A197" s="12" t="str">
        <f t="shared" si="39"/>
        <v>ЩУР.МОП1-4</v>
      </c>
      <c r="B197" s="9" t="s">
        <v>16</v>
      </c>
      <c r="C197" s="9"/>
      <c r="D197" s="10">
        <v>296830</v>
      </c>
      <c r="E197" s="9" t="s">
        <v>148</v>
      </c>
      <c r="F197" s="13" t="s">
        <v>11</v>
      </c>
      <c r="G197" s="9" t="s">
        <v>27</v>
      </c>
      <c r="H197" s="12" t="str">
        <f t="shared" si="40"/>
        <v>Блок4</v>
      </c>
      <c r="I197" s="11">
        <v>854.7</v>
      </c>
    </row>
    <row r="198" spans="1:9" ht="21" customHeight="1" x14ac:dyDescent="0.25">
      <c r="A198" s="12" t="str">
        <f t="shared" si="39"/>
        <v>ЩУР.МОП1-4</v>
      </c>
      <c r="B198" s="9" t="s">
        <v>16</v>
      </c>
      <c r="C198" s="9"/>
      <c r="D198" s="10">
        <v>296829</v>
      </c>
      <c r="E198" s="9" t="s">
        <v>147</v>
      </c>
      <c r="F198" s="13" t="s">
        <v>11</v>
      </c>
      <c r="G198" s="9" t="s">
        <v>27</v>
      </c>
      <c r="H198" s="12" t="str">
        <f t="shared" si="40"/>
        <v>Блок4</v>
      </c>
      <c r="I198" s="11">
        <v>4644.2000000000007</v>
      </c>
    </row>
    <row r="199" spans="1:9" ht="21" customHeight="1" x14ac:dyDescent="0.25">
      <c r="A199" s="12" t="str">
        <f t="shared" si="39"/>
        <v>ЩУР.МОП1-4</v>
      </c>
      <c r="B199" s="9" t="s">
        <v>14</v>
      </c>
      <c r="C199" s="9"/>
      <c r="D199" s="10" t="s">
        <v>178</v>
      </c>
      <c r="E199" s="9" t="s">
        <v>179</v>
      </c>
      <c r="F199" s="13" t="s">
        <v>11</v>
      </c>
      <c r="G199" s="9" t="s">
        <v>15</v>
      </c>
      <c r="H199" s="12" t="str">
        <f t="shared" si="40"/>
        <v>Блок4</v>
      </c>
      <c r="I199" s="11">
        <v>39100</v>
      </c>
    </row>
    <row r="200" spans="1:9" ht="24" customHeight="1" x14ac:dyDescent="0.25">
      <c r="A200" s="9" t="str">
        <f t="shared" si="39"/>
        <v>ЩУР.МОП1-4</v>
      </c>
      <c r="B200" s="9" t="s">
        <v>18</v>
      </c>
      <c r="C200" s="9"/>
      <c r="D200" s="10" t="s">
        <v>18</v>
      </c>
      <c r="E200" s="9" t="s">
        <v>18</v>
      </c>
      <c r="F200" s="9" t="s">
        <v>11</v>
      </c>
      <c r="G200" s="9" t="s">
        <v>18</v>
      </c>
      <c r="H200" s="12" t="str">
        <f t="shared" si="40"/>
        <v>Блок4</v>
      </c>
      <c r="I200" s="11">
        <v>6600.0000000000009</v>
      </c>
    </row>
    <row r="201" spans="1:9" ht="21" customHeight="1" x14ac:dyDescent="0.25">
      <c r="A201" s="9" t="str">
        <f t="shared" si="39"/>
        <v>ЩУР.МОП1-4</v>
      </c>
      <c r="B201" s="9" t="s">
        <v>19</v>
      </c>
      <c r="C201" s="9"/>
      <c r="D201" s="10" t="s">
        <v>19</v>
      </c>
      <c r="E201" s="9" t="s">
        <v>19</v>
      </c>
      <c r="F201" s="9" t="s">
        <v>11</v>
      </c>
      <c r="G201" s="9" t="s">
        <v>19</v>
      </c>
      <c r="H201" s="12" t="str">
        <f t="shared" si="40"/>
        <v>Блок4</v>
      </c>
      <c r="I201" s="11">
        <v>12000</v>
      </c>
    </row>
    <row r="202" spans="1:9" ht="30" customHeight="1" x14ac:dyDescent="0.25">
      <c r="A202" s="14" t="str">
        <f t="shared" si="39"/>
        <v>ЩУР.МОП1-4</v>
      </c>
      <c r="B202" s="14"/>
      <c r="C202" s="14"/>
      <c r="D202" s="14"/>
      <c r="E202" s="15"/>
      <c r="F202" s="17"/>
      <c r="G202" s="14"/>
      <c r="H202" s="12" t="str">
        <f t="shared" si="40"/>
        <v>Блок4</v>
      </c>
      <c r="I202" s="16">
        <v>73998.899999999994</v>
      </c>
    </row>
    <row r="203" spans="1:9" ht="39.75" customHeight="1" x14ac:dyDescent="0.25">
      <c r="A203" s="7" t="str">
        <f>E203</f>
        <v>РЩ1-4 (АВР-Б-40-2-1)</v>
      </c>
      <c r="B203" s="4"/>
      <c r="C203" s="4"/>
      <c r="D203" s="5"/>
      <c r="E203" s="4" t="s">
        <v>135</v>
      </c>
      <c r="F203" s="8" t="s">
        <v>8</v>
      </c>
      <c r="G203" s="4" t="s">
        <v>9</v>
      </c>
      <c r="H203" s="7" t="s">
        <v>65</v>
      </c>
      <c r="I203" s="6"/>
    </row>
    <row r="204" spans="1:9" ht="21" customHeight="1" x14ac:dyDescent="0.25">
      <c r="A204" s="12" t="str">
        <f t="shared" ref="A204:A215" si="41">A203</f>
        <v>РЩ1-4 (АВР-Б-40-2-1)</v>
      </c>
      <c r="B204" s="9" t="s">
        <v>10</v>
      </c>
      <c r="C204" s="9"/>
      <c r="D204" s="10" t="s">
        <v>167</v>
      </c>
      <c r="E204" s="9" t="s">
        <v>168</v>
      </c>
      <c r="F204" s="13" t="s">
        <v>11</v>
      </c>
      <c r="G204" s="9" t="s">
        <v>12</v>
      </c>
      <c r="H204" s="12" t="str">
        <f t="shared" ref="H204:H215" si="42">H203</f>
        <v>Блок4</v>
      </c>
      <c r="I204" s="11">
        <v>78000</v>
      </c>
    </row>
    <row r="205" spans="1:9" ht="21" customHeight="1" x14ac:dyDescent="0.25">
      <c r="A205" s="12" t="str">
        <f t="shared" si="41"/>
        <v>РЩ1-4 (АВР-Б-40-2-1)</v>
      </c>
      <c r="B205" s="9" t="s">
        <v>43</v>
      </c>
      <c r="C205" s="9"/>
      <c r="D205" s="10" t="s">
        <v>161</v>
      </c>
      <c r="E205" s="9" t="s">
        <v>162</v>
      </c>
      <c r="F205" s="13" t="s">
        <v>11</v>
      </c>
      <c r="G205" s="9" t="s">
        <v>13</v>
      </c>
      <c r="H205" s="12" t="str">
        <f t="shared" si="42"/>
        <v>Блок4</v>
      </c>
      <c r="I205" s="11">
        <v>63116.900000000009</v>
      </c>
    </row>
    <row r="206" spans="1:9" ht="21" customHeight="1" x14ac:dyDescent="0.25">
      <c r="A206" s="12" t="str">
        <f t="shared" si="41"/>
        <v>РЩ1-4 (АВР-Б-40-2-1)</v>
      </c>
      <c r="B206" s="9" t="s">
        <v>26</v>
      </c>
      <c r="C206" s="9"/>
      <c r="D206" s="10">
        <v>126505</v>
      </c>
      <c r="E206" s="9" t="s">
        <v>44</v>
      </c>
      <c r="F206" s="13" t="s">
        <v>11</v>
      </c>
      <c r="G206" s="9" t="s">
        <v>27</v>
      </c>
      <c r="H206" s="12" t="str">
        <f t="shared" si="42"/>
        <v>Блок4</v>
      </c>
      <c r="I206" s="11">
        <v>17314</v>
      </c>
    </row>
    <row r="207" spans="1:9" ht="21" customHeight="1" x14ac:dyDescent="0.25">
      <c r="A207" s="12" t="str">
        <f t="shared" si="41"/>
        <v>РЩ1-4 (АВР-Б-40-2-1)</v>
      </c>
      <c r="B207" s="9" t="s">
        <v>26</v>
      </c>
      <c r="C207" s="9"/>
      <c r="D207" s="10">
        <v>126677</v>
      </c>
      <c r="E207" s="9" t="s">
        <v>42</v>
      </c>
      <c r="F207" s="13" t="s">
        <v>11</v>
      </c>
      <c r="G207" s="9" t="s">
        <v>27</v>
      </c>
      <c r="H207" s="12" t="str">
        <f t="shared" si="42"/>
        <v>Блок4</v>
      </c>
      <c r="I207" s="11">
        <v>16216.2</v>
      </c>
    </row>
    <row r="208" spans="1:9" ht="21" customHeight="1" x14ac:dyDescent="0.25">
      <c r="A208" s="12" t="str">
        <f t="shared" si="41"/>
        <v>РЩ1-4 (АВР-Б-40-2-1)</v>
      </c>
      <c r="B208" s="9" t="s">
        <v>16</v>
      </c>
      <c r="C208" s="9"/>
      <c r="D208" s="10">
        <v>814174</v>
      </c>
      <c r="E208" s="9" t="s">
        <v>45</v>
      </c>
      <c r="F208" s="13" t="s">
        <v>11</v>
      </c>
      <c r="G208" s="9" t="s">
        <v>27</v>
      </c>
      <c r="H208" s="12" t="str">
        <f t="shared" si="42"/>
        <v>Блок4</v>
      </c>
      <c r="I208" s="11">
        <v>5305.3</v>
      </c>
    </row>
    <row r="209" spans="1:9" ht="21" customHeight="1" x14ac:dyDescent="0.25">
      <c r="A209" s="12" t="str">
        <f t="shared" si="41"/>
        <v>РЩ1-4 (АВР-Б-40-2-1)</v>
      </c>
      <c r="B209" s="9" t="s">
        <v>17</v>
      </c>
      <c r="C209" s="9"/>
      <c r="D209" s="10">
        <v>819975</v>
      </c>
      <c r="E209" s="9" t="s">
        <v>46</v>
      </c>
      <c r="F209" s="13" t="s">
        <v>11</v>
      </c>
      <c r="G209" s="9" t="s">
        <v>27</v>
      </c>
      <c r="H209" s="12" t="str">
        <f t="shared" si="42"/>
        <v>Блок4</v>
      </c>
      <c r="I209" s="11">
        <v>2952.9500000000003</v>
      </c>
    </row>
    <row r="210" spans="1:9" ht="21" customHeight="1" x14ac:dyDescent="0.25">
      <c r="A210" s="12" t="str">
        <f t="shared" si="41"/>
        <v>РЩ1-4 (АВР-Б-40-2-1)</v>
      </c>
      <c r="B210" s="9" t="s">
        <v>16</v>
      </c>
      <c r="C210" s="9"/>
      <c r="D210" s="10">
        <v>814167</v>
      </c>
      <c r="E210" s="9" t="s">
        <v>47</v>
      </c>
      <c r="F210" s="13" t="s">
        <v>11</v>
      </c>
      <c r="G210" s="9" t="s">
        <v>27</v>
      </c>
      <c r="H210" s="12" t="str">
        <f t="shared" si="42"/>
        <v>Блок4</v>
      </c>
      <c r="I210" s="11">
        <v>2852.8500000000004</v>
      </c>
    </row>
    <row r="211" spans="1:9" ht="21" customHeight="1" x14ac:dyDescent="0.25">
      <c r="A211" s="12" t="str">
        <f t="shared" si="41"/>
        <v>РЩ1-4 (АВР-Б-40-2-1)</v>
      </c>
      <c r="B211" s="9" t="s">
        <v>14</v>
      </c>
      <c r="C211" s="9"/>
      <c r="D211" s="10" t="s">
        <v>178</v>
      </c>
      <c r="E211" s="9" t="s">
        <v>179</v>
      </c>
      <c r="F211" s="13" t="s">
        <v>11</v>
      </c>
      <c r="G211" s="9" t="s">
        <v>15</v>
      </c>
      <c r="H211" s="12" t="str">
        <f t="shared" si="42"/>
        <v>Блок4</v>
      </c>
      <c r="I211" s="11">
        <v>39100</v>
      </c>
    </row>
    <row r="212" spans="1:9" ht="21" customHeight="1" x14ac:dyDescent="0.25">
      <c r="A212" s="12" t="str">
        <f t="shared" si="41"/>
        <v>РЩ1-4 (АВР-Б-40-2-1)</v>
      </c>
      <c r="B212" s="9" t="s">
        <v>29</v>
      </c>
      <c r="C212" s="9"/>
      <c r="D212" s="10"/>
      <c r="E212" s="9" t="s">
        <v>30</v>
      </c>
      <c r="F212" s="13" t="s">
        <v>11</v>
      </c>
      <c r="G212" s="9" t="s">
        <v>24</v>
      </c>
      <c r="H212" s="12" t="e">
        <f>#REF!</f>
        <v>#REF!</v>
      </c>
      <c r="I212" s="11">
        <v>14850</v>
      </c>
    </row>
    <row r="213" spans="1:9" ht="24" customHeight="1" x14ac:dyDescent="0.25">
      <c r="A213" s="9" t="str">
        <f t="shared" si="41"/>
        <v>РЩ1-4 (АВР-Б-40-2-1)</v>
      </c>
      <c r="B213" s="9" t="s">
        <v>18</v>
      </c>
      <c r="C213" s="9"/>
      <c r="D213" s="10" t="s">
        <v>18</v>
      </c>
      <c r="E213" s="9" t="s">
        <v>18</v>
      </c>
      <c r="F213" s="9" t="s">
        <v>11</v>
      </c>
      <c r="G213" s="9" t="s">
        <v>18</v>
      </c>
      <c r="H213" s="12" t="e">
        <f t="shared" si="42"/>
        <v>#REF!</v>
      </c>
      <c r="I213" s="11">
        <v>21450</v>
      </c>
    </row>
    <row r="214" spans="1:9" ht="21" customHeight="1" x14ac:dyDescent="0.25">
      <c r="A214" s="9" t="str">
        <f t="shared" si="41"/>
        <v>РЩ1-4 (АВР-Б-40-2-1)</v>
      </c>
      <c r="B214" s="9" t="s">
        <v>19</v>
      </c>
      <c r="C214" s="9"/>
      <c r="D214" s="10" t="s">
        <v>19</v>
      </c>
      <c r="E214" s="9" t="s">
        <v>19</v>
      </c>
      <c r="F214" s="9" t="s">
        <v>11</v>
      </c>
      <c r="G214" s="9" t="s">
        <v>19</v>
      </c>
      <c r="H214" s="12" t="e">
        <f t="shared" si="42"/>
        <v>#REF!</v>
      </c>
      <c r="I214" s="11">
        <v>39000</v>
      </c>
    </row>
    <row r="215" spans="1:9" ht="30" customHeight="1" x14ac:dyDescent="0.25">
      <c r="A215" s="14" t="str">
        <f t="shared" si="41"/>
        <v>РЩ1-4 (АВР-Б-40-2-1)</v>
      </c>
      <c r="B215" s="14"/>
      <c r="C215" s="14"/>
      <c r="D215" s="14"/>
      <c r="E215" s="15"/>
      <c r="F215" s="17"/>
      <c r="G215" s="14"/>
      <c r="H215" s="12" t="e">
        <f t="shared" si="42"/>
        <v>#REF!</v>
      </c>
      <c r="I215" s="16">
        <v>300158.20000000007</v>
      </c>
    </row>
    <row r="216" spans="1:9" ht="39.75" customHeight="1" x14ac:dyDescent="0.25">
      <c r="A216" s="7" t="str">
        <f>E216</f>
        <v>РУ1-5</v>
      </c>
      <c r="B216" s="4"/>
      <c r="C216" s="4"/>
      <c r="D216" s="5"/>
      <c r="E216" s="4" t="s">
        <v>69</v>
      </c>
      <c r="F216" s="8" t="s">
        <v>8</v>
      </c>
      <c r="G216" s="4" t="s">
        <v>9</v>
      </c>
      <c r="H216" s="7" t="s">
        <v>70</v>
      </c>
      <c r="I216" s="6"/>
    </row>
    <row r="217" spans="1:9" ht="21" customHeight="1" x14ac:dyDescent="0.25">
      <c r="A217" s="12" t="str">
        <f t="shared" ref="A217:A223" si="43">A216</f>
        <v>РУ1-5</v>
      </c>
      <c r="B217" s="9" t="s">
        <v>10</v>
      </c>
      <c r="C217" s="9"/>
      <c r="D217" s="10" t="s">
        <v>169</v>
      </c>
      <c r="E217" s="9" t="s">
        <v>170</v>
      </c>
      <c r="F217" s="13" t="s">
        <v>11</v>
      </c>
      <c r="G217" s="9" t="s">
        <v>12</v>
      </c>
      <c r="H217" s="12" t="str">
        <f t="shared" ref="H217:H223" si="44">H216</f>
        <v>Блок5</v>
      </c>
      <c r="I217" s="11">
        <v>87000</v>
      </c>
    </row>
    <row r="218" spans="1:9" ht="21" customHeight="1" x14ac:dyDescent="0.25">
      <c r="A218" s="12" t="str">
        <f t="shared" si="43"/>
        <v>РУ1-5</v>
      </c>
      <c r="B218" s="9" t="s">
        <v>26</v>
      </c>
      <c r="C218" s="9"/>
      <c r="D218" s="10">
        <v>126586</v>
      </c>
      <c r="E218" s="9" t="s">
        <v>67</v>
      </c>
      <c r="F218" s="13" t="s">
        <v>11</v>
      </c>
      <c r="G218" s="9" t="s">
        <v>27</v>
      </c>
      <c r="H218" s="12" t="str">
        <f t="shared" si="44"/>
        <v>Блок5</v>
      </c>
      <c r="I218" s="11">
        <v>16216.2</v>
      </c>
    </row>
    <row r="219" spans="1:9" ht="21" customHeight="1" x14ac:dyDescent="0.25">
      <c r="A219" s="12" t="str">
        <f t="shared" si="43"/>
        <v>РУ1-5</v>
      </c>
      <c r="B219" s="9" t="s">
        <v>26</v>
      </c>
      <c r="C219" s="9"/>
      <c r="D219" s="10">
        <v>126584</v>
      </c>
      <c r="E219" s="9" t="s">
        <v>33</v>
      </c>
      <c r="F219" s="13" t="s">
        <v>11</v>
      </c>
      <c r="G219" s="9" t="s">
        <v>27</v>
      </c>
      <c r="H219" s="12" t="str">
        <f t="shared" si="44"/>
        <v>Блок5</v>
      </c>
      <c r="I219" s="11">
        <v>31631.600000000002</v>
      </c>
    </row>
    <row r="220" spans="1:9" ht="21" customHeight="1" x14ac:dyDescent="0.25">
      <c r="A220" s="12" t="str">
        <f t="shared" si="43"/>
        <v>РУ1-5</v>
      </c>
      <c r="B220" s="9" t="s">
        <v>26</v>
      </c>
      <c r="C220" s="9"/>
      <c r="D220" s="10">
        <v>126507</v>
      </c>
      <c r="E220" s="9" t="s">
        <v>34</v>
      </c>
      <c r="F220" s="13" t="s">
        <v>11</v>
      </c>
      <c r="G220" s="9" t="s">
        <v>27</v>
      </c>
      <c r="H220" s="12" t="str">
        <f t="shared" si="44"/>
        <v>Блок5</v>
      </c>
      <c r="I220" s="11">
        <v>18818.800000000003</v>
      </c>
    </row>
    <row r="221" spans="1:9" ht="24" customHeight="1" x14ac:dyDescent="0.25">
      <c r="A221" s="9" t="str">
        <f t="shared" si="43"/>
        <v>РУ1-5</v>
      </c>
      <c r="B221" s="9" t="s">
        <v>18</v>
      </c>
      <c r="C221" s="9"/>
      <c r="D221" s="10" t="s">
        <v>18</v>
      </c>
      <c r="E221" s="9" t="s">
        <v>18</v>
      </c>
      <c r="F221" s="9" t="s">
        <v>11</v>
      </c>
      <c r="G221" s="9" t="s">
        <v>18</v>
      </c>
      <c r="H221" s="12" t="str">
        <f t="shared" si="44"/>
        <v>Блок5</v>
      </c>
      <c r="I221" s="11">
        <v>14850.000000000002</v>
      </c>
    </row>
    <row r="222" spans="1:9" ht="21" customHeight="1" x14ac:dyDescent="0.25">
      <c r="A222" s="9" t="str">
        <f t="shared" si="43"/>
        <v>РУ1-5</v>
      </c>
      <c r="B222" s="9" t="s">
        <v>19</v>
      </c>
      <c r="C222" s="9"/>
      <c r="D222" s="10" t="s">
        <v>19</v>
      </c>
      <c r="E222" s="9" t="s">
        <v>19</v>
      </c>
      <c r="F222" s="9" t="s">
        <v>11</v>
      </c>
      <c r="G222" s="9" t="s">
        <v>19</v>
      </c>
      <c r="H222" s="12" t="str">
        <f t="shared" si="44"/>
        <v>Блок5</v>
      </c>
      <c r="I222" s="11">
        <v>27000</v>
      </c>
    </row>
    <row r="223" spans="1:9" ht="30" customHeight="1" x14ac:dyDescent="0.25">
      <c r="A223" s="14" t="str">
        <f t="shared" si="43"/>
        <v>РУ1-5</v>
      </c>
      <c r="B223" s="14"/>
      <c r="C223" s="14"/>
      <c r="D223" s="14"/>
      <c r="E223" s="15"/>
      <c r="F223" s="17"/>
      <c r="G223" s="14"/>
      <c r="H223" s="12" t="str">
        <f t="shared" si="44"/>
        <v>Блок5</v>
      </c>
      <c r="I223" s="16">
        <v>195516.59999999998</v>
      </c>
    </row>
    <row r="224" spans="1:9" ht="39.75" customHeight="1" x14ac:dyDescent="0.25">
      <c r="A224" s="7" t="str">
        <f>E224</f>
        <v>ЩУР.МОП1-5</v>
      </c>
      <c r="B224" s="4"/>
      <c r="C224" s="4"/>
      <c r="D224" s="5"/>
      <c r="E224" s="4" t="s">
        <v>71</v>
      </c>
      <c r="F224" s="8" t="s">
        <v>8</v>
      </c>
      <c r="G224" s="4" t="s">
        <v>9</v>
      </c>
      <c r="H224" s="7" t="s">
        <v>70</v>
      </c>
      <c r="I224" s="6"/>
    </row>
    <row r="225" spans="1:9" ht="21" customHeight="1" x14ac:dyDescent="0.25">
      <c r="A225" s="12" t="str">
        <f t="shared" ref="A225:A231" si="45">A224</f>
        <v>ЩУР.МОП1-5</v>
      </c>
      <c r="B225" s="9" t="s">
        <v>10</v>
      </c>
      <c r="C225" s="9"/>
      <c r="D225" s="10" t="s">
        <v>39</v>
      </c>
      <c r="E225" s="9" t="s">
        <v>40</v>
      </c>
      <c r="F225" s="13" t="s">
        <v>11</v>
      </c>
      <c r="G225" s="9" t="s">
        <v>12</v>
      </c>
      <c r="H225" s="12" t="str">
        <f t="shared" ref="H225:H231" si="46">H224</f>
        <v>Блок5</v>
      </c>
      <c r="I225" s="11">
        <v>10800</v>
      </c>
    </row>
    <row r="226" spans="1:9" ht="21" customHeight="1" x14ac:dyDescent="0.25">
      <c r="A226" s="12" t="str">
        <f t="shared" si="45"/>
        <v>ЩУР.МОП1-5</v>
      </c>
      <c r="B226" s="9" t="s">
        <v>16</v>
      </c>
      <c r="C226" s="9"/>
      <c r="D226" s="10">
        <v>296830</v>
      </c>
      <c r="E226" s="9" t="s">
        <v>148</v>
      </c>
      <c r="F226" s="13" t="s">
        <v>11</v>
      </c>
      <c r="G226" s="9" t="s">
        <v>27</v>
      </c>
      <c r="H226" s="12" t="str">
        <f t="shared" si="46"/>
        <v>Блок5</v>
      </c>
      <c r="I226" s="11">
        <v>854.7</v>
      </c>
    </row>
    <row r="227" spans="1:9" ht="21" customHeight="1" x14ac:dyDescent="0.25">
      <c r="A227" s="12" t="str">
        <f t="shared" si="45"/>
        <v>ЩУР.МОП1-5</v>
      </c>
      <c r="B227" s="9" t="s">
        <v>16</v>
      </c>
      <c r="C227" s="9"/>
      <c r="D227" s="10">
        <v>296829</v>
      </c>
      <c r="E227" s="9" t="s">
        <v>147</v>
      </c>
      <c r="F227" s="13" t="s">
        <v>11</v>
      </c>
      <c r="G227" s="9" t="s">
        <v>27</v>
      </c>
      <c r="H227" s="12" t="str">
        <f t="shared" si="46"/>
        <v>Блок5</v>
      </c>
      <c r="I227" s="11">
        <v>4644.2000000000007</v>
      </c>
    </row>
    <row r="228" spans="1:9" ht="21" customHeight="1" x14ac:dyDescent="0.25">
      <c r="A228" s="12" t="str">
        <f t="shared" si="45"/>
        <v>ЩУР.МОП1-5</v>
      </c>
      <c r="B228" s="9" t="s">
        <v>14</v>
      </c>
      <c r="C228" s="9"/>
      <c r="D228" s="10" t="s">
        <v>178</v>
      </c>
      <c r="E228" s="9" t="s">
        <v>179</v>
      </c>
      <c r="F228" s="13" t="s">
        <v>11</v>
      </c>
      <c r="G228" s="9" t="s">
        <v>15</v>
      </c>
      <c r="H228" s="12" t="str">
        <f t="shared" si="46"/>
        <v>Блок5</v>
      </c>
      <c r="I228" s="11">
        <v>39100</v>
      </c>
    </row>
    <row r="229" spans="1:9" ht="24" customHeight="1" x14ac:dyDescent="0.25">
      <c r="A229" s="9" t="str">
        <f t="shared" si="45"/>
        <v>ЩУР.МОП1-5</v>
      </c>
      <c r="B229" s="9" t="s">
        <v>18</v>
      </c>
      <c r="C229" s="9"/>
      <c r="D229" s="10" t="s">
        <v>18</v>
      </c>
      <c r="E229" s="9" t="s">
        <v>18</v>
      </c>
      <c r="F229" s="9" t="s">
        <v>11</v>
      </c>
      <c r="G229" s="9" t="s">
        <v>18</v>
      </c>
      <c r="H229" s="12" t="str">
        <f t="shared" si="46"/>
        <v>Блок5</v>
      </c>
      <c r="I229" s="11">
        <v>6600.0000000000009</v>
      </c>
    </row>
    <row r="230" spans="1:9" ht="21" customHeight="1" x14ac:dyDescent="0.25">
      <c r="A230" s="9" t="str">
        <f t="shared" si="45"/>
        <v>ЩУР.МОП1-5</v>
      </c>
      <c r="B230" s="9" t="s">
        <v>19</v>
      </c>
      <c r="C230" s="9"/>
      <c r="D230" s="10" t="s">
        <v>19</v>
      </c>
      <c r="E230" s="9" t="s">
        <v>19</v>
      </c>
      <c r="F230" s="9" t="s">
        <v>11</v>
      </c>
      <c r="G230" s="9" t="s">
        <v>19</v>
      </c>
      <c r="H230" s="12" t="str">
        <f t="shared" si="46"/>
        <v>Блок5</v>
      </c>
      <c r="I230" s="11">
        <v>12000</v>
      </c>
    </row>
    <row r="231" spans="1:9" ht="30" customHeight="1" x14ac:dyDescent="0.25">
      <c r="A231" s="14" t="str">
        <f t="shared" si="45"/>
        <v>ЩУР.МОП1-5</v>
      </c>
      <c r="B231" s="14"/>
      <c r="C231" s="14"/>
      <c r="D231" s="14"/>
      <c r="E231" s="15"/>
      <c r="F231" s="17"/>
      <c r="G231" s="14"/>
      <c r="H231" s="12" t="str">
        <f t="shared" si="46"/>
        <v>Блок5</v>
      </c>
      <c r="I231" s="16">
        <v>73998.899999999994</v>
      </c>
    </row>
    <row r="232" spans="1:9" ht="39.75" customHeight="1" x14ac:dyDescent="0.25">
      <c r="A232" s="7" t="str">
        <f>E232</f>
        <v>РЩ1-5 (АВР-Б-40-2-1)</v>
      </c>
      <c r="B232" s="4"/>
      <c r="C232" s="4"/>
      <c r="D232" s="5"/>
      <c r="E232" s="4" t="s">
        <v>136</v>
      </c>
      <c r="F232" s="8" t="s">
        <v>8</v>
      </c>
      <c r="G232" s="4" t="s">
        <v>9</v>
      </c>
      <c r="H232" s="7" t="s">
        <v>70</v>
      </c>
      <c r="I232" s="6"/>
    </row>
    <row r="233" spans="1:9" ht="21" customHeight="1" x14ac:dyDescent="0.25">
      <c r="A233" s="12" t="str">
        <f t="shared" ref="A233:A243" si="47">A232</f>
        <v>РЩ1-5 (АВР-Б-40-2-1)</v>
      </c>
      <c r="B233" s="9" t="s">
        <v>10</v>
      </c>
      <c r="C233" s="9"/>
      <c r="D233" s="10" t="s">
        <v>167</v>
      </c>
      <c r="E233" s="9" t="s">
        <v>168</v>
      </c>
      <c r="F233" s="13" t="s">
        <v>11</v>
      </c>
      <c r="G233" s="9" t="s">
        <v>12</v>
      </c>
      <c r="H233" s="12" t="str">
        <f t="shared" ref="H233:H243" si="48">H232</f>
        <v>Блок5</v>
      </c>
      <c r="I233" s="11">
        <v>78000</v>
      </c>
    </row>
    <row r="234" spans="1:9" ht="21" customHeight="1" x14ac:dyDescent="0.25">
      <c r="A234" s="12" t="str">
        <f t="shared" si="47"/>
        <v>РЩ1-5 (АВР-Б-40-2-1)</v>
      </c>
      <c r="B234" s="9" t="s">
        <v>43</v>
      </c>
      <c r="C234" s="9"/>
      <c r="D234" s="10" t="s">
        <v>161</v>
      </c>
      <c r="E234" s="9" t="s">
        <v>162</v>
      </c>
      <c r="F234" s="13" t="s">
        <v>11</v>
      </c>
      <c r="G234" s="9" t="s">
        <v>13</v>
      </c>
      <c r="H234" s="12" t="str">
        <f t="shared" si="48"/>
        <v>Блок5</v>
      </c>
      <c r="I234" s="11">
        <v>63116.900000000009</v>
      </c>
    </row>
    <row r="235" spans="1:9" ht="21" customHeight="1" x14ac:dyDescent="0.25">
      <c r="A235" s="12" t="str">
        <f t="shared" si="47"/>
        <v>РЩ1-5 (АВР-Б-40-2-1)</v>
      </c>
      <c r="B235" s="9" t="s">
        <v>26</v>
      </c>
      <c r="C235" s="9"/>
      <c r="D235" s="10">
        <v>126505</v>
      </c>
      <c r="E235" s="9" t="s">
        <v>44</v>
      </c>
      <c r="F235" s="13" t="s">
        <v>11</v>
      </c>
      <c r="G235" s="9" t="s">
        <v>27</v>
      </c>
      <c r="H235" s="12" t="str">
        <f t="shared" si="48"/>
        <v>Блок5</v>
      </c>
      <c r="I235" s="11">
        <v>25971</v>
      </c>
    </row>
    <row r="236" spans="1:9" ht="21" customHeight="1" x14ac:dyDescent="0.25">
      <c r="A236" s="12" t="str">
        <f t="shared" si="47"/>
        <v>РЩ1-5 (АВР-Б-40-2-1)</v>
      </c>
      <c r="B236" s="9" t="s">
        <v>26</v>
      </c>
      <c r="C236" s="9"/>
      <c r="D236" s="10">
        <v>126677</v>
      </c>
      <c r="E236" s="9" t="s">
        <v>42</v>
      </c>
      <c r="F236" s="13" t="s">
        <v>11</v>
      </c>
      <c r="G236" s="9" t="s">
        <v>27</v>
      </c>
      <c r="H236" s="12" t="str">
        <f t="shared" si="48"/>
        <v>Блок5</v>
      </c>
      <c r="I236" s="11">
        <v>16216.2</v>
      </c>
    </row>
    <row r="237" spans="1:9" ht="21" customHeight="1" x14ac:dyDescent="0.25">
      <c r="A237" s="12" t="str">
        <f t="shared" si="47"/>
        <v>РЩ1-5 (АВР-Б-40-2-1)</v>
      </c>
      <c r="B237" s="9" t="s">
        <v>16</v>
      </c>
      <c r="C237" s="9"/>
      <c r="D237" s="10">
        <v>814174</v>
      </c>
      <c r="E237" s="9" t="s">
        <v>45</v>
      </c>
      <c r="F237" s="13" t="s">
        <v>11</v>
      </c>
      <c r="G237" s="9" t="s">
        <v>27</v>
      </c>
      <c r="H237" s="12" t="str">
        <f t="shared" si="48"/>
        <v>Блок5</v>
      </c>
      <c r="I237" s="11">
        <v>5305.3</v>
      </c>
    </row>
    <row r="238" spans="1:9" ht="21" customHeight="1" x14ac:dyDescent="0.25">
      <c r="A238" s="12" t="str">
        <f t="shared" si="47"/>
        <v>РЩ1-5 (АВР-Б-40-2-1)</v>
      </c>
      <c r="B238" s="9" t="s">
        <v>16</v>
      </c>
      <c r="C238" s="9"/>
      <c r="D238" s="10">
        <v>814167</v>
      </c>
      <c r="E238" s="9" t="s">
        <v>47</v>
      </c>
      <c r="F238" s="13" t="s">
        <v>11</v>
      </c>
      <c r="G238" s="9" t="s">
        <v>27</v>
      </c>
      <c r="H238" s="12" t="str">
        <f t="shared" si="48"/>
        <v>Блок5</v>
      </c>
      <c r="I238" s="11">
        <v>2852.8500000000004</v>
      </c>
    </row>
    <row r="239" spans="1:9" ht="21" customHeight="1" x14ac:dyDescent="0.25">
      <c r="A239" s="12" t="str">
        <f t="shared" si="47"/>
        <v>РЩ1-5 (АВР-Б-40-2-1)</v>
      </c>
      <c r="B239" s="9" t="s">
        <v>14</v>
      </c>
      <c r="C239" s="9"/>
      <c r="D239" s="10" t="s">
        <v>178</v>
      </c>
      <c r="E239" s="9" t="s">
        <v>179</v>
      </c>
      <c r="F239" s="13" t="s">
        <v>11</v>
      </c>
      <c r="G239" s="9" t="s">
        <v>15</v>
      </c>
      <c r="H239" s="12" t="str">
        <f t="shared" si="48"/>
        <v>Блок5</v>
      </c>
      <c r="I239" s="11">
        <v>39100</v>
      </c>
    </row>
    <row r="240" spans="1:9" ht="21" customHeight="1" x14ac:dyDescent="0.25">
      <c r="A240" s="12" t="str">
        <f t="shared" si="47"/>
        <v>РЩ1-5 (АВР-Б-40-2-1)</v>
      </c>
      <c r="B240" s="9" t="s">
        <v>29</v>
      </c>
      <c r="C240" s="9"/>
      <c r="D240" s="10"/>
      <c r="E240" s="9" t="s">
        <v>30</v>
      </c>
      <c r="F240" s="13" t="s">
        <v>11</v>
      </c>
      <c r="G240" s="9" t="s">
        <v>24</v>
      </c>
      <c r="H240" s="12" t="e">
        <f>#REF!</f>
        <v>#REF!</v>
      </c>
      <c r="I240" s="11">
        <v>14850</v>
      </c>
    </row>
    <row r="241" spans="1:9" ht="24" customHeight="1" x14ac:dyDescent="0.25">
      <c r="A241" s="9" t="str">
        <f t="shared" si="47"/>
        <v>РЩ1-5 (АВР-Б-40-2-1)</v>
      </c>
      <c r="B241" s="9" t="s">
        <v>18</v>
      </c>
      <c r="C241" s="9"/>
      <c r="D241" s="10" t="s">
        <v>18</v>
      </c>
      <c r="E241" s="9" t="s">
        <v>18</v>
      </c>
      <c r="F241" s="9" t="s">
        <v>11</v>
      </c>
      <c r="G241" s="9" t="s">
        <v>18</v>
      </c>
      <c r="H241" s="12" t="e">
        <f t="shared" si="48"/>
        <v>#REF!</v>
      </c>
      <c r="I241" s="11">
        <v>21450</v>
      </c>
    </row>
    <row r="242" spans="1:9" ht="21" customHeight="1" x14ac:dyDescent="0.25">
      <c r="A242" s="9" t="str">
        <f t="shared" si="47"/>
        <v>РЩ1-5 (АВР-Б-40-2-1)</v>
      </c>
      <c r="B242" s="9" t="s">
        <v>19</v>
      </c>
      <c r="C242" s="9"/>
      <c r="D242" s="10" t="s">
        <v>19</v>
      </c>
      <c r="E242" s="9" t="s">
        <v>19</v>
      </c>
      <c r="F242" s="9" t="s">
        <v>11</v>
      </c>
      <c r="G242" s="9" t="s">
        <v>19</v>
      </c>
      <c r="H242" s="12" t="e">
        <f t="shared" si="48"/>
        <v>#REF!</v>
      </c>
      <c r="I242" s="11">
        <v>39000</v>
      </c>
    </row>
    <row r="243" spans="1:9" ht="30" customHeight="1" x14ac:dyDescent="0.25">
      <c r="A243" s="14" t="str">
        <f t="shared" si="47"/>
        <v>РЩ1-5 (АВР-Б-40-2-1)</v>
      </c>
      <c r="B243" s="14"/>
      <c r="C243" s="14"/>
      <c r="D243" s="14"/>
      <c r="E243" s="15"/>
      <c r="F243" s="17"/>
      <c r="G243" s="14"/>
      <c r="H243" s="12" t="e">
        <f t="shared" si="48"/>
        <v>#REF!</v>
      </c>
      <c r="I243" s="16">
        <v>305862.25</v>
      </c>
    </row>
    <row r="244" spans="1:9" ht="39.75" customHeight="1" x14ac:dyDescent="0.25">
      <c r="A244" s="7" t="str">
        <f>E244</f>
        <v>РУ1-6</v>
      </c>
      <c r="B244" s="4"/>
      <c r="C244" s="4"/>
      <c r="D244" s="5"/>
      <c r="E244" s="4" t="s">
        <v>72</v>
      </c>
      <c r="F244" s="8" t="s">
        <v>8</v>
      </c>
      <c r="G244" s="4" t="s">
        <v>9</v>
      </c>
      <c r="H244" s="7" t="s">
        <v>73</v>
      </c>
      <c r="I244" s="6"/>
    </row>
    <row r="245" spans="1:9" ht="21" customHeight="1" x14ac:dyDescent="0.25">
      <c r="A245" s="12" t="str">
        <f t="shared" ref="A245:A251" si="49">A244</f>
        <v>РУ1-6</v>
      </c>
      <c r="B245" s="9" t="s">
        <v>10</v>
      </c>
      <c r="C245" s="9"/>
      <c r="D245" s="10" t="s">
        <v>169</v>
      </c>
      <c r="E245" s="9" t="s">
        <v>170</v>
      </c>
      <c r="F245" s="13" t="s">
        <v>11</v>
      </c>
      <c r="G245" s="9" t="s">
        <v>12</v>
      </c>
      <c r="H245" s="12" t="str">
        <f t="shared" ref="H245:H251" si="50">H244</f>
        <v>Блок6</v>
      </c>
      <c r="I245" s="11">
        <v>87000</v>
      </c>
    </row>
    <row r="246" spans="1:9" ht="21" customHeight="1" x14ac:dyDescent="0.25">
      <c r="A246" s="12" t="str">
        <f t="shared" si="49"/>
        <v>РУ1-6</v>
      </c>
      <c r="B246" s="9" t="s">
        <v>26</v>
      </c>
      <c r="C246" s="9"/>
      <c r="D246" s="10">
        <v>126586</v>
      </c>
      <c r="E246" s="9" t="s">
        <v>67</v>
      </c>
      <c r="F246" s="13" t="s">
        <v>11</v>
      </c>
      <c r="G246" s="9" t="s">
        <v>27</v>
      </c>
      <c r="H246" s="12" t="str">
        <f t="shared" si="50"/>
        <v>Блок6</v>
      </c>
      <c r="I246" s="11">
        <v>16216.2</v>
      </c>
    </row>
    <row r="247" spans="1:9" ht="21" customHeight="1" x14ac:dyDescent="0.25">
      <c r="A247" s="12" t="str">
        <f t="shared" si="49"/>
        <v>РУ1-6</v>
      </c>
      <c r="B247" s="9" t="s">
        <v>26</v>
      </c>
      <c r="C247" s="9"/>
      <c r="D247" s="10">
        <v>126583</v>
      </c>
      <c r="E247" s="9" t="s">
        <v>32</v>
      </c>
      <c r="F247" s="13" t="s">
        <v>11</v>
      </c>
      <c r="G247" s="9" t="s">
        <v>27</v>
      </c>
      <c r="H247" s="12" t="str">
        <f t="shared" si="50"/>
        <v>Блок6</v>
      </c>
      <c r="I247" s="11">
        <v>63063.000000000007</v>
      </c>
    </row>
    <row r="248" spans="1:9" ht="21" customHeight="1" x14ac:dyDescent="0.25">
      <c r="A248" s="12" t="str">
        <f t="shared" si="49"/>
        <v>РУ1-6</v>
      </c>
      <c r="B248" s="9" t="s">
        <v>26</v>
      </c>
      <c r="C248" s="9"/>
      <c r="D248" s="10">
        <v>126507</v>
      </c>
      <c r="E248" s="9" t="s">
        <v>34</v>
      </c>
      <c r="F248" s="13" t="s">
        <v>11</v>
      </c>
      <c r="G248" s="9" t="s">
        <v>27</v>
      </c>
      <c r="H248" s="12" t="str">
        <f t="shared" si="50"/>
        <v>Блок6</v>
      </c>
      <c r="I248" s="11">
        <v>18818.800000000003</v>
      </c>
    </row>
    <row r="249" spans="1:9" ht="24" customHeight="1" x14ac:dyDescent="0.25">
      <c r="A249" s="9" t="str">
        <f t="shared" si="49"/>
        <v>РУ1-6</v>
      </c>
      <c r="B249" s="9" t="s">
        <v>18</v>
      </c>
      <c r="C249" s="9"/>
      <c r="D249" s="10" t="s">
        <v>18</v>
      </c>
      <c r="E249" s="9" t="s">
        <v>18</v>
      </c>
      <c r="F249" s="9" t="s">
        <v>11</v>
      </c>
      <c r="G249" s="9" t="s">
        <v>18</v>
      </c>
      <c r="H249" s="12" t="str">
        <f t="shared" si="50"/>
        <v>Блок6</v>
      </c>
      <c r="I249" s="11">
        <v>14850.000000000002</v>
      </c>
    </row>
    <row r="250" spans="1:9" ht="21" customHeight="1" x14ac:dyDescent="0.25">
      <c r="A250" s="9" t="str">
        <f t="shared" si="49"/>
        <v>РУ1-6</v>
      </c>
      <c r="B250" s="9" t="s">
        <v>19</v>
      </c>
      <c r="C250" s="9"/>
      <c r="D250" s="10" t="s">
        <v>19</v>
      </c>
      <c r="E250" s="9" t="s">
        <v>19</v>
      </c>
      <c r="F250" s="9" t="s">
        <v>11</v>
      </c>
      <c r="G250" s="9" t="s">
        <v>19</v>
      </c>
      <c r="H250" s="12" t="str">
        <f t="shared" si="50"/>
        <v>Блок6</v>
      </c>
      <c r="I250" s="11">
        <v>27000</v>
      </c>
    </row>
    <row r="251" spans="1:9" ht="30" customHeight="1" x14ac:dyDescent="0.25">
      <c r="A251" s="14" t="str">
        <f t="shared" si="49"/>
        <v>РУ1-6</v>
      </c>
      <c r="B251" s="14"/>
      <c r="C251" s="14"/>
      <c r="D251" s="14"/>
      <c r="E251" s="15"/>
      <c r="F251" s="17"/>
      <c r="G251" s="14"/>
      <c r="H251" s="12" t="str">
        <f t="shared" si="50"/>
        <v>Блок6</v>
      </c>
      <c r="I251" s="16">
        <v>226948</v>
      </c>
    </row>
    <row r="252" spans="1:9" ht="39.75" customHeight="1" x14ac:dyDescent="0.25">
      <c r="A252" s="7" t="str">
        <f>E252</f>
        <v>ЩУР.МОП1-6</v>
      </c>
      <c r="B252" s="4"/>
      <c r="C252" s="4"/>
      <c r="D252" s="5"/>
      <c r="E252" s="4" t="s">
        <v>74</v>
      </c>
      <c r="F252" s="8" t="s">
        <v>8</v>
      </c>
      <c r="G252" s="4" t="s">
        <v>9</v>
      </c>
      <c r="H252" s="7" t="s">
        <v>73</v>
      </c>
      <c r="I252" s="6"/>
    </row>
    <row r="253" spans="1:9" ht="21" customHeight="1" x14ac:dyDescent="0.25">
      <c r="A253" s="12" t="str">
        <f t="shared" ref="A253:A260" si="51">A252</f>
        <v>ЩУР.МОП1-6</v>
      </c>
      <c r="B253" s="9" t="s">
        <v>10</v>
      </c>
      <c r="C253" s="9"/>
      <c r="D253" s="10" t="s">
        <v>39</v>
      </c>
      <c r="E253" s="9" t="s">
        <v>40</v>
      </c>
      <c r="F253" s="13" t="s">
        <v>11</v>
      </c>
      <c r="G253" s="9" t="s">
        <v>12</v>
      </c>
      <c r="H253" s="12" t="str">
        <f>H252</f>
        <v>Блок6</v>
      </c>
      <c r="I253" s="11">
        <v>10800</v>
      </c>
    </row>
    <row r="254" spans="1:9" ht="21" customHeight="1" x14ac:dyDescent="0.25">
      <c r="A254" s="12" t="str">
        <f t="shared" si="51"/>
        <v>ЩУР.МОП1-6</v>
      </c>
      <c r="B254" s="9" t="s">
        <v>16</v>
      </c>
      <c r="C254" s="9"/>
      <c r="D254" s="10">
        <v>296830</v>
      </c>
      <c r="E254" s="9" t="s">
        <v>148</v>
      </c>
      <c r="F254" s="13" t="s">
        <v>11</v>
      </c>
      <c r="G254" s="9" t="s">
        <v>27</v>
      </c>
      <c r="H254" s="12" t="str">
        <f>H253</f>
        <v>Блок6</v>
      </c>
      <c r="I254" s="11">
        <v>854.7</v>
      </c>
    </row>
    <row r="255" spans="1:9" ht="21" customHeight="1" x14ac:dyDescent="0.25">
      <c r="A255" s="12" t="str">
        <f t="shared" si="51"/>
        <v>ЩУР.МОП1-6</v>
      </c>
      <c r="B255" s="9" t="s">
        <v>16</v>
      </c>
      <c r="C255" s="9"/>
      <c r="D255" s="10">
        <v>296829</v>
      </c>
      <c r="E255" s="9" t="s">
        <v>147</v>
      </c>
      <c r="F255" s="13" t="s">
        <v>11</v>
      </c>
      <c r="G255" s="9" t="s">
        <v>27</v>
      </c>
      <c r="H255" s="12" t="str">
        <f>H254</f>
        <v>Блок6</v>
      </c>
      <c r="I255" s="11">
        <v>3483.1500000000005</v>
      </c>
    </row>
    <row r="256" spans="1:9" ht="21" customHeight="1" x14ac:dyDescent="0.25">
      <c r="A256" s="12" t="str">
        <f t="shared" si="51"/>
        <v>ЩУР.МОП1-6</v>
      </c>
      <c r="B256" s="9" t="s">
        <v>16</v>
      </c>
      <c r="C256" s="9"/>
      <c r="D256" s="10">
        <v>296828</v>
      </c>
      <c r="E256" s="9" t="s">
        <v>150</v>
      </c>
      <c r="F256" s="13" t="s">
        <v>11</v>
      </c>
      <c r="G256" s="9" t="s">
        <v>27</v>
      </c>
      <c r="H256" s="12" t="str">
        <f>H255</f>
        <v>Блок6</v>
      </c>
      <c r="I256" s="11">
        <v>820.05000000000007</v>
      </c>
    </row>
    <row r="257" spans="1:9" ht="21" customHeight="1" x14ac:dyDescent="0.25">
      <c r="A257" s="12" t="str">
        <f t="shared" si="51"/>
        <v>ЩУР.МОП1-6</v>
      </c>
      <c r="B257" s="9" t="s">
        <v>14</v>
      </c>
      <c r="C257" s="9"/>
      <c r="D257" s="10" t="s">
        <v>178</v>
      </c>
      <c r="E257" s="9" t="s">
        <v>179</v>
      </c>
      <c r="F257" s="13" t="s">
        <v>11</v>
      </c>
      <c r="G257" s="9" t="s">
        <v>15</v>
      </c>
      <c r="H257" s="12" t="str">
        <f>H255</f>
        <v>Блок6</v>
      </c>
      <c r="I257" s="11">
        <v>39100</v>
      </c>
    </row>
    <row r="258" spans="1:9" ht="24" customHeight="1" x14ac:dyDescent="0.25">
      <c r="A258" s="9" t="str">
        <f t="shared" si="51"/>
        <v>ЩУР.МОП1-6</v>
      </c>
      <c r="B258" s="9" t="s">
        <v>18</v>
      </c>
      <c r="C258" s="9"/>
      <c r="D258" s="10" t="s">
        <v>18</v>
      </c>
      <c r="E258" s="9" t="s">
        <v>18</v>
      </c>
      <c r="F258" s="9" t="s">
        <v>11</v>
      </c>
      <c r="G258" s="9" t="s">
        <v>18</v>
      </c>
      <c r="H258" s="12" t="str">
        <f>H257</f>
        <v>Блок6</v>
      </c>
      <c r="I258" s="11">
        <v>6600.0000000000009</v>
      </c>
    </row>
    <row r="259" spans="1:9" ht="21" customHeight="1" x14ac:dyDescent="0.25">
      <c r="A259" s="9" t="str">
        <f t="shared" si="51"/>
        <v>ЩУР.МОП1-6</v>
      </c>
      <c r="B259" s="9" t="s">
        <v>19</v>
      </c>
      <c r="C259" s="9"/>
      <c r="D259" s="10" t="s">
        <v>19</v>
      </c>
      <c r="E259" s="9" t="s">
        <v>19</v>
      </c>
      <c r="F259" s="9" t="s">
        <v>11</v>
      </c>
      <c r="G259" s="9" t="s">
        <v>19</v>
      </c>
      <c r="H259" s="12" t="str">
        <f>H258</f>
        <v>Блок6</v>
      </c>
      <c r="I259" s="11">
        <v>12000</v>
      </c>
    </row>
    <row r="260" spans="1:9" ht="30" customHeight="1" x14ac:dyDescent="0.25">
      <c r="A260" s="14" t="str">
        <f t="shared" si="51"/>
        <v>ЩУР.МОП1-6</v>
      </c>
      <c r="B260" s="14"/>
      <c r="C260" s="14"/>
      <c r="D260" s="14"/>
      <c r="E260" s="15"/>
      <c r="F260" s="17"/>
      <c r="G260" s="14"/>
      <c r="H260" s="12" t="str">
        <f>H259</f>
        <v>Блок6</v>
      </c>
      <c r="I260" s="16">
        <v>73657.899999999994</v>
      </c>
    </row>
    <row r="261" spans="1:9" ht="39.75" customHeight="1" x14ac:dyDescent="0.25">
      <c r="A261" s="7" t="str">
        <f>E261</f>
        <v>РЩ1-6 (АВР-Б-40-2-1)</v>
      </c>
      <c r="B261" s="4"/>
      <c r="C261" s="4"/>
      <c r="D261" s="5"/>
      <c r="E261" s="4" t="s">
        <v>137</v>
      </c>
      <c r="F261" s="8" t="s">
        <v>8</v>
      </c>
      <c r="G261" s="4" t="s">
        <v>9</v>
      </c>
      <c r="H261" s="7" t="s">
        <v>73</v>
      </c>
      <c r="I261" s="6"/>
    </row>
    <row r="262" spans="1:9" ht="21" customHeight="1" x14ac:dyDescent="0.25">
      <c r="A262" s="12" t="str">
        <f t="shared" ref="A262:A272" si="52">A261</f>
        <v>РЩ1-6 (АВР-Б-40-2-1)</v>
      </c>
      <c r="B262" s="9" t="s">
        <v>10</v>
      </c>
      <c r="C262" s="9"/>
      <c r="D262" s="10" t="s">
        <v>167</v>
      </c>
      <c r="E262" s="9" t="s">
        <v>168</v>
      </c>
      <c r="F262" s="13" t="s">
        <v>11</v>
      </c>
      <c r="G262" s="9" t="s">
        <v>12</v>
      </c>
      <c r="H262" s="12" t="str">
        <f t="shared" ref="H262:H272" si="53">H261</f>
        <v>Блок6</v>
      </c>
      <c r="I262" s="11">
        <v>78000</v>
      </c>
    </row>
    <row r="263" spans="1:9" ht="21" customHeight="1" x14ac:dyDescent="0.25">
      <c r="A263" s="12" t="str">
        <f t="shared" si="52"/>
        <v>РЩ1-6 (АВР-Б-40-2-1)</v>
      </c>
      <c r="B263" s="9" t="s">
        <v>43</v>
      </c>
      <c r="C263" s="9"/>
      <c r="D263" s="10" t="s">
        <v>161</v>
      </c>
      <c r="E263" s="9" t="s">
        <v>162</v>
      </c>
      <c r="F263" s="13" t="s">
        <v>11</v>
      </c>
      <c r="G263" s="9" t="s">
        <v>13</v>
      </c>
      <c r="H263" s="12" t="str">
        <f t="shared" si="53"/>
        <v>Блок6</v>
      </c>
      <c r="I263" s="11">
        <v>63116.900000000009</v>
      </c>
    </row>
    <row r="264" spans="1:9" ht="21" customHeight="1" x14ac:dyDescent="0.25">
      <c r="A264" s="12" t="str">
        <f t="shared" si="52"/>
        <v>РЩ1-6 (АВР-Б-40-2-1)</v>
      </c>
      <c r="B264" s="9" t="s">
        <v>26</v>
      </c>
      <c r="C264" s="9"/>
      <c r="D264" s="10">
        <v>126505</v>
      </c>
      <c r="E264" s="9" t="s">
        <v>44</v>
      </c>
      <c r="F264" s="13" t="s">
        <v>11</v>
      </c>
      <c r="G264" s="9" t="s">
        <v>27</v>
      </c>
      <c r="H264" s="12" t="str">
        <f t="shared" si="53"/>
        <v>Блок6</v>
      </c>
      <c r="I264" s="11">
        <v>17314</v>
      </c>
    </row>
    <row r="265" spans="1:9" ht="21" customHeight="1" x14ac:dyDescent="0.25">
      <c r="A265" s="12" t="str">
        <f t="shared" si="52"/>
        <v>РЩ1-6 (АВР-Б-40-2-1)</v>
      </c>
      <c r="B265" s="9" t="s">
        <v>26</v>
      </c>
      <c r="C265" s="9"/>
      <c r="D265" s="10">
        <v>126677</v>
      </c>
      <c r="E265" s="9" t="s">
        <v>42</v>
      </c>
      <c r="F265" s="13" t="s">
        <v>11</v>
      </c>
      <c r="G265" s="9" t="s">
        <v>27</v>
      </c>
      <c r="H265" s="12" t="str">
        <f t="shared" si="53"/>
        <v>Блок6</v>
      </c>
      <c r="I265" s="11">
        <v>24324.300000000003</v>
      </c>
    </row>
    <row r="266" spans="1:9" ht="21" customHeight="1" x14ac:dyDescent="0.25">
      <c r="A266" s="12" t="str">
        <f t="shared" si="52"/>
        <v>РЩ1-6 (АВР-Б-40-2-1)</v>
      </c>
      <c r="B266" s="9" t="s">
        <v>16</v>
      </c>
      <c r="C266" s="9"/>
      <c r="D266" s="10">
        <v>814174</v>
      </c>
      <c r="E266" s="9" t="s">
        <v>45</v>
      </c>
      <c r="F266" s="13" t="s">
        <v>11</v>
      </c>
      <c r="G266" s="9" t="s">
        <v>27</v>
      </c>
      <c r="H266" s="12" t="str">
        <f t="shared" si="53"/>
        <v>Блок6</v>
      </c>
      <c r="I266" s="11">
        <v>5305.3</v>
      </c>
    </row>
    <row r="267" spans="1:9" ht="21" customHeight="1" x14ac:dyDescent="0.25">
      <c r="A267" s="12" t="str">
        <f t="shared" si="52"/>
        <v>РЩ1-6 (АВР-Б-40-2-1)</v>
      </c>
      <c r="B267" s="9" t="s">
        <v>16</v>
      </c>
      <c r="C267" s="9"/>
      <c r="D267" s="10">
        <v>814167</v>
      </c>
      <c r="E267" s="9" t="s">
        <v>47</v>
      </c>
      <c r="F267" s="13" t="s">
        <v>11</v>
      </c>
      <c r="G267" s="9" t="s">
        <v>27</v>
      </c>
      <c r="H267" s="12" t="str">
        <f t="shared" si="53"/>
        <v>Блок6</v>
      </c>
      <c r="I267" s="11">
        <v>2852.8500000000004</v>
      </c>
    </row>
    <row r="268" spans="1:9" ht="21" customHeight="1" x14ac:dyDescent="0.25">
      <c r="A268" s="12" t="str">
        <f t="shared" si="52"/>
        <v>РЩ1-6 (АВР-Б-40-2-1)</v>
      </c>
      <c r="B268" s="9" t="s">
        <v>14</v>
      </c>
      <c r="C268" s="9"/>
      <c r="D268" s="10" t="s">
        <v>178</v>
      </c>
      <c r="E268" s="9" t="s">
        <v>179</v>
      </c>
      <c r="F268" s="13" t="s">
        <v>11</v>
      </c>
      <c r="G268" s="9" t="s">
        <v>15</v>
      </c>
      <c r="H268" s="12" t="str">
        <f t="shared" si="53"/>
        <v>Блок6</v>
      </c>
      <c r="I268" s="11">
        <v>39100</v>
      </c>
    </row>
    <row r="269" spans="1:9" ht="21" customHeight="1" x14ac:dyDescent="0.25">
      <c r="A269" s="12" t="str">
        <f t="shared" si="52"/>
        <v>РЩ1-6 (АВР-Б-40-2-1)</v>
      </c>
      <c r="B269" s="9" t="s">
        <v>29</v>
      </c>
      <c r="C269" s="9"/>
      <c r="D269" s="10"/>
      <c r="E269" s="9" t="s">
        <v>30</v>
      </c>
      <c r="F269" s="13" t="s">
        <v>11</v>
      </c>
      <c r="G269" s="9" t="s">
        <v>24</v>
      </c>
      <c r="H269" s="12" t="e">
        <f>#REF!</f>
        <v>#REF!</v>
      </c>
      <c r="I269" s="11">
        <v>14850</v>
      </c>
    </row>
    <row r="270" spans="1:9" ht="24" customHeight="1" x14ac:dyDescent="0.25">
      <c r="A270" s="9" t="str">
        <f t="shared" si="52"/>
        <v>РЩ1-6 (АВР-Б-40-2-1)</v>
      </c>
      <c r="B270" s="9" t="s">
        <v>18</v>
      </c>
      <c r="C270" s="9"/>
      <c r="D270" s="10" t="s">
        <v>18</v>
      </c>
      <c r="E270" s="9" t="s">
        <v>18</v>
      </c>
      <c r="F270" s="9" t="s">
        <v>11</v>
      </c>
      <c r="G270" s="9" t="s">
        <v>18</v>
      </c>
      <c r="H270" s="12" t="e">
        <f t="shared" si="53"/>
        <v>#REF!</v>
      </c>
      <c r="I270" s="11">
        <v>21450</v>
      </c>
    </row>
    <row r="271" spans="1:9" ht="21" customHeight="1" x14ac:dyDescent="0.25">
      <c r="A271" s="9" t="str">
        <f t="shared" si="52"/>
        <v>РЩ1-6 (АВР-Б-40-2-1)</v>
      </c>
      <c r="B271" s="9" t="s">
        <v>19</v>
      </c>
      <c r="C271" s="9"/>
      <c r="D271" s="10" t="s">
        <v>19</v>
      </c>
      <c r="E271" s="9" t="s">
        <v>19</v>
      </c>
      <c r="F271" s="9" t="s">
        <v>11</v>
      </c>
      <c r="G271" s="9" t="s">
        <v>19</v>
      </c>
      <c r="H271" s="12" t="e">
        <f t="shared" si="53"/>
        <v>#REF!</v>
      </c>
      <c r="I271" s="11">
        <v>39000</v>
      </c>
    </row>
    <row r="272" spans="1:9" ht="30" customHeight="1" x14ac:dyDescent="0.25">
      <c r="A272" s="14" t="str">
        <f t="shared" si="52"/>
        <v>РЩ1-6 (АВР-Б-40-2-1)</v>
      </c>
      <c r="B272" s="14"/>
      <c r="C272" s="14"/>
      <c r="D272" s="14"/>
      <c r="E272" s="15"/>
      <c r="F272" s="17"/>
      <c r="G272" s="14"/>
      <c r="H272" s="12" t="e">
        <f t="shared" si="53"/>
        <v>#REF!</v>
      </c>
      <c r="I272" s="16">
        <v>305313.34999999998</v>
      </c>
    </row>
    <row r="273" spans="1:9" ht="39.75" customHeight="1" x14ac:dyDescent="0.25">
      <c r="A273" s="7" t="str">
        <f>E273</f>
        <v>ВРУ1-7</v>
      </c>
      <c r="B273" s="4"/>
      <c r="C273" s="4"/>
      <c r="D273" s="5"/>
      <c r="E273" s="4" t="s">
        <v>75</v>
      </c>
      <c r="F273" s="8" t="s">
        <v>8</v>
      </c>
      <c r="G273" s="4" t="s">
        <v>9</v>
      </c>
      <c r="H273" s="7" t="s">
        <v>76</v>
      </c>
      <c r="I273" s="6"/>
    </row>
    <row r="274" spans="1:9" ht="21" customHeight="1" x14ac:dyDescent="0.25">
      <c r="A274" s="12" t="str">
        <f t="shared" ref="A274:A284" si="54">A273</f>
        <v>ВРУ1-7</v>
      </c>
      <c r="B274" s="9" t="s">
        <v>10</v>
      </c>
      <c r="C274" s="9"/>
      <c r="D274" s="10" t="s">
        <v>171</v>
      </c>
      <c r="E274" s="9" t="s">
        <v>172</v>
      </c>
      <c r="F274" s="13" t="s">
        <v>11</v>
      </c>
      <c r="G274" s="9" t="s">
        <v>12</v>
      </c>
      <c r="H274" s="12" t="str">
        <f t="shared" ref="H274:H276" si="55">H273</f>
        <v>Блок7</v>
      </c>
      <c r="I274" s="11">
        <v>93900</v>
      </c>
    </row>
    <row r="275" spans="1:9" ht="21" customHeight="1" x14ac:dyDescent="0.25">
      <c r="A275" s="12" t="str">
        <f t="shared" si="54"/>
        <v>ВРУ1-7</v>
      </c>
      <c r="B275" s="9" t="s">
        <v>22</v>
      </c>
      <c r="C275" s="9"/>
      <c r="D275" s="10"/>
      <c r="E275" s="9" t="s">
        <v>23</v>
      </c>
      <c r="F275" s="13" t="s">
        <v>11</v>
      </c>
      <c r="G275" s="9" t="s">
        <v>24</v>
      </c>
      <c r="H275" s="12" t="str">
        <f t="shared" si="55"/>
        <v>Блок7</v>
      </c>
      <c r="I275" s="11">
        <v>28206</v>
      </c>
    </row>
    <row r="276" spans="1:9" ht="21" customHeight="1" x14ac:dyDescent="0.25">
      <c r="A276" s="12" t="str">
        <f t="shared" si="54"/>
        <v>ВРУ1-7</v>
      </c>
      <c r="B276" s="9" t="s">
        <v>25</v>
      </c>
      <c r="C276" s="9"/>
      <c r="D276" s="10" t="s">
        <v>176</v>
      </c>
      <c r="E276" s="9" t="s">
        <v>177</v>
      </c>
      <c r="F276" s="13" t="s">
        <v>11</v>
      </c>
      <c r="G276" s="9" t="s">
        <v>24</v>
      </c>
      <c r="H276" s="12" t="str">
        <f t="shared" si="55"/>
        <v>Блок7</v>
      </c>
      <c r="I276" s="11">
        <v>28050.000000000004</v>
      </c>
    </row>
    <row r="277" spans="1:9" ht="21" customHeight="1" x14ac:dyDescent="0.25">
      <c r="A277" s="12" t="str">
        <f t="shared" si="54"/>
        <v>ВРУ1-7</v>
      </c>
      <c r="B277" s="9" t="s">
        <v>126</v>
      </c>
      <c r="C277" s="9"/>
      <c r="D277" s="10" t="s">
        <v>129</v>
      </c>
      <c r="E277" s="9" t="s">
        <v>130</v>
      </c>
      <c r="F277" s="13" t="s">
        <v>11</v>
      </c>
      <c r="G277" s="9" t="s">
        <v>13</v>
      </c>
      <c r="H277" s="12" t="str">
        <f>H275</f>
        <v>Блок7</v>
      </c>
      <c r="I277" s="11">
        <v>5225</v>
      </c>
    </row>
    <row r="278" spans="1:9" ht="21" customHeight="1" x14ac:dyDescent="0.25">
      <c r="A278" s="12" t="str">
        <f t="shared" si="54"/>
        <v>ВРУ1-7</v>
      </c>
      <c r="B278" s="9" t="s">
        <v>125</v>
      </c>
      <c r="C278" s="9"/>
      <c r="D278" s="10" t="s">
        <v>127</v>
      </c>
      <c r="E278" s="9" t="s">
        <v>128</v>
      </c>
      <c r="F278" s="13" t="s">
        <v>11</v>
      </c>
      <c r="G278" s="9" t="s">
        <v>13</v>
      </c>
      <c r="H278" s="12" t="str">
        <f t="shared" ref="H278:H284" si="56">H276</f>
        <v>Блок7</v>
      </c>
      <c r="I278" s="11">
        <v>3648.7000000000003</v>
      </c>
    </row>
    <row r="279" spans="1:9" ht="21" customHeight="1" x14ac:dyDescent="0.25">
      <c r="A279" s="12" t="str">
        <f t="shared" si="54"/>
        <v>ВРУ1-7</v>
      </c>
      <c r="B279" s="9" t="s">
        <v>16</v>
      </c>
      <c r="C279" s="9"/>
      <c r="D279" s="10">
        <v>296708</v>
      </c>
      <c r="E279" s="9" t="s">
        <v>28</v>
      </c>
      <c r="F279" s="13" t="s">
        <v>11</v>
      </c>
      <c r="G279" s="9" t="s">
        <v>27</v>
      </c>
      <c r="H279" s="12" t="str">
        <f t="shared" si="56"/>
        <v>Блок7</v>
      </c>
      <c r="I279" s="11">
        <v>910.80000000000007</v>
      </c>
    </row>
    <row r="280" spans="1:9" ht="21" customHeight="1" x14ac:dyDescent="0.25">
      <c r="A280" s="12" t="str">
        <f t="shared" si="54"/>
        <v>ВРУ1-7</v>
      </c>
      <c r="B280" s="9" t="s">
        <v>14</v>
      </c>
      <c r="C280" s="9"/>
      <c r="D280" s="10" t="s">
        <v>178</v>
      </c>
      <c r="E280" s="9" t="s">
        <v>179</v>
      </c>
      <c r="F280" s="13" t="s">
        <v>11</v>
      </c>
      <c r="G280" s="9" t="s">
        <v>15</v>
      </c>
      <c r="H280" s="12" t="str">
        <f t="shared" si="56"/>
        <v>Блок7</v>
      </c>
      <c r="I280" s="11">
        <v>78200</v>
      </c>
    </row>
    <row r="281" spans="1:9" ht="21" customHeight="1" x14ac:dyDescent="0.25">
      <c r="A281" s="12" t="str">
        <f t="shared" si="54"/>
        <v>ВРУ1-7</v>
      </c>
      <c r="B281" s="9" t="s">
        <v>29</v>
      </c>
      <c r="C281" s="9"/>
      <c r="D281" s="10"/>
      <c r="E281" s="9" t="s">
        <v>30</v>
      </c>
      <c r="F281" s="13" t="s">
        <v>11</v>
      </c>
      <c r="G281" s="9" t="s">
        <v>24</v>
      </c>
      <c r="H281" s="12" t="str">
        <f t="shared" si="56"/>
        <v>Блок7</v>
      </c>
      <c r="I281" s="11">
        <v>14850</v>
      </c>
    </row>
    <row r="282" spans="1:9" ht="24" customHeight="1" x14ac:dyDescent="0.25">
      <c r="A282" s="9" t="str">
        <f t="shared" si="54"/>
        <v>ВРУ1-7</v>
      </c>
      <c r="B282" s="9" t="s">
        <v>18</v>
      </c>
      <c r="C282" s="9"/>
      <c r="D282" s="10" t="s">
        <v>18</v>
      </c>
      <c r="E282" s="9" t="s">
        <v>18</v>
      </c>
      <c r="F282" s="9" t="s">
        <v>11</v>
      </c>
      <c r="G282" s="9" t="s">
        <v>18</v>
      </c>
      <c r="H282" s="12" t="str">
        <f t="shared" si="56"/>
        <v>Блок7</v>
      </c>
      <c r="I282" s="11">
        <v>26400.000000000004</v>
      </c>
    </row>
    <row r="283" spans="1:9" ht="21" customHeight="1" x14ac:dyDescent="0.25">
      <c r="A283" s="9" t="str">
        <f t="shared" si="54"/>
        <v>ВРУ1-7</v>
      </c>
      <c r="B283" s="9" t="s">
        <v>19</v>
      </c>
      <c r="C283" s="9"/>
      <c r="D283" s="10" t="s">
        <v>19</v>
      </c>
      <c r="E283" s="9" t="s">
        <v>19</v>
      </c>
      <c r="F283" s="9" t="s">
        <v>11</v>
      </c>
      <c r="G283" s="9" t="s">
        <v>19</v>
      </c>
      <c r="H283" s="12" t="str">
        <f t="shared" si="56"/>
        <v>Блок7</v>
      </c>
      <c r="I283" s="11">
        <v>48000</v>
      </c>
    </row>
    <row r="284" spans="1:9" ht="30" customHeight="1" x14ac:dyDescent="0.25">
      <c r="A284" s="14" t="str">
        <f t="shared" si="54"/>
        <v>ВРУ1-7</v>
      </c>
      <c r="B284" s="14"/>
      <c r="C284" s="14"/>
      <c r="D284" s="14"/>
      <c r="E284" s="15"/>
      <c r="F284" s="17"/>
      <c r="G284" s="14"/>
      <c r="H284" s="12" t="str">
        <f t="shared" si="56"/>
        <v>Блок7</v>
      </c>
      <c r="I284" s="16">
        <v>327390.5</v>
      </c>
    </row>
    <row r="285" spans="1:9" ht="39.75" customHeight="1" x14ac:dyDescent="0.25">
      <c r="A285" s="7" t="str">
        <f>E285</f>
        <v>РУ-1-7</v>
      </c>
      <c r="B285" s="4"/>
      <c r="C285" s="4"/>
      <c r="D285" s="5"/>
      <c r="E285" s="4" t="s">
        <v>77</v>
      </c>
      <c r="F285" s="8" t="s">
        <v>8</v>
      </c>
      <c r="G285" s="4" t="s">
        <v>9</v>
      </c>
      <c r="H285" s="7" t="s">
        <v>76</v>
      </c>
      <c r="I285" s="6"/>
    </row>
    <row r="286" spans="1:9" ht="21" customHeight="1" x14ac:dyDescent="0.25">
      <c r="A286" s="12" t="str">
        <f t="shared" ref="A286:A292" si="57">A285</f>
        <v>РУ-1-7</v>
      </c>
      <c r="B286" s="9" t="s">
        <v>10</v>
      </c>
      <c r="C286" s="9"/>
      <c r="D286" s="10" t="s">
        <v>169</v>
      </c>
      <c r="E286" s="9" t="s">
        <v>170</v>
      </c>
      <c r="F286" s="13" t="s">
        <v>11</v>
      </c>
      <c r="G286" s="9" t="s">
        <v>12</v>
      </c>
      <c r="H286" s="12" t="str">
        <f t="shared" ref="H286:H292" si="58">H285</f>
        <v>Блок7</v>
      </c>
      <c r="I286" s="11">
        <v>87000</v>
      </c>
    </row>
    <row r="287" spans="1:9" ht="21" customHeight="1" x14ac:dyDescent="0.25">
      <c r="A287" s="12" t="str">
        <f t="shared" si="57"/>
        <v>РУ-1-7</v>
      </c>
      <c r="B287" s="9" t="s">
        <v>26</v>
      </c>
      <c r="C287" s="9"/>
      <c r="D287" s="10">
        <v>126583</v>
      </c>
      <c r="E287" s="9" t="s">
        <v>32</v>
      </c>
      <c r="F287" s="13" t="s">
        <v>11</v>
      </c>
      <c r="G287" s="9" t="s">
        <v>27</v>
      </c>
      <c r="H287" s="12" t="str">
        <f t="shared" si="58"/>
        <v>Блок7</v>
      </c>
      <c r="I287" s="11">
        <v>63063.000000000007</v>
      </c>
    </row>
    <row r="288" spans="1:9" ht="21" customHeight="1" x14ac:dyDescent="0.25">
      <c r="A288" s="12" t="str">
        <f t="shared" si="57"/>
        <v>РУ-1-7</v>
      </c>
      <c r="B288" s="9" t="s">
        <v>26</v>
      </c>
      <c r="C288" s="9"/>
      <c r="D288" s="10">
        <v>126586</v>
      </c>
      <c r="E288" s="9" t="s">
        <v>67</v>
      </c>
      <c r="F288" s="13" t="s">
        <v>11</v>
      </c>
      <c r="G288" s="9" t="s">
        <v>27</v>
      </c>
      <c r="H288" s="12" t="str">
        <f t="shared" si="58"/>
        <v>Блок7</v>
      </c>
      <c r="I288" s="11">
        <v>16216.2</v>
      </c>
    </row>
    <row r="289" spans="1:9" ht="21" customHeight="1" x14ac:dyDescent="0.25">
      <c r="A289" s="12" t="str">
        <f t="shared" si="57"/>
        <v>РУ-1-7</v>
      </c>
      <c r="B289" s="9" t="s">
        <v>26</v>
      </c>
      <c r="C289" s="9"/>
      <c r="D289" s="10">
        <v>126507</v>
      </c>
      <c r="E289" s="9" t="s">
        <v>34</v>
      </c>
      <c r="F289" s="13" t="s">
        <v>11</v>
      </c>
      <c r="G289" s="9" t="s">
        <v>27</v>
      </c>
      <c r="H289" s="12" t="str">
        <f t="shared" si="58"/>
        <v>Блок7</v>
      </c>
      <c r="I289" s="11">
        <v>18818.800000000003</v>
      </c>
    </row>
    <row r="290" spans="1:9" ht="24" customHeight="1" x14ac:dyDescent="0.25">
      <c r="A290" s="9" t="str">
        <f t="shared" si="57"/>
        <v>РУ-1-7</v>
      </c>
      <c r="B290" s="9" t="s">
        <v>18</v>
      </c>
      <c r="C290" s="9"/>
      <c r="D290" s="10" t="s">
        <v>18</v>
      </c>
      <c r="E290" s="9" t="s">
        <v>18</v>
      </c>
      <c r="F290" s="9" t="s">
        <v>11</v>
      </c>
      <c r="G290" s="9" t="s">
        <v>18</v>
      </c>
      <c r="H290" s="12" t="str">
        <f t="shared" si="58"/>
        <v>Блок7</v>
      </c>
      <c r="I290" s="11">
        <v>14850.000000000002</v>
      </c>
    </row>
    <row r="291" spans="1:9" ht="21" customHeight="1" x14ac:dyDescent="0.25">
      <c r="A291" s="9" t="str">
        <f t="shared" si="57"/>
        <v>РУ-1-7</v>
      </c>
      <c r="B291" s="9" t="s">
        <v>19</v>
      </c>
      <c r="C291" s="9"/>
      <c r="D291" s="10" t="s">
        <v>19</v>
      </c>
      <c r="E291" s="9" t="s">
        <v>19</v>
      </c>
      <c r="F291" s="9" t="s">
        <v>11</v>
      </c>
      <c r="G291" s="9" t="s">
        <v>19</v>
      </c>
      <c r="H291" s="12" t="str">
        <f t="shared" si="58"/>
        <v>Блок7</v>
      </c>
      <c r="I291" s="11">
        <v>27000</v>
      </c>
    </row>
    <row r="292" spans="1:9" ht="30" customHeight="1" x14ac:dyDescent="0.25">
      <c r="A292" s="14" t="str">
        <f t="shared" si="57"/>
        <v>РУ-1-7</v>
      </c>
      <c r="B292" s="14"/>
      <c r="C292" s="14"/>
      <c r="D292" s="14"/>
      <c r="E292" s="15"/>
      <c r="F292" s="17"/>
      <c r="G292" s="14"/>
      <c r="H292" s="12" t="str">
        <f t="shared" si="58"/>
        <v>Блок7</v>
      </c>
      <c r="I292" s="16">
        <v>226948</v>
      </c>
    </row>
    <row r="293" spans="1:9" ht="39.75" customHeight="1" x14ac:dyDescent="0.25">
      <c r="A293" s="7" t="str">
        <f>E293</f>
        <v>ЩУР.МОП1-7</v>
      </c>
      <c r="B293" s="4"/>
      <c r="C293" s="4"/>
      <c r="D293" s="5"/>
      <c r="E293" s="4" t="s">
        <v>78</v>
      </c>
      <c r="F293" s="8" t="s">
        <v>8</v>
      </c>
      <c r="G293" s="4" t="s">
        <v>9</v>
      </c>
      <c r="H293" s="7" t="s">
        <v>76</v>
      </c>
      <c r="I293" s="6"/>
    </row>
    <row r="294" spans="1:9" ht="21" customHeight="1" x14ac:dyDescent="0.25">
      <c r="A294" s="12" t="str">
        <f t="shared" ref="A294:A301" si="59">A293</f>
        <v>ЩУР.МОП1-7</v>
      </c>
      <c r="B294" s="9" t="s">
        <v>10</v>
      </c>
      <c r="C294" s="9"/>
      <c r="D294" s="10" t="s">
        <v>39</v>
      </c>
      <c r="E294" s="9" t="s">
        <v>40</v>
      </c>
      <c r="F294" s="13" t="s">
        <v>11</v>
      </c>
      <c r="G294" s="9" t="s">
        <v>12</v>
      </c>
      <c r="H294" s="12" t="str">
        <f t="shared" ref="H294:H301" si="60">H293</f>
        <v>Блок7</v>
      </c>
      <c r="I294" s="11">
        <v>10800</v>
      </c>
    </row>
    <row r="295" spans="1:9" ht="21" customHeight="1" x14ac:dyDescent="0.25">
      <c r="A295" s="12" t="str">
        <f t="shared" si="59"/>
        <v>ЩУР.МОП1-7</v>
      </c>
      <c r="B295" s="9" t="s">
        <v>16</v>
      </c>
      <c r="C295" s="9"/>
      <c r="D295" s="10">
        <v>296830</v>
      </c>
      <c r="E295" s="9" t="s">
        <v>148</v>
      </c>
      <c r="F295" s="13" t="s">
        <v>11</v>
      </c>
      <c r="G295" s="9" t="s">
        <v>27</v>
      </c>
      <c r="H295" s="12" t="str">
        <f t="shared" si="60"/>
        <v>Блок7</v>
      </c>
      <c r="I295" s="11">
        <v>854.7</v>
      </c>
    </row>
    <row r="296" spans="1:9" ht="21" customHeight="1" x14ac:dyDescent="0.25">
      <c r="A296" s="12" t="str">
        <f t="shared" si="59"/>
        <v>ЩУР.МОП1-7</v>
      </c>
      <c r="B296" s="9" t="s">
        <v>16</v>
      </c>
      <c r="C296" s="9"/>
      <c r="D296" s="10">
        <v>296828</v>
      </c>
      <c r="E296" s="9" t="s">
        <v>150</v>
      </c>
      <c r="F296" s="13" t="s">
        <v>11</v>
      </c>
      <c r="G296" s="9" t="s">
        <v>27</v>
      </c>
      <c r="H296" s="12" t="str">
        <f t="shared" si="60"/>
        <v>Блок7</v>
      </c>
      <c r="I296" s="11">
        <v>820.05000000000007</v>
      </c>
    </row>
    <row r="297" spans="1:9" ht="21" customHeight="1" x14ac:dyDescent="0.25">
      <c r="A297" s="12" t="str">
        <f t="shared" si="59"/>
        <v>ЩУР.МОП1-7</v>
      </c>
      <c r="B297" s="9" t="s">
        <v>16</v>
      </c>
      <c r="C297" s="9"/>
      <c r="D297" s="10">
        <v>296829</v>
      </c>
      <c r="E297" s="9" t="s">
        <v>147</v>
      </c>
      <c r="F297" s="13" t="s">
        <v>11</v>
      </c>
      <c r="G297" s="9" t="s">
        <v>27</v>
      </c>
      <c r="H297" s="12" t="str">
        <f t="shared" si="60"/>
        <v>Блок7</v>
      </c>
      <c r="I297" s="11">
        <v>3483.1500000000005</v>
      </c>
    </row>
    <row r="298" spans="1:9" ht="21" customHeight="1" x14ac:dyDescent="0.25">
      <c r="A298" s="12" t="str">
        <f t="shared" si="59"/>
        <v>ЩУР.МОП1-7</v>
      </c>
      <c r="B298" s="9" t="s">
        <v>14</v>
      </c>
      <c r="C298" s="9"/>
      <c r="D298" s="10" t="s">
        <v>178</v>
      </c>
      <c r="E298" s="9" t="s">
        <v>179</v>
      </c>
      <c r="F298" s="13" t="s">
        <v>11</v>
      </c>
      <c r="G298" s="9" t="s">
        <v>15</v>
      </c>
      <c r="H298" s="12" t="str">
        <f t="shared" si="60"/>
        <v>Блок7</v>
      </c>
      <c r="I298" s="11">
        <v>39100</v>
      </c>
    </row>
    <row r="299" spans="1:9" ht="24" customHeight="1" x14ac:dyDescent="0.25">
      <c r="A299" s="9" t="str">
        <f t="shared" si="59"/>
        <v>ЩУР.МОП1-7</v>
      </c>
      <c r="B299" s="9" t="s">
        <v>18</v>
      </c>
      <c r="C299" s="9"/>
      <c r="D299" s="10" t="s">
        <v>18</v>
      </c>
      <c r="E299" s="9" t="s">
        <v>18</v>
      </c>
      <c r="F299" s="9" t="s">
        <v>11</v>
      </c>
      <c r="G299" s="9" t="s">
        <v>18</v>
      </c>
      <c r="H299" s="12" t="str">
        <f t="shared" si="60"/>
        <v>Блок7</v>
      </c>
      <c r="I299" s="11">
        <v>6600.0000000000009</v>
      </c>
    </row>
    <row r="300" spans="1:9" ht="21" customHeight="1" x14ac:dyDescent="0.25">
      <c r="A300" s="9" t="str">
        <f t="shared" si="59"/>
        <v>ЩУР.МОП1-7</v>
      </c>
      <c r="B300" s="9" t="s">
        <v>19</v>
      </c>
      <c r="C300" s="9"/>
      <c r="D300" s="10" t="s">
        <v>19</v>
      </c>
      <c r="E300" s="9" t="s">
        <v>19</v>
      </c>
      <c r="F300" s="9" t="s">
        <v>11</v>
      </c>
      <c r="G300" s="9" t="s">
        <v>19</v>
      </c>
      <c r="H300" s="12" t="str">
        <f t="shared" si="60"/>
        <v>Блок7</v>
      </c>
      <c r="I300" s="11">
        <v>12000</v>
      </c>
    </row>
    <row r="301" spans="1:9" ht="30" customHeight="1" x14ac:dyDescent="0.25">
      <c r="A301" s="14" t="str">
        <f t="shared" si="59"/>
        <v>ЩУР.МОП1-7</v>
      </c>
      <c r="B301" s="14"/>
      <c r="C301" s="14"/>
      <c r="D301" s="14"/>
      <c r="E301" s="15"/>
      <c r="F301" s="17"/>
      <c r="G301" s="14"/>
      <c r="H301" s="12" t="str">
        <f t="shared" si="60"/>
        <v>Блок7</v>
      </c>
      <c r="I301" s="16">
        <v>73657.899999999994</v>
      </c>
    </row>
    <row r="302" spans="1:9" ht="39.75" customHeight="1" x14ac:dyDescent="0.25">
      <c r="A302" s="7" t="str">
        <f>E302</f>
        <v>РЩ1-7 (АВР-Б-40-2-1)</v>
      </c>
      <c r="B302" s="4"/>
      <c r="C302" s="4"/>
      <c r="D302" s="5"/>
      <c r="E302" s="4" t="s">
        <v>138</v>
      </c>
      <c r="F302" s="8" t="s">
        <v>8</v>
      </c>
      <c r="G302" s="4" t="s">
        <v>9</v>
      </c>
      <c r="H302" s="7" t="s">
        <v>76</v>
      </c>
      <c r="I302" s="6"/>
    </row>
    <row r="303" spans="1:9" ht="21" customHeight="1" x14ac:dyDescent="0.25">
      <c r="A303" s="12" t="str">
        <f t="shared" ref="A303:A313" si="61">A302</f>
        <v>РЩ1-7 (АВР-Б-40-2-1)</v>
      </c>
      <c r="B303" s="9" t="s">
        <v>10</v>
      </c>
      <c r="C303" s="9"/>
      <c r="D303" s="10" t="s">
        <v>167</v>
      </c>
      <c r="E303" s="9" t="s">
        <v>168</v>
      </c>
      <c r="F303" s="13" t="s">
        <v>11</v>
      </c>
      <c r="G303" s="9" t="s">
        <v>12</v>
      </c>
      <c r="H303" s="12" t="str">
        <f t="shared" ref="H303:H313" si="62">H302</f>
        <v>Блок7</v>
      </c>
      <c r="I303" s="11">
        <v>78000</v>
      </c>
    </row>
    <row r="304" spans="1:9" ht="21" customHeight="1" x14ac:dyDescent="0.25">
      <c r="A304" s="12" t="str">
        <f t="shared" si="61"/>
        <v>РЩ1-7 (АВР-Б-40-2-1)</v>
      </c>
      <c r="B304" s="9" t="s">
        <v>43</v>
      </c>
      <c r="C304" s="9"/>
      <c r="D304" s="10" t="s">
        <v>161</v>
      </c>
      <c r="E304" s="9" t="s">
        <v>162</v>
      </c>
      <c r="F304" s="13" t="s">
        <v>11</v>
      </c>
      <c r="G304" s="9" t="s">
        <v>13</v>
      </c>
      <c r="H304" s="12" t="str">
        <f t="shared" si="62"/>
        <v>Блок7</v>
      </c>
      <c r="I304" s="11">
        <v>63116.900000000009</v>
      </c>
    </row>
    <row r="305" spans="1:9" ht="21" customHeight="1" x14ac:dyDescent="0.25">
      <c r="A305" s="12" t="str">
        <f t="shared" si="61"/>
        <v>РЩ1-7 (АВР-Б-40-2-1)</v>
      </c>
      <c r="B305" s="9" t="s">
        <v>26</v>
      </c>
      <c r="C305" s="9"/>
      <c r="D305" s="10">
        <v>126505</v>
      </c>
      <c r="E305" s="9" t="s">
        <v>44</v>
      </c>
      <c r="F305" s="13" t="s">
        <v>11</v>
      </c>
      <c r="G305" s="9" t="s">
        <v>27</v>
      </c>
      <c r="H305" s="12" t="str">
        <f t="shared" si="62"/>
        <v>Блок7</v>
      </c>
      <c r="I305" s="11">
        <v>17314</v>
      </c>
    </row>
    <row r="306" spans="1:9" ht="21" customHeight="1" x14ac:dyDescent="0.25">
      <c r="A306" s="12" t="str">
        <f t="shared" si="61"/>
        <v>РЩ1-7 (АВР-Б-40-2-1)</v>
      </c>
      <c r="B306" s="9" t="s">
        <v>26</v>
      </c>
      <c r="C306" s="9"/>
      <c r="D306" s="10">
        <v>126677</v>
      </c>
      <c r="E306" s="9" t="s">
        <v>42</v>
      </c>
      <c r="F306" s="13" t="s">
        <v>11</v>
      </c>
      <c r="G306" s="9" t="s">
        <v>27</v>
      </c>
      <c r="H306" s="12" t="str">
        <f t="shared" si="62"/>
        <v>Блок7</v>
      </c>
      <c r="I306" s="11">
        <v>24324.300000000003</v>
      </c>
    </row>
    <row r="307" spans="1:9" ht="21" customHeight="1" x14ac:dyDescent="0.25">
      <c r="A307" s="12" t="str">
        <f t="shared" si="61"/>
        <v>РЩ1-7 (АВР-Б-40-2-1)</v>
      </c>
      <c r="B307" s="9" t="s">
        <v>16</v>
      </c>
      <c r="C307" s="9"/>
      <c r="D307" s="10">
        <v>814174</v>
      </c>
      <c r="E307" s="9" t="s">
        <v>45</v>
      </c>
      <c r="F307" s="13" t="s">
        <v>11</v>
      </c>
      <c r="G307" s="9" t="s">
        <v>27</v>
      </c>
      <c r="H307" s="12" t="str">
        <f t="shared" si="62"/>
        <v>Блок7</v>
      </c>
      <c r="I307" s="11">
        <v>5305.3</v>
      </c>
    </row>
    <row r="308" spans="1:9" ht="21" customHeight="1" x14ac:dyDescent="0.25">
      <c r="A308" s="12" t="str">
        <f t="shared" si="61"/>
        <v>РЩ1-7 (АВР-Б-40-2-1)</v>
      </c>
      <c r="B308" s="9" t="s">
        <v>16</v>
      </c>
      <c r="C308" s="9"/>
      <c r="D308" s="10">
        <v>814167</v>
      </c>
      <c r="E308" s="9" t="s">
        <v>47</v>
      </c>
      <c r="F308" s="13" t="s">
        <v>11</v>
      </c>
      <c r="G308" s="9" t="s">
        <v>27</v>
      </c>
      <c r="H308" s="12" t="str">
        <f t="shared" si="62"/>
        <v>Блок7</v>
      </c>
      <c r="I308" s="11">
        <v>2852.8500000000004</v>
      </c>
    </row>
    <row r="309" spans="1:9" ht="21" customHeight="1" x14ac:dyDescent="0.25">
      <c r="A309" s="12" t="str">
        <f t="shared" si="61"/>
        <v>РЩ1-7 (АВР-Б-40-2-1)</v>
      </c>
      <c r="B309" s="9" t="s">
        <v>14</v>
      </c>
      <c r="C309" s="9"/>
      <c r="D309" s="10" t="s">
        <v>178</v>
      </c>
      <c r="E309" s="9" t="s">
        <v>179</v>
      </c>
      <c r="F309" s="13" t="s">
        <v>11</v>
      </c>
      <c r="G309" s="9" t="s">
        <v>15</v>
      </c>
      <c r="H309" s="12" t="str">
        <f t="shared" si="62"/>
        <v>Блок7</v>
      </c>
      <c r="I309" s="11">
        <v>39100</v>
      </c>
    </row>
    <row r="310" spans="1:9" ht="21" customHeight="1" x14ac:dyDescent="0.25">
      <c r="A310" s="12" t="str">
        <f t="shared" si="61"/>
        <v>РЩ1-7 (АВР-Б-40-2-1)</v>
      </c>
      <c r="B310" s="9" t="s">
        <v>29</v>
      </c>
      <c r="C310" s="9"/>
      <c r="D310" s="10"/>
      <c r="E310" s="9" t="s">
        <v>30</v>
      </c>
      <c r="F310" s="13" t="s">
        <v>11</v>
      </c>
      <c r="G310" s="9" t="s">
        <v>24</v>
      </c>
      <c r="H310" s="12" t="e">
        <f>#REF!</f>
        <v>#REF!</v>
      </c>
      <c r="I310" s="11">
        <v>14850</v>
      </c>
    </row>
    <row r="311" spans="1:9" ht="24" customHeight="1" x14ac:dyDescent="0.25">
      <c r="A311" s="9" t="str">
        <f t="shared" si="61"/>
        <v>РЩ1-7 (АВР-Б-40-2-1)</v>
      </c>
      <c r="B311" s="9" t="s">
        <v>18</v>
      </c>
      <c r="C311" s="9"/>
      <c r="D311" s="10" t="s">
        <v>18</v>
      </c>
      <c r="E311" s="9" t="s">
        <v>18</v>
      </c>
      <c r="F311" s="9" t="s">
        <v>11</v>
      </c>
      <c r="G311" s="9" t="s">
        <v>18</v>
      </c>
      <c r="H311" s="12" t="e">
        <f t="shared" si="62"/>
        <v>#REF!</v>
      </c>
      <c r="I311" s="11">
        <v>21450</v>
      </c>
    </row>
    <row r="312" spans="1:9" ht="21" customHeight="1" x14ac:dyDescent="0.25">
      <c r="A312" s="9" t="str">
        <f t="shared" si="61"/>
        <v>РЩ1-7 (АВР-Б-40-2-1)</v>
      </c>
      <c r="B312" s="9" t="s">
        <v>19</v>
      </c>
      <c r="C312" s="9"/>
      <c r="D312" s="10" t="s">
        <v>19</v>
      </c>
      <c r="E312" s="9" t="s">
        <v>19</v>
      </c>
      <c r="F312" s="9" t="s">
        <v>11</v>
      </c>
      <c r="G312" s="9" t="s">
        <v>19</v>
      </c>
      <c r="H312" s="12" t="e">
        <f t="shared" si="62"/>
        <v>#REF!</v>
      </c>
      <c r="I312" s="11">
        <v>39000</v>
      </c>
    </row>
    <row r="313" spans="1:9" ht="30" customHeight="1" x14ac:dyDescent="0.25">
      <c r="A313" s="14" t="str">
        <f t="shared" si="61"/>
        <v>РЩ1-7 (АВР-Б-40-2-1)</v>
      </c>
      <c r="B313" s="14"/>
      <c r="C313" s="14"/>
      <c r="D313" s="14"/>
      <c r="E313" s="15"/>
      <c r="F313" s="17"/>
      <c r="G313" s="14"/>
      <c r="H313" s="12" t="e">
        <f t="shared" si="62"/>
        <v>#REF!</v>
      </c>
      <c r="I313" s="16">
        <v>305313.34999999998</v>
      </c>
    </row>
    <row r="314" spans="1:9" ht="39.75" customHeight="1" x14ac:dyDescent="0.25">
      <c r="A314" s="7" t="str">
        <f>E314</f>
        <v>ВРУ1-8</v>
      </c>
      <c r="B314" s="4"/>
      <c r="C314" s="4"/>
      <c r="D314" s="5"/>
      <c r="E314" s="4" t="s">
        <v>79</v>
      </c>
      <c r="F314" s="8" t="s">
        <v>8</v>
      </c>
      <c r="G314" s="4" t="s">
        <v>9</v>
      </c>
      <c r="H314" s="7" t="s">
        <v>80</v>
      </c>
      <c r="I314" s="6"/>
    </row>
    <row r="315" spans="1:9" ht="21" customHeight="1" x14ac:dyDescent="0.25">
      <c r="A315" s="12" t="str">
        <f t="shared" ref="A315:A325" si="63">A314</f>
        <v>ВРУ1-8</v>
      </c>
      <c r="B315" s="9" t="s">
        <v>10</v>
      </c>
      <c r="C315" s="9"/>
      <c r="D315" s="10" t="s">
        <v>171</v>
      </c>
      <c r="E315" s="9" t="s">
        <v>172</v>
      </c>
      <c r="F315" s="13" t="s">
        <v>11</v>
      </c>
      <c r="G315" s="9" t="s">
        <v>12</v>
      </c>
      <c r="H315" s="12" t="str">
        <f t="shared" ref="H315:H325" si="64">H314</f>
        <v>Блок8</v>
      </c>
      <c r="I315" s="11">
        <v>93900</v>
      </c>
    </row>
    <row r="316" spans="1:9" ht="21" customHeight="1" x14ac:dyDescent="0.25">
      <c r="A316" s="12" t="str">
        <f t="shared" si="63"/>
        <v>ВРУ1-8</v>
      </c>
      <c r="B316" s="9" t="s">
        <v>22</v>
      </c>
      <c r="C316" s="9"/>
      <c r="D316" s="10"/>
      <c r="E316" s="9" t="s">
        <v>23</v>
      </c>
      <c r="F316" s="13" t="s">
        <v>11</v>
      </c>
      <c r="G316" s="9" t="s">
        <v>24</v>
      </c>
      <c r="H316" s="12" t="str">
        <f t="shared" si="64"/>
        <v>Блок8</v>
      </c>
      <c r="I316" s="11">
        <v>28206</v>
      </c>
    </row>
    <row r="317" spans="1:9" ht="21" customHeight="1" x14ac:dyDescent="0.25">
      <c r="A317" s="12" t="str">
        <f t="shared" si="63"/>
        <v>ВРУ1-8</v>
      </c>
      <c r="B317" s="9" t="s">
        <v>25</v>
      </c>
      <c r="C317" s="9"/>
      <c r="D317" s="10" t="s">
        <v>176</v>
      </c>
      <c r="E317" s="9" t="s">
        <v>177</v>
      </c>
      <c r="F317" s="13" t="s">
        <v>11</v>
      </c>
      <c r="G317" s="9" t="s">
        <v>24</v>
      </c>
      <c r="H317" s="12" t="str">
        <f t="shared" si="64"/>
        <v>Блок8</v>
      </c>
      <c r="I317" s="11">
        <v>28050.000000000004</v>
      </c>
    </row>
    <row r="318" spans="1:9" ht="21" customHeight="1" x14ac:dyDescent="0.25">
      <c r="A318" s="12" t="str">
        <f t="shared" si="63"/>
        <v>ВРУ1-8</v>
      </c>
      <c r="B318" s="9" t="s">
        <v>126</v>
      </c>
      <c r="C318" s="9"/>
      <c r="D318" s="10" t="s">
        <v>129</v>
      </c>
      <c r="E318" s="9" t="s">
        <v>130</v>
      </c>
      <c r="F318" s="13" t="s">
        <v>11</v>
      </c>
      <c r="G318" s="9" t="s">
        <v>13</v>
      </c>
      <c r="H318" s="12" t="str">
        <f t="shared" si="64"/>
        <v>Блок8</v>
      </c>
      <c r="I318" s="11">
        <v>5225</v>
      </c>
    </row>
    <row r="319" spans="1:9" ht="21" customHeight="1" x14ac:dyDescent="0.25">
      <c r="A319" s="12" t="str">
        <f t="shared" si="63"/>
        <v>ВРУ1-8</v>
      </c>
      <c r="B319" s="9" t="s">
        <v>125</v>
      </c>
      <c r="C319" s="9"/>
      <c r="D319" s="10" t="s">
        <v>127</v>
      </c>
      <c r="E319" s="9" t="s">
        <v>128</v>
      </c>
      <c r="F319" s="13" t="s">
        <v>11</v>
      </c>
      <c r="G319" s="9" t="s">
        <v>13</v>
      </c>
      <c r="H319" s="12" t="str">
        <f t="shared" si="64"/>
        <v>Блок8</v>
      </c>
      <c r="I319" s="11">
        <v>3648.7000000000003</v>
      </c>
    </row>
    <row r="320" spans="1:9" ht="21" customHeight="1" x14ac:dyDescent="0.25">
      <c r="A320" s="12" t="str">
        <f t="shared" si="63"/>
        <v>ВРУ1-8</v>
      </c>
      <c r="B320" s="9" t="s">
        <v>16</v>
      </c>
      <c r="C320" s="9"/>
      <c r="D320" s="10">
        <v>296708</v>
      </c>
      <c r="E320" s="9" t="s">
        <v>28</v>
      </c>
      <c r="F320" s="13" t="s">
        <v>11</v>
      </c>
      <c r="G320" s="9" t="s">
        <v>27</v>
      </c>
      <c r="H320" s="12" t="str">
        <f t="shared" si="64"/>
        <v>Блок8</v>
      </c>
      <c r="I320" s="11">
        <v>910.80000000000007</v>
      </c>
    </row>
    <row r="321" spans="1:9" ht="21" customHeight="1" x14ac:dyDescent="0.25">
      <c r="A321" s="12" t="str">
        <f t="shared" si="63"/>
        <v>ВРУ1-8</v>
      </c>
      <c r="B321" s="9" t="s">
        <v>14</v>
      </c>
      <c r="C321" s="9"/>
      <c r="D321" s="10" t="s">
        <v>178</v>
      </c>
      <c r="E321" s="9" t="s">
        <v>179</v>
      </c>
      <c r="F321" s="13" t="s">
        <v>11</v>
      </c>
      <c r="G321" s="9" t="s">
        <v>15</v>
      </c>
      <c r="H321" s="12" t="str">
        <f t="shared" si="64"/>
        <v>Блок8</v>
      </c>
      <c r="I321" s="11">
        <v>78200</v>
      </c>
    </row>
    <row r="322" spans="1:9" ht="21" customHeight="1" x14ac:dyDescent="0.25">
      <c r="A322" s="12" t="str">
        <f t="shared" si="63"/>
        <v>ВРУ1-8</v>
      </c>
      <c r="B322" s="9" t="s">
        <v>29</v>
      </c>
      <c r="C322" s="9"/>
      <c r="D322" s="10"/>
      <c r="E322" s="9" t="s">
        <v>30</v>
      </c>
      <c r="F322" s="13" t="s">
        <v>11</v>
      </c>
      <c r="G322" s="9" t="s">
        <v>24</v>
      </c>
      <c r="H322" s="12" t="str">
        <f t="shared" si="64"/>
        <v>Блок8</v>
      </c>
      <c r="I322" s="11">
        <v>14850</v>
      </c>
    </row>
    <row r="323" spans="1:9" ht="24" customHeight="1" x14ac:dyDescent="0.25">
      <c r="A323" s="9" t="str">
        <f t="shared" si="63"/>
        <v>ВРУ1-8</v>
      </c>
      <c r="B323" s="9" t="s">
        <v>18</v>
      </c>
      <c r="C323" s="9"/>
      <c r="D323" s="10" t="s">
        <v>18</v>
      </c>
      <c r="E323" s="9" t="s">
        <v>18</v>
      </c>
      <c r="F323" s="9" t="s">
        <v>11</v>
      </c>
      <c r="G323" s="9" t="s">
        <v>18</v>
      </c>
      <c r="H323" s="12" t="str">
        <f t="shared" si="64"/>
        <v>Блок8</v>
      </c>
      <c r="I323" s="11">
        <v>26400.000000000004</v>
      </c>
    </row>
    <row r="324" spans="1:9" ht="21" customHeight="1" x14ac:dyDescent="0.25">
      <c r="A324" s="9" t="str">
        <f t="shared" si="63"/>
        <v>ВРУ1-8</v>
      </c>
      <c r="B324" s="9" t="s">
        <v>19</v>
      </c>
      <c r="C324" s="9"/>
      <c r="D324" s="10" t="s">
        <v>19</v>
      </c>
      <c r="E324" s="9" t="s">
        <v>19</v>
      </c>
      <c r="F324" s="9" t="s">
        <v>11</v>
      </c>
      <c r="G324" s="9" t="s">
        <v>19</v>
      </c>
      <c r="H324" s="12" t="str">
        <f t="shared" si="64"/>
        <v>Блок8</v>
      </c>
      <c r="I324" s="11">
        <v>48000</v>
      </c>
    </row>
    <row r="325" spans="1:9" ht="30" customHeight="1" x14ac:dyDescent="0.25">
      <c r="A325" s="14" t="str">
        <f t="shared" si="63"/>
        <v>ВРУ1-8</v>
      </c>
      <c r="B325" s="14"/>
      <c r="C325" s="14"/>
      <c r="D325" s="14"/>
      <c r="E325" s="15"/>
      <c r="F325" s="17"/>
      <c r="G325" s="14"/>
      <c r="H325" s="12" t="str">
        <f t="shared" si="64"/>
        <v>Блок8</v>
      </c>
      <c r="I325" s="16">
        <v>327390.5</v>
      </c>
    </row>
    <row r="326" spans="1:9" ht="39.75" customHeight="1" x14ac:dyDescent="0.25">
      <c r="A326" s="7" t="str">
        <f>E326</f>
        <v>РУ-1-8</v>
      </c>
      <c r="B326" s="4"/>
      <c r="C326" s="4"/>
      <c r="D326" s="5"/>
      <c r="E326" s="4" t="s">
        <v>81</v>
      </c>
      <c r="F326" s="8" t="s">
        <v>8</v>
      </c>
      <c r="G326" s="4" t="s">
        <v>9</v>
      </c>
      <c r="H326" s="7" t="s">
        <v>80</v>
      </c>
      <c r="I326" s="6"/>
    </row>
    <row r="327" spans="1:9" ht="21" customHeight="1" x14ac:dyDescent="0.25">
      <c r="A327" s="12" t="str">
        <f t="shared" ref="A327:A333" si="65">A326</f>
        <v>РУ-1-8</v>
      </c>
      <c r="B327" s="9" t="s">
        <v>10</v>
      </c>
      <c r="C327" s="9"/>
      <c r="D327" s="10" t="s">
        <v>169</v>
      </c>
      <c r="E327" s="9" t="s">
        <v>170</v>
      </c>
      <c r="F327" s="13" t="s">
        <v>11</v>
      </c>
      <c r="G327" s="9" t="s">
        <v>12</v>
      </c>
      <c r="H327" s="12" t="str">
        <f t="shared" ref="H327:H333" si="66">H326</f>
        <v>Блок8</v>
      </c>
      <c r="I327" s="11">
        <v>87000</v>
      </c>
    </row>
    <row r="328" spans="1:9" ht="21" customHeight="1" x14ac:dyDescent="0.25">
      <c r="A328" s="12" t="str">
        <f t="shared" si="65"/>
        <v>РУ-1-8</v>
      </c>
      <c r="B328" s="9" t="s">
        <v>26</v>
      </c>
      <c r="C328" s="9"/>
      <c r="D328" s="10">
        <v>126583</v>
      </c>
      <c r="E328" s="9" t="s">
        <v>32</v>
      </c>
      <c r="F328" s="13" t="s">
        <v>11</v>
      </c>
      <c r="G328" s="9" t="s">
        <v>27</v>
      </c>
      <c r="H328" s="12" t="str">
        <f t="shared" si="66"/>
        <v>Блок8</v>
      </c>
      <c r="I328" s="11">
        <v>63063.000000000007</v>
      </c>
    </row>
    <row r="329" spans="1:9" ht="21" customHeight="1" x14ac:dyDescent="0.25">
      <c r="A329" s="12" t="str">
        <f t="shared" si="65"/>
        <v>РУ-1-8</v>
      </c>
      <c r="B329" s="9" t="s">
        <v>26</v>
      </c>
      <c r="C329" s="9"/>
      <c r="D329" s="10">
        <v>126586</v>
      </c>
      <c r="E329" s="9" t="s">
        <v>67</v>
      </c>
      <c r="F329" s="13" t="s">
        <v>11</v>
      </c>
      <c r="G329" s="9" t="s">
        <v>27</v>
      </c>
      <c r="H329" s="12" t="str">
        <f t="shared" si="66"/>
        <v>Блок8</v>
      </c>
      <c r="I329" s="11">
        <v>16216.2</v>
      </c>
    </row>
    <row r="330" spans="1:9" ht="21" customHeight="1" x14ac:dyDescent="0.25">
      <c r="A330" s="12" t="str">
        <f t="shared" si="65"/>
        <v>РУ-1-8</v>
      </c>
      <c r="B330" s="9" t="s">
        <v>26</v>
      </c>
      <c r="C330" s="9"/>
      <c r="D330" s="10">
        <v>126507</v>
      </c>
      <c r="E330" s="9" t="s">
        <v>34</v>
      </c>
      <c r="F330" s="13" t="s">
        <v>11</v>
      </c>
      <c r="G330" s="9" t="s">
        <v>27</v>
      </c>
      <c r="H330" s="12" t="str">
        <f t="shared" si="66"/>
        <v>Блок8</v>
      </c>
      <c r="I330" s="11">
        <v>18818.800000000003</v>
      </c>
    </row>
    <row r="331" spans="1:9" ht="24" customHeight="1" x14ac:dyDescent="0.25">
      <c r="A331" s="9" t="str">
        <f t="shared" si="65"/>
        <v>РУ-1-8</v>
      </c>
      <c r="B331" s="9" t="s">
        <v>18</v>
      </c>
      <c r="C331" s="9"/>
      <c r="D331" s="10" t="s">
        <v>18</v>
      </c>
      <c r="E331" s="9" t="s">
        <v>18</v>
      </c>
      <c r="F331" s="9" t="s">
        <v>11</v>
      </c>
      <c r="G331" s="9" t="s">
        <v>18</v>
      </c>
      <c r="H331" s="12" t="str">
        <f t="shared" si="66"/>
        <v>Блок8</v>
      </c>
      <c r="I331" s="11">
        <v>14850.000000000002</v>
      </c>
    </row>
    <row r="332" spans="1:9" ht="21" customHeight="1" x14ac:dyDescent="0.25">
      <c r="A332" s="9" t="str">
        <f t="shared" si="65"/>
        <v>РУ-1-8</v>
      </c>
      <c r="B332" s="9" t="s">
        <v>19</v>
      </c>
      <c r="C332" s="9"/>
      <c r="D332" s="10" t="s">
        <v>19</v>
      </c>
      <c r="E332" s="9" t="s">
        <v>19</v>
      </c>
      <c r="F332" s="9" t="s">
        <v>11</v>
      </c>
      <c r="G332" s="9" t="s">
        <v>19</v>
      </c>
      <c r="H332" s="12" t="str">
        <f t="shared" si="66"/>
        <v>Блок8</v>
      </c>
      <c r="I332" s="11">
        <v>27000</v>
      </c>
    </row>
    <row r="333" spans="1:9" ht="30" customHeight="1" x14ac:dyDescent="0.25">
      <c r="A333" s="14" t="str">
        <f t="shared" si="65"/>
        <v>РУ-1-8</v>
      </c>
      <c r="B333" s="14"/>
      <c r="C333" s="14"/>
      <c r="D333" s="14"/>
      <c r="E333" s="15"/>
      <c r="F333" s="17"/>
      <c r="G333" s="14"/>
      <c r="H333" s="12" t="str">
        <f t="shared" si="66"/>
        <v>Блок8</v>
      </c>
      <c r="I333" s="16">
        <v>226948</v>
      </c>
    </row>
    <row r="334" spans="1:9" ht="39.75" customHeight="1" x14ac:dyDescent="0.25">
      <c r="A334" s="7" t="str">
        <f>E334</f>
        <v>ЩУР.МОП1-8</v>
      </c>
      <c r="B334" s="4"/>
      <c r="C334" s="4"/>
      <c r="D334" s="5"/>
      <c r="E334" s="4" t="s">
        <v>82</v>
      </c>
      <c r="F334" s="8" t="s">
        <v>8</v>
      </c>
      <c r="G334" s="4" t="s">
        <v>9</v>
      </c>
      <c r="H334" s="7" t="s">
        <v>80</v>
      </c>
      <c r="I334" s="6"/>
    </row>
    <row r="335" spans="1:9" ht="21" customHeight="1" x14ac:dyDescent="0.25">
      <c r="A335" s="12" t="str">
        <f t="shared" ref="A335:A342" si="67">A334</f>
        <v>ЩУР.МОП1-8</v>
      </c>
      <c r="B335" s="9" t="s">
        <v>10</v>
      </c>
      <c r="C335" s="9"/>
      <c r="D335" s="10" t="s">
        <v>39</v>
      </c>
      <c r="E335" s="9" t="s">
        <v>40</v>
      </c>
      <c r="F335" s="13" t="s">
        <v>11</v>
      </c>
      <c r="G335" s="9" t="s">
        <v>12</v>
      </c>
      <c r="H335" s="12" t="str">
        <f t="shared" ref="H335:H342" si="68">H334</f>
        <v>Блок8</v>
      </c>
      <c r="I335" s="11">
        <v>10800</v>
      </c>
    </row>
    <row r="336" spans="1:9" ht="21" customHeight="1" x14ac:dyDescent="0.25">
      <c r="A336" s="12" t="str">
        <f t="shared" si="67"/>
        <v>ЩУР.МОП1-8</v>
      </c>
      <c r="B336" s="9" t="s">
        <v>16</v>
      </c>
      <c r="C336" s="9"/>
      <c r="D336" s="10">
        <v>296830</v>
      </c>
      <c r="E336" s="9" t="s">
        <v>148</v>
      </c>
      <c r="F336" s="13" t="s">
        <v>11</v>
      </c>
      <c r="G336" s="9" t="s">
        <v>27</v>
      </c>
      <c r="H336" s="12" t="str">
        <f t="shared" si="68"/>
        <v>Блок8</v>
      </c>
      <c r="I336" s="11">
        <v>854.7</v>
      </c>
    </row>
    <row r="337" spans="1:9" ht="21" customHeight="1" x14ac:dyDescent="0.25">
      <c r="A337" s="12" t="str">
        <f t="shared" si="67"/>
        <v>ЩУР.МОП1-8</v>
      </c>
      <c r="B337" s="9" t="s">
        <v>16</v>
      </c>
      <c r="C337" s="9"/>
      <c r="D337" s="10">
        <v>296828</v>
      </c>
      <c r="E337" s="9" t="s">
        <v>150</v>
      </c>
      <c r="F337" s="13" t="s">
        <v>11</v>
      </c>
      <c r="G337" s="9" t="s">
        <v>27</v>
      </c>
      <c r="H337" s="12" t="str">
        <f t="shared" si="68"/>
        <v>Блок8</v>
      </c>
      <c r="I337" s="11">
        <v>820.05000000000007</v>
      </c>
    </row>
    <row r="338" spans="1:9" ht="21" customHeight="1" x14ac:dyDescent="0.25">
      <c r="A338" s="12" t="str">
        <f t="shared" si="67"/>
        <v>ЩУР.МОП1-8</v>
      </c>
      <c r="B338" s="9" t="s">
        <v>16</v>
      </c>
      <c r="C338" s="9"/>
      <c r="D338" s="10">
        <v>296829</v>
      </c>
      <c r="E338" s="9" t="s">
        <v>147</v>
      </c>
      <c r="F338" s="13" t="s">
        <v>11</v>
      </c>
      <c r="G338" s="9" t="s">
        <v>27</v>
      </c>
      <c r="H338" s="12" t="str">
        <f t="shared" si="68"/>
        <v>Блок8</v>
      </c>
      <c r="I338" s="11">
        <v>3483.1500000000005</v>
      </c>
    </row>
    <row r="339" spans="1:9" ht="21" customHeight="1" x14ac:dyDescent="0.25">
      <c r="A339" s="12" t="str">
        <f t="shared" si="67"/>
        <v>ЩУР.МОП1-8</v>
      </c>
      <c r="B339" s="9" t="s">
        <v>14</v>
      </c>
      <c r="C339" s="9"/>
      <c r="D339" s="10" t="s">
        <v>178</v>
      </c>
      <c r="E339" s="9" t="s">
        <v>179</v>
      </c>
      <c r="F339" s="13" t="s">
        <v>11</v>
      </c>
      <c r="G339" s="9" t="s">
        <v>15</v>
      </c>
      <c r="H339" s="12" t="str">
        <f t="shared" si="68"/>
        <v>Блок8</v>
      </c>
      <c r="I339" s="11">
        <v>39100</v>
      </c>
    </row>
    <row r="340" spans="1:9" ht="24" customHeight="1" x14ac:dyDescent="0.25">
      <c r="A340" s="9" t="str">
        <f t="shared" si="67"/>
        <v>ЩУР.МОП1-8</v>
      </c>
      <c r="B340" s="9" t="s">
        <v>18</v>
      </c>
      <c r="C340" s="9"/>
      <c r="D340" s="10" t="s">
        <v>18</v>
      </c>
      <c r="E340" s="9" t="s">
        <v>18</v>
      </c>
      <c r="F340" s="9" t="s">
        <v>11</v>
      </c>
      <c r="G340" s="9" t="s">
        <v>18</v>
      </c>
      <c r="H340" s="12" t="str">
        <f t="shared" si="68"/>
        <v>Блок8</v>
      </c>
      <c r="I340" s="11">
        <v>6600.0000000000009</v>
      </c>
    </row>
    <row r="341" spans="1:9" ht="21" customHeight="1" x14ac:dyDescent="0.25">
      <c r="A341" s="9" t="str">
        <f t="shared" si="67"/>
        <v>ЩУР.МОП1-8</v>
      </c>
      <c r="B341" s="9" t="s">
        <v>19</v>
      </c>
      <c r="C341" s="9"/>
      <c r="D341" s="10" t="s">
        <v>19</v>
      </c>
      <c r="E341" s="9" t="s">
        <v>19</v>
      </c>
      <c r="F341" s="9" t="s">
        <v>11</v>
      </c>
      <c r="G341" s="9" t="s">
        <v>19</v>
      </c>
      <c r="H341" s="12" t="str">
        <f t="shared" si="68"/>
        <v>Блок8</v>
      </c>
      <c r="I341" s="11">
        <v>12000</v>
      </c>
    </row>
    <row r="342" spans="1:9" ht="30" customHeight="1" x14ac:dyDescent="0.25">
      <c r="A342" s="14" t="str">
        <f t="shared" si="67"/>
        <v>ЩУР.МОП1-8</v>
      </c>
      <c r="B342" s="14"/>
      <c r="C342" s="14"/>
      <c r="D342" s="14"/>
      <c r="E342" s="15"/>
      <c r="F342" s="17"/>
      <c r="G342" s="14"/>
      <c r="H342" s="12" t="str">
        <f t="shared" si="68"/>
        <v>Блок8</v>
      </c>
      <c r="I342" s="16">
        <v>73657.899999999994</v>
      </c>
    </row>
    <row r="343" spans="1:9" ht="39.75" customHeight="1" x14ac:dyDescent="0.25">
      <c r="A343" s="7" t="str">
        <f>E343</f>
        <v>РЩ1-8 (АВР-Б-40-2-1)</v>
      </c>
      <c r="B343" s="4"/>
      <c r="C343" s="4"/>
      <c r="D343" s="5"/>
      <c r="E343" s="4" t="s">
        <v>139</v>
      </c>
      <c r="F343" s="8" t="s">
        <v>8</v>
      </c>
      <c r="G343" s="4" t="s">
        <v>9</v>
      </c>
      <c r="H343" s="7" t="s">
        <v>80</v>
      </c>
      <c r="I343" s="6"/>
    </row>
    <row r="344" spans="1:9" ht="21" customHeight="1" x14ac:dyDescent="0.25">
      <c r="A344" s="12" t="str">
        <f t="shared" ref="A344:A354" si="69">A343</f>
        <v>РЩ1-8 (АВР-Б-40-2-1)</v>
      </c>
      <c r="B344" s="9" t="s">
        <v>10</v>
      </c>
      <c r="C344" s="9"/>
      <c r="D344" s="10" t="s">
        <v>167</v>
      </c>
      <c r="E344" s="9" t="s">
        <v>168</v>
      </c>
      <c r="F344" s="13" t="s">
        <v>11</v>
      </c>
      <c r="G344" s="9" t="s">
        <v>12</v>
      </c>
      <c r="H344" s="12" t="str">
        <f t="shared" ref="H344:H354" si="70">H343</f>
        <v>Блок8</v>
      </c>
      <c r="I344" s="11">
        <v>78000</v>
      </c>
    </row>
    <row r="345" spans="1:9" ht="21" customHeight="1" x14ac:dyDescent="0.25">
      <c r="A345" s="12" t="str">
        <f t="shared" si="69"/>
        <v>РЩ1-8 (АВР-Б-40-2-1)</v>
      </c>
      <c r="B345" s="9" t="s">
        <v>43</v>
      </c>
      <c r="C345" s="9"/>
      <c r="D345" s="10" t="s">
        <v>161</v>
      </c>
      <c r="E345" s="9" t="s">
        <v>162</v>
      </c>
      <c r="F345" s="13" t="s">
        <v>11</v>
      </c>
      <c r="G345" s="9" t="s">
        <v>13</v>
      </c>
      <c r="H345" s="12" t="str">
        <f t="shared" si="70"/>
        <v>Блок8</v>
      </c>
      <c r="I345" s="11">
        <v>63116.900000000009</v>
      </c>
    </row>
    <row r="346" spans="1:9" ht="21" customHeight="1" x14ac:dyDescent="0.25">
      <c r="A346" s="12" t="str">
        <f t="shared" si="69"/>
        <v>РЩ1-8 (АВР-Б-40-2-1)</v>
      </c>
      <c r="B346" s="9" t="s">
        <v>26</v>
      </c>
      <c r="C346" s="9"/>
      <c r="D346" s="10">
        <v>126505</v>
      </c>
      <c r="E346" s="9" t="s">
        <v>44</v>
      </c>
      <c r="F346" s="13" t="s">
        <v>11</v>
      </c>
      <c r="G346" s="9" t="s">
        <v>27</v>
      </c>
      <c r="H346" s="12" t="str">
        <f t="shared" si="70"/>
        <v>Блок8</v>
      </c>
      <c r="I346" s="11">
        <v>17314</v>
      </c>
    </row>
    <row r="347" spans="1:9" ht="21" customHeight="1" x14ac:dyDescent="0.25">
      <c r="A347" s="12" t="str">
        <f t="shared" si="69"/>
        <v>РЩ1-8 (АВР-Б-40-2-1)</v>
      </c>
      <c r="B347" s="9" t="s">
        <v>26</v>
      </c>
      <c r="C347" s="9"/>
      <c r="D347" s="10">
        <v>126677</v>
      </c>
      <c r="E347" s="9" t="s">
        <v>42</v>
      </c>
      <c r="F347" s="13" t="s">
        <v>11</v>
      </c>
      <c r="G347" s="9" t="s">
        <v>27</v>
      </c>
      <c r="H347" s="12" t="str">
        <f t="shared" si="70"/>
        <v>Блок8</v>
      </c>
      <c r="I347" s="11">
        <v>24324.300000000003</v>
      </c>
    </row>
    <row r="348" spans="1:9" ht="21" customHeight="1" x14ac:dyDescent="0.25">
      <c r="A348" s="12" t="str">
        <f t="shared" si="69"/>
        <v>РЩ1-8 (АВР-Б-40-2-1)</v>
      </c>
      <c r="B348" s="9" t="s">
        <v>16</v>
      </c>
      <c r="C348" s="9"/>
      <c r="D348" s="10">
        <v>814174</v>
      </c>
      <c r="E348" s="9" t="s">
        <v>45</v>
      </c>
      <c r="F348" s="13" t="s">
        <v>11</v>
      </c>
      <c r="G348" s="9" t="s">
        <v>27</v>
      </c>
      <c r="H348" s="12" t="str">
        <f t="shared" si="70"/>
        <v>Блок8</v>
      </c>
      <c r="I348" s="11">
        <v>5305.3</v>
      </c>
    </row>
    <row r="349" spans="1:9" ht="21" customHeight="1" x14ac:dyDescent="0.25">
      <c r="A349" s="12" t="str">
        <f t="shared" si="69"/>
        <v>РЩ1-8 (АВР-Б-40-2-1)</v>
      </c>
      <c r="B349" s="9" t="s">
        <v>16</v>
      </c>
      <c r="C349" s="9"/>
      <c r="D349" s="10">
        <v>814167</v>
      </c>
      <c r="E349" s="9" t="s">
        <v>47</v>
      </c>
      <c r="F349" s="13" t="s">
        <v>11</v>
      </c>
      <c r="G349" s="9" t="s">
        <v>27</v>
      </c>
      <c r="H349" s="12" t="str">
        <f t="shared" si="70"/>
        <v>Блок8</v>
      </c>
      <c r="I349" s="11">
        <v>2852.8500000000004</v>
      </c>
    </row>
    <row r="350" spans="1:9" ht="21" customHeight="1" x14ac:dyDescent="0.25">
      <c r="A350" s="12" t="str">
        <f t="shared" si="69"/>
        <v>РЩ1-8 (АВР-Б-40-2-1)</v>
      </c>
      <c r="B350" s="9" t="s">
        <v>14</v>
      </c>
      <c r="C350" s="9"/>
      <c r="D350" s="10" t="s">
        <v>178</v>
      </c>
      <c r="E350" s="9" t="s">
        <v>179</v>
      </c>
      <c r="F350" s="13" t="s">
        <v>11</v>
      </c>
      <c r="G350" s="9" t="s">
        <v>15</v>
      </c>
      <c r="H350" s="12" t="str">
        <f t="shared" si="70"/>
        <v>Блок8</v>
      </c>
      <c r="I350" s="11">
        <v>39100</v>
      </c>
    </row>
    <row r="351" spans="1:9" ht="21" customHeight="1" x14ac:dyDescent="0.25">
      <c r="A351" s="12" t="str">
        <f t="shared" si="69"/>
        <v>РЩ1-8 (АВР-Б-40-2-1)</v>
      </c>
      <c r="B351" s="9" t="s">
        <v>29</v>
      </c>
      <c r="C351" s="9"/>
      <c r="D351" s="10"/>
      <c r="E351" s="9" t="s">
        <v>30</v>
      </c>
      <c r="F351" s="13" t="s">
        <v>11</v>
      </c>
      <c r="G351" s="9" t="s">
        <v>24</v>
      </c>
      <c r="H351" s="12" t="e">
        <f>#REF!</f>
        <v>#REF!</v>
      </c>
      <c r="I351" s="11">
        <v>14850</v>
      </c>
    </row>
    <row r="352" spans="1:9" ht="24" customHeight="1" x14ac:dyDescent="0.25">
      <c r="A352" s="9" t="str">
        <f t="shared" si="69"/>
        <v>РЩ1-8 (АВР-Б-40-2-1)</v>
      </c>
      <c r="B352" s="9" t="s">
        <v>18</v>
      </c>
      <c r="C352" s="9"/>
      <c r="D352" s="10" t="s">
        <v>18</v>
      </c>
      <c r="E352" s="9" t="s">
        <v>18</v>
      </c>
      <c r="F352" s="9" t="s">
        <v>11</v>
      </c>
      <c r="G352" s="9" t="s">
        <v>18</v>
      </c>
      <c r="H352" s="12" t="e">
        <f t="shared" si="70"/>
        <v>#REF!</v>
      </c>
      <c r="I352" s="11">
        <v>21450</v>
      </c>
    </row>
    <row r="353" spans="1:9" ht="21" customHeight="1" x14ac:dyDescent="0.25">
      <c r="A353" s="9" t="str">
        <f t="shared" si="69"/>
        <v>РЩ1-8 (АВР-Б-40-2-1)</v>
      </c>
      <c r="B353" s="9" t="s">
        <v>19</v>
      </c>
      <c r="C353" s="9"/>
      <c r="D353" s="10" t="s">
        <v>19</v>
      </c>
      <c r="E353" s="9" t="s">
        <v>19</v>
      </c>
      <c r="F353" s="9" t="s">
        <v>11</v>
      </c>
      <c r="G353" s="9" t="s">
        <v>19</v>
      </c>
      <c r="H353" s="12" t="e">
        <f t="shared" si="70"/>
        <v>#REF!</v>
      </c>
      <c r="I353" s="11">
        <v>39000</v>
      </c>
    </row>
    <row r="354" spans="1:9" ht="30" customHeight="1" x14ac:dyDescent="0.25">
      <c r="A354" s="14" t="str">
        <f t="shared" si="69"/>
        <v>РЩ1-8 (АВР-Б-40-2-1)</v>
      </c>
      <c r="B354" s="14"/>
      <c r="C354" s="14"/>
      <c r="D354" s="14"/>
      <c r="E354" s="15"/>
      <c r="F354" s="17"/>
      <c r="G354" s="14"/>
      <c r="H354" s="12" t="e">
        <f t="shared" si="70"/>
        <v>#REF!</v>
      </c>
      <c r="I354" s="16">
        <v>305313.34999999998</v>
      </c>
    </row>
    <row r="355" spans="1:9" ht="39.75" customHeight="1" x14ac:dyDescent="0.25">
      <c r="A355" s="7" t="str">
        <f>E355</f>
        <v>РУ1-9</v>
      </c>
      <c r="B355" s="4"/>
      <c r="C355" s="4"/>
      <c r="D355" s="5"/>
      <c r="E355" s="4" t="s">
        <v>83</v>
      </c>
      <c r="F355" s="8" t="s">
        <v>8</v>
      </c>
      <c r="G355" s="4" t="s">
        <v>9</v>
      </c>
      <c r="H355" s="7" t="s">
        <v>84</v>
      </c>
      <c r="I355" s="6"/>
    </row>
    <row r="356" spans="1:9" ht="21" customHeight="1" x14ac:dyDescent="0.25">
      <c r="A356" s="12" t="str">
        <f t="shared" ref="A356:A362" si="71">A355</f>
        <v>РУ1-9</v>
      </c>
      <c r="B356" s="9" t="s">
        <v>10</v>
      </c>
      <c r="C356" s="9"/>
      <c r="D356" s="10" t="s">
        <v>169</v>
      </c>
      <c r="E356" s="9" t="s">
        <v>170</v>
      </c>
      <c r="F356" s="13" t="s">
        <v>11</v>
      </c>
      <c r="G356" s="9" t="s">
        <v>12</v>
      </c>
      <c r="H356" s="12" t="str">
        <f t="shared" ref="H356:H362" si="72">H355</f>
        <v>Блок9</v>
      </c>
      <c r="I356" s="11">
        <v>87000</v>
      </c>
    </row>
    <row r="357" spans="1:9" ht="21" customHeight="1" x14ac:dyDescent="0.25">
      <c r="A357" s="12" t="str">
        <f t="shared" si="71"/>
        <v>РУ1-9</v>
      </c>
      <c r="B357" s="9" t="s">
        <v>26</v>
      </c>
      <c r="C357" s="9"/>
      <c r="D357" s="10">
        <v>126586</v>
      </c>
      <c r="E357" s="9" t="s">
        <v>67</v>
      </c>
      <c r="F357" s="13" t="s">
        <v>11</v>
      </c>
      <c r="G357" s="9" t="s">
        <v>27</v>
      </c>
      <c r="H357" s="12" t="str">
        <f t="shared" si="72"/>
        <v>Блок9</v>
      </c>
      <c r="I357" s="11">
        <v>16216.2</v>
      </c>
    </row>
    <row r="358" spans="1:9" ht="21" customHeight="1" x14ac:dyDescent="0.25">
      <c r="A358" s="12" t="str">
        <f t="shared" si="71"/>
        <v>РУ1-9</v>
      </c>
      <c r="B358" s="9" t="s">
        <v>26</v>
      </c>
      <c r="C358" s="9"/>
      <c r="D358" s="10">
        <v>126583</v>
      </c>
      <c r="E358" s="9" t="s">
        <v>32</v>
      </c>
      <c r="F358" s="13" t="s">
        <v>11</v>
      </c>
      <c r="G358" s="9" t="s">
        <v>27</v>
      </c>
      <c r="H358" s="12" t="str">
        <f t="shared" si="72"/>
        <v>Блок9</v>
      </c>
      <c r="I358" s="11">
        <v>63063.000000000007</v>
      </c>
    </row>
    <row r="359" spans="1:9" ht="21" customHeight="1" x14ac:dyDescent="0.25">
      <c r="A359" s="12" t="str">
        <f t="shared" si="71"/>
        <v>РУ1-9</v>
      </c>
      <c r="B359" s="9" t="s">
        <v>26</v>
      </c>
      <c r="C359" s="9"/>
      <c r="D359" s="10">
        <v>126507</v>
      </c>
      <c r="E359" s="9" t="s">
        <v>34</v>
      </c>
      <c r="F359" s="13" t="s">
        <v>11</v>
      </c>
      <c r="G359" s="9" t="s">
        <v>27</v>
      </c>
      <c r="H359" s="12" t="str">
        <f t="shared" si="72"/>
        <v>Блок9</v>
      </c>
      <c r="I359" s="11">
        <v>18818.800000000003</v>
      </c>
    </row>
    <row r="360" spans="1:9" ht="24" customHeight="1" x14ac:dyDescent="0.25">
      <c r="A360" s="9" t="str">
        <f t="shared" si="71"/>
        <v>РУ1-9</v>
      </c>
      <c r="B360" s="9" t="s">
        <v>18</v>
      </c>
      <c r="C360" s="9"/>
      <c r="D360" s="10" t="s">
        <v>18</v>
      </c>
      <c r="E360" s="9" t="s">
        <v>18</v>
      </c>
      <c r="F360" s="9" t="s">
        <v>11</v>
      </c>
      <c r="G360" s="9" t="s">
        <v>18</v>
      </c>
      <c r="H360" s="12" t="str">
        <f t="shared" si="72"/>
        <v>Блок9</v>
      </c>
      <c r="I360" s="11">
        <v>14850.000000000002</v>
      </c>
    </row>
    <row r="361" spans="1:9" ht="21" customHeight="1" x14ac:dyDescent="0.25">
      <c r="A361" s="9" t="str">
        <f t="shared" si="71"/>
        <v>РУ1-9</v>
      </c>
      <c r="B361" s="9" t="s">
        <v>19</v>
      </c>
      <c r="C361" s="9"/>
      <c r="D361" s="10" t="s">
        <v>19</v>
      </c>
      <c r="E361" s="9" t="s">
        <v>19</v>
      </c>
      <c r="F361" s="9" t="s">
        <v>11</v>
      </c>
      <c r="G361" s="9" t="s">
        <v>19</v>
      </c>
      <c r="H361" s="12" t="str">
        <f t="shared" si="72"/>
        <v>Блок9</v>
      </c>
      <c r="I361" s="11">
        <v>27000</v>
      </c>
    </row>
    <row r="362" spans="1:9" ht="30" customHeight="1" x14ac:dyDescent="0.25">
      <c r="A362" s="14" t="str">
        <f t="shared" si="71"/>
        <v>РУ1-9</v>
      </c>
      <c r="B362" s="14"/>
      <c r="C362" s="14"/>
      <c r="D362" s="14"/>
      <c r="E362" s="15"/>
      <c r="F362" s="17"/>
      <c r="G362" s="14"/>
      <c r="H362" s="12" t="str">
        <f t="shared" si="72"/>
        <v>Блок9</v>
      </c>
      <c r="I362" s="16">
        <v>226948</v>
      </c>
    </row>
    <row r="363" spans="1:9" ht="39.75" customHeight="1" x14ac:dyDescent="0.25">
      <c r="A363" s="7" t="str">
        <f>E363</f>
        <v>ЩУР.МОП1-9</v>
      </c>
      <c r="B363" s="4"/>
      <c r="C363" s="4"/>
      <c r="D363" s="5"/>
      <c r="E363" s="4" t="s">
        <v>85</v>
      </c>
      <c r="F363" s="8" t="s">
        <v>8</v>
      </c>
      <c r="G363" s="4" t="s">
        <v>9</v>
      </c>
      <c r="H363" s="7" t="s">
        <v>84</v>
      </c>
      <c r="I363" s="6"/>
    </row>
    <row r="364" spans="1:9" ht="21" customHeight="1" x14ac:dyDescent="0.25">
      <c r="A364" s="12" t="str">
        <f t="shared" ref="A364:A371" si="73">A363</f>
        <v>ЩУР.МОП1-9</v>
      </c>
      <c r="B364" s="9" t="s">
        <v>10</v>
      </c>
      <c r="C364" s="9"/>
      <c r="D364" s="10" t="s">
        <v>39</v>
      </c>
      <c r="E364" s="9" t="s">
        <v>40</v>
      </c>
      <c r="F364" s="13" t="s">
        <v>11</v>
      </c>
      <c r="G364" s="9" t="s">
        <v>12</v>
      </c>
      <c r="H364" s="12" t="str">
        <f>H363</f>
        <v>Блок9</v>
      </c>
      <c r="I364" s="11">
        <v>10800</v>
      </c>
    </row>
    <row r="365" spans="1:9" ht="21" customHeight="1" x14ac:dyDescent="0.25">
      <c r="A365" s="12" t="str">
        <f t="shared" si="73"/>
        <v>ЩУР.МОП1-9</v>
      </c>
      <c r="B365" s="9" t="s">
        <v>16</v>
      </c>
      <c r="C365" s="9"/>
      <c r="D365" s="10">
        <v>296830</v>
      </c>
      <c r="E365" s="9" t="s">
        <v>148</v>
      </c>
      <c r="F365" s="13" t="s">
        <v>11</v>
      </c>
      <c r="G365" s="9" t="s">
        <v>27</v>
      </c>
      <c r="H365" s="12" t="str">
        <f>H364</f>
        <v>Блок9</v>
      </c>
      <c r="I365" s="11">
        <v>854.7</v>
      </c>
    </row>
    <row r="366" spans="1:9" ht="21" customHeight="1" x14ac:dyDescent="0.25">
      <c r="A366" s="12" t="str">
        <f t="shared" si="73"/>
        <v>ЩУР.МОП1-9</v>
      </c>
      <c r="B366" s="9" t="s">
        <v>16</v>
      </c>
      <c r="C366" s="9"/>
      <c r="D366" s="10">
        <v>296829</v>
      </c>
      <c r="E366" s="9" t="s">
        <v>147</v>
      </c>
      <c r="F366" s="13" t="s">
        <v>11</v>
      </c>
      <c r="G366" s="9" t="s">
        <v>27</v>
      </c>
      <c r="H366" s="12" t="str">
        <f>H365</f>
        <v>Блок9</v>
      </c>
      <c r="I366" s="11">
        <v>3483.1500000000005</v>
      </c>
    </row>
    <row r="367" spans="1:9" ht="21" customHeight="1" x14ac:dyDescent="0.25">
      <c r="A367" s="12" t="str">
        <f t="shared" si="73"/>
        <v>ЩУР.МОП1-9</v>
      </c>
      <c r="B367" s="9" t="s">
        <v>16</v>
      </c>
      <c r="C367" s="9"/>
      <c r="D367" s="10">
        <v>296828</v>
      </c>
      <c r="E367" s="9" t="s">
        <v>150</v>
      </c>
      <c r="F367" s="13" t="s">
        <v>11</v>
      </c>
      <c r="G367" s="9" t="s">
        <v>27</v>
      </c>
      <c r="H367" s="12" t="str">
        <f>H366</f>
        <v>Блок9</v>
      </c>
      <c r="I367" s="11">
        <v>820.05000000000007</v>
      </c>
    </row>
    <row r="368" spans="1:9" ht="21" customHeight="1" x14ac:dyDescent="0.25">
      <c r="A368" s="12" t="str">
        <f t="shared" si="73"/>
        <v>ЩУР.МОП1-9</v>
      </c>
      <c r="B368" s="9" t="s">
        <v>14</v>
      </c>
      <c r="C368" s="9"/>
      <c r="D368" s="10" t="s">
        <v>178</v>
      </c>
      <c r="E368" s="9" t="s">
        <v>179</v>
      </c>
      <c r="F368" s="13" t="s">
        <v>11</v>
      </c>
      <c r="G368" s="9" t="s">
        <v>15</v>
      </c>
      <c r="H368" s="12" t="str">
        <f>H366</f>
        <v>Блок9</v>
      </c>
      <c r="I368" s="11">
        <v>39100</v>
      </c>
    </row>
    <row r="369" spans="1:9" ht="24" customHeight="1" x14ac:dyDescent="0.25">
      <c r="A369" s="9" t="str">
        <f t="shared" si="73"/>
        <v>ЩУР.МОП1-9</v>
      </c>
      <c r="B369" s="9" t="s">
        <v>18</v>
      </c>
      <c r="C369" s="9"/>
      <c r="D369" s="10" t="s">
        <v>18</v>
      </c>
      <c r="E369" s="9" t="s">
        <v>18</v>
      </c>
      <c r="F369" s="9" t="s">
        <v>11</v>
      </c>
      <c r="G369" s="9" t="s">
        <v>18</v>
      </c>
      <c r="H369" s="12" t="str">
        <f>H368</f>
        <v>Блок9</v>
      </c>
      <c r="I369" s="11">
        <v>6600.0000000000009</v>
      </c>
    </row>
    <row r="370" spans="1:9" ht="21" customHeight="1" x14ac:dyDescent="0.25">
      <c r="A370" s="9" t="str">
        <f t="shared" si="73"/>
        <v>ЩУР.МОП1-9</v>
      </c>
      <c r="B370" s="9" t="s">
        <v>19</v>
      </c>
      <c r="C370" s="9"/>
      <c r="D370" s="10" t="s">
        <v>19</v>
      </c>
      <c r="E370" s="9" t="s">
        <v>19</v>
      </c>
      <c r="F370" s="9" t="s">
        <v>11</v>
      </c>
      <c r="G370" s="9" t="s">
        <v>19</v>
      </c>
      <c r="H370" s="12" t="str">
        <f>H369</f>
        <v>Блок9</v>
      </c>
      <c r="I370" s="11">
        <v>12000</v>
      </c>
    </row>
    <row r="371" spans="1:9" ht="30" customHeight="1" x14ac:dyDescent="0.25">
      <c r="A371" s="14" t="str">
        <f t="shared" si="73"/>
        <v>ЩУР.МОП1-9</v>
      </c>
      <c r="B371" s="14"/>
      <c r="C371" s="14"/>
      <c r="D371" s="14"/>
      <c r="E371" s="15"/>
      <c r="F371" s="17"/>
      <c r="G371" s="14"/>
      <c r="H371" s="12" t="str">
        <f>H370</f>
        <v>Блок9</v>
      </c>
      <c r="I371" s="16">
        <v>73657.899999999994</v>
      </c>
    </row>
    <row r="372" spans="1:9" ht="39.75" customHeight="1" x14ac:dyDescent="0.25">
      <c r="A372" s="7" t="str">
        <f>E372</f>
        <v>РЩ1-9 (АВР-Б-40-2-1)</v>
      </c>
      <c r="B372" s="4"/>
      <c r="C372" s="4"/>
      <c r="D372" s="5"/>
      <c r="E372" s="4" t="s">
        <v>140</v>
      </c>
      <c r="F372" s="8" t="s">
        <v>8</v>
      </c>
      <c r="G372" s="4" t="s">
        <v>9</v>
      </c>
      <c r="H372" s="7" t="s">
        <v>84</v>
      </c>
      <c r="I372" s="6"/>
    </row>
    <row r="373" spans="1:9" ht="21" customHeight="1" x14ac:dyDescent="0.25">
      <c r="A373" s="12" t="str">
        <f t="shared" ref="A373:A383" si="74">A372</f>
        <v>РЩ1-9 (АВР-Б-40-2-1)</v>
      </c>
      <c r="B373" s="9" t="s">
        <v>10</v>
      </c>
      <c r="C373" s="9"/>
      <c r="D373" s="10" t="s">
        <v>167</v>
      </c>
      <c r="E373" s="9" t="s">
        <v>168</v>
      </c>
      <c r="F373" s="13" t="s">
        <v>11</v>
      </c>
      <c r="G373" s="9" t="s">
        <v>12</v>
      </c>
      <c r="H373" s="12" t="str">
        <f t="shared" ref="H373:H383" si="75">H372</f>
        <v>Блок9</v>
      </c>
      <c r="I373" s="11">
        <v>78000</v>
      </c>
    </row>
    <row r="374" spans="1:9" ht="21" customHeight="1" x14ac:dyDescent="0.25">
      <c r="A374" s="12" t="str">
        <f t="shared" si="74"/>
        <v>РЩ1-9 (АВР-Б-40-2-1)</v>
      </c>
      <c r="B374" s="9" t="s">
        <v>43</v>
      </c>
      <c r="C374" s="9"/>
      <c r="D374" s="10" t="s">
        <v>161</v>
      </c>
      <c r="E374" s="9" t="s">
        <v>162</v>
      </c>
      <c r="F374" s="13" t="s">
        <v>11</v>
      </c>
      <c r="G374" s="9" t="s">
        <v>13</v>
      </c>
      <c r="H374" s="12" t="str">
        <f t="shared" si="75"/>
        <v>Блок9</v>
      </c>
      <c r="I374" s="11">
        <v>63116.900000000009</v>
      </c>
    </row>
    <row r="375" spans="1:9" ht="21" customHeight="1" x14ac:dyDescent="0.25">
      <c r="A375" s="12" t="str">
        <f t="shared" si="74"/>
        <v>РЩ1-9 (АВР-Б-40-2-1)</v>
      </c>
      <c r="B375" s="9" t="s">
        <v>26</v>
      </c>
      <c r="C375" s="9"/>
      <c r="D375" s="10">
        <v>126505</v>
      </c>
      <c r="E375" s="9" t="s">
        <v>44</v>
      </c>
      <c r="F375" s="13" t="s">
        <v>11</v>
      </c>
      <c r="G375" s="9" t="s">
        <v>27</v>
      </c>
      <c r="H375" s="12" t="str">
        <f t="shared" si="75"/>
        <v>Блок9</v>
      </c>
      <c r="I375" s="11">
        <v>17314</v>
      </c>
    </row>
    <row r="376" spans="1:9" ht="21" customHeight="1" x14ac:dyDescent="0.25">
      <c r="A376" s="12" t="str">
        <f t="shared" si="74"/>
        <v>РЩ1-9 (АВР-Б-40-2-1)</v>
      </c>
      <c r="B376" s="9" t="s">
        <v>26</v>
      </c>
      <c r="C376" s="9"/>
      <c r="D376" s="10">
        <v>126677</v>
      </c>
      <c r="E376" s="9" t="s">
        <v>42</v>
      </c>
      <c r="F376" s="13" t="s">
        <v>11</v>
      </c>
      <c r="G376" s="9" t="s">
        <v>27</v>
      </c>
      <c r="H376" s="12" t="str">
        <f t="shared" si="75"/>
        <v>Блок9</v>
      </c>
      <c r="I376" s="11">
        <v>24324.300000000003</v>
      </c>
    </row>
    <row r="377" spans="1:9" ht="21" customHeight="1" x14ac:dyDescent="0.25">
      <c r="A377" s="12" t="str">
        <f t="shared" si="74"/>
        <v>РЩ1-9 (АВР-Б-40-2-1)</v>
      </c>
      <c r="B377" s="9" t="s">
        <v>16</v>
      </c>
      <c r="C377" s="9"/>
      <c r="D377" s="10">
        <v>814174</v>
      </c>
      <c r="E377" s="9" t="s">
        <v>45</v>
      </c>
      <c r="F377" s="13" t="s">
        <v>11</v>
      </c>
      <c r="G377" s="9" t="s">
        <v>27</v>
      </c>
      <c r="H377" s="12" t="str">
        <f t="shared" si="75"/>
        <v>Блок9</v>
      </c>
      <c r="I377" s="11">
        <v>5305.3</v>
      </c>
    </row>
    <row r="378" spans="1:9" ht="21" customHeight="1" x14ac:dyDescent="0.25">
      <c r="A378" s="12" t="str">
        <f t="shared" si="74"/>
        <v>РЩ1-9 (АВР-Б-40-2-1)</v>
      </c>
      <c r="B378" s="9" t="s">
        <v>16</v>
      </c>
      <c r="C378" s="9"/>
      <c r="D378" s="10">
        <v>814167</v>
      </c>
      <c r="E378" s="9" t="s">
        <v>47</v>
      </c>
      <c r="F378" s="13" t="s">
        <v>11</v>
      </c>
      <c r="G378" s="9" t="s">
        <v>27</v>
      </c>
      <c r="H378" s="12" t="str">
        <f t="shared" si="75"/>
        <v>Блок9</v>
      </c>
      <c r="I378" s="11">
        <v>2852.8500000000004</v>
      </c>
    </row>
    <row r="379" spans="1:9" ht="21" customHeight="1" x14ac:dyDescent="0.25">
      <c r="A379" s="12" t="str">
        <f t="shared" si="74"/>
        <v>РЩ1-9 (АВР-Б-40-2-1)</v>
      </c>
      <c r="B379" s="9" t="s">
        <v>14</v>
      </c>
      <c r="C379" s="9"/>
      <c r="D379" s="10" t="s">
        <v>178</v>
      </c>
      <c r="E379" s="9" t="s">
        <v>179</v>
      </c>
      <c r="F379" s="13" t="s">
        <v>11</v>
      </c>
      <c r="G379" s="9" t="s">
        <v>15</v>
      </c>
      <c r="H379" s="12" t="str">
        <f t="shared" si="75"/>
        <v>Блок9</v>
      </c>
      <c r="I379" s="11">
        <v>39100</v>
      </c>
    </row>
    <row r="380" spans="1:9" ht="21" customHeight="1" x14ac:dyDescent="0.25">
      <c r="A380" s="12" t="str">
        <f t="shared" si="74"/>
        <v>РЩ1-9 (АВР-Б-40-2-1)</v>
      </c>
      <c r="B380" s="9" t="s">
        <v>29</v>
      </c>
      <c r="C380" s="9"/>
      <c r="D380" s="10"/>
      <c r="E380" s="9" t="s">
        <v>30</v>
      </c>
      <c r="F380" s="13" t="s">
        <v>11</v>
      </c>
      <c r="G380" s="9" t="s">
        <v>24</v>
      </c>
      <c r="H380" s="12" t="e">
        <f>#REF!</f>
        <v>#REF!</v>
      </c>
      <c r="I380" s="11">
        <v>14850</v>
      </c>
    </row>
    <row r="381" spans="1:9" ht="24" customHeight="1" x14ac:dyDescent="0.25">
      <c r="A381" s="9" t="str">
        <f t="shared" si="74"/>
        <v>РЩ1-9 (АВР-Б-40-2-1)</v>
      </c>
      <c r="B381" s="9" t="s">
        <v>18</v>
      </c>
      <c r="C381" s="9"/>
      <c r="D381" s="10" t="s">
        <v>18</v>
      </c>
      <c r="E381" s="9" t="s">
        <v>18</v>
      </c>
      <c r="F381" s="9" t="s">
        <v>11</v>
      </c>
      <c r="G381" s="9" t="s">
        <v>18</v>
      </c>
      <c r="H381" s="12" t="e">
        <f t="shared" si="75"/>
        <v>#REF!</v>
      </c>
      <c r="I381" s="11">
        <v>21450</v>
      </c>
    </row>
    <row r="382" spans="1:9" ht="21" customHeight="1" x14ac:dyDescent="0.25">
      <c r="A382" s="9" t="str">
        <f t="shared" si="74"/>
        <v>РЩ1-9 (АВР-Б-40-2-1)</v>
      </c>
      <c r="B382" s="9" t="s">
        <v>19</v>
      </c>
      <c r="C382" s="9"/>
      <c r="D382" s="10" t="s">
        <v>19</v>
      </c>
      <c r="E382" s="9" t="s">
        <v>19</v>
      </c>
      <c r="F382" s="9" t="s">
        <v>11</v>
      </c>
      <c r="G382" s="9" t="s">
        <v>19</v>
      </c>
      <c r="H382" s="12" t="e">
        <f t="shared" si="75"/>
        <v>#REF!</v>
      </c>
      <c r="I382" s="11">
        <v>39000</v>
      </c>
    </row>
    <row r="383" spans="1:9" ht="30" customHeight="1" x14ac:dyDescent="0.25">
      <c r="A383" s="14" t="str">
        <f t="shared" si="74"/>
        <v>РЩ1-9 (АВР-Б-40-2-1)</v>
      </c>
      <c r="B383" s="14"/>
      <c r="C383" s="14"/>
      <c r="D383" s="14"/>
      <c r="E383" s="15"/>
      <c r="F383" s="17"/>
      <c r="G383" s="14"/>
      <c r="H383" s="12" t="e">
        <f t="shared" si="75"/>
        <v>#REF!</v>
      </c>
      <c r="I383" s="16">
        <v>305313.34999999998</v>
      </c>
    </row>
    <row r="384" spans="1:9" ht="39.75" customHeight="1" x14ac:dyDescent="0.25">
      <c r="A384" s="7" t="str">
        <f>E384</f>
        <v>РУ1-10</v>
      </c>
      <c r="B384" s="4"/>
      <c r="C384" s="4"/>
      <c r="D384" s="5"/>
      <c r="E384" s="4" t="s">
        <v>86</v>
      </c>
      <c r="F384" s="8" t="s">
        <v>8</v>
      </c>
      <c r="G384" s="4" t="s">
        <v>9</v>
      </c>
      <c r="H384" s="7" t="s">
        <v>87</v>
      </c>
      <c r="I384" s="6"/>
    </row>
    <row r="385" spans="1:9" ht="21" customHeight="1" x14ac:dyDescent="0.25">
      <c r="A385" s="12" t="str">
        <f t="shared" ref="A385:A391" si="76">A384</f>
        <v>РУ1-10</v>
      </c>
      <c r="B385" s="9" t="s">
        <v>10</v>
      </c>
      <c r="C385" s="9"/>
      <c r="D385" s="10" t="s">
        <v>169</v>
      </c>
      <c r="E385" s="9" t="s">
        <v>170</v>
      </c>
      <c r="F385" s="13" t="s">
        <v>11</v>
      </c>
      <c r="G385" s="9" t="s">
        <v>12</v>
      </c>
      <c r="H385" s="12" t="str">
        <f t="shared" ref="H385:H391" si="77">H384</f>
        <v>Блок10</v>
      </c>
      <c r="I385" s="11">
        <v>87000</v>
      </c>
    </row>
    <row r="386" spans="1:9" ht="21" customHeight="1" x14ac:dyDescent="0.25">
      <c r="A386" s="12" t="str">
        <f t="shared" si="76"/>
        <v>РУ1-10</v>
      </c>
      <c r="B386" s="9" t="s">
        <v>26</v>
      </c>
      <c r="C386" s="9"/>
      <c r="D386" s="10">
        <v>126586</v>
      </c>
      <c r="E386" s="9" t="s">
        <v>67</v>
      </c>
      <c r="F386" s="13" t="s">
        <v>11</v>
      </c>
      <c r="G386" s="9" t="s">
        <v>27</v>
      </c>
      <c r="H386" s="12" t="str">
        <f t="shared" si="77"/>
        <v>Блок10</v>
      </c>
      <c r="I386" s="11">
        <v>16216.2</v>
      </c>
    </row>
    <row r="387" spans="1:9" ht="21" customHeight="1" x14ac:dyDescent="0.25">
      <c r="A387" s="12" t="str">
        <f t="shared" si="76"/>
        <v>РУ1-10</v>
      </c>
      <c r="B387" s="9" t="s">
        <v>26</v>
      </c>
      <c r="C387" s="9"/>
      <c r="D387" s="10">
        <v>126584</v>
      </c>
      <c r="E387" s="9" t="s">
        <v>33</v>
      </c>
      <c r="F387" s="13" t="s">
        <v>11</v>
      </c>
      <c r="G387" s="9" t="s">
        <v>27</v>
      </c>
      <c r="H387" s="12" t="str">
        <f t="shared" si="77"/>
        <v>Блок10</v>
      </c>
      <c r="I387" s="11">
        <v>31631.600000000002</v>
      </c>
    </row>
    <row r="388" spans="1:9" ht="21" customHeight="1" x14ac:dyDescent="0.25">
      <c r="A388" s="12" t="str">
        <f t="shared" si="76"/>
        <v>РУ1-10</v>
      </c>
      <c r="B388" s="9" t="s">
        <v>26</v>
      </c>
      <c r="C388" s="9"/>
      <c r="D388" s="10">
        <v>126507</v>
      </c>
      <c r="E388" s="9" t="s">
        <v>34</v>
      </c>
      <c r="F388" s="13" t="s">
        <v>11</v>
      </c>
      <c r="G388" s="9" t="s">
        <v>27</v>
      </c>
      <c r="H388" s="12" t="str">
        <f t="shared" si="77"/>
        <v>Блок10</v>
      </c>
      <c r="I388" s="11">
        <v>18818.800000000003</v>
      </c>
    </row>
    <row r="389" spans="1:9" ht="24" customHeight="1" x14ac:dyDescent="0.25">
      <c r="A389" s="9" t="str">
        <f t="shared" si="76"/>
        <v>РУ1-10</v>
      </c>
      <c r="B389" s="9" t="s">
        <v>18</v>
      </c>
      <c r="C389" s="9"/>
      <c r="D389" s="10" t="s">
        <v>18</v>
      </c>
      <c r="E389" s="9" t="s">
        <v>18</v>
      </c>
      <c r="F389" s="9" t="s">
        <v>11</v>
      </c>
      <c r="G389" s="9" t="s">
        <v>18</v>
      </c>
      <c r="H389" s="12" t="str">
        <f t="shared" si="77"/>
        <v>Блок10</v>
      </c>
      <c r="I389" s="11">
        <v>14850.000000000002</v>
      </c>
    </row>
    <row r="390" spans="1:9" ht="21" customHeight="1" x14ac:dyDescent="0.25">
      <c r="A390" s="9" t="str">
        <f t="shared" si="76"/>
        <v>РУ1-10</v>
      </c>
      <c r="B390" s="9" t="s">
        <v>19</v>
      </c>
      <c r="C390" s="9"/>
      <c r="D390" s="10" t="s">
        <v>19</v>
      </c>
      <c r="E390" s="9" t="s">
        <v>19</v>
      </c>
      <c r="F390" s="9" t="s">
        <v>11</v>
      </c>
      <c r="G390" s="9" t="s">
        <v>19</v>
      </c>
      <c r="H390" s="12" t="str">
        <f t="shared" si="77"/>
        <v>Блок10</v>
      </c>
      <c r="I390" s="11">
        <v>27000</v>
      </c>
    </row>
    <row r="391" spans="1:9" ht="30" customHeight="1" x14ac:dyDescent="0.25">
      <c r="A391" s="14" t="str">
        <f t="shared" si="76"/>
        <v>РУ1-10</v>
      </c>
      <c r="B391" s="14"/>
      <c r="C391" s="14"/>
      <c r="D391" s="14"/>
      <c r="E391" s="15"/>
      <c r="F391" s="17"/>
      <c r="G391" s="14"/>
      <c r="H391" s="12" t="str">
        <f t="shared" si="77"/>
        <v>Блок10</v>
      </c>
      <c r="I391" s="16">
        <v>195516.59999999998</v>
      </c>
    </row>
    <row r="392" spans="1:9" ht="39.75" customHeight="1" x14ac:dyDescent="0.25">
      <c r="A392" s="7" t="str">
        <f>E392</f>
        <v>ЩУР.МОП1-10</v>
      </c>
      <c r="B392" s="4"/>
      <c r="C392" s="4"/>
      <c r="D392" s="5"/>
      <c r="E392" s="4" t="s">
        <v>88</v>
      </c>
      <c r="F392" s="8" t="s">
        <v>8</v>
      </c>
      <c r="G392" s="4" t="s">
        <v>9</v>
      </c>
      <c r="H392" s="7" t="s">
        <v>87</v>
      </c>
      <c r="I392" s="6"/>
    </row>
    <row r="393" spans="1:9" ht="21" customHeight="1" x14ac:dyDescent="0.25">
      <c r="A393" s="12" t="str">
        <f t="shared" ref="A393:A399" si="78">A392</f>
        <v>ЩУР.МОП1-10</v>
      </c>
      <c r="B393" s="9" t="s">
        <v>10</v>
      </c>
      <c r="C393" s="9"/>
      <c r="D393" s="10" t="s">
        <v>39</v>
      </c>
      <c r="E393" s="9" t="s">
        <v>40</v>
      </c>
      <c r="F393" s="13" t="s">
        <v>11</v>
      </c>
      <c r="G393" s="9" t="s">
        <v>12</v>
      </c>
      <c r="H393" s="12" t="str">
        <f t="shared" ref="H393:H399" si="79">H392</f>
        <v>Блок10</v>
      </c>
      <c r="I393" s="11">
        <v>10800</v>
      </c>
    </row>
    <row r="394" spans="1:9" ht="21" customHeight="1" x14ac:dyDescent="0.25">
      <c r="A394" s="12" t="str">
        <f t="shared" si="78"/>
        <v>ЩУР.МОП1-10</v>
      </c>
      <c r="B394" s="9" t="s">
        <v>16</v>
      </c>
      <c r="C394" s="9"/>
      <c r="D394" s="10">
        <v>296830</v>
      </c>
      <c r="E394" s="9" t="s">
        <v>148</v>
      </c>
      <c r="F394" s="13" t="s">
        <v>11</v>
      </c>
      <c r="G394" s="9" t="s">
        <v>27</v>
      </c>
      <c r="H394" s="12" t="str">
        <f t="shared" si="79"/>
        <v>Блок10</v>
      </c>
      <c r="I394" s="11">
        <v>854.7</v>
      </c>
    </row>
    <row r="395" spans="1:9" ht="21" customHeight="1" x14ac:dyDescent="0.25">
      <c r="A395" s="12" t="str">
        <f t="shared" si="78"/>
        <v>ЩУР.МОП1-10</v>
      </c>
      <c r="B395" s="9" t="s">
        <v>16</v>
      </c>
      <c r="C395" s="9"/>
      <c r="D395" s="10">
        <v>296829</v>
      </c>
      <c r="E395" s="9" t="s">
        <v>147</v>
      </c>
      <c r="F395" s="13" t="s">
        <v>11</v>
      </c>
      <c r="G395" s="9" t="s">
        <v>27</v>
      </c>
      <c r="H395" s="12" t="str">
        <f t="shared" si="79"/>
        <v>Блок10</v>
      </c>
      <c r="I395" s="11">
        <v>4644.2000000000007</v>
      </c>
    </row>
    <row r="396" spans="1:9" ht="21" customHeight="1" x14ac:dyDescent="0.25">
      <c r="A396" s="12" t="str">
        <f t="shared" si="78"/>
        <v>ЩУР.МОП1-10</v>
      </c>
      <c r="B396" s="9" t="s">
        <v>14</v>
      </c>
      <c r="C396" s="9"/>
      <c r="D396" s="10" t="s">
        <v>178</v>
      </c>
      <c r="E396" s="9" t="s">
        <v>179</v>
      </c>
      <c r="F396" s="13" t="s">
        <v>11</v>
      </c>
      <c r="G396" s="9" t="s">
        <v>15</v>
      </c>
      <c r="H396" s="12" t="str">
        <f t="shared" si="79"/>
        <v>Блок10</v>
      </c>
      <c r="I396" s="11">
        <v>39100</v>
      </c>
    </row>
    <row r="397" spans="1:9" ht="24" customHeight="1" x14ac:dyDescent="0.25">
      <c r="A397" s="9" t="str">
        <f t="shared" si="78"/>
        <v>ЩУР.МОП1-10</v>
      </c>
      <c r="B397" s="9" t="s">
        <v>18</v>
      </c>
      <c r="C397" s="9"/>
      <c r="D397" s="10" t="s">
        <v>18</v>
      </c>
      <c r="E397" s="9" t="s">
        <v>18</v>
      </c>
      <c r="F397" s="9" t="s">
        <v>11</v>
      </c>
      <c r="G397" s="9" t="s">
        <v>18</v>
      </c>
      <c r="H397" s="12" t="str">
        <f t="shared" si="79"/>
        <v>Блок10</v>
      </c>
      <c r="I397" s="11">
        <v>6600.0000000000009</v>
      </c>
    </row>
    <row r="398" spans="1:9" ht="21" customHeight="1" x14ac:dyDescent="0.25">
      <c r="A398" s="9" t="str">
        <f t="shared" si="78"/>
        <v>ЩУР.МОП1-10</v>
      </c>
      <c r="B398" s="9" t="s">
        <v>19</v>
      </c>
      <c r="C398" s="9"/>
      <c r="D398" s="10" t="s">
        <v>19</v>
      </c>
      <c r="E398" s="9" t="s">
        <v>19</v>
      </c>
      <c r="F398" s="9" t="s">
        <v>11</v>
      </c>
      <c r="G398" s="9" t="s">
        <v>19</v>
      </c>
      <c r="H398" s="12" t="str">
        <f t="shared" si="79"/>
        <v>Блок10</v>
      </c>
      <c r="I398" s="11">
        <v>12000</v>
      </c>
    </row>
    <row r="399" spans="1:9" ht="30" customHeight="1" x14ac:dyDescent="0.25">
      <c r="A399" s="14" t="str">
        <f t="shared" si="78"/>
        <v>ЩУР.МОП1-10</v>
      </c>
      <c r="B399" s="14"/>
      <c r="C399" s="14"/>
      <c r="D399" s="14"/>
      <c r="E399" s="15"/>
      <c r="F399" s="17"/>
      <c r="G399" s="14"/>
      <c r="H399" s="12" t="str">
        <f t="shared" si="79"/>
        <v>Блок10</v>
      </c>
      <c r="I399" s="16">
        <v>73998.899999999994</v>
      </c>
    </row>
    <row r="400" spans="1:9" ht="39.75" customHeight="1" x14ac:dyDescent="0.25">
      <c r="A400" s="7" t="str">
        <f>E400</f>
        <v>РЩ1-10 (АВР-Б-40-2-1)</v>
      </c>
      <c r="B400" s="4"/>
      <c r="C400" s="4"/>
      <c r="D400" s="5"/>
      <c r="E400" s="4" t="s">
        <v>141</v>
      </c>
      <c r="F400" s="8" t="s">
        <v>8</v>
      </c>
      <c r="G400" s="4" t="s">
        <v>9</v>
      </c>
      <c r="H400" s="7" t="s">
        <v>87</v>
      </c>
      <c r="I400" s="6"/>
    </row>
    <row r="401" spans="1:9" ht="21" customHeight="1" x14ac:dyDescent="0.25">
      <c r="A401" s="12" t="str">
        <f t="shared" ref="A401:A411" si="80">A400</f>
        <v>РЩ1-10 (АВР-Б-40-2-1)</v>
      </c>
      <c r="B401" s="9" t="s">
        <v>10</v>
      </c>
      <c r="C401" s="9"/>
      <c r="D401" s="10" t="s">
        <v>167</v>
      </c>
      <c r="E401" s="9" t="s">
        <v>168</v>
      </c>
      <c r="F401" s="13" t="s">
        <v>11</v>
      </c>
      <c r="G401" s="9" t="s">
        <v>12</v>
      </c>
      <c r="H401" s="12" t="str">
        <f t="shared" ref="H401:H411" si="81">H400</f>
        <v>Блок10</v>
      </c>
      <c r="I401" s="11">
        <v>78000</v>
      </c>
    </row>
    <row r="402" spans="1:9" ht="21" customHeight="1" x14ac:dyDescent="0.25">
      <c r="A402" s="12" t="str">
        <f t="shared" si="80"/>
        <v>РЩ1-10 (АВР-Б-40-2-1)</v>
      </c>
      <c r="B402" s="9" t="s">
        <v>43</v>
      </c>
      <c r="C402" s="9"/>
      <c r="D402" s="10" t="s">
        <v>161</v>
      </c>
      <c r="E402" s="9" t="s">
        <v>162</v>
      </c>
      <c r="F402" s="13" t="s">
        <v>11</v>
      </c>
      <c r="G402" s="9" t="s">
        <v>13</v>
      </c>
      <c r="H402" s="12" t="str">
        <f t="shared" si="81"/>
        <v>Блок10</v>
      </c>
      <c r="I402" s="11">
        <v>63116.900000000009</v>
      </c>
    </row>
    <row r="403" spans="1:9" ht="21" customHeight="1" x14ac:dyDescent="0.25">
      <c r="A403" s="12" t="str">
        <f t="shared" si="80"/>
        <v>РЩ1-10 (АВР-Б-40-2-1)</v>
      </c>
      <c r="B403" s="9" t="s">
        <v>26</v>
      </c>
      <c r="C403" s="9"/>
      <c r="D403" s="10">
        <v>126505</v>
      </c>
      <c r="E403" s="9" t="s">
        <v>44</v>
      </c>
      <c r="F403" s="13" t="s">
        <v>11</v>
      </c>
      <c r="G403" s="9" t="s">
        <v>27</v>
      </c>
      <c r="H403" s="12" t="str">
        <f t="shared" si="81"/>
        <v>Блок10</v>
      </c>
      <c r="I403" s="11">
        <v>25971</v>
      </c>
    </row>
    <row r="404" spans="1:9" ht="21" customHeight="1" x14ac:dyDescent="0.25">
      <c r="A404" s="12" t="str">
        <f t="shared" si="80"/>
        <v>РЩ1-10 (АВР-Б-40-2-1)</v>
      </c>
      <c r="B404" s="9" t="s">
        <v>26</v>
      </c>
      <c r="C404" s="9"/>
      <c r="D404" s="10">
        <v>126677</v>
      </c>
      <c r="E404" s="9" t="s">
        <v>42</v>
      </c>
      <c r="F404" s="13" t="s">
        <v>11</v>
      </c>
      <c r="G404" s="9" t="s">
        <v>27</v>
      </c>
      <c r="H404" s="12" t="str">
        <f t="shared" si="81"/>
        <v>Блок10</v>
      </c>
      <c r="I404" s="11">
        <v>16216.2</v>
      </c>
    </row>
    <row r="405" spans="1:9" ht="21" customHeight="1" x14ac:dyDescent="0.25">
      <c r="A405" s="12" t="str">
        <f t="shared" si="80"/>
        <v>РЩ1-10 (АВР-Б-40-2-1)</v>
      </c>
      <c r="B405" s="9" t="s">
        <v>16</v>
      </c>
      <c r="C405" s="9"/>
      <c r="D405" s="10">
        <v>814174</v>
      </c>
      <c r="E405" s="9" t="s">
        <v>45</v>
      </c>
      <c r="F405" s="13" t="s">
        <v>11</v>
      </c>
      <c r="G405" s="9" t="s">
        <v>27</v>
      </c>
      <c r="H405" s="12" t="str">
        <f t="shared" si="81"/>
        <v>Блок10</v>
      </c>
      <c r="I405" s="11">
        <v>5305.3</v>
      </c>
    </row>
    <row r="406" spans="1:9" ht="21" customHeight="1" x14ac:dyDescent="0.25">
      <c r="A406" s="12" t="str">
        <f t="shared" si="80"/>
        <v>РЩ1-10 (АВР-Б-40-2-1)</v>
      </c>
      <c r="B406" s="9" t="s">
        <v>16</v>
      </c>
      <c r="C406" s="9"/>
      <c r="D406" s="10">
        <v>814167</v>
      </c>
      <c r="E406" s="9" t="s">
        <v>47</v>
      </c>
      <c r="F406" s="13" t="s">
        <v>11</v>
      </c>
      <c r="G406" s="9" t="s">
        <v>27</v>
      </c>
      <c r="H406" s="12" t="str">
        <f t="shared" si="81"/>
        <v>Блок10</v>
      </c>
      <c r="I406" s="11">
        <v>2852.8500000000004</v>
      </c>
    </row>
    <row r="407" spans="1:9" ht="21" customHeight="1" x14ac:dyDescent="0.25">
      <c r="A407" s="12" t="str">
        <f t="shared" si="80"/>
        <v>РЩ1-10 (АВР-Б-40-2-1)</v>
      </c>
      <c r="B407" s="9" t="s">
        <v>14</v>
      </c>
      <c r="C407" s="9"/>
      <c r="D407" s="10" t="s">
        <v>178</v>
      </c>
      <c r="E407" s="9" t="s">
        <v>179</v>
      </c>
      <c r="F407" s="13" t="s">
        <v>11</v>
      </c>
      <c r="G407" s="9" t="s">
        <v>15</v>
      </c>
      <c r="H407" s="12" t="str">
        <f t="shared" si="81"/>
        <v>Блок10</v>
      </c>
      <c r="I407" s="11">
        <v>39100</v>
      </c>
    </row>
    <row r="408" spans="1:9" ht="21" customHeight="1" x14ac:dyDescent="0.25">
      <c r="A408" s="12" t="str">
        <f t="shared" si="80"/>
        <v>РЩ1-10 (АВР-Б-40-2-1)</v>
      </c>
      <c r="B408" s="9" t="s">
        <v>29</v>
      </c>
      <c r="C408" s="9"/>
      <c r="D408" s="10"/>
      <c r="E408" s="9" t="s">
        <v>30</v>
      </c>
      <c r="F408" s="13" t="s">
        <v>11</v>
      </c>
      <c r="G408" s="9" t="s">
        <v>24</v>
      </c>
      <c r="H408" s="12" t="e">
        <f>#REF!</f>
        <v>#REF!</v>
      </c>
      <c r="I408" s="11">
        <v>14850</v>
      </c>
    </row>
    <row r="409" spans="1:9" ht="24" customHeight="1" x14ac:dyDescent="0.25">
      <c r="A409" s="9" t="str">
        <f t="shared" si="80"/>
        <v>РЩ1-10 (АВР-Б-40-2-1)</v>
      </c>
      <c r="B409" s="9" t="s">
        <v>18</v>
      </c>
      <c r="C409" s="9"/>
      <c r="D409" s="10" t="s">
        <v>18</v>
      </c>
      <c r="E409" s="9" t="s">
        <v>18</v>
      </c>
      <c r="F409" s="9" t="s">
        <v>11</v>
      </c>
      <c r="G409" s="9" t="s">
        <v>18</v>
      </c>
      <c r="H409" s="12" t="e">
        <f t="shared" si="81"/>
        <v>#REF!</v>
      </c>
      <c r="I409" s="11">
        <v>21450</v>
      </c>
    </row>
    <row r="410" spans="1:9" ht="21" customHeight="1" x14ac:dyDescent="0.25">
      <c r="A410" s="9" t="str">
        <f t="shared" si="80"/>
        <v>РЩ1-10 (АВР-Б-40-2-1)</v>
      </c>
      <c r="B410" s="9" t="s">
        <v>19</v>
      </c>
      <c r="C410" s="9"/>
      <c r="D410" s="10" t="s">
        <v>19</v>
      </c>
      <c r="E410" s="9" t="s">
        <v>19</v>
      </c>
      <c r="F410" s="9" t="s">
        <v>11</v>
      </c>
      <c r="G410" s="9" t="s">
        <v>19</v>
      </c>
      <c r="H410" s="12" t="e">
        <f t="shared" si="81"/>
        <v>#REF!</v>
      </c>
      <c r="I410" s="11">
        <v>39000</v>
      </c>
    </row>
    <row r="411" spans="1:9" ht="30" customHeight="1" x14ac:dyDescent="0.25">
      <c r="A411" s="14" t="str">
        <f t="shared" si="80"/>
        <v>РЩ1-10 (АВР-Б-40-2-1)</v>
      </c>
      <c r="B411" s="14"/>
      <c r="C411" s="14"/>
      <c r="D411" s="14"/>
      <c r="E411" s="15"/>
      <c r="F411" s="17"/>
      <c r="G411" s="14"/>
      <c r="H411" s="12" t="e">
        <f t="shared" si="81"/>
        <v>#REF!</v>
      </c>
      <c r="I411" s="16">
        <v>305862.25</v>
      </c>
    </row>
    <row r="412" spans="1:9" ht="39.75" customHeight="1" x14ac:dyDescent="0.25">
      <c r="A412" s="7" t="str">
        <f>E412</f>
        <v>ВРУ1-11</v>
      </c>
      <c r="B412" s="4"/>
      <c r="C412" s="4"/>
      <c r="D412" s="5"/>
      <c r="E412" s="4" t="s">
        <v>89</v>
      </c>
      <c r="F412" s="8" t="s">
        <v>8</v>
      </c>
      <c r="G412" s="4" t="s">
        <v>9</v>
      </c>
      <c r="H412" s="7" t="s">
        <v>90</v>
      </c>
      <c r="I412" s="6"/>
    </row>
    <row r="413" spans="1:9" ht="21" customHeight="1" x14ac:dyDescent="0.25">
      <c r="A413" s="12" t="str">
        <f t="shared" ref="A413:A423" si="82">A412</f>
        <v>ВРУ1-11</v>
      </c>
      <c r="B413" s="9" t="s">
        <v>10</v>
      </c>
      <c r="C413" s="9"/>
      <c r="D413" s="10" t="s">
        <v>171</v>
      </c>
      <c r="E413" s="9" t="s">
        <v>172</v>
      </c>
      <c r="F413" s="13" t="s">
        <v>11</v>
      </c>
      <c r="G413" s="9" t="s">
        <v>12</v>
      </c>
      <c r="H413" s="12" t="str">
        <f t="shared" ref="H413:H423" si="83">H412</f>
        <v>Блок11</v>
      </c>
      <c r="I413" s="11">
        <v>93900</v>
      </c>
    </row>
    <row r="414" spans="1:9" ht="21" customHeight="1" x14ac:dyDescent="0.25">
      <c r="A414" s="12" t="str">
        <f t="shared" si="82"/>
        <v>ВРУ1-11</v>
      </c>
      <c r="B414" s="9" t="s">
        <v>22</v>
      </c>
      <c r="C414" s="9"/>
      <c r="D414" s="10"/>
      <c r="E414" s="9" t="s">
        <v>23</v>
      </c>
      <c r="F414" s="13" t="s">
        <v>11</v>
      </c>
      <c r="G414" s="9" t="s">
        <v>24</v>
      </c>
      <c r="H414" s="12" t="str">
        <f t="shared" si="83"/>
        <v>Блок11</v>
      </c>
      <c r="I414" s="11">
        <v>28206</v>
      </c>
    </row>
    <row r="415" spans="1:9" ht="21" customHeight="1" x14ac:dyDescent="0.25">
      <c r="A415" s="12" t="str">
        <f t="shared" si="82"/>
        <v>ВРУ1-11</v>
      </c>
      <c r="B415" s="9" t="s">
        <v>25</v>
      </c>
      <c r="C415" s="9"/>
      <c r="D415" s="10" t="s">
        <v>176</v>
      </c>
      <c r="E415" s="9" t="s">
        <v>177</v>
      </c>
      <c r="F415" s="13" t="s">
        <v>11</v>
      </c>
      <c r="G415" s="9" t="s">
        <v>24</v>
      </c>
      <c r="H415" s="12" t="str">
        <f t="shared" si="83"/>
        <v>Блок11</v>
      </c>
      <c r="I415" s="11">
        <v>28050.000000000004</v>
      </c>
    </row>
    <row r="416" spans="1:9" ht="21" customHeight="1" x14ac:dyDescent="0.25">
      <c r="A416" s="12" t="str">
        <f t="shared" si="82"/>
        <v>ВРУ1-11</v>
      </c>
      <c r="B416" s="9" t="s">
        <v>126</v>
      </c>
      <c r="C416" s="9"/>
      <c r="D416" s="10" t="s">
        <v>129</v>
      </c>
      <c r="E416" s="9" t="s">
        <v>130</v>
      </c>
      <c r="F416" s="13" t="s">
        <v>11</v>
      </c>
      <c r="G416" s="9" t="s">
        <v>13</v>
      </c>
      <c r="H416" s="12" t="str">
        <f t="shared" si="83"/>
        <v>Блок11</v>
      </c>
      <c r="I416" s="11">
        <v>5225</v>
      </c>
    </row>
    <row r="417" spans="1:9" ht="21" customHeight="1" x14ac:dyDescent="0.25">
      <c r="A417" s="12" t="str">
        <f t="shared" si="82"/>
        <v>ВРУ1-11</v>
      </c>
      <c r="B417" s="9" t="s">
        <v>125</v>
      </c>
      <c r="C417" s="9"/>
      <c r="D417" s="10" t="s">
        <v>127</v>
      </c>
      <c r="E417" s="9" t="s">
        <v>128</v>
      </c>
      <c r="F417" s="13" t="s">
        <v>11</v>
      </c>
      <c r="G417" s="9" t="s">
        <v>13</v>
      </c>
      <c r="H417" s="12" t="str">
        <f t="shared" si="83"/>
        <v>Блок11</v>
      </c>
      <c r="I417" s="11">
        <v>3648.7000000000003</v>
      </c>
    </row>
    <row r="418" spans="1:9" ht="21" customHeight="1" x14ac:dyDescent="0.25">
      <c r="A418" s="12" t="str">
        <f t="shared" si="82"/>
        <v>ВРУ1-11</v>
      </c>
      <c r="B418" s="9" t="s">
        <v>16</v>
      </c>
      <c r="C418" s="9"/>
      <c r="D418" s="10">
        <v>296708</v>
      </c>
      <c r="E418" s="9" t="s">
        <v>28</v>
      </c>
      <c r="F418" s="13" t="s">
        <v>11</v>
      </c>
      <c r="G418" s="9" t="s">
        <v>27</v>
      </c>
      <c r="H418" s="12" t="str">
        <f t="shared" si="83"/>
        <v>Блок11</v>
      </c>
      <c r="I418" s="11">
        <v>910.80000000000007</v>
      </c>
    </row>
    <row r="419" spans="1:9" ht="21" customHeight="1" x14ac:dyDescent="0.25">
      <c r="A419" s="12" t="str">
        <f t="shared" si="82"/>
        <v>ВРУ1-11</v>
      </c>
      <c r="B419" s="9" t="s">
        <v>14</v>
      </c>
      <c r="C419" s="9"/>
      <c r="D419" s="10" t="s">
        <v>178</v>
      </c>
      <c r="E419" s="9" t="s">
        <v>179</v>
      </c>
      <c r="F419" s="13" t="s">
        <v>11</v>
      </c>
      <c r="G419" s="9" t="s">
        <v>15</v>
      </c>
      <c r="H419" s="12" t="str">
        <f t="shared" si="83"/>
        <v>Блок11</v>
      </c>
      <c r="I419" s="11">
        <v>78200</v>
      </c>
    </row>
    <row r="420" spans="1:9" ht="21" customHeight="1" x14ac:dyDescent="0.25">
      <c r="A420" s="12" t="str">
        <f t="shared" si="82"/>
        <v>ВРУ1-11</v>
      </c>
      <c r="B420" s="9" t="s">
        <v>29</v>
      </c>
      <c r="C420" s="9"/>
      <c r="D420" s="10"/>
      <c r="E420" s="9" t="s">
        <v>30</v>
      </c>
      <c r="F420" s="13" t="s">
        <v>11</v>
      </c>
      <c r="G420" s="9" t="s">
        <v>24</v>
      </c>
      <c r="H420" s="12" t="str">
        <f t="shared" si="83"/>
        <v>Блок11</v>
      </c>
      <c r="I420" s="11">
        <v>14850</v>
      </c>
    </row>
    <row r="421" spans="1:9" ht="24" customHeight="1" x14ac:dyDescent="0.25">
      <c r="A421" s="9" t="str">
        <f t="shared" si="82"/>
        <v>ВРУ1-11</v>
      </c>
      <c r="B421" s="9" t="s">
        <v>18</v>
      </c>
      <c r="C421" s="9"/>
      <c r="D421" s="10" t="s">
        <v>18</v>
      </c>
      <c r="E421" s="9" t="s">
        <v>18</v>
      </c>
      <c r="F421" s="9" t="s">
        <v>11</v>
      </c>
      <c r="G421" s="9" t="s">
        <v>18</v>
      </c>
      <c r="H421" s="12" t="str">
        <f t="shared" si="83"/>
        <v>Блок11</v>
      </c>
      <c r="I421" s="11">
        <v>26400.000000000004</v>
      </c>
    </row>
    <row r="422" spans="1:9" ht="21" customHeight="1" x14ac:dyDescent="0.25">
      <c r="A422" s="9" t="str">
        <f t="shared" si="82"/>
        <v>ВРУ1-11</v>
      </c>
      <c r="B422" s="9" t="s">
        <v>19</v>
      </c>
      <c r="C422" s="9"/>
      <c r="D422" s="10" t="s">
        <v>19</v>
      </c>
      <c r="E422" s="9" t="s">
        <v>19</v>
      </c>
      <c r="F422" s="9" t="s">
        <v>11</v>
      </c>
      <c r="G422" s="9" t="s">
        <v>19</v>
      </c>
      <c r="H422" s="12" t="str">
        <f t="shared" si="83"/>
        <v>Блок11</v>
      </c>
      <c r="I422" s="11">
        <v>48000</v>
      </c>
    </row>
    <row r="423" spans="1:9" ht="30" customHeight="1" x14ac:dyDescent="0.25">
      <c r="A423" s="14" t="str">
        <f t="shared" si="82"/>
        <v>ВРУ1-11</v>
      </c>
      <c r="B423" s="14"/>
      <c r="C423" s="14"/>
      <c r="D423" s="14"/>
      <c r="E423" s="15"/>
      <c r="F423" s="17"/>
      <c r="G423" s="14"/>
      <c r="H423" s="12" t="str">
        <f t="shared" si="83"/>
        <v>Блок11</v>
      </c>
      <c r="I423" s="16">
        <v>327390.5</v>
      </c>
    </row>
    <row r="424" spans="1:9" ht="39.75" customHeight="1" x14ac:dyDescent="0.25">
      <c r="A424" s="7" t="str">
        <f>E424</f>
        <v>РУ-1-11</v>
      </c>
      <c r="B424" s="4"/>
      <c r="C424" s="4"/>
      <c r="D424" s="5"/>
      <c r="E424" s="4" t="s">
        <v>91</v>
      </c>
      <c r="F424" s="8" t="s">
        <v>8</v>
      </c>
      <c r="G424" s="4" t="s">
        <v>9</v>
      </c>
      <c r="H424" s="7" t="s">
        <v>90</v>
      </c>
      <c r="I424" s="6"/>
    </row>
    <row r="425" spans="1:9" ht="21" customHeight="1" x14ac:dyDescent="0.25">
      <c r="A425" s="12" t="str">
        <f t="shared" ref="A425:A432" si="84">A424</f>
        <v>РУ-1-11</v>
      </c>
      <c r="B425" s="9" t="s">
        <v>10</v>
      </c>
      <c r="C425" s="9"/>
      <c r="D425" s="10" t="s">
        <v>169</v>
      </c>
      <c r="E425" s="9" t="s">
        <v>170</v>
      </c>
      <c r="F425" s="13" t="s">
        <v>11</v>
      </c>
      <c r="G425" s="9" t="s">
        <v>12</v>
      </c>
      <c r="H425" s="12" t="str">
        <f t="shared" ref="H425:H432" si="85">H424</f>
        <v>Блок11</v>
      </c>
      <c r="I425" s="11">
        <v>87000</v>
      </c>
    </row>
    <row r="426" spans="1:9" ht="21" customHeight="1" x14ac:dyDescent="0.25">
      <c r="A426" s="12" t="str">
        <f t="shared" si="84"/>
        <v>РУ-1-11</v>
      </c>
      <c r="B426" s="9" t="s">
        <v>26</v>
      </c>
      <c r="C426" s="9"/>
      <c r="D426" s="10">
        <v>126586</v>
      </c>
      <c r="E426" s="9" t="s">
        <v>67</v>
      </c>
      <c r="F426" s="13" t="s">
        <v>11</v>
      </c>
      <c r="G426" s="9" t="s">
        <v>27</v>
      </c>
      <c r="H426" s="12" t="str">
        <f t="shared" si="85"/>
        <v>Блок11</v>
      </c>
      <c r="I426" s="11">
        <v>16216.2</v>
      </c>
    </row>
    <row r="427" spans="1:9" ht="21" customHeight="1" x14ac:dyDescent="0.25">
      <c r="A427" s="12" t="str">
        <f t="shared" si="84"/>
        <v>РУ-1-11</v>
      </c>
      <c r="B427" s="9" t="s">
        <v>26</v>
      </c>
      <c r="C427" s="9"/>
      <c r="D427" s="10">
        <v>126584</v>
      </c>
      <c r="E427" s="9" t="s">
        <v>33</v>
      </c>
      <c r="F427" s="13" t="s">
        <v>11</v>
      </c>
      <c r="G427" s="9" t="s">
        <v>27</v>
      </c>
      <c r="H427" s="12" t="str">
        <f t="shared" si="85"/>
        <v>Блок11</v>
      </c>
      <c r="I427" s="11">
        <v>31631.600000000002</v>
      </c>
    </row>
    <row r="428" spans="1:9" ht="21" customHeight="1" x14ac:dyDescent="0.25">
      <c r="A428" s="12" t="str">
        <f t="shared" si="84"/>
        <v>РУ-1-11</v>
      </c>
      <c r="B428" s="9" t="s">
        <v>26</v>
      </c>
      <c r="C428" s="9"/>
      <c r="D428" s="10">
        <v>126507</v>
      </c>
      <c r="E428" s="9" t="s">
        <v>34</v>
      </c>
      <c r="F428" s="13" t="s">
        <v>11</v>
      </c>
      <c r="G428" s="9" t="s">
        <v>27</v>
      </c>
      <c r="H428" s="12" t="str">
        <f t="shared" si="85"/>
        <v>Блок11</v>
      </c>
      <c r="I428" s="11">
        <v>18818.800000000003</v>
      </c>
    </row>
    <row r="429" spans="1:9" ht="21" customHeight="1" x14ac:dyDescent="0.25">
      <c r="A429" s="12" t="str">
        <f t="shared" si="84"/>
        <v>РУ-1-11</v>
      </c>
      <c r="B429" s="9" t="s">
        <v>26</v>
      </c>
      <c r="C429" s="9"/>
      <c r="D429" s="10">
        <v>126506</v>
      </c>
      <c r="E429" s="9" t="s">
        <v>41</v>
      </c>
      <c r="F429" s="13" t="s">
        <v>11</v>
      </c>
      <c r="G429" s="9" t="s">
        <v>27</v>
      </c>
      <c r="H429" s="12" t="str">
        <f t="shared" si="85"/>
        <v>Блок11</v>
      </c>
      <c r="I429" s="11">
        <v>9209.2000000000007</v>
      </c>
    </row>
    <row r="430" spans="1:9" ht="24" customHeight="1" x14ac:dyDescent="0.25">
      <c r="A430" s="9" t="str">
        <f t="shared" si="84"/>
        <v>РУ-1-11</v>
      </c>
      <c r="B430" s="9" t="s">
        <v>18</v>
      </c>
      <c r="C430" s="9"/>
      <c r="D430" s="10" t="s">
        <v>18</v>
      </c>
      <c r="E430" s="9" t="s">
        <v>18</v>
      </c>
      <c r="F430" s="9" t="s">
        <v>11</v>
      </c>
      <c r="G430" s="9" t="s">
        <v>18</v>
      </c>
      <c r="H430" s="12" t="str">
        <f t="shared" si="85"/>
        <v>Блок11</v>
      </c>
      <c r="I430" s="11">
        <v>14850.000000000002</v>
      </c>
    </row>
    <row r="431" spans="1:9" ht="21" customHeight="1" x14ac:dyDescent="0.25">
      <c r="A431" s="9" t="str">
        <f t="shared" si="84"/>
        <v>РУ-1-11</v>
      </c>
      <c r="B431" s="9" t="s">
        <v>19</v>
      </c>
      <c r="C431" s="9"/>
      <c r="D431" s="10" t="s">
        <v>19</v>
      </c>
      <c r="E431" s="9" t="s">
        <v>19</v>
      </c>
      <c r="F431" s="9" t="s">
        <v>11</v>
      </c>
      <c r="G431" s="9" t="s">
        <v>19</v>
      </c>
      <c r="H431" s="12" t="str">
        <f t="shared" si="85"/>
        <v>Блок11</v>
      </c>
      <c r="I431" s="11">
        <v>27000</v>
      </c>
    </row>
    <row r="432" spans="1:9" ht="30" customHeight="1" x14ac:dyDescent="0.25">
      <c r="A432" s="14" t="str">
        <f t="shared" si="84"/>
        <v>РУ-1-11</v>
      </c>
      <c r="B432" s="14"/>
      <c r="C432" s="14"/>
      <c r="D432" s="14"/>
      <c r="E432" s="15"/>
      <c r="F432" s="17"/>
      <c r="G432" s="14"/>
      <c r="H432" s="12" t="str">
        <f t="shared" si="85"/>
        <v>Блок11</v>
      </c>
      <c r="I432" s="16">
        <v>204725.8</v>
      </c>
    </row>
    <row r="433" spans="1:9" ht="39.75" customHeight="1" x14ac:dyDescent="0.25">
      <c r="A433" s="7" t="str">
        <f>E433</f>
        <v>ЩУР.МОП1-11</v>
      </c>
      <c r="B433" s="4"/>
      <c r="C433" s="4"/>
      <c r="D433" s="5"/>
      <c r="E433" s="4" t="s">
        <v>92</v>
      </c>
      <c r="F433" s="8" t="s">
        <v>8</v>
      </c>
      <c r="G433" s="4" t="s">
        <v>9</v>
      </c>
      <c r="H433" s="7" t="s">
        <v>90</v>
      </c>
      <c r="I433" s="6"/>
    </row>
    <row r="434" spans="1:9" ht="21" customHeight="1" x14ac:dyDescent="0.25">
      <c r="A434" s="12" t="str">
        <f t="shared" ref="A434:A440" si="86">A433</f>
        <v>ЩУР.МОП1-11</v>
      </c>
      <c r="B434" s="9" t="s">
        <v>10</v>
      </c>
      <c r="C434" s="9"/>
      <c r="D434" s="10" t="s">
        <v>39</v>
      </c>
      <c r="E434" s="9" t="s">
        <v>40</v>
      </c>
      <c r="F434" s="13" t="s">
        <v>11</v>
      </c>
      <c r="G434" s="9" t="s">
        <v>12</v>
      </c>
      <c r="H434" s="12" t="str">
        <f t="shared" ref="H434:H440" si="87">H433</f>
        <v>Блок11</v>
      </c>
      <c r="I434" s="11">
        <v>10800</v>
      </c>
    </row>
    <row r="435" spans="1:9" ht="21" customHeight="1" x14ac:dyDescent="0.25">
      <c r="A435" s="12" t="str">
        <f t="shared" si="86"/>
        <v>ЩУР.МОП1-11</v>
      </c>
      <c r="B435" s="9" t="s">
        <v>16</v>
      </c>
      <c r="C435" s="9"/>
      <c r="D435" s="10">
        <v>296830</v>
      </c>
      <c r="E435" s="9" t="s">
        <v>148</v>
      </c>
      <c r="F435" s="13" t="s">
        <v>11</v>
      </c>
      <c r="G435" s="9" t="s">
        <v>27</v>
      </c>
      <c r="H435" s="12" t="str">
        <f t="shared" si="87"/>
        <v>Блок11</v>
      </c>
      <c r="I435" s="11">
        <v>854.7</v>
      </c>
    </row>
    <row r="436" spans="1:9" ht="21" customHeight="1" x14ac:dyDescent="0.25">
      <c r="A436" s="12" t="str">
        <f t="shared" si="86"/>
        <v>ЩУР.МОП1-11</v>
      </c>
      <c r="B436" s="9" t="s">
        <v>16</v>
      </c>
      <c r="C436" s="9"/>
      <c r="D436" s="10">
        <v>296829</v>
      </c>
      <c r="E436" s="9" t="s">
        <v>147</v>
      </c>
      <c r="F436" s="13" t="s">
        <v>11</v>
      </c>
      <c r="G436" s="9" t="s">
        <v>27</v>
      </c>
      <c r="H436" s="12" t="str">
        <f t="shared" si="87"/>
        <v>Блок11</v>
      </c>
      <c r="I436" s="11">
        <v>4644.2000000000007</v>
      </c>
    </row>
    <row r="437" spans="1:9" ht="21" customHeight="1" x14ac:dyDescent="0.25">
      <c r="A437" s="12" t="str">
        <f t="shared" si="86"/>
        <v>ЩУР.МОП1-11</v>
      </c>
      <c r="B437" s="9" t="s">
        <v>14</v>
      </c>
      <c r="C437" s="9"/>
      <c r="D437" s="10" t="s">
        <v>178</v>
      </c>
      <c r="E437" s="9" t="s">
        <v>179</v>
      </c>
      <c r="F437" s="13" t="s">
        <v>11</v>
      </c>
      <c r="G437" s="9" t="s">
        <v>15</v>
      </c>
      <c r="H437" s="12" t="str">
        <f t="shared" si="87"/>
        <v>Блок11</v>
      </c>
      <c r="I437" s="11">
        <v>39100</v>
      </c>
    </row>
    <row r="438" spans="1:9" ht="24" customHeight="1" x14ac:dyDescent="0.25">
      <c r="A438" s="9" t="str">
        <f t="shared" si="86"/>
        <v>ЩУР.МОП1-11</v>
      </c>
      <c r="B438" s="9" t="s">
        <v>18</v>
      </c>
      <c r="C438" s="9"/>
      <c r="D438" s="10" t="s">
        <v>18</v>
      </c>
      <c r="E438" s="9" t="s">
        <v>18</v>
      </c>
      <c r="F438" s="9" t="s">
        <v>11</v>
      </c>
      <c r="G438" s="9" t="s">
        <v>18</v>
      </c>
      <c r="H438" s="12" t="str">
        <f t="shared" si="87"/>
        <v>Блок11</v>
      </c>
      <c r="I438" s="11">
        <v>6600.0000000000009</v>
      </c>
    </row>
    <row r="439" spans="1:9" ht="21" customHeight="1" x14ac:dyDescent="0.25">
      <c r="A439" s="9" t="str">
        <f t="shared" si="86"/>
        <v>ЩУР.МОП1-11</v>
      </c>
      <c r="B439" s="9" t="s">
        <v>19</v>
      </c>
      <c r="C439" s="9"/>
      <c r="D439" s="10" t="s">
        <v>19</v>
      </c>
      <c r="E439" s="9" t="s">
        <v>19</v>
      </c>
      <c r="F439" s="9" t="s">
        <v>11</v>
      </c>
      <c r="G439" s="9" t="s">
        <v>19</v>
      </c>
      <c r="H439" s="12" t="str">
        <f t="shared" si="87"/>
        <v>Блок11</v>
      </c>
      <c r="I439" s="11">
        <v>12000</v>
      </c>
    </row>
    <row r="440" spans="1:9" ht="30" customHeight="1" x14ac:dyDescent="0.25">
      <c r="A440" s="14" t="str">
        <f t="shared" si="86"/>
        <v>ЩУР.МОП1-11</v>
      </c>
      <c r="B440" s="14"/>
      <c r="C440" s="14"/>
      <c r="D440" s="14"/>
      <c r="E440" s="15"/>
      <c r="F440" s="17"/>
      <c r="G440" s="14"/>
      <c r="H440" s="12" t="str">
        <f t="shared" si="87"/>
        <v>Блок11</v>
      </c>
      <c r="I440" s="16">
        <v>73998.899999999994</v>
      </c>
    </row>
    <row r="441" spans="1:9" ht="39.75" customHeight="1" x14ac:dyDescent="0.25">
      <c r="A441" s="7" t="str">
        <f>E441</f>
        <v>РЩ1-11 (АВР-Б-40-2-1)</v>
      </c>
      <c r="B441" s="4"/>
      <c r="C441" s="4"/>
      <c r="D441" s="5"/>
      <c r="E441" s="4" t="s">
        <v>142</v>
      </c>
      <c r="F441" s="8" t="s">
        <v>8</v>
      </c>
      <c r="G441" s="4" t="s">
        <v>9</v>
      </c>
      <c r="H441" s="7" t="s">
        <v>90</v>
      </c>
      <c r="I441" s="6"/>
    </row>
    <row r="442" spans="1:9" ht="21" customHeight="1" x14ac:dyDescent="0.25">
      <c r="A442" s="12" t="str">
        <f t="shared" ref="A442:A453" si="88">A441</f>
        <v>РЩ1-11 (АВР-Б-40-2-1)</v>
      </c>
      <c r="B442" s="9" t="s">
        <v>10</v>
      </c>
      <c r="C442" s="9"/>
      <c r="D442" s="10" t="s">
        <v>167</v>
      </c>
      <c r="E442" s="9" t="s">
        <v>168</v>
      </c>
      <c r="F442" s="13" t="s">
        <v>11</v>
      </c>
      <c r="G442" s="9" t="s">
        <v>12</v>
      </c>
      <c r="H442" s="12" t="str">
        <f t="shared" ref="H442:H453" si="89">H441</f>
        <v>Блок11</v>
      </c>
      <c r="I442" s="11">
        <v>78000</v>
      </c>
    </row>
    <row r="443" spans="1:9" ht="21" customHeight="1" x14ac:dyDescent="0.25">
      <c r="A443" s="12" t="str">
        <f t="shared" si="88"/>
        <v>РЩ1-11 (АВР-Б-40-2-1)</v>
      </c>
      <c r="B443" s="9" t="s">
        <v>43</v>
      </c>
      <c r="C443" s="9"/>
      <c r="D443" s="10" t="s">
        <v>161</v>
      </c>
      <c r="E443" s="9" t="s">
        <v>162</v>
      </c>
      <c r="F443" s="13" t="s">
        <v>11</v>
      </c>
      <c r="G443" s="9" t="s">
        <v>13</v>
      </c>
      <c r="H443" s="12" t="str">
        <f t="shared" si="89"/>
        <v>Блок11</v>
      </c>
      <c r="I443" s="11">
        <v>63116.900000000009</v>
      </c>
    </row>
    <row r="444" spans="1:9" ht="21" customHeight="1" x14ac:dyDescent="0.25">
      <c r="A444" s="12" t="str">
        <f t="shared" si="88"/>
        <v>РЩ1-11 (АВР-Б-40-2-1)</v>
      </c>
      <c r="B444" s="9" t="s">
        <v>26</v>
      </c>
      <c r="C444" s="9"/>
      <c r="D444" s="10">
        <v>126505</v>
      </c>
      <c r="E444" s="9" t="s">
        <v>44</v>
      </c>
      <c r="F444" s="13" t="s">
        <v>11</v>
      </c>
      <c r="G444" s="9" t="s">
        <v>27</v>
      </c>
      <c r="H444" s="12" t="str">
        <f t="shared" si="89"/>
        <v>Блок11</v>
      </c>
      <c r="I444" s="11">
        <v>17314</v>
      </c>
    </row>
    <row r="445" spans="1:9" ht="21" customHeight="1" x14ac:dyDescent="0.25">
      <c r="A445" s="12" t="str">
        <f t="shared" si="88"/>
        <v>РЩ1-11 (АВР-Б-40-2-1)</v>
      </c>
      <c r="B445" s="9" t="s">
        <v>26</v>
      </c>
      <c r="C445" s="9"/>
      <c r="D445" s="10">
        <v>126677</v>
      </c>
      <c r="E445" s="9" t="s">
        <v>42</v>
      </c>
      <c r="F445" s="13" t="s">
        <v>11</v>
      </c>
      <c r="G445" s="9" t="s">
        <v>27</v>
      </c>
      <c r="H445" s="12" t="str">
        <f t="shared" si="89"/>
        <v>Блок11</v>
      </c>
      <c r="I445" s="11">
        <v>16216.2</v>
      </c>
    </row>
    <row r="446" spans="1:9" ht="21" customHeight="1" x14ac:dyDescent="0.25">
      <c r="A446" s="12" t="str">
        <f t="shared" si="88"/>
        <v>РЩ1-11 (АВР-Б-40-2-1)</v>
      </c>
      <c r="B446" s="9" t="s">
        <v>16</v>
      </c>
      <c r="C446" s="9"/>
      <c r="D446" s="10">
        <v>814174</v>
      </c>
      <c r="E446" s="9" t="s">
        <v>45</v>
      </c>
      <c r="F446" s="13" t="s">
        <v>11</v>
      </c>
      <c r="G446" s="9" t="s">
        <v>27</v>
      </c>
      <c r="H446" s="12" t="str">
        <f t="shared" si="89"/>
        <v>Блок11</v>
      </c>
      <c r="I446" s="11">
        <v>5305.3</v>
      </c>
    </row>
    <row r="447" spans="1:9" ht="21" customHeight="1" x14ac:dyDescent="0.25">
      <c r="A447" s="12" t="str">
        <f t="shared" si="88"/>
        <v>РЩ1-11 (АВР-Б-40-2-1)</v>
      </c>
      <c r="B447" s="9" t="s">
        <v>17</v>
      </c>
      <c r="C447" s="9"/>
      <c r="D447" s="10">
        <v>819975</v>
      </c>
      <c r="E447" s="9" t="s">
        <v>46</v>
      </c>
      <c r="F447" s="13" t="s">
        <v>11</v>
      </c>
      <c r="G447" s="9" t="s">
        <v>27</v>
      </c>
      <c r="H447" s="12" t="str">
        <f t="shared" si="89"/>
        <v>Блок11</v>
      </c>
      <c r="I447" s="11">
        <v>2952.9500000000003</v>
      </c>
    </row>
    <row r="448" spans="1:9" ht="21" customHeight="1" x14ac:dyDescent="0.25">
      <c r="A448" s="12" t="str">
        <f t="shared" si="88"/>
        <v>РЩ1-11 (АВР-Б-40-2-1)</v>
      </c>
      <c r="B448" s="9" t="s">
        <v>16</v>
      </c>
      <c r="C448" s="9"/>
      <c r="D448" s="10">
        <v>814167</v>
      </c>
      <c r="E448" s="9" t="s">
        <v>47</v>
      </c>
      <c r="F448" s="13" t="s">
        <v>11</v>
      </c>
      <c r="G448" s="9" t="s">
        <v>27</v>
      </c>
      <c r="H448" s="12" t="str">
        <f t="shared" si="89"/>
        <v>Блок11</v>
      </c>
      <c r="I448" s="11">
        <v>2852.8500000000004</v>
      </c>
    </row>
    <row r="449" spans="1:9" ht="21" customHeight="1" x14ac:dyDescent="0.25">
      <c r="A449" s="12" t="str">
        <f t="shared" si="88"/>
        <v>РЩ1-11 (АВР-Б-40-2-1)</v>
      </c>
      <c r="B449" s="9" t="s">
        <v>14</v>
      </c>
      <c r="C449" s="9"/>
      <c r="D449" s="10" t="s">
        <v>178</v>
      </c>
      <c r="E449" s="9" t="s">
        <v>179</v>
      </c>
      <c r="F449" s="13" t="s">
        <v>11</v>
      </c>
      <c r="G449" s="9" t="s">
        <v>15</v>
      </c>
      <c r="H449" s="12" t="str">
        <f t="shared" si="89"/>
        <v>Блок11</v>
      </c>
      <c r="I449" s="11">
        <v>39100</v>
      </c>
    </row>
    <row r="450" spans="1:9" ht="21" customHeight="1" x14ac:dyDescent="0.25">
      <c r="A450" s="12" t="str">
        <f t="shared" si="88"/>
        <v>РЩ1-11 (АВР-Б-40-2-1)</v>
      </c>
      <c r="B450" s="9" t="s">
        <v>29</v>
      </c>
      <c r="C450" s="9"/>
      <c r="D450" s="10"/>
      <c r="E450" s="9" t="s">
        <v>30</v>
      </c>
      <c r="F450" s="13" t="s">
        <v>11</v>
      </c>
      <c r="G450" s="9" t="s">
        <v>24</v>
      </c>
      <c r="H450" s="12" t="e">
        <f>#REF!</f>
        <v>#REF!</v>
      </c>
      <c r="I450" s="11">
        <v>14850</v>
      </c>
    </row>
    <row r="451" spans="1:9" ht="24" customHeight="1" x14ac:dyDescent="0.25">
      <c r="A451" s="9" t="str">
        <f t="shared" si="88"/>
        <v>РЩ1-11 (АВР-Б-40-2-1)</v>
      </c>
      <c r="B451" s="9" t="s">
        <v>18</v>
      </c>
      <c r="C451" s="9"/>
      <c r="D451" s="10" t="s">
        <v>18</v>
      </c>
      <c r="E451" s="9" t="s">
        <v>18</v>
      </c>
      <c r="F451" s="9" t="s">
        <v>11</v>
      </c>
      <c r="G451" s="9" t="s">
        <v>18</v>
      </c>
      <c r="H451" s="12" t="e">
        <f t="shared" si="89"/>
        <v>#REF!</v>
      </c>
      <c r="I451" s="11">
        <v>21450</v>
      </c>
    </row>
    <row r="452" spans="1:9" ht="21" customHeight="1" x14ac:dyDescent="0.25">
      <c r="A452" s="9" t="str">
        <f t="shared" si="88"/>
        <v>РЩ1-11 (АВР-Б-40-2-1)</v>
      </c>
      <c r="B452" s="9" t="s">
        <v>19</v>
      </c>
      <c r="C452" s="9"/>
      <c r="D452" s="10" t="s">
        <v>19</v>
      </c>
      <c r="E452" s="9" t="s">
        <v>19</v>
      </c>
      <c r="F452" s="9" t="s">
        <v>11</v>
      </c>
      <c r="G452" s="9" t="s">
        <v>19</v>
      </c>
      <c r="H452" s="12" t="e">
        <f t="shared" si="89"/>
        <v>#REF!</v>
      </c>
      <c r="I452" s="11">
        <v>39000</v>
      </c>
    </row>
    <row r="453" spans="1:9" ht="30" customHeight="1" x14ac:dyDescent="0.25">
      <c r="A453" s="14" t="str">
        <f t="shared" si="88"/>
        <v>РЩ1-11 (АВР-Б-40-2-1)</v>
      </c>
      <c r="B453" s="14"/>
      <c r="C453" s="14"/>
      <c r="D453" s="14"/>
      <c r="E453" s="15"/>
      <c r="F453" s="17"/>
      <c r="G453" s="14"/>
      <c r="H453" s="12" t="e">
        <f t="shared" si="89"/>
        <v>#REF!</v>
      </c>
      <c r="I453" s="16">
        <v>300158.20000000007</v>
      </c>
    </row>
    <row r="454" spans="1:9" ht="39.75" customHeight="1" x14ac:dyDescent="0.25">
      <c r="A454" s="7" t="str">
        <f>E454</f>
        <v>ВРУ1-12</v>
      </c>
      <c r="B454" s="4"/>
      <c r="C454" s="4"/>
      <c r="D454" s="5"/>
      <c r="E454" s="4" t="s">
        <v>93</v>
      </c>
      <c r="F454" s="8" t="s">
        <v>8</v>
      </c>
      <c r="G454" s="4" t="s">
        <v>9</v>
      </c>
      <c r="H454" s="7" t="s">
        <v>94</v>
      </c>
      <c r="I454" s="6"/>
    </row>
    <row r="455" spans="1:9" ht="21" customHeight="1" x14ac:dyDescent="0.25">
      <c r="A455" s="12" t="str">
        <f t="shared" ref="A455:A465" si="90">A454</f>
        <v>ВРУ1-12</v>
      </c>
      <c r="B455" s="9" t="s">
        <v>10</v>
      </c>
      <c r="C455" s="9"/>
      <c r="D455" s="10" t="s">
        <v>171</v>
      </c>
      <c r="E455" s="9" t="s">
        <v>172</v>
      </c>
      <c r="F455" s="13" t="s">
        <v>11</v>
      </c>
      <c r="G455" s="9" t="s">
        <v>12</v>
      </c>
      <c r="H455" s="12" t="str">
        <f t="shared" ref="H455:H465" si="91">H454</f>
        <v>Блок12</v>
      </c>
      <c r="I455" s="11">
        <v>93900</v>
      </c>
    </row>
    <row r="456" spans="1:9" ht="21" customHeight="1" x14ac:dyDescent="0.25">
      <c r="A456" s="12" t="str">
        <f t="shared" si="90"/>
        <v>ВРУ1-12</v>
      </c>
      <c r="B456" s="9" t="s">
        <v>22</v>
      </c>
      <c r="C456" s="9"/>
      <c r="D456" s="10"/>
      <c r="E456" s="9" t="s">
        <v>23</v>
      </c>
      <c r="F456" s="13" t="s">
        <v>11</v>
      </c>
      <c r="G456" s="9" t="s">
        <v>24</v>
      </c>
      <c r="H456" s="12" t="str">
        <f t="shared" si="91"/>
        <v>Блок12</v>
      </c>
      <c r="I456" s="11">
        <v>28206</v>
      </c>
    </row>
    <row r="457" spans="1:9" ht="21" customHeight="1" x14ac:dyDescent="0.25">
      <c r="A457" s="12" t="str">
        <f t="shared" si="90"/>
        <v>ВРУ1-12</v>
      </c>
      <c r="B457" s="9" t="s">
        <v>25</v>
      </c>
      <c r="C457" s="9"/>
      <c r="D457" s="10" t="s">
        <v>176</v>
      </c>
      <c r="E457" s="9" t="s">
        <v>177</v>
      </c>
      <c r="F457" s="13" t="s">
        <v>11</v>
      </c>
      <c r="G457" s="9" t="s">
        <v>24</v>
      </c>
      <c r="H457" s="12" t="str">
        <f t="shared" si="91"/>
        <v>Блок12</v>
      </c>
      <c r="I457" s="11">
        <v>28050.000000000004</v>
      </c>
    </row>
    <row r="458" spans="1:9" ht="21" customHeight="1" x14ac:dyDescent="0.25">
      <c r="A458" s="12" t="str">
        <f t="shared" si="90"/>
        <v>ВРУ1-12</v>
      </c>
      <c r="B458" s="9" t="s">
        <v>126</v>
      </c>
      <c r="C458" s="9"/>
      <c r="D458" s="10" t="s">
        <v>129</v>
      </c>
      <c r="E458" s="9" t="s">
        <v>130</v>
      </c>
      <c r="F458" s="13" t="s">
        <v>11</v>
      </c>
      <c r="G458" s="9" t="s">
        <v>13</v>
      </c>
      <c r="H458" s="12" t="str">
        <f t="shared" si="91"/>
        <v>Блок12</v>
      </c>
      <c r="I458" s="11">
        <v>5225</v>
      </c>
    </row>
    <row r="459" spans="1:9" ht="21" customHeight="1" x14ac:dyDescent="0.25">
      <c r="A459" s="12" t="str">
        <f t="shared" si="90"/>
        <v>ВРУ1-12</v>
      </c>
      <c r="B459" s="9" t="s">
        <v>125</v>
      </c>
      <c r="C459" s="9"/>
      <c r="D459" s="10" t="s">
        <v>127</v>
      </c>
      <c r="E459" s="9" t="s">
        <v>128</v>
      </c>
      <c r="F459" s="13" t="s">
        <v>11</v>
      </c>
      <c r="G459" s="9" t="s">
        <v>13</v>
      </c>
      <c r="H459" s="12" t="str">
        <f t="shared" si="91"/>
        <v>Блок12</v>
      </c>
      <c r="I459" s="11">
        <v>3648.7000000000003</v>
      </c>
    </row>
    <row r="460" spans="1:9" ht="21" customHeight="1" x14ac:dyDescent="0.25">
      <c r="A460" s="12" t="str">
        <f t="shared" si="90"/>
        <v>ВРУ1-12</v>
      </c>
      <c r="B460" s="9" t="s">
        <v>16</v>
      </c>
      <c r="C460" s="9"/>
      <c r="D460" s="10">
        <v>296708</v>
      </c>
      <c r="E460" s="9" t="s">
        <v>28</v>
      </c>
      <c r="F460" s="13" t="s">
        <v>11</v>
      </c>
      <c r="G460" s="9" t="s">
        <v>27</v>
      </c>
      <c r="H460" s="12" t="str">
        <f t="shared" si="91"/>
        <v>Блок12</v>
      </c>
      <c r="I460" s="11">
        <v>910.80000000000007</v>
      </c>
    </row>
    <row r="461" spans="1:9" ht="21" customHeight="1" x14ac:dyDescent="0.25">
      <c r="A461" s="12" t="str">
        <f t="shared" si="90"/>
        <v>ВРУ1-12</v>
      </c>
      <c r="B461" s="9" t="s">
        <v>14</v>
      </c>
      <c r="C461" s="9"/>
      <c r="D461" s="10" t="s">
        <v>178</v>
      </c>
      <c r="E461" s="9" t="s">
        <v>179</v>
      </c>
      <c r="F461" s="13" t="s">
        <v>11</v>
      </c>
      <c r="G461" s="9" t="s">
        <v>15</v>
      </c>
      <c r="H461" s="12" t="str">
        <f t="shared" si="91"/>
        <v>Блок12</v>
      </c>
      <c r="I461" s="11">
        <v>78200</v>
      </c>
    </row>
    <row r="462" spans="1:9" ht="21" customHeight="1" x14ac:dyDescent="0.25">
      <c r="A462" s="12" t="str">
        <f t="shared" si="90"/>
        <v>ВРУ1-12</v>
      </c>
      <c r="B462" s="9" t="s">
        <v>29</v>
      </c>
      <c r="C462" s="9"/>
      <c r="D462" s="10"/>
      <c r="E462" s="9" t="s">
        <v>30</v>
      </c>
      <c r="F462" s="13" t="s">
        <v>11</v>
      </c>
      <c r="G462" s="9" t="s">
        <v>24</v>
      </c>
      <c r="H462" s="12" t="str">
        <f t="shared" si="91"/>
        <v>Блок12</v>
      </c>
      <c r="I462" s="11">
        <v>14850</v>
      </c>
    </row>
    <row r="463" spans="1:9" ht="24" customHeight="1" x14ac:dyDescent="0.25">
      <c r="A463" s="9" t="str">
        <f t="shared" si="90"/>
        <v>ВРУ1-12</v>
      </c>
      <c r="B463" s="9" t="s">
        <v>18</v>
      </c>
      <c r="C463" s="9"/>
      <c r="D463" s="10" t="s">
        <v>18</v>
      </c>
      <c r="E463" s="9" t="s">
        <v>18</v>
      </c>
      <c r="F463" s="9" t="s">
        <v>11</v>
      </c>
      <c r="G463" s="9" t="s">
        <v>18</v>
      </c>
      <c r="H463" s="12" t="str">
        <f t="shared" si="91"/>
        <v>Блок12</v>
      </c>
      <c r="I463" s="11">
        <v>26400.000000000004</v>
      </c>
    </row>
    <row r="464" spans="1:9" ht="21" customHeight="1" x14ac:dyDescent="0.25">
      <c r="A464" s="9" t="str">
        <f t="shared" si="90"/>
        <v>ВРУ1-12</v>
      </c>
      <c r="B464" s="9" t="s">
        <v>19</v>
      </c>
      <c r="C464" s="9"/>
      <c r="D464" s="10" t="s">
        <v>19</v>
      </c>
      <c r="E464" s="9" t="s">
        <v>19</v>
      </c>
      <c r="F464" s="9" t="s">
        <v>11</v>
      </c>
      <c r="G464" s="9" t="s">
        <v>19</v>
      </c>
      <c r="H464" s="12" t="str">
        <f t="shared" si="91"/>
        <v>Блок12</v>
      </c>
      <c r="I464" s="11">
        <v>48000</v>
      </c>
    </row>
    <row r="465" spans="1:9" ht="30" customHeight="1" x14ac:dyDescent="0.25">
      <c r="A465" s="14" t="str">
        <f t="shared" si="90"/>
        <v>ВРУ1-12</v>
      </c>
      <c r="B465" s="14"/>
      <c r="C465" s="14"/>
      <c r="D465" s="14"/>
      <c r="E465" s="15"/>
      <c r="F465" s="17"/>
      <c r="G465" s="14"/>
      <c r="H465" s="12" t="str">
        <f t="shared" si="91"/>
        <v>Блок12</v>
      </c>
      <c r="I465" s="16">
        <v>327390.5</v>
      </c>
    </row>
    <row r="466" spans="1:9" ht="39.75" customHeight="1" x14ac:dyDescent="0.25">
      <c r="A466" s="7" t="str">
        <f>E466</f>
        <v>РУ-1-12</v>
      </c>
      <c r="B466" s="4"/>
      <c r="C466" s="4"/>
      <c r="D466" s="5"/>
      <c r="E466" s="4" t="s">
        <v>95</v>
      </c>
      <c r="F466" s="8" t="s">
        <v>8</v>
      </c>
      <c r="G466" s="4" t="s">
        <v>9</v>
      </c>
      <c r="H466" s="7" t="s">
        <v>94</v>
      </c>
      <c r="I466" s="6"/>
    </row>
    <row r="467" spans="1:9" ht="21" customHeight="1" x14ac:dyDescent="0.25">
      <c r="A467" s="12" t="str">
        <f t="shared" ref="A467:A473" si="92">A466</f>
        <v>РУ-1-12</v>
      </c>
      <c r="B467" s="9" t="s">
        <v>10</v>
      </c>
      <c r="C467" s="9"/>
      <c r="D467" s="10" t="s">
        <v>169</v>
      </c>
      <c r="E467" s="9" t="s">
        <v>170</v>
      </c>
      <c r="F467" s="13" t="s">
        <v>11</v>
      </c>
      <c r="G467" s="9" t="s">
        <v>12</v>
      </c>
      <c r="H467" s="12" t="str">
        <f t="shared" ref="H467:H473" si="93">H466</f>
        <v>Блок12</v>
      </c>
      <c r="I467" s="11">
        <v>87000</v>
      </c>
    </row>
    <row r="468" spans="1:9" ht="21" customHeight="1" x14ac:dyDescent="0.25">
      <c r="A468" s="12" t="str">
        <f t="shared" si="92"/>
        <v>РУ-1-12</v>
      </c>
      <c r="B468" s="9" t="s">
        <v>26</v>
      </c>
      <c r="C468" s="9"/>
      <c r="D468" s="10">
        <v>126583</v>
      </c>
      <c r="E468" s="9" t="s">
        <v>32</v>
      </c>
      <c r="F468" s="13" t="s">
        <v>11</v>
      </c>
      <c r="G468" s="9" t="s">
        <v>27</v>
      </c>
      <c r="H468" s="12" t="str">
        <f t="shared" si="93"/>
        <v>Блок12</v>
      </c>
      <c r="I468" s="11">
        <v>31531.500000000004</v>
      </c>
    </row>
    <row r="469" spans="1:9" ht="21" customHeight="1" x14ac:dyDescent="0.25">
      <c r="A469" s="12" t="str">
        <f t="shared" si="92"/>
        <v>РУ-1-12</v>
      </c>
      <c r="B469" s="9" t="s">
        <v>26</v>
      </c>
      <c r="C469" s="9"/>
      <c r="D469" s="10">
        <v>126584</v>
      </c>
      <c r="E469" s="9" t="s">
        <v>33</v>
      </c>
      <c r="F469" s="13" t="s">
        <v>11</v>
      </c>
      <c r="G469" s="9" t="s">
        <v>27</v>
      </c>
      <c r="H469" s="12" t="str">
        <f t="shared" si="93"/>
        <v>Блок12</v>
      </c>
      <c r="I469" s="11">
        <v>15815.800000000001</v>
      </c>
    </row>
    <row r="470" spans="1:9" ht="21" customHeight="1" x14ac:dyDescent="0.25">
      <c r="A470" s="12" t="str">
        <f t="shared" si="92"/>
        <v>РУ-1-12</v>
      </c>
      <c r="B470" s="9" t="s">
        <v>26</v>
      </c>
      <c r="C470" s="9"/>
      <c r="D470" s="10">
        <v>126507</v>
      </c>
      <c r="E470" s="9" t="s">
        <v>34</v>
      </c>
      <c r="F470" s="13" t="s">
        <v>11</v>
      </c>
      <c r="G470" s="9" t="s">
        <v>27</v>
      </c>
      <c r="H470" s="12" t="str">
        <f t="shared" si="93"/>
        <v>Блок12</v>
      </c>
      <c r="I470" s="11">
        <v>18818.800000000003</v>
      </c>
    </row>
    <row r="471" spans="1:9" ht="24" customHeight="1" x14ac:dyDescent="0.25">
      <c r="A471" s="9" t="str">
        <f t="shared" si="92"/>
        <v>РУ-1-12</v>
      </c>
      <c r="B471" s="9" t="s">
        <v>18</v>
      </c>
      <c r="C471" s="9"/>
      <c r="D471" s="10" t="s">
        <v>18</v>
      </c>
      <c r="E471" s="9" t="s">
        <v>18</v>
      </c>
      <c r="F471" s="9" t="s">
        <v>11</v>
      </c>
      <c r="G471" s="9" t="s">
        <v>18</v>
      </c>
      <c r="H471" s="12" t="str">
        <f t="shared" si="93"/>
        <v>Блок12</v>
      </c>
      <c r="I471" s="11">
        <v>14850.000000000002</v>
      </c>
    </row>
    <row r="472" spans="1:9" ht="21" customHeight="1" x14ac:dyDescent="0.25">
      <c r="A472" s="9" t="str">
        <f t="shared" si="92"/>
        <v>РУ-1-12</v>
      </c>
      <c r="B472" s="9" t="s">
        <v>19</v>
      </c>
      <c r="C472" s="9"/>
      <c r="D472" s="10" t="s">
        <v>19</v>
      </c>
      <c r="E472" s="9" t="s">
        <v>19</v>
      </c>
      <c r="F472" s="9" t="s">
        <v>11</v>
      </c>
      <c r="G472" s="9" t="s">
        <v>19</v>
      </c>
      <c r="H472" s="12" t="str">
        <f t="shared" si="93"/>
        <v>Блок12</v>
      </c>
      <c r="I472" s="11">
        <v>27000</v>
      </c>
    </row>
    <row r="473" spans="1:9" ht="30" customHeight="1" x14ac:dyDescent="0.25">
      <c r="A473" s="14" t="str">
        <f t="shared" si="92"/>
        <v>РУ-1-12</v>
      </c>
      <c r="B473" s="14"/>
      <c r="C473" s="14"/>
      <c r="D473" s="14"/>
      <c r="E473" s="15"/>
      <c r="F473" s="17"/>
      <c r="G473" s="14"/>
      <c r="H473" s="12" t="str">
        <f t="shared" si="93"/>
        <v>Блок12</v>
      </c>
      <c r="I473" s="16">
        <v>195016.09999999998</v>
      </c>
    </row>
    <row r="474" spans="1:9" ht="39.75" customHeight="1" x14ac:dyDescent="0.25">
      <c r="A474" s="7" t="str">
        <f>E474</f>
        <v>РУ-2-12</v>
      </c>
      <c r="B474" s="4"/>
      <c r="C474" s="4"/>
      <c r="D474" s="5"/>
      <c r="E474" s="4" t="s">
        <v>96</v>
      </c>
      <c r="F474" s="8" t="s">
        <v>8</v>
      </c>
      <c r="G474" s="4" t="s">
        <v>9</v>
      </c>
      <c r="H474" s="7" t="s">
        <v>94</v>
      </c>
      <c r="I474" s="6"/>
    </row>
    <row r="475" spans="1:9" ht="21" customHeight="1" x14ac:dyDescent="0.25">
      <c r="A475" s="12" t="str">
        <f t="shared" ref="A475:A480" si="94">A474</f>
        <v>РУ-2-12</v>
      </c>
      <c r="B475" s="9" t="s">
        <v>10</v>
      </c>
      <c r="C475" s="9"/>
      <c r="D475" s="10" t="s">
        <v>169</v>
      </c>
      <c r="E475" s="9" t="s">
        <v>170</v>
      </c>
      <c r="F475" s="13" t="s">
        <v>11</v>
      </c>
      <c r="G475" s="9" t="s">
        <v>12</v>
      </c>
      <c r="H475" s="12" t="str">
        <f t="shared" ref="H475:H478" si="95">H474</f>
        <v>Блок12</v>
      </c>
      <c r="I475" s="11">
        <v>87000</v>
      </c>
    </row>
    <row r="476" spans="1:9" ht="21" customHeight="1" x14ac:dyDescent="0.25">
      <c r="A476" s="12" t="str">
        <f t="shared" si="94"/>
        <v>РУ-2-12</v>
      </c>
      <c r="B476" s="9" t="s">
        <v>26</v>
      </c>
      <c r="C476" s="9"/>
      <c r="D476" s="10">
        <v>126584</v>
      </c>
      <c r="E476" s="9" t="s">
        <v>33</v>
      </c>
      <c r="F476" s="13" t="s">
        <v>11</v>
      </c>
      <c r="G476" s="9" t="s">
        <v>27</v>
      </c>
      <c r="H476" s="12" t="str">
        <f t="shared" si="95"/>
        <v>Блок12</v>
      </c>
      <c r="I476" s="11">
        <v>15815.800000000001</v>
      </c>
    </row>
    <row r="477" spans="1:9" ht="21" customHeight="1" x14ac:dyDescent="0.25">
      <c r="A477" s="12" t="str">
        <f t="shared" si="94"/>
        <v>РУ-2-12</v>
      </c>
      <c r="B477" s="9" t="s">
        <v>26</v>
      </c>
      <c r="C477" s="9"/>
      <c r="D477" s="10" t="s">
        <v>60</v>
      </c>
      <c r="E477" s="9" t="s">
        <v>36</v>
      </c>
      <c r="F477" s="13" t="s">
        <v>11</v>
      </c>
      <c r="G477" s="9" t="s">
        <v>27</v>
      </c>
      <c r="H477" s="12" t="str">
        <f t="shared" si="95"/>
        <v>Блок12</v>
      </c>
      <c r="I477" s="11">
        <v>27327.300000000003</v>
      </c>
    </row>
    <row r="478" spans="1:9" ht="21" customHeight="1" x14ac:dyDescent="0.25">
      <c r="A478" s="12" t="str">
        <f t="shared" si="94"/>
        <v>РУ-2-12</v>
      </c>
      <c r="B478" s="9" t="s">
        <v>26</v>
      </c>
      <c r="C478" s="9"/>
      <c r="D478" s="10" t="s">
        <v>61</v>
      </c>
      <c r="E478" s="9" t="s">
        <v>37</v>
      </c>
      <c r="F478" s="13" t="s">
        <v>11</v>
      </c>
      <c r="G478" s="9" t="s">
        <v>27</v>
      </c>
      <c r="H478" s="12" t="str">
        <f t="shared" si="95"/>
        <v>Блок12</v>
      </c>
      <c r="I478" s="11">
        <v>9109.1</v>
      </c>
    </row>
    <row r="479" spans="1:9" ht="21" customHeight="1" x14ac:dyDescent="0.25">
      <c r="A479" s="9" t="str">
        <f t="shared" si="94"/>
        <v>РУ-2-12</v>
      </c>
      <c r="B479" s="9" t="s">
        <v>18</v>
      </c>
      <c r="C479" s="9"/>
      <c r="D479" s="10" t="s">
        <v>18</v>
      </c>
      <c r="E479" s="9" t="s">
        <v>18</v>
      </c>
      <c r="F479" s="9" t="s">
        <v>11</v>
      </c>
      <c r="G479" s="9" t="s">
        <v>19</v>
      </c>
      <c r="H479" s="12" t="e">
        <f>#REF!</f>
        <v>#REF!</v>
      </c>
      <c r="I479" s="11">
        <v>14850.000000000002</v>
      </c>
    </row>
    <row r="480" spans="1:9" ht="21" customHeight="1" x14ac:dyDescent="0.25">
      <c r="A480" s="9" t="str">
        <f t="shared" si="94"/>
        <v>РУ-2-12</v>
      </c>
      <c r="B480" s="9" t="s">
        <v>19</v>
      </c>
      <c r="C480" s="9"/>
      <c r="D480" s="10" t="s">
        <v>19</v>
      </c>
      <c r="E480" s="9" t="s">
        <v>19</v>
      </c>
      <c r="F480" s="9" t="s">
        <v>11</v>
      </c>
      <c r="G480" s="9" t="s">
        <v>19</v>
      </c>
      <c r="H480" s="12" t="e">
        <f t="shared" ref="H480" si="96">H479</f>
        <v>#REF!</v>
      </c>
      <c r="I480" s="11">
        <v>27000</v>
      </c>
    </row>
    <row r="481" spans="1:9" ht="30" customHeight="1" x14ac:dyDescent="0.25">
      <c r="A481" s="14" t="str">
        <f>A479</f>
        <v>РУ-2-12</v>
      </c>
      <c r="B481" s="14"/>
      <c r="C481" s="14"/>
      <c r="D481" s="14" t="s">
        <v>97</v>
      </c>
      <c r="E481" s="15"/>
      <c r="F481" s="17"/>
      <c r="G481" s="14"/>
      <c r="H481" s="12" t="e">
        <f>H479</f>
        <v>#REF!</v>
      </c>
      <c r="I481" s="16">
        <v>154102.20000000001</v>
      </c>
    </row>
    <row r="482" spans="1:9" ht="39.75" customHeight="1" x14ac:dyDescent="0.25">
      <c r="A482" s="7" t="str">
        <f>E482</f>
        <v>ЩУР.МОП1-12</v>
      </c>
      <c r="B482" s="4"/>
      <c r="C482" s="4"/>
      <c r="D482" s="5"/>
      <c r="E482" s="4" t="s">
        <v>98</v>
      </c>
      <c r="F482" s="8" t="s">
        <v>8</v>
      </c>
      <c r="G482" s="4" t="s">
        <v>9</v>
      </c>
      <c r="H482" s="7" t="s">
        <v>94</v>
      </c>
      <c r="I482" s="6"/>
    </row>
    <row r="483" spans="1:9" ht="21" customHeight="1" x14ac:dyDescent="0.25">
      <c r="A483" s="12" t="str">
        <f t="shared" ref="A483:A490" si="97">A482</f>
        <v>ЩУР.МОП1-12</v>
      </c>
      <c r="B483" s="9" t="s">
        <v>10</v>
      </c>
      <c r="C483" s="9"/>
      <c r="D483" s="10" t="s">
        <v>39</v>
      </c>
      <c r="E483" s="9" t="s">
        <v>40</v>
      </c>
      <c r="F483" s="13" t="s">
        <v>11</v>
      </c>
      <c r="G483" s="9" t="s">
        <v>12</v>
      </c>
      <c r="H483" s="12" t="str">
        <f t="shared" ref="H483:H490" si="98">H482</f>
        <v>Блок12</v>
      </c>
      <c r="I483" s="11">
        <v>10800</v>
      </c>
    </row>
    <row r="484" spans="1:9" ht="21" customHeight="1" x14ac:dyDescent="0.25">
      <c r="A484" s="12" t="str">
        <f t="shared" si="97"/>
        <v>ЩУР.МОП1-12</v>
      </c>
      <c r="B484" s="9" t="s">
        <v>16</v>
      </c>
      <c r="C484" s="9"/>
      <c r="D484" s="10">
        <v>296830</v>
      </c>
      <c r="E484" s="9" t="s">
        <v>148</v>
      </c>
      <c r="F484" s="13" t="s">
        <v>11</v>
      </c>
      <c r="G484" s="9" t="s">
        <v>27</v>
      </c>
      <c r="H484" s="12" t="str">
        <f t="shared" si="98"/>
        <v>Блок12</v>
      </c>
      <c r="I484" s="11">
        <v>854.7</v>
      </c>
    </row>
    <row r="485" spans="1:9" ht="21" customHeight="1" x14ac:dyDescent="0.25">
      <c r="A485" s="12" t="str">
        <f t="shared" si="97"/>
        <v>ЩУР.МОП1-12</v>
      </c>
      <c r="B485" s="9" t="s">
        <v>16</v>
      </c>
      <c r="C485" s="9"/>
      <c r="D485" s="10">
        <v>296828</v>
      </c>
      <c r="E485" s="9" t="s">
        <v>150</v>
      </c>
      <c r="F485" s="13" t="s">
        <v>11</v>
      </c>
      <c r="G485" s="9" t="s">
        <v>27</v>
      </c>
      <c r="H485" s="12" t="str">
        <f t="shared" si="98"/>
        <v>Блок12</v>
      </c>
      <c r="I485" s="11">
        <v>1640.1000000000001</v>
      </c>
    </row>
    <row r="486" spans="1:9" ht="21" customHeight="1" x14ac:dyDescent="0.25">
      <c r="A486" s="12" t="str">
        <f t="shared" si="97"/>
        <v>ЩУР.МОП1-12</v>
      </c>
      <c r="B486" s="9" t="s">
        <v>16</v>
      </c>
      <c r="C486" s="9"/>
      <c r="D486" s="10">
        <v>296829</v>
      </c>
      <c r="E486" s="9" t="s">
        <v>147</v>
      </c>
      <c r="F486" s="13" t="s">
        <v>11</v>
      </c>
      <c r="G486" s="9" t="s">
        <v>27</v>
      </c>
      <c r="H486" s="12" t="str">
        <f t="shared" si="98"/>
        <v>Блок12</v>
      </c>
      <c r="I486" s="11">
        <v>2322.1000000000004</v>
      </c>
    </row>
    <row r="487" spans="1:9" ht="21" customHeight="1" x14ac:dyDescent="0.25">
      <c r="A487" s="12" t="str">
        <f t="shared" si="97"/>
        <v>ЩУР.МОП1-12</v>
      </c>
      <c r="B487" s="9" t="s">
        <v>14</v>
      </c>
      <c r="C487" s="9"/>
      <c r="D487" s="10" t="s">
        <v>178</v>
      </c>
      <c r="E487" s="9" t="s">
        <v>179</v>
      </c>
      <c r="F487" s="13" t="s">
        <v>11</v>
      </c>
      <c r="G487" s="9" t="s">
        <v>15</v>
      </c>
      <c r="H487" s="12" t="str">
        <f t="shared" si="98"/>
        <v>Блок12</v>
      </c>
      <c r="I487" s="11">
        <v>39100</v>
      </c>
    </row>
    <row r="488" spans="1:9" ht="24" customHeight="1" x14ac:dyDescent="0.25">
      <c r="A488" s="9" t="str">
        <f t="shared" si="97"/>
        <v>ЩУР.МОП1-12</v>
      </c>
      <c r="B488" s="9" t="s">
        <v>18</v>
      </c>
      <c r="C488" s="9"/>
      <c r="D488" s="10" t="s">
        <v>18</v>
      </c>
      <c r="E488" s="9" t="s">
        <v>18</v>
      </c>
      <c r="F488" s="9" t="s">
        <v>11</v>
      </c>
      <c r="G488" s="9" t="s">
        <v>18</v>
      </c>
      <c r="H488" s="12" t="str">
        <f t="shared" si="98"/>
        <v>Блок12</v>
      </c>
      <c r="I488" s="11">
        <v>6600.0000000000009</v>
      </c>
    </row>
    <row r="489" spans="1:9" ht="21" customHeight="1" x14ac:dyDescent="0.25">
      <c r="A489" s="9" t="str">
        <f t="shared" si="97"/>
        <v>ЩУР.МОП1-12</v>
      </c>
      <c r="B489" s="9" t="s">
        <v>19</v>
      </c>
      <c r="C489" s="9"/>
      <c r="D489" s="10" t="s">
        <v>19</v>
      </c>
      <c r="E489" s="9" t="s">
        <v>19</v>
      </c>
      <c r="F489" s="9" t="s">
        <v>11</v>
      </c>
      <c r="G489" s="9" t="s">
        <v>19</v>
      </c>
      <c r="H489" s="12" t="str">
        <f t="shared" si="98"/>
        <v>Блок12</v>
      </c>
      <c r="I489" s="11">
        <v>12000</v>
      </c>
    </row>
    <row r="490" spans="1:9" ht="30" customHeight="1" x14ac:dyDescent="0.25">
      <c r="A490" s="14" t="str">
        <f t="shared" si="97"/>
        <v>ЩУР.МОП1-12</v>
      </c>
      <c r="B490" s="14"/>
      <c r="C490" s="14"/>
      <c r="D490" s="14"/>
      <c r="E490" s="15"/>
      <c r="F490" s="17"/>
      <c r="G490" s="14"/>
      <c r="H490" s="12" t="str">
        <f t="shared" si="98"/>
        <v>Блок12</v>
      </c>
      <c r="I490" s="16">
        <v>73316.899999999994</v>
      </c>
    </row>
    <row r="491" spans="1:9" ht="39.75" customHeight="1" x14ac:dyDescent="0.25">
      <c r="A491" s="7" t="str">
        <f>E491</f>
        <v>ЩУР.МОП2-12</v>
      </c>
      <c r="B491" s="4"/>
      <c r="C491" s="4"/>
      <c r="D491" s="5"/>
      <c r="E491" s="4" t="s">
        <v>99</v>
      </c>
      <c r="F491" s="8" t="s">
        <v>8</v>
      </c>
      <c r="G491" s="4" t="s">
        <v>9</v>
      </c>
      <c r="H491" s="7" t="s">
        <v>94</v>
      </c>
      <c r="I491" s="6"/>
    </row>
    <row r="492" spans="1:9" ht="21" customHeight="1" x14ac:dyDescent="0.25">
      <c r="A492" s="12" t="str">
        <f t="shared" ref="A492:A499" si="99">A491</f>
        <v>ЩУР.МОП2-12</v>
      </c>
      <c r="B492" s="9" t="s">
        <v>10</v>
      </c>
      <c r="C492" s="9"/>
      <c r="D492" s="10" t="s">
        <v>39</v>
      </c>
      <c r="E492" s="9" t="s">
        <v>40</v>
      </c>
      <c r="F492" s="13" t="s">
        <v>11</v>
      </c>
      <c r="G492" s="9" t="s">
        <v>12</v>
      </c>
      <c r="H492" s="12" t="str">
        <f t="shared" ref="H492:H499" si="100">H491</f>
        <v>Блок12</v>
      </c>
      <c r="I492" s="11">
        <v>10800</v>
      </c>
    </row>
    <row r="493" spans="1:9" ht="21" customHeight="1" x14ac:dyDescent="0.25">
      <c r="A493" s="12" t="str">
        <f t="shared" si="99"/>
        <v>ЩУР.МОП2-12</v>
      </c>
      <c r="B493" s="9" t="s">
        <v>16</v>
      </c>
      <c r="C493" s="9"/>
      <c r="D493" s="10">
        <v>296830</v>
      </c>
      <c r="E493" s="9" t="s">
        <v>148</v>
      </c>
      <c r="F493" s="13" t="s">
        <v>11</v>
      </c>
      <c r="G493" s="9" t="s">
        <v>27</v>
      </c>
      <c r="H493" s="12" t="str">
        <f t="shared" si="100"/>
        <v>Блок12</v>
      </c>
      <c r="I493" s="11">
        <v>854.7</v>
      </c>
    </row>
    <row r="494" spans="1:9" ht="21" customHeight="1" x14ac:dyDescent="0.25">
      <c r="A494" s="12" t="str">
        <f t="shared" si="99"/>
        <v>ЩУР.МОП2-12</v>
      </c>
      <c r="B494" s="9" t="s">
        <v>16</v>
      </c>
      <c r="C494" s="9"/>
      <c r="D494" s="10">
        <v>296828</v>
      </c>
      <c r="E494" s="9" t="s">
        <v>150</v>
      </c>
      <c r="F494" s="13" t="s">
        <v>11</v>
      </c>
      <c r="G494" s="9" t="s">
        <v>27</v>
      </c>
      <c r="H494" s="12" t="str">
        <f t="shared" si="100"/>
        <v>Блок12</v>
      </c>
      <c r="I494" s="11">
        <v>1640.1000000000001</v>
      </c>
    </row>
    <row r="495" spans="1:9" ht="21" customHeight="1" x14ac:dyDescent="0.25">
      <c r="A495" s="12" t="str">
        <f t="shared" si="99"/>
        <v>ЩУР.МОП2-12</v>
      </c>
      <c r="B495" s="9" t="s">
        <v>16</v>
      </c>
      <c r="C495" s="9"/>
      <c r="D495" s="10">
        <v>296829</v>
      </c>
      <c r="E495" s="9" t="s">
        <v>147</v>
      </c>
      <c r="F495" s="13" t="s">
        <v>11</v>
      </c>
      <c r="G495" s="9" t="s">
        <v>27</v>
      </c>
      <c r="H495" s="12" t="str">
        <f t="shared" si="100"/>
        <v>Блок12</v>
      </c>
      <c r="I495" s="11">
        <v>2322.1000000000004</v>
      </c>
    </row>
    <row r="496" spans="1:9" ht="21" customHeight="1" x14ac:dyDescent="0.25">
      <c r="A496" s="12" t="str">
        <f t="shared" si="99"/>
        <v>ЩУР.МОП2-12</v>
      </c>
      <c r="B496" s="9" t="s">
        <v>14</v>
      </c>
      <c r="C496" s="9"/>
      <c r="D496" s="10" t="s">
        <v>178</v>
      </c>
      <c r="E496" s="9" t="s">
        <v>179</v>
      </c>
      <c r="F496" s="13" t="s">
        <v>11</v>
      </c>
      <c r="G496" s="9" t="s">
        <v>15</v>
      </c>
      <c r="H496" s="12" t="str">
        <f t="shared" si="100"/>
        <v>Блок12</v>
      </c>
      <c r="I496" s="11">
        <v>39100</v>
      </c>
    </row>
    <row r="497" spans="1:9" ht="24" customHeight="1" x14ac:dyDescent="0.25">
      <c r="A497" s="9" t="str">
        <f t="shared" si="99"/>
        <v>ЩУР.МОП2-12</v>
      </c>
      <c r="B497" s="9" t="s">
        <v>18</v>
      </c>
      <c r="C497" s="9"/>
      <c r="D497" s="10" t="s">
        <v>18</v>
      </c>
      <c r="E497" s="9" t="s">
        <v>18</v>
      </c>
      <c r="F497" s="9" t="s">
        <v>11</v>
      </c>
      <c r="G497" s="9" t="s">
        <v>18</v>
      </c>
      <c r="H497" s="12" t="str">
        <f t="shared" si="100"/>
        <v>Блок12</v>
      </c>
      <c r="I497" s="11">
        <v>6600.0000000000009</v>
      </c>
    </row>
    <row r="498" spans="1:9" ht="21" customHeight="1" x14ac:dyDescent="0.25">
      <c r="A498" s="9" t="str">
        <f t="shared" si="99"/>
        <v>ЩУР.МОП2-12</v>
      </c>
      <c r="B498" s="9" t="s">
        <v>19</v>
      </c>
      <c r="C498" s="9"/>
      <c r="D498" s="10" t="s">
        <v>19</v>
      </c>
      <c r="E498" s="9" t="s">
        <v>19</v>
      </c>
      <c r="F498" s="9" t="s">
        <v>11</v>
      </c>
      <c r="G498" s="9" t="s">
        <v>19</v>
      </c>
      <c r="H498" s="12" t="str">
        <f t="shared" si="100"/>
        <v>Блок12</v>
      </c>
      <c r="I498" s="11">
        <v>12000</v>
      </c>
    </row>
    <row r="499" spans="1:9" ht="30" customHeight="1" x14ac:dyDescent="0.25">
      <c r="A499" s="14" t="str">
        <f t="shared" si="99"/>
        <v>ЩУР.МОП2-12</v>
      </c>
      <c r="B499" s="14"/>
      <c r="C499" s="14"/>
      <c r="D499" s="14"/>
      <c r="E499" s="15"/>
      <c r="F499" s="17"/>
      <c r="G499" s="14"/>
      <c r="H499" s="12" t="str">
        <f t="shared" si="100"/>
        <v>Блок12</v>
      </c>
      <c r="I499" s="16">
        <v>73316.899999999994</v>
      </c>
    </row>
    <row r="500" spans="1:9" ht="39.75" customHeight="1" x14ac:dyDescent="0.25">
      <c r="A500" s="7" t="str">
        <f>E500</f>
        <v>РЩ1-12 (АВР-Б-40-2-1)</v>
      </c>
      <c r="B500" s="4"/>
      <c r="C500" s="4"/>
      <c r="D500" s="5"/>
      <c r="E500" s="4" t="s">
        <v>143</v>
      </c>
      <c r="F500" s="8" t="s">
        <v>8</v>
      </c>
      <c r="G500" s="4" t="s">
        <v>9</v>
      </c>
      <c r="H500" s="7" t="s">
        <v>94</v>
      </c>
      <c r="I500" s="6"/>
    </row>
    <row r="501" spans="1:9" ht="21" customHeight="1" x14ac:dyDescent="0.25">
      <c r="A501" s="12" t="str">
        <f t="shared" ref="A501:A511" si="101">A500</f>
        <v>РЩ1-12 (АВР-Б-40-2-1)</v>
      </c>
      <c r="B501" s="9" t="s">
        <v>10</v>
      </c>
      <c r="C501" s="9"/>
      <c r="D501" s="10" t="s">
        <v>167</v>
      </c>
      <c r="E501" s="9" t="s">
        <v>168</v>
      </c>
      <c r="F501" s="13" t="s">
        <v>11</v>
      </c>
      <c r="G501" s="9" t="s">
        <v>12</v>
      </c>
      <c r="H501" s="12" t="str">
        <f t="shared" ref="H501:H511" si="102">H500</f>
        <v>Блок12</v>
      </c>
      <c r="I501" s="11">
        <v>78000</v>
      </c>
    </row>
    <row r="502" spans="1:9" ht="21" customHeight="1" x14ac:dyDescent="0.25">
      <c r="A502" s="12" t="str">
        <f t="shared" si="101"/>
        <v>РЩ1-12 (АВР-Б-40-2-1)</v>
      </c>
      <c r="B502" s="9" t="s">
        <v>43</v>
      </c>
      <c r="C502" s="9"/>
      <c r="D502" s="10" t="s">
        <v>161</v>
      </c>
      <c r="E502" s="9" t="s">
        <v>162</v>
      </c>
      <c r="F502" s="13" t="s">
        <v>11</v>
      </c>
      <c r="G502" s="9" t="s">
        <v>13</v>
      </c>
      <c r="H502" s="12" t="str">
        <f t="shared" si="102"/>
        <v>Блок12</v>
      </c>
      <c r="I502" s="11">
        <v>63116.900000000009</v>
      </c>
    </row>
    <row r="503" spans="1:9" ht="21" customHeight="1" x14ac:dyDescent="0.25">
      <c r="A503" s="12" t="str">
        <f t="shared" si="101"/>
        <v>РЩ1-12 (АВР-Б-40-2-1)</v>
      </c>
      <c r="B503" s="9" t="s">
        <v>26</v>
      </c>
      <c r="C503" s="9"/>
      <c r="D503" s="10">
        <v>126505</v>
      </c>
      <c r="E503" s="9" t="s">
        <v>44</v>
      </c>
      <c r="F503" s="13" t="s">
        <v>11</v>
      </c>
      <c r="G503" s="9" t="s">
        <v>27</v>
      </c>
      <c r="H503" s="12" t="str">
        <f t="shared" si="102"/>
        <v>Блок12</v>
      </c>
      <c r="I503" s="11">
        <v>17314</v>
      </c>
    </row>
    <row r="504" spans="1:9" ht="21" customHeight="1" x14ac:dyDescent="0.25">
      <c r="A504" s="12" t="str">
        <f t="shared" si="101"/>
        <v>РЩ1-12 (АВР-Б-40-2-1)</v>
      </c>
      <c r="B504" s="9" t="s">
        <v>26</v>
      </c>
      <c r="C504" s="9"/>
      <c r="D504" s="10">
        <v>126677</v>
      </c>
      <c r="E504" s="9" t="s">
        <v>42</v>
      </c>
      <c r="F504" s="13" t="s">
        <v>11</v>
      </c>
      <c r="G504" s="9" t="s">
        <v>27</v>
      </c>
      <c r="H504" s="12" t="str">
        <f t="shared" si="102"/>
        <v>Блок12</v>
      </c>
      <c r="I504" s="11">
        <v>16216.2</v>
      </c>
    </row>
    <row r="505" spans="1:9" ht="21" customHeight="1" x14ac:dyDescent="0.25">
      <c r="A505" s="12" t="str">
        <f t="shared" si="101"/>
        <v>РЩ1-12 (АВР-Б-40-2-1)</v>
      </c>
      <c r="B505" s="9" t="s">
        <v>16</v>
      </c>
      <c r="C505" s="9"/>
      <c r="D505" s="10">
        <v>814174</v>
      </c>
      <c r="E505" s="9" t="s">
        <v>45</v>
      </c>
      <c r="F505" s="13" t="s">
        <v>11</v>
      </c>
      <c r="G505" s="9" t="s">
        <v>27</v>
      </c>
      <c r="H505" s="12" t="str">
        <f t="shared" si="102"/>
        <v>Блок12</v>
      </c>
      <c r="I505" s="11">
        <v>5305.3</v>
      </c>
    </row>
    <row r="506" spans="1:9" ht="21" customHeight="1" x14ac:dyDescent="0.25">
      <c r="A506" s="12" t="str">
        <f t="shared" si="101"/>
        <v>РЩ1-12 (АВР-Б-40-2-1)</v>
      </c>
      <c r="B506" s="9" t="s">
        <v>16</v>
      </c>
      <c r="C506" s="9"/>
      <c r="D506" s="10">
        <v>814167</v>
      </c>
      <c r="E506" s="9" t="s">
        <v>47</v>
      </c>
      <c r="F506" s="13" t="s">
        <v>11</v>
      </c>
      <c r="G506" s="9" t="s">
        <v>27</v>
      </c>
      <c r="H506" s="12" t="str">
        <f t="shared" si="102"/>
        <v>Блок12</v>
      </c>
      <c r="I506" s="11">
        <v>2852.8500000000004</v>
      </c>
    </row>
    <row r="507" spans="1:9" ht="21" customHeight="1" x14ac:dyDescent="0.25">
      <c r="A507" s="12" t="str">
        <f t="shared" si="101"/>
        <v>РЩ1-12 (АВР-Б-40-2-1)</v>
      </c>
      <c r="B507" s="9" t="s">
        <v>14</v>
      </c>
      <c r="C507" s="9"/>
      <c r="D507" s="10" t="s">
        <v>178</v>
      </c>
      <c r="E507" s="9" t="s">
        <v>179</v>
      </c>
      <c r="F507" s="13" t="s">
        <v>11</v>
      </c>
      <c r="G507" s="9" t="s">
        <v>15</v>
      </c>
      <c r="H507" s="12" t="str">
        <f t="shared" si="102"/>
        <v>Блок12</v>
      </c>
      <c r="I507" s="11">
        <v>39100</v>
      </c>
    </row>
    <row r="508" spans="1:9" ht="21" customHeight="1" x14ac:dyDescent="0.25">
      <c r="A508" s="12" t="str">
        <f t="shared" si="101"/>
        <v>РЩ1-12 (АВР-Б-40-2-1)</v>
      </c>
      <c r="B508" s="9" t="s">
        <v>29</v>
      </c>
      <c r="C508" s="9"/>
      <c r="D508" s="10"/>
      <c r="E508" s="9" t="s">
        <v>30</v>
      </c>
      <c r="F508" s="13" t="s">
        <v>11</v>
      </c>
      <c r="G508" s="9" t="s">
        <v>24</v>
      </c>
      <c r="H508" s="12" t="e">
        <f>#REF!</f>
        <v>#REF!</v>
      </c>
      <c r="I508" s="11">
        <v>14850</v>
      </c>
    </row>
    <row r="509" spans="1:9" ht="24" customHeight="1" x14ac:dyDescent="0.25">
      <c r="A509" s="9" t="str">
        <f t="shared" si="101"/>
        <v>РЩ1-12 (АВР-Б-40-2-1)</v>
      </c>
      <c r="B509" s="9" t="s">
        <v>18</v>
      </c>
      <c r="C509" s="9"/>
      <c r="D509" s="10" t="s">
        <v>18</v>
      </c>
      <c r="E509" s="9" t="s">
        <v>18</v>
      </c>
      <c r="F509" s="9" t="s">
        <v>11</v>
      </c>
      <c r="G509" s="9" t="s">
        <v>18</v>
      </c>
      <c r="H509" s="12" t="e">
        <f t="shared" si="102"/>
        <v>#REF!</v>
      </c>
      <c r="I509" s="11">
        <v>21450</v>
      </c>
    </row>
    <row r="510" spans="1:9" ht="21" customHeight="1" x14ac:dyDescent="0.25">
      <c r="A510" s="9" t="str">
        <f t="shared" si="101"/>
        <v>РЩ1-12 (АВР-Б-40-2-1)</v>
      </c>
      <c r="B510" s="9" t="s">
        <v>19</v>
      </c>
      <c r="C510" s="9"/>
      <c r="D510" s="10" t="s">
        <v>19</v>
      </c>
      <c r="E510" s="9" t="s">
        <v>19</v>
      </c>
      <c r="F510" s="9" t="s">
        <v>11</v>
      </c>
      <c r="G510" s="9" t="s">
        <v>19</v>
      </c>
      <c r="H510" s="12" t="e">
        <f t="shared" si="102"/>
        <v>#REF!</v>
      </c>
      <c r="I510" s="11">
        <v>39000</v>
      </c>
    </row>
    <row r="511" spans="1:9" ht="30" customHeight="1" x14ac:dyDescent="0.25">
      <c r="A511" s="14" t="str">
        <f t="shared" si="101"/>
        <v>РЩ1-12 (АВР-Б-40-2-1)</v>
      </c>
      <c r="B511" s="14"/>
      <c r="C511" s="14"/>
      <c r="D511" s="14"/>
      <c r="E511" s="15"/>
      <c r="F511" s="17"/>
      <c r="G511" s="14"/>
      <c r="H511" s="12" t="e">
        <f t="shared" si="102"/>
        <v>#REF!</v>
      </c>
      <c r="I511" s="16">
        <v>297205.25</v>
      </c>
    </row>
    <row r="512" spans="1:9" ht="39.75" customHeight="1" x14ac:dyDescent="0.25">
      <c r="A512" s="7" t="str">
        <f>E512</f>
        <v>РЩ2-12 (АВР-Б-40-2-1)</v>
      </c>
      <c r="B512" s="4"/>
      <c r="C512" s="4"/>
      <c r="D512" s="5"/>
      <c r="E512" s="4" t="s">
        <v>144</v>
      </c>
      <c r="F512" s="8" t="s">
        <v>8</v>
      </c>
      <c r="G512" s="4" t="s">
        <v>9</v>
      </c>
      <c r="H512" s="7" t="s">
        <v>94</v>
      </c>
      <c r="I512" s="6"/>
    </row>
    <row r="513" spans="1:9" ht="21" customHeight="1" x14ac:dyDescent="0.25">
      <c r="A513" s="12" t="str">
        <f t="shared" ref="A513:A524" si="103">A512</f>
        <v>РЩ2-12 (АВР-Б-40-2-1)</v>
      </c>
      <c r="B513" s="9" t="s">
        <v>10</v>
      </c>
      <c r="C513" s="9"/>
      <c r="D513" s="10" t="s">
        <v>167</v>
      </c>
      <c r="E513" s="9" t="s">
        <v>168</v>
      </c>
      <c r="F513" s="13" t="s">
        <v>11</v>
      </c>
      <c r="G513" s="9" t="s">
        <v>12</v>
      </c>
      <c r="H513" s="12" t="str">
        <f t="shared" ref="H513:H524" si="104">H512</f>
        <v>Блок12</v>
      </c>
      <c r="I513" s="11">
        <v>78000</v>
      </c>
    </row>
    <row r="514" spans="1:9" ht="21" customHeight="1" x14ac:dyDescent="0.25">
      <c r="A514" s="12" t="str">
        <f t="shared" si="103"/>
        <v>РЩ2-12 (АВР-Б-40-2-1)</v>
      </c>
      <c r="B514" s="9" t="s">
        <v>43</v>
      </c>
      <c r="C514" s="9"/>
      <c r="D514" s="10" t="s">
        <v>161</v>
      </c>
      <c r="E514" s="9" t="s">
        <v>162</v>
      </c>
      <c r="F514" s="13" t="s">
        <v>11</v>
      </c>
      <c r="G514" s="9" t="s">
        <v>13</v>
      </c>
      <c r="H514" s="12" t="str">
        <f t="shared" si="104"/>
        <v>Блок12</v>
      </c>
      <c r="I514" s="11">
        <v>63116.900000000009</v>
      </c>
    </row>
    <row r="515" spans="1:9" ht="21" customHeight="1" x14ac:dyDescent="0.25">
      <c r="A515" s="12" t="str">
        <f t="shared" si="103"/>
        <v>РЩ2-12 (АВР-Б-40-2-1)</v>
      </c>
      <c r="B515" s="9" t="s">
        <v>26</v>
      </c>
      <c r="C515" s="9"/>
      <c r="D515" s="10">
        <v>126505</v>
      </c>
      <c r="E515" s="9" t="s">
        <v>44</v>
      </c>
      <c r="F515" s="13" t="s">
        <v>11</v>
      </c>
      <c r="G515" s="9" t="s">
        <v>27</v>
      </c>
      <c r="H515" s="12" t="str">
        <f t="shared" si="104"/>
        <v>Блок12</v>
      </c>
      <c r="I515" s="11">
        <v>17314</v>
      </c>
    </row>
    <row r="516" spans="1:9" ht="21" customHeight="1" x14ac:dyDescent="0.25">
      <c r="A516" s="12" t="str">
        <f t="shared" si="103"/>
        <v>РЩ2-12 (АВР-Б-40-2-1)</v>
      </c>
      <c r="B516" s="9" t="s">
        <v>26</v>
      </c>
      <c r="C516" s="9"/>
      <c r="D516" s="10">
        <v>126677</v>
      </c>
      <c r="E516" s="9" t="s">
        <v>42</v>
      </c>
      <c r="F516" s="13" t="s">
        <v>11</v>
      </c>
      <c r="G516" s="9" t="s">
        <v>27</v>
      </c>
      <c r="H516" s="12" t="str">
        <f t="shared" si="104"/>
        <v>Блок12</v>
      </c>
      <c r="I516" s="11">
        <v>16216.2</v>
      </c>
    </row>
    <row r="517" spans="1:9" ht="21" customHeight="1" x14ac:dyDescent="0.25">
      <c r="A517" s="12" t="str">
        <f t="shared" si="103"/>
        <v>РЩ2-12 (АВР-Б-40-2-1)</v>
      </c>
      <c r="B517" s="9" t="s">
        <v>16</v>
      </c>
      <c r="C517" s="9"/>
      <c r="D517" s="10">
        <v>814174</v>
      </c>
      <c r="E517" s="9" t="s">
        <v>45</v>
      </c>
      <c r="F517" s="13" t="s">
        <v>11</v>
      </c>
      <c r="G517" s="9" t="s">
        <v>27</v>
      </c>
      <c r="H517" s="12" t="str">
        <f t="shared" si="104"/>
        <v>Блок12</v>
      </c>
      <c r="I517" s="11">
        <v>5305.3</v>
      </c>
    </row>
    <row r="518" spans="1:9" ht="21" customHeight="1" x14ac:dyDescent="0.25">
      <c r="A518" s="12" t="str">
        <f t="shared" si="103"/>
        <v>РЩ2-12 (АВР-Б-40-2-1)</v>
      </c>
      <c r="B518" s="9" t="s">
        <v>17</v>
      </c>
      <c r="C518" s="9"/>
      <c r="D518" s="10">
        <v>819975</v>
      </c>
      <c r="E518" s="9" t="s">
        <v>46</v>
      </c>
      <c r="F518" s="13" t="s">
        <v>11</v>
      </c>
      <c r="G518" s="9" t="s">
        <v>27</v>
      </c>
      <c r="H518" s="12" t="str">
        <f t="shared" si="104"/>
        <v>Блок12</v>
      </c>
      <c r="I518" s="11">
        <v>2952.9500000000003</v>
      </c>
    </row>
    <row r="519" spans="1:9" ht="21" customHeight="1" x14ac:dyDescent="0.25">
      <c r="A519" s="12" t="str">
        <f t="shared" si="103"/>
        <v>РЩ2-12 (АВР-Б-40-2-1)</v>
      </c>
      <c r="B519" s="9" t="s">
        <v>16</v>
      </c>
      <c r="C519" s="9"/>
      <c r="D519" s="10">
        <v>814167</v>
      </c>
      <c r="E519" s="9" t="s">
        <v>47</v>
      </c>
      <c r="F519" s="13" t="s">
        <v>11</v>
      </c>
      <c r="G519" s="9" t="s">
        <v>27</v>
      </c>
      <c r="H519" s="12" t="str">
        <f t="shared" si="104"/>
        <v>Блок12</v>
      </c>
      <c r="I519" s="11">
        <v>2852.8500000000004</v>
      </c>
    </row>
    <row r="520" spans="1:9" ht="21" customHeight="1" x14ac:dyDescent="0.25">
      <c r="A520" s="12" t="str">
        <f t="shared" si="103"/>
        <v>РЩ2-12 (АВР-Б-40-2-1)</v>
      </c>
      <c r="B520" s="9" t="s">
        <v>14</v>
      </c>
      <c r="C520" s="9"/>
      <c r="D520" s="10" t="s">
        <v>178</v>
      </c>
      <c r="E520" s="9" t="s">
        <v>179</v>
      </c>
      <c r="F520" s="13" t="s">
        <v>11</v>
      </c>
      <c r="G520" s="9" t="s">
        <v>15</v>
      </c>
      <c r="H520" s="12" t="str">
        <f t="shared" si="104"/>
        <v>Блок12</v>
      </c>
      <c r="I520" s="11">
        <v>39100</v>
      </c>
    </row>
    <row r="521" spans="1:9" ht="21" customHeight="1" x14ac:dyDescent="0.25">
      <c r="A521" s="12" t="str">
        <f t="shared" si="103"/>
        <v>РЩ2-12 (АВР-Б-40-2-1)</v>
      </c>
      <c r="B521" s="9" t="s">
        <v>29</v>
      </c>
      <c r="C521" s="9"/>
      <c r="D521" s="10"/>
      <c r="E521" s="9" t="s">
        <v>30</v>
      </c>
      <c r="F521" s="13" t="s">
        <v>11</v>
      </c>
      <c r="G521" s="9" t="s">
        <v>24</v>
      </c>
      <c r="H521" s="12" t="e">
        <f>#REF!</f>
        <v>#REF!</v>
      </c>
      <c r="I521" s="11">
        <v>14850</v>
      </c>
    </row>
    <row r="522" spans="1:9" ht="24" customHeight="1" x14ac:dyDescent="0.25">
      <c r="A522" s="9" t="str">
        <f t="shared" si="103"/>
        <v>РЩ2-12 (АВР-Б-40-2-1)</v>
      </c>
      <c r="B522" s="9" t="s">
        <v>18</v>
      </c>
      <c r="C522" s="9"/>
      <c r="D522" s="10" t="s">
        <v>18</v>
      </c>
      <c r="E522" s="9" t="s">
        <v>18</v>
      </c>
      <c r="F522" s="9" t="s">
        <v>11</v>
      </c>
      <c r="G522" s="9" t="s">
        <v>18</v>
      </c>
      <c r="H522" s="12" t="e">
        <f t="shared" si="104"/>
        <v>#REF!</v>
      </c>
      <c r="I522" s="11">
        <v>21450</v>
      </c>
    </row>
    <row r="523" spans="1:9" ht="21" customHeight="1" x14ac:dyDescent="0.25">
      <c r="A523" s="9" t="str">
        <f t="shared" si="103"/>
        <v>РЩ2-12 (АВР-Б-40-2-1)</v>
      </c>
      <c r="B523" s="9" t="s">
        <v>19</v>
      </c>
      <c r="C523" s="9"/>
      <c r="D523" s="10" t="s">
        <v>19</v>
      </c>
      <c r="E523" s="9" t="s">
        <v>19</v>
      </c>
      <c r="F523" s="9" t="s">
        <v>11</v>
      </c>
      <c r="G523" s="9" t="s">
        <v>19</v>
      </c>
      <c r="H523" s="12" t="e">
        <f t="shared" si="104"/>
        <v>#REF!</v>
      </c>
      <c r="I523" s="11">
        <v>39000</v>
      </c>
    </row>
    <row r="524" spans="1:9" ht="30" customHeight="1" x14ac:dyDescent="0.25">
      <c r="A524" s="14" t="str">
        <f t="shared" si="103"/>
        <v>РЩ2-12 (АВР-Б-40-2-1)</v>
      </c>
      <c r="B524" s="14"/>
      <c r="C524" s="14"/>
      <c r="D524" s="14"/>
      <c r="E524" s="15"/>
      <c r="F524" s="17"/>
      <c r="G524" s="14"/>
      <c r="H524" s="12" t="e">
        <f t="shared" si="104"/>
        <v>#REF!</v>
      </c>
      <c r="I524" s="16">
        <v>300158.20000000007</v>
      </c>
    </row>
    <row r="525" spans="1:9" ht="39.75" customHeight="1" x14ac:dyDescent="0.25">
      <c r="A525" s="7" t="str">
        <f>E525</f>
        <v>ВРУ1-13</v>
      </c>
      <c r="B525" s="4"/>
      <c r="C525" s="4"/>
      <c r="D525" s="5"/>
      <c r="E525" s="4" t="s">
        <v>100</v>
      </c>
      <c r="F525" s="8" t="s">
        <v>8</v>
      </c>
      <c r="G525" s="4" t="s">
        <v>9</v>
      </c>
      <c r="H525" s="7" t="s">
        <v>101</v>
      </c>
      <c r="I525" s="6"/>
    </row>
    <row r="526" spans="1:9" ht="21" customHeight="1" x14ac:dyDescent="0.25">
      <c r="A526" s="12" t="str">
        <f t="shared" ref="A526:A536" si="105">A525</f>
        <v>ВРУ1-13</v>
      </c>
      <c r="B526" s="9" t="s">
        <v>10</v>
      </c>
      <c r="C526" s="9"/>
      <c r="D526" s="10" t="s">
        <v>171</v>
      </c>
      <c r="E526" s="9" t="s">
        <v>172</v>
      </c>
      <c r="F526" s="13" t="s">
        <v>11</v>
      </c>
      <c r="G526" s="9" t="s">
        <v>12</v>
      </c>
      <c r="H526" s="12" t="str">
        <f t="shared" ref="H526:H536" si="106">H525</f>
        <v>Блок13</v>
      </c>
      <c r="I526" s="11">
        <v>93900</v>
      </c>
    </row>
    <row r="527" spans="1:9" ht="21" customHeight="1" x14ac:dyDescent="0.25">
      <c r="A527" s="12" t="str">
        <f t="shared" si="105"/>
        <v>ВРУ1-13</v>
      </c>
      <c r="B527" s="9" t="s">
        <v>22</v>
      </c>
      <c r="C527" s="9"/>
      <c r="D527" s="10"/>
      <c r="E527" s="9" t="s">
        <v>23</v>
      </c>
      <c r="F527" s="13" t="s">
        <v>11</v>
      </c>
      <c r="G527" s="9" t="s">
        <v>24</v>
      </c>
      <c r="H527" s="12" t="str">
        <f t="shared" si="106"/>
        <v>Блок13</v>
      </c>
      <c r="I527" s="11">
        <v>28206</v>
      </c>
    </row>
    <row r="528" spans="1:9" ht="21" customHeight="1" x14ac:dyDescent="0.25">
      <c r="A528" s="12" t="str">
        <f t="shared" si="105"/>
        <v>ВРУ1-13</v>
      </c>
      <c r="B528" s="9" t="s">
        <v>25</v>
      </c>
      <c r="C528" s="9"/>
      <c r="D528" s="10" t="s">
        <v>176</v>
      </c>
      <c r="E528" s="9" t="s">
        <v>177</v>
      </c>
      <c r="F528" s="13" t="s">
        <v>11</v>
      </c>
      <c r="G528" s="9" t="s">
        <v>24</v>
      </c>
      <c r="H528" s="12" t="str">
        <f t="shared" si="106"/>
        <v>Блок13</v>
      </c>
      <c r="I528" s="11">
        <v>28050.000000000004</v>
      </c>
    </row>
    <row r="529" spans="1:9" ht="21" customHeight="1" x14ac:dyDescent="0.25">
      <c r="A529" s="12" t="str">
        <f t="shared" si="105"/>
        <v>ВРУ1-13</v>
      </c>
      <c r="B529" s="9" t="s">
        <v>126</v>
      </c>
      <c r="C529" s="9"/>
      <c r="D529" s="10" t="s">
        <v>129</v>
      </c>
      <c r="E529" s="9" t="s">
        <v>130</v>
      </c>
      <c r="F529" s="13" t="s">
        <v>11</v>
      </c>
      <c r="G529" s="9" t="s">
        <v>13</v>
      </c>
      <c r="H529" s="12" t="str">
        <f t="shared" si="106"/>
        <v>Блок13</v>
      </c>
      <c r="I529" s="11">
        <v>5225</v>
      </c>
    </row>
    <row r="530" spans="1:9" ht="21" customHeight="1" x14ac:dyDescent="0.25">
      <c r="A530" s="12" t="str">
        <f t="shared" si="105"/>
        <v>ВРУ1-13</v>
      </c>
      <c r="B530" s="9" t="s">
        <v>125</v>
      </c>
      <c r="C530" s="9"/>
      <c r="D530" s="10" t="s">
        <v>127</v>
      </c>
      <c r="E530" s="9" t="s">
        <v>128</v>
      </c>
      <c r="F530" s="13" t="s">
        <v>11</v>
      </c>
      <c r="G530" s="9" t="s">
        <v>13</v>
      </c>
      <c r="H530" s="12" t="str">
        <f t="shared" si="106"/>
        <v>Блок13</v>
      </c>
      <c r="I530" s="11">
        <v>3648.7000000000003</v>
      </c>
    </row>
    <row r="531" spans="1:9" ht="21" customHeight="1" x14ac:dyDescent="0.25">
      <c r="A531" s="12" t="str">
        <f t="shared" si="105"/>
        <v>ВРУ1-13</v>
      </c>
      <c r="B531" s="9" t="s">
        <v>16</v>
      </c>
      <c r="C531" s="9"/>
      <c r="D531" s="10">
        <v>296708</v>
      </c>
      <c r="E531" s="9" t="s">
        <v>28</v>
      </c>
      <c r="F531" s="13" t="s">
        <v>11</v>
      </c>
      <c r="G531" s="9" t="s">
        <v>27</v>
      </c>
      <c r="H531" s="12" t="str">
        <f t="shared" si="106"/>
        <v>Блок13</v>
      </c>
      <c r="I531" s="11">
        <v>910.80000000000007</v>
      </c>
    </row>
    <row r="532" spans="1:9" ht="21" customHeight="1" x14ac:dyDescent="0.25">
      <c r="A532" s="12" t="str">
        <f t="shared" si="105"/>
        <v>ВРУ1-13</v>
      </c>
      <c r="B532" s="9" t="s">
        <v>14</v>
      </c>
      <c r="C532" s="9"/>
      <c r="D532" s="10" t="s">
        <v>178</v>
      </c>
      <c r="E532" s="9" t="s">
        <v>179</v>
      </c>
      <c r="F532" s="13" t="s">
        <v>11</v>
      </c>
      <c r="G532" s="9" t="s">
        <v>15</v>
      </c>
      <c r="H532" s="12" t="str">
        <f t="shared" si="106"/>
        <v>Блок13</v>
      </c>
      <c r="I532" s="11">
        <v>78200</v>
      </c>
    </row>
    <row r="533" spans="1:9" ht="21" customHeight="1" x14ac:dyDescent="0.25">
      <c r="A533" s="12" t="str">
        <f t="shared" si="105"/>
        <v>ВРУ1-13</v>
      </c>
      <c r="B533" s="9" t="s">
        <v>29</v>
      </c>
      <c r="C533" s="9"/>
      <c r="D533" s="10"/>
      <c r="E533" s="9" t="s">
        <v>30</v>
      </c>
      <c r="F533" s="13" t="s">
        <v>11</v>
      </c>
      <c r="G533" s="9" t="s">
        <v>24</v>
      </c>
      <c r="H533" s="12" t="str">
        <f t="shared" si="106"/>
        <v>Блок13</v>
      </c>
      <c r="I533" s="11">
        <v>14850</v>
      </c>
    </row>
    <row r="534" spans="1:9" ht="24" customHeight="1" x14ac:dyDescent="0.25">
      <c r="A534" s="9" t="str">
        <f t="shared" si="105"/>
        <v>ВРУ1-13</v>
      </c>
      <c r="B534" s="9" t="s">
        <v>18</v>
      </c>
      <c r="C534" s="9"/>
      <c r="D534" s="10" t="s">
        <v>18</v>
      </c>
      <c r="E534" s="9" t="s">
        <v>18</v>
      </c>
      <c r="F534" s="9" t="s">
        <v>11</v>
      </c>
      <c r="G534" s="9" t="s">
        <v>18</v>
      </c>
      <c r="H534" s="12" t="str">
        <f t="shared" si="106"/>
        <v>Блок13</v>
      </c>
      <c r="I534" s="11">
        <v>26400.000000000004</v>
      </c>
    </row>
    <row r="535" spans="1:9" ht="21" customHeight="1" x14ac:dyDescent="0.25">
      <c r="A535" s="9" t="str">
        <f t="shared" si="105"/>
        <v>ВРУ1-13</v>
      </c>
      <c r="B535" s="9" t="s">
        <v>19</v>
      </c>
      <c r="C535" s="9"/>
      <c r="D535" s="10" t="s">
        <v>19</v>
      </c>
      <c r="E535" s="9" t="s">
        <v>19</v>
      </c>
      <c r="F535" s="9" t="s">
        <v>11</v>
      </c>
      <c r="G535" s="9" t="s">
        <v>19</v>
      </c>
      <c r="H535" s="12" t="str">
        <f t="shared" si="106"/>
        <v>Блок13</v>
      </c>
      <c r="I535" s="11">
        <v>48000</v>
      </c>
    </row>
    <row r="536" spans="1:9" ht="30" customHeight="1" x14ac:dyDescent="0.25">
      <c r="A536" s="14" t="str">
        <f t="shared" si="105"/>
        <v>ВРУ1-13</v>
      </c>
      <c r="B536" s="14"/>
      <c r="C536" s="14"/>
      <c r="D536" s="14"/>
      <c r="E536" s="15"/>
      <c r="F536" s="17"/>
      <c r="G536" s="14"/>
      <c r="H536" s="12" t="str">
        <f t="shared" si="106"/>
        <v>Блок13</v>
      </c>
      <c r="I536" s="16">
        <v>327390.5</v>
      </c>
    </row>
    <row r="537" spans="1:9" ht="39.75" customHeight="1" x14ac:dyDescent="0.25">
      <c r="A537" s="7" t="str">
        <f>E537</f>
        <v>РУ-1-13</v>
      </c>
      <c r="B537" s="4"/>
      <c r="C537" s="4"/>
      <c r="D537" s="5"/>
      <c r="E537" s="4" t="s">
        <v>102</v>
      </c>
      <c r="F537" s="8" t="s">
        <v>8</v>
      </c>
      <c r="G537" s="4" t="s">
        <v>9</v>
      </c>
      <c r="H537" s="7" t="s">
        <v>101</v>
      </c>
      <c r="I537" s="6"/>
    </row>
    <row r="538" spans="1:9" ht="21" customHeight="1" x14ac:dyDescent="0.25">
      <c r="A538" s="12" t="str">
        <f t="shared" ref="A538:A544" si="107">A537</f>
        <v>РУ-1-13</v>
      </c>
      <c r="B538" s="9" t="s">
        <v>10</v>
      </c>
      <c r="C538" s="9"/>
      <c r="D538" s="10" t="s">
        <v>169</v>
      </c>
      <c r="E538" s="9" t="s">
        <v>170</v>
      </c>
      <c r="F538" s="13" t="s">
        <v>11</v>
      </c>
      <c r="G538" s="9" t="s">
        <v>12</v>
      </c>
      <c r="H538" s="12" t="str">
        <f t="shared" ref="H538:H544" si="108">H537</f>
        <v>Блок13</v>
      </c>
      <c r="I538" s="11">
        <v>87000</v>
      </c>
    </row>
    <row r="539" spans="1:9" ht="21" customHeight="1" x14ac:dyDescent="0.25">
      <c r="A539" s="12" t="str">
        <f t="shared" si="107"/>
        <v>РУ-1-13</v>
      </c>
      <c r="B539" s="9" t="s">
        <v>26</v>
      </c>
      <c r="C539" s="9"/>
      <c r="D539" s="10">
        <v>126583</v>
      </c>
      <c r="E539" s="9" t="s">
        <v>32</v>
      </c>
      <c r="F539" s="13" t="s">
        <v>11</v>
      </c>
      <c r="G539" s="9" t="s">
        <v>27</v>
      </c>
      <c r="H539" s="12" t="str">
        <f t="shared" si="108"/>
        <v>Блок13</v>
      </c>
      <c r="I539" s="11">
        <v>31531.500000000004</v>
      </c>
    </row>
    <row r="540" spans="1:9" ht="21" customHeight="1" x14ac:dyDescent="0.25">
      <c r="A540" s="12" t="str">
        <f t="shared" si="107"/>
        <v>РУ-1-13</v>
      </c>
      <c r="B540" s="9" t="s">
        <v>26</v>
      </c>
      <c r="C540" s="9"/>
      <c r="D540" s="10">
        <v>126584</v>
      </c>
      <c r="E540" s="9" t="s">
        <v>33</v>
      </c>
      <c r="F540" s="13" t="s">
        <v>11</v>
      </c>
      <c r="G540" s="9" t="s">
        <v>27</v>
      </c>
      <c r="H540" s="12" t="str">
        <f t="shared" si="108"/>
        <v>Блок13</v>
      </c>
      <c r="I540" s="11">
        <v>15815.800000000001</v>
      </c>
    </row>
    <row r="541" spans="1:9" ht="21" customHeight="1" x14ac:dyDescent="0.25">
      <c r="A541" s="12" t="str">
        <f t="shared" si="107"/>
        <v>РУ-1-13</v>
      </c>
      <c r="B541" s="9" t="s">
        <v>26</v>
      </c>
      <c r="C541" s="9"/>
      <c r="D541" s="10">
        <v>126507</v>
      </c>
      <c r="E541" s="9" t="s">
        <v>34</v>
      </c>
      <c r="F541" s="13" t="s">
        <v>11</v>
      </c>
      <c r="G541" s="9" t="s">
        <v>27</v>
      </c>
      <c r="H541" s="12" t="str">
        <f t="shared" si="108"/>
        <v>Блок13</v>
      </c>
      <c r="I541" s="11">
        <v>18818.800000000003</v>
      </c>
    </row>
    <row r="542" spans="1:9" ht="24" customHeight="1" x14ac:dyDescent="0.25">
      <c r="A542" s="9" t="str">
        <f t="shared" si="107"/>
        <v>РУ-1-13</v>
      </c>
      <c r="B542" s="9" t="s">
        <v>18</v>
      </c>
      <c r="C542" s="9"/>
      <c r="D542" s="10" t="s">
        <v>18</v>
      </c>
      <c r="E542" s="9" t="s">
        <v>18</v>
      </c>
      <c r="F542" s="9" t="s">
        <v>11</v>
      </c>
      <c r="G542" s="9" t="s">
        <v>18</v>
      </c>
      <c r="H542" s="12" t="str">
        <f t="shared" si="108"/>
        <v>Блок13</v>
      </c>
      <c r="I542" s="11">
        <v>14850.000000000002</v>
      </c>
    </row>
    <row r="543" spans="1:9" ht="21" customHeight="1" x14ac:dyDescent="0.25">
      <c r="A543" s="9" t="str">
        <f t="shared" si="107"/>
        <v>РУ-1-13</v>
      </c>
      <c r="B543" s="9" t="s">
        <v>19</v>
      </c>
      <c r="C543" s="9"/>
      <c r="D543" s="10" t="s">
        <v>19</v>
      </c>
      <c r="E543" s="9" t="s">
        <v>19</v>
      </c>
      <c r="F543" s="9" t="s">
        <v>11</v>
      </c>
      <c r="G543" s="9" t="s">
        <v>19</v>
      </c>
      <c r="H543" s="12" t="str">
        <f t="shared" si="108"/>
        <v>Блок13</v>
      </c>
      <c r="I543" s="11">
        <v>27000</v>
      </c>
    </row>
    <row r="544" spans="1:9" ht="30" customHeight="1" x14ac:dyDescent="0.25">
      <c r="A544" s="14" t="str">
        <f t="shared" si="107"/>
        <v>РУ-1-13</v>
      </c>
      <c r="B544" s="14"/>
      <c r="C544" s="14"/>
      <c r="D544" s="14"/>
      <c r="E544" s="15"/>
      <c r="F544" s="17"/>
      <c r="G544" s="14"/>
      <c r="H544" s="12" t="str">
        <f t="shared" si="108"/>
        <v>Блок13</v>
      </c>
      <c r="I544" s="16">
        <v>195016.09999999998</v>
      </c>
    </row>
    <row r="545" spans="1:9" ht="39.75" customHeight="1" x14ac:dyDescent="0.25">
      <c r="A545" s="7" t="str">
        <f>E545</f>
        <v>РУ-2-13</v>
      </c>
      <c r="B545" s="4"/>
      <c r="C545" s="4"/>
      <c r="D545" s="5"/>
      <c r="E545" s="4" t="s">
        <v>103</v>
      </c>
      <c r="F545" s="8" t="s">
        <v>8</v>
      </c>
      <c r="G545" s="4" t="s">
        <v>9</v>
      </c>
      <c r="H545" s="7" t="s">
        <v>101</v>
      </c>
      <c r="I545" s="6"/>
    </row>
    <row r="546" spans="1:9" ht="21" customHeight="1" x14ac:dyDescent="0.25">
      <c r="A546" s="12" t="str">
        <f t="shared" ref="A546:A552" si="109">A545</f>
        <v>РУ-2-13</v>
      </c>
      <c r="B546" s="9" t="s">
        <v>10</v>
      </c>
      <c r="C546" s="9"/>
      <c r="D546" s="10" t="s">
        <v>169</v>
      </c>
      <c r="E546" s="9" t="s">
        <v>170</v>
      </c>
      <c r="F546" s="13" t="s">
        <v>11</v>
      </c>
      <c r="G546" s="9" t="s">
        <v>12</v>
      </c>
      <c r="H546" s="12" t="str">
        <f t="shared" ref="H546:H552" si="110">H545</f>
        <v>Блок13</v>
      </c>
      <c r="I546" s="11">
        <v>87000</v>
      </c>
    </row>
    <row r="547" spans="1:9" ht="21" customHeight="1" x14ac:dyDescent="0.25">
      <c r="A547" s="12" t="str">
        <f t="shared" si="109"/>
        <v>РУ-2-13</v>
      </c>
      <c r="B547" s="9" t="s">
        <v>26</v>
      </c>
      <c r="C547" s="9"/>
      <c r="D547" s="10">
        <v>126584</v>
      </c>
      <c r="E547" s="9" t="s">
        <v>33</v>
      </c>
      <c r="F547" s="13" t="s">
        <v>11</v>
      </c>
      <c r="G547" s="9" t="s">
        <v>27</v>
      </c>
      <c r="H547" s="12" t="str">
        <f t="shared" si="110"/>
        <v>Блок13</v>
      </c>
      <c r="I547" s="11">
        <v>15815.800000000001</v>
      </c>
    </row>
    <row r="548" spans="1:9" ht="21" customHeight="1" x14ac:dyDescent="0.25">
      <c r="A548" s="12" t="str">
        <f t="shared" si="109"/>
        <v>РУ-2-13</v>
      </c>
      <c r="B548" s="9" t="s">
        <v>26</v>
      </c>
      <c r="C548" s="9"/>
      <c r="D548" s="10">
        <v>126511</v>
      </c>
      <c r="E548" s="9" t="s">
        <v>36</v>
      </c>
      <c r="F548" s="13" t="s">
        <v>11</v>
      </c>
      <c r="G548" s="9" t="s">
        <v>27</v>
      </c>
      <c r="H548" s="12" t="str">
        <f t="shared" si="110"/>
        <v>Блок13</v>
      </c>
      <c r="I548" s="11">
        <v>27327.300000000003</v>
      </c>
    </row>
    <row r="549" spans="1:9" ht="21" customHeight="1" x14ac:dyDescent="0.25">
      <c r="A549" s="12" t="str">
        <f t="shared" si="109"/>
        <v>РУ-2-13</v>
      </c>
      <c r="B549" s="9" t="s">
        <v>26</v>
      </c>
      <c r="C549" s="9"/>
      <c r="D549" s="10">
        <v>126510</v>
      </c>
      <c r="E549" s="9" t="s">
        <v>37</v>
      </c>
      <c r="F549" s="13" t="s">
        <v>11</v>
      </c>
      <c r="G549" s="9" t="s">
        <v>27</v>
      </c>
      <c r="H549" s="12" t="str">
        <f t="shared" si="110"/>
        <v>Блок13</v>
      </c>
      <c r="I549" s="11">
        <v>9109.1</v>
      </c>
    </row>
    <row r="550" spans="1:9" ht="24" customHeight="1" x14ac:dyDescent="0.25">
      <c r="A550" s="9" t="str">
        <f t="shared" si="109"/>
        <v>РУ-2-13</v>
      </c>
      <c r="B550" s="9" t="s">
        <v>18</v>
      </c>
      <c r="C550" s="9"/>
      <c r="D550" s="10" t="s">
        <v>18</v>
      </c>
      <c r="E550" s="9" t="s">
        <v>18</v>
      </c>
      <c r="F550" s="9" t="s">
        <v>11</v>
      </c>
      <c r="G550" s="9" t="s">
        <v>18</v>
      </c>
      <c r="H550" s="12" t="e">
        <f>#REF!</f>
        <v>#REF!</v>
      </c>
      <c r="I550" s="11">
        <v>14850.000000000002</v>
      </c>
    </row>
    <row r="551" spans="1:9" ht="21" customHeight="1" x14ac:dyDescent="0.25">
      <c r="A551" s="9" t="str">
        <f t="shared" si="109"/>
        <v>РУ-2-13</v>
      </c>
      <c r="B551" s="9" t="s">
        <v>19</v>
      </c>
      <c r="C551" s="9"/>
      <c r="D551" s="10" t="s">
        <v>19</v>
      </c>
      <c r="E551" s="9" t="s">
        <v>19</v>
      </c>
      <c r="F551" s="9" t="s">
        <v>11</v>
      </c>
      <c r="G551" s="9" t="s">
        <v>19</v>
      </c>
      <c r="H551" s="12" t="e">
        <f t="shared" si="110"/>
        <v>#REF!</v>
      </c>
      <c r="I551" s="11">
        <v>27000</v>
      </c>
    </row>
    <row r="552" spans="1:9" ht="30" customHeight="1" x14ac:dyDescent="0.25">
      <c r="A552" s="14" t="str">
        <f t="shared" si="109"/>
        <v>РУ-2-13</v>
      </c>
      <c r="B552" s="14"/>
      <c r="C552" s="14"/>
      <c r="D552" s="14"/>
      <c r="E552" s="15"/>
      <c r="F552" s="17"/>
      <c r="G552" s="14"/>
      <c r="H552" s="12" t="e">
        <f t="shared" si="110"/>
        <v>#REF!</v>
      </c>
      <c r="I552" s="16">
        <v>181102.2</v>
      </c>
    </row>
    <row r="553" spans="1:9" ht="39.75" customHeight="1" x14ac:dyDescent="0.25">
      <c r="A553" s="7" t="str">
        <f>E553</f>
        <v>ЩУР.МОП1-13</v>
      </c>
      <c r="B553" s="4"/>
      <c r="C553" s="4"/>
      <c r="D553" s="5"/>
      <c r="E553" s="4" t="s">
        <v>104</v>
      </c>
      <c r="F553" s="8" t="s">
        <v>8</v>
      </c>
      <c r="G553" s="4" t="s">
        <v>9</v>
      </c>
      <c r="H553" s="7" t="s">
        <v>101</v>
      </c>
      <c r="I553" s="6"/>
    </row>
    <row r="554" spans="1:9" ht="21" customHeight="1" x14ac:dyDescent="0.25">
      <c r="A554" s="12" t="str">
        <f t="shared" ref="A554:A561" si="111">A553</f>
        <v>ЩУР.МОП1-13</v>
      </c>
      <c r="B554" s="9" t="s">
        <v>10</v>
      </c>
      <c r="C554" s="9"/>
      <c r="D554" s="10" t="s">
        <v>39</v>
      </c>
      <c r="E554" s="9" t="s">
        <v>40</v>
      </c>
      <c r="F554" s="13" t="s">
        <v>11</v>
      </c>
      <c r="G554" s="9" t="s">
        <v>12</v>
      </c>
      <c r="H554" s="12" t="str">
        <f t="shared" ref="H554:H561" si="112">H553</f>
        <v>Блок13</v>
      </c>
      <c r="I554" s="11">
        <v>10800</v>
      </c>
    </row>
    <row r="555" spans="1:9" ht="21" customHeight="1" x14ac:dyDescent="0.25">
      <c r="A555" s="12" t="str">
        <f t="shared" si="111"/>
        <v>ЩУР.МОП1-13</v>
      </c>
      <c r="B555" s="9" t="s">
        <v>16</v>
      </c>
      <c r="C555" s="9"/>
      <c r="D555" s="10">
        <v>296830</v>
      </c>
      <c r="E555" s="9" t="s">
        <v>148</v>
      </c>
      <c r="F555" s="13" t="s">
        <v>11</v>
      </c>
      <c r="G555" s="9" t="s">
        <v>27</v>
      </c>
      <c r="H555" s="12" t="str">
        <f t="shared" si="112"/>
        <v>Блок13</v>
      </c>
      <c r="I555" s="11">
        <v>854.7</v>
      </c>
    </row>
    <row r="556" spans="1:9" ht="21" customHeight="1" x14ac:dyDescent="0.25">
      <c r="A556" s="12" t="str">
        <f t="shared" si="111"/>
        <v>ЩУР.МОП1-13</v>
      </c>
      <c r="B556" s="9" t="s">
        <v>16</v>
      </c>
      <c r="C556" s="9"/>
      <c r="D556" s="10">
        <v>296828</v>
      </c>
      <c r="E556" s="9" t="s">
        <v>150</v>
      </c>
      <c r="F556" s="13" t="s">
        <v>11</v>
      </c>
      <c r="G556" s="9" t="s">
        <v>27</v>
      </c>
      <c r="H556" s="12" t="str">
        <f t="shared" si="112"/>
        <v>Блок13</v>
      </c>
      <c r="I556" s="11">
        <v>1640.1000000000001</v>
      </c>
    </row>
    <row r="557" spans="1:9" ht="21" customHeight="1" x14ac:dyDescent="0.25">
      <c r="A557" s="12" t="str">
        <f t="shared" si="111"/>
        <v>ЩУР.МОП1-13</v>
      </c>
      <c r="B557" s="9" t="s">
        <v>16</v>
      </c>
      <c r="C557" s="9"/>
      <c r="D557" s="10">
        <v>296829</v>
      </c>
      <c r="E557" s="9" t="s">
        <v>147</v>
      </c>
      <c r="F557" s="13" t="s">
        <v>11</v>
      </c>
      <c r="G557" s="9" t="s">
        <v>27</v>
      </c>
      <c r="H557" s="12" t="str">
        <f t="shared" si="112"/>
        <v>Блок13</v>
      </c>
      <c r="I557" s="11">
        <v>2322.1000000000004</v>
      </c>
    </row>
    <row r="558" spans="1:9" ht="21" customHeight="1" x14ac:dyDescent="0.25">
      <c r="A558" s="12" t="str">
        <f t="shared" si="111"/>
        <v>ЩУР.МОП1-13</v>
      </c>
      <c r="B558" s="9" t="s">
        <v>14</v>
      </c>
      <c r="C558" s="9"/>
      <c r="D558" s="10" t="s">
        <v>178</v>
      </c>
      <c r="E558" s="9" t="s">
        <v>179</v>
      </c>
      <c r="F558" s="13" t="s">
        <v>11</v>
      </c>
      <c r="G558" s="9" t="s">
        <v>15</v>
      </c>
      <c r="H558" s="12" t="str">
        <f t="shared" si="112"/>
        <v>Блок13</v>
      </c>
      <c r="I558" s="11">
        <v>39100</v>
      </c>
    </row>
    <row r="559" spans="1:9" ht="24" customHeight="1" x14ac:dyDescent="0.25">
      <c r="A559" s="9" t="str">
        <f t="shared" si="111"/>
        <v>ЩУР.МОП1-13</v>
      </c>
      <c r="B559" s="9" t="s">
        <v>18</v>
      </c>
      <c r="C559" s="9"/>
      <c r="D559" s="10" t="s">
        <v>18</v>
      </c>
      <c r="E559" s="9" t="s">
        <v>18</v>
      </c>
      <c r="F559" s="9" t="s">
        <v>11</v>
      </c>
      <c r="G559" s="9" t="s">
        <v>18</v>
      </c>
      <c r="H559" s="12" t="str">
        <f t="shared" si="112"/>
        <v>Блок13</v>
      </c>
      <c r="I559" s="11">
        <v>6600.0000000000009</v>
      </c>
    </row>
    <row r="560" spans="1:9" ht="21" customHeight="1" x14ac:dyDescent="0.25">
      <c r="A560" s="9" t="str">
        <f t="shared" si="111"/>
        <v>ЩУР.МОП1-13</v>
      </c>
      <c r="B560" s="9" t="s">
        <v>19</v>
      </c>
      <c r="C560" s="9"/>
      <c r="D560" s="10" t="s">
        <v>19</v>
      </c>
      <c r="E560" s="9" t="s">
        <v>19</v>
      </c>
      <c r="F560" s="9" t="s">
        <v>11</v>
      </c>
      <c r="G560" s="9" t="s">
        <v>19</v>
      </c>
      <c r="H560" s="12" t="str">
        <f t="shared" si="112"/>
        <v>Блок13</v>
      </c>
      <c r="I560" s="11">
        <v>12000</v>
      </c>
    </row>
    <row r="561" spans="1:9" ht="30" customHeight="1" x14ac:dyDescent="0.25">
      <c r="A561" s="14" t="str">
        <f t="shared" si="111"/>
        <v>ЩУР.МОП1-13</v>
      </c>
      <c r="B561" s="14"/>
      <c r="C561" s="14"/>
      <c r="D561" s="14"/>
      <c r="E561" s="15"/>
      <c r="F561" s="17"/>
      <c r="G561" s="14"/>
      <c r="H561" s="12" t="str">
        <f t="shared" si="112"/>
        <v>Блок13</v>
      </c>
      <c r="I561" s="16">
        <v>73316.899999999994</v>
      </c>
    </row>
    <row r="562" spans="1:9" ht="39.75" customHeight="1" x14ac:dyDescent="0.25">
      <c r="A562" s="7" t="str">
        <f>E562</f>
        <v>РЩ1-13 (АВР-Б-40-2-1)</v>
      </c>
      <c r="B562" s="4"/>
      <c r="C562" s="4"/>
      <c r="D562" s="5"/>
      <c r="E562" s="4" t="s">
        <v>145</v>
      </c>
      <c r="F562" s="8" t="s">
        <v>8</v>
      </c>
      <c r="G562" s="4" t="s">
        <v>9</v>
      </c>
      <c r="H562" s="7" t="s">
        <v>101</v>
      </c>
      <c r="I562" s="6"/>
    </row>
    <row r="563" spans="1:9" ht="21" customHeight="1" x14ac:dyDescent="0.25">
      <c r="A563" s="12" t="str">
        <f t="shared" ref="A563:A574" si="113">A562</f>
        <v>РЩ1-13 (АВР-Б-40-2-1)</v>
      </c>
      <c r="B563" s="9" t="s">
        <v>10</v>
      </c>
      <c r="C563" s="9"/>
      <c r="D563" s="10" t="s">
        <v>167</v>
      </c>
      <c r="E563" s="9" t="s">
        <v>168</v>
      </c>
      <c r="F563" s="13" t="s">
        <v>11</v>
      </c>
      <c r="G563" s="9" t="s">
        <v>12</v>
      </c>
      <c r="H563" s="12" t="str">
        <f t="shared" ref="H563:H574" si="114">H562</f>
        <v>Блок13</v>
      </c>
      <c r="I563" s="11">
        <v>78000</v>
      </c>
    </row>
    <row r="564" spans="1:9" ht="21" customHeight="1" x14ac:dyDescent="0.25">
      <c r="A564" s="12" t="str">
        <f t="shared" si="113"/>
        <v>РЩ1-13 (АВР-Б-40-2-1)</v>
      </c>
      <c r="B564" s="9" t="s">
        <v>43</v>
      </c>
      <c r="C564" s="9"/>
      <c r="D564" s="10" t="s">
        <v>161</v>
      </c>
      <c r="E564" s="9" t="s">
        <v>162</v>
      </c>
      <c r="F564" s="13" t="s">
        <v>11</v>
      </c>
      <c r="G564" s="9" t="s">
        <v>13</v>
      </c>
      <c r="H564" s="12" t="str">
        <f t="shared" si="114"/>
        <v>Блок13</v>
      </c>
      <c r="I564" s="11">
        <v>63116.900000000009</v>
      </c>
    </row>
    <row r="565" spans="1:9" ht="21" customHeight="1" x14ac:dyDescent="0.25">
      <c r="A565" s="12" t="str">
        <f t="shared" si="113"/>
        <v>РЩ1-13 (АВР-Б-40-2-1)</v>
      </c>
      <c r="B565" s="9" t="s">
        <v>26</v>
      </c>
      <c r="C565" s="9"/>
      <c r="D565" s="10">
        <v>126505</v>
      </c>
      <c r="E565" s="9" t="s">
        <v>44</v>
      </c>
      <c r="F565" s="13" t="s">
        <v>11</v>
      </c>
      <c r="G565" s="9" t="s">
        <v>27</v>
      </c>
      <c r="H565" s="12" t="str">
        <f t="shared" si="114"/>
        <v>Блок13</v>
      </c>
      <c r="I565" s="11">
        <v>17314</v>
      </c>
    </row>
    <row r="566" spans="1:9" ht="21" customHeight="1" x14ac:dyDescent="0.25">
      <c r="A566" s="12" t="str">
        <f t="shared" si="113"/>
        <v>РЩ1-13 (АВР-Б-40-2-1)</v>
      </c>
      <c r="B566" s="9" t="s">
        <v>26</v>
      </c>
      <c r="C566" s="9"/>
      <c r="D566" s="10">
        <v>126677</v>
      </c>
      <c r="E566" s="9" t="s">
        <v>42</v>
      </c>
      <c r="F566" s="13" t="s">
        <v>11</v>
      </c>
      <c r="G566" s="9" t="s">
        <v>27</v>
      </c>
      <c r="H566" s="12" t="str">
        <f t="shared" si="114"/>
        <v>Блок13</v>
      </c>
      <c r="I566" s="11">
        <v>16216.2</v>
      </c>
    </row>
    <row r="567" spans="1:9" ht="21" customHeight="1" x14ac:dyDescent="0.25">
      <c r="A567" s="12" t="str">
        <f t="shared" si="113"/>
        <v>РЩ1-13 (АВР-Б-40-2-1)</v>
      </c>
      <c r="B567" s="9" t="s">
        <v>16</v>
      </c>
      <c r="C567" s="9"/>
      <c r="D567" s="10">
        <v>814174</v>
      </c>
      <c r="E567" s="9" t="s">
        <v>45</v>
      </c>
      <c r="F567" s="13" t="s">
        <v>11</v>
      </c>
      <c r="G567" s="9" t="s">
        <v>27</v>
      </c>
      <c r="H567" s="12" t="str">
        <f t="shared" si="114"/>
        <v>Блок13</v>
      </c>
      <c r="I567" s="11">
        <v>5305.3</v>
      </c>
    </row>
    <row r="568" spans="1:9" ht="21" customHeight="1" x14ac:dyDescent="0.25">
      <c r="A568" s="12" t="str">
        <f t="shared" si="113"/>
        <v>РЩ1-13 (АВР-Б-40-2-1)</v>
      </c>
      <c r="B568" s="9" t="s">
        <v>17</v>
      </c>
      <c r="C568" s="9"/>
      <c r="D568" s="10">
        <v>819975</v>
      </c>
      <c r="E568" s="9" t="s">
        <v>46</v>
      </c>
      <c r="F568" s="13" t="s">
        <v>11</v>
      </c>
      <c r="G568" s="9" t="s">
        <v>27</v>
      </c>
      <c r="H568" s="12" t="str">
        <f t="shared" si="114"/>
        <v>Блок13</v>
      </c>
      <c r="I568" s="11">
        <v>2952.9500000000003</v>
      </c>
    </row>
    <row r="569" spans="1:9" ht="21" customHeight="1" x14ac:dyDescent="0.25">
      <c r="A569" s="12" t="str">
        <f t="shared" si="113"/>
        <v>РЩ1-13 (АВР-Б-40-2-1)</v>
      </c>
      <c r="B569" s="9" t="s">
        <v>16</v>
      </c>
      <c r="C569" s="9"/>
      <c r="D569" s="10">
        <v>814167</v>
      </c>
      <c r="E569" s="9" t="s">
        <v>47</v>
      </c>
      <c r="F569" s="13" t="s">
        <v>11</v>
      </c>
      <c r="G569" s="9" t="s">
        <v>27</v>
      </c>
      <c r="H569" s="12" t="str">
        <f t="shared" si="114"/>
        <v>Блок13</v>
      </c>
      <c r="I569" s="11">
        <v>2852.8500000000004</v>
      </c>
    </row>
    <row r="570" spans="1:9" ht="21" customHeight="1" x14ac:dyDescent="0.25">
      <c r="A570" s="12" t="str">
        <f t="shared" si="113"/>
        <v>РЩ1-13 (АВР-Б-40-2-1)</v>
      </c>
      <c r="B570" s="9" t="s">
        <v>14</v>
      </c>
      <c r="C570" s="9"/>
      <c r="D570" s="10" t="s">
        <v>178</v>
      </c>
      <c r="E570" s="9" t="s">
        <v>179</v>
      </c>
      <c r="F570" s="13" t="s">
        <v>11</v>
      </c>
      <c r="G570" s="9" t="s">
        <v>15</v>
      </c>
      <c r="H570" s="12" t="str">
        <f t="shared" si="114"/>
        <v>Блок13</v>
      </c>
      <c r="I570" s="11">
        <v>39100</v>
      </c>
    </row>
    <row r="571" spans="1:9" ht="21" customHeight="1" x14ac:dyDescent="0.25">
      <c r="A571" s="12" t="str">
        <f t="shared" si="113"/>
        <v>РЩ1-13 (АВР-Б-40-2-1)</v>
      </c>
      <c r="B571" s="9" t="s">
        <v>29</v>
      </c>
      <c r="C571" s="9"/>
      <c r="D571" s="10"/>
      <c r="E571" s="9" t="s">
        <v>30</v>
      </c>
      <c r="F571" s="13" t="s">
        <v>11</v>
      </c>
      <c r="G571" s="9" t="s">
        <v>24</v>
      </c>
      <c r="H571" s="12" t="e">
        <f>#REF!</f>
        <v>#REF!</v>
      </c>
      <c r="I571" s="11">
        <v>14850</v>
      </c>
    </row>
    <row r="572" spans="1:9" ht="24" customHeight="1" x14ac:dyDescent="0.25">
      <c r="A572" s="9" t="str">
        <f t="shared" si="113"/>
        <v>РЩ1-13 (АВР-Б-40-2-1)</v>
      </c>
      <c r="B572" s="9" t="s">
        <v>18</v>
      </c>
      <c r="C572" s="9"/>
      <c r="D572" s="10" t="s">
        <v>18</v>
      </c>
      <c r="E572" s="9" t="s">
        <v>18</v>
      </c>
      <c r="F572" s="9" t="s">
        <v>11</v>
      </c>
      <c r="G572" s="9" t="s">
        <v>18</v>
      </c>
      <c r="H572" s="12" t="e">
        <f t="shared" si="114"/>
        <v>#REF!</v>
      </c>
      <c r="I572" s="11">
        <v>21450</v>
      </c>
    </row>
    <row r="573" spans="1:9" ht="21" customHeight="1" x14ac:dyDescent="0.25">
      <c r="A573" s="9" t="str">
        <f t="shared" si="113"/>
        <v>РЩ1-13 (АВР-Б-40-2-1)</v>
      </c>
      <c r="B573" s="9" t="s">
        <v>19</v>
      </c>
      <c r="C573" s="9"/>
      <c r="D573" s="10" t="s">
        <v>19</v>
      </c>
      <c r="E573" s="9" t="s">
        <v>19</v>
      </c>
      <c r="F573" s="9" t="s">
        <v>11</v>
      </c>
      <c r="G573" s="9" t="s">
        <v>19</v>
      </c>
      <c r="H573" s="12" t="e">
        <f t="shared" si="114"/>
        <v>#REF!</v>
      </c>
      <c r="I573" s="11">
        <v>39000</v>
      </c>
    </row>
    <row r="574" spans="1:9" ht="30" customHeight="1" x14ac:dyDescent="0.25">
      <c r="A574" s="14" t="str">
        <f t="shared" si="113"/>
        <v>РЩ1-13 (АВР-Б-40-2-1)</v>
      </c>
      <c r="B574" s="14"/>
      <c r="C574" s="14"/>
      <c r="D574" s="14"/>
      <c r="E574" s="15"/>
      <c r="F574" s="17"/>
      <c r="G574" s="14"/>
      <c r="H574" s="12" t="e">
        <f t="shared" si="114"/>
        <v>#REF!</v>
      </c>
      <c r="I574" s="16">
        <v>300158.20000000007</v>
      </c>
    </row>
    <row r="575" spans="1:9" ht="39.75" customHeight="1" x14ac:dyDescent="0.25">
      <c r="A575" s="7" t="str">
        <f>E575</f>
        <v>ВРУ1-14</v>
      </c>
      <c r="B575" s="4"/>
      <c r="C575" s="4"/>
      <c r="D575" s="5"/>
      <c r="E575" s="4" t="s">
        <v>105</v>
      </c>
      <c r="F575" s="8" t="s">
        <v>8</v>
      </c>
      <c r="G575" s="4" t="s">
        <v>9</v>
      </c>
      <c r="H575" s="7" t="s">
        <v>106</v>
      </c>
      <c r="I575" s="6"/>
    </row>
    <row r="576" spans="1:9" ht="21" customHeight="1" x14ac:dyDescent="0.25">
      <c r="A576" s="12" t="str">
        <f t="shared" ref="A576:A586" si="115">A575</f>
        <v>ВРУ1-14</v>
      </c>
      <c r="B576" s="9" t="s">
        <v>10</v>
      </c>
      <c r="C576" s="9"/>
      <c r="D576" s="10" t="s">
        <v>171</v>
      </c>
      <c r="E576" s="9" t="s">
        <v>172</v>
      </c>
      <c r="F576" s="13" t="s">
        <v>11</v>
      </c>
      <c r="G576" s="9" t="s">
        <v>12</v>
      </c>
      <c r="H576" s="12" t="str">
        <f t="shared" ref="H576:H586" si="116">H575</f>
        <v>Блок14</v>
      </c>
      <c r="I576" s="11">
        <v>93900</v>
      </c>
    </row>
    <row r="577" spans="1:9" ht="21" customHeight="1" x14ac:dyDescent="0.25">
      <c r="A577" s="12" t="str">
        <f t="shared" si="115"/>
        <v>ВРУ1-14</v>
      </c>
      <c r="B577" s="9" t="s">
        <v>22</v>
      </c>
      <c r="C577" s="9"/>
      <c r="D577" s="10"/>
      <c r="E577" s="9" t="s">
        <v>23</v>
      </c>
      <c r="F577" s="13" t="s">
        <v>11</v>
      </c>
      <c r="G577" s="9" t="s">
        <v>24</v>
      </c>
      <c r="H577" s="12" t="str">
        <f t="shared" si="116"/>
        <v>Блок14</v>
      </c>
      <c r="I577" s="11">
        <v>28206</v>
      </c>
    </row>
    <row r="578" spans="1:9" ht="21" customHeight="1" x14ac:dyDescent="0.25">
      <c r="A578" s="12" t="str">
        <f t="shared" si="115"/>
        <v>ВРУ1-14</v>
      </c>
      <c r="B578" s="9" t="s">
        <v>25</v>
      </c>
      <c r="C578" s="9"/>
      <c r="D578" s="10" t="s">
        <v>176</v>
      </c>
      <c r="E578" s="9" t="s">
        <v>177</v>
      </c>
      <c r="F578" s="13" t="s">
        <v>11</v>
      </c>
      <c r="G578" s="9" t="s">
        <v>24</v>
      </c>
      <c r="H578" s="12" t="str">
        <f t="shared" si="116"/>
        <v>Блок14</v>
      </c>
      <c r="I578" s="11">
        <v>28050.000000000004</v>
      </c>
    </row>
    <row r="579" spans="1:9" ht="21" customHeight="1" x14ac:dyDescent="0.25">
      <c r="A579" s="12" t="str">
        <f t="shared" si="115"/>
        <v>ВРУ1-14</v>
      </c>
      <c r="B579" s="9" t="s">
        <v>126</v>
      </c>
      <c r="C579" s="9"/>
      <c r="D579" s="10" t="s">
        <v>129</v>
      </c>
      <c r="E579" s="9" t="s">
        <v>130</v>
      </c>
      <c r="F579" s="13" t="s">
        <v>11</v>
      </c>
      <c r="G579" s="9" t="s">
        <v>13</v>
      </c>
      <c r="H579" s="12" t="str">
        <f t="shared" si="116"/>
        <v>Блок14</v>
      </c>
      <c r="I579" s="11">
        <v>5225</v>
      </c>
    </row>
    <row r="580" spans="1:9" ht="21" customHeight="1" x14ac:dyDescent="0.25">
      <c r="A580" s="12" t="str">
        <f t="shared" si="115"/>
        <v>ВРУ1-14</v>
      </c>
      <c r="B580" s="9" t="s">
        <v>125</v>
      </c>
      <c r="C580" s="9"/>
      <c r="D580" s="10" t="s">
        <v>127</v>
      </c>
      <c r="E580" s="9" t="s">
        <v>128</v>
      </c>
      <c r="F580" s="13" t="s">
        <v>11</v>
      </c>
      <c r="G580" s="9" t="s">
        <v>13</v>
      </c>
      <c r="H580" s="12" t="str">
        <f t="shared" si="116"/>
        <v>Блок14</v>
      </c>
      <c r="I580" s="11">
        <v>3648.7000000000003</v>
      </c>
    </row>
    <row r="581" spans="1:9" ht="21" customHeight="1" x14ac:dyDescent="0.25">
      <c r="A581" s="12" t="str">
        <f t="shared" si="115"/>
        <v>ВРУ1-14</v>
      </c>
      <c r="B581" s="9" t="s">
        <v>16</v>
      </c>
      <c r="C581" s="9"/>
      <c r="D581" s="10">
        <v>296708</v>
      </c>
      <c r="E581" s="9" t="s">
        <v>28</v>
      </c>
      <c r="F581" s="13" t="s">
        <v>11</v>
      </c>
      <c r="G581" s="9" t="s">
        <v>27</v>
      </c>
      <c r="H581" s="12" t="str">
        <f t="shared" si="116"/>
        <v>Блок14</v>
      </c>
      <c r="I581" s="11">
        <v>910.80000000000007</v>
      </c>
    </row>
    <row r="582" spans="1:9" ht="21" customHeight="1" x14ac:dyDescent="0.25">
      <c r="A582" s="12" t="str">
        <f t="shared" si="115"/>
        <v>ВРУ1-14</v>
      </c>
      <c r="B582" s="9" t="s">
        <v>14</v>
      </c>
      <c r="C582" s="9"/>
      <c r="D582" s="10" t="s">
        <v>178</v>
      </c>
      <c r="E582" s="9" t="s">
        <v>179</v>
      </c>
      <c r="F582" s="13" t="s">
        <v>11</v>
      </c>
      <c r="G582" s="9" t="s">
        <v>15</v>
      </c>
      <c r="H582" s="12" t="str">
        <f t="shared" si="116"/>
        <v>Блок14</v>
      </c>
      <c r="I582" s="11">
        <v>78200</v>
      </c>
    </row>
    <row r="583" spans="1:9" ht="21" customHeight="1" x14ac:dyDescent="0.25">
      <c r="A583" s="12" t="str">
        <f t="shared" si="115"/>
        <v>ВРУ1-14</v>
      </c>
      <c r="B583" s="9" t="s">
        <v>29</v>
      </c>
      <c r="C583" s="9"/>
      <c r="D583" s="10"/>
      <c r="E583" s="9" t="s">
        <v>30</v>
      </c>
      <c r="F583" s="13" t="s">
        <v>11</v>
      </c>
      <c r="G583" s="9" t="s">
        <v>24</v>
      </c>
      <c r="H583" s="12" t="str">
        <f t="shared" si="116"/>
        <v>Блок14</v>
      </c>
      <c r="I583" s="11">
        <v>14850</v>
      </c>
    </row>
    <row r="584" spans="1:9" ht="24" customHeight="1" x14ac:dyDescent="0.25">
      <c r="A584" s="9" t="str">
        <f t="shared" si="115"/>
        <v>ВРУ1-14</v>
      </c>
      <c r="B584" s="9" t="s">
        <v>18</v>
      </c>
      <c r="C584" s="9"/>
      <c r="D584" s="10" t="s">
        <v>18</v>
      </c>
      <c r="E584" s="9" t="s">
        <v>18</v>
      </c>
      <c r="F584" s="9" t="s">
        <v>11</v>
      </c>
      <c r="G584" s="9" t="s">
        <v>18</v>
      </c>
      <c r="H584" s="12" t="str">
        <f t="shared" si="116"/>
        <v>Блок14</v>
      </c>
      <c r="I584" s="11">
        <v>26400.000000000004</v>
      </c>
    </row>
    <row r="585" spans="1:9" ht="21" customHeight="1" x14ac:dyDescent="0.25">
      <c r="A585" s="9" t="str">
        <f t="shared" si="115"/>
        <v>ВРУ1-14</v>
      </c>
      <c r="B585" s="9" t="s">
        <v>19</v>
      </c>
      <c r="C585" s="9"/>
      <c r="D585" s="10" t="s">
        <v>19</v>
      </c>
      <c r="E585" s="9" t="s">
        <v>19</v>
      </c>
      <c r="F585" s="9" t="s">
        <v>11</v>
      </c>
      <c r="G585" s="9" t="s">
        <v>19</v>
      </c>
      <c r="H585" s="12" t="str">
        <f t="shared" si="116"/>
        <v>Блок14</v>
      </c>
      <c r="I585" s="11">
        <v>48000</v>
      </c>
    </row>
    <row r="586" spans="1:9" ht="30" customHeight="1" x14ac:dyDescent="0.25">
      <c r="A586" s="14" t="str">
        <f t="shared" si="115"/>
        <v>ВРУ1-14</v>
      </c>
      <c r="B586" s="14"/>
      <c r="C586" s="14"/>
      <c r="D586" s="14"/>
      <c r="E586" s="15"/>
      <c r="F586" s="17"/>
      <c r="G586" s="14"/>
      <c r="H586" s="12" t="str">
        <f t="shared" si="116"/>
        <v>Блок14</v>
      </c>
      <c r="I586" s="16">
        <v>327390.5</v>
      </c>
    </row>
    <row r="587" spans="1:9" ht="39.75" customHeight="1" x14ac:dyDescent="0.25">
      <c r="A587" s="7" t="str">
        <f>E587</f>
        <v>РУ-1-14</v>
      </c>
      <c r="B587" s="4"/>
      <c r="C587" s="4"/>
      <c r="D587" s="5"/>
      <c r="E587" s="4" t="s">
        <v>107</v>
      </c>
      <c r="F587" s="8" t="s">
        <v>8</v>
      </c>
      <c r="G587" s="4" t="s">
        <v>9</v>
      </c>
      <c r="H587" s="7" t="s">
        <v>106</v>
      </c>
      <c r="I587" s="6"/>
    </row>
    <row r="588" spans="1:9" ht="21" customHeight="1" x14ac:dyDescent="0.25">
      <c r="A588" s="12" t="str">
        <f t="shared" ref="A588:A594" si="117">A587</f>
        <v>РУ-1-14</v>
      </c>
      <c r="B588" s="9" t="s">
        <v>10</v>
      </c>
      <c r="C588" s="9"/>
      <c r="D588" s="10" t="s">
        <v>169</v>
      </c>
      <c r="E588" s="9" t="s">
        <v>170</v>
      </c>
      <c r="F588" s="13" t="s">
        <v>11</v>
      </c>
      <c r="G588" s="9" t="s">
        <v>12</v>
      </c>
      <c r="H588" s="12" t="str">
        <f t="shared" ref="H588:H594" si="118">H587</f>
        <v>Блок14</v>
      </c>
      <c r="I588" s="11">
        <v>87000</v>
      </c>
    </row>
    <row r="589" spans="1:9" ht="21" customHeight="1" x14ac:dyDescent="0.25">
      <c r="A589" s="12" t="str">
        <f t="shared" si="117"/>
        <v>РУ-1-14</v>
      </c>
      <c r="B589" s="9" t="s">
        <v>26</v>
      </c>
      <c r="C589" s="9"/>
      <c r="D589" s="10">
        <v>126583</v>
      </c>
      <c r="E589" s="9" t="s">
        <v>32</v>
      </c>
      <c r="F589" s="13" t="s">
        <v>11</v>
      </c>
      <c r="G589" s="9" t="s">
        <v>27</v>
      </c>
      <c r="H589" s="12" t="str">
        <f t="shared" si="118"/>
        <v>Блок14</v>
      </c>
      <c r="I589" s="11">
        <v>31531.500000000004</v>
      </c>
    </row>
    <row r="590" spans="1:9" ht="21" customHeight="1" x14ac:dyDescent="0.25">
      <c r="A590" s="12" t="str">
        <f t="shared" si="117"/>
        <v>РУ-1-14</v>
      </c>
      <c r="B590" s="9" t="s">
        <v>26</v>
      </c>
      <c r="C590" s="9"/>
      <c r="D590" s="10">
        <v>126584</v>
      </c>
      <c r="E590" s="9" t="s">
        <v>33</v>
      </c>
      <c r="F590" s="13" t="s">
        <v>11</v>
      </c>
      <c r="G590" s="9" t="s">
        <v>27</v>
      </c>
      <c r="H590" s="12" t="str">
        <f t="shared" si="118"/>
        <v>Блок14</v>
      </c>
      <c r="I590" s="11">
        <v>15815.800000000001</v>
      </c>
    </row>
    <row r="591" spans="1:9" ht="21" customHeight="1" x14ac:dyDescent="0.25">
      <c r="A591" s="12" t="str">
        <f t="shared" si="117"/>
        <v>РУ-1-14</v>
      </c>
      <c r="B591" s="9" t="s">
        <v>26</v>
      </c>
      <c r="C591" s="9"/>
      <c r="D591" s="10">
        <v>126507</v>
      </c>
      <c r="E591" s="9" t="s">
        <v>34</v>
      </c>
      <c r="F591" s="13" t="s">
        <v>11</v>
      </c>
      <c r="G591" s="9" t="s">
        <v>27</v>
      </c>
      <c r="H591" s="12" t="str">
        <f t="shared" si="118"/>
        <v>Блок14</v>
      </c>
      <c r="I591" s="11">
        <v>18818.800000000003</v>
      </c>
    </row>
    <row r="592" spans="1:9" ht="24" customHeight="1" x14ac:dyDescent="0.25">
      <c r="A592" s="9" t="str">
        <f t="shared" si="117"/>
        <v>РУ-1-14</v>
      </c>
      <c r="B592" s="9" t="s">
        <v>18</v>
      </c>
      <c r="C592" s="9"/>
      <c r="D592" s="10" t="s">
        <v>18</v>
      </c>
      <c r="E592" s="9" t="s">
        <v>18</v>
      </c>
      <c r="F592" s="9" t="s">
        <v>11</v>
      </c>
      <c r="G592" s="9" t="s">
        <v>18</v>
      </c>
      <c r="H592" s="12" t="str">
        <f t="shared" si="118"/>
        <v>Блок14</v>
      </c>
      <c r="I592" s="11">
        <v>14850.000000000002</v>
      </c>
    </row>
    <row r="593" spans="1:9" ht="21" customHeight="1" x14ac:dyDescent="0.25">
      <c r="A593" s="9" t="str">
        <f t="shared" si="117"/>
        <v>РУ-1-14</v>
      </c>
      <c r="B593" s="9" t="s">
        <v>19</v>
      </c>
      <c r="C593" s="9"/>
      <c r="D593" s="10" t="s">
        <v>19</v>
      </c>
      <c r="E593" s="9" t="s">
        <v>19</v>
      </c>
      <c r="F593" s="9" t="s">
        <v>11</v>
      </c>
      <c r="G593" s="9" t="s">
        <v>19</v>
      </c>
      <c r="H593" s="12" t="str">
        <f t="shared" si="118"/>
        <v>Блок14</v>
      </c>
      <c r="I593" s="11">
        <v>27000</v>
      </c>
    </row>
    <row r="594" spans="1:9" ht="30" customHeight="1" x14ac:dyDescent="0.25">
      <c r="A594" s="14" t="str">
        <f t="shared" si="117"/>
        <v>РУ-1-14</v>
      </c>
      <c r="B594" s="14"/>
      <c r="C594" s="14"/>
      <c r="D594" s="14"/>
      <c r="E594" s="15"/>
      <c r="F594" s="17"/>
      <c r="G594" s="14"/>
      <c r="H594" s="12" t="str">
        <f t="shared" si="118"/>
        <v>Блок14</v>
      </c>
      <c r="I594" s="16">
        <v>195016.09999999998</v>
      </c>
    </row>
    <row r="595" spans="1:9" ht="39.75" customHeight="1" x14ac:dyDescent="0.25">
      <c r="A595" s="7" t="str">
        <f>E595</f>
        <v>РУ-2-14</v>
      </c>
      <c r="B595" s="4"/>
      <c r="C595" s="4"/>
      <c r="D595" s="5"/>
      <c r="E595" s="4" t="s">
        <v>108</v>
      </c>
      <c r="F595" s="8" t="s">
        <v>8</v>
      </c>
      <c r="G595" s="4" t="s">
        <v>9</v>
      </c>
      <c r="H595" s="7" t="s">
        <v>106</v>
      </c>
      <c r="I595" s="6"/>
    </row>
    <row r="596" spans="1:9" ht="21" customHeight="1" x14ac:dyDescent="0.25">
      <c r="A596" s="12" t="str">
        <f t="shared" ref="A596:A602" si="119">A595</f>
        <v>РУ-2-14</v>
      </c>
      <c r="B596" s="9" t="s">
        <v>10</v>
      </c>
      <c r="C596" s="9"/>
      <c r="D596" s="10" t="s">
        <v>169</v>
      </c>
      <c r="E596" s="9" t="s">
        <v>170</v>
      </c>
      <c r="F596" s="13" t="s">
        <v>11</v>
      </c>
      <c r="G596" s="9" t="s">
        <v>12</v>
      </c>
      <c r="H596" s="12" t="str">
        <f t="shared" ref="H596:H602" si="120">H595</f>
        <v>Блок14</v>
      </c>
      <c r="I596" s="11">
        <v>87000</v>
      </c>
    </row>
    <row r="597" spans="1:9" ht="21" customHeight="1" x14ac:dyDescent="0.25">
      <c r="A597" s="12" t="str">
        <f t="shared" si="119"/>
        <v>РУ-2-14</v>
      </c>
      <c r="B597" s="9" t="s">
        <v>26</v>
      </c>
      <c r="C597" s="9"/>
      <c r="D597" s="10">
        <v>126584</v>
      </c>
      <c r="E597" s="9" t="s">
        <v>33</v>
      </c>
      <c r="F597" s="13" t="s">
        <v>11</v>
      </c>
      <c r="G597" s="9" t="s">
        <v>27</v>
      </c>
      <c r="H597" s="12" t="str">
        <f t="shared" si="120"/>
        <v>Блок14</v>
      </c>
      <c r="I597" s="11">
        <v>15815.800000000001</v>
      </c>
    </row>
    <row r="598" spans="1:9" ht="21" customHeight="1" x14ac:dyDescent="0.25">
      <c r="A598" s="12" t="str">
        <f t="shared" si="119"/>
        <v>РУ-2-14</v>
      </c>
      <c r="B598" s="9" t="s">
        <v>26</v>
      </c>
      <c r="C598" s="9"/>
      <c r="D598" s="10">
        <v>126511</v>
      </c>
      <c r="E598" s="9" t="s">
        <v>36</v>
      </c>
      <c r="F598" s="13" t="s">
        <v>11</v>
      </c>
      <c r="G598" s="9" t="s">
        <v>27</v>
      </c>
      <c r="H598" s="12" t="str">
        <f t="shared" si="120"/>
        <v>Блок14</v>
      </c>
      <c r="I598" s="11">
        <v>27327.300000000003</v>
      </c>
    </row>
    <row r="599" spans="1:9" ht="21" customHeight="1" x14ac:dyDescent="0.25">
      <c r="A599" s="12" t="str">
        <f t="shared" si="119"/>
        <v>РУ-2-14</v>
      </c>
      <c r="B599" s="9" t="s">
        <v>26</v>
      </c>
      <c r="C599" s="9"/>
      <c r="D599" s="10">
        <v>126510</v>
      </c>
      <c r="E599" s="9" t="s">
        <v>37</v>
      </c>
      <c r="F599" s="13" t="s">
        <v>11</v>
      </c>
      <c r="G599" s="9" t="s">
        <v>27</v>
      </c>
      <c r="H599" s="12" t="str">
        <f t="shared" si="120"/>
        <v>Блок14</v>
      </c>
      <c r="I599" s="11">
        <v>9109.1</v>
      </c>
    </row>
    <row r="600" spans="1:9" ht="24" customHeight="1" x14ac:dyDescent="0.25">
      <c r="A600" s="9" t="str">
        <f t="shared" si="119"/>
        <v>РУ-2-14</v>
      </c>
      <c r="B600" s="9" t="s">
        <v>18</v>
      </c>
      <c r="C600" s="9"/>
      <c r="D600" s="10" t="s">
        <v>18</v>
      </c>
      <c r="E600" s="9" t="s">
        <v>18</v>
      </c>
      <c r="F600" s="9" t="s">
        <v>11</v>
      </c>
      <c r="G600" s="9" t="s">
        <v>18</v>
      </c>
      <c r="H600" s="12" t="e">
        <f>#REF!</f>
        <v>#REF!</v>
      </c>
      <c r="I600" s="11">
        <v>14850.000000000002</v>
      </c>
    </row>
    <row r="601" spans="1:9" ht="21" customHeight="1" x14ac:dyDescent="0.25">
      <c r="A601" s="9" t="str">
        <f t="shared" si="119"/>
        <v>РУ-2-14</v>
      </c>
      <c r="B601" s="9" t="s">
        <v>19</v>
      </c>
      <c r="C601" s="9"/>
      <c r="D601" s="10" t="s">
        <v>19</v>
      </c>
      <c r="E601" s="9" t="s">
        <v>19</v>
      </c>
      <c r="F601" s="9" t="s">
        <v>11</v>
      </c>
      <c r="G601" s="9" t="s">
        <v>19</v>
      </c>
      <c r="H601" s="12" t="e">
        <f t="shared" si="120"/>
        <v>#REF!</v>
      </c>
      <c r="I601" s="11">
        <v>27000</v>
      </c>
    </row>
    <row r="602" spans="1:9" ht="30" customHeight="1" x14ac:dyDescent="0.25">
      <c r="A602" s="14" t="str">
        <f t="shared" si="119"/>
        <v>РУ-2-14</v>
      </c>
      <c r="B602" s="14"/>
      <c r="C602" s="14"/>
      <c r="D602" s="14"/>
      <c r="E602" s="15"/>
      <c r="F602" s="17"/>
      <c r="G602" s="14"/>
      <c r="H602" s="12" t="e">
        <f t="shared" si="120"/>
        <v>#REF!</v>
      </c>
      <c r="I602" s="16">
        <v>181102.2</v>
      </c>
    </row>
    <row r="603" spans="1:9" ht="39.75" customHeight="1" x14ac:dyDescent="0.25">
      <c r="A603" s="7" t="str">
        <f>E603</f>
        <v>ЩУР.МОП1-14</v>
      </c>
      <c r="B603" s="4"/>
      <c r="C603" s="4"/>
      <c r="D603" s="5"/>
      <c r="E603" s="4" t="s">
        <v>109</v>
      </c>
      <c r="F603" s="8" t="s">
        <v>8</v>
      </c>
      <c r="G603" s="4" t="s">
        <v>9</v>
      </c>
      <c r="H603" s="7" t="s">
        <v>106</v>
      </c>
      <c r="I603" s="6"/>
    </row>
    <row r="604" spans="1:9" ht="21" customHeight="1" x14ac:dyDescent="0.25">
      <c r="A604" s="12" t="str">
        <f t="shared" ref="A604:A611" si="121">A603</f>
        <v>ЩУР.МОП1-14</v>
      </c>
      <c r="B604" s="9" t="s">
        <v>10</v>
      </c>
      <c r="C604" s="9"/>
      <c r="D604" s="10" t="s">
        <v>39</v>
      </c>
      <c r="E604" s="9" t="s">
        <v>40</v>
      </c>
      <c r="F604" s="13" t="s">
        <v>11</v>
      </c>
      <c r="G604" s="9" t="s">
        <v>12</v>
      </c>
      <c r="H604" s="12" t="str">
        <f t="shared" ref="H604:H611" si="122">H603</f>
        <v>Блок14</v>
      </c>
      <c r="I604" s="11">
        <v>10800</v>
      </c>
    </row>
    <row r="605" spans="1:9" ht="21" customHeight="1" x14ac:dyDescent="0.25">
      <c r="A605" s="12" t="str">
        <f t="shared" si="121"/>
        <v>ЩУР.МОП1-14</v>
      </c>
      <c r="B605" s="9" t="s">
        <v>16</v>
      </c>
      <c r="C605" s="9"/>
      <c r="D605" s="10">
        <v>296830</v>
      </c>
      <c r="E605" s="9" t="s">
        <v>148</v>
      </c>
      <c r="F605" s="13" t="s">
        <v>11</v>
      </c>
      <c r="G605" s="9" t="s">
        <v>27</v>
      </c>
      <c r="H605" s="12" t="str">
        <f t="shared" si="122"/>
        <v>Блок14</v>
      </c>
      <c r="I605" s="11">
        <v>854.7</v>
      </c>
    </row>
    <row r="606" spans="1:9" ht="21" customHeight="1" x14ac:dyDescent="0.25">
      <c r="A606" s="12" t="str">
        <f t="shared" si="121"/>
        <v>ЩУР.МОП1-14</v>
      </c>
      <c r="B606" s="9" t="s">
        <v>16</v>
      </c>
      <c r="C606" s="9"/>
      <c r="D606" s="10">
        <v>296827</v>
      </c>
      <c r="E606" s="9" t="s">
        <v>149</v>
      </c>
      <c r="F606" s="13" t="s">
        <v>11</v>
      </c>
      <c r="G606" s="9" t="s">
        <v>27</v>
      </c>
      <c r="H606" s="12" t="str">
        <f t="shared" si="122"/>
        <v>Блок14</v>
      </c>
      <c r="I606" s="11">
        <v>1640.1000000000001</v>
      </c>
    </row>
    <row r="607" spans="1:9" ht="21" customHeight="1" x14ac:dyDescent="0.25">
      <c r="A607" s="12" t="str">
        <f t="shared" si="121"/>
        <v>ЩУР.МОП1-14</v>
      </c>
      <c r="B607" s="9" t="s">
        <v>16</v>
      </c>
      <c r="C607" s="9"/>
      <c r="D607" s="10">
        <v>296829</v>
      </c>
      <c r="E607" s="9" t="s">
        <v>147</v>
      </c>
      <c r="F607" s="13" t="s">
        <v>11</v>
      </c>
      <c r="G607" s="9" t="s">
        <v>27</v>
      </c>
      <c r="H607" s="12" t="str">
        <f t="shared" si="122"/>
        <v>Блок14</v>
      </c>
      <c r="I607" s="11">
        <v>2322.1000000000004</v>
      </c>
    </row>
    <row r="608" spans="1:9" ht="21" customHeight="1" x14ac:dyDescent="0.25">
      <c r="A608" s="12" t="str">
        <f t="shared" si="121"/>
        <v>ЩУР.МОП1-14</v>
      </c>
      <c r="B608" s="9" t="s">
        <v>14</v>
      </c>
      <c r="C608" s="9"/>
      <c r="D608" s="10" t="s">
        <v>178</v>
      </c>
      <c r="E608" s="9" t="s">
        <v>179</v>
      </c>
      <c r="F608" s="13" t="s">
        <v>11</v>
      </c>
      <c r="G608" s="9" t="s">
        <v>15</v>
      </c>
      <c r="H608" s="12" t="str">
        <f t="shared" si="122"/>
        <v>Блок14</v>
      </c>
      <c r="I608" s="11">
        <v>39100</v>
      </c>
    </row>
    <row r="609" spans="1:9" ht="24" customHeight="1" x14ac:dyDescent="0.25">
      <c r="A609" s="9" t="str">
        <f t="shared" si="121"/>
        <v>ЩУР.МОП1-14</v>
      </c>
      <c r="B609" s="9" t="s">
        <v>18</v>
      </c>
      <c r="C609" s="9"/>
      <c r="D609" s="10" t="s">
        <v>18</v>
      </c>
      <c r="E609" s="9" t="s">
        <v>18</v>
      </c>
      <c r="F609" s="9" t="s">
        <v>11</v>
      </c>
      <c r="G609" s="9" t="s">
        <v>18</v>
      </c>
      <c r="H609" s="12" t="str">
        <f t="shared" si="122"/>
        <v>Блок14</v>
      </c>
      <c r="I609" s="11">
        <v>6600.0000000000009</v>
      </c>
    </row>
    <row r="610" spans="1:9" ht="21" customHeight="1" x14ac:dyDescent="0.25">
      <c r="A610" s="9" t="str">
        <f t="shared" si="121"/>
        <v>ЩУР.МОП1-14</v>
      </c>
      <c r="B610" s="9" t="s">
        <v>19</v>
      </c>
      <c r="C610" s="9"/>
      <c r="D610" s="10" t="s">
        <v>19</v>
      </c>
      <c r="E610" s="9" t="s">
        <v>19</v>
      </c>
      <c r="F610" s="9" t="s">
        <v>11</v>
      </c>
      <c r="G610" s="9" t="s">
        <v>19</v>
      </c>
      <c r="H610" s="12" t="str">
        <f t="shared" si="122"/>
        <v>Блок14</v>
      </c>
      <c r="I610" s="11">
        <v>12000</v>
      </c>
    </row>
    <row r="611" spans="1:9" ht="30" customHeight="1" x14ac:dyDescent="0.25">
      <c r="A611" s="14" t="str">
        <f t="shared" si="121"/>
        <v>ЩУР.МОП1-14</v>
      </c>
      <c r="B611" s="14"/>
      <c r="C611" s="14"/>
      <c r="D611" s="14"/>
      <c r="E611" s="15"/>
      <c r="F611" s="17"/>
      <c r="G611" s="14"/>
      <c r="H611" s="12" t="str">
        <f t="shared" si="122"/>
        <v>Блок14</v>
      </c>
      <c r="I611" s="16">
        <v>73316.899999999994</v>
      </c>
    </row>
    <row r="612" spans="1:9" ht="39.75" customHeight="1" x14ac:dyDescent="0.25">
      <c r="A612" s="7" t="str">
        <f>E612</f>
        <v>РЩ1-14 (АВР-Б-40-2-1)</v>
      </c>
      <c r="B612" s="4"/>
      <c r="C612" s="4"/>
      <c r="D612" s="5"/>
      <c r="E612" s="4" t="s">
        <v>146</v>
      </c>
      <c r="F612" s="8" t="s">
        <v>8</v>
      </c>
      <c r="G612" s="4" t="s">
        <v>9</v>
      </c>
      <c r="H612" s="7" t="s">
        <v>106</v>
      </c>
      <c r="I612" s="6"/>
    </row>
    <row r="613" spans="1:9" ht="21" customHeight="1" x14ac:dyDescent="0.25">
      <c r="A613" s="12" t="str">
        <f t="shared" ref="A613:A624" si="123">A612</f>
        <v>РЩ1-14 (АВР-Б-40-2-1)</v>
      </c>
      <c r="B613" s="9" t="s">
        <v>10</v>
      </c>
      <c r="C613" s="9"/>
      <c r="D613" s="10" t="s">
        <v>167</v>
      </c>
      <c r="E613" s="9" t="s">
        <v>168</v>
      </c>
      <c r="F613" s="13" t="s">
        <v>11</v>
      </c>
      <c r="G613" s="9" t="s">
        <v>12</v>
      </c>
      <c r="H613" s="12" t="str">
        <f t="shared" ref="H613:H624" si="124">H612</f>
        <v>Блок14</v>
      </c>
      <c r="I613" s="11">
        <v>78000</v>
      </c>
    </row>
    <row r="614" spans="1:9" ht="21" customHeight="1" x14ac:dyDescent="0.25">
      <c r="A614" s="12" t="str">
        <f t="shared" si="123"/>
        <v>РЩ1-14 (АВР-Б-40-2-1)</v>
      </c>
      <c r="B614" s="9" t="s">
        <v>43</v>
      </c>
      <c r="C614" s="9"/>
      <c r="D614" s="10" t="s">
        <v>161</v>
      </c>
      <c r="E614" s="9" t="s">
        <v>162</v>
      </c>
      <c r="F614" s="13" t="s">
        <v>11</v>
      </c>
      <c r="G614" s="9" t="s">
        <v>13</v>
      </c>
      <c r="H614" s="12" t="str">
        <f t="shared" si="124"/>
        <v>Блок14</v>
      </c>
      <c r="I614" s="11">
        <v>63116.900000000009</v>
      </c>
    </row>
    <row r="615" spans="1:9" ht="21" customHeight="1" x14ac:dyDescent="0.25">
      <c r="A615" s="12" t="str">
        <f t="shared" si="123"/>
        <v>РЩ1-14 (АВР-Б-40-2-1)</v>
      </c>
      <c r="B615" s="9" t="s">
        <v>26</v>
      </c>
      <c r="C615" s="9"/>
      <c r="D615" s="10">
        <v>126505</v>
      </c>
      <c r="E615" s="9" t="s">
        <v>44</v>
      </c>
      <c r="F615" s="13" t="s">
        <v>11</v>
      </c>
      <c r="G615" s="9" t="s">
        <v>27</v>
      </c>
      <c r="H615" s="12" t="str">
        <f t="shared" si="124"/>
        <v>Блок14</v>
      </c>
      <c r="I615" s="11">
        <v>17314</v>
      </c>
    </row>
    <row r="616" spans="1:9" ht="21" customHeight="1" x14ac:dyDescent="0.25">
      <c r="A616" s="12" t="str">
        <f t="shared" si="123"/>
        <v>РЩ1-14 (АВР-Б-40-2-1)</v>
      </c>
      <c r="B616" s="9" t="s">
        <v>26</v>
      </c>
      <c r="C616" s="9"/>
      <c r="D616" s="10">
        <v>126677</v>
      </c>
      <c r="E616" s="9" t="s">
        <v>42</v>
      </c>
      <c r="F616" s="13" t="s">
        <v>11</v>
      </c>
      <c r="G616" s="9" t="s">
        <v>27</v>
      </c>
      <c r="H616" s="12" t="str">
        <f t="shared" si="124"/>
        <v>Блок14</v>
      </c>
      <c r="I616" s="11">
        <v>16216.2</v>
      </c>
    </row>
    <row r="617" spans="1:9" ht="21" customHeight="1" x14ac:dyDescent="0.25">
      <c r="A617" s="12" t="str">
        <f t="shared" si="123"/>
        <v>РЩ1-14 (АВР-Б-40-2-1)</v>
      </c>
      <c r="B617" s="9" t="s">
        <v>16</v>
      </c>
      <c r="C617" s="9"/>
      <c r="D617" s="10">
        <v>814174</v>
      </c>
      <c r="E617" s="9" t="s">
        <v>45</v>
      </c>
      <c r="F617" s="13" t="s">
        <v>11</v>
      </c>
      <c r="G617" s="9" t="s">
        <v>27</v>
      </c>
      <c r="H617" s="12" t="str">
        <f t="shared" si="124"/>
        <v>Блок14</v>
      </c>
      <c r="I617" s="11">
        <v>5305.3</v>
      </c>
    </row>
    <row r="618" spans="1:9" ht="21" customHeight="1" x14ac:dyDescent="0.25">
      <c r="A618" s="12" t="str">
        <f t="shared" si="123"/>
        <v>РЩ1-14 (АВР-Б-40-2-1)</v>
      </c>
      <c r="B618" s="9" t="s">
        <v>17</v>
      </c>
      <c r="C618" s="9"/>
      <c r="D618" s="10">
        <v>819975</v>
      </c>
      <c r="E618" s="9" t="s">
        <v>46</v>
      </c>
      <c r="F618" s="13" t="s">
        <v>11</v>
      </c>
      <c r="G618" s="9" t="s">
        <v>27</v>
      </c>
      <c r="H618" s="12" t="str">
        <f t="shared" si="124"/>
        <v>Блок14</v>
      </c>
      <c r="I618" s="11">
        <v>2952.9500000000003</v>
      </c>
    </row>
    <row r="619" spans="1:9" ht="21" customHeight="1" x14ac:dyDescent="0.25">
      <c r="A619" s="12" t="str">
        <f t="shared" si="123"/>
        <v>РЩ1-14 (АВР-Б-40-2-1)</v>
      </c>
      <c r="B619" s="9" t="s">
        <v>16</v>
      </c>
      <c r="C619" s="9"/>
      <c r="D619" s="10">
        <v>814167</v>
      </c>
      <c r="E619" s="9" t="s">
        <v>47</v>
      </c>
      <c r="F619" s="13" t="s">
        <v>11</v>
      </c>
      <c r="G619" s="9" t="s">
        <v>27</v>
      </c>
      <c r="H619" s="12" t="str">
        <f t="shared" si="124"/>
        <v>Блок14</v>
      </c>
      <c r="I619" s="11">
        <v>2852.8500000000004</v>
      </c>
    </row>
    <row r="620" spans="1:9" ht="21" customHeight="1" x14ac:dyDescent="0.25">
      <c r="A620" s="12" t="str">
        <f t="shared" si="123"/>
        <v>РЩ1-14 (АВР-Б-40-2-1)</v>
      </c>
      <c r="B620" s="9" t="s">
        <v>14</v>
      </c>
      <c r="C620" s="9"/>
      <c r="D620" s="10" t="s">
        <v>178</v>
      </c>
      <c r="E620" s="9" t="s">
        <v>179</v>
      </c>
      <c r="F620" s="13" t="s">
        <v>11</v>
      </c>
      <c r="G620" s="9" t="s">
        <v>15</v>
      </c>
      <c r="H620" s="12" t="str">
        <f t="shared" si="124"/>
        <v>Блок14</v>
      </c>
      <c r="I620" s="11">
        <v>39100</v>
      </c>
    </row>
    <row r="621" spans="1:9" ht="21" customHeight="1" x14ac:dyDescent="0.25">
      <c r="A621" s="12" t="str">
        <f t="shared" si="123"/>
        <v>РЩ1-14 (АВР-Б-40-2-1)</v>
      </c>
      <c r="B621" s="9" t="s">
        <v>29</v>
      </c>
      <c r="C621" s="9"/>
      <c r="D621" s="10"/>
      <c r="E621" s="9" t="s">
        <v>30</v>
      </c>
      <c r="F621" s="13" t="s">
        <v>11</v>
      </c>
      <c r="G621" s="9" t="s">
        <v>24</v>
      </c>
      <c r="H621" s="12" t="e">
        <f>#REF!</f>
        <v>#REF!</v>
      </c>
      <c r="I621" s="11">
        <v>14850</v>
      </c>
    </row>
    <row r="622" spans="1:9" ht="24" customHeight="1" x14ac:dyDescent="0.25">
      <c r="A622" s="9" t="str">
        <f t="shared" si="123"/>
        <v>РЩ1-14 (АВР-Б-40-2-1)</v>
      </c>
      <c r="B622" s="9" t="s">
        <v>18</v>
      </c>
      <c r="C622" s="9"/>
      <c r="D622" s="10" t="s">
        <v>18</v>
      </c>
      <c r="E622" s="9" t="s">
        <v>18</v>
      </c>
      <c r="F622" s="9" t="s">
        <v>11</v>
      </c>
      <c r="G622" s="9" t="s">
        <v>18</v>
      </c>
      <c r="H622" s="12" t="e">
        <f t="shared" si="124"/>
        <v>#REF!</v>
      </c>
      <c r="I622" s="11">
        <v>21450</v>
      </c>
    </row>
    <row r="623" spans="1:9" ht="21" customHeight="1" x14ac:dyDescent="0.25">
      <c r="A623" s="9" t="str">
        <f t="shared" si="123"/>
        <v>РЩ1-14 (АВР-Б-40-2-1)</v>
      </c>
      <c r="B623" s="9" t="s">
        <v>19</v>
      </c>
      <c r="C623" s="9"/>
      <c r="D623" s="10" t="s">
        <v>19</v>
      </c>
      <c r="E623" s="9" t="s">
        <v>19</v>
      </c>
      <c r="F623" s="9" t="s">
        <v>11</v>
      </c>
      <c r="G623" s="9" t="s">
        <v>19</v>
      </c>
      <c r="H623" s="12" t="e">
        <f t="shared" si="124"/>
        <v>#REF!</v>
      </c>
      <c r="I623" s="11">
        <v>39000</v>
      </c>
    </row>
    <row r="624" spans="1:9" ht="30" customHeight="1" x14ac:dyDescent="0.25">
      <c r="A624" s="14" t="str">
        <f t="shared" si="123"/>
        <v>РЩ1-14 (АВР-Б-40-2-1)</v>
      </c>
      <c r="B624" s="14"/>
      <c r="C624" s="14"/>
      <c r="D624" s="14"/>
      <c r="E624" s="15"/>
      <c r="F624" s="17"/>
      <c r="G624" s="14"/>
      <c r="H624" s="12" t="e">
        <f t="shared" si="124"/>
        <v>#REF!</v>
      </c>
      <c r="I624" s="16">
        <v>300158.20000000007</v>
      </c>
    </row>
    <row r="625" spans="1:9" ht="39.75" customHeight="1" x14ac:dyDescent="0.25">
      <c r="A625" s="7" t="str">
        <f>E625</f>
        <v>ЩРп c</v>
      </c>
      <c r="B625" s="4"/>
      <c r="C625" s="4"/>
      <c r="D625" s="5"/>
      <c r="E625" s="4" t="s">
        <v>151</v>
      </c>
      <c r="F625" s="8" t="s">
        <v>8</v>
      </c>
      <c r="G625" s="4" t="s">
        <v>9</v>
      </c>
      <c r="H625" s="7" t="s">
        <v>110</v>
      </c>
      <c r="I625" s="6"/>
    </row>
    <row r="626" spans="1:9" ht="21" customHeight="1" x14ac:dyDescent="0.25">
      <c r="A626" s="12" t="str">
        <f t="shared" ref="A626:A636" si="125">A625</f>
        <v>ЩРп c</v>
      </c>
      <c r="B626" s="9" t="s">
        <v>10</v>
      </c>
      <c r="C626" s="9"/>
      <c r="D626" s="10" t="s">
        <v>171</v>
      </c>
      <c r="E626" s="9" t="s">
        <v>172</v>
      </c>
      <c r="F626" s="13" t="s">
        <v>11</v>
      </c>
      <c r="G626" s="9" t="s">
        <v>12</v>
      </c>
      <c r="H626" s="12" t="str">
        <f t="shared" ref="H626:H636" si="126">H625</f>
        <v>Блок15</v>
      </c>
      <c r="I626" s="11">
        <v>93900</v>
      </c>
    </row>
    <row r="627" spans="1:9" ht="21" customHeight="1" x14ac:dyDescent="0.25">
      <c r="A627" s="12" t="str">
        <f t="shared" si="125"/>
        <v>ЩРп c</v>
      </c>
      <c r="B627" s="9" t="s">
        <v>111</v>
      </c>
      <c r="C627" s="9"/>
      <c r="D627" s="10" t="s">
        <v>174</v>
      </c>
      <c r="E627" s="9" t="s">
        <v>175</v>
      </c>
      <c r="F627" s="13" t="s">
        <v>11</v>
      </c>
      <c r="G627" s="9" t="s">
        <v>13</v>
      </c>
      <c r="H627" s="12" t="str">
        <f t="shared" si="126"/>
        <v>Блок15</v>
      </c>
      <c r="I627" s="11">
        <v>22015.200000000001</v>
      </c>
    </row>
    <row r="628" spans="1:9" ht="21" customHeight="1" x14ac:dyDescent="0.25">
      <c r="A628" s="12" t="str">
        <f t="shared" si="125"/>
        <v>ЩРп c</v>
      </c>
      <c r="B628" s="9" t="s">
        <v>14</v>
      </c>
      <c r="C628" s="9"/>
      <c r="D628" s="10" t="s">
        <v>178</v>
      </c>
      <c r="E628" s="9" t="s">
        <v>179</v>
      </c>
      <c r="F628" s="13" t="s">
        <v>11</v>
      </c>
      <c r="G628" s="9" t="s">
        <v>15</v>
      </c>
      <c r="H628" s="12" t="str">
        <f t="shared" si="126"/>
        <v>Блок15</v>
      </c>
      <c r="I628" s="11">
        <v>39100</v>
      </c>
    </row>
    <row r="629" spans="1:9" ht="21" customHeight="1" x14ac:dyDescent="0.25">
      <c r="A629" s="12" t="str">
        <f t="shared" si="125"/>
        <v>ЩРп c</v>
      </c>
      <c r="B629" s="9" t="s">
        <v>26</v>
      </c>
      <c r="C629" s="9"/>
      <c r="D629" s="10">
        <v>126508</v>
      </c>
      <c r="E629" s="9" t="s">
        <v>112</v>
      </c>
      <c r="F629" s="13" t="s">
        <v>11</v>
      </c>
      <c r="G629" s="9" t="s">
        <v>27</v>
      </c>
      <c r="H629" s="12" t="str">
        <f>H627</f>
        <v>Блок15</v>
      </c>
      <c r="I629" s="11">
        <v>18018</v>
      </c>
    </row>
    <row r="630" spans="1:9" ht="21" customHeight="1" x14ac:dyDescent="0.25">
      <c r="A630" s="12" t="str">
        <f t="shared" si="125"/>
        <v>ЩРп c</v>
      </c>
      <c r="B630" s="9" t="s">
        <v>113</v>
      </c>
      <c r="C630" s="9"/>
      <c r="D630" s="10"/>
      <c r="E630" s="9" t="s">
        <v>114</v>
      </c>
      <c r="F630" s="13" t="s">
        <v>11</v>
      </c>
      <c r="G630" s="9" t="s">
        <v>27</v>
      </c>
      <c r="H630" s="12" t="str">
        <f t="shared" si="126"/>
        <v>Блок15</v>
      </c>
      <c r="I630" s="11">
        <v>10410.400000000001</v>
      </c>
    </row>
    <row r="631" spans="1:9" ht="21" customHeight="1" x14ac:dyDescent="0.25">
      <c r="A631" s="12" t="str">
        <f t="shared" si="125"/>
        <v>ЩРп c</v>
      </c>
      <c r="B631" s="9" t="s">
        <v>17</v>
      </c>
      <c r="C631" s="9"/>
      <c r="D631" s="10">
        <v>819979</v>
      </c>
      <c r="E631" s="9" t="s">
        <v>115</v>
      </c>
      <c r="F631" s="13" t="s">
        <v>11</v>
      </c>
      <c r="G631" s="9" t="s">
        <v>27</v>
      </c>
      <c r="H631" s="12" t="str">
        <f t="shared" si="126"/>
        <v>Блок15</v>
      </c>
      <c r="I631" s="11">
        <v>5545.1</v>
      </c>
    </row>
    <row r="632" spans="1:9" ht="21" customHeight="1" x14ac:dyDescent="0.25">
      <c r="A632" s="12" t="str">
        <f t="shared" si="125"/>
        <v>ЩРп c</v>
      </c>
      <c r="B632" s="9" t="s">
        <v>17</v>
      </c>
      <c r="C632" s="9"/>
      <c r="D632" s="10">
        <v>819975</v>
      </c>
      <c r="E632" s="9" t="s">
        <v>46</v>
      </c>
      <c r="F632" s="13" t="s">
        <v>11</v>
      </c>
      <c r="G632" s="9" t="s">
        <v>27</v>
      </c>
      <c r="H632" s="12" t="str">
        <f t="shared" si="126"/>
        <v>Блок15</v>
      </c>
      <c r="I632" s="11">
        <v>2952.9500000000003</v>
      </c>
    </row>
    <row r="633" spans="1:9" ht="21" customHeight="1" x14ac:dyDescent="0.25">
      <c r="A633" s="12" t="str">
        <f t="shared" si="125"/>
        <v>ЩРп c</v>
      </c>
      <c r="B633" s="9" t="s">
        <v>16</v>
      </c>
      <c r="C633" s="9"/>
      <c r="D633" s="10">
        <v>814009</v>
      </c>
      <c r="E633" s="9" t="s">
        <v>116</v>
      </c>
      <c r="F633" s="13" t="s">
        <v>11</v>
      </c>
      <c r="G633" s="9" t="s">
        <v>27</v>
      </c>
      <c r="H633" s="12" t="str">
        <f t="shared" si="126"/>
        <v>Блок15</v>
      </c>
      <c r="I633" s="11">
        <v>3443.0000000000005</v>
      </c>
    </row>
    <row r="634" spans="1:9" ht="24" customHeight="1" x14ac:dyDescent="0.25">
      <c r="A634" s="9" t="str">
        <f t="shared" si="125"/>
        <v>ЩРп c</v>
      </c>
      <c r="B634" s="9" t="s">
        <v>18</v>
      </c>
      <c r="C634" s="9"/>
      <c r="D634" s="10" t="s">
        <v>18</v>
      </c>
      <c r="E634" s="9" t="s">
        <v>18</v>
      </c>
      <c r="F634" s="9" t="s">
        <v>11</v>
      </c>
      <c r="G634" s="9" t="s">
        <v>18</v>
      </c>
      <c r="H634" s="12" t="str">
        <f t="shared" si="126"/>
        <v>Блок15</v>
      </c>
      <c r="I634" s="11">
        <v>13200.000000000002</v>
      </c>
    </row>
    <row r="635" spans="1:9" ht="21" customHeight="1" x14ac:dyDescent="0.25">
      <c r="A635" s="9" t="str">
        <f t="shared" si="125"/>
        <v>ЩРп c</v>
      </c>
      <c r="B635" s="9" t="s">
        <v>19</v>
      </c>
      <c r="C635" s="9"/>
      <c r="D635" s="10" t="s">
        <v>19</v>
      </c>
      <c r="E635" s="9" t="s">
        <v>19</v>
      </c>
      <c r="F635" s="9" t="s">
        <v>11</v>
      </c>
      <c r="G635" s="9" t="s">
        <v>19</v>
      </c>
      <c r="H635" s="12" t="str">
        <f t="shared" si="126"/>
        <v>Блок15</v>
      </c>
      <c r="I635" s="11">
        <v>24000</v>
      </c>
    </row>
    <row r="636" spans="1:9" ht="30" customHeight="1" x14ac:dyDescent="0.25">
      <c r="A636" s="14" t="str">
        <f t="shared" si="125"/>
        <v>ЩРп c</v>
      </c>
      <c r="B636" s="14"/>
      <c r="C636" s="14"/>
      <c r="D636" s="14"/>
      <c r="E636" s="15"/>
      <c r="F636" s="17"/>
      <c r="G636" s="14"/>
      <c r="H636" s="12" t="str">
        <f t="shared" si="126"/>
        <v>Блок15</v>
      </c>
      <c r="I636" s="16">
        <v>232584.65000000002</v>
      </c>
    </row>
    <row r="637" spans="1:9" ht="39.75" customHeight="1" x14ac:dyDescent="0.25">
      <c r="A637" s="7" t="str">
        <f>E637</f>
        <v>ЩР-(АВР-Б-63-2-1)</v>
      </c>
      <c r="B637" s="4"/>
      <c r="C637" s="4"/>
      <c r="D637" s="5"/>
      <c r="E637" s="4" t="s">
        <v>152</v>
      </c>
      <c r="F637" s="8" t="s">
        <v>8</v>
      </c>
      <c r="G637" s="4" t="s">
        <v>9</v>
      </c>
      <c r="H637" s="7" t="s">
        <v>110</v>
      </c>
      <c r="I637" s="6"/>
    </row>
    <row r="638" spans="1:9" ht="21" customHeight="1" x14ac:dyDescent="0.25">
      <c r="A638" s="12" t="str">
        <f t="shared" ref="A638:A644" si="127">A637</f>
        <v>ЩР-(АВР-Б-63-2-1)</v>
      </c>
      <c r="B638" s="9" t="s">
        <v>10</v>
      </c>
      <c r="C638" s="9"/>
      <c r="D638" s="10" t="s">
        <v>39</v>
      </c>
      <c r="E638" s="9" t="s">
        <v>40</v>
      </c>
      <c r="F638" s="13" t="s">
        <v>11</v>
      </c>
      <c r="G638" s="9" t="s">
        <v>12</v>
      </c>
      <c r="H638" s="12" t="s">
        <v>110</v>
      </c>
      <c r="I638" s="11">
        <v>10800</v>
      </c>
    </row>
    <row r="639" spans="1:9" ht="21" customHeight="1" x14ac:dyDescent="0.25">
      <c r="A639" s="12" t="str">
        <f t="shared" si="127"/>
        <v>ЩР-(АВР-Б-63-2-1)</v>
      </c>
      <c r="B639" s="9" t="s">
        <v>43</v>
      </c>
      <c r="C639" s="9"/>
      <c r="D639" s="10" t="s">
        <v>163</v>
      </c>
      <c r="E639" s="9" t="s">
        <v>164</v>
      </c>
      <c r="F639" s="13" t="s">
        <v>11</v>
      </c>
      <c r="G639" s="9" t="s">
        <v>13</v>
      </c>
      <c r="H639" s="12" t="s">
        <v>110</v>
      </c>
      <c r="I639" s="11">
        <v>110901.45000000001</v>
      </c>
    </row>
    <row r="640" spans="1:9" ht="21" customHeight="1" x14ac:dyDescent="0.25">
      <c r="A640" s="12" t="str">
        <f t="shared" si="127"/>
        <v>ЩР-(АВР-Б-63-2-1)</v>
      </c>
      <c r="B640" s="9" t="s">
        <v>48</v>
      </c>
      <c r="C640" s="9"/>
      <c r="D640" s="9">
        <v>593071</v>
      </c>
      <c r="E640" s="9" t="s">
        <v>49</v>
      </c>
      <c r="F640" s="13" t="s">
        <v>11</v>
      </c>
      <c r="G640" s="9" t="s">
        <v>27</v>
      </c>
      <c r="H640" s="12" t="s">
        <v>110</v>
      </c>
      <c r="I640" s="11">
        <v>919.6</v>
      </c>
    </row>
    <row r="641" spans="1:9" ht="21" customHeight="1" x14ac:dyDescent="0.25">
      <c r="A641" s="12" t="str">
        <f t="shared" si="127"/>
        <v>ЩР-(АВР-Б-63-2-1)</v>
      </c>
      <c r="B641" s="9" t="s">
        <v>48</v>
      </c>
      <c r="C641" s="9"/>
      <c r="D641" s="9">
        <v>593150</v>
      </c>
      <c r="E641" s="9" t="s">
        <v>50</v>
      </c>
      <c r="F641" s="13" t="s">
        <v>11</v>
      </c>
      <c r="G641" s="9" t="s">
        <v>27</v>
      </c>
      <c r="H641" s="12" t="s">
        <v>110</v>
      </c>
      <c r="I641" s="11">
        <v>459.8</v>
      </c>
    </row>
    <row r="642" spans="1:9" ht="24" customHeight="1" x14ac:dyDescent="0.25">
      <c r="A642" s="9" t="str">
        <f t="shared" si="127"/>
        <v>ЩР-(АВР-Б-63-2-1)</v>
      </c>
      <c r="B642" s="9" t="s">
        <v>18</v>
      </c>
      <c r="C642" s="9"/>
      <c r="D642" s="10" t="s">
        <v>18</v>
      </c>
      <c r="E642" s="9" t="s">
        <v>18</v>
      </c>
      <c r="F642" s="9" t="s">
        <v>11</v>
      </c>
      <c r="G642" s="9" t="s">
        <v>18</v>
      </c>
      <c r="H642" s="12" t="s">
        <v>110</v>
      </c>
      <c r="I642" s="11">
        <v>9900</v>
      </c>
    </row>
    <row r="643" spans="1:9" ht="21" customHeight="1" x14ac:dyDescent="0.25">
      <c r="A643" s="9" t="str">
        <f t="shared" si="127"/>
        <v>ЩР-(АВР-Б-63-2-1)</v>
      </c>
      <c r="B643" s="9" t="s">
        <v>19</v>
      </c>
      <c r="C643" s="9"/>
      <c r="D643" s="10" t="s">
        <v>19</v>
      </c>
      <c r="E643" s="9" t="s">
        <v>19</v>
      </c>
      <c r="F643" s="9" t="s">
        <v>11</v>
      </c>
      <c r="G643" s="9" t="s">
        <v>19</v>
      </c>
      <c r="H643" s="12" t="s">
        <v>110</v>
      </c>
      <c r="I643" s="11">
        <v>18000</v>
      </c>
    </row>
    <row r="644" spans="1:9" ht="30" customHeight="1" x14ac:dyDescent="0.25">
      <c r="A644" s="14" t="str">
        <f t="shared" si="127"/>
        <v>ЩР-(АВР-Б-63-2-1)</v>
      </c>
      <c r="B644" s="14"/>
      <c r="C644" s="14"/>
      <c r="D644" s="14"/>
      <c r="E644" s="15"/>
      <c r="F644" s="17"/>
      <c r="G644" s="14"/>
      <c r="H644" s="12" t="s">
        <v>110</v>
      </c>
      <c r="I644" s="16">
        <v>150980.85000000003</v>
      </c>
    </row>
    <row r="645" spans="1:9" ht="39.75" customHeight="1" x14ac:dyDescent="0.25">
      <c r="A645" s="7" t="str">
        <f>E645</f>
        <v>ЩР15</v>
      </c>
      <c r="B645" s="4"/>
      <c r="C645" s="4"/>
      <c r="D645" s="5"/>
      <c r="E645" s="4" t="s">
        <v>117</v>
      </c>
      <c r="F645" s="8" t="s">
        <v>8</v>
      </c>
      <c r="G645" s="4" t="s">
        <v>9</v>
      </c>
      <c r="H645" s="7" t="s">
        <v>110</v>
      </c>
      <c r="I645" s="6"/>
    </row>
    <row r="646" spans="1:9" ht="21" customHeight="1" x14ac:dyDescent="0.25">
      <c r="A646" s="12" t="str">
        <f t="shared" ref="A646:A657" si="128">A645</f>
        <v>ЩР15</v>
      </c>
      <c r="B646" s="9" t="s">
        <v>10</v>
      </c>
      <c r="C646" s="9"/>
      <c r="D646" s="10" t="s">
        <v>118</v>
      </c>
      <c r="E646" s="9" t="s">
        <v>119</v>
      </c>
      <c r="F646" s="13" t="s">
        <v>11</v>
      </c>
      <c r="G646" s="9" t="s">
        <v>12</v>
      </c>
      <c r="H646" s="12" t="str">
        <f>H645</f>
        <v>Блок15</v>
      </c>
      <c r="I646" s="11">
        <v>23700</v>
      </c>
    </row>
    <row r="647" spans="1:9" ht="21" customHeight="1" x14ac:dyDescent="0.25">
      <c r="A647" s="12" t="str">
        <f t="shared" si="128"/>
        <v>ЩР15</v>
      </c>
      <c r="B647" s="9" t="s">
        <v>14</v>
      </c>
      <c r="C647" s="9"/>
      <c r="D647" s="10" t="s">
        <v>178</v>
      </c>
      <c r="E647" s="9" t="s">
        <v>179</v>
      </c>
      <c r="F647" s="13" t="s">
        <v>11</v>
      </c>
      <c r="G647" s="9" t="s">
        <v>15</v>
      </c>
      <c r="H647" s="12" t="str">
        <f t="shared" ref="H647" si="129">H646</f>
        <v>Блок15</v>
      </c>
      <c r="I647" s="11">
        <v>39100</v>
      </c>
    </row>
    <row r="648" spans="1:9" ht="21" customHeight="1" x14ac:dyDescent="0.25">
      <c r="A648" s="12" t="str">
        <f t="shared" si="128"/>
        <v>ЩР15</v>
      </c>
      <c r="B648" s="9" t="s">
        <v>26</v>
      </c>
      <c r="C648" s="9"/>
      <c r="D648" s="10">
        <v>126510</v>
      </c>
      <c r="E648" s="9" t="s">
        <v>37</v>
      </c>
      <c r="F648" s="13" t="s">
        <v>11</v>
      </c>
      <c r="G648" s="9" t="s">
        <v>27</v>
      </c>
      <c r="H648" s="12" t="str">
        <f>H646</f>
        <v>Блок15</v>
      </c>
      <c r="I648" s="11">
        <v>18218.2</v>
      </c>
    </row>
    <row r="649" spans="1:9" ht="21" customHeight="1" x14ac:dyDescent="0.25">
      <c r="A649" s="12" t="str">
        <f t="shared" si="128"/>
        <v>ЩР15</v>
      </c>
      <c r="B649" s="9" t="s">
        <v>26</v>
      </c>
      <c r="C649" s="9"/>
      <c r="D649" s="10">
        <v>126509</v>
      </c>
      <c r="E649" s="9" t="s">
        <v>120</v>
      </c>
      <c r="F649" s="13" t="s">
        <v>11</v>
      </c>
      <c r="G649" s="9" t="s">
        <v>27</v>
      </c>
      <c r="H649" s="12" t="str">
        <f>H648</f>
        <v>Блок15</v>
      </c>
      <c r="I649" s="11">
        <v>18018</v>
      </c>
    </row>
    <row r="650" spans="1:9" ht="21" customHeight="1" x14ac:dyDescent="0.25">
      <c r="A650" s="12" t="str">
        <f t="shared" si="128"/>
        <v>ЩР15</v>
      </c>
      <c r="B650" s="9" t="s">
        <v>16</v>
      </c>
      <c r="C650" s="9"/>
      <c r="D650" s="10">
        <v>296841</v>
      </c>
      <c r="E650" s="9" t="s">
        <v>121</v>
      </c>
      <c r="F650" s="13" t="s">
        <v>11</v>
      </c>
      <c r="G650" s="9" t="s">
        <v>27</v>
      </c>
      <c r="H650" s="12" t="str">
        <f>H649</f>
        <v>Блок15</v>
      </c>
      <c r="I650" s="11">
        <v>1681.9</v>
      </c>
    </row>
    <row r="651" spans="1:9" ht="21" customHeight="1" x14ac:dyDescent="0.25">
      <c r="A651" s="12" t="str">
        <f t="shared" si="128"/>
        <v>ЩР15</v>
      </c>
      <c r="B651" s="9" t="s">
        <v>16</v>
      </c>
      <c r="C651" s="9"/>
      <c r="D651" s="10">
        <v>814170</v>
      </c>
      <c r="E651" s="9" t="s">
        <v>123</v>
      </c>
      <c r="F651" s="13" t="s">
        <v>11</v>
      </c>
      <c r="G651" s="9" t="s">
        <v>27</v>
      </c>
      <c r="H651" s="12" t="str">
        <f>H650</f>
        <v>Блок15</v>
      </c>
      <c r="I651" s="11">
        <v>5105.1000000000004</v>
      </c>
    </row>
    <row r="652" spans="1:9" ht="21" customHeight="1" x14ac:dyDescent="0.25">
      <c r="A652" s="12" t="str">
        <f t="shared" si="128"/>
        <v>ЩР15</v>
      </c>
      <c r="B652" s="9" t="s">
        <v>16</v>
      </c>
      <c r="C652" s="9"/>
      <c r="D652" s="10">
        <v>814169</v>
      </c>
      <c r="E652" s="9" t="s">
        <v>122</v>
      </c>
      <c r="F652" s="13" t="s">
        <v>11</v>
      </c>
      <c r="G652" s="9" t="s">
        <v>27</v>
      </c>
      <c r="H652" s="12" t="str">
        <f>H650</f>
        <v>Блок15</v>
      </c>
      <c r="I652" s="11">
        <v>2752.75</v>
      </c>
    </row>
    <row r="653" spans="1:9" ht="21" customHeight="1" x14ac:dyDescent="0.25">
      <c r="A653" s="12" t="str">
        <f t="shared" si="128"/>
        <v>ЩР15</v>
      </c>
      <c r="B653" s="9" t="s">
        <v>16</v>
      </c>
      <c r="C653" s="9"/>
      <c r="D653" s="10">
        <v>814170</v>
      </c>
      <c r="E653" s="9" t="s">
        <v>123</v>
      </c>
      <c r="F653" s="13" t="s">
        <v>11</v>
      </c>
      <c r="G653" s="9" t="s">
        <v>27</v>
      </c>
      <c r="H653" s="12" t="str">
        <f>H652</f>
        <v>Блок15</v>
      </c>
      <c r="I653" s="11">
        <v>2552.5500000000002</v>
      </c>
    </row>
    <row r="654" spans="1:9" ht="21" customHeight="1" x14ac:dyDescent="0.25">
      <c r="A654" s="12" t="str">
        <f t="shared" si="128"/>
        <v>ЩР15</v>
      </c>
      <c r="B654" s="9" t="s">
        <v>16</v>
      </c>
      <c r="C654" s="9"/>
      <c r="D654" s="10">
        <v>814009</v>
      </c>
      <c r="E654" s="9" t="s">
        <v>116</v>
      </c>
      <c r="F654" s="13" t="s">
        <v>11</v>
      </c>
      <c r="G654" s="9" t="s">
        <v>27</v>
      </c>
      <c r="H654" s="12" t="str">
        <f>H653</f>
        <v>Блок15</v>
      </c>
      <c r="I654" s="11">
        <v>9468.2500000000018</v>
      </c>
    </row>
    <row r="655" spans="1:9" ht="24" customHeight="1" x14ac:dyDescent="0.25">
      <c r="A655" s="9" t="str">
        <f t="shared" si="128"/>
        <v>ЩР15</v>
      </c>
      <c r="B655" s="9" t="s">
        <v>18</v>
      </c>
      <c r="C655" s="9"/>
      <c r="D655" s="10" t="s">
        <v>18</v>
      </c>
      <c r="E655" s="9" t="s">
        <v>18</v>
      </c>
      <c r="F655" s="9" t="s">
        <v>11</v>
      </c>
      <c r="G655" s="9" t="s">
        <v>18</v>
      </c>
      <c r="H655" s="12" t="str">
        <f>H654</f>
        <v>Блок15</v>
      </c>
      <c r="I655" s="11">
        <v>16500</v>
      </c>
    </row>
    <row r="656" spans="1:9" ht="21" customHeight="1" x14ac:dyDescent="0.25">
      <c r="A656" s="9" t="str">
        <f t="shared" si="128"/>
        <v>ЩР15</v>
      </c>
      <c r="B656" s="9" t="s">
        <v>19</v>
      </c>
      <c r="C656" s="9"/>
      <c r="D656" s="10" t="s">
        <v>19</v>
      </c>
      <c r="E656" s="9" t="s">
        <v>19</v>
      </c>
      <c r="F656" s="9" t="s">
        <v>11</v>
      </c>
      <c r="G656" s="9" t="s">
        <v>19</v>
      </c>
      <c r="H656" s="12" t="str">
        <f>H655</f>
        <v>Блок15</v>
      </c>
      <c r="I656" s="11">
        <v>30000</v>
      </c>
    </row>
    <row r="657" spans="1:9" ht="30" customHeight="1" x14ac:dyDescent="0.25">
      <c r="A657" s="14" t="str">
        <f t="shared" si="128"/>
        <v>ЩР15</v>
      </c>
      <c r="B657" s="14"/>
      <c r="C657" s="14"/>
      <c r="D657" s="14"/>
      <c r="E657" s="15"/>
      <c r="F657" s="17"/>
      <c r="G657" s="14"/>
      <c r="H657" s="12" t="str">
        <f>H656</f>
        <v>Блок15</v>
      </c>
      <c r="I657" s="16">
        <v>167096.75</v>
      </c>
    </row>
    <row r="658" spans="1:9" ht="39.75" customHeight="1" x14ac:dyDescent="0.25">
      <c r="A658" s="7" t="str">
        <f>E658</f>
        <v>ЩР15-(АВР-Б-80-2-1)</v>
      </c>
      <c r="B658" s="4"/>
      <c r="C658" s="4"/>
      <c r="D658" s="5"/>
      <c r="E658" s="4" t="s">
        <v>153</v>
      </c>
      <c r="F658" s="8" t="s">
        <v>8</v>
      </c>
      <c r="G658" s="4" t="s">
        <v>9</v>
      </c>
      <c r="H658" s="7" t="s">
        <v>110</v>
      </c>
      <c r="I658" s="6"/>
    </row>
    <row r="659" spans="1:9" ht="21" customHeight="1" x14ac:dyDescent="0.25">
      <c r="A659" s="12" t="str">
        <f t="shared" ref="A659:A665" si="130">A658</f>
        <v>ЩР15-(АВР-Б-80-2-1)</v>
      </c>
      <c r="B659" s="9" t="s">
        <v>10</v>
      </c>
      <c r="C659" s="9"/>
      <c r="D659" s="10" t="s">
        <v>39</v>
      </c>
      <c r="E659" s="9" t="s">
        <v>40</v>
      </c>
      <c r="F659" s="13" t="s">
        <v>11</v>
      </c>
      <c r="G659" s="9" t="s">
        <v>12</v>
      </c>
      <c r="H659" s="12" t="s">
        <v>110</v>
      </c>
      <c r="I659" s="11">
        <v>10800</v>
      </c>
    </row>
    <row r="660" spans="1:9" ht="21" customHeight="1" x14ac:dyDescent="0.25">
      <c r="A660" s="12" t="str">
        <f t="shared" si="130"/>
        <v>ЩР15-(АВР-Б-80-2-1)</v>
      </c>
      <c r="B660" s="9" t="s">
        <v>43</v>
      </c>
      <c r="C660" s="9"/>
      <c r="D660" s="10" t="s">
        <v>165</v>
      </c>
      <c r="E660" s="9" t="s">
        <v>166</v>
      </c>
      <c r="F660" s="13" t="s">
        <v>11</v>
      </c>
      <c r="G660" s="9" t="s">
        <v>13</v>
      </c>
      <c r="H660" s="12" t="s">
        <v>110</v>
      </c>
      <c r="I660" s="11">
        <v>114210.8</v>
      </c>
    </row>
    <row r="661" spans="1:9" ht="21" customHeight="1" x14ac:dyDescent="0.25">
      <c r="A661" s="12" t="str">
        <f t="shared" si="130"/>
        <v>ЩР15-(АВР-Б-80-2-1)</v>
      </c>
      <c r="B661" s="9" t="s">
        <v>48</v>
      </c>
      <c r="C661" s="9"/>
      <c r="D661" s="9">
        <v>593071</v>
      </c>
      <c r="E661" s="9" t="s">
        <v>49</v>
      </c>
      <c r="F661" s="13" t="s">
        <v>11</v>
      </c>
      <c r="G661" s="9" t="s">
        <v>27</v>
      </c>
      <c r="H661" s="12" t="s">
        <v>110</v>
      </c>
      <c r="I661" s="11">
        <v>919.6</v>
      </c>
    </row>
    <row r="662" spans="1:9" ht="21" customHeight="1" x14ac:dyDescent="0.25">
      <c r="A662" s="12" t="str">
        <f t="shared" si="130"/>
        <v>ЩР15-(АВР-Б-80-2-1)</v>
      </c>
      <c r="B662" s="9" t="s">
        <v>48</v>
      </c>
      <c r="C662" s="9"/>
      <c r="D662" s="9">
        <v>593150</v>
      </c>
      <c r="E662" s="9" t="s">
        <v>50</v>
      </c>
      <c r="F662" s="13" t="s">
        <v>11</v>
      </c>
      <c r="G662" s="9" t="s">
        <v>27</v>
      </c>
      <c r="H662" s="12" t="s">
        <v>110</v>
      </c>
      <c r="I662" s="11">
        <v>459.8</v>
      </c>
    </row>
    <row r="663" spans="1:9" ht="24" customHeight="1" x14ac:dyDescent="0.25">
      <c r="A663" s="9" t="str">
        <f t="shared" si="130"/>
        <v>ЩР15-(АВР-Б-80-2-1)</v>
      </c>
      <c r="B663" s="9" t="s">
        <v>18</v>
      </c>
      <c r="C663" s="9"/>
      <c r="D663" s="10" t="s">
        <v>18</v>
      </c>
      <c r="E663" s="9" t="s">
        <v>18</v>
      </c>
      <c r="F663" s="9" t="s">
        <v>11</v>
      </c>
      <c r="G663" s="9" t="s">
        <v>18</v>
      </c>
      <c r="H663" s="12" t="s">
        <v>110</v>
      </c>
      <c r="I663" s="11">
        <v>9900</v>
      </c>
    </row>
    <row r="664" spans="1:9" ht="21" customHeight="1" x14ac:dyDescent="0.25">
      <c r="A664" s="9" t="str">
        <f t="shared" si="130"/>
        <v>ЩР15-(АВР-Б-80-2-1)</v>
      </c>
      <c r="B664" s="9" t="s">
        <v>19</v>
      </c>
      <c r="C664" s="9"/>
      <c r="D664" s="10" t="s">
        <v>19</v>
      </c>
      <c r="E664" s="9" t="s">
        <v>19</v>
      </c>
      <c r="F664" s="9" t="s">
        <v>11</v>
      </c>
      <c r="G664" s="9" t="s">
        <v>19</v>
      </c>
      <c r="H664" s="12" t="s">
        <v>110</v>
      </c>
      <c r="I664" s="11">
        <v>18000</v>
      </c>
    </row>
    <row r="665" spans="1:9" ht="30" customHeight="1" x14ac:dyDescent="0.25">
      <c r="A665" s="14" t="str">
        <f t="shared" si="130"/>
        <v>ЩР15-(АВР-Б-80-2-1)</v>
      </c>
      <c r="B665" s="14"/>
      <c r="C665" s="14"/>
      <c r="D665" s="14"/>
      <c r="E665" s="15"/>
      <c r="F665" s="17"/>
      <c r="G665" s="14"/>
      <c r="H665" s="12" t="s">
        <v>110</v>
      </c>
      <c r="I665" s="16">
        <v>154290.20000000001</v>
      </c>
    </row>
    <row r="666" spans="1:9" ht="39.75" customHeight="1" x14ac:dyDescent="0.25">
      <c r="A666" s="7" t="str">
        <f>E666</f>
        <v>ЩЭ-3</v>
      </c>
      <c r="B666" s="4"/>
      <c r="C666" s="4"/>
      <c r="D666" s="5"/>
      <c r="E666" s="4" t="s">
        <v>154</v>
      </c>
      <c r="F666" s="8" t="s">
        <v>8</v>
      </c>
      <c r="G666" s="4" t="s">
        <v>9</v>
      </c>
      <c r="H666" s="7" t="s">
        <v>110</v>
      </c>
      <c r="I666" s="6"/>
    </row>
    <row r="667" spans="1:9" ht="21" customHeight="1" x14ac:dyDescent="0.25">
      <c r="A667" s="12" t="str">
        <f t="shared" ref="A667:A672" si="131">A666</f>
        <v>ЩЭ-3</v>
      </c>
      <c r="B667" s="9" t="s">
        <v>10</v>
      </c>
      <c r="C667" s="9"/>
      <c r="D667" s="10" t="s">
        <v>124</v>
      </c>
      <c r="E667" s="9" t="s">
        <v>156</v>
      </c>
      <c r="F667" s="13" t="s">
        <v>11</v>
      </c>
      <c r="G667" s="9" t="s">
        <v>12</v>
      </c>
      <c r="H667" s="12" t="s">
        <v>110</v>
      </c>
      <c r="I667" s="11">
        <v>28800</v>
      </c>
    </row>
    <row r="668" spans="1:9" ht="21" customHeight="1" x14ac:dyDescent="0.25">
      <c r="A668" s="12" t="str">
        <f t="shared" si="131"/>
        <v>ЩЭ-3</v>
      </c>
      <c r="B668" s="9" t="s">
        <v>16</v>
      </c>
      <c r="C668" s="9"/>
      <c r="D668" s="10">
        <v>296792</v>
      </c>
      <c r="E668" s="9" t="s">
        <v>173</v>
      </c>
      <c r="F668" s="13" t="s">
        <v>11</v>
      </c>
      <c r="G668" s="9" t="s">
        <v>27</v>
      </c>
      <c r="H668" s="12" t="s">
        <v>110</v>
      </c>
      <c r="I668" s="11">
        <v>1786.9500000000003</v>
      </c>
    </row>
    <row r="669" spans="1:9" ht="21" customHeight="1" x14ac:dyDescent="0.25">
      <c r="A669" s="12" t="str">
        <f t="shared" si="131"/>
        <v>ЩЭ-3</v>
      </c>
      <c r="B669" s="9" t="s">
        <v>14</v>
      </c>
      <c r="C669" s="9"/>
      <c r="D669" s="10" t="s">
        <v>180</v>
      </c>
      <c r="E669" s="9" t="s">
        <v>181</v>
      </c>
      <c r="F669" s="13" t="s">
        <v>11</v>
      </c>
      <c r="G669" s="9" t="s">
        <v>15</v>
      </c>
      <c r="H669" s="12" t="s">
        <v>110</v>
      </c>
      <c r="I669" s="11">
        <v>67650.000000000015</v>
      </c>
    </row>
    <row r="670" spans="1:9" ht="24" customHeight="1" x14ac:dyDescent="0.25">
      <c r="A670" s="9" t="str">
        <f t="shared" si="131"/>
        <v>ЩЭ-3</v>
      </c>
      <c r="B670" s="9" t="s">
        <v>18</v>
      </c>
      <c r="C670" s="9"/>
      <c r="D670" s="10" t="s">
        <v>18</v>
      </c>
      <c r="E670" s="9" t="s">
        <v>18</v>
      </c>
      <c r="F670" s="9" t="s">
        <v>11</v>
      </c>
      <c r="G670" s="9" t="s">
        <v>18</v>
      </c>
      <c r="H670" s="12" t="s">
        <v>110</v>
      </c>
      <c r="I670" s="11">
        <v>9900</v>
      </c>
    </row>
    <row r="671" spans="1:9" ht="21" customHeight="1" x14ac:dyDescent="0.25">
      <c r="A671" s="9" t="str">
        <f t="shared" si="131"/>
        <v>ЩЭ-3</v>
      </c>
      <c r="B671" s="9" t="s">
        <v>19</v>
      </c>
      <c r="C671" s="9"/>
      <c r="D671" s="10" t="s">
        <v>19</v>
      </c>
      <c r="E671" s="9" t="s">
        <v>19</v>
      </c>
      <c r="F671" s="9" t="s">
        <v>11</v>
      </c>
      <c r="G671" s="9" t="s">
        <v>19</v>
      </c>
      <c r="H671" s="12" t="s">
        <v>110</v>
      </c>
      <c r="I671" s="11">
        <v>18000</v>
      </c>
    </row>
    <row r="672" spans="1:9" ht="30" customHeight="1" x14ac:dyDescent="0.25">
      <c r="A672" s="14" t="str">
        <f t="shared" si="131"/>
        <v>ЩЭ-3</v>
      </c>
      <c r="B672" s="14"/>
      <c r="C672" s="14"/>
      <c r="D672" s="14"/>
      <c r="E672" s="15"/>
      <c r="F672" s="17"/>
      <c r="G672" s="14"/>
      <c r="H672" s="12" t="s">
        <v>110</v>
      </c>
      <c r="I672" s="16">
        <v>126136.95000000001</v>
      </c>
    </row>
    <row r="673" spans="1:9" ht="39.75" customHeight="1" x14ac:dyDescent="0.25">
      <c r="A673" s="7" t="str">
        <f>E673</f>
        <v>ЩЭ-4</v>
      </c>
      <c r="B673" s="4"/>
      <c r="C673" s="4"/>
      <c r="D673" s="5"/>
      <c r="E673" s="4" t="s">
        <v>155</v>
      </c>
      <c r="F673" s="8" t="s">
        <v>8</v>
      </c>
      <c r="G673" s="4" t="s">
        <v>9</v>
      </c>
      <c r="H673" s="7" t="s">
        <v>110</v>
      </c>
      <c r="I673" s="6"/>
    </row>
    <row r="674" spans="1:9" ht="21" customHeight="1" x14ac:dyDescent="0.25">
      <c r="A674" s="12" t="str">
        <f t="shared" ref="A674:A679" si="132">A673</f>
        <v>ЩЭ-4</v>
      </c>
      <c r="B674" s="9" t="s">
        <v>10</v>
      </c>
      <c r="C674" s="9"/>
      <c r="D674" s="10" t="s">
        <v>124</v>
      </c>
      <c r="E674" s="9" t="s">
        <v>157</v>
      </c>
      <c r="F674" s="13" t="s">
        <v>11</v>
      </c>
      <c r="G674" s="9" t="s">
        <v>12</v>
      </c>
      <c r="H674" s="12" t="s">
        <v>110</v>
      </c>
      <c r="I674" s="11">
        <v>28800</v>
      </c>
    </row>
    <row r="675" spans="1:9" ht="21" customHeight="1" x14ac:dyDescent="0.25">
      <c r="A675" s="12" t="str">
        <f t="shared" si="132"/>
        <v>ЩЭ-4</v>
      </c>
      <c r="B675" s="9" t="s">
        <v>16</v>
      </c>
      <c r="C675" s="9"/>
      <c r="D675" s="10">
        <v>296792</v>
      </c>
      <c r="E675" s="9" t="s">
        <v>173</v>
      </c>
      <c r="F675" s="13" t="s">
        <v>11</v>
      </c>
      <c r="G675" s="9" t="s">
        <v>27</v>
      </c>
      <c r="H675" s="12" t="s">
        <v>110</v>
      </c>
      <c r="I675" s="11">
        <v>2382.6000000000004</v>
      </c>
    </row>
    <row r="676" spans="1:9" ht="21" customHeight="1" x14ac:dyDescent="0.25">
      <c r="A676" s="12" t="str">
        <f t="shared" si="132"/>
        <v>ЩЭ-4</v>
      </c>
      <c r="B676" s="9" t="s">
        <v>14</v>
      </c>
      <c r="C676" s="9"/>
      <c r="D676" s="10" t="s">
        <v>180</v>
      </c>
      <c r="E676" s="9" t="s">
        <v>181</v>
      </c>
      <c r="F676" s="13" t="s">
        <v>11</v>
      </c>
      <c r="G676" s="9" t="s">
        <v>15</v>
      </c>
      <c r="H676" s="12" t="s">
        <v>110</v>
      </c>
      <c r="I676" s="11">
        <v>90200.000000000015</v>
      </c>
    </row>
    <row r="677" spans="1:9" ht="24" customHeight="1" x14ac:dyDescent="0.25">
      <c r="A677" s="9" t="str">
        <f t="shared" si="132"/>
        <v>ЩЭ-4</v>
      </c>
      <c r="B677" s="9" t="s">
        <v>18</v>
      </c>
      <c r="C677" s="9"/>
      <c r="D677" s="10" t="s">
        <v>18</v>
      </c>
      <c r="E677" s="9" t="s">
        <v>18</v>
      </c>
      <c r="F677" s="9" t="s">
        <v>11</v>
      </c>
      <c r="G677" s="9" t="s">
        <v>18</v>
      </c>
      <c r="H677" s="12" t="s">
        <v>110</v>
      </c>
      <c r="I677" s="11">
        <v>13200.000000000002</v>
      </c>
    </row>
    <row r="678" spans="1:9" ht="21" customHeight="1" x14ac:dyDescent="0.25">
      <c r="A678" s="9" t="str">
        <f t="shared" si="132"/>
        <v>ЩЭ-4</v>
      </c>
      <c r="B678" s="9" t="s">
        <v>19</v>
      </c>
      <c r="C678" s="9"/>
      <c r="D678" s="10" t="s">
        <v>19</v>
      </c>
      <c r="E678" s="9" t="s">
        <v>19</v>
      </c>
      <c r="F678" s="9" t="s">
        <v>11</v>
      </c>
      <c r="G678" s="9" t="s">
        <v>19</v>
      </c>
      <c r="H678" s="12" t="s">
        <v>110</v>
      </c>
      <c r="I678" s="11">
        <v>24000</v>
      </c>
    </row>
    <row r="679" spans="1:9" ht="30" customHeight="1" x14ac:dyDescent="0.25">
      <c r="A679" s="14" t="str">
        <f t="shared" si="132"/>
        <v>ЩЭ-4</v>
      </c>
      <c r="B679" s="14"/>
      <c r="C679" s="14"/>
      <c r="D679" s="14"/>
      <c r="E679" s="15"/>
      <c r="F679" s="17"/>
      <c r="G679" s="14"/>
      <c r="H679" s="12" t="s">
        <v>110</v>
      </c>
      <c r="I679" s="16">
        <v>158582.6</v>
      </c>
    </row>
    <row r="680" spans="1:9" ht="39.75" customHeight="1" x14ac:dyDescent="0.25">
      <c r="A680" s="7" t="str">
        <f>E680</f>
        <v>ЩЭ-6</v>
      </c>
      <c r="B680" s="4"/>
      <c r="C680" s="4"/>
      <c r="D680" s="5"/>
      <c r="E680" s="4" t="s">
        <v>158</v>
      </c>
      <c r="F680" s="8" t="s">
        <v>8</v>
      </c>
      <c r="G680" s="4" t="s">
        <v>9</v>
      </c>
      <c r="H680" s="7" t="s">
        <v>110</v>
      </c>
      <c r="I680" s="6"/>
    </row>
    <row r="681" spans="1:9" ht="21" customHeight="1" x14ac:dyDescent="0.25">
      <c r="A681" s="12" t="str">
        <f t="shared" ref="A681:A686" si="133">A680</f>
        <v>ЩЭ-6</v>
      </c>
      <c r="B681" s="9" t="s">
        <v>10</v>
      </c>
      <c r="C681" s="9"/>
      <c r="D681" s="10" t="s">
        <v>124</v>
      </c>
      <c r="E681" s="9" t="s">
        <v>159</v>
      </c>
      <c r="F681" s="13" t="s">
        <v>11</v>
      </c>
      <c r="G681" s="9" t="s">
        <v>12</v>
      </c>
      <c r="H681" s="12" t="s">
        <v>110</v>
      </c>
      <c r="I681" s="11">
        <v>31200</v>
      </c>
    </row>
    <row r="682" spans="1:9" ht="21" customHeight="1" x14ac:dyDescent="0.25">
      <c r="A682" s="12" t="str">
        <f t="shared" si="133"/>
        <v>ЩЭ-6</v>
      </c>
      <c r="B682" s="9" t="s">
        <v>16</v>
      </c>
      <c r="C682" s="9"/>
      <c r="D682" s="10">
        <v>296792</v>
      </c>
      <c r="E682" s="9" t="s">
        <v>173</v>
      </c>
      <c r="F682" s="13" t="s">
        <v>11</v>
      </c>
      <c r="G682" s="9" t="s">
        <v>27</v>
      </c>
      <c r="H682" s="12" t="s">
        <v>110</v>
      </c>
      <c r="I682" s="11">
        <v>3573.9000000000005</v>
      </c>
    </row>
    <row r="683" spans="1:9" ht="21" customHeight="1" x14ac:dyDescent="0.25">
      <c r="A683" s="12" t="str">
        <f t="shared" si="133"/>
        <v>ЩЭ-6</v>
      </c>
      <c r="B683" s="9" t="s">
        <v>14</v>
      </c>
      <c r="C683" s="9"/>
      <c r="D683" s="10" t="s">
        <v>180</v>
      </c>
      <c r="E683" s="9" t="s">
        <v>181</v>
      </c>
      <c r="F683" s="13" t="s">
        <v>11</v>
      </c>
      <c r="G683" s="9" t="s">
        <v>15</v>
      </c>
      <c r="H683" s="12" t="s">
        <v>110</v>
      </c>
      <c r="I683" s="11">
        <v>135300.00000000003</v>
      </c>
    </row>
    <row r="684" spans="1:9" ht="24" customHeight="1" x14ac:dyDescent="0.25">
      <c r="A684" s="9" t="str">
        <f t="shared" si="133"/>
        <v>ЩЭ-6</v>
      </c>
      <c r="B684" s="9" t="s">
        <v>18</v>
      </c>
      <c r="C684" s="9"/>
      <c r="D684" s="10" t="s">
        <v>18</v>
      </c>
      <c r="E684" s="9" t="s">
        <v>18</v>
      </c>
      <c r="F684" s="9" t="s">
        <v>11</v>
      </c>
      <c r="G684" s="9" t="s">
        <v>18</v>
      </c>
      <c r="H684" s="12" t="s">
        <v>110</v>
      </c>
      <c r="I684" s="11">
        <v>14850.000000000002</v>
      </c>
    </row>
    <row r="685" spans="1:9" ht="21" customHeight="1" x14ac:dyDescent="0.25">
      <c r="A685" s="9" t="str">
        <f t="shared" si="133"/>
        <v>ЩЭ-6</v>
      </c>
      <c r="B685" s="9" t="s">
        <v>19</v>
      </c>
      <c r="C685" s="9"/>
      <c r="D685" s="10" t="s">
        <v>19</v>
      </c>
      <c r="E685" s="9" t="s">
        <v>19</v>
      </c>
      <c r="F685" s="9" t="s">
        <v>11</v>
      </c>
      <c r="G685" s="9" t="s">
        <v>19</v>
      </c>
      <c r="H685" s="12" t="s">
        <v>110</v>
      </c>
      <c r="I685" s="11">
        <v>27000</v>
      </c>
    </row>
    <row r="686" spans="1:9" ht="30" customHeight="1" x14ac:dyDescent="0.25">
      <c r="A686" s="14" t="str">
        <f t="shared" si="133"/>
        <v>ЩЭ-6</v>
      </c>
      <c r="B686" s="14"/>
      <c r="C686" s="14"/>
      <c r="D686" s="14"/>
      <c r="E686" s="15"/>
      <c r="F686" s="17"/>
      <c r="G686" s="14"/>
      <c r="H686" s="12" t="s">
        <v>110</v>
      </c>
      <c r="I686" s="16">
        <v>211923.90000000002</v>
      </c>
    </row>
    <row r="687" spans="1:9" ht="39.75" customHeight="1" x14ac:dyDescent="0.25">
      <c r="A687" s="7" t="str">
        <f>E687</f>
        <v>ЩЭ-7</v>
      </c>
      <c r="B687" s="4"/>
      <c r="C687" s="4"/>
      <c r="D687" s="5"/>
      <c r="E687" s="4" t="s">
        <v>160</v>
      </c>
      <c r="F687" s="8" t="s">
        <v>8</v>
      </c>
      <c r="G687" s="4" t="s">
        <v>9</v>
      </c>
      <c r="H687" s="7" t="s">
        <v>110</v>
      </c>
      <c r="I687" s="6"/>
    </row>
    <row r="688" spans="1:9" ht="21" customHeight="1" x14ac:dyDescent="0.25">
      <c r="A688" s="12" t="str">
        <f t="shared" ref="A688:A693" si="134">A687</f>
        <v>ЩЭ-7</v>
      </c>
      <c r="B688" s="9" t="s">
        <v>10</v>
      </c>
      <c r="C688" s="9"/>
      <c r="D688" s="10" t="s">
        <v>124</v>
      </c>
      <c r="E688" s="9" t="s">
        <v>159</v>
      </c>
      <c r="F688" s="13" t="s">
        <v>11</v>
      </c>
      <c r="G688" s="9" t="s">
        <v>12</v>
      </c>
      <c r="H688" s="12" t="s">
        <v>110</v>
      </c>
      <c r="I688" s="11">
        <v>31200</v>
      </c>
    </row>
    <row r="689" spans="1:9" ht="21" customHeight="1" x14ac:dyDescent="0.25">
      <c r="A689" s="12" t="str">
        <f t="shared" si="134"/>
        <v>ЩЭ-7</v>
      </c>
      <c r="B689" s="9" t="s">
        <v>16</v>
      </c>
      <c r="C689" s="9"/>
      <c r="D689" s="10">
        <v>296792</v>
      </c>
      <c r="E689" s="9" t="s">
        <v>173</v>
      </c>
      <c r="F689" s="13" t="s">
        <v>11</v>
      </c>
      <c r="G689" s="9" t="s">
        <v>27</v>
      </c>
      <c r="H689" s="12" t="s">
        <v>110</v>
      </c>
      <c r="I689" s="11">
        <v>4169.5500000000011</v>
      </c>
    </row>
    <row r="690" spans="1:9" ht="21" customHeight="1" x14ac:dyDescent="0.25">
      <c r="A690" s="12" t="str">
        <f t="shared" si="134"/>
        <v>ЩЭ-7</v>
      </c>
      <c r="B690" s="9" t="s">
        <v>14</v>
      </c>
      <c r="C690" s="9"/>
      <c r="D690" s="10" t="s">
        <v>180</v>
      </c>
      <c r="E690" s="9" t="s">
        <v>181</v>
      </c>
      <c r="F690" s="13" t="s">
        <v>11</v>
      </c>
      <c r="G690" s="9" t="s">
        <v>15</v>
      </c>
      <c r="H690" s="12" t="s">
        <v>110</v>
      </c>
      <c r="I690" s="11">
        <v>157850.00000000003</v>
      </c>
    </row>
    <row r="691" spans="1:9" ht="24" customHeight="1" x14ac:dyDescent="0.25">
      <c r="A691" s="9" t="str">
        <f t="shared" si="134"/>
        <v>ЩЭ-7</v>
      </c>
      <c r="B691" s="9" t="s">
        <v>18</v>
      </c>
      <c r="C691" s="9"/>
      <c r="D691" s="10" t="s">
        <v>18</v>
      </c>
      <c r="E691" s="9" t="s">
        <v>18</v>
      </c>
      <c r="F691" s="9" t="s">
        <v>11</v>
      </c>
      <c r="G691" s="9" t="s">
        <v>18</v>
      </c>
      <c r="H691" s="12" t="s">
        <v>110</v>
      </c>
      <c r="I691" s="11">
        <v>16500</v>
      </c>
    </row>
    <row r="692" spans="1:9" ht="21" customHeight="1" x14ac:dyDescent="0.25">
      <c r="A692" s="9" t="str">
        <f t="shared" si="134"/>
        <v>ЩЭ-7</v>
      </c>
      <c r="B692" s="9" t="s">
        <v>19</v>
      </c>
      <c r="C692" s="9"/>
      <c r="D692" s="10" t="s">
        <v>19</v>
      </c>
      <c r="E692" s="9" t="s">
        <v>19</v>
      </c>
      <c r="F692" s="9" t="s">
        <v>11</v>
      </c>
      <c r="G692" s="9" t="s">
        <v>19</v>
      </c>
      <c r="H692" s="12" t="s">
        <v>110</v>
      </c>
      <c r="I692" s="11">
        <v>30000</v>
      </c>
    </row>
    <row r="693" spans="1:9" ht="30" customHeight="1" x14ac:dyDescent="0.25">
      <c r="A693" s="14" t="str">
        <f t="shared" si="134"/>
        <v>ЩЭ-7</v>
      </c>
      <c r="B693" s="14"/>
      <c r="C693" s="14"/>
      <c r="D693" s="14"/>
      <c r="E693" s="15"/>
      <c r="F693" s="17"/>
      <c r="G693" s="14"/>
      <c r="H693" s="12" t="s">
        <v>110</v>
      </c>
      <c r="I693" s="16">
        <v>239719.55000000005</v>
      </c>
    </row>
  </sheetData>
  <autoFilter ref="B1:H69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H720"/>
  <sheetViews>
    <sheetView zoomScaleNormal="100" workbookViewId="0">
      <pane ySplit="1" topLeftCell="A2" activePane="bottomLeft" state="frozen"/>
      <selection pane="bottomLeft" activeCell="H1" sqref="H1:K1048576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</cols>
  <sheetData>
    <row r="1" spans="1:7" ht="27" customHeight="1" x14ac:dyDescent="0.25">
      <c r="A1" s="1" t="s">
        <v>5</v>
      </c>
      <c r="B1" s="1" t="s">
        <v>0</v>
      </c>
      <c r="C1" s="2" t="s">
        <v>2</v>
      </c>
      <c r="D1" s="1" t="s">
        <v>3</v>
      </c>
      <c r="E1" s="1" t="s">
        <v>5</v>
      </c>
      <c r="F1" s="1" t="s">
        <v>7</v>
      </c>
      <c r="G1" s="1"/>
    </row>
    <row r="2" spans="1:7" ht="27" customHeight="1" x14ac:dyDescent="0.25">
      <c r="A2" s="7" t="str">
        <f>D2</f>
        <v>ВРУ1-1-1</v>
      </c>
      <c r="B2" s="4"/>
      <c r="C2" s="5"/>
      <c r="D2" s="4" t="s">
        <v>20</v>
      </c>
      <c r="E2" s="7">
        <v>1</v>
      </c>
      <c r="F2" s="4" t="s">
        <v>9</v>
      </c>
      <c r="G2" s="7" t="s">
        <v>21</v>
      </c>
    </row>
    <row r="3" spans="1:7" ht="27" customHeight="1" x14ac:dyDescent="0.25">
      <c r="A3" s="12" t="str">
        <f t="shared" ref="A3:A13" si="0">A2</f>
        <v>ВРУ1-1-1</v>
      </c>
      <c r="B3" s="9" t="s">
        <v>10</v>
      </c>
      <c r="C3" s="10" t="s">
        <v>171</v>
      </c>
      <c r="D3" s="9" t="s">
        <v>172</v>
      </c>
      <c r="E3" s="12">
        <v>1</v>
      </c>
      <c r="F3" s="9" t="s">
        <v>12</v>
      </c>
      <c r="G3" s="12" t="str">
        <f t="shared" ref="G3:G13" si="1">G2</f>
        <v>Блок1</v>
      </c>
    </row>
    <row r="4" spans="1:7" ht="27" customHeight="1" x14ac:dyDescent="0.25">
      <c r="A4" s="12" t="str">
        <f t="shared" si="0"/>
        <v>ВРУ1-1-1</v>
      </c>
      <c r="B4" s="9" t="s">
        <v>22</v>
      </c>
      <c r="C4" s="10" t="s">
        <v>304</v>
      </c>
      <c r="D4" s="9" t="s">
        <v>305</v>
      </c>
      <c r="E4" s="12">
        <v>6</v>
      </c>
      <c r="F4" s="9" t="s">
        <v>24</v>
      </c>
      <c r="G4" s="12" t="str">
        <f t="shared" si="1"/>
        <v>Блок1</v>
      </c>
    </row>
    <row r="5" spans="1:7" ht="27" customHeight="1" x14ac:dyDescent="0.25">
      <c r="A5" s="12" t="str">
        <f t="shared" si="0"/>
        <v>ВРУ1-1-1</v>
      </c>
      <c r="B5" s="9" t="s">
        <v>25</v>
      </c>
      <c r="C5" s="10" t="s">
        <v>176</v>
      </c>
      <c r="D5" s="9" t="s">
        <v>177</v>
      </c>
      <c r="E5" s="12">
        <v>2</v>
      </c>
      <c r="F5" s="9" t="s">
        <v>24</v>
      </c>
      <c r="G5" s="12" t="str">
        <f t="shared" si="1"/>
        <v>Блок1</v>
      </c>
    </row>
    <row r="6" spans="1:7" ht="27" customHeight="1" x14ac:dyDescent="0.25">
      <c r="A6" s="12" t="str">
        <f t="shared" si="0"/>
        <v>ВРУ1-1-1</v>
      </c>
      <c r="B6" s="9" t="s">
        <v>126</v>
      </c>
      <c r="C6" s="10" t="s">
        <v>129</v>
      </c>
      <c r="D6" s="9" t="s">
        <v>130</v>
      </c>
      <c r="E6" s="12">
        <v>6</v>
      </c>
      <c r="F6" s="9" t="s">
        <v>13</v>
      </c>
      <c r="G6" s="12" t="str">
        <f>G4</f>
        <v>Блок1</v>
      </c>
    </row>
    <row r="7" spans="1:7" ht="27" customHeight="1" x14ac:dyDescent="0.25">
      <c r="A7" s="12" t="str">
        <f t="shared" si="0"/>
        <v>ВРУ1-1-1</v>
      </c>
      <c r="B7" s="9" t="s">
        <v>125</v>
      </c>
      <c r="C7" s="10" t="s">
        <v>127</v>
      </c>
      <c r="D7" s="9" t="s">
        <v>128</v>
      </c>
      <c r="E7" s="12">
        <v>6</v>
      </c>
      <c r="F7" s="9" t="s">
        <v>13</v>
      </c>
      <c r="G7" s="12" t="str">
        <f>G5</f>
        <v>Блок1</v>
      </c>
    </row>
    <row r="8" spans="1:7" ht="27" customHeight="1" x14ac:dyDescent="0.25">
      <c r="A8" s="12" t="str">
        <f t="shared" si="0"/>
        <v>ВРУ1-1-1</v>
      </c>
      <c r="B8" s="9" t="s">
        <v>290</v>
      </c>
      <c r="C8" s="10" t="s">
        <v>188</v>
      </c>
      <c r="D8" s="9" t="s">
        <v>189</v>
      </c>
      <c r="E8" s="12">
        <v>2</v>
      </c>
      <c r="F8" s="9" t="s">
        <v>206</v>
      </c>
      <c r="G8" s="12" t="str">
        <f t="shared" si="1"/>
        <v>Блок1</v>
      </c>
    </row>
    <row r="9" spans="1:7" ht="27" customHeight="1" x14ac:dyDescent="0.25">
      <c r="A9" s="12" t="str">
        <f t="shared" si="0"/>
        <v>ВРУ1-1-1</v>
      </c>
      <c r="B9" s="9" t="s">
        <v>14</v>
      </c>
      <c r="C9" s="10" t="s">
        <v>294</v>
      </c>
      <c r="D9" s="20" t="s">
        <v>295</v>
      </c>
      <c r="E9" s="12">
        <v>2</v>
      </c>
      <c r="F9" s="9" t="s">
        <v>15</v>
      </c>
      <c r="G9" s="12" t="str">
        <f t="shared" si="1"/>
        <v>Блок1</v>
      </c>
    </row>
    <row r="10" spans="1:7" ht="27" customHeight="1" x14ac:dyDescent="0.25">
      <c r="A10" s="12" t="str">
        <f t="shared" si="0"/>
        <v>ВРУ1-1-1</v>
      </c>
      <c r="B10" s="9" t="s">
        <v>29</v>
      </c>
      <c r="C10" s="10"/>
      <c r="D10" s="9" t="s">
        <v>30</v>
      </c>
      <c r="E10" s="12">
        <v>6</v>
      </c>
      <c r="F10" s="9" t="s">
        <v>24</v>
      </c>
      <c r="G10" s="12" t="str">
        <f t="shared" si="1"/>
        <v>Блок1</v>
      </c>
    </row>
    <row r="11" spans="1:7" ht="27" customHeight="1" x14ac:dyDescent="0.25">
      <c r="A11" s="9" t="str">
        <f t="shared" si="0"/>
        <v>ВРУ1-1-1</v>
      </c>
      <c r="B11" s="9" t="s">
        <v>18</v>
      </c>
      <c r="C11" s="10" t="s">
        <v>18</v>
      </c>
      <c r="D11" s="9" t="s">
        <v>18</v>
      </c>
      <c r="E11" s="9">
        <v>1</v>
      </c>
      <c r="F11" s="9" t="s">
        <v>18</v>
      </c>
      <c r="G11" s="12" t="str">
        <f t="shared" si="1"/>
        <v>Блок1</v>
      </c>
    </row>
    <row r="12" spans="1:7" ht="27" customHeight="1" x14ac:dyDescent="0.25">
      <c r="A12" s="9" t="str">
        <f t="shared" si="0"/>
        <v>ВРУ1-1-1</v>
      </c>
      <c r="B12" s="9" t="s">
        <v>19</v>
      </c>
      <c r="C12" s="10" t="s">
        <v>19</v>
      </c>
      <c r="D12" s="9" t="s">
        <v>19</v>
      </c>
      <c r="E12" s="9" t="e">
        <f>60*#REF!</f>
        <v>#REF!</v>
      </c>
      <c r="F12" s="9" t="s">
        <v>19</v>
      </c>
      <c r="G12" s="12" t="str">
        <f t="shared" si="1"/>
        <v>Блок1</v>
      </c>
    </row>
    <row r="13" spans="1:7" ht="27" customHeight="1" x14ac:dyDescent="0.25">
      <c r="A13" s="14" t="str">
        <f t="shared" si="0"/>
        <v>ВРУ1-1-1</v>
      </c>
      <c r="B13" s="14"/>
      <c r="C13" s="14"/>
      <c r="D13" s="15"/>
      <c r="E13" s="14"/>
      <c r="F13" s="14"/>
      <c r="G13" s="12" t="str">
        <f t="shared" si="1"/>
        <v>Блок1</v>
      </c>
    </row>
    <row r="14" spans="1:7" ht="27" customHeight="1" x14ac:dyDescent="0.25">
      <c r="A14" s="7" t="str">
        <f>D14</f>
        <v>РУ-1-1</v>
      </c>
      <c r="B14" s="4"/>
      <c r="C14" s="5"/>
      <c r="D14" s="4" t="s">
        <v>31</v>
      </c>
      <c r="E14" s="7">
        <v>1</v>
      </c>
      <c r="F14" s="4" t="s">
        <v>9</v>
      </c>
      <c r="G14" s="7" t="s">
        <v>21</v>
      </c>
    </row>
    <row r="15" spans="1:7" ht="27" customHeight="1" x14ac:dyDescent="0.25">
      <c r="A15" s="12" t="str">
        <f t="shared" ref="A15:A22" si="2">A14</f>
        <v>РУ-1-1</v>
      </c>
      <c r="B15" s="9" t="s">
        <v>10</v>
      </c>
      <c r="C15" s="10" t="s">
        <v>169</v>
      </c>
      <c r="D15" s="9" t="s">
        <v>170</v>
      </c>
      <c r="E15" s="12">
        <v>1</v>
      </c>
      <c r="F15" s="9" t="s">
        <v>12</v>
      </c>
      <c r="G15" s="12" t="str">
        <f t="shared" ref="G15:G22" si="3">G14</f>
        <v>Блок1</v>
      </c>
    </row>
    <row r="16" spans="1:7" ht="27" customHeight="1" x14ac:dyDescent="0.25">
      <c r="A16" s="12" t="str">
        <f t="shared" si="2"/>
        <v>РУ-1-1</v>
      </c>
      <c r="B16" s="9" t="s">
        <v>291</v>
      </c>
      <c r="C16" s="10" t="s">
        <v>224</v>
      </c>
      <c r="D16" s="9" t="s">
        <v>225</v>
      </c>
      <c r="E16" s="12">
        <v>2</v>
      </c>
      <c r="F16" s="9" t="s">
        <v>206</v>
      </c>
      <c r="G16" s="12" t="str">
        <f t="shared" si="3"/>
        <v>Блок1</v>
      </c>
    </row>
    <row r="17" spans="1:8" ht="27" customHeight="1" x14ac:dyDescent="0.25">
      <c r="A17" s="12" t="str">
        <f t="shared" si="2"/>
        <v>РУ-1-1</v>
      </c>
      <c r="B17" s="9" t="s">
        <v>291</v>
      </c>
      <c r="C17" s="10" t="s">
        <v>226</v>
      </c>
      <c r="D17" s="9" t="s">
        <v>227</v>
      </c>
      <c r="E17" s="12">
        <v>1</v>
      </c>
      <c r="F17" s="9" t="s">
        <v>206</v>
      </c>
      <c r="G17" s="12" t="str">
        <f t="shared" si="3"/>
        <v>Блок1</v>
      </c>
    </row>
    <row r="18" spans="1:8" ht="27" customHeight="1" x14ac:dyDescent="0.25">
      <c r="A18" s="12" t="str">
        <f>A16</f>
        <v>РУ-1-1</v>
      </c>
      <c r="B18" s="9" t="s">
        <v>290</v>
      </c>
      <c r="C18" s="10" t="s">
        <v>319</v>
      </c>
      <c r="D18" s="9" t="s">
        <v>320</v>
      </c>
      <c r="E18" s="12">
        <v>1</v>
      </c>
      <c r="F18" s="9" t="s">
        <v>206</v>
      </c>
      <c r="G18" s="12" t="str">
        <f>G16</f>
        <v>Блок1</v>
      </c>
      <c r="H18" t="s">
        <v>318</v>
      </c>
    </row>
    <row r="19" spans="1:8" ht="27" customHeight="1" x14ac:dyDescent="0.25">
      <c r="A19" s="12" t="str">
        <f>A17</f>
        <v>РУ-1-1</v>
      </c>
      <c r="B19" s="9" t="s">
        <v>290</v>
      </c>
      <c r="C19" s="10" t="s">
        <v>216</v>
      </c>
      <c r="D19" s="9" t="s">
        <v>217</v>
      </c>
      <c r="E19" s="12">
        <v>1</v>
      </c>
      <c r="F19" s="9" t="s">
        <v>206</v>
      </c>
      <c r="G19" s="12" t="str">
        <f>G17</f>
        <v>Блок1</v>
      </c>
    </row>
    <row r="20" spans="1:8" ht="27" customHeight="1" x14ac:dyDescent="0.25">
      <c r="A20" s="9" t="str">
        <f t="shared" si="2"/>
        <v>РУ-1-1</v>
      </c>
      <c r="B20" s="9" t="s">
        <v>18</v>
      </c>
      <c r="C20" s="10" t="s">
        <v>18</v>
      </c>
      <c r="D20" s="9" t="s">
        <v>18</v>
      </c>
      <c r="E20" s="9">
        <v>1</v>
      </c>
      <c r="F20" s="9" t="s">
        <v>18</v>
      </c>
      <c r="G20" s="12" t="str">
        <f t="shared" si="3"/>
        <v>Блок1</v>
      </c>
    </row>
    <row r="21" spans="1:8" ht="27" customHeight="1" x14ac:dyDescent="0.25">
      <c r="A21" s="9" t="str">
        <f t="shared" si="2"/>
        <v>РУ-1-1</v>
      </c>
      <c r="B21" s="9" t="s">
        <v>19</v>
      </c>
      <c r="C21" s="10" t="s">
        <v>19</v>
      </c>
      <c r="D21" s="9" t="s">
        <v>19</v>
      </c>
      <c r="E21" s="9" t="e">
        <f>60*#REF!</f>
        <v>#REF!</v>
      </c>
      <c r="F21" s="9" t="s">
        <v>19</v>
      </c>
      <c r="G21" s="12" t="str">
        <f t="shared" si="3"/>
        <v>Блок1</v>
      </c>
    </row>
    <row r="22" spans="1:8" ht="27" customHeight="1" x14ac:dyDescent="0.25">
      <c r="A22" s="14" t="str">
        <f t="shared" si="2"/>
        <v>РУ-1-1</v>
      </c>
      <c r="B22" s="14"/>
      <c r="C22" s="14"/>
      <c r="D22" s="15"/>
      <c r="E22" s="14"/>
      <c r="F22" s="14"/>
      <c r="G22" s="12" t="str">
        <f t="shared" si="3"/>
        <v>Блок1</v>
      </c>
    </row>
    <row r="23" spans="1:8" ht="27" customHeight="1" x14ac:dyDescent="0.25">
      <c r="A23" s="7" t="str">
        <f>D23</f>
        <v>РУ-1-2</v>
      </c>
      <c r="B23" s="4"/>
      <c r="C23" s="5"/>
      <c r="D23" s="4" t="s">
        <v>35</v>
      </c>
      <c r="E23" s="7">
        <v>1</v>
      </c>
      <c r="F23" s="4" t="s">
        <v>9</v>
      </c>
      <c r="G23" s="7" t="s">
        <v>21</v>
      </c>
    </row>
    <row r="24" spans="1:8" ht="27" customHeight="1" x14ac:dyDescent="0.25">
      <c r="A24" s="12" t="str">
        <f t="shared" ref="A24:A32" si="4">A23</f>
        <v>РУ-1-2</v>
      </c>
      <c r="B24" s="9" t="s">
        <v>10</v>
      </c>
      <c r="C24" s="10" t="s">
        <v>169</v>
      </c>
      <c r="D24" s="9" t="s">
        <v>170</v>
      </c>
      <c r="E24" s="12">
        <v>1</v>
      </c>
      <c r="F24" s="9" t="s">
        <v>12</v>
      </c>
      <c r="G24" s="12" t="str">
        <f t="shared" ref="G24:G32" si="5">G23</f>
        <v>Блок1</v>
      </c>
    </row>
    <row r="25" spans="1:8" ht="27" customHeight="1" x14ac:dyDescent="0.25">
      <c r="A25" s="12" t="str">
        <f t="shared" si="4"/>
        <v>РУ-1-2</v>
      </c>
      <c r="B25" s="9" t="s">
        <v>291</v>
      </c>
      <c r="C25" s="10" t="s">
        <v>226</v>
      </c>
      <c r="D25" s="9" t="s">
        <v>227</v>
      </c>
      <c r="E25" s="12">
        <v>1</v>
      </c>
      <c r="F25" s="9" t="s">
        <v>206</v>
      </c>
      <c r="G25" s="12" t="str">
        <f t="shared" si="5"/>
        <v>Блок1</v>
      </c>
    </row>
    <row r="26" spans="1:8" ht="27" customHeight="1" x14ac:dyDescent="0.25">
      <c r="A26" s="12" t="str">
        <f t="shared" si="4"/>
        <v>РУ-1-2</v>
      </c>
      <c r="B26" s="9" t="s">
        <v>291</v>
      </c>
      <c r="C26" s="10" t="s">
        <v>210</v>
      </c>
      <c r="D26" s="9" t="s">
        <v>211</v>
      </c>
      <c r="E26" s="12">
        <v>1</v>
      </c>
      <c r="F26" s="9" t="s">
        <v>206</v>
      </c>
      <c r="G26" s="12" t="str">
        <f t="shared" si="5"/>
        <v>Блок1</v>
      </c>
    </row>
    <row r="27" spans="1:8" ht="27" customHeight="1" x14ac:dyDescent="0.25">
      <c r="A27" s="12" t="str">
        <f t="shared" si="4"/>
        <v>РУ-1-2</v>
      </c>
      <c r="B27" s="9" t="s">
        <v>291</v>
      </c>
      <c r="C27" s="10" t="s">
        <v>222</v>
      </c>
      <c r="D27" s="9" t="s">
        <v>223</v>
      </c>
      <c r="E27" s="12">
        <v>2</v>
      </c>
      <c r="F27" s="9" t="s">
        <v>206</v>
      </c>
      <c r="G27" s="12" t="str">
        <f t="shared" si="5"/>
        <v>Блок1</v>
      </c>
    </row>
    <row r="28" spans="1:8" ht="27" customHeight="1" x14ac:dyDescent="0.25">
      <c r="A28" s="12" t="str">
        <f t="shared" si="4"/>
        <v>РУ-1-2</v>
      </c>
      <c r="B28" s="9" t="s">
        <v>291</v>
      </c>
      <c r="C28" s="10" t="s">
        <v>319</v>
      </c>
      <c r="D28" s="9" t="s">
        <v>320</v>
      </c>
      <c r="E28" s="12">
        <v>1</v>
      </c>
      <c r="F28" s="9" t="s">
        <v>206</v>
      </c>
      <c r="G28" s="12" t="str">
        <f t="shared" si="5"/>
        <v>Блок1</v>
      </c>
    </row>
    <row r="29" spans="1:8" ht="27" customHeight="1" x14ac:dyDescent="0.25">
      <c r="A29" s="12" t="str">
        <f>A27</f>
        <v>РУ-1-2</v>
      </c>
      <c r="B29" s="9" t="s">
        <v>14</v>
      </c>
      <c r="C29" s="10" t="s">
        <v>298</v>
      </c>
      <c r="D29" s="9" t="s">
        <v>299</v>
      </c>
      <c r="E29" s="12">
        <v>2</v>
      </c>
      <c r="F29" s="9" t="s">
        <v>15</v>
      </c>
      <c r="G29" s="12" t="str">
        <f>G27</f>
        <v>Блок1</v>
      </c>
    </row>
    <row r="30" spans="1:8" ht="27" customHeight="1" x14ac:dyDescent="0.25">
      <c r="A30" s="9" t="str">
        <f>A27</f>
        <v>РУ-1-2</v>
      </c>
      <c r="B30" s="9" t="s">
        <v>18</v>
      </c>
      <c r="C30" s="10" t="s">
        <v>18</v>
      </c>
      <c r="D30" s="9" t="s">
        <v>18</v>
      </c>
      <c r="E30" s="9">
        <v>1</v>
      </c>
      <c r="F30" s="9" t="s">
        <v>18</v>
      </c>
      <c r="G30" s="12" t="str">
        <f t="shared" si="5"/>
        <v>Блок1</v>
      </c>
    </row>
    <row r="31" spans="1:8" ht="27" customHeight="1" x14ac:dyDescent="0.25">
      <c r="A31" s="9" t="str">
        <f t="shared" si="4"/>
        <v>РУ-1-2</v>
      </c>
      <c r="B31" s="9" t="s">
        <v>19</v>
      </c>
      <c r="C31" s="10" t="s">
        <v>19</v>
      </c>
      <c r="D31" s="9" t="s">
        <v>19</v>
      </c>
      <c r="E31" s="9" t="e">
        <f>60*#REF!</f>
        <v>#REF!</v>
      </c>
      <c r="F31" s="9" t="s">
        <v>19</v>
      </c>
      <c r="G31" s="12" t="str">
        <f t="shared" si="5"/>
        <v>Блок1</v>
      </c>
    </row>
    <row r="32" spans="1:8" ht="27" customHeight="1" x14ac:dyDescent="0.25">
      <c r="A32" s="14" t="str">
        <f t="shared" si="4"/>
        <v>РУ-1-2</v>
      </c>
      <c r="B32" s="14"/>
      <c r="C32" s="14"/>
      <c r="D32" s="15"/>
      <c r="E32" s="14"/>
      <c r="F32" s="14"/>
      <c r="G32" s="12" t="str">
        <f t="shared" si="5"/>
        <v>Блок1</v>
      </c>
    </row>
    <row r="33" spans="1:7" ht="27" customHeight="1" x14ac:dyDescent="0.25">
      <c r="A33" s="7" t="str">
        <f>D33</f>
        <v>ЩУР.МОП1</v>
      </c>
      <c r="B33" s="4"/>
      <c r="C33" s="5"/>
      <c r="D33" s="4" t="s">
        <v>38</v>
      </c>
      <c r="E33" s="7">
        <v>1</v>
      </c>
      <c r="F33" s="4" t="s">
        <v>9</v>
      </c>
      <c r="G33" s="7" t="s">
        <v>21</v>
      </c>
    </row>
    <row r="34" spans="1:7" ht="27" customHeight="1" x14ac:dyDescent="0.25">
      <c r="A34" s="12" t="str">
        <f t="shared" ref="A34:A42" si="6">A33</f>
        <v>ЩУР.МОП1</v>
      </c>
      <c r="B34" s="9" t="s">
        <v>10</v>
      </c>
      <c r="C34" s="10" t="s">
        <v>325</v>
      </c>
      <c r="D34" s="9" t="s">
        <v>326</v>
      </c>
      <c r="E34" s="12">
        <v>1</v>
      </c>
      <c r="F34" s="9" t="s">
        <v>12</v>
      </c>
      <c r="G34" s="12" t="str">
        <f t="shared" ref="G34:G42" si="7">G33</f>
        <v>Блок1</v>
      </c>
    </row>
    <row r="35" spans="1:7" ht="27" customHeight="1" x14ac:dyDescent="0.25">
      <c r="A35" s="12" t="str">
        <f t="shared" si="6"/>
        <v>ЩУР.МОП1</v>
      </c>
      <c r="B35" s="9" t="s">
        <v>290</v>
      </c>
      <c r="C35" s="10" t="s">
        <v>321</v>
      </c>
      <c r="D35" s="9" t="s">
        <v>322</v>
      </c>
      <c r="E35" s="12">
        <v>1</v>
      </c>
      <c r="F35" s="9" t="s">
        <v>206</v>
      </c>
      <c r="G35" s="12" t="str">
        <f t="shared" si="7"/>
        <v>Блок1</v>
      </c>
    </row>
    <row r="36" spans="1:7" ht="27" customHeight="1" x14ac:dyDescent="0.25">
      <c r="A36" s="12" t="str">
        <f t="shared" si="6"/>
        <v>ЩУР.МОП1</v>
      </c>
      <c r="B36" s="9" t="s">
        <v>290</v>
      </c>
      <c r="C36" s="10" t="s">
        <v>198</v>
      </c>
      <c r="D36" s="9" t="s">
        <v>199</v>
      </c>
      <c r="E36" s="12">
        <v>2</v>
      </c>
      <c r="F36" s="9" t="s">
        <v>206</v>
      </c>
      <c r="G36" s="12" t="str">
        <f t="shared" si="7"/>
        <v>Блок1</v>
      </c>
    </row>
    <row r="37" spans="1:7" ht="27" customHeight="1" x14ac:dyDescent="0.25">
      <c r="A37" s="12" t="str">
        <f t="shared" si="6"/>
        <v>ЩУР.МОП1</v>
      </c>
      <c r="B37" s="9" t="s">
        <v>290</v>
      </c>
      <c r="C37" s="10" t="s">
        <v>192</v>
      </c>
      <c r="D37" s="9" t="s">
        <v>193</v>
      </c>
      <c r="E37" s="12">
        <v>3</v>
      </c>
      <c r="F37" s="9" t="s">
        <v>206</v>
      </c>
      <c r="G37" s="12" t="str">
        <f t="shared" si="7"/>
        <v>Блок1</v>
      </c>
    </row>
    <row r="38" spans="1:7" ht="27" customHeight="1" x14ac:dyDescent="0.25">
      <c r="A38" s="12" t="str">
        <f t="shared" si="6"/>
        <v>ЩУР.МОП1</v>
      </c>
      <c r="B38" s="9" t="s">
        <v>17</v>
      </c>
      <c r="C38" s="10" t="s">
        <v>323</v>
      </c>
      <c r="D38" s="9" t="s">
        <v>324</v>
      </c>
      <c r="E38" s="12">
        <v>2</v>
      </c>
      <c r="F38" s="9" t="s">
        <v>206</v>
      </c>
      <c r="G38" s="12" t="str">
        <f t="shared" si="7"/>
        <v>Блок1</v>
      </c>
    </row>
    <row r="39" spans="1:7" ht="27" customHeight="1" x14ac:dyDescent="0.25">
      <c r="A39" s="12" t="str">
        <f>A37</f>
        <v>ЩУР.МОП1</v>
      </c>
      <c r="B39" s="9" t="s">
        <v>14</v>
      </c>
      <c r="C39" s="10" t="s">
        <v>296</v>
      </c>
      <c r="D39" s="9" t="s">
        <v>297</v>
      </c>
      <c r="E39" s="12">
        <v>1</v>
      </c>
      <c r="F39" s="9" t="s">
        <v>15</v>
      </c>
      <c r="G39" s="12" t="str">
        <f>G37</f>
        <v>Блок1</v>
      </c>
    </row>
    <row r="40" spans="1:7" ht="27" customHeight="1" x14ac:dyDescent="0.25">
      <c r="A40" s="9" t="str">
        <f t="shared" si="6"/>
        <v>ЩУР.МОП1</v>
      </c>
      <c r="B40" s="9" t="s">
        <v>18</v>
      </c>
      <c r="C40" s="10" t="s">
        <v>18</v>
      </c>
      <c r="D40" s="9" t="s">
        <v>18</v>
      </c>
      <c r="E40" s="9">
        <v>1</v>
      </c>
      <c r="F40" s="9" t="s">
        <v>18</v>
      </c>
      <c r="G40" s="12" t="str">
        <f t="shared" si="7"/>
        <v>Блок1</v>
      </c>
    </row>
    <row r="41" spans="1:7" ht="27" customHeight="1" x14ac:dyDescent="0.25">
      <c r="A41" s="9" t="str">
        <f t="shared" si="6"/>
        <v>ЩУР.МОП1</v>
      </c>
      <c r="B41" s="9" t="s">
        <v>19</v>
      </c>
      <c r="C41" s="10" t="s">
        <v>19</v>
      </c>
      <c r="D41" s="9" t="s">
        <v>19</v>
      </c>
      <c r="E41" s="9" t="e">
        <f>60*#REF!</f>
        <v>#REF!</v>
      </c>
      <c r="F41" s="9" t="s">
        <v>19</v>
      </c>
      <c r="G41" s="12" t="str">
        <f t="shared" si="7"/>
        <v>Блок1</v>
      </c>
    </row>
    <row r="42" spans="1:7" ht="27" customHeight="1" x14ac:dyDescent="0.25">
      <c r="A42" s="14" t="str">
        <f t="shared" si="6"/>
        <v>ЩУР.МОП1</v>
      </c>
      <c r="B42" s="14"/>
      <c r="C42" s="14"/>
      <c r="D42" s="15"/>
      <c r="E42" s="14"/>
      <c r="F42" s="14"/>
      <c r="G42" s="12" t="str">
        <f t="shared" si="7"/>
        <v>Блок1</v>
      </c>
    </row>
    <row r="43" spans="1:7" ht="27" customHeight="1" x14ac:dyDescent="0.25">
      <c r="A43" s="7" t="str">
        <f>D43</f>
        <v>РЩ1-1 (АВР-Б-40-2-1)</v>
      </c>
      <c r="B43" s="4"/>
      <c r="C43" s="5"/>
      <c r="D43" s="4" t="s">
        <v>131</v>
      </c>
      <c r="E43" s="7">
        <v>1</v>
      </c>
      <c r="F43" s="4" t="s">
        <v>9</v>
      </c>
      <c r="G43" s="7" t="s">
        <v>21</v>
      </c>
    </row>
    <row r="44" spans="1:7" ht="27" customHeight="1" x14ac:dyDescent="0.25">
      <c r="A44" s="12" t="str">
        <f t="shared" ref="A44:A56" si="8">A43</f>
        <v>РЩ1-1 (АВР-Б-40-2-1)</v>
      </c>
      <c r="B44" s="9" t="s">
        <v>10</v>
      </c>
      <c r="C44" s="10" t="s">
        <v>167</v>
      </c>
      <c r="D44" s="9" t="s">
        <v>168</v>
      </c>
      <c r="E44" s="12">
        <v>1</v>
      </c>
      <c r="F44" s="9" t="s">
        <v>12</v>
      </c>
      <c r="G44" s="12" t="str">
        <f t="shared" ref="G44:G56" si="9">G43</f>
        <v>Блок1</v>
      </c>
    </row>
    <row r="45" spans="1:7" ht="27" customHeight="1" x14ac:dyDescent="0.25">
      <c r="A45" s="12" t="str">
        <f t="shared" si="8"/>
        <v>РЩ1-1 (АВР-Б-40-2-1)</v>
      </c>
      <c r="B45" s="9" t="s">
        <v>43</v>
      </c>
      <c r="C45" s="10" t="s">
        <v>161</v>
      </c>
      <c r="D45" s="9" t="s">
        <v>162</v>
      </c>
      <c r="E45" s="12">
        <v>1</v>
      </c>
      <c r="F45" s="9" t="s">
        <v>13</v>
      </c>
      <c r="G45" s="12" t="str">
        <f t="shared" si="9"/>
        <v>Блок1</v>
      </c>
    </row>
    <row r="46" spans="1:7" ht="27" customHeight="1" x14ac:dyDescent="0.25">
      <c r="A46" s="12" t="str">
        <f t="shared" si="8"/>
        <v>РЩ1-1 (АВР-Б-40-2-1)</v>
      </c>
      <c r="B46" s="9" t="s">
        <v>290</v>
      </c>
      <c r="C46" s="10" t="s">
        <v>212</v>
      </c>
      <c r="D46" s="9" t="s">
        <v>213</v>
      </c>
      <c r="E46" s="12">
        <v>2</v>
      </c>
      <c r="F46" s="9" t="s">
        <v>206</v>
      </c>
      <c r="G46" s="12" t="str">
        <f t="shared" si="9"/>
        <v>Блок1</v>
      </c>
    </row>
    <row r="47" spans="1:7" ht="27" customHeight="1" x14ac:dyDescent="0.25">
      <c r="A47" s="12" t="str">
        <f t="shared" si="8"/>
        <v>РЩ1-1 (АВР-Б-40-2-1)</v>
      </c>
      <c r="B47" s="9" t="s">
        <v>290</v>
      </c>
      <c r="C47" s="10" t="s">
        <v>230</v>
      </c>
      <c r="D47" s="9" t="s">
        <v>231</v>
      </c>
      <c r="E47" s="12">
        <v>2</v>
      </c>
      <c r="F47" s="9" t="s">
        <v>206</v>
      </c>
      <c r="G47" s="12" t="str">
        <f t="shared" si="9"/>
        <v>Блок1</v>
      </c>
    </row>
    <row r="48" spans="1:7" ht="27" customHeight="1" x14ac:dyDescent="0.25">
      <c r="A48" s="12" t="str">
        <f t="shared" si="8"/>
        <v>РЩ1-1 (АВР-Б-40-2-1)</v>
      </c>
      <c r="B48" s="9" t="s">
        <v>291</v>
      </c>
      <c r="C48" s="10" t="s">
        <v>202</v>
      </c>
      <c r="D48" s="9" t="s">
        <v>203</v>
      </c>
      <c r="E48" s="12">
        <v>2</v>
      </c>
      <c r="F48" s="9" t="s">
        <v>206</v>
      </c>
      <c r="G48" s="12" t="str">
        <f t="shared" si="9"/>
        <v>Блок1</v>
      </c>
    </row>
    <row r="49" spans="1:7" ht="27" customHeight="1" x14ac:dyDescent="0.25">
      <c r="A49" s="12" t="str">
        <f t="shared" si="8"/>
        <v>РЩ1-1 (АВР-Б-40-2-1)</v>
      </c>
      <c r="B49" s="9" t="s">
        <v>17</v>
      </c>
      <c r="C49" s="10" t="s">
        <v>232</v>
      </c>
      <c r="D49" s="9" t="s">
        <v>233</v>
      </c>
      <c r="E49" s="12">
        <v>1</v>
      </c>
      <c r="F49" s="9" t="s">
        <v>13</v>
      </c>
      <c r="G49" s="12" t="str">
        <f t="shared" si="9"/>
        <v>Блок1</v>
      </c>
    </row>
    <row r="50" spans="1:7" ht="27" customHeight="1" x14ac:dyDescent="0.25">
      <c r="A50" s="12" t="str">
        <f t="shared" si="8"/>
        <v>РЩ1-1 (АВР-Б-40-2-1)</v>
      </c>
      <c r="B50" s="9" t="s">
        <v>290</v>
      </c>
      <c r="C50" s="10" t="s">
        <v>204</v>
      </c>
      <c r="D50" s="9" t="s">
        <v>205</v>
      </c>
      <c r="E50" s="12">
        <v>1</v>
      </c>
      <c r="F50" s="9" t="s">
        <v>206</v>
      </c>
      <c r="G50" s="12" t="str">
        <f t="shared" si="9"/>
        <v>Блок1</v>
      </c>
    </row>
    <row r="51" spans="1:7" ht="27" customHeight="1" x14ac:dyDescent="0.25">
      <c r="A51" s="12" t="str">
        <f t="shared" si="8"/>
        <v>РЩ1-1 (АВР-Б-40-2-1)</v>
      </c>
      <c r="B51" s="9" t="s">
        <v>290</v>
      </c>
      <c r="C51" s="10" t="s">
        <v>327</v>
      </c>
      <c r="D51" s="9" t="s">
        <v>328</v>
      </c>
      <c r="E51" s="12">
        <v>1</v>
      </c>
      <c r="F51" s="9" t="s">
        <v>206</v>
      </c>
      <c r="G51" s="12" t="str">
        <f t="shared" si="9"/>
        <v>Блок1</v>
      </c>
    </row>
    <row r="52" spans="1:7" ht="27" customHeight="1" x14ac:dyDescent="0.25">
      <c r="A52" s="12" t="str">
        <f>A50</f>
        <v>РЩ1-1 (АВР-Б-40-2-1)</v>
      </c>
      <c r="B52" s="9" t="s">
        <v>14</v>
      </c>
      <c r="C52" s="10" t="s">
        <v>296</v>
      </c>
      <c r="D52" s="9" t="s">
        <v>297</v>
      </c>
      <c r="E52" s="12">
        <v>1</v>
      </c>
      <c r="F52" s="9" t="s">
        <v>15</v>
      </c>
      <c r="G52" s="12" t="str">
        <f>G50</f>
        <v>Блок1</v>
      </c>
    </row>
    <row r="53" spans="1:7" ht="27" customHeight="1" x14ac:dyDescent="0.25">
      <c r="A53" s="12" t="str">
        <f t="shared" si="8"/>
        <v>РЩ1-1 (АВР-Б-40-2-1)</v>
      </c>
      <c r="B53" s="9" t="s">
        <v>29</v>
      </c>
      <c r="C53" s="10"/>
      <c r="D53" s="9" t="s">
        <v>30</v>
      </c>
      <c r="E53" s="12">
        <v>6</v>
      </c>
      <c r="F53" s="9" t="s">
        <v>24</v>
      </c>
      <c r="G53" s="12" t="str">
        <f t="shared" si="9"/>
        <v>Блок1</v>
      </c>
    </row>
    <row r="54" spans="1:7" ht="27" customHeight="1" x14ac:dyDescent="0.25">
      <c r="A54" s="9" t="str">
        <f t="shared" si="8"/>
        <v>РЩ1-1 (АВР-Б-40-2-1)</v>
      </c>
      <c r="B54" s="9" t="s">
        <v>18</v>
      </c>
      <c r="C54" s="10" t="s">
        <v>18</v>
      </c>
      <c r="D54" s="9" t="s">
        <v>18</v>
      </c>
      <c r="E54" s="9">
        <v>1</v>
      </c>
      <c r="F54" s="9" t="s">
        <v>18</v>
      </c>
      <c r="G54" s="12" t="str">
        <f t="shared" si="9"/>
        <v>Блок1</v>
      </c>
    </row>
    <row r="55" spans="1:7" ht="27" customHeight="1" x14ac:dyDescent="0.25">
      <c r="A55" s="9" t="str">
        <f t="shared" si="8"/>
        <v>РЩ1-1 (АВР-Б-40-2-1)</v>
      </c>
      <c r="B55" s="9" t="s">
        <v>19</v>
      </c>
      <c r="C55" s="10" t="s">
        <v>19</v>
      </c>
      <c r="D55" s="9" t="s">
        <v>19</v>
      </c>
      <c r="E55" s="9" t="e">
        <f>60*#REF!</f>
        <v>#REF!</v>
      </c>
      <c r="F55" s="9" t="s">
        <v>19</v>
      </c>
      <c r="G55" s="12" t="str">
        <f t="shared" si="9"/>
        <v>Блок1</v>
      </c>
    </row>
    <row r="56" spans="1:7" ht="27" customHeight="1" x14ac:dyDescent="0.25">
      <c r="A56" s="14" t="str">
        <f t="shared" si="8"/>
        <v>РЩ1-1 (АВР-Б-40-2-1)</v>
      </c>
      <c r="B56" s="14"/>
      <c r="C56" s="14"/>
      <c r="D56" s="15"/>
      <c r="E56" s="14"/>
      <c r="F56" s="14"/>
      <c r="G56" s="12" t="str">
        <f t="shared" si="9"/>
        <v>Блок1</v>
      </c>
    </row>
    <row r="57" spans="1:7" ht="27" customHeight="1" x14ac:dyDescent="0.25">
      <c r="A57" s="7" t="str">
        <f>D57</f>
        <v>ВРУ1-2</v>
      </c>
      <c r="B57" s="4"/>
      <c r="C57" s="5"/>
      <c r="D57" s="4" t="s">
        <v>51</v>
      </c>
      <c r="E57" s="7">
        <v>1</v>
      </c>
      <c r="F57" s="4" t="s">
        <v>9</v>
      </c>
      <c r="G57" s="7" t="s">
        <v>52</v>
      </c>
    </row>
    <row r="58" spans="1:7" ht="27" customHeight="1" x14ac:dyDescent="0.25">
      <c r="A58" s="12" t="str">
        <f t="shared" ref="A58:A68" si="10">A57</f>
        <v>ВРУ1-2</v>
      </c>
      <c r="B58" s="9" t="s">
        <v>10</v>
      </c>
      <c r="C58" s="10" t="s">
        <v>171</v>
      </c>
      <c r="D58" s="9" t="s">
        <v>172</v>
      </c>
      <c r="E58" s="12">
        <v>1</v>
      </c>
      <c r="F58" s="9" t="s">
        <v>12</v>
      </c>
      <c r="G58" s="12" t="str">
        <f t="shared" ref="G58:G68" si="11">G57</f>
        <v>Блок2</v>
      </c>
    </row>
    <row r="59" spans="1:7" ht="27" customHeight="1" x14ac:dyDescent="0.25">
      <c r="A59" s="12" t="str">
        <f t="shared" si="10"/>
        <v>ВРУ1-2</v>
      </c>
      <c r="B59" s="9" t="s">
        <v>22</v>
      </c>
      <c r="C59" s="10" t="s">
        <v>304</v>
      </c>
      <c r="D59" s="9" t="s">
        <v>305</v>
      </c>
      <c r="E59" s="12">
        <v>6</v>
      </c>
      <c r="F59" s="9" t="s">
        <v>24</v>
      </c>
      <c r="G59" s="12" t="str">
        <f t="shared" si="11"/>
        <v>Блок2</v>
      </c>
    </row>
    <row r="60" spans="1:7" ht="27" customHeight="1" x14ac:dyDescent="0.25">
      <c r="A60" s="12" t="str">
        <f t="shared" si="10"/>
        <v>ВРУ1-2</v>
      </c>
      <c r="B60" s="9" t="s">
        <v>25</v>
      </c>
      <c r="C60" s="10" t="s">
        <v>176</v>
      </c>
      <c r="D60" s="9" t="s">
        <v>177</v>
      </c>
      <c r="E60" s="12">
        <v>2</v>
      </c>
      <c r="F60" s="9" t="s">
        <v>24</v>
      </c>
      <c r="G60" s="12" t="str">
        <f t="shared" si="11"/>
        <v>Блок2</v>
      </c>
    </row>
    <row r="61" spans="1:7" ht="27" customHeight="1" x14ac:dyDescent="0.25">
      <c r="A61" s="12" t="str">
        <f t="shared" si="10"/>
        <v>ВРУ1-2</v>
      </c>
      <c r="B61" s="9" t="s">
        <v>126</v>
      </c>
      <c r="C61" s="10" t="s">
        <v>129</v>
      </c>
      <c r="D61" s="9" t="s">
        <v>130</v>
      </c>
      <c r="E61" s="12">
        <v>6</v>
      </c>
      <c r="F61" s="9" t="s">
        <v>13</v>
      </c>
      <c r="G61" s="12" t="str">
        <f>G59</f>
        <v>Блок2</v>
      </c>
    </row>
    <row r="62" spans="1:7" ht="27" customHeight="1" x14ac:dyDescent="0.25">
      <c r="A62" s="12" t="str">
        <f t="shared" si="10"/>
        <v>ВРУ1-2</v>
      </c>
      <c r="B62" s="9" t="s">
        <v>125</v>
      </c>
      <c r="C62" s="10" t="s">
        <v>127</v>
      </c>
      <c r="D62" s="9" t="s">
        <v>128</v>
      </c>
      <c r="E62" s="12">
        <v>6</v>
      </c>
      <c r="F62" s="9" t="s">
        <v>13</v>
      </c>
      <c r="G62" s="12" t="str">
        <f>G60</f>
        <v>Блок2</v>
      </c>
    </row>
    <row r="63" spans="1:7" ht="27" customHeight="1" x14ac:dyDescent="0.25">
      <c r="A63" s="12" t="str">
        <f t="shared" si="10"/>
        <v>ВРУ1-2</v>
      </c>
      <c r="B63" s="9" t="s">
        <v>290</v>
      </c>
      <c r="C63" s="10" t="s">
        <v>188</v>
      </c>
      <c r="D63" s="9" t="s">
        <v>189</v>
      </c>
      <c r="E63" s="12">
        <v>2</v>
      </c>
      <c r="F63" s="9" t="s">
        <v>206</v>
      </c>
      <c r="G63" s="12" t="str">
        <f t="shared" ref="G63:G64" si="12">G61</f>
        <v>Блок2</v>
      </c>
    </row>
    <row r="64" spans="1:7" ht="27" customHeight="1" x14ac:dyDescent="0.25">
      <c r="A64" s="12" t="str">
        <f t="shared" si="10"/>
        <v>ВРУ1-2</v>
      </c>
      <c r="B64" s="9" t="s">
        <v>14</v>
      </c>
      <c r="C64" s="10" t="s">
        <v>294</v>
      </c>
      <c r="D64" s="20" t="s">
        <v>295</v>
      </c>
      <c r="E64" s="12">
        <v>2</v>
      </c>
      <c r="F64" s="9" t="s">
        <v>15</v>
      </c>
      <c r="G64" s="12" t="str">
        <f t="shared" si="12"/>
        <v>Блок2</v>
      </c>
    </row>
    <row r="65" spans="1:7" ht="27" customHeight="1" x14ac:dyDescent="0.25">
      <c r="A65" s="12" t="str">
        <f t="shared" si="10"/>
        <v>ВРУ1-2</v>
      </c>
      <c r="B65" s="9" t="s">
        <v>29</v>
      </c>
      <c r="C65" s="10"/>
      <c r="D65" s="9" t="s">
        <v>30</v>
      </c>
      <c r="E65" s="12">
        <v>6</v>
      </c>
      <c r="F65" s="9" t="s">
        <v>24</v>
      </c>
      <c r="G65" s="12" t="str">
        <f t="shared" si="11"/>
        <v>Блок2</v>
      </c>
    </row>
    <row r="66" spans="1:7" ht="27" customHeight="1" x14ac:dyDescent="0.25">
      <c r="A66" s="9" t="str">
        <f t="shared" si="10"/>
        <v>ВРУ1-2</v>
      </c>
      <c r="B66" s="9" t="s">
        <v>18</v>
      </c>
      <c r="C66" s="10" t="s">
        <v>18</v>
      </c>
      <c r="D66" s="9" t="s">
        <v>18</v>
      </c>
      <c r="E66" s="9">
        <v>1</v>
      </c>
      <c r="F66" s="9" t="s">
        <v>18</v>
      </c>
      <c r="G66" s="12" t="str">
        <f t="shared" si="11"/>
        <v>Блок2</v>
      </c>
    </row>
    <row r="67" spans="1:7" ht="27" customHeight="1" x14ac:dyDescent="0.25">
      <c r="A67" s="9" t="str">
        <f t="shared" si="10"/>
        <v>ВРУ1-2</v>
      </c>
      <c r="B67" s="9" t="s">
        <v>19</v>
      </c>
      <c r="C67" s="10" t="s">
        <v>19</v>
      </c>
      <c r="D67" s="9" t="s">
        <v>19</v>
      </c>
      <c r="E67" s="9" t="e">
        <f>60*#REF!</f>
        <v>#REF!</v>
      </c>
      <c r="F67" s="9" t="s">
        <v>19</v>
      </c>
      <c r="G67" s="12" t="str">
        <f t="shared" si="11"/>
        <v>Блок2</v>
      </c>
    </row>
    <row r="68" spans="1:7" ht="27" customHeight="1" x14ac:dyDescent="0.25">
      <c r="A68" s="14" t="str">
        <f t="shared" si="10"/>
        <v>ВРУ1-2</v>
      </c>
      <c r="B68" s="14"/>
      <c r="C68" s="14"/>
      <c r="D68" s="15"/>
      <c r="E68" s="14"/>
      <c r="F68" s="14"/>
      <c r="G68" s="12" t="str">
        <f t="shared" si="11"/>
        <v>Блок2</v>
      </c>
    </row>
    <row r="69" spans="1:7" ht="27" customHeight="1" x14ac:dyDescent="0.25">
      <c r="A69" s="7" t="str">
        <f>D69</f>
        <v>РУ-1-2(Блок2)</v>
      </c>
      <c r="B69" s="4"/>
      <c r="C69" s="5"/>
      <c r="D69" s="4" t="s">
        <v>53</v>
      </c>
      <c r="E69" s="7">
        <v>1</v>
      </c>
      <c r="F69" s="4" t="s">
        <v>9</v>
      </c>
      <c r="G69" s="7" t="s">
        <v>52</v>
      </c>
    </row>
    <row r="70" spans="1:7" ht="27" customHeight="1" x14ac:dyDescent="0.25">
      <c r="A70" s="12" t="str">
        <f>A69</f>
        <v>РУ-1-2(Блок2)</v>
      </c>
      <c r="B70" s="9" t="s">
        <v>10</v>
      </c>
      <c r="C70" s="10" t="s">
        <v>169</v>
      </c>
      <c r="D70" s="9" t="s">
        <v>170</v>
      </c>
      <c r="E70" s="12">
        <v>1</v>
      </c>
      <c r="F70" s="9" t="s">
        <v>12</v>
      </c>
      <c r="G70" s="12" t="str">
        <f t="shared" ref="G70:G76" si="13">G69</f>
        <v>Блок2</v>
      </c>
    </row>
    <row r="71" spans="1:7" ht="27" customHeight="1" x14ac:dyDescent="0.25">
      <c r="A71" s="12" t="str">
        <f t="shared" ref="A71:A76" si="14">A70</f>
        <v>РУ-1-2(Блок2)</v>
      </c>
      <c r="B71" s="9" t="s">
        <v>291</v>
      </c>
      <c r="C71" s="10" t="s">
        <v>224</v>
      </c>
      <c r="D71" s="9" t="s">
        <v>225</v>
      </c>
      <c r="E71" s="12">
        <v>2</v>
      </c>
      <c r="F71" s="9" t="s">
        <v>206</v>
      </c>
      <c r="G71" s="12" t="str">
        <f t="shared" si="13"/>
        <v>Блок2</v>
      </c>
    </row>
    <row r="72" spans="1:7" ht="27" customHeight="1" x14ac:dyDescent="0.25">
      <c r="A72" s="12" t="str">
        <f t="shared" si="14"/>
        <v>РУ-1-2(Блок2)</v>
      </c>
      <c r="B72" s="9" t="s">
        <v>291</v>
      </c>
      <c r="C72" s="10" t="s">
        <v>226</v>
      </c>
      <c r="D72" s="9" t="s">
        <v>227</v>
      </c>
      <c r="E72" s="12">
        <v>1</v>
      </c>
      <c r="F72" s="9" t="s">
        <v>206</v>
      </c>
      <c r="G72" s="12" t="str">
        <f t="shared" si="13"/>
        <v>Блок2</v>
      </c>
    </row>
    <row r="73" spans="1:7" ht="27" customHeight="1" x14ac:dyDescent="0.25">
      <c r="A73" s="12" t="str">
        <f t="shared" si="14"/>
        <v>РУ-1-2(Блок2)</v>
      </c>
      <c r="B73" s="9" t="s">
        <v>290</v>
      </c>
      <c r="C73" s="10" t="s">
        <v>216</v>
      </c>
      <c r="D73" s="9" t="s">
        <v>217</v>
      </c>
      <c r="E73" s="12">
        <v>2</v>
      </c>
      <c r="F73" s="9" t="s">
        <v>206</v>
      </c>
      <c r="G73" s="12" t="str">
        <f t="shared" si="13"/>
        <v>Блок2</v>
      </c>
    </row>
    <row r="74" spans="1:7" ht="27" customHeight="1" x14ac:dyDescent="0.25">
      <c r="A74" s="9" t="str">
        <f t="shared" si="14"/>
        <v>РУ-1-2(Блок2)</v>
      </c>
      <c r="B74" s="9" t="s">
        <v>18</v>
      </c>
      <c r="C74" s="10" t="s">
        <v>18</v>
      </c>
      <c r="D74" s="9" t="s">
        <v>18</v>
      </c>
      <c r="E74" s="9">
        <v>1</v>
      </c>
      <c r="F74" s="9" t="s">
        <v>18</v>
      </c>
      <c r="G74" s="12" t="str">
        <f t="shared" si="13"/>
        <v>Блок2</v>
      </c>
    </row>
    <row r="75" spans="1:7" ht="27" customHeight="1" x14ac:dyDescent="0.25">
      <c r="A75" s="9" t="str">
        <f t="shared" si="14"/>
        <v>РУ-1-2(Блок2)</v>
      </c>
      <c r="B75" s="9" t="s">
        <v>19</v>
      </c>
      <c r="C75" s="10" t="s">
        <v>19</v>
      </c>
      <c r="D75" s="9" t="s">
        <v>19</v>
      </c>
      <c r="E75" s="9" t="e">
        <f>60*#REF!</f>
        <v>#REF!</v>
      </c>
      <c r="F75" s="9" t="s">
        <v>19</v>
      </c>
      <c r="G75" s="12" t="str">
        <f t="shared" si="13"/>
        <v>Блок2</v>
      </c>
    </row>
    <row r="76" spans="1:7" ht="27" customHeight="1" x14ac:dyDescent="0.25">
      <c r="A76" s="14" t="str">
        <f t="shared" si="14"/>
        <v>РУ-1-2(Блок2)</v>
      </c>
      <c r="B76" s="14"/>
      <c r="C76" s="14"/>
      <c r="D76" s="15"/>
      <c r="E76" s="14"/>
      <c r="F76" s="14"/>
      <c r="G76" s="12" t="str">
        <f t="shared" si="13"/>
        <v>Блок2</v>
      </c>
    </row>
    <row r="77" spans="1:7" ht="27" customHeight="1" x14ac:dyDescent="0.25">
      <c r="A77" s="7" t="str">
        <f>D77</f>
        <v>РУ-2-2</v>
      </c>
      <c r="B77" s="4"/>
      <c r="C77" s="5"/>
      <c r="D77" s="4" t="s">
        <v>54</v>
      </c>
      <c r="E77" s="7">
        <v>1</v>
      </c>
      <c r="F77" s="4" t="s">
        <v>9</v>
      </c>
      <c r="G77" s="7" t="s">
        <v>52</v>
      </c>
    </row>
    <row r="78" spans="1:7" ht="27" customHeight="1" x14ac:dyDescent="0.25">
      <c r="A78" s="12" t="str">
        <f t="shared" ref="A78:A85" si="15">A77</f>
        <v>РУ-2-2</v>
      </c>
      <c r="B78" s="9" t="s">
        <v>10</v>
      </c>
      <c r="C78" s="10" t="s">
        <v>169</v>
      </c>
      <c r="D78" s="9" t="s">
        <v>170</v>
      </c>
      <c r="E78" s="12">
        <v>1</v>
      </c>
      <c r="F78" s="9" t="s">
        <v>12</v>
      </c>
      <c r="G78" s="12" t="str">
        <f t="shared" ref="G78:G85" si="16">G77</f>
        <v>Блок2</v>
      </c>
    </row>
    <row r="79" spans="1:7" ht="27" customHeight="1" x14ac:dyDescent="0.25">
      <c r="A79" s="12" t="str">
        <f t="shared" si="15"/>
        <v>РУ-2-2</v>
      </c>
      <c r="B79" s="9" t="s">
        <v>291</v>
      </c>
      <c r="C79" s="10" t="s">
        <v>226</v>
      </c>
      <c r="D79" s="9" t="s">
        <v>227</v>
      </c>
      <c r="E79" s="12">
        <v>1</v>
      </c>
      <c r="F79" s="9" t="s">
        <v>206</v>
      </c>
      <c r="G79" s="12" t="str">
        <f t="shared" si="16"/>
        <v>Блок2</v>
      </c>
    </row>
    <row r="80" spans="1:7" ht="27" customHeight="1" x14ac:dyDescent="0.25">
      <c r="A80" s="12" t="str">
        <f t="shared" si="15"/>
        <v>РУ-2-2</v>
      </c>
      <c r="B80" s="9" t="s">
        <v>291</v>
      </c>
      <c r="C80" s="10" t="s">
        <v>210</v>
      </c>
      <c r="D80" s="9" t="s">
        <v>211</v>
      </c>
      <c r="E80" s="12">
        <v>3</v>
      </c>
      <c r="F80" s="9" t="s">
        <v>206</v>
      </c>
      <c r="G80" s="12" t="str">
        <f t="shared" si="16"/>
        <v>Блок2</v>
      </c>
    </row>
    <row r="81" spans="1:7" ht="27" customHeight="1" x14ac:dyDescent="0.25">
      <c r="A81" s="12" t="str">
        <f t="shared" si="15"/>
        <v>РУ-2-2</v>
      </c>
      <c r="B81" s="9" t="s">
        <v>291</v>
      </c>
      <c r="C81" s="10" t="s">
        <v>222</v>
      </c>
      <c r="D81" s="9" t="s">
        <v>223</v>
      </c>
      <c r="E81" s="12">
        <v>1</v>
      </c>
      <c r="F81" s="9" t="s">
        <v>206</v>
      </c>
      <c r="G81" s="12" t="str">
        <f t="shared" si="16"/>
        <v>Блок2</v>
      </c>
    </row>
    <row r="82" spans="1:7" ht="27" customHeight="1" x14ac:dyDescent="0.25">
      <c r="A82" s="12" t="str">
        <f t="shared" si="15"/>
        <v>РУ-2-2</v>
      </c>
      <c r="B82" s="9" t="s">
        <v>14</v>
      </c>
      <c r="C82" s="10" t="s">
        <v>298</v>
      </c>
      <c r="D82" s="9" t="s">
        <v>299</v>
      </c>
      <c r="E82" s="12">
        <v>2</v>
      </c>
      <c r="F82" s="9" t="s">
        <v>15</v>
      </c>
      <c r="G82" s="12" t="str">
        <f t="shared" si="16"/>
        <v>Блок2</v>
      </c>
    </row>
    <row r="83" spans="1:7" ht="27" customHeight="1" x14ac:dyDescent="0.25">
      <c r="A83" s="9" t="str">
        <f>A81</f>
        <v>РУ-2-2</v>
      </c>
      <c r="B83" s="9" t="s">
        <v>18</v>
      </c>
      <c r="C83" s="10" t="s">
        <v>18</v>
      </c>
      <c r="D83" s="9" t="s">
        <v>18</v>
      </c>
      <c r="E83" s="9">
        <v>1</v>
      </c>
      <c r="F83" s="9" t="s">
        <v>18</v>
      </c>
      <c r="G83" s="12" t="str">
        <f t="shared" si="16"/>
        <v>Блок2</v>
      </c>
    </row>
    <row r="84" spans="1:7" ht="27" customHeight="1" x14ac:dyDescent="0.25">
      <c r="A84" s="9" t="str">
        <f t="shared" si="15"/>
        <v>РУ-2-2</v>
      </c>
      <c r="B84" s="9" t="s">
        <v>19</v>
      </c>
      <c r="C84" s="10" t="s">
        <v>19</v>
      </c>
      <c r="D84" s="9" t="s">
        <v>19</v>
      </c>
      <c r="E84" s="9" t="e">
        <f>60*#REF!</f>
        <v>#REF!</v>
      </c>
      <c r="F84" s="9" t="s">
        <v>19</v>
      </c>
      <c r="G84" s="12" t="str">
        <f t="shared" si="16"/>
        <v>Блок2</v>
      </c>
    </row>
    <row r="85" spans="1:7" ht="27" customHeight="1" x14ac:dyDescent="0.25">
      <c r="A85" s="14" t="str">
        <f t="shared" si="15"/>
        <v>РУ-2-2</v>
      </c>
      <c r="B85" s="14"/>
      <c r="C85" s="14"/>
      <c r="D85" s="15"/>
      <c r="E85" s="14"/>
      <c r="F85" s="14"/>
      <c r="G85" s="12" t="str">
        <f t="shared" si="16"/>
        <v>Блок2</v>
      </c>
    </row>
    <row r="86" spans="1:7" ht="27" customHeight="1" x14ac:dyDescent="0.25">
      <c r="A86" s="7" t="str">
        <f>D86</f>
        <v>ЩУР.МОП1-2</v>
      </c>
      <c r="B86" s="4"/>
      <c r="C86" s="5"/>
      <c r="D86" s="4" t="s">
        <v>55</v>
      </c>
      <c r="E86" s="7">
        <v>1</v>
      </c>
      <c r="F86" s="4" t="s">
        <v>9</v>
      </c>
      <c r="G86" s="7" t="s">
        <v>52</v>
      </c>
    </row>
    <row r="87" spans="1:7" ht="27" customHeight="1" x14ac:dyDescent="0.25">
      <c r="A87" s="12" t="str">
        <f t="shared" ref="A87:A94" si="17">A86</f>
        <v>ЩУР.МОП1-2</v>
      </c>
      <c r="B87" s="9" t="s">
        <v>10</v>
      </c>
      <c r="C87" s="10" t="s">
        <v>39</v>
      </c>
      <c r="D87" s="9" t="s">
        <v>40</v>
      </c>
      <c r="E87" s="12">
        <v>1</v>
      </c>
      <c r="F87" s="9" t="s">
        <v>12</v>
      </c>
      <c r="G87" s="12" t="str">
        <f t="shared" ref="G87:G94" si="18">G86</f>
        <v>Блок2</v>
      </c>
    </row>
    <row r="88" spans="1:7" ht="27" customHeight="1" x14ac:dyDescent="0.25">
      <c r="A88" s="12" t="str">
        <f t="shared" si="17"/>
        <v>ЩУР.МОП1-2</v>
      </c>
      <c r="B88" s="9" t="s">
        <v>290</v>
      </c>
      <c r="C88" s="10" t="s">
        <v>194</v>
      </c>
      <c r="D88" s="9" t="s">
        <v>195</v>
      </c>
      <c r="E88" s="12">
        <v>1</v>
      </c>
      <c r="F88" s="9" t="s">
        <v>206</v>
      </c>
      <c r="G88" s="12" t="str">
        <f t="shared" si="18"/>
        <v>Блок2</v>
      </c>
    </row>
    <row r="89" spans="1:7" ht="27" customHeight="1" x14ac:dyDescent="0.25">
      <c r="A89" s="12" t="str">
        <f t="shared" si="17"/>
        <v>ЩУР.МОП1-2</v>
      </c>
      <c r="B89" s="9" t="s">
        <v>290</v>
      </c>
      <c r="C89" s="10" t="s">
        <v>198</v>
      </c>
      <c r="D89" s="9" t="s">
        <v>199</v>
      </c>
      <c r="E89" s="12">
        <v>2</v>
      </c>
      <c r="F89" s="9" t="s">
        <v>206</v>
      </c>
      <c r="G89" s="12" t="str">
        <f t="shared" si="18"/>
        <v>Блок2</v>
      </c>
    </row>
    <row r="90" spans="1:7" ht="27" customHeight="1" x14ac:dyDescent="0.25">
      <c r="A90" s="12" t="str">
        <f t="shared" si="17"/>
        <v>ЩУР.МОП1-2</v>
      </c>
      <c r="B90" s="9" t="s">
        <v>290</v>
      </c>
      <c r="C90" s="10" t="s">
        <v>192</v>
      </c>
      <c r="D90" s="9" t="s">
        <v>193</v>
      </c>
      <c r="E90" s="12">
        <v>2</v>
      </c>
      <c r="F90" s="9" t="s">
        <v>206</v>
      </c>
      <c r="G90" s="12" t="str">
        <f t="shared" si="18"/>
        <v>Блок2</v>
      </c>
    </row>
    <row r="91" spans="1:7" ht="27" customHeight="1" x14ac:dyDescent="0.25">
      <c r="A91" s="12" t="str">
        <f t="shared" si="17"/>
        <v>ЩУР.МОП1-2</v>
      </c>
      <c r="B91" s="9" t="s">
        <v>14</v>
      </c>
      <c r="C91" s="10" t="s">
        <v>296</v>
      </c>
      <c r="D91" s="9" t="s">
        <v>297</v>
      </c>
      <c r="E91" s="12">
        <v>1</v>
      </c>
      <c r="F91" s="9" t="s">
        <v>15</v>
      </c>
      <c r="G91" s="12" t="str">
        <f t="shared" si="18"/>
        <v>Блок2</v>
      </c>
    </row>
    <row r="92" spans="1:7" ht="27" customHeight="1" x14ac:dyDescent="0.25">
      <c r="A92" s="9" t="str">
        <f t="shared" si="17"/>
        <v>ЩУР.МОП1-2</v>
      </c>
      <c r="B92" s="9" t="s">
        <v>18</v>
      </c>
      <c r="C92" s="10" t="s">
        <v>18</v>
      </c>
      <c r="D92" s="9" t="s">
        <v>18</v>
      </c>
      <c r="E92" s="9">
        <v>1</v>
      </c>
      <c r="F92" s="9" t="s">
        <v>18</v>
      </c>
      <c r="G92" s="12" t="str">
        <f t="shared" si="18"/>
        <v>Блок2</v>
      </c>
    </row>
    <row r="93" spans="1:7" ht="27" customHeight="1" x14ac:dyDescent="0.25">
      <c r="A93" s="9" t="str">
        <f t="shared" si="17"/>
        <v>ЩУР.МОП1-2</v>
      </c>
      <c r="B93" s="9" t="s">
        <v>19</v>
      </c>
      <c r="C93" s="10" t="s">
        <v>19</v>
      </c>
      <c r="D93" s="9" t="s">
        <v>19</v>
      </c>
      <c r="E93" s="9" t="e">
        <f>60*#REF!</f>
        <v>#REF!</v>
      </c>
      <c r="F93" s="9" t="s">
        <v>19</v>
      </c>
      <c r="G93" s="12" t="str">
        <f t="shared" si="18"/>
        <v>Блок2</v>
      </c>
    </row>
    <row r="94" spans="1:7" ht="27" customHeight="1" x14ac:dyDescent="0.25">
      <c r="A94" s="14" t="str">
        <f t="shared" si="17"/>
        <v>ЩУР.МОП1-2</v>
      </c>
      <c r="B94" s="14"/>
      <c r="C94" s="14"/>
      <c r="D94" s="15"/>
      <c r="E94" s="14"/>
      <c r="F94" s="14"/>
      <c r="G94" s="12" t="str">
        <f t="shared" si="18"/>
        <v>Блок2</v>
      </c>
    </row>
    <row r="95" spans="1:7" ht="27" customHeight="1" x14ac:dyDescent="0.25">
      <c r="A95" s="7" t="str">
        <f>D95</f>
        <v>РЩ1-2 (АВР-Б-40-2-1)</v>
      </c>
      <c r="B95" s="4"/>
      <c r="C95" s="5"/>
      <c r="D95" s="4" t="s">
        <v>132</v>
      </c>
      <c r="E95" s="7">
        <v>1</v>
      </c>
      <c r="F95" s="4" t="s">
        <v>9</v>
      </c>
      <c r="G95" s="7" t="s">
        <v>52</v>
      </c>
    </row>
    <row r="96" spans="1:7" ht="27" customHeight="1" x14ac:dyDescent="0.25">
      <c r="A96" s="12" t="str">
        <f t="shared" ref="A96:A107" si="19">A95</f>
        <v>РЩ1-2 (АВР-Б-40-2-1)</v>
      </c>
      <c r="B96" s="9" t="s">
        <v>10</v>
      </c>
      <c r="C96" s="10" t="s">
        <v>167</v>
      </c>
      <c r="D96" s="9" t="s">
        <v>168</v>
      </c>
      <c r="E96" s="12">
        <v>1</v>
      </c>
      <c r="F96" s="9" t="s">
        <v>12</v>
      </c>
      <c r="G96" s="12" t="str">
        <f t="shared" ref="G96:G107" si="20">G95</f>
        <v>Блок2</v>
      </c>
    </row>
    <row r="97" spans="1:7" ht="27" customHeight="1" x14ac:dyDescent="0.25">
      <c r="A97" s="12" t="str">
        <f t="shared" si="19"/>
        <v>РЩ1-2 (АВР-Б-40-2-1)</v>
      </c>
      <c r="B97" s="9" t="s">
        <v>43</v>
      </c>
      <c r="C97" s="10" t="s">
        <v>161</v>
      </c>
      <c r="D97" s="9" t="s">
        <v>162</v>
      </c>
      <c r="E97" s="12">
        <v>1</v>
      </c>
      <c r="F97" s="9" t="s">
        <v>13</v>
      </c>
      <c r="G97" s="12" t="str">
        <f t="shared" si="20"/>
        <v>Блок2</v>
      </c>
    </row>
    <row r="98" spans="1:7" ht="27" customHeight="1" x14ac:dyDescent="0.25">
      <c r="A98" s="12" t="str">
        <f t="shared" si="19"/>
        <v>РЩ1-2 (АВР-Б-40-2-1)</v>
      </c>
      <c r="B98" s="9" t="s">
        <v>290</v>
      </c>
      <c r="C98" s="10" t="s">
        <v>212</v>
      </c>
      <c r="D98" s="9" t="s">
        <v>213</v>
      </c>
      <c r="E98" s="12">
        <v>2</v>
      </c>
      <c r="F98" s="9" t="s">
        <v>206</v>
      </c>
      <c r="G98" s="12" t="str">
        <f t="shared" si="20"/>
        <v>Блок2</v>
      </c>
    </row>
    <row r="99" spans="1:7" ht="27" customHeight="1" x14ac:dyDescent="0.25">
      <c r="A99" s="12" t="str">
        <f t="shared" si="19"/>
        <v>РЩ1-2 (АВР-Б-40-2-1)</v>
      </c>
      <c r="B99" s="9" t="s">
        <v>290</v>
      </c>
      <c r="C99" s="10" t="s">
        <v>230</v>
      </c>
      <c r="D99" s="9" t="s">
        <v>231</v>
      </c>
      <c r="E99" s="12">
        <v>2</v>
      </c>
      <c r="F99" s="9" t="s">
        <v>206</v>
      </c>
      <c r="G99" s="12" t="str">
        <f t="shared" si="20"/>
        <v>Блок2</v>
      </c>
    </row>
    <row r="100" spans="1:7" ht="27" customHeight="1" x14ac:dyDescent="0.25">
      <c r="A100" s="12" t="str">
        <f t="shared" si="19"/>
        <v>РЩ1-2 (АВР-Б-40-2-1)</v>
      </c>
      <c r="B100" s="9" t="s">
        <v>291</v>
      </c>
      <c r="C100" s="10" t="s">
        <v>202</v>
      </c>
      <c r="D100" s="9" t="s">
        <v>203</v>
      </c>
      <c r="E100" s="12">
        <v>2</v>
      </c>
      <c r="F100" s="9" t="s">
        <v>206</v>
      </c>
      <c r="G100" s="12" t="str">
        <f t="shared" si="20"/>
        <v>Блок2</v>
      </c>
    </row>
    <row r="101" spans="1:7" ht="27" customHeight="1" x14ac:dyDescent="0.25">
      <c r="A101" s="12" t="str">
        <f t="shared" si="19"/>
        <v>РЩ1-2 (АВР-Б-40-2-1)</v>
      </c>
      <c r="B101" s="9" t="s">
        <v>17</v>
      </c>
      <c r="C101" s="10" t="s">
        <v>232</v>
      </c>
      <c r="D101" s="9" t="s">
        <v>233</v>
      </c>
      <c r="E101" s="12">
        <v>1</v>
      </c>
      <c r="F101" s="9" t="s">
        <v>13</v>
      </c>
      <c r="G101" s="12" t="str">
        <f t="shared" si="20"/>
        <v>Блок2</v>
      </c>
    </row>
    <row r="102" spans="1:7" ht="27" customHeight="1" x14ac:dyDescent="0.25">
      <c r="A102" s="12" t="str">
        <f t="shared" si="19"/>
        <v>РЩ1-2 (АВР-Б-40-2-1)</v>
      </c>
      <c r="B102" s="9" t="s">
        <v>290</v>
      </c>
      <c r="C102" s="10" t="s">
        <v>204</v>
      </c>
      <c r="D102" s="9" t="s">
        <v>205</v>
      </c>
      <c r="E102" s="12">
        <v>1</v>
      </c>
      <c r="F102" s="9" t="s">
        <v>206</v>
      </c>
      <c r="G102" s="12" t="str">
        <f t="shared" si="20"/>
        <v>Блок2</v>
      </c>
    </row>
    <row r="103" spans="1:7" ht="27" customHeight="1" x14ac:dyDescent="0.25">
      <c r="A103" s="12" t="str">
        <f t="shared" si="19"/>
        <v>РЩ1-2 (АВР-Б-40-2-1)</v>
      </c>
      <c r="B103" s="9" t="s">
        <v>14</v>
      </c>
      <c r="C103" s="10" t="s">
        <v>296</v>
      </c>
      <c r="D103" s="9" t="s">
        <v>297</v>
      </c>
      <c r="E103" s="12">
        <v>1</v>
      </c>
      <c r="F103" s="9" t="s">
        <v>15</v>
      </c>
      <c r="G103" s="12" t="str">
        <f t="shared" si="20"/>
        <v>Блок2</v>
      </c>
    </row>
    <row r="104" spans="1:7" ht="27" customHeight="1" x14ac:dyDescent="0.25">
      <c r="A104" s="12" t="str">
        <f t="shared" si="19"/>
        <v>РЩ1-2 (АВР-Б-40-2-1)</v>
      </c>
      <c r="B104" s="9" t="s">
        <v>29</v>
      </c>
      <c r="C104" s="10"/>
      <c r="D104" s="9" t="s">
        <v>30</v>
      </c>
      <c r="E104" s="12">
        <v>6</v>
      </c>
      <c r="F104" s="9" t="s">
        <v>24</v>
      </c>
      <c r="G104" s="12" t="str">
        <f t="shared" si="20"/>
        <v>Блок2</v>
      </c>
    </row>
    <row r="105" spans="1:7" ht="27" customHeight="1" x14ac:dyDescent="0.25">
      <c r="A105" s="9" t="str">
        <f t="shared" si="19"/>
        <v>РЩ1-2 (АВР-Б-40-2-1)</v>
      </c>
      <c r="B105" s="9" t="s">
        <v>18</v>
      </c>
      <c r="C105" s="10" t="s">
        <v>18</v>
      </c>
      <c r="D105" s="9" t="s">
        <v>18</v>
      </c>
      <c r="E105" s="9">
        <v>1</v>
      </c>
      <c r="F105" s="9" t="s">
        <v>18</v>
      </c>
      <c r="G105" s="12" t="str">
        <f t="shared" si="20"/>
        <v>Блок2</v>
      </c>
    </row>
    <row r="106" spans="1:7" ht="27" customHeight="1" x14ac:dyDescent="0.25">
      <c r="A106" s="9" t="str">
        <f t="shared" si="19"/>
        <v>РЩ1-2 (АВР-Б-40-2-1)</v>
      </c>
      <c r="B106" s="9" t="s">
        <v>19</v>
      </c>
      <c r="C106" s="10" t="s">
        <v>19</v>
      </c>
      <c r="D106" s="9" t="s">
        <v>19</v>
      </c>
      <c r="E106" s="9" t="e">
        <f>60*#REF!</f>
        <v>#REF!</v>
      </c>
      <c r="F106" s="9" t="s">
        <v>19</v>
      </c>
      <c r="G106" s="12" t="str">
        <f t="shared" si="20"/>
        <v>Блок2</v>
      </c>
    </row>
    <row r="107" spans="1:7" ht="27" customHeight="1" x14ac:dyDescent="0.25">
      <c r="A107" s="14" t="str">
        <f t="shared" si="19"/>
        <v>РЩ1-2 (АВР-Б-40-2-1)</v>
      </c>
      <c r="B107" s="14"/>
      <c r="C107" s="14"/>
      <c r="D107" s="15"/>
      <c r="E107" s="14"/>
      <c r="F107" s="14"/>
      <c r="G107" s="12" t="str">
        <f t="shared" si="20"/>
        <v>Блок2</v>
      </c>
    </row>
    <row r="108" spans="1:7" ht="27" customHeight="1" x14ac:dyDescent="0.25">
      <c r="A108" s="7" t="str">
        <f>D108</f>
        <v>ВРУ1-3</v>
      </c>
      <c r="B108" s="4"/>
      <c r="C108" s="5"/>
      <c r="D108" s="4" t="s">
        <v>56</v>
      </c>
      <c r="E108" s="7">
        <v>1</v>
      </c>
      <c r="F108" s="4" t="s">
        <v>9</v>
      </c>
      <c r="G108" s="7" t="s">
        <v>57</v>
      </c>
    </row>
    <row r="109" spans="1:7" ht="27" customHeight="1" x14ac:dyDescent="0.25">
      <c r="A109" s="12" t="str">
        <f t="shared" ref="A109:A119" si="21">A108</f>
        <v>ВРУ1-3</v>
      </c>
      <c r="B109" s="9" t="s">
        <v>10</v>
      </c>
      <c r="C109" s="10" t="s">
        <v>171</v>
      </c>
      <c r="D109" s="9" t="s">
        <v>172</v>
      </c>
      <c r="E109" s="12">
        <v>1</v>
      </c>
      <c r="F109" s="9" t="s">
        <v>12</v>
      </c>
      <c r="G109" s="12" t="str">
        <f t="shared" ref="G109:G111" si="22">G108</f>
        <v>Блок3</v>
      </c>
    </row>
    <row r="110" spans="1:7" ht="27" customHeight="1" x14ac:dyDescent="0.25">
      <c r="A110" s="12" t="str">
        <f t="shared" si="21"/>
        <v>ВРУ1-3</v>
      </c>
      <c r="B110" s="9" t="s">
        <v>22</v>
      </c>
      <c r="C110" s="10" t="s">
        <v>304</v>
      </c>
      <c r="D110" s="9" t="s">
        <v>305</v>
      </c>
      <c r="E110" s="12">
        <v>6</v>
      </c>
      <c r="F110" s="9" t="s">
        <v>24</v>
      </c>
      <c r="G110" s="12" t="str">
        <f t="shared" si="22"/>
        <v>Блок3</v>
      </c>
    </row>
    <row r="111" spans="1:7" ht="27" customHeight="1" x14ac:dyDescent="0.25">
      <c r="A111" s="12" t="str">
        <f t="shared" si="21"/>
        <v>ВРУ1-3</v>
      </c>
      <c r="B111" s="9" t="s">
        <v>25</v>
      </c>
      <c r="C111" s="10" t="s">
        <v>176</v>
      </c>
      <c r="D111" s="9" t="s">
        <v>177</v>
      </c>
      <c r="E111" s="12">
        <v>2</v>
      </c>
      <c r="F111" s="9" t="s">
        <v>24</v>
      </c>
      <c r="G111" s="12" t="str">
        <f t="shared" si="22"/>
        <v>Блок3</v>
      </c>
    </row>
    <row r="112" spans="1:7" ht="27" customHeight="1" x14ac:dyDescent="0.25">
      <c r="A112" s="12" t="str">
        <f t="shared" si="21"/>
        <v>ВРУ1-3</v>
      </c>
      <c r="B112" s="9" t="s">
        <v>126</v>
      </c>
      <c r="C112" s="10" t="s">
        <v>129</v>
      </c>
      <c r="D112" s="9" t="s">
        <v>130</v>
      </c>
      <c r="E112" s="12">
        <v>6</v>
      </c>
      <c r="F112" s="9" t="s">
        <v>13</v>
      </c>
      <c r="G112" s="12" t="str">
        <f>G110</f>
        <v>Блок3</v>
      </c>
    </row>
    <row r="113" spans="1:7" ht="27" customHeight="1" x14ac:dyDescent="0.25">
      <c r="A113" s="12" t="str">
        <f t="shared" si="21"/>
        <v>ВРУ1-3</v>
      </c>
      <c r="B113" s="9" t="s">
        <v>125</v>
      </c>
      <c r="C113" s="10" t="s">
        <v>127</v>
      </c>
      <c r="D113" s="9" t="s">
        <v>128</v>
      </c>
      <c r="E113" s="12">
        <v>6</v>
      </c>
      <c r="F113" s="9" t="s">
        <v>13</v>
      </c>
      <c r="G113" s="12" t="str">
        <f>G111</f>
        <v>Блок3</v>
      </c>
    </row>
    <row r="114" spans="1:7" ht="27" customHeight="1" x14ac:dyDescent="0.25">
      <c r="A114" s="12" t="str">
        <f t="shared" si="21"/>
        <v>ВРУ1-3</v>
      </c>
      <c r="B114" s="9" t="s">
        <v>290</v>
      </c>
      <c r="C114" s="10" t="s">
        <v>188</v>
      </c>
      <c r="D114" s="9" t="s">
        <v>189</v>
      </c>
      <c r="E114" s="12">
        <v>2</v>
      </c>
      <c r="F114" s="9" t="s">
        <v>206</v>
      </c>
      <c r="G114" s="12" t="str">
        <f t="shared" ref="G114:G119" si="23">G112</f>
        <v>Блок3</v>
      </c>
    </row>
    <row r="115" spans="1:7" ht="27" customHeight="1" x14ac:dyDescent="0.25">
      <c r="A115" s="12" t="str">
        <f t="shared" si="21"/>
        <v>ВРУ1-3</v>
      </c>
      <c r="B115" s="9" t="s">
        <v>14</v>
      </c>
      <c r="C115" s="10" t="s">
        <v>294</v>
      </c>
      <c r="D115" s="20" t="s">
        <v>295</v>
      </c>
      <c r="E115" s="12">
        <v>2</v>
      </c>
      <c r="F115" s="9" t="s">
        <v>15</v>
      </c>
      <c r="G115" s="12" t="str">
        <f t="shared" si="23"/>
        <v>Блок3</v>
      </c>
    </row>
    <row r="116" spans="1:7" ht="27" customHeight="1" x14ac:dyDescent="0.25">
      <c r="A116" s="12" t="str">
        <f t="shared" si="21"/>
        <v>ВРУ1-3</v>
      </c>
      <c r="B116" s="9" t="s">
        <v>29</v>
      </c>
      <c r="C116" s="10"/>
      <c r="D116" s="9" t="s">
        <v>30</v>
      </c>
      <c r="E116" s="12">
        <v>6</v>
      </c>
      <c r="F116" s="9" t="s">
        <v>24</v>
      </c>
      <c r="G116" s="12" t="str">
        <f t="shared" si="23"/>
        <v>Блок3</v>
      </c>
    </row>
    <row r="117" spans="1:7" ht="27" customHeight="1" x14ac:dyDescent="0.25">
      <c r="A117" s="9" t="str">
        <f t="shared" si="21"/>
        <v>ВРУ1-3</v>
      </c>
      <c r="B117" s="9" t="s">
        <v>18</v>
      </c>
      <c r="C117" s="10" t="s">
        <v>18</v>
      </c>
      <c r="D117" s="9" t="s">
        <v>18</v>
      </c>
      <c r="E117" s="9">
        <v>1</v>
      </c>
      <c r="F117" s="9" t="s">
        <v>18</v>
      </c>
      <c r="G117" s="12" t="str">
        <f t="shared" si="23"/>
        <v>Блок3</v>
      </c>
    </row>
    <row r="118" spans="1:7" ht="27" customHeight="1" x14ac:dyDescent="0.25">
      <c r="A118" s="9" t="str">
        <f t="shared" si="21"/>
        <v>ВРУ1-3</v>
      </c>
      <c r="B118" s="9" t="s">
        <v>19</v>
      </c>
      <c r="C118" s="10" t="s">
        <v>19</v>
      </c>
      <c r="D118" s="9" t="s">
        <v>19</v>
      </c>
      <c r="E118" s="9" t="e">
        <f>60*#REF!</f>
        <v>#REF!</v>
      </c>
      <c r="F118" s="9" t="s">
        <v>19</v>
      </c>
      <c r="G118" s="12" t="str">
        <f t="shared" si="23"/>
        <v>Блок3</v>
      </c>
    </row>
    <row r="119" spans="1:7" ht="27" customHeight="1" x14ac:dyDescent="0.25">
      <c r="A119" s="14" t="str">
        <f t="shared" si="21"/>
        <v>ВРУ1-3</v>
      </c>
      <c r="B119" s="14"/>
      <c r="C119" s="14"/>
      <c r="D119" s="15"/>
      <c r="E119" s="14"/>
      <c r="F119" s="14"/>
      <c r="G119" s="12" t="str">
        <f t="shared" si="23"/>
        <v>Блок3</v>
      </c>
    </row>
    <row r="120" spans="1:7" ht="27" customHeight="1" x14ac:dyDescent="0.25">
      <c r="A120" s="7" t="str">
        <f>D120</f>
        <v>РУ-1-3(Блок3)</v>
      </c>
      <c r="B120" s="4"/>
      <c r="C120" s="5"/>
      <c r="D120" s="4" t="s">
        <v>58</v>
      </c>
      <c r="E120" s="7">
        <v>1</v>
      </c>
      <c r="F120" s="4" t="s">
        <v>9</v>
      </c>
      <c r="G120" s="7" t="s">
        <v>57</v>
      </c>
    </row>
    <row r="121" spans="1:7" ht="27" customHeight="1" x14ac:dyDescent="0.25">
      <c r="A121" s="12" t="str">
        <f t="shared" ref="A121:A127" si="24">A120</f>
        <v>РУ-1-3(Блок3)</v>
      </c>
      <c r="B121" s="9" t="s">
        <v>10</v>
      </c>
      <c r="C121" s="10" t="s">
        <v>169</v>
      </c>
      <c r="D121" s="9" t="s">
        <v>170</v>
      </c>
      <c r="E121" s="12">
        <v>1</v>
      </c>
      <c r="F121" s="9" t="s">
        <v>12</v>
      </c>
      <c r="G121" s="12" t="str">
        <f t="shared" ref="G121:G127" si="25">G120</f>
        <v>Блок3</v>
      </c>
    </row>
    <row r="122" spans="1:7" ht="27" customHeight="1" x14ac:dyDescent="0.25">
      <c r="A122" s="12" t="str">
        <f t="shared" si="24"/>
        <v>РУ-1-3(Блок3)</v>
      </c>
      <c r="B122" s="9" t="s">
        <v>291</v>
      </c>
      <c r="C122" s="10" t="s">
        <v>224</v>
      </c>
      <c r="D122" s="9" t="s">
        <v>225</v>
      </c>
      <c r="E122" s="12">
        <v>2</v>
      </c>
      <c r="F122" s="9" t="s">
        <v>206</v>
      </c>
      <c r="G122" s="12" t="str">
        <f t="shared" si="25"/>
        <v>Блок3</v>
      </c>
    </row>
    <row r="123" spans="1:7" ht="27" customHeight="1" x14ac:dyDescent="0.25">
      <c r="A123" s="12" t="str">
        <f t="shared" si="24"/>
        <v>РУ-1-3(Блок3)</v>
      </c>
      <c r="B123" s="9" t="s">
        <v>291</v>
      </c>
      <c r="C123" s="10" t="s">
        <v>226</v>
      </c>
      <c r="D123" s="9" t="s">
        <v>227</v>
      </c>
      <c r="E123" s="12">
        <v>1</v>
      </c>
      <c r="F123" s="9" t="s">
        <v>206</v>
      </c>
      <c r="G123" s="12" t="str">
        <f t="shared" si="25"/>
        <v>Блок3</v>
      </c>
    </row>
    <row r="124" spans="1:7" ht="27" customHeight="1" x14ac:dyDescent="0.25">
      <c r="A124" s="12" t="str">
        <f t="shared" si="24"/>
        <v>РУ-1-3(Блок3)</v>
      </c>
      <c r="B124" s="9" t="s">
        <v>290</v>
      </c>
      <c r="C124" s="10" t="s">
        <v>216</v>
      </c>
      <c r="D124" s="9" t="s">
        <v>217</v>
      </c>
      <c r="E124" s="12">
        <v>2</v>
      </c>
      <c r="F124" s="9" t="s">
        <v>206</v>
      </c>
      <c r="G124" s="12" t="str">
        <f t="shared" si="25"/>
        <v>Блок3</v>
      </c>
    </row>
    <row r="125" spans="1:7" ht="27" customHeight="1" x14ac:dyDescent="0.25">
      <c r="A125" s="9" t="str">
        <f t="shared" si="24"/>
        <v>РУ-1-3(Блок3)</v>
      </c>
      <c r="B125" s="9" t="s">
        <v>18</v>
      </c>
      <c r="C125" s="10" t="s">
        <v>18</v>
      </c>
      <c r="D125" s="9" t="s">
        <v>18</v>
      </c>
      <c r="E125" s="9">
        <v>1</v>
      </c>
      <c r="F125" s="9" t="s">
        <v>18</v>
      </c>
      <c r="G125" s="12" t="str">
        <f t="shared" si="25"/>
        <v>Блок3</v>
      </c>
    </row>
    <row r="126" spans="1:7" ht="27" customHeight="1" x14ac:dyDescent="0.25">
      <c r="A126" s="9" t="str">
        <f t="shared" si="24"/>
        <v>РУ-1-3(Блок3)</v>
      </c>
      <c r="B126" s="9" t="s">
        <v>19</v>
      </c>
      <c r="C126" s="10" t="s">
        <v>19</v>
      </c>
      <c r="D126" s="9" t="s">
        <v>19</v>
      </c>
      <c r="E126" s="9" t="e">
        <f>60*#REF!</f>
        <v>#REF!</v>
      </c>
      <c r="F126" s="9" t="s">
        <v>19</v>
      </c>
      <c r="G126" s="12" t="str">
        <f t="shared" si="25"/>
        <v>Блок3</v>
      </c>
    </row>
    <row r="127" spans="1:7" ht="27" customHeight="1" x14ac:dyDescent="0.25">
      <c r="A127" s="14" t="str">
        <f t="shared" si="24"/>
        <v>РУ-1-3(Блок3)</v>
      </c>
      <c r="B127" s="14"/>
      <c r="C127" s="14"/>
      <c r="D127" s="15"/>
      <c r="E127" s="14"/>
      <c r="F127" s="14"/>
      <c r="G127" s="12" t="str">
        <f t="shared" si="25"/>
        <v>Блок3</v>
      </c>
    </row>
    <row r="128" spans="1:7" ht="27" customHeight="1" x14ac:dyDescent="0.25">
      <c r="A128" s="7" t="str">
        <f>D128</f>
        <v>РУ-2-3</v>
      </c>
      <c r="B128" s="4"/>
      <c r="C128" s="5"/>
      <c r="D128" s="4" t="s">
        <v>59</v>
      </c>
      <c r="E128" s="7">
        <v>1</v>
      </c>
      <c r="F128" s="4" t="s">
        <v>9</v>
      </c>
      <c r="G128" s="7" t="s">
        <v>57</v>
      </c>
    </row>
    <row r="129" spans="1:7" ht="27" customHeight="1" x14ac:dyDescent="0.25">
      <c r="A129" s="12" t="str">
        <f t="shared" ref="A129:A135" si="26">A128</f>
        <v>РУ-2-3</v>
      </c>
      <c r="B129" s="9" t="s">
        <v>10</v>
      </c>
      <c r="C129" s="10" t="s">
        <v>169</v>
      </c>
      <c r="D129" s="9" t="s">
        <v>170</v>
      </c>
      <c r="E129" s="12">
        <v>1</v>
      </c>
      <c r="F129" s="9" t="s">
        <v>12</v>
      </c>
      <c r="G129" s="12" t="str">
        <f>G128</f>
        <v>Блок3</v>
      </c>
    </row>
    <row r="130" spans="1:7" ht="27" customHeight="1" x14ac:dyDescent="0.25">
      <c r="A130" s="12" t="str">
        <f t="shared" si="26"/>
        <v>РУ-2-3</v>
      </c>
      <c r="B130" s="9" t="s">
        <v>291</v>
      </c>
      <c r="C130" s="10" t="s">
        <v>226</v>
      </c>
      <c r="D130" s="9" t="s">
        <v>227</v>
      </c>
      <c r="E130" s="12">
        <v>1</v>
      </c>
      <c r="F130" s="9" t="s">
        <v>206</v>
      </c>
      <c r="G130" s="12" t="str">
        <f>G129</f>
        <v>Блок3</v>
      </c>
    </row>
    <row r="131" spans="1:7" ht="27" customHeight="1" x14ac:dyDescent="0.25">
      <c r="A131" s="12" t="str">
        <f t="shared" si="26"/>
        <v>РУ-2-3</v>
      </c>
      <c r="B131" s="9" t="s">
        <v>291</v>
      </c>
      <c r="C131" s="10" t="s">
        <v>224</v>
      </c>
      <c r="D131" s="9" t="s">
        <v>225</v>
      </c>
      <c r="E131" s="12">
        <v>3</v>
      </c>
      <c r="F131" s="9" t="s">
        <v>206</v>
      </c>
      <c r="G131" s="12" t="s">
        <v>57</v>
      </c>
    </row>
    <row r="132" spans="1:7" ht="27" customHeight="1" x14ac:dyDescent="0.25">
      <c r="A132" s="12" t="str">
        <f t="shared" si="26"/>
        <v>РУ-2-3</v>
      </c>
      <c r="B132" s="9" t="s">
        <v>290</v>
      </c>
      <c r="C132" s="10" t="s">
        <v>216</v>
      </c>
      <c r="D132" s="9" t="s">
        <v>217</v>
      </c>
      <c r="E132" s="12">
        <v>1</v>
      </c>
      <c r="F132" s="9" t="s">
        <v>206</v>
      </c>
      <c r="G132" s="12" t="s">
        <v>57</v>
      </c>
    </row>
    <row r="133" spans="1:7" ht="27" customHeight="1" x14ac:dyDescent="0.25">
      <c r="A133" s="9" t="str">
        <f t="shared" si="26"/>
        <v>РУ-2-3</v>
      </c>
      <c r="B133" s="9" t="s">
        <v>18</v>
      </c>
      <c r="C133" s="10" t="s">
        <v>18</v>
      </c>
      <c r="D133" s="9" t="s">
        <v>18</v>
      </c>
      <c r="E133" s="9">
        <v>1</v>
      </c>
      <c r="F133" s="9" t="s">
        <v>18</v>
      </c>
      <c r="G133" s="12" t="s">
        <v>65</v>
      </c>
    </row>
    <row r="134" spans="1:7" ht="27" customHeight="1" x14ac:dyDescent="0.25">
      <c r="A134" s="9" t="str">
        <f t="shared" si="26"/>
        <v>РУ-2-3</v>
      </c>
      <c r="B134" s="9" t="s">
        <v>19</v>
      </c>
      <c r="C134" s="10" t="s">
        <v>19</v>
      </c>
      <c r="D134" s="9" t="s">
        <v>19</v>
      </c>
      <c r="E134" s="9" t="e">
        <f>60*#REF!</f>
        <v>#REF!</v>
      </c>
      <c r="F134" s="9" t="s">
        <v>19</v>
      </c>
      <c r="G134" s="12" t="s">
        <v>70</v>
      </c>
    </row>
    <row r="135" spans="1:7" ht="27" customHeight="1" x14ac:dyDescent="0.25">
      <c r="A135" s="14" t="str">
        <f t="shared" si="26"/>
        <v>РУ-2-3</v>
      </c>
      <c r="B135" s="14"/>
      <c r="C135" s="14"/>
      <c r="D135" s="15"/>
      <c r="E135" s="14"/>
      <c r="F135" s="14"/>
      <c r="G135" s="12" t="s">
        <v>73</v>
      </c>
    </row>
    <row r="136" spans="1:7" ht="27" customHeight="1" x14ac:dyDescent="0.25">
      <c r="A136" s="7" t="str">
        <f>D136</f>
        <v>ЩУР.МОП1-3</v>
      </c>
      <c r="B136" s="4"/>
      <c r="C136" s="5"/>
      <c r="D136" s="4" t="s">
        <v>62</v>
      </c>
      <c r="E136" s="7">
        <v>1</v>
      </c>
      <c r="F136" s="4" t="s">
        <v>9</v>
      </c>
      <c r="G136" s="7" t="s">
        <v>57</v>
      </c>
    </row>
    <row r="137" spans="1:7" ht="27" customHeight="1" x14ac:dyDescent="0.25">
      <c r="A137" s="12" t="str">
        <f t="shared" ref="A137:A144" si="27">A136</f>
        <v>ЩУР.МОП1-3</v>
      </c>
      <c r="B137" s="9" t="s">
        <v>10</v>
      </c>
      <c r="C137" s="10" t="s">
        <v>39</v>
      </c>
      <c r="D137" s="9" t="s">
        <v>40</v>
      </c>
      <c r="E137" s="12">
        <v>1</v>
      </c>
      <c r="F137" s="9" t="s">
        <v>12</v>
      </c>
      <c r="G137" s="12" t="str">
        <f t="shared" ref="G137:G144" si="28">G136</f>
        <v>Блок3</v>
      </c>
    </row>
    <row r="138" spans="1:7" ht="27" customHeight="1" x14ac:dyDescent="0.25">
      <c r="A138" s="12" t="str">
        <f t="shared" si="27"/>
        <v>ЩУР.МОП1-3</v>
      </c>
      <c r="B138" s="9" t="s">
        <v>290</v>
      </c>
      <c r="C138" s="10" t="s">
        <v>194</v>
      </c>
      <c r="D138" s="9" t="s">
        <v>195</v>
      </c>
      <c r="E138" s="12">
        <v>1</v>
      </c>
      <c r="F138" s="9" t="s">
        <v>206</v>
      </c>
      <c r="G138" s="12" t="str">
        <f t="shared" si="28"/>
        <v>Блок3</v>
      </c>
    </row>
    <row r="139" spans="1:7" ht="27" customHeight="1" x14ac:dyDescent="0.25">
      <c r="A139" s="12" t="str">
        <f t="shared" si="27"/>
        <v>ЩУР.МОП1-3</v>
      </c>
      <c r="B139" s="9" t="s">
        <v>290</v>
      </c>
      <c r="C139" s="10" t="s">
        <v>200</v>
      </c>
      <c r="D139" s="9" t="s">
        <v>201</v>
      </c>
      <c r="E139" s="12">
        <v>2</v>
      </c>
      <c r="F139" s="9" t="s">
        <v>206</v>
      </c>
      <c r="G139" s="12" t="str">
        <f t="shared" si="28"/>
        <v>Блок3</v>
      </c>
    </row>
    <row r="140" spans="1:7" ht="27" customHeight="1" x14ac:dyDescent="0.25">
      <c r="A140" s="12" t="str">
        <f t="shared" si="27"/>
        <v>ЩУР.МОП1-3</v>
      </c>
      <c r="B140" s="9" t="s">
        <v>290</v>
      </c>
      <c r="C140" s="10" t="s">
        <v>192</v>
      </c>
      <c r="D140" s="9" t="s">
        <v>193</v>
      </c>
      <c r="E140" s="12">
        <v>2</v>
      </c>
      <c r="F140" s="9" t="s">
        <v>206</v>
      </c>
      <c r="G140" s="12" t="str">
        <f t="shared" si="28"/>
        <v>Блок3</v>
      </c>
    </row>
    <row r="141" spans="1:7" ht="27" customHeight="1" x14ac:dyDescent="0.25">
      <c r="A141" s="12" t="str">
        <f t="shared" si="27"/>
        <v>ЩУР.МОП1-3</v>
      </c>
      <c r="B141" s="9" t="s">
        <v>14</v>
      </c>
      <c r="C141" s="10" t="s">
        <v>296</v>
      </c>
      <c r="D141" s="9" t="s">
        <v>297</v>
      </c>
      <c r="E141" s="12">
        <v>1</v>
      </c>
      <c r="F141" s="9" t="s">
        <v>15</v>
      </c>
      <c r="G141" s="12" t="str">
        <f t="shared" si="28"/>
        <v>Блок3</v>
      </c>
    </row>
    <row r="142" spans="1:7" ht="27" customHeight="1" x14ac:dyDescent="0.25">
      <c r="A142" s="9" t="str">
        <f t="shared" si="27"/>
        <v>ЩУР.МОП1-3</v>
      </c>
      <c r="B142" s="9" t="s">
        <v>18</v>
      </c>
      <c r="C142" s="10" t="s">
        <v>18</v>
      </c>
      <c r="D142" s="9" t="s">
        <v>18</v>
      </c>
      <c r="E142" s="9">
        <v>1</v>
      </c>
      <c r="F142" s="9" t="s">
        <v>18</v>
      </c>
      <c r="G142" s="12" t="str">
        <f t="shared" si="28"/>
        <v>Блок3</v>
      </c>
    </row>
    <row r="143" spans="1:7" ht="27" customHeight="1" x14ac:dyDescent="0.25">
      <c r="A143" s="9" t="str">
        <f t="shared" si="27"/>
        <v>ЩУР.МОП1-3</v>
      </c>
      <c r="B143" s="9" t="s">
        <v>19</v>
      </c>
      <c r="C143" s="10" t="s">
        <v>19</v>
      </c>
      <c r="D143" s="9" t="s">
        <v>19</v>
      </c>
      <c r="E143" s="9" t="e">
        <f>60*#REF!</f>
        <v>#REF!</v>
      </c>
      <c r="F143" s="9" t="s">
        <v>19</v>
      </c>
      <c r="G143" s="12" t="str">
        <f t="shared" si="28"/>
        <v>Блок3</v>
      </c>
    </row>
    <row r="144" spans="1:7" ht="27" customHeight="1" x14ac:dyDescent="0.25">
      <c r="A144" s="14" t="str">
        <f t="shared" si="27"/>
        <v>ЩУР.МОП1-3</v>
      </c>
      <c r="B144" s="14"/>
      <c r="C144" s="14"/>
      <c r="D144" s="15"/>
      <c r="E144" s="14"/>
      <c r="F144" s="14"/>
      <c r="G144" s="12" t="str">
        <f t="shared" si="28"/>
        <v>Блок3</v>
      </c>
    </row>
    <row r="145" spans="1:7" ht="27" customHeight="1" x14ac:dyDescent="0.25">
      <c r="A145" s="7" t="str">
        <f>D145</f>
        <v>ЩУР.МОП2-3</v>
      </c>
      <c r="B145" s="4"/>
      <c r="C145" s="5"/>
      <c r="D145" s="4" t="s">
        <v>63</v>
      </c>
      <c r="E145" s="7">
        <v>1</v>
      </c>
      <c r="F145" s="4" t="s">
        <v>9</v>
      </c>
      <c r="G145" s="7" t="s">
        <v>57</v>
      </c>
    </row>
    <row r="146" spans="1:7" ht="27" customHeight="1" x14ac:dyDescent="0.25">
      <c r="A146" s="12" t="str">
        <f t="shared" ref="A146:A153" si="29">A145</f>
        <v>ЩУР.МОП2-3</v>
      </c>
      <c r="B146" s="9" t="s">
        <v>10</v>
      </c>
      <c r="C146" s="10" t="s">
        <v>39</v>
      </c>
      <c r="D146" s="9" t="s">
        <v>40</v>
      </c>
      <c r="E146" s="12">
        <v>1</v>
      </c>
      <c r="F146" s="9" t="s">
        <v>12</v>
      </c>
      <c r="G146" s="12" t="str">
        <f t="shared" ref="G146:G153" si="30">G145</f>
        <v>Блок3</v>
      </c>
    </row>
    <row r="147" spans="1:7" ht="27" customHeight="1" x14ac:dyDescent="0.25">
      <c r="A147" s="12" t="str">
        <f t="shared" si="29"/>
        <v>ЩУР.МОП2-3</v>
      </c>
      <c r="B147" s="9" t="s">
        <v>290</v>
      </c>
      <c r="C147" s="10" t="s">
        <v>194</v>
      </c>
      <c r="D147" s="9" t="s">
        <v>195</v>
      </c>
      <c r="E147" s="12">
        <v>1</v>
      </c>
      <c r="F147" s="9" t="s">
        <v>206</v>
      </c>
      <c r="G147" s="12" t="str">
        <f t="shared" si="30"/>
        <v>Блок3</v>
      </c>
    </row>
    <row r="148" spans="1:7" ht="27" customHeight="1" x14ac:dyDescent="0.25">
      <c r="A148" s="12" t="str">
        <f t="shared" si="29"/>
        <v>ЩУР.МОП2-3</v>
      </c>
      <c r="B148" s="9" t="s">
        <v>290</v>
      </c>
      <c r="C148" s="10" t="s">
        <v>200</v>
      </c>
      <c r="D148" s="9" t="s">
        <v>201</v>
      </c>
      <c r="E148" s="12">
        <v>2</v>
      </c>
      <c r="F148" s="9" t="s">
        <v>206</v>
      </c>
      <c r="G148" s="12" t="str">
        <f t="shared" si="30"/>
        <v>Блок3</v>
      </c>
    </row>
    <row r="149" spans="1:7" ht="27" customHeight="1" x14ac:dyDescent="0.25">
      <c r="A149" s="12" t="str">
        <f t="shared" si="29"/>
        <v>ЩУР.МОП2-3</v>
      </c>
      <c r="B149" s="9" t="s">
        <v>290</v>
      </c>
      <c r="C149" s="10" t="s">
        <v>192</v>
      </c>
      <c r="D149" s="9" t="s">
        <v>193</v>
      </c>
      <c r="E149" s="12">
        <v>2</v>
      </c>
      <c r="F149" s="9" t="s">
        <v>206</v>
      </c>
      <c r="G149" s="12" t="str">
        <f t="shared" si="30"/>
        <v>Блок3</v>
      </c>
    </row>
    <row r="150" spans="1:7" ht="27" customHeight="1" x14ac:dyDescent="0.25">
      <c r="A150" s="12" t="str">
        <f t="shared" si="29"/>
        <v>ЩУР.МОП2-3</v>
      </c>
      <c r="B150" s="9" t="s">
        <v>14</v>
      </c>
      <c r="C150" s="10" t="s">
        <v>296</v>
      </c>
      <c r="D150" s="9" t="s">
        <v>297</v>
      </c>
      <c r="E150" s="12">
        <v>1</v>
      </c>
      <c r="F150" s="9" t="s">
        <v>15</v>
      </c>
      <c r="G150" s="12" t="str">
        <f t="shared" si="30"/>
        <v>Блок3</v>
      </c>
    </row>
    <row r="151" spans="1:7" ht="27" customHeight="1" x14ac:dyDescent="0.25">
      <c r="A151" s="9" t="str">
        <f t="shared" si="29"/>
        <v>ЩУР.МОП2-3</v>
      </c>
      <c r="B151" s="9" t="s">
        <v>18</v>
      </c>
      <c r="C151" s="10" t="s">
        <v>18</v>
      </c>
      <c r="D151" s="9" t="s">
        <v>18</v>
      </c>
      <c r="E151" s="9">
        <v>1</v>
      </c>
      <c r="F151" s="9" t="s">
        <v>18</v>
      </c>
      <c r="G151" s="12" t="str">
        <f t="shared" si="30"/>
        <v>Блок3</v>
      </c>
    </row>
    <row r="152" spans="1:7" ht="27" customHeight="1" x14ac:dyDescent="0.25">
      <c r="A152" s="9" t="str">
        <f t="shared" si="29"/>
        <v>ЩУР.МОП2-3</v>
      </c>
      <c r="B152" s="9" t="s">
        <v>19</v>
      </c>
      <c r="C152" s="10" t="s">
        <v>19</v>
      </c>
      <c r="D152" s="9" t="s">
        <v>19</v>
      </c>
      <c r="E152" s="9" t="e">
        <f>60*#REF!</f>
        <v>#REF!</v>
      </c>
      <c r="F152" s="9" t="s">
        <v>19</v>
      </c>
      <c r="G152" s="12" t="str">
        <f t="shared" si="30"/>
        <v>Блок3</v>
      </c>
    </row>
    <row r="153" spans="1:7" ht="27" customHeight="1" x14ac:dyDescent="0.25">
      <c r="A153" s="14" t="str">
        <f t="shared" si="29"/>
        <v>ЩУР.МОП2-3</v>
      </c>
      <c r="B153" s="14"/>
      <c r="C153" s="14"/>
      <c r="D153" s="15"/>
      <c r="E153" s="14"/>
      <c r="F153" s="14"/>
      <c r="G153" s="12" t="str">
        <f t="shared" si="30"/>
        <v>Блок3</v>
      </c>
    </row>
    <row r="154" spans="1:7" ht="27" customHeight="1" x14ac:dyDescent="0.25">
      <c r="A154" s="7" t="str">
        <f>D154</f>
        <v>РЩ1-3 (АВР-Б-40-2-1)</v>
      </c>
      <c r="B154" s="4"/>
      <c r="C154" s="5"/>
      <c r="D154" s="4" t="s">
        <v>133</v>
      </c>
      <c r="E154" s="7">
        <v>1</v>
      </c>
      <c r="F154" s="4" t="s">
        <v>9</v>
      </c>
      <c r="G154" s="7" t="s">
        <v>57</v>
      </c>
    </row>
    <row r="155" spans="1:7" ht="27" customHeight="1" x14ac:dyDescent="0.25">
      <c r="A155" s="12" t="str">
        <f t="shared" ref="A155:A166" si="31">A154</f>
        <v>РЩ1-3 (АВР-Б-40-2-1)</v>
      </c>
      <c r="B155" s="9" t="s">
        <v>10</v>
      </c>
      <c r="C155" s="10" t="s">
        <v>167</v>
      </c>
      <c r="D155" s="9" t="s">
        <v>168</v>
      </c>
      <c r="E155" s="12">
        <v>1</v>
      </c>
      <c r="F155" s="9" t="s">
        <v>12</v>
      </c>
      <c r="G155" s="12" t="str">
        <f t="shared" ref="G155:G166" si="32">G154</f>
        <v>Блок3</v>
      </c>
    </row>
    <row r="156" spans="1:7" ht="27" customHeight="1" x14ac:dyDescent="0.25">
      <c r="A156" s="12" t="str">
        <f t="shared" si="31"/>
        <v>РЩ1-3 (АВР-Б-40-2-1)</v>
      </c>
      <c r="B156" s="9" t="s">
        <v>43</v>
      </c>
      <c r="C156" s="10" t="s">
        <v>240</v>
      </c>
      <c r="D156" s="9" t="s">
        <v>241</v>
      </c>
      <c r="E156" s="12">
        <v>1</v>
      </c>
      <c r="F156" s="9" t="s">
        <v>13</v>
      </c>
      <c r="G156" s="12" t="str">
        <f t="shared" si="32"/>
        <v>Блок3</v>
      </c>
    </row>
    <row r="157" spans="1:7" ht="27" customHeight="1" x14ac:dyDescent="0.25">
      <c r="A157" s="12" t="str">
        <f t="shared" si="31"/>
        <v>РЩ1-3 (АВР-Б-40-2-1)</v>
      </c>
      <c r="B157" s="9" t="s">
        <v>290</v>
      </c>
      <c r="C157" s="10" t="s">
        <v>212</v>
      </c>
      <c r="D157" s="9" t="s">
        <v>213</v>
      </c>
      <c r="E157" s="12">
        <v>2</v>
      </c>
      <c r="F157" s="9" t="s">
        <v>206</v>
      </c>
      <c r="G157" s="12" t="str">
        <f t="shared" si="32"/>
        <v>Блок3</v>
      </c>
    </row>
    <row r="158" spans="1:7" ht="27" customHeight="1" x14ac:dyDescent="0.25">
      <c r="A158" s="12" t="str">
        <f t="shared" si="31"/>
        <v>РЩ1-3 (АВР-Б-40-2-1)</v>
      </c>
      <c r="B158" s="9" t="s">
        <v>290</v>
      </c>
      <c r="C158" s="10" t="s">
        <v>230</v>
      </c>
      <c r="D158" s="9" t="s">
        <v>231</v>
      </c>
      <c r="E158" s="12">
        <v>2</v>
      </c>
      <c r="F158" s="9" t="s">
        <v>206</v>
      </c>
      <c r="G158" s="12" t="str">
        <f t="shared" si="32"/>
        <v>Блок3</v>
      </c>
    </row>
    <row r="159" spans="1:7" ht="27" customHeight="1" x14ac:dyDescent="0.25">
      <c r="A159" s="12" t="str">
        <f t="shared" si="31"/>
        <v>РЩ1-3 (АВР-Б-40-2-1)</v>
      </c>
      <c r="B159" s="9" t="s">
        <v>291</v>
      </c>
      <c r="C159" s="10" t="s">
        <v>202</v>
      </c>
      <c r="D159" s="9" t="s">
        <v>203</v>
      </c>
      <c r="E159" s="12">
        <v>2</v>
      </c>
      <c r="F159" s="9" t="s">
        <v>206</v>
      </c>
      <c r="G159" s="12" t="str">
        <f t="shared" si="32"/>
        <v>Блок3</v>
      </c>
    </row>
    <row r="160" spans="1:7" ht="27" customHeight="1" x14ac:dyDescent="0.25">
      <c r="A160" s="12" t="str">
        <f t="shared" si="31"/>
        <v>РЩ1-3 (АВР-Б-40-2-1)</v>
      </c>
      <c r="B160" s="9" t="s">
        <v>17</v>
      </c>
      <c r="C160" s="10" t="s">
        <v>232</v>
      </c>
      <c r="D160" s="9" t="s">
        <v>233</v>
      </c>
      <c r="E160" s="12">
        <v>1</v>
      </c>
      <c r="F160" s="9" t="s">
        <v>13</v>
      </c>
      <c r="G160" s="12" t="str">
        <f t="shared" si="32"/>
        <v>Блок3</v>
      </c>
    </row>
    <row r="161" spans="1:7" ht="27" customHeight="1" x14ac:dyDescent="0.25">
      <c r="A161" s="12" t="str">
        <f t="shared" si="31"/>
        <v>РЩ1-3 (АВР-Б-40-2-1)</v>
      </c>
      <c r="B161" s="9" t="s">
        <v>290</v>
      </c>
      <c r="C161" s="10" t="s">
        <v>204</v>
      </c>
      <c r="D161" s="9" t="s">
        <v>205</v>
      </c>
      <c r="E161" s="12">
        <v>1</v>
      </c>
      <c r="F161" s="9" t="s">
        <v>206</v>
      </c>
      <c r="G161" s="12" t="str">
        <f t="shared" si="32"/>
        <v>Блок3</v>
      </c>
    </row>
    <row r="162" spans="1:7" ht="27" customHeight="1" x14ac:dyDescent="0.25">
      <c r="A162" s="12" t="str">
        <f t="shared" si="31"/>
        <v>РЩ1-3 (АВР-Б-40-2-1)</v>
      </c>
      <c r="B162" s="9" t="s">
        <v>14</v>
      </c>
      <c r="C162" s="10" t="s">
        <v>296</v>
      </c>
      <c r="D162" s="9" t="s">
        <v>297</v>
      </c>
      <c r="E162" s="12">
        <v>1</v>
      </c>
      <c r="F162" s="9" t="s">
        <v>15</v>
      </c>
      <c r="G162" s="12" t="str">
        <f t="shared" si="32"/>
        <v>Блок3</v>
      </c>
    </row>
    <row r="163" spans="1:7" ht="27" customHeight="1" x14ac:dyDescent="0.25">
      <c r="A163" s="12" t="str">
        <f t="shared" si="31"/>
        <v>РЩ1-3 (АВР-Б-40-2-1)</v>
      </c>
      <c r="B163" s="9" t="s">
        <v>29</v>
      </c>
      <c r="C163" s="10"/>
      <c r="D163" s="9" t="s">
        <v>30</v>
      </c>
      <c r="E163" s="12">
        <v>6</v>
      </c>
      <c r="F163" s="9" t="s">
        <v>24</v>
      </c>
      <c r="G163" s="12" t="str">
        <f t="shared" si="32"/>
        <v>Блок3</v>
      </c>
    </row>
    <row r="164" spans="1:7" ht="27" customHeight="1" x14ac:dyDescent="0.25">
      <c r="A164" s="9" t="str">
        <f t="shared" si="31"/>
        <v>РЩ1-3 (АВР-Б-40-2-1)</v>
      </c>
      <c r="B164" s="9" t="s">
        <v>18</v>
      </c>
      <c r="C164" s="10" t="s">
        <v>18</v>
      </c>
      <c r="D164" s="9" t="s">
        <v>18</v>
      </c>
      <c r="E164" s="9">
        <v>1</v>
      </c>
      <c r="F164" s="9" t="s">
        <v>18</v>
      </c>
      <c r="G164" s="12" t="str">
        <f t="shared" si="32"/>
        <v>Блок3</v>
      </c>
    </row>
    <row r="165" spans="1:7" ht="27" customHeight="1" x14ac:dyDescent="0.25">
      <c r="A165" s="9" t="str">
        <f t="shared" si="31"/>
        <v>РЩ1-3 (АВР-Б-40-2-1)</v>
      </c>
      <c r="B165" s="9" t="s">
        <v>19</v>
      </c>
      <c r="C165" s="10" t="s">
        <v>19</v>
      </c>
      <c r="D165" s="9" t="s">
        <v>19</v>
      </c>
      <c r="E165" s="9" t="e">
        <f>60*#REF!</f>
        <v>#REF!</v>
      </c>
      <c r="F165" s="9" t="s">
        <v>19</v>
      </c>
      <c r="G165" s="12" t="str">
        <f t="shared" si="32"/>
        <v>Блок3</v>
      </c>
    </row>
    <row r="166" spans="1:7" ht="27" customHeight="1" x14ac:dyDescent="0.25">
      <c r="A166" s="14" t="str">
        <f t="shared" si="31"/>
        <v>РЩ1-3 (АВР-Б-40-2-1)</v>
      </c>
      <c r="B166" s="14"/>
      <c r="C166" s="14"/>
      <c r="D166" s="15"/>
      <c r="E166" s="14"/>
      <c r="F166" s="14"/>
      <c r="G166" s="12" t="str">
        <f t="shared" si="32"/>
        <v>Блок3</v>
      </c>
    </row>
    <row r="167" spans="1:7" ht="27" customHeight="1" x14ac:dyDescent="0.25">
      <c r="A167" s="7" t="str">
        <f>D167</f>
        <v>РЩ2-3 (АВР-Б-40-2-1)</v>
      </c>
      <c r="B167" s="4"/>
      <c r="C167" s="5"/>
      <c r="D167" s="4" t="s">
        <v>134</v>
      </c>
      <c r="E167" s="7">
        <v>1</v>
      </c>
      <c r="F167" s="4" t="s">
        <v>9</v>
      </c>
      <c r="G167" s="7" t="s">
        <v>57</v>
      </c>
    </row>
    <row r="168" spans="1:7" ht="27" customHeight="1" x14ac:dyDescent="0.25">
      <c r="A168" s="12" t="str">
        <f t="shared" ref="A168:A179" si="33">A167</f>
        <v>РЩ2-3 (АВР-Б-40-2-1)</v>
      </c>
      <c r="B168" s="9" t="s">
        <v>10</v>
      </c>
      <c r="C168" s="10" t="s">
        <v>167</v>
      </c>
      <c r="D168" s="9" t="s">
        <v>168</v>
      </c>
      <c r="E168" s="12">
        <v>1</v>
      </c>
      <c r="F168" s="9" t="s">
        <v>12</v>
      </c>
      <c r="G168" s="12" t="str">
        <f t="shared" ref="G168:G179" si="34">G167</f>
        <v>Блок3</v>
      </c>
    </row>
    <row r="169" spans="1:7" ht="27" customHeight="1" x14ac:dyDescent="0.25">
      <c r="A169" s="12" t="str">
        <f t="shared" si="33"/>
        <v>РЩ2-3 (АВР-Б-40-2-1)</v>
      </c>
      <c r="B169" s="9" t="s">
        <v>43</v>
      </c>
      <c r="C169" s="10" t="s">
        <v>240</v>
      </c>
      <c r="D169" s="9" t="s">
        <v>241</v>
      </c>
      <c r="E169" s="12">
        <v>1</v>
      </c>
      <c r="F169" s="9" t="s">
        <v>13</v>
      </c>
      <c r="G169" s="12" t="str">
        <f t="shared" si="34"/>
        <v>Блок3</v>
      </c>
    </row>
    <row r="170" spans="1:7" ht="27" customHeight="1" x14ac:dyDescent="0.25">
      <c r="A170" s="12" t="str">
        <f t="shared" si="33"/>
        <v>РЩ2-3 (АВР-Б-40-2-1)</v>
      </c>
      <c r="B170" s="9" t="s">
        <v>290</v>
      </c>
      <c r="C170" s="10" t="s">
        <v>212</v>
      </c>
      <c r="D170" s="9" t="s">
        <v>213</v>
      </c>
      <c r="E170" s="12">
        <v>2</v>
      </c>
      <c r="F170" s="9" t="s">
        <v>206</v>
      </c>
      <c r="G170" s="12" t="str">
        <f t="shared" si="34"/>
        <v>Блок3</v>
      </c>
    </row>
    <row r="171" spans="1:7" ht="27" customHeight="1" x14ac:dyDescent="0.25">
      <c r="A171" s="12" t="str">
        <f t="shared" si="33"/>
        <v>РЩ2-3 (АВР-Б-40-2-1)</v>
      </c>
      <c r="B171" s="9" t="s">
        <v>290</v>
      </c>
      <c r="C171" s="10" t="s">
        <v>230</v>
      </c>
      <c r="D171" s="9" t="s">
        <v>231</v>
      </c>
      <c r="E171" s="12">
        <v>2</v>
      </c>
      <c r="F171" s="9" t="s">
        <v>206</v>
      </c>
      <c r="G171" s="12" t="str">
        <f t="shared" si="34"/>
        <v>Блок3</v>
      </c>
    </row>
    <row r="172" spans="1:7" ht="27" customHeight="1" x14ac:dyDescent="0.25">
      <c r="A172" s="12" t="str">
        <f t="shared" si="33"/>
        <v>РЩ2-3 (АВР-Б-40-2-1)</v>
      </c>
      <c r="B172" s="9" t="s">
        <v>291</v>
      </c>
      <c r="C172" s="10" t="s">
        <v>202</v>
      </c>
      <c r="D172" s="9" t="s">
        <v>203</v>
      </c>
      <c r="E172" s="12">
        <v>2</v>
      </c>
      <c r="F172" s="9" t="s">
        <v>206</v>
      </c>
      <c r="G172" s="12" t="str">
        <f t="shared" si="34"/>
        <v>Блок3</v>
      </c>
    </row>
    <row r="173" spans="1:7" ht="27" customHeight="1" x14ac:dyDescent="0.25">
      <c r="A173" s="12" t="str">
        <f t="shared" si="33"/>
        <v>РЩ2-3 (АВР-Б-40-2-1)</v>
      </c>
      <c r="B173" s="9" t="s">
        <v>17</v>
      </c>
      <c r="C173" s="10" t="s">
        <v>232</v>
      </c>
      <c r="D173" s="9" t="s">
        <v>233</v>
      </c>
      <c r="E173" s="12">
        <v>1</v>
      </c>
      <c r="F173" s="9" t="s">
        <v>13</v>
      </c>
      <c r="G173" s="12" t="str">
        <f t="shared" si="34"/>
        <v>Блок3</v>
      </c>
    </row>
    <row r="174" spans="1:7" ht="27" customHeight="1" x14ac:dyDescent="0.25">
      <c r="A174" s="12" t="str">
        <f t="shared" si="33"/>
        <v>РЩ2-3 (АВР-Б-40-2-1)</v>
      </c>
      <c r="B174" s="9" t="s">
        <v>290</v>
      </c>
      <c r="C174" s="10" t="s">
        <v>204</v>
      </c>
      <c r="D174" s="9" t="s">
        <v>205</v>
      </c>
      <c r="E174" s="12">
        <v>1</v>
      </c>
      <c r="F174" s="9" t="s">
        <v>206</v>
      </c>
      <c r="G174" s="12" t="str">
        <f t="shared" si="34"/>
        <v>Блок3</v>
      </c>
    </row>
    <row r="175" spans="1:7" ht="27" customHeight="1" x14ac:dyDescent="0.25">
      <c r="A175" s="12" t="str">
        <f t="shared" si="33"/>
        <v>РЩ2-3 (АВР-Б-40-2-1)</v>
      </c>
      <c r="B175" s="9" t="s">
        <v>14</v>
      </c>
      <c r="C175" s="10" t="s">
        <v>296</v>
      </c>
      <c r="D175" s="9" t="s">
        <v>297</v>
      </c>
      <c r="E175" s="12">
        <v>1</v>
      </c>
      <c r="F175" s="9" t="s">
        <v>15</v>
      </c>
      <c r="G175" s="12" t="str">
        <f t="shared" si="34"/>
        <v>Блок3</v>
      </c>
    </row>
    <row r="176" spans="1:7" ht="27" customHeight="1" x14ac:dyDescent="0.25">
      <c r="A176" s="12" t="str">
        <f t="shared" si="33"/>
        <v>РЩ2-3 (АВР-Б-40-2-1)</v>
      </c>
      <c r="B176" s="9" t="s">
        <v>29</v>
      </c>
      <c r="C176" s="10"/>
      <c r="D176" s="9" t="s">
        <v>30</v>
      </c>
      <c r="E176" s="12">
        <v>6</v>
      </c>
      <c r="F176" s="9" t="s">
        <v>24</v>
      </c>
      <c r="G176" s="12" t="str">
        <f t="shared" si="34"/>
        <v>Блок3</v>
      </c>
    </row>
    <row r="177" spans="1:7" ht="27" customHeight="1" x14ac:dyDescent="0.25">
      <c r="A177" s="9" t="str">
        <f t="shared" si="33"/>
        <v>РЩ2-3 (АВР-Б-40-2-1)</v>
      </c>
      <c r="B177" s="9" t="s">
        <v>18</v>
      </c>
      <c r="C177" s="10" t="s">
        <v>18</v>
      </c>
      <c r="D177" s="9" t="s">
        <v>18</v>
      </c>
      <c r="E177" s="9">
        <v>1</v>
      </c>
      <c r="F177" s="9" t="s">
        <v>18</v>
      </c>
      <c r="G177" s="12" t="str">
        <f t="shared" si="34"/>
        <v>Блок3</v>
      </c>
    </row>
    <row r="178" spans="1:7" ht="27" customHeight="1" x14ac:dyDescent="0.25">
      <c r="A178" s="9" t="str">
        <f t="shared" si="33"/>
        <v>РЩ2-3 (АВР-Б-40-2-1)</v>
      </c>
      <c r="B178" s="9" t="s">
        <v>19</v>
      </c>
      <c r="C178" s="10" t="s">
        <v>19</v>
      </c>
      <c r="D178" s="9" t="s">
        <v>19</v>
      </c>
      <c r="E178" s="9" t="e">
        <f>60*#REF!</f>
        <v>#REF!</v>
      </c>
      <c r="F178" s="9" t="s">
        <v>19</v>
      </c>
      <c r="G178" s="12" t="str">
        <f t="shared" si="34"/>
        <v>Блок3</v>
      </c>
    </row>
    <row r="179" spans="1:7" ht="27" customHeight="1" x14ac:dyDescent="0.25">
      <c r="A179" s="14" t="str">
        <f t="shared" si="33"/>
        <v>РЩ2-3 (АВР-Б-40-2-1)</v>
      </c>
      <c r="B179" s="14"/>
      <c r="C179" s="14"/>
      <c r="D179" s="15"/>
      <c r="E179" s="14"/>
      <c r="F179" s="14"/>
      <c r="G179" s="12" t="str">
        <f t="shared" si="34"/>
        <v>Блок3</v>
      </c>
    </row>
    <row r="180" spans="1:7" ht="27" customHeight="1" x14ac:dyDescent="0.25">
      <c r="A180" s="7" t="str">
        <f>D180</f>
        <v>ВРУ1-4</v>
      </c>
      <c r="B180" s="4"/>
      <c r="C180" s="5"/>
      <c r="D180" s="4" t="s">
        <v>64</v>
      </c>
      <c r="E180" s="7">
        <v>1</v>
      </c>
      <c r="F180" s="4" t="s">
        <v>9</v>
      </c>
      <c r="G180" s="7" t="s">
        <v>65</v>
      </c>
    </row>
    <row r="181" spans="1:7" ht="27" customHeight="1" x14ac:dyDescent="0.25">
      <c r="A181" s="12" t="str">
        <f t="shared" ref="A181:A191" si="35">A180</f>
        <v>ВРУ1-4</v>
      </c>
      <c r="B181" s="9" t="s">
        <v>10</v>
      </c>
      <c r="C181" s="10" t="s">
        <v>171</v>
      </c>
      <c r="D181" s="9" t="s">
        <v>172</v>
      </c>
      <c r="E181" s="12">
        <v>1</v>
      </c>
      <c r="F181" s="9" t="s">
        <v>12</v>
      </c>
      <c r="G181" s="12" t="str">
        <f t="shared" ref="G181:G183" si="36">G180</f>
        <v>Блок4</v>
      </c>
    </row>
    <row r="182" spans="1:7" ht="27" customHeight="1" x14ac:dyDescent="0.25">
      <c r="A182" s="12" t="str">
        <f t="shared" si="35"/>
        <v>ВРУ1-4</v>
      </c>
      <c r="B182" s="9" t="s">
        <v>22</v>
      </c>
      <c r="C182" s="10" t="s">
        <v>304</v>
      </c>
      <c r="D182" s="9" t="s">
        <v>305</v>
      </c>
      <c r="E182" s="12">
        <v>6</v>
      </c>
      <c r="F182" s="9" t="s">
        <v>24</v>
      </c>
      <c r="G182" s="12" t="str">
        <f t="shared" si="36"/>
        <v>Блок4</v>
      </c>
    </row>
    <row r="183" spans="1:7" ht="27" customHeight="1" x14ac:dyDescent="0.25">
      <c r="A183" s="12" t="str">
        <f t="shared" si="35"/>
        <v>ВРУ1-4</v>
      </c>
      <c r="B183" s="9" t="s">
        <v>25</v>
      </c>
      <c r="C183" s="10" t="s">
        <v>176</v>
      </c>
      <c r="D183" s="9" t="s">
        <v>177</v>
      </c>
      <c r="E183" s="12">
        <v>2</v>
      </c>
      <c r="F183" s="9" t="s">
        <v>24</v>
      </c>
      <c r="G183" s="12" t="str">
        <f t="shared" si="36"/>
        <v>Блок4</v>
      </c>
    </row>
    <row r="184" spans="1:7" ht="27" customHeight="1" x14ac:dyDescent="0.25">
      <c r="A184" s="12" t="str">
        <f t="shared" si="35"/>
        <v>ВРУ1-4</v>
      </c>
      <c r="B184" s="9" t="s">
        <v>126</v>
      </c>
      <c r="C184" s="10" t="s">
        <v>129</v>
      </c>
      <c r="D184" s="9" t="s">
        <v>130</v>
      </c>
      <c r="E184" s="12">
        <v>6</v>
      </c>
      <c r="F184" s="9" t="s">
        <v>13</v>
      </c>
      <c r="G184" s="12" t="str">
        <f>G182</f>
        <v>Блок4</v>
      </c>
    </row>
    <row r="185" spans="1:7" ht="27" customHeight="1" x14ac:dyDescent="0.25">
      <c r="A185" s="12" t="str">
        <f t="shared" si="35"/>
        <v>ВРУ1-4</v>
      </c>
      <c r="B185" s="9" t="s">
        <v>125</v>
      </c>
      <c r="C185" s="10" t="s">
        <v>127</v>
      </c>
      <c r="D185" s="9" t="s">
        <v>128</v>
      </c>
      <c r="E185" s="12">
        <v>6</v>
      </c>
      <c r="F185" s="9" t="s">
        <v>13</v>
      </c>
      <c r="G185" s="12" t="str">
        <f t="shared" ref="G185:G191" si="37">G183</f>
        <v>Блок4</v>
      </c>
    </row>
    <row r="186" spans="1:7" ht="27" customHeight="1" x14ac:dyDescent="0.25">
      <c r="A186" s="12" t="str">
        <f t="shared" si="35"/>
        <v>ВРУ1-4</v>
      </c>
      <c r="B186" s="9" t="s">
        <v>290</v>
      </c>
      <c r="C186" s="10" t="s">
        <v>188</v>
      </c>
      <c r="D186" s="9" t="s">
        <v>189</v>
      </c>
      <c r="E186" s="12">
        <v>2</v>
      </c>
      <c r="F186" s="9" t="s">
        <v>206</v>
      </c>
      <c r="G186" s="12" t="str">
        <f t="shared" si="37"/>
        <v>Блок4</v>
      </c>
    </row>
    <row r="187" spans="1:7" ht="27" customHeight="1" x14ac:dyDescent="0.25">
      <c r="A187" s="12" t="str">
        <f t="shared" si="35"/>
        <v>ВРУ1-4</v>
      </c>
      <c r="B187" s="9" t="s">
        <v>14</v>
      </c>
      <c r="C187" s="10" t="s">
        <v>294</v>
      </c>
      <c r="D187" s="20" t="s">
        <v>295</v>
      </c>
      <c r="E187" s="12">
        <v>2</v>
      </c>
      <c r="F187" s="9" t="s">
        <v>15</v>
      </c>
      <c r="G187" s="12" t="str">
        <f t="shared" si="37"/>
        <v>Блок4</v>
      </c>
    </row>
    <row r="188" spans="1:7" ht="27" customHeight="1" x14ac:dyDescent="0.25">
      <c r="A188" s="12" t="str">
        <f t="shared" si="35"/>
        <v>ВРУ1-4</v>
      </c>
      <c r="B188" s="9" t="s">
        <v>29</v>
      </c>
      <c r="C188" s="10"/>
      <c r="D188" s="9" t="s">
        <v>30</v>
      </c>
      <c r="E188" s="12">
        <v>6</v>
      </c>
      <c r="F188" s="9" t="s">
        <v>24</v>
      </c>
      <c r="G188" s="12" t="str">
        <f t="shared" si="37"/>
        <v>Блок4</v>
      </c>
    </row>
    <row r="189" spans="1:7" ht="27" customHeight="1" x14ac:dyDescent="0.25">
      <c r="A189" s="9" t="str">
        <f t="shared" si="35"/>
        <v>ВРУ1-4</v>
      </c>
      <c r="B189" s="9" t="s">
        <v>18</v>
      </c>
      <c r="C189" s="10" t="s">
        <v>18</v>
      </c>
      <c r="D189" s="9" t="s">
        <v>18</v>
      </c>
      <c r="E189" s="9">
        <v>1</v>
      </c>
      <c r="F189" s="9" t="s">
        <v>18</v>
      </c>
      <c r="G189" s="12" t="str">
        <f t="shared" si="37"/>
        <v>Блок4</v>
      </c>
    </row>
    <row r="190" spans="1:7" ht="27" customHeight="1" x14ac:dyDescent="0.25">
      <c r="A190" s="9" t="str">
        <f t="shared" si="35"/>
        <v>ВРУ1-4</v>
      </c>
      <c r="B190" s="9" t="s">
        <v>19</v>
      </c>
      <c r="C190" s="10" t="s">
        <v>19</v>
      </c>
      <c r="D190" s="9" t="s">
        <v>19</v>
      </c>
      <c r="E190" s="9" t="e">
        <f>60*#REF!</f>
        <v>#REF!</v>
      </c>
      <c r="F190" s="9" t="s">
        <v>19</v>
      </c>
      <c r="G190" s="12" t="str">
        <f t="shared" si="37"/>
        <v>Блок4</v>
      </c>
    </row>
    <row r="191" spans="1:7" ht="27" customHeight="1" x14ac:dyDescent="0.25">
      <c r="A191" s="14" t="str">
        <f t="shared" si="35"/>
        <v>ВРУ1-4</v>
      </c>
      <c r="B191" s="14"/>
      <c r="C191" s="14"/>
      <c r="D191" s="15"/>
      <c r="E191" s="14"/>
      <c r="F191" s="14"/>
      <c r="G191" s="12" t="str">
        <f t="shared" si="37"/>
        <v>Блок4</v>
      </c>
    </row>
    <row r="192" spans="1:7" ht="27" customHeight="1" x14ac:dyDescent="0.25">
      <c r="A192" s="7" t="str">
        <f>D192</f>
        <v>РУ-1-4</v>
      </c>
      <c r="B192" s="4"/>
      <c r="C192" s="5"/>
      <c r="D192" s="4" t="s">
        <v>66</v>
      </c>
      <c r="E192" s="7">
        <v>1</v>
      </c>
      <c r="F192" s="4" t="s">
        <v>9</v>
      </c>
      <c r="G192" s="7" t="s">
        <v>65</v>
      </c>
    </row>
    <row r="193" spans="1:7" ht="27" customHeight="1" x14ac:dyDescent="0.25">
      <c r="A193" s="12" t="str">
        <f t="shared" ref="A193:A200" si="38">A192</f>
        <v>РУ-1-4</v>
      </c>
      <c r="B193" s="9" t="s">
        <v>10</v>
      </c>
      <c r="C193" s="10" t="s">
        <v>169</v>
      </c>
      <c r="D193" s="9" t="s">
        <v>170</v>
      </c>
      <c r="E193" s="12">
        <v>1</v>
      </c>
      <c r="F193" s="9" t="s">
        <v>12</v>
      </c>
      <c r="G193" s="12" t="str">
        <f>G192</f>
        <v>Блок4</v>
      </c>
    </row>
    <row r="194" spans="1:7" ht="27" customHeight="1" x14ac:dyDescent="0.25">
      <c r="A194" s="12" t="str">
        <f t="shared" si="38"/>
        <v>РУ-1-4</v>
      </c>
      <c r="B194" s="9" t="s">
        <v>291</v>
      </c>
      <c r="C194" s="10" t="s">
        <v>228</v>
      </c>
      <c r="D194" s="9" t="s">
        <v>229</v>
      </c>
      <c r="E194" s="12">
        <v>1</v>
      </c>
      <c r="F194" s="9" t="s">
        <v>13</v>
      </c>
      <c r="G194" s="12" t="str">
        <f>G193</f>
        <v>Блок4</v>
      </c>
    </row>
    <row r="195" spans="1:7" ht="27" customHeight="1" x14ac:dyDescent="0.25">
      <c r="A195" s="12" t="str">
        <f t="shared" si="38"/>
        <v>РУ-1-4</v>
      </c>
      <c r="B195" s="9" t="s">
        <v>291</v>
      </c>
      <c r="C195" s="10" t="s">
        <v>226</v>
      </c>
      <c r="D195" s="9" t="s">
        <v>227</v>
      </c>
      <c r="E195" s="12">
        <v>2</v>
      </c>
      <c r="F195" s="9" t="s">
        <v>206</v>
      </c>
      <c r="G195" s="12" t="str">
        <f>G194</f>
        <v>Блок4</v>
      </c>
    </row>
    <row r="196" spans="1:7" ht="27" customHeight="1" x14ac:dyDescent="0.25">
      <c r="A196" s="12" t="str">
        <f t="shared" si="38"/>
        <v>РУ-1-4</v>
      </c>
      <c r="B196" s="9" t="s">
        <v>290</v>
      </c>
      <c r="C196" s="10" t="s">
        <v>216</v>
      </c>
      <c r="D196" s="9" t="s">
        <v>217</v>
      </c>
      <c r="E196" s="12">
        <v>2</v>
      </c>
      <c r="F196" s="9" t="s">
        <v>206</v>
      </c>
      <c r="G196" s="12" t="str">
        <f>G195</f>
        <v>Блок4</v>
      </c>
    </row>
    <row r="197" spans="1:7" ht="27" customHeight="1" x14ac:dyDescent="0.25">
      <c r="A197" s="12" t="str">
        <f t="shared" si="38"/>
        <v>РУ-1-4</v>
      </c>
      <c r="B197" s="9" t="s">
        <v>290</v>
      </c>
      <c r="C197" s="10" t="s">
        <v>214</v>
      </c>
      <c r="D197" s="9" t="s">
        <v>215</v>
      </c>
      <c r="E197" s="12">
        <v>1</v>
      </c>
      <c r="F197" s="9" t="s">
        <v>206</v>
      </c>
      <c r="G197" s="12" t="str">
        <f>G196</f>
        <v>Блок4</v>
      </c>
    </row>
    <row r="198" spans="1:7" ht="27" customHeight="1" x14ac:dyDescent="0.25">
      <c r="A198" s="9" t="str">
        <f t="shared" si="38"/>
        <v>РУ-1-4</v>
      </c>
      <c r="B198" s="9" t="s">
        <v>18</v>
      </c>
      <c r="C198" s="10" t="s">
        <v>18</v>
      </c>
      <c r="D198" s="9" t="s">
        <v>18</v>
      </c>
      <c r="E198" s="9">
        <v>1</v>
      </c>
      <c r="F198" s="9" t="s">
        <v>18</v>
      </c>
      <c r="G198" s="12" t="str">
        <f>G196</f>
        <v>Блок4</v>
      </c>
    </row>
    <row r="199" spans="1:7" ht="27" customHeight="1" x14ac:dyDescent="0.25">
      <c r="A199" s="9" t="str">
        <f t="shared" si="38"/>
        <v>РУ-1-4</v>
      </c>
      <c r="B199" s="9" t="s">
        <v>19</v>
      </c>
      <c r="C199" s="10" t="s">
        <v>19</v>
      </c>
      <c r="D199" s="9" t="s">
        <v>19</v>
      </c>
      <c r="E199" s="9" t="e">
        <f>60*#REF!</f>
        <v>#REF!</v>
      </c>
      <c r="F199" s="9" t="s">
        <v>19</v>
      </c>
      <c r="G199" s="12" t="str">
        <f>G198</f>
        <v>Блок4</v>
      </c>
    </row>
    <row r="200" spans="1:7" ht="27" customHeight="1" x14ac:dyDescent="0.25">
      <c r="A200" s="14" t="str">
        <f t="shared" si="38"/>
        <v>РУ-1-4</v>
      </c>
      <c r="B200" s="14"/>
      <c r="C200" s="14"/>
      <c r="D200" s="15"/>
      <c r="E200" s="14"/>
      <c r="F200" s="14"/>
      <c r="G200" s="12" t="str">
        <f>G199</f>
        <v>Блок4</v>
      </c>
    </row>
    <row r="201" spans="1:7" ht="27" customHeight="1" x14ac:dyDescent="0.25">
      <c r="A201" s="7" t="str">
        <f>D201</f>
        <v>ЩУР.МОП1-4</v>
      </c>
      <c r="B201" s="4"/>
      <c r="C201" s="5"/>
      <c r="D201" s="4" t="s">
        <v>68</v>
      </c>
      <c r="E201" s="7">
        <v>1</v>
      </c>
      <c r="F201" s="4" t="s">
        <v>9</v>
      </c>
      <c r="G201" s="7" t="s">
        <v>65</v>
      </c>
    </row>
    <row r="202" spans="1:7" ht="27" customHeight="1" x14ac:dyDescent="0.25">
      <c r="A202" s="12" t="str">
        <f t="shared" ref="A202:A208" si="39">A201</f>
        <v>ЩУР.МОП1-4</v>
      </c>
      <c r="B202" s="9" t="s">
        <v>10</v>
      </c>
      <c r="C202" s="10" t="s">
        <v>39</v>
      </c>
      <c r="D202" s="9" t="s">
        <v>40</v>
      </c>
      <c r="E202" s="12">
        <v>1</v>
      </c>
      <c r="F202" s="9" t="s">
        <v>12</v>
      </c>
      <c r="G202" s="12" t="str">
        <f t="shared" ref="G202:G208" si="40">G201</f>
        <v>Блок4</v>
      </c>
    </row>
    <row r="203" spans="1:7" ht="27" customHeight="1" x14ac:dyDescent="0.25">
      <c r="A203" s="12" t="str">
        <f t="shared" si="39"/>
        <v>ЩУР.МОП1-4</v>
      </c>
      <c r="B203" s="9" t="s">
        <v>290</v>
      </c>
      <c r="C203" s="10" t="s">
        <v>194</v>
      </c>
      <c r="D203" s="9" t="s">
        <v>195</v>
      </c>
      <c r="E203" s="12">
        <v>1</v>
      </c>
      <c r="F203" s="9" t="s">
        <v>206</v>
      </c>
      <c r="G203" s="12" t="str">
        <f t="shared" si="40"/>
        <v>Блок4</v>
      </c>
    </row>
    <row r="204" spans="1:7" ht="27" customHeight="1" x14ac:dyDescent="0.25">
      <c r="A204" s="12" t="str">
        <f t="shared" si="39"/>
        <v>ЩУР.МОП1-4</v>
      </c>
      <c r="B204" s="9" t="s">
        <v>290</v>
      </c>
      <c r="C204" s="10" t="s">
        <v>192</v>
      </c>
      <c r="D204" s="9" t="s">
        <v>193</v>
      </c>
      <c r="E204" s="12">
        <v>4</v>
      </c>
      <c r="F204" s="9" t="s">
        <v>206</v>
      </c>
      <c r="G204" s="12" t="str">
        <f t="shared" si="40"/>
        <v>Блок4</v>
      </c>
    </row>
    <row r="205" spans="1:7" ht="27" customHeight="1" x14ac:dyDescent="0.25">
      <c r="A205" s="12" t="str">
        <f t="shared" si="39"/>
        <v>ЩУР.МОП1-4</v>
      </c>
      <c r="B205" s="9" t="s">
        <v>14</v>
      </c>
      <c r="C205" s="10" t="s">
        <v>296</v>
      </c>
      <c r="D205" s="9" t="s">
        <v>297</v>
      </c>
      <c r="E205" s="12">
        <v>1</v>
      </c>
      <c r="F205" s="9" t="s">
        <v>15</v>
      </c>
      <c r="G205" s="12" t="str">
        <f t="shared" si="40"/>
        <v>Блок4</v>
      </c>
    </row>
    <row r="206" spans="1:7" ht="27" customHeight="1" x14ac:dyDescent="0.25">
      <c r="A206" s="9" t="str">
        <f t="shared" si="39"/>
        <v>ЩУР.МОП1-4</v>
      </c>
      <c r="B206" s="9" t="s">
        <v>18</v>
      </c>
      <c r="C206" s="10" t="s">
        <v>18</v>
      </c>
      <c r="D206" s="9" t="s">
        <v>18</v>
      </c>
      <c r="E206" s="9">
        <v>1</v>
      </c>
      <c r="F206" s="9" t="s">
        <v>18</v>
      </c>
      <c r="G206" s="12" t="str">
        <f t="shared" si="40"/>
        <v>Блок4</v>
      </c>
    </row>
    <row r="207" spans="1:7" ht="27" customHeight="1" x14ac:dyDescent="0.25">
      <c r="A207" s="9" t="str">
        <f t="shared" si="39"/>
        <v>ЩУР.МОП1-4</v>
      </c>
      <c r="B207" s="9" t="s">
        <v>19</v>
      </c>
      <c r="C207" s="10" t="s">
        <v>19</v>
      </c>
      <c r="D207" s="9" t="s">
        <v>19</v>
      </c>
      <c r="E207" s="9" t="e">
        <f>60*#REF!</f>
        <v>#REF!</v>
      </c>
      <c r="F207" s="9" t="s">
        <v>19</v>
      </c>
      <c r="G207" s="12" t="str">
        <f t="shared" si="40"/>
        <v>Блок4</v>
      </c>
    </row>
    <row r="208" spans="1:7" ht="27" customHeight="1" x14ac:dyDescent="0.25">
      <c r="A208" s="14" t="str">
        <f t="shared" si="39"/>
        <v>ЩУР.МОП1-4</v>
      </c>
      <c r="B208" s="14"/>
      <c r="C208" s="14"/>
      <c r="D208" s="15"/>
      <c r="E208" s="14"/>
      <c r="F208" s="14"/>
      <c r="G208" s="12" t="str">
        <f t="shared" si="40"/>
        <v>Блок4</v>
      </c>
    </row>
    <row r="209" spans="1:7" ht="27" customHeight="1" x14ac:dyDescent="0.25">
      <c r="A209" s="7" t="str">
        <f>D209</f>
        <v>РЩ1-4 (АВР-Б-40-2-1)</v>
      </c>
      <c r="B209" s="4"/>
      <c r="C209" s="5"/>
      <c r="D209" s="4" t="s">
        <v>135</v>
      </c>
      <c r="E209" s="7">
        <v>1</v>
      </c>
      <c r="F209" s="4" t="s">
        <v>9</v>
      </c>
      <c r="G209" s="7" t="s">
        <v>65</v>
      </c>
    </row>
    <row r="210" spans="1:7" ht="27" customHeight="1" x14ac:dyDescent="0.25">
      <c r="A210" s="12" t="str">
        <f t="shared" ref="A210:A221" si="41">A209</f>
        <v>РЩ1-4 (АВР-Б-40-2-1)</v>
      </c>
      <c r="B210" s="9" t="s">
        <v>10</v>
      </c>
      <c r="C210" s="10" t="s">
        <v>167</v>
      </c>
      <c r="D210" s="9" t="s">
        <v>168</v>
      </c>
      <c r="E210" s="12">
        <v>1</v>
      </c>
      <c r="F210" s="9" t="s">
        <v>12</v>
      </c>
      <c r="G210" s="12" t="str">
        <f t="shared" ref="G210:G221" si="42">G209</f>
        <v>Блок4</v>
      </c>
    </row>
    <row r="211" spans="1:7" ht="27" customHeight="1" x14ac:dyDescent="0.25">
      <c r="A211" s="12" t="str">
        <f t="shared" si="41"/>
        <v>РЩ1-4 (АВР-Б-40-2-1)</v>
      </c>
      <c r="B211" s="9" t="s">
        <v>43</v>
      </c>
      <c r="C211" s="10" t="s">
        <v>161</v>
      </c>
      <c r="D211" s="9" t="s">
        <v>162</v>
      </c>
      <c r="E211" s="12">
        <v>1</v>
      </c>
      <c r="F211" s="9" t="s">
        <v>13</v>
      </c>
      <c r="G211" s="12" t="str">
        <f t="shared" si="42"/>
        <v>Блок4</v>
      </c>
    </row>
    <row r="212" spans="1:7" ht="27" customHeight="1" x14ac:dyDescent="0.25">
      <c r="A212" s="12" t="str">
        <f t="shared" si="41"/>
        <v>РЩ1-4 (АВР-Б-40-2-1)</v>
      </c>
      <c r="B212" s="9" t="s">
        <v>290</v>
      </c>
      <c r="C212" s="10" t="s">
        <v>212</v>
      </c>
      <c r="D212" s="9" t="s">
        <v>213</v>
      </c>
      <c r="E212" s="12">
        <v>2</v>
      </c>
      <c r="F212" s="9" t="s">
        <v>206</v>
      </c>
      <c r="G212" s="12" t="str">
        <f t="shared" si="42"/>
        <v>Блок4</v>
      </c>
    </row>
    <row r="213" spans="1:7" ht="27" customHeight="1" x14ac:dyDescent="0.25">
      <c r="A213" s="12" t="str">
        <f t="shared" si="41"/>
        <v>РЩ1-4 (АВР-Б-40-2-1)</v>
      </c>
      <c r="B213" s="9" t="s">
        <v>290</v>
      </c>
      <c r="C213" s="10" t="s">
        <v>230</v>
      </c>
      <c r="D213" s="9" t="s">
        <v>231</v>
      </c>
      <c r="E213" s="12">
        <v>2</v>
      </c>
      <c r="F213" s="9" t="s">
        <v>206</v>
      </c>
      <c r="G213" s="12" t="str">
        <f t="shared" si="42"/>
        <v>Блок4</v>
      </c>
    </row>
    <row r="214" spans="1:7" ht="27" customHeight="1" x14ac:dyDescent="0.25">
      <c r="A214" s="12" t="str">
        <f t="shared" si="41"/>
        <v>РЩ1-4 (АВР-Б-40-2-1)</v>
      </c>
      <c r="B214" s="9" t="s">
        <v>291</v>
      </c>
      <c r="C214" s="10" t="s">
        <v>202</v>
      </c>
      <c r="D214" s="9" t="s">
        <v>203</v>
      </c>
      <c r="E214" s="12">
        <v>2</v>
      </c>
      <c r="F214" s="9" t="s">
        <v>206</v>
      </c>
      <c r="G214" s="12" t="str">
        <f t="shared" si="42"/>
        <v>Блок4</v>
      </c>
    </row>
    <row r="215" spans="1:7" ht="27" customHeight="1" x14ac:dyDescent="0.25">
      <c r="A215" s="12" t="str">
        <f t="shared" si="41"/>
        <v>РЩ1-4 (АВР-Б-40-2-1)</v>
      </c>
      <c r="B215" s="9" t="s">
        <v>17</v>
      </c>
      <c r="C215" s="10" t="s">
        <v>232</v>
      </c>
      <c r="D215" s="9" t="s">
        <v>233</v>
      </c>
      <c r="E215" s="12">
        <v>1</v>
      </c>
      <c r="F215" s="9" t="s">
        <v>13</v>
      </c>
      <c r="G215" s="12" t="str">
        <f t="shared" si="42"/>
        <v>Блок4</v>
      </c>
    </row>
    <row r="216" spans="1:7" ht="27" customHeight="1" x14ac:dyDescent="0.25">
      <c r="A216" s="12" t="str">
        <f t="shared" si="41"/>
        <v>РЩ1-4 (АВР-Б-40-2-1)</v>
      </c>
      <c r="B216" s="9" t="s">
        <v>290</v>
      </c>
      <c r="C216" s="10" t="s">
        <v>204</v>
      </c>
      <c r="D216" s="9" t="s">
        <v>205</v>
      </c>
      <c r="E216" s="12">
        <v>1</v>
      </c>
      <c r="F216" s="9" t="s">
        <v>206</v>
      </c>
      <c r="G216" s="12" t="str">
        <f t="shared" si="42"/>
        <v>Блок4</v>
      </c>
    </row>
    <row r="217" spans="1:7" ht="27" customHeight="1" x14ac:dyDescent="0.25">
      <c r="A217" s="12" t="str">
        <f t="shared" si="41"/>
        <v>РЩ1-4 (АВР-Б-40-2-1)</v>
      </c>
      <c r="B217" s="9" t="s">
        <v>14</v>
      </c>
      <c r="C217" s="10" t="s">
        <v>296</v>
      </c>
      <c r="D217" s="9" t="s">
        <v>297</v>
      </c>
      <c r="E217" s="12">
        <v>1</v>
      </c>
      <c r="F217" s="9" t="s">
        <v>15</v>
      </c>
      <c r="G217" s="12" t="str">
        <f t="shared" si="42"/>
        <v>Блок4</v>
      </c>
    </row>
    <row r="218" spans="1:7" ht="27" customHeight="1" x14ac:dyDescent="0.25">
      <c r="A218" s="12" t="str">
        <f t="shared" si="41"/>
        <v>РЩ1-4 (АВР-Б-40-2-1)</v>
      </c>
      <c r="B218" s="9" t="s">
        <v>29</v>
      </c>
      <c r="C218" s="10"/>
      <c r="D218" s="9" t="s">
        <v>30</v>
      </c>
      <c r="E218" s="12">
        <v>6</v>
      </c>
      <c r="F218" s="9" t="s">
        <v>24</v>
      </c>
      <c r="G218" s="12" t="str">
        <f t="shared" si="42"/>
        <v>Блок4</v>
      </c>
    </row>
    <row r="219" spans="1:7" ht="27" customHeight="1" x14ac:dyDescent="0.25">
      <c r="A219" s="9" t="str">
        <f t="shared" si="41"/>
        <v>РЩ1-4 (АВР-Б-40-2-1)</v>
      </c>
      <c r="B219" s="9" t="s">
        <v>18</v>
      </c>
      <c r="C219" s="10" t="s">
        <v>18</v>
      </c>
      <c r="D219" s="9" t="s">
        <v>18</v>
      </c>
      <c r="E219" s="9">
        <v>1</v>
      </c>
      <c r="F219" s="9" t="s">
        <v>18</v>
      </c>
      <c r="G219" s="12" t="str">
        <f t="shared" si="42"/>
        <v>Блок4</v>
      </c>
    </row>
    <row r="220" spans="1:7" ht="27" customHeight="1" x14ac:dyDescent="0.25">
      <c r="A220" s="9" t="str">
        <f t="shared" si="41"/>
        <v>РЩ1-4 (АВР-Б-40-2-1)</v>
      </c>
      <c r="B220" s="9" t="s">
        <v>19</v>
      </c>
      <c r="C220" s="10" t="s">
        <v>19</v>
      </c>
      <c r="D220" s="9" t="s">
        <v>19</v>
      </c>
      <c r="E220" s="9" t="e">
        <f>60*#REF!</f>
        <v>#REF!</v>
      </c>
      <c r="F220" s="9" t="s">
        <v>19</v>
      </c>
      <c r="G220" s="12" t="str">
        <f t="shared" si="42"/>
        <v>Блок4</v>
      </c>
    </row>
    <row r="221" spans="1:7" ht="27" customHeight="1" x14ac:dyDescent="0.25">
      <c r="A221" s="14" t="str">
        <f t="shared" si="41"/>
        <v>РЩ1-4 (АВР-Б-40-2-1)</v>
      </c>
      <c r="B221" s="14"/>
      <c r="C221" s="14"/>
      <c r="D221" s="15"/>
      <c r="E221" s="14"/>
      <c r="F221" s="14"/>
      <c r="G221" s="12" t="str">
        <f t="shared" si="42"/>
        <v>Блок4</v>
      </c>
    </row>
    <row r="222" spans="1:7" ht="27" customHeight="1" x14ac:dyDescent="0.25">
      <c r="A222" s="7" t="str">
        <f>D222</f>
        <v>РУ1-5</v>
      </c>
      <c r="B222" s="4"/>
      <c r="C222" s="5"/>
      <c r="D222" s="4" t="s">
        <v>69</v>
      </c>
      <c r="E222" s="7">
        <v>1</v>
      </c>
      <c r="F222" s="4" t="s">
        <v>9</v>
      </c>
      <c r="G222" s="7" t="s">
        <v>70</v>
      </c>
    </row>
    <row r="223" spans="1:7" ht="27" customHeight="1" x14ac:dyDescent="0.25">
      <c r="A223" s="12" t="str">
        <f t="shared" ref="A223:A229" si="43">A222</f>
        <v>РУ1-5</v>
      </c>
      <c r="B223" s="9" t="s">
        <v>10</v>
      </c>
      <c r="C223" s="10" t="s">
        <v>169</v>
      </c>
      <c r="D223" s="9" t="s">
        <v>170</v>
      </c>
      <c r="E223" s="12">
        <v>1</v>
      </c>
      <c r="F223" s="9" t="s">
        <v>12</v>
      </c>
      <c r="G223" s="12" t="str">
        <f t="shared" ref="G223:G229" si="44">G222</f>
        <v>Блок5</v>
      </c>
    </row>
    <row r="224" spans="1:7" ht="27" customHeight="1" x14ac:dyDescent="0.25">
      <c r="A224" s="12" t="str">
        <f t="shared" si="43"/>
        <v>РУ1-5</v>
      </c>
      <c r="B224" s="9" t="s">
        <v>291</v>
      </c>
      <c r="C224" s="10" t="s">
        <v>228</v>
      </c>
      <c r="D224" s="9" t="s">
        <v>229</v>
      </c>
      <c r="E224" s="12">
        <v>1</v>
      </c>
      <c r="F224" s="9" t="s">
        <v>13</v>
      </c>
      <c r="G224" s="12" t="str">
        <f t="shared" si="44"/>
        <v>Блок5</v>
      </c>
    </row>
    <row r="225" spans="1:7" ht="27" customHeight="1" x14ac:dyDescent="0.25">
      <c r="A225" s="12" t="str">
        <f t="shared" si="43"/>
        <v>РУ1-5</v>
      </c>
      <c r="B225" s="9" t="s">
        <v>291</v>
      </c>
      <c r="C225" s="10" t="s">
        <v>226</v>
      </c>
      <c r="D225" s="9" t="s">
        <v>227</v>
      </c>
      <c r="E225" s="12">
        <v>2</v>
      </c>
      <c r="F225" s="9" t="s">
        <v>206</v>
      </c>
      <c r="G225" s="12" t="str">
        <f t="shared" si="44"/>
        <v>Блок5</v>
      </c>
    </row>
    <row r="226" spans="1:7" ht="27" customHeight="1" x14ac:dyDescent="0.25">
      <c r="A226" s="12" t="str">
        <f t="shared" si="43"/>
        <v>РУ1-5</v>
      </c>
      <c r="B226" s="9" t="s">
        <v>290</v>
      </c>
      <c r="C226" s="10" t="s">
        <v>216</v>
      </c>
      <c r="D226" s="9" t="s">
        <v>217</v>
      </c>
      <c r="E226" s="12">
        <v>2</v>
      </c>
      <c r="F226" s="9" t="s">
        <v>206</v>
      </c>
      <c r="G226" s="12" t="str">
        <f t="shared" si="44"/>
        <v>Блок5</v>
      </c>
    </row>
    <row r="227" spans="1:7" ht="27" customHeight="1" x14ac:dyDescent="0.25">
      <c r="A227" s="9" t="str">
        <f t="shared" si="43"/>
        <v>РУ1-5</v>
      </c>
      <c r="B227" s="9" t="s">
        <v>18</v>
      </c>
      <c r="C227" s="10" t="s">
        <v>18</v>
      </c>
      <c r="D227" s="9" t="s">
        <v>18</v>
      </c>
      <c r="E227" s="9">
        <v>1</v>
      </c>
      <c r="F227" s="9" t="s">
        <v>18</v>
      </c>
      <c r="G227" s="12" t="str">
        <f t="shared" si="44"/>
        <v>Блок5</v>
      </c>
    </row>
    <row r="228" spans="1:7" ht="27" customHeight="1" x14ac:dyDescent="0.25">
      <c r="A228" s="9" t="str">
        <f t="shared" si="43"/>
        <v>РУ1-5</v>
      </c>
      <c r="B228" s="9" t="s">
        <v>19</v>
      </c>
      <c r="C228" s="10" t="s">
        <v>19</v>
      </c>
      <c r="D228" s="9" t="s">
        <v>19</v>
      </c>
      <c r="E228" s="9" t="e">
        <f>60*#REF!</f>
        <v>#REF!</v>
      </c>
      <c r="F228" s="9" t="s">
        <v>19</v>
      </c>
      <c r="G228" s="12" t="str">
        <f t="shared" si="44"/>
        <v>Блок5</v>
      </c>
    </row>
    <row r="229" spans="1:7" ht="27" customHeight="1" x14ac:dyDescent="0.25">
      <c r="A229" s="14" t="str">
        <f t="shared" si="43"/>
        <v>РУ1-5</v>
      </c>
      <c r="B229" s="14"/>
      <c r="C229" s="14"/>
      <c r="D229" s="15"/>
      <c r="E229" s="14"/>
      <c r="F229" s="14"/>
      <c r="G229" s="12" t="str">
        <f t="shared" si="44"/>
        <v>Блок5</v>
      </c>
    </row>
    <row r="230" spans="1:7" ht="27" customHeight="1" x14ac:dyDescent="0.25">
      <c r="A230" s="7" t="str">
        <f>D230</f>
        <v>ЩУР.МОП1-5</v>
      </c>
      <c r="B230" s="4"/>
      <c r="C230" s="5"/>
      <c r="D230" s="4" t="s">
        <v>71</v>
      </c>
      <c r="E230" s="7">
        <v>1</v>
      </c>
      <c r="F230" s="4" t="s">
        <v>9</v>
      </c>
      <c r="G230" s="7" t="s">
        <v>70</v>
      </c>
    </row>
    <row r="231" spans="1:7" ht="27" customHeight="1" x14ac:dyDescent="0.25">
      <c r="A231" s="12" t="str">
        <f t="shared" ref="A231:A237" si="45">A230</f>
        <v>ЩУР.МОП1-5</v>
      </c>
      <c r="B231" s="9" t="s">
        <v>10</v>
      </c>
      <c r="C231" s="10" t="s">
        <v>39</v>
      </c>
      <c r="D231" s="9" t="s">
        <v>40</v>
      </c>
      <c r="E231" s="12">
        <v>1</v>
      </c>
      <c r="F231" s="9" t="s">
        <v>12</v>
      </c>
      <c r="G231" s="12" t="str">
        <f t="shared" ref="G231:G237" si="46">G230</f>
        <v>Блок5</v>
      </c>
    </row>
    <row r="232" spans="1:7" ht="27" customHeight="1" x14ac:dyDescent="0.25">
      <c r="A232" s="12" t="str">
        <f t="shared" si="45"/>
        <v>ЩУР.МОП1-5</v>
      </c>
      <c r="B232" s="9" t="s">
        <v>290</v>
      </c>
      <c r="C232" s="10" t="s">
        <v>194</v>
      </c>
      <c r="D232" s="9" t="s">
        <v>195</v>
      </c>
      <c r="E232" s="12">
        <v>1</v>
      </c>
      <c r="F232" s="9" t="s">
        <v>206</v>
      </c>
      <c r="G232" s="12" t="str">
        <f t="shared" si="46"/>
        <v>Блок5</v>
      </c>
    </row>
    <row r="233" spans="1:7" ht="27" customHeight="1" x14ac:dyDescent="0.25">
      <c r="A233" s="12" t="str">
        <f t="shared" si="45"/>
        <v>ЩУР.МОП1-5</v>
      </c>
      <c r="B233" s="9" t="s">
        <v>290</v>
      </c>
      <c r="C233" s="10" t="s">
        <v>192</v>
      </c>
      <c r="D233" s="9" t="s">
        <v>193</v>
      </c>
      <c r="E233" s="12">
        <v>4</v>
      </c>
      <c r="F233" s="9" t="s">
        <v>206</v>
      </c>
      <c r="G233" s="12" t="str">
        <f t="shared" si="46"/>
        <v>Блок5</v>
      </c>
    </row>
    <row r="234" spans="1:7" ht="27" customHeight="1" x14ac:dyDescent="0.25">
      <c r="A234" s="12" t="str">
        <f t="shared" si="45"/>
        <v>ЩУР.МОП1-5</v>
      </c>
      <c r="B234" s="9" t="s">
        <v>14</v>
      </c>
      <c r="C234" s="10" t="s">
        <v>296</v>
      </c>
      <c r="D234" s="9" t="s">
        <v>297</v>
      </c>
      <c r="E234" s="12">
        <v>1</v>
      </c>
      <c r="F234" s="9" t="s">
        <v>15</v>
      </c>
      <c r="G234" s="12" t="str">
        <f t="shared" si="46"/>
        <v>Блок5</v>
      </c>
    </row>
    <row r="235" spans="1:7" ht="27" customHeight="1" x14ac:dyDescent="0.25">
      <c r="A235" s="9" t="str">
        <f t="shared" si="45"/>
        <v>ЩУР.МОП1-5</v>
      </c>
      <c r="B235" s="9" t="s">
        <v>18</v>
      </c>
      <c r="C235" s="10" t="s">
        <v>18</v>
      </c>
      <c r="D235" s="9" t="s">
        <v>18</v>
      </c>
      <c r="E235" s="9">
        <v>1</v>
      </c>
      <c r="F235" s="9" t="s">
        <v>18</v>
      </c>
      <c r="G235" s="12" t="str">
        <f t="shared" si="46"/>
        <v>Блок5</v>
      </c>
    </row>
    <row r="236" spans="1:7" ht="27" customHeight="1" x14ac:dyDescent="0.25">
      <c r="A236" s="9" t="str">
        <f t="shared" si="45"/>
        <v>ЩУР.МОП1-5</v>
      </c>
      <c r="B236" s="9" t="s">
        <v>19</v>
      </c>
      <c r="C236" s="10" t="s">
        <v>19</v>
      </c>
      <c r="D236" s="9" t="s">
        <v>19</v>
      </c>
      <c r="E236" s="9" t="e">
        <f>60*#REF!</f>
        <v>#REF!</v>
      </c>
      <c r="F236" s="9" t="s">
        <v>19</v>
      </c>
      <c r="G236" s="12" t="str">
        <f t="shared" si="46"/>
        <v>Блок5</v>
      </c>
    </row>
    <row r="237" spans="1:7" ht="27" customHeight="1" x14ac:dyDescent="0.25">
      <c r="A237" s="14" t="str">
        <f t="shared" si="45"/>
        <v>ЩУР.МОП1-5</v>
      </c>
      <c r="B237" s="14"/>
      <c r="C237" s="14"/>
      <c r="D237" s="15"/>
      <c r="E237" s="14"/>
      <c r="F237" s="14"/>
      <c r="G237" s="12" t="str">
        <f t="shared" si="46"/>
        <v>Блок5</v>
      </c>
    </row>
    <row r="238" spans="1:7" ht="27" customHeight="1" x14ac:dyDescent="0.25">
      <c r="A238" s="7" t="str">
        <f>D238</f>
        <v>РЩ1-5 (АВР-Б-40-2-1)</v>
      </c>
      <c r="B238" s="4"/>
      <c r="C238" s="5"/>
      <c r="D238" s="4" t="s">
        <v>136</v>
      </c>
      <c r="E238" s="7">
        <v>1</v>
      </c>
      <c r="F238" s="4" t="s">
        <v>9</v>
      </c>
      <c r="G238" s="7" t="s">
        <v>70</v>
      </c>
    </row>
    <row r="239" spans="1:7" ht="27" customHeight="1" x14ac:dyDescent="0.25">
      <c r="A239" s="12" t="str">
        <f t="shared" ref="A239:A249" si="47">A238</f>
        <v>РЩ1-5 (АВР-Б-40-2-1)</v>
      </c>
      <c r="B239" s="9" t="s">
        <v>10</v>
      </c>
      <c r="C239" s="10" t="s">
        <v>167</v>
      </c>
      <c r="D239" s="9" t="s">
        <v>168</v>
      </c>
      <c r="E239" s="12">
        <v>1</v>
      </c>
      <c r="F239" s="9" t="s">
        <v>12</v>
      </c>
      <c r="G239" s="12" t="str">
        <f t="shared" ref="G239:G249" si="48">G238</f>
        <v>Блок5</v>
      </c>
    </row>
    <row r="240" spans="1:7" ht="27" customHeight="1" x14ac:dyDescent="0.25">
      <c r="A240" s="12" t="str">
        <f t="shared" si="47"/>
        <v>РЩ1-5 (АВР-Б-40-2-1)</v>
      </c>
      <c r="B240" s="9" t="s">
        <v>43</v>
      </c>
      <c r="C240" s="10" t="s">
        <v>161</v>
      </c>
      <c r="D240" s="9" t="s">
        <v>162</v>
      </c>
      <c r="E240" s="12">
        <v>1</v>
      </c>
      <c r="F240" s="9" t="s">
        <v>13</v>
      </c>
      <c r="G240" s="12" t="str">
        <f t="shared" si="48"/>
        <v>Блок5</v>
      </c>
    </row>
    <row r="241" spans="1:7" ht="27" customHeight="1" x14ac:dyDescent="0.25">
      <c r="A241" s="12" t="str">
        <f t="shared" si="47"/>
        <v>РЩ1-5 (АВР-Б-40-2-1)</v>
      </c>
      <c r="B241" s="9" t="s">
        <v>290</v>
      </c>
      <c r="C241" s="10" t="s">
        <v>212</v>
      </c>
      <c r="D241" s="9" t="s">
        <v>213</v>
      </c>
      <c r="E241" s="12">
        <v>3</v>
      </c>
      <c r="F241" s="9" t="s">
        <v>206</v>
      </c>
      <c r="G241" s="12" t="str">
        <f t="shared" si="48"/>
        <v>Блок5</v>
      </c>
    </row>
    <row r="242" spans="1:7" ht="27" customHeight="1" x14ac:dyDescent="0.25">
      <c r="A242" s="12" t="str">
        <f t="shared" si="47"/>
        <v>РЩ1-5 (АВР-Б-40-2-1)</v>
      </c>
      <c r="B242" s="9" t="s">
        <v>290</v>
      </c>
      <c r="C242" s="10" t="s">
        <v>230</v>
      </c>
      <c r="D242" s="9" t="s">
        <v>231</v>
      </c>
      <c r="E242" s="12">
        <v>2</v>
      </c>
      <c r="F242" s="9" t="s">
        <v>206</v>
      </c>
      <c r="G242" s="12" t="str">
        <f t="shared" si="48"/>
        <v>Блок5</v>
      </c>
    </row>
    <row r="243" spans="1:7" ht="27" customHeight="1" x14ac:dyDescent="0.25">
      <c r="A243" s="12" t="str">
        <f t="shared" si="47"/>
        <v>РЩ1-5 (АВР-Б-40-2-1)</v>
      </c>
      <c r="B243" s="9" t="s">
        <v>291</v>
      </c>
      <c r="C243" s="10" t="s">
        <v>202</v>
      </c>
      <c r="D243" s="9" t="s">
        <v>203</v>
      </c>
      <c r="E243" s="12">
        <v>2</v>
      </c>
      <c r="F243" s="9" t="s">
        <v>206</v>
      </c>
      <c r="G243" s="12" t="str">
        <f t="shared" si="48"/>
        <v>Блок5</v>
      </c>
    </row>
    <row r="244" spans="1:7" ht="27" customHeight="1" x14ac:dyDescent="0.25">
      <c r="A244" s="12" t="str">
        <f t="shared" si="47"/>
        <v>РЩ1-5 (АВР-Б-40-2-1)</v>
      </c>
      <c r="B244" s="9" t="s">
        <v>290</v>
      </c>
      <c r="C244" s="10" t="s">
        <v>204</v>
      </c>
      <c r="D244" s="9" t="s">
        <v>205</v>
      </c>
      <c r="E244" s="12">
        <v>1</v>
      </c>
      <c r="F244" s="9" t="s">
        <v>206</v>
      </c>
      <c r="G244" s="12" t="str">
        <f t="shared" si="48"/>
        <v>Блок5</v>
      </c>
    </row>
    <row r="245" spans="1:7" ht="27" customHeight="1" x14ac:dyDescent="0.25">
      <c r="A245" s="12" t="str">
        <f t="shared" si="47"/>
        <v>РЩ1-5 (АВР-Б-40-2-1)</v>
      </c>
      <c r="B245" s="9" t="s">
        <v>14</v>
      </c>
      <c r="C245" s="10" t="s">
        <v>296</v>
      </c>
      <c r="D245" s="9" t="s">
        <v>297</v>
      </c>
      <c r="E245" s="12">
        <v>1</v>
      </c>
      <c r="F245" s="9" t="s">
        <v>15</v>
      </c>
      <c r="G245" s="12" t="str">
        <f t="shared" si="48"/>
        <v>Блок5</v>
      </c>
    </row>
    <row r="246" spans="1:7" ht="27" customHeight="1" x14ac:dyDescent="0.25">
      <c r="A246" s="12" t="str">
        <f t="shared" si="47"/>
        <v>РЩ1-5 (АВР-Б-40-2-1)</v>
      </c>
      <c r="B246" s="9" t="s">
        <v>29</v>
      </c>
      <c r="C246" s="10"/>
      <c r="D246" s="9" t="s">
        <v>30</v>
      </c>
      <c r="E246" s="12">
        <v>6</v>
      </c>
      <c r="F246" s="9" t="s">
        <v>24</v>
      </c>
      <c r="G246" s="12" t="str">
        <f t="shared" si="48"/>
        <v>Блок5</v>
      </c>
    </row>
    <row r="247" spans="1:7" ht="27" customHeight="1" x14ac:dyDescent="0.25">
      <c r="A247" s="9" t="str">
        <f t="shared" si="47"/>
        <v>РЩ1-5 (АВР-Б-40-2-1)</v>
      </c>
      <c r="B247" s="9" t="s">
        <v>18</v>
      </c>
      <c r="C247" s="10" t="s">
        <v>18</v>
      </c>
      <c r="D247" s="9" t="s">
        <v>18</v>
      </c>
      <c r="E247" s="9">
        <v>1</v>
      </c>
      <c r="F247" s="9" t="s">
        <v>18</v>
      </c>
      <c r="G247" s="12" t="str">
        <f t="shared" si="48"/>
        <v>Блок5</v>
      </c>
    </row>
    <row r="248" spans="1:7" ht="27" customHeight="1" x14ac:dyDescent="0.25">
      <c r="A248" s="9" t="str">
        <f t="shared" si="47"/>
        <v>РЩ1-5 (АВР-Б-40-2-1)</v>
      </c>
      <c r="B248" s="9" t="s">
        <v>19</v>
      </c>
      <c r="C248" s="10" t="s">
        <v>19</v>
      </c>
      <c r="D248" s="9" t="s">
        <v>19</v>
      </c>
      <c r="E248" s="9" t="e">
        <f>60*#REF!</f>
        <v>#REF!</v>
      </c>
      <c r="F248" s="9" t="s">
        <v>19</v>
      </c>
      <c r="G248" s="12" t="str">
        <f t="shared" si="48"/>
        <v>Блок5</v>
      </c>
    </row>
    <row r="249" spans="1:7" ht="27" customHeight="1" x14ac:dyDescent="0.25">
      <c r="A249" s="14" t="str">
        <f t="shared" si="47"/>
        <v>РЩ1-5 (АВР-Б-40-2-1)</v>
      </c>
      <c r="B249" s="14"/>
      <c r="C249" s="14"/>
      <c r="D249" s="15"/>
      <c r="E249" s="14"/>
      <c r="F249" s="14"/>
      <c r="G249" s="12" t="str">
        <f t="shared" si="48"/>
        <v>Блок5</v>
      </c>
    </row>
    <row r="250" spans="1:7" ht="27" customHeight="1" x14ac:dyDescent="0.25">
      <c r="A250" s="7" t="str">
        <f>D250</f>
        <v>РУ1-6</v>
      </c>
      <c r="B250" s="4"/>
      <c r="C250" s="5"/>
      <c r="D250" s="4" t="s">
        <v>72</v>
      </c>
      <c r="E250" s="7">
        <v>1</v>
      </c>
      <c r="F250" s="4" t="s">
        <v>9</v>
      </c>
      <c r="G250" s="7" t="s">
        <v>73</v>
      </c>
    </row>
    <row r="251" spans="1:7" ht="27" customHeight="1" x14ac:dyDescent="0.25">
      <c r="A251" s="12" t="str">
        <f t="shared" ref="A251:A257" si="49">A250</f>
        <v>РУ1-6</v>
      </c>
      <c r="B251" s="9" t="s">
        <v>10</v>
      </c>
      <c r="C251" s="10" t="s">
        <v>169</v>
      </c>
      <c r="D251" s="9" t="s">
        <v>170</v>
      </c>
      <c r="E251" s="12">
        <v>1</v>
      </c>
      <c r="F251" s="9" t="s">
        <v>12</v>
      </c>
      <c r="G251" s="12" t="str">
        <f t="shared" ref="G251:G257" si="50">G250</f>
        <v>Блок6</v>
      </c>
    </row>
    <row r="252" spans="1:7" ht="27" customHeight="1" x14ac:dyDescent="0.25">
      <c r="A252" s="12" t="str">
        <f t="shared" si="49"/>
        <v>РУ1-6</v>
      </c>
      <c r="B252" s="9" t="s">
        <v>291</v>
      </c>
      <c r="C252" s="10" t="s">
        <v>228</v>
      </c>
      <c r="D252" s="9" t="s">
        <v>229</v>
      </c>
      <c r="E252" s="12">
        <v>1</v>
      </c>
      <c r="F252" s="9" t="s">
        <v>13</v>
      </c>
      <c r="G252" s="12" t="str">
        <f t="shared" si="50"/>
        <v>Блок6</v>
      </c>
    </row>
    <row r="253" spans="1:7" ht="27" customHeight="1" x14ac:dyDescent="0.25">
      <c r="A253" s="12" t="str">
        <f t="shared" si="49"/>
        <v>РУ1-6</v>
      </c>
      <c r="B253" s="9" t="s">
        <v>291</v>
      </c>
      <c r="C253" s="10" t="s">
        <v>224</v>
      </c>
      <c r="D253" s="9" t="s">
        <v>225</v>
      </c>
      <c r="E253" s="12">
        <v>4</v>
      </c>
      <c r="F253" s="9" t="s">
        <v>206</v>
      </c>
      <c r="G253" s="12" t="str">
        <f t="shared" si="50"/>
        <v>Блок6</v>
      </c>
    </row>
    <row r="254" spans="1:7" ht="27" customHeight="1" x14ac:dyDescent="0.25">
      <c r="A254" s="12" t="str">
        <f t="shared" si="49"/>
        <v>РУ1-6</v>
      </c>
      <c r="B254" s="9" t="s">
        <v>290</v>
      </c>
      <c r="C254" s="10" t="s">
        <v>216</v>
      </c>
      <c r="D254" s="9" t="s">
        <v>217</v>
      </c>
      <c r="E254" s="12">
        <v>2</v>
      </c>
      <c r="F254" s="9" t="s">
        <v>206</v>
      </c>
      <c r="G254" s="12" t="str">
        <f t="shared" si="50"/>
        <v>Блок6</v>
      </c>
    </row>
    <row r="255" spans="1:7" ht="27" customHeight="1" x14ac:dyDescent="0.25">
      <c r="A255" s="9" t="str">
        <f t="shared" si="49"/>
        <v>РУ1-6</v>
      </c>
      <c r="B255" s="9" t="s">
        <v>18</v>
      </c>
      <c r="C255" s="10" t="s">
        <v>18</v>
      </c>
      <c r="D255" s="9" t="s">
        <v>18</v>
      </c>
      <c r="E255" s="9">
        <v>1</v>
      </c>
      <c r="F255" s="9" t="s">
        <v>18</v>
      </c>
      <c r="G255" s="12" t="str">
        <f t="shared" si="50"/>
        <v>Блок6</v>
      </c>
    </row>
    <row r="256" spans="1:7" ht="27" customHeight="1" x14ac:dyDescent="0.25">
      <c r="A256" s="9" t="str">
        <f t="shared" si="49"/>
        <v>РУ1-6</v>
      </c>
      <c r="B256" s="9" t="s">
        <v>19</v>
      </c>
      <c r="C256" s="10" t="s">
        <v>19</v>
      </c>
      <c r="D256" s="9" t="s">
        <v>19</v>
      </c>
      <c r="E256" s="9" t="e">
        <f>60*#REF!</f>
        <v>#REF!</v>
      </c>
      <c r="F256" s="9" t="s">
        <v>19</v>
      </c>
      <c r="G256" s="12" t="str">
        <f t="shared" si="50"/>
        <v>Блок6</v>
      </c>
    </row>
    <row r="257" spans="1:7" ht="27" customHeight="1" x14ac:dyDescent="0.25">
      <c r="A257" s="14" t="str">
        <f t="shared" si="49"/>
        <v>РУ1-6</v>
      </c>
      <c r="B257" s="14"/>
      <c r="C257" s="14"/>
      <c r="D257" s="15"/>
      <c r="E257" s="14"/>
      <c r="F257" s="14"/>
      <c r="G257" s="12" t="str">
        <f t="shared" si="50"/>
        <v>Блок6</v>
      </c>
    </row>
    <row r="258" spans="1:7" ht="27" customHeight="1" x14ac:dyDescent="0.25">
      <c r="A258" s="7" t="str">
        <f>D258</f>
        <v>ЩУР.МОП1-6</v>
      </c>
      <c r="B258" s="4"/>
      <c r="C258" s="5"/>
      <c r="D258" s="4" t="s">
        <v>74</v>
      </c>
      <c r="E258" s="7">
        <v>1</v>
      </c>
      <c r="F258" s="4" t="s">
        <v>9</v>
      </c>
      <c r="G258" s="7" t="s">
        <v>73</v>
      </c>
    </row>
    <row r="259" spans="1:7" ht="27" customHeight="1" x14ac:dyDescent="0.25">
      <c r="A259" s="12" t="str">
        <f t="shared" ref="A259:A266" si="51">A258</f>
        <v>ЩУР.МОП1-6</v>
      </c>
      <c r="B259" s="9" t="s">
        <v>10</v>
      </c>
      <c r="C259" s="10" t="s">
        <v>39</v>
      </c>
      <c r="D259" s="9" t="s">
        <v>40</v>
      </c>
      <c r="E259" s="12">
        <v>1</v>
      </c>
      <c r="F259" s="9" t="s">
        <v>12</v>
      </c>
      <c r="G259" s="12" t="str">
        <f>G258</f>
        <v>Блок6</v>
      </c>
    </row>
    <row r="260" spans="1:7" ht="27" customHeight="1" x14ac:dyDescent="0.25">
      <c r="A260" s="12" t="str">
        <f t="shared" si="51"/>
        <v>ЩУР.МОП1-6</v>
      </c>
      <c r="B260" s="9" t="s">
        <v>290</v>
      </c>
      <c r="C260" s="10" t="s">
        <v>194</v>
      </c>
      <c r="D260" s="9" t="s">
        <v>195</v>
      </c>
      <c r="E260" s="12">
        <v>1</v>
      </c>
      <c r="F260" s="9" t="s">
        <v>206</v>
      </c>
      <c r="G260" s="12" t="str">
        <f>G259</f>
        <v>Блок6</v>
      </c>
    </row>
    <row r="261" spans="1:7" ht="27" customHeight="1" x14ac:dyDescent="0.25">
      <c r="A261" s="12" t="str">
        <f t="shared" si="51"/>
        <v>ЩУР.МОП1-6</v>
      </c>
      <c r="B261" s="9" t="s">
        <v>290</v>
      </c>
      <c r="C261" s="10" t="s">
        <v>192</v>
      </c>
      <c r="D261" s="9" t="s">
        <v>193</v>
      </c>
      <c r="E261" s="12">
        <v>3</v>
      </c>
      <c r="F261" s="9" t="s">
        <v>206</v>
      </c>
      <c r="G261" s="12" t="str">
        <f>G260</f>
        <v>Блок6</v>
      </c>
    </row>
    <row r="262" spans="1:7" ht="27" customHeight="1" x14ac:dyDescent="0.25">
      <c r="A262" s="12" t="str">
        <f t="shared" si="51"/>
        <v>ЩУР.МОП1-6</v>
      </c>
      <c r="B262" s="9" t="s">
        <v>290</v>
      </c>
      <c r="C262" s="10" t="s">
        <v>200</v>
      </c>
      <c r="D262" s="9" t="s">
        <v>201</v>
      </c>
      <c r="E262" s="12">
        <v>1</v>
      </c>
      <c r="F262" s="9" t="s">
        <v>206</v>
      </c>
      <c r="G262" s="12" t="str">
        <f>G261</f>
        <v>Блок6</v>
      </c>
    </row>
    <row r="263" spans="1:7" ht="27" customHeight="1" x14ac:dyDescent="0.25">
      <c r="A263" s="12" t="str">
        <f t="shared" si="51"/>
        <v>ЩУР.МОП1-6</v>
      </c>
      <c r="B263" s="9" t="s">
        <v>14</v>
      </c>
      <c r="C263" s="10" t="s">
        <v>296</v>
      </c>
      <c r="D263" s="9" t="s">
        <v>297</v>
      </c>
      <c r="E263" s="12">
        <v>1</v>
      </c>
      <c r="F263" s="9" t="s">
        <v>15</v>
      </c>
      <c r="G263" s="12" t="str">
        <f>G261</f>
        <v>Блок6</v>
      </c>
    </row>
    <row r="264" spans="1:7" ht="27" customHeight="1" x14ac:dyDescent="0.25">
      <c r="A264" s="9" t="str">
        <f t="shared" si="51"/>
        <v>ЩУР.МОП1-6</v>
      </c>
      <c r="B264" s="9" t="s">
        <v>18</v>
      </c>
      <c r="C264" s="10" t="s">
        <v>18</v>
      </c>
      <c r="D264" s="9" t="s">
        <v>18</v>
      </c>
      <c r="E264" s="9">
        <v>1</v>
      </c>
      <c r="F264" s="9" t="s">
        <v>18</v>
      </c>
      <c r="G264" s="12" t="str">
        <f>G263</f>
        <v>Блок6</v>
      </c>
    </row>
    <row r="265" spans="1:7" ht="27" customHeight="1" x14ac:dyDescent="0.25">
      <c r="A265" s="9" t="str">
        <f t="shared" si="51"/>
        <v>ЩУР.МОП1-6</v>
      </c>
      <c r="B265" s="9" t="s">
        <v>19</v>
      </c>
      <c r="C265" s="10" t="s">
        <v>19</v>
      </c>
      <c r="D265" s="9" t="s">
        <v>19</v>
      </c>
      <c r="E265" s="9" t="e">
        <f>60*#REF!</f>
        <v>#REF!</v>
      </c>
      <c r="F265" s="9" t="s">
        <v>19</v>
      </c>
      <c r="G265" s="12" t="str">
        <f>G264</f>
        <v>Блок6</v>
      </c>
    </row>
    <row r="266" spans="1:7" ht="27" customHeight="1" x14ac:dyDescent="0.25">
      <c r="A266" s="14" t="str">
        <f t="shared" si="51"/>
        <v>ЩУР.МОП1-6</v>
      </c>
      <c r="B266" s="14"/>
      <c r="C266" s="14"/>
      <c r="D266" s="15"/>
      <c r="E266" s="14"/>
      <c r="F266" s="14"/>
      <c r="G266" s="12" t="str">
        <f>G265</f>
        <v>Блок6</v>
      </c>
    </row>
    <row r="267" spans="1:7" ht="27" customHeight="1" x14ac:dyDescent="0.25">
      <c r="A267" s="7" t="str">
        <f>D267</f>
        <v>РЩ1-6 (АВР-Б-40-2-1)</v>
      </c>
      <c r="B267" s="4"/>
      <c r="C267" s="5"/>
      <c r="D267" s="4" t="s">
        <v>137</v>
      </c>
      <c r="E267" s="7">
        <v>1</v>
      </c>
      <c r="F267" s="4" t="s">
        <v>9</v>
      </c>
      <c r="G267" s="7" t="s">
        <v>73</v>
      </c>
    </row>
    <row r="268" spans="1:7" ht="27" customHeight="1" x14ac:dyDescent="0.25">
      <c r="A268" s="12" t="str">
        <f t="shared" ref="A268:A278" si="52">A267</f>
        <v>РЩ1-6 (АВР-Б-40-2-1)</v>
      </c>
      <c r="B268" s="9" t="s">
        <v>10</v>
      </c>
      <c r="C268" s="10" t="s">
        <v>167</v>
      </c>
      <c r="D268" s="9" t="s">
        <v>168</v>
      </c>
      <c r="E268" s="12">
        <v>1</v>
      </c>
      <c r="F268" s="9" t="s">
        <v>12</v>
      </c>
      <c r="G268" s="12" t="str">
        <f t="shared" ref="G268:G278" si="53">G267</f>
        <v>Блок6</v>
      </c>
    </row>
    <row r="269" spans="1:7" ht="27" customHeight="1" x14ac:dyDescent="0.25">
      <c r="A269" s="12" t="str">
        <f t="shared" si="52"/>
        <v>РЩ1-6 (АВР-Б-40-2-1)</v>
      </c>
      <c r="B269" s="9" t="s">
        <v>43</v>
      </c>
      <c r="C269" s="10" t="s">
        <v>161</v>
      </c>
      <c r="D269" s="9" t="s">
        <v>162</v>
      </c>
      <c r="E269" s="12">
        <v>1</v>
      </c>
      <c r="F269" s="9" t="s">
        <v>13</v>
      </c>
      <c r="G269" s="12" t="str">
        <f t="shared" si="53"/>
        <v>Блок6</v>
      </c>
    </row>
    <row r="270" spans="1:7" ht="27" customHeight="1" x14ac:dyDescent="0.25">
      <c r="A270" s="12" t="str">
        <f t="shared" si="52"/>
        <v>РЩ1-6 (АВР-Б-40-2-1)</v>
      </c>
      <c r="B270" s="9" t="s">
        <v>290</v>
      </c>
      <c r="C270" s="10" t="s">
        <v>212</v>
      </c>
      <c r="D270" s="9" t="s">
        <v>213</v>
      </c>
      <c r="E270" s="12">
        <v>2</v>
      </c>
      <c r="F270" s="9" t="s">
        <v>206</v>
      </c>
      <c r="G270" s="12" t="str">
        <f t="shared" si="53"/>
        <v>Блок6</v>
      </c>
    </row>
    <row r="271" spans="1:7" ht="27" customHeight="1" x14ac:dyDescent="0.25">
      <c r="A271" s="12" t="str">
        <f t="shared" si="52"/>
        <v>РЩ1-6 (АВР-Б-40-2-1)</v>
      </c>
      <c r="B271" s="9" t="s">
        <v>290</v>
      </c>
      <c r="C271" s="10" t="s">
        <v>230</v>
      </c>
      <c r="D271" s="9" t="s">
        <v>231</v>
      </c>
      <c r="E271" s="12">
        <v>3</v>
      </c>
      <c r="F271" s="9" t="s">
        <v>206</v>
      </c>
      <c r="G271" s="12" t="str">
        <f t="shared" si="53"/>
        <v>Блок6</v>
      </c>
    </row>
    <row r="272" spans="1:7" ht="27" customHeight="1" x14ac:dyDescent="0.25">
      <c r="A272" s="12" t="str">
        <f t="shared" si="52"/>
        <v>РЩ1-6 (АВР-Б-40-2-1)</v>
      </c>
      <c r="B272" s="9" t="s">
        <v>291</v>
      </c>
      <c r="C272" s="10" t="s">
        <v>202</v>
      </c>
      <c r="D272" s="9" t="s">
        <v>203</v>
      </c>
      <c r="E272" s="12">
        <v>2</v>
      </c>
      <c r="F272" s="9" t="s">
        <v>206</v>
      </c>
      <c r="G272" s="12" t="str">
        <f t="shared" si="53"/>
        <v>Блок6</v>
      </c>
    </row>
    <row r="273" spans="1:7" ht="27" customHeight="1" x14ac:dyDescent="0.25">
      <c r="A273" s="12" t="str">
        <f t="shared" si="52"/>
        <v>РЩ1-6 (АВР-Б-40-2-1)</v>
      </c>
      <c r="B273" s="9" t="s">
        <v>290</v>
      </c>
      <c r="C273" s="10" t="s">
        <v>204</v>
      </c>
      <c r="D273" s="9" t="s">
        <v>205</v>
      </c>
      <c r="E273" s="12">
        <v>1</v>
      </c>
      <c r="F273" s="9" t="s">
        <v>206</v>
      </c>
      <c r="G273" s="12" t="str">
        <f t="shared" si="53"/>
        <v>Блок6</v>
      </c>
    </row>
    <row r="274" spans="1:7" ht="27" customHeight="1" x14ac:dyDescent="0.25">
      <c r="A274" s="12" t="str">
        <f t="shared" si="52"/>
        <v>РЩ1-6 (АВР-Б-40-2-1)</v>
      </c>
      <c r="B274" s="9" t="s">
        <v>14</v>
      </c>
      <c r="C274" s="10" t="s">
        <v>296</v>
      </c>
      <c r="D274" s="9" t="s">
        <v>297</v>
      </c>
      <c r="E274" s="12">
        <v>1</v>
      </c>
      <c r="F274" s="9" t="s">
        <v>15</v>
      </c>
      <c r="G274" s="12" t="str">
        <f t="shared" si="53"/>
        <v>Блок6</v>
      </c>
    </row>
    <row r="275" spans="1:7" ht="27" customHeight="1" x14ac:dyDescent="0.25">
      <c r="A275" s="12" t="str">
        <f t="shared" si="52"/>
        <v>РЩ1-6 (АВР-Б-40-2-1)</v>
      </c>
      <c r="B275" s="9" t="s">
        <v>29</v>
      </c>
      <c r="C275" s="10"/>
      <c r="D275" s="9" t="s">
        <v>30</v>
      </c>
      <c r="E275" s="12">
        <v>6</v>
      </c>
      <c r="F275" s="9" t="s">
        <v>24</v>
      </c>
      <c r="G275" s="12" t="str">
        <f t="shared" si="53"/>
        <v>Блок6</v>
      </c>
    </row>
    <row r="276" spans="1:7" ht="27" customHeight="1" x14ac:dyDescent="0.25">
      <c r="A276" s="9" t="str">
        <f t="shared" si="52"/>
        <v>РЩ1-6 (АВР-Б-40-2-1)</v>
      </c>
      <c r="B276" s="9" t="s">
        <v>18</v>
      </c>
      <c r="C276" s="10" t="s">
        <v>18</v>
      </c>
      <c r="D276" s="9" t="s">
        <v>18</v>
      </c>
      <c r="E276" s="9">
        <v>1</v>
      </c>
      <c r="F276" s="9" t="s">
        <v>18</v>
      </c>
      <c r="G276" s="12" t="str">
        <f t="shared" si="53"/>
        <v>Блок6</v>
      </c>
    </row>
    <row r="277" spans="1:7" ht="27" customHeight="1" x14ac:dyDescent="0.25">
      <c r="A277" s="9" t="str">
        <f t="shared" si="52"/>
        <v>РЩ1-6 (АВР-Б-40-2-1)</v>
      </c>
      <c r="B277" s="9" t="s">
        <v>19</v>
      </c>
      <c r="C277" s="10" t="s">
        <v>19</v>
      </c>
      <c r="D277" s="9" t="s">
        <v>19</v>
      </c>
      <c r="E277" s="9" t="e">
        <f>60*#REF!</f>
        <v>#REF!</v>
      </c>
      <c r="F277" s="9" t="s">
        <v>19</v>
      </c>
      <c r="G277" s="12" t="str">
        <f t="shared" si="53"/>
        <v>Блок6</v>
      </c>
    </row>
    <row r="278" spans="1:7" ht="27" customHeight="1" x14ac:dyDescent="0.25">
      <c r="A278" s="14" t="str">
        <f t="shared" si="52"/>
        <v>РЩ1-6 (АВР-Б-40-2-1)</v>
      </c>
      <c r="B278" s="14"/>
      <c r="C278" s="14"/>
      <c r="D278" s="15"/>
      <c r="E278" s="14"/>
      <c r="F278" s="14"/>
      <c r="G278" s="12" t="str">
        <f t="shared" si="53"/>
        <v>Блок6</v>
      </c>
    </row>
    <row r="279" spans="1:7" ht="27" customHeight="1" x14ac:dyDescent="0.25">
      <c r="A279" s="7" t="str">
        <f>D279</f>
        <v>ВРУ1-7</v>
      </c>
      <c r="B279" s="4"/>
      <c r="C279" s="5"/>
      <c r="D279" s="4" t="s">
        <v>75</v>
      </c>
      <c r="E279" s="7">
        <v>1</v>
      </c>
      <c r="F279" s="4" t="s">
        <v>9</v>
      </c>
      <c r="G279" s="7" t="s">
        <v>76</v>
      </c>
    </row>
    <row r="280" spans="1:7" ht="27" customHeight="1" x14ac:dyDescent="0.25">
      <c r="A280" s="12" t="str">
        <f t="shared" ref="A280:A290" si="54">A279</f>
        <v>ВРУ1-7</v>
      </c>
      <c r="B280" s="9" t="s">
        <v>10</v>
      </c>
      <c r="C280" s="10" t="s">
        <v>171</v>
      </c>
      <c r="D280" s="9" t="s">
        <v>172</v>
      </c>
      <c r="E280" s="12">
        <v>1</v>
      </c>
      <c r="F280" s="9" t="s">
        <v>12</v>
      </c>
      <c r="G280" s="12" t="str">
        <f t="shared" ref="G280:G282" si="55">G279</f>
        <v>Блок7</v>
      </c>
    </row>
    <row r="281" spans="1:7" ht="27" customHeight="1" x14ac:dyDescent="0.25">
      <c r="A281" s="12" t="str">
        <f t="shared" si="54"/>
        <v>ВРУ1-7</v>
      </c>
      <c r="B281" s="9" t="s">
        <v>22</v>
      </c>
      <c r="C281" s="10" t="s">
        <v>304</v>
      </c>
      <c r="D281" s="9" t="s">
        <v>305</v>
      </c>
      <c r="E281" s="12">
        <v>6</v>
      </c>
      <c r="F281" s="9" t="s">
        <v>24</v>
      </c>
      <c r="G281" s="12" t="str">
        <f t="shared" si="55"/>
        <v>Блок7</v>
      </c>
    </row>
    <row r="282" spans="1:7" ht="27" customHeight="1" x14ac:dyDescent="0.25">
      <c r="A282" s="12" t="str">
        <f t="shared" si="54"/>
        <v>ВРУ1-7</v>
      </c>
      <c r="B282" s="9" t="s">
        <v>25</v>
      </c>
      <c r="C282" s="10" t="s">
        <v>176</v>
      </c>
      <c r="D282" s="9" t="s">
        <v>177</v>
      </c>
      <c r="E282" s="12">
        <v>2</v>
      </c>
      <c r="F282" s="9" t="s">
        <v>24</v>
      </c>
      <c r="G282" s="12" t="str">
        <f t="shared" si="55"/>
        <v>Блок7</v>
      </c>
    </row>
    <row r="283" spans="1:7" ht="27" customHeight="1" x14ac:dyDescent="0.25">
      <c r="A283" s="12" t="str">
        <f t="shared" si="54"/>
        <v>ВРУ1-7</v>
      </c>
      <c r="B283" s="9" t="s">
        <v>126</v>
      </c>
      <c r="C283" s="10" t="s">
        <v>129</v>
      </c>
      <c r="D283" s="9" t="s">
        <v>130</v>
      </c>
      <c r="E283" s="12">
        <v>6</v>
      </c>
      <c r="F283" s="9" t="s">
        <v>13</v>
      </c>
      <c r="G283" s="12" t="str">
        <f>G281</f>
        <v>Блок7</v>
      </c>
    </row>
    <row r="284" spans="1:7" ht="27" customHeight="1" x14ac:dyDescent="0.25">
      <c r="A284" s="12" t="str">
        <f t="shared" si="54"/>
        <v>ВРУ1-7</v>
      </c>
      <c r="B284" s="9" t="s">
        <v>125</v>
      </c>
      <c r="C284" s="10" t="s">
        <v>127</v>
      </c>
      <c r="D284" s="9" t="s">
        <v>128</v>
      </c>
      <c r="E284" s="12">
        <v>6</v>
      </c>
      <c r="F284" s="9" t="s">
        <v>13</v>
      </c>
      <c r="G284" s="12" t="str">
        <f t="shared" ref="G284:G290" si="56">G282</f>
        <v>Блок7</v>
      </c>
    </row>
    <row r="285" spans="1:7" ht="27" customHeight="1" x14ac:dyDescent="0.25">
      <c r="A285" s="12" t="str">
        <f t="shared" si="54"/>
        <v>ВРУ1-7</v>
      </c>
      <c r="B285" s="9" t="s">
        <v>290</v>
      </c>
      <c r="C285" s="10" t="s">
        <v>188</v>
      </c>
      <c r="D285" s="9" t="s">
        <v>189</v>
      </c>
      <c r="E285" s="12">
        <v>2</v>
      </c>
      <c r="F285" s="9" t="s">
        <v>206</v>
      </c>
      <c r="G285" s="12" t="str">
        <f t="shared" si="56"/>
        <v>Блок7</v>
      </c>
    </row>
    <row r="286" spans="1:7" ht="27" customHeight="1" x14ac:dyDescent="0.25">
      <c r="A286" s="12" t="str">
        <f t="shared" si="54"/>
        <v>ВРУ1-7</v>
      </c>
      <c r="B286" s="9" t="s">
        <v>14</v>
      </c>
      <c r="C286" s="10" t="s">
        <v>294</v>
      </c>
      <c r="D286" s="20" t="s">
        <v>295</v>
      </c>
      <c r="E286" s="12">
        <v>2</v>
      </c>
      <c r="F286" s="9" t="s">
        <v>15</v>
      </c>
      <c r="G286" s="12" t="str">
        <f t="shared" si="56"/>
        <v>Блок7</v>
      </c>
    </row>
    <row r="287" spans="1:7" ht="27" customHeight="1" x14ac:dyDescent="0.25">
      <c r="A287" s="12" t="str">
        <f t="shared" si="54"/>
        <v>ВРУ1-7</v>
      </c>
      <c r="B287" s="9" t="s">
        <v>29</v>
      </c>
      <c r="C287" s="10"/>
      <c r="D287" s="9" t="s">
        <v>30</v>
      </c>
      <c r="E287" s="12">
        <v>6</v>
      </c>
      <c r="F287" s="9" t="s">
        <v>24</v>
      </c>
      <c r="G287" s="12" t="str">
        <f t="shared" si="56"/>
        <v>Блок7</v>
      </c>
    </row>
    <row r="288" spans="1:7" ht="27" customHeight="1" x14ac:dyDescent="0.25">
      <c r="A288" s="9" t="str">
        <f t="shared" si="54"/>
        <v>ВРУ1-7</v>
      </c>
      <c r="B288" s="9" t="s">
        <v>18</v>
      </c>
      <c r="C288" s="10" t="s">
        <v>18</v>
      </c>
      <c r="D288" s="9" t="s">
        <v>18</v>
      </c>
      <c r="E288" s="9">
        <v>1</v>
      </c>
      <c r="F288" s="9" t="s">
        <v>18</v>
      </c>
      <c r="G288" s="12" t="str">
        <f t="shared" si="56"/>
        <v>Блок7</v>
      </c>
    </row>
    <row r="289" spans="1:7" ht="27" customHeight="1" x14ac:dyDescent="0.25">
      <c r="A289" s="9" t="str">
        <f t="shared" si="54"/>
        <v>ВРУ1-7</v>
      </c>
      <c r="B289" s="9" t="s">
        <v>19</v>
      </c>
      <c r="C289" s="10" t="s">
        <v>19</v>
      </c>
      <c r="D289" s="9" t="s">
        <v>19</v>
      </c>
      <c r="E289" s="9" t="e">
        <f>60*#REF!</f>
        <v>#REF!</v>
      </c>
      <c r="F289" s="9" t="s">
        <v>19</v>
      </c>
      <c r="G289" s="12" t="str">
        <f t="shared" si="56"/>
        <v>Блок7</v>
      </c>
    </row>
    <row r="290" spans="1:7" ht="27" customHeight="1" x14ac:dyDescent="0.25">
      <c r="A290" s="14" t="str">
        <f t="shared" si="54"/>
        <v>ВРУ1-7</v>
      </c>
      <c r="B290" s="14"/>
      <c r="C290" s="14"/>
      <c r="D290" s="15"/>
      <c r="E290" s="14"/>
      <c r="F290" s="14"/>
      <c r="G290" s="12" t="str">
        <f t="shared" si="56"/>
        <v>Блок7</v>
      </c>
    </row>
    <row r="291" spans="1:7" ht="27" customHeight="1" x14ac:dyDescent="0.25">
      <c r="A291" s="7" t="str">
        <f>D291</f>
        <v>РУ-1-7</v>
      </c>
      <c r="B291" s="4"/>
      <c r="C291" s="5"/>
      <c r="D291" s="4" t="s">
        <v>77</v>
      </c>
      <c r="E291" s="7">
        <v>1</v>
      </c>
      <c r="F291" s="4" t="s">
        <v>9</v>
      </c>
      <c r="G291" s="7" t="s">
        <v>76</v>
      </c>
    </row>
    <row r="292" spans="1:7" ht="27" customHeight="1" x14ac:dyDescent="0.25">
      <c r="A292" s="12" t="str">
        <f t="shared" ref="A292:A298" si="57">A291</f>
        <v>РУ-1-7</v>
      </c>
      <c r="B292" s="9" t="s">
        <v>10</v>
      </c>
      <c r="C292" s="10" t="s">
        <v>169</v>
      </c>
      <c r="D292" s="9" t="s">
        <v>170</v>
      </c>
      <c r="E292" s="12">
        <v>1</v>
      </c>
      <c r="F292" s="9" t="s">
        <v>12</v>
      </c>
      <c r="G292" s="12" t="str">
        <f t="shared" ref="G292:G298" si="58">G291</f>
        <v>Блок7</v>
      </c>
    </row>
    <row r="293" spans="1:7" ht="27" customHeight="1" x14ac:dyDescent="0.25">
      <c r="A293" s="12" t="str">
        <f t="shared" si="57"/>
        <v>РУ-1-7</v>
      </c>
      <c r="B293" s="9" t="s">
        <v>291</v>
      </c>
      <c r="C293" s="10" t="s">
        <v>224</v>
      </c>
      <c r="D293" s="9" t="s">
        <v>225</v>
      </c>
      <c r="E293" s="12">
        <v>4</v>
      </c>
      <c r="F293" s="9" t="s">
        <v>206</v>
      </c>
      <c r="G293" s="12" t="str">
        <f t="shared" si="58"/>
        <v>Блок7</v>
      </c>
    </row>
    <row r="294" spans="1:7" ht="27" customHeight="1" x14ac:dyDescent="0.25">
      <c r="A294" s="12" t="str">
        <f t="shared" si="57"/>
        <v>РУ-1-7</v>
      </c>
      <c r="B294" s="9" t="s">
        <v>291</v>
      </c>
      <c r="C294" s="10" t="s">
        <v>228</v>
      </c>
      <c r="D294" s="9" t="s">
        <v>229</v>
      </c>
      <c r="E294" s="12">
        <v>1</v>
      </c>
      <c r="F294" s="9" t="s">
        <v>13</v>
      </c>
      <c r="G294" s="12" t="str">
        <f t="shared" si="58"/>
        <v>Блок7</v>
      </c>
    </row>
    <row r="295" spans="1:7" ht="27" customHeight="1" x14ac:dyDescent="0.25">
      <c r="A295" s="12" t="str">
        <f t="shared" si="57"/>
        <v>РУ-1-7</v>
      </c>
      <c r="B295" s="9" t="s">
        <v>290</v>
      </c>
      <c r="C295" s="10" t="s">
        <v>216</v>
      </c>
      <c r="D295" s="9" t="s">
        <v>217</v>
      </c>
      <c r="E295" s="12">
        <v>2</v>
      </c>
      <c r="F295" s="9" t="s">
        <v>206</v>
      </c>
      <c r="G295" s="12" t="str">
        <f t="shared" si="58"/>
        <v>Блок7</v>
      </c>
    </row>
    <row r="296" spans="1:7" ht="27" customHeight="1" x14ac:dyDescent="0.25">
      <c r="A296" s="9" t="str">
        <f t="shared" si="57"/>
        <v>РУ-1-7</v>
      </c>
      <c r="B296" s="9" t="s">
        <v>18</v>
      </c>
      <c r="C296" s="10" t="s">
        <v>18</v>
      </c>
      <c r="D296" s="9" t="s">
        <v>18</v>
      </c>
      <c r="E296" s="9">
        <v>1</v>
      </c>
      <c r="F296" s="9" t="s">
        <v>18</v>
      </c>
      <c r="G296" s="12" t="str">
        <f t="shared" si="58"/>
        <v>Блок7</v>
      </c>
    </row>
    <row r="297" spans="1:7" ht="27" customHeight="1" x14ac:dyDescent="0.25">
      <c r="A297" s="9" t="str">
        <f t="shared" si="57"/>
        <v>РУ-1-7</v>
      </c>
      <c r="B297" s="9" t="s">
        <v>19</v>
      </c>
      <c r="C297" s="10" t="s">
        <v>19</v>
      </c>
      <c r="D297" s="9" t="s">
        <v>19</v>
      </c>
      <c r="E297" s="9" t="e">
        <f>60*#REF!</f>
        <v>#REF!</v>
      </c>
      <c r="F297" s="9" t="s">
        <v>19</v>
      </c>
      <c r="G297" s="12" t="str">
        <f t="shared" si="58"/>
        <v>Блок7</v>
      </c>
    </row>
    <row r="298" spans="1:7" ht="27" customHeight="1" x14ac:dyDescent="0.25">
      <c r="A298" s="14" t="str">
        <f t="shared" si="57"/>
        <v>РУ-1-7</v>
      </c>
      <c r="B298" s="14"/>
      <c r="C298" s="14"/>
      <c r="D298" s="15"/>
      <c r="E298" s="14"/>
      <c r="F298" s="14"/>
      <c r="G298" s="12" t="str">
        <f t="shared" si="58"/>
        <v>Блок7</v>
      </c>
    </row>
    <row r="299" spans="1:7" ht="27" customHeight="1" x14ac:dyDescent="0.25">
      <c r="A299" s="7" t="str">
        <f>D299</f>
        <v>ЩУР.МОП1-7</v>
      </c>
      <c r="B299" s="4"/>
      <c r="C299" s="5"/>
      <c r="D299" s="4" t="s">
        <v>78</v>
      </c>
      <c r="E299" s="7">
        <v>1</v>
      </c>
      <c r="F299" s="4" t="s">
        <v>9</v>
      </c>
      <c r="G299" s="7" t="s">
        <v>76</v>
      </c>
    </row>
    <row r="300" spans="1:7" ht="27" customHeight="1" x14ac:dyDescent="0.25">
      <c r="A300" s="12" t="str">
        <f t="shared" ref="A300:A307" si="59">A299</f>
        <v>ЩУР.МОП1-7</v>
      </c>
      <c r="B300" s="9" t="s">
        <v>10</v>
      </c>
      <c r="C300" s="10" t="s">
        <v>39</v>
      </c>
      <c r="D300" s="9" t="s">
        <v>40</v>
      </c>
      <c r="E300" s="12">
        <v>1</v>
      </c>
      <c r="F300" s="9" t="s">
        <v>12</v>
      </c>
      <c r="G300" s="12" t="str">
        <f t="shared" ref="G300:G307" si="60">G299</f>
        <v>Блок7</v>
      </c>
    </row>
    <row r="301" spans="1:7" ht="27" customHeight="1" x14ac:dyDescent="0.25">
      <c r="A301" s="12" t="str">
        <f t="shared" si="59"/>
        <v>ЩУР.МОП1-7</v>
      </c>
      <c r="B301" s="9" t="s">
        <v>290</v>
      </c>
      <c r="C301" s="10" t="s">
        <v>194</v>
      </c>
      <c r="D301" s="9" t="s">
        <v>195</v>
      </c>
      <c r="E301" s="12">
        <v>1</v>
      </c>
      <c r="F301" s="9" t="s">
        <v>206</v>
      </c>
      <c r="G301" s="12" t="str">
        <f t="shared" si="60"/>
        <v>Блок7</v>
      </c>
    </row>
    <row r="302" spans="1:7" ht="27" customHeight="1" x14ac:dyDescent="0.25">
      <c r="A302" s="12" t="str">
        <f t="shared" si="59"/>
        <v>ЩУР.МОП1-7</v>
      </c>
      <c r="B302" s="9" t="s">
        <v>290</v>
      </c>
      <c r="C302" s="10" t="s">
        <v>200</v>
      </c>
      <c r="D302" s="9" t="s">
        <v>201</v>
      </c>
      <c r="E302" s="12">
        <v>1</v>
      </c>
      <c r="F302" s="9" t="s">
        <v>206</v>
      </c>
      <c r="G302" s="12" t="str">
        <f t="shared" si="60"/>
        <v>Блок7</v>
      </c>
    </row>
    <row r="303" spans="1:7" ht="27" customHeight="1" x14ac:dyDescent="0.25">
      <c r="A303" s="12" t="str">
        <f t="shared" si="59"/>
        <v>ЩУР.МОП1-7</v>
      </c>
      <c r="B303" s="9" t="s">
        <v>290</v>
      </c>
      <c r="C303" s="10" t="s">
        <v>192</v>
      </c>
      <c r="D303" s="9" t="s">
        <v>193</v>
      </c>
      <c r="E303" s="12">
        <v>3</v>
      </c>
      <c r="F303" s="9" t="s">
        <v>206</v>
      </c>
      <c r="G303" s="12" t="str">
        <f t="shared" si="60"/>
        <v>Блок7</v>
      </c>
    </row>
    <row r="304" spans="1:7" ht="27" customHeight="1" x14ac:dyDescent="0.25">
      <c r="A304" s="12" t="str">
        <f t="shared" si="59"/>
        <v>ЩУР.МОП1-7</v>
      </c>
      <c r="B304" s="9" t="s">
        <v>14</v>
      </c>
      <c r="C304" s="10" t="s">
        <v>296</v>
      </c>
      <c r="D304" s="9" t="s">
        <v>297</v>
      </c>
      <c r="E304" s="12">
        <v>1</v>
      </c>
      <c r="F304" s="9" t="s">
        <v>15</v>
      </c>
      <c r="G304" s="12" t="str">
        <f t="shared" si="60"/>
        <v>Блок7</v>
      </c>
    </row>
    <row r="305" spans="1:7" ht="27" customHeight="1" x14ac:dyDescent="0.25">
      <c r="A305" s="9" t="str">
        <f t="shared" si="59"/>
        <v>ЩУР.МОП1-7</v>
      </c>
      <c r="B305" s="9" t="s">
        <v>18</v>
      </c>
      <c r="C305" s="10" t="s">
        <v>18</v>
      </c>
      <c r="D305" s="9" t="s">
        <v>18</v>
      </c>
      <c r="E305" s="9">
        <v>1</v>
      </c>
      <c r="F305" s="9" t="s">
        <v>18</v>
      </c>
      <c r="G305" s="12" t="str">
        <f t="shared" si="60"/>
        <v>Блок7</v>
      </c>
    </row>
    <row r="306" spans="1:7" ht="27" customHeight="1" x14ac:dyDescent="0.25">
      <c r="A306" s="9" t="str">
        <f t="shared" si="59"/>
        <v>ЩУР.МОП1-7</v>
      </c>
      <c r="B306" s="9" t="s">
        <v>19</v>
      </c>
      <c r="C306" s="10" t="s">
        <v>19</v>
      </c>
      <c r="D306" s="9" t="s">
        <v>19</v>
      </c>
      <c r="E306" s="9" t="e">
        <f>60*#REF!</f>
        <v>#REF!</v>
      </c>
      <c r="F306" s="9" t="s">
        <v>19</v>
      </c>
      <c r="G306" s="12" t="str">
        <f t="shared" si="60"/>
        <v>Блок7</v>
      </c>
    </row>
    <row r="307" spans="1:7" ht="27" customHeight="1" x14ac:dyDescent="0.25">
      <c r="A307" s="14" t="str">
        <f t="shared" si="59"/>
        <v>ЩУР.МОП1-7</v>
      </c>
      <c r="B307" s="14"/>
      <c r="C307" s="14"/>
      <c r="D307" s="15"/>
      <c r="E307" s="14"/>
      <c r="F307" s="14"/>
      <c r="G307" s="12" t="str">
        <f t="shared" si="60"/>
        <v>Блок7</v>
      </c>
    </row>
    <row r="308" spans="1:7" ht="27" customHeight="1" x14ac:dyDescent="0.25">
      <c r="A308" s="7" t="str">
        <f>D308</f>
        <v>РЩ1-7 (АВР-Б-40-2-1)</v>
      </c>
      <c r="B308" s="4"/>
      <c r="C308" s="5"/>
      <c r="D308" s="4" t="s">
        <v>138</v>
      </c>
      <c r="E308" s="7">
        <v>1</v>
      </c>
      <c r="F308" s="4" t="s">
        <v>9</v>
      </c>
      <c r="G308" s="7" t="s">
        <v>76</v>
      </c>
    </row>
    <row r="309" spans="1:7" ht="27" customHeight="1" x14ac:dyDescent="0.25">
      <c r="A309" s="12" t="str">
        <f t="shared" ref="A309:A319" si="61">A308</f>
        <v>РЩ1-7 (АВР-Б-40-2-1)</v>
      </c>
      <c r="B309" s="9" t="s">
        <v>10</v>
      </c>
      <c r="C309" s="10" t="s">
        <v>167</v>
      </c>
      <c r="D309" s="9" t="s">
        <v>168</v>
      </c>
      <c r="E309" s="12">
        <v>1</v>
      </c>
      <c r="F309" s="9" t="s">
        <v>12</v>
      </c>
      <c r="G309" s="12" t="str">
        <f t="shared" ref="G309:G319" si="62">G308</f>
        <v>Блок7</v>
      </c>
    </row>
    <row r="310" spans="1:7" ht="27" customHeight="1" x14ac:dyDescent="0.25">
      <c r="A310" s="12" t="str">
        <f t="shared" si="61"/>
        <v>РЩ1-7 (АВР-Б-40-2-1)</v>
      </c>
      <c r="B310" s="9" t="s">
        <v>43</v>
      </c>
      <c r="C310" s="10" t="s">
        <v>161</v>
      </c>
      <c r="D310" s="9" t="s">
        <v>162</v>
      </c>
      <c r="E310" s="12">
        <v>1</v>
      </c>
      <c r="F310" s="9" t="s">
        <v>13</v>
      </c>
      <c r="G310" s="12" t="str">
        <f t="shared" si="62"/>
        <v>Блок7</v>
      </c>
    </row>
    <row r="311" spans="1:7" ht="27" customHeight="1" x14ac:dyDescent="0.25">
      <c r="A311" s="12" t="str">
        <f t="shared" si="61"/>
        <v>РЩ1-7 (АВР-Б-40-2-1)</v>
      </c>
      <c r="B311" s="9" t="s">
        <v>290</v>
      </c>
      <c r="C311" s="10" t="s">
        <v>212</v>
      </c>
      <c r="D311" s="9" t="s">
        <v>213</v>
      </c>
      <c r="E311" s="12">
        <v>2</v>
      </c>
      <c r="F311" s="9" t="s">
        <v>206</v>
      </c>
      <c r="G311" s="12" t="str">
        <f t="shared" si="62"/>
        <v>Блок7</v>
      </c>
    </row>
    <row r="312" spans="1:7" ht="27" customHeight="1" x14ac:dyDescent="0.25">
      <c r="A312" s="12" t="str">
        <f t="shared" si="61"/>
        <v>РЩ1-7 (АВР-Б-40-2-1)</v>
      </c>
      <c r="B312" s="9" t="s">
        <v>290</v>
      </c>
      <c r="C312" s="10" t="s">
        <v>230</v>
      </c>
      <c r="D312" s="9" t="s">
        <v>231</v>
      </c>
      <c r="E312" s="12">
        <v>3</v>
      </c>
      <c r="F312" s="9" t="s">
        <v>206</v>
      </c>
      <c r="G312" s="12" t="str">
        <f t="shared" si="62"/>
        <v>Блок7</v>
      </c>
    </row>
    <row r="313" spans="1:7" ht="27" customHeight="1" x14ac:dyDescent="0.25">
      <c r="A313" s="12" t="str">
        <f t="shared" si="61"/>
        <v>РЩ1-7 (АВР-Б-40-2-1)</v>
      </c>
      <c r="B313" s="9" t="s">
        <v>291</v>
      </c>
      <c r="C313" s="10" t="s">
        <v>202</v>
      </c>
      <c r="D313" s="9" t="s">
        <v>203</v>
      </c>
      <c r="E313" s="12">
        <v>2</v>
      </c>
      <c r="F313" s="9" t="s">
        <v>206</v>
      </c>
      <c r="G313" s="12" t="str">
        <f t="shared" si="62"/>
        <v>Блок7</v>
      </c>
    </row>
    <row r="314" spans="1:7" ht="27" customHeight="1" x14ac:dyDescent="0.25">
      <c r="A314" s="12" t="str">
        <f t="shared" si="61"/>
        <v>РЩ1-7 (АВР-Б-40-2-1)</v>
      </c>
      <c r="B314" s="9" t="s">
        <v>290</v>
      </c>
      <c r="C314" s="10" t="s">
        <v>204</v>
      </c>
      <c r="D314" s="9" t="s">
        <v>205</v>
      </c>
      <c r="E314" s="12">
        <v>1</v>
      </c>
      <c r="F314" s="9" t="s">
        <v>206</v>
      </c>
      <c r="G314" s="12" t="str">
        <f t="shared" si="62"/>
        <v>Блок7</v>
      </c>
    </row>
    <row r="315" spans="1:7" ht="27" customHeight="1" x14ac:dyDescent="0.25">
      <c r="A315" s="12" t="str">
        <f t="shared" si="61"/>
        <v>РЩ1-7 (АВР-Б-40-2-1)</v>
      </c>
      <c r="B315" s="9" t="s">
        <v>14</v>
      </c>
      <c r="C315" s="10" t="s">
        <v>296</v>
      </c>
      <c r="D315" s="9" t="s">
        <v>297</v>
      </c>
      <c r="E315" s="12">
        <v>1</v>
      </c>
      <c r="F315" s="9" t="s">
        <v>15</v>
      </c>
      <c r="G315" s="12" t="str">
        <f t="shared" si="62"/>
        <v>Блок7</v>
      </c>
    </row>
    <row r="316" spans="1:7" ht="27" customHeight="1" x14ac:dyDescent="0.25">
      <c r="A316" s="12" t="str">
        <f t="shared" si="61"/>
        <v>РЩ1-7 (АВР-Б-40-2-1)</v>
      </c>
      <c r="B316" s="9" t="s">
        <v>29</v>
      </c>
      <c r="C316" s="10"/>
      <c r="D316" s="9" t="s">
        <v>30</v>
      </c>
      <c r="E316" s="12">
        <v>6</v>
      </c>
      <c r="F316" s="9" t="s">
        <v>24</v>
      </c>
      <c r="G316" s="12" t="str">
        <f t="shared" si="62"/>
        <v>Блок7</v>
      </c>
    </row>
    <row r="317" spans="1:7" ht="27" customHeight="1" x14ac:dyDescent="0.25">
      <c r="A317" s="9" t="str">
        <f t="shared" si="61"/>
        <v>РЩ1-7 (АВР-Б-40-2-1)</v>
      </c>
      <c r="B317" s="9" t="s">
        <v>18</v>
      </c>
      <c r="C317" s="10" t="s">
        <v>18</v>
      </c>
      <c r="D317" s="9" t="s">
        <v>18</v>
      </c>
      <c r="E317" s="9">
        <v>1</v>
      </c>
      <c r="F317" s="9" t="s">
        <v>18</v>
      </c>
      <c r="G317" s="12" t="str">
        <f t="shared" si="62"/>
        <v>Блок7</v>
      </c>
    </row>
    <row r="318" spans="1:7" ht="27" customHeight="1" x14ac:dyDescent="0.25">
      <c r="A318" s="9" t="str">
        <f t="shared" si="61"/>
        <v>РЩ1-7 (АВР-Б-40-2-1)</v>
      </c>
      <c r="B318" s="9" t="s">
        <v>19</v>
      </c>
      <c r="C318" s="10" t="s">
        <v>19</v>
      </c>
      <c r="D318" s="9" t="s">
        <v>19</v>
      </c>
      <c r="E318" s="9" t="e">
        <f>60*#REF!</f>
        <v>#REF!</v>
      </c>
      <c r="F318" s="9" t="s">
        <v>19</v>
      </c>
      <c r="G318" s="12" t="str">
        <f t="shared" si="62"/>
        <v>Блок7</v>
      </c>
    </row>
    <row r="319" spans="1:7" ht="27" customHeight="1" x14ac:dyDescent="0.25">
      <c r="A319" s="14" t="str">
        <f t="shared" si="61"/>
        <v>РЩ1-7 (АВР-Б-40-2-1)</v>
      </c>
      <c r="B319" s="14"/>
      <c r="C319" s="14"/>
      <c r="D319" s="15"/>
      <c r="E319" s="14"/>
      <c r="F319" s="14"/>
      <c r="G319" s="12" t="str">
        <f t="shared" si="62"/>
        <v>Блок7</v>
      </c>
    </row>
    <row r="320" spans="1:7" ht="27" customHeight="1" x14ac:dyDescent="0.25">
      <c r="A320" s="7" t="str">
        <f>D320</f>
        <v>ВРУ1-8</v>
      </c>
      <c r="B320" s="4"/>
      <c r="C320" s="5"/>
      <c r="D320" s="4" t="s">
        <v>79</v>
      </c>
      <c r="E320" s="7">
        <v>1</v>
      </c>
      <c r="F320" s="4" t="s">
        <v>9</v>
      </c>
      <c r="G320" s="7" t="s">
        <v>80</v>
      </c>
    </row>
    <row r="321" spans="1:7" ht="27" customHeight="1" x14ac:dyDescent="0.25">
      <c r="A321" s="12" t="str">
        <f t="shared" ref="A321:A331" si="63">A320</f>
        <v>ВРУ1-8</v>
      </c>
      <c r="B321" s="9" t="s">
        <v>10</v>
      </c>
      <c r="C321" s="10" t="s">
        <v>171</v>
      </c>
      <c r="D321" s="9" t="s">
        <v>172</v>
      </c>
      <c r="E321" s="12">
        <v>1</v>
      </c>
      <c r="F321" s="9" t="s">
        <v>12</v>
      </c>
      <c r="G321" s="12" t="str">
        <f t="shared" ref="G321:G331" si="64">G320</f>
        <v>Блок8</v>
      </c>
    </row>
    <row r="322" spans="1:7" ht="27" customHeight="1" x14ac:dyDescent="0.25">
      <c r="A322" s="12" t="str">
        <f t="shared" si="63"/>
        <v>ВРУ1-8</v>
      </c>
      <c r="B322" s="9" t="s">
        <v>22</v>
      </c>
      <c r="C322" s="10" t="s">
        <v>304</v>
      </c>
      <c r="D322" s="9" t="s">
        <v>305</v>
      </c>
      <c r="E322" s="12">
        <v>6</v>
      </c>
      <c r="F322" s="9" t="s">
        <v>24</v>
      </c>
      <c r="G322" s="12" t="str">
        <f t="shared" si="64"/>
        <v>Блок8</v>
      </c>
    </row>
    <row r="323" spans="1:7" ht="27" customHeight="1" x14ac:dyDescent="0.25">
      <c r="A323" s="12" t="str">
        <f t="shared" si="63"/>
        <v>ВРУ1-8</v>
      </c>
      <c r="B323" s="9" t="s">
        <v>25</v>
      </c>
      <c r="C323" s="10" t="s">
        <v>176</v>
      </c>
      <c r="D323" s="9" t="s">
        <v>177</v>
      </c>
      <c r="E323" s="12">
        <v>2</v>
      </c>
      <c r="F323" s="9" t="s">
        <v>24</v>
      </c>
      <c r="G323" s="12" t="str">
        <f t="shared" si="64"/>
        <v>Блок8</v>
      </c>
    </row>
    <row r="324" spans="1:7" ht="27" customHeight="1" x14ac:dyDescent="0.25">
      <c r="A324" s="12" t="str">
        <f t="shared" si="63"/>
        <v>ВРУ1-8</v>
      </c>
      <c r="B324" s="9" t="s">
        <v>126</v>
      </c>
      <c r="C324" s="10" t="s">
        <v>129</v>
      </c>
      <c r="D324" s="9" t="s">
        <v>130</v>
      </c>
      <c r="E324" s="12">
        <v>6</v>
      </c>
      <c r="F324" s="9" t="s">
        <v>13</v>
      </c>
      <c r="G324" s="12" t="str">
        <f t="shared" si="64"/>
        <v>Блок8</v>
      </c>
    </row>
    <row r="325" spans="1:7" ht="27" customHeight="1" x14ac:dyDescent="0.25">
      <c r="A325" s="12" t="str">
        <f t="shared" si="63"/>
        <v>ВРУ1-8</v>
      </c>
      <c r="B325" s="9" t="s">
        <v>125</v>
      </c>
      <c r="C325" s="10" t="s">
        <v>127</v>
      </c>
      <c r="D325" s="9" t="s">
        <v>128</v>
      </c>
      <c r="E325" s="12">
        <v>6</v>
      </c>
      <c r="F325" s="9" t="s">
        <v>13</v>
      </c>
      <c r="G325" s="12" t="str">
        <f t="shared" si="64"/>
        <v>Блок8</v>
      </c>
    </row>
    <row r="326" spans="1:7" ht="27" customHeight="1" x14ac:dyDescent="0.25">
      <c r="A326" s="12" t="str">
        <f t="shared" si="63"/>
        <v>ВРУ1-8</v>
      </c>
      <c r="B326" s="9" t="s">
        <v>290</v>
      </c>
      <c r="C326" s="10" t="s">
        <v>188</v>
      </c>
      <c r="D326" s="9" t="s">
        <v>189</v>
      </c>
      <c r="E326" s="12">
        <v>2</v>
      </c>
      <c r="F326" s="9" t="s">
        <v>206</v>
      </c>
      <c r="G326" s="12" t="str">
        <f t="shared" si="64"/>
        <v>Блок8</v>
      </c>
    </row>
    <row r="327" spans="1:7" ht="27" customHeight="1" x14ac:dyDescent="0.25">
      <c r="A327" s="12" t="str">
        <f t="shared" si="63"/>
        <v>ВРУ1-8</v>
      </c>
      <c r="B327" s="9" t="s">
        <v>14</v>
      </c>
      <c r="C327" s="10" t="s">
        <v>294</v>
      </c>
      <c r="D327" s="20" t="s">
        <v>295</v>
      </c>
      <c r="E327" s="12">
        <v>2</v>
      </c>
      <c r="F327" s="9" t="s">
        <v>15</v>
      </c>
      <c r="G327" s="12" t="str">
        <f t="shared" si="64"/>
        <v>Блок8</v>
      </c>
    </row>
    <row r="328" spans="1:7" ht="27" customHeight="1" x14ac:dyDescent="0.25">
      <c r="A328" s="12" t="str">
        <f t="shared" si="63"/>
        <v>ВРУ1-8</v>
      </c>
      <c r="B328" s="9" t="s">
        <v>29</v>
      </c>
      <c r="C328" s="10"/>
      <c r="D328" s="9" t="s">
        <v>30</v>
      </c>
      <c r="E328" s="12">
        <v>6</v>
      </c>
      <c r="F328" s="9" t="s">
        <v>24</v>
      </c>
      <c r="G328" s="12" t="str">
        <f t="shared" si="64"/>
        <v>Блок8</v>
      </c>
    </row>
    <row r="329" spans="1:7" ht="27" customHeight="1" x14ac:dyDescent="0.25">
      <c r="A329" s="9" t="str">
        <f t="shared" si="63"/>
        <v>ВРУ1-8</v>
      </c>
      <c r="B329" s="9" t="s">
        <v>18</v>
      </c>
      <c r="C329" s="10" t="s">
        <v>18</v>
      </c>
      <c r="D329" s="9" t="s">
        <v>18</v>
      </c>
      <c r="E329" s="9">
        <v>1</v>
      </c>
      <c r="F329" s="9" t="s">
        <v>18</v>
      </c>
      <c r="G329" s="12" t="str">
        <f t="shared" si="64"/>
        <v>Блок8</v>
      </c>
    </row>
    <row r="330" spans="1:7" ht="27" customHeight="1" x14ac:dyDescent="0.25">
      <c r="A330" s="9" t="str">
        <f t="shared" si="63"/>
        <v>ВРУ1-8</v>
      </c>
      <c r="B330" s="9" t="s">
        <v>19</v>
      </c>
      <c r="C330" s="10" t="s">
        <v>19</v>
      </c>
      <c r="D330" s="9" t="s">
        <v>19</v>
      </c>
      <c r="E330" s="9" t="e">
        <f>60*#REF!</f>
        <v>#REF!</v>
      </c>
      <c r="F330" s="9" t="s">
        <v>19</v>
      </c>
      <c r="G330" s="12" t="str">
        <f t="shared" si="64"/>
        <v>Блок8</v>
      </c>
    </row>
    <row r="331" spans="1:7" ht="27" customHeight="1" x14ac:dyDescent="0.25">
      <c r="A331" s="14" t="str">
        <f t="shared" si="63"/>
        <v>ВРУ1-8</v>
      </c>
      <c r="B331" s="14"/>
      <c r="C331" s="14"/>
      <c r="D331" s="15"/>
      <c r="E331" s="14"/>
      <c r="F331" s="14"/>
      <c r="G331" s="12" t="str">
        <f t="shared" si="64"/>
        <v>Блок8</v>
      </c>
    </row>
    <row r="332" spans="1:7" ht="27" customHeight="1" x14ac:dyDescent="0.25">
      <c r="A332" s="7" t="str">
        <f>D332</f>
        <v>РУ-1-8</v>
      </c>
      <c r="B332" s="4"/>
      <c r="C332" s="5"/>
      <c r="D332" s="4" t="s">
        <v>81</v>
      </c>
      <c r="E332" s="7">
        <v>1</v>
      </c>
      <c r="F332" s="4" t="s">
        <v>9</v>
      </c>
      <c r="G332" s="7" t="s">
        <v>80</v>
      </c>
    </row>
    <row r="333" spans="1:7" ht="27" customHeight="1" x14ac:dyDescent="0.25">
      <c r="A333" s="12" t="str">
        <f t="shared" ref="A333:A339" si="65">A332</f>
        <v>РУ-1-8</v>
      </c>
      <c r="B333" s="9" t="s">
        <v>10</v>
      </c>
      <c r="C333" s="10" t="s">
        <v>169</v>
      </c>
      <c r="D333" s="9" t="s">
        <v>170</v>
      </c>
      <c r="E333" s="12">
        <v>1</v>
      </c>
      <c r="F333" s="9" t="s">
        <v>12</v>
      </c>
      <c r="G333" s="12" t="str">
        <f t="shared" ref="G333:G339" si="66">G332</f>
        <v>Блок8</v>
      </c>
    </row>
    <row r="334" spans="1:7" ht="27" customHeight="1" x14ac:dyDescent="0.25">
      <c r="A334" s="12" t="str">
        <f t="shared" si="65"/>
        <v>РУ-1-8</v>
      </c>
      <c r="B334" s="9" t="s">
        <v>291</v>
      </c>
      <c r="C334" s="10" t="s">
        <v>224</v>
      </c>
      <c r="D334" s="9" t="s">
        <v>225</v>
      </c>
      <c r="E334" s="12">
        <v>4</v>
      </c>
      <c r="F334" s="9" t="s">
        <v>206</v>
      </c>
      <c r="G334" s="12" t="str">
        <f t="shared" si="66"/>
        <v>Блок8</v>
      </c>
    </row>
    <row r="335" spans="1:7" ht="27" customHeight="1" x14ac:dyDescent="0.25">
      <c r="A335" s="12" t="str">
        <f t="shared" si="65"/>
        <v>РУ-1-8</v>
      </c>
      <c r="B335" s="9" t="s">
        <v>291</v>
      </c>
      <c r="C335" s="10" t="s">
        <v>228</v>
      </c>
      <c r="D335" s="9" t="s">
        <v>229</v>
      </c>
      <c r="E335" s="12">
        <v>1</v>
      </c>
      <c r="F335" s="9" t="s">
        <v>13</v>
      </c>
      <c r="G335" s="12" t="str">
        <f t="shared" si="66"/>
        <v>Блок8</v>
      </c>
    </row>
    <row r="336" spans="1:7" ht="27" customHeight="1" x14ac:dyDescent="0.25">
      <c r="A336" s="12" t="str">
        <f t="shared" si="65"/>
        <v>РУ-1-8</v>
      </c>
      <c r="B336" s="9" t="s">
        <v>290</v>
      </c>
      <c r="C336" s="10" t="s">
        <v>216</v>
      </c>
      <c r="D336" s="9" t="s">
        <v>217</v>
      </c>
      <c r="E336" s="12">
        <v>2</v>
      </c>
      <c r="F336" s="9" t="s">
        <v>206</v>
      </c>
      <c r="G336" s="12" t="str">
        <f t="shared" si="66"/>
        <v>Блок8</v>
      </c>
    </row>
    <row r="337" spans="1:7" ht="27" customHeight="1" x14ac:dyDescent="0.25">
      <c r="A337" s="9" t="str">
        <f t="shared" si="65"/>
        <v>РУ-1-8</v>
      </c>
      <c r="B337" s="9" t="s">
        <v>18</v>
      </c>
      <c r="C337" s="10" t="s">
        <v>18</v>
      </c>
      <c r="D337" s="9" t="s">
        <v>18</v>
      </c>
      <c r="E337" s="9">
        <v>1</v>
      </c>
      <c r="F337" s="9" t="s">
        <v>18</v>
      </c>
      <c r="G337" s="12" t="str">
        <f t="shared" si="66"/>
        <v>Блок8</v>
      </c>
    </row>
    <row r="338" spans="1:7" ht="27" customHeight="1" x14ac:dyDescent="0.25">
      <c r="A338" s="9" t="str">
        <f t="shared" si="65"/>
        <v>РУ-1-8</v>
      </c>
      <c r="B338" s="9" t="s">
        <v>19</v>
      </c>
      <c r="C338" s="10" t="s">
        <v>19</v>
      </c>
      <c r="D338" s="9" t="s">
        <v>19</v>
      </c>
      <c r="E338" s="9" t="e">
        <f>60*#REF!</f>
        <v>#REF!</v>
      </c>
      <c r="F338" s="9" t="s">
        <v>19</v>
      </c>
      <c r="G338" s="12" t="str">
        <f t="shared" si="66"/>
        <v>Блок8</v>
      </c>
    </row>
    <row r="339" spans="1:7" ht="27" customHeight="1" x14ac:dyDescent="0.25">
      <c r="A339" s="14" t="str">
        <f t="shared" si="65"/>
        <v>РУ-1-8</v>
      </c>
      <c r="B339" s="14"/>
      <c r="C339" s="14"/>
      <c r="D339" s="15"/>
      <c r="E339" s="14"/>
      <c r="F339" s="14"/>
      <c r="G339" s="12" t="str">
        <f t="shared" si="66"/>
        <v>Блок8</v>
      </c>
    </row>
    <row r="340" spans="1:7" ht="27" customHeight="1" x14ac:dyDescent="0.25">
      <c r="A340" s="7" t="str">
        <f>D340</f>
        <v>ЩУР.МОП1-8</v>
      </c>
      <c r="B340" s="4"/>
      <c r="C340" s="5"/>
      <c r="D340" s="4" t="s">
        <v>82</v>
      </c>
      <c r="E340" s="7">
        <v>1</v>
      </c>
      <c r="F340" s="4" t="s">
        <v>9</v>
      </c>
      <c r="G340" s="7" t="s">
        <v>80</v>
      </c>
    </row>
    <row r="341" spans="1:7" ht="27" customHeight="1" x14ac:dyDescent="0.25">
      <c r="A341" s="12" t="str">
        <f t="shared" ref="A341:A348" si="67">A340</f>
        <v>ЩУР.МОП1-8</v>
      </c>
      <c r="B341" s="9" t="s">
        <v>10</v>
      </c>
      <c r="C341" s="10" t="s">
        <v>39</v>
      </c>
      <c r="D341" s="9" t="s">
        <v>40</v>
      </c>
      <c r="E341" s="12">
        <v>1</v>
      </c>
      <c r="F341" s="9" t="s">
        <v>12</v>
      </c>
      <c r="G341" s="12" t="str">
        <f t="shared" ref="G341:G348" si="68">G340</f>
        <v>Блок8</v>
      </c>
    </row>
    <row r="342" spans="1:7" ht="27" customHeight="1" x14ac:dyDescent="0.25">
      <c r="A342" s="12" t="str">
        <f t="shared" si="67"/>
        <v>ЩУР.МОП1-8</v>
      </c>
      <c r="B342" s="9" t="s">
        <v>290</v>
      </c>
      <c r="C342" s="10" t="s">
        <v>194</v>
      </c>
      <c r="D342" s="9" t="s">
        <v>195</v>
      </c>
      <c r="E342" s="12">
        <v>1</v>
      </c>
      <c r="F342" s="9" t="s">
        <v>206</v>
      </c>
      <c r="G342" s="12" t="str">
        <f t="shared" si="68"/>
        <v>Блок8</v>
      </c>
    </row>
    <row r="343" spans="1:7" ht="27" customHeight="1" x14ac:dyDescent="0.25">
      <c r="A343" s="12" t="str">
        <f t="shared" si="67"/>
        <v>ЩУР.МОП1-8</v>
      </c>
      <c r="B343" s="9" t="s">
        <v>290</v>
      </c>
      <c r="C343" s="10" t="s">
        <v>200</v>
      </c>
      <c r="D343" s="9" t="s">
        <v>201</v>
      </c>
      <c r="E343" s="12">
        <v>1</v>
      </c>
      <c r="F343" s="9" t="s">
        <v>206</v>
      </c>
      <c r="G343" s="12" t="str">
        <f t="shared" si="68"/>
        <v>Блок8</v>
      </c>
    </row>
    <row r="344" spans="1:7" ht="27" customHeight="1" x14ac:dyDescent="0.25">
      <c r="A344" s="12" t="str">
        <f t="shared" si="67"/>
        <v>ЩУР.МОП1-8</v>
      </c>
      <c r="B344" s="9" t="s">
        <v>290</v>
      </c>
      <c r="C344" s="10" t="s">
        <v>192</v>
      </c>
      <c r="D344" s="9" t="s">
        <v>193</v>
      </c>
      <c r="E344" s="12">
        <v>3</v>
      </c>
      <c r="F344" s="9" t="s">
        <v>206</v>
      </c>
      <c r="G344" s="12" t="str">
        <f t="shared" si="68"/>
        <v>Блок8</v>
      </c>
    </row>
    <row r="345" spans="1:7" ht="27" customHeight="1" x14ac:dyDescent="0.25">
      <c r="A345" s="12" t="str">
        <f t="shared" si="67"/>
        <v>ЩУР.МОП1-8</v>
      </c>
      <c r="B345" s="9" t="s">
        <v>14</v>
      </c>
      <c r="C345" s="10" t="s">
        <v>296</v>
      </c>
      <c r="D345" s="9" t="s">
        <v>297</v>
      </c>
      <c r="E345" s="12">
        <v>1</v>
      </c>
      <c r="F345" s="9" t="s">
        <v>15</v>
      </c>
      <c r="G345" s="12" t="str">
        <f t="shared" si="68"/>
        <v>Блок8</v>
      </c>
    </row>
    <row r="346" spans="1:7" ht="27" customHeight="1" x14ac:dyDescent="0.25">
      <c r="A346" s="9" t="str">
        <f t="shared" si="67"/>
        <v>ЩУР.МОП1-8</v>
      </c>
      <c r="B346" s="9" t="s">
        <v>18</v>
      </c>
      <c r="C346" s="10" t="s">
        <v>18</v>
      </c>
      <c r="D346" s="9" t="s">
        <v>18</v>
      </c>
      <c r="E346" s="9">
        <v>1</v>
      </c>
      <c r="F346" s="9" t="s">
        <v>18</v>
      </c>
      <c r="G346" s="12" t="str">
        <f t="shared" si="68"/>
        <v>Блок8</v>
      </c>
    </row>
    <row r="347" spans="1:7" ht="27" customHeight="1" x14ac:dyDescent="0.25">
      <c r="A347" s="9" t="str">
        <f t="shared" si="67"/>
        <v>ЩУР.МОП1-8</v>
      </c>
      <c r="B347" s="9" t="s">
        <v>19</v>
      </c>
      <c r="C347" s="10" t="s">
        <v>19</v>
      </c>
      <c r="D347" s="9" t="s">
        <v>19</v>
      </c>
      <c r="E347" s="9" t="e">
        <f>60*#REF!</f>
        <v>#REF!</v>
      </c>
      <c r="F347" s="9" t="s">
        <v>19</v>
      </c>
      <c r="G347" s="12" t="str">
        <f t="shared" si="68"/>
        <v>Блок8</v>
      </c>
    </row>
    <row r="348" spans="1:7" ht="27" customHeight="1" x14ac:dyDescent="0.25">
      <c r="A348" s="14" t="str">
        <f t="shared" si="67"/>
        <v>ЩУР.МОП1-8</v>
      </c>
      <c r="B348" s="14"/>
      <c r="C348" s="14"/>
      <c r="D348" s="15"/>
      <c r="E348" s="14"/>
      <c r="F348" s="14"/>
      <c r="G348" s="12" t="str">
        <f t="shared" si="68"/>
        <v>Блок8</v>
      </c>
    </row>
    <row r="349" spans="1:7" ht="27" customHeight="1" x14ac:dyDescent="0.25">
      <c r="A349" s="7" t="str">
        <f>D349</f>
        <v>РЩ1-8 (АВР-Б-40-2-1)</v>
      </c>
      <c r="B349" s="4"/>
      <c r="C349" s="5"/>
      <c r="D349" s="4" t="s">
        <v>139</v>
      </c>
      <c r="E349" s="7">
        <v>1</v>
      </c>
      <c r="F349" s="4" t="s">
        <v>9</v>
      </c>
      <c r="G349" s="7" t="s">
        <v>80</v>
      </c>
    </row>
    <row r="350" spans="1:7" ht="27" customHeight="1" x14ac:dyDescent="0.25">
      <c r="A350" s="12" t="str">
        <f t="shared" ref="A350:A360" si="69">A349</f>
        <v>РЩ1-8 (АВР-Б-40-2-1)</v>
      </c>
      <c r="B350" s="9" t="s">
        <v>10</v>
      </c>
      <c r="C350" s="10" t="s">
        <v>167</v>
      </c>
      <c r="D350" s="9" t="s">
        <v>168</v>
      </c>
      <c r="E350" s="12">
        <v>1</v>
      </c>
      <c r="F350" s="9" t="s">
        <v>12</v>
      </c>
      <c r="G350" s="12" t="str">
        <f t="shared" ref="G350:G360" si="70">G349</f>
        <v>Блок8</v>
      </c>
    </row>
    <row r="351" spans="1:7" ht="27" customHeight="1" x14ac:dyDescent="0.25">
      <c r="A351" s="12" t="str">
        <f t="shared" si="69"/>
        <v>РЩ1-8 (АВР-Б-40-2-1)</v>
      </c>
      <c r="B351" s="9" t="s">
        <v>43</v>
      </c>
      <c r="C351" s="10" t="s">
        <v>161</v>
      </c>
      <c r="D351" s="9" t="s">
        <v>162</v>
      </c>
      <c r="E351" s="12">
        <v>1</v>
      </c>
      <c r="F351" s="9" t="s">
        <v>13</v>
      </c>
      <c r="G351" s="12" t="str">
        <f t="shared" si="70"/>
        <v>Блок8</v>
      </c>
    </row>
    <row r="352" spans="1:7" ht="27" customHeight="1" x14ac:dyDescent="0.25">
      <c r="A352" s="12" t="str">
        <f t="shared" si="69"/>
        <v>РЩ1-8 (АВР-Б-40-2-1)</v>
      </c>
      <c r="B352" s="9" t="s">
        <v>290</v>
      </c>
      <c r="C352" s="10" t="s">
        <v>212</v>
      </c>
      <c r="D352" s="9" t="s">
        <v>213</v>
      </c>
      <c r="E352" s="12">
        <v>2</v>
      </c>
      <c r="F352" s="9" t="s">
        <v>206</v>
      </c>
      <c r="G352" s="12" t="str">
        <f t="shared" si="70"/>
        <v>Блок8</v>
      </c>
    </row>
    <row r="353" spans="1:7" ht="27" customHeight="1" x14ac:dyDescent="0.25">
      <c r="A353" s="12" t="str">
        <f t="shared" si="69"/>
        <v>РЩ1-8 (АВР-Б-40-2-1)</v>
      </c>
      <c r="B353" s="9" t="s">
        <v>290</v>
      </c>
      <c r="C353" s="10" t="s">
        <v>230</v>
      </c>
      <c r="D353" s="9" t="s">
        <v>231</v>
      </c>
      <c r="E353" s="12">
        <v>3</v>
      </c>
      <c r="F353" s="9" t="s">
        <v>206</v>
      </c>
      <c r="G353" s="12" t="str">
        <f t="shared" si="70"/>
        <v>Блок8</v>
      </c>
    </row>
    <row r="354" spans="1:7" ht="27" customHeight="1" x14ac:dyDescent="0.25">
      <c r="A354" s="12" t="str">
        <f t="shared" si="69"/>
        <v>РЩ1-8 (АВР-Б-40-2-1)</v>
      </c>
      <c r="B354" s="9" t="s">
        <v>291</v>
      </c>
      <c r="C354" s="10" t="s">
        <v>202</v>
      </c>
      <c r="D354" s="9" t="s">
        <v>203</v>
      </c>
      <c r="E354" s="12">
        <v>2</v>
      </c>
      <c r="F354" s="9" t="s">
        <v>206</v>
      </c>
      <c r="G354" s="12" t="str">
        <f t="shared" si="70"/>
        <v>Блок8</v>
      </c>
    </row>
    <row r="355" spans="1:7" ht="27" customHeight="1" x14ac:dyDescent="0.25">
      <c r="A355" s="12" t="str">
        <f t="shared" si="69"/>
        <v>РЩ1-8 (АВР-Б-40-2-1)</v>
      </c>
      <c r="B355" s="9" t="s">
        <v>290</v>
      </c>
      <c r="C355" s="10" t="s">
        <v>204</v>
      </c>
      <c r="D355" s="9" t="s">
        <v>205</v>
      </c>
      <c r="E355" s="12">
        <v>1</v>
      </c>
      <c r="F355" s="9" t="s">
        <v>206</v>
      </c>
      <c r="G355" s="12" t="str">
        <f t="shared" si="70"/>
        <v>Блок8</v>
      </c>
    </row>
    <row r="356" spans="1:7" ht="27" customHeight="1" x14ac:dyDescent="0.25">
      <c r="A356" s="12" t="str">
        <f t="shared" si="69"/>
        <v>РЩ1-8 (АВР-Б-40-2-1)</v>
      </c>
      <c r="B356" s="9" t="s">
        <v>14</v>
      </c>
      <c r="C356" s="10" t="s">
        <v>296</v>
      </c>
      <c r="D356" s="9" t="s">
        <v>297</v>
      </c>
      <c r="E356" s="12">
        <v>1</v>
      </c>
      <c r="F356" s="9" t="s">
        <v>15</v>
      </c>
      <c r="G356" s="12" t="str">
        <f t="shared" si="70"/>
        <v>Блок8</v>
      </c>
    </row>
    <row r="357" spans="1:7" ht="27" customHeight="1" x14ac:dyDescent="0.25">
      <c r="A357" s="12" t="str">
        <f t="shared" si="69"/>
        <v>РЩ1-8 (АВР-Б-40-2-1)</v>
      </c>
      <c r="B357" s="9" t="s">
        <v>29</v>
      </c>
      <c r="C357" s="10"/>
      <c r="D357" s="9" t="s">
        <v>30</v>
      </c>
      <c r="E357" s="12">
        <v>6</v>
      </c>
      <c r="F357" s="9" t="s">
        <v>24</v>
      </c>
      <c r="G357" s="12" t="str">
        <f t="shared" si="70"/>
        <v>Блок8</v>
      </c>
    </row>
    <row r="358" spans="1:7" ht="27" customHeight="1" x14ac:dyDescent="0.25">
      <c r="A358" s="9" t="str">
        <f t="shared" si="69"/>
        <v>РЩ1-8 (АВР-Б-40-2-1)</v>
      </c>
      <c r="B358" s="9" t="s">
        <v>18</v>
      </c>
      <c r="C358" s="10" t="s">
        <v>18</v>
      </c>
      <c r="D358" s="9" t="s">
        <v>18</v>
      </c>
      <c r="E358" s="9">
        <v>1</v>
      </c>
      <c r="F358" s="9" t="s">
        <v>18</v>
      </c>
      <c r="G358" s="12" t="str">
        <f t="shared" si="70"/>
        <v>Блок8</v>
      </c>
    </row>
    <row r="359" spans="1:7" ht="27" customHeight="1" x14ac:dyDescent="0.25">
      <c r="A359" s="9" t="str">
        <f t="shared" si="69"/>
        <v>РЩ1-8 (АВР-Б-40-2-1)</v>
      </c>
      <c r="B359" s="9" t="s">
        <v>19</v>
      </c>
      <c r="C359" s="10" t="s">
        <v>19</v>
      </c>
      <c r="D359" s="9" t="s">
        <v>19</v>
      </c>
      <c r="E359" s="9" t="e">
        <f>60*#REF!</f>
        <v>#REF!</v>
      </c>
      <c r="F359" s="9" t="s">
        <v>19</v>
      </c>
      <c r="G359" s="12" t="str">
        <f t="shared" si="70"/>
        <v>Блок8</v>
      </c>
    </row>
    <row r="360" spans="1:7" ht="27" customHeight="1" x14ac:dyDescent="0.25">
      <c r="A360" s="14" t="str">
        <f t="shared" si="69"/>
        <v>РЩ1-8 (АВР-Б-40-2-1)</v>
      </c>
      <c r="B360" s="14"/>
      <c r="C360" s="14"/>
      <c r="D360" s="15"/>
      <c r="E360" s="14"/>
      <c r="F360" s="14"/>
      <c r="G360" s="12" t="str">
        <f t="shared" si="70"/>
        <v>Блок8</v>
      </c>
    </row>
    <row r="361" spans="1:7" ht="27" customHeight="1" x14ac:dyDescent="0.25">
      <c r="A361" s="7" t="str">
        <f>D361</f>
        <v>РУ1-9</v>
      </c>
      <c r="B361" s="4"/>
      <c r="C361" s="5"/>
      <c r="D361" s="4" t="s">
        <v>83</v>
      </c>
      <c r="E361" s="7">
        <v>1</v>
      </c>
      <c r="F361" s="4" t="s">
        <v>9</v>
      </c>
      <c r="G361" s="7" t="s">
        <v>84</v>
      </c>
    </row>
    <row r="362" spans="1:7" ht="27" customHeight="1" x14ac:dyDescent="0.25">
      <c r="A362" s="12" t="str">
        <f t="shared" ref="A362:A368" si="71">A361</f>
        <v>РУ1-9</v>
      </c>
      <c r="B362" s="9" t="s">
        <v>10</v>
      </c>
      <c r="C362" s="10" t="s">
        <v>169</v>
      </c>
      <c r="D362" s="9" t="s">
        <v>170</v>
      </c>
      <c r="E362" s="12">
        <v>1</v>
      </c>
      <c r="F362" s="9" t="s">
        <v>12</v>
      </c>
      <c r="G362" s="12" t="str">
        <f t="shared" ref="G362:G368" si="72">G361</f>
        <v>Блок9</v>
      </c>
    </row>
    <row r="363" spans="1:7" ht="27" customHeight="1" x14ac:dyDescent="0.25">
      <c r="A363" s="12" t="str">
        <f t="shared" si="71"/>
        <v>РУ1-9</v>
      </c>
      <c r="B363" s="9" t="s">
        <v>291</v>
      </c>
      <c r="C363" s="10" t="s">
        <v>228</v>
      </c>
      <c r="D363" s="9" t="s">
        <v>229</v>
      </c>
      <c r="E363" s="12">
        <v>1</v>
      </c>
      <c r="F363" s="9" t="s">
        <v>13</v>
      </c>
      <c r="G363" s="12" t="str">
        <f t="shared" si="72"/>
        <v>Блок9</v>
      </c>
    </row>
    <row r="364" spans="1:7" ht="27" customHeight="1" x14ac:dyDescent="0.25">
      <c r="A364" s="12" t="str">
        <f t="shared" si="71"/>
        <v>РУ1-9</v>
      </c>
      <c r="B364" s="9" t="s">
        <v>291</v>
      </c>
      <c r="C364" s="10" t="s">
        <v>224</v>
      </c>
      <c r="D364" s="9" t="s">
        <v>225</v>
      </c>
      <c r="E364" s="12">
        <v>4</v>
      </c>
      <c r="F364" s="9" t="s">
        <v>206</v>
      </c>
      <c r="G364" s="12" t="str">
        <f t="shared" si="72"/>
        <v>Блок9</v>
      </c>
    </row>
    <row r="365" spans="1:7" ht="27" customHeight="1" x14ac:dyDescent="0.25">
      <c r="A365" s="12" t="str">
        <f t="shared" si="71"/>
        <v>РУ1-9</v>
      </c>
      <c r="B365" s="9" t="s">
        <v>290</v>
      </c>
      <c r="C365" s="10" t="s">
        <v>216</v>
      </c>
      <c r="D365" s="9" t="s">
        <v>217</v>
      </c>
      <c r="E365" s="12">
        <v>2</v>
      </c>
      <c r="F365" s="9" t="s">
        <v>206</v>
      </c>
      <c r="G365" s="12" t="str">
        <f t="shared" si="72"/>
        <v>Блок9</v>
      </c>
    </row>
    <row r="366" spans="1:7" ht="27" customHeight="1" x14ac:dyDescent="0.25">
      <c r="A366" s="9" t="str">
        <f t="shared" si="71"/>
        <v>РУ1-9</v>
      </c>
      <c r="B366" s="9" t="s">
        <v>18</v>
      </c>
      <c r="C366" s="10" t="s">
        <v>18</v>
      </c>
      <c r="D366" s="9" t="s">
        <v>18</v>
      </c>
      <c r="E366" s="9">
        <v>1</v>
      </c>
      <c r="F366" s="9" t="s">
        <v>18</v>
      </c>
      <c r="G366" s="12" t="str">
        <f t="shared" si="72"/>
        <v>Блок9</v>
      </c>
    </row>
    <row r="367" spans="1:7" ht="27" customHeight="1" x14ac:dyDescent="0.25">
      <c r="A367" s="9" t="str">
        <f t="shared" si="71"/>
        <v>РУ1-9</v>
      </c>
      <c r="B367" s="9" t="s">
        <v>19</v>
      </c>
      <c r="C367" s="10" t="s">
        <v>19</v>
      </c>
      <c r="D367" s="9" t="s">
        <v>19</v>
      </c>
      <c r="E367" s="9" t="e">
        <f>60*#REF!</f>
        <v>#REF!</v>
      </c>
      <c r="F367" s="9" t="s">
        <v>19</v>
      </c>
      <c r="G367" s="12" t="str">
        <f t="shared" si="72"/>
        <v>Блок9</v>
      </c>
    </row>
    <row r="368" spans="1:7" ht="27" customHeight="1" x14ac:dyDescent="0.25">
      <c r="A368" s="14" t="str">
        <f t="shared" si="71"/>
        <v>РУ1-9</v>
      </c>
      <c r="B368" s="14"/>
      <c r="C368" s="14"/>
      <c r="D368" s="15"/>
      <c r="E368" s="14"/>
      <c r="F368" s="14"/>
      <c r="G368" s="12" t="str">
        <f t="shared" si="72"/>
        <v>Блок9</v>
      </c>
    </row>
    <row r="369" spans="1:7" ht="27" customHeight="1" x14ac:dyDescent="0.25">
      <c r="A369" s="7" t="str">
        <f>D369</f>
        <v>ЩУР.МОП1-9</v>
      </c>
      <c r="B369" s="4"/>
      <c r="C369" s="5"/>
      <c r="D369" s="4" t="s">
        <v>85</v>
      </c>
      <c r="E369" s="7">
        <v>1</v>
      </c>
      <c r="F369" s="4" t="s">
        <v>9</v>
      </c>
      <c r="G369" s="7" t="s">
        <v>84</v>
      </c>
    </row>
    <row r="370" spans="1:7" ht="27" customHeight="1" x14ac:dyDescent="0.25">
      <c r="A370" s="12" t="str">
        <f t="shared" ref="A370:A377" si="73">A369</f>
        <v>ЩУР.МОП1-9</v>
      </c>
      <c r="B370" s="9" t="s">
        <v>10</v>
      </c>
      <c r="C370" s="10" t="s">
        <v>39</v>
      </c>
      <c r="D370" s="9" t="s">
        <v>40</v>
      </c>
      <c r="E370" s="12">
        <v>1</v>
      </c>
      <c r="F370" s="9" t="s">
        <v>12</v>
      </c>
      <c r="G370" s="12" t="str">
        <f>G369</f>
        <v>Блок9</v>
      </c>
    </row>
    <row r="371" spans="1:7" ht="27" customHeight="1" x14ac:dyDescent="0.25">
      <c r="A371" s="12" t="str">
        <f t="shared" si="73"/>
        <v>ЩУР.МОП1-9</v>
      </c>
      <c r="B371" s="9" t="s">
        <v>290</v>
      </c>
      <c r="C371" s="10" t="s">
        <v>194</v>
      </c>
      <c r="D371" s="9" t="s">
        <v>195</v>
      </c>
      <c r="E371" s="12">
        <v>1</v>
      </c>
      <c r="F371" s="9" t="s">
        <v>206</v>
      </c>
      <c r="G371" s="12" t="str">
        <f>G370</f>
        <v>Блок9</v>
      </c>
    </row>
    <row r="372" spans="1:7" ht="27" customHeight="1" x14ac:dyDescent="0.25">
      <c r="A372" s="12" t="str">
        <f t="shared" si="73"/>
        <v>ЩУР.МОП1-9</v>
      </c>
      <c r="B372" s="9" t="s">
        <v>290</v>
      </c>
      <c r="C372" s="10" t="s">
        <v>192</v>
      </c>
      <c r="D372" s="9" t="s">
        <v>193</v>
      </c>
      <c r="E372" s="12">
        <v>3</v>
      </c>
      <c r="F372" s="9" t="s">
        <v>206</v>
      </c>
      <c r="G372" s="12" t="str">
        <f>G371</f>
        <v>Блок9</v>
      </c>
    </row>
    <row r="373" spans="1:7" ht="27" customHeight="1" x14ac:dyDescent="0.25">
      <c r="A373" s="12" t="str">
        <f t="shared" si="73"/>
        <v>ЩУР.МОП1-9</v>
      </c>
      <c r="B373" s="9" t="s">
        <v>290</v>
      </c>
      <c r="C373" s="10" t="s">
        <v>200</v>
      </c>
      <c r="D373" s="9" t="s">
        <v>201</v>
      </c>
      <c r="E373" s="12">
        <v>1</v>
      </c>
      <c r="F373" s="9" t="s">
        <v>206</v>
      </c>
      <c r="G373" s="12" t="str">
        <f>G372</f>
        <v>Блок9</v>
      </c>
    </row>
    <row r="374" spans="1:7" ht="27" customHeight="1" x14ac:dyDescent="0.25">
      <c r="A374" s="12" t="str">
        <f t="shared" si="73"/>
        <v>ЩУР.МОП1-9</v>
      </c>
      <c r="B374" s="9" t="s">
        <v>14</v>
      </c>
      <c r="C374" s="10" t="s">
        <v>296</v>
      </c>
      <c r="D374" s="9" t="s">
        <v>297</v>
      </c>
      <c r="E374" s="12">
        <v>1</v>
      </c>
      <c r="F374" s="9" t="s">
        <v>15</v>
      </c>
      <c r="G374" s="12" t="str">
        <f>G372</f>
        <v>Блок9</v>
      </c>
    </row>
    <row r="375" spans="1:7" ht="27" customHeight="1" x14ac:dyDescent="0.25">
      <c r="A375" s="9" t="str">
        <f t="shared" si="73"/>
        <v>ЩУР.МОП1-9</v>
      </c>
      <c r="B375" s="9" t="s">
        <v>18</v>
      </c>
      <c r="C375" s="10" t="s">
        <v>18</v>
      </c>
      <c r="D375" s="9" t="s">
        <v>18</v>
      </c>
      <c r="E375" s="9">
        <v>1</v>
      </c>
      <c r="F375" s="9" t="s">
        <v>18</v>
      </c>
      <c r="G375" s="12" t="str">
        <f>G374</f>
        <v>Блок9</v>
      </c>
    </row>
    <row r="376" spans="1:7" ht="27" customHeight="1" x14ac:dyDescent="0.25">
      <c r="A376" s="9" t="str">
        <f t="shared" si="73"/>
        <v>ЩУР.МОП1-9</v>
      </c>
      <c r="B376" s="9" t="s">
        <v>19</v>
      </c>
      <c r="C376" s="10" t="s">
        <v>19</v>
      </c>
      <c r="D376" s="9" t="s">
        <v>19</v>
      </c>
      <c r="E376" s="9" t="e">
        <f>60*#REF!</f>
        <v>#REF!</v>
      </c>
      <c r="F376" s="9" t="s">
        <v>19</v>
      </c>
      <c r="G376" s="12" t="str">
        <f>G375</f>
        <v>Блок9</v>
      </c>
    </row>
    <row r="377" spans="1:7" ht="27" customHeight="1" x14ac:dyDescent="0.25">
      <c r="A377" s="14" t="str">
        <f t="shared" si="73"/>
        <v>ЩУР.МОП1-9</v>
      </c>
      <c r="B377" s="14"/>
      <c r="C377" s="14"/>
      <c r="D377" s="15"/>
      <c r="E377" s="14"/>
      <c r="F377" s="14"/>
      <c r="G377" s="12" t="str">
        <f>G376</f>
        <v>Блок9</v>
      </c>
    </row>
    <row r="378" spans="1:7" ht="27" customHeight="1" x14ac:dyDescent="0.25">
      <c r="A378" s="7" t="str">
        <f>D378</f>
        <v>РЩ1-9 (АВР-Б-40-2-1)</v>
      </c>
      <c r="B378" s="4"/>
      <c r="C378" s="5"/>
      <c r="D378" s="4" t="s">
        <v>140</v>
      </c>
      <c r="E378" s="7">
        <v>1</v>
      </c>
      <c r="F378" s="4" t="s">
        <v>9</v>
      </c>
      <c r="G378" s="7" t="s">
        <v>84</v>
      </c>
    </row>
    <row r="379" spans="1:7" ht="27" customHeight="1" x14ac:dyDescent="0.25">
      <c r="A379" s="12" t="str">
        <f t="shared" ref="A379:A389" si="74">A378</f>
        <v>РЩ1-9 (АВР-Б-40-2-1)</v>
      </c>
      <c r="B379" s="9" t="s">
        <v>10</v>
      </c>
      <c r="C379" s="10" t="s">
        <v>167</v>
      </c>
      <c r="D379" s="9" t="s">
        <v>168</v>
      </c>
      <c r="E379" s="12">
        <v>1</v>
      </c>
      <c r="F379" s="9" t="s">
        <v>12</v>
      </c>
      <c r="G379" s="12" t="str">
        <f t="shared" ref="G379:G389" si="75">G378</f>
        <v>Блок9</v>
      </c>
    </row>
    <row r="380" spans="1:7" ht="27" customHeight="1" x14ac:dyDescent="0.25">
      <c r="A380" s="12" t="str">
        <f t="shared" si="74"/>
        <v>РЩ1-9 (АВР-Б-40-2-1)</v>
      </c>
      <c r="B380" s="9" t="s">
        <v>43</v>
      </c>
      <c r="C380" s="10" t="s">
        <v>161</v>
      </c>
      <c r="D380" s="9" t="s">
        <v>162</v>
      </c>
      <c r="E380" s="12">
        <v>1</v>
      </c>
      <c r="F380" s="9" t="s">
        <v>13</v>
      </c>
      <c r="G380" s="12" t="str">
        <f t="shared" si="75"/>
        <v>Блок9</v>
      </c>
    </row>
    <row r="381" spans="1:7" ht="27" customHeight="1" x14ac:dyDescent="0.25">
      <c r="A381" s="12" t="str">
        <f t="shared" si="74"/>
        <v>РЩ1-9 (АВР-Б-40-2-1)</v>
      </c>
      <c r="B381" s="9" t="s">
        <v>290</v>
      </c>
      <c r="C381" s="10" t="s">
        <v>212</v>
      </c>
      <c r="D381" s="9" t="s">
        <v>213</v>
      </c>
      <c r="E381" s="12">
        <v>2</v>
      </c>
      <c r="F381" s="9" t="s">
        <v>206</v>
      </c>
      <c r="G381" s="12" t="str">
        <f t="shared" si="75"/>
        <v>Блок9</v>
      </c>
    </row>
    <row r="382" spans="1:7" ht="27" customHeight="1" x14ac:dyDescent="0.25">
      <c r="A382" s="12" t="str">
        <f t="shared" si="74"/>
        <v>РЩ1-9 (АВР-Б-40-2-1)</v>
      </c>
      <c r="B382" s="9" t="s">
        <v>290</v>
      </c>
      <c r="C382" s="10" t="s">
        <v>230</v>
      </c>
      <c r="D382" s="9" t="s">
        <v>231</v>
      </c>
      <c r="E382" s="12">
        <v>3</v>
      </c>
      <c r="F382" s="9" t="s">
        <v>206</v>
      </c>
      <c r="G382" s="12" t="str">
        <f t="shared" si="75"/>
        <v>Блок9</v>
      </c>
    </row>
    <row r="383" spans="1:7" ht="27" customHeight="1" x14ac:dyDescent="0.25">
      <c r="A383" s="12" t="str">
        <f t="shared" si="74"/>
        <v>РЩ1-9 (АВР-Б-40-2-1)</v>
      </c>
      <c r="B383" s="9" t="s">
        <v>291</v>
      </c>
      <c r="C383" s="10" t="s">
        <v>202</v>
      </c>
      <c r="D383" s="9" t="s">
        <v>203</v>
      </c>
      <c r="E383" s="12">
        <v>2</v>
      </c>
      <c r="F383" s="9" t="s">
        <v>206</v>
      </c>
      <c r="G383" s="12" t="str">
        <f t="shared" si="75"/>
        <v>Блок9</v>
      </c>
    </row>
    <row r="384" spans="1:7" ht="27" customHeight="1" x14ac:dyDescent="0.25">
      <c r="A384" s="12" t="str">
        <f t="shared" si="74"/>
        <v>РЩ1-9 (АВР-Б-40-2-1)</v>
      </c>
      <c r="B384" s="9" t="s">
        <v>290</v>
      </c>
      <c r="C384" s="10" t="s">
        <v>204</v>
      </c>
      <c r="D384" s="9" t="s">
        <v>205</v>
      </c>
      <c r="E384" s="12">
        <v>1</v>
      </c>
      <c r="F384" s="9" t="s">
        <v>206</v>
      </c>
      <c r="G384" s="12" t="str">
        <f t="shared" si="75"/>
        <v>Блок9</v>
      </c>
    </row>
    <row r="385" spans="1:7" ht="27" customHeight="1" x14ac:dyDescent="0.25">
      <c r="A385" s="12" t="str">
        <f t="shared" si="74"/>
        <v>РЩ1-9 (АВР-Б-40-2-1)</v>
      </c>
      <c r="B385" s="9" t="s">
        <v>14</v>
      </c>
      <c r="C385" s="10" t="s">
        <v>296</v>
      </c>
      <c r="D385" s="9" t="s">
        <v>297</v>
      </c>
      <c r="E385" s="12">
        <v>1</v>
      </c>
      <c r="F385" s="9" t="s">
        <v>15</v>
      </c>
      <c r="G385" s="12" t="str">
        <f t="shared" si="75"/>
        <v>Блок9</v>
      </c>
    </row>
    <row r="386" spans="1:7" ht="27" customHeight="1" x14ac:dyDescent="0.25">
      <c r="A386" s="12" t="str">
        <f t="shared" si="74"/>
        <v>РЩ1-9 (АВР-Б-40-2-1)</v>
      </c>
      <c r="B386" s="9" t="s">
        <v>29</v>
      </c>
      <c r="C386" s="10"/>
      <c r="D386" s="9" t="s">
        <v>30</v>
      </c>
      <c r="E386" s="12">
        <v>6</v>
      </c>
      <c r="F386" s="9" t="s">
        <v>24</v>
      </c>
      <c r="G386" s="12" t="str">
        <f t="shared" si="75"/>
        <v>Блок9</v>
      </c>
    </row>
    <row r="387" spans="1:7" ht="27" customHeight="1" x14ac:dyDescent="0.25">
      <c r="A387" s="9" t="str">
        <f t="shared" si="74"/>
        <v>РЩ1-9 (АВР-Б-40-2-1)</v>
      </c>
      <c r="B387" s="9" t="s">
        <v>18</v>
      </c>
      <c r="C387" s="10" t="s">
        <v>18</v>
      </c>
      <c r="D387" s="9" t="s">
        <v>18</v>
      </c>
      <c r="E387" s="9">
        <v>1</v>
      </c>
      <c r="F387" s="9" t="s">
        <v>18</v>
      </c>
      <c r="G387" s="12" t="str">
        <f t="shared" si="75"/>
        <v>Блок9</v>
      </c>
    </row>
    <row r="388" spans="1:7" ht="27" customHeight="1" x14ac:dyDescent="0.25">
      <c r="A388" s="9" t="str">
        <f t="shared" si="74"/>
        <v>РЩ1-9 (АВР-Б-40-2-1)</v>
      </c>
      <c r="B388" s="9" t="s">
        <v>19</v>
      </c>
      <c r="C388" s="10" t="s">
        <v>19</v>
      </c>
      <c r="D388" s="9" t="s">
        <v>19</v>
      </c>
      <c r="E388" s="9" t="e">
        <f>60*#REF!</f>
        <v>#REF!</v>
      </c>
      <c r="F388" s="9" t="s">
        <v>19</v>
      </c>
      <c r="G388" s="12" t="str">
        <f t="shared" si="75"/>
        <v>Блок9</v>
      </c>
    </row>
    <row r="389" spans="1:7" ht="27" customHeight="1" x14ac:dyDescent="0.25">
      <c r="A389" s="14" t="str">
        <f t="shared" si="74"/>
        <v>РЩ1-9 (АВР-Б-40-2-1)</v>
      </c>
      <c r="B389" s="14"/>
      <c r="C389" s="14"/>
      <c r="D389" s="15"/>
      <c r="E389" s="14"/>
      <c r="F389" s="14"/>
      <c r="G389" s="12" t="str">
        <f t="shared" si="75"/>
        <v>Блок9</v>
      </c>
    </row>
    <row r="390" spans="1:7" ht="27" customHeight="1" x14ac:dyDescent="0.25">
      <c r="A390" s="7" t="str">
        <f>D390</f>
        <v>РУ1-10</v>
      </c>
      <c r="B390" s="4"/>
      <c r="C390" s="5"/>
      <c r="D390" s="4" t="s">
        <v>86</v>
      </c>
      <c r="E390" s="7">
        <v>1</v>
      </c>
      <c r="F390" s="4" t="s">
        <v>9</v>
      </c>
      <c r="G390" s="7" t="s">
        <v>87</v>
      </c>
    </row>
    <row r="391" spans="1:7" ht="27" customHeight="1" x14ac:dyDescent="0.25">
      <c r="A391" s="12" t="str">
        <f t="shared" ref="A391:A397" si="76">A390</f>
        <v>РУ1-10</v>
      </c>
      <c r="B391" s="9" t="s">
        <v>10</v>
      </c>
      <c r="C391" s="10" t="s">
        <v>169</v>
      </c>
      <c r="D391" s="9" t="s">
        <v>170</v>
      </c>
      <c r="E391" s="12">
        <v>1</v>
      </c>
      <c r="F391" s="9" t="s">
        <v>12</v>
      </c>
      <c r="G391" s="12" t="str">
        <f t="shared" ref="G391:G397" si="77">G390</f>
        <v>Блок10</v>
      </c>
    </row>
    <row r="392" spans="1:7" ht="27" customHeight="1" x14ac:dyDescent="0.25">
      <c r="A392" s="12" t="str">
        <f t="shared" si="76"/>
        <v>РУ1-10</v>
      </c>
      <c r="B392" s="9" t="s">
        <v>291</v>
      </c>
      <c r="C392" s="10" t="s">
        <v>228</v>
      </c>
      <c r="D392" s="9" t="s">
        <v>229</v>
      </c>
      <c r="E392" s="12">
        <v>1</v>
      </c>
      <c r="F392" s="9" t="s">
        <v>13</v>
      </c>
      <c r="G392" s="12" t="str">
        <f t="shared" si="77"/>
        <v>Блок10</v>
      </c>
    </row>
    <row r="393" spans="1:7" ht="27" customHeight="1" x14ac:dyDescent="0.25">
      <c r="A393" s="12" t="str">
        <f t="shared" si="76"/>
        <v>РУ1-10</v>
      </c>
      <c r="B393" s="9" t="s">
        <v>291</v>
      </c>
      <c r="C393" s="10" t="s">
        <v>226</v>
      </c>
      <c r="D393" s="9" t="s">
        <v>227</v>
      </c>
      <c r="E393" s="12">
        <v>2</v>
      </c>
      <c r="F393" s="9" t="s">
        <v>206</v>
      </c>
      <c r="G393" s="12" t="str">
        <f t="shared" si="77"/>
        <v>Блок10</v>
      </c>
    </row>
    <row r="394" spans="1:7" ht="27" customHeight="1" x14ac:dyDescent="0.25">
      <c r="A394" s="12" t="str">
        <f t="shared" si="76"/>
        <v>РУ1-10</v>
      </c>
      <c r="B394" s="9" t="s">
        <v>290</v>
      </c>
      <c r="C394" s="10" t="s">
        <v>216</v>
      </c>
      <c r="D394" s="9" t="s">
        <v>217</v>
      </c>
      <c r="E394" s="12">
        <v>2</v>
      </c>
      <c r="F394" s="9" t="s">
        <v>206</v>
      </c>
      <c r="G394" s="12" t="str">
        <f t="shared" si="77"/>
        <v>Блок10</v>
      </c>
    </row>
    <row r="395" spans="1:7" ht="27" customHeight="1" x14ac:dyDescent="0.25">
      <c r="A395" s="9" t="str">
        <f t="shared" si="76"/>
        <v>РУ1-10</v>
      </c>
      <c r="B395" s="9" t="s">
        <v>18</v>
      </c>
      <c r="C395" s="10" t="s">
        <v>18</v>
      </c>
      <c r="D395" s="9" t="s">
        <v>18</v>
      </c>
      <c r="E395" s="9">
        <v>1</v>
      </c>
      <c r="F395" s="9" t="s">
        <v>18</v>
      </c>
      <c r="G395" s="12" t="str">
        <f t="shared" si="77"/>
        <v>Блок10</v>
      </c>
    </row>
    <row r="396" spans="1:7" ht="27" customHeight="1" x14ac:dyDescent="0.25">
      <c r="A396" s="9" t="str">
        <f t="shared" si="76"/>
        <v>РУ1-10</v>
      </c>
      <c r="B396" s="9" t="s">
        <v>19</v>
      </c>
      <c r="C396" s="10" t="s">
        <v>19</v>
      </c>
      <c r="D396" s="9" t="s">
        <v>19</v>
      </c>
      <c r="E396" s="9" t="e">
        <f>60*#REF!</f>
        <v>#REF!</v>
      </c>
      <c r="F396" s="9" t="s">
        <v>19</v>
      </c>
      <c r="G396" s="12" t="str">
        <f t="shared" si="77"/>
        <v>Блок10</v>
      </c>
    </row>
    <row r="397" spans="1:7" ht="27" customHeight="1" x14ac:dyDescent="0.25">
      <c r="A397" s="14" t="str">
        <f t="shared" si="76"/>
        <v>РУ1-10</v>
      </c>
      <c r="B397" s="14"/>
      <c r="C397" s="14"/>
      <c r="D397" s="15"/>
      <c r="E397" s="14"/>
      <c r="F397" s="14"/>
      <c r="G397" s="12" t="str">
        <f t="shared" si="77"/>
        <v>Блок10</v>
      </c>
    </row>
    <row r="398" spans="1:7" ht="27" customHeight="1" x14ac:dyDescent="0.25">
      <c r="A398" s="7" t="str">
        <f>D398</f>
        <v>ЩУР.МОП1-10</v>
      </c>
      <c r="B398" s="4"/>
      <c r="C398" s="5"/>
      <c r="D398" s="4" t="s">
        <v>88</v>
      </c>
      <c r="E398" s="7">
        <v>1</v>
      </c>
      <c r="F398" s="4" t="s">
        <v>9</v>
      </c>
      <c r="G398" s="7" t="s">
        <v>87</v>
      </c>
    </row>
    <row r="399" spans="1:7" ht="27" customHeight="1" x14ac:dyDescent="0.25">
      <c r="A399" s="12" t="str">
        <f t="shared" ref="A399:A405" si="78">A398</f>
        <v>ЩУР.МОП1-10</v>
      </c>
      <c r="B399" s="9" t="s">
        <v>10</v>
      </c>
      <c r="C399" s="10" t="s">
        <v>39</v>
      </c>
      <c r="D399" s="9" t="s">
        <v>40</v>
      </c>
      <c r="E399" s="12">
        <v>1</v>
      </c>
      <c r="F399" s="9" t="s">
        <v>12</v>
      </c>
      <c r="G399" s="12" t="str">
        <f t="shared" ref="G399:G405" si="79">G398</f>
        <v>Блок10</v>
      </c>
    </row>
    <row r="400" spans="1:7" ht="27" customHeight="1" x14ac:dyDescent="0.25">
      <c r="A400" s="12" t="str">
        <f t="shared" si="78"/>
        <v>ЩУР.МОП1-10</v>
      </c>
      <c r="B400" s="9" t="s">
        <v>290</v>
      </c>
      <c r="C400" s="10" t="s">
        <v>194</v>
      </c>
      <c r="D400" s="9" t="s">
        <v>195</v>
      </c>
      <c r="E400" s="12">
        <v>1</v>
      </c>
      <c r="F400" s="9" t="s">
        <v>206</v>
      </c>
      <c r="G400" s="12" t="str">
        <f t="shared" si="79"/>
        <v>Блок10</v>
      </c>
    </row>
    <row r="401" spans="1:7" ht="27" customHeight="1" x14ac:dyDescent="0.25">
      <c r="A401" s="12" t="str">
        <f t="shared" si="78"/>
        <v>ЩУР.МОП1-10</v>
      </c>
      <c r="B401" s="9" t="s">
        <v>290</v>
      </c>
      <c r="C401" s="10" t="s">
        <v>192</v>
      </c>
      <c r="D401" s="9" t="s">
        <v>193</v>
      </c>
      <c r="E401" s="12">
        <v>4</v>
      </c>
      <c r="F401" s="9" t="s">
        <v>206</v>
      </c>
      <c r="G401" s="12" t="str">
        <f t="shared" si="79"/>
        <v>Блок10</v>
      </c>
    </row>
    <row r="402" spans="1:7" ht="27" customHeight="1" x14ac:dyDescent="0.25">
      <c r="A402" s="12" t="str">
        <f t="shared" si="78"/>
        <v>ЩУР.МОП1-10</v>
      </c>
      <c r="B402" s="9" t="s">
        <v>14</v>
      </c>
      <c r="C402" s="10" t="s">
        <v>296</v>
      </c>
      <c r="D402" s="9" t="s">
        <v>297</v>
      </c>
      <c r="E402" s="12">
        <v>1</v>
      </c>
      <c r="F402" s="9" t="s">
        <v>15</v>
      </c>
      <c r="G402" s="12" t="str">
        <f t="shared" si="79"/>
        <v>Блок10</v>
      </c>
    </row>
    <row r="403" spans="1:7" ht="27" customHeight="1" x14ac:dyDescent="0.25">
      <c r="A403" s="9" t="str">
        <f t="shared" si="78"/>
        <v>ЩУР.МОП1-10</v>
      </c>
      <c r="B403" s="9" t="s">
        <v>18</v>
      </c>
      <c r="C403" s="10" t="s">
        <v>18</v>
      </c>
      <c r="D403" s="9" t="s">
        <v>18</v>
      </c>
      <c r="E403" s="9">
        <v>1</v>
      </c>
      <c r="F403" s="9" t="s">
        <v>18</v>
      </c>
      <c r="G403" s="12" t="str">
        <f t="shared" si="79"/>
        <v>Блок10</v>
      </c>
    </row>
    <row r="404" spans="1:7" ht="27" customHeight="1" x14ac:dyDescent="0.25">
      <c r="A404" s="9" t="str">
        <f t="shared" si="78"/>
        <v>ЩУР.МОП1-10</v>
      </c>
      <c r="B404" s="9" t="s">
        <v>19</v>
      </c>
      <c r="C404" s="10" t="s">
        <v>19</v>
      </c>
      <c r="D404" s="9" t="s">
        <v>19</v>
      </c>
      <c r="E404" s="9" t="e">
        <f>60*#REF!</f>
        <v>#REF!</v>
      </c>
      <c r="F404" s="9" t="s">
        <v>19</v>
      </c>
      <c r="G404" s="12" t="str">
        <f t="shared" si="79"/>
        <v>Блок10</v>
      </c>
    </row>
    <row r="405" spans="1:7" ht="27" customHeight="1" x14ac:dyDescent="0.25">
      <c r="A405" s="14" t="str">
        <f t="shared" si="78"/>
        <v>ЩУР.МОП1-10</v>
      </c>
      <c r="B405" s="14"/>
      <c r="C405" s="14"/>
      <c r="D405" s="15"/>
      <c r="E405" s="14"/>
      <c r="F405" s="14"/>
      <c r="G405" s="12" t="str">
        <f t="shared" si="79"/>
        <v>Блок10</v>
      </c>
    </row>
    <row r="406" spans="1:7" ht="27" customHeight="1" x14ac:dyDescent="0.25">
      <c r="A406" s="7" t="str">
        <f>D406</f>
        <v>РЩ1-10 (АВР-Б-40-2-1)</v>
      </c>
      <c r="B406" s="4"/>
      <c r="C406" s="5"/>
      <c r="D406" s="4" t="s">
        <v>141</v>
      </c>
      <c r="E406" s="7">
        <v>1</v>
      </c>
      <c r="F406" s="4" t="s">
        <v>9</v>
      </c>
      <c r="G406" s="7" t="s">
        <v>87</v>
      </c>
    </row>
    <row r="407" spans="1:7" ht="27" customHeight="1" x14ac:dyDescent="0.25">
      <c r="A407" s="12" t="str">
        <f t="shared" ref="A407:A417" si="80">A406</f>
        <v>РЩ1-10 (АВР-Б-40-2-1)</v>
      </c>
      <c r="B407" s="9" t="s">
        <v>10</v>
      </c>
      <c r="C407" s="10" t="s">
        <v>167</v>
      </c>
      <c r="D407" s="9" t="s">
        <v>168</v>
      </c>
      <c r="E407" s="12">
        <v>1</v>
      </c>
      <c r="F407" s="9" t="s">
        <v>12</v>
      </c>
      <c r="G407" s="12" t="str">
        <f t="shared" ref="G407:G417" si="81">G406</f>
        <v>Блок10</v>
      </c>
    </row>
    <row r="408" spans="1:7" ht="27" customHeight="1" x14ac:dyDescent="0.25">
      <c r="A408" s="12" t="str">
        <f t="shared" si="80"/>
        <v>РЩ1-10 (АВР-Б-40-2-1)</v>
      </c>
      <c r="B408" s="9" t="s">
        <v>43</v>
      </c>
      <c r="C408" s="10" t="s">
        <v>161</v>
      </c>
      <c r="D408" s="9" t="s">
        <v>162</v>
      </c>
      <c r="E408" s="12">
        <v>1</v>
      </c>
      <c r="F408" s="9" t="s">
        <v>13</v>
      </c>
      <c r="G408" s="12" t="str">
        <f t="shared" si="81"/>
        <v>Блок10</v>
      </c>
    </row>
    <row r="409" spans="1:7" ht="27" customHeight="1" x14ac:dyDescent="0.25">
      <c r="A409" s="12" t="str">
        <f t="shared" si="80"/>
        <v>РЩ1-10 (АВР-Б-40-2-1)</v>
      </c>
      <c r="B409" s="9" t="s">
        <v>290</v>
      </c>
      <c r="C409" s="10" t="s">
        <v>212</v>
      </c>
      <c r="D409" s="9" t="s">
        <v>213</v>
      </c>
      <c r="E409" s="12">
        <v>3</v>
      </c>
      <c r="F409" s="9" t="s">
        <v>206</v>
      </c>
      <c r="G409" s="12" t="str">
        <f t="shared" si="81"/>
        <v>Блок10</v>
      </c>
    </row>
    <row r="410" spans="1:7" ht="27" customHeight="1" x14ac:dyDescent="0.25">
      <c r="A410" s="12" t="str">
        <f t="shared" si="80"/>
        <v>РЩ1-10 (АВР-Б-40-2-1)</v>
      </c>
      <c r="B410" s="9" t="s">
        <v>290</v>
      </c>
      <c r="C410" s="10" t="s">
        <v>230</v>
      </c>
      <c r="D410" s="9" t="s">
        <v>231</v>
      </c>
      <c r="E410" s="12">
        <v>2</v>
      </c>
      <c r="F410" s="9" t="s">
        <v>206</v>
      </c>
      <c r="G410" s="12" t="str">
        <f t="shared" si="81"/>
        <v>Блок10</v>
      </c>
    </row>
    <row r="411" spans="1:7" ht="27" customHeight="1" x14ac:dyDescent="0.25">
      <c r="A411" s="12" t="str">
        <f t="shared" si="80"/>
        <v>РЩ1-10 (АВР-Б-40-2-1)</v>
      </c>
      <c r="B411" s="9" t="s">
        <v>291</v>
      </c>
      <c r="C411" s="10" t="s">
        <v>202</v>
      </c>
      <c r="D411" s="9" t="s">
        <v>203</v>
      </c>
      <c r="E411" s="12">
        <v>2</v>
      </c>
      <c r="F411" s="9" t="s">
        <v>206</v>
      </c>
      <c r="G411" s="12" t="str">
        <f t="shared" si="81"/>
        <v>Блок10</v>
      </c>
    </row>
    <row r="412" spans="1:7" ht="27" customHeight="1" x14ac:dyDescent="0.25">
      <c r="A412" s="12" t="str">
        <f t="shared" si="80"/>
        <v>РЩ1-10 (АВР-Б-40-2-1)</v>
      </c>
      <c r="B412" s="9" t="s">
        <v>290</v>
      </c>
      <c r="C412" s="10" t="s">
        <v>204</v>
      </c>
      <c r="D412" s="9" t="s">
        <v>205</v>
      </c>
      <c r="E412" s="12">
        <v>1</v>
      </c>
      <c r="F412" s="9" t="s">
        <v>206</v>
      </c>
      <c r="G412" s="12" t="str">
        <f t="shared" si="81"/>
        <v>Блок10</v>
      </c>
    </row>
    <row r="413" spans="1:7" ht="27" customHeight="1" x14ac:dyDescent="0.25">
      <c r="A413" s="12" t="str">
        <f t="shared" si="80"/>
        <v>РЩ1-10 (АВР-Б-40-2-1)</v>
      </c>
      <c r="B413" s="9" t="s">
        <v>14</v>
      </c>
      <c r="C413" s="10" t="s">
        <v>296</v>
      </c>
      <c r="D413" s="9" t="s">
        <v>297</v>
      </c>
      <c r="E413" s="12">
        <v>1</v>
      </c>
      <c r="F413" s="9" t="s">
        <v>15</v>
      </c>
      <c r="G413" s="12" t="str">
        <f t="shared" si="81"/>
        <v>Блок10</v>
      </c>
    </row>
    <row r="414" spans="1:7" ht="27" customHeight="1" x14ac:dyDescent="0.25">
      <c r="A414" s="12" t="str">
        <f t="shared" si="80"/>
        <v>РЩ1-10 (АВР-Б-40-2-1)</v>
      </c>
      <c r="B414" s="9" t="s">
        <v>29</v>
      </c>
      <c r="C414" s="10"/>
      <c r="D414" s="9" t="s">
        <v>30</v>
      </c>
      <c r="E414" s="12">
        <v>6</v>
      </c>
      <c r="F414" s="9" t="s">
        <v>24</v>
      </c>
      <c r="G414" s="12" t="str">
        <f t="shared" si="81"/>
        <v>Блок10</v>
      </c>
    </row>
    <row r="415" spans="1:7" ht="27" customHeight="1" x14ac:dyDescent="0.25">
      <c r="A415" s="9" t="str">
        <f t="shared" si="80"/>
        <v>РЩ1-10 (АВР-Б-40-2-1)</v>
      </c>
      <c r="B415" s="9" t="s">
        <v>18</v>
      </c>
      <c r="C415" s="10" t="s">
        <v>18</v>
      </c>
      <c r="D415" s="9" t="s">
        <v>18</v>
      </c>
      <c r="E415" s="9">
        <v>1</v>
      </c>
      <c r="F415" s="9" t="s">
        <v>18</v>
      </c>
      <c r="G415" s="12" t="str">
        <f t="shared" si="81"/>
        <v>Блок10</v>
      </c>
    </row>
    <row r="416" spans="1:7" ht="27" customHeight="1" x14ac:dyDescent="0.25">
      <c r="A416" s="9" t="str">
        <f t="shared" si="80"/>
        <v>РЩ1-10 (АВР-Б-40-2-1)</v>
      </c>
      <c r="B416" s="9" t="s">
        <v>19</v>
      </c>
      <c r="C416" s="10" t="s">
        <v>19</v>
      </c>
      <c r="D416" s="9" t="s">
        <v>19</v>
      </c>
      <c r="E416" s="9" t="e">
        <f>60*#REF!</f>
        <v>#REF!</v>
      </c>
      <c r="F416" s="9" t="s">
        <v>19</v>
      </c>
      <c r="G416" s="12" t="str">
        <f t="shared" si="81"/>
        <v>Блок10</v>
      </c>
    </row>
    <row r="417" spans="1:7" ht="27" customHeight="1" x14ac:dyDescent="0.25">
      <c r="A417" s="14" t="str">
        <f t="shared" si="80"/>
        <v>РЩ1-10 (АВР-Б-40-2-1)</v>
      </c>
      <c r="B417" s="14"/>
      <c r="C417" s="14"/>
      <c r="D417" s="15"/>
      <c r="E417" s="14"/>
      <c r="F417" s="14"/>
      <c r="G417" s="12" t="str">
        <f t="shared" si="81"/>
        <v>Блок10</v>
      </c>
    </row>
    <row r="418" spans="1:7" ht="27" customHeight="1" x14ac:dyDescent="0.25">
      <c r="A418" s="7" t="str">
        <f>D418</f>
        <v>ВРУ1-11</v>
      </c>
      <c r="B418" s="4"/>
      <c r="C418" s="5"/>
      <c r="D418" s="4" t="s">
        <v>89</v>
      </c>
      <c r="E418" s="7">
        <v>1</v>
      </c>
      <c r="F418" s="4" t="s">
        <v>9</v>
      </c>
      <c r="G418" s="7" t="s">
        <v>90</v>
      </c>
    </row>
    <row r="419" spans="1:7" ht="27" customHeight="1" x14ac:dyDescent="0.25">
      <c r="A419" s="12" t="str">
        <f t="shared" ref="A419:A429" si="82">A418</f>
        <v>ВРУ1-11</v>
      </c>
      <c r="B419" s="9" t="s">
        <v>10</v>
      </c>
      <c r="C419" s="10" t="s">
        <v>171</v>
      </c>
      <c r="D419" s="9" t="s">
        <v>172</v>
      </c>
      <c r="E419" s="12">
        <v>1</v>
      </c>
      <c r="F419" s="9" t="s">
        <v>12</v>
      </c>
      <c r="G419" s="12" t="str">
        <f t="shared" ref="G419:G429" si="83">G418</f>
        <v>Блок11</v>
      </c>
    </row>
    <row r="420" spans="1:7" ht="27" customHeight="1" x14ac:dyDescent="0.25">
      <c r="A420" s="12" t="str">
        <f t="shared" si="82"/>
        <v>ВРУ1-11</v>
      </c>
      <c r="B420" s="9" t="s">
        <v>22</v>
      </c>
      <c r="C420" s="10" t="s">
        <v>304</v>
      </c>
      <c r="D420" s="9" t="s">
        <v>305</v>
      </c>
      <c r="E420" s="12">
        <v>6</v>
      </c>
      <c r="F420" s="9" t="s">
        <v>24</v>
      </c>
      <c r="G420" s="12" t="str">
        <f t="shared" si="83"/>
        <v>Блок11</v>
      </c>
    </row>
    <row r="421" spans="1:7" ht="27" customHeight="1" x14ac:dyDescent="0.25">
      <c r="A421" s="12" t="str">
        <f t="shared" si="82"/>
        <v>ВРУ1-11</v>
      </c>
      <c r="B421" s="9" t="s">
        <v>25</v>
      </c>
      <c r="C421" s="10" t="s">
        <v>176</v>
      </c>
      <c r="D421" s="9" t="s">
        <v>177</v>
      </c>
      <c r="E421" s="12">
        <v>2</v>
      </c>
      <c r="F421" s="9" t="s">
        <v>24</v>
      </c>
      <c r="G421" s="12" t="str">
        <f t="shared" si="83"/>
        <v>Блок11</v>
      </c>
    </row>
    <row r="422" spans="1:7" ht="27" customHeight="1" x14ac:dyDescent="0.25">
      <c r="A422" s="12" t="str">
        <f t="shared" si="82"/>
        <v>ВРУ1-11</v>
      </c>
      <c r="B422" s="9" t="s">
        <v>126</v>
      </c>
      <c r="C422" s="10" t="s">
        <v>129</v>
      </c>
      <c r="D422" s="9" t="s">
        <v>130</v>
      </c>
      <c r="E422" s="12">
        <v>6</v>
      </c>
      <c r="F422" s="9" t="s">
        <v>13</v>
      </c>
      <c r="G422" s="12" t="str">
        <f t="shared" si="83"/>
        <v>Блок11</v>
      </c>
    </row>
    <row r="423" spans="1:7" ht="27" customHeight="1" x14ac:dyDescent="0.25">
      <c r="A423" s="12" t="str">
        <f t="shared" si="82"/>
        <v>ВРУ1-11</v>
      </c>
      <c r="B423" s="9" t="s">
        <v>125</v>
      </c>
      <c r="C423" s="10" t="s">
        <v>127</v>
      </c>
      <c r="D423" s="9" t="s">
        <v>128</v>
      </c>
      <c r="E423" s="12">
        <v>6</v>
      </c>
      <c r="F423" s="9" t="s">
        <v>13</v>
      </c>
      <c r="G423" s="12" t="str">
        <f t="shared" si="83"/>
        <v>Блок11</v>
      </c>
    </row>
    <row r="424" spans="1:7" ht="27" customHeight="1" x14ac:dyDescent="0.25">
      <c r="A424" s="12" t="str">
        <f t="shared" si="82"/>
        <v>ВРУ1-11</v>
      </c>
      <c r="B424" s="9" t="s">
        <v>290</v>
      </c>
      <c r="C424" s="10" t="s">
        <v>188</v>
      </c>
      <c r="D424" s="9" t="s">
        <v>189</v>
      </c>
      <c r="E424" s="12">
        <v>2</v>
      </c>
      <c r="F424" s="9" t="s">
        <v>206</v>
      </c>
      <c r="G424" s="12" t="str">
        <f t="shared" si="83"/>
        <v>Блок11</v>
      </c>
    </row>
    <row r="425" spans="1:7" ht="27" customHeight="1" x14ac:dyDescent="0.25">
      <c r="A425" s="12" t="str">
        <f t="shared" si="82"/>
        <v>ВРУ1-11</v>
      </c>
      <c r="B425" s="9" t="s">
        <v>14</v>
      </c>
      <c r="C425" s="10" t="s">
        <v>294</v>
      </c>
      <c r="D425" s="20" t="s">
        <v>295</v>
      </c>
      <c r="E425" s="12">
        <v>2</v>
      </c>
      <c r="F425" s="9" t="s">
        <v>15</v>
      </c>
      <c r="G425" s="12" t="str">
        <f t="shared" si="83"/>
        <v>Блок11</v>
      </c>
    </row>
    <row r="426" spans="1:7" ht="27" customHeight="1" x14ac:dyDescent="0.25">
      <c r="A426" s="12" t="str">
        <f t="shared" si="82"/>
        <v>ВРУ1-11</v>
      </c>
      <c r="B426" s="9" t="s">
        <v>29</v>
      </c>
      <c r="C426" s="10"/>
      <c r="D426" s="9" t="s">
        <v>30</v>
      </c>
      <c r="E426" s="12">
        <v>6</v>
      </c>
      <c r="F426" s="9" t="s">
        <v>24</v>
      </c>
      <c r="G426" s="12" t="str">
        <f t="shared" si="83"/>
        <v>Блок11</v>
      </c>
    </row>
    <row r="427" spans="1:7" ht="27" customHeight="1" x14ac:dyDescent="0.25">
      <c r="A427" s="9" t="str">
        <f t="shared" si="82"/>
        <v>ВРУ1-11</v>
      </c>
      <c r="B427" s="9" t="s">
        <v>18</v>
      </c>
      <c r="C427" s="10" t="s">
        <v>18</v>
      </c>
      <c r="D427" s="9" t="s">
        <v>18</v>
      </c>
      <c r="E427" s="9">
        <v>1</v>
      </c>
      <c r="F427" s="9" t="s">
        <v>18</v>
      </c>
      <c r="G427" s="12" t="str">
        <f t="shared" si="83"/>
        <v>Блок11</v>
      </c>
    </row>
    <row r="428" spans="1:7" ht="27" customHeight="1" x14ac:dyDescent="0.25">
      <c r="A428" s="9" t="str">
        <f t="shared" si="82"/>
        <v>ВРУ1-11</v>
      </c>
      <c r="B428" s="9" t="s">
        <v>19</v>
      </c>
      <c r="C428" s="10" t="s">
        <v>19</v>
      </c>
      <c r="D428" s="9" t="s">
        <v>19</v>
      </c>
      <c r="E428" s="9" t="e">
        <f>60*#REF!</f>
        <v>#REF!</v>
      </c>
      <c r="F428" s="9" t="s">
        <v>19</v>
      </c>
      <c r="G428" s="12" t="str">
        <f t="shared" si="83"/>
        <v>Блок11</v>
      </c>
    </row>
    <row r="429" spans="1:7" ht="27" customHeight="1" x14ac:dyDescent="0.25">
      <c r="A429" s="14" t="str">
        <f t="shared" si="82"/>
        <v>ВРУ1-11</v>
      </c>
      <c r="B429" s="14"/>
      <c r="C429" s="14"/>
      <c r="D429" s="15"/>
      <c r="E429" s="14"/>
      <c r="F429" s="14"/>
      <c r="G429" s="12" t="str">
        <f t="shared" si="83"/>
        <v>Блок11</v>
      </c>
    </row>
    <row r="430" spans="1:7" ht="27" customHeight="1" x14ac:dyDescent="0.25">
      <c r="A430" s="7" t="str">
        <f>D430</f>
        <v>РУ-1-11</v>
      </c>
      <c r="B430" s="4"/>
      <c r="C430" s="5"/>
      <c r="D430" s="4" t="s">
        <v>91</v>
      </c>
      <c r="E430" s="7">
        <v>1</v>
      </c>
      <c r="F430" s="4" t="s">
        <v>9</v>
      </c>
      <c r="G430" s="7" t="s">
        <v>90</v>
      </c>
    </row>
    <row r="431" spans="1:7" ht="27" customHeight="1" x14ac:dyDescent="0.25">
      <c r="A431" s="12" t="str">
        <f t="shared" ref="A431:A438" si="84">A430</f>
        <v>РУ-1-11</v>
      </c>
      <c r="B431" s="9" t="s">
        <v>10</v>
      </c>
      <c r="C431" s="10" t="s">
        <v>169</v>
      </c>
      <c r="D431" s="9" t="s">
        <v>170</v>
      </c>
      <c r="E431" s="12">
        <v>1</v>
      </c>
      <c r="F431" s="9" t="s">
        <v>12</v>
      </c>
      <c r="G431" s="12" t="str">
        <f t="shared" ref="G431:G438" si="85">G430</f>
        <v>Блок11</v>
      </c>
    </row>
    <row r="432" spans="1:7" ht="27" customHeight="1" x14ac:dyDescent="0.25">
      <c r="A432" s="12" t="str">
        <f t="shared" si="84"/>
        <v>РУ-1-11</v>
      </c>
      <c r="B432" s="9" t="s">
        <v>291</v>
      </c>
      <c r="C432" s="10" t="s">
        <v>228</v>
      </c>
      <c r="D432" s="9" t="s">
        <v>229</v>
      </c>
      <c r="E432" s="12">
        <v>1</v>
      </c>
      <c r="F432" s="9" t="s">
        <v>13</v>
      </c>
      <c r="G432" s="12" t="str">
        <f t="shared" si="85"/>
        <v>Блок11</v>
      </c>
    </row>
    <row r="433" spans="1:7" ht="27" customHeight="1" x14ac:dyDescent="0.25">
      <c r="A433" s="12" t="str">
        <f t="shared" si="84"/>
        <v>РУ-1-11</v>
      </c>
      <c r="B433" s="9" t="s">
        <v>291</v>
      </c>
      <c r="C433" s="10" t="s">
        <v>226</v>
      </c>
      <c r="D433" s="9" t="s">
        <v>227</v>
      </c>
      <c r="E433" s="12">
        <v>2</v>
      </c>
      <c r="F433" s="9" t="s">
        <v>206</v>
      </c>
      <c r="G433" s="12" t="str">
        <f t="shared" si="85"/>
        <v>Блок11</v>
      </c>
    </row>
    <row r="434" spans="1:7" ht="27" customHeight="1" x14ac:dyDescent="0.25">
      <c r="A434" s="12" t="str">
        <f t="shared" si="84"/>
        <v>РУ-1-11</v>
      </c>
      <c r="B434" s="9" t="s">
        <v>290</v>
      </c>
      <c r="C434" s="10" t="s">
        <v>216</v>
      </c>
      <c r="D434" s="9" t="s">
        <v>217</v>
      </c>
      <c r="E434" s="12">
        <v>2</v>
      </c>
      <c r="F434" s="9" t="s">
        <v>206</v>
      </c>
      <c r="G434" s="12" t="str">
        <f t="shared" si="85"/>
        <v>Блок11</v>
      </c>
    </row>
    <row r="435" spans="1:7" ht="27" customHeight="1" x14ac:dyDescent="0.25">
      <c r="A435" s="12" t="str">
        <f t="shared" si="84"/>
        <v>РУ-1-11</v>
      </c>
      <c r="B435" s="9" t="s">
        <v>290</v>
      </c>
      <c r="C435" s="10" t="s">
        <v>214</v>
      </c>
      <c r="D435" s="9" t="s">
        <v>215</v>
      </c>
      <c r="E435" s="12">
        <v>1</v>
      </c>
      <c r="F435" s="9" t="s">
        <v>206</v>
      </c>
      <c r="G435" s="12" t="str">
        <f t="shared" si="85"/>
        <v>Блок11</v>
      </c>
    </row>
    <row r="436" spans="1:7" ht="27" customHeight="1" x14ac:dyDescent="0.25">
      <c r="A436" s="9" t="str">
        <f t="shared" si="84"/>
        <v>РУ-1-11</v>
      </c>
      <c r="B436" s="9" t="s">
        <v>18</v>
      </c>
      <c r="C436" s="10" t="s">
        <v>18</v>
      </c>
      <c r="D436" s="9" t="s">
        <v>18</v>
      </c>
      <c r="E436" s="9">
        <v>1</v>
      </c>
      <c r="F436" s="9" t="s">
        <v>18</v>
      </c>
      <c r="G436" s="12" t="str">
        <f t="shared" si="85"/>
        <v>Блок11</v>
      </c>
    </row>
    <row r="437" spans="1:7" ht="27" customHeight="1" x14ac:dyDescent="0.25">
      <c r="A437" s="9" t="str">
        <f t="shared" si="84"/>
        <v>РУ-1-11</v>
      </c>
      <c r="B437" s="9" t="s">
        <v>19</v>
      </c>
      <c r="C437" s="10" t="s">
        <v>19</v>
      </c>
      <c r="D437" s="9" t="s">
        <v>19</v>
      </c>
      <c r="E437" s="9" t="e">
        <f>60*#REF!</f>
        <v>#REF!</v>
      </c>
      <c r="F437" s="9" t="s">
        <v>19</v>
      </c>
      <c r="G437" s="12" t="str">
        <f t="shared" si="85"/>
        <v>Блок11</v>
      </c>
    </row>
    <row r="438" spans="1:7" ht="27" customHeight="1" x14ac:dyDescent="0.25">
      <c r="A438" s="14" t="str">
        <f t="shared" si="84"/>
        <v>РУ-1-11</v>
      </c>
      <c r="B438" s="14"/>
      <c r="C438" s="14"/>
      <c r="D438" s="15"/>
      <c r="E438" s="14"/>
      <c r="F438" s="14"/>
      <c r="G438" s="12" t="str">
        <f t="shared" si="85"/>
        <v>Блок11</v>
      </c>
    </row>
    <row r="439" spans="1:7" ht="27" customHeight="1" x14ac:dyDescent="0.25">
      <c r="A439" s="7" t="str">
        <f>D439</f>
        <v>ЩУР.МОП1-11</v>
      </c>
      <c r="B439" s="4"/>
      <c r="C439" s="5"/>
      <c r="D439" s="4" t="s">
        <v>92</v>
      </c>
      <c r="E439" s="7">
        <v>1</v>
      </c>
      <c r="F439" s="4" t="s">
        <v>9</v>
      </c>
      <c r="G439" s="7" t="s">
        <v>90</v>
      </c>
    </row>
    <row r="440" spans="1:7" ht="27" customHeight="1" x14ac:dyDescent="0.25">
      <c r="A440" s="12" t="str">
        <f t="shared" ref="A440:A446" si="86">A439</f>
        <v>ЩУР.МОП1-11</v>
      </c>
      <c r="B440" s="9" t="s">
        <v>10</v>
      </c>
      <c r="C440" s="10" t="s">
        <v>39</v>
      </c>
      <c r="D440" s="9" t="s">
        <v>40</v>
      </c>
      <c r="E440" s="12">
        <v>1</v>
      </c>
      <c r="F440" s="9" t="s">
        <v>12</v>
      </c>
      <c r="G440" s="12" t="str">
        <f t="shared" ref="G440:G446" si="87">G439</f>
        <v>Блок11</v>
      </c>
    </row>
    <row r="441" spans="1:7" ht="27" customHeight="1" x14ac:dyDescent="0.25">
      <c r="A441" s="12" t="str">
        <f t="shared" si="86"/>
        <v>ЩУР.МОП1-11</v>
      </c>
      <c r="B441" s="9" t="s">
        <v>290</v>
      </c>
      <c r="C441" s="10" t="s">
        <v>194</v>
      </c>
      <c r="D441" s="9" t="s">
        <v>195</v>
      </c>
      <c r="E441" s="12">
        <v>1</v>
      </c>
      <c r="F441" s="9" t="s">
        <v>206</v>
      </c>
      <c r="G441" s="12" t="str">
        <f t="shared" si="87"/>
        <v>Блок11</v>
      </c>
    </row>
    <row r="442" spans="1:7" ht="27" customHeight="1" x14ac:dyDescent="0.25">
      <c r="A442" s="12" t="str">
        <f t="shared" si="86"/>
        <v>ЩУР.МОП1-11</v>
      </c>
      <c r="B442" s="9" t="s">
        <v>290</v>
      </c>
      <c r="C442" s="10" t="s">
        <v>192</v>
      </c>
      <c r="D442" s="9" t="s">
        <v>193</v>
      </c>
      <c r="E442" s="12">
        <v>4</v>
      </c>
      <c r="F442" s="9" t="s">
        <v>206</v>
      </c>
      <c r="G442" s="12" t="str">
        <f t="shared" si="87"/>
        <v>Блок11</v>
      </c>
    </row>
    <row r="443" spans="1:7" ht="27" customHeight="1" x14ac:dyDescent="0.25">
      <c r="A443" s="12" t="str">
        <f t="shared" si="86"/>
        <v>ЩУР.МОП1-11</v>
      </c>
      <c r="B443" s="9" t="s">
        <v>14</v>
      </c>
      <c r="C443" s="10" t="s">
        <v>296</v>
      </c>
      <c r="D443" s="9" t="s">
        <v>297</v>
      </c>
      <c r="E443" s="12">
        <v>1</v>
      </c>
      <c r="F443" s="9" t="s">
        <v>15</v>
      </c>
      <c r="G443" s="12" t="str">
        <f t="shared" si="87"/>
        <v>Блок11</v>
      </c>
    </row>
    <row r="444" spans="1:7" ht="27" customHeight="1" x14ac:dyDescent="0.25">
      <c r="A444" s="9" t="str">
        <f t="shared" si="86"/>
        <v>ЩУР.МОП1-11</v>
      </c>
      <c r="B444" s="9" t="s">
        <v>18</v>
      </c>
      <c r="C444" s="10" t="s">
        <v>18</v>
      </c>
      <c r="D444" s="9" t="s">
        <v>18</v>
      </c>
      <c r="E444" s="9">
        <v>1</v>
      </c>
      <c r="F444" s="9" t="s">
        <v>18</v>
      </c>
      <c r="G444" s="12" t="str">
        <f t="shared" si="87"/>
        <v>Блок11</v>
      </c>
    </row>
    <row r="445" spans="1:7" ht="27" customHeight="1" x14ac:dyDescent="0.25">
      <c r="A445" s="9" t="str">
        <f t="shared" si="86"/>
        <v>ЩУР.МОП1-11</v>
      </c>
      <c r="B445" s="9" t="s">
        <v>19</v>
      </c>
      <c r="C445" s="10" t="s">
        <v>19</v>
      </c>
      <c r="D445" s="9" t="s">
        <v>19</v>
      </c>
      <c r="E445" s="9" t="e">
        <f>60*#REF!</f>
        <v>#REF!</v>
      </c>
      <c r="F445" s="9" t="s">
        <v>19</v>
      </c>
      <c r="G445" s="12" t="str">
        <f t="shared" si="87"/>
        <v>Блок11</v>
      </c>
    </row>
    <row r="446" spans="1:7" ht="27" customHeight="1" x14ac:dyDescent="0.25">
      <c r="A446" s="14" t="str">
        <f t="shared" si="86"/>
        <v>ЩУР.МОП1-11</v>
      </c>
      <c r="B446" s="14"/>
      <c r="C446" s="14"/>
      <c r="D446" s="15"/>
      <c r="E446" s="14"/>
      <c r="F446" s="14"/>
      <c r="G446" s="12" t="str">
        <f t="shared" si="87"/>
        <v>Блок11</v>
      </c>
    </row>
    <row r="447" spans="1:7" ht="27" customHeight="1" x14ac:dyDescent="0.25">
      <c r="A447" s="7" t="str">
        <f>D447</f>
        <v>РЩ1-11 (АВР-Б-40-2-1)</v>
      </c>
      <c r="B447" s="4"/>
      <c r="C447" s="5"/>
      <c r="D447" s="4" t="s">
        <v>142</v>
      </c>
      <c r="E447" s="7">
        <v>1</v>
      </c>
      <c r="F447" s="4" t="s">
        <v>9</v>
      </c>
      <c r="G447" s="7" t="s">
        <v>90</v>
      </c>
    </row>
    <row r="448" spans="1:7" ht="27" customHeight="1" x14ac:dyDescent="0.25">
      <c r="A448" s="12" t="str">
        <f t="shared" ref="A448:A459" si="88">A447</f>
        <v>РЩ1-11 (АВР-Б-40-2-1)</v>
      </c>
      <c r="B448" s="9" t="s">
        <v>10</v>
      </c>
      <c r="C448" s="10" t="s">
        <v>167</v>
      </c>
      <c r="D448" s="9" t="s">
        <v>168</v>
      </c>
      <c r="E448" s="12">
        <v>1</v>
      </c>
      <c r="F448" s="9" t="s">
        <v>12</v>
      </c>
      <c r="G448" s="12" t="str">
        <f t="shared" ref="G448:G459" si="89">G447</f>
        <v>Блок11</v>
      </c>
    </row>
    <row r="449" spans="1:7" ht="27" customHeight="1" x14ac:dyDescent="0.25">
      <c r="A449" s="12" t="str">
        <f t="shared" si="88"/>
        <v>РЩ1-11 (АВР-Б-40-2-1)</v>
      </c>
      <c r="B449" s="9" t="s">
        <v>43</v>
      </c>
      <c r="C449" s="10" t="s">
        <v>161</v>
      </c>
      <c r="D449" s="9" t="s">
        <v>162</v>
      </c>
      <c r="E449" s="12">
        <v>1</v>
      </c>
      <c r="F449" s="9" t="s">
        <v>13</v>
      </c>
      <c r="G449" s="12" t="str">
        <f t="shared" si="89"/>
        <v>Блок11</v>
      </c>
    </row>
    <row r="450" spans="1:7" ht="27" customHeight="1" x14ac:dyDescent="0.25">
      <c r="A450" s="12" t="str">
        <f t="shared" si="88"/>
        <v>РЩ1-11 (АВР-Б-40-2-1)</v>
      </c>
      <c r="B450" s="9" t="s">
        <v>290</v>
      </c>
      <c r="C450" s="10" t="s">
        <v>212</v>
      </c>
      <c r="D450" s="9" t="s">
        <v>213</v>
      </c>
      <c r="E450" s="12">
        <v>2</v>
      </c>
      <c r="F450" s="9" t="s">
        <v>206</v>
      </c>
      <c r="G450" s="12" t="str">
        <f t="shared" si="89"/>
        <v>Блок11</v>
      </c>
    </row>
    <row r="451" spans="1:7" ht="27" customHeight="1" x14ac:dyDescent="0.25">
      <c r="A451" s="12" t="str">
        <f t="shared" si="88"/>
        <v>РЩ1-11 (АВР-Б-40-2-1)</v>
      </c>
      <c r="B451" s="9" t="s">
        <v>290</v>
      </c>
      <c r="C451" s="10" t="s">
        <v>230</v>
      </c>
      <c r="D451" s="9" t="s">
        <v>231</v>
      </c>
      <c r="E451" s="12">
        <v>2</v>
      </c>
      <c r="F451" s="9" t="s">
        <v>206</v>
      </c>
      <c r="G451" s="12" t="str">
        <f t="shared" si="89"/>
        <v>Блок11</v>
      </c>
    </row>
    <row r="452" spans="1:7" ht="27" customHeight="1" x14ac:dyDescent="0.25">
      <c r="A452" s="12" t="str">
        <f t="shared" si="88"/>
        <v>РЩ1-11 (АВР-Б-40-2-1)</v>
      </c>
      <c r="B452" s="9" t="s">
        <v>291</v>
      </c>
      <c r="C452" s="10" t="s">
        <v>202</v>
      </c>
      <c r="D452" s="9" t="s">
        <v>203</v>
      </c>
      <c r="E452" s="12">
        <v>2</v>
      </c>
      <c r="F452" s="9" t="s">
        <v>206</v>
      </c>
      <c r="G452" s="12" t="str">
        <f t="shared" si="89"/>
        <v>Блок11</v>
      </c>
    </row>
    <row r="453" spans="1:7" ht="27" customHeight="1" x14ac:dyDescent="0.25">
      <c r="A453" s="12" t="str">
        <f t="shared" si="88"/>
        <v>РЩ1-11 (АВР-Б-40-2-1)</v>
      </c>
      <c r="B453" s="9" t="s">
        <v>17</v>
      </c>
      <c r="C453" s="10" t="s">
        <v>232</v>
      </c>
      <c r="D453" s="9" t="s">
        <v>233</v>
      </c>
      <c r="E453" s="12">
        <v>1</v>
      </c>
      <c r="F453" s="9" t="s">
        <v>13</v>
      </c>
      <c r="G453" s="12" t="str">
        <f t="shared" si="89"/>
        <v>Блок11</v>
      </c>
    </row>
    <row r="454" spans="1:7" ht="27" customHeight="1" x14ac:dyDescent="0.25">
      <c r="A454" s="12" t="str">
        <f t="shared" si="88"/>
        <v>РЩ1-11 (АВР-Б-40-2-1)</v>
      </c>
      <c r="B454" s="9" t="s">
        <v>290</v>
      </c>
      <c r="C454" s="10" t="s">
        <v>204</v>
      </c>
      <c r="D454" s="9" t="s">
        <v>205</v>
      </c>
      <c r="E454" s="12">
        <v>1</v>
      </c>
      <c r="F454" s="9" t="s">
        <v>206</v>
      </c>
      <c r="G454" s="12" t="str">
        <f t="shared" si="89"/>
        <v>Блок11</v>
      </c>
    </row>
    <row r="455" spans="1:7" ht="27" customHeight="1" x14ac:dyDescent="0.25">
      <c r="A455" s="12" t="str">
        <f t="shared" si="88"/>
        <v>РЩ1-11 (АВР-Б-40-2-1)</v>
      </c>
      <c r="B455" s="9" t="s">
        <v>14</v>
      </c>
      <c r="C455" s="10" t="s">
        <v>296</v>
      </c>
      <c r="D455" s="9" t="s">
        <v>297</v>
      </c>
      <c r="E455" s="12">
        <v>1</v>
      </c>
      <c r="F455" s="9" t="s">
        <v>15</v>
      </c>
      <c r="G455" s="12" t="str">
        <f t="shared" si="89"/>
        <v>Блок11</v>
      </c>
    </row>
    <row r="456" spans="1:7" ht="27" customHeight="1" x14ac:dyDescent="0.25">
      <c r="A456" s="12" t="str">
        <f t="shared" si="88"/>
        <v>РЩ1-11 (АВР-Б-40-2-1)</v>
      </c>
      <c r="B456" s="9" t="s">
        <v>29</v>
      </c>
      <c r="C456" s="10"/>
      <c r="D456" s="9" t="s">
        <v>30</v>
      </c>
      <c r="E456" s="12">
        <v>6</v>
      </c>
      <c r="F456" s="9" t="s">
        <v>24</v>
      </c>
      <c r="G456" s="12" t="str">
        <f t="shared" si="89"/>
        <v>Блок11</v>
      </c>
    </row>
    <row r="457" spans="1:7" ht="27" customHeight="1" x14ac:dyDescent="0.25">
      <c r="A457" s="9" t="str">
        <f t="shared" si="88"/>
        <v>РЩ1-11 (АВР-Б-40-2-1)</v>
      </c>
      <c r="B457" s="9" t="s">
        <v>18</v>
      </c>
      <c r="C457" s="10" t="s">
        <v>18</v>
      </c>
      <c r="D457" s="9" t="s">
        <v>18</v>
      </c>
      <c r="E457" s="9">
        <v>1</v>
      </c>
      <c r="F457" s="9" t="s">
        <v>18</v>
      </c>
      <c r="G457" s="12" t="str">
        <f t="shared" si="89"/>
        <v>Блок11</v>
      </c>
    </row>
    <row r="458" spans="1:7" ht="27" customHeight="1" x14ac:dyDescent="0.25">
      <c r="A458" s="9" t="str">
        <f t="shared" si="88"/>
        <v>РЩ1-11 (АВР-Б-40-2-1)</v>
      </c>
      <c r="B458" s="9" t="s">
        <v>19</v>
      </c>
      <c r="C458" s="10" t="s">
        <v>19</v>
      </c>
      <c r="D458" s="9" t="s">
        <v>19</v>
      </c>
      <c r="E458" s="9" t="e">
        <f>60*#REF!</f>
        <v>#REF!</v>
      </c>
      <c r="F458" s="9" t="s">
        <v>19</v>
      </c>
      <c r="G458" s="12" t="str">
        <f t="shared" si="89"/>
        <v>Блок11</v>
      </c>
    </row>
    <row r="459" spans="1:7" ht="27" customHeight="1" x14ac:dyDescent="0.25">
      <c r="A459" s="14" t="str">
        <f t="shared" si="88"/>
        <v>РЩ1-11 (АВР-Б-40-2-1)</v>
      </c>
      <c r="B459" s="14"/>
      <c r="C459" s="14"/>
      <c r="D459" s="15"/>
      <c r="E459" s="14"/>
      <c r="F459" s="14"/>
      <c r="G459" s="12" t="str">
        <f t="shared" si="89"/>
        <v>Блок11</v>
      </c>
    </row>
    <row r="460" spans="1:7" ht="27" customHeight="1" x14ac:dyDescent="0.25">
      <c r="A460" s="7" t="str">
        <f>D460</f>
        <v>ВРУ1-12</v>
      </c>
      <c r="B460" s="4"/>
      <c r="C460" s="5"/>
      <c r="D460" s="4" t="s">
        <v>93</v>
      </c>
      <c r="E460" s="7">
        <v>1</v>
      </c>
      <c r="F460" s="4" t="s">
        <v>9</v>
      </c>
      <c r="G460" s="7" t="s">
        <v>94</v>
      </c>
    </row>
    <row r="461" spans="1:7" ht="27" customHeight="1" x14ac:dyDescent="0.25">
      <c r="A461" s="12" t="str">
        <f t="shared" ref="A461:A471" si="90">A460</f>
        <v>ВРУ1-12</v>
      </c>
      <c r="B461" s="9" t="s">
        <v>10</v>
      </c>
      <c r="C461" s="10" t="s">
        <v>171</v>
      </c>
      <c r="D461" s="9" t="s">
        <v>172</v>
      </c>
      <c r="E461" s="12">
        <v>1</v>
      </c>
      <c r="F461" s="9" t="s">
        <v>12</v>
      </c>
      <c r="G461" s="12" t="str">
        <f t="shared" ref="G461:G471" si="91">G460</f>
        <v>Блок12</v>
      </c>
    </row>
    <row r="462" spans="1:7" ht="27" customHeight="1" x14ac:dyDescent="0.25">
      <c r="A462" s="12" t="str">
        <f t="shared" si="90"/>
        <v>ВРУ1-12</v>
      </c>
      <c r="B462" s="9" t="s">
        <v>22</v>
      </c>
      <c r="C462" s="10" t="s">
        <v>304</v>
      </c>
      <c r="D462" s="9" t="s">
        <v>305</v>
      </c>
      <c r="E462" s="12">
        <v>6</v>
      </c>
      <c r="F462" s="9" t="s">
        <v>24</v>
      </c>
      <c r="G462" s="12" t="str">
        <f t="shared" si="91"/>
        <v>Блок12</v>
      </c>
    </row>
    <row r="463" spans="1:7" ht="27" customHeight="1" x14ac:dyDescent="0.25">
      <c r="A463" s="12" t="str">
        <f t="shared" si="90"/>
        <v>ВРУ1-12</v>
      </c>
      <c r="B463" s="9" t="s">
        <v>25</v>
      </c>
      <c r="C463" s="10" t="s">
        <v>176</v>
      </c>
      <c r="D463" s="9" t="s">
        <v>177</v>
      </c>
      <c r="E463" s="12">
        <v>2</v>
      </c>
      <c r="F463" s="9" t="s">
        <v>24</v>
      </c>
      <c r="G463" s="12" t="str">
        <f t="shared" si="91"/>
        <v>Блок12</v>
      </c>
    </row>
    <row r="464" spans="1:7" ht="27" customHeight="1" x14ac:dyDescent="0.25">
      <c r="A464" s="12" t="str">
        <f t="shared" si="90"/>
        <v>ВРУ1-12</v>
      </c>
      <c r="B464" s="9" t="s">
        <v>126</v>
      </c>
      <c r="C464" s="10" t="s">
        <v>129</v>
      </c>
      <c r="D464" s="9" t="s">
        <v>130</v>
      </c>
      <c r="E464" s="12">
        <v>6</v>
      </c>
      <c r="F464" s="9" t="s">
        <v>13</v>
      </c>
      <c r="G464" s="12" t="str">
        <f t="shared" si="91"/>
        <v>Блок12</v>
      </c>
    </row>
    <row r="465" spans="1:7" ht="27" customHeight="1" x14ac:dyDescent="0.25">
      <c r="A465" s="12" t="str">
        <f t="shared" si="90"/>
        <v>ВРУ1-12</v>
      </c>
      <c r="B465" s="9" t="s">
        <v>125</v>
      </c>
      <c r="C465" s="10" t="s">
        <v>127</v>
      </c>
      <c r="D465" s="9" t="s">
        <v>128</v>
      </c>
      <c r="E465" s="12">
        <v>6</v>
      </c>
      <c r="F465" s="9" t="s">
        <v>13</v>
      </c>
      <c r="G465" s="12" t="str">
        <f t="shared" si="91"/>
        <v>Блок12</v>
      </c>
    </row>
    <row r="466" spans="1:7" ht="27" customHeight="1" x14ac:dyDescent="0.25">
      <c r="A466" s="12" t="str">
        <f t="shared" si="90"/>
        <v>ВРУ1-12</v>
      </c>
      <c r="B466" s="9" t="s">
        <v>290</v>
      </c>
      <c r="C466" s="10" t="s">
        <v>188</v>
      </c>
      <c r="D466" s="9" t="s">
        <v>189</v>
      </c>
      <c r="E466" s="12">
        <v>2</v>
      </c>
      <c r="F466" s="9" t="s">
        <v>206</v>
      </c>
      <c r="G466" s="12" t="str">
        <f t="shared" si="91"/>
        <v>Блок12</v>
      </c>
    </row>
    <row r="467" spans="1:7" ht="27" customHeight="1" x14ac:dyDescent="0.25">
      <c r="A467" s="12" t="str">
        <f t="shared" si="90"/>
        <v>ВРУ1-12</v>
      </c>
      <c r="B467" s="9" t="s">
        <v>14</v>
      </c>
      <c r="C467" s="10" t="s">
        <v>294</v>
      </c>
      <c r="D467" s="20" t="s">
        <v>295</v>
      </c>
      <c r="E467" s="12">
        <v>2</v>
      </c>
      <c r="F467" s="9" t="s">
        <v>15</v>
      </c>
      <c r="G467" s="12" t="str">
        <f t="shared" si="91"/>
        <v>Блок12</v>
      </c>
    </row>
    <row r="468" spans="1:7" ht="27" customHeight="1" x14ac:dyDescent="0.25">
      <c r="A468" s="12" t="str">
        <f t="shared" si="90"/>
        <v>ВРУ1-12</v>
      </c>
      <c r="B468" s="9" t="s">
        <v>29</v>
      </c>
      <c r="C468" s="10"/>
      <c r="D468" s="9" t="s">
        <v>30</v>
      </c>
      <c r="E468" s="12">
        <v>6</v>
      </c>
      <c r="F468" s="9" t="s">
        <v>24</v>
      </c>
      <c r="G468" s="12" t="str">
        <f t="shared" si="91"/>
        <v>Блок12</v>
      </c>
    </row>
    <row r="469" spans="1:7" ht="27" customHeight="1" x14ac:dyDescent="0.25">
      <c r="A469" s="9" t="str">
        <f t="shared" si="90"/>
        <v>ВРУ1-12</v>
      </c>
      <c r="B469" s="9" t="s">
        <v>18</v>
      </c>
      <c r="C469" s="10" t="s">
        <v>18</v>
      </c>
      <c r="D469" s="9" t="s">
        <v>18</v>
      </c>
      <c r="E469" s="9">
        <v>1</v>
      </c>
      <c r="F469" s="9" t="s">
        <v>18</v>
      </c>
      <c r="G469" s="12" t="str">
        <f t="shared" si="91"/>
        <v>Блок12</v>
      </c>
    </row>
    <row r="470" spans="1:7" ht="27" customHeight="1" x14ac:dyDescent="0.25">
      <c r="A470" s="9" t="str">
        <f t="shared" si="90"/>
        <v>ВРУ1-12</v>
      </c>
      <c r="B470" s="9" t="s">
        <v>19</v>
      </c>
      <c r="C470" s="10" t="s">
        <v>19</v>
      </c>
      <c r="D470" s="9" t="s">
        <v>19</v>
      </c>
      <c r="E470" s="9" t="e">
        <f>60*#REF!</f>
        <v>#REF!</v>
      </c>
      <c r="F470" s="9" t="s">
        <v>19</v>
      </c>
      <c r="G470" s="12" t="str">
        <f t="shared" si="91"/>
        <v>Блок12</v>
      </c>
    </row>
    <row r="471" spans="1:7" ht="27" customHeight="1" x14ac:dyDescent="0.25">
      <c r="A471" s="14" t="str">
        <f t="shared" si="90"/>
        <v>ВРУ1-12</v>
      </c>
      <c r="B471" s="14"/>
      <c r="C471" s="14"/>
      <c r="D471" s="15"/>
      <c r="E471" s="14"/>
      <c r="F471" s="14"/>
      <c r="G471" s="12" t="str">
        <f t="shared" si="91"/>
        <v>Блок12</v>
      </c>
    </row>
    <row r="472" spans="1:7" ht="27" customHeight="1" x14ac:dyDescent="0.25">
      <c r="A472" s="7" t="str">
        <f>D472</f>
        <v>РУ-1-12</v>
      </c>
      <c r="B472" s="4"/>
      <c r="C472" s="5"/>
      <c r="D472" s="4" t="s">
        <v>95</v>
      </c>
      <c r="E472" s="7">
        <v>1</v>
      </c>
      <c r="F472" s="4" t="s">
        <v>9</v>
      </c>
      <c r="G472" s="7" t="s">
        <v>94</v>
      </c>
    </row>
    <row r="473" spans="1:7" ht="27" customHeight="1" x14ac:dyDescent="0.25">
      <c r="A473" s="12" t="str">
        <f t="shared" ref="A473:A479" si="92">A472</f>
        <v>РУ-1-12</v>
      </c>
      <c r="B473" s="9" t="s">
        <v>10</v>
      </c>
      <c r="C473" s="10" t="s">
        <v>169</v>
      </c>
      <c r="D473" s="9" t="s">
        <v>170</v>
      </c>
      <c r="E473" s="12">
        <v>1</v>
      </c>
      <c r="F473" s="9" t="s">
        <v>12</v>
      </c>
      <c r="G473" s="12" t="str">
        <f t="shared" ref="G473:G479" si="93">G472</f>
        <v>Блок12</v>
      </c>
    </row>
    <row r="474" spans="1:7" ht="27" customHeight="1" x14ac:dyDescent="0.25">
      <c r="A474" s="12" t="str">
        <f t="shared" si="92"/>
        <v>РУ-1-12</v>
      </c>
      <c r="B474" s="9" t="s">
        <v>291</v>
      </c>
      <c r="C474" s="10" t="s">
        <v>224</v>
      </c>
      <c r="D474" s="9" t="s">
        <v>225</v>
      </c>
      <c r="E474" s="12">
        <v>2</v>
      </c>
      <c r="F474" s="9" t="s">
        <v>206</v>
      </c>
      <c r="G474" s="12" t="str">
        <f t="shared" si="93"/>
        <v>Блок12</v>
      </c>
    </row>
    <row r="475" spans="1:7" ht="27" customHeight="1" x14ac:dyDescent="0.25">
      <c r="A475" s="12" t="str">
        <f t="shared" si="92"/>
        <v>РУ-1-12</v>
      </c>
      <c r="B475" s="9" t="s">
        <v>291</v>
      </c>
      <c r="C475" s="10" t="s">
        <v>226</v>
      </c>
      <c r="D475" s="9" t="s">
        <v>227</v>
      </c>
      <c r="E475" s="12">
        <v>1</v>
      </c>
      <c r="F475" s="9" t="s">
        <v>206</v>
      </c>
      <c r="G475" s="12" t="str">
        <f t="shared" si="93"/>
        <v>Блок12</v>
      </c>
    </row>
    <row r="476" spans="1:7" ht="27" customHeight="1" x14ac:dyDescent="0.25">
      <c r="A476" s="12" t="str">
        <f t="shared" si="92"/>
        <v>РУ-1-12</v>
      </c>
      <c r="B476" s="9" t="s">
        <v>290</v>
      </c>
      <c r="C476" s="10" t="s">
        <v>216</v>
      </c>
      <c r="D476" s="9" t="s">
        <v>217</v>
      </c>
      <c r="E476" s="12">
        <v>2</v>
      </c>
      <c r="F476" s="9" t="s">
        <v>206</v>
      </c>
      <c r="G476" s="12" t="str">
        <f t="shared" si="93"/>
        <v>Блок12</v>
      </c>
    </row>
    <row r="477" spans="1:7" ht="27" customHeight="1" x14ac:dyDescent="0.25">
      <c r="A477" s="9" t="str">
        <f t="shared" si="92"/>
        <v>РУ-1-12</v>
      </c>
      <c r="B477" s="9" t="s">
        <v>18</v>
      </c>
      <c r="C477" s="10" t="s">
        <v>18</v>
      </c>
      <c r="D477" s="9" t="s">
        <v>18</v>
      </c>
      <c r="E477" s="9">
        <v>1</v>
      </c>
      <c r="F477" s="9" t="s">
        <v>18</v>
      </c>
      <c r="G477" s="12" t="str">
        <f t="shared" si="93"/>
        <v>Блок12</v>
      </c>
    </row>
    <row r="478" spans="1:7" ht="27" customHeight="1" x14ac:dyDescent="0.25">
      <c r="A478" s="9" t="str">
        <f t="shared" si="92"/>
        <v>РУ-1-12</v>
      </c>
      <c r="B478" s="9" t="s">
        <v>19</v>
      </c>
      <c r="C478" s="10" t="s">
        <v>19</v>
      </c>
      <c r="D478" s="9" t="s">
        <v>19</v>
      </c>
      <c r="E478" s="9" t="e">
        <f>60*#REF!</f>
        <v>#REF!</v>
      </c>
      <c r="F478" s="9" t="s">
        <v>19</v>
      </c>
      <c r="G478" s="12" t="str">
        <f t="shared" si="93"/>
        <v>Блок12</v>
      </c>
    </row>
    <row r="479" spans="1:7" ht="27" customHeight="1" x14ac:dyDescent="0.25">
      <c r="A479" s="14" t="str">
        <f t="shared" si="92"/>
        <v>РУ-1-12</v>
      </c>
      <c r="B479" s="14"/>
      <c r="C479" s="14"/>
      <c r="D479" s="15"/>
      <c r="E479" s="14"/>
      <c r="F479" s="14"/>
      <c r="G479" s="12" t="str">
        <f t="shared" si="93"/>
        <v>Блок12</v>
      </c>
    </row>
    <row r="480" spans="1:7" ht="27" customHeight="1" x14ac:dyDescent="0.25">
      <c r="A480" s="7" t="str">
        <f>D480</f>
        <v>РУ-2-12</v>
      </c>
      <c r="B480" s="4"/>
      <c r="C480" s="5"/>
      <c r="D480" s="4" t="s">
        <v>96</v>
      </c>
      <c r="E480" s="7">
        <v>1</v>
      </c>
      <c r="F480" s="4" t="s">
        <v>9</v>
      </c>
      <c r="G480" s="7" t="s">
        <v>94</v>
      </c>
    </row>
    <row r="481" spans="1:7" ht="27" customHeight="1" x14ac:dyDescent="0.25">
      <c r="A481" s="12" t="str">
        <f t="shared" ref="A481:A486" si="94">A480</f>
        <v>РУ-2-12</v>
      </c>
      <c r="B481" s="9" t="s">
        <v>10</v>
      </c>
      <c r="C481" s="10" t="s">
        <v>169</v>
      </c>
      <c r="D481" s="9" t="s">
        <v>170</v>
      </c>
      <c r="E481" s="12">
        <v>1</v>
      </c>
      <c r="F481" s="9" t="s">
        <v>12</v>
      </c>
      <c r="G481" s="12" t="str">
        <f t="shared" ref="G481:G487" si="95">G480</f>
        <v>Блок12</v>
      </c>
    </row>
    <row r="482" spans="1:7" ht="27" customHeight="1" x14ac:dyDescent="0.25">
      <c r="A482" s="12" t="str">
        <f t="shared" si="94"/>
        <v>РУ-2-12</v>
      </c>
      <c r="B482" s="9" t="s">
        <v>291</v>
      </c>
      <c r="C482" s="10" t="s">
        <v>226</v>
      </c>
      <c r="D482" s="9" t="s">
        <v>227</v>
      </c>
      <c r="E482" s="12">
        <v>1</v>
      </c>
      <c r="F482" s="9" t="s">
        <v>206</v>
      </c>
      <c r="G482" s="12" t="str">
        <f t="shared" si="95"/>
        <v>Блок12</v>
      </c>
    </row>
    <row r="483" spans="1:7" ht="27" customHeight="1" x14ac:dyDescent="0.25">
      <c r="A483" s="12" t="str">
        <f t="shared" si="94"/>
        <v>РУ-2-12</v>
      </c>
      <c r="B483" s="9" t="s">
        <v>291</v>
      </c>
      <c r="C483" s="10" t="s">
        <v>224</v>
      </c>
      <c r="D483" s="9" t="s">
        <v>225</v>
      </c>
      <c r="E483" s="12">
        <v>3</v>
      </c>
      <c r="F483" s="9" t="s">
        <v>206</v>
      </c>
      <c r="G483" s="12" t="str">
        <f t="shared" si="95"/>
        <v>Блок12</v>
      </c>
    </row>
    <row r="484" spans="1:7" ht="27" customHeight="1" x14ac:dyDescent="0.25">
      <c r="A484" s="12" t="str">
        <f t="shared" si="94"/>
        <v>РУ-2-12</v>
      </c>
      <c r="B484" s="9" t="s">
        <v>291</v>
      </c>
      <c r="C484" s="10" t="s">
        <v>222</v>
      </c>
      <c r="D484" s="9" t="s">
        <v>223</v>
      </c>
      <c r="E484" s="12">
        <v>1</v>
      </c>
      <c r="F484" s="9" t="s">
        <v>206</v>
      </c>
      <c r="G484" s="12" t="str">
        <f t="shared" si="95"/>
        <v>Блок12</v>
      </c>
    </row>
    <row r="485" spans="1:7" ht="27" customHeight="1" x14ac:dyDescent="0.25">
      <c r="A485" s="9" t="str">
        <f t="shared" si="94"/>
        <v>РУ-2-12</v>
      </c>
      <c r="B485" s="9" t="s">
        <v>18</v>
      </c>
      <c r="C485" s="10" t="s">
        <v>18</v>
      </c>
      <c r="D485" s="9" t="s">
        <v>18</v>
      </c>
      <c r="E485" s="9">
        <v>1</v>
      </c>
      <c r="F485" s="9" t="s">
        <v>19</v>
      </c>
      <c r="G485" s="12" t="str">
        <f t="shared" si="95"/>
        <v>Блок12</v>
      </c>
    </row>
    <row r="486" spans="1:7" ht="27" customHeight="1" x14ac:dyDescent="0.25">
      <c r="A486" s="9" t="str">
        <f t="shared" si="94"/>
        <v>РУ-2-12</v>
      </c>
      <c r="B486" s="9" t="s">
        <v>19</v>
      </c>
      <c r="C486" s="10" t="s">
        <v>19</v>
      </c>
      <c r="D486" s="9" t="s">
        <v>19</v>
      </c>
      <c r="E486" s="9" t="e">
        <f>60*#REF!</f>
        <v>#REF!</v>
      </c>
      <c r="F486" s="9" t="s">
        <v>19</v>
      </c>
      <c r="G486" s="12" t="str">
        <f t="shared" si="95"/>
        <v>Блок12</v>
      </c>
    </row>
    <row r="487" spans="1:7" ht="27" customHeight="1" x14ac:dyDescent="0.25">
      <c r="A487" s="14" t="str">
        <f>A485</f>
        <v>РУ-2-12</v>
      </c>
      <c r="B487" s="14"/>
      <c r="C487" s="14" t="s">
        <v>97</v>
      </c>
      <c r="D487" s="15"/>
      <c r="E487" s="14"/>
      <c r="F487" s="14"/>
      <c r="G487" s="12" t="str">
        <f t="shared" si="95"/>
        <v>Блок12</v>
      </c>
    </row>
    <row r="488" spans="1:7" ht="27" customHeight="1" x14ac:dyDescent="0.25">
      <c r="A488" s="7" t="str">
        <f>D488</f>
        <v>ЩУР.МОП1-12</v>
      </c>
      <c r="B488" s="4"/>
      <c r="C488" s="5"/>
      <c r="D488" s="4" t="s">
        <v>98</v>
      </c>
      <c r="E488" s="7">
        <v>1</v>
      </c>
      <c r="F488" s="4" t="s">
        <v>9</v>
      </c>
      <c r="G488" s="7" t="s">
        <v>94</v>
      </c>
    </row>
    <row r="489" spans="1:7" ht="27" customHeight="1" x14ac:dyDescent="0.25">
      <c r="A489" s="12" t="str">
        <f t="shared" ref="A489:A496" si="96">A488</f>
        <v>ЩУР.МОП1-12</v>
      </c>
      <c r="B489" s="9" t="s">
        <v>10</v>
      </c>
      <c r="C489" s="10" t="s">
        <v>39</v>
      </c>
      <c r="D489" s="9" t="s">
        <v>40</v>
      </c>
      <c r="E489" s="12">
        <v>1</v>
      </c>
      <c r="F489" s="9" t="s">
        <v>12</v>
      </c>
      <c r="G489" s="12" t="str">
        <f t="shared" ref="G489:G496" si="97">G488</f>
        <v>Блок12</v>
      </c>
    </row>
    <row r="490" spans="1:7" ht="27" customHeight="1" x14ac:dyDescent="0.25">
      <c r="A490" s="12" t="str">
        <f t="shared" si="96"/>
        <v>ЩУР.МОП1-12</v>
      </c>
      <c r="B490" s="9" t="s">
        <v>290</v>
      </c>
      <c r="C490" s="10" t="s">
        <v>194</v>
      </c>
      <c r="D490" s="9" t="s">
        <v>195</v>
      </c>
      <c r="E490" s="12">
        <v>1</v>
      </c>
      <c r="F490" s="9" t="s">
        <v>206</v>
      </c>
      <c r="G490" s="12" t="str">
        <f t="shared" si="97"/>
        <v>Блок12</v>
      </c>
    </row>
    <row r="491" spans="1:7" ht="27" customHeight="1" x14ac:dyDescent="0.25">
      <c r="A491" s="12" t="str">
        <f t="shared" si="96"/>
        <v>ЩУР.МОП1-12</v>
      </c>
      <c r="B491" s="9" t="s">
        <v>290</v>
      </c>
      <c r="C491" s="10" t="s">
        <v>200</v>
      </c>
      <c r="D491" s="9" t="s">
        <v>201</v>
      </c>
      <c r="E491" s="12">
        <v>2</v>
      </c>
      <c r="F491" s="9" t="s">
        <v>206</v>
      </c>
      <c r="G491" s="12" t="str">
        <f t="shared" si="97"/>
        <v>Блок12</v>
      </c>
    </row>
    <row r="492" spans="1:7" ht="27" customHeight="1" x14ac:dyDescent="0.25">
      <c r="A492" s="12" t="str">
        <f t="shared" si="96"/>
        <v>ЩУР.МОП1-12</v>
      </c>
      <c r="B492" s="9" t="s">
        <v>290</v>
      </c>
      <c r="C492" s="10" t="s">
        <v>192</v>
      </c>
      <c r="D492" s="9" t="s">
        <v>193</v>
      </c>
      <c r="E492" s="12">
        <v>2</v>
      </c>
      <c r="F492" s="9" t="s">
        <v>206</v>
      </c>
      <c r="G492" s="12" t="str">
        <f t="shared" si="97"/>
        <v>Блок12</v>
      </c>
    </row>
    <row r="493" spans="1:7" ht="27" customHeight="1" x14ac:dyDescent="0.25">
      <c r="A493" s="12" t="str">
        <f t="shared" si="96"/>
        <v>ЩУР.МОП1-12</v>
      </c>
      <c r="B493" s="9" t="s">
        <v>14</v>
      </c>
      <c r="C493" s="10" t="s">
        <v>296</v>
      </c>
      <c r="D493" s="9" t="s">
        <v>297</v>
      </c>
      <c r="E493" s="12">
        <v>1</v>
      </c>
      <c r="F493" s="9" t="s">
        <v>15</v>
      </c>
      <c r="G493" s="12" t="str">
        <f t="shared" si="97"/>
        <v>Блок12</v>
      </c>
    </row>
    <row r="494" spans="1:7" ht="27" customHeight="1" x14ac:dyDescent="0.25">
      <c r="A494" s="9" t="str">
        <f t="shared" si="96"/>
        <v>ЩУР.МОП1-12</v>
      </c>
      <c r="B494" s="9" t="s">
        <v>18</v>
      </c>
      <c r="C494" s="10" t="s">
        <v>18</v>
      </c>
      <c r="D494" s="9" t="s">
        <v>18</v>
      </c>
      <c r="E494" s="9">
        <v>1</v>
      </c>
      <c r="F494" s="9" t="s">
        <v>18</v>
      </c>
      <c r="G494" s="12" t="str">
        <f t="shared" si="97"/>
        <v>Блок12</v>
      </c>
    </row>
    <row r="495" spans="1:7" ht="27" customHeight="1" x14ac:dyDescent="0.25">
      <c r="A495" s="9" t="str">
        <f t="shared" si="96"/>
        <v>ЩУР.МОП1-12</v>
      </c>
      <c r="B495" s="9" t="s">
        <v>19</v>
      </c>
      <c r="C495" s="10" t="s">
        <v>19</v>
      </c>
      <c r="D495" s="9" t="s">
        <v>19</v>
      </c>
      <c r="E495" s="9" t="e">
        <f>60*#REF!</f>
        <v>#REF!</v>
      </c>
      <c r="F495" s="9" t="s">
        <v>19</v>
      </c>
      <c r="G495" s="12" t="str">
        <f t="shared" si="97"/>
        <v>Блок12</v>
      </c>
    </row>
    <row r="496" spans="1:7" ht="27" customHeight="1" x14ac:dyDescent="0.25">
      <c r="A496" s="14" t="str">
        <f t="shared" si="96"/>
        <v>ЩУР.МОП1-12</v>
      </c>
      <c r="B496" s="14"/>
      <c r="C496" s="14"/>
      <c r="D496" s="15"/>
      <c r="E496" s="14"/>
      <c r="F496" s="14"/>
      <c r="G496" s="12" t="str">
        <f t="shared" si="97"/>
        <v>Блок12</v>
      </c>
    </row>
    <row r="497" spans="1:7" ht="27" customHeight="1" x14ac:dyDescent="0.25">
      <c r="A497" s="7" t="str">
        <f>D497</f>
        <v>ЩУР.МОП2-12</v>
      </c>
      <c r="B497" s="4"/>
      <c r="C497" s="5"/>
      <c r="D497" s="4" t="s">
        <v>99</v>
      </c>
      <c r="E497" s="7">
        <v>1</v>
      </c>
      <c r="F497" s="4" t="s">
        <v>9</v>
      </c>
      <c r="G497" s="7" t="s">
        <v>94</v>
      </c>
    </row>
    <row r="498" spans="1:7" ht="27" customHeight="1" x14ac:dyDescent="0.25">
      <c r="A498" s="12" t="str">
        <f t="shared" ref="A498:A505" si="98">A497</f>
        <v>ЩУР.МОП2-12</v>
      </c>
      <c r="B498" s="9" t="s">
        <v>10</v>
      </c>
      <c r="C498" s="10" t="s">
        <v>39</v>
      </c>
      <c r="D498" s="9" t="s">
        <v>40</v>
      </c>
      <c r="E498" s="12">
        <v>1</v>
      </c>
      <c r="F498" s="9" t="s">
        <v>12</v>
      </c>
      <c r="G498" s="12" t="str">
        <f t="shared" ref="G498:G505" si="99">G497</f>
        <v>Блок12</v>
      </c>
    </row>
    <row r="499" spans="1:7" ht="27" customHeight="1" x14ac:dyDescent="0.25">
      <c r="A499" s="12" t="str">
        <f t="shared" si="98"/>
        <v>ЩУР.МОП2-12</v>
      </c>
      <c r="B499" s="9" t="s">
        <v>290</v>
      </c>
      <c r="C499" s="10" t="s">
        <v>194</v>
      </c>
      <c r="D499" s="9" t="s">
        <v>195</v>
      </c>
      <c r="E499" s="12">
        <v>1</v>
      </c>
      <c r="F499" s="9" t="s">
        <v>206</v>
      </c>
      <c r="G499" s="12" t="str">
        <f t="shared" si="99"/>
        <v>Блок12</v>
      </c>
    </row>
    <row r="500" spans="1:7" ht="27" customHeight="1" x14ac:dyDescent="0.25">
      <c r="A500" s="12" t="str">
        <f t="shared" si="98"/>
        <v>ЩУР.МОП2-12</v>
      </c>
      <c r="B500" s="9" t="s">
        <v>290</v>
      </c>
      <c r="C500" s="10" t="s">
        <v>200</v>
      </c>
      <c r="D500" s="9" t="s">
        <v>201</v>
      </c>
      <c r="E500" s="12">
        <v>2</v>
      </c>
      <c r="F500" s="9" t="s">
        <v>206</v>
      </c>
      <c r="G500" s="12" t="str">
        <f t="shared" si="99"/>
        <v>Блок12</v>
      </c>
    </row>
    <row r="501" spans="1:7" ht="27" customHeight="1" x14ac:dyDescent="0.25">
      <c r="A501" s="12" t="str">
        <f t="shared" si="98"/>
        <v>ЩУР.МОП2-12</v>
      </c>
      <c r="B501" s="9" t="s">
        <v>290</v>
      </c>
      <c r="C501" s="10" t="s">
        <v>192</v>
      </c>
      <c r="D501" s="9" t="s">
        <v>193</v>
      </c>
      <c r="E501" s="12">
        <v>2</v>
      </c>
      <c r="F501" s="9" t="s">
        <v>206</v>
      </c>
      <c r="G501" s="12" t="str">
        <f t="shared" si="99"/>
        <v>Блок12</v>
      </c>
    </row>
    <row r="502" spans="1:7" ht="27" customHeight="1" x14ac:dyDescent="0.25">
      <c r="A502" s="12" t="str">
        <f t="shared" si="98"/>
        <v>ЩУР.МОП2-12</v>
      </c>
      <c r="B502" s="9" t="s">
        <v>14</v>
      </c>
      <c r="C502" s="10" t="s">
        <v>296</v>
      </c>
      <c r="D502" s="9" t="s">
        <v>297</v>
      </c>
      <c r="E502" s="12">
        <v>1</v>
      </c>
      <c r="F502" s="9" t="s">
        <v>15</v>
      </c>
      <c r="G502" s="12" t="str">
        <f t="shared" si="99"/>
        <v>Блок12</v>
      </c>
    </row>
    <row r="503" spans="1:7" ht="27" customHeight="1" x14ac:dyDescent="0.25">
      <c r="A503" s="9" t="str">
        <f t="shared" si="98"/>
        <v>ЩУР.МОП2-12</v>
      </c>
      <c r="B503" s="9" t="s">
        <v>18</v>
      </c>
      <c r="C503" s="10" t="s">
        <v>18</v>
      </c>
      <c r="D503" s="9" t="s">
        <v>18</v>
      </c>
      <c r="E503" s="9">
        <v>1</v>
      </c>
      <c r="F503" s="9" t="s">
        <v>18</v>
      </c>
      <c r="G503" s="12" t="str">
        <f t="shared" si="99"/>
        <v>Блок12</v>
      </c>
    </row>
    <row r="504" spans="1:7" ht="27" customHeight="1" x14ac:dyDescent="0.25">
      <c r="A504" s="9" t="str">
        <f t="shared" si="98"/>
        <v>ЩУР.МОП2-12</v>
      </c>
      <c r="B504" s="9" t="s">
        <v>19</v>
      </c>
      <c r="C504" s="10" t="s">
        <v>19</v>
      </c>
      <c r="D504" s="9" t="s">
        <v>19</v>
      </c>
      <c r="E504" s="9" t="e">
        <f>60*#REF!</f>
        <v>#REF!</v>
      </c>
      <c r="F504" s="9" t="s">
        <v>19</v>
      </c>
      <c r="G504" s="12" t="str">
        <f t="shared" si="99"/>
        <v>Блок12</v>
      </c>
    </row>
    <row r="505" spans="1:7" ht="27" customHeight="1" x14ac:dyDescent="0.25">
      <c r="A505" s="14" t="str">
        <f t="shared" si="98"/>
        <v>ЩУР.МОП2-12</v>
      </c>
      <c r="B505" s="14"/>
      <c r="C505" s="14"/>
      <c r="D505" s="15"/>
      <c r="E505" s="14"/>
      <c r="F505" s="14"/>
      <c r="G505" s="12" t="str">
        <f t="shared" si="99"/>
        <v>Блок12</v>
      </c>
    </row>
    <row r="506" spans="1:7" ht="27" customHeight="1" x14ac:dyDescent="0.25">
      <c r="A506" s="7" t="str">
        <f>D506</f>
        <v>РЩ1-12 (АВР-Б-40-2-1)</v>
      </c>
      <c r="B506" s="4"/>
      <c r="C506" s="5"/>
      <c r="D506" s="4" t="s">
        <v>143</v>
      </c>
      <c r="E506" s="7">
        <v>1</v>
      </c>
      <c r="F506" s="4" t="s">
        <v>9</v>
      </c>
      <c r="G506" s="7" t="s">
        <v>94</v>
      </c>
    </row>
    <row r="507" spans="1:7" ht="27" customHeight="1" x14ac:dyDescent="0.25">
      <c r="A507" s="12" t="str">
        <f t="shared" ref="A507:A517" si="100">A506</f>
        <v>РЩ1-12 (АВР-Б-40-2-1)</v>
      </c>
      <c r="B507" s="9" t="s">
        <v>10</v>
      </c>
      <c r="C507" s="10" t="s">
        <v>167</v>
      </c>
      <c r="D507" s="9" t="s">
        <v>168</v>
      </c>
      <c r="E507" s="12">
        <v>1</v>
      </c>
      <c r="F507" s="9" t="s">
        <v>12</v>
      </c>
      <c r="G507" s="12" t="str">
        <f t="shared" ref="G507:G517" si="101">G506</f>
        <v>Блок12</v>
      </c>
    </row>
    <row r="508" spans="1:7" ht="27" customHeight="1" x14ac:dyDescent="0.25">
      <c r="A508" s="12" t="str">
        <f t="shared" si="100"/>
        <v>РЩ1-12 (АВР-Б-40-2-1)</v>
      </c>
      <c r="B508" s="9" t="s">
        <v>43</v>
      </c>
      <c r="C508" s="10" t="s">
        <v>161</v>
      </c>
      <c r="D508" s="9" t="s">
        <v>162</v>
      </c>
      <c r="E508" s="12">
        <v>1</v>
      </c>
      <c r="F508" s="9" t="s">
        <v>13</v>
      </c>
      <c r="G508" s="12" t="str">
        <f t="shared" si="101"/>
        <v>Блок12</v>
      </c>
    </row>
    <row r="509" spans="1:7" ht="27" customHeight="1" x14ac:dyDescent="0.25">
      <c r="A509" s="12" t="str">
        <f t="shared" si="100"/>
        <v>РЩ1-12 (АВР-Б-40-2-1)</v>
      </c>
      <c r="B509" s="9" t="s">
        <v>290</v>
      </c>
      <c r="C509" s="10" t="s">
        <v>212</v>
      </c>
      <c r="D509" s="9" t="s">
        <v>213</v>
      </c>
      <c r="E509" s="12">
        <v>2</v>
      </c>
      <c r="F509" s="9" t="s">
        <v>206</v>
      </c>
      <c r="G509" s="12" t="str">
        <f t="shared" si="101"/>
        <v>Блок12</v>
      </c>
    </row>
    <row r="510" spans="1:7" ht="27" customHeight="1" x14ac:dyDescent="0.25">
      <c r="A510" s="12" t="str">
        <f t="shared" si="100"/>
        <v>РЩ1-12 (АВР-Б-40-2-1)</v>
      </c>
      <c r="B510" s="9" t="s">
        <v>290</v>
      </c>
      <c r="C510" s="10" t="s">
        <v>230</v>
      </c>
      <c r="D510" s="9" t="s">
        <v>231</v>
      </c>
      <c r="E510" s="12">
        <v>2</v>
      </c>
      <c r="F510" s="9" t="s">
        <v>206</v>
      </c>
      <c r="G510" s="12" t="str">
        <f t="shared" si="101"/>
        <v>Блок12</v>
      </c>
    </row>
    <row r="511" spans="1:7" ht="27" customHeight="1" x14ac:dyDescent="0.25">
      <c r="A511" s="12" t="str">
        <f t="shared" si="100"/>
        <v>РЩ1-12 (АВР-Б-40-2-1)</v>
      </c>
      <c r="B511" s="9" t="s">
        <v>291</v>
      </c>
      <c r="C511" s="10" t="s">
        <v>202</v>
      </c>
      <c r="D511" s="9" t="s">
        <v>203</v>
      </c>
      <c r="E511" s="12">
        <v>2</v>
      </c>
      <c r="F511" s="9" t="s">
        <v>206</v>
      </c>
      <c r="G511" s="12" t="str">
        <f t="shared" si="101"/>
        <v>Блок12</v>
      </c>
    </row>
    <row r="512" spans="1:7" ht="27" customHeight="1" x14ac:dyDescent="0.25">
      <c r="A512" s="12" t="str">
        <f t="shared" si="100"/>
        <v>РЩ1-12 (АВР-Б-40-2-1)</v>
      </c>
      <c r="B512" s="9" t="s">
        <v>290</v>
      </c>
      <c r="C512" s="10" t="s">
        <v>204</v>
      </c>
      <c r="D512" s="9" t="s">
        <v>205</v>
      </c>
      <c r="E512" s="12">
        <v>1</v>
      </c>
      <c r="F512" s="9" t="s">
        <v>206</v>
      </c>
      <c r="G512" s="12" t="str">
        <f t="shared" si="101"/>
        <v>Блок12</v>
      </c>
    </row>
    <row r="513" spans="1:7" ht="27" customHeight="1" x14ac:dyDescent="0.25">
      <c r="A513" s="12" t="str">
        <f t="shared" si="100"/>
        <v>РЩ1-12 (АВР-Б-40-2-1)</v>
      </c>
      <c r="B513" s="9" t="s">
        <v>14</v>
      </c>
      <c r="C513" s="10" t="s">
        <v>296</v>
      </c>
      <c r="D513" s="9" t="s">
        <v>297</v>
      </c>
      <c r="E513" s="12">
        <v>1</v>
      </c>
      <c r="F513" s="9" t="s">
        <v>15</v>
      </c>
      <c r="G513" s="12" t="str">
        <f t="shared" si="101"/>
        <v>Блок12</v>
      </c>
    </row>
    <row r="514" spans="1:7" ht="27" customHeight="1" x14ac:dyDescent="0.25">
      <c r="A514" s="12" t="str">
        <f t="shared" si="100"/>
        <v>РЩ1-12 (АВР-Б-40-2-1)</v>
      </c>
      <c r="B514" s="9" t="s">
        <v>29</v>
      </c>
      <c r="C514" s="10"/>
      <c r="D514" s="9" t="s">
        <v>30</v>
      </c>
      <c r="E514" s="12">
        <v>6</v>
      </c>
      <c r="F514" s="9" t="s">
        <v>24</v>
      </c>
      <c r="G514" s="12" t="str">
        <f t="shared" si="101"/>
        <v>Блок12</v>
      </c>
    </row>
    <row r="515" spans="1:7" ht="27" customHeight="1" x14ac:dyDescent="0.25">
      <c r="A515" s="9" t="str">
        <f t="shared" si="100"/>
        <v>РЩ1-12 (АВР-Б-40-2-1)</v>
      </c>
      <c r="B515" s="9" t="s">
        <v>18</v>
      </c>
      <c r="C515" s="10" t="s">
        <v>18</v>
      </c>
      <c r="D515" s="9" t="s">
        <v>18</v>
      </c>
      <c r="E515" s="9">
        <v>1</v>
      </c>
      <c r="F515" s="9" t="s">
        <v>18</v>
      </c>
      <c r="G515" s="12" t="str">
        <f t="shared" si="101"/>
        <v>Блок12</v>
      </c>
    </row>
    <row r="516" spans="1:7" ht="27" customHeight="1" x14ac:dyDescent="0.25">
      <c r="A516" s="9" t="str">
        <f t="shared" si="100"/>
        <v>РЩ1-12 (АВР-Б-40-2-1)</v>
      </c>
      <c r="B516" s="9" t="s">
        <v>19</v>
      </c>
      <c r="C516" s="10" t="s">
        <v>19</v>
      </c>
      <c r="D516" s="9" t="s">
        <v>19</v>
      </c>
      <c r="E516" s="9" t="e">
        <f>60*#REF!</f>
        <v>#REF!</v>
      </c>
      <c r="F516" s="9" t="s">
        <v>19</v>
      </c>
      <c r="G516" s="12" t="str">
        <f t="shared" si="101"/>
        <v>Блок12</v>
      </c>
    </row>
    <row r="517" spans="1:7" ht="27" customHeight="1" x14ac:dyDescent="0.25">
      <c r="A517" s="14" t="str">
        <f t="shared" si="100"/>
        <v>РЩ1-12 (АВР-Б-40-2-1)</v>
      </c>
      <c r="B517" s="14"/>
      <c r="C517" s="14"/>
      <c r="D517" s="15"/>
      <c r="E517" s="14"/>
      <c r="F517" s="14"/>
      <c r="G517" s="12" t="str">
        <f t="shared" si="101"/>
        <v>Блок12</v>
      </c>
    </row>
    <row r="518" spans="1:7" ht="27" customHeight="1" x14ac:dyDescent="0.25">
      <c r="A518" s="7" t="str">
        <f>D518</f>
        <v>РЩ2-12 (АВР-Б-40-2-1)</v>
      </c>
      <c r="B518" s="4"/>
      <c r="C518" s="5"/>
      <c r="D518" s="4" t="s">
        <v>144</v>
      </c>
      <c r="E518" s="7">
        <v>1</v>
      </c>
      <c r="F518" s="4" t="s">
        <v>9</v>
      </c>
      <c r="G518" s="7" t="s">
        <v>94</v>
      </c>
    </row>
    <row r="519" spans="1:7" ht="27" customHeight="1" x14ac:dyDescent="0.25">
      <c r="A519" s="12" t="str">
        <f t="shared" ref="A519:A530" si="102">A518</f>
        <v>РЩ2-12 (АВР-Б-40-2-1)</v>
      </c>
      <c r="B519" s="9" t="s">
        <v>10</v>
      </c>
      <c r="C519" s="10" t="s">
        <v>167</v>
      </c>
      <c r="D519" s="9" t="s">
        <v>168</v>
      </c>
      <c r="E519" s="12">
        <v>1</v>
      </c>
      <c r="F519" s="9" t="s">
        <v>12</v>
      </c>
      <c r="G519" s="12" t="str">
        <f t="shared" ref="G519:G530" si="103">G518</f>
        <v>Блок12</v>
      </c>
    </row>
    <row r="520" spans="1:7" ht="27" customHeight="1" x14ac:dyDescent="0.25">
      <c r="A520" s="12" t="str">
        <f t="shared" si="102"/>
        <v>РЩ2-12 (АВР-Б-40-2-1)</v>
      </c>
      <c r="B520" s="9" t="s">
        <v>43</v>
      </c>
      <c r="C520" s="10" t="s">
        <v>161</v>
      </c>
      <c r="D520" s="9" t="s">
        <v>162</v>
      </c>
      <c r="E520" s="12">
        <v>1</v>
      </c>
      <c r="F520" s="9" t="s">
        <v>13</v>
      </c>
      <c r="G520" s="12" t="str">
        <f t="shared" si="103"/>
        <v>Блок12</v>
      </c>
    </row>
    <row r="521" spans="1:7" ht="27" customHeight="1" x14ac:dyDescent="0.25">
      <c r="A521" s="12" t="str">
        <f t="shared" si="102"/>
        <v>РЩ2-12 (АВР-Б-40-2-1)</v>
      </c>
      <c r="B521" s="9" t="s">
        <v>290</v>
      </c>
      <c r="C521" s="10" t="s">
        <v>212</v>
      </c>
      <c r="D521" s="9" t="s">
        <v>213</v>
      </c>
      <c r="E521" s="12">
        <v>2</v>
      </c>
      <c r="F521" s="9" t="s">
        <v>206</v>
      </c>
      <c r="G521" s="12" t="str">
        <f t="shared" si="103"/>
        <v>Блок12</v>
      </c>
    </row>
    <row r="522" spans="1:7" ht="27" customHeight="1" x14ac:dyDescent="0.25">
      <c r="A522" s="12" t="str">
        <f t="shared" si="102"/>
        <v>РЩ2-12 (АВР-Б-40-2-1)</v>
      </c>
      <c r="B522" s="9" t="s">
        <v>290</v>
      </c>
      <c r="C522" s="10" t="s">
        <v>230</v>
      </c>
      <c r="D522" s="9" t="s">
        <v>231</v>
      </c>
      <c r="E522" s="12">
        <v>2</v>
      </c>
      <c r="F522" s="9" t="s">
        <v>206</v>
      </c>
      <c r="G522" s="12" t="str">
        <f t="shared" si="103"/>
        <v>Блок12</v>
      </c>
    </row>
    <row r="523" spans="1:7" ht="27" customHeight="1" x14ac:dyDescent="0.25">
      <c r="A523" s="12" t="str">
        <f t="shared" si="102"/>
        <v>РЩ2-12 (АВР-Б-40-2-1)</v>
      </c>
      <c r="B523" s="9" t="s">
        <v>291</v>
      </c>
      <c r="C523" s="10" t="s">
        <v>202</v>
      </c>
      <c r="D523" s="9" t="s">
        <v>203</v>
      </c>
      <c r="E523" s="12">
        <v>2</v>
      </c>
      <c r="F523" s="9" t="s">
        <v>206</v>
      </c>
      <c r="G523" s="12" t="str">
        <f t="shared" si="103"/>
        <v>Блок12</v>
      </c>
    </row>
    <row r="524" spans="1:7" ht="27" customHeight="1" x14ac:dyDescent="0.25">
      <c r="A524" s="12" t="str">
        <f t="shared" si="102"/>
        <v>РЩ2-12 (АВР-Б-40-2-1)</v>
      </c>
      <c r="B524" s="9" t="s">
        <v>17</v>
      </c>
      <c r="C524" s="10" t="s">
        <v>232</v>
      </c>
      <c r="D524" s="9" t="s">
        <v>233</v>
      </c>
      <c r="E524" s="12">
        <v>1</v>
      </c>
      <c r="F524" s="9" t="s">
        <v>13</v>
      </c>
      <c r="G524" s="12" t="str">
        <f t="shared" si="103"/>
        <v>Блок12</v>
      </c>
    </row>
    <row r="525" spans="1:7" ht="27" customHeight="1" x14ac:dyDescent="0.25">
      <c r="A525" s="12" t="str">
        <f t="shared" si="102"/>
        <v>РЩ2-12 (АВР-Б-40-2-1)</v>
      </c>
      <c r="B525" s="9" t="s">
        <v>290</v>
      </c>
      <c r="C525" s="10" t="s">
        <v>204</v>
      </c>
      <c r="D525" s="9" t="s">
        <v>205</v>
      </c>
      <c r="E525" s="12">
        <v>1</v>
      </c>
      <c r="F525" s="9" t="s">
        <v>206</v>
      </c>
      <c r="G525" s="12" t="str">
        <f t="shared" si="103"/>
        <v>Блок12</v>
      </c>
    </row>
    <row r="526" spans="1:7" ht="27" customHeight="1" x14ac:dyDescent="0.25">
      <c r="A526" s="12" t="str">
        <f t="shared" si="102"/>
        <v>РЩ2-12 (АВР-Б-40-2-1)</v>
      </c>
      <c r="B526" s="9" t="s">
        <v>14</v>
      </c>
      <c r="C526" s="10" t="s">
        <v>296</v>
      </c>
      <c r="D526" s="9" t="s">
        <v>297</v>
      </c>
      <c r="E526" s="12">
        <v>1</v>
      </c>
      <c r="F526" s="9" t="s">
        <v>15</v>
      </c>
      <c r="G526" s="12" t="str">
        <f t="shared" si="103"/>
        <v>Блок12</v>
      </c>
    </row>
    <row r="527" spans="1:7" ht="27" customHeight="1" x14ac:dyDescent="0.25">
      <c r="A527" s="12" t="str">
        <f t="shared" si="102"/>
        <v>РЩ2-12 (АВР-Б-40-2-1)</v>
      </c>
      <c r="B527" s="9" t="s">
        <v>29</v>
      </c>
      <c r="C527" s="10"/>
      <c r="D527" s="9" t="s">
        <v>30</v>
      </c>
      <c r="E527" s="12">
        <v>6</v>
      </c>
      <c r="F527" s="9" t="s">
        <v>24</v>
      </c>
      <c r="G527" s="12" t="str">
        <f t="shared" si="103"/>
        <v>Блок12</v>
      </c>
    </row>
    <row r="528" spans="1:7" ht="27" customHeight="1" x14ac:dyDescent="0.25">
      <c r="A528" s="9" t="str">
        <f t="shared" si="102"/>
        <v>РЩ2-12 (АВР-Б-40-2-1)</v>
      </c>
      <c r="B528" s="9" t="s">
        <v>18</v>
      </c>
      <c r="C528" s="10" t="s">
        <v>18</v>
      </c>
      <c r="D528" s="9" t="s">
        <v>18</v>
      </c>
      <c r="E528" s="9">
        <v>1</v>
      </c>
      <c r="F528" s="9" t="s">
        <v>18</v>
      </c>
      <c r="G528" s="12" t="str">
        <f t="shared" si="103"/>
        <v>Блок12</v>
      </c>
    </row>
    <row r="529" spans="1:7" ht="27" customHeight="1" x14ac:dyDescent="0.25">
      <c r="A529" s="9" t="str">
        <f t="shared" si="102"/>
        <v>РЩ2-12 (АВР-Б-40-2-1)</v>
      </c>
      <c r="B529" s="9" t="s">
        <v>19</v>
      </c>
      <c r="C529" s="10" t="s">
        <v>19</v>
      </c>
      <c r="D529" s="9" t="s">
        <v>19</v>
      </c>
      <c r="E529" s="9" t="e">
        <f>60*#REF!</f>
        <v>#REF!</v>
      </c>
      <c r="F529" s="9" t="s">
        <v>19</v>
      </c>
      <c r="G529" s="12" t="str">
        <f t="shared" si="103"/>
        <v>Блок12</v>
      </c>
    </row>
    <row r="530" spans="1:7" ht="27" customHeight="1" x14ac:dyDescent="0.25">
      <c r="A530" s="14" t="str">
        <f t="shared" si="102"/>
        <v>РЩ2-12 (АВР-Б-40-2-1)</v>
      </c>
      <c r="B530" s="14"/>
      <c r="C530" s="14"/>
      <c r="D530" s="15"/>
      <c r="E530" s="14"/>
      <c r="F530" s="14"/>
      <c r="G530" s="12" t="str">
        <f t="shared" si="103"/>
        <v>Блок12</v>
      </c>
    </row>
    <row r="531" spans="1:7" ht="27" customHeight="1" x14ac:dyDescent="0.25">
      <c r="A531" s="7" t="str">
        <f>D531</f>
        <v>ВРУ1-13</v>
      </c>
      <c r="B531" s="4"/>
      <c r="C531" s="5"/>
      <c r="D531" s="4" t="s">
        <v>100</v>
      </c>
      <c r="E531" s="7">
        <v>1</v>
      </c>
      <c r="F531" s="4" t="s">
        <v>9</v>
      </c>
      <c r="G531" s="7" t="s">
        <v>101</v>
      </c>
    </row>
    <row r="532" spans="1:7" ht="27" customHeight="1" x14ac:dyDescent="0.25">
      <c r="A532" s="12" t="str">
        <f t="shared" ref="A532:A542" si="104">A531</f>
        <v>ВРУ1-13</v>
      </c>
      <c r="B532" s="9" t="s">
        <v>10</v>
      </c>
      <c r="C532" s="10" t="s">
        <v>171</v>
      </c>
      <c r="D532" s="9" t="s">
        <v>172</v>
      </c>
      <c r="E532" s="12">
        <v>1</v>
      </c>
      <c r="F532" s="9" t="s">
        <v>12</v>
      </c>
      <c r="G532" s="12" t="str">
        <f t="shared" ref="G532:G542" si="105">G531</f>
        <v>Блок13</v>
      </c>
    </row>
    <row r="533" spans="1:7" ht="27" customHeight="1" x14ac:dyDescent="0.25">
      <c r="A533" s="12" t="str">
        <f t="shared" si="104"/>
        <v>ВРУ1-13</v>
      </c>
      <c r="B533" s="9" t="s">
        <v>22</v>
      </c>
      <c r="C533" s="10" t="s">
        <v>304</v>
      </c>
      <c r="D533" s="9" t="s">
        <v>305</v>
      </c>
      <c r="E533" s="12">
        <v>6</v>
      </c>
      <c r="F533" s="9" t="s">
        <v>24</v>
      </c>
      <c r="G533" s="12" t="str">
        <f t="shared" si="105"/>
        <v>Блок13</v>
      </c>
    </row>
    <row r="534" spans="1:7" ht="27" customHeight="1" x14ac:dyDescent="0.25">
      <c r="A534" s="12" t="str">
        <f t="shared" si="104"/>
        <v>ВРУ1-13</v>
      </c>
      <c r="B534" s="9" t="s">
        <v>25</v>
      </c>
      <c r="C534" s="10" t="s">
        <v>176</v>
      </c>
      <c r="D534" s="9" t="s">
        <v>177</v>
      </c>
      <c r="E534" s="12">
        <v>2</v>
      </c>
      <c r="F534" s="9" t="s">
        <v>24</v>
      </c>
      <c r="G534" s="12" t="str">
        <f t="shared" si="105"/>
        <v>Блок13</v>
      </c>
    </row>
    <row r="535" spans="1:7" ht="27" customHeight="1" x14ac:dyDescent="0.25">
      <c r="A535" s="12" t="str">
        <f t="shared" si="104"/>
        <v>ВРУ1-13</v>
      </c>
      <c r="B535" s="9" t="s">
        <v>126</v>
      </c>
      <c r="C535" s="10" t="s">
        <v>129</v>
      </c>
      <c r="D535" s="9" t="s">
        <v>130</v>
      </c>
      <c r="E535" s="12">
        <v>6</v>
      </c>
      <c r="F535" s="9" t="s">
        <v>13</v>
      </c>
      <c r="G535" s="12" t="str">
        <f t="shared" si="105"/>
        <v>Блок13</v>
      </c>
    </row>
    <row r="536" spans="1:7" ht="27" customHeight="1" x14ac:dyDescent="0.25">
      <c r="A536" s="12" t="str">
        <f t="shared" si="104"/>
        <v>ВРУ1-13</v>
      </c>
      <c r="B536" s="9" t="s">
        <v>125</v>
      </c>
      <c r="C536" s="10" t="s">
        <v>127</v>
      </c>
      <c r="D536" s="9" t="s">
        <v>128</v>
      </c>
      <c r="E536" s="12">
        <v>6</v>
      </c>
      <c r="F536" s="9" t="s">
        <v>13</v>
      </c>
      <c r="G536" s="12" t="str">
        <f t="shared" si="105"/>
        <v>Блок13</v>
      </c>
    </row>
    <row r="537" spans="1:7" ht="27" customHeight="1" x14ac:dyDescent="0.25">
      <c r="A537" s="12" t="str">
        <f t="shared" si="104"/>
        <v>ВРУ1-13</v>
      </c>
      <c r="B537" s="9" t="s">
        <v>290</v>
      </c>
      <c r="C537" s="10" t="s">
        <v>188</v>
      </c>
      <c r="D537" s="9" t="s">
        <v>189</v>
      </c>
      <c r="E537" s="12">
        <v>2</v>
      </c>
      <c r="F537" s="9" t="s">
        <v>206</v>
      </c>
      <c r="G537" s="12" t="str">
        <f t="shared" si="105"/>
        <v>Блок13</v>
      </c>
    </row>
    <row r="538" spans="1:7" ht="27" customHeight="1" x14ac:dyDescent="0.25">
      <c r="A538" s="12" t="str">
        <f t="shared" si="104"/>
        <v>ВРУ1-13</v>
      </c>
      <c r="B538" s="9" t="s">
        <v>14</v>
      </c>
      <c r="C538" s="10" t="s">
        <v>294</v>
      </c>
      <c r="D538" s="20" t="s">
        <v>295</v>
      </c>
      <c r="E538" s="12">
        <v>2</v>
      </c>
      <c r="F538" s="9" t="s">
        <v>15</v>
      </c>
      <c r="G538" s="12" t="str">
        <f t="shared" si="105"/>
        <v>Блок13</v>
      </c>
    </row>
    <row r="539" spans="1:7" ht="27" customHeight="1" x14ac:dyDescent="0.25">
      <c r="A539" s="12" t="str">
        <f t="shared" si="104"/>
        <v>ВРУ1-13</v>
      </c>
      <c r="B539" s="9" t="s">
        <v>29</v>
      </c>
      <c r="C539" s="10"/>
      <c r="D539" s="9" t="s">
        <v>30</v>
      </c>
      <c r="E539" s="12">
        <v>6</v>
      </c>
      <c r="F539" s="9" t="s">
        <v>24</v>
      </c>
      <c r="G539" s="12" t="str">
        <f t="shared" si="105"/>
        <v>Блок13</v>
      </c>
    </row>
    <row r="540" spans="1:7" ht="27" customHeight="1" x14ac:dyDescent="0.25">
      <c r="A540" s="9" t="str">
        <f t="shared" si="104"/>
        <v>ВРУ1-13</v>
      </c>
      <c r="B540" s="9" t="s">
        <v>18</v>
      </c>
      <c r="C540" s="10" t="s">
        <v>18</v>
      </c>
      <c r="D540" s="9" t="s">
        <v>18</v>
      </c>
      <c r="E540" s="9">
        <v>1</v>
      </c>
      <c r="F540" s="9" t="s">
        <v>18</v>
      </c>
      <c r="G540" s="12" t="str">
        <f t="shared" si="105"/>
        <v>Блок13</v>
      </c>
    </row>
    <row r="541" spans="1:7" ht="27" customHeight="1" x14ac:dyDescent="0.25">
      <c r="A541" s="9" t="str">
        <f t="shared" si="104"/>
        <v>ВРУ1-13</v>
      </c>
      <c r="B541" s="9" t="s">
        <v>19</v>
      </c>
      <c r="C541" s="10" t="s">
        <v>19</v>
      </c>
      <c r="D541" s="9" t="s">
        <v>19</v>
      </c>
      <c r="E541" s="9" t="e">
        <f>60*#REF!</f>
        <v>#REF!</v>
      </c>
      <c r="F541" s="9" t="s">
        <v>19</v>
      </c>
      <c r="G541" s="12" t="str">
        <f t="shared" si="105"/>
        <v>Блок13</v>
      </c>
    </row>
    <row r="542" spans="1:7" ht="27" customHeight="1" x14ac:dyDescent="0.25">
      <c r="A542" s="14" t="str">
        <f t="shared" si="104"/>
        <v>ВРУ1-13</v>
      </c>
      <c r="B542" s="14"/>
      <c r="C542" s="14"/>
      <c r="D542" s="15"/>
      <c r="E542" s="14"/>
      <c r="F542" s="14"/>
      <c r="G542" s="12" t="str">
        <f t="shared" si="105"/>
        <v>Блок13</v>
      </c>
    </row>
    <row r="543" spans="1:7" ht="27" customHeight="1" x14ac:dyDescent="0.25">
      <c r="A543" s="7" t="str">
        <f>D543</f>
        <v>РУ-1-13</v>
      </c>
      <c r="B543" s="4"/>
      <c r="C543" s="5"/>
      <c r="D543" s="4" t="s">
        <v>102</v>
      </c>
      <c r="E543" s="7">
        <v>1</v>
      </c>
      <c r="F543" s="4" t="s">
        <v>9</v>
      </c>
      <c r="G543" s="7" t="s">
        <v>101</v>
      </c>
    </row>
    <row r="544" spans="1:7" ht="27" customHeight="1" x14ac:dyDescent="0.25">
      <c r="A544" s="12" t="str">
        <f t="shared" ref="A544:A550" si="106">A543</f>
        <v>РУ-1-13</v>
      </c>
      <c r="B544" s="9" t="s">
        <v>10</v>
      </c>
      <c r="C544" s="10" t="s">
        <v>169</v>
      </c>
      <c r="D544" s="9" t="s">
        <v>170</v>
      </c>
      <c r="E544" s="12">
        <v>1</v>
      </c>
      <c r="F544" s="9" t="s">
        <v>12</v>
      </c>
      <c r="G544" s="12" t="str">
        <f t="shared" ref="G544:G550" si="107">G543</f>
        <v>Блок13</v>
      </c>
    </row>
    <row r="545" spans="1:7" ht="27" customHeight="1" x14ac:dyDescent="0.25">
      <c r="A545" s="12" t="str">
        <f t="shared" si="106"/>
        <v>РУ-1-13</v>
      </c>
      <c r="B545" s="9" t="s">
        <v>291</v>
      </c>
      <c r="C545" s="10" t="s">
        <v>224</v>
      </c>
      <c r="D545" s="9" t="s">
        <v>225</v>
      </c>
      <c r="E545" s="12">
        <v>2</v>
      </c>
      <c r="F545" s="9" t="s">
        <v>206</v>
      </c>
      <c r="G545" s="12" t="str">
        <f t="shared" si="107"/>
        <v>Блок13</v>
      </c>
    </row>
    <row r="546" spans="1:7" ht="27" customHeight="1" x14ac:dyDescent="0.25">
      <c r="A546" s="12" t="str">
        <f t="shared" si="106"/>
        <v>РУ-1-13</v>
      </c>
      <c r="B546" s="9" t="s">
        <v>291</v>
      </c>
      <c r="C546" s="10" t="s">
        <v>226</v>
      </c>
      <c r="D546" s="9" t="s">
        <v>227</v>
      </c>
      <c r="E546" s="12">
        <v>1</v>
      </c>
      <c r="F546" s="9" t="s">
        <v>206</v>
      </c>
      <c r="G546" s="12" t="str">
        <f t="shared" si="107"/>
        <v>Блок13</v>
      </c>
    </row>
    <row r="547" spans="1:7" ht="27" customHeight="1" x14ac:dyDescent="0.25">
      <c r="A547" s="12" t="str">
        <f t="shared" si="106"/>
        <v>РУ-1-13</v>
      </c>
      <c r="B547" s="9" t="s">
        <v>290</v>
      </c>
      <c r="C547" s="10" t="s">
        <v>216</v>
      </c>
      <c r="D547" s="9" t="s">
        <v>217</v>
      </c>
      <c r="E547" s="12">
        <v>2</v>
      </c>
      <c r="F547" s="9" t="s">
        <v>206</v>
      </c>
      <c r="G547" s="12" t="str">
        <f t="shared" si="107"/>
        <v>Блок13</v>
      </c>
    </row>
    <row r="548" spans="1:7" ht="27" customHeight="1" x14ac:dyDescent="0.25">
      <c r="A548" s="9" t="str">
        <f t="shared" si="106"/>
        <v>РУ-1-13</v>
      </c>
      <c r="B548" s="9" t="s">
        <v>18</v>
      </c>
      <c r="C548" s="10" t="s">
        <v>18</v>
      </c>
      <c r="D548" s="9" t="s">
        <v>18</v>
      </c>
      <c r="E548" s="9">
        <v>1</v>
      </c>
      <c r="F548" s="9" t="s">
        <v>18</v>
      </c>
      <c r="G548" s="12" t="str">
        <f t="shared" si="107"/>
        <v>Блок13</v>
      </c>
    </row>
    <row r="549" spans="1:7" ht="27" customHeight="1" x14ac:dyDescent="0.25">
      <c r="A549" s="9" t="str">
        <f t="shared" si="106"/>
        <v>РУ-1-13</v>
      </c>
      <c r="B549" s="9" t="s">
        <v>19</v>
      </c>
      <c r="C549" s="10" t="s">
        <v>19</v>
      </c>
      <c r="D549" s="9" t="s">
        <v>19</v>
      </c>
      <c r="E549" s="9" t="e">
        <f>60*#REF!</f>
        <v>#REF!</v>
      </c>
      <c r="F549" s="9" t="s">
        <v>19</v>
      </c>
      <c r="G549" s="12" t="str">
        <f t="shared" si="107"/>
        <v>Блок13</v>
      </c>
    </row>
    <row r="550" spans="1:7" ht="27" customHeight="1" x14ac:dyDescent="0.25">
      <c r="A550" s="14" t="str">
        <f t="shared" si="106"/>
        <v>РУ-1-13</v>
      </c>
      <c r="B550" s="14"/>
      <c r="C550" s="14"/>
      <c r="D550" s="15"/>
      <c r="E550" s="14"/>
      <c r="F550" s="14"/>
      <c r="G550" s="12" t="str">
        <f t="shared" si="107"/>
        <v>Блок13</v>
      </c>
    </row>
    <row r="551" spans="1:7" ht="27" customHeight="1" x14ac:dyDescent="0.25">
      <c r="A551" s="7" t="str">
        <f>D551</f>
        <v>РУ-2-13</v>
      </c>
      <c r="B551" s="4"/>
      <c r="C551" s="5"/>
      <c r="D551" s="4" t="s">
        <v>103</v>
      </c>
      <c r="E551" s="7">
        <v>1</v>
      </c>
      <c r="F551" s="4" t="s">
        <v>9</v>
      </c>
      <c r="G551" s="7" t="s">
        <v>101</v>
      </c>
    </row>
    <row r="552" spans="1:7" ht="27" customHeight="1" x14ac:dyDescent="0.25">
      <c r="A552" s="12" t="str">
        <f t="shared" ref="A552:A558" si="108">A551</f>
        <v>РУ-2-13</v>
      </c>
      <c r="B552" s="9" t="s">
        <v>10</v>
      </c>
      <c r="C552" s="10" t="s">
        <v>169</v>
      </c>
      <c r="D552" s="9" t="s">
        <v>170</v>
      </c>
      <c r="E552" s="12">
        <v>1</v>
      </c>
      <c r="F552" s="9" t="s">
        <v>12</v>
      </c>
      <c r="G552" s="12" t="str">
        <f t="shared" ref="G552:G558" si="109">G551</f>
        <v>Блок13</v>
      </c>
    </row>
    <row r="553" spans="1:7" ht="27" customHeight="1" x14ac:dyDescent="0.25">
      <c r="A553" s="12" t="str">
        <f t="shared" si="108"/>
        <v>РУ-2-13</v>
      </c>
      <c r="B553" s="9" t="s">
        <v>291</v>
      </c>
      <c r="C553" s="10" t="s">
        <v>226</v>
      </c>
      <c r="D553" s="9" t="s">
        <v>227</v>
      </c>
      <c r="E553" s="12">
        <v>1</v>
      </c>
      <c r="F553" s="9" t="s">
        <v>206</v>
      </c>
      <c r="G553" s="12" t="str">
        <f t="shared" si="109"/>
        <v>Блок13</v>
      </c>
    </row>
    <row r="554" spans="1:7" ht="27" customHeight="1" x14ac:dyDescent="0.25">
      <c r="A554" s="12" t="str">
        <f t="shared" si="108"/>
        <v>РУ-2-13</v>
      </c>
      <c r="B554" s="9" t="s">
        <v>291</v>
      </c>
      <c r="C554" s="10" t="s">
        <v>210</v>
      </c>
      <c r="D554" s="9" t="s">
        <v>211</v>
      </c>
      <c r="E554" s="12">
        <v>3</v>
      </c>
      <c r="F554" s="9" t="s">
        <v>206</v>
      </c>
      <c r="G554" s="12" t="str">
        <f t="shared" si="109"/>
        <v>Блок13</v>
      </c>
    </row>
    <row r="555" spans="1:7" ht="27" customHeight="1" x14ac:dyDescent="0.25">
      <c r="A555" s="12" t="str">
        <f t="shared" si="108"/>
        <v>РУ-2-13</v>
      </c>
      <c r="B555" s="9" t="s">
        <v>291</v>
      </c>
      <c r="C555" s="10" t="s">
        <v>222</v>
      </c>
      <c r="D555" s="9" t="s">
        <v>223</v>
      </c>
      <c r="E555" s="12">
        <v>1</v>
      </c>
      <c r="F555" s="9" t="s">
        <v>206</v>
      </c>
      <c r="G555" s="12" t="str">
        <f t="shared" si="109"/>
        <v>Блок13</v>
      </c>
    </row>
    <row r="556" spans="1:7" ht="27" customHeight="1" x14ac:dyDescent="0.25">
      <c r="A556" s="9" t="str">
        <f t="shared" si="108"/>
        <v>РУ-2-13</v>
      </c>
      <c r="B556" s="9" t="s">
        <v>18</v>
      </c>
      <c r="C556" s="10" t="s">
        <v>18</v>
      </c>
      <c r="D556" s="9" t="s">
        <v>18</v>
      </c>
      <c r="E556" s="9">
        <v>1</v>
      </c>
      <c r="F556" s="9" t="s">
        <v>18</v>
      </c>
      <c r="G556" s="12" t="str">
        <f t="shared" si="109"/>
        <v>Блок13</v>
      </c>
    </row>
    <row r="557" spans="1:7" ht="27" customHeight="1" x14ac:dyDescent="0.25">
      <c r="A557" s="9" t="str">
        <f t="shared" si="108"/>
        <v>РУ-2-13</v>
      </c>
      <c r="B557" s="9" t="s">
        <v>19</v>
      </c>
      <c r="C557" s="10" t="s">
        <v>19</v>
      </c>
      <c r="D557" s="9" t="s">
        <v>19</v>
      </c>
      <c r="E557" s="9" t="e">
        <f>60*#REF!</f>
        <v>#REF!</v>
      </c>
      <c r="F557" s="9" t="s">
        <v>19</v>
      </c>
      <c r="G557" s="12" t="str">
        <f t="shared" si="109"/>
        <v>Блок13</v>
      </c>
    </row>
    <row r="558" spans="1:7" ht="27" customHeight="1" x14ac:dyDescent="0.25">
      <c r="A558" s="14" t="str">
        <f t="shared" si="108"/>
        <v>РУ-2-13</v>
      </c>
      <c r="B558" s="14"/>
      <c r="C558" s="14"/>
      <c r="D558" s="15"/>
      <c r="E558" s="14"/>
      <c r="F558" s="14"/>
      <c r="G558" s="12" t="str">
        <f t="shared" si="109"/>
        <v>Блок13</v>
      </c>
    </row>
    <row r="559" spans="1:7" ht="27" customHeight="1" x14ac:dyDescent="0.25">
      <c r="A559" s="7" t="str">
        <f>D559</f>
        <v>ЩУР.МОП1-13</v>
      </c>
      <c r="B559" s="4"/>
      <c r="C559" s="5"/>
      <c r="D559" s="4" t="s">
        <v>104</v>
      </c>
      <c r="E559" s="7">
        <v>1</v>
      </c>
      <c r="F559" s="4" t="s">
        <v>9</v>
      </c>
      <c r="G559" s="7" t="s">
        <v>101</v>
      </c>
    </row>
    <row r="560" spans="1:7" ht="27" customHeight="1" x14ac:dyDescent="0.25">
      <c r="A560" s="12" t="str">
        <f t="shared" ref="A560:A567" si="110">A559</f>
        <v>ЩУР.МОП1-13</v>
      </c>
      <c r="B560" s="9" t="s">
        <v>10</v>
      </c>
      <c r="C560" s="10" t="s">
        <v>39</v>
      </c>
      <c r="D560" s="9" t="s">
        <v>40</v>
      </c>
      <c r="E560" s="12">
        <v>1</v>
      </c>
      <c r="F560" s="9" t="s">
        <v>12</v>
      </c>
      <c r="G560" s="12" t="str">
        <f t="shared" ref="G560:G567" si="111">G559</f>
        <v>Блок13</v>
      </c>
    </row>
    <row r="561" spans="1:7" ht="27" customHeight="1" x14ac:dyDescent="0.25">
      <c r="A561" s="12" t="str">
        <f t="shared" si="110"/>
        <v>ЩУР.МОП1-13</v>
      </c>
      <c r="B561" s="9" t="s">
        <v>290</v>
      </c>
      <c r="C561" s="10" t="s">
        <v>194</v>
      </c>
      <c r="D561" s="9" t="s">
        <v>195</v>
      </c>
      <c r="E561" s="12">
        <v>1</v>
      </c>
      <c r="F561" s="9" t="s">
        <v>206</v>
      </c>
      <c r="G561" s="12" t="str">
        <f t="shared" si="111"/>
        <v>Блок13</v>
      </c>
    </row>
    <row r="562" spans="1:7" ht="27" customHeight="1" x14ac:dyDescent="0.25">
      <c r="A562" s="12" t="str">
        <f t="shared" si="110"/>
        <v>ЩУР.МОП1-13</v>
      </c>
      <c r="B562" s="9" t="s">
        <v>290</v>
      </c>
      <c r="C562" s="10" t="s">
        <v>198</v>
      </c>
      <c r="D562" s="9" t="s">
        <v>199</v>
      </c>
      <c r="E562" s="12">
        <v>2</v>
      </c>
      <c r="F562" s="9" t="s">
        <v>206</v>
      </c>
      <c r="G562" s="12" t="str">
        <f t="shared" si="111"/>
        <v>Блок13</v>
      </c>
    </row>
    <row r="563" spans="1:7" ht="27" customHeight="1" x14ac:dyDescent="0.25">
      <c r="A563" s="12" t="str">
        <f t="shared" si="110"/>
        <v>ЩУР.МОП1-13</v>
      </c>
      <c r="B563" s="9" t="s">
        <v>290</v>
      </c>
      <c r="C563" s="10" t="s">
        <v>192</v>
      </c>
      <c r="D563" s="9" t="s">
        <v>193</v>
      </c>
      <c r="E563" s="12">
        <v>2</v>
      </c>
      <c r="F563" s="9" t="s">
        <v>206</v>
      </c>
      <c r="G563" s="12" t="str">
        <f t="shared" si="111"/>
        <v>Блок13</v>
      </c>
    </row>
    <row r="564" spans="1:7" ht="27" customHeight="1" x14ac:dyDescent="0.25">
      <c r="A564" s="12" t="str">
        <f t="shared" si="110"/>
        <v>ЩУР.МОП1-13</v>
      </c>
      <c r="B564" s="9" t="s">
        <v>14</v>
      </c>
      <c r="C564" s="10" t="s">
        <v>296</v>
      </c>
      <c r="D564" s="9" t="s">
        <v>297</v>
      </c>
      <c r="E564" s="12">
        <v>1</v>
      </c>
      <c r="F564" s="9" t="s">
        <v>15</v>
      </c>
      <c r="G564" s="12" t="str">
        <f t="shared" si="111"/>
        <v>Блок13</v>
      </c>
    </row>
    <row r="565" spans="1:7" ht="27" customHeight="1" x14ac:dyDescent="0.25">
      <c r="A565" s="9" t="str">
        <f t="shared" si="110"/>
        <v>ЩУР.МОП1-13</v>
      </c>
      <c r="B565" s="9" t="s">
        <v>18</v>
      </c>
      <c r="C565" s="10" t="s">
        <v>18</v>
      </c>
      <c r="D565" s="9" t="s">
        <v>18</v>
      </c>
      <c r="E565" s="9">
        <v>1</v>
      </c>
      <c r="F565" s="9" t="s">
        <v>18</v>
      </c>
      <c r="G565" s="12" t="str">
        <f t="shared" si="111"/>
        <v>Блок13</v>
      </c>
    </row>
    <row r="566" spans="1:7" ht="27" customHeight="1" x14ac:dyDescent="0.25">
      <c r="A566" s="9" t="str">
        <f t="shared" si="110"/>
        <v>ЩУР.МОП1-13</v>
      </c>
      <c r="B566" s="9" t="s">
        <v>19</v>
      </c>
      <c r="C566" s="10" t="s">
        <v>19</v>
      </c>
      <c r="D566" s="9" t="s">
        <v>19</v>
      </c>
      <c r="E566" s="9" t="e">
        <f>60*#REF!</f>
        <v>#REF!</v>
      </c>
      <c r="F566" s="9" t="s">
        <v>19</v>
      </c>
      <c r="G566" s="12" t="str">
        <f t="shared" si="111"/>
        <v>Блок13</v>
      </c>
    </row>
    <row r="567" spans="1:7" ht="27" customHeight="1" x14ac:dyDescent="0.25">
      <c r="A567" s="14" t="str">
        <f t="shared" si="110"/>
        <v>ЩУР.МОП1-13</v>
      </c>
      <c r="B567" s="14"/>
      <c r="C567" s="14"/>
      <c r="D567" s="15"/>
      <c r="E567" s="14"/>
      <c r="F567" s="14"/>
      <c r="G567" s="12" t="str">
        <f t="shared" si="111"/>
        <v>Блок13</v>
      </c>
    </row>
    <row r="568" spans="1:7" ht="27" customHeight="1" x14ac:dyDescent="0.25">
      <c r="A568" s="7" t="str">
        <f>D568</f>
        <v>РЩ1-13 (АВР-Б-40-2-1)</v>
      </c>
      <c r="B568" s="4"/>
      <c r="C568" s="5"/>
      <c r="D568" s="4" t="s">
        <v>145</v>
      </c>
      <c r="E568" s="7">
        <v>1</v>
      </c>
      <c r="F568" s="4" t="s">
        <v>9</v>
      </c>
      <c r="G568" s="7" t="s">
        <v>101</v>
      </c>
    </row>
    <row r="569" spans="1:7" ht="27" customHeight="1" x14ac:dyDescent="0.25">
      <c r="A569" s="12" t="str">
        <f t="shared" ref="A569:A580" si="112">A568</f>
        <v>РЩ1-13 (АВР-Б-40-2-1)</v>
      </c>
      <c r="B569" s="9" t="s">
        <v>10</v>
      </c>
      <c r="C569" s="10" t="s">
        <v>167</v>
      </c>
      <c r="D569" s="9" t="s">
        <v>168</v>
      </c>
      <c r="E569" s="12">
        <v>1</v>
      </c>
      <c r="F569" s="9" t="s">
        <v>12</v>
      </c>
      <c r="G569" s="12" t="str">
        <f t="shared" ref="G569:G580" si="113">G568</f>
        <v>Блок13</v>
      </c>
    </row>
    <row r="570" spans="1:7" ht="27" customHeight="1" x14ac:dyDescent="0.25">
      <c r="A570" s="12" t="str">
        <f t="shared" si="112"/>
        <v>РЩ1-13 (АВР-Б-40-2-1)</v>
      </c>
      <c r="B570" s="9" t="s">
        <v>43</v>
      </c>
      <c r="C570" s="10" t="s">
        <v>161</v>
      </c>
      <c r="D570" s="9" t="s">
        <v>162</v>
      </c>
      <c r="E570" s="12">
        <v>1</v>
      </c>
      <c r="F570" s="9" t="s">
        <v>13</v>
      </c>
      <c r="G570" s="12" t="str">
        <f t="shared" si="113"/>
        <v>Блок13</v>
      </c>
    </row>
    <row r="571" spans="1:7" ht="27" customHeight="1" x14ac:dyDescent="0.25">
      <c r="A571" s="12" t="str">
        <f t="shared" si="112"/>
        <v>РЩ1-13 (АВР-Б-40-2-1)</v>
      </c>
      <c r="B571" s="9" t="s">
        <v>290</v>
      </c>
      <c r="C571" s="10" t="s">
        <v>212</v>
      </c>
      <c r="D571" s="9" t="s">
        <v>213</v>
      </c>
      <c r="E571" s="12">
        <v>2</v>
      </c>
      <c r="F571" s="9" t="s">
        <v>206</v>
      </c>
      <c r="G571" s="12" t="str">
        <f t="shared" si="113"/>
        <v>Блок13</v>
      </c>
    </row>
    <row r="572" spans="1:7" ht="27" customHeight="1" x14ac:dyDescent="0.25">
      <c r="A572" s="12" t="str">
        <f t="shared" si="112"/>
        <v>РЩ1-13 (АВР-Б-40-2-1)</v>
      </c>
      <c r="B572" s="9" t="s">
        <v>290</v>
      </c>
      <c r="C572" s="10" t="s">
        <v>230</v>
      </c>
      <c r="D572" s="9" t="s">
        <v>231</v>
      </c>
      <c r="E572" s="12">
        <v>2</v>
      </c>
      <c r="F572" s="9" t="s">
        <v>206</v>
      </c>
      <c r="G572" s="12" t="str">
        <f t="shared" si="113"/>
        <v>Блок13</v>
      </c>
    </row>
    <row r="573" spans="1:7" ht="27" customHeight="1" x14ac:dyDescent="0.25">
      <c r="A573" s="12" t="str">
        <f t="shared" si="112"/>
        <v>РЩ1-13 (АВР-Б-40-2-1)</v>
      </c>
      <c r="B573" s="9" t="s">
        <v>291</v>
      </c>
      <c r="C573" s="10" t="s">
        <v>202</v>
      </c>
      <c r="D573" s="9" t="s">
        <v>203</v>
      </c>
      <c r="E573" s="12">
        <v>2</v>
      </c>
      <c r="F573" s="9" t="s">
        <v>206</v>
      </c>
      <c r="G573" s="12" t="str">
        <f t="shared" si="113"/>
        <v>Блок13</v>
      </c>
    </row>
    <row r="574" spans="1:7" ht="27" customHeight="1" x14ac:dyDescent="0.25">
      <c r="A574" s="12" t="str">
        <f t="shared" si="112"/>
        <v>РЩ1-13 (АВР-Б-40-2-1)</v>
      </c>
      <c r="B574" s="9" t="s">
        <v>17</v>
      </c>
      <c r="C574" s="10" t="s">
        <v>232</v>
      </c>
      <c r="D574" s="9" t="s">
        <v>233</v>
      </c>
      <c r="E574" s="12">
        <v>1</v>
      </c>
      <c r="F574" s="9" t="s">
        <v>13</v>
      </c>
      <c r="G574" s="12" t="str">
        <f t="shared" si="113"/>
        <v>Блок13</v>
      </c>
    </row>
    <row r="575" spans="1:7" ht="27" customHeight="1" x14ac:dyDescent="0.25">
      <c r="A575" s="12" t="str">
        <f t="shared" si="112"/>
        <v>РЩ1-13 (АВР-Б-40-2-1)</v>
      </c>
      <c r="B575" s="9" t="s">
        <v>290</v>
      </c>
      <c r="C575" s="10" t="s">
        <v>204</v>
      </c>
      <c r="D575" s="9" t="s">
        <v>205</v>
      </c>
      <c r="E575" s="12">
        <v>1</v>
      </c>
      <c r="F575" s="9" t="s">
        <v>206</v>
      </c>
      <c r="G575" s="12" t="str">
        <f t="shared" si="113"/>
        <v>Блок13</v>
      </c>
    </row>
    <row r="576" spans="1:7" ht="27" customHeight="1" x14ac:dyDescent="0.25">
      <c r="A576" s="12" t="str">
        <f t="shared" si="112"/>
        <v>РЩ1-13 (АВР-Б-40-2-1)</v>
      </c>
      <c r="B576" s="9" t="s">
        <v>14</v>
      </c>
      <c r="C576" s="10" t="s">
        <v>296</v>
      </c>
      <c r="D576" s="9" t="s">
        <v>297</v>
      </c>
      <c r="E576" s="12">
        <v>1</v>
      </c>
      <c r="F576" s="9" t="s">
        <v>15</v>
      </c>
      <c r="G576" s="12" t="str">
        <f t="shared" si="113"/>
        <v>Блок13</v>
      </c>
    </row>
    <row r="577" spans="1:7" ht="27" customHeight="1" x14ac:dyDescent="0.25">
      <c r="A577" s="12" t="str">
        <f t="shared" si="112"/>
        <v>РЩ1-13 (АВР-Б-40-2-1)</v>
      </c>
      <c r="B577" s="9" t="s">
        <v>29</v>
      </c>
      <c r="C577" s="10"/>
      <c r="D577" s="9" t="s">
        <v>30</v>
      </c>
      <c r="E577" s="12">
        <v>6</v>
      </c>
      <c r="F577" s="9" t="s">
        <v>24</v>
      </c>
      <c r="G577" s="12" t="str">
        <f t="shared" si="113"/>
        <v>Блок13</v>
      </c>
    </row>
    <row r="578" spans="1:7" ht="27" customHeight="1" x14ac:dyDescent="0.25">
      <c r="A578" s="9" t="str">
        <f t="shared" si="112"/>
        <v>РЩ1-13 (АВР-Б-40-2-1)</v>
      </c>
      <c r="B578" s="9" t="s">
        <v>18</v>
      </c>
      <c r="C578" s="10" t="s">
        <v>18</v>
      </c>
      <c r="D578" s="9" t="s">
        <v>18</v>
      </c>
      <c r="E578" s="9">
        <v>1</v>
      </c>
      <c r="F578" s="9" t="s">
        <v>18</v>
      </c>
      <c r="G578" s="12" t="str">
        <f t="shared" si="113"/>
        <v>Блок13</v>
      </c>
    </row>
    <row r="579" spans="1:7" ht="27" customHeight="1" x14ac:dyDescent="0.25">
      <c r="A579" s="9" t="str">
        <f t="shared" si="112"/>
        <v>РЩ1-13 (АВР-Б-40-2-1)</v>
      </c>
      <c r="B579" s="9" t="s">
        <v>19</v>
      </c>
      <c r="C579" s="10" t="s">
        <v>19</v>
      </c>
      <c r="D579" s="9" t="s">
        <v>19</v>
      </c>
      <c r="E579" s="9" t="e">
        <f>60*#REF!</f>
        <v>#REF!</v>
      </c>
      <c r="F579" s="9" t="s">
        <v>19</v>
      </c>
      <c r="G579" s="12" t="str">
        <f t="shared" si="113"/>
        <v>Блок13</v>
      </c>
    </row>
    <row r="580" spans="1:7" ht="27" customHeight="1" x14ac:dyDescent="0.25">
      <c r="A580" s="14" t="str">
        <f t="shared" si="112"/>
        <v>РЩ1-13 (АВР-Б-40-2-1)</v>
      </c>
      <c r="B580" s="14"/>
      <c r="C580" s="14"/>
      <c r="D580" s="15"/>
      <c r="E580" s="14"/>
      <c r="F580" s="14"/>
      <c r="G580" s="12" t="str">
        <f t="shared" si="113"/>
        <v>Блок13</v>
      </c>
    </row>
    <row r="581" spans="1:7" ht="27" customHeight="1" x14ac:dyDescent="0.25">
      <c r="A581" s="7" t="str">
        <f>D581</f>
        <v>ВРУ1-14</v>
      </c>
      <c r="B581" s="4"/>
      <c r="C581" s="5"/>
      <c r="D581" s="4" t="s">
        <v>105</v>
      </c>
      <c r="E581" s="7">
        <v>1</v>
      </c>
      <c r="F581" s="4" t="s">
        <v>9</v>
      </c>
      <c r="G581" s="7" t="s">
        <v>106</v>
      </c>
    </row>
    <row r="582" spans="1:7" ht="27" customHeight="1" x14ac:dyDescent="0.25">
      <c r="A582" s="12" t="str">
        <f t="shared" ref="A582:A592" si="114">A581</f>
        <v>ВРУ1-14</v>
      </c>
      <c r="B582" s="9" t="s">
        <v>10</v>
      </c>
      <c r="C582" s="10" t="s">
        <v>171</v>
      </c>
      <c r="D582" s="9" t="s">
        <v>172</v>
      </c>
      <c r="E582" s="12">
        <v>1</v>
      </c>
      <c r="F582" s="9" t="s">
        <v>12</v>
      </c>
      <c r="G582" s="12" t="str">
        <f t="shared" ref="G582:G592" si="115">G581</f>
        <v>Блок14</v>
      </c>
    </row>
    <row r="583" spans="1:7" ht="27" customHeight="1" x14ac:dyDescent="0.25">
      <c r="A583" s="12" t="str">
        <f t="shared" si="114"/>
        <v>ВРУ1-14</v>
      </c>
      <c r="B583" s="9" t="s">
        <v>22</v>
      </c>
      <c r="C583" s="10" t="s">
        <v>304</v>
      </c>
      <c r="D583" s="9" t="s">
        <v>305</v>
      </c>
      <c r="E583" s="12">
        <v>6</v>
      </c>
      <c r="F583" s="9" t="s">
        <v>24</v>
      </c>
      <c r="G583" s="12" t="str">
        <f t="shared" si="115"/>
        <v>Блок14</v>
      </c>
    </row>
    <row r="584" spans="1:7" ht="27" customHeight="1" x14ac:dyDescent="0.25">
      <c r="A584" s="12" t="str">
        <f t="shared" si="114"/>
        <v>ВРУ1-14</v>
      </c>
      <c r="B584" s="9" t="s">
        <v>25</v>
      </c>
      <c r="C584" s="10" t="s">
        <v>176</v>
      </c>
      <c r="D584" s="9" t="s">
        <v>177</v>
      </c>
      <c r="E584" s="12">
        <v>2</v>
      </c>
      <c r="F584" s="9" t="s">
        <v>24</v>
      </c>
      <c r="G584" s="12" t="str">
        <f t="shared" si="115"/>
        <v>Блок14</v>
      </c>
    </row>
    <row r="585" spans="1:7" ht="27" customHeight="1" x14ac:dyDescent="0.25">
      <c r="A585" s="12" t="str">
        <f t="shared" si="114"/>
        <v>ВРУ1-14</v>
      </c>
      <c r="B585" s="9" t="s">
        <v>126</v>
      </c>
      <c r="C585" s="10" t="s">
        <v>129</v>
      </c>
      <c r="D585" s="9" t="s">
        <v>130</v>
      </c>
      <c r="E585" s="12">
        <v>6</v>
      </c>
      <c r="F585" s="9" t="s">
        <v>13</v>
      </c>
      <c r="G585" s="12" t="str">
        <f t="shared" si="115"/>
        <v>Блок14</v>
      </c>
    </row>
    <row r="586" spans="1:7" ht="27" customHeight="1" x14ac:dyDescent="0.25">
      <c r="A586" s="12" t="str">
        <f t="shared" si="114"/>
        <v>ВРУ1-14</v>
      </c>
      <c r="B586" s="9" t="s">
        <v>125</v>
      </c>
      <c r="C586" s="10" t="s">
        <v>127</v>
      </c>
      <c r="D586" s="9" t="s">
        <v>128</v>
      </c>
      <c r="E586" s="12">
        <v>6</v>
      </c>
      <c r="F586" s="9" t="s">
        <v>13</v>
      </c>
      <c r="G586" s="12" t="str">
        <f t="shared" si="115"/>
        <v>Блок14</v>
      </c>
    </row>
    <row r="587" spans="1:7" ht="27" customHeight="1" x14ac:dyDescent="0.25">
      <c r="A587" s="12" t="str">
        <f t="shared" si="114"/>
        <v>ВРУ1-14</v>
      </c>
      <c r="B587" s="9" t="s">
        <v>290</v>
      </c>
      <c r="C587" s="10" t="s">
        <v>188</v>
      </c>
      <c r="D587" s="9" t="s">
        <v>189</v>
      </c>
      <c r="E587" s="12">
        <v>2</v>
      </c>
      <c r="F587" s="9" t="s">
        <v>206</v>
      </c>
      <c r="G587" s="12" t="str">
        <f t="shared" si="115"/>
        <v>Блок14</v>
      </c>
    </row>
    <row r="588" spans="1:7" ht="27" customHeight="1" x14ac:dyDescent="0.25">
      <c r="A588" s="12" t="str">
        <f t="shared" si="114"/>
        <v>ВРУ1-14</v>
      </c>
      <c r="B588" s="9" t="s">
        <v>14</v>
      </c>
      <c r="C588" s="10" t="s">
        <v>294</v>
      </c>
      <c r="D588" s="20" t="s">
        <v>295</v>
      </c>
      <c r="E588" s="12">
        <v>2</v>
      </c>
      <c r="F588" s="9" t="s">
        <v>15</v>
      </c>
      <c r="G588" s="12" t="str">
        <f t="shared" si="115"/>
        <v>Блок14</v>
      </c>
    </row>
    <row r="589" spans="1:7" ht="27" customHeight="1" x14ac:dyDescent="0.25">
      <c r="A589" s="12" t="str">
        <f t="shared" si="114"/>
        <v>ВРУ1-14</v>
      </c>
      <c r="B589" s="9" t="s">
        <v>29</v>
      </c>
      <c r="C589" s="10"/>
      <c r="D589" s="9" t="s">
        <v>30</v>
      </c>
      <c r="E589" s="12">
        <v>6</v>
      </c>
      <c r="F589" s="9" t="s">
        <v>24</v>
      </c>
      <c r="G589" s="12" t="str">
        <f t="shared" si="115"/>
        <v>Блок14</v>
      </c>
    </row>
    <row r="590" spans="1:7" ht="27" customHeight="1" x14ac:dyDescent="0.25">
      <c r="A590" s="9" t="str">
        <f t="shared" si="114"/>
        <v>ВРУ1-14</v>
      </c>
      <c r="B590" s="9" t="s">
        <v>18</v>
      </c>
      <c r="C590" s="10" t="s">
        <v>18</v>
      </c>
      <c r="D590" s="9" t="s">
        <v>18</v>
      </c>
      <c r="E590" s="9">
        <v>1</v>
      </c>
      <c r="F590" s="9" t="s">
        <v>18</v>
      </c>
      <c r="G590" s="12" t="str">
        <f t="shared" si="115"/>
        <v>Блок14</v>
      </c>
    </row>
    <row r="591" spans="1:7" ht="27" customHeight="1" x14ac:dyDescent="0.25">
      <c r="A591" s="9" t="str">
        <f t="shared" si="114"/>
        <v>ВРУ1-14</v>
      </c>
      <c r="B591" s="9" t="s">
        <v>19</v>
      </c>
      <c r="C591" s="10" t="s">
        <v>19</v>
      </c>
      <c r="D591" s="9" t="s">
        <v>19</v>
      </c>
      <c r="E591" s="9" t="e">
        <f>60*#REF!</f>
        <v>#REF!</v>
      </c>
      <c r="F591" s="9" t="s">
        <v>19</v>
      </c>
      <c r="G591" s="12" t="str">
        <f t="shared" si="115"/>
        <v>Блок14</v>
      </c>
    </row>
    <row r="592" spans="1:7" ht="27" customHeight="1" x14ac:dyDescent="0.25">
      <c r="A592" s="14" t="str">
        <f t="shared" si="114"/>
        <v>ВРУ1-14</v>
      </c>
      <c r="B592" s="14"/>
      <c r="C592" s="14"/>
      <c r="D592" s="15"/>
      <c r="E592" s="14"/>
      <c r="F592" s="14"/>
      <c r="G592" s="12" t="str">
        <f t="shared" si="115"/>
        <v>Блок14</v>
      </c>
    </row>
    <row r="593" spans="1:7" ht="27" customHeight="1" x14ac:dyDescent="0.25">
      <c r="A593" s="7" t="str">
        <f>D593</f>
        <v>РУ-1-14</v>
      </c>
      <c r="B593" s="4"/>
      <c r="C593" s="5"/>
      <c r="D593" s="4" t="s">
        <v>107</v>
      </c>
      <c r="E593" s="7">
        <v>1</v>
      </c>
      <c r="F593" s="4" t="s">
        <v>9</v>
      </c>
      <c r="G593" s="7" t="s">
        <v>106</v>
      </c>
    </row>
    <row r="594" spans="1:7" ht="27" customHeight="1" x14ac:dyDescent="0.25">
      <c r="A594" s="12" t="str">
        <f t="shared" ref="A594:A600" si="116">A593</f>
        <v>РУ-1-14</v>
      </c>
      <c r="B594" s="9" t="s">
        <v>10</v>
      </c>
      <c r="C594" s="10" t="s">
        <v>169</v>
      </c>
      <c r="D594" s="9" t="s">
        <v>170</v>
      </c>
      <c r="E594" s="12">
        <v>1</v>
      </c>
      <c r="F594" s="9" t="s">
        <v>12</v>
      </c>
      <c r="G594" s="12" t="str">
        <f t="shared" ref="G594:G600" si="117">G593</f>
        <v>Блок14</v>
      </c>
    </row>
    <row r="595" spans="1:7" ht="27" customHeight="1" x14ac:dyDescent="0.25">
      <c r="A595" s="12" t="str">
        <f t="shared" si="116"/>
        <v>РУ-1-14</v>
      </c>
      <c r="B595" s="9" t="s">
        <v>291</v>
      </c>
      <c r="C595" s="10" t="s">
        <v>224</v>
      </c>
      <c r="D595" s="9" t="s">
        <v>225</v>
      </c>
      <c r="E595" s="12">
        <v>2</v>
      </c>
      <c r="F595" s="9" t="s">
        <v>206</v>
      </c>
      <c r="G595" s="12" t="str">
        <f t="shared" si="117"/>
        <v>Блок14</v>
      </c>
    </row>
    <row r="596" spans="1:7" ht="27" customHeight="1" x14ac:dyDescent="0.25">
      <c r="A596" s="12" t="str">
        <f t="shared" si="116"/>
        <v>РУ-1-14</v>
      </c>
      <c r="B596" s="9" t="s">
        <v>291</v>
      </c>
      <c r="C596" s="10" t="s">
        <v>226</v>
      </c>
      <c r="D596" s="9" t="s">
        <v>227</v>
      </c>
      <c r="E596" s="12">
        <v>1</v>
      </c>
      <c r="F596" s="9" t="s">
        <v>206</v>
      </c>
      <c r="G596" s="12" t="str">
        <f t="shared" si="117"/>
        <v>Блок14</v>
      </c>
    </row>
    <row r="597" spans="1:7" ht="27" customHeight="1" x14ac:dyDescent="0.25">
      <c r="A597" s="12" t="str">
        <f t="shared" si="116"/>
        <v>РУ-1-14</v>
      </c>
      <c r="B597" s="9" t="s">
        <v>290</v>
      </c>
      <c r="C597" s="10" t="s">
        <v>216</v>
      </c>
      <c r="D597" s="9" t="s">
        <v>217</v>
      </c>
      <c r="E597" s="12">
        <v>2</v>
      </c>
      <c r="F597" s="9" t="s">
        <v>206</v>
      </c>
      <c r="G597" s="12" t="str">
        <f t="shared" si="117"/>
        <v>Блок14</v>
      </c>
    </row>
    <row r="598" spans="1:7" ht="27" customHeight="1" x14ac:dyDescent="0.25">
      <c r="A598" s="9" t="str">
        <f t="shared" si="116"/>
        <v>РУ-1-14</v>
      </c>
      <c r="B598" s="9" t="s">
        <v>18</v>
      </c>
      <c r="C598" s="10" t="s">
        <v>18</v>
      </c>
      <c r="D598" s="9" t="s">
        <v>18</v>
      </c>
      <c r="E598" s="9">
        <v>1</v>
      </c>
      <c r="F598" s="9" t="s">
        <v>18</v>
      </c>
      <c r="G598" s="12" t="str">
        <f t="shared" si="117"/>
        <v>Блок14</v>
      </c>
    </row>
    <row r="599" spans="1:7" ht="27" customHeight="1" x14ac:dyDescent="0.25">
      <c r="A599" s="9" t="str">
        <f t="shared" si="116"/>
        <v>РУ-1-14</v>
      </c>
      <c r="B599" s="9" t="s">
        <v>19</v>
      </c>
      <c r="C599" s="10" t="s">
        <v>19</v>
      </c>
      <c r="D599" s="9" t="s">
        <v>19</v>
      </c>
      <c r="E599" s="9" t="e">
        <f>60*#REF!</f>
        <v>#REF!</v>
      </c>
      <c r="F599" s="9" t="s">
        <v>19</v>
      </c>
      <c r="G599" s="12" t="str">
        <f t="shared" si="117"/>
        <v>Блок14</v>
      </c>
    </row>
    <row r="600" spans="1:7" ht="27" customHeight="1" x14ac:dyDescent="0.25">
      <c r="A600" s="14" t="str">
        <f t="shared" si="116"/>
        <v>РУ-1-14</v>
      </c>
      <c r="B600" s="14"/>
      <c r="C600" s="14"/>
      <c r="D600" s="15"/>
      <c r="E600" s="14"/>
      <c r="F600" s="14"/>
      <c r="G600" s="12" t="str">
        <f t="shared" si="117"/>
        <v>Блок14</v>
      </c>
    </row>
    <row r="601" spans="1:7" ht="27" customHeight="1" x14ac:dyDescent="0.25">
      <c r="A601" s="7" t="str">
        <f>D601</f>
        <v>РУ-2-14</v>
      </c>
      <c r="B601" s="4"/>
      <c r="C601" s="5"/>
      <c r="D601" s="4" t="s">
        <v>108</v>
      </c>
      <c r="E601" s="7">
        <v>1</v>
      </c>
      <c r="F601" s="4" t="s">
        <v>9</v>
      </c>
      <c r="G601" s="7" t="s">
        <v>106</v>
      </c>
    </row>
    <row r="602" spans="1:7" ht="27" customHeight="1" x14ac:dyDescent="0.25">
      <c r="A602" s="12" t="str">
        <f t="shared" ref="A602:A608" si="118">A601</f>
        <v>РУ-2-14</v>
      </c>
      <c r="B602" s="9" t="s">
        <v>10</v>
      </c>
      <c r="C602" s="10" t="s">
        <v>169</v>
      </c>
      <c r="D602" s="9" t="s">
        <v>170</v>
      </c>
      <c r="E602" s="12">
        <v>1</v>
      </c>
      <c r="F602" s="9" t="s">
        <v>12</v>
      </c>
      <c r="G602" s="12" t="str">
        <f t="shared" ref="G602:G608" si="119">G601</f>
        <v>Блок14</v>
      </c>
    </row>
    <row r="603" spans="1:7" ht="27" customHeight="1" x14ac:dyDescent="0.25">
      <c r="A603" s="12" t="str">
        <f t="shared" si="118"/>
        <v>РУ-2-14</v>
      </c>
      <c r="B603" s="9" t="s">
        <v>291</v>
      </c>
      <c r="C603" s="10" t="s">
        <v>226</v>
      </c>
      <c r="D603" s="9" t="s">
        <v>227</v>
      </c>
      <c r="E603" s="12">
        <v>1</v>
      </c>
      <c r="F603" s="9" t="s">
        <v>206</v>
      </c>
      <c r="G603" s="12" t="str">
        <f t="shared" si="119"/>
        <v>Блок14</v>
      </c>
    </row>
    <row r="604" spans="1:7" ht="27" customHeight="1" x14ac:dyDescent="0.25">
      <c r="A604" s="12" t="str">
        <f t="shared" si="118"/>
        <v>РУ-2-14</v>
      </c>
      <c r="B604" s="9" t="s">
        <v>291</v>
      </c>
      <c r="C604" s="10" t="s">
        <v>210</v>
      </c>
      <c r="D604" s="9" t="s">
        <v>211</v>
      </c>
      <c r="E604" s="12">
        <v>3</v>
      </c>
      <c r="F604" s="9" t="s">
        <v>206</v>
      </c>
      <c r="G604" s="12" t="str">
        <f t="shared" si="119"/>
        <v>Блок14</v>
      </c>
    </row>
    <row r="605" spans="1:7" ht="27" customHeight="1" x14ac:dyDescent="0.25">
      <c r="A605" s="12" t="str">
        <f t="shared" si="118"/>
        <v>РУ-2-14</v>
      </c>
      <c r="B605" s="9" t="s">
        <v>291</v>
      </c>
      <c r="C605" s="10" t="s">
        <v>222</v>
      </c>
      <c r="D605" s="9" t="s">
        <v>223</v>
      </c>
      <c r="E605" s="12">
        <v>1</v>
      </c>
      <c r="F605" s="9" t="s">
        <v>206</v>
      </c>
      <c r="G605" s="12" t="str">
        <f t="shared" si="119"/>
        <v>Блок14</v>
      </c>
    </row>
    <row r="606" spans="1:7" ht="27" customHeight="1" x14ac:dyDescent="0.25">
      <c r="A606" s="9" t="str">
        <f t="shared" si="118"/>
        <v>РУ-2-14</v>
      </c>
      <c r="B606" s="9" t="s">
        <v>18</v>
      </c>
      <c r="C606" s="10" t="s">
        <v>18</v>
      </c>
      <c r="D606" s="9" t="s">
        <v>18</v>
      </c>
      <c r="E606" s="9">
        <v>1</v>
      </c>
      <c r="F606" s="9" t="s">
        <v>18</v>
      </c>
      <c r="G606" s="12" t="str">
        <f t="shared" si="119"/>
        <v>Блок14</v>
      </c>
    </row>
    <row r="607" spans="1:7" ht="27" customHeight="1" x14ac:dyDescent="0.25">
      <c r="A607" s="9" t="str">
        <f t="shared" si="118"/>
        <v>РУ-2-14</v>
      </c>
      <c r="B607" s="9" t="s">
        <v>19</v>
      </c>
      <c r="C607" s="10" t="s">
        <v>19</v>
      </c>
      <c r="D607" s="9" t="s">
        <v>19</v>
      </c>
      <c r="E607" s="9" t="e">
        <f>60*#REF!</f>
        <v>#REF!</v>
      </c>
      <c r="F607" s="9" t="s">
        <v>19</v>
      </c>
      <c r="G607" s="12" t="str">
        <f t="shared" si="119"/>
        <v>Блок14</v>
      </c>
    </row>
    <row r="608" spans="1:7" ht="27" customHeight="1" x14ac:dyDescent="0.25">
      <c r="A608" s="14" t="str">
        <f t="shared" si="118"/>
        <v>РУ-2-14</v>
      </c>
      <c r="B608" s="14"/>
      <c r="C608" s="14"/>
      <c r="D608" s="15"/>
      <c r="E608" s="14"/>
      <c r="F608" s="14"/>
      <c r="G608" s="12" t="str">
        <f t="shared" si="119"/>
        <v>Блок14</v>
      </c>
    </row>
    <row r="609" spans="1:7" ht="27" customHeight="1" x14ac:dyDescent="0.25">
      <c r="A609" s="7" t="str">
        <f>D609</f>
        <v>ЩУР.МОП1-14</v>
      </c>
      <c r="B609" s="4"/>
      <c r="C609" s="5"/>
      <c r="D609" s="4" t="s">
        <v>109</v>
      </c>
      <c r="E609" s="7">
        <v>1</v>
      </c>
      <c r="F609" s="4" t="s">
        <v>9</v>
      </c>
      <c r="G609" s="7" t="s">
        <v>106</v>
      </c>
    </row>
    <row r="610" spans="1:7" ht="27" customHeight="1" x14ac:dyDescent="0.25">
      <c r="A610" s="12" t="str">
        <f t="shared" ref="A610:A617" si="120">A609</f>
        <v>ЩУР.МОП1-14</v>
      </c>
      <c r="B610" s="9" t="s">
        <v>10</v>
      </c>
      <c r="C610" s="10" t="s">
        <v>39</v>
      </c>
      <c r="D610" s="9" t="s">
        <v>40</v>
      </c>
      <c r="E610" s="12">
        <v>1</v>
      </c>
      <c r="F610" s="9" t="s">
        <v>12</v>
      </c>
      <c r="G610" s="12" t="str">
        <f t="shared" ref="G610:G617" si="121">G609</f>
        <v>Блок14</v>
      </c>
    </row>
    <row r="611" spans="1:7" ht="27" customHeight="1" x14ac:dyDescent="0.25">
      <c r="A611" s="12" t="str">
        <f t="shared" si="120"/>
        <v>ЩУР.МОП1-14</v>
      </c>
      <c r="B611" s="9" t="s">
        <v>290</v>
      </c>
      <c r="C611" s="10" t="s">
        <v>194</v>
      </c>
      <c r="D611" s="9" t="s">
        <v>195</v>
      </c>
      <c r="E611" s="12">
        <v>1</v>
      </c>
      <c r="F611" s="9" t="s">
        <v>206</v>
      </c>
      <c r="G611" s="12" t="str">
        <f t="shared" si="121"/>
        <v>Блок14</v>
      </c>
    </row>
    <row r="612" spans="1:7" ht="27" customHeight="1" x14ac:dyDescent="0.25">
      <c r="A612" s="12" t="str">
        <f t="shared" si="120"/>
        <v>ЩУР.МОП1-14</v>
      </c>
      <c r="B612" s="9" t="s">
        <v>290</v>
      </c>
      <c r="C612" s="10" t="s">
        <v>198</v>
      </c>
      <c r="D612" s="9" t="s">
        <v>199</v>
      </c>
      <c r="E612" s="12">
        <v>2</v>
      </c>
      <c r="F612" s="9" t="s">
        <v>206</v>
      </c>
      <c r="G612" s="12" t="str">
        <f t="shared" si="121"/>
        <v>Блок14</v>
      </c>
    </row>
    <row r="613" spans="1:7" ht="27" customHeight="1" x14ac:dyDescent="0.25">
      <c r="A613" s="12" t="str">
        <f t="shared" si="120"/>
        <v>ЩУР.МОП1-14</v>
      </c>
      <c r="B613" s="9" t="s">
        <v>290</v>
      </c>
      <c r="C613" s="10" t="s">
        <v>192</v>
      </c>
      <c r="D613" s="9" t="s">
        <v>193</v>
      </c>
      <c r="E613" s="12">
        <v>2</v>
      </c>
      <c r="F613" s="9" t="s">
        <v>206</v>
      </c>
      <c r="G613" s="12" t="str">
        <f t="shared" si="121"/>
        <v>Блок14</v>
      </c>
    </row>
    <row r="614" spans="1:7" ht="27" customHeight="1" x14ac:dyDescent="0.25">
      <c r="A614" s="12" t="str">
        <f t="shared" si="120"/>
        <v>ЩУР.МОП1-14</v>
      </c>
      <c r="B614" s="9" t="s">
        <v>14</v>
      </c>
      <c r="C614" s="10" t="s">
        <v>296</v>
      </c>
      <c r="D614" s="9" t="s">
        <v>297</v>
      </c>
      <c r="E614" s="12">
        <v>1</v>
      </c>
      <c r="F614" s="9" t="s">
        <v>15</v>
      </c>
      <c r="G614" s="12" t="str">
        <f t="shared" si="121"/>
        <v>Блок14</v>
      </c>
    </row>
    <row r="615" spans="1:7" ht="27" customHeight="1" x14ac:dyDescent="0.25">
      <c r="A615" s="9" t="str">
        <f t="shared" si="120"/>
        <v>ЩУР.МОП1-14</v>
      </c>
      <c r="B615" s="9" t="s">
        <v>18</v>
      </c>
      <c r="C615" s="10" t="s">
        <v>18</v>
      </c>
      <c r="D615" s="9" t="s">
        <v>18</v>
      </c>
      <c r="E615" s="9">
        <v>1</v>
      </c>
      <c r="F615" s="9" t="s">
        <v>18</v>
      </c>
      <c r="G615" s="12" t="str">
        <f t="shared" si="121"/>
        <v>Блок14</v>
      </c>
    </row>
    <row r="616" spans="1:7" ht="27" customHeight="1" x14ac:dyDescent="0.25">
      <c r="A616" s="9" t="str">
        <f t="shared" si="120"/>
        <v>ЩУР.МОП1-14</v>
      </c>
      <c r="B616" s="9" t="s">
        <v>19</v>
      </c>
      <c r="C616" s="10" t="s">
        <v>19</v>
      </c>
      <c r="D616" s="9" t="s">
        <v>19</v>
      </c>
      <c r="E616" s="9" t="e">
        <f>60*#REF!</f>
        <v>#REF!</v>
      </c>
      <c r="F616" s="9" t="s">
        <v>19</v>
      </c>
      <c r="G616" s="12" t="str">
        <f t="shared" si="121"/>
        <v>Блок14</v>
      </c>
    </row>
    <row r="617" spans="1:7" ht="27" customHeight="1" x14ac:dyDescent="0.25">
      <c r="A617" s="14" t="str">
        <f t="shared" si="120"/>
        <v>ЩУР.МОП1-14</v>
      </c>
      <c r="B617" s="14"/>
      <c r="C617" s="14"/>
      <c r="D617" s="15"/>
      <c r="E617" s="14"/>
      <c r="F617" s="14"/>
      <c r="G617" s="12" t="str">
        <f t="shared" si="121"/>
        <v>Блок14</v>
      </c>
    </row>
    <row r="618" spans="1:7" ht="27" customHeight="1" x14ac:dyDescent="0.25">
      <c r="A618" s="7" t="str">
        <f>D618</f>
        <v>РЩ1-14 (АВР-Б-40-2-1)</v>
      </c>
      <c r="B618" s="4"/>
      <c r="C618" s="5"/>
      <c r="D618" s="4" t="s">
        <v>146</v>
      </c>
      <c r="E618" s="7">
        <v>1</v>
      </c>
      <c r="F618" s="4" t="s">
        <v>9</v>
      </c>
      <c r="G618" s="7" t="s">
        <v>106</v>
      </c>
    </row>
    <row r="619" spans="1:7" ht="27" customHeight="1" x14ac:dyDescent="0.25">
      <c r="A619" s="12" t="str">
        <f t="shared" ref="A619:A630" si="122">A618</f>
        <v>РЩ1-14 (АВР-Б-40-2-1)</v>
      </c>
      <c r="B619" s="9" t="s">
        <v>10</v>
      </c>
      <c r="C619" s="10" t="s">
        <v>167</v>
      </c>
      <c r="D619" s="9" t="s">
        <v>168</v>
      </c>
      <c r="E619" s="12">
        <v>1</v>
      </c>
      <c r="F619" s="9" t="s">
        <v>12</v>
      </c>
      <c r="G619" s="12" t="str">
        <f t="shared" ref="G619:G630" si="123">G618</f>
        <v>Блок14</v>
      </c>
    </row>
    <row r="620" spans="1:7" ht="27" customHeight="1" x14ac:dyDescent="0.25">
      <c r="A620" s="12" t="str">
        <f t="shared" si="122"/>
        <v>РЩ1-14 (АВР-Б-40-2-1)</v>
      </c>
      <c r="B620" s="9" t="s">
        <v>43</v>
      </c>
      <c r="C620" s="10" t="s">
        <v>161</v>
      </c>
      <c r="D620" s="9" t="s">
        <v>162</v>
      </c>
      <c r="E620" s="12">
        <v>1</v>
      </c>
      <c r="F620" s="9" t="s">
        <v>13</v>
      </c>
      <c r="G620" s="12" t="str">
        <f t="shared" si="123"/>
        <v>Блок14</v>
      </c>
    </row>
    <row r="621" spans="1:7" ht="27" customHeight="1" x14ac:dyDescent="0.25">
      <c r="A621" s="12" t="str">
        <f t="shared" si="122"/>
        <v>РЩ1-14 (АВР-Б-40-2-1)</v>
      </c>
      <c r="B621" s="9" t="s">
        <v>290</v>
      </c>
      <c r="C621" s="10" t="s">
        <v>212</v>
      </c>
      <c r="D621" s="9" t="s">
        <v>213</v>
      </c>
      <c r="E621" s="12">
        <v>2</v>
      </c>
      <c r="F621" s="9" t="s">
        <v>206</v>
      </c>
      <c r="G621" s="12" t="str">
        <f t="shared" si="123"/>
        <v>Блок14</v>
      </c>
    </row>
    <row r="622" spans="1:7" ht="27" customHeight="1" x14ac:dyDescent="0.25">
      <c r="A622" s="12" t="str">
        <f t="shared" si="122"/>
        <v>РЩ1-14 (АВР-Б-40-2-1)</v>
      </c>
      <c r="B622" s="9" t="s">
        <v>290</v>
      </c>
      <c r="C622" s="10" t="s">
        <v>230</v>
      </c>
      <c r="D622" s="9" t="s">
        <v>231</v>
      </c>
      <c r="E622" s="12">
        <v>2</v>
      </c>
      <c r="F622" s="9" t="s">
        <v>206</v>
      </c>
      <c r="G622" s="12" t="str">
        <f t="shared" si="123"/>
        <v>Блок14</v>
      </c>
    </row>
    <row r="623" spans="1:7" ht="27" customHeight="1" x14ac:dyDescent="0.25">
      <c r="A623" s="12" t="str">
        <f t="shared" si="122"/>
        <v>РЩ1-14 (АВР-Б-40-2-1)</v>
      </c>
      <c r="B623" s="9" t="s">
        <v>291</v>
      </c>
      <c r="C623" s="10" t="s">
        <v>202</v>
      </c>
      <c r="D623" s="9" t="s">
        <v>203</v>
      </c>
      <c r="E623" s="12">
        <v>2</v>
      </c>
      <c r="F623" s="9" t="s">
        <v>206</v>
      </c>
      <c r="G623" s="12" t="str">
        <f t="shared" si="123"/>
        <v>Блок14</v>
      </c>
    </row>
    <row r="624" spans="1:7" ht="27" customHeight="1" x14ac:dyDescent="0.25">
      <c r="A624" s="12" t="str">
        <f t="shared" si="122"/>
        <v>РЩ1-14 (АВР-Б-40-2-1)</v>
      </c>
      <c r="B624" s="9" t="s">
        <v>17</v>
      </c>
      <c r="C624" s="10" t="s">
        <v>232</v>
      </c>
      <c r="D624" s="9" t="s">
        <v>233</v>
      </c>
      <c r="E624" s="12">
        <v>1</v>
      </c>
      <c r="F624" s="9" t="s">
        <v>13</v>
      </c>
      <c r="G624" s="12" t="str">
        <f t="shared" si="123"/>
        <v>Блок14</v>
      </c>
    </row>
    <row r="625" spans="1:7" ht="27" customHeight="1" x14ac:dyDescent="0.25">
      <c r="A625" s="12" t="str">
        <f t="shared" si="122"/>
        <v>РЩ1-14 (АВР-Б-40-2-1)</v>
      </c>
      <c r="B625" s="9" t="s">
        <v>290</v>
      </c>
      <c r="C625" s="10" t="s">
        <v>204</v>
      </c>
      <c r="D625" s="9" t="s">
        <v>205</v>
      </c>
      <c r="E625" s="12">
        <v>1</v>
      </c>
      <c r="F625" s="9" t="s">
        <v>206</v>
      </c>
      <c r="G625" s="12" t="str">
        <f t="shared" si="123"/>
        <v>Блок14</v>
      </c>
    </row>
    <row r="626" spans="1:7" ht="27" customHeight="1" x14ac:dyDescent="0.25">
      <c r="A626" s="12" t="str">
        <f t="shared" si="122"/>
        <v>РЩ1-14 (АВР-Б-40-2-1)</v>
      </c>
      <c r="B626" s="9" t="s">
        <v>14</v>
      </c>
      <c r="C626" s="10" t="s">
        <v>296</v>
      </c>
      <c r="D626" s="9" t="s">
        <v>297</v>
      </c>
      <c r="E626" s="12">
        <v>1</v>
      </c>
      <c r="F626" s="9" t="s">
        <v>15</v>
      </c>
      <c r="G626" s="12" t="str">
        <f t="shared" si="123"/>
        <v>Блок14</v>
      </c>
    </row>
    <row r="627" spans="1:7" ht="27" customHeight="1" x14ac:dyDescent="0.25">
      <c r="A627" s="12" t="str">
        <f t="shared" si="122"/>
        <v>РЩ1-14 (АВР-Б-40-2-1)</v>
      </c>
      <c r="B627" s="9" t="s">
        <v>29</v>
      </c>
      <c r="C627" s="10"/>
      <c r="D627" s="9" t="s">
        <v>30</v>
      </c>
      <c r="E627" s="12">
        <v>6</v>
      </c>
      <c r="F627" s="9" t="s">
        <v>24</v>
      </c>
      <c r="G627" s="12" t="str">
        <f t="shared" si="123"/>
        <v>Блок14</v>
      </c>
    </row>
    <row r="628" spans="1:7" ht="27" customHeight="1" x14ac:dyDescent="0.25">
      <c r="A628" s="9" t="str">
        <f t="shared" si="122"/>
        <v>РЩ1-14 (АВР-Б-40-2-1)</v>
      </c>
      <c r="B628" s="9" t="s">
        <v>18</v>
      </c>
      <c r="C628" s="10" t="s">
        <v>18</v>
      </c>
      <c r="D628" s="9" t="s">
        <v>18</v>
      </c>
      <c r="E628" s="9">
        <v>1</v>
      </c>
      <c r="F628" s="9" t="s">
        <v>18</v>
      </c>
      <c r="G628" s="12" t="str">
        <f t="shared" si="123"/>
        <v>Блок14</v>
      </c>
    </row>
    <row r="629" spans="1:7" ht="27" customHeight="1" x14ac:dyDescent="0.25">
      <c r="A629" s="9" t="str">
        <f t="shared" si="122"/>
        <v>РЩ1-14 (АВР-Б-40-2-1)</v>
      </c>
      <c r="B629" s="9" t="s">
        <v>19</v>
      </c>
      <c r="C629" s="10" t="s">
        <v>19</v>
      </c>
      <c r="D629" s="9" t="s">
        <v>19</v>
      </c>
      <c r="E629" s="9" t="e">
        <f>60*#REF!</f>
        <v>#REF!</v>
      </c>
      <c r="F629" s="9" t="s">
        <v>19</v>
      </c>
      <c r="G629" s="12" t="str">
        <f t="shared" si="123"/>
        <v>Блок14</v>
      </c>
    </row>
    <row r="630" spans="1:7" ht="27" customHeight="1" x14ac:dyDescent="0.25">
      <c r="A630" s="14" t="str">
        <f t="shared" si="122"/>
        <v>РЩ1-14 (АВР-Б-40-2-1)</v>
      </c>
      <c r="B630" s="14"/>
      <c r="C630" s="14"/>
      <c r="D630" s="15"/>
      <c r="E630" s="14"/>
      <c r="F630" s="14"/>
      <c r="G630" s="12" t="str">
        <f t="shared" si="123"/>
        <v>Блок14</v>
      </c>
    </row>
    <row r="631" spans="1:7" ht="27" customHeight="1" x14ac:dyDescent="0.25">
      <c r="A631" s="7" t="str">
        <f>D631</f>
        <v>ЩРп c</v>
      </c>
      <c r="B631" s="4"/>
      <c r="C631" s="5"/>
      <c r="D631" s="4" t="s">
        <v>151</v>
      </c>
      <c r="E631" s="7">
        <v>1</v>
      </c>
      <c r="F631" s="4" t="s">
        <v>9</v>
      </c>
      <c r="G631" s="7" t="s">
        <v>110</v>
      </c>
    </row>
    <row r="632" spans="1:7" ht="27" customHeight="1" x14ac:dyDescent="0.25">
      <c r="A632" s="12" t="str">
        <f t="shared" ref="A632:A658" si="124">A631</f>
        <v>ЩРп c</v>
      </c>
      <c r="B632" s="9" t="s">
        <v>10</v>
      </c>
      <c r="C632" s="10" t="s">
        <v>244</v>
      </c>
      <c r="D632" s="9" t="s">
        <v>245</v>
      </c>
      <c r="E632" s="12">
        <v>1</v>
      </c>
      <c r="F632" s="9" t="s">
        <v>12</v>
      </c>
      <c r="G632" s="12" t="str">
        <f t="shared" ref="G632:G658" si="125">G631</f>
        <v>Блок15</v>
      </c>
    </row>
    <row r="633" spans="1:7" ht="27" customHeight="1" x14ac:dyDescent="0.25">
      <c r="A633" s="12" t="str">
        <f>A631</f>
        <v>ЩРп c</v>
      </c>
      <c r="B633" s="9" t="s">
        <v>246</v>
      </c>
      <c r="C633" s="10" t="s">
        <v>247</v>
      </c>
      <c r="D633" s="9" t="s">
        <v>248</v>
      </c>
      <c r="E633" s="12">
        <v>1</v>
      </c>
      <c r="F633" s="9" t="s">
        <v>24</v>
      </c>
      <c r="G633" s="12" t="s">
        <v>110</v>
      </c>
    </row>
    <row r="634" spans="1:7" ht="27" customHeight="1" x14ac:dyDescent="0.25">
      <c r="A634" s="12" t="str">
        <f>A632</f>
        <v>ЩРп c</v>
      </c>
      <c r="B634" s="9" t="s">
        <v>249</v>
      </c>
      <c r="C634" s="10" t="s">
        <v>250</v>
      </c>
      <c r="D634" s="9" t="s">
        <v>251</v>
      </c>
      <c r="E634" s="12">
        <v>1</v>
      </c>
      <c r="F634" s="9" t="s">
        <v>24</v>
      </c>
      <c r="G634" s="12" t="s">
        <v>110</v>
      </c>
    </row>
    <row r="635" spans="1:7" ht="27" customHeight="1" x14ac:dyDescent="0.25">
      <c r="A635" s="12" t="str">
        <f>A632</f>
        <v>ЩРп c</v>
      </c>
      <c r="B635" s="9" t="s">
        <v>43</v>
      </c>
      <c r="C635" s="10" t="s">
        <v>163</v>
      </c>
      <c r="D635" s="9" t="s">
        <v>164</v>
      </c>
      <c r="E635" s="12">
        <v>1</v>
      </c>
      <c r="F635" s="9" t="s">
        <v>13</v>
      </c>
      <c r="G635" s="12" t="s">
        <v>110</v>
      </c>
    </row>
    <row r="636" spans="1:7" ht="27" customHeight="1" x14ac:dyDescent="0.25">
      <c r="A636" s="12" t="str">
        <f t="shared" si="124"/>
        <v>ЩРп c</v>
      </c>
      <c r="B636" s="9" t="s">
        <v>48</v>
      </c>
      <c r="C636" s="9">
        <v>593071</v>
      </c>
      <c r="D636" s="9" t="s">
        <v>49</v>
      </c>
      <c r="E636" s="12">
        <v>6</v>
      </c>
      <c r="F636" s="9" t="s">
        <v>13</v>
      </c>
      <c r="G636" s="12" t="s">
        <v>110</v>
      </c>
    </row>
    <row r="637" spans="1:7" ht="27" customHeight="1" x14ac:dyDescent="0.25">
      <c r="A637" s="12" t="str">
        <f t="shared" si="124"/>
        <v>ЩРп c</v>
      </c>
      <c r="B637" s="9" t="s">
        <v>48</v>
      </c>
      <c r="C637" s="9">
        <v>593150</v>
      </c>
      <c r="D637" s="9" t="s">
        <v>50</v>
      </c>
      <c r="E637" s="12">
        <v>3</v>
      </c>
      <c r="F637" s="9" t="s">
        <v>13</v>
      </c>
      <c r="G637" s="12" t="s">
        <v>110</v>
      </c>
    </row>
    <row r="638" spans="1:7" ht="27" customHeight="1" x14ac:dyDescent="0.25">
      <c r="A638" s="12" t="str">
        <f>A640</f>
        <v>ЩРп c</v>
      </c>
      <c r="B638" s="9" t="s">
        <v>14</v>
      </c>
      <c r="C638" s="10" t="s">
        <v>296</v>
      </c>
      <c r="D638" s="9" t="s">
        <v>297</v>
      </c>
      <c r="E638" s="12">
        <v>1</v>
      </c>
      <c r="F638" s="9" t="s">
        <v>15</v>
      </c>
      <c r="G638" s="12" t="str">
        <f>G640</f>
        <v>Блок15</v>
      </c>
    </row>
    <row r="639" spans="1:7" ht="27" customHeight="1" x14ac:dyDescent="0.25">
      <c r="A639" s="12" t="str">
        <f>A638</f>
        <v>ЩРп c</v>
      </c>
      <c r="B639" s="9" t="s">
        <v>291</v>
      </c>
      <c r="C639" s="10" t="s">
        <v>218</v>
      </c>
      <c r="D639" s="9" t="s">
        <v>219</v>
      </c>
      <c r="E639" s="12">
        <v>2</v>
      </c>
      <c r="F639" s="9" t="s">
        <v>206</v>
      </c>
      <c r="G639" s="12" t="str">
        <f>G640</f>
        <v>Блок15</v>
      </c>
    </row>
    <row r="640" spans="1:7" ht="27" customHeight="1" x14ac:dyDescent="0.25">
      <c r="A640" s="12" t="str">
        <f>A632</f>
        <v>ЩРп c</v>
      </c>
      <c r="B640" s="9" t="s">
        <v>111</v>
      </c>
      <c r="C640" s="10" t="s">
        <v>242</v>
      </c>
      <c r="D640" s="9" t="s">
        <v>243</v>
      </c>
      <c r="E640" s="12">
        <v>1</v>
      </c>
      <c r="F640" s="9" t="s">
        <v>13</v>
      </c>
      <c r="G640" s="12" t="str">
        <f>G632</f>
        <v>Блок15</v>
      </c>
    </row>
    <row r="641" spans="1:7" ht="27" customHeight="1" x14ac:dyDescent="0.25">
      <c r="A641" s="12" t="str">
        <f>A639</f>
        <v>ЩРп c</v>
      </c>
      <c r="B641" s="9" t="s">
        <v>111</v>
      </c>
      <c r="C641" s="10" t="s">
        <v>234</v>
      </c>
      <c r="D641" s="9" t="s">
        <v>235</v>
      </c>
      <c r="E641" s="12">
        <v>2</v>
      </c>
      <c r="F641" s="9" t="s">
        <v>13</v>
      </c>
      <c r="G641" s="12" t="str">
        <f>G639</f>
        <v>Блок15</v>
      </c>
    </row>
    <row r="642" spans="1:7" ht="27" customHeight="1" x14ac:dyDescent="0.25">
      <c r="A642" s="12" t="str">
        <f>A635</f>
        <v>ЩРп c</v>
      </c>
      <c r="B642" s="9" t="s">
        <v>253</v>
      </c>
      <c r="C642" s="10" t="s">
        <v>254</v>
      </c>
      <c r="D642" s="9" t="s">
        <v>255</v>
      </c>
      <c r="E642" s="12">
        <v>3</v>
      </c>
      <c r="F642" s="9" t="s">
        <v>13</v>
      </c>
      <c r="G642" s="12" t="str">
        <f>G635</f>
        <v>Блок15</v>
      </c>
    </row>
    <row r="643" spans="1:7" ht="27" customHeight="1" x14ac:dyDescent="0.25">
      <c r="A643" s="12" t="str">
        <f t="shared" ref="A643" si="126">A634</f>
        <v>ЩРп c</v>
      </c>
      <c r="B643" s="9" t="s">
        <v>252</v>
      </c>
      <c r="C643" s="10" t="s">
        <v>256</v>
      </c>
      <c r="D643" s="9" t="s">
        <v>257</v>
      </c>
      <c r="E643" s="12">
        <v>4</v>
      </c>
      <c r="F643" s="9" t="s">
        <v>206</v>
      </c>
      <c r="G643" s="12" t="str">
        <f t="shared" ref="G643" si="127">G634</f>
        <v>Блок15</v>
      </c>
    </row>
    <row r="644" spans="1:7" ht="27" customHeight="1" x14ac:dyDescent="0.25">
      <c r="A644" s="12" t="str">
        <f>A636</f>
        <v>ЩРп c</v>
      </c>
      <c r="B644" s="9" t="s">
        <v>253</v>
      </c>
      <c r="C644" s="10" t="s">
        <v>258</v>
      </c>
      <c r="D644" s="9" t="s">
        <v>259</v>
      </c>
      <c r="E644" s="12">
        <v>4</v>
      </c>
      <c r="F644" s="9" t="s">
        <v>206</v>
      </c>
      <c r="G644" s="12" t="str">
        <f>G636</f>
        <v>Блок15</v>
      </c>
    </row>
    <row r="645" spans="1:7" ht="27" customHeight="1" x14ac:dyDescent="0.25">
      <c r="A645" s="12" t="str">
        <f>A641</f>
        <v>ЩРп c</v>
      </c>
      <c r="B645" s="9" t="s">
        <v>17</v>
      </c>
      <c r="C645" s="10" t="s">
        <v>208</v>
      </c>
      <c r="D645" s="9" t="s">
        <v>209</v>
      </c>
      <c r="E645" s="12">
        <v>3</v>
      </c>
      <c r="F645" s="9" t="s">
        <v>206</v>
      </c>
      <c r="G645" s="12" t="str">
        <f>G641</f>
        <v>Блок15</v>
      </c>
    </row>
    <row r="646" spans="1:7" ht="27" customHeight="1" x14ac:dyDescent="0.25">
      <c r="A646" s="12" t="str">
        <f t="shared" si="124"/>
        <v>ЩРп c</v>
      </c>
      <c r="B646" s="9" t="s">
        <v>17</v>
      </c>
      <c r="C646" s="10" t="s">
        <v>232</v>
      </c>
      <c r="D646" s="9" t="s">
        <v>233</v>
      </c>
      <c r="E646" s="12">
        <v>1</v>
      </c>
      <c r="F646" s="9" t="s">
        <v>13</v>
      </c>
      <c r="G646" s="12" t="str">
        <f t="shared" si="125"/>
        <v>Блок15</v>
      </c>
    </row>
    <row r="647" spans="1:7" ht="27" customHeight="1" x14ac:dyDescent="0.25">
      <c r="A647" s="12" t="str">
        <f>A645</f>
        <v>ЩРп c</v>
      </c>
      <c r="B647" s="9" t="s">
        <v>290</v>
      </c>
      <c r="C647" s="10" t="s">
        <v>292</v>
      </c>
      <c r="D647" s="9" t="s">
        <v>293</v>
      </c>
      <c r="E647" s="12">
        <v>2</v>
      </c>
      <c r="F647" s="9" t="s">
        <v>206</v>
      </c>
      <c r="G647" s="12" t="str">
        <f>G645</f>
        <v>Блок15</v>
      </c>
    </row>
    <row r="648" spans="1:7" ht="27" customHeight="1" x14ac:dyDescent="0.25">
      <c r="A648" s="12" t="str">
        <f>A646</f>
        <v>ЩРп c</v>
      </c>
      <c r="B648" s="9" t="s">
        <v>290</v>
      </c>
      <c r="C648" s="10" t="s">
        <v>190</v>
      </c>
      <c r="D648" s="9" t="s">
        <v>191</v>
      </c>
      <c r="E648" s="12">
        <v>4</v>
      </c>
      <c r="F648" s="9" t="s">
        <v>206</v>
      </c>
      <c r="G648" s="12" t="str">
        <f>G646</f>
        <v>Блок15</v>
      </c>
    </row>
    <row r="649" spans="1:7" ht="27" customHeight="1" x14ac:dyDescent="0.25">
      <c r="A649" s="12" t="str">
        <f t="shared" si="124"/>
        <v>ЩРп c</v>
      </c>
      <c r="B649" s="9" t="s">
        <v>260</v>
      </c>
      <c r="C649" s="10" t="s">
        <v>261</v>
      </c>
      <c r="D649" s="9" t="s">
        <v>262</v>
      </c>
      <c r="E649" s="12">
        <v>2</v>
      </c>
      <c r="F649" s="9" t="s">
        <v>13</v>
      </c>
      <c r="G649" s="12" t="str">
        <f t="shared" si="125"/>
        <v>Блок15</v>
      </c>
    </row>
    <row r="650" spans="1:7" ht="27" customHeight="1" x14ac:dyDescent="0.25">
      <c r="A650" s="12" t="str">
        <f t="shared" si="124"/>
        <v>ЩРп c</v>
      </c>
      <c r="B650" s="9" t="s">
        <v>265</v>
      </c>
      <c r="C650" s="10" t="s">
        <v>263</v>
      </c>
      <c r="D650" s="9" t="s">
        <v>264</v>
      </c>
      <c r="E650" s="12">
        <v>2</v>
      </c>
      <c r="F650" s="9" t="s">
        <v>13</v>
      </c>
      <c r="G650" s="12" t="str">
        <f t="shared" si="125"/>
        <v>Блок15</v>
      </c>
    </row>
    <row r="651" spans="1:7" ht="27" customHeight="1" x14ac:dyDescent="0.25">
      <c r="A651" s="12" t="str">
        <f t="shared" si="124"/>
        <v>ЩРп c</v>
      </c>
      <c r="B651" s="9" t="s">
        <v>273</v>
      </c>
      <c r="C651" s="10" t="s">
        <v>274</v>
      </c>
      <c r="D651" s="9" t="s">
        <v>275</v>
      </c>
      <c r="E651" s="12">
        <v>2</v>
      </c>
      <c r="F651" s="9" t="s">
        <v>13</v>
      </c>
      <c r="G651" s="12" t="str">
        <f t="shared" si="125"/>
        <v>Блок15</v>
      </c>
    </row>
    <row r="652" spans="1:7" ht="27" customHeight="1" x14ac:dyDescent="0.25">
      <c r="A652" s="12" t="str">
        <f>A650</f>
        <v>ЩРп c</v>
      </c>
      <c r="B652" s="9" t="s">
        <v>266</v>
      </c>
      <c r="C652" s="10" t="s">
        <v>267</v>
      </c>
      <c r="D652" s="9" t="s">
        <v>268</v>
      </c>
      <c r="E652" s="12">
        <v>1</v>
      </c>
      <c r="F652" s="9" t="s">
        <v>13</v>
      </c>
      <c r="G652" s="12" t="str">
        <f>G650</f>
        <v>Блок15</v>
      </c>
    </row>
    <row r="653" spans="1:7" ht="27" customHeight="1" x14ac:dyDescent="0.25">
      <c r="A653" s="12" t="str">
        <f t="shared" si="124"/>
        <v>ЩРп c</v>
      </c>
      <c r="B653" s="9" t="s">
        <v>269</v>
      </c>
      <c r="C653" s="10"/>
      <c r="D653" s="9" t="s">
        <v>270</v>
      </c>
      <c r="E653" s="12">
        <v>2</v>
      </c>
      <c r="F653" s="9" t="s">
        <v>13</v>
      </c>
      <c r="G653" s="12" t="str">
        <f t="shared" si="125"/>
        <v>Блок15</v>
      </c>
    </row>
    <row r="654" spans="1:7" ht="27" customHeight="1" x14ac:dyDescent="0.25">
      <c r="A654" s="12" t="str">
        <f t="shared" si="124"/>
        <v>ЩРп c</v>
      </c>
      <c r="B654" s="9" t="s">
        <v>269</v>
      </c>
      <c r="C654" s="10"/>
      <c r="D654" s="9" t="s">
        <v>271</v>
      </c>
      <c r="E654" s="12">
        <v>4</v>
      </c>
      <c r="F654" s="9" t="s">
        <v>13</v>
      </c>
      <c r="G654" s="12" t="str">
        <f t="shared" si="125"/>
        <v>Блок15</v>
      </c>
    </row>
    <row r="655" spans="1:7" ht="27" customHeight="1" x14ac:dyDescent="0.25">
      <c r="A655" s="12" t="str">
        <f t="shared" si="124"/>
        <v>ЩРп c</v>
      </c>
      <c r="B655" s="9" t="s">
        <v>269</v>
      </c>
      <c r="C655" s="10"/>
      <c r="D655" s="9" t="s">
        <v>272</v>
      </c>
      <c r="E655" s="12">
        <v>3</v>
      </c>
      <c r="F655" s="9" t="s">
        <v>13</v>
      </c>
      <c r="G655" s="12" t="str">
        <f t="shared" si="125"/>
        <v>Блок15</v>
      </c>
    </row>
    <row r="656" spans="1:7" ht="27" customHeight="1" x14ac:dyDescent="0.25">
      <c r="A656" s="9" t="str">
        <f>A648</f>
        <v>ЩРп c</v>
      </c>
      <c r="B656" s="9" t="s">
        <v>18</v>
      </c>
      <c r="C656" s="10" t="s">
        <v>18</v>
      </c>
      <c r="D656" s="9" t="s">
        <v>18</v>
      </c>
      <c r="E656" s="9">
        <v>1</v>
      </c>
      <c r="F656" s="9" t="s">
        <v>18</v>
      </c>
      <c r="G656" s="12" t="str">
        <f>G648</f>
        <v>Блок15</v>
      </c>
    </row>
    <row r="657" spans="1:7" ht="27" customHeight="1" x14ac:dyDescent="0.25">
      <c r="A657" s="9" t="str">
        <f t="shared" si="124"/>
        <v>ЩРп c</v>
      </c>
      <c r="B657" s="9" t="s">
        <v>19</v>
      </c>
      <c r="C657" s="10" t="s">
        <v>19</v>
      </c>
      <c r="D657" s="9" t="s">
        <v>19</v>
      </c>
      <c r="E657" s="9" t="e">
        <f>60*#REF!</f>
        <v>#REF!</v>
      </c>
      <c r="F657" s="9" t="s">
        <v>19</v>
      </c>
      <c r="G657" s="12" t="str">
        <f t="shared" si="125"/>
        <v>Блок15</v>
      </c>
    </row>
    <row r="658" spans="1:7" ht="27" customHeight="1" x14ac:dyDescent="0.25">
      <c r="A658" s="14" t="str">
        <f t="shared" si="124"/>
        <v>ЩРп c</v>
      </c>
      <c r="B658" s="14"/>
      <c r="C658" s="14"/>
      <c r="D658" s="15"/>
      <c r="E658" s="14"/>
      <c r="F658" s="14"/>
      <c r="G658" s="12" t="str">
        <f t="shared" si="125"/>
        <v>Блок15</v>
      </c>
    </row>
    <row r="659" spans="1:7" ht="27" customHeight="1" x14ac:dyDescent="0.25">
      <c r="A659" s="7" t="str">
        <f>D659</f>
        <v>ЩР15</v>
      </c>
      <c r="B659" s="4"/>
      <c r="C659" s="5"/>
      <c r="D659" s="4" t="s">
        <v>117</v>
      </c>
      <c r="E659" s="7">
        <v>1</v>
      </c>
      <c r="F659" s="4" t="s">
        <v>9</v>
      </c>
      <c r="G659" s="7" t="s">
        <v>110</v>
      </c>
    </row>
    <row r="660" spans="1:7" ht="27" customHeight="1" x14ac:dyDescent="0.25">
      <c r="A660" s="12" t="str">
        <f t="shared" ref="A660:A688" si="128">A659</f>
        <v>ЩР15</v>
      </c>
      <c r="B660" s="9" t="s">
        <v>10</v>
      </c>
      <c r="C660" s="10" t="s">
        <v>244</v>
      </c>
      <c r="D660" s="9" t="s">
        <v>245</v>
      </c>
      <c r="E660" s="12">
        <v>1</v>
      </c>
      <c r="F660" s="9" t="s">
        <v>12</v>
      </c>
      <c r="G660" s="12" t="str">
        <f>G659</f>
        <v>Блок15</v>
      </c>
    </row>
    <row r="661" spans="1:7" ht="27" customHeight="1" x14ac:dyDescent="0.25">
      <c r="A661" s="12" t="str">
        <f>A659</f>
        <v>ЩР15</v>
      </c>
      <c r="B661" s="9" t="s">
        <v>246</v>
      </c>
      <c r="C661" s="10" t="s">
        <v>247</v>
      </c>
      <c r="D661" s="9" t="s">
        <v>248</v>
      </c>
      <c r="E661" s="12">
        <v>1</v>
      </c>
      <c r="F661" s="9" t="s">
        <v>24</v>
      </c>
      <c r="G661" s="12" t="s">
        <v>110</v>
      </c>
    </row>
    <row r="662" spans="1:7" ht="27" customHeight="1" x14ac:dyDescent="0.25">
      <c r="A662" s="12" t="str">
        <f>A660</f>
        <v>ЩР15</v>
      </c>
      <c r="B662" s="9" t="s">
        <v>249</v>
      </c>
      <c r="C662" s="10" t="s">
        <v>250</v>
      </c>
      <c r="D662" s="9" t="s">
        <v>251</v>
      </c>
      <c r="E662" s="12">
        <v>1</v>
      </c>
      <c r="F662" s="9" t="s">
        <v>24</v>
      </c>
      <c r="G662" s="12" t="s">
        <v>110</v>
      </c>
    </row>
    <row r="663" spans="1:7" ht="27" customHeight="1" x14ac:dyDescent="0.25">
      <c r="A663" s="12" t="str">
        <f>A660</f>
        <v>ЩР15</v>
      </c>
      <c r="B663" s="9" t="s">
        <v>14</v>
      </c>
      <c r="C663" s="10" t="s">
        <v>298</v>
      </c>
      <c r="D663" s="9" t="s">
        <v>299</v>
      </c>
      <c r="E663" s="12">
        <v>1</v>
      </c>
      <c r="F663" s="9" t="s">
        <v>15</v>
      </c>
      <c r="G663" s="12" t="str">
        <f t="shared" ref="G663" si="129">G660</f>
        <v>Блок15</v>
      </c>
    </row>
    <row r="664" spans="1:7" ht="27" customHeight="1" x14ac:dyDescent="0.25">
      <c r="A664" s="12" t="str">
        <f t="shared" si="128"/>
        <v>ЩР15</v>
      </c>
      <c r="B664" s="9" t="s">
        <v>43</v>
      </c>
      <c r="C664" s="10" t="s">
        <v>165</v>
      </c>
      <c r="D664" s="9" t="s">
        <v>166</v>
      </c>
      <c r="E664" s="12">
        <v>1</v>
      </c>
      <c r="F664" s="9" t="s">
        <v>13</v>
      </c>
      <c r="G664" s="12" t="s">
        <v>110</v>
      </c>
    </row>
    <row r="665" spans="1:7" ht="27" customHeight="1" x14ac:dyDescent="0.25">
      <c r="A665" s="12" t="str">
        <f t="shared" si="128"/>
        <v>ЩР15</v>
      </c>
      <c r="B665" s="9" t="s">
        <v>48</v>
      </c>
      <c r="C665" s="9">
        <v>593071</v>
      </c>
      <c r="D665" s="9" t="s">
        <v>49</v>
      </c>
      <c r="E665" s="12">
        <v>2</v>
      </c>
      <c r="F665" s="9" t="s">
        <v>13</v>
      </c>
      <c r="G665" s="12" t="s">
        <v>110</v>
      </c>
    </row>
    <row r="666" spans="1:7" ht="27" customHeight="1" x14ac:dyDescent="0.25">
      <c r="A666" s="12" t="str">
        <f t="shared" si="128"/>
        <v>ЩР15</v>
      </c>
      <c r="B666" s="9" t="s">
        <v>48</v>
      </c>
      <c r="C666" s="9">
        <v>593150</v>
      </c>
      <c r="D666" s="9" t="s">
        <v>50</v>
      </c>
      <c r="E666" s="12">
        <v>1</v>
      </c>
      <c r="F666" s="9" t="s">
        <v>13</v>
      </c>
      <c r="G666" s="12" t="s">
        <v>110</v>
      </c>
    </row>
    <row r="667" spans="1:7" ht="27" customHeight="1" x14ac:dyDescent="0.25">
      <c r="A667" s="12" t="str">
        <f t="shared" si="128"/>
        <v>ЩР15</v>
      </c>
      <c r="B667" s="9" t="s">
        <v>283</v>
      </c>
      <c r="C667" s="9" t="s">
        <v>284</v>
      </c>
      <c r="D667" s="9" t="s">
        <v>285</v>
      </c>
      <c r="E667" s="12">
        <v>1</v>
      </c>
      <c r="F667" s="9" t="s">
        <v>13</v>
      </c>
      <c r="G667" s="12" t="s">
        <v>110</v>
      </c>
    </row>
    <row r="668" spans="1:7" ht="27" customHeight="1" x14ac:dyDescent="0.25">
      <c r="A668" s="12" t="str">
        <f>A663</f>
        <v>ЩР15</v>
      </c>
      <c r="B668" s="9" t="s">
        <v>291</v>
      </c>
      <c r="C668" s="10" t="s">
        <v>222</v>
      </c>
      <c r="D668" s="9" t="s">
        <v>223</v>
      </c>
      <c r="E668" s="12">
        <v>2</v>
      </c>
      <c r="F668" s="9" t="s">
        <v>206</v>
      </c>
      <c r="G668" s="12" t="str">
        <f>G660</f>
        <v>Блок15</v>
      </c>
    </row>
    <row r="669" spans="1:7" ht="27" customHeight="1" x14ac:dyDescent="0.25">
      <c r="A669" s="12" t="str">
        <f t="shared" si="128"/>
        <v>ЩР15</v>
      </c>
      <c r="B669" s="9" t="s">
        <v>291</v>
      </c>
      <c r="C669" s="10" t="s">
        <v>220</v>
      </c>
      <c r="D669" s="9" t="s">
        <v>221</v>
      </c>
      <c r="E669" s="12">
        <v>2</v>
      </c>
      <c r="F669" s="9" t="s">
        <v>206</v>
      </c>
      <c r="G669" s="12" t="str">
        <f>G668</f>
        <v>Блок15</v>
      </c>
    </row>
    <row r="670" spans="1:7" ht="27" customHeight="1" x14ac:dyDescent="0.25">
      <c r="A670" s="12" t="str">
        <f>A668</f>
        <v>ЩР15</v>
      </c>
      <c r="B670" s="9" t="s">
        <v>290</v>
      </c>
      <c r="C670" s="10" t="s">
        <v>292</v>
      </c>
      <c r="D670" s="9" t="s">
        <v>293</v>
      </c>
      <c r="E670" s="12">
        <v>2</v>
      </c>
      <c r="F670" s="9" t="s">
        <v>206</v>
      </c>
      <c r="G670" s="12" t="str">
        <f>G668</f>
        <v>Блок15</v>
      </c>
    </row>
    <row r="671" spans="1:7" ht="27" customHeight="1" x14ac:dyDescent="0.25">
      <c r="A671" s="12" t="str">
        <f>A669</f>
        <v>ЩР15</v>
      </c>
      <c r="B671" s="9" t="s">
        <v>290</v>
      </c>
      <c r="C671" s="10">
        <v>296841</v>
      </c>
      <c r="D671" s="9" t="s">
        <v>121</v>
      </c>
      <c r="E671" s="12">
        <v>1</v>
      </c>
      <c r="F671" s="9" t="s">
        <v>27</v>
      </c>
      <c r="G671" s="12" t="str">
        <f>G669</f>
        <v>Блок15</v>
      </c>
    </row>
    <row r="672" spans="1:7" ht="27" customHeight="1" x14ac:dyDescent="0.25">
      <c r="A672" s="12" t="str">
        <f t="shared" si="128"/>
        <v>ЩР15</v>
      </c>
      <c r="B672" s="9" t="s">
        <v>290</v>
      </c>
      <c r="C672" s="10" t="s">
        <v>198</v>
      </c>
      <c r="D672" s="9" t="s">
        <v>199</v>
      </c>
      <c r="E672" s="12">
        <v>2</v>
      </c>
      <c r="F672" s="9" t="s">
        <v>206</v>
      </c>
      <c r="G672" s="12" t="str">
        <f>G671</f>
        <v>Блок15</v>
      </c>
    </row>
    <row r="673" spans="1:7" ht="27" customHeight="1" x14ac:dyDescent="0.25">
      <c r="A673" s="12" t="str">
        <f t="shared" si="128"/>
        <v>ЩР15</v>
      </c>
      <c r="B673" s="9" t="s">
        <v>290</v>
      </c>
      <c r="C673" s="10" t="s">
        <v>196</v>
      </c>
      <c r="D673" s="9" t="s">
        <v>197</v>
      </c>
      <c r="E673" s="12">
        <v>1</v>
      </c>
      <c r="F673" s="9" t="s">
        <v>206</v>
      </c>
      <c r="G673" s="12" t="str">
        <f>G671</f>
        <v>Блок15</v>
      </c>
    </row>
    <row r="674" spans="1:7" ht="27" customHeight="1" x14ac:dyDescent="0.25">
      <c r="A674" s="12" t="str">
        <f t="shared" si="128"/>
        <v>ЩР15</v>
      </c>
      <c r="B674" s="9" t="s">
        <v>290</v>
      </c>
      <c r="C674" s="10" t="s">
        <v>198</v>
      </c>
      <c r="D674" s="9" t="s">
        <v>199</v>
      </c>
      <c r="E674" s="12">
        <v>1</v>
      </c>
      <c r="F674" s="9" t="s">
        <v>206</v>
      </c>
      <c r="G674" s="12" t="str">
        <f>G673</f>
        <v>Блок15</v>
      </c>
    </row>
    <row r="675" spans="1:7" ht="27" customHeight="1" x14ac:dyDescent="0.25">
      <c r="A675" s="12" t="str">
        <f t="shared" si="128"/>
        <v>ЩР15</v>
      </c>
      <c r="B675" s="9" t="s">
        <v>290</v>
      </c>
      <c r="C675" s="10" t="s">
        <v>190</v>
      </c>
      <c r="D675" s="9" t="s">
        <v>191</v>
      </c>
      <c r="E675" s="12">
        <v>11</v>
      </c>
      <c r="F675" s="9" t="s">
        <v>206</v>
      </c>
      <c r="G675" s="12" t="str">
        <f>G674</f>
        <v>Блок15</v>
      </c>
    </row>
    <row r="676" spans="1:7" ht="27" customHeight="1" x14ac:dyDescent="0.25">
      <c r="A676" s="12" t="str">
        <f>A666</f>
        <v>ЩР15</v>
      </c>
      <c r="B676" s="9" t="s">
        <v>252</v>
      </c>
      <c r="C676" s="10" t="s">
        <v>286</v>
      </c>
      <c r="D676" s="9" t="s">
        <v>287</v>
      </c>
      <c r="E676" s="12">
        <v>1</v>
      </c>
      <c r="F676" s="9" t="s">
        <v>206</v>
      </c>
      <c r="G676" s="12" t="str">
        <f>G666</f>
        <v>Блок15</v>
      </c>
    </row>
    <row r="677" spans="1:7" ht="27" customHeight="1" x14ac:dyDescent="0.25">
      <c r="A677" s="12" t="str">
        <f>A669</f>
        <v>ЩР15</v>
      </c>
      <c r="B677" s="9" t="s">
        <v>252</v>
      </c>
      <c r="C677" s="10" t="s">
        <v>288</v>
      </c>
      <c r="D677" s="9" t="s">
        <v>289</v>
      </c>
      <c r="E677" s="12">
        <v>2</v>
      </c>
      <c r="F677" s="9" t="s">
        <v>206</v>
      </c>
      <c r="G677" s="12" t="str">
        <f>G669</f>
        <v>Блок15</v>
      </c>
    </row>
    <row r="678" spans="1:7" ht="27" customHeight="1" x14ac:dyDescent="0.25">
      <c r="A678" s="12" t="str">
        <f t="shared" ref="A678" si="130">A669</f>
        <v>ЩР15</v>
      </c>
      <c r="B678" s="9" t="s">
        <v>276</v>
      </c>
      <c r="C678" s="10" t="s">
        <v>300</v>
      </c>
      <c r="D678" s="9" t="s">
        <v>301</v>
      </c>
      <c r="E678" s="12">
        <v>1</v>
      </c>
      <c r="F678" s="9" t="s">
        <v>206</v>
      </c>
      <c r="G678" s="12" t="str">
        <f t="shared" ref="G678" si="131">G669</f>
        <v>Блок15</v>
      </c>
    </row>
    <row r="679" spans="1:7" ht="27" customHeight="1" x14ac:dyDescent="0.25">
      <c r="A679" s="12" t="str">
        <f>A671</f>
        <v>ЩР15</v>
      </c>
      <c r="B679" s="9" t="s">
        <v>276</v>
      </c>
      <c r="C679" s="10" t="s">
        <v>302</v>
      </c>
      <c r="D679" s="21" t="s">
        <v>303</v>
      </c>
      <c r="E679" s="12">
        <v>2</v>
      </c>
      <c r="F679" s="9" t="s">
        <v>206</v>
      </c>
      <c r="G679" s="12" t="str">
        <f>G671</f>
        <v>Блок15</v>
      </c>
    </row>
    <row r="680" spans="1:7" ht="27" customHeight="1" x14ac:dyDescent="0.25">
      <c r="A680" s="12" t="str">
        <f>A675</f>
        <v>ЩР15</v>
      </c>
      <c r="B680" s="9" t="s">
        <v>260</v>
      </c>
      <c r="C680" s="10" t="s">
        <v>261</v>
      </c>
      <c r="D680" s="9" t="s">
        <v>262</v>
      </c>
      <c r="E680" s="12">
        <v>3</v>
      </c>
      <c r="F680" s="9" t="s">
        <v>13</v>
      </c>
      <c r="G680" s="12" t="str">
        <f>G675</f>
        <v>Блок15</v>
      </c>
    </row>
    <row r="681" spans="1:7" ht="27" customHeight="1" x14ac:dyDescent="0.25">
      <c r="A681" s="12" t="str">
        <f t="shared" si="128"/>
        <v>ЩР15</v>
      </c>
      <c r="B681" s="9" t="s">
        <v>265</v>
      </c>
      <c r="C681" s="10" t="s">
        <v>263</v>
      </c>
      <c r="D681" s="9" t="s">
        <v>264</v>
      </c>
      <c r="E681" s="12">
        <v>2</v>
      </c>
      <c r="F681" s="9" t="s">
        <v>13</v>
      </c>
      <c r="G681" s="12" t="str">
        <f t="shared" ref="G681:G684" si="132">G680</f>
        <v>Блок15</v>
      </c>
    </row>
    <row r="682" spans="1:7" ht="27" customHeight="1" x14ac:dyDescent="0.25">
      <c r="A682" s="12" t="str">
        <f t="shared" si="128"/>
        <v>ЩР15</v>
      </c>
      <c r="B682" s="9" t="s">
        <v>273</v>
      </c>
      <c r="C682" s="10" t="s">
        <v>274</v>
      </c>
      <c r="D682" s="9" t="s">
        <v>275</v>
      </c>
      <c r="E682" s="12">
        <v>1</v>
      </c>
      <c r="F682" s="9" t="s">
        <v>13</v>
      </c>
      <c r="G682" s="12" t="str">
        <f t="shared" si="132"/>
        <v>Блок15</v>
      </c>
    </row>
    <row r="683" spans="1:7" ht="27" customHeight="1" x14ac:dyDescent="0.25">
      <c r="A683" s="12" t="str">
        <f t="shared" si="128"/>
        <v>ЩР15</v>
      </c>
      <c r="B683" s="9" t="s">
        <v>277</v>
      </c>
      <c r="C683" s="10" t="s">
        <v>278</v>
      </c>
      <c r="D683" s="9" t="s">
        <v>279</v>
      </c>
      <c r="E683" s="12">
        <v>2</v>
      </c>
      <c r="F683" s="9" t="s">
        <v>13</v>
      </c>
      <c r="G683" s="12" t="str">
        <f t="shared" si="132"/>
        <v>Блок15</v>
      </c>
    </row>
    <row r="684" spans="1:7" ht="27" customHeight="1" x14ac:dyDescent="0.25">
      <c r="A684" s="12" t="str">
        <f t="shared" si="128"/>
        <v>ЩР15</v>
      </c>
      <c r="B684" s="9" t="s">
        <v>280</v>
      </c>
      <c r="C684" s="10" t="s">
        <v>281</v>
      </c>
      <c r="D684" s="9" t="s">
        <v>282</v>
      </c>
      <c r="E684" s="12">
        <v>4</v>
      </c>
      <c r="F684" s="9" t="s">
        <v>13</v>
      </c>
      <c r="G684" s="12" t="str">
        <f t="shared" si="132"/>
        <v>Блок15</v>
      </c>
    </row>
    <row r="685" spans="1:7" ht="27" customHeight="1" x14ac:dyDescent="0.25">
      <c r="A685" s="12" t="str">
        <f>A683</f>
        <v>ЩР15</v>
      </c>
      <c r="B685" s="9" t="s">
        <v>266</v>
      </c>
      <c r="C685" s="10" t="s">
        <v>267</v>
      </c>
      <c r="D685" s="9" t="s">
        <v>268</v>
      </c>
      <c r="E685" s="12">
        <v>1</v>
      </c>
      <c r="F685" s="9" t="s">
        <v>13</v>
      </c>
      <c r="G685" s="12" t="str">
        <f>G683</f>
        <v>Блок15</v>
      </c>
    </row>
    <row r="686" spans="1:7" ht="27" customHeight="1" x14ac:dyDescent="0.25">
      <c r="A686" s="9" t="str">
        <f>A675</f>
        <v>ЩР15</v>
      </c>
      <c r="B686" s="9" t="s">
        <v>18</v>
      </c>
      <c r="C686" s="10" t="s">
        <v>18</v>
      </c>
      <c r="D686" s="9" t="s">
        <v>18</v>
      </c>
      <c r="E686" s="9">
        <v>1</v>
      </c>
      <c r="F686" s="9" t="s">
        <v>18</v>
      </c>
      <c r="G686" s="12" t="str">
        <f>G675</f>
        <v>Блок15</v>
      </c>
    </row>
    <row r="687" spans="1:7" ht="27" customHeight="1" x14ac:dyDescent="0.25">
      <c r="A687" s="9" t="str">
        <f t="shared" si="128"/>
        <v>ЩР15</v>
      </c>
      <c r="B687" s="9" t="s">
        <v>19</v>
      </c>
      <c r="C687" s="10" t="s">
        <v>19</v>
      </c>
      <c r="D687" s="9" t="s">
        <v>19</v>
      </c>
      <c r="E687" s="9" t="e">
        <f>60*#REF!</f>
        <v>#REF!</v>
      </c>
      <c r="F687" s="9" t="s">
        <v>19</v>
      </c>
      <c r="G687" s="12" t="str">
        <f>G686</f>
        <v>Блок15</v>
      </c>
    </row>
    <row r="688" spans="1:7" ht="27" customHeight="1" x14ac:dyDescent="0.25">
      <c r="A688" s="14" t="str">
        <f t="shared" si="128"/>
        <v>ЩР15</v>
      </c>
      <c r="B688" s="14"/>
      <c r="C688" s="14"/>
      <c r="D688" s="15"/>
      <c r="E688" s="14"/>
      <c r="F688" s="14"/>
      <c r="G688" s="12" t="str">
        <f>G687</f>
        <v>Блок15</v>
      </c>
    </row>
    <row r="689" spans="1:7" ht="27" customHeight="1" x14ac:dyDescent="0.25">
      <c r="A689" s="7" t="str">
        <f>D689</f>
        <v>ЩЭ-3</v>
      </c>
      <c r="B689" s="4"/>
      <c r="C689" s="5"/>
      <c r="D689" s="4" t="s">
        <v>154</v>
      </c>
      <c r="E689" s="7">
        <v>4</v>
      </c>
      <c r="F689" s="4" t="s">
        <v>9</v>
      </c>
      <c r="G689" s="7" t="s">
        <v>110</v>
      </c>
    </row>
    <row r="690" spans="1:7" ht="27" customHeight="1" x14ac:dyDescent="0.25">
      <c r="A690" s="12" t="str">
        <f t="shared" ref="A690:A696" si="133">A689</f>
        <v>ЩЭ-3</v>
      </c>
      <c r="B690" s="9" t="s">
        <v>10</v>
      </c>
      <c r="C690" s="10" t="s">
        <v>316</v>
      </c>
      <c r="D690" s="9" t="s">
        <v>317</v>
      </c>
      <c r="E690" s="12">
        <v>1</v>
      </c>
      <c r="F690" s="9" t="s">
        <v>12</v>
      </c>
      <c r="G690" s="12" t="s">
        <v>110</v>
      </c>
    </row>
    <row r="691" spans="1:7" ht="27" customHeight="1" x14ac:dyDescent="0.25">
      <c r="A691" s="12" t="str">
        <f>A689</f>
        <v>ЩЭ-3</v>
      </c>
      <c r="B691" s="9" t="s">
        <v>290</v>
      </c>
      <c r="C691" s="10" t="s">
        <v>310</v>
      </c>
      <c r="D691" s="9" t="s">
        <v>311</v>
      </c>
      <c r="E691" s="12">
        <v>3</v>
      </c>
      <c r="F691" s="9" t="s">
        <v>207</v>
      </c>
      <c r="G691" s="12" t="s">
        <v>110</v>
      </c>
    </row>
    <row r="692" spans="1:7" ht="27" customHeight="1" x14ac:dyDescent="0.25">
      <c r="A692" s="12" t="str">
        <f>A690</f>
        <v>ЩЭ-3</v>
      </c>
      <c r="B692" s="9" t="s">
        <v>17</v>
      </c>
      <c r="C692" s="10" t="s">
        <v>308</v>
      </c>
      <c r="D692" s="9" t="s">
        <v>309</v>
      </c>
      <c r="E692" s="12">
        <v>3</v>
      </c>
      <c r="F692" s="9" t="s">
        <v>13</v>
      </c>
      <c r="G692" s="12" t="s">
        <v>110</v>
      </c>
    </row>
    <row r="693" spans="1:7" ht="27" customHeight="1" x14ac:dyDescent="0.25">
      <c r="A693" s="12" t="str">
        <f t="shared" si="133"/>
        <v>ЩЭ-3</v>
      </c>
      <c r="B693" s="9" t="s">
        <v>14</v>
      </c>
      <c r="C693" s="10" t="s">
        <v>306</v>
      </c>
      <c r="D693" s="9" t="s">
        <v>307</v>
      </c>
      <c r="E693" s="12">
        <v>3</v>
      </c>
      <c r="F693" s="9" t="s">
        <v>15</v>
      </c>
      <c r="G693" s="12" t="s">
        <v>110</v>
      </c>
    </row>
    <row r="694" spans="1:7" ht="27" customHeight="1" x14ac:dyDescent="0.25">
      <c r="A694" s="9" t="str">
        <f t="shared" si="133"/>
        <v>ЩЭ-3</v>
      </c>
      <c r="B694" s="9" t="s">
        <v>18</v>
      </c>
      <c r="C694" s="10" t="s">
        <v>18</v>
      </c>
      <c r="D694" s="9" t="s">
        <v>18</v>
      </c>
      <c r="E694" s="9">
        <v>1</v>
      </c>
      <c r="F694" s="9" t="s">
        <v>18</v>
      </c>
      <c r="G694" s="12" t="s">
        <v>110</v>
      </c>
    </row>
    <row r="695" spans="1:7" ht="27" customHeight="1" x14ac:dyDescent="0.25">
      <c r="A695" s="9" t="str">
        <f t="shared" si="133"/>
        <v>ЩЭ-3</v>
      </c>
      <c r="B695" s="9" t="s">
        <v>19</v>
      </c>
      <c r="C695" s="10" t="s">
        <v>19</v>
      </c>
      <c r="D695" s="9" t="s">
        <v>19</v>
      </c>
      <c r="E695" s="9" t="e">
        <f>60*#REF!</f>
        <v>#REF!</v>
      </c>
      <c r="F695" s="9" t="s">
        <v>19</v>
      </c>
      <c r="G695" s="12" t="s">
        <v>110</v>
      </c>
    </row>
    <row r="696" spans="1:7" ht="27" customHeight="1" x14ac:dyDescent="0.25">
      <c r="A696" s="14" t="str">
        <f t="shared" si="133"/>
        <v>ЩЭ-3</v>
      </c>
      <c r="B696" s="14"/>
      <c r="C696" s="14"/>
      <c r="D696" s="15"/>
      <c r="E696" s="14"/>
      <c r="F696" s="14"/>
      <c r="G696" s="12" t="s">
        <v>110</v>
      </c>
    </row>
    <row r="697" spans="1:7" ht="27" customHeight="1" x14ac:dyDescent="0.25">
      <c r="A697" s="7" t="str">
        <f>D697</f>
        <v>ЩЭ-4</v>
      </c>
      <c r="B697" s="4"/>
      <c r="C697" s="5"/>
      <c r="D697" s="4" t="s">
        <v>155</v>
      </c>
      <c r="E697" s="7">
        <v>72</v>
      </c>
      <c r="F697" s="4" t="s">
        <v>9</v>
      </c>
      <c r="G697" s="7" t="s">
        <v>110</v>
      </c>
    </row>
    <row r="698" spans="1:7" ht="27" customHeight="1" x14ac:dyDescent="0.25">
      <c r="A698" s="12" t="str">
        <f t="shared" ref="A698:A704" si="134">A697</f>
        <v>ЩЭ-4</v>
      </c>
      <c r="B698" s="9" t="s">
        <v>10</v>
      </c>
      <c r="C698" s="10" t="s">
        <v>312</v>
      </c>
      <c r="D698" s="9" t="s">
        <v>315</v>
      </c>
      <c r="E698" s="12">
        <v>1</v>
      </c>
      <c r="F698" s="9" t="s">
        <v>12</v>
      </c>
      <c r="G698" s="12" t="s">
        <v>110</v>
      </c>
    </row>
    <row r="699" spans="1:7" ht="27" customHeight="1" x14ac:dyDescent="0.25">
      <c r="A699" s="12" t="str">
        <f t="shared" si="134"/>
        <v>ЩЭ-4</v>
      </c>
      <c r="B699" s="9" t="s">
        <v>290</v>
      </c>
      <c r="C699" s="10" t="s">
        <v>310</v>
      </c>
      <c r="D699" s="9" t="s">
        <v>311</v>
      </c>
      <c r="E699" s="12">
        <v>4</v>
      </c>
      <c r="F699" s="9" t="s">
        <v>207</v>
      </c>
      <c r="G699" s="12" t="s">
        <v>110</v>
      </c>
    </row>
    <row r="700" spans="1:7" ht="27" customHeight="1" x14ac:dyDescent="0.25">
      <c r="A700" s="12" t="str">
        <f>A698</f>
        <v>ЩЭ-4</v>
      </c>
      <c r="B700" s="9" t="s">
        <v>17</v>
      </c>
      <c r="C700" s="10" t="s">
        <v>308</v>
      </c>
      <c r="D700" s="9" t="s">
        <v>309</v>
      </c>
      <c r="E700" s="12">
        <v>4</v>
      </c>
      <c r="F700" s="9" t="s">
        <v>13</v>
      </c>
      <c r="G700" s="12" t="s">
        <v>110</v>
      </c>
    </row>
    <row r="701" spans="1:7" ht="27" customHeight="1" x14ac:dyDescent="0.25">
      <c r="A701" s="12" t="str">
        <f>A699</f>
        <v>ЩЭ-4</v>
      </c>
      <c r="B701" s="9" t="s">
        <v>14</v>
      </c>
      <c r="C701" s="10" t="s">
        <v>306</v>
      </c>
      <c r="D701" s="9" t="s">
        <v>307</v>
      </c>
      <c r="E701" s="12">
        <v>4</v>
      </c>
      <c r="F701" s="9" t="s">
        <v>15</v>
      </c>
      <c r="G701" s="12" t="s">
        <v>110</v>
      </c>
    </row>
    <row r="702" spans="1:7" ht="27" customHeight="1" x14ac:dyDescent="0.25">
      <c r="A702" s="9" t="str">
        <f t="shared" si="134"/>
        <v>ЩЭ-4</v>
      </c>
      <c r="B702" s="9" t="s">
        <v>18</v>
      </c>
      <c r="C702" s="10" t="s">
        <v>18</v>
      </c>
      <c r="D702" s="9" t="s">
        <v>18</v>
      </c>
      <c r="E702" s="9">
        <v>1</v>
      </c>
      <c r="F702" s="9" t="s">
        <v>18</v>
      </c>
      <c r="G702" s="12" t="s">
        <v>110</v>
      </c>
    </row>
    <row r="703" spans="1:7" ht="27" customHeight="1" x14ac:dyDescent="0.25">
      <c r="A703" s="9" t="str">
        <f t="shared" si="134"/>
        <v>ЩЭ-4</v>
      </c>
      <c r="B703" s="9" t="s">
        <v>19</v>
      </c>
      <c r="C703" s="10" t="s">
        <v>19</v>
      </c>
      <c r="D703" s="9" t="s">
        <v>19</v>
      </c>
      <c r="E703" s="9" t="e">
        <f>60*#REF!</f>
        <v>#REF!</v>
      </c>
      <c r="F703" s="9" t="s">
        <v>19</v>
      </c>
      <c r="G703" s="12" t="s">
        <v>110</v>
      </c>
    </row>
    <row r="704" spans="1:7" ht="27" customHeight="1" x14ac:dyDescent="0.25">
      <c r="A704" s="14" t="str">
        <f t="shared" si="134"/>
        <v>ЩЭ-4</v>
      </c>
      <c r="B704" s="14"/>
      <c r="C704" s="14"/>
      <c r="D704" s="15"/>
      <c r="E704" s="14"/>
      <c r="F704" s="14"/>
      <c r="G704" s="12" t="s">
        <v>110</v>
      </c>
    </row>
    <row r="705" spans="1:7" ht="27" customHeight="1" x14ac:dyDescent="0.25">
      <c r="A705" s="7" t="str">
        <f>D705</f>
        <v>ЩЭ-6</v>
      </c>
      <c r="B705" s="4"/>
      <c r="C705" s="5"/>
      <c r="D705" s="4" t="s">
        <v>158</v>
      </c>
      <c r="E705" s="7">
        <v>2</v>
      </c>
      <c r="F705" s="4" t="s">
        <v>9</v>
      </c>
      <c r="G705" s="7" t="s">
        <v>110</v>
      </c>
    </row>
    <row r="706" spans="1:7" ht="27" customHeight="1" x14ac:dyDescent="0.25">
      <c r="A706" s="12" t="str">
        <f t="shared" ref="A706:A712" si="135">A705</f>
        <v>ЩЭ-6</v>
      </c>
      <c r="B706" s="9" t="s">
        <v>10</v>
      </c>
      <c r="C706" s="10" t="s">
        <v>312</v>
      </c>
      <c r="D706" s="9" t="s">
        <v>314</v>
      </c>
      <c r="E706" s="12">
        <v>1</v>
      </c>
      <c r="F706" s="9" t="s">
        <v>12</v>
      </c>
      <c r="G706" s="12" t="s">
        <v>110</v>
      </c>
    </row>
    <row r="707" spans="1:7" ht="27" customHeight="1" x14ac:dyDescent="0.25">
      <c r="A707" s="12" t="str">
        <f t="shared" si="135"/>
        <v>ЩЭ-6</v>
      </c>
      <c r="B707" s="9" t="s">
        <v>290</v>
      </c>
      <c r="C707" s="10" t="s">
        <v>310</v>
      </c>
      <c r="D707" s="9" t="s">
        <v>311</v>
      </c>
      <c r="E707" s="12">
        <v>6</v>
      </c>
      <c r="F707" s="9" t="s">
        <v>207</v>
      </c>
      <c r="G707" s="12" t="s">
        <v>110</v>
      </c>
    </row>
    <row r="708" spans="1:7" ht="27" customHeight="1" x14ac:dyDescent="0.25">
      <c r="A708" s="12" t="str">
        <f>A706</f>
        <v>ЩЭ-6</v>
      </c>
      <c r="B708" s="9" t="s">
        <v>17</v>
      </c>
      <c r="C708" s="10" t="s">
        <v>308</v>
      </c>
      <c r="D708" s="9" t="s">
        <v>309</v>
      </c>
      <c r="E708" s="12">
        <v>6</v>
      </c>
      <c r="F708" s="9" t="s">
        <v>13</v>
      </c>
      <c r="G708" s="12" t="s">
        <v>110</v>
      </c>
    </row>
    <row r="709" spans="1:7" ht="27" customHeight="1" x14ac:dyDescent="0.25">
      <c r="A709" s="12" t="str">
        <f t="shared" si="135"/>
        <v>ЩЭ-6</v>
      </c>
      <c r="B709" s="9" t="s">
        <v>14</v>
      </c>
      <c r="C709" s="10" t="s">
        <v>306</v>
      </c>
      <c r="D709" s="9" t="s">
        <v>307</v>
      </c>
      <c r="E709" s="12">
        <v>6</v>
      </c>
      <c r="F709" s="9" t="s">
        <v>15</v>
      </c>
      <c r="G709" s="12" t="s">
        <v>110</v>
      </c>
    </row>
    <row r="710" spans="1:7" ht="27" customHeight="1" x14ac:dyDescent="0.25">
      <c r="A710" s="9" t="str">
        <f t="shared" si="135"/>
        <v>ЩЭ-6</v>
      </c>
      <c r="B710" s="9" t="s">
        <v>18</v>
      </c>
      <c r="C710" s="10" t="s">
        <v>18</v>
      </c>
      <c r="D710" s="9" t="s">
        <v>18</v>
      </c>
      <c r="E710" s="9">
        <v>1</v>
      </c>
      <c r="F710" s="9" t="s">
        <v>18</v>
      </c>
      <c r="G710" s="12" t="s">
        <v>110</v>
      </c>
    </row>
    <row r="711" spans="1:7" ht="27" customHeight="1" x14ac:dyDescent="0.25">
      <c r="A711" s="9" t="str">
        <f t="shared" si="135"/>
        <v>ЩЭ-6</v>
      </c>
      <c r="B711" s="9" t="s">
        <v>19</v>
      </c>
      <c r="C711" s="10" t="s">
        <v>19</v>
      </c>
      <c r="D711" s="9" t="s">
        <v>19</v>
      </c>
      <c r="E711" s="9" t="e">
        <f>60*#REF!</f>
        <v>#REF!</v>
      </c>
      <c r="F711" s="9" t="s">
        <v>19</v>
      </c>
      <c r="G711" s="12" t="s">
        <v>110</v>
      </c>
    </row>
    <row r="712" spans="1:7" ht="27" customHeight="1" x14ac:dyDescent="0.25">
      <c r="A712" s="14" t="str">
        <f t="shared" si="135"/>
        <v>ЩЭ-6</v>
      </c>
      <c r="B712" s="14"/>
      <c r="C712" s="14"/>
      <c r="D712" s="15"/>
      <c r="E712" s="14"/>
      <c r="F712" s="14"/>
      <c r="G712" s="12" t="s">
        <v>110</v>
      </c>
    </row>
    <row r="713" spans="1:7" ht="27" customHeight="1" x14ac:dyDescent="0.25">
      <c r="A713" s="7" t="str">
        <f>D713</f>
        <v>ЩЭ-7</v>
      </c>
      <c r="B713" s="4"/>
      <c r="C713" s="5"/>
      <c r="D713" s="4" t="s">
        <v>160</v>
      </c>
      <c r="E713" s="7">
        <v>18</v>
      </c>
      <c r="F713" s="4" t="s">
        <v>9</v>
      </c>
      <c r="G713" s="7" t="s">
        <v>110</v>
      </c>
    </row>
    <row r="714" spans="1:7" ht="27" customHeight="1" x14ac:dyDescent="0.25">
      <c r="A714" s="12" t="str">
        <f t="shared" ref="A714:A720" si="136">A713</f>
        <v>ЩЭ-7</v>
      </c>
      <c r="B714" s="9" t="s">
        <v>10</v>
      </c>
      <c r="C714" s="10" t="s">
        <v>312</v>
      </c>
      <c r="D714" s="9" t="s">
        <v>313</v>
      </c>
      <c r="E714" s="12">
        <v>1</v>
      </c>
      <c r="F714" s="9" t="s">
        <v>12</v>
      </c>
      <c r="G714" s="12" t="s">
        <v>110</v>
      </c>
    </row>
    <row r="715" spans="1:7" ht="27" customHeight="1" x14ac:dyDescent="0.25">
      <c r="A715" s="12" t="str">
        <f t="shared" si="136"/>
        <v>ЩЭ-7</v>
      </c>
      <c r="B715" s="9" t="s">
        <v>290</v>
      </c>
      <c r="C715" s="10" t="s">
        <v>310</v>
      </c>
      <c r="D715" s="9" t="s">
        <v>311</v>
      </c>
      <c r="E715" s="12">
        <v>7</v>
      </c>
      <c r="F715" s="9" t="s">
        <v>207</v>
      </c>
      <c r="G715" s="12" t="s">
        <v>110</v>
      </c>
    </row>
    <row r="716" spans="1:7" ht="27" customHeight="1" x14ac:dyDescent="0.25">
      <c r="A716" s="12" t="str">
        <f t="shared" si="136"/>
        <v>ЩЭ-7</v>
      </c>
      <c r="B716" s="9" t="s">
        <v>17</v>
      </c>
      <c r="C716" s="10" t="s">
        <v>308</v>
      </c>
      <c r="D716" s="9" t="s">
        <v>309</v>
      </c>
      <c r="E716" s="12">
        <v>7</v>
      </c>
      <c r="F716" s="9" t="s">
        <v>13</v>
      </c>
      <c r="G716" s="12" t="s">
        <v>110</v>
      </c>
    </row>
    <row r="717" spans="1:7" ht="27" customHeight="1" x14ac:dyDescent="0.25">
      <c r="A717" s="12" t="str">
        <f t="shared" si="136"/>
        <v>ЩЭ-7</v>
      </c>
      <c r="B717" s="9" t="s">
        <v>14</v>
      </c>
      <c r="C717" s="10" t="s">
        <v>306</v>
      </c>
      <c r="D717" s="9" t="s">
        <v>307</v>
      </c>
      <c r="E717" s="12">
        <v>7</v>
      </c>
      <c r="F717" s="9" t="s">
        <v>15</v>
      </c>
      <c r="G717" s="12" t="s">
        <v>110</v>
      </c>
    </row>
    <row r="718" spans="1:7" ht="27" customHeight="1" x14ac:dyDescent="0.25">
      <c r="A718" s="12" t="str">
        <f t="shared" si="136"/>
        <v>ЩЭ-7</v>
      </c>
      <c r="B718" s="9" t="s">
        <v>18</v>
      </c>
      <c r="C718" s="10" t="s">
        <v>18</v>
      </c>
      <c r="D718" s="9" t="s">
        <v>18</v>
      </c>
      <c r="E718" s="9">
        <v>1</v>
      </c>
      <c r="F718" s="9" t="s">
        <v>18</v>
      </c>
      <c r="G718" s="12" t="s">
        <v>110</v>
      </c>
    </row>
    <row r="719" spans="1:7" ht="27" customHeight="1" x14ac:dyDescent="0.25">
      <c r="A719" s="12" t="str">
        <f t="shared" si="136"/>
        <v>ЩЭ-7</v>
      </c>
      <c r="B719" s="9" t="s">
        <v>19</v>
      </c>
      <c r="C719" s="10" t="s">
        <v>19</v>
      </c>
      <c r="D719" s="9" t="s">
        <v>19</v>
      </c>
      <c r="E719" s="9" t="e">
        <f>60*#REF!</f>
        <v>#REF!</v>
      </c>
      <c r="F719" s="9" t="s">
        <v>19</v>
      </c>
      <c r="G719" s="12" t="s">
        <v>110</v>
      </c>
    </row>
    <row r="720" spans="1:7" ht="27" customHeight="1" x14ac:dyDescent="0.25">
      <c r="A720" s="12" t="str">
        <f t="shared" si="136"/>
        <v>ЩЭ-7</v>
      </c>
      <c r="B720" s="14"/>
      <c r="C720" s="14"/>
      <c r="D720" s="15"/>
      <c r="E720" s="14"/>
      <c r="F720" s="14"/>
      <c r="G720" s="12" t="s">
        <v>110</v>
      </c>
    </row>
  </sheetData>
  <autoFilter ref="A1:G720" xr:uid="{199731C4-AB2C-4A56-A62C-451163DDF05F}"/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F5BF-1285-4D38-A3B7-B338E0404AA5}">
  <dimension ref="A1:E4"/>
  <sheetViews>
    <sheetView workbookViewId="0">
      <selection activeCell="B9" sqref="B9"/>
    </sheetView>
  </sheetViews>
  <sheetFormatPr defaultRowHeight="38.25" customHeight="1" x14ac:dyDescent="0.25"/>
  <cols>
    <col min="2" max="2" width="54.28515625" customWidth="1"/>
    <col min="3" max="4" width="9.28515625" style="18" bestFit="1" customWidth="1"/>
    <col min="5" max="5" width="10.140625" style="18" bestFit="1" customWidth="1"/>
  </cols>
  <sheetData>
    <row r="1" spans="1:5" ht="38.25" customHeight="1" x14ac:dyDescent="0.25">
      <c r="A1" t="s">
        <v>306</v>
      </c>
      <c r="B1" t="s">
        <v>307</v>
      </c>
      <c r="C1">
        <v>438</v>
      </c>
      <c r="D1">
        <v>41200</v>
      </c>
      <c r="E1">
        <f>C1*D1</f>
        <v>18045600</v>
      </c>
    </row>
    <row r="2" spans="1:5" ht="38.25" customHeight="1" x14ac:dyDescent="0.25">
      <c r="A2" t="s">
        <v>294</v>
      </c>
      <c r="B2" t="s">
        <v>295</v>
      </c>
      <c r="C2">
        <v>20</v>
      </c>
      <c r="D2">
        <v>72400</v>
      </c>
      <c r="E2">
        <f>C2*D2</f>
        <v>1448000</v>
      </c>
    </row>
    <row r="3" spans="1:5" ht="38.25" customHeight="1" x14ac:dyDescent="0.25">
      <c r="A3" t="s">
        <v>296</v>
      </c>
      <c r="B3" t="s">
        <v>297</v>
      </c>
      <c r="C3">
        <v>33</v>
      </c>
      <c r="D3">
        <v>32400</v>
      </c>
      <c r="E3">
        <f>C3*D3</f>
        <v>1069200</v>
      </c>
    </row>
    <row r="4" spans="1:5" ht="38.25" customHeight="1" x14ac:dyDescent="0.25">
      <c r="A4" t="s">
        <v>298</v>
      </c>
      <c r="B4" t="s">
        <v>299</v>
      </c>
      <c r="C4">
        <v>5</v>
      </c>
      <c r="D4">
        <v>32300</v>
      </c>
      <c r="E4">
        <f>C4*D4</f>
        <v>161500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A57-F5FC-4DED-A660-A86BCCDAA443}">
  <dimension ref="A1:U72"/>
  <sheetViews>
    <sheetView tabSelected="1" zoomScale="145" zoomScaleNormal="145" workbookViewId="0">
      <pane ySplit="1" topLeftCell="A2" activePane="bottomLeft" state="frozen"/>
      <selection activeCell="B1" sqref="B1"/>
      <selection pane="bottomLeft" activeCell="U6" sqref="U6:U7"/>
    </sheetView>
  </sheetViews>
  <sheetFormatPr defaultRowHeight="15" x14ac:dyDescent="0.25"/>
  <cols>
    <col min="2" max="2" width="38.7109375" customWidth="1"/>
    <col min="7" max="7" width="0.28515625" customWidth="1"/>
    <col min="8" max="8" width="9.140625" hidden="1" customWidth="1"/>
    <col min="9" max="9" width="11.7109375" hidden="1" customWidth="1"/>
    <col min="10" max="10" width="10.140625" style="18" hidden="1" customWidth="1"/>
    <col min="11" max="11" width="12.28515625" style="18" hidden="1" customWidth="1"/>
    <col min="12" max="12" width="11.85546875" style="18" hidden="1" customWidth="1"/>
    <col min="13" max="13" width="15.42578125" hidden="1" customWidth="1"/>
    <col min="14" max="14" width="11.42578125" hidden="1" customWidth="1"/>
    <col min="15" max="18" width="9.140625" hidden="1" customWidth="1"/>
  </cols>
  <sheetData>
    <row r="1" spans="1:18" ht="63.75" x14ac:dyDescent="0.25">
      <c r="A1" s="2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/>
      <c r="G1" s="3" t="s">
        <v>182</v>
      </c>
      <c r="H1">
        <v>2.2999999999999998</v>
      </c>
      <c r="I1" s="19" t="s">
        <v>183</v>
      </c>
      <c r="J1" s="18" t="s">
        <v>184</v>
      </c>
      <c r="K1" s="18" t="s">
        <v>185</v>
      </c>
      <c r="L1" s="18">
        <v>2.2999999999999998</v>
      </c>
      <c r="M1" s="18" t="s">
        <v>186</v>
      </c>
      <c r="N1" s="18" t="s">
        <v>187</v>
      </c>
      <c r="O1" s="3" t="s">
        <v>236</v>
      </c>
      <c r="P1" s="3" t="s">
        <v>237</v>
      </c>
      <c r="Q1" s="3" t="s">
        <v>238</v>
      </c>
      <c r="R1" s="3" t="s">
        <v>239</v>
      </c>
    </row>
    <row r="2" spans="1:18" x14ac:dyDescent="0.25">
      <c r="A2" s="5"/>
      <c r="B2" s="4" t="s">
        <v>20</v>
      </c>
      <c r="C2" s="7">
        <v>1</v>
      </c>
      <c r="D2" s="8" t="s">
        <v>8</v>
      </c>
      <c r="E2" s="4" t="s">
        <v>9</v>
      </c>
      <c r="F2" s="7" t="s">
        <v>21</v>
      </c>
      <c r="G2" s="16">
        <v>327390.5</v>
      </c>
      <c r="H2">
        <f>2.3*G2</f>
        <v>752998.14999999991</v>
      </c>
      <c r="I2">
        <f>G2*C2</f>
        <v>327390.5</v>
      </c>
      <c r="J2" s="18">
        <v>327390.5</v>
      </c>
      <c r="K2" s="18">
        <f>J2*C2</f>
        <v>327390.5</v>
      </c>
      <c r="L2" s="18">
        <f>J2*2.3</f>
        <v>752998.14999999991</v>
      </c>
      <c r="M2">
        <f>L2*C2</f>
        <v>752998.14999999991</v>
      </c>
      <c r="N2">
        <f>ROUNDUP(M2,-3)</f>
        <v>753000</v>
      </c>
      <c r="O2" s="16">
        <v>471813.2</v>
      </c>
      <c r="P2" s="16">
        <f>O2*C2</f>
        <v>471813.2</v>
      </c>
      <c r="Q2" s="16">
        <f>O2*2.145</f>
        <v>1012039.314</v>
      </c>
      <c r="R2" s="16">
        <f>Q2*C2</f>
        <v>1012039.314</v>
      </c>
    </row>
    <row r="3" spans="1:18" x14ac:dyDescent="0.25">
      <c r="A3" s="5"/>
      <c r="B3" s="4" t="s">
        <v>31</v>
      </c>
      <c r="C3" s="7">
        <v>1</v>
      </c>
      <c r="D3" s="8" t="s">
        <v>8</v>
      </c>
      <c r="E3" s="4" t="s">
        <v>9</v>
      </c>
      <c r="F3" s="7" t="s">
        <v>21</v>
      </c>
      <c r="G3" s="16">
        <v>195016.09999999998</v>
      </c>
      <c r="H3">
        <f t="shared" ref="H3:H66" si="0">2.3*G3</f>
        <v>448537.02999999991</v>
      </c>
      <c r="I3">
        <f t="shared" ref="I3:I66" si="1">G3*C3</f>
        <v>195016.09999999998</v>
      </c>
      <c r="J3" s="18">
        <v>195016.09999999998</v>
      </c>
      <c r="K3" s="18">
        <f t="shared" ref="K3:K66" si="2">J3*C3</f>
        <v>195016.09999999998</v>
      </c>
      <c r="L3" s="18">
        <f t="shared" ref="L3:L66" si="3">J3*2.3</f>
        <v>448537.02999999991</v>
      </c>
      <c r="M3">
        <f t="shared" ref="M3:M66" si="4">L3*C3</f>
        <v>448537.02999999991</v>
      </c>
      <c r="N3">
        <f t="shared" ref="N3:N66" si="5">ROUNDUP(M3,-3)</f>
        <v>449000</v>
      </c>
      <c r="O3" s="16">
        <v>165087</v>
      </c>
      <c r="P3" s="16">
        <f t="shared" ref="P3:P66" si="6">O3*C3</f>
        <v>165087</v>
      </c>
      <c r="Q3" s="16">
        <f t="shared" ref="Q3:Q66" si="7">O3*2.145</f>
        <v>354111.61499999999</v>
      </c>
      <c r="R3" s="16">
        <f t="shared" ref="R3:R66" si="8">Q3*C3</f>
        <v>354111.61499999999</v>
      </c>
    </row>
    <row r="4" spans="1:18" x14ac:dyDescent="0.25">
      <c r="A4" s="5"/>
      <c r="B4" s="4" t="s">
        <v>35</v>
      </c>
      <c r="C4" s="7">
        <v>1</v>
      </c>
      <c r="D4" s="8" t="s">
        <v>8</v>
      </c>
      <c r="E4" s="4" t="s">
        <v>9</v>
      </c>
      <c r="F4" s="7" t="s">
        <v>21</v>
      </c>
      <c r="G4" s="16">
        <v>181102.2</v>
      </c>
      <c r="H4">
        <f t="shared" si="0"/>
        <v>416535.06</v>
      </c>
      <c r="I4">
        <f t="shared" si="1"/>
        <v>181102.2</v>
      </c>
      <c r="J4" s="18">
        <v>181102.2</v>
      </c>
      <c r="K4" s="18">
        <f t="shared" si="2"/>
        <v>181102.2</v>
      </c>
      <c r="L4" s="18">
        <f t="shared" si="3"/>
        <v>416535.06</v>
      </c>
      <c r="M4">
        <f t="shared" si="4"/>
        <v>416535.06</v>
      </c>
      <c r="N4">
        <f t="shared" si="5"/>
        <v>417000</v>
      </c>
      <c r="O4" s="16">
        <v>189237</v>
      </c>
      <c r="P4" s="16">
        <f t="shared" si="6"/>
        <v>189237</v>
      </c>
      <c r="Q4" s="16">
        <f t="shared" si="7"/>
        <v>405913.36499999999</v>
      </c>
      <c r="R4" s="16">
        <f t="shared" si="8"/>
        <v>405913.36499999999</v>
      </c>
    </row>
    <row r="5" spans="1:18" x14ac:dyDescent="0.25">
      <c r="A5" s="5"/>
      <c r="B5" s="4" t="s">
        <v>38</v>
      </c>
      <c r="C5" s="7">
        <v>1</v>
      </c>
      <c r="D5" s="8" t="s">
        <v>8</v>
      </c>
      <c r="E5" s="4" t="s">
        <v>9</v>
      </c>
      <c r="F5" s="7" t="s">
        <v>21</v>
      </c>
      <c r="G5" s="16">
        <v>73316.899999999994</v>
      </c>
      <c r="H5">
        <f t="shared" si="0"/>
        <v>168628.86999999997</v>
      </c>
      <c r="I5">
        <f t="shared" si="1"/>
        <v>73316.899999999994</v>
      </c>
      <c r="J5" s="18">
        <v>73316.899999999994</v>
      </c>
      <c r="K5" s="18">
        <f t="shared" si="2"/>
        <v>73316.899999999994</v>
      </c>
      <c r="L5" s="18">
        <f t="shared" si="3"/>
        <v>168628.86999999997</v>
      </c>
      <c r="M5">
        <f t="shared" si="4"/>
        <v>168628.86999999997</v>
      </c>
      <c r="N5">
        <f t="shared" si="5"/>
        <v>169000</v>
      </c>
      <c r="O5" s="16">
        <v>76575</v>
      </c>
      <c r="P5" s="16">
        <f t="shared" si="6"/>
        <v>76575</v>
      </c>
      <c r="Q5" s="16">
        <f t="shared" si="7"/>
        <v>164253.375</v>
      </c>
      <c r="R5" s="16">
        <f t="shared" si="8"/>
        <v>164253.375</v>
      </c>
    </row>
    <row r="6" spans="1:18" x14ac:dyDescent="0.25">
      <c r="A6" s="5"/>
      <c r="B6" s="4" t="s">
        <v>131</v>
      </c>
      <c r="C6" s="7">
        <v>1</v>
      </c>
      <c r="D6" s="8" t="s">
        <v>8</v>
      </c>
      <c r="E6" s="4" t="s">
        <v>9</v>
      </c>
      <c r="F6" s="7" t="s">
        <v>21</v>
      </c>
      <c r="G6" s="16">
        <v>300158.20000000007</v>
      </c>
      <c r="H6">
        <f t="shared" si="0"/>
        <v>690363.8600000001</v>
      </c>
      <c r="I6">
        <f t="shared" si="1"/>
        <v>300158.20000000007</v>
      </c>
      <c r="J6" s="18">
        <v>300158.20000000007</v>
      </c>
      <c r="K6" s="18">
        <f t="shared" si="2"/>
        <v>300158.20000000007</v>
      </c>
      <c r="L6" s="18">
        <f t="shared" si="3"/>
        <v>690363.8600000001</v>
      </c>
      <c r="M6">
        <f t="shared" si="4"/>
        <v>690363.8600000001</v>
      </c>
      <c r="N6">
        <f t="shared" si="5"/>
        <v>691000</v>
      </c>
      <c r="O6" s="16">
        <v>303310.19999999995</v>
      </c>
      <c r="P6" s="16">
        <f t="shared" si="6"/>
        <v>303310.19999999995</v>
      </c>
      <c r="Q6" s="16">
        <f t="shared" si="7"/>
        <v>650600.37899999996</v>
      </c>
      <c r="R6" s="16">
        <f t="shared" si="8"/>
        <v>650600.37899999996</v>
      </c>
    </row>
    <row r="7" spans="1:18" x14ac:dyDescent="0.25">
      <c r="A7" s="5"/>
      <c r="B7" s="4" t="s">
        <v>51</v>
      </c>
      <c r="C7" s="7">
        <v>1</v>
      </c>
      <c r="D7" s="8" t="s">
        <v>8</v>
      </c>
      <c r="E7" s="4" t="s">
        <v>9</v>
      </c>
      <c r="F7" s="7" t="s">
        <v>52</v>
      </c>
      <c r="G7" s="16">
        <v>327390.5</v>
      </c>
      <c r="H7">
        <f t="shared" si="0"/>
        <v>752998.14999999991</v>
      </c>
      <c r="I7">
        <f t="shared" si="1"/>
        <v>327390.5</v>
      </c>
      <c r="J7" s="18">
        <v>327390.5</v>
      </c>
      <c r="K7" s="18">
        <f t="shared" si="2"/>
        <v>327390.5</v>
      </c>
      <c r="L7" s="18">
        <f t="shared" si="3"/>
        <v>752998.14999999991</v>
      </c>
      <c r="M7">
        <f t="shared" si="4"/>
        <v>752998.14999999991</v>
      </c>
      <c r="N7">
        <f t="shared" si="5"/>
        <v>753000</v>
      </c>
      <c r="O7" s="16">
        <v>471813.2</v>
      </c>
      <c r="P7" s="16">
        <f t="shared" si="6"/>
        <v>471813.2</v>
      </c>
      <c r="Q7" s="16">
        <f t="shared" si="7"/>
        <v>1012039.314</v>
      </c>
      <c r="R7" s="16">
        <f t="shared" si="8"/>
        <v>1012039.314</v>
      </c>
    </row>
    <row r="8" spans="1:18" x14ac:dyDescent="0.25">
      <c r="A8" s="5"/>
      <c r="B8" s="4" t="s">
        <v>53</v>
      </c>
      <c r="C8" s="7">
        <v>1</v>
      </c>
      <c r="D8" s="8" t="s">
        <v>8</v>
      </c>
      <c r="E8" s="4" t="s">
        <v>9</v>
      </c>
      <c r="F8" s="7" t="s">
        <v>52</v>
      </c>
      <c r="G8" s="16">
        <v>195016.09999999998</v>
      </c>
      <c r="H8">
        <f t="shared" si="0"/>
        <v>448537.02999999991</v>
      </c>
      <c r="I8">
        <f t="shared" si="1"/>
        <v>195016.09999999998</v>
      </c>
      <c r="J8" s="18">
        <v>195016.09999999998</v>
      </c>
      <c r="K8" s="18">
        <f t="shared" si="2"/>
        <v>195016.09999999998</v>
      </c>
      <c r="L8" s="18">
        <f t="shared" si="3"/>
        <v>448537.02999999991</v>
      </c>
      <c r="M8">
        <f t="shared" si="4"/>
        <v>448537.02999999991</v>
      </c>
      <c r="N8">
        <f t="shared" si="5"/>
        <v>449000</v>
      </c>
      <c r="O8" s="16">
        <v>165087</v>
      </c>
      <c r="P8" s="16">
        <f t="shared" si="6"/>
        <v>165087</v>
      </c>
      <c r="Q8" s="16">
        <f t="shared" si="7"/>
        <v>354111.61499999999</v>
      </c>
      <c r="R8" s="16">
        <f t="shared" si="8"/>
        <v>354111.61499999999</v>
      </c>
    </row>
    <row r="9" spans="1:18" x14ac:dyDescent="0.25">
      <c r="A9" s="5"/>
      <c r="B9" s="4" t="s">
        <v>54</v>
      </c>
      <c r="C9" s="7">
        <v>1</v>
      </c>
      <c r="D9" s="8" t="s">
        <v>8</v>
      </c>
      <c r="E9" s="4" t="s">
        <v>9</v>
      </c>
      <c r="F9" s="7" t="s">
        <v>52</v>
      </c>
      <c r="G9" s="16">
        <v>181102.2</v>
      </c>
      <c r="H9">
        <f t="shared" si="0"/>
        <v>416535.06</v>
      </c>
      <c r="I9">
        <f t="shared" si="1"/>
        <v>181102.2</v>
      </c>
      <c r="J9" s="18">
        <v>181102.2</v>
      </c>
      <c r="K9" s="18">
        <f t="shared" si="2"/>
        <v>181102.2</v>
      </c>
      <c r="L9" s="18">
        <f t="shared" si="3"/>
        <v>416535.06</v>
      </c>
      <c r="M9">
        <f t="shared" si="4"/>
        <v>416535.06</v>
      </c>
      <c r="N9">
        <f t="shared" si="5"/>
        <v>417000</v>
      </c>
      <c r="O9" s="16">
        <v>202257</v>
      </c>
      <c r="P9" s="16">
        <f t="shared" si="6"/>
        <v>202257</v>
      </c>
      <c r="Q9" s="16">
        <f t="shared" si="7"/>
        <v>433841.26500000001</v>
      </c>
      <c r="R9" s="16">
        <f t="shared" si="8"/>
        <v>433841.26500000001</v>
      </c>
    </row>
    <row r="10" spans="1:18" x14ac:dyDescent="0.25">
      <c r="A10" s="5"/>
      <c r="B10" s="4" t="s">
        <v>55</v>
      </c>
      <c r="C10" s="7">
        <v>1</v>
      </c>
      <c r="D10" s="8" t="s">
        <v>8</v>
      </c>
      <c r="E10" s="4" t="s">
        <v>9</v>
      </c>
      <c r="F10" s="7" t="s">
        <v>52</v>
      </c>
      <c r="G10" s="16">
        <v>73316.899999999994</v>
      </c>
      <c r="H10">
        <f t="shared" si="0"/>
        <v>168628.86999999997</v>
      </c>
      <c r="I10">
        <f t="shared" si="1"/>
        <v>73316.899999999994</v>
      </c>
      <c r="J10" s="18">
        <v>73316.899999999994</v>
      </c>
      <c r="K10" s="18">
        <f t="shared" si="2"/>
        <v>73316.899999999994</v>
      </c>
      <c r="L10" s="18">
        <f t="shared" si="3"/>
        <v>168628.86999999997</v>
      </c>
      <c r="M10">
        <f t="shared" si="4"/>
        <v>168628.86999999997</v>
      </c>
      <c r="N10">
        <f t="shared" si="5"/>
        <v>169000</v>
      </c>
      <c r="O10" s="16">
        <v>76575</v>
      </c>
      <c r="P10" s="16">
        <f t="shared" si="6"/>
        <v>76575</v>
      </c>
      <c r="Q10" s="16">
        <f t="shared" si="7"/>
        <v>164253.375</v>
      </c>
      <c r="R10" s="16">
        <f t="shared" si="8"/>
        <v>164253.375</v>
      </c>
    </row>
    <row r="11" spans="1:18" x14ac:dyDescent="0.25">
      <c r="A11" s="5"/>
      <c r="B11" s="4" t="s">
        <v>132</v>
      </c>
      <c r="C11" s="7">
        <v>1</v>
      </c>
      <c r="D11" s="8" t="s">
        <v>8</v>
      </c>
      <c r="E11" s="4" t="s">
        <v>9</v>
      </c>
      <c r="F11" s="7" t="s">
        <v>52</v>
      </c>
      <c r="G11" s="16">
        <v>300158.20000000007</v>
      </c>
      <c r="H11">
        <f t="shared" si="0"/>
        <v>690363.8600000001</v>
      </c>
      <c r="I11">
        <f t="shared" si="1"/>
        <v>300158.20000000007</v>
      </c>
      <c r="J11" s="18">
        <v>300158.20000000007</v>
      </c>
      <c r="K11" s="18">
        <f t="shared" si="2"/>
        <v>300158.20000000007</v>
      </c>
      <c r="L11" s="18">
        <f t="shared" si="3"/>
        <v>690363.8600000001</v>
      </c>
      <c r="M11">
        <f t="shared" si="4"/>
        <v>690363.8600000001</v>
      </c>
      <c r="N11">
        <f t="shared" si="5"/>
        <v>691000</v>
      </c>
      <c r="O11" s="16">
        <v>303310.19999999995</v>
      </c>
      <c r="P11" s="16">
        <f t="shared" si="6"/>
        <v>303310.19999999995</v>
      </c>
      <c r="Q11" s="16">
        <f t="shared" si="7"/>
        <v>650600.37899999996</v>
      </c>
      <c r="R11" s="16">
        <f t="shared" si="8"/>
        <v>650600.37899999996</v>
      </c>
    </row>
    <row r="12" spans="1:18" x14ac:dyDescent="0.25">
      <c r="A12" s="5"/>
      <c r="B12" s="4" t="s">
        <v>56</v>
      </c>
      <c r="C12" s="7">
        <v>1</v>
      </c>
      <c r="D12" s="8" t="s">
        <v>8</v>
      </c>
      <c r="E12" s="4" t="s">
        <v>9</v>
      </c>
      <c r="F12" s="7" t="s">
        <v>57</v>
      </c>
      <c r="G12" s="16">
        <v>327390.5</v>
      </c>
      <c r="H12">
        <f t="shared" si="0"/>
        <v>752998.14999999991</v>
      </c>
      <c r="I12">
        <f t="shared" si="1"/>
        <v>327390.5</v>
      </c>
      <c r="J12" s="18">
        <v>327390.5</v>
      </c>
      <c r="K12" s="18">
        <f t="shared" si="2"/>
        <v>327390.5</v>
      </c>
      <c r="L12" s="18">
        <f t="shared" si="3"/>
        <v>752998.14999999991</v>
      </c>
      <c r="M12">
        <f t="shared" si="4"/>
        <v>752998.14999999991</v>
      </c>
      <c r="N12">
        <f t="shared" si="5"/>
        <v>753000</v>
      </c>
      <c r="O12" s="16">
        <v>471813.2</v>
      </c>
      <c r="P12" s="16">
        <f t="shared" si="6"/>
        <v>471813.2</v>
      </c>
      <c r="Q12" s="16">
        <f t="shared" si="7"/>
        <v>1012039.314</v>
      </c>
      <c r="R12" s="16">
        <f t="shared" si="8"/>
        <v>1012039.314</v>
      </c>
    </row>
    <row r="13" spans="1:18" x14ac:dyDescent="0.25">
      <c r="A13" s="5"/>
      <c r="B13" s="4" t="s">
        <v>58</v>
      </c>
      <c r="C13" s="7">
        <v>1</v>
      </c>
      <c r="D13" s="8" t="s">
        <v>8</v>
      </c>
      <c r="E13" s="4" t="s">
        <v>9</v>
      </c>
      <c r="F13" s="7" t="s">
        <v>57</v>
      </c>
      <c r="G13" s="16">
        <v>195016.09999999998</v>
      </c>
      <c r="H13">
        <f t="shared" si="0"/>
        <v>448537.02999999991</v>
      </c>
      <c r="I13">
        <f t="shared" si="1"/>
        <v>195016.09999999998</v>
      </c>
      <c r="J13" s="18">
        <v>195016.09999999998</v>
      </c>
      <c r="K13" s="18">
        <f t="shared" si="2"/>
        <v>195016.09999999998</v>
      </c>
      <c r="L13" s="18">
        <f t="shared" si="3"/>
        <v>448537.02999999991</v>
      </c>
      <c r="M13">
        <f t="shared" si="4"/>
        <v>448537.02999999991</v>
      </c>
      <c r="N13">
        <f t="shared" si="5"/>
        <v>449000</v>
      </c>
      <c r="O13" s="16">
        <v>165087</v>
      </c>
      <c r="P13" s="16">
        <f t="shared" si="6"/>
        <v>165087</v>
      </c>
      <c r="Q13" s="16">
        <f t="shared" si="7"/>
        <v>354111.61499999999</v>
      </c>
      <c r="R13" s="16">
        <f t="shared" si="8"/>
        <v>354111.61499999999</v>
      </c>
    </row>
    <row r="14" spans="1:18" x14ac:dyDescent="0.25">
      <c r="A14" s="5"/>
      <c r="B14" s="4" t="s">
        <v>59</v>
      </c>
      <c r="C14" s="7">
        <v>1</v>
      </c>
      <c r="D14" s="8" t="s">
        <v>8</v>
      </c>
      <c r="E14" s="4" t="s">
        <v>9</v>
      </c>
      <c r="F14" s="7" t="s">
        <v>57</v>
      </c>
      <c r="G14" s="16">
        <v>181102.2</v>
      </c>
      <c r="H14">
        <f t="shared" si="0"/>
        <v>416535.06</v>
      </c>
      <c r="I14">
        <f t="shared" si="1"/>
        <v>181102.2</v>
      </c>
      <c r="J14" s="18">
        <v>181102.2</v>
      </c>
      <c r="K14" s="18">
        <f t="shared" si="2"/>
        <v>181102.2</v>
      </c>
      <c r="L14" s="18">
        <f t="shared" si="3"/>
        <v>416535.06</v>
      </c>
      <c r="M14">
        <f t="shared" si="4"/>
        <v>416535.06</v>
      </c>
      <c r="N14">
        <f t="shared" si="5"/>
        <v>417000</v>
      </c>
      <c r="O14" s="16">
        <v>167922</v>
      </c>
      <c r="P14" s="16">
        <f t="shared" si="6"/>
        <v>167922</v>
      </c>
      <c r="Q14" s="16">
        <f t="shared" si="7"/>
        <v>360192.69</v>
      </c>
      <c r="R14" s="16">
        <f t="shared" si="8"/>
        <v>360192.69</v>
      </c>
    </row>
    <row r="15" spans="1:18" x14ac:dyDescent="0.25">
      <c r="A15" s="5"/>
      <c r="B15" s="4" t="s">
        <v>62</v>
      </c>
      <c r="C15" s="7">
        <v>1</v>
      </c>
      <c r="D15" s="8" t="s">
        <v>8</v>
      </c>
      <c r="E15" s="4" t="s">
        <v>9</v>
      </c>
      <c r="F15" s="7" t="s">
        <v>57</v>
      </c>
      <c r="G15" s="16">
        <v>73316.899999999994</v>
      </c>
      <c r="H15">
        <f t="shared" si="0"/>
        <v>168628.86999999997</v>
      </c>
      <c r="I15">
        <f t="shared" si="1"/>
        <v>73316.899999999994</v>
      </c>
      <c r="J15" s="18">
        <v>73316.899999999994</v>
      </c>
      <c r="K15" s="18">
        <f t="shared" si="2"/>
        <v>73316.899999999994</v>
      </c>
      <c r="L15" s="18">
        <f t="shared" si="3"/>
        <v>168628.86999999997</v>
      </c>
      <c r="M15">
        <f t="shared" si="4"/>
        <v>168628.86999999997</v>
      </c>
      <c r="N15">
        <f t="shared" si="5"/>
        <v>169000</v>
      </c>
      <c r="O15" s="16">
        <v>76455</v>
      </c>
      <c r="P15" s="16">
        <f t="shared" si="6"/>
        <v>76455</v>
      </c>
      <c r="Q15" s="16">
        <f t="shared" si="7"/>
        <v>163995.97500000001</v>
      </c>
      <c r="R15" s="16">
        <f t="shared" si="8"/>
        <v>163995.97500000001</v>
      </c>
    </row>
    <row r="16" spans="1:18" x14ac:dyDescent="0.25">
      <c r="A16" s="5"/>
      <c r="B16" s="4" t="s">
        <v>63</v>
      </c>
      <c r="C16" s="7">
        <v>1</v>
      </c>
      <c r="D16" s="8" t="s">
        <v>8</v>
      </c>
      <c r="E16" s="4" t="s">
        <v>9</v>
      </c>
      <c r="F16" s="7" t="s">
        <v>57</v>
      </c>
      <c r="G16" s="16">
        <v>73316.899999999994</v>
      </c>
      <c r="H16">
        <f t="shared" si="0"/>
        <v>168628.86999999997</v>
      </c>
      <c r="I16">
        <f t="shared" si="1"/>
        <v>73316.899999999994</v>
      </c>
      <c r="J16" s="18">
        <v>73316.899999999994</v>
      </c>
      <c r="K16" s="18">
        <f t="shared" si="2"/>
        <v>73316.899999999994</v>
      </c>
      <c r="L16" s="18">
        <f t="shared" si="3"/>
        <v>168628.86999999997</v>
      </c>
      <c r="M16">
        <f t="shared" si="4"/>
        <v>168628.86999999997</v>
      </c>
      <c r="N16">
        <f t="shared" si="5"/>
        <v>169000</v>
      </c>
      <c r="O16" s="16">
        <v>76455</v>
      </c>
      <c r="P16" s="16">
        <f t="shared" si="6"/>
        <v>76455</v>
      </c>
      <c r="Q16" s="16">
        <f t="shared" si="7"/>
        <v>163995.97500000001</v>
      </c>
      <c r="R16" s="16">
        <f t="shared" si="8"/>
        <v>163995.97500000001</v>
      </c>
    </row>
    <row r="17" spans="1:18" x14ac:dyDescent="0.25">
      <c r="A17" s="5"/>
      <c r="B17" s="4" t="s">
        <v>133</v>
      </c>
      <c r="C17" s="7">
        <v>1</v>
      </c>
      <c r="D17" s="8" t="s">
        <v>8</v>
      </c>
      <c r="E17" s="4" t="s">
        <v>9</v>
      </c>
      <c r="F17" s="7" t="s">
        <v>57</v>
      </c>
      <c r="G17" s="16">
        <v>300158.20000000007</v>
      </c>
      <c r="H17">
        <f t="shared" si="0"/>
        <v>690363.8600000001</v>
      </c>
      <c r="I17">
        <f t="shared" si="1"/>
        <v>300158.20000000007</v>
      </c>
      <c r="J17" s="18">
        <v>300158.20000000007</v>
      </c>
      <c r="K17" s="18">
        <f t="shared" si="2"/>
        <v>300158.20000000007</v>
      </c>
      <c r="L17" s="18">
        <f t="shared" si="3"/>
        <v>690363.8600000001</v>
      </c>
      <c r="M17">
        <f t="shared" si="4"/>
        <v>690363.8600000001</v>
      </c>
      <c r="N17">
        <f t="shared" si="5"/>
        <v>691000</v>
      </c>
      <c r="O17" s="16">
        <v>304161</v>
      </c>
      <c r="P17" s="16">
        <f t="shared" si="6"/>
        <v>304161</v>
      </c>
      <c r="Q17" s="16">
        <f t="shared" si="7"/>
        <v>652425.34499999997</v>
      </c>
      <c r="R17" s="16">
        <f t="shared" si="8"/>
        <v>652425.34499999997</v>
      </c>
    </row>
    <row r="18" spans="1:18" x14ac:dyDescent="0.25">
      <c r="A18" s="5"/>
      <c r="B18" s="4" t="s">
        <v>134</v>
      </c>
      <c r="C18" s="7">
        <v>1</v>
      </c>
      <c r="D18" s="8" t="s">
        <v>8</v>
      </c>
      <c r="E18" s="4" t="s">
        <v>9</v>
      </c>
      <c r="F18" s="7" t="s">
        <v>57</v>
      </c>
      <c r="G18" s="16">
        <v>300158.20000000007</v>
      </c>
      <c r="H18">
        <f t="shared" si="0"/>
        <v>690363.8600000001</v>
      </c>
      <c r="I18">
        <f t="shared" si="1"/>
        <v>300158.20000000007</v>
      </c>
      <c r="J18" s="18">
        <v>300158.20000000007</v>
      </c>
      <c r="K18" s="18">
        <f t="shared" si="2"/>
        <v>300158.20000000007</v>
      </c>
      <c r="L18" s="18">
        <f t="shared" si="3"/>
        <v>690363.8600000001</v>
      </c>
      <c r="M18">
        <f t="shared" si="4"/>
        <v>690363.8600000001</v>
      </c>
      <c r="N18">
        <f t="shared" si="5"/>
        <v>691000</v>
      </c>
      <c r="O18" s="16">
        <v>304161</v>
      </c>
      <c r="P18" s="16">
        <f t="shared" si="6"/>
        <v>304161</v>
      </c>
      <c r="Q18" s="16">
        <f t="shared" si="7"/>
        <v>652425.34499999997</v>
      </c>
      <c r="R18" s="16">
        <f t="shared" si="8"/>
        <v>652425.34499999997</v>
      </c>
    </row>
    <row r="19" spans="1:18" x14ac:dyDescent="0.25">
      <c r="A19" s="5"/>
      <c r="B19" s="4" t="s">
        <v>64</v>
      </c>
      <c r="C19" s="7">
        <v>1</v>
      </c>
      <c r="D19" s="8" t="s">
        <v>8</v>
      </c>
      <c r="E19" s="4" t="s">
        <v>9</v>
      </c>
      <c r="F19" s="7" t="s">
        <v>65</v>
      </c>
      <c r="G19" s="16">
        <v>327390.5</v>
      </c>
      <c r="H19">
        <f t="shared" si="0"/>
        <v>752998.14999999991</v>
      </c>
      <c r="I19">
        <f t="shared" si="1"/>
        <v>327390.5</v>
      </c>
      <c r="J19" s="18">
        <v>327390.5</v>
      </c>
      <c r="K19" s="18">
        <f t="shared" si="2"/>
        <v>327390.5</v>
      </c>
      <c r="L19" s="18">
        <f t="shared" si="3"/>
        <v>752998.14999999991</v>
      </c>
      <c r="M19">
        <f t="shared" si="4"/>
        <v>752998.14999999991</v>
      </c>
      <c r="N19">
        <f t="shared" si="5"/>
        <v>753000</v>
      </c>
      <c r="O19" s="16">
        <v>471813.2</v>
      </c>
      <c r="P19" s="16">
        <f t="shared" si="6"/>
        <v>471813.2</v>
      </c>
      <c r="Q19" s="16">
        <f t="shared" si="7"/>
        <v>1012039.314</v>
      </c>
      <c r="R19" s="16">
        <f t="shared" si="8"/>
        <v>1012039.314</v>
      </c>
    </row>
    <row r="20" spans="1:18" x14ac:dyDescent="0.25">
      <c r="A20" s="5"/>
      <c r="B20" s="4" t="s">
        <v>66</v>
      </c>
      <c r="C20" s="7">
        <v>1</v>
      </c>
      <c r="D20" s="8" t="s">
        <v>8</v>
      </c>
      <c r="E20" s="4" t="s">
        <v>9</v>
      </c>
      <c r="F20" s="7" t="s">
        <v>65</v>
      </c>
      <c r="G20" s="16">
        <v>204725.8</v>
      </c>
      <c r="H20">
        <f t="shared" si="0"/>
        <v>470869.33999999991</v>
      </c>
      <c r="I20">
        <f t="shared" si="1"/>
        <v>204725.8</v>
      </c>
      <c r="J20" s="18">
        <v>204725.8</v>
      </c>
      <c r="K20" s="18">
        <f t="shared" si="2"/>
        <v>204725.8</v>
      </c>
      <c r="L20" s="18">
        <f t="shared" si="3"/>
        <v>470869.33999999991</v>
      </c>
      <c r="M20">
        <f t="shared" si="4"/>
        <v>470869.33999999991</v>
      </c>
      <c r="N20">
        <f t="shared" si="5"/>
        <v>471000</v>
      </c>
      <c r="O20" s="16">
        <v>186939</v>
      </c>
      <c r="P20" s="16">
        <f t="shared" si="6"/>
        <v>186939</v>
      </c>
      <c r="Q20" s="16">
        <f t="shared" si="7"/>
        <v>400984.15500000003</v>
      </c>
      <c r="R20" s="16">
        <f t="shared" si="8"/>
        <v>400984.15500000003</v>
      </c>
    </row>
    <row r="21" spans="1:18" x14ac:dyDescent="0.25">
      <c r="A21" s="5"/>
      <c r="B21" s="4" t="s">
        <v>68</v>
      </c>
      <c r="C21" s="7">
        <v>1</v>
      </c>
      <c r="D21" s="8" t="s">
        <v>8</v>
      </c>
      <c r="E21" s="4" t="s">
        <v>9</v>
      </c>
      <c r="F21" s="7" t="s">
        <v>65</v>
      </c>
      <c r="G21" s="16">
        <v>73998.899999999994</v>
      </c>
      <c r="H21">
        <f t="shared" si="0"/>
        <v>170197.46999999997</v>
      </c>
      <c r="I21">
        <f t="shared" si="1"/>
        <v>73998.899999999994</v>
      </c>
      <c r="J21" s="18">
        <v>73998.899999999994</v>
      </c>
      <c r="K21" s="18">
        <f t="shared" si="2"/>
        <v>73998.899999999994</v>
      </c>
      <c r="L21" s="18">
        <f t="shared" si="3"/>
        <v>170197.46999999997</v>
      </c>
      <c r="M21">
        <f t="shared" si="4"/>
        <v>170197.46999999997</v>
      </c>
      <c r="N21">
        <f t="shared" si="5"/>
        <v>171000</v>
      </c>
      <c r="O21" s="16">
        <v>76953</v>
      </c>
      <c r="P21" s="16">
        <f t="shared" si="6"/>
        <v>76953</v>
      </c>
      <c r="Q21" s="16">
        <f t="shared" si="7"/>
        <v>165064.185</v>
      </c>
      <c r="R21" s="16">
        <f t="shared" si="8"/>
        <v>165064.185</v>
      </c>
    </row>
    <row r="22" spans="1:18" x14ac:dyDescent="0.25">
      <c r="A22" s="5"/>
      <c r="B22" s="4" t="s">
        <v>135</v>
      </c>
      <c r="C22" s="7">
        <v>1</v>
      </c>
      <c r="D22" s="8" t="s">
        <v>8</v>
      </c>
      <c r="E22" s="4" t="s">
        <v>9</v>
      </c>
      <c r="F22" s="7" t="s">
        <v>65</v>
      </c>
      <c r="G22" s="16">
        <v>300158.20000000007</v>
      </c>
      <c r="H22">
        <f t="shared" si="0"/>
        <v>690363.8600000001</v>
      </c>
      <c r="I22">
        <f t="shared" si="1"/>
        <v>300158.20000000007</v>
      </c>
      <c r="J22" s="18">
        <v>300158.20000000007</v>
      </c>
      <c r="K22" s="18">
        <f t="shared" si="2"/>
        <v>300158.20000000007</v>
      </c>
      <c r="L22" s="18">
        <f t="shared" si="3"/>
        <v>690363.8600000001</v>
      </c>
      <c r="M22">
        <f t="shared" si="4"/>
        <v>690363.8600000001</v>
      </c>
      <c r="N22">
        <f t="shared" si="5"/>
        <v>691000</v>
      </c>
      <c r="O22" s="16">
        <v>303310.19999999995</v>
      </c>
      <c r="P22" s="16">
        <f t="shared" si="6"/>
        <v>303310.19999999995</v>
      </c>
      <c r="Q22" s="16">
        <f t="shared" si="7"/>
        <v>650600.37899999996</v>
      </c>
      <c r="R22" s="16">
        <f t="shared" si="8"/>
        <v>650600.37899999996</v>
      </c>
    </row>
    <row r="23" spans="1:18" x14ac:dyDescent="0.25">
      <c r="A23" s="5"/>
      <c r="B23" s="4" t="s">
        <v>69</v>
      </c>
      <c r="C23" s="7">
        <v>1</v>
      </c>
      <c r="D23" s="8" t="s">
        <v>8</v>
      </c>
      <c r="E23" s="4" t="s">
        <v>9</v>
      </c>
      <c r="F23" s="7" t="s">
        <v>70</v>
      </c>
      <c r="G23" s="16">
        <v>195516.59999999998</v>
      </c>
      <c r="H23">
        <f t="shared" si="0"/>
        <v>449688.17999999993</v>
      </c>
      <c r="I23">
        <f t="shared" si="1"/>
        <v>195516.59999999998</v>
      </c>
      <c r="J23" s="18">
        <v>195516.59999999998</v>
      </c>
      <c r="K23" s="18">
        <f t="shared" si="2"/>
        <v>195516.59999999998</v>
      </c>
      <c r="L23" s="18">
        <f t="shared" si="3"/>
        <v>449688.17999999993</v>
      </c>
      <c r="M23">
        <f t="shared" si="4"/>
        <v>449688.17999999993</v>
      </c>
      <c r="N23">
        <f t="shared" si="5"/>
        <v>450000</v>
      </c>
      <c r="O23" s="16">
        <v>184584</v>
      </c>
      <c r="P23" s="16">
        <f t="shared" si="6"/>
        <v>184584</v>
      </c>
      <c r="Q23" s="16">
        <f t="shared" si="7"/>
        <v>395932.68</v>
      </c>
      <c r="R23" s="16">
        <f t="shared" si="8"/>
        <v>395932.68</v>
      </c>
    </row>
    <row r="24" spans="1:18" x14ac:dyDescent="0.25">
      <c r="A24" s="5"/>
      <c r="B24" s="4" t="s">
        <v>71</v>
      </c>
      <c r="C24" s="7">
        <v>1</v>
      </c>
      <c r="D24" s="8" t="s">
        <v>8</v>
      </c>
      <c r="E24" s="4" t="s">
        <v>9</v>
      </c>
      <c r="F24" s="7" t="s">
        <v>70</v>
      </c>
      <c r="G24" s="16">
        <v>73998.899999999994</v>
      </c>
      <c r="H24">
        <f t="shared" si="0"/>
        <v>170197.46999999997</v>
      </c>
      <c r="I24">
        <f t="shared" si="1"/>
        <v>73998.899999999994</v>
      </c>
      <c r="J24" s="18">
        <v>73998.899999999994</v>
      </c>
      <c r="K24" s="18">
        <f t="shared" si="2"/>
        <v>73998.899999999994</v>
      </c>
      <c r="L24" s="18">
        <f t="shared" si="3"/>
        <v>170197.46999999997</v>
      </c>
      <c r="M24">
        <f t="shared" si="4"/>
        <v>170197.46999999997</v>
      </c>
      <c r="N24">
        <f t="shared" si="5"/>
        <v>171000</v>
      </c>
      <c r="O24" s="16">
        <v>76953</v>
      </c>
      <c r="P24" s="16">
        <f t="shared" si="6"/>
        <v>76953</v>
      </c>
      <c r="Q24" s="16">
        <f t="shared" si="7"/>
        <v>165064.185</v>
      </c>
      <c r="R24" s="16">
        <f t="shared" si="8"/>
        <v>165064.185</v>
      </c>
    </row>
    <row r="25" spans="1:18" x14ac:dyDescent="0.25">
      <c r="A25" s="5"/>
      <c r="B25" s="4" t="s">
        <v>136</v>
      </c>
      <c r="C25" s="7">
        <v>1</v>
      </c>
      <c r="D25" s="8" t="s">
        <v>8</v>
      </c>
      <c r="E25" s="4" t="s">
        <v>9</v>
      </c>
      <c r="F25" s="7" t="s">
        <v>70</v>
      </c>
      <c r="G25" s="16">
        <v>305862.25</v>
      </c>
      <c r="H25">
        <f t="shared" si="0"/>
        <v>703483.17499999993</v>
      </c>
      <c r="I25">
        <f t="shared" si="1"/>
        <v>305862.25</v>
      </c>
      <c r="J25" s="18">
        <v>305862.25</v>
      </c>
      <c r="K25" s="18">
        <f t="shared" si="2"/>
        <v>305862.25</v>
      </c>
      <c r="L25" s="18">
        <f t="shared" si="3"/>
        <v>703483.17499999993</v>
      </c>
      <c r="M25">
        <f t="shared" si="4"/>
        <v>703483.17499999993</v>
      </c>
      <c r="N25">
        <f t="shared" si="5"/>
        <v>704000</v>
      </c>
      <c r="O25" s="16">
        <v>302086.8</v>
      </c>
      <c r="P25" s="16">
        <f t="shared" si="6"/>
        <v>302086.8</v>
      </c>
      <c r="Q25" s="16">
        <f t="shared" si="7"/>
        <v>647976.18599999999</v>
      </c>
      <c r="R25" s="16">
        <f t="shared" si="8"/>
        <v>647976.18599999999</v>
      </c>
    </row>
    <row r="26" spans="1:18" x14ac:dyDescent="0.25">
      <c r="A26" s="5"/>
      <c r="B26" s="4" t="s">
        <v>72</v>
      </c>
      <c r="C26" s="7">
        <v>1</v>
      </c>
      <c r="D26" s="8" t="s">
        <v>8</v>
      </c>
      <c r="E26" s="4" t="s">
        <v>9</v>
      </c>
      <c r="F26" s="7" t="s">
        <v>73</v>
      </c>
      <c r="G26" s="16">
        <v>226948</v>
      </c>
      <c r="H26">
        <f t="shared" si="0"/>
        <v>521980.39999999997</v>
      </c>
      <c r="I26">
        <f t="shared" si="1"/>
        <v>226948</v>
      </c>
      <c r="J26" s="18">
        <v>226948</v>
      </c>
      <c r="K26" s="18">
        <f t="shared" si="2"/>
        <v>226948</v>
      </c>
      <c r="L26" s="18">
        <f t="shared" si="3"/>
        <v>521980.39999999997</v>
      </c>
      <c r="M26">
        <f t="shared" si="4"/>
        <v>521980.39999999997</v>
      </c>
      <c r="N26">
        <f t="shared" si="5"/>
        <v>522000</v>
      </c>
      <c r="O26" s="16">
        <v>187350</v>
      </c>
      <c r="P26" s="16">
        <f t="shared" si="6"/>
        <v>187350</v>
      </c>
      <c r="Q26" s="16">
        <f t="shared" si="7"/>
        <v>401865.75</v>
      </c>
      <c r="R26" s="16">
        <f t="shared" si="8"/>
        <v>401865.75</v>
      </c>
    </row>
    <row r="27" spans="1:18" x14ac:dyDescent="0.25">
      <c r="A27" s="5"/>
      <c r="B27" s="4" t="s">
        <v>74</v>
      </c>
      <c r="C27" s="7">
        <v>1</v>
      </c>
      <c r="D27" s="8" t="s">
        <v>8</v>
      </c>
      <c r="E27" s="4" t="s">
        <v>9</v>
      </c>
      <c r="F27" s="7" t="s">
        <v>73</v>
      </c>
      <c r="G27" s="16">
        <v>73657.899999999994</v>
      </c>
      <c r="H27">
        <f t="shared" si="0"/>
        <v>169413.16999999998</v>
      </c>
      <c r="I27">
        <f t="shared" si="1"/>
        <v>73657.899999999994</v>
      </c>
      <c r="J27" s="18">
        <v>73657.899999999994</v>
      </c>
      <c r="K27" s="18">
        <f t="shared" si="2"/>
        <v>73657.899999999994</v>
      </c>
      <c r="L27" s="18">
        <f t="shared" si="3"/>
        <v>169413.16999999998</v>
      </c>
      <c r="M27">
        <f t="shared" si="4"/>
        <v>169413.16999999998</v>
      </c>
      <c r="N27">
        <f t="shared" si="5"/>
        <v>170000</v>
      </c>
      <c r="O27" s="16">
        <v>76704</v>
      </c>
      <c r="P27" s="16">
        <f t="shared" si="6"/>
        <v>76704</v>
      </c>
      <c r="Q27" s="16">
        <f t="shared" si="7"/>
        <v>164530.07999999999</v>
      </c>
      <c r="R27" s="16">
        <f t="shared" si="8"/>
        <v>164530.07999999999</v>
      </c>
    </row>
    <row r="28" spans="1:18" x14ac:dyDescent="0.25">
      <c r="A28" s="5"/>
      <c r="B28" s="4" t="s">
        <v>137</v>
      </c>
      <c r="C28" s="7">
        <v>1</v>
      </c>
      <c r="D28" s="8" t="s">
        <v>8</v>
      </c>
      <c r="E28" s="4" t="s">
        <v>9</v>
      </c>
      <c r="F28" s="7" t="s">
        <v>73</v>
      </c>
      <c r="G28" s="16">
        <v>305313.34999999998</v>
      </c>
      <c r="H28">
        <f t="shared" si="0"/>
        <v>702220.70499999984</v>
      </c>
      <c r="I28">
        <f t="shared" si="1"/>
        <v>305313.34999999998</v>
      </c>
      <c r="J28" s="18">
        <v>305313.34999999998</v>
      </c>
      <c r="K28" s="18">
        <f t="shared" si="2"/>
        <v>305313.34999999998</v>
      </c>
      <c r="L28" s="18">
        <f t="shared" si="3"/>
        <v>702220.70499999984</v>
      </c>
      <c r="M28">
        <f t="shared" si="4"/>
        <v>702220.70499999984</v>
      </c>
      <c r="N28">
        <f t="shared" si="5"/>
        <v>703000</v>
      </c>
      <c r="O28" s="16">
        <v>302086.8</v>
      </c>
      <c r="P28" s="16">
        <f t="shared" si="6"/>
        <v>302086.8</v>
      </c>
      <c r="Q28" s="16">
        <f t="shared" si="7"/>
        <v>647976.18599999999</v>
      </c>
      <c r="R28" s="16">
        <f t="shared" si="8"/>
        <v>647976.18599999999</v>
      </c>
    </row>
    <row r="29" spans="1:18" x14ac:dyDescent="0.25">
      <c r="A29" s="5"/>
      <c r="B29" s="4" t="s">
        <v>75</v>
      </c>
      <c r="C29" s="7">
        <v>1</v>
      </c>
      <c r="D29" s="8" t="s">
        <v>8</v>
      </c>
      <c r="E29" s="4" t="s">
        <v>9</v>
      </c>
      <c r="F29" s="7" t="s">
        <v>76</v>
      </c>
      <c r="G29" s="16">
        <v>327390.5</v>
      </c>
      <c r="H29">
        <f t="shared" si="0"/>
        <v>752998.14999999991</v>
      </c>
      <c r="I29">
        <f t="shared" si="1"/>
        <v>327390.5</v>
      </c>
      <c r="J29" s="18">
        <v>327390.5</v>
      </c>
      <c r="K29" s="18">
        <f t="shared" si="2"/>
        <v>327390.5</v>
      </c>
      <c r="L29" s="18">
        <f t="shared" si="3"/>
        <v>752998.14999999991</v>
      </c>
      <c r="M29">
        <f t="shared" si="4"/>
        <v>752998.14999999991</v>
      </c>
      <c r="N29">
        <f t="shared" si="5"/>
        <v>753000</v>
      </c>
      <c r="O29" s="16">
        <v>471813.2</v>
      </c>
      <c r="P29" s="16">
        <f t="shared" si="6"/>
        <v>471813.2</v>
      </c>
      <c r="Q29" s="16">
        <f t="shared" si="7"/>
        <v>1012039.314</v>
      </c>
      <c r="R29" s="16">
        <f t="shared" si="8"/>
        <v>1012039.314</v>
      </c>
    </row>
    <row r="30" spans="1:18" x14ac:dyDescent="0.25">
      <c r="A30" s="5"/>
      <c r="B30" s="4" t="s">
        <v>77</v>
      </c>
      <c r="C30" s="7">
        <v>1</v>
      </c>
      <c r="D30" s="8" t="s">
        <v>8</v>
      </c>
      <c r="E30" s="4" t="s">
        <v>9</v>
      </c>
      <c r="F30" s="7" t="s">
        <v>76</v>
      </c>
      <c r="G30" s="16">
        <v>226948</v>
      </c>
      <c r="H30">
        <f t="shared" si="0"/>
        <v>521980.39999999997</v>
      </c>
      <c r="I30">
        <f t="shared" si="1"/>
        <v>226948</v>
      </c>
      <c r="J30" s="18">
        <v>226948</v>
      </c>
      <c r="K30" s="18">
        <f t="shared" si="2"/>
        <v>226948</v>
      </c>
      <c r="L30" s="18">
        <f t="shared" si="3"/>
        <v>521980.39999999997</v>
      </c>
      <c r="M30">
        <f t="shared" si="4"/>
        <v>521980.39999999997</v>
      </c>
      <c r="N30">
        <f t="shared" si="5"/>
        <v>522000</v>
      </c>
      <c r="O30" s="16">
        <v>187350</v>
      </c>
      <c r="P30" s="16">
        <f t="shared" si="6"/>
        <v>187350</v>
      </c>
      <c r="Q30" s="16">
        <f t="shared" si="7"/>
        <v>401865.75</v>
      </c>
      <c r="R30" s="16">
        <f t="shared" si="8"/>
        <v>401865.75</v>
      </c>
    </row>
    <row r="31" spans="1:18" x14ac:dyDescent="0.25">
      <c r="A31" s="5"/>
      <c r="B31" s="4" t="s">
        <v>78</v>
      </c>
      <c r="C31" s="7">
        <v>1</v>
      </c>
      <c r="D31" s="8" t="s">
        <v>8</v>
      </c>
      <c r="E31" s="4" t="s">
        <v>9</v>
      </c>
      <c r="F31" s="7" t="s">
        <v>76</v>
      </c>
      <c r="G31" s="16">
        <v>73657.899999999994</v>
      </c>
      <c r="H31">
        <f t="shared" si="0"/>
        <v>169413.16999999998</v>
      </c>
      <c r="I31">
        <f t="shared" si="1"/>
        <v>73657.899999999994</v>
      </c>
      <c r="J31" s="18">
        <v>73657.899999999994</v>
      </c>
      <c r="K31" s="18">
        <f t="shared" si="2"/>
        <v>73657.899999999994</v>
      </c>
      <c r="L31" s="18">
        <f t="shared" si="3"/>
        <v>169413.16999999998</v>
      </c>
      <c r="M31">
        <f t="shared" si="4"/>
        <v>169413.16999999998</v>
      </c>
      <c r="N31">
        <f t="shared" si="5"/>
        <v>170000</v>
      </c>
      <c r="O31" s="16">
        <v>76704</v>
      </c>
      <c r="P31" s="16">
        <f t="shared" si="6"/>
        <v>76704</v>
      </c>
      <c r="Q31" s="16">
        <f t="shared" si="7"/>
        <v>164530.07999999999</v>
      </c>
      <c r="R31" s="16">
        <f t="shared" si="8"/>
        <v>164530.07999999999</v>
      </c>
    </row>
    <row r="32" spans="1:18" x14ac:dyDescent="0.25">
      <c r="A32" s="5"/>
      <c r="B32" s="4" t="s">
        <v>138</v>
      </c>
      <c r="C32" s="7">
        <v>1</v>
      </c>
      <c r="D32" s="8" t="s">
        <v>8</v>
      </c>
      <c r="E32" s="4" t="s">
        <v>9</v>
      </c>
      <c r="F32" s="7" t="s">
        <v>76</v>
      </c>
      <c r="G32" s="16">
        <v>305313.34999999998</v>
      </c>
      <c r="H32">
        <f t="shared" si="0"/>
        <v>702220.70499999984</v>
      </c>
      <c r="I32">
        <f t="shared" si="1"/>
        <v>305313.34999999998</v>
      </c>
      <c r="J32" s="18">
        <v>305313.34999999998</v>
      </c>
      <c r="K32" s="18">
        <f t="shared" si="2"/>
        <v>305313.34999999998</v>
      </c>
      <c r="L32" s="18">
        <f t="shared" si="3"/>
        <v>702220.70499999984</v>
      </c>
      <c r="M32">
        <f t="shared" si="4"/>
        <v>702220.70499999984</v>
      </c>
      <c r="N32">
        <f t="shared" si="5"/>
        <v>703000</v>
      </c>
      <c r="O32" s="16">
        <v>302086.8</v>
      </c>
      <c r="P32" s="16">
        <f t="shared" si="6"/>
        <v>302086.8</v>
      </c>
      <c r="Q32" s="16">
        <f t="shared" si="7"/>
        <v>647976.18599999999</v>
      </c>
      <c r="R32" s="16">
        <f t="shared" si="8"/>
        <v>647976.18599999999</v>
      </c>
    </row>
    <row r="33" spans="1:18" x14ac:dyDescent="0.25">
      <c r="A33" s="5"/>
      <c r="B33" s="4" t="s">
        <v>79</v>
      </c>
      <c r="C33" s="7">
        <v>1</v>
      </c>
      <c r="D33" s="8" t="s">
        <v>8</v>
      </c>
      <c r="E33" s="4" t="s">
        <v>9</v>
      </c>
      <c r="F33" s="7" t="s">
        <v>80</v>
      </c>
      <c r="G33" s="16">
        <v>327390.5</v>
      </c>
      <c r="H33">
        <f t="shared" si="0"/>
        <v>752998.14999999991</v>
      </c>
      <c r="I33">
        <f t="shared" si="1"/>
        <v>327390.5</v>
      </c>
      <c r="J33" s="18">
        <v>327390.5</v>
      </c>
      <c r="K33" s="18">
        <f t="shared" si="2"/>
        <v>327390.5</v>
      </c>
      <c r="L33" s="18">
        <f t="shared" si="3"/>
        <v>752998.14999999991</v>
      </c>
      <c r="M33">
        <f t="shared" si="4"/>
        <v>752998.14999999991</v>
      </c>
      <c r="N33">
        <f t="shared" si="5"/>
        <v>753000</v>
      </c>
      <c r="O33" s="16">
        <v>471813.2</v>
      </c>
      <c r="P33" s="16">
        <f t="shared" si="6"/>
        <v>471813.2</v>
      </c>
      <c r="Q33" s="16">
        <f t="shared" si="7"/>
        <v>1012039.314</v>
      </c>
      <c r="R33" s="16">
        <f t="shared" si="8"/>
        <v>1012039.314</v>
      </c>
    </row>
    <row r="34" spans="1:18" x14ac:dyDescent="0.25">
      <c r="A34" s="5"/>
      <c r="B34" s="4" t="s">
        <v>81</v>
      </c>
      <c r="C34" s="7">
        <v>1</v>
      </c>
      <c r="D34" s="8" t="s">
        <v>8</v>
      </c>
      <c r="E34" s="4" t="s">
        <v>9</v>
      </c>
      <c r="F34" s="7" t="s">
        <v>80</v>
      </c>
      <c r="G34" s="16">
        <v>226948</v>
      </c>
      <c r="H34">
        <f t="shared" si="0"/>
        <v>521980.39999999997</v>
      </c>
      <c r="I34">
        <f t="shared" si="1"/>
        <v>226948</v>
      </c>
      <c r="J34" s="18">
        <v>226948</v>
      </c>
      <c r="K34" s="18">
        <f t="shared" si="2"/>
        <v>226948</v>
      </c>
      <c r="L34" s="18">
        <f t="shared" si="3"/>
        <v>521980.39999999997</v>
      </c>
      <c r="M34">
        <f t="shared" si="4"/>
        <v>521980.39999999997</v>
      </c>
      <c r="N34">
        <f t="shared" si="5"/>
        <v>522000</v>
      </c>
      <c r="O34" s="16">
        <v>187350</v>
      </c>
      <c r="P34" s="16">
        <f t="shared" si="6"/>
        <v>187350</v>
      </c>
      <c r="Q34" s="16">
        <f t="shared" si="7"/>
        <v>401865.75</v>
      </c>
      <c r="R34" s="16">
        <f t="shared" si="8"/>
        <v>401865.75</v>
      </c>
    </row>
    <row r="35" spans="1:18" x14ac:dyDescent="0.25">
      <c r="A35" s="5"/>
      <c r="B35" s="4" t="s">
        <v>82</v>
      </c>
      <c r="C35" s="7">
        <v>1</v>
      </c>
      <c r="D35" s="8" t="s">
        <v>8</v>
      </c>
      <c r="E35" s="4" t="s">
        <v>9</v>
      </c>
      <c r="F35" s="7" t="s">
        <v>80</v>
      </c>
      <c r="G35" s="16">
        <v>73657.899999999994</v>
      </c>
      <c r="H35">
        <f t="shared" si="0"/>
        <v>169413.16999999998</v>
      </c>
      <c r="I35">
        <f t="shared" si="1"/>
        <v>73657.899999999994</v>
      </c>
      <c r="J35" s="18">
        <v>73657.899999999994</v>
      </c>
      <c r="K35" s="18">
        <f t="shared" si="2"/>
        <v>73657.899999999994</v>
      </c>
      <c r="L35" s="18">
        <f t="shared" si="3"/>
        <v>169413.16999999998</v>
      </c>
      <c r="M35">
        <f t="shared" si="4"/>
        <v>169413.16999999998</v>
      </c>
      <c r="N35">
        <f t="shared" si="5"/>
        <v>170000</v>
      </c>
      <c r="O35" s="16">
        <v>76704</v>
      </c>
      <c r="P35" s="16">
        <f t="shared" si="6"/>
        <v>76704</v>
      </c>
      <c r="Q35" s="16">
        <f t="shared" si="7"/>
        <v>164530.07999999999</v>
      </c>
      <c r="R35" s="16">
        <f t="shared" si="8"/>
        <v>164530.07999999999</v>
      </c>
    </row>
    <row r="36" spans="1:18" x14ac:dyDescent="0.25">
      <c r="A36" s="5"/>
      <c r="B36" s="4" t="s">
        <v>139</v>
      </c>
      <c r="C36" s="7">
        <v>1</v>
      </c>
      <c r="D36" s="8" t="s">
        <v>8</v>
      </c>
      <c r="E36" s="4" t="s">
        <v>9</v>
      </c>
      <c r="F36" s="7" t="s">
        <v>80</v>
      </c>
      <c r="G36" s="16">
        <v>305313.34999999998</v>
      </c>
      <c r="H36">
        <f t="shared" si="0"/>
        <v>702220.70499999984</v>
      </c>
      <c r="I36">
        <f t="shared" si="1"/>
        <v>305313.34999999998</v>
      </c>
      <c r="J36" s="18">
        <v>305313.34999999998</v>
      </c>
      <c r="K36" s="18">
        <f t="shared" si="2"/>
        <v>305313.34999999998</v>
      </c>
      <c r="L36" s="18">
        <f t="shared" si="3"/>
        <v>702220.70499999984</v>
      </c>
      <c r="M36">
        <f t="shared" si="4"/>
        <v>702220.70499999984</v>
      </c>
      <c r="N36">
        <f t="shared" si="5"/>
        <v>703000</v>
      </c>
      <c r="O36" s="16">
        <v>302086.8</v>
      </c>
      <c r="P36" s="16">
        <f t="shared" si="6"/>
        <v>302086.8</v>
      </c>
      <c r="Q36" s="16">
        <f t="shared" si="7"/>
        <v>647976.18599999999</v>
      </c>
      <c r="R36" s="16">
        <f t="shared" si="8"/>
        <v>647976.18599999999</v>
      </c>
    </row>
    <row r="37" spans="1:18" x14ac:dyDescent="0.25">
      <c r="A37" s="5"/>
      <c r="B37" s="4" t="s">
        <v>83</v>
      </c>
      <c r="C37" s="7">
        <v>1</v>
      </c>
      <c r="D37" s="8" t="s">
        <v>8</v>
      </c>
      <c r="E37" s="4" t="s">
        <v>9</v>
      </c>
      <c r="F37" s="7" t="s">
        <v>84</v>
      </c>
      <c r="G37" s="16">
        <v>226948</v>
      </c>
      <c r="H37">
        <f t="shared" si="0"/>
        <v>521980.39999999997</v>
      </c>
      <c r="I37">
        <f t="shared" si="1"/>
        <v>226948</v>
      </c>
      <c r="J37" s="18">
        <v>226948</v>
      </c>
      <c r="K37" s="18">
        <f t="shared" si="2"/>
        <v>226948</v>
      </c>
      <c r="L37" s="18">
        <f t="shared" si="3"/>
        <v>521980.39999999997</v>
      </c>
      <c r="M37">
        <f t="shared" si="4"/>
        <v>521980.39999999997</v>
      </c>
      <c r="N37">
        <f t="shared" si="5"/>
        <v>522000</v>
      </c>
      <c r="O37" s="16">
        <v>187350</v>
      </c>
      <c r="P37" s="16">
        <f t="shared" si="6"/>
        <v>187350</v>
      </c>
      <c r="Q37" s="16">
        <f t="shared" si="7"/>
        <v>401865.75</v>
      </c>
      <c r="R37" s="16">
        <f t="shared" si="8"/>
        <v>401865.75</v>
      </c>
    </row>
    <row r="38" spans="1:18" x14ac:dyDescent="0.25">
      <c r="A38" s="5"/>
      <c r="B38" s="4" t="s">
        <v>85</v>
      </c>
      <c r="C38" s="7">
        <v>1</v>
      </c>
      <c r="D38" s="8" t="s">
        <v>8</v>
      </c>
      <c r="E38" s="4" t="s">
        <v>9</v>
      </c>
      <c r="F38" s="7" t="s">
        <v>84</v>
      </c>
      <c r="G38" s="16">
        <v>73657.899999999994</v>
      </c>
      <c r="H38">
        <f t="shared" si="0"/>
        <v>169413.16999999998</v>
      </c>
      <c r="I38">
        <f t="shared" si="1"/>
        <v>73657.899999999994</v>
      </c>
      <c r="J38" s="18">
        <v>73657.899999999994</v>
      </c>
      <c r="K38" s="18">
        <f t="shared" si="2"/>
        <v>73657.899999999994</v>
      </c>
      <c r="L38" s="18">
        <f t="shared" si="3"/>
        <v>169413.16999999998</v>
      </c>
      <c r="M38">
        <f t="shared" si="4"/>
        <v>169413.16999999998</v>
      </c>
      <c r="N38">
        <f t="shared" si="5"/>
        <v>170000</v>
      </c>
      <c r="O38" s="16">
        <v>76704</v>
      </c>
      <c r="P38" s="16">
        <f t="shared" si="6"/>
        <v>76704</v>
      </c>
      <c r="Q38" s="16">
        <f t="shared" si="7"/>
        <v>164530.07999999999</v>
      </c>
      <c r="R38" s="16">
        <f t="shared" si="8"/>
        <v>164530.07999999999</v>
      </c>
    </row>
    <row r="39" spans="1:18" x14ac:dyDescent="0.25">
      <c r="A39" s="5"/>
      <c r="B39" s="4" t="s">
        <v>140</v>
      </c>
      <c r="C39" s="7">
        <v>1</v>
      </c>
      <c r="D39" s="8" t="s">
        <v>8</v>
      </c>
      <c r="E39" s="4" t="s">
        <v>9</v>
      </c>
      <c r="F39" s="7" t="s">
        <v>84</v>
      </c>
      <c r="G39" s="16">
        <v>305313.34999999998</v>
      </c>
      <c r="H39">
        <f t="shared" si="0"/>
        <v>702220.70499999984</v>
      </c>
      <c r="I39">
        <f t="shared" si="1"/>
        <v>305313.34999999998</v>
      </c>
      <c r="J39" s="18">
        <v>305313.34999999998</v>
      </c>
      <c r="K39" s="18">
        <f t="shared" si="2"/>
        <v>305313.34999999998</v>
      </c>
      <c r="L39" s="18">
        <f t="shared" si="3"/>
        <v>702220.70499999984</v>
      </c>
      <c r="M39">
        <f t="shared" si="4"/>
        <v>702220.70499999984</v>
      </c>
      <c r="N39">
        <f t="shared" si="5"/>
        <v>703000</v>
      </c>
      <c r="O39" s="16">
        <v>302086.8</v>
      </c>
      <c r="P39" s="16">
        <f t="shared" si="6"/>
        <v>302086.8</v>
      </c>
      <c r="Q39" s="16">
        <f t="shared" si="7"/>
        <v>647976.18599999999</v>
      </c>
      <c r="R39" s="16">
        <f t="shared" si="8"/>
        <v>647976.18599999999</v>
      </c>
    </row>
    <row r="40" spans="1:18" x14ac:dyDescent="0.25">
      <c r="A40" s="5"/>
      <c r="B40" s="4" t="s">
        <v>86</v>
      </c>
      <c r="C40" s="7">
        <v>1</v>
      </c>
      <c r="D40" s="8" t="s">
        <v>8</v>
      </c>
      <c r="E40" s="4" t="s">
        <v>9</v>
      </c>
      <c r="F40" s="7" t="s">
        <v>87</v>
      </c>
      <c r="G40" s="16">
        <v>195516.59999999998</v>
      </c>
      <c r="H40">
        <f t="shared" si="0"/>
        <v>449688.17999999993</v>
      </c>
      <c r="I40">
        <f t="shared" si="1"/>
        <v>195516.59999999998</v>
      </c>
      <c r="J40" s="18">
        <v>195516.59999999998</v>
      </c>
      <c r="K40" s="18">
        <f t="shared" si="2"/>
        <v>195516.59999999998</v>
      </c>
      <c r="L40" s="18">
        <f t="shared" si="3"/>
        <v>449688.17999999993</v>
      </c>
      <c r="M40">
        <f t="shared" si="4"/>
        <v>449688.17999999993</v>
      </c>
      <c r="N40">
        <f t="shared" si="5"/>
        <v>450000</v>
      </c>
      <c r="O40" s="16">
        <v>184584</v>
      </c>
      <c r="P40" s="16">
        <f t="shared" si="6"/>
        <v>184584</v>
      </c>
      <c r="Q40" s="16">
        <f t="shared" si="7"/>
        <v>395932.68</v>
      </c>
      <c r="R40" s="16">
        <f t="shared" si="8"/>
        <v>395932.68</v>
      </c>
    </row>
    <row r="41" spans="1:18" x14ac:dyDescent="0.25">
      <c r="A41" s="5"/>
      <c r="B41" s="4" t="s">
        <v>88</v>
      </c>
      <c r="C41" s="7">
        <v>1</v>
      </c>
      <c r="D41" s="8" t="s">
        <v>8</v>
      </c>
      <c r="E41" s="4" t="s">
        <v>9</v>
      </c>
      <c r="F41" s="7" t="s">
        <v>87</v>
      </c>
      <c r="G41" s="16">
        <v>73998.899999999994</v>
      </c>
      <c r="H41">
        <f t="shared" si="0"/>
        <v>170197.46999999997</v>
      </c>
      <c r="I41">
        <f t="shared" si="1"/>
        <v>73998.899999999994</v>
      </c>
      <c r="J41" s="18">
        <v>73998.899999999994</v>
      </c>
      <c r="K41" s="18">
        <f t="shared" si="2"/>
        <v>73998.899999999994</v>
      </c>
      <c r="L41" s="18">
        <f t="shared" si="3"/>
        <v>170197.46999999997</v>
      </c>
      <c r="M41">
        <f t="shared" si="4"/>
        <v>170197.46999999997</v>
      </c>
      <c r="N41">
        <f t="shared" si="5"/>
        <v>171000</v>
      </c>
      <c r="O41" s="16">
        <v>76953</v>
      </c>
      <c r="P41" s="16">
        <f t="shared" si="6"/>
        <v>76953</v>
      </c>
      <c r="Q41" s="16">
        <f t="shared" si="7"/>
        <v>165064.185</v>
      </c>
      <c r="R41" s="16">
        <f t="shared" si="8"/>
        <v>165064.185</v>
      </c>
    </row>
    <row r="42" spans="1:18" x14ac:dyDescent="0.25">
      <c r="A42" s="5"/>
      <c r="B42" s="4" t="s">
        <v>141</v>
      </c>
      <c r="C42" s="7">
        <v>1</v>
      </c>
      <c r="D42" s="8" t="s">
        <v>8</v>
      </c>
      <c r="E42" s="4" t="s">
        <v>9</v>
      </c>
      <c r="F42" s="7" t="s">
        <v>87</v>
      </c>
      <c r="G42" s="16">
        <v>305862.25</v>
      </c>
      <c r="H42">
        <f t="shared" si="0"/>
        <v>703483.17499999993</v>
      </c>
      <c r="I42">
        <f t="shared" si="1"/>
        <v>305862.25</v>
      </c>
      <c r="J42" s="18">
        <v>305862.25</v>
      </c>
      <c r="K42" s="18">
        <f t="shared" si="2"/>
        <v>305862.25</v>
      </c>
      <c r="L42" s="18">
        <f t="shared" si="3"/>
        <v>703483.17499999993</v>
      </c>
      <c r="M42">
        <f t="shared" si="4"/>
        <v>703483.17499999993</v>
      </c>
      <c r="N42">
        <f t="shared" si="5"/>
        <v>704000</v>
      </c>
      <c r="O42" s="16">
        <v>302086.8</v>
      </c>
      <c r="P42" s="16">
        <f t="shared" si="6"/>
        <v>302086.8</v>
      </c>
      <c r="Q42" s="16">
        <f t="shared" si="7"/>
        <v>647976.18599999999</v>
      </c>
      <c r="R42" s="16">
        <f t="shared" si="8"/>
        <v>647976.18599999999</v>
      </c>
    </row>
    <row r="43" spans="1:18" x14ac:dyDescent="0.25">
      <c r="A43" s="5"/>
      <c r="B43" s="4" t="s">
        <v>89</v>
      </c>
      <c r="C43" s="7">
        <v>1</v>
      </c>
      <c r="D43" s="8" t="s">
        <v>8</v>
      </c>
      <c r="E43" s="4" t="s">
        <v>9</v>
      </c>
      <c r="F43" s="7" t="s">
        <v>90</v>
      </c>
      <c r="G43" s="16">
        <v>327390.5</v>
      </c>
      <c r="H43">
        <f t="shared" si="0"/>
        <v>752998.14999999991</v>
      </c>
      <c r="I43">
        <f t="shared" si="1"/>
        <v>327390.5</v>
      </c>
      <c r="J43" s="18">
        <v>327390.5</v>
      </c>
      <c r="K43" s="18">
        <f t="shared" si="2"/>
        <v>327390.5</v>
      </c>
      <c r="L43" s="18">
        <f t="shared" si="3"/>
        <v>752998.14999999991</v>
      </c>
      <c r="M43">
        <f t="shared" si="4"/>
        <v>752998.14999999991</v>
      </c>
      <c r="N43">
        <f t="shared" si="5"/>
        <v>753000</v>
      </c>
      <c r="O43" s="16">
        <v>471813.2</v>
      </c>
      <c r="P43" s="16">
        <f t="shared" si="6"/>
        <v>471813.2</v>
      </c>
      <c r="Q43" s="16">
        <f t="shared" si="7"/>
        <v>1012039.314</v>
      </c>
      <c r="R43" s="16">
        <f t="shared" si="8"/>
        <v>1012039.314</v>
      </c>
    </row>
    <row r="44" spans="1:18" x14ac:dyDescent="0.25">
      <c r="A44" s="5"/>
      <c r="B44" s="4" t="s">
        <v>91</v>
      </c>
      <c r="C44" s="7">
        <v>1</v>
      </c>
      <c r="D44" s="8" t="s">
        <v>8</v>
      </c>
      <c r="E44" s="4" t="s">
        <v>9</v>
      </c>
      <c r="F44" s="7" t="s">
        <v>90</v>
      </c>
      <c r="G44" s="16">
        <v>204725.8</v>
      </c>
      <c r="H44">
        <f t="shared" si="0"/>
        <v>470869.33999999991</v>
      </c>
      <c r="I44">
        <f t="shared" si="1"/>
        <v>204725.8</v>
      </c>
      <c r="J44" s="18">
        <v>204725.8</v>
      </c>
      <c r="K44" s="18">
        <f t="shared" si="2"/>
        <v>204725.8</v>
      </c>
      <c r="L44" s="18">
        <f t="shared" si="3"/>
        <v>470869.33999999991</v>
      </c>
      <c r="M44">
        <f t="shared" si="4"/>
        <v>470869.33999999991</v>
      </c>
      <c r="N44">
        <f t="shared" si="5"/>
        <v>471000</v>
      </c>
      <c r="O44" s="16">
        <v>186939</v>
      </c>
      <c r="P44" s="16">
        <f t="shared" si="6"/>
        <v>186939</v>
      </c>
      <c r="Q44" s="16">
        <f t="shared" si="7"/>
        <v>400984.15500000003</v>
      </c>
      <c r="R44" s="16">
        <f t="shared" si="8"/>
        <v>400984.15500000003</v>
      </c>
    </row>
    <row r="45" spans="1:18" x14ac:dyDescent="0.25">
      <c r="A45" s="5"/>
      <c r="B45" s="4" t="s">
        <v>92</v>
      </c>
      <c r="C45" s="7">
        <v>1</v>
      </c>
      <c r="D45" s="8" t="s">
        <v>8</v>
      </c>
      <c r="E45" s="4" t="s">
        <v>9</v>
      </c>
      <c r="F45" s="7" t="s">
        <v>90</v>
      </c>
      <c r="G45" s="16">
        <v>73998.899999999994</v>
      </c>
      <c r="H45">
        <f t="shared" si="0"/>
        <v>170197.46999999997</v>
      </c>
      <c r="I45">
        <f t="shared" si="1"/>
        <v>73998.899999999994</v>
      </c>
      <c r="J45" s="18">
        <v>73998.899999999994</v>
      </c>
      <c r="K45" s="18">
        <f t="shared" si="2"/>
        <v>73998.899999999994</v>
      </c>
      <c r="L45" s="18">
        <f t="shared" si="3"/>
        <v>170197.46999999997</v>
      </c>
      <c r="M45">
        <f t="shared" si="4"/>
        <v>170197.46999999997</v>
      </c>
      <c r="N45">
        <f t="shared" si="5"/>
        <v>171000</v>
      </c>
      <c r="O45" s="16">
        <v>76953</v>
      </c>
      <c r="P45" s="16">
        <f t="shared" si="6"/>
        <v>76953</v>
      </c>
      <c r="Q45" s="16">
        <f t="shared" si="7"/>
        <v>165064.185</v>
      </c>
      <c r="R45" s="16">
        <f t="shared" si="8"/>
        <v>165064.185</v>
      </c>
    </row>
    <row r="46" spans="1:18" x14ac:dyDescent="0.25">
      <c r="A46" s="5"/>
      <c r="B46" s="4" t="s">
        <v>142</v>
      </c>
      <c r="C46" s="7">
        <v>1</v>
      </c>
      <c r="D46" s="8" t="s">
        <v>8</v>
      </c>
      <c r="E46" s="4" t="s">
        <v>9</v>
      </c>
      <c r="F46" s="7" t="s">
        <v>90</v>
      </c>
      <c r="G46" s="16">
        <v>300158.20000000007</v>
      </c>
      <c r="H46">
        <f t="shared" si="0"/>
        <v>690363.8600000001</v>
      </c>
      <c r="I46">
        <f t="shared" si="1"/>
        <v>300158.20000000007</v>
      </c>
      <c r="J46" s="18">
        <v>300158.20000000007</v>
      </c>
      <c r="K46" s="18">
        <f t="shared" si="2"/>
        <v>300158.20000000007</v>
      </c>
      <c r="L46" s="18">
        <f t="shared" si="3"/>
        <v>690363.8600000001</v>
      </c>
      <c r="M46">
        <f t="shared" si="4"/>
        <v>690363.8600000001</v>
      </c>
      <c r="N46">
        <f t="shared" si="5"/>
        <v>691000</v>
      </c>
      <c r="O46" s="16">
        <v>303310.19999999995</v>
      </c>
      <c r="P46" s="16">
        <f t="shared" si="6"/>
        <v>303310.19999999995</v>
      </c>
      <c r="Q46" s="16">
        <f t="shared" si="7"/>
        <v>650600.37899999996</v>
      </c>
      <c r="R46" s="16">
        <f t="shared" si="8"/>
        <v>650600.37899999996</v>
      </c>
    </row>
    <row r="47" spans="1:18" x14ac:dyDescent="0.25">
      <c r="A47" s="5"/>
      <c r="B47" s="4" t="s">
        <v>93</v>
      </c>
      <c r="C47" s="7">
        <v>1</v>
      </c>
      <c r="D47" s="8" t="s">
        <v>8</v>
      </c>
      <c r="E47" s="4" t="s">
        <v>9</v>
      </c>
      <c r="F47" s="7" t="s">
        <v>94</v>
      </c>
      <c r="G47" s="16">
        <v>327390.5</v>
      </c>
      <c r="H47">
        <f t="shared" si="0"/>
        <v>752998.14999999991</v>
      </c>
      <c r="I47">
        <f t="shared" si="1"/>
        <v>327390.5</v>
      </c>
      <c r="J47" s="18">
        <v>327390.5</v>
      </c>
      <c r="K47" s="18">
        <f t="shared" si="2"/>
        <v>327390.5</v>
      </c>
      <c r="L47" s="18">
        <f t="shared" si="3"/>
        <v>752998.14999999991</v>
      </c>
      <c r="M47">
        <f t="shared" si="4"/>
        <v>752998.14999999991</v>
      </c>
      <c r="N47">
        <f t="shared" si="5"/>
        <v>753000</v>
      </c>
      <c r="O47" s="16">
        <v>471813.2</v>
      </c>
      <c r="P47" s="16">
        <f t="shared" si="6"/>
        <v>471813.2</v>
      </c>
      <c r="Q47" s="16">
        <f t="shared" si="7"/>
        <v>1012039.314</v>
      </c>
      <c r="R47" s="16">
        <f t="shared" si="8"/>
        <v>1012039.314</v>
      </c>
    </row>
    <row r="48" spans="1:18" x14ac:dyDescent="0.25">
      <c r="A48" s="5"/>
      <c r="B48" s="4" t="s">
        <v>95</v>
      </c>
      <c r="C48" s="7">
        <v>1</v>
      </c>
      <c r="D48" s="8" t="s">
        <v>8</v>
      </c>
      <c r="E48" s="4" t="s">
        <v>9</v>
      </c>
      <c r="F48" s="7" t="s">
        <v>94</v>
      </c>
      <c r="G48" s="16">
        <v>195016.09999999998</v>
      </c>
      <c r="H48">
        <f t="shared" si="0"/>
        <v>448537.02999999991</v>
      </c>
      <c r="I48">
        <f t="shared" si="1"/>
        <v>195016.09999999998</v>
      </c>
      <c r="J48" s="18">
        <v>195016.09999999998</v>
      </c>
      <c r="K48" s="18">
        <f t="shared" si="2"/>
        <v>195016.09999999998</v>
      </c>
      <c r="L48" s="18">
        <f t="shared" si="3"/>
        <v>448537.02999999991</v>
      </c>
      <c r="M48">
        <f t="shared" si="4"/>
        <v>448537.02999999991</v>
      </c>
      <c r="N48">
        <f t="shared" si="5"/>
        <v>449000</v>
      </c>
      <c r="O48" s="16">
        <v>165087</v>
      </c>
      <c r="P48" s="16">
        <f t="shared" si="6"/>
        <v>165087</v>
      </c>
      <c r="Q48" s="16">
        <f t="shared" si="7"/>
        <v>354111.61499999999</v>
      </c>
      <c r="R48" s="16">
        <f t="shared" si="8"/>
        <v>354111.61499999999</v>
      </c>
    </row>
    <row r="49" spans="1:18" x14ac:dyDescent="0.25">
      <c r="A49" s="5"/>
      <c r="B49" s="4" t="s">
        <v>96</v>
      </c>
      <c r="C49" s="7">
        <v>1</v>
      </c>
      <c r="D49" s="8" t="s">
        <v>8</v>
      </c>
      <c r="E49" s="4" t="s">
        <v>9</v>
      </c>
      <c r="F49" s="7" t="s">
        <v>94</v>
      </c>
      <c r="G49" s="16">
        <v>154102.20000000001</v>
      </c>
      <c r="H49">
        <f t="shared" si="0"/>
        <v>354435.06</v>
      </c>
      <c r="I49">
        <f t="shared" si="1"/>
        <v>154102.20000000001</v>
      </c>
      <c r="J49" s="18">
        <v>154102.20000000001</v>
      </c>
      <c r="K49" s="18">
        <f t="shared" si="2"/>
        <v>154102.20000000001</v>
      </c>
      <c r="L49" s="18">
        <f t="shared" si="3"/>
        <v>354435.06</v>
      </c>
      <c r="M49">
        <f t="shared" si="4"/>
        <v>354435.06</v>
      </c>
      <c r="N49">
        <f t="shared" si="5"/>
        <v>355000</v>
      </c>
      <c r="O49" s="16">
        <v>143532</v>
      </c>
      <c r="P49" s="16">
        <f t="shared" si="6"/>
        <v>143532</v>
      </c>
      <c r="Q49" s="16">
        <f t="shared" si="7"/>
        <v>307876.14</v>
      </c>
      <c r="R49" s="16">
        <f t="shared" si="8"/>
        <v>307876.14</v>
      </c>
    </row>
    <row r="50" spans="1:18" x14ac:dyDescent="0.25">
      <c r="A50" s="5"/>
      <c r="B50" s="4" t="s">
        <v>98</v>
      </c>
      <c r="C50" s="7">
        <v>1</v>
      </c>
      <c r="D50" s="8" t="s">
        <v>8</v>
      </c>
      <c r="E50" s="4" t="s">
        <v>9</v>
      </c>
      <c r="F50" s="7" t="s">
        <v>94</v>
      </c>
      <c r="G50" s="16">
        <v>73316.899999999994</v>
      </c>
      <c r="H50">
        <f t="shared" si="0"/>
        <v>168628.86999999997</v>
      </c>
      <c r="I50">
        <f t="shared" si="1"/>
        <v>73316.899999999994</v>
      </c>
      <c r="J50" s="18">
        <v>73316.899999999994</v>
      </c>
      <c r="K50" s="18">
        <f t="shared" si="2"/>
        <v>73316.899999999994</v>
      </c>
      <c r="L50" s="18">
        <f t="shared" si="3"/>
        <v>168628.86999999997</v>
      </c>
      <c r="M50">
        <f t="shared" si="4"/>
        <v>168628.86999999997</v>
      </c>
      <c r="N50">
        <f t="shared" si="5"/>
        <v>169000</v>
      </c>
      <c r="O50" s="16">
        <v>76455</v>
      </c>
      <c r="P50" s="16">
        <f t="shared" si="6"/>
        <v>76455</v>
      </c>
      <c r="Q50" s="16">
        <f t="shared" si="7"/>
        <v>163995.97500000001</v>
      </c>
      <c r="R50" s="16">
        <f t="shared" si="8"/>
        <v>163995.97500000001</v>
      </c>
    </row>
    <row r="51" spans="1:18" x14ac:dyDescent="0.25">
      <c r="A51" s="5"/>
      <c r="B51" s="4" t="s">
        <v>99</v>
      </c>
      <c r="C51" s="7">
        <v>1</v>
      </c>
      <c r="D51" s="8" t="s">
        <v>8</v>
      </c>
      <c r="E51" s="4" t="s">
        <v>9</v>
      </c>
      <c r="F51" s="7" t="s">
        <v>94</v>
      </c>
      <c r="G51" s="16">
        <v>73316.899999999994</v>
      </c>
      <c r="H51">
        <f t="shared" si="0"/>
        <v>168628.86999999997</v>
      </c>
      <c r="I51">
        <f t="shared" si="1"/>
        <v>73316.899999999994</v>
      </c>
      <c r="J51" s="18">
        <v>73316.899999999994</v>
      </c>
      <c r="K51" s="18">
        <f t="shared" si="2"/>
        <v>73316.899999999994</v>
      </c>
      <c r="L51" s="18">
        <f t="shared" si="3"/>
        <v>168628.86999999997</v>
      </c>
      <c r="M51">
        <f t="shared" si="4"/>
        <v>168628.86999999997</v>
      </c>
      <c r="N51">
        <f t="shared" si="5"/>
        <v>169000</v>
      </c>
      <c r="O51" s="16">
        <v>76455</v>
      </c>
      <c r="P51" s="16">
        <f t="shared" si="6"/>
        <v>76455</v>
      </c>
      <c r="Q51" s="16">
        <f t="shared" si="7"/>
        <v>163995.97500000001</v>
      </c>
      <c r="R51" s="16">
        <f t="shared" si="8"/>
        <v>163995.97500000001</v>
      </c>
    </row>
    <row r="52" spans="1:18" x14ac:dyDescent="0.25">
      <c r="A52" s="5"/>
      <c r="B52" s="4" t="s">
        <v>143</v>
      </c>
      <c r="C52" s="7">
        <v>1</v>
      </c>
      <c r="D52" s="8" t="s">
        <v>8</v>
      </c>
      <c r="E52" s="4" t="s">
        <v>9</v>
      </c>
      <c r="F52" s="7" t="s">
        <v>94</v>
      </c>
      <c r="G52" s="16">
        <v>297205.25</v>
      </c>
      <c r="H52">
        <f t="shared" si="0"/>
        <v>683572.07499999995</v>
      </c>
      <c r="I52">
        <f t="shared" si="1"/>
        <v>297205.25</v>
      </c>
      <c r="J52" s="18">
        <v>297205.25</v>
      </c>
      <c r="K52" s="18">
        <f t="shared" si="2"/>
        <v>297205.25</v>
      </c>
      <c r="L52" s="18">
        <f t="shared" si="3"/>
        <v>683572.07499999995</v>
      </c>
      <c r="M52">
        <f t="shared" si="4"/>
        <v>683572.07499999995</v>
      </c>
      <c r="N52">
        <f t="shared" si="5"/>
        <v>684000</v>
      </c>
      <c r="O52" s="16">
        <v>299779.8</v>
      </c>
      <c r="P52" s="16">
        <f t="shared" si="6"/>
        <v>299779.8</v>
      </c>
      <c r="Q52" s="16">
        <f t="shared" si="7"/>
        <v>643027.67099999997</v>
      </c>
      <c r="R52" s="16">
        <f t="shared" si="8"/>
        <v>643027.67099999997</v>
      </c>
    </row>
    <row r="53" spans="1:18" x14ac:dyDescent="0.25">
      <c r="A53" s="5"/>
      <c r="B53" s="4" t="s">
        <v>144</v>
      </c>
      <c r="C53" s="7">
        <v>1</v>
      </c>
      <c r="D53" s="8" t="s">
        <v>8</v>
      </c>
      <c r="E53" s="4" t="s">
        <v>9</v>
      </c>
      <c r="F53" s="7" t="s">
        <v>94</v>
      </c>
      <c r="G53" s="16">
        <v>300158.20000000007</v>
      </c>
      <c r="H53">
        <f t="shared" si="0"/>
        <v>690363.8600000001</v>
      </c>
      <c r="I53">
        <f t="shared" si="1"/>
        <v>300158.20000000007</v>
      </c>
      <c r="J53" s="18">
        <v>300158.20000000007</v>
      </c>
      <c r="K53" s="18">
        <f t="shared" si="2"/>
        <v>300158.20000000007</v>
      </c>
      <c r="L53" s="18">
        <f t="shared" si="3"/>
        <v>690363.8600000001</v>
      </c>
      <c r="M53">
        <f t="shared" si="4"/>
        <v>690363.8600000001</v>
      </c>
      <c r="N53">
        <f t="shared" si="5"/>
        <v>691000</v>
      </c>
      <c r="O53" s="16">
        <v>303310.19999999995</v>
      </c>
      <c r="P53" s="16">
        <f t="shared" si="6"/>
        <v>303310.19999999995</v>
      </c>
      <c r="Q53" s="16">
        <f t="shared" si="7"/>
        <v>650600.37899999996</v>
      </c>
      <c r="R53" s="16">
        <f t="shared" si="8"/>
        <v>650600.37899999996</v>
      </c>
    </row>
    <row r="54" spans="1:18" x14ac:dyDescent="0.25">
      <c r="A54" s="5"/>
      <c r="B54" s="4" t="s">
        <v>100</v>
      </c>
      <c r="C54" s="7">
        <v>1</v>
      </c>
      <c r="D54" s="8" t="s">
        <v>8</v>
      </c>
      <c r="E54" s="4" t="s">
        <v>9</v>
      </c>
      <c r="F54" s="7" t="s">
        <v>101</v>
      </c>
      <c r="G54" s="16">
        <v>327390.5</v>
      </c>
      <c r="H54">
        <f t="shared" si="0"/>
        <v>752998.14999999991</v>
      </c>
      <c r="I54">
        <f t="shared" si="1"/>
        <v>327390.5</v>
      </c>
      <c r="J54" s="18">
        <v>327390.5</v>
      </c>
      <c r="K54" s="18">
        <f t="shared" si="2"/>
        <v>327390.5</v>
      </c>
      <c r="L54" s="18">
        <f t="shared" si="3"/>
        <v>752998.14999999991</v>
      </c>
      <c r="M54">
        <f t="shared" si="4"/>
        <v>752998.14999999991</v>
      </c>
      <c r="N54">
        <f t="shared" si="5"/>
        <v>753000</v>
      </c>
      <c r="O54" s="16">
        <v>471813.2</v>
      </c>
      <c r="P54" s="16">
        <f t="shared" si="6"/>
        <v>471813.2</v>
      </c>
      <c r="Q54" s="16">
        <f t="shared" si="7"/>
        <v>1012039.314</v>
      </c>
      <c r="R54" s="16">
        <f t="shared" si="8"/>
        <v>1012039.314</v>
      </c>
    </row>
    <row r="55" spans="1:18" x14ac:dyDescent="0.25">
      <c r="A55" s="5"/>
      <c r="B55" s="4" t="s">
        <v>102</v>
      </c>
      <c r="C55" s="7">
        <v>1</v>
      </c>
      <c r="D55" s="8" t="s">
        <v>8</v>
      </c>
      <c r="E55" s="4" t="s">
        <v>9</v>
      </c>
      <c r="F55" s="7" t="s">
        <v>101</v>
      </c>
      <c r="G55" s="16">
        <v>195016.09999999998</v>
      </c>
      <c r="H55">
        <f t="shared" si="0"/>
        <v>448537.02999999991</v>
      </c>
      <c r="I55">
        <f t="shared" si="1"/>
        <v>195016.09999999998</v>
      </c>
      <c r="J55" s="18">
        <v>195016.09999999998</v>
      </c>
      <c r="K55" s="18">
        <f t="shared" si="2"/>
        <v>195016.09999999998</v>
      </c>
      <c r="L55" s="18">
        <f t="shared" si="3"/>
        <v>448537.02999999991</v>
      </c>
      <c r="M55">
        <f t="shared" si="4"/>
        <v>448537.02999999991</v>
      </c>
      <c r="N55">
        <f t="shared" si="5"/>
        <v>449000</v>
      </c>
      <c r="O55" s="16">
        <v>165087</v>
      </c>
      <c r="P55" s="16">
        <f t="shared" si="6"/>
        <v>165087</v>
      </c>
      <c r="Q55" s="16">
        <f t="shared" si="7"/>
        <v>354111.61499999999</v>
      </c>
      <c r="R55" s="16">
        <f t="shared" si="8"/>
        <v>354111.61499999999</v>
      </c>
    </row>
    <row r="56" spans="1:18" x14ac:dyDescent="0.25">
      <c r="A56" s="5"/>
      <c r="B56" s="4" t="s">
        <v>103</v>
      </c>
      <c r="C56" s="7">
        <v>1</v>
      </c>
      <c r="D56" s="8" t="s">
        <v>8</v>
      </c>
      <c r="E56" s="4" t="s">
        <v>9</v>
      </c>
      <c r="F56" s="7" t="s">
        <v>101</v>
      </c>
      <c r="G56" s="16">
        <v>181102.2</v>
      </c>
      <c r="H56">
        <f t="shared" si="0"/>
        <v>416535.06</v>
      </c>
      <c r="I56">
        <f t="shared" si="1"/>
        <v>181102.2</v>
      </c>
      <c r="J56" s="18">
        <v>181102.2</v>
      </c>
      <c r="K56" s="18">
        <f t="shared" si="2"/>
        <v>181102.2</v>
      </c>
      <c r="L56" s="18">
        <f t="shared" si="3"/>
        <v>416535.06</v>
      </c>
      <c r="M56">
        <f t="shared" si="4"/>
        <v>416535.06</v>
      </c>
      <c r="N56">
        <f t="shared" si="5"/>
        <v>417000</v>
      </c>
      <c r="O56" s="16">
        <v>169857</v>
      </c>
      <c r="P56" s="16">
        <f t="shared" si="6"/>
        <v>169857</v>
      </c>
      <c r="Q56" s="16">
        <f t="shared" si="7"/>
        <v>364343.26500000001</v>
      </c>
      <c r="R56" s="16">
        <f t="shared" si="8"/>
        <v>364343.26500000001</v>
      </c>
    </row>
    <row r="57" spans="1:18" x14ac:dyDescent="0.25">
      <c r="A57" s="5"/>
      <c r="B57" s="4" t="s">
        <v>104</v>
      </c>
      <c r="C57" s="7">
        <v>1</v>
      </c>
      <c r="D57" s="8" t="s">
        <v>8</v>
      </c>
      <c r="E57" s="4" t="s">
        <v>9</v>
      </c>
      <c r="F57" s="7" t="s">
        <v>101</v>
      </c>
      <c r="G57" s="16">
        <v>73316.899999999994</v>
      </c>
      <c r="H57">
        <f t="shared" si="0"/>
        <v>168628.86999999997</v>
      </c>
      <c r="I57">
        <f t="shared" si="1"/>
        <v>73316.899999999994</v>
      </c>
      <c r="J57" s="18">
        <v>73316.899999999994</v>
      </c>
      <c r="K57" s="18">
        <f t="shared" si="2"/>
        <v>73316.899999999994</v>
      </c>
      <c r="L57" s="18">
        <f t="shared" si="3"/>
        <v>168628.86999999997</v>
      </c>
      <c r="M57">
        <f t="shared" si="4"/>
        <v>168628.86999999997</v>
      </c>
      <c r="N57">
        <f t="shared" si="5"/>
        <v>169000</v>
      </c>
      <c r="O57" s="16">
        <v>76575</v>
      </c>
      <c r="P57" s="16">
        <f t="shared" si="6"/>
        <v>76575</v>
      </c>
      <c r="Q57" s="16">
        <f t="shared" si="7"/>
        <v>164253.375</v>
      </c>
      <c r="R57" s="16">
        <f t="shared" si="8"/>
        <v>164253.375</v>
      </c>
    </row>
    <row r="58" spans="1:18" x14ac:dyDescent="0.25">
      <c r="A58" s="5"/>
      <c r="B58" s="4" t="s">
        <v>145</v>
      </c>
      <c r="C58" s="7">
        <v>1</v>
      </c>
      <c r="D58" s="8" t="s">
        <v>8</v>
      </c>
      <c r="E58" s="4" t="s">
        <v>9</v>
      </c>
      <c r="F58" s="7" t="s">
        <v>101</v>
      </c>
      <c r="G58" s="16">
        <v>300158.20000000007</v>
      </c>
      <c r="H58">
        <f t="shared" si="0"/>
        <v>690363.8600000001</v>
      </c>
      <c r="I58">
        <f t="shared" si="1"/>
        <v>300158.20000000007</v>
      </c>
      <c r="J58" s="18">
        <v>300158.20000000007</v>
      </c>
      <c r="K58" s="18">
        <f t="shared" si="2"/>
        <v>300158.20000000007</v>
      </c>
      <c r="L58" s="18">
        <f t="shared" si="3"/>
        <v>690363.8600000001</v>
      </c>
      <c r="M58">
        <f t="shared" si="4"/>
        <v>690363.8600000001</v>
      </c>
      <c r="N58">
        <f t="shared" si="5"/>
        <v>691000</v>
      </c>
      <c r="O58" s="16">
        <v>303310.19999999995</v>
      </c>
      <c r="P58" s="16">
        <f t="shared" si="6"/>
        <v>303310.19999999995</v>
      </c>
      <c r="Q58" s="16">
        <f t="shared" si="7"/>
        <v>650600.37899999996</v>
      </c>
      <c r="R58" s="16">
        <f t="shared" si="8"/>
        <v>650600.37899999996</v>
      </c>
    </row>
    <row r="59" spans="1:18" x14ac:dyDescent="0.25">
      <c r="A59" s="5"/>
      <c r="B59" s="4" t="s">
        <v>105</v>
      </c>
      <c r="C59" s="7">
        <v>1</v>
      </c>
      <c r="D59" s="8" t="s">
        <v>8</v>
      </c>
      <c r="E59" s="4" t="s">
        <v>9</v>
      </c>
      <c r="F59" s="7" t="s">
        <v>106</v>
      </c>
      <c r="G59" s="16">
        <v>327390.5</v>
      </c>
      <c r="H59">
        <f t="shared" si="0"/>
        <v>752998.14999999991</v>
      </c>
      <c r="I59">
        <f t="shared" si="1"/>
        <v>327390.5</v>
      </c>
      <c r="J59" s="18">
        <v>327390.5</v>
      </c>
      <c r="K59" s="18">
        <f t="shared" si="2"/>
        <v>327390.5</v>
      </c>
      <c r="L59" s="18">
        <f t="shared" si="3"/>
        <v>752998.14999999991</v>
      </c>
      <c r="M59">
        <f t="shared" si="4"/>
        <v>752998.14999999991</v>
      </c>
      <c r="N59">
        <f t="shared" si="5"/>
        <v>753000</v>
      </c>
      <c r="O59" s="16">
        <v>471813.2</v>
      </c>
      <c r="P59" s="16">
        <f t="shared" si="6"/>
        <v>471813.2</v>
      </c>
      <c r="Q59" s="16">
        <f t="shared" si="7"/>
        <v>1012039.314</v>
      </c>
      <c r="R59" s="16">
        <f t="shared" si="8"/>
        <v>1012039.314</v>
      </c>
    </row>
    <row r="60" spans="1:18" x14ac:dyDescent="0.25">
      <c r="A60" s="5"/>
      <c r="B60" s="4" t="s">
        <v>107</v>
      </c>
      <c r="C60" s="7">
        <v>1</v>
      </c>
      <c r="D60" s="8" t="s">
        <v>8</v>
      </c>
      <c r="E60" s="4" t="s">
        <v>9</v>
      </c>
      <c r="F60" s="7" t="s">
        <v>106</v>
      </c>
      <c r="G60" s="16">
        <v>195016.09999999998</v>
      </c>
      <c r="H60">
        <f t="shared" si="0"/>
        <v>448537.02999999991</v>
      </c>
      <c r="I60">
        <f t="shared" si="1"/>
        <v>195016.09999999998</v>
      </c>
      <c r="J60" s="18">
        <v>195016.09999999998</v>
      </c>
      <c r="K60" s="18">
        <f t="shared" si="2"/>
        <v>195016.09999999998</v>
      </c>
      <c r="L60" s="18">
        <f t="shared" si="3"/>
        <v>448537.02999999991</v>
      </c>
      <c r="M60">
        <f t="shared" si="4"/>
        <v>448537.02999999991</v>
      </c>
      <c r="N60">
        <f t="shared" si="5"/>
        <v>449000</v>
      </c>
      <c r="O60" s="16">
        <v>165087</v>
      </c>
      <c r="P60" s="16">
        <f t="shared" si="6"/>
        <v>165087</v>
      </c>
      <c r="Q60" s="16">
        <f t="shared" si="7"/>
        <v>354111.61499999999</v>
      </c>
      <c r="R60" s="16">
        <f t="shared" si="8"/>
        <v>354111.61499999999</v>
      </c>
    </row>
    <row r="61" spans="1:18" x14ac:dyDescent="0.25">
      <c r="A61" s="5"/>
      <c r="B61" s="4" t="s">
        <v>108</v>
      </c>
      <c r="C61" s="7">
        <v>1</v>
      </c>
      <c r="D61" s="8" t="s">
        <v>8</v>
      </c>
      <c r="E61" s="4" t="s">
        <v>9</v>
      </c>
      <c r="F61" s="7" t="s">
        <v>106</v>
      </c>
      <c r="G61" s="16">
        <v>181102.2</v>
      </c>
      <c r="H61">
        <f t="shared" si="0"/>
        <v>416535.06</v>
      </c>
      <c r="I61">
        <f t="shared" si="1"/>
        <v>181102.2</v>
      </c>
      <c r="J61" s="18">
        <v>181102.2</v>
      </c>
      <c r="K61" s="18">
        <f t="shared" si="2"/>
        <v>181102.2</v>
      </c>
      <c r="L61" s="18">
        <f t="shared" si="3"/>
        <v>416535.06</v>
      </c>
      <c r="M61">
        <f t="shared" si="4"/>
        <v>416535.06</v>
      </c>
      <c r="N61">
        <f t="shared" si="5"/>
        <v>417000</v>
      </c>
      <c r="O61" s="16">
        <v>169857</v>
      </c>
      <c r="P61" s="16">
        <f t="shared" si="6"/>
        <v>169857</v>
      </c>
      <c r="Q61" s="16">
        <f t="shared" si="7"/>
        <v>364343.26500000001</v>
      </c>
      <c r="R61" s="16">
        <f t="shared" si="8"/>
        <v>364343.26500000001</v>
      </c>
    </row>
    <row r="62" spans="1:18" x14ac:dyDescent="0.25">
      <c r="A62" s="5"/>
      <c r="B62" s="4" t="s">
        <v>109</v>
      </c>
      <c r="C62" s="7">
        <v>1</v>
      </c>
      <c r="D62" s="8" t="s">
        <v>8</v>
      </c>
      <c r="E62" s="4" t="s">
        <v>9</v>
      </c>
      <c r="F62" s="7" t="s">
        <v>106</v>
      </c>
      <c r="G62" s="16">
        <v>73316.899999999994</v>
      </c>
      <c r="H62">
        <f t="shared" si="0"/>
        <v>168628.86999999997</v>
      </c>
      <c r="I62">
        <f t="shared" si="1"/>
        <v>73316.899999999994</v>
      </c>
      <c r="J62" s="18">
        <v>73316.899999999994</v>
      </c>
      <c r="K62" s="18">
        <f t="shared" si="2"/>
        <v>73316.899999999994</v>
      </c>
      <c r="L62" s="18">
        <f t="shared" si="3"/>
        <v>168628.86999999997</v>
      </c>
      <c r="M62">
        <f t="shared" si="4"/>
        <v>168628.86999999997</v>
      </c>
      <c r="N62">
        <f t="shared" si="5"/>
        <v>169000</v>
      </c>
      <c r="O62" s="16">
        <v>76575</v>
      </c>
      <c r="P62" s="16">
        <f t="shared" si="6"/>
        <v>76575</v>
      </c>
      <c r="Q62" s="16">
        <f t="shared" si="7"/>
        <v>164253.375</v>
      </c>
      <c r="R62" s="16">
        <f t="shared" si="8"/>
        <v>164253.375</v>
      </c>
    </row>
    <row r="63" spans="1:18" x14ac:dyDescent="0.25">
      <c r="A63" s="5"/>
      <c r="B63" s="4" t="s">
        <v>146</v>
      </c>
      <c r="C63" s="7">
        <v>1</v>
      </c>
      <c r="D63" s="8" t="s">
        <v>8</v>
      </c>
      <c r="E63" s="4" t="s">
        <v>9</v>
      </c>
      <c r="F63" s="7" t="s">
        <v>106</v>
      </c>
      <c r="G63" s="16">
        <v>300158.20000000007</v>
      </c>
      <c r="H63">
        <f t="shared" si="0"/>
        <v>690363.8600000001</v>
      </c>
      <c r="I63">
        <f t="shared" si="1"/>
        <v>300158.20000000007</v>
      </c>
      <c r="J63" s="18">
        <v>300158.20000000007</v>
      </c>
      <c r="K63" s="18">
        <f t="shared" si="2"/>
        <v>300158.20000000007</v>
      </c>
      <c r="L63" s="18">
        <f t="shared" si="3"/>
        <v>690363.8600000001</v>
      </c>
      <c r="M63">
        <f t="shared" si="4"/>
        <v>690363.8600000001</v>
      </c>
      <c r="N63">
        <f t="shared" si="5"/>
        <v>691000</v>
      </c>
      <c r="O63" s="16">
        <v>303310.19999999995</v>
      </c>
      <c r="P63" s="16">
        <f t="shared" si="6"/>
        <v>303310.19999999995</v>
      </c>
      <c r="Q63" s="16">
        <f t="shared" si="7"/>
        <v>650600.37899999996</v>
      </c>
      <c r="R63" s="16">
        <f t="shared" si="8"/>
        <v>650600.37899999996</v>
      </c>
    </row>
    <row r="64" spans="1:18" x14ac:dyDescent="0.25">
      <c r="A64" s="5"/>
      <c r="B64" s="4" t="s">
        <v>151</v>
      </c>
      <c r="C64" s="7">
        <v>1</v>
      </c>
      <c r="D64" s="8" t="s">
        <v>8</v>
      </c>
      <c r="E64" s="4" t="s">
        <v>9</v>
      </c>
      <c r="F64" s="7" t="s">
        <v>110</v>
      </c>
      <c r="G64" s="16">
        <v>232584.65000000002</v>
      </c>
      <c r="H64">
        <f t="shared" si="0"/>
        <v>534944.69500000007</v>
      </c>
      <c r="I64">
        <f t="shared" si="1"/>
        <v>232584.65000000002</v>
      </c>
      <c r="J64" s="18">
        <v>232584.65000000002</v>
      </c>
      <c r="K64" s="18">
        <f t="shared" si="2"/>
        <v>232584.65000000002</v>
      </c>
      <c r="L64" s="18">
        <f t="shared" si="3"/>
        <v>534944.69500000007</v>
      </c>
      <c r="M64">
        <f t="shared" si="4"/>
        <v>534944.69500000007</v>
      </c>
      <c r="N64">
        <f t="shared" si="5"/>
        <v>535000</v>
      </c>
      <c r="O64" s="16">
        <v>482988</v>
      </c>
      <c r="P64" s="16">
        <f t="shared" si="6"/>
        <v>482988</v>
      </c>
      <c r="Q64" s="16">
        <f t="shared" si="7"/>
        <v>1036009.26</v>
      </c>
      <c r="R64" s="16">
        <f t="shared" si="8"/>
        <v>1036009.26</v>
      </c>
    </row>
    <row r="65" spans="1:18" x14ac:dyDescent="0.25">
      <c r="A65" s="5"/>
      <c r="B65" s="4" t="s">
        <v>152</v>
      </c>
      <c r="C65" s="7">
        <v>1</v>
      </c>
      <c r="D65" s="8" t="s">
        <v>8</v>
      </c>
      <c r="E65" s="4" t="s">
        <v>9</v>
      </c>
      <c r="F65" s="7" t="s">
        <v>110</v>
      </c>
      <c r="G65" s="16">
        <v>150980.85000000003</v>
      </c>
      <c r="H65">
        <f t="shared" si="0"/>
        <v>347255.95500000007</v>
      </c>
      <c r="I65">
        <f t="shared" si="1"/>
        <v>150980.85000000003</v>
      </c>
      <c r="J65" s="18">
        <v>150980.85000000003</v>
      </c>
      <c r="K65" s="18">
        <f t="shared" si="2"/>
        <v>150980.85000000003</v>
      </c>
      <c r="L65" s="18">
        <f t="shared" si="3"/>
        <v>347255.95500000007</v>
      </c>
      <c r="M65">
        <f t="shared" si="4"/>
        <v>347255.95500000007</v>
      </c>
      <c r="N65">
        <f t="shared" si="5"/>
        <v>348000</v>
      </c>
      <c r="O65" s="16">
        <v>455628.89999999997</v>
      </c>
      <c r="P65" s="16">
        <f t="shared" si="6"/>
        <v>455628.89999999997</v>
      </c>
      <c r="Q65" s="16">
        <f t="shared" si="7"/>
        <v>977323.99049999996</v>
      </c>
      <c r="R65" s="16">
        <f t="shared" si="8"/>
        <v>977323.99049999996</v>
      </c>
    </row>
    <row r="66" spans="1:18" x14ac:dyDescent="0.25">
      <c r="A66" s="5"/>
      <c r="B66" s="4" t="s">
        <v>117</v>
      </c>
      <c r="C66" s="7">
        <v>1</v>
      </c>
      <c r="D66" s="8" t="s">
        <v>8</v>
      </c>
      <c r="E66" s="4" t="s">
        <v>9</v>
      </c>
      <c r="F66" s="7" t="s">
        <v>110</v>
      </c>
      <c r="G66" s="16">
        <v>167096.75</v>
      </c>
      <c r="H66">
        <f t="shared" si="0"/>
        <v>384322.52499999997</v>
      </c>
      <c r="I66">
        <f t="shared" si="1"/>
        <v>167096.75</v>
      </c>
      <c r="J66" s="18">
        <v>167096.75</v>
      </c>
      <c r="K66" s="18">
        <f t="shared" si="2"/>
        <v>167096.75</v>
      </c>
      <c r="L66" s="18">
        <f t="shared" si="3"/>
        <v>384322.52499999997</v>
      </c>
      <c r="M66">
        <f t="shared" si="4"/>
        <v>384322.52499999997</v>
      </c>
      <c r="N66">
        <f t="shared" si="5"/>
        <v>385000</v>
      </c>
      <c r="O66" s="16">
        <v>190248</v>
      </c>
      <c r="P66" s="16">
        <f t="shared" si="6"/>
        <v>190248</v>
      </c>
      <c r="Q66" s="16">
        <f t="shared" si="7"/>
        <v>408081.96</v>
      </c>
      <c r="R66" s="16">
        <f t="shared" si="8"/>
        <v>408081.96</v>
      </c>
    </row>
    <row r="67" spans="1:18" x14ac:dyDescent="0.25">
      <c r="A67" s="5"/>
      <c r="B67" s="4" t="s">
        <v>153</v>
      </c>
      <c r="C67" s="7">
        <v>1</v>
      </c>
      <c r="D67" s="8" t="s">
        <v>8</v>
      </c>
      <c r="E67" s="4" t="s">
        <v>9</v>
      </c>
      <c r="F67" s="7" t="s">
        <v>110</v>
      </c>
      <c r="G67" s="16">
        <v>154290.20000000001</v>
      </c>
      <c r="H67">
        <f t="shared" ref="H67:H71" si="9">2.3*G67</f>
        <v>354867.46</v>
      </c>
      <c r="I67">
        <f t="shared" ref="I67:I71" si="10">G67*C67</f>
        <v>154290.20000000001</v>
      </c>
      <c r="J67" s="18">
        <v>154290.20000000001</v>
      </c>
      <c r="K67" s="18">
        <f t="shared" ref="K67:K71" si="11">J67*C67</f>
        <v>154290.20000000001</v>
      </c>
      <c r="L67" s="18">
        <f t="shared" ref="L67:L71" si="12">J67*2.3</f>
        <v>354867.46</v>
      </c>
      <c r="M67">
        <f t="shared" ref="M67:M71" si="13">L67*C67</f>
        <v>354867.46</v>
      </c>
      <c r="N67">
        <f t="shared" ref="N67:N71" si="14">ROUNDUP(M67,-3)</f>
        <v>355000</v>
      </c>
      <c r="O67" s="16">
        <v>244064</v>
      </c>
      <c r="P67" s="16">
        <f t="shared" ref="P67:P71" si="15">O67*C67</f>
        <v>244064</v>
      </c>
      <c r="Q67" s="16">
        <f t="shared" ref="Q67:Q71" si="16">O67*2.145</f>
        <v>523517.28</v>
      </c>
      <c r="R67" s="16">
        <f t="shared" ref="R67:R71" si="17">Q67*C67</f>
        <v>523517.28</v>
      </c>
    </row>
    <row r="68" spans="1:18" x14ac:dyDescent="0.25">
      <c r="A68" s="5"/>
      <c r="B68" s="4" t="s">
        <v>154</v>
      </c>
      <c r="C68" s="7">
        <v>4</v>
      </c>
      <c r="D68" s="8" t="s">
        <v>8</v>
      </c>
      <c r="E68" s="4" t="s">
        <v>9</v>
      </c>
      <c r="F68" s="7" t="s">
        <v>110</v>
      </c>
      <c r="G68" s="16">
        <v>126136.95000000001</v>
      </c>
      <c r="H68">
        <f t="shared" si="9"/>
        <v>290114.98499999999</v>
      </c>
      <c r="I68">
        <f t="shared" si="10"/>
        <v>504547.80000000005</v>
      </c>
      <c r="J68" s="18">
        <v>181486.95</v>
      </c>
      <c r="K68" s="18">
        <f t="shared" si="11"/>
        <v>725947.8</v>
      </c>
      <c r="L68" s="18">
        <f t="shared" si="12"/>
        <v>417419.98499999999</v>
      </c>
      <c r="M68">
        <f t="shared" si="13"/>
        <v>1669679.94</v>
      </c>
      <c r="N68">
        <f t="shared" si="14"/>
        <v>1670000</v>
      </c>
      <c r="O68" s="16">
        <v>336096</v>
      </c>
      <c r="P68" s="16">
        <f t="shared" si="15"/>
        <v>1344384</v>
      </c>
      <c r="Q68" s="16">
        <f t="shared" si="16"/>
        <v>720925.92</v>
      </c>
      <c r="R68" s="16">
        <f t="shared" si="17"/>
        <v>2883703.68</v>
      </c>
    </row>
    <row r="69" spans="1:18" x14ac:dyDescent="0.25">
      <c r="A69" s="5"/>
      <c r="B69" s="4" t="s">
        <v>155</v>
      </c>
      <c r="C69" s="7">
        <v>72</v>
      </c>
      <c r="D69" s="8" t="s">
        <v>8</v>
      </c>
      <c r="E69" s="4" t="s">
        <v>9</v>
      </c>
      <c r="F69" s="7" t="s">
        <v>110</v>
      </c>
      <c r="G69" s="16">
        <v>158582.6</v>
      </c>
      <c r="H69">
        <f t="shared" si="9"/>
        <v>364739.98</v>
      </c>
      <c r="I69">
        <f t="shared" si="10"/>
        <v>11417947.200000001</v>
      </c>
      <c r="J69" s="18">
        <v>232382.6</v>
      </c>
      <c r="K69" s="18">
        <f t="shared" si="11"/>
        <v>16731547.200000001</v>
      </c>
      <c r="L69" s="18">
        <f t="shared" si="12"/>
        <v>534479.98</v>
      </c>
      <c r="M69">
        <f t="shared" si="13"/>
        <v>38482558.560000002</v>
      </c>
      <c r="N69">
        <f t="shared" si="14"/>
        <v>38483000</v>
      </c>
      <c r="O69" s="16">
        <v>383912</v>
      </c>
      <c r="P69" s="16">
        <f t="shared" si="15"/>
        <v>27641664</v>
      </c>
      <c r="Q69" s="16">
        <f t="shared" si="16"/>
        <v>823491.24</v>
      </c>
      <c r="R69" s="16">
        <f t="shared" si="17"/>
        <v>59291369.280000001</v>
      </c>
    </row>
    <row r="70" spans="1:18" x14ac:dyDescent="0.25">
      <c r="A70" s="5"/>
      <c r="B70" s="4" t="s">
        <v>158</v>
      </c>
      <c r="C70" s="7">
        <v>2</v>
      </c>
      <c r="D70" s="8" t="s">
        <v>8</v>
      </c>
      <c r="E70" s="4" t="s">
        <v>9</v>
      </c>
      <c r="F70" s="7" t="s">
        <v>110</v>
      </c>
      <c r="G70" s="16">
        <v>211923.90000000002</v>
      </c>
      <c r="H70">
        <f t="shared" si="9"/>
        <v>487424.97000000003</v>
      </c>
      <c r="I70">
        <f t="shared" si="10"/>
        <v>423847.80000000005</v>
      </c>
      <c r="J70" s="18">
        <v>322623.90000000002</v>
      </c>
      <c r="K70" s="18">
        <f t="shared" si="11"/>
        <v>645247.80000000005</v>
      </c>
      <c r="L70" s="18">
        <f t="shared" si="12"/>
        <v>742034.97</v>
      </c>
      <c r="M70">
        <f t="shared" si="13"/>
        <v>1484069.94</v>
      </c>
      <c r="N70">
        <f t="shared" si="14"/>
        <v>1485000</v>
      </c>
      <c r="O70" s="16">
        <v>337008</v>
      </c>
      <c r="P70" s="16">
        <f t="shared" si="15"/>
        <v>674016</v>
      </c>
      <c r="Q70" s="16">
        <f t="shared" si="16"/>
        <v>722882.16</v>
      </c>
      <c r="R70" s="16">
        <f t="shared" si="17"/>
        <v>1445764.32</v>
      </c>
    </row>
    <row r="71" spans="1:18" x14ac:dyDescent="0.25">
      <c r="A71" s="5"/>
      <c r="B71" s="4" t="s">
        <v>160</v>
      </c>
      <c r="C71" s="7">
        <v>18</v>
      </c>
      <c r="D71" s="8" t="s">
        <v>8</v>
      </c>
      <c r="E71" s="4" t="s">
        <v>9</v>
      </c>
      <c r="F71" s="7" t="s">
        <v>110</v>
      </c>
      <c r="G71" s="16">
        <v>239719.55000000005</v>
      </c>
      <c r="H71">
        <f t="shared" si="9"/>
        <v>551354.96500000008</v>
      </c>
      <c r="I71">
        <f t="shared" si="10"/>
        <v>4314951.9000000004</v>
      </c>
      <c r="J71" s="18">
        <v>368869.55</v>
      </c>
      <c r="K71" s="18">
        <f t="shared" si="11"/>
        <v>6639651.8999999994</v>
      </c>
      <c r="L71" s="18">
        <f t="shared" si="12"/>
        <v>848399.96499999985</v>
      </c>
      <c r="M71">
        <f t="shared" si="13"/>
        <v>15271199.369999997</v>
      </c>
      <c r="N71">
        <f t="shared" si="14"/>
        <v>15272000</v>
      </c>
      <c r="O71" s="16">
        <v>384976</v>
      </c>
      <c r="P71" s="16">
        <f t="shared" si="15"/>
        <v>6929568</v>
      </c>
      <c r="Q71" s="16">
        <f t="shared" si="16"/>
        <v>825773.52</v>
      </c>
      <c r="R71" s="16">
        <f t="shared" si="17"/>
        <v>14863923.359999999</v>
      </c>
    </row>
    <row r="72" spans="1:18" x14ac:dyDescent="0.25">
      <c r="I72">
        <f>SUM(I2:I71)</f>
        <v>30586908.100000001</v>
      </c>
    </row>
  </sheetData>
  <autoFilter ref="A1:N72" xr:uid="{45E2EA57-F5FC-4DED-A660-A86BCCDAA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teksan salt ile bom</vt:lpstr>
      <vt:lpstr>sayaclar</vt:lpstr>
      <vt:lpstr>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2026-07-25T09:06:06Z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