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Drive'ım\5.1- uretimdeki\BASLANACAK\260504 astana mustf hakan bey jk\"/>
    </mc:Choice>
  </mc:AlternateContent>
  <xr:revisionPtr revIDLastSave="0" documentId="8_{98F75B09-C991-48DB-8F58-875BD9A8D65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ksan salt ile bom" sheetId="4" r:id="rId1"/>
  </sheets>
  <externalReferences>
    <externalReference r:id="rId2"/>
  </externalReferences>
  <definedNames>
    <definedName name="_xlnm._FilterDatabase" localSheetId="0" hidden="1">'teksan salt ile bom'!$A$1:$H$575</definedName>
    <definedName name="saya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71" i="4" l="1"/>
  <c r="C566" i="4"/>
  <c r="C561" i="4"/>
  <c r="C556" i="4"/>
  <c r="C528" i="4"/>
  <c r="C502" i="4"/>
  <c r="C491" i="4"/>
  <c r="C484" i="4"/>
  <c r="C478" i="4"/>
  <c r="C472" i="4"/>
  <c r="C462" i="4"/>
  <c r="C451" i="4"/>
  <c r="C444" i="4"/>
  <c r="C438" i="4"/>
  <c r="C432" i="4"/>
  <c r="C422" i="4"/>
  <c r="C411" i="4"/>
  <c r="C401" i="4"/>
  <c r="C394" i="4"/>
  <c r="C387" i="4"/>
  <c r="C382" i="4"/>
  <c r="C376" i="4"/>
  <c r="C366" i="4"/>
  <c r="C355" i="4"/>
  <c r="C349" i="4"/>
  <c r="C342" i="4"/>
  <c r="C332" i="4"/>
  <c r="C322" i="4"/>
  <c r="C316" i="4"/>
  <c r="C310" i="4"/>
  <c r="C300" i="4"/>
  <c r="C293" i="4"/>
  <c r="C287" i="4"/>
  <c r="C277" i="4"/>
  <c r="C270" i="4"/>
  <c r="C264" i="4"/>
  <c r="C254" i="4"/>
  <c r="C244" i="4"/>
  <c r="C237" i="4"/>
  <c r="C231" i="4"/>
  <c r="C221" i="4"/>
  <c r="C211" i="4"/>
  <c r="C204" i="4"/>
  <c r="C198" i="4"/>
  <c r="C188" i="4"/>
  <c r="C182" i="4"/>
  <c r="C176" i="4"/>
  <c r="C165" i="4"/>
  <c r="C159" i="4"/>
  <c r="C152" i="4"/>
  <c r="C142" i="4"/>
  <c r="C131" i="4"/>
  <c r="C120" i="4"/>
  <c r="C113" i="4"/>
  <c r="C106" i="4"/>
  <c r="C100" i="4"/>
  <c r="C94" i="4"/>
  <c r="C84" i="4"/>
  <c r="C73" i="4"/>
  <c r="C66" i="4"/>
  <c r="C59" i="4"/>
  <c r="C53" i="4"/>
  <c r="C43" i="4"/>
  <c r="C32" i="4"/>
  <c r="C25" i="4"/>
  <c r="C18" i="4"/>
  <c r="C12" i="4"/>
  <c r="C2" i="4"/>
  <c r="H545" i="4"/>
  <c r="H515" i="4"/>
  <c r="H513" i="4"/>
  <c r="H514" i="4"/>
  <c r="A571" i="4" l="1"/>
  <c r="A572" i="4" s="1"/>
  <c r="A573" i="4" s="1"/>
  <c r="A574" i="4" s="1"/>
  <c r="A575" i="4" s="1"/>
  <c r="A566" i="4"/>
  <c r="A567" i="4" s="1"/>
  <c r="A568" i="4" s="1"/>
  <c r="A569" i="4" s="1"/>
  <c r="A570" i="4" s="1"/>
  <c r="A561" i="4"/>
  <c r="A562" i="4" s="1"/>
  <c r="A563" i="4" s="1"/>
  <c r="A564" i="4" s="1"/>
  <c r="A565" i="4" s="1"/>
  <c r="A556" i="4"/>
  <c r="A557" i="4" s="1"/>
  <c r="A558" i="4" s="1"/>
  <c r="A559" i="4" s="1"/>
  <c r="A560" i="4" s="1"/>
  <c r="H529" i="4"/>
  <c r="H537" i="4" s="1"/>
  <c r="A528" i="4"/>
  <c r="H503" i="4"/>
  <c r="H511" i="4" s="1"/>
  <c r="A502" i="4"/>
  <c r="H492" i="4"/>
  <c r="H493" i="4" s="1"/>
  <c r="H494" i="4" s="1"/>
  <c r="H495" i="4" s="1"/>
  <c r="H496" i="4" s="1"/>
  <c r="H497" i="4" s="1"/>
  <c r="H498" i="4" s="1"/>
  <c r="H499" i="4" s="1"/>
  <c r="H500" i="4" s="1"/>
  <c r="H501" i="4" s="1"/>
  <c r="A491" i="4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H485" i="4"/>
  <c r="H486" i="4" s="1"/>
  <c r="H487" i="4" s="1"/>
  <c r="H488" i="4" s="1"/>
  <c r="H489" i="4" s="1"/>
  <c r="H490" i="4" s="1"/>
  <c r="A484" i="4"/>
  <c r="A485" i="4" s="1"/>
  <c r="A486" i="4" s="1"/>
  <c r="A487" i="4" s="1"/>
  <c r="A488" i="4" s="1"/>
  <c r="A489" i="4" s="1"/>
  <c r="A490" i="4" s="1"/>
  <c r="H479" i="4"/>
  <c r="H480" i="4" s="1"/>
  <c r="H481" i="4" s="1"/>
  <c r="H482" i="4" s="1"/>
  <c r="H483" i="4" s="1"/>
  <c r="A478" i="4"/>
  <c r="A479" i="4" s="1"/>
  <c r="A480" i="4" s="1"/>
  <c r="A481" i="4" s="1"/>
  <c r="A482" i="4" s="1"/>
  <c r="A483" i="4" s="1"/>
  <c r="H473" i="4"/>
  <c r="H474" i="4" s="1"/>
  <c r="H475" i="4" s="1"/>
  <c r="H476" i="4" s="1"/>
  <c r="H477" i="4" s="1"/>
  <c r="A472" i="4"/>
  <c r="A473" i="4" s="1"/>
  <c r="A474" i="4" s="1"/>
  <c r="A475" i="4" s="1"/>
  <c r="A476" i="4" s="1"/>
  <c r="A477" i="4" s="1"/>
  <c r="H463" i="4"/>
  <c r="H464" i="4" s="1"/>
  <c r="H465" i="4" s="1"/>
  <c r="H466" i="4" s="1"/>
  <c r="H467" i="4" s="1"/>
  <c r="H468" i="4" s="1"/>
  <c r="H469" i="4" s="1"/>
  <c r="H470" i="4" s="1"/>
  <c r="H471" i="4" s="1"/>
  <c r="A462" i="4"/>
  <c r="A463" i="4" s="1"/>
  <c r="A464" i="4" s="1"/>
  <c r="A465" i="4" s="1"/>
  <c r="A466" i="4" s="1"/>
  <c r="A467" i="4" s="1"/>
  <c r="A468" i="4" s="1"/>
  <c r="A469" i="4" s="1"/>
  <c r="A470" i="4" s="1"/>
  <c r="A471" i="4" s="1"/>
  <c r="H452" i="4"/>
  <c r="H453" i="4" s="1"/>
  <c r="H454" i="4" s="1"/>
  <c r="H455" i="4" s="1"/>
  <c r="H456" i="4" s="1"/>
  <c r="H457" i="4" s="1"/>
  <c r="H458" i="4" s="1"/>
  <c r="H459" i="4" s="1"/>
  <c r="H460" i="4" s="1"/>
  <c r="H461" i="4" s="1"/>
  <c r="A451" i="4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H445" i="4"/>
  <c r="H446" i="4" s="1"/>
  <c r="H447" i="4" s="1"/>
  <c r="H448" i="4" s="1"/>
  <c r="H449" i="4" s="1"/>
  <c r="H450" i="4" s="1"/>
  <c r="A444" i="4"/>
  <c r="A445" i="4" s="1"/>
  <c r="A446" i="4" s="1"/>
  <c r="A447" i="4" s="1"/>
  <c r="A448" i="4" s="1"/>
  <c r="A449" i="4" s="1"/>
  <c r="A450" i="4" s="1"/>
  <c r="H439" i="4"/>
  <c r="H440" i="4" s="1"/>
  <c r="H441" i="4" s="1"/>
  <c r="H442" i="4" s="1"/>
  <c r="H443" i="4" s="1"/>
  <c r="A438" i="4"/>
  <c r="A439" i="4" s="1"/>
  <c r="A440" i="4" s="1"/>
  <c r="A441" i="4" s="1"/>
  <c r="A442" i="4" s="1"/>
  <c r="A443" i="4" s="1"/>
  <c r="H433" i="4"/>
  <c r="H434" i="4" s="1"/>
  <c r="H435" i="4" s="1"/>
  <c r="H436" i="4" s="1"/>
  <c r="H437" i="4" s="1"/>
  <c r="A432" i="4"/>
  <c r="A433" i="4" s="1"/>
  <c r="A434" i="4" s="1"/>
  <c r="A435" i="4" s="1"/>
  <c r="A436" i="4" s="1"/>
  <c r="A437" i="4" s="1"/>
  <c r="H423" i="4"/>
  <c r="H424" i="4" s="1"/>
  <c r="H425" i="4" s="1"/>
  <c r="H426" i="4" s="1"/>
  <c r="H427" i="4" s="1"/>
  <c r="H428" i="4" s="1"/>
  <c r="H429" i="4" s="1"/>
  <c r="H430" i="4" s="1"/>
  <c r="H431" i="4" s="1"/>
  <c r="A422" i="4"/>
  <c r="A423" i="4" s="1"/>
  <c r="A424" i="4" s="1"/>
  <c r="A425" i="4" s="1"/>
  <c r="A426" i="4" s="1"/>
  <c r="A427" i="4" s="1"/>
  <c r="A428" i="4" s="1"/>
  <c r="A429" i="4" s="1"/>
  <c r="A430" i="4" s="1"/>
  <c r="A431" i="4" s="1"/>
  <c r="H412" i="4"/>
  <c r="H413" i="4" s="1"/>
  <c r="H414" i="4" s="1"/>
  <c r="H415" i="4" s="1"/>
  <c r="H416" i="4" s="1"/>
  <c r="H417" i="4" s="1"/>
  <c r="H418" i="4" s="1"/>
  <c r="H419" i="4" s="1"/>
  <c r="H420" i="4" s="1"/>
  <c r="H421" i="4" s="1"/>
  <c r="A411" i="4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H402" i="4"/>
  <c r="H403" i="4" s="1"/>
  <c r="H404" i="4" s="1"/>
  <c r="H405" i="4" s="1"/>
  <c r="H406" i="4" s="1"/>
  <c r="H407" i="4" s="1"/>
  <c r="H408" i="4" s="1"/>
  <c r="H409" i="4" s="1"/>
  <c r="H410" i="4" s="1"/>
  <c r="A401" i="4"/>
  <c r="A402" i="4" s="1"/>
  <c r="A403" i="4" s="1"/>
  <c r="A404" i="4" s="1"/>
  <c r="A405" i="4" s="1"/>
  <c r="A406" i="4" s="1"/>
  <c r="A407" i="4" s="1"/>
  <c r="A408" i="4" s="1"/>
  <c r="A409" i="4" s="1"/>
  <c r="A410" i="4" s="1"/>
  <c r="H395" i="4"/>
  <c r="H396" i="4" s="1"/>
  <c r="H397" i="4" s="1"/>
  <c r="H398" i="4" s="1"/>
  <c r="H399" i="4" s="1"/>
  <c r="H400" i="4" s="1"/>
  <c r="A394" i="4"/>
  <c r="A395" i="4" s="1"/>
  <c r="A396" i="4" s="1"/>
  <c r="A397" i="4" s="1"/>
  <c r="A398" i="4" s="1"/>
  <c r="A399" i="4" s="1"/>
  <c r="A400" i="4" s="1"/>
  <c r="H388" i="4"/>
  <c r="H389" i="4" s="1"/>
  <c r="H390" i="4" s="1"/>
  <c r="H391" i="4" s="1"/>
  <c r="H392" i="4" s="1"/>
  <c r="H393" i="4" s="1"/>
  <c r="A387" i="4"/>
  <c r="A388" i="4" s="1"/>
  <c r="A389" i="4" s="1"/>
  <c r="A390" i="4" s="1"/>
  <c r="A391" i="4" s="1"/>
  <c r="A392" i="4" s="1"/>
  <c r="A393" i="4" s="1"/>
  <c r="H383" i="4"/>
  <c r="H384" i="4" s="1"/>
  <c r="H385" i="4" s="1"/>
  <c r="H386" i="4" s="1"/>
  <c r="A382" i="4"/>
  <c r="A383" i="4" s="1"/>
  <c r="A384" i="4" s="1"/>
  <c r="A385" i="4" s="1"/>
  <c r="A386" i="4" s="1"/>
  <c r="H377" i="4"/>
  <c r="H378" i="4" s="1"/>
  <c r="H379" i="4" s="1"/>
  <c r="H380" i="4" s="1"/>
  <c r="H381" i="4" s="1"/>
  <c r="A376" i="4"/>
  <c r="A377" i="4" s="1"/>
  <c r="A378" i="4" s="1"/>
  <c r="A379" i="4" s="1"/>
  <c r="A380" i="4" s="1"/>
  <c r="A381" i="4" s="1"/>
  <c r="H367" i="4"/>
  <c r="H368" i="4" s="1"/>
  <c r="H369" i="4" s="1"/>
  <c r="H370" i="4" s="1"/>
  <c r="H371" i="4" s="1"/>
  <c r="H372" i="4" s="1"/>
  <c r="H373" i="4" s="1"/>
  <c r="H374" i="4" s="1"/>
  <c r="H375" i="4" s="1"/>
  <c r="A366" i="4"/>
  <c r="A367" i="4" s="1"/>
  <c r="A368" i="4" s="1"/>
  <c r="A369" i="4" s="1"/>
  <c r="A370" i="4" s="1"/>
  <c r="A371" i="4" s="1"/>
  <c r="A372" i="4" s="1"/>
  <c r="A373" i="4" s="1"/>
  <c r="A374" i="4" s="1"/>
  <c r="A375" i="4" s="1"/>
  <c r="H356" i="4"/>
  <c r="H357" i="4" s="1"/>
  <c r="H358" i="4" s="1"/>
  <c r="H359" i="4" s="1"/>
  <c r="H360" i="4" s="1"/>
  <c r="H361" i="4" s="1"/>
  <c r="H362" i="4" s="1"/>
  <c r="H363" i="4" s="1"/>
  <c r="H364" i="4" s="1"/>
  <c r="H365" i="4" s="1"/>
  <c r="A355" i="4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H350" i="4"/>
  <c r="H351" i="4" s="1"/>
  <c r="H352" i="4" s="1"/>
  <c r="H353" i="4" s="1"/>
  <c r="H354" i="4" s="1"/>
  <c r="A349" i="4"/>
  <c r="A350" i="4" s="1"/>
  <c r="A351" i="4" s="1"/>
  <c r="A352" i="4" s="1"/>
  <c r="A353" i="4" s="1"/>
  <c r="A354" i="4" s="1"/>
  <c r="H343" i="4"/>
  <c r="H344" i="4" s="1"/>
  <c r="H345" i="4" s="1"/>
  <c r="H346" i="4" s="1"/>
  <c r="H347" i="4" s="1"/>
  <c r="H348" i="4" s="1"/>
  <c r="A342" i="4"/>
  <c r="A343" i="4" s="1"/>
  <c r="A344" i="4" s="1"/>
  <c r="A345" i="4" s="1"/>
  <c r="A346" i="4" s="1"/>
  <c r="A347" i="4" s="1"/>
  <c r="A348" i="4" s="1"/>
  <c r="H333" i="4"/>
  <c r="H334" i="4" s="1"/>
  <c r="H335" i="4" s="1"/>
  <c r="H336" i="4" s="1"/>
  <c r="H337" i="4" s="1"/>
  <c r="H338" i="4" s="1"/>
  <c r="H339" i="4" s="1"/>
  <c r="H340" i="4" s="1"/>
  <c r="H341" i="4" s="1"/>
  <c r="A332" i="4"/>
  <c r="A333" i="4" s="1"/>
  <c r="A334" i="4" s="1"/>
  <c r="A335" i="4" s="1"/>
  <c r="A336" i="4" s="1"/>
  <c r="A337" i="4" s="1"/>
  <c r="A338" i="4" s="1"/>
  <c r="A339" i="4" s="1"/>
  <c r="A340" i="4" s="1"/>
  <c r="A341" i="4" s="1"/>
  <c r="H323" i="4"/>
  <c r="H324" i="4" s="1"/>
  <c r="H325" i="4" s="1"/>
  <c r="H326" i="4" s="1"/>
  <c r="H327" i="4" s="1"/>
  <c r="H328" i="4" s="1"/>
  <c r="H329" i="4" s="1"/>
  <c r="H330" i="4" s="1"/>
  <c r="H331" i="4" s="1"/>
  <c r="A322" i="4"/>
  <c r="A323" i="4" s="1"/>
  <c r="A324" i="4" s="1"/>
  <c r="A325" i="4" s="1"/>
  <c r="A326" i="4" s="1"/>
  <c r="A327" i="4" s="1"/>
  <c r="A328" i="4" s="1"/>
  <c r="A329" i="4" s="1"/>
  <c r="A330" i="4" s="1"/>
  <c r="A331" i="4" s="1"/>
  <c r="H317" i="4"/>
  <c r="H318" i="4" s="1"/>
  <c r="H319" i="4" s="1"/>
  <c r="H320" i="4" s="1"/>
  <c r="H321" i="4" s="1"/>
  <c r="A316" i="4"/>
  <c r="A317" i="4" s="1"/>
  <c r="A318" i="4" s="1"/>
  <c r="A319" i="4" s="1"/>
  <c r="A320" i="4" s="1"/>
  <c r="A321" i="4" s="1"/>
  <c r="H311" i="4"/>
  <c r="H312" i="4" s="1"/>
  <c r="H313" i="4" s="1"/>
  <c r="H314" i="4" s="1"/>
  <c r="H315" i="4" s="1"/>
  <c r="A310" i="4"/>
  <c r="A311" i="4" s="1"/>
  <c r="A312" i="4" s="1"/>
  <c r="A313" i="4" s="1"/>
  <c r="A314" i="4" s="1"/>
  <c r="A315" i="4" s="1"/>
  <c r="H301" i="4"/>
  <c r="H302" i="4" s="1"/>
  <c r="H303" i="4" s="1"/>
  <c r="H304" i="4" s="1"/>
  <c r="H305" i="4" s="1"/>
  <c r="H306" i="4" s="1"/>
  <c r="H307" i="4" s="1"/>
  <c r="H308" i="4" s="1"/>
  <c r="H309" i="4" s="1"/>
  <c r="A300" i="4"/>
  <c r="A301" i="4" s="1"/>
  <c r="A302" i="4" s="1"/>
  <c r="A303" i="4" s="1"/>
  <c r="A304" i="4" s="1"/>
  <c r="A305" i="4" s="1"/>
  <c r="A306" i="4" s="1"/>
  <c r="A307" i="4" s="1"/>
  <c r="A308" i="4" s="1"/>
  <c r="A309" i="4" s="1"/>
  <c r="H294" i="4"/>
  <c r="H295" i="4" s="1"/>
  <c r="H296" i="4" s="1"/>
  <c r="H297" i="4" s="1"/>
  <c r="A293" i="4"/>
  <c r="A294" i="4" s="1"/>
  <c r="A295" i="4" s="1"/>
  <c r="A296" i="4" s="1"/>
  <c r="A297" i="4" s="1"/>
  <c r="A298" i="4" s="1"/>
  <c r="A299" i="4" s="1"/>
  <c r="H288" i="4"/>
  <c r="H289" i="4" s="1"/>
  <c r="H290" i="4" s="1"/>
  <c r="H291" i="4" s="1"/>
  <c r="H292" i="4" s="1"/>
  <c r="A287" i="4"/>
  <c r="A288" i="4" s="1"/>
  <c r="A289" i="4" s="1"/>
  <c r="A290" i="4" s="1"/>
  <c r="A291" i="4" s="1"/>
  <c r="A292" i="4" s="1"/>
  <c r="H278" i="4"/>
  <c r="H279" i="4" s="1"/>
  <c r="H280" i="4" s="1"/>
  <c r="H281" i="4" s="1"/>
  <c r="H282" i="4" s="1"/>
  <c r="H283" i="4" s="1"/>
  <c r="H284" i="4" s="1"/>
  <c r="H285" i="4" s="1"/>
  <c r="H286" i="4" s="1"/>
  <c r="A277" i="4"/>
  <c r="A278" i="4" s="1"/>
  <c r="A279" i="4" s="1"/>
  <c r="A280" i="4" s="1"/>
  <c r="A281" i="4" s="1"/>
  <c r="A282" i="4" s="1"/>
  <c r="A283" i="4" s="1"/>
  <c r="A284" i="4" s="1"/>
  <c r="A285" i="4" s="1"/>
  <c r="A286" i="4" s="1"/>
  <c r="H271" i="4"/>
  <c r="H272" i="4" s="1"/>
  <c r="H273" i="4" s="1"/>
  <c r="H274" i="4" s="1"/>
  <c r="H275" i="4" s="1"/>
  <c r="H276" i="4" s="1"/>
  <c r="A270" i="4"/>
  <c r="A271" i="4" s="1"/>
  <c r="A272" i="4" s="1"/>
  <c r="A273" i="4" s="1"/>
  <c r="A274" i="4" s="1"/>
  <c r="A275" i="4" s="1"/>
  <c r="A276" i="4" s="1"/>
  <c r="H265" i="4"/>
  <c r="H266" i="4" s="1"/>
  <c r="H267" i="4" s="1"/>
  <c r="H268" i="4" s="1"/>
  <c r="H269" i="4" s="1"/>
  <c r="A264" i="4"/>
  <c r="A265" i="4" s="1"/>
  <c r="A266" i="4" s="1"/>
  <c r="A267" i="4" s="1"/>
  <c r="A268" i="4" s="1"/>
  <c r="A269" i="4" s="1"/>
  <c r="H255" i="4"/>
  <c r="H256" i="4" s="1"/>
  <c r="H257" i="4" s="1"/>
  <c r="H258" i="4" s="1"/>
  <c r="H259" i="4" s="1"/>
  <c r="H260" i="4" s="1"/>
  <c r="H261" i="4" s="1"/>
  <c r="H262" i="4" s="1"/>
  <c r="H263" i="4" s="1"/>
  <c r="A254" i="4"/>
  <c r="A255" i="4" s="1"/>
  <c r="A256" i="4" s="1"/>
  <c r="A257" i="4" s="1"/>
  <c r="A258" i="4" s="1"/>
  <c r="A259" i="4" s="1"/>
  <c r="A260" i="4" s="1"/>
  <c r="A261" i="4" s="1"/>
  <c r="A262" i="4" s="1"/>
  <c r="A263" i="4" s="1"/>
  <c r="H245" i="4"/>
  <c r="H246" i="4" s="1"/>
  <c r="H247" i="4" s="1"/>
  <c r="H248" i="4" s="1"/>
  <c r="H249" i="4" s="1"/>
  <c r="H250" i="4" s="1"/>
  <c r="H251" i="4" s="1"/>
  <c r="H252" i="4" s="1"/>
  <c r="H253" i="4" s="1"/>
  <c r="A244" i="4"/>
  <c r="A245" i="4" s="1"/>
  <c r="A246" i="4" s="1"/>
  <c r="A247" i="4" s="1"/>
  <c r="A248" i="4" s="1"/>
  <c r="A249" i="4" s="1"/>
  <c r="A250" i="4" s="1"/>
  <c r="A251" i="4" s="1"/>
  <c r="A252" i="4" s="1"/>
  <c r="A253" i="4" s="1"/>
  <c r="H238" i="4"/>
  <c r="H239" i="4" s="1"/>
  <c r="H240" i="4" s="1"/>
  <c r="H241" i="4" s="1"/>
  <c r="H242" i="4" s="1"/>
  <c r="H243" i="4" s="1"/>
  <c r="A237" i="4"/>
  <c r="A238" i="4" s="1"/>
  <c r="A239" i="4" s="1"/>
  <c r="A240" i="4" s="1"/>
  <c r="A241" i="4" s="1"/>
  <c r="A242" i="4" s="1"/>
  <c r="A243" i="4" s="1"/>
  <c r="H232" i="4"/>
  <c r="H233" i="4" s="1"/>
  <c r="H234" i="4" s="1"/>
  <c r="H235" i="4" s="1"/>
  <c r="H236" i="4" s="1"/>
  <c r="A231" i="4"/>
  <c r="A232" i="4" s="1"/>
  <c r="A233" i="4" s="1"/>
  <c r="A234" i="4" s="1"/>
  <c r="A235" i="4" s="1"/>
  <c r="A236" i="4" s="1"/>
  <c r="H222" i="4"/>
  <c r="H223" i="4" s="1"/>
  <c r="A221" i="4"/>
  <c r="A222" i="4" s="1"/>
  <c r="A223" i="4" s="1"/>
  <c r="A224" i="4" s="1"/>
  <c r="A225" i="4" s="1"/>
  <c r="A226" i="4" s="1"/>
  <c r="A227" i="4" s="1"/>
  <c r="A228" i="4" s="1"/>
  <c r="A229" i="4" s="1"/>
  <c r="A230" i="4" s="1"/>
  <c r="H212" i="4"/>
  <c r="H213" i="4" s="1"/>
  <c r="H214" i="4" s="1"/>
  <c r="H215" i="4" s="1"/>
  <c r="H216" i="4" s="1"/>
  <c r="H217" i="4" s="1"/>
  <c r="H218" i="4" s="1"/>
  <c r="H219" i="4" s="1"/>
  <c r="H220" i="4" s="1"/>
  <c r="A211" i="4"/>
  <c r="A212" i="4" s="1"/>
  <c r="A213" i="4" s="1"/>
  <c r="A214" i="4" s="1"/>
  <c r="A215" i="4" s="1"/>
  <c r="A216" i="4" s="1"/>
  <c r="A217" i="4" s="1"/>
  <c r="A218" i="4" s="1"/>
  <c r="A219" i="4" s="1"/>
  <c r="A220" i="4" s="1"/>
  <c r="H205" i="4"/>
  <c r="H206" i="4" s="1"/>
  <c r="H207" i="4" s="1"/>
  <c r="A204" i="4"/>
  <c r="A205" i="4" s="1"/>
  <c r="A206" i="4" s="1"/>
  <c r="A207" i="4" s="1"/>
  <c r="A208" i="4" s="1"/>
  <c r="A209" i="4" s="1"/>
  <c r="A210" i="4" s="1"/>
  <c r="H199" i="4"/>
  <c r="H200" i="4" s="1"/>
  <c r="H201" i="4" s="1"/>
  <c r="H202" i="4" s="1"/>
  <c r="H203" i="4" s="1"/>
  <c r="A198" i="4"/>
  <c r="A199" i="4" s="1"/>
  <c r="A200" i="4" s="1"/>
  <c r="A201" i="4" s="1"/>
  <c r="A202" i="4" s="1"/>
  <c r="A203" i="4" s="1"/>
  <c r="H189" i="4"/>
  <c r="H190" i="4" s="1"/>
  <c r="H191" i="4" s="1"/>
  <c r="H192" i="4" s="1"/>
  <c r="H193" i="4" s="1"/>
  <c r="H194" i="4" s="1"/>
  <c r="H195" i="4" s="1"/>
  <c r="H196" i="4" s="1"/>
  <c r="H197" i="4" s="1"/>
  <c r="A188" i="4"/>
  <c r="A189" i="4" s="1"/>
  <c r="A190" i="4" s="1"/>
  <c r="A191" i="4" s="1"/>
  <c r="A192" i="4" s="1"/>
  <c r="A193" i="4" s="1"/>
  <c r="A194" i="4" s="1"/>
  <c r="A195" i="4" s="1"/>
  <c r="A196" i="4" s="1"/>
  <c r="A197" i="4" s="1"/>
  <c r="H183" i="4"/>
  <c r="H184" i="4" s="1"/>
  <c r="H185" i="4" s="1"/>
  <c r="H186" i="4" s="1"/>
  <c r="H187" i="4" s="1"/>
  <c r="A182" i="4"/>
  <c r="A183" i="4" s="1"/>
  <c r="A184" i="4" s="1"/>
  <c r="A185" i="4" s="1"/>
  <c r="A186" i="4" s="1"/>
  <c r="A187" i="4" s="1"/>
  <c r="H177" i="4"/>
  <c r="H178" i="4" s="1"/>
  <c r="H179" i="4" s="1"/>
  <c r="H180" i="4" s="1"/>
  <c r="H181" i="4" s="1"/>
  <c r="A176" i="4"/>
  <c r="A177" i="4" s="1"/>
  <c r="A178" i="4" s="1"/>
  <c r="A179" i="4" s="1"/>
  <c r="A180" i="4" s="1"/>
  <c r="A181" i="4" s="1"/>
  <c r="H166" i="4"/>
  <c r="H167" i="4" s="1"/>
  <c r="H168" i="4" s="1"/>
  <c r="H169" i="4" s="1"/>
  <c r="H170" i="4" s="1"/>
  <c r="H171" i="4" s="1"/>
  <c r="H172" i="4" s="1"/>
  <c r="H173" i="4" s="1"/>
  <c r="H174" i="4" s="1"/>
  <c r="H175" i="4" s="1"/>
  <c r="A165" i="4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H160" i="4"/>
  <c r="H161" i="4" s="1"/>
  <c r="H162" i="4" s="1"/>
  <c r="H163" i="4" s="1"/>
  <c r="H164" i="4" s="1"/>
  <c r="A159" i="4"/>
  <c r="A160" i="4" s="1"/>
  <c r="A161" i="4" s="1"/>
  <c r="A162" i="4" s="1"/>
  <c r="A163" i="4" s="1"/>
  <c r="A164" i="4" s="1"/>
  <c r="H153" i="4"/>
  <c r="H154" i="4" s="1"/>
  <c r="H155" i="4" s="1"/>
  <c r="H156" i="4" s="1"/>
  <c r="A152" i="4"/>
  <c r="A153" i="4" s="1"/>
  <c r="A154" i="4" s="1"/>
  <c r="A155" i="4" s="1"/>
  <c r="A156" i="4" s="1"/>
  <c r="A157" i="4" s="1"/>
  <c r="A158" i="4" s="1"/>
  <c r="H143" i="4"/>
  <c r="H144" i="4" s="1"/>
  <c r="A142" i="4"/>
  <c r="A143" i="4" s="1"/>
  <c r="A144" i="4" s="1"/>
  <c r="A145" i="4" s="1"/>
  <c r="A146" i="4" s="1"/>
  <c r="A147" i="4" s="1"/>
  <c r="A148" i="4" s="1"/>
  <c r="A149" i="4" s="1"/>
  <c r="A150" i="4" s="1"/>
  <c r="A151" i="4" s="1"/>
  <c r="H132" i="4"/>
  <c r="H133" i="4" s="1"/>
  <c r="H134" i="4" s="1"/>
  <c r="H135" i="4" s="1"/>
  <c r="H136" i="4" s="1"/>
  <c r="H137" i="4" s="1"/>
  <c r="H138" i="4" s="1"/>
  <c r="H139" i="4" s="1"/>
  <c r="H140" i="4" s="1"/>
  <c r="H141" i="4" s="1"/>
  <c r="A131" i="4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H121" i="4"/>
  <c r="H122" i="4" s="1"/>
  <c r="H123" i="4" s="1"/>
  <c r="H124" i="4" s="1"/>
  <c r="H125" i="4" s="1"/>
  <c r="H126" i="4" s="1"/>
  <c r="H127" i="4" s="1"/>
  <c r="H128" i="4" s="1"/>
  <c r="H129" i="4" s="1"/>
  <c r="H130" i="4" s="1"/>
  <c r="A120" i="4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H114" i="4"/>
  <c r="H115" i="4" s="1"/>
  <c r="H116" i="4" s="1"/>
  <c r="H117" i="4" s="1"/>
  <c r="H118" i="4" s="1"/>
  <c r="H119" i="4" s="1"/>
  <c r="A113" i="4"/>
  <c r="A114" i="4" s="1"/>
  <c r="A115" i="4" s="1"/>
  <c r="A116" i="4" s="1"/>
  <c r="A117" i="4" s="1"/>
  <c r="A118" i="4" s="1"/>
  <c r="A119" i="4" s="1"/>
  <c r="H107" i="4"/>
  <c r="H108" i="4" s="1"/>
  <c r="H109" i="4" s="1"/>
  <c r="H110" i="4" s="1"/>
  <c r="H111" i="4" s="1"/>
  <c r="H112" i="4" s="1"/>
  <c r="A106" i="4"/>
  <c r="A107" i="4" s="1"/>
  <c r="A108" i="4" s="1"/>
  <c r="A109" i="4" s="1"/>
  <c r="A110" i="4" s="1"/>
  <c r="A111" i="4" s="1"/>
  <c r="A112" i="4" s="1"/>
  <c r="H101" i="4"/>
  <c r="H102" i="4" s="1"/>
  <c r="A100" i="4"/>
  <c r="A101" i="4" s="1"/>
  <c r="A102" i="4" s="1"/>
  <c r="A103" i="4" s="1"/>
  <c r="A104" i="4" s="1"/>
  <c r="A105" i="4" s="1"/>
  <c r="H95" i="4"/>
  <c r="H96" i="4" s="1"/>
  <c r="H97" i="4" s="1"/>
  <c r="H98" i="4" s="1"/>
  <c r="H99" i="4" s="1"/>
  <c r="A94" i="4"/>
  <c r="A95" i="4" s="1"/>
  <c r="A96" i="4" s="1"/>
  <c r="A97" i="4" s="1"/>
  <c r="A98" i="4" s="1"/>
  <c r="A99" i="4" s="1"/>
  <c r="H85" i="4"/>
  <c r="H86" i="4" s="1"/>
  <c r="A84" i="4"/>
  <c r="A85" i="4" s="1"/>
  <c r="A86" i="4" s="1"/>
  <c r="A87" i="4" s="1"/>
  <c r="A88" i="4" s="1"/>
  <c r="A89" i="4" s="1"/>
  <c r="A90" i="4" s="1"/>
  <c r="A91" i="4" s="1"/>
  <c r="A92" i="4" s="1"/>
  <c r="A93" i="4" s="1"/>
  <c r="H74" i="4"/>
  <c r="H75" i="4" s="1"/>
  <c r="H76" i="4" s="1"/>
  <c r="H77" i="4" s="1"/>
  <c r="H78" i="4" s="1"/>
  <c r="H79" i="4" s="1"/>
  <c r="H80" i="4" s="1"/>
  <c r="H81" i="4" s="1"/>
  <c r="H82" i="4" s="1"/>
  <c r="H83" i="4" s="1"/>
  <c r="A73" i="4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H67" i="4"/>
  <c r="H68" i="4" s="1"/>
  <c r="H69" i="4" s="1"/>
  <c r="H70" i="4" s="1"/>
  <c r="H71" i="4" s="1"/>
  <c r="H72" i="4" s="1"/>
  <c r="A66" i="4"/>
  <c r="A67" i="4" s="1"/>
  <c r="A68" i="4" s="1"/>
  <c r="A69" i="4" s="1"/>
  <c r="A70" i="4" s="1"/>
  <c r="A71" i="4" s="1"/>
  <c r="A72" i="4" s="1"/>
  <c r="H60" i="4"/>
  <c r="H61" i="4" s="1"/>
  <c r="H62" i="4" s="1"/>
  <c r="H63" i="4" s="1"/>
  <c r="H64" i="4" s="1"/>
  <c r="H65" i="4" s="1"/>
  <c r="A59" i="4"/>
  <c r="A60" i="4" s="1"/>
  <c r="A61" i="4" s="1"/>
  <c r="A62" i="4" s="1"/>
  <c r="A63" i="4" s="1"/>
  <c r="H54" i="4"/>
  <c r="H55" i="4" s="1"/>
  <c r="H56" i="4" s="1"/>
  <c r="H57" i="4" s="1"/>
  <c r="H58" i="4" s="1"/>
  <c r="A53" i="4"/>
  <c r="H44" i="4"/>
  <c r="H45" i="4" s="1"/>
  <c r="A43" i="4"/>
  <c r="A44" i="4" s="1"/>
  <c r="A45" i="4" s="1"/>
  <c r="A46" i="4" s="1"/>
  <c r="A47" i="4" s="1"/>
  <c r="A48" i="4" s="1"/>
  <c r="A49" i="4" s="1"/>
  <c r="A50" i="4" s="1"/>
  <c r="A51" i="4" s="1"/>
  <c r="A52" i="4" s="1"/>
  <c r="H33" i="4"/>
  <c r="H34" i="4" s="1"/>
  <c r="H35" i="4" s="1"/>
  <c r="H36" i="4" s="1"/>
  <c r="H37" i="4" s="1"/>
  <c r="H38" i="4" s="1"/>
  <c r="H39" i="4" s="1"/>
  <c r="H40" i="4" s="1"/>
  <c r="H41" i="4" s="1"/>
  <c r="H42" i="4" s="1"/>
  <c r="A32" i="4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H26" i="4"/>
  <c r="H27" i="4" s="1"/>
  <c r="H28" i="4" s="1"/>
  <c r="H29" i="4" s="1"/>
  <c r="H30" i="4" s="1"/>
  <c r="H31" i="4" s="1"/>
  <c r="A25" i="4"/>
  <c r="A26" i="4" s="1"/>
  <c r="A27" i="4" s="1"/>
  <c r="A28" i="4" s="1"/>
  <c r="A29" i="4" s="1"/>
  <c r="A30" i="4" s="1"/>
  <c r="A31" i="4" s="1"/>
  <c r="H19" i="4"/>
  <c r="H20" i="4" s="1"/>
  <c r="H21" i="4" s="1"/>
  <c r="H22" i="4" s="1"/>
  <c r="H23" i="4" s="1"/>
  <c r="H24" i="4" s="1"/>
  <c r="A18" i="4"/>
  <c r="A19" i="4" s="1"/>
  <c r="A20" i="4" s="1"/>
  <c r="A21" i="4" s="1"/>
  <c r="A22" i="4" s="1"/>
  <c r="H13" i="4"/>
  <c r="H14" i="4" s="1"/>
  <c r="H15" i="4" s="1"/>
  <c r="H16" i="4" s="1"/>
  <c r="H17" i="4" s="1"/>
  <c r="A12" i="4"/>
  <c r="A13" i="4" s="1"/>
  <c r="A14" i="4" s="1"/>
  <c r="A15" i="4" s="1"/>
  <c r="A16" i="4" s="1"/>
  <c r="A17" i="4" s="1"/>
  <c r="H3" i="4"/>
  <c r="H4" i="4" s="1"/>
  <c r="H6" i="4" s="1"/>
  <c r="A2" i="4"/>
  <c r="A3" i="4" s="1"/>
  <c r="A4" i="4" s="1"/>
  <c r="A5" i="4" s="1"/>
  <c r="A6" i="4" s="1"/>
  <c r="A7" i="4" s="1"/>
  <c r="A8" i="4" s="1"/>
  <c r="A9" i="4" s="1"/>
  <c r="A10" i="4" s="1"/>
  <c r="A11" i="4" s="1"/>
  <c r="A54" i="4" l="1"/>
  <c r="A55" i="4" s="1"/>
  <c r="A56" i="4" s="1"/>
  <c r="A57" i="4" s="1"/>
  <c r="A58" i="4" s="1"/>
  <c r="H538" i="4"/>
  <c r="H547" i="4" s="1"/>
  <c r="H539" i="4"/>
  <c r="A529" i="4"/>
  <c r="A530" i="4"/>
  <c r="A503" i="4"/>
  <c r="A505" i="4" s="1"/>
  <c r="A514" i="4" s="1"/>
  <c r="A504" i="4"/>
  <c r="A65" i="4"/>
  <c r="A64" i="4"/>
  <c r="A24" i="4"/>
  <c r="A23" i="4"/>
  <c r="H298" i="4"/>
  <c r="H299" i="4" s="1"/>
  <c r="H532" i="4"/>
  <c r="H5" i="4"/>
  <c r="H7" i="4" s="1"/>
  <c r="H8" i="4" s="1"/>
  <c r="H9" i="4" s="1"/>
  <c r="H10" i="4" s="1"/>
  <c r="H11" i="4" s="1"/>
  <c r="H158" i="4"/>
  <c r="H157" i="4"/>
  <c r="H87" i="4"/>
  <c r="H89" i="4" s="1"/>
  <c r="H91" i="4" s="1"/>
  <c r="H93" i="4" s="1"/>
  <c r="H88" i="4"/>
  <c r="H90" i="4" s="1"/>
  <c r="H92" i="4" s="1"/>
  <c r="H145" i="4"/>
  <c r="H147" i="4" s="1"/>
  <c r="H149" i="4" s="1"/>
  <c r="H151" i="4" s="1"/>
  <c r="H146" i="4"/>
  <c r="H148" i="4" s="1"/>
  <c r="H150" i="4" s="1"/>
  <c r="H209" i="4"/>
  <c r="H210" i="4" s="1"/>
  <c r="H208" i="4"/>
  <c r="H225" i="4"/>
  <c r="H227" i="4" s="1"/>
  <c r="H229" i="4" s="1"/>
  <c r="H224" i="4"/>
  <c r="H226" i="4" s="1"/>
  <c r="H228" i="4" s="1"/>
  <c r="H230" i="4" s="1"/>
  <c r="H47" i="4"/>
  <c r="H49" i="4" s="1"/>
  <c r="H46" i="4"/>
  <c r="H48" i="4" s="1"/>
  <c r="H50" i="4" s="1"/>
  <c r="H51" i="4" s="1"/>
  <c r="H52" i="4" s="1"/>
  <c r="H510" i="4"/>
  <c r="H512" i="4" s="1"/>
  <c r="H516" i="4" s="1"/>
  <c r="H509" i="4"/>
  <c r="H540" i="4" l="1"/>
  <c r="H548" i="4" s="1"/>
  <c r="H546" i="4"/>
  <c r="A532" i="4"/>
  <c r="A531" i="4"/>
  <c r="H517" i="4"/>
  <c r="H519" i="4" s="1"/>
  <c r="H527" i="4" s="1"/>
  <c r="H518" i="4"/>
  <c r="A511" i="4"/>
  <c r="A509" i="4" s="1"/>
  <c r="A510" i="4" s="1"/>
  <c r="A512" i="4" s="1"/>
  <c r="A516" i="4" s="1"/>
  <c r="A506" i="4"/>
  <c r="H520" i="4" l="1"/>
  <c r="H521" i="4" s="1"/>
  <c r="H523" i="4" s="1"/>
  <c r="H524" i="4" s="1"/>
  <c r="H525" i="4" s="1"/>
  <c r="H526" i="4" s="1"/>
  <c r="H541" i="4"/>
  <c r="H542" i="4"/>
  <c r="H543" i="4" s="1"/>
  <c r="H544" i="4" s="1"/>
  <c r="A537" i="4"/>
  <c r="A533" i="4"/>
  <c r="A534" i="4" s="1"/>
  <c r="A535" i="4" s="1"/>
  <c r="A517" i="4"/>
  <c r="A519" i="4" s="1"/>
  <c r="A518" i="4"/>
  <c r="A507" i="4"/>
  <c r="A513" i="4"/>
  <c r="H522" i="4" l="1"/>
  <c r="A545" i="4"/>
  <c r="A536" i="4"/>
  <c r="H555" i="4"/>
  <c r="H549" i="4"/>
  <c r="H550" i="4" s="1"/>
  <c r="H551" i="4" s="1"/>
  <c r="H552" i="4" s="1"/>
  <c r="A538" i="4"/>
  <c r="A547" i="4" s="1"/>
  <c r="A539" i="4"/>
  <c r="A527" i="4"/>
  <c r="A520" i="4"/>
  <c r="A521" i="4" s="1"/>
  <c r="A508" i="4"/>
  <c r="A515" i="4"/>
  <c r="H553" i="4" l="1"/>
  <c r="H554" i="4"/>
  <c r="A540" i="4"/>
  <c r="A546" i="4"/>
  <c r="A523" i="4"/>
  <c r="A524" i="4" s="1"/>
  <c r="A525" i="4" s="1"/>
  <c r="A526" i="4" s="1"/>
  <c r="A522" i="4"/>
  <c r="A541" i="4" l="1"/>
  <c r="A542" i="4" s="1"/>
  <c r="A543" i="4" s="1"/>
  <c r="A544" i="4" s="1"/>
  <c r="A548" i="4"/>
  <c r="A555" i="4" l="1"/>
  <c r="A549" i="4"/>
  <c r="A550" i="4" s="1"/>
  <c r="A551" i="4" s="1"/>
  <c r="A552" i="4" s="1"/>
  <c r="A553" i="4" l="1"/>
  <c r="A554" i="4"/>
</calcChain>
</file>

<file path=xl/sharedStrings.xml><?xml version="1.0" encoding="utf-8"?>
<sst xmlns="http://schemas.openxmlformats.org/spreadsheetml/2006/main" count="2805" uniqueCount="255">
  <si>
    <t>malzeme</t>
  </si>
  <si>
    <t>Артикул</t>
  </si>
  <si>
    <t>Номенклатура</t>
  </si>
  <si>
    <t>Кол- во</t>
  </si>
  <si>
    <t>Ед.изм</t>
  </si>
  <si>
    <t>завод из готовитель</t>
  </si>
  <si>
    <t>комплект</t>
  </si>
  <si>
    <t>TEKSAN</t>
  </si>
  <si>
    <t>korpus</t>
  </si>
  <si>
    <t xml:space="preserve"> ШТ. </t>
  </si>
  <si>
    <t>teksan f</t>
  </si>
  <si>
    <t>chint</t>
  </si>
  <si>
    <t>sayac</t>
  </si>
  <si>
    <t>saiman</t>
  </si>
  <si>
    <t>dif</t>
  </si>
  <si>
    <t>монтажный материал</t>
  </si>
  <si>
    <t>ВРУ1-1-1</t>
  </si>
  <si>
    <t>Блок1</t>
  </si>
  <si>
    <t>tt</t>
  </si>
  <si>
    <t>pys</t>
  </si>
  <si>
    <t>rubilnik</t>
  </si>
  <si>
    <t>cnc</t>
  </si>
  <si>
    <t>kondencator</t>
  </si>
  <si>
    <t>С1-С3</t>
  </si>
  <si>
    <t>РУ-1-1</t>
  </si>
  <si>
    <t>РУ-1-2</t>
  </si>
  <si>
    <t>ЩУР.МОП1</t>
  </si>
  <si>
    <t>719-15425</t>
  </si>
  <si>
    <t>Мет.Корпус ЩМП-2 (500x400x220) IP54 TEKSAN</t>
  </si>
  <si>
    <t>ats</t>
  </si>
  <si>
    <t>indicator</t>
  </si>
  <si>
    <t xml:space="preserve">Индикатор AD22-22DS/4 зеленый АС230В </t>
  </si>
  <si>
    <t xml:space="preserve">Индикатор AD22-22DS/4 желтый АС230В </t>
  </si>
  <si>
    <t>ВРУ1-2</t>
  </si>
  <si>
    <t>Блок2</t>
  </si>
  <si>
    <t>РУ-1-2(Блок2)</t>
  </si>
  <si>
    <t>РУ-2-2</t>
  </si>
  <si>
    <t>ЩУР.МОП1-2</t>
  </si>
  <si>
    <t>ВРУ1-3</t>
  </si>
  <si>
    <t>Блок3</t>
  </si>
  <si>
    <t>РУ-1-3(Блок3)</t>
  </si>
  <si>
    <t>РУ-2-3</t>
  </si>
  <si>
    <t>ЩУР.МОП1-3</t>
  </si>
  <si>
    <t>ЩУР.МОП2-3</t>
  </si>
  <si>
    <t>ВРУ1-4</t>
  </si>
  <si>
    <t>Блок4</t>
  </si>
  <si>
    <t>РУ-1-4</t>
  </si>
  <si>
    <t>ЩУР.МОП1-4</t>
  </si>
  <si>
    <t>РУ1-5</t>
  </si>
  <si>
    <t>Блок5</t>
  </si>
  <si>
    <t>ЩУР.МОП1-5</t>
  </si>
  <si>
    <t>РУ1-6</t>
  </si>
  <si>
    <t>Блок6</t>
  </si>
  <si>
    <t>ЩУР.МОП1-6</t>
  </si>
  <si>
    <t>ВРУ1-7</t>
  </si>
  <si>
    <t>Блок7</t>
  </si>
  <si>
    <t>РУ-1-7</t>
  </si>
  <si>
    <t>ЩУР.МОП1-7</t>
  </si>
  <si>
    <t>ВРУ1-8</t>
  </si>
  <si>
    <t>Блок8</t>
  </si>
  <si>
    <t>РУ-1-8</t>
  </si>
  <si>
    <t>ЩУР.МОП1-8</t>
  </si>
  <si>
    <t>РУ1-9</t>
  </si>
  <si>
    <t>Блок9</t>
  </si>
  <si>
    <t>ЩУР.МОП1-9</t>
  </si>
  <si>
    <t>РУ1-10</t>
  </si>
  <si>
    <t>Блок10</t>
  </si>
  <si>
    <t>ЩУР.МОП1-10</t>
  </si>
  <si>
    <t>ВРУ1-11</t>
  </si>
  <si>
    <t>Блок11</t>
  </si>
  <si>
    <t>РУ-1-11</t>
  </si>
  <si>
    <t>ЩУР.МОП1-11</t>
  </si>
  <si>
    <t>ВРУ1-12</t>
  </si>
  <si>
    <t>Блок12</t>
  </si>
  <si>
    <t>РУ-1-12</t>
  </si>
  <si>
    <t>РУ-2-12</t>
  </si>
  <si>
    <t>ЩУР.МОП1-12</t>
  </si>
  <si>
    <t>ЩУР.МОП2-12</t>
  </si>
  <si>
    <t>ВРУ1-13</t>
  </si>
  <si>
    <t>Блок13</t>
  </si>
  <si>
    <t>РУ-1-13</t>
  </si>
  <si>
    <t>РУ-2-13</t>
  </si>
  <si>
    <t>ЩУР.МОП1-13</t>
  </si>
  <si>
    <t>ВРУ1-14</t>
  </si>
  <si>
    <t>Блок14</t>
  </si>
  <si>
    <t>РУ-1-14</t>
  </si>
  <si>
    <t>РУ-2-14</t>
  </si>
  <si>
    <t>ЩУР.МОП1-14</t>
  </si>
  <si>
    <t>Блок15</t>
  </si>
  <si>
    <t>puskatel</t>
  </si>
  <si>
    <t>ЩР15</t>
  </si>
  <si>
    <t xml:space="preserve">Авт. выкл. YCB6-63H 3P 20А 4.5kA х-ка D </t>
  </si>
  <si>
    <t>719-15430</t>
  </si>
  <si>
    <t>buson</t>
  </si>
  <si>
    <t>buson yuva</t>
  </si>
  <si>
    <t>521189</t>
  </si>
  <si>
    <t>Плавкая вставка предохранителя RT36-1-250, габарит 1, 250А</t>
  </si>
  <si>
    <t>521367</t>
  </si>
  <si>
    <t>Держатель плавкой вставки RT36-1-250, габарит 1, 250А</t>
  </si>
  <si>
    <t>РЩ1-1 (АВР-Б-40-2-1)</t>
  </si>
  <si>
    <t>РЩ1-2 (АВР-Б-40-2-1)</t>
  </si>
  <si>
    <t>РЩ1-3 (АВР-Б-40-2-1)</t>
  </si>
  <si>
    <t>РЩ2-3 (АВР-Б-40-2-1)</t>
  </si>
  <si>
    <t>РЩ1-4 (АВР-Б-40-2-1)</t>
  </si>
  <si>
    <t>РЩ1-5 (АВР-Б-40-2-1)</t>
  </si>
  <si>
    <t>РЩ1-6 (АВР-Б-40-2-1)</t>
  </si>
  <si>
    <t>РЩ1-7 (АВР-Б-40-2-1)</t>
  </si>
  <si>
    <t>РЩ1-8 (АВР-Б-40-2-1)</t>
  </si>
  <si>
    <t>РЩ1-9 (АВР-Б-40-2-1)</t>
  </si>
  <si>
    <t>РЩ1-10 (АВР-Б-40-2-1)</t>
  </si>
  <si>
    <t>РЩ1-11 (АВР-Б-40-2-1)</t>
  </si>
  <si>
    <t>РЩ1-12 (АВР-Б-40-2-1)</t>
  </si>
  <si>
    <t>РЩ2-12 (АВР-Б-40-2-1)</t>
  </si>
  <si>
    <t>РЩ1-13 (АВР-Б-40-2-1)</t>
  </si>
  <si>
    <t>РЩ1-14 (АВР-Б-40-2-1)</t>
  </si>
  <si>
    <t>ЩРп c</t>
  </si>
  <si>
    <t>ЩЭ-3</t>
  </si>
  <si>
    <t>ЩЭ-4</t>
  </si>
  <si>
    <t>ЩЭ-3 1100*960</t>
  </si>
  <si>
    <t>ЩЭ-4 1100*960</t>
  </si>
  <si>
    <t>ЩЭ-6</t>
  </si>
  <si>
    <t>ЩЭ-6 1100*960</t>
  </si>
  <si>
    <t>ЩЭ-7</t>
  </si>
  <si>
    <t>171631</t>
  </si>
  <si>
    <t>Устройство автоматического ввода резерва NXZB-63H/4C 40A D40 (R)</t>
  </si>
  <si>
    <t>256757</t>
  </si>
  <si>
    <t>Устройство автоматического ввода резерва NXZM-63S/3B 63A (R)</t>
  </si>
  <si>
    <t>256778</t>
  </si>
  <si>
    <t>Устройство автоматического ввода резерва NXZM-125S/3B 80A (R)</t>
  </si>
  <si>
    <t>719-15437</t>
  </si>
  <si>
    <t>Мет.Корпус Щит (1600x600x400+10см база)</t>
  </si>
  <si>
    <t>719-15614</t>
  </si>
  <si>
    <t>Мет. Корпус (Пустой) (1700x600x450)+10CM База IP31</t>
  </si>
  <si>
    <t>719-15043</t>
  </si>
  <si>
    <t>Мет. Щит ВРУ 1700х800х450+10CM База</t>
  </si>
  <si>
    <t>270100161_</t>
  </si>
  <si>
    <t xml:space="preserve">                    Рубильник ВР-32-37  В71250-400А на 2 направления (+6камер) UNIT (1/6)</t>
  </si>
  <si>
    <t>612-15314</t>
  </si>
  <si>
    <t>BA47-63 Автомат  2P  40A   NEW  (120шт)   (TEKSAN)</t>
  </si>
  <si>
    <t>611-36106</t>
  </si>
  <si>
    <t>4VTB-1C06 Автомат 1P 6A  4,5KA  B-C  (VIKO)120шт</t>
  </si>
  <si>
    <t>611-361041</t>
  </si>
  <si>
    <t>6VTB-1C02  Автомат 1P 2A  6KA VIKO</t>
  </si>
  <si>
    <t>613-36328</t>
  </si>
  <si>
    <t>6VTB-3C25  Автомат 3P 25A  6KA VIKO</t>
  </si>
  <si>
    <t>613-36334</t>
  </si>
  <si>
    <t>6VTB-3C32  Автомат 3P 32A (VIKO)</t>
  </si>
  <si>
    <t>613-36313</t>
  </si>
  <si>
    <t>6VTB-3C10  Автомат 3P 10A  6KA VIKO 40</t>
  </si>
  <si>
    <t>613-36318</t>
  </si>
  <si>
    <t>6VTB-3C16  Автомат 3P 16A  6KA (VIKO)40</t>
  </si>
  <si>
    <t>613-36322</t>
  </si>
  <si>
    <t>6VTB-3C20  Автомат 3P 20A  6KA VIKO</t>
  </si>
  <si>
    <t>615-36216</t>
  </si>
  <si>
    <t>Авт. Выкл. VMF1  40А 3Р 25кA SN2 (VIKO)20</t>
  </si>
  <si>
    <t>613-36307</t>
  </si>
  <si>
    <t>6VTB-3C04  Автомат 3P 4A  6KA VIKO</t>
  </si>
  <si>
    <t>viko</t>
  </si>
  <si>
    <t>teksan m</t>
  </si>
  <si>
    <t>616-36550</t>
  </si>
  <si>
    <t>6VRBE-2C2530-AC ELEKTRONİK RCBO 6kA 25A 2P  AC TİP 60</t>
  </si>
  <si>
    <t>615-36232</t>
  </si>
  <si>
    <t>Авт. Выкл. VMF2-100-SN2  3x100A 35кAVIKO</t>
  </si>
  <si>
    <t>614-36215</t>
  </si>
  <si>
    <t>10VTB-3С25  Автомат 3P  25A  10KA  B-C   (VIKO)</t>
  </si>
  <si>
    <t>614-36220</t>
  </si>
  <si>
    <t>10VTB-3С32  Автомат 3P  32A  10KA  B-C   (VIKO)</t>
  </si>
  <si>
    <t>614-36225</t>
  </si>
  <si>
    <t>10VTB-3С40  Автомат 3P  40A  10KA  B-C   (VIKO)</t>
  </si>
  <si>
    <t>615-36210</t>
  </si>
  <si>
    <t>Авт. Выкл. VMF1  50А 3Р 20кA (VIKO)12шт</t>
  </si>
  <si>
    <t>615-36215</t>
  </si>
  <si>
    <t>Авт. Выкл. VMF1  63А 3Р 20кA  (VIKO)12шт</t>
  </si>
  <si>
    <t>615-36220</t>
  </si>
  <si>
    <t>Авт. Выкл. VMF2  80А 3Р 35кA  (VIKO) 16шт</t>
  </si>
  <si>
    <t>615-36228</t>
  </si>
  <si>
    <t>Авт. Выкл. VMF2  125А 3Р 35кA SN2 (VIKО) 16шт</t>
  </si>
  <si>
    <t>615-36233</t>
  </si>
  <si>
    <t>Авт. Выкл. VMF2-160-SN2  3x160A 35кAVIKO</t>
  </si>
  <si>
    <t>131367</t>
  </si>
  <si>
    <t>Авт. выкл. NXM-250S/3Р 200A 36кА (R)</t>
  </si>
  <si>
    <t>614-36205</t>
  </si>
  <si>
    <t>10VTB-3С16  Автомат 3P  16A  10KA  B-C   (VIKO)</t>
  </si>
  <si>
    <t>515423</t>
  </si>
  <si>
    <t>Диф. авт. выкл. NXBLE-63YH 1P+N C6 30mA тип A, 6kA (R)</t>
  </si>
  <si>
    <t>495078</t>
  </si>
  <si>
    <t>Пускатель NS2-25 1.6-2.5A (R)</t>
  </si>
  <si>
    <t>171632</t>
  </si>
  <si>
    <t>Устройство автоматического ввода резерва NXZB-63H/4C 50A D50 (R)</t>
  </si>
  <si>
    <t>495088</t>
  </si>
  <si>
    <t>Пускатель NS2-80B 40A-63A (R)</t>
  </si>
  <si>
    <t>719-15567</t>
  </si>
  <si>
    <t>ЩМП-18.8.4.-0 Y2 IP54 (1800х800х400мм)</t>
  </si>
  <si>
    <t>voltmetr</t>
  </si>
  <si>
    <t>130301016_</t>
  </si>
  <si>
    <t xml:space="preserve">                Вольтметр Э47 500В кл. точн. 1,5 72х72 IEK (1/100)</t>
  </si>
  <si>
    <t>voltmetr anahtar</t>
  </si>
  <si>
    <t>pk-1-64-10</t>
  </si>
  <si>
    <t>Переключатель кулачковый ПК-1-64 10А для вольтметра EKF PROxima</t>
  </si>
  <si>
    <t>kontaktor</t>
  </si>
  <si>
    <t>dob kont</t>
  </si>
  <si>
    <t>495968</t>
  </si>
  <si>
    <t>Доп.контакты поперечный NS2-AE11 (R)</t>
  </si>
  <si>
    <t>620-36009</t>
  </si>
  <si>
    <t>VTC-09/10/S AC Контактор   9A  1NO  230V (VIKO)50ш</t>
  </si>
  <si>
    <t>618-36051</t>
  </si>
  <si>
    <t>VTCA-AU/11  1NO+1NC YARD. KONT.USTE  MONTE(VIKO)</t>
  </si>
  <si>
    <t>knopka 2li</t>
  </si>
  <si>
    <t>574114</t>
  </si>
  <si>
    <t>Кнопка управления Двойная кнопка "Пуск-Стоп" NP2-EL8325 1НО+1НЗ AC230В IP40 (R)</t>
  </si>
  <si>
    <t>574816</t>
  </si>
  <si>
    <t>Кнопка управления NP2-EA31 без подсветки зеленая 1НО IP40</t>
  </si>
  <si>
    <t xml:space="preserve">knopka </t>
  </si>
  <si>
    <t>priz</t>
  </si>
  <si>
    <t>775001</t>
  </si>
  <si>
    <t>Розетка AC30-111 с заземляющим контактом на DIN-рейку (R)</t>
  </si>
  <si>
    <t>rakor</t>
  </si>
  <si>
    <t>pg25</t>
  </si>
  <si>
    <t>pg13,5</t>
  </si>
  <si>
    <t>pg29</t>
  </si>
  <si>
    <t>mandal buton3</t>
  </si>
  <si>
    <t>574849</t>
  </si>
  <si>
    <t>Переключатель NP2-BD33, 3 положения с фиксацией, 2НО IP40</t>
  </si>
  <si>
    <t>termik</t>
  </si>
  <si>
    <t>mandal buton2</t>
  </si>
  <si>
    <t>574847</t>
  </si>
  <si>
    <t>Переключатель NP2-BD21, 2 положения с фиксацией, 1НО IP40</t>
  </si>
  <si>
    <t>donb kont perekl.</t>
  </si>
  <si>
    <t>576728</t>
  </si>
  <si>
    <t>Блоки контактные NP2-BE101, 1НО</t>
  </si>
  <si>
    <t>indicator sesli</t>
  </si>
  <si>
    <t>593399</t>
  </si>
  <si>
    <t>Сигнализатор звуковой ND16-22FS Φ22 мм красный LED АС220В (R)</t>
  </si>
  <si>
    <t>620-36025</t>
  </si>
  <si>
    <t>VTC-25/10/S AC Контактор 25A  1NO  230V(VIKO)32шт</t>
  </si>
  <si>
    <t>620-36018</t>
  </si>
  <si>
    <t>VTC-18/10/S AC Контактор 18A  1NO  230V(VIKO)50шт</t>
  </si>
  <si>
    <t>mcb</t>
  </si>
  <si>
    <t>mccb</t>
  </si>
  <si>
    <t>613-36308</t>
  </si>
  <si>
    <t>4VTB-3C06  Автомат 3P 6A  4,5KA  B-C (VIKO)40шт</t>
  </si>
  <si>
    <t>IA</t>
  </si>
  <si>
    <t>ДАЛА СА4У-Э720 R TX OP П RS1 Д W  (3x220/380V 5-7,5A)</t>
  </si>
  <si>
    <t>NB</t>
  </si>
  <si>
    <t>Дала T1 СА4-Э720 (3x220/380V 5-60A)</t>
  </si>
  <si>
    <t>LM</t>
  </si>
  <si>
    <t>Дала CA4-Э720 R Т1 (3x220/380V 10-100A)</t>
  </si>
  <si>
    <t>630-36025</t>
  </si>
  <si>
    <t>VRE-32A26 Электр.тепловое реле 17-25A  AUTO (30шт)</t>
  </si>
  <si>
    <t>630-36013</t>
  </si>
  <si>
    <t>VRE-32A24 Электр.тепловое реле 9-13A  AUTO (30шт)</t>
  </si>
  <si>
    <t>ITT20-2-05-0250</t>
  </si>
  <si>
    <t xml:space="preserve">             Трансформатор тока ТТИ-30  250/5А 5ВА 0,5 IEK E-PRO</t>
  </si>
  <si>
    <t>BQ</t>
  </si>
  <si>
    <t>Орман СО-Э711 R TX OP P П RS Z Д  (5-60А 220В)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</si>
</sst>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\-??_-;_-@_-"/>
  </numFmts>
  <fonts count="5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</font>
    <font>
      <sz val="11"/>
      <color theme="1"/>
      <name val="Calibri"/>
      <family val="2"/>
      <charset val="204"/>
    </font>
    <font>
      <b/>
      <sz val="10"/>
      <color theme="1"/>
      <name val="Calibri"/>
      <family val="2"/>
      <charset val="1"/>
    </font>
    <font>
      <sz val="8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6" fontId="3" fillId="2" borderId="1" xfId="0" applyNumberFormat="1" applyFont="1" applyFill="1" applyBorder="1" applyAlignment="1">
      <alignment horizontal="center" vertical="center" wrapText="1"/>
    </xf>
    <xf numFmtId="17" fontId="3" fillId="2" borderId="1" xfId="0" applyNumberFormat="1" applyFont="1" applyFill="1" applyBorder="1" applyAlignment="1">
      <alignment horizontal="center" vertical="center" wrapText="1"/>
    </xf>
  </cellXfs>
  <cellStyles count="6">
    <cellStyle name="Normal" xfId="0" builtinId="0"/>
    <cellStyle name="Normal 2" xfId="1" xr:uid="{00000000-0005-0000-0000-000006000000}"/>
    <cellStyle name="Обычный 2" xfId="2" xr:uid="{00000000-0005-0000-0000-000007000000}"/>
    <cellStyle name="Обычный 2 2" xfId="3" xr:uid="{00000000-0005-0000-0000-000008000000}"/>
    <cellStyle name="Обычный 2 2 2" xfId="4" xr:uid="{00000000-0005-0000-0000-000009000000}"/>
    <cellStyle name="Обычный 2 3" xfId="5" xr:uid="{00000000-0005-0000-0000-00000A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Drive'&#305;m\5.1-%20uretimdeki\BASLANACAK\260504%20astana%20mustf%20hakan%20bey%20jk\260515_Prigorodniy_JK_%20fiyat%20r++%20(1).xlsx" TargetMode="External"/><Relationship Id="rId1" Type="http://schemas.openxmlformats.org/officeDocument/2006/relationships/externalLinkPath" Target="260515_Prigorodniy_JK_%20fiyat%20r++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yfa2"/>
    </sheetNames>
    <sheetDataSet>
      <sheetData sheetId="0">
        <row r="1">
          <cell r="A1" t="str">
            <v>Номенклатура</v>
          </cell>
          <cell r="B1" t="str">
            <v>Артикул</v>
          </cell>
          <cell r="C1" t="str">
            <v>Кол- во</v>
          </cell>
          <cell r="D1" t="str">
            <v>Ед.изм</v>
          </cell>
          <cell r="E1" t="str">
            <v>завод из готовитель</v>
          </cell>
        </row>
        <row r="2">
          <cell r="A2" t="str">
            <v>ВРУ1-1-1</v>
          </cell>
          <cell r="B2" t="str">
            <v>989-090-0524</v>
          </cell>
          <cell r="C2">
            <v>1</v>
          </cell>
          <cell r="D2" t="str">
            <v>комплект</v>
          </cell>
          <cell r="E2" t="str">
            <v>TEKSAN</v>
          </cell>
          <cell r="F2" t="str">
            <v>Блок1</v>
          </cell>
        </row>
        <row r="3">
          <cell r="A3" t="str">
            <v>РУ-1-1</v>
          </cell>
          <cell r="B3" t="str">
            <v>989-090-0525</v>
          </cell>
          <cell r="C3">
            <v>1</v>
          </cell>
          <cell r="D3" t="str">
            <v>комплект</v>
          </cell>
          <cell r="E3" t="str">
            <v>TEKSAN</v>
          </cell>
          <cell r="F3" t="str">
            <v>Блок1</v>
          </cell>
        </row>
        <row r="4">
          <cell r="A4" t="str">
            <v>РУ-1-2</v>
          </cell>
          <cell r="B4" t="str">
            <v>989-090-0526</v>
          </cell>
          <cell r="C4">
            <v>1</v>
          </cell>
          <cell r="D4" t="str">
            <v>комплект</v>
          </cell>
          <cell r="E4" t="str">
            <v>TEKSAN</v>
          </cell>
          <cell r="F4" t="str">
            <v>Блок1</v>
          </cell>
        </row>
        <row r="5">
          <cell r="A5" t="str">
            <v>ЩУР.МОП1</v>
          </cell>
          <cell r="B5" t="str">
            <v>989-090-0527</v>
          </cell>
          <cell r="C5">
            <v>1</v>
          </cell>
          <cell r="D5" t="str">
            <v>комплект</v>
          </cell>
          <cell r="E5" t="str">
            <v>TEKSAN</v>
          </cell>
          <cell r="F5" t="str">
            <v>Блок1</v>
          </cell>
        </row>
        <row r="6">
          <cell r="A6" t="str">
            <v>РЩ1-1 (АВР-Б-40-2-1)</v>
          </cell>
          <cell r="B6" t="str">
            <v>989-090-0528</v>
          </cell>
          <cell r="C6">
            <v>1</v>
          </cell>
          <cell r="D6" t="str">
            <v>комплект</v>
          </cell>
          <cell r="E6" t="str">
            <v>TEKSAN</v>
          </cell>
          <cell r="F6" t="str">
            <v>Блок1</v>
          </cell>
        </row>
        <row r="7">
          <cell r="A7" t="str">
            <v>ВРУ1-2</v>
          </cell>
          <cell r="B7" t="str">
            <v>989-090-0529</v>
          </cell>
          <cell r="C7">
            <v>1</v>
          </cell>
          <cell r="D7" t="str">
            <v>комплект</v>
          </cell>
          <cell r="E7" t="str">
            <v>TEKSAN</v>
          </cell>
          <cell r="F7" t="str">
            <v>Блок2</v>
          </cell>
        </row>
        <row r="8">
          <cell r="A8" t="str">
            <v>РУ-1-2(Блок2)</v>
          </cell>
          <cell r="B8" t="str">
            <v>989-090-0530</v>
          </cell>
          <cell r="C8">
            <v>1</v>
          </cell>
          <cell r="D8" t="str">
            <v>комплект</v>
          </cell>
          <cell r="E8" t="str">
            <v>TEKSAN</v>
          </cell>
          <cell r="F8" t="str">
            <v>Блок2</v>
          </cell>
        </row>
        <row r="9">
          <cell r="A9" t="str">
            <v>РУ-2-2</v>
          </cell>
          <cell r="B9" t="str">
            <v>989-090-0531</v>
          </cell>
          <cell r="C9">
            <v>1</v>
          </cell>
          <cell r="D9" t="str">
            <v>комплект</v>
          </cell>
          <cell r="E9" t="str">
            <v>TEKSAN</v>
          </cell>
          <cell r="F9" t="str">
            <v>Блок2</v>
          </cell>
        </row>
        <row r="10">
          <cell r="A10" t="str">
            <v>ЩУР.МОП1-2</v>
          </cell>
          <cell r="B10" t="str">
            <v>989-090-0532</v>
          </cell>
          <cell r="C10">
            <v>1</v>
          </cell>
          <cell r="D10" t="str">
            <v>комплект</v>
          </cell>
          <cell r="E10" t="str">
            <v>TEKSAN</v>
          </cell>
          <cell r="F10" t="str">
            <v>Блок2</v>
          </cell>
        </row>
        <row r="11">
          <cell r="A11" t="str">
            <v>РЩ1-2 (АВР-Б-40-2-1)</v>
          </cell>
          <cell r="B11" t="str">
            <v>989-090-0534</v>
          </cell>
          <cell r="C11">
            <v>1</v>
          </cell>
          <cell r="D11" t="str">
            <v>комплект</v>
          </cell>
          <cell r="E11" t="str">
            <v>TEKSAN</v>
          </cell>
          <cell r="F11" t="str">
            <v>Блок2</v>
          </cell>
        </row>
        <row r="12">
          <cell r="A12" t="str">
            <v>ВРУ1-3</v>
          </cell>
          <cell r="B12" t="str">
            <v>989-090-0535</v>
          </cell>
          <cell r="C12">
            <v>1</v>
          </cell>
          <cell r="D12" t="str">
            <v>комплект</v>
          </cell>
          <cell r="E12" t="str">
            <v>TEKSAN</v>
          </cell>
          <cell r="F12" t="str">
            <v>Блок3</v>
          </cell>
        </row>
        <row r="13">
          <cell r="A13" t="str">
            <v>РУ-1-3(Блок3)</v>
          </cell>
          <cell r="B13" t="str">
            <v>989-090-0536</v>
          </cell>
          <cell r="C13">
            <v>1</v>
          </cell>
          <cell r="D13" t="str">
            <v>комплект</v>
          </cell>
          <cell r="E13" t="str">
            <v>TEKSAN</v>
          </cell>
          <cell r="F13" t="str">
            <v>Блок3</v>
          </cell>
        </row>
        <row r="14">
          <cell r="A14" t="str">
            <v>РУ-2-3</v>
          </cell>
          <cell r="B14" t="str">
            <v>989-090-0600</v>
          </cell>
          <cell r="C14">
            <v>1</v>
          </cell>
          <cell r="D14" t="str">
            <v>комплект</v>
          </cell>
          <cell r="E14" t="str">
            <v>TEKSAN</v>
          </cell>
          <cell r="F14" t="str">
            <v>Блок3</v>
          </cell>
        </row>
        <row r="15">
          <cell r="A15" t="str">
            <v>ЩУР.МОП1-3</v>
          </cell>
          <cell r="B15" t="str">
            <v>989-090-0601</v>
          </cell>
          <cell r="C15">
            <v>1</v>
          </cell>
          <cell r="D15" t="str">
            <v>комплект</v>
          </cell>
          <cell r="E15" t="str">
            <v>TEKSAN</v>
          </cell>
          <cell r="F15" t="str">
            <v>Блок3</v>
          </cell>
        </row>
        <row r="16">
          <cell r="A16" t="str">
            <v>ЩУР.МОП2-3</v>
          </cell>
          <cell r="B16" t="str">
            <v>989-090-0602</v>
          </cell>
          <cell r="C16">
            <v>1</v>
          </cell>
          <cell r="D16" t="str">
            <v>комплект</v>
          </cell>
          <cell r="E16" t="str">
            <v>TEKSAN</v>
          </cell>
          <cell r="F16" t="str">
            <v>Блок3</v>
          </cell>
        </row>
        <row r="17">
          <cell r="A17" t="str">
            <v>РЩ1-3 (АВР-Б-40-2-1)</v>
          </cell>
          <cell r="B17" t="str">
            <v>989-090-0603</v>
          </cell>
          <cell r="C17">
            <v>1</v>
          </cell>
          <cell r="D17" t="str">
            <v>комплект</v>
          </cell>
          <cell r="E17" t="str">
            <v>TEKSAN</v>
          </cell>
          <cell r="F17" t="str">
            <v>Блок3</v>
          </cell>
        </row>
        <row r="18">
          <cell r="A18" t="str">
            <v>РЩ2-3 (АВР-Б-40-2-1)</v>
          </cell>
          <cell r="B18" t="str">
            <v>989-090-0604</v>
          </cell>
          <cell r="C18">
            <v>1</v>
          </cell>
          <cell r="D18" t="str">
            <v>комплект</v>
          </cell>
          <cell r="E18" t="str">
            <v>TEKSAN</v>
          </cell>
          <cell r="F18" t="str">
            <v>Блок3</v>
          </cell>
        </row>
        <row r="19">
          <cell r="A19" t="str">
            <v>ВРУ1-4</v>
          </cell>
          <cell r="B19" t="str">
            <v>989-090-0605</v>
          </cell>
          <cell r="C19">
            <v>1</v>
          </cell>
          <cell r="D19" t="str">
            <v>комплект</v>
          </cell>
          <cell r="E19" t="str">
            <v>TEKSAN</v>
          </cell>
          <cell r="F19" t="str">
            <v>Блок4</v>
          </cell>
        </row>
        <row r="20">
          <cell r="A20" t="str">
            <v>РУ-1-4</v>
          </cell>
          <cell r="B20" t="str">
            <v>989-090-0606</v>
          </cell>
          <cell r="C20">
            <v>1</v>
          </cell>
          <cell r="D20" t="str">
            <v>комплект</v>
          </cell>
          <cell r="E20" t="str">
            <v>TEKSAN</v>
          </cell>
          <cell r="F20" t="str">
            <v>Блок4</v>
          </cell>
        </row>
        <row r="21">
          <cell r="A21" t="str">
            <v>ЩУР.МОП1-4</v>
          </cell>
          <cell r="B21" t="str">
            <v>989-090-0607</v>
          </cell>
          <cell r="C21">
            <v>1</v>
          </cell>
          <cell r="D21" t="str">
            <v>комплект</v>
          </cell>
          <cell r="E21" t="str">
            <v>TEKSAN</v>
          </cell>
          <cell r="F21" t="str">
            <v>Блок4</v>
          </cell>
        </row>
        <row r="22">
          <cell r="A22" t="str">
            <v>РЩ1-4 (АВР-Б-40-2-1)</v>
          </cell>
          <cell r="B22" t="str">
            <v>989-090-0608</v>
          </cell>
          <cell r="C22">
            <v>1</v>
          </cell>
          <cell r="D22" t="str">
            <v>комплект</v>
          </cell>
          <cell r="E22" t="str">
            <v>TEKSAN</v>
          </cell>
          <cell r="F22" t="str">
            <v>Блок4</v>
          </cell>
        </row>
        <row r="23">
          <cell r="A23" t="str">
            <v>РУ1-5</v>
          </cell>
          <cell r="B23" t="str">
            <v>989-090-0609</v>
          </cell>
          <cell r="C23">
            <v>1</v>
          </cell>
          <cell r="D23" t="str">
            <v>комплект</v>
          </cell>
          <cell r="E23" t="str">
            <v>TEKSAN</v>
          </cell>
          <cell r="F23" t="str">
            <v>Блок5</v>
          </cell>
        </row>
        <row r="24">
          <cell r="A24" t="str">
            <v>ЩУР.МОП1-5</v>
          </cell>
          <cell r="B24" t="str">
            <v>989-090-0610</v>
          </cell>
          <cell r="C24">
            <v>1</v>
          </cell>
          <cell r="D24" t="str">
            <v>комплект</v>
          </cell>
          <cell r="E24" t="str">
            <v>TEKSAN</v>
          </cell>
          <cell r="F24" t="str">
            <v>Блок5</v>
          </cell>
        </row>
        <row r="25">
          <cell r="A25" t="str">
            <v>РЩ1-5 (АВР-Б-40-2-1)</v>
          </cell>
          <cell r="B25" t="str">
            <v>989-090-0611</v>
          </cell>
          <cell r="C25">
            <v>1</v>
          </cell>
          <cell r="D25" t="str">
            <v>комплект</v>
          </cell>
          <cell r="E25" t="str">
            <v>TEKSAN</v>
          </cell>
          <cell r="F25" t="str">
            <v>Блок5</v>
          </cell>
        </row>
        <row r="26">
          <cell r="A26" t="str">
            <v>РУ1-6</v>
          </cell>
          <cell r="B26" t="str">
            <v>989-090-0612</v>
          </cell>
          <cell r="C26">
            <v>1</v>
          </cell>
          <cell r="D26" t="str">
            <v>комплект</v>
          </cell>
          <cell r="E26" t="str">
            <v>TEKSAN</v>
          </cell>
          <cell r="F26" t="str">
            <v>Блок6</v>
          </cell>
        </row>
        <row r="27">
          <cell r="A27" t="str">
            <v>ЩУР.МОП1-6</v>
          </cell>
          <cell r="B27" t="str">
            <v>989-090-0613</v>
          </cell>
          <cell r="C27">
            <v>1</v>
          </cell>
          <cell r="D27" t="str">
            <v>комплект</v>
          </cell>
          <cell r="E27" t="str">
            <v>TEKSAN</v>
          </cell>
          <cell r="F27" t="str">
            <v>Блок6</v>
          </cell>
        </row>
        <row r="28">
          <cell r="A28" t="str">
            <v>РЩ1-6 (АВР-Б-40-2-1)</v>
          </cell>
          <cell r="B28" t="str">
            <v>989-090-0614</v>
          </cell>
          <cell r="C28">
            <v>1</v>
          </cell>
          <cell r="D28" t="str">
            <v>комплект</v>
          </cell>
          <cell r="E28" t="str">
            <v>TEKSAN</v>
          </cell>
          <cell r="F28" t="str">
            <v>Блок6</v>
          </cell>
        </row>
        <row r="29">
          <cell r="A29" t="str">
            <v>ВРУ1-7</v>
          </cell>
          <cell r="B29" t="str">
            <v>989-090-0615</v>
          </cell>
          <cell r="C29">
            <v>1</v>
          </cell>
          <cell r="D29" t="str">
            <v>комплект</v>
          </cell>
          <cell r="E29" t="str">
            <v>TEKSAN</v>
          </cell>
          <cell r="F29" t="str">
            <v>Блок7</v>
          </cell>
        </row>
        <row r="30">
          <cell r="A30" t="str">
            <v>РУ-1-7</v>
          </cell>
          <cell r="B30" t="str">
            <v>989-090-0616</v>
          </cell>
          <cell r="C30">
            <v>1</v>
          </cell>
          <cell r="D30" t="str">
            <v>комплект</v>
          </cell>
          <cell r="E30" t="str">
            <v>TEKSAN</v>
          </cell>
          <cell r="F30" t="str">
            <v>Блок7</v>
          </cell>
        </row>
        <row r="31">
          <cell r="A31" t="str">
            <v>ЩУР.МОП1-7</v>
          </cell>
          <cell r="B31" t="str">
            <v>989-090-0617</v>
          </cell>
          <cell r="C31">
            <v>1</v>
          </cell>
          <cell r="D31" t="str">
            <v>комплект</v>
          </cell>
          <cell r="E31" t="str">
            <v>TEKSAN</v>
          </cell>
          <cell r="F31" t="str">
            <v>Блок7</v>
          </cell>
        </row>
        <row r="32">
          <cell r="A32" t="str">
            <v>РЩ1-7 (АВР-Б-40-2-1)</v>
          </cell>
          <cell r="B32" t="str">
            <v>989-090-0618</v>
          </cell>
          <cell r="C32">
            <v>1</v>
          </cell>
          <cell r="D32" t="str">
            <v>комплект</v>
          </cell>
          <cell r="E32" t="str">
            <v>TEKSAN</v>
          </cell>
          <cell r="F32" t="str">
            <v>Блок7</v>
          </cell>
        </row>
        <row r="33">
          <cell r="A33" t="str">
            <v>ВРУ1-8</v>
          </cell>
          <cell r="B33" t="str">
            <v>989-090-0619</v>
          </cell>
          <cell r="C33">
            <v>1</v>
          </cell>
          <cell r="D33" t="str">
            <v>комплект</v>
          </cell>
          <cell r="E33" t="str">
            <v>TEKSAN</v>
          </cell>
          <cell r="F33" t="str">
            <v>Блок8</v>
          </cell>
        </row>
        <row r="34">
          <cell r="A34" t="str">
            <v>РУ-1-8</v>
          </cell>
          <cell r="B34" t="str">
            <v>989-090-0620</v>
          </cell>
          <cell r="C34">
            <v>1</v>
          </cell>
          <cell r="D34" t="str">
            <v>комплект</v>
          </cell>
          <cell r="E34" t="str">
            <v>TEKSAN</v>
          </cell>
          <cell r="F34" t="str">
            <v>Блок8</v>
          </cell>
        </row>
        <row r="35">
          <cell r="A35" t="str">
            <v>ЩУР.МОП1-8</v>
          </cell>
          <cell r="B35" t="str">
            <v>989-090-0621</v>
          </cell>
          <cell r="C35">
            <v>1</v>
          </cell>
          <cell r="D35" t="str">
            <v>комплект</v>
          </cell>
          <cell r="E35" t="str">
            <v>TEKSAN</v>
          </cell>
          <cell r="F35" t="str">
            <v>Блок8</v>
          </cell>
        </row>
        <row r="36">
          <cell r="A36" t="str">
            <v>РЩ1-8 (АВР-Б-40-2-1)</v>
          </cell>
          <cell r="B36" t="str">
            <v>989-090-0622</v>
          </cell>
          <cell r="C36">
            <v>1</v>
          </cell>
          <cell r="D36" t="str">
            <v>комплект</v>
          </cell>
          <cell r="E36" t="str">
            <v>TEKSAN</v>
          </cell>
          <cell r="F36" t="str">
            <v>Блок8</v>
          </cell>
        </row>
        <row r="37">
          <cell r="A37" t="str">
            <v>РУ1-9</v>
          </cell>
          <cell r="B37" t="str">
            <v>989-090-0623</v>
          </cell>
          <cell r="C37">
            <v>1</v>
          </cell>
          <cell r="D37" t="str">
            <v>комплект</v>
          </cell>
          <cell r="E37" t="str">
            <v>TEKSAN</v>
          </cell>
          <cell r="F37" t="str">
            <v>Блок9</v>
          </cell>
        </row>
        <row r="38">
          <cell r="A38" t="str">
            <v>ЩУР.МОП1-9</v>
          </cell>
          <cell r="B38" t="str">
            <v>989-090-0624</v>
          </cell>
          <cell r="C38">
            <v>1</v>
          </cell>
          <cell r="D38" t="str">
            <v>комплект</v>
          </cell>
          <cell r="E38" t="str">
            <v>TEKSAN</v>
          </cell>
          <cell r="F38" t="str">
            <v>Блок9</v>
          </cell>
        </row>
        <row r="39">
          <cell r="A39" t="str">
            <v>РЩ1-9 (АВР-Б-40-2-1)</v>
          </cell>
          <cell r="B39" t="str">
            <v>989-090-0625</v>
          </cell>
          <cell r="C39">
            <v>1</v>
          </cell>
          <cell r="D39" t="str">
            <v>комплект</v>
          </cell>
          <cell r="E39" t="str">
            <v>TEKSAN</v>
          </cell>
          <cell r="F39" t="str">
            <v>Блок9</v>
          </cell>
        </row>
        <row r="40">
          <cell r="A40" t="str">
            <v>РУ1-10</v>
          </cell>
          <cell r="B40" t="str">
            <v>989-090-0626</v>
          </cell>
          <cell r="C40">
            <v>1</v>
          </cell>
          <cell r="D40" t="str">
            <v>комплект</v>
          </cell>
          <cell r="E40" t="str">
            <v>TEKSAN</v>
          </cell>
          <cell r="F40" t="str">
            <v>Блок10</v>
          </cell>
        </row>
        <row r="41">
          <cell r="A41" t="str">
            <v>ЩУР.МОП1-10</v>
          </cell>
          <cell r="B41" t="str">
            <v>989-090-0627</v>
          </cell>
          <cell r="C41">
            <v>1</v>
          </cell>
          <cell r="D41" t="str">
            <v>комплект</v>
          </cell>
          <cell r="E41" t="str">
            <v>TEKSAN</v>
          </cell>
          <cell r="F41" t="str">
            <v>Блок10</v>
          </cell>
        </row>
        <row r="42">
          <cell r="A42" t="str">
            <v>РЩ1-10 (АВР-Б-40-2-1)</v>
          </cell>
          <cell r="B42" t="str">
            <v>989-090-0628</v>
          </cell>
          <cell r="C42">
            <v>1</v>
          </cell>
          <cell r="D42" t="str">
            <v>комплект</v>
          </cell>
          <cell r="E42" t="str">
            <v>TEKSAN</v>
          </cell>
          <cell r="F42" t="str">
            <v>Блок10</v>
          </cell>
        </row>
        <row r="43">
          <cell r="A43" t="str">
            <v>ВРУ1-11</v>
          </cell>
          <cell r="B43" t="str">
            <v>989-090-0629</v>
          </cell>
          <cell r="C43">
            <v>1</v>
          </cell>
          <cell r="D43" t="str">
            <v>комплект</v>
          </cell>
          <cell r="E43" t="str">
            <v>TEKSAN</v>
          </cell>
          <cell r="F43" t="str">
            <v>Блок11</v>
          </cell>
        </row>
        <row r="44">
          <cell r="A44" t="str">
            <v>РУ-1-11</v>
          </cell>
          <cell r="B44" t="str">
            <v>989-090-0630</v>
          </cell>
          <cell r="C44">
            <v>1</v>
          </cell>
          <cell r="D44" t="str">
            <v>комплект</v>
          </cell>
          <cell r="E44" t="str">
            <v>TEKSAN</v>
          </cell>
          <cell r="F44" t="str">
            <v>Блок11</v>
          </cell>
        </row>
        <row r="45">
          <cell r="A45" t="str">
            <v>ЩУР.МОП1-11</v>
          </cell>
          <cell r="B45" t="str">
            <v>989-090-0631</v>
          </cell>
          <cell r="C45">
            <v>1</v>
          </cell>
          <cell r="D45" t="str">
            <v>комплект</v>
          </cell>
          <cell r="E45" t="str">
            <v>TEKSAN</v>
          </cell>
          <cell r="F45" t="str">
            <v>Блок11</v>
          </cell>
        </row>
        <row r="46">
          <cell r="A46" t="str">
            <v>РЩ1-11 (АВР-Б-40-2-1)</v>
          </cell>
          <cell r="B46" t="str">
            <v>989-090-0632</v>
          </cell>
          <cell r="C46">
            <v>1</v>
          </cell>
          <cell r="D46" t="str">
            <v>комплект</v>
          </cell>
          <cell r="E46" t="str">
            <v>TEKSAN</v>
          </cell>
          <cell r="F46" t="str">
            <v>Блок11</v>
          </cell>
        </row>
        <row r="47">
          <cell r="A47" t="str">
            <v>ВРУ1-12</v>
          </cell>
          <cell r="B47" t="str">
            <v>989-090-0633</v>
          </cell>
          <cell r="C47">
            <v>1</v>
          </cell>
          <cell r="D47" t="str">
            <v>комплект</v>
          </cell>
          <cell r="E47" t="str">
            <v>TEKSAN</v>
          </cell>
          <cell r="F47" t="str">
            <v>Блок12</v>
          </cell>
        </row>
        <row r="48">
          <cell r="A48" t="str">
            <v>РУ-1-12</v>
          </cell>
          <cell r="B48" t="str">
            <v>989-090-0634</v>
          </cell>
          <cell r="C48">
            <v>1</v>
          </cell>
          <cell r="D48" t="str">
            <v>комплект</v>
          </cell>
          <cell r="E48" t="str">
            <v>TEKSAN</v>
          </cell>
          <cell r="F48" t="str">
            <v>Блок12</v>
          </cell>
        </row>
        <row r="49">
          <cell r="A49" t="str">
            <v>РУ-2-12</v>
          </cell>
          <cell r="B49" t="str">
            <v>989-090-0635</v>
          </cell>
          <cell r="C49">
            <v>1</v>
          </cell>
          <cell r="D49" t="str">
            <v>комплект</v>
          </cell>
          <cell r="E49" t="str">
            <v>TEKSAN</v>
          </cell>
          <cell r="F49" t="str">
            <v>Блок12</v>
          </cell>
        </row>
        <row r="50">
          <cell r="A50" t="str">
            <v>ЩУР.МОП1-12</v>
          </cell>
          <cell r="B50" t="str">
            <v>989-090-0636</v>
          </cell>
          <cell r="C50">
            <v>1</v>
          </cell>
          <cell r="D50" t="str">
            <v>комплект</v>
          </cell>
          <cell r="E50" t="str">
            <v>TEKSAN</v>
          </cell>
          <cell r="F50" t="str">
            <v>Блок12</v>
          </cell>
        </row>
        <row r="51">
          <cell r="A51" t="str">
            <v>ЩУР.МОП2-12</v>
          </cell>
          <cell r="B51" t="str">
            <v>989-090-0637</v>
          </cell>
          <cell r="C51">
            <v>1</v>
          </cell>
          <cell r="D51" t="str">
            <v>комплект</v>
          </cell>
          <cell r="E51" t="str">
            <v>TEKSAN</v>
          </cell>
          <cell r="F51" t="str">
            <v>Блок12</v>
          </cell>
        </row>
        <row r="52">
          <cell r="A52" t="str">
            <v>РЩ1-12 (АВР-Б-40-2-1)</v>
          </cell>
          <cell r="B52" t="str">
            <v>989-090-0638</v>
          </cell>
          <cell r="C52">
            <v>1</v>
          </cell>
          <cell r="D52" t="str">
            <v>комплект</v>
          </cell>
          <cell r="E52" t="str">
            <v>TEKSAN</v>
          </cell>
          <cell r="F52" t="str">
            <v>Блок12</v>
          </cell>
        </row>
        <row r="53">
          <cell r="A53" t="str">
            <v>РЩ2-12 (АВР-Б-40-2-1)</v>
          </cell>
          <cell r="B53" t="str">
            <v>989-090-0639</v>
          </cell>
          <cell r="C53">
            <v>1</v>
          </cell>
          <cell r="D53" t="str">
            <v>комплект</v>
          </cell>
          <cell r="E53" t="str">
            <v>TEKSAN</v>
          </cell>
          <cell r="F53" t="str">
            <v>Блок12</v>
          </cell>
        </row>
        <row r="54">
          <cell r="A54" t="str">
            <v>ВРУ1-13</v>
          </cell>
          <cell r="B54" t="str">
            <v>989-090-0640</v>
          </cell>
          <cell r="C54">
            <v>1</v>
          </cell>
          <cell r="D54" t="str">
            <v>комплект</v>
          </cell>
          <cell r="E54" t="str">
            <v>TEKSAN</v>
          </cell>
          <cell r="F54" t="str">
            <v>Блок13</v>
          </cell>
        </row>
        <row r="55">
          <cell r="A55" t="str">
            <v>РУ-1-13</v>
          </cell>
          <cell r="B55" t="str">
            <v>989-090-0641</v>
          </cell>
          <cell r="C55">
            <v>1</v>
          </cell>
          <cell r="D55" t="str">
            <v>комплект</v>
          </cell>
          <cell r="E55" t="str">
            <v>TEKSAN</v>
          </cell>
          <cell r="F55" t="str">
            <v>Блок13</v>
          </cell>
        </row>
        <row r="56">
          <cell r="A56" t="str">
            <v>РУ-2-13</v>
          </cell>
          <cell r="B56" t="str">
            <v>989-090-0642</v>
          </cell>
          <cell r="C56">
            <v>1</v>
          </cell>
          <cell r="D56" t="str">
            <v>комплект</v>
          </cell>
          <cell r="E56" t="str">
            <v>TEKSAN</v>
          </cell>
          <cell r="F56" t="str">
            <v>Блок13</v>
          </cell>
        </row>
        <row r="57">
          <cell r="A57" t="str">
            <v>ЩУР.МОП1-13</v>
          </cell>
          <cell r="B57" t="str">
            <v>989-090-0643</v>
          </cell>
          <cell r="C57">
            <v>1</v>
          </cell>
          <cell r="D57" t="str">
            <v>комплект</v>
          </cell>
          <cell r="E57" t="str">
            <v>TEKSAN</v>
          </cell>
          <cell r="F57" t="str">
            <v>Блок13</v>
          </cell>
        </row>
        <row r="58">
          <cell r="A58" t="str">
            <v>РЩ1-13 (АВР-Б-40-2-1)</v>
          </cell>
          <cell r="B58" t="str">
            <v>989-090-0644</v>
          </cell>
          <cell r="C58">
            <v>1</v>
          </cell>
          <cell r="D58" t="str">
            <v>комплект</v>
          </cell>
          <cell r="E58" t="str">
            <v>TEKSAN</v>
          </cell>
          <cell r="F58" t="str">
            <v>Блок13</v>
          </cell>
        </row>
        <row r="59">
          <cell r="A59" t="str">
            <v>ВРУ1-14</v>
          </cell>
          <cell r="B59" t="str">
            <v>989-090-0645</v>
          </cell>
          <cell r="C59">
            <v>1</v>
          </cell>
          <cell r="D59" t="str">
            <v>комплект</v>
          </cell>
          <cell r="E59" t="str">
            <v>TEKSAN</v>
          </cell>
          <cell r="F59" t="str">
            <v>Блок14</v>
          </cell>
        </row>
        <row r="60">
          <cell r="A60" t="str">
            <v>РУ-1-14</v>
          </cell>
          <cell r="B60" t="str">
            <v>989-090-0646</v>
          </cell>
          <cell r="C60">
            <v>1</v>
          </cell>
          <cell r="D60" t="str">
            <v>комплект</v>
          </cell>
          <cell r="E60" t="str">
            <v>TEKSAN</v>
          </cell>
          <cell r="F60" t="str">
            <v>Блок14</v>
          </cell>
        </row>
        <row r="61">
          <cell r="A61" t="str">
            <v>РУ-2-14</v>
          </cell>
          <cell r="B61" t="str">
            <v>989-090-0647</v>
          </cell>
          <cell r="C61">
            <v>1</v>
          </cell>
          <cell r="D61" t="str">
            <v>комплект</v>
          </cell>
          <cell r="E61" t="str">
            <v>TEKSAN</v>
          </cell>
          <cell r="F61" t="str">
            <v>Блок14</v>
          </cell>
        </row>
        <row r="62">
          <cell r="A62" t="str">
            <v>ЩУР.МОП1-14</v>
          </cell>
          <cell r="B62" t="str">
            <v>989-090-0648</v>
          </cell>
          <cell r="C62">
            <v>1</v>
          </cell>
          <cell r="D62" t="str">
            <v>комплект</v>
          </cell>
          <cell r="E62" t="str">
            <v>TEKSAN</v>
          </cell>
          <cell r="F62" t="str">
            <v>Блок14</v>
          </cell>
        </row>
        <row r="63">
          <cell r="A63" t="str">
            <v>РЩ1-14 (АВР-Б-40-2-1)</v>
          </cell>
          <cell r="B63" t="str">
            <v>989-090-0649</v>
          </cell>
          <cell r="C63">
            <v>1</v>
          </cell>
          <cell r="D63" t="str">
            <v>комплект</v>
          </cell>
          <cell r="E63" t="str">
            <v>TEKSAN</v>
          </cell>
          <cell r="F63" t="str">
            <v>Блок14</v>
          </cell>
        </row>
        <row r="64">
          <cell r="A64" t="str">
            <v>ЩРп c</v>
          </cell>
          <cell r="B64" t="str">
            <v>989-090-0650</v>
          </cell>
          <cell r="C64">
            <v>1</v>
          </cell>
          <cell r="D64" t="str">
            <v>комплект</v>
          </cell>
          <cell r="E64" t="str">
            <v>TEKSAN</v>
          </cell>
          <cell r="F64" t="str">
            <v>Блок15</v>
          </cell>
        </row>
        <row r="65">
          <cell r="A65" t="str">
            <v>ЩР-(АВР-Б-63-2-1)</v>
          </cell>
          <cell r="B65" t="str">
            <v>989-090-0651</v>
          </cell>
          <cell r="C65">
            <v>1</v>
          </cell>
          <cell r="D65" t="str">
            <v>комплект</v>
          </cell>
          <cell r="E65" t="str">
            <v>TEKSAN</v>
          </cell>
          <cell r="F65" t="str">
            <v>Блок15</v>
          </cell>
        </row>
        <row r="66">
          <cell r="A66" t="str">
            <v>ЩР15</v>
          </cell>
          <cell r="B66" t="str">
            <v>989-090-0652</v>
          </cell>
          <cell r="C66">
            <v>1</v>
          </cell>
          <cell r="D66" t="str">
            <v>комплект</v>
          </cell>
          <cell r="E66" t="str">
            <v>TEKSAN</v>
          </cell>
          <cell r="F66" t="str">
            <v>Блок15</v>
          </cell>
        </row>
        <row r="67">
          <cell r="A67" t="str">
            <v>ЩР15-(АВР-Б-80-2-1)</v>
          </cell>
          <cell r="B67" t="str">
            <v>989-090-0653</v>
          </cell>
          <cell r="C67">
            <v>1</v>
          </cell>
          <cell r="D67" t="str">
            <v>комплект</v>
          </cell>
          <cell r="E67" t="str">
            <v>TEKSAN</v>
          </cell>
          <cell r="F67" t="str">
            <v>Блок15</v>
          </cell>
        </row>
        <row r="68">
          <cell r="A68" t="str">
            <v>ЩЭ-3</v>
          </cell>
          <cell r="B68" t="str">
            <v>989-090-0654</v>
          </cell>
          <cell r="C68">
            <v>4</v>
          </cell>
          <cell r="D68" t="str">
            <v>комплект</v>
          </cell>
          <cell r="E68" t="str">
            <v>TEKSAN</v>
          </cell>
          <cell r="F68" t="str">
            <v>Блок15</v>
          </cell>
        </row>
        <row r="69">
          <cell r="A69" t="str">
            <v>ЩЭ-4</v>
          </cell>
          <cell r="B69" t="str">
            <v>989-090-0655</v>
          </cell>
          <cell r="C69">
            <v>72</v>
          </cell>
          <cell r="D69" t="str">
            <v>комплект</v>
          </cell>
          <cell r="E69" t="str">
            <v>TEKSAN</v>
          </cell>
          <cell r="F69" t="str">
            <v>Блок15</v>
          </cell>
        </row>
        <row r="70">
          <cell r="A70" t="str">
            <v>ЩЭ-6</v>
          </cell>
          <cell r="B70" t="str">
            <v>989-090-0656</v>
          </cell>
          <cell r="C70">
            <v>2</v>
          </cell>
          <cell r="D70" t="str">
            <v>комплект</v>
          </cell>
          <cell r="E70" t="str">
            <v>TEKSAN</v>
          </cell>
          <cell r="F70" t="str">
            <v>Блок15</v>
          </cell>
        </row>
        <row r="71">
          <cell r="A71" t="str">
            <v>ЩЭ-7</v>
          </cell>
          <cell r="B71" t="str">
            <v>989-090-0657</v>
          </cell>
          <cell r="C71">
            <v>18</v>
          </cell>
          <cell r="D71" t="str">
            <v>комплект</v>
          </cell>
          <cell r="E71" t="str">
            <v>TEKSAN</v>
          </cell>
          <cell r="F71" t="str">
            <v>Блок15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31C4-AB2C-4A56-A62C-451163DDF05F}">
  <dimension ref="A1:H575"/>
  <sheetViews>
    <sheetView tabSelected="1" zoomScaleNormal="100" workbookViewId="0">
      <pane ySplit="1" topLeftCell="A484" activePane="bottomLeft" state="frozen"/>
      <selection pane="bottomLeft" activeCell="L487" sqref="L487"/>
    </sheetView>
  </sheetViews>
  <sheetFormatPr defaultRowHeight="27" customHeight="1" x14ac:dyDescent="0.25"/>
  <cols>
    <col min="1" max="1" width="19.85546875" customWidth="1"/>
    <col min="3" max="3" width="12.42578125" customWidth="1"/>
    <col min="4" max="4" width="59" customWidth="1"/>
  </cols>
  <sheetData>
    <row r="1" spans="1:8" ht="27" customHeight="1" x14ac:dyDescent="0.25">
      <c r="A1" s="1" t="s">
        <v>3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</row>
    <row r="2" spans="1:8" ht="27" customHeight="1" x14ac:dyDescent="0.25">
      <c r="A2" s="5" t="str">
        <f>D2</f>
        <v>ВРУ1-1-1</v>
      </c>
      <c r="B2" s="3"/>
      <c r="C2" s="4" t="str">
        <f>VLOOKUP(D2,[1]Sayfa2!$A:$F,2,0)</f>
        <v>989-090-0524</v>
      </c>
      <c r="D2" s="3" t="s">
        <v>16</v>
      </c>
      <c r="E2" s="5">
        <v>1</v>
      </c>
      <c r="F2" s="6" t="s">
        <v>6</v>
      </c>
      <c r="G2" s="3" t="s">
        <v>7</v>
      </c>
      <c r="H2" s="5" t="s">
        <v>17</v>
      </c>
    </row>
    <row r="3" spans="1:8" ht="27" customHeight="1" x14ac:dyDescent="0.25">
      <c r="A3" s="9" t="str">
        <f t="shared" ref="A3:A11" si="0">A2</f>
        <v>ВРУ1-1-1</v>
      </c>
      <c r="B3" s="7" t="s">
        <v>8</v>
      </c>
      <c r="C3" s="8" t="s">
        <v>133</v>
      </c>
      <c r="D3" s="7" t="s">
        <v>134</v>
      </c>
      <c r="E3" s="9">
        <v>1</v>
      </c>
      <c r="F3" s="10" t="s">
        <v>9</v>
      </c>
      <c r="G3" s="7" t="s">
        <v>10</v>
      </c>
      <c r="H3" s="9" t="str">
        <f t="shared" ref="H3:H11" si="1">H2</f>
        <v>Блок1</v>
      </c>
    </row>
    <row r="4" spans="1:8" ht="27" customHeight="1" x14ac:dyDescent="0.25">
      <c r="A4" s="9" t="str">
        <f t="shared" si="0"/>
        <v>ВРУ1-1-1</v>
      </c>
      <c r="B4" s="7" t="s">
        <v>18</v>
      </c>
      <c r="C4" s="8" t="s">
        <v>251</v>
      </c>
      <c r="D4" s="7" t="s">
        <v>252</v>
      </c>
      <c r="E4" s="9">
        <v>6</v>
      </c>
      <c r="F4" s="10" t="s">
        <v>9</v>
      </c>
      <c r="G4" s="7" t="s">
        <v>19</v>
      </c>
      <c r="H4" s="9" t="str">
        <f t="shared" si="1"/>
        <v>Блок1</v>
      </c>
    </row>
    <row r="5" spans="1:8" ht="27" customHeight="1" x14ac:dyDescent="0.25">
      <c r="A5" s="9" t="str">
        <f t="shared" si="0"/>
        <v>ВРУ1-1-1</v>
      </c>
      <c r="B5" s="7" t="s">
        <v>20</v>
      </c>
      <c r="C5" s="8" t="s">
        <v>135</v>
      </c>
      <c r="D5" s="7" t="s">
        <v>136</v>
      </c>
      <c r="E5" s="9">
        <v>2</v>
      </c>
      <c r="F5" s="10" t="s">
        <v>9</v>
      </c>
      <c r="G5" s="7" t="s">
        <v>19</v>
      </c>
      <c r="H5" s="9" t="str">
        <f t="shared" si="1"/>
        <v>Блок1</v>
      </c>
    </row>
    <row r="6" spans="1:8" ht="27" customHeight="1" x14ac:dyDescent="0.25">
      <c r="A6" s="9" t="str">
        <f t="shared" si="0"/>
        <v>ВРУ1-1-1</v>
      </c>
      <c r="B6" s="7" t="s">
        <v>94</v>
      </c>
      <c r="C6" s="8" t="s">
        <v>97</v>
      </c>
      <c r="D6" s="7" t="s">
        <v>98</v>
      </c>
      <c r="E6" s="9">
        <v>6</v>
      </c>
      <c r="F6" s="10" t="s">
        <v>9</v>
      </c>
      <c r="G6" s="7" t="s">
        <v>11</v>
      </c>
      <c r="H6" s="9" t="str">
        <f>H4</f>
        <v>Блок1</v>
      </c>
    </row>
    <row r="7" spans="1:8" ht="27" customHeight="1" x14ac:dyDescent="0.25">
      <c r="A7" s="9" t="str">
        <f t="shared" si="0"/>
        <v>ВРУ1-1-1</v>
      </c>
      <c r="B7" s="7" t="s">
        <v>93</v>
      </c>
      <c r="C7" s="8" t="s">
        <v>95</v>
      </c>
      <c r="D7" s="7" t="s">
        <v>96</v>
      </c>
      <c r="E7" s="9">
        <v>6</v>
      </c>
      <c r="F7" s="10" t="s">
        <v>9</v>
      </c>
      <c r="G7" s="7" t="s">
        <v>11</v>
      </c>
      <c r="H7" s="9" t="str">
        <f>H5</f>
        <v>Блок1</v>
      </c>
    </row>
    <row r="8" spans="1:8" ht="27" customHeight="1" x14ac:dyDescent="0.25">
      <c r="A8" s="9" t="str">
        <f t="shared" si="0"/>
        <v>ВРУ1-1-1</v>
      </c>
      <c r="B8" s="7" t="s">
        <v>237</v>
      </c>
      <c r="C8" s="8" t="s">
        <v>139</v>
      </c>
      <c r="D8" s="7" t="s">
        <v>140</v>
      </c>
      <c r="E8" s="9">
        <v>2</v>
      </c>
      <c r="F8" s="10" t="s">
        <v>9</v>
      </c>
      <c r="G8" s="7" t="s">
        <v>157</v>
      </c>
      <c r="H8" s="9" t="str">
        <f t="shared" si="1"/>
        <v>Блок1</v>
      </c>
    </row>
    <row r="9" spans="1:8" ht="27" customHeight="1" x14ac:dyDescent="0.25">
      <c r="A9" s="9" t="str">
        <f t="shared" si="0"/>
        <v>ВРУ1-1-1</v>
      </c>
      <c r="B9" s="7" t="s">
        <v>12</v>
      </c>
      <c r="C9" s="8" t="s">
        <v>241</v>
      </c>
      <c r="D9" s="11" t="s">
        <v>242</v>
      </c>
      <c r="E9" s="9">
        <v>2</v>
      </c>
      <c r="F9" s="10" t="s">
        <v>9</v>
      </c>
      <c r="G9" s="7" t="s">
        <v>13</v>
      </c>
      <c r="H9" s="9" t="str">
        <f t="shared" si="1"/>
        <v>Блок1</v>
      </c>
    </row>
    <row r="10" spans="1:8" ht="27" customHeight="1" x14ac:dyDescent="0.25">
      <c r="A10" s="9" t="str">
        <f t="shared" si="0"/>
        <v>ВРУ1-1-1</v>
      </c>
      <c r="B10" s="7" t="s">
        <v>22</v>
      </c>
      <c r="C10" s="8"/>
      <c r="D10" s="7" t="s">
        <v>23</v>
      </c>
      <c r="E10" s="9">
        <v>6</v>
      </c>
      <c r="F10" s="10" t="s">
        <v>9</v>
      </c>
      <c r="G10" s="7" t="s">
        <v>19</v>
      </c>
      <c r="H10" s="9" t="str">
        <f t="shared" si="1"/>
        <v>Блок1</v>
      </c>
    </row>
    <row r="11" spans="1:8" ht="27" customHeight="1" x14ac:dyDescent="0.25">
      <c r="A11" s="7" t="str">
        <f t="shared" si="0"/>
        <v>ВРУ1-1-1</v>
      </c>
      <c r="B11" s="7" t="s">
        <v>15</v>
      </c>
      <c r="C11" s="8" t="s">
        <v>15</v>
      </c>
      <c r="D11" s="7" t="s">
        <v>15</v>
      </c>
      <c r="E11" s="7">
        <v>1</v>
      </c>
      <c r="F11" s="7" t="s">
        <v>9</v>
      </c>
      <c r="G11" s="7" t="s">
        <v>15</v>
      </c>
      <c r="H11" s="9" t="str">
        <f t="shared" si="1"/>
        <v>Блок1</v>
      </c>
    </row>
    <row r="12" spans="1:8" ht="27" customHeight="1" x14ac:dyDescent="0.25">
      <c r="A12" s="5" t="str">
        <f>D12</f>
        <v>РУ-1-1</v>
      </c>
      <c r="B12" s="3"/>
      <c r="C12" s="4" t="str">
        <f>VLOOKUP(D12,[1]Sayfa2!$A:$F,2,0)</f>
        <v>989-090-0525</v>
      </c>
      <c r="D12" s="3" t="s">
        <v>24</v>
      </c>
      <c r="E12" s="5">
        <v>1</v>
      </c>
      <c r="F12" s="6" t="s">
        <v>6</v>
      </c>
      <c r="G12" s="3" t="s">
        <v>7</v>
      </c>
      <c r="H12" s="5" t="s">
        <v>17</v>
      </c>
    </row>
    <row r="13" spans="1:8" ht="27" customHeight="1" x14ac:dyDescent="0.25">
      <c r="A13" s="9" t="str">
        <f t="shared" ref="A13:A17" si="2">A12</f>
        <v>РУ-1-1</v>
      </c>
      <c r="B13" s="7" t="s">
        <v>8</v>
      </c>
      <c r="C13" s="8" t="s">
        <v>131</v>
      </c>
      <c r="D13" s="7" t="s">
        <v>132</v>
      </c>
      <c r="E13" s="9">
        <v>1</v>
      </c>
      <c r="F13" s="10" t="s">
        <v>9</v>
      </c>
      <c r="G13" s="7" t="s">
        <v>10</v>
      </c>
      <c r="H13" s="9" t="str">
        <f t="shared" ref="H13:H17" si="3">H12</f>
        <v>Блок1</v>
      </c>
    </row>
    <row r="14" spans="1:8" ht="27" customHeight="1" x14ac:dyDescent="0.25">
      <c r="A14" s="9" t="str">
        <f t="shared" si="2"/>
        <v>РУ-1-1</v>
      </c>
      <c r="B14" s="7" t="s">
        <v>238</v>
      </c>
      <c r="C14" s="8" t="s">
        <v>175</v>
      </c>
      <c r="D14" s="7" t="s">
        <v>176</v>
      </c>
      <c r="E14" s="9">
        <v>2</v>
      </c>
      <c r="F14" s="10" t="s">
        <v>9</v>
      </c>
      <c r="G14" s="7" t="s">
        <v>157</v>
      </c>
      <c r="H14" s="9" t="str">
        <f t="shared" si="3"/>
        <v>Блок1</v>
      </c>
    </row>
    <row r="15" spans="1:8" ht="27" customHeight="1" x14ac:dyDescent="0.25">
      <c r="A15" s="9" t="str">
        <f t="shared" si="2"/>
        <v>РУ-1-1</v>
      </c>
      <c r="B15" s="7" t="s">
        <v>238</v>
      </c>
      <c r="C15" s="8" t="s">
        <v>177</v>
      </c>
      <c r="D15" s="7" t="s">
        <v>178</v>
      </c>
      <c r="E15" s="9">
        <v>1</v>
      </c>
      <c r="F15" s="10" t="s">
        <v>9</v>
      </c>
      <c r="G15" s="7" t="s">
        <v>157</v>
      </c>
      <c r="H15" s="9" t="str">
        <f t="shared" si="3"/>
        <v>Блок1</v>
      </c>
    </row>
    <row r="16" spans="1:8" ht="27" customHeight="1" x14ac:dyDescent="0.25">
      <c r="A16" s="9" t="str">
        <f t="shared" si="2"/>
        <v>РУ-1-1</v>
      </c>
      <c r="B16" s="7" t="s">
        <v>237</v>
      </c>
      <c r="C16" s="8" t="s">
        <v>167</v>
      </c>
      <c r="D16" s="7" t="s">
        <v>168</v>
      </c>
      <c r="E16" s="9">
        <v>2</v>
      </c>
      <c r="F16" s="10" t="s">
        <v>9</v>
      </c>
      <c r="G16" s="7" t="s">
        <v>157</v>
      </c>
      <c r="H16" s="9" t="str">
        <f t="shared" si="3"/>
        <v>Блок1</v>
      </c>
    </row>
    <row r="17" spans="1:8" ht="27" customHeight="1" x14ac:dyDescent="0.25">
      <c r="A17" s="7" t="str">
        <f t="shared" si="2"/>
        <v>РУ-1-1</v>
      </c>
      <c r="B17" s="7" t="s">
        <v>15</v>
      </c>
      <c r="C17" s="8" t="s">
        <v>15</v>
      </c>
      <c r="D17" s="7" t="s">
        <v>15</v>
      </c>
      <c r="E17" s="7">
        <v>1</v>
      </c>
      <c r="F17" s="7" t="s">
        <v>9</v>
      </c>
      <c r="G17" s="7" t="s">
        <v>15</v>
      </c>
      <c r="H17" s="9" t="str">
        <f t="shared" si="3"/>
        <v>Блок1</v>
      </c>
    </row>
    <row r="18" spans="1:8" ht="27" customHeight="1" x14ac:dyDescent="0.25">
      <c r="A18" s="5" t="str">
        <f>D18</f>
        <v>РУ-1-2</v>
      </c>
      <c r="B18" s="3"/>
      <c r="C18" s="4" t="str">
        <f>VLOOKUP(D18,[1]Sayfa2!$A:$F,2,0)</f>
        <v>989-090-0526</v>
      </c>
      <c r="D18" s="3" t="s">
        <v>25</v>
      </c>
      <c r="E18" s="5">
        <v>1</v>
      </c>
      <c r="F18" s="6" t="s">
        <v>6</v>
      </c>
      <c r="G18" s="3" t="s">
        <v>7</v>
      </c>
      <c r="H18" s="5" t="s">
        <v>17</v>
      </c>
    </row>
    <row r="19" spans="1:8" ht="27" customHeight="1" x14ac:dyDescent="0.25">
      <c r="A19" s="9" t="str">
        <f t="shared" ref="A19:A23" si="4">A18</f>
        <v>РУ-1-2</v>
      </c>
      <c r="B19" s="7" t="s">
        <v>8</v>
      </c>
      <c r="C19" s="8" t="s">
        <v>131</v>
      </c>
      <c r="D19" s="7" t="s">
        <v>132</v>
      </c>
      <c r="E19" s="9">
        <v>1</v>
      </c>
      <c r="F19" s="10" t="s">
        <v>9</v>
      </c>
      <c r="G19" s="7" t="s">
        <v>10</v>
      </c>
      <c r="H19" s="9" t="str">
        <f t="shared" ref="H19:H24" si="5">H18</f>
        <v>Блок1</v>
      </c>
    </row>
    <row r="20" spans="1:8" ht="27" customHeight="1" x14ac:dyDescent="0.25">
      <c r="A20" s="9" t="str">
        <f t="shared" si="4"/>
        <v>РУ-1-2</v>
      </c>
      <c r="B20" s="7" t="s">
        <v>238</v>
      </c>
      <c r="C20" s="8" t="s">
        <v>177</v>
      </c>
      <c r="D20" s="7" t="s">
        <v>178</v>
      </c>
      <c r="E20" s="9">
        <v>1</v>
      </c>
      <c r="F20" s="10" t="s">
        <v>9</v>
      </c>
      <c r="G20" s="7" t="s">
        <v>157</v>
      </c>
      <c r="H20" s="9" t="str">
        <f t="shared" si="5"/>
        <v>Блок1</v>
      </c>
    </row>
    <row r="21" spans="1:8" ht="27" customHeight="1" x14ac:dyDescent="0.25">
      <c r="A21" s="9" t="str">
        <f t="shared" si="4"/>
        <v>РУ-1-2</v>
      </c>
      <c r="B21" s="7" t="s">
        <v>238</v>
      </c>
      <c r="C21" s="8" t="s">
        <v>161</v>
      </c>
      <c r="D21" s="7" t="s">
        <v>162</v>
      </c>
      <c r="E21" s="9">
        <v>3</v>
      </c>
      <c r="F21" s="10" t="s">
        <v>9</v>
      </c>
      <c r="G21" s="7" t="s">
        <v>157</v>
      </c>
      <c r="H21" s="9" t="str">
        <f t="shared" si="5"/>
        <v>Блок1</v>
      </c>
    </row>
    <row r="22" spans="1:8" ht="27" customHeight="1" x14ac:dyDescent="0.25">
      <c r="A22" s="9" t="str">
        <f t="shared" si="4"/>
        <v>РУ-1-2</v>
      </c>
      <c r="B22" s="7" t="s">
        <v>238</v>
      </c>
      <c r="C22" s="8" t="s">
        <v>173</v>
      </c>
      <c r="D22" s="7" t="s">
        <v>174</v>
      </c>
      <c r="E22" s="9">
        <v>1</v>
      </c>
      <c r="F22" s="10" t="s">
        <v>9</v>
      </c>
      <c r="G22" s="7" t="s">
        <v>157</v>
      </c>
      <c r="H22" s="9" t="str">
        <f t="shared" si="5"/>
        <v>Блок1</v>
      </c>
    </row>
    <row r="23" spans="1:8" ht="27" customHeight="1" x14ac:dyDescent="0.25">
      <c r="A23" s="9" t="str">
        <f t="shared" si="4"/>
        <v>РУ-1-2</v>
      </c>
      <c r="B23" s="7" t="s">
        <v>12</v>
      </c>
      <c r="C23" s="8" t="s">
        <v>245</v>
      </c>
      <c r="D23" s="7" t="s">
        <v>246</v>
      </c>
      <c r="E23" s="9">
        <v>2</v>
      </c>
      <c r="F23" s="10" t="s">
        <v>9</v>
      </c>
      <c r="G23" s="7" t="s">
        <v>13</v>
      </c>
      <c r="H23" s="9" t="str">
        <f t="shared" si="5"/>
        <v>Блок1</v>
      </c>
    </row>
    <row r="24" spans="1:8" ht="27" customHeight="1" x14ac:dyDescent="0.25">
      <c r="A24" s="7" t="str">
        <f>A22</f>
        <v>РУ-1-2</v>
      </c>
      <c r="B24" s="7" t="s">
        <v>15</v>
      </c>
      <c r="C24" s="8" t="s">
        <v>15</v>
      </c>
      <c r="D24" s="7" t="s">
        <v>15</v>
      </c>
      <c r="E24" s="7">
        <v>1</v>
      </c>
      <c r="F24" s="7" t="s">
        <v>9</v>
      </c>
      <c r="G24" s="7" t="s">
        <v>15</v>
      </c>
      <c r="H24" s="9" t="str">
        <f t="shared" si="5"/>
        <v>Блок1</v>
      </c>
    </row>
    <row r="25" spans="1:8" ht="27" customHeight="1" x14ac:dyDescent="0.25">
      <c r="A25" s="5" t="str">
        <f>D25</f>
        <v>ЩУР.МОП1</v>
      </c>
      <c r="B25" s="3"/>
      <c r="C25" s="4" t="str">
        <f>VLOOKUP(D25,[1]Sayfa2!$A:$F,2,0)</f>
        <v>989-090-0527</v>
      </c>
      <c r="D25" s="3" t="s">
        <v>26</v>
      </c>
      <c r="E25" s="5">
        <v>1</v>
      </c>
      <c r="F25" s="6" t="s">
        <v>6</v>
      </c>
      <c r="G25" s="3" t="s">
        <v>7</v>
      </c>
      <c r="H25" s="5" t="s">
        <v>17</v>
      </c>
    </row>
    <row r="26" spans="1:8" ht="27" customHeight="1" x14ac:dyDescent="0.25">
      <c r="A26" s="9" t="str">
        <f t="shared" ref="A26:A31" si="6">A25</f>
        <v>ЩУР.МОП1</v>
      </c>
      <c r="B26" s="7" t="s">
        <v>8</v>
      </c>
      <c r="C26" s="8" t="s">
        <v>27</v>
      </c>
      <c r="D26" s="7" t="s">
        <v>28</v>
      </c>
      <c r="E26" s="9">
        <v>1</v>
      </c>
      <c r="F26" s="10" t="s">
        <v>9</v>
      </c>
      <c r="G26" s="7" t="s">
        <v>10</v>
      </c>
      <c r="H26" s="9" t="str">
        <f t="shared" ref="H26:H31" si="7">H25</f>
        <v>Блок1</v>
      </c>
    </row>
    <row r="27" spans="1:8" ht="27" customHeight="1" x14ac:dyDescent="0.25">
      <c r="A27" s="9" t="str">
        <f t="shared" si="6"/>
        <v>ЩУР.МОП1</v>
      </c>
      <c r="B27" s="7" t="s">
        <v>237</v>
      </c>
      <c r="C27" s="8" t="s">
        <v>145</v>
      </c>
      <c r="D27" s="7" t="s">
        <v>146</v>
      </c>
      <c r="E27" s="9">
        <v>1</v>
      </c>
      <c r="F27" s="10" t="s">
        <v>9</v>
      </c>
      <c r="G27" s="7" t="s">
        <v>157</v>
      </c>
      <c r="H27" s="9" t="str">
        <f t="shared" si="7"/>
        <v>Блок1</v>
      </c>
    </row>
    <row r="28" spans="1:8" ht="27" customHeight="1" x14ac:dyDescent="0.25">
      <c r="A28" s="9" t="str">
        <f t="shared" si="6"/>
        <v>ЩУР.МОП1</v>
      </c>
      <c r="B28" s="7" t="s">
        <v>237</v>
      </c>
      <c r="C28" s="8" t="s">
        <v>149</v>
      </c>
      <c r="D28" s="7" t="s">
        <v>150</v>
      </c>
      <c r="E28" s="9">
        <v>2</v>
      </c>
      <c r="F28" s="10" t="s">
        <v>9</v>
      </c>
      <c r="G28" s="7" t="s">
        <v>157</v>
      </c>
      <c r="H28" s="9" t="str">
        <f t="shared" si="7"/>
        <v>Блок1</v>
      </c>
    </row>
    <row r="29" spans="1:8" ht="27" customHeight="1" x14ac:dyDescent="0.25">
      <c r="A29" s="9" t="str">
        <f t="shared" si="6"/>
        <v>ЩУР.МОП1</v>
      </c>
      <c r="B29" s="7" t="s">
        <v>237</v>
      </c>
      <c r="C29" s="8" t="s">
        <v>143</v>
      </c>
      <c r="D29" s="7" t="s">
        <v>144</v>
      </c>
      <c r="E29" s="9">
        <v>2</v>
      </c>
      <c r="F29" s="10" t="s">
        <v>9</v>
      </c>
      <c r="G29" s="7" t="s">
        <v>157</v>
      </c>
      <c r="H29" s="9" t="str">
        <f t="shared" si="7"/>
        <v>Блок1</v>
      </c>
    </row>
    <row r="30" spans="1:8" ht="27" customHeight="1" x14ac:dyDescent="0.25">
      <c r="A30" s="9" t="str">
        <f t="shared" si="6"/>
        <v>ЩУР.МОП1</v>
      </c>
      <c r="B30" s="7" t="s">
        <v>12</v>
      </c>
      <c r="C30" s="8" t="s">
        <v>243</v>
      </c>
      <c r="D30" s="7" t="s">
        <v>244</v>
      </c>
      <c r="E30" s="9">
        <v>1</v>
      </c>
      <c r="F30" s="10" t="s">
        <v>9</v>
      </c>
      <c r="G30" s="7" t="s">
        <v>13</v>
      </c>
      <c r="H30" s="9" t="str">
        <f t="shared" si="7"/>
        <v>Блок1</v>
      </c>
    </row>
    <row r="31" spans="1:8" ht="27" customHeight="1" x14ac:dyDescent="0.25">
      <c r="A31" s="7" t="str">
        <f t="shared" si="6"/>
        <v>ЩУР.МОП1</v>
      </c>
      <c r="B31" s="7" t="s">
        <v>15</v>
      </c>
      <c r="C31" s="8" t="s">
        <v>15</v>
      </c>
      <c r="D31" s="7" t="s">
        <v>15</v>
      </c>
      <c r="E31" s="7">
        <v>1</v>
      </c>
      <c r="F31" s="7" t="s">
        <v>9</v>
      </c>
      <c r="G31" s="7" t="s">
        <v>15</v>
      </c>
      <c r="H31" s="9" t="str">
        <f t="shared" si="7"/>
        <v>Блок1</v>
      </c>
    </row>
    <row r="32" spans="1:8" ht="27" customHeight="1" x14ac:dyDescent="0.25">
      <c r="A32" s="5" t="str">
        <f>D32</f>
        <v>РЩ1-1 (АВР-Б-40-2-1)</v>
      </c>
      <c r="B32" s="3"/>
      <c r="C32" s="4" t="str">
        <f>VLOOKUP(D32,[1]Sayfa2!$A:$F,2,0)</f>
        <v>989-090-0528</v>
      </c>
      <c r="D32" s="3" t="s">
        <v>99</v>
      </c>
      <c r="E32" s="5">
        <v>1</v>
      </c>
      <c r="F32" s="6" t="s">
        <v>6</v>
      </c>
      <c r="G32" s="3" t="s">
        <v>7</v>
      </c>
      <c r="H32" s="5" t="s">
        <v>17</v>
      </c>
    </row>
    <row r="33" spans="1:8" ht="27" customHeight="1" x14ac:dyDescent="0.25">
      <c r="A33" s="9" t="str">
        <f t="shared" ref="A33:A42" si="8">A32</f>
        <v>РЩ1-1 (АВР-Б-40-2-1)</v>
      </c>
      <c r="B33" s="7" t="s">
        <v>8</v>
      </c>
      <c r="C33" s="8" t="s">
        <v>129</v>
      </c>
      <c r="D33" s="7" t="s">
        <v>130</v>
      </c>
      <c r="E33" s="9">
        <v>1</v>
      </c>
      <c r="F33" s="10" t="s">
        <v>9</v>
      </c>
      <c r="G33" s="7" t="s">
        <v>10</v>
      </c>
      <c r="H33" s="9" t="str">
        <f t="shared" ref="H33:H42" si="9">H32</f>
        <v>Блок1</v>
      </c>
    </row>
    <row r="34" spans="1:8" ht="27" customHeight="1" x14ac:dyDescent="0.25">
      <c r="A34" s="9" t="str">
        <f t="shared" si="8"/>
        <v>РЩ1-1 (АВР-Б-40-2-1)</v>
      </c>
      <c r="B34" s="7" t="s">
        <v>29</v>
      </c>
      <c r="C34" s="8" t="s">
        <v>123</v>
      </c>
      <c r="D34" s="7" t="s">
        <v>124</v>
      </c>
      <c r="E34" s="9">
        <v>1</v>
      </c>
      <c r="F34" s="10" t="s">
        <v>9</v>
      </c>
      <c r="G34" s="7" t="s">
        <v>11</v>
      </c>
      <c r="H34" s="9" t="str">
        <f t="shared" si="9"/>
        <v>Блок1</v>
      </c>
    </row>
    <row r="35" spans="1:8" ht="27" customHeight="1" x14ac:dyDescent="0.25">
      <c r="A35" s="9" t="str">
        <f t="shared" si="8"/>
        <v>РЩ1-1 (АВР-Б-40-2-1)</v>
      </c>
      <c r="B35" s="7" t="s">
        <v>237</v>
      </c>
      <c r="C35" s="8" t="s">
        <v>163</v>
      </c>
      <c r="D35" s="7" t="s">
        <v>164</v>
      </c>
      <c r="E35" s="9">
        <v>2</v>
      </c>
      <c r="F35" s="10" t="s">
        <v>9</v>
      </c>
      <c r="G35" s="7" t="s">
        <v>157</v>
      </c>
      <c r="H35" s="9" t="str">
        <f t="shared" si="9"/>
        <v>Блок1</v>
      </c>
    </row>
    <row r="36" spans="1:8" ht="27" customHeight="1" x14ac:dyDescent="0.25">
      <c r="A36" s="9" t="str">
        <f t="shared" si="8"/>
        <v>РЩ1-1 (АВР-Б-40-2-1)</v>
      </c>
      <c r="B36" s="7" t="s">
        <v>237</v>
      </c>
      <c r="C36" s="8" t="s">
        <v>181</v>
      </c>
      <c r="D36" s="7" t="s">
        <v>182</v>
      </c>
      <c r="E36" s="9">
        <v>2</v>
      </c>
      <c r="F36" s="10" t="s">
        <v>9</v>
      </c>
      <c r="G36" s="7" t="s">
        <v>157</v>
      </c>
      <c r="H36" s="9" t="str">
        <f t="shared" si="9"/>
        <v>Блок1</v>
      </c>
    </row>
    <row r="37" spans="1:8" ht="27" customHeight="1" x14ac:dyDescent="0.25">
      <c r="A37" s="9" t="str">
        <f t="shared" si="8"/>
        <v>РЩ1-1 (АВР-Б-40-2-1)</v>
      </c>
      <c r="B37" s="7" t="s">
        <v>238</v>
      </c>
      <c r="C37" s="8" t="s">
        <v>153</v>
      </c>
      <c r="D37" s="7" t="s">
        <v>154</v>
      </c>
      <c r="E37" s="9">
        <v>2</v>
      </c>
      <c r="F37" s="10" t="s">
        <v>9</v>
      </c>
      <c r="G37" s="7" t="s">
        <v>157</v>
      </c>
      <c r="H37" s="9" t="str">
        <f t="shared" si="9"/>
        <v>Блок1</v>
      </c>
    </row>
    <row r="38" spans="1:8" ht="27" customHeight="1" x14ac:dyDescent="0.25">
      <c r="A38" s="9" t="str">
        <f t="shared" si="8"/>
        <v>РЩ1-1 (АВР-Б-40-2-1)</v>
      </c>
      <c r="B38" s="7" t="s">
        <v>14</v>
      </c>
      <c r="C38" s="8" t="s">
        <v>183</v>
      </c>
      <c r="D38" s="7" t="s">
        <v>184</v>
      </c>
      <c r="E38" s="9">
        <v>1</v>
      </c>
      <c r="F38" s="10" t="s">
        <v>9</v>
      </c>
      <c r="G38" s="7" t="s">
        <v>11</v>
      </c>
      <c r="H38" s="9" t="str">
        <f t="shared" si="9"/>
        <v>Блок1</v>
      </c>
    </row>
    <row r="39" spans="1:8" ht="27" customHeight="1" x14ac:dyDescent="0.25">
      <c r="A39" s="9" t="str">
        <f t="shared" si="8"/>
        <v>РЩ1-1 (АВР-Б-40-2-1)</v>
      </c>
      <c r="B39" s="7" t="s">
        <v>237</v>
      </c>
      <c r="C39" s="8" t="s">
        <v>155</v>
      </c>
      <c r="D39" s="7" t="s">
        <v>156</v>
      </c>
      <c r="E39" s="9">
        <v>1</v>
      </c>
      <c r="F39" s="10" t="s">
        <v>9</v>
      </c>
      <c r="G39" s="7" t="s">
        <v>157</v>
      </c>
      <c r="H39" s="9" t="str">
        <f t="shared" si="9"/>
        <v>Блок1</v>
      </c>
    </row>
    <row r="40" spans="1:8" ht="27" customHeight="1" x14ac:dyDescent="0.25">
      <c r="A40" s="9" t="str">
        <f t="shared" si="8"/>
        <v>РЩ1-1 (АВР-Б-40-2-1)</v>
      </c>
      <c r="B40" s="7" t="s">
        <v>12</v>
      </c>
      <c r="C40" s="8" t="s">
        <v>243</v>
      </c>
      <c r="D40" s="7" t="s">
        <v>244</v>
      </c>
      <c r="E40" s="9">
        <v>1</v>
      </c>
      <c r="F40" s="10" t="s">
        <v>9</v>
      </c>
      <c r="G40" s="7" t="s">
        <v>13</v>
      </c>
      <c r="H40" s="9" t="str">
        <f t="shared" si="9"/>
        <v>Блок1</v>
      </c>
    </row>
    <row r="41" spans="1:8" ht="27" customHeight="1" x14ac:dyDescent="0.25">
      <c r="A41" s="9" t="str">
        <f t="shared" si="8"/>
        <v>РЩ1-1 (АВР-Б-40-2-1)</v>
      </c>
      <c r="B41" s="7" t="s">
        <v>22</v>
      </c>
      <c r="C41" s="8"/>
      <c r="D41" s="7" t="s">
        <v>23</v>
      </c>
      <c r="E41" s="9">
        <v>6</v>
      </c>
      <c r="F41" s="10" t="s">
        <v>9</v>
      </c>
      <c r="G41" s="7" t="s">
        <v>19</v>
      </c>
      <c r="H41" s="9" t="str">
        <f t="shared" si="9"/>
        <v>Блок1</v>
      </c>
    </row>
    <row r="42" spans="1:8" ht="27" customHeight="1" x14ac:dyDescent="0.25">
      <c r="A42" s="7" t="str">
        <f t="shared" si="8"/>
        <v>РЩ1-1 (АВР-Б-40-2-1)</v>
      </c>
      <c r="B42" s="7" t="s">
        <v>15</v>
      </c>
      <c r="C42" s="8" t="s">
        <v>15</v>
      </c>
      <c r="D42" s="7" t="s">
        <v>15</v>
      </c>
      <c r="E42" s="7">
        <v>1</v>
      </c>
      <c r="F42" s="7" t="s">
        <v>9</v>
      </c>
      <c r="G42" s="7" t="s">
        <v>15</v>
      </c>
      <c r="H42" s="9" t="str">
        <f t="shared" si="9"/>
        <v>Блок1</v>
      </c>
    </row>
    <row r="43" spans="1:8" ht="27" customHeight="1" x14ac:dyDescent="0.25">
      <c r="A43" s="5" t="str">
        <f>D43</f>
        <v>ВРУ1-2</v>
      </c>
      <c r="B43" s="3"/>
      <c r="C43" s="4" t="str">
        <f>VLOOKUP(D43,[1]Sayfa2!$A:$F,2,0)</f>
        <v>989-090-0529</v>
      </c>
      <c r="D43" s="3" t="s">
        <v>33</v>
      </c>
      <c r="E43" s="5">
        <v>1</v>
      </c>
      <c r="F43" s="6" t="s">
        <v>6</v>
      </c>
      <c r="G43" s="3" t="s">
        <v>7</v>
      </c>
      <c r="H43" s="5" t="s">
        <v>34</v>
      </c>
    </row>
    <row r="44" spans="1:8" ht="27" customHeight="1" x14ac:dyDescent="0.25">
      <c r="A44" s="9" t="str">
        <f t="shared" ref="A44:A52" si="10">A43</f>
        <v>ВРУ1-2</v>
      </c>
      <c r="B44" s="7" t="s">
        <v>8</v>
      </c>
      <c r="C44" s="8" t="s">
        <v>133</v>
      </c>
      <c r="D44" s="7" t="s">
        <v>134</v>
      </c>
      <c r="E44" s="9">
        <v>1</v>
      </c>
      <c r="F44" s="10" t="s">
        <v>9</v>
      </c>
      <c r="G44" s="7" t="s">
        <v>10</v>
      </c>
      <c r="H44" s="9" t="str">
        <f t="shared" ref="H44:H52" si="11">H43</f>
        <v>Блок2</v>
      </c>
    </row>
    <row r="45" spans="1:8" ht="27" customHeight="1" x14ac:dyDescent="0.25">
      <c r="A45" s="9" t="str">
        <f t="shared" si="10"/>
        <v>ВРУ1-2</v>
      </c>
      <c r="B45" s="7" t="s">
        <v>18</v>
      </c>
      <c r="C45" s="8" t="s">
        <v>251</v>
      </c>
      <c r="D45" s="7" t="s">
        <v>252</v>
      </c>
      <c r="E45" s="9">
        <v>6</v>
      </c>
      <c r="F45" s="10" t="s">
        <v>9</v>
      </c>
      <c r="G45" s="7" t="s">
        <v>19</v>
      </c>
      <c r="H45" s="9" t="str">
        <f t="shared" si="11"/>
        <v>Блок2</v>
      </c>
    </row>
    <row r="46" spans="1:8" ht="27" customHeight="1" x14ac:dyDescent="0.25">
      <c r="A46" s="9" t="str">
        <f t="shared" si="10"/>
        <v>ВРУ1-2</v>
      </c>
      <c r="B46" s="7" t="s">
        <v>20</v>
      </c>
      <c r="C46" s="8" t="s">
        <v>135</v>
      </c>
      <c r="D46" s="7" t="s">
        <v>136</v>
      </c>
      <c r="E46" s="9">
        <v>2</v>
      </c>
      <c r="F46" s="10" t="s">
        <v>9</v>
      </c>
      <c r="G46" s="7" t="s">
        <v>19</v>
      </c>
      <c r="H46" s="9" t="str">
        <f t="shared" si="11"/>
        <v>Блок2</v>
      </c>
    </row>
    <row r="47" spans="1:8" ht="27" customHeight="1" x14ac:dyDescent="0.25">
      <c r="A47" s="9" t="str">
        <f t="shared" si="10"/>
        <v>ВРУ1-2</v>
      </c>
      <c r="B47" s="7" t="s">
        <v>94</v>
      </c>
      <c r="C47" s="8" t="s">
        <v>97</v>
      </c>
      <c r="D47" s="7" t="s">
        <v>98</v>
      </c>
      <c r="E47" s="9">
        <v>6</v>
      </c>
      <c r="F47" s="10" t="s">
        <v>9</v>
      </c>
      <c r="G47" s="7" t="s">
        <v>11</v>
      </c>
      <c r="H47" s="9" t="str">
        <f>H45</f>
        <v>Блок2</v>
      </c>
    </row>
    <row r="48" spans="1:8" ht="27" customHeight="1" x14ac:dyDescent="0.25">
      <c r="A48" s="9" t="str">
        <f t="shared" si="10"/>
        <v>ВРУ1-2</v>
      </c>
      <c r="B48" s="7" t="s">
        <v>93</v>
      </c>
      <c r="C48" s="8" t="s">
        <v>95</v>
      </c>
      <c r="D48" s="7" t="s">
        <v>96</v>
      </c>
      <c r="E48" s="9">
        <v>6</v>
      </c>
      <c r="F48" s="10" t="s">
        <v>9</v>
      </c>
      <c r="G48" s="7" t="s">
        <v>11</v>
      </c>
      <c r="H48" s="9" t="str">
        <f>H46</f>
        <v>Блок2</v>
      </c>
    </row>
    <row r="49" spans="1:8" ht="27" customHeight="1" x14ac:dyDescent="0.25">
      <c r="A49" s="9" t="str">
        <f t="shared" si="10"/>
        <v>ВРУ1-2</v>
      </c>
      <c r="B49" s="7" t="s">
        <v>237</v>
      </c>
      <c r="C49" s="8" t="s">
        <v>139</v>
      </c>
      <c r="D49" s="7" t="s">
        <v>140</v>
      </c>
      <c r="E49" s="9">
        <v>2</v>
      </c>
      <c r="F49" s="10" t="s">
        <v>9</v>
      </c>
      <c r="G49" s="7" t="s">
        <v>157</v>
      </c>
      <c r="H49" s="9" t="str">
        <f t="shared" ref="H49:H50" si="12">H47</f>
        <v>Блок2</v>
      </c>
    </row>
    <row r="50" spans="1:8" ht="27" customHeight="1" x14ac:dyDescent="0.25">
      <c r="A50" s="9" t="str">
        <f t="shared" si="10"/>
        <v>ВРУ1-2</v>
      </c>
      <c r="B50" s="7" t="s">
        <v>12</v>
      </c>
      <c r="C50" s="8" t="s">
        <v>241</v>
      </c>
      <c r="D50" s="11" t="s">
        <v>242</v>
      </c>
      <c r="E50" s="9">
        <v>2</v>
      </c>
      <c r="F50" s="10" t="s">
        <v>9</v>
      </c>
      <c r="G50" s="7" t="s">
        <v>13</v>
      </c>
      <c r="H50" s="9" t="str">
        <f t="shared" si="12"/>
        <v>Блок2</v>
      </c>
    </row>
    <row r="51" spans="1:8" ht="27" customHeight="1" x14ac:dyDescent="0.25">
      <c r="A51" s="9" t="str">
        <f t="shared" si="10"/>
        <v>ВРУ1-2</v>
      </c>
      <c r="B51" s="7" t="s">
        <v>22</v>
      </c>
      <c r="C51" s="8"/>
      <c r="D51" s="7" t="s">
        <v>23</v>
      </c>
      <c r="E51" s="9">
        <v>6</v>
      </c>
      <c r="F51" s="10" t="s">
        <v>9</v>
      </c>
      <c r="G51" s="7" t="s">
        <v>19</v>
      </c>
      <c r="H51" s="9" t="str">
        <f t="shared" si="11"/>
        <v>Блок2</v>
      </c>
    </row>
    <row r="52" spans="1:8" ht="27" customHeight="1" x14ac:dyDescent="0.25">
      <c r="A52" s="7" t="str">
        <f t="shared" si="10"/>
        <v>ВРУ1-2</v>
      </c>
      <c r="B52" s="7" t="s">
        <v>15</v>
      </c>
      <c r="C52" s="8" t="s">
        <v>15</v>
      </c>
      <c r="D52" s="7" t="s">
        <v>15</v>
      </c>
      <c r="E52" s="7">
        <v>1</v>
      </c>
      <c r="F52" s="7" t="s">
        <v>9</v>
      </c>
      <c r="G52" s="7" t="s">
        <v>15</v>
      </c>
      <c r="H52" s="9" t="str">
        <f t="shared" si="11"/>
        <v>Блок2</v>
      </c>
    </row>
    <row r="53" spans="1:8" ht="27" customHeight="1" x14ac:dyDescent="0.25">
      <c r="A53" s="5" t="str">
        <f>D53</f>
        <v>РУ-1-2(Блок2)</v>
      </c>
      <c r="B53" s="3"/>
      <c r="C53" s="4" t="str">
        <f>VLOOKUP(D53,[1]Sayfa2!$A:$F,2,0)</f>
        <v>989-090-0530</v>
      </c>
      <c r="D53" s="3" t="s">
        <v>35</v>
      </c>
      <c r="E53" s="5">
        <v>1</v>
      </c>
      <c r="F53" s="6" t="s">
        <v>6</v>
      </c>
      <c r="G53" s="3" t="s">
        <v>7</v>
      </c>
      <c r="H53" s="5" t="s">
        <v>34</v>
      </c>
    </row>
    <row r="54" spans="1:8" ht="27" customHeight="1" x14ac:dyDescent="0.25">
      <c r="A54" s="9" t="str">
        <f>A53</f>
        <v>РУ-1-2(Блок2)</v>
      </c>
      <c r="B54" s="7" t="s">
        <v>8</v>
      </c>
      <c r="C54" s="8" t="s">
        <v>131</v>
      </c>
      <c r="D54" s="7" t="s">
        <v>132</v>
      </c>
      <c r="E54" s="9">
        <v>1</v>
      </c>
      <c r="F54" s="10" t="s">
        <v>9</v>
      </c>
      <c r="G54" s="7" t="s">
        <v>10</v>
      </c>
      <c r="H54" s="9" t="str">
        <f t="shared" ref="H54:H58" si="13">H53</f>
        <v>Блок2</v>
      </c>
    </row>
    <row r="55" spans="1:8" ht="27" customHeight="1" x14ac:dyDescent="0.25">
      <c r="A55" s="9" t="str">
        <f t="shared" ref="A55:A58" si="14">A54</f>
        <v>РУ-1-2(Блок2)</v>
      </c>
      <c r="B55" s="7" t="s">
        <v>238</v>
      </c>
      <c r="C55" s="8" t="s">
        <v>175</v>
      </c>
      <c r="D55" s="7" t="s">
        <v>176</v>
      </c>
      <c r="E55" s="9">
        <v>2</v>
      </c>
      <c r="F55" s="10" t="s">
        <v>9</v>
      </c>
      <c r="G55" s="7" t="s">
        <v>157</v>
      </c>
      <c r="H55" s="9" t="str">
        <f t="shared" si="13"/>
        <v>Блок2</v>
      </c>
    </row>
    <row r="56" spans="1:8" ht="27" customHeight="1" x14ac:dyDescent="0.25">
      <c r="A56" s="9" t="str">
        <f t="shared" si="14"/>
        <v>РУ-1-2(Блок2)</v>
      </c>
      <c r="B56" s="7" t="s">
        <v>238</v>
      </c>
      <c r="C56" s="8" t="s">
        <v>177</v>
      </c>
      <c r="D56" s="7" t="s">
        <v>178</v>
      </c>
      <c r="E56" s="9">
        <v>1</v>
      </c>
      <c r="F56" s="10" t="s">
        <v>9</v>
      </c>
      <c r="G56" s="7" t="s">
        <v>157</v>
      </c>
      <c r="H56" s="9" t="str">
        <f t="shared" si="13"/>
        <v>Блок2</v>
      </c>
    </row>
    <row r="57" spans="1:8" ht="27" customHeight="1" x14ac:dyDescent="0.25">
      <c r="A57" s="9" t="str">
        <f t="shared" si="14"/>
        <v>РУ-1-2(Блок2)</v>
      </c>
      <c r="B57" s="7" t="s">
        <v>237</v>
      </c>
      <c r="C57" s="8" t="s">
        <v>167</v>
      </c>
      <c r="D57" s="7" t="s">
        <v>168</v>
      </c>
      <c r="E57" s="9">
        <v>2</v>
      </c>
      <c r="F57" s="10" t="s">
        <v>9</v>
      </c>
      <c r="G57" s="7" t="s">
        <v>157</v>
      </c>
      <c r="H57" s="9" t="str">
        <f t="shared" si="13"/>
        <v>Блок2</v>
      </c>
    </row>
    <row r="58" spans="1:8" ht="27" customHeight="1" x14ac:dyDescent="0.25">
      <c r="A58" s="7" t="str">
        <f t="shared" si="14"/>
        <v>РУ-1-2(Блок2)</v>
      </c>
      <c r="B58" s="7" t="s">
        <v>15</v>
      </c>
      <c r="C58" s="8" t="s">
        <v>15</v>
      </c>
      <c r="D58" s="7" t="s">
        <v>15</v>
      </c>
      <c r="E58" s="7">
        <v>1</v>
      </c>
      <c r="F58" s="7" t="s">
        <v>9</v>
      </c>
      <c r="G58" s="7" t="s">
        <v>15</v>
      </c>
      <c r="H58" s="9" t="str">
        <f t="shared" si="13"/>
        <v>Блок2</v>
      </c>
    </row>
    <row r="59" spans="1:8" ht="27" customHeight="1" x14ac:dyDescent="0.25">
      <c r="A59" s="5" t="str">
        <f>D59</f>
        <v>РУ-2-2</v>
      </c>
      <c r="B59" s="3"/>
      <c r="C59" s="4" t="str">
        <f>VLOOKUP(D59,[1]Sayfa2!$A:$F,2,0)</f>
        <v>989-090-0531</v>
      </c>
      <c r="D59" s="3" t="s">
        <v>36</v>
      </c>
      <c r="E59" s="5">
        <v>1</v>
      </c>
      <c r="F59" s="6" t="s">
        <v>6</v>
      </c>
      <c r="G59" s="3" t="s">
        <v>7</v>
      </c>
      <c r="H59" s="5" t="s">
        <v>34</v>
      </c>
    </row>
    <row r="60" spans="1:8" ht="27" customHeight="1" x14ac:dyDescent="0.25">
      <c r="A60" s="9" t="str">
        <f t="shared" ref="A60:A64" si="15">A59</f>
        <v>РУ-2-2</v>
      </c>
      <c r="B60" s="7" t="s">
        <v>8</v>
      </c>
      <c r="C60" s="8" t="s">
        <v>131</v>
      </c>
      <c r="D60" s="7" t="s">
        <v>132</v>
      </c>
      <c r="E60" s="9">
        <v>1</v>
      </c>
      <c r="F60" s="10" t="s">
        <v>9</v>
      </c>
      <c r="G60" s="7" t="s">
        <v>10</v>
      </c>
      <c r="H60" s="9" t="str">
        <f t="shared" ref="H60:H65" si="16">H59</f>
        <v>Блок2</v>
      </c>
    </row>
    <row r="61" spans="1:8" ht="27" customHeight="1" x14ac:dyDescent="0.25">
      <c r="A61" s="9" t="str">
        <f t="shared" si="15"/>
        <v>РУ-2-2</v>
      </c>
      <c r="B61" s="7" t="s">
        <v>238</v>
      </c>
      <c r="C61" s="8" t="s">
        <v>177</v>
      </c>
      <c r="D61" s="7" t="s">
        <v>178</v>
      </c>
      <c r="E61" s="9">
        <v>1</v>
      </c>
      <c r="F61" s="10" t="s">
        <v>9</v>
      </c>
      <c r="G61" s="7" t="s">
        <v>157</v>
      </c>
      <c r="H61" s="9" t="str">
        <f t="shared" si="16"/>
        <v>Блок2</v>
      </c>
    </row>
    <row r="62" spans="1:8" ht="27" customHeight="1" x14ac:dyDescent="0.25">
      <c r="A62" s="9" t="str">
        <f t="shared" si="15"/>
        <v>РУ-2-2</v>
      </c>
      <c r="B62" s="7" t="s">
        <v>238</v>
      </c>
      <c r="C62" s="8" t="s">
        <v>161</v>
      </c>
      <c r="D62" s="7" t="s">
        <v>162</v>
      </c>
      <c r="E62" s="9">
        <v>3</v>
      </c>
      <c r="F62" s="10" t="s">
        <v>9</v>
      </c>
      <c r="G62" s="7" t="s">
        <v>157</v>
      </c>
      <c r="H62" s="9" t="str">
        <f t="shared" si="16"/>
        <v>Блок2</v>
      </c>
    </row>
    <row r="63" spans="1:8" ht="27" customHeight="1" x14ac:dyDescent="0.25">
      <c r="A63" s="9" t="str">
        <f t="shared" si="15"/>
        <v>РУ-2-2</v>
      </c>
      <c r="B63" s="7" t="s">
        <v>238</v>
      </c>
      <c r="C63" s="8" t="s">
        <v>173</v>
      </c>
      <c r="D63" s="7" t="s">
        <v>174</v>
      </c>
      <c r="E63" s="9">
        <v>1</v>
      </c>
      <c r="F63" s="10" t="s">
        <v>9</v>
      </c>
      <c r="G63" s="7" t="s">
        <v>157</v>
      </c>
      <c r="H63" s="9" t="str">
        <f t="shared" si="16"/>
        <v>Блок2</v>
      </c>
    </row>
    <row r="64" spans="1:8" ht="27" customHeight="1" x14ac:dyDescent="0.25">
      <c r="A64" s="9" t="str">
        <f t="shared" si="15"/>
        <v>РУ-2-2</v>
      </c>
      <c r="B64" s="7" t="s">
        <v>12</v>
      </c>
      <c r="C64" s="8" t="s">
        <v>245</v>
      </c>
      <c r="D64" s="7" t="s">
        <v>246</v>
      </c>
      <c r="E64" s="9">
        <v>2</v>
      </c>
      <c r="F64" s="10" t="s">
        <v>9</v>
      </c>
      <c r="G64" s="7" t="s">
        <v>13</v>
      </c>
      <c r="H64" s="9" t="str">
        <f t="shared" si="16"/>
        <v>Блок2</v>
      </c>
    </row>
    <row r="65" spans="1:8" ht="27" customHeight="1" x14ac:dyDescent="0.25">
      <c r="A65" s="7" t="str">
        <f>A63</f>
        <v>РУ-2-2</v>
      </c>
      <c r="B65" s="7" t="s">
        <v>15</v>
      </c>
      <c r="C65" s="8" t="s">
        <v>15</v>
      </c>
      <c r="D65" s="7" t="s">
        <v>15</v>
      </c>
      <c r="E65" s="7">
        <v>1</v>
      </c>
      <c r="F65" s="7" t="s">
        <v>9</v>
      </c>
      <c r="G65" s="7" t="s">
        <v>15</v>
      </c>
      <c r="H65" s="9" t="str">
        <f t="shared" si="16"/>
        <v>Блок2</v>
      </c>
    </row>
    <row r="66" spans="1:8" ht="27" customHeight="1" x14ac:dyDescent="0.25">
      <c r="A66" s="5" t="str">
        <f>D66</f>
        <v>ЩУР.МОП1-2</v>
      </c>
      <c r="B66" s="3"/>
      <c r="C66" s="4" t="str">
        <f>VLOOKUP(D66,[1]Sayfa2!$A:$F,2,0)</f>
        <v>989-090-0532</v>
      </c>
      <c r="D66" s="3" t="s">
        <v>37</v>
      </c>
      <c r="E66" s="5">
        <v>1</v>
      </c>
      <c r="F66" s="6" t="s">
        <v>6</v>
      </c>
      <c r="G66" s="3" t="s">
        <v>7</v>
      </c>
      <c r="H66" s="5" t="s">
        <v>34</v>
      </c>
    </row>
    <row r="67" spans="1:8" ht="27" customHeight="1" x14ac:dyDescent="0.25">
      <c r="A67" s="9" t="str">
        <f t="shared" ref="A67:A72" si="17">A66</f>
        <v>ЩУР.МОП1-2</v>
      </c>
      <c r="B67" s="7" t="s">
        <v>8</v>
      </c>
      <c r="C67" s="8" t="s">
        <v>27</v>
      </c>
      <c r="D67" s="7" t="s">
        <v>28</v>
      </c>
      <c r="E67" s="9">
        <v>1</v>
      </c>
      <c r="F67" s="10" t="s">
        <v>9</v>
      </c>
      <c r="G67" s="7" t="s">
        <v>10</v>
      </c>
      <c r="H67" s="9" t="str">
        <f t="shared" ref="H67:H72" si="18">H66</f>
        <v>Блок2</v>
      </c>
    </row>
    <row r="68" spans="1:8" ht="27" customHeight="1" x14ac:dyDescent="0.25">
      <c r="A68" s="9" t="str">
        <f t="shared" si="17"/>
        <v>ЩУР.МОП1-2</v>
      </c>
      <c r="B68" s="7" t="s">
        <v>237</v>
      </c>
      <c r="C68" s="8" t="s">
        <v>145</v>
      </c>
      <c r="D68" s="7" t="s">
        <v>146</v>
      </c>
      <c r="E68" s="9">
        <v>1</v>
      </c>
      <c r="F68" s="10" t="s">
        <v>9</v>
      </c>
      <c r="G68" s="7" t="s">
        <v>157</v>
      </c>
      <c r="H68" s="9" t="str">
        <f t="shared" si="18"/>
        <v>Блок2</v>
      </c>
    </row>
    <row r="69" spans="1:8" ht="27" customHeight="1" x14ac:dyDescent="0.25">
      <c r="A69" s="9" t="str">
        <f t="shared" si="17"/>
        <v>ЩУР.МОП1-2</v>
      </c>
      <c r="B69" s="7" t="s">
        <v>237</v>
      </c>
      <c r="C69" s="8" t="s">
        <v>149</v>
      </c>
      <c r="D69" s="7" t="s">
        <v>150</v>
      </c>
      <c r="E69" s="9">
        <v>2</v>
      </c>
      <c r="F69" s="10" t="s">
        <v>9</v>
      </c>
      <c r="G69" s="7" t="s">
        <v>157</v>
      </c>
      <c r="H69" s="9" t="str">
        <f t="shared" si="18"/>
        <v>Блок2</v>
      </c>
    </row>
    <row r="70" spans="1:8" ht="27" customHeight="1" x14ac:dyDescent="0.25">
      <c r="A70" s="9" t="str">
        <f t="shared" si="17"/>
        <v>ЩУР.МОП1-2</v>
      </c>
      <c r="B70" s="7" t="s">
        <v>237</v>
      </c>
      <c r="C70" s="8" t="s">
        <v>143</v>
      </c>
      <c r="D70" s="7" t="s">
        <v>144</v>
      </c>
      <c r="E70" s="9">
        <v>2</v>
      </c>
      <c r="F70" s="10" t="s">
        <v>9</v>
      </c>
      <c r="G70" s="7" t="s">
        <v>157</v>
      </c>
      <c r="H70" s="9" t="str">
        <f t="shared" si="18"/>
        <v>Блок2</v>
      </c>
    </row>
    <row r="71" spans="1:8" ht="27" customHeight="1" x14ac:dyDescent="0.25">
      <c r="A71" s="9" t="str">
        <f t="shared" si="17"/>
        <v>ЩУР.МОП1-2</v>
      </c>
      <c r="B71" s="7" t="s">
        <v>12</v>
      </c>
      <c r="C71" s="8" t="s">
        <v>243</v>
      </c>
      <c r="D71" s="7" t="s">
        <v>244</v>
      </c>
      <c r="E71" s="9">
        <v>1</v>
      </c>
      <c r="F71" s="10" t="s">
        <v>9</v>
      </c>
      <c r="G71" s="7" t="s">
        <v>13</v>
      </c>
      <c r="H71" s="9" t="str">
        <f t="shared" si="18"/>
        <v>Блок2</v>
      </c>
    </row>
    <row r="72" spans="1:8" ht="27" customHeight="1" x14ac:dyDescent="0.25">
      <c r="A72" s="7" t="str">
        <f t="shared" si="17"/>
        <v>ЩУР.МОП1-2</v>
      </c>
      <c r="B72" s="7" t="s">
        <v>15</v>
      </c>
      <c r="C72" s="8" t="s">
        <v>15</v>
      </c>
      <c r="D72" s="7" t="s">
        <v>15</v>
      </c>
      <c r="E72" s="7">
        <v>1</v>
      </c>
      <c r="F72" s="7" t="s">
        <v>9</v>
      </c>
      <c r="G72" s="7" t="s">
        <v>15</v>
      </c>
      <c r="H72" s="9" t="str">
        <f t="shared" si="18"/>
        <v>Блок2</v>
      </c>
    </row>
    <row r="73" spans="1:8" ht="27" customHeight="1" x14ac:dyDescent="0.25">
      <c r="A73" s="5" t="str">
        <f>D73</f>
        <v>РЩ1-2 (АВР-Б-40-2-1)</v>
      </c>
      <c r="B73" s="3"/>
      <c r="C73" s="4" t="str">
        <f>VLOOKUP(D73,[1]Sayfa2!$A:$F,2,0)</f>
        <v>989-090-0534</v>
      </c>
      <c r="D73" s="3" t="s">
        <v>100</v>
      </c>
      <c r="E73" s="5">
        <v>1</v>
      </c>
      <c r="F73" s="6" t="s">
        <v>6</v>
      </c>
      <c r="G73" s="3" t="s">
        <v>7</v>
      </c>
      <c r="H73" s="5" t="s">
        <v>34</v>
      </c>
    </row>
    <row r="74" spans="1:8" ht="27" customHeight="1" x14ac:dyDescent="0.25">
      <c r="A74" s="9" t="str">
        <f t="shared" ref="A74:A83" si="19">A73</f>
        <v>РЩ1-2 (АВР-Б-40-2-1)</v>
      </c>
      <c r="B74" s="7" t="s">
        <v>8</v>
      </c>
      <c r="C74" s="8" t="s">
        <v>129</v>
      </c>
      <c r="D74" s="7" t="s">
        <v>130</v>
      </c>
      <c r="E74" s="9">
        <v>1</v>
      </c>
      <c r="F74" s="10" t="s">
        <v>9</v>
      </c>
      <c r="G74" s="7" t="s">
        <v>10</v>
      </c>
      <c r="H74" s="9" t="str">
        <f t="shared" ref="H74:H83" si="20">H73</f>
        <v>Блок2</v>
      </c>
    </row>
    <row r="75" spans="1:8" ht="27" customHeight="1" x14ac:dyDescent="0.25">
      <c r="A75" s="9" t="str">
        <f t="shared" si="19"/>
        <v>РЩ1-2 (АВР-Б-40-2-1)</v>
      </c>
      <c r="B75" s="7" t="s">
        <v>29</v>
      </c>
      <c r="C75" s="8" t="s">
        <v>123</v>
      </c>
      <c r="D75" s="7" t="s">
        <v>124</v>
      </c>
      <c r="E75" s="9">
        <v>1</v>
      </c>
      <c r="F75" s="10" t="s">
        <v>9</v>
      </c>
      <c r="G75" s="7" t="s">
        <v>11</v>
      </c>
      <c r="H75" s="9" t="str">
        <f t="shared" si="20"/>
        <v>Блок2</v>
      </c>
    </row>
    <row r="76" spans="1:8" ht="27" customHeight="1" x14ac:dyDescent="0.25">
      <c r="A76" s="9" t="str">
        <f t="shared" si="19"/>
        <v>РЩ1-2 (АВР-Б-40-2-1)</v>
      </c>
      <c r="B76" s="7" t="s">
        <v>237</v>
      </c>
      <c r="C76" s="8" t="s">
        <v>163</v>
      </c>
      <c r="D76" s="7" t="s">
        <v>164</v>
      </c>
      <c r="E76" s="9">
        <v>2</v>
      </c>
      <c r="F76" s="10" t="s">
        <v>9</v>
      </c>
      <c r="G76" s="7" t="s">
        <v>157</v>
      </c>
      <c r="H76" s="9" t="str">
        <f t="shared" si="20"/>
        <v>Блок2</v>
      </c>
    </row>
    <row r="77" spans="1:8" ht="27" customHeight="1" x14ac:dyDescent="0.25">
      <c r="A77" s="9" t="str">
        <f t="shared" si="19"/>
        <v>РЩ1-2 (АВР-Б-40-2-1)</v>
      </c>
      <c r="B77" s="7" t="s">
        <v>237</v>
      </c>
      <c r="C77" s="8" t="s">
        <v>181</v>
      </c>
      <c r="D77" s="7" t="s">
        <v>182</v>
      </c>
      <c r="E77" s="9">
        <v>2</v>
      </c>
      <c r="F77" s="10" t="s">
        <v>9</v>
      </c>
      <c r="G77" s="7" t="s">
        <v>157</v>
      </c>
      <c r="H77" s="9" t="str">
        <f t="shared" si="20"/>
        <v>Блок2</v>
      </c>
    </row>
    <row r="78" spans="1:8" ht="27" customHeight="1" x14ac:dyDescent="0.25">
      <c r="A78" s="9" t="str">
        <f t="shared" si="19"/>
        <v>РЩ1-2 (АВР-Б-40-2-1)</v>
      </c>
      <c r="B78" s="7" t="s">
        <v>238</v>
      </c>
      <c r="C78" s="8" t="s">
        <v>153</v>
      </c>
      <c r="D78" s="7" t="s">
        <v>154</v>
      </c>
      <c r="E78" s="9">
        <v>2</v>
      </c>
      <c r="F78" s="10" t="s">
        <v>9</v>
      </c>
      <c r="G78" s="7" t="s">
        <v>157</v>
      </c>
      <c r="H78" s="9" t="str">
        <f t="shared" si="20"/>
        <v>Блок2</v>
      </c>
    </row>
    <row r="79" spans="1:8" ht="27" customHeight="1" x14ac:dyDescent="0.25">
      <c r="A79" s="9" t="str">
        <f t="shared" si="19"/>
        <v>РЩ1-2 (АВР-Б-40-2-1)</v>
      </c>
      <c r="B79" s="7" t="s">
        <v>14</v>
      </c>
      <c r="C79" s="8" t="s">
        <v>183</v>
      </c>
      <c r="D79" s="7" t="s">
        <v>184</v>
      </c>
      <c r="E79" s="9">
        <v>1</v>
      </c>
      <c r="F79" s="10" t="s">
        <v>9</v>
      </c>
      <c r="G79" s="7" t="s">
        <v>11</v>
      </c>
      <c r="H79" s="9" t="str">
        <f t="shared" si="20"/>
        <v>Блок2</v>
      </c>
    </row>
    <row r="80" spans="1:8" ht="27" customHeight="1" x14ac:dyDescent="0.25">
      <c r="A80" s="9" t="str">
        <f t="shared" si="19"/>
        <v>РЩ1-2 (АВР-Б-40-2-1)</v>
      </c>
      <c r="B80" s="7" t="s">
        <v>237</v>
      </c>
      <c r="C80" s="8" t="s">
        <v>155</v>
      </c>
      <c r="D80" s="7" t="s">
        <v>156</v>
      </c>
      <c r="E80" s="9">
        <v>1</v>
      </c>
      <c r="F80" s="10" t="s">
        <v>9</v>
      </c>
      <c r="G80" s="7" t="s">
        <v>157</v>
      </c>
      <c r="H80" s="9" t="str">
        <f t="shared" si="20"/>
        <v>Блок2</v>
      </c>
    </row>
    <row r="81" spans="1:8" ht="27" customHeight="1" x14ac:dyDescent="0.25">
      <c r="A81" s="9" t="str">
        <f t="shared" si="19"/>
        <v>РЩ1-2 (АВР-Б-40-2-1)</v>
      </c>
      <c r="B81" s="7" t="s">
        <v>12</v>
      </c>
      <c r="C81" s="8" t="s">
        <v>243</v>
      </c>
      <c r="D81" s="7" t="s">
        <v>244</v>
      </c>
      <c r="E81" s="9">
        <v>1</v>
      </c>
      <c r="F81" s="10" t="s">
        <v>9</v>
      </c>
      <c r="G81" s="7" t="s">
        <v>13</v>
      </c>
      <c r="H81" s="9" t="str">
        <f t="shared" si="20"/>
        <v>Блок2</v>
      </c>
    </row>
    <row r="82" spans="1:8" ht="27" customHeight="1" x14ac:dyDescent="0.25">
      <c r="A82" s="9" t="str">
        <f t="shared" si="19"/>
        <v>РЩ1-2 (АВР-Б-40-2-1)</v>
      </c>
      <c r="B82" s="7" t="s">
        <v>22</v>
      </c>
      <c r="C82" s="8"/>
      <c r="D82" s="7" t="s">
        <v>23</v>
      </c>
      <c r="E82" s="9">
        <v>6</v>
      </c>
      <c r="F82" s="10" t="s">
        <v>9</v>
      </c>
      <c r="G82" s="7" t="s">
        <v>19</v>
      </c>
      <c r="H82" s="9" t="str">
        <f t="shared" si="20"/>
        <v>Блок2</v>
      </c>
    </row>
    <row r="83" spans="1:8" ht="27" customHeight="1" x14ac:dyDescent="0.25">
      <c r="A83" s="7" t="str">
        <f t="shared" si="19"/>
        <v>РЩ1-2 (АВР-Б-40-2-1)</v>
      </c>
      <c r="B83" s="7" t="s">
        <v>15</v>
      </c>
      <c r="C83" s="8" t="s">
        <v>15</v>
      </c>
      <c r="D83" s="7" t="s">
        <v>15</v>
      </c>
      <c r="E83" s="7">
        <v>1</v>
      </c>
      <c r="F83" s="7" t="s">
        <v>9</v>
      </c>
      <c r="G83" s="7" t="s">
        <v>15</v>
      </c>
      <c r="H83" s="9" t="str">
        <f t="shared" si="20"/>
        <v>Блок2</v>
      </c>
    </row>
    <row r="84" spans="1:8" ht="27" customHeight="1" x14ac:dyDescent="0.25">
      <c r="A84" s="5" t="str">
        <f>D84</f>
        <v>ВРУ1-3</v>
      </c>
      <c r="B84" s="3"/>
      <c r="C84" s="4" t="str">
        <f>VLOOKUP(D84,[1]Sayfa2!$A:$F,2,0)</f>
        <v>989-090-0535</v>
      </c>
      <c r="D84" s="3" t="s">
        <v>38</v>
      </c>
      <c r="E84" s="5">
        <v>1</v>
      </c>
      <c r="F84" s="6" t="s">
        <v>6</v>
      </c>
      <c r="G84" s="3" t="s">
        <v>7</v>
      </c>
      <c r="H84" s="5" t="s">
        <v>39</v>
      </c>
    </row>
    <row r="85" spans="1:8" ht="27" customHeight="1" x14ac:dyDescent="0.25">
      <c r="A85" s="9" t="str">
        <f t="shared" ref="A85:A93" si="21">A84</f>
        <v>ВРУ1-3</v>
      </c>
      <c r="B85" s="7" t="s">
        <v>8</v>
      </c>
      <c r="C85" s="8" t="s">
        <v>133</v>
      </c>
      <c r="D85" s="7" t="s">
        <v>134</v>
      </c>
      <c r="E85" s="9">
        <v>1</v>
      </c>
      <c r="F85" s="10" t="s">
        <v>9</v>
      </c>
      <c r="G85" s="7" t="s">
        <v>10</v>
      </c>
      <c r="H85" s="9" t="str">
        <f t="shared" ref="H85:H87" si="22">H84</f>
        <v>Блок3</v>
      </c>
    </row>
    <row r="86" spans="1:8" ht="27" customHeight="1" x14ac:dyDescent="0.25">
      <c r="A86" s="9" t="str">
        <f t="shared" si="21"/>
        <v>ВРУ1-3</v>
      </c>
      <c r="B86" s="7" t="s">
        <v>18</v>
      </c>
      <c r="C86" s="8" t="s">
        <v>251</v>
      </c>
      <c r="D86" s="7" t="s">
        <v>252</v>
      </c>
      <c r="E86" s="9">
        <v>6</v>
      </c>
      <c r="F86" s="10" t="s">
        <v>9</v>
      </c>
      <c r="G86" s="7" t="s">
        <v>19</v>
      </c>
      <c r="H86" s="9" t="str">
        <f t="shared" si="22"/>
        <v>Блок3</v>
      </c>
    </row>
    <row r="87" spans="1:8" ht="27" customHeight="1" x14ac:dyDescent="0.25">
      <c r="A87" s="9" t="str">
        <f t="shared" si="21"/>
        <v>ВРУ1-3</v>
      </c>
      <c r="B87" s="7" t="s">
        <v>20</v>
      </c>
      <c r="C87" s="8" t="s">
        <v>135</v>
      </c>
      <c r="D87" s="7" t="s">
        <v>136</v>
      </c>
      <c r="E87" s="9">
        <v>2</v>
      </c>
      <c r="F87" s="10" t="s">
        <v>9</v>
      </c>
      <c r="G87" s="7" t="s">
        <v>19</v>
      </c>
      <c r="H87" s="9" t="str">
        <f t="shared" si="22"/>
        <v>Блок3</v>
      </c>
    </row>
    <row r="88" spans="1:8" ht="27" customHeight="1" x14ac:dyDescent="0.25">
      <c r="A88" s="9" t="str">
        <f t="shared" si="21"/>
        <v>ВРУ1-3</v>
      </c>
      <c r="B88" s="7" t="s">
        <v>94</v>
      </c>
      <c r="C88" s="8" t="s">
        <v>97</v>
      </c>
      <c r="D88" s="7" t="s">
        <v>98</v>
      </c>
      <c r="E88" s="9">
        <v>6</v>
      </c>
      <c r="F88" s="10" t="s">
        <v>9</v>
      </c>
      <c r="G88" s="7" t="s">
        <v>11</v>
      </c>
      <c r="H88" s="9" t="str">
        <f>H86</f>
        <v>Блок3</v>
      </c>
    </row>
    <row r="89" spans="1:8" ht="27" customHeight="1" x14ac:dyDescent="0.25">
      <c r="A89" s="9" t="str">
        <f t="shared" si="21"/>
        <v>ВРУ1-3</v>
      </c>
      <c r="B89" s="7" t="s">
        <v>93</v>
      </c>
      <c r="C89" s="8" t="s">
        <v>95</v>
      </c>
      <c r="D89" s="7" t="s">
        <v>96</v>
      </c>
      <c r="E89" s="9">
        <v>6</v>
      </c>
      <c r="F89" s="10" t="s">
        <v>9</v>
      </c>
      <c r="G89" s="7" t="s">
        <v>11</v>
      </c>
      <c r="H89" s="9" t="str">
        <f>H87</f>
        <v>Блок3</v>
      </c>
    </row>
    <row r="90" spans="1:8" ht="27" customHeight="1" x14ac:dyDescent="0.25">
      <c r="A90" s="9" t="str">
        <f t="shared" si="21"/>
        <v>ВРУ1-3</v>
      </c>
      <c r="B90" s="7" t="s">
        <v>237</v>
      </c>
      <c r="C90" s="8" t="s">
        <v>139</v>
      </c>
      <c r="D90" s="7" t="s">
        <v>140</v>
      </c>
      <c r="E90" s="9">
        <v>2</v>
      </c>
      <c r="F90" s="10" t="s">
        <v>9</v>
      </c>
      <c r="G90" s="7" t="s">
        <v>157</v>
      </c>
      <c r="H90" s="9" t="str">
        <f t="shared" ref="H90:H93" si="23">H88</f>
        <v>Блок3</v>
      </c>
    </row>
    <row r="91" spans="1:8" ht="27" customHeight="1" x14ac:dyDescent="0.25">
      <c r="A91" s="9" t="str">
        <f t="shared" si="21"/>
        <v>ВРУ1-3</v>
      </c>
      <c r="B91" s="7" t="s">
        <v>12</v>
      </c>
      <c r="C91" s="8" t="s">
        <v>241</v>
      </c>
      <c r="D91" s="11" t="s">
        <v>242</v>
      </c>
      <c r="E91" s="9">
        <v>2</v>
      </c>
      <c r="F91" s="10" t="s">
        <v>9</v>
      </c>
      <c r="G91" s="7" t="s">
        <v>13</v>
      </c>
      <c r="H91" s="9" t="str">
        <f t="shared" si="23"/>
        <v>Блок3</v>
      </c>
    </row>
    <row r="92" spans="1:8" ht="27" customHeight="1" x14ac:dyDescent="0.25">
      <c r="A92" s="9" t="str">
        <f t="shared" si="21"/>
        <v>ВРУ1-3</v>
      </c>
      <c r="B92" s="7" t="s">
        <v>22</v>
      </c>
      <c r="C92" s="8"/>
      <c r="D92" s="7" t="s">
        <v>23</v>
      </c>
      <c r="E92" s="9">
        <v>6</v>
      </c>
      <c r="F92" s="10" t="s">
        <v>9</v>
      </c>
      <c r="G92" s="7" t="s">
        <v>19</v>
      </c>
      <c r="H92" s="9" t="str">
        <f t="shared" si="23"/>
        <v>Блок3</v>
      </c>
    </row>
    <row r="93" spans="1:8" ht="27" customHeight="1" x14ac:dyDescent="0.25">
      <c r="A93" s="7" t="str">
        <f t="shared" si="21"/>
        <v>ВРУ1-3</v>
      </c>
      <c r="B93" s="7" t="s">
        <v>15</v>
      </c>
      <c r="C93" s="8" t="s">
        <v>15</v>
      </c>
      <c r="D93" s="7" t="s">
        <v>15</v>
      </c>
      <c r="E93" s="7">
        <v>1</v>
      </c>
      <c r="F93" s="7" t="s">
        <v>9</v>
      </c>
      <c r="G93" s="7" t="s">
        <v>15</v>
      </c>
      <c r="H93" s="9" t="str">
        <f t="shared" si="23"/>
        <v>Блок3</v>
      </c>
    </row>
    <row r="94" spans="1:8" ht="27" customHeight="1" x14ac:dyDescent="0.25">
      <c r="A94" s="5" t="str">
        <f>D94</f>
        <v>РУ-1-3(Блок3)</v>
      </c>
      <c r="B94" s="3"/>
      <c r="C94" s="4" t="str">
        <f>VLOOKUP(D94,[1]Sayfa2!$A:$F,2,0)</f>
        <v>989-090-0536</v>
      </c>
      <c r="D94" s="3" t="s">
        <v>40</v>
      </c>
      <c r="E94" s="5">
        <v>1</v>
      </c>
      <c r="F94" s="6" t="s">
        <v>6</v>
      </c>
      <c r="G94" s="3" t="s">
        <v>7</v>
      </c>
      <c r="H94" s="5" t="s">
        <v>39</v>
      </c>
    </row>
    <row r="95" spans="1:8" ht="27" customHeight="1" x14ac:dyDescent="0.25">
      <c r="A95" s="9" t="str">
        <f t="shared" ref="A95:A99" si="24">A94</f>
        <v>РУ-1-3(Блок3)</v>
      </c>
      <c r="B95" s="7" t="s">
        <v>8</v>
      </c>
      <c r="C95" s="8" t="s">
        <v>131</v>
      </c>
      <c r="D95" s="7" t="s">
        <v>132</v>
      </c>
      <c r="E95" s="9">
        <v>1</v>
      </c>
      <c r="F95" s="10" t="s">
        <v>9</v>
      </c>
      <c r="G95" s="7" t="s">
        <v>10</v>
      </c>
      <c r="H95" s="9" t="str">
        <f t="shared" ref="H95:H99" si="25">H94</f>
        <v>Блок3</v>
      </c>
    </row>
    <row r="96" spans="1:8" ht="27" customHeight="1" x14ac:dyDescent="0.25">
      <c r="A96" s="9" t="str">
        <f t="shared" si="24"/>
        <v>РУ-1-3(Блок3)</v>
      </c>
      <c r="B96" s="7" t="s">
        <v>238</v>
      </c>
      <c r="C96" s="8" t="s">
        <v>175</v>
      </c>
      <c r="D96" s="7" t="s">
        <v>176</v>
      </c>
      <c r="E96" s="9">
        <v>2</v>
      </c>
      <c r="F96" s="10" t="s">
        <v>9</v>
      </c>
      <c r="G96" s="7" t="s">
        <v>157</v>
      </c>
      <c r="H96" s="9" t="str">
        <f t="shared" si="25"/>
        <v>Блок3</v>
      </c>
    </row>
    <row r="97" spans="1:8" ht="27" customHeight="1" x14ac:dyDescent="0.25">
      <c r="A97" s="9" t="str">
        <f t="shared" si="24"/>
        <v>РУ-1-3(Блок3)</v>
      </c>
      <c r="B97" s="7" t="s">
        <v>238</v>
      </c>
      <c r="C97" s="8" t="s">
        <v>177</v>
      </c>
      <c r="D97" s="7" t="s">
        <v>178</v>
      </c>
      <c r="E97" s="9">
        <v>1</v>
      </c>
      <c r="F97" s="10" t="s">
        <v>9</v>
      </c>
      <c r="G97" s="7" t="s">
        <v>157</v>
      </c>
      <c r="H97" s="9" t="str">
        <f t="shared" si="25"/>
        <v>Блок3</v>
      </c>
    </row>
    <row r="98" spans="1:8" ht="27" customHeight="1" x14ac:dyDescent="0.25">
      <c r="A98" s="9" t="str">
        <f t="shared" si="24"/>
        <v>РУ-1-3(Блок3)</v>
      </c>
      <c r="B98" s="7" t="s">
        <v>237</v>
      </c>
      <c r="C98" s="8" t="s">
        <v>167</v>
      </c>
      <c r="D98" s="7" t="s">
        <v>168</v>
      </c>
      <c r="E98" s="9">
        <v>2</v>
      </c>
      <c r="F98" s="10" t="s">
        <v>9</v>
      </c>
      <c r="G98" s="7" t="s">
        <v>157</v>
      </c>
      <c r="H98" s="9" t="str">
        <f t="shared" si="25"/>
        <v>Блок3</v>
      </c>
    </row>
    <row r="99" spans="1:8" ht="27" customHeight="1" x14ac:dyDescent="0.25">
      <c r="A99" s="7" t="str">
        <f t="shared" si="24"/>
        <v>РУ-1-3(Блок3)</v>
      </c>
      <c r="B99" s="7" t="s">
        <v>15</v>
      </c>
      <c r="C99" s="8" t="s">
        <v>15</v>
      </c>
      <c r="D99" s="7" t="s">
        <v>15</v>
      </c>
      <c r="E99" s="7">
        <v>1</v>
      </c>
      <c r="F99" s="7" t="s">
        <v>9</v>
      </c>
      <c r="G99" s="7" t="s">
        <v>15</v>
      </c>
      <c r="H99" s="9" t="str">
        <f t="shared" si="25"/>
        <v>Блок3</v>
      </c>
    </row>
    <row r="100" spans="1:8" ht="27" customHeight="1" x14ac:dyDescent="0.25">
      <c r="A100" s="5" t="str">
        <f>D100</f>
        <v>РУ-2-3</v>
      </c>
      <c r="B100" s="3"/>
      <c r="C100" s="4" t="str">
        <f>VLOOKUP(D100,[1]Sayfa2!$A:$F,2,0)</f>
        <v>989-090-0600</v>
      </c>
      <c r="D100" s="3" t="s">
        <v>41</v>
      </c>
      <c r="E100" s="5">
        <v>1</v>
      </c>
      <c r="F100" s="6" t="s">
        <v>6</v>
      </c>
      <c r="G100" s="3" t="s">
        <v>7</v>
      </c>
      <c r="H100" s="5" t="s">
        <v>39</v>
      </c>
    </row>
    <row r="101" spans="1:8" ht="27" customHeight="1" x14ac:dyDescent="0.25">
      <c r="A101" s="9" t="str">
        <f t="shared" ref="A101:A105" si="26">A100</f>
        <v>РУ-2-3</v>
      </c>
      <c r="B101" s="7" t="s">
        <v>8</v>
      </c>
      <c r="C101" s="8" t="s">
        <v>131</v>
      </c>
      <c r="D101" s="7" t="s">
        <v>132</v>
      </c>
      <c r="E101" s="9">
        <v>1</v>
      </c>
      <c r="F101" s="10" t="s">
        <v>9</v>
      </c>
      <c r="G101" s="7" t="s">
        <v>10</v>
      </c>
      <c r="H101" s="9" t="str">
        <f>H100</f>
        <v>Блок3</v>
      </c>
    </row>
    <row r="102" spans="1:8" ht="27" customHeight="1" x14ac:dyDescent="0.25">
      <c r="A102" s="9" t="str">
        <f t="shared" si="26"/>
        <v>РУ-2-3</v>
      </c>
      <c r="B102" s="7" t="s">
        <v>238</v>
      </c>
      <c r="C102" s="8" t="s">
        <v>177</v>
      </c>
      <c r="D102" s="7" t="s">
        <v>178</v>
      </c>
      <c r="E102" s="9">
        <v>1</v>
      </c>
      <c r="F102" s="10" t="s">
        <v>9</v>
      </c>
      <c r="G102" s="7" t="s">
        <v>157</v>
      </c>
      <c r="H102" s="9" t="str">
        <f>H101</f>
        <v>Блок3</v>
      </c>
    </row>
    <row r="103" spans="1:8" ht="27" customHeight="1" x14ac:dyDescent="0.25">
      <c r="A103" s="9" t="str">
        <f t="shared" si="26"/>
        <v>РУ-2-3</v>
      </c>
      <c r="B103" s="7" t="s">
        <v>238</v>
      </c>
      <c r="C103" s="8" t="s">
        <v>175</v>
      </c>
      <c r="D103" s="7" t="s">
        <v>176</v>
      </c>
      <c r="E103" s="9">
        <v>3</v>
      </c>
      <c r="F103" s="10" t="s">
        <v>9</v>
      </c>
      <c r="G103" s="7" t="s">
        <v>157</v>
      </c>
      <c r="H103" s="9" t="s">
        <v>39</v>
      </c>
    </row>
    <row r="104" spans="1:8" ht="27" customHeight="1" x14ac:dyDescent="0.25">
      <c r="A104" s="9" t="str">
        <f t="shared" si="26"/>
        <v>РУ-2-3</v>
      </c>
      <c r="B104" s="7" t="s">
        <v>237</v>
      </c>
      <c r="C104" s="8" t="s">
        <v>167</v>
      </c>
      <c r="D104" s="7" t="s">
        <v>168</v>
      </c>
      <c r="E104" s="9">
        <v>1</v>
      </c>
      <c r="F104" s="10" t="s">
        <v>9</v>
      </c>
      <c r="G104" s="7" t="s">
        <v>157</v>
      </c>
      <c r="H104" s="9" t="s">
        <v>39</v>
      </c>
    </row>
    <row r="105" spans="1:8" ht="27" customHeight="1" x14ac:dyDescent="0.25">
      <c r="A105" s="7" t="str">
        <f t="shared" si="26"/>
        <v>РУ-2-3</v>
      </c>
      <c r="B105" s="7" t="s">
        <v>15</v>
      </c>
      <c r="C105" s="8" t="s">
        <v>15</v>
      </c>
      <c r="D105" s="7" t="s">
        <v>15</v>
      </c>
      <c r="E105" s="7">
        <v>1</v>
      </c>
      <c r="F105" s="7" t="s">
        <v>9</v>
      </c>
      <c r="G105" s="7" t="s">
        <v>15</v>
      </c>
      <c r="H105" s="9" t="s">
        <v>45</v>
      </c>
    </row>
    <row r="106" spans="1:8" ht="27" customHeight="1" x14ac:dyDescent="0.25">
      <c r="A106" s="5" t="str">
        <f>D106</f>
        <v>ЩУР.МОП1-3</v>
      </c>
      <c r="B106" s="3"/>
      <c r="C106" s="4" t="str">
        <f>VLOOKUP(D106,[1]Sayfa2!$A:$F,2,0)</f>
        <v>989-090-0601</v>
      </c>
      <c r="D106" s="3" t="s">
        <v>42</v>
      </c>
      <c r="E106" s="5">
        <v>1</v>
      </c>
      <c r="F106" s="6" t="s">
        <v>6</v>
      </c>
      <c r="G106" s="3" t="s">
        <v>7</v>
      </c>
      <c r="H106" s="5" t="s">
        <v>39</v>
      </c>
    </row>
    <row r="107" spans="1:8" ht="27" customHeight="1" x14ac:dyDescent="0.25">
      <c r="A107" s="9" t="str">
        <f t="shared" ref="A107:A112" si="27">A106</f>
        <v>ЩУР.МОП1-3</v>
      </c>
      <c r="B107" s="7" t="s">
        <v>8</v>
      </c>
      <c r="C107" s="8" t="s">
        <v>27</v>
      </c>
      <c r="D107" s="7" t="s">
        <v>28</v>
      </c>
      <c r="E107" s="9">
        <v>1</v>
      </c>
      <c r="F107" s="10" t="s">
        <v>9</v>
      </c>
      <c r="G107" s="7" t="s">
        <v>10</v>
      </c>
      <c r="H107" s="9" t="str">
        <f t="shared" ref="H107:H112" si="28">H106</f>
        <v>Блок3</v>
      </c>
    </row>
    <row r="108" spans="1:8" ht="27" customHeight="1" x14ac:dyDescent="0.25">
      <c r="A108" s="9" t="str">
        <f t="shared" si="27"/>
        <v>ЩУР.МОП1-3</v>
      </c>
      <c r="B108" s="7" t="s">
        <v>237</v>
      </c>
      <c r="C108" s="8" t="s">
        <v>145</v>
      </c>
      <c r="D108" s="7" t="s">
        <v>146</v>
      </c>
      <c r="E108" s="9">
        <v>1</v>
      </c>
      <c r="F108" s="10" t="s">
        <v>9</v>
      </c>
      <c r="G108" s="7" t="s">
        <v>157</v>
      </c>
      <c r="H108" s="9" t="str">
        <f t="shared" si="28"/>
        <v>Блок3</v>
      </c>
    </row>
    <row r="109" spans="1:8" ht="27" customHeight="1" x14ac:dyDescent="0.25">
      <c r="A109" s="9" t="str">
        <f t="shared" si="27"/>
        <v>ЩУР.МОП1-3</v>
      </c>
      <c r="B109" s="7" t="s">
        <v>237</v>
      </c>
      <c r="C109" s="8" t="s">
        <v>151</v>
      </c>
      <c r="D109" s="7" t="s">
        <v>152</v>
      </c>
      <c r="E109" s="9">
        <v>2</v>
      </c>
      <c r="F109" s="10" t="s">
        <v>9</v>
      </c>
      <c r="G109" s="7" t="s">
        <v>157</v>
      </c>
      <c r="H109" s="9" t="str">
        <f t="shared" si="28"/>
        <v>Блок3</v>
      </c>
    </row>
    <row r="110" spans="1:8" ht="27" customHeight="1" x14ac:dyDescent="0.25">
      <c r="A110" s="9" t="str">
        <f t="shared" si="27"/>
        <v>ЩУР.МОП1-3</v>
      </c>
      <c r="B110" s="7" t="s">
        <v>237</v>
      </c>
      <c r="C110" s="8" t="s">
        <v>143</v>
      </c>
      <c r="D110" s="7" t="s">
        <v>144</v>
      </c>
      <c r="E110" s="9">
        <v>2</v>
      </c>
      <c r="F110" s="10" t="s">
        <v>9</v>
      </c>
      <c r="G110" s="7" t="s">
        <v>157</v>
      </c>
      <c r="H110" s="9" t="str">
        <f t="shared" si="28"/>
        <v>Блок3</v>
      </c>
    </row>
    <row r="111" spans="1:8" ht="27" customHeight="1" x14ac:dyDescent="0.25">
      <c r="A111" s="9" t="str">
        <f t="shared" si="27"/>
        <v>ЩУР.МОП1-3</v>
      </c>
      <c r="B111" s="7" t="s">
        <v>12</v>
      </c>
      <c r="C111" s="8" t="s">
        <v>243</v>
      </c>
      <c r="D111" s="7" t="s">
        <v>244</v>
      </c>
      <c r="E111" s="9">
        <v>1</v>
      </c>
      <c r="F111" s="10" t="s">
        <v>9</v>
      </c>
      <c r="G111" s="7" t="s">
        <v>13</v>
      </c>
      <c r="H111" s="9" t="str">
        <f t="shared" si="28"/>
        <v>Блок3</v>
      </c>
    </row>
    <row r="112" spans="1:8" ht="27" customHeight="1" x14ac:dyDescent="0.25">
      <c r="A112" s="7" t="str">
        <f t="shared" si="27"/>
        <v>ЩУР.МОП1-3</v>
      </c>
      <c r="B112" s="7" t="s">
        <v>15</v>
      </c>
      <c r="C112" s="8" t="s">
        <v>15</v>
      </c>
      <c r="D112" s="7" t="s">
        <v>15</v>
      </c>
      <c r="E112" s="7">
        <v>1</v>
      </c>
      <c r="F112" s="7" t="s">
        <v>9</v>
      </c>
      <c r="G112" s="7" t="s">
        <v>15</v>
      </c>
      <c r="H112" s="9" t="str">
        <f t="shared" si="28"/>
        <v>Блок3</v>
      </c>
    </row>
    <row r="113" spans="1:8" ht="27" customHeight="1" x14ac:dyDescent="0.25">
      <c r="A113" s="5" t="str">
        <f>D113</f>
        <v>ЩУР.МОП2-3</v>
      </c>
      <c r="B113" s="3"/>
      <c r="C113" s="4" t="str">
        <f>VLOOKUP(D113,[1]Sayfa2!$A:$F,2,0)</f>
        <v>989-090-0602</v>
      </c>
      <c r="D113" s="3" t="s">
        <v>43</v>
      </c>
      <c r="E113" s="5">
        <v>1</v>
      </c>
      <c r="F113" s="6" t="s">
        <v>6</v>
      </c>
      <c r="G113" s="3" t="s">
        <v>7</v>
      </c>
      <c r="H113" s="5" t="s">
        <v>39</v>
      </c>
    </row>
    <row r="114" spans="1:8" ht="27" customHeight="1" x14ac:dyDescent="0.25">
      <c r="A114" s="9" t="str">
        <f t="shared" ref="A114:A119" si="29">A113</f>
        <v>ЩУР.МОП2-3</v>
      </c>
      <c r="B114" s="7" t="s">
        <v>8</v>
      </c>
      <c r="C114" s="8" t="s">
        <v>27</v>
      </c>
      <c r="D114" s="7" t="s">
        <v>28</v>
      </c>
      <c r="E114" s="9">
        <v>1</v>
      </c>
      <c r="F114" s="10" t="s">
        <v>9</v>
      </c>
      <c r="G114" s="7" t="s">
        <v>10</v>
      </c>
      <c r="H114" s="9" t="str">
        <f t="shared" ref="H114:H119" si="30">H113</f>
        <v>Блок3</v>
      </c>
    </row>
    <row r="115" spans="1:8" ht="27" customHeight="1" x14ac:dyDescent="0.25">
      <c r="A115" s="9" t="str">
        <f t="shared" si="29"/>
        <v>ЩУР.МОП2-3</v>
      </c>
      <c r="B115" s="7" t="s">
        <v>237</v>
      </c>
      <c r="C115" s="8" t="s">
        <v>145</v>
      </c>
      <c r="D115" s="7" t="s">
        <v>146</v>
      </c>
      <c r="E115" s="9">
        <v>1</v>
      </c>
      <c r="F115" s="10" t="s">
        <v>9</v>
      </c>
      <c r="G115" s="7" t="s">
        <v>157</v>
      </c>
      <c r="H115" s="9" t="str">
        <f t="shared" si="30"/>
        <v>Блок3</v>
      </c>
    </row>
    <row r="116" spans="1:8" ht="27" customHeight="1" x14ac:dyDescent="0.25">
      <c r="A116" s="9" t="str">
        <f t="shared" si="29"/>
        <v>ЩУР.МОП2-3</v>
      </c>
      <c r="B116" s="7" t="s">
        <v>237</v>
      </c>
      <c r="C116" s="8" t="s">
        <v>151</v>
      </c>
      <c r="D116" s="7" t="s">
        <v>152</v>
      </c>
      <c r="E116" s="9">
        <v>2</v>
      </c>
      <c r="F116" s="10" t="s">
        <v>9</v>
      </c>
      <c r="G116" s="7" t="s">
        <v>157</v>
      </c>
      <c r="H116" s="9" t="str">
        <f t="shared" si="30"/>
        <v>Блок3</v>
      </c>
    </row>
    <row r="117" spans="1:8" ht="27" customHeight="1" x14ac:dyDescent="0.25">
      <c r="A117" s="9" t="str">
        <f t="shared" si="29"/>
        <v>ЩУР.МОП2-3</v>
      </c>
      <c r="B117" s="7" t="s">
        <v>237</v>
      </c>
      <c r="C117" s="8" t="s">
        <v>143</v>
      </c>
      <c r="D117" s="7" t="s">
        <v>144</v>
      </c>
      <c r="E117" s="9">
        <v>2</v>
      </c>
      <c r="F117" s="10" t="s">
        <v>9</v>
      </c>
      <c r="G117" s="7" t="s">
        <v>157</v>
      </c>
      <c r="H117" s="9" t="str">
        <f t="shared" si="30"/>
        <v>Блок3</v>
      </c>
    </row>
    <row r="118" spans="1:8" ht="27" customHeight="1" x14ac:dyDescent="0.25">
      <c r="A118" s="9" t="str">
        <f t="shared" si="29"/>
        <v>ЩУР.МОП2-3</v>
      </c>
      <c r="B118" s="7" t="s">
        <v>12</v>
      </c>
      <c r="C118" s="8" t="s">
        <v>243</v>
      </c>
      <c r="D118" s="7" t="s">
        <v>244</v>
      </c>
      <c r="E118" s="9">
        <v>1</v>
      </c>
      <c r="F118" s="10" t="s">
        <v>9</v>
      </c>
      <c r="G118" s="7" t="s">
        <v>13</v>
      </c>
      <c r="H118" s="9" t="str">
        <f t="shared" si="30"/>
        <v>Блок3</v>
      </c>
    </row>
    <row r="119" spans="1:8" ht="27" customHeight="1" x14ac:dyDescent="0.25">
      <c r="A119" s="7" t="str">
        <f t="shared" si="29"/>
        <v>ЩУР.МОП2-3</v>
      </c>
      <c r="B119" s="7" t="s">
        <v>15</v>
      </c>
      <c r="C119" s="8" t="s">
        <v>15</v>
      </c>
      <c r="D119" s="7" t="s">
        <v>15</v>
      </c>
      <c r="E119" s="7">
        <v>1</v>
      </c>
      <c r="F119" s="7" t="s">
        <v>9</v>
      </c>
      <c r="G119" s="7" t="s">
        <v>15</v>
      </c>
      <c r="H119" s="9" t="str">
        <f t="shared" si="30"/>
        <v>Блок3</v>
      </c>
    </row>
    <row r="120" spans="1:8" ht="27" customHeight="1" x14ac:dyDescent="0.25">
      <c r="A120" s="5" t="str">
        <f>D120</f>
        <v>РЩ1-3 (АВР-Б-40-2-1)</v>
      </c>
      <c r="B120" s="3"/>
      <c r="C120" s="4" t="str">
        <f>VLOOKUP(D120,[1]Sayfa2!$A:$F,2,0)</f>
        <v>989-090-0603</v>
      </c>
      <c r="D120" s="3" t="s">
        <v>101</v>
      </c>
      <c r="E120" s="5">
        <v>1</v>
      </c>
      <c r="F120" s="6" t="s">
        <v>6</v>
      </c>
      <c r="G120" s="3" t="s">
        <v>7</v>
      </c>
      <c r="H120" s="5" t="s">
        <v>39</v>
      </c>
    </row>
    <row r="121" spans="1:8" ht="27" customHeight="1" x14ac:dyDescent="0.25">
      <c r="A121" s="9" t="str">
        <f t="shared" ref="A121:A130" si="31">A120</f>
        <v>РЩ1-3 (АВР-Б-40-2-1)</v>
      </c>
      <c r="B121" s="7" t="s">
        <v>8</v>
      </c>
      <c r="C121" s="8" t="s">
        <v>129</v>
      </c>
      <c r="D121" s="7" t="s">
        <v>130</v>
      </c>
      <c r="E121" s="9">
        <v>1</v>
      </c>
      <c r="F121" s="10" t="s">
        <v>9</v>
      </c>
      <c r="G121" s="7" t="s">
        <v>10</v>
      </c>
      <c r="H121" s="9" t="str">
        <f t="shared" ref="H121:H130" si="32">H120</f>
        <v>Блок3</v>
      </c>
    </row>
    <row r="122" spans="1:8" ht="27" customHeight="1" x14ac:dyDescent="0.25">
      <c r="A122" s="9" t="str">
        <f t="shared" si="31"/>
        <v>РЩ1-3 (АВР-Б-40-2-1)</v>
      </c>
      <c r="B122" s="7" t="s">
        <v>29</v>
      </c>
      <c r="C122" s="8" t="s">
        <v>187</v>
      </c>
      <c r="D122" s="7" t="s">
        <v>188</v>
      </c>
      <c r="E122" s="9">
        <v>1</v>
      </c>
      <c r="F122" s="10" t="s">
        <v>9</v>
      </c>
      <c r="G122" s="7" t="s">
        <v>11</v>
      </c>
      <c r="H122" s="9" t="str">
        <f t="shared" si="32"/>
        <v>Блок3</v>
      </c>
    </row>
    <row r="123" spans="1:8" ht="27" customHeight="1" x14ac:dyDescent="0.25">
      <c r="A123" s="9" t="str">
        <f t="shared" si="31"/>
        <v>РЩ1-3 (АВР-Б-40-2-1)</v>
      </c>
      <c r="B123" s="7" t="s">
        <v>237</v>
      </c>
      <c r="C123" s="8" t="s">
        <v>163</v>
      </c>
      <c r="D123" s="7" t="s">
        <v>164</v>
      </c>
      <c r="E123" s="9">
        <v>2</v>
      </c>
      <c r="F123" s="10" t="s">
        <v>9</v>
      </c>
      <c r="G123" s="7" t="s">
        <v>157</v>
      </c>
      <c r="H123" s="9" t="str">
        <f t="shared" si="32"/>
        <v>Блок3</v>
      </c>
    </row>
    <row r="124" spans="1:8" ht="27" customHeight="1" x14ac:dyDescent="0.25">
      <c r="A124" s="9" t="str">
        <f t="shared" si="31"/>
        <v>РЩ1-3 (АВР-Б-40-2-1)</v>
      </c>
      <c r="B124" s="7" t="s">
        <v>237</v>
      </c>
      <c r="C124" s="8" t="s">
        <v>181</v>
      </c>
      <c r="D124" s="7" t="s">
        <v>182</v>
      </c>
      <c r="E124" s="9">
        <v>2</v>
      </c>
      <c r="F124" s="10" t="s">
        <v>9</v>
      </c>
      <c r="G124" s="7" t="s">
        <v>157</v>
      </c>
      <c r="H124" s="9" t="str">
        <f t="shared" si="32"/>
        <v>Блок3</v>
      </c>
    </row>
    <row r="125" spans="1:8" ht="27" customHeight="1" x14ac:dyDescent="0.25">
      <c r="A125" s="9" t="str">
        <f t="shared" si="31"/>
        <v>РЩ1-3 (АВР-Б-40-2-1)</v>
      </c>
      <c r="B125" s="7" t="s">
        <v>238</v>
      </c>
      <c r="C125" s="8" t="s">
        <v>153</v>
      </c>
      <c r="D125" s="7" t="s">
        <v>154</v>
      </c>
      <c r="E125" s="9">
        <v>2</v>
      </c>
      <c r="F125" s="10" t="s">
        <v>9</v>
      </c>
      <c r="G125" s="7" t="s">
        <v>157</v>
      </c>
      <c r="H125" s="9" t="str">
        <f t="shared" si="32"/>
        <v>Блок3</v>
      </c>
    </row>
    <row r="126" spans="1:8" ht="27" customHeight="1" x14ac:dyDescent="0.25">
      <c r="A126" s="9" t="str">
        <f t="shared" si="31"/>
        <v>РЩ1-3 (АВР-Б-40-2-1)</v>
      </c>
      <c r="B126" s="7" t="s">
        <v>14</v>
      </c>
      <c r="C126" s="8" t="s">
        <v>183</v>
      </c>
      <c r="D126" s="7" t="s">
        <v>184</v>
      </c>
      <c r="E126" s="9">
        <v>1</v>
      </c>
      <c r="F126" s="10" t="s">
        <v>9</v>
      </c>
      <c r="G126" s="7" t="s">
        <v>11</v>
      </c>
      <c r="H126" s="9" t="str">
        <f t="shared" si="32"/>
        <v>Блок3</v>
      </c>
    </row>
    <row r="127" spans="1:8" ht="27" customHeight="1" x14ac:dyDescent="0.25">
      <c r="A127" s="9" t="str">
        <f t="shared" si="31"/>
        <v>РЩ1-3 (АВР-Б-40-2-1)</v>
      </c>
      <c r="B127" s="7" t="s">
        <v>237</v>
      </c>
      <c r="C127" s="8" t="s">
        <v>155</v>
      </c>
      <c r="D127" s="7" t="s">
        <v>156</v>
      </c>
      <c r="E127" s="9">
        <v>1</v>
      </c>
      <c r="F127" s="10" t="s">
        <v>9</v>
      </c>
      <c r="G127" s="7" t="s">
        <v>157</v>
      </c>
      <c r="H127" s="9" t="str">
        <f t="shared" si="32"/>
        <v>Блок3</v>
      </c>
    </row>
    <row r="128" spans="1:8" ht="27" customHeight="1" x14ac:dyDescent="0.25">
      <c r="A128" s="9" t="str">
        <f t="shared" si="31"/>
        <v>РЩ1-3 (АВР-Б-40-2-1)</v>
      </c>
      <c r="B128" s="7" t="s">
        <v>12</v>
      </c>
      <c r="C128" s="8" t="s">
        <v>243</v>
      </c>
      <c r="D128" s="7" t="s">
        <v>244</v>
      </c>
      <c r="E128" s="9">
        <v>1</v>
      </c>
      <c r="F128" s="10" t="s">
        <v>9</v>
      </c>
      <c r="G128" s="7" t="s">
        <v>13</v>
      </c>
      <c r="H128" s="9" t="str">
        <f t="shared" si="32"/>
        <v>Блок3</v>
      </c>
    </row>
    <row r="129" spans="1:8" ht="27" customHeight="1" x14ac:dyDescent="0.25">
      <c r="A129" s="9" t="str">
        <f t="shared" si="31"/>
        <v>РЩ1-3 (АВР-Б-40-2-1)</v>
      </c>
      <c r="B129" s="7" t="s">
        <v>22</v>
      </c>
      <c r="C129" s="8"/>
      <c r="D129" s="7" t="s">
        <v>23</v>
      </c>
      <c r="E129" s="9">
        <v>6</v>
      </c>
      <c r="F129" s="10" t="s">
        <v>9</v>
      </c>
      <c r="G129" s="7" t="s">
        <v>19</v>
      </c>
      <c r="H129" s="9" t="str">
        <f t="shared" si="32"/>
        <v>Блок3</v>
      </c>
    </row>
    <row r="130" spans="1:8" ht="27" customHeight="1" x14ac:dyDescent="0.25">
      <c r="A130" s="7" t="str">
        <f t="shared" si="31"/>
        <v>РЩ1-3 (АВР-Б-40-2-1)</v>
      </c>
      <c r="B130" s="7" t="s">
        <v>15</v>
      </c>
      <c r="C130" s="8" t="s">
        <v>15</v>
      </c>
      <c r="D130" s="7" t="s">
        <v>15</v>
      </c>
      <c r="E130" s="7">
        <v>1</v>
      </c>
      <c r="F130" s="7" t="s">
        <v>9</v>
      </c>
      <c r="G130" s="7" t="s">
        <v>15</v>
      </c>
      <c r="H130" s="9" t="str">
        <f t="shared" si="32"/>
        <v>Блок3</v>
      </c>
    </row>
    <row r="131" spans="1:8" ht="27" customHeight="1" x14ac:dyDescent="0.25">
      <c r="A131" s="5" t="str">
        <f>D131</f>
        <v>РЩ2-3 (АВР-Б-40-2-1)</v>
      </c>
      <c r="B131" s="3"/>
      <c r="C131" s="4" t="str">
        <f>VLOOKUP(D131,[1]Sayfa2!$A:$F,2,0)</f>
        <v>989-090-0604</v>
      </c>
      <c r="D131" s="3" t="s">
        <v>102</v>
      </c>
      <c r="E131" s="5">
        <v>1</v>
      </c>
      <c r="F131" s="6" t="s">
        <v>6</v>
      </c>
      <c r="G131" s="3" t="s">
        <v>7</v>
      </c>
      <c r="H131" s="5" t="s">
        <v>39</v>
      </c>
    </row>
    <row r="132" spans="1:8" ht="27" customHeight="1" x14ac:dyDescent="0.25">
      <c r="A132" s="9" t="str">
        <f t="shared" ref="A132:A141" si="33">A131</f>
        <v>РЩ2-3 (АВР-Б-40-2-1)</v>
      </c>
      <c r="B132" s="7" t="s">
        <v>8</v>
      </c>
      <c r="C132" s="8" t="s">
        <v>129</v>
      </c>
      <c r="D132" s="7" t="s">
        <v>130</v>
      </c>
      <c r="E132" s="9">
        <v>1</v>
      </c>
      <c r="F132" s="10" t="s">
        <v>9</v>
      </c>
      <c r="G132" s="7" t="s">
        <v>10</v>
      </c>
      <c r="H132" s="9" t="str">
        <f t="shared" ref="H132:H141" si="34">H131</f>
        <v>Блок3</v>
      </c>
    </row>
    <row r="133" spans="1:8" ht="27" customHeight="1" x14ac:dyDescent="0.25">
      <c r="A133" s="9" t="str">
        <f t="shared" si="33"/>
        <v>РЩ2-3 (АВР-Б-40-2-1)</v>
      </c>
      <c r="B133" s="7" t="s">
        <v>29</v>
      </c>
      <c r="C133" s="8" t="s">
        <v>187</v>
      </c>
      <c r="D133" s="7" t="s">
        <v>188</v>
      </c>
      <c r="E133" s="9">
        <v>1</v>
      </c>
      <c r="F133" s="10" t="s">
        <v>9</v>
      </c>
      <c r="G133" s="7" t="s">
        <v>11</v>
      </c>
      <c r="H133" s="9" t="str">
        <f t="shared" si="34"/>
        <v>Блок3</v>
      </c>
    </row>
    <row r="134" spans="1:8" ht="27" customHeight="1" x14ac:dyDescent="0.25">
      <c r="A134" s="9" t="str">
        <f t="shared" si="33"/>
        <v>РЩ2-3 (АВР-Б-40-2-1)</v>
      </c>
      <c r="B134" s="7" t="s">
        <v>237</v>
      </c>
      <c r="C134" s="8" t="s">
        <v>163</v>
      </c>
      <c r="D134" s="7" t="s">
        <v>164</v>
      </c>
      <c r="E134" s="9">
        <v>2</v>
      </c>
      <c r="F134" s="10" t="s">
        <v>9</v>
      </c>
      <c r="G134" s="7" t="s">
        <v>157</v>
      </c>
      <c r="H134" s="9" t="str">
        <f t="shared" si="34"/>
        <v>Блок3</v>
      </c>
    </row>
    <row r="135" spans="1:8" ht="27" customHeight="1" x14ac:dyDescent="0.25">
      <c r="A135" s="9" t="str">
        <f t="shared" si="33"/>
        <v>РЩ2-3 (АВР-Б-40-2-1)</v>
      </c>
      <c r="B135" s="7" t="s">
        <v>237</v>
      </c>
      <c r="C135" s="8" t="s">
        <v>181</v>
      </c>
      <c r="D135" s="7" t="s">
        <v>182</v>
      </c>
      <c r="E135" s="9">
        <v>2</v>
      </c>
      <c r="F135" s="10" t="s">
        <v>9</v>
      </c>
      <c r="G135" s="7" t="s">
        <v>157</v>
      </c>
      <c r="H135" s="9" t="str">
        <f t="shared" si="34"/>
        <v>Блок3</v>
      </c>
    </row>
    <row r="136" spans="1:8" ht="27" customHeight="1" x14ac:dyDescent="0.25">
      <c r="A136" s="9" t="str">
        <f t="shared" si="33"/>
        <v>РЩ2-3 (АВР-Б-40-2-1)</v>
      </c>
      <c r="B136" s="7" t="s">
        <v>238</v>
      </c>
      <c r="C136" s="8" t="s">
        <v>153</v>
      </c>
      <c r="D136" s="7" t="s">
        <v>154</v>
      </c>
      <c r="E136" s="9">
        <v>2</v>
      </c>
      <c r="F136" s="10" t="s">
        <v>9</v>
      </c>
      <c r="G136" s="7" t="s">
        <v>157</v>
      </c>
      <c r="H136" s="9" t="str">
        <f t="shared" si="34"/>
        <v>Блок3</v>
      </c>
    </row>
    <row r="137" spans="1:8" ht="27" customHeight="1" x14ac:dyDescent="0.25">
      <c r="A137" s="9" t="str">
        <f t="shared" si="33"/>
        <v>РЩ2-3 (АВР-Б-40-2-1)</v>
      </c>
      <c r="B137" s="7" t="s">
        <v>14</v>
      </c>
      <c r="C137" s="8" t="s">
        <v>183</v>
      </c>
      <c r="D137" s="7" t="s">
        <v>184</v>
      </c>
      <c r="E137" s="9">
        <v>1</v>
      </c>
      <c r="F137" s="10" t="s">
        <v>9</v>
      </c>
      <c r="G137" s="7" t="s">
        <v>11</v>
      </c>
      <c r="H137" s="9" t="str">
        <f t="shared" si="34"/>
        <v>Блок3</v>
      </c>
    </row>
    <row r="138" spans="1:8" ht="27" customHeight="1" x14ac:dyDescent="0.25">
      <c r="A138" s="9" t="str">
        <f t="shared" si="33"/>
        <v>РЩ2-3 (АВР-Б-40-2-1)</v>
      </c>
      <c r="B138" s="7" t="s">
        <v>237</v>
      </c>
      <c r="C138" s="8" t="s">
        <v>155</v>
      </c>
      <c r="D138" s="7" t="s">
        <v>156</v>
      </c>
      <c r="E138" s="9">
        <v>1</v>
      </c>
      <c r="F138" s="10" t="s">
        <v>9</v>
      </c>
      <c r="G138" s="7" t="s">
        <v>157</v>
      </c>
      <c r="H138" s="9" t="str">
        <f t="shared" si="34"/>
        <v>Блок3</v>
      </c>
    </row>
    <row r="139" spans="1:8" ht="27" customHeight="1" x14ac:dyDescent="0.25">
      <c r="A139" s="9" t="str">
        <f t="shared" si="33"/>
        <v>РЩ2-3 (АВР-Б-40-2-1)</v>
      </c>
      <c r="B139" s="7" t="s">
        <v>12</v>
      </c>
      <c r="C139" s="8" t="s">
        <v>243</v>
      </c>
      <c r="D139" s="7" t="s">
        <v>244</v>
      </c>
      <c r="E139" s="9">
        <v>1</v>
      </c>
      <c r="F139" s="10" t="s">
        <v>9</v>
      </c>
      <c r="G139" s="7" t="s">
        <v>13</v>
      </c>
      <c r="H139" s="9" t="str">
        <f t="shared" si="34"/>
        <v>Блок3</v>
      </c>
    </row>
    <row r="140" spans="1:8" ht="27" customHeight="1" x14ac:dyDescent="0.25">
      <c r="A140" s="9" t="str">
        <f t="shared" si="33"/>
        <v>РЩ2-3 (АВР-Б-40-2-1)</v>
      </c>
      <c r="B140" s="7" t="s">
        <v>22</v>
      </c>
      <c r="C140" s="8"/>
      <c r="D140" s="7" t="s">
        <v>23</v>
      </c>
      <c r="E140" s="9">
        <v>6</v>
      </c>
      <c r="F140" s="10" t="s">
        <v>9</v>
      </c>
      <c r="G140" s="7" t="s">
        <v>19</v>
      </c>
      <c r="H140" s="9" t="str">
        <f t="shared" si="34"/>
        <v>Блок3</v>
      </c>
    </row>
    <row r="141" spans="1:8" ht="27" customHeight="1" x14ac:dyDescent="0.25">
      <c r="A141" s="7" t="str">
        <f t="shared" si="33"/>
        <v>РЩ2-3 (АВР-Б-40-2-1)</v>
      </c>
      <c r="B141" s="7" t="s">
        <v>15</v>
      </c>
      <c r="C141" s="8" t="s">
        <v>15</v>
      </c>
      <c r="D141" s="7" t="s">
        <v>15</v>
      </c>
      <c r="E141" s="7">
        <v>1</v>
      </c>
      <c r="F141" s="7" t="s">
        <v>9</v>
      </c>
      <c r="G141" s="7" t="s">
        <v>15</v>
      </c>
      <c r="H141" s="9" t="str">
        <f t="shared" si="34"/>
        <v>Блок3</v>
      </c>
    </row>
    <row r="142" spans="1:8" ht="27" customHeight="1" x14ac:dyDescent="0.25">
      <c r="A142" s="5" t="str">
        <f>D142</f>
        <v>ВРУ1-4</v>
      </c>
      <c r="B142" s="3"/>
      <c r="C142" s="4" t="str">
        <f>VLOOKUP(D142,[1]Sayfa2!$A:$F,2,0)</f>
        <v>989-090-0605</v>
      </c>
      <c r="D142" s="3" t="s">
        <v>44</v>
      </c>
      <c r="E142" s="5">
        <v>1</v>
      </c>
      <c r="F142" s="6" t="s">
        <v>6</v>
      </c>
      <c r="G142" s="3" t="s">
        <v>7</v>
      </c>
      <c r="H142" s="5" t="s">
        <v>45</v>
      </c>
    </row>
    <row r="143" spans="1:8" ht="27" customHeight="1" x14ac:dyDescent="0.25">
      <c r="A143" s="9" t="str">
        <f t="shared" ref="A143:A151" si="35">A142</f>
        <v>ВРУ1-4</v>
      </c>
      <c r="B143" s="7" t="s">
        <v>8</v>
      </c>
      <c r="C143" s="8" t="s">
        <v>133</v>
      </c>
      <c r="D143" s="7" t="s">
        <v>134</v>
      </c>
      <c r="E143" s="9">
        <v>1</v>
      </c>
      <c r="F143" s="10" t="s">
        <v>9</v>
      </c>
      <c r="G143" s="7" t="s">
        <v>10</v>
      </c>
      <c r="H143" s="9" t="str">
        <f t="shared" ref="H143:H145" si="36">H142</f>
        <v>Блок4</v>
      </c>
    </row>
    <row r="144" spans="1:8" ht="27" customHeight="1" x14ac:dyDescent="0.25">
      <c r="A144" s="9" t="str">
        <f t="shared" si="35"/>
        <v>ВРУ1-4</v>
      </c>
      <c r="B144" s="7" t="s">
        <v>18</v>
      </c>
      <c r="C144" s="8" t="s">
        <v>251</v>
      </c>
      <c r="D144" s="7" t="s">
        <v>252</v>
      </c>
      <c r="E144" s="9">
        <v>6</v>
      </c>
      <c r="F144" s="10" t="s">
        <v>9</v>
      </c>
      <c r="G144" s="7" t="s">
        <v>19</v>
      </c>
      <c r="H144" s="9" t="str">
        <f t="shared" si="36"/>
        <v>Блок4</v>
      </c>
    </row>
    <row r="145" spans="1:8" ht="27" customHeight="1" x14ac:dyDescent="0.25">
      <c r="A145" s="9" t="str">
        <f t="shared" si="35"/>
        <v>ВРУ1-4</v>
      </c>
      <c r="B145" s="7" t="s">
        <v>20</v>
      </c>
      <c r="C145" s="8" t="s">
        <v>135</v>
      </c>
      <c r="D145" s="7" t="s">
        <v>136</v>
      </c>
      <c r="E145" s="9">
        <v>2</v>
      </c>
      <c r="F145" s="10" t="s">
        <v>9</v>
      </c>
      <c r="G145" s="7" t="s">
        <v>19</v>
      </c>
      <c r="H145" s="9" t="str">
        <f t="shared" si="36"/>
        <v>Блок4</v>
      </c>
    </row>
    <row r="146" spans="1:8" ht="27" customHeight="1" x14ac:dyDescent="0.25">
      <c r="A146" s="9" t="str">
        <f t="shared" si="35"/>
        <v>ВРУ1-4</v>
      </c>
      <c r="B146" s="7" t="s">
        <v>94</v>
      </c>
      <c r="C146" s="8" t="s">
        <v>97</v>
      </c>
      <c r="D146" s="7" t="s">
        <v>98</v>
      </c>
      <c r="E146" s="9">
        <v>6</v>
      </c>
      <c r="F146" s="10" t="s">
        <v>9</v>
      </c>
      <c r="G146" s="7" t="s">
        <v>11</v>
      </c>
      <c r="H146" s="9" t="str">
        <f>H144</f>
        <v>Блок4</v>
      </c>
    </row>
    <row r="147" spans="1:8" ht="27" customHeight="1" x14ac:dyDescent="0.25">
      <c r="A147" s="9" t="str">
        <f t="shared" si="35"/>
        <v>ВРУ1-4</v>
      </c>
      <c r="B147" s="7" t="s">
        <v>93</v>
      </c>
      <c r="C147" s="8" t="s">
        <v>95</v>
      </c>
      <c r="D147" s="7" t="s">
        <v>96</v>
      </c>
      <c r="E147" s="9">
        <v>6</v>
      </c>
      <c r="F147" s="10" t="s">
        <v>9</v>
      </c>
      <c r="G147" s="7" t="s">
        <v>11</v>
      </c>
      <c r="H147" s="9" t="str">
        <f t="shared" ref="H147:H151" si="37">H145</f>
        <v>Блок4</v>
      </c>
    </row>
    <row r="148" spans="1:8" ht="27" customHeight="1" x14ac:dyDescent="0.25">
      <c r="A148" s="9" t="str">
        <f t="shared" si="35"/>
        <v>ВРУ1-4</v>
      </c>
      <c r="B148" s="7" t="s">
        <v>237</v>
      </c>
      <c r="C148" s="8" t="s">
        <v>139</v>
      </c>
      <c r="D148" s="7" t="s">
        <v>140</v>
      </c>
      <c r="E148" s="9">
        <v>2</v>
      </c>
      <c r="F148" s="10" t="s">
        <v>9</v>
      </c>
      <c r="G148" s="7" t="s">
        <v>157</v>
      </c>
      <c r="H148" s="9" t="str">
        <f t="shared" si="37"/>
        <v>Блок4</v>
      </c>
    </row>
    <row r="149" spans="1:8" ht="27" customHeight="1" x14ac:dyDescent="0.25">
      <c r="A149" s="9" t="str">
        <f t="shared" si="35"/>
        <v>ВРУ1-4</v>
      </c>
      <c r="B149" s="7" t="s">
        <v>12</v>
      </c>
      <c r="C149" s="8" t="s">
        <v>241</v>
      </c>
      <c r="D149" s="11" t="s">
        <v>242</v>
      </c>
      <c r="E149" s="9">
        <v>2</v>
      </c>
      <c r="F149" s="10" t="s">
        <v>9</v>
      </c>
      <c r="G149" s="7" t="s">
        <v>13</v>
      </c>
      <c r="H149" s="9" t="str">
        <f t="shared" si="37"/>
        <v>Блок4</v>
      </c>
    </row>
    <row r="150" spans="1:8" ht="27" customHeight="1" x14ac:dyDescent="0.25">
      <c r="A150" s="9" t="str">
        <f t="shared" si="35"/>
        <v>ВРУ1-4</v>
      </c>
      <c r="B150" s="7" t="s">
        <v>22</v>
      </c>
      <c r="C150" s="8"/>
      <c r="D150" s="7" t="s">
        <v>23</v>
      </c>
      <c r="E150" s="9">
        <v>6</v>
      </c>
      <c r="F150" s="10" t="s">
        <v>9</v>
      </c>
      <c r="G150" s="7" t="s">
        <v>19</v>
      </c>
      <c r="H150" s="9" t="str">
        <f t="shared" si="37"/>
        <v>Блок4</v>
      </c>
    </row>
    <row r="151" spans="1:8" ht="27" customHeight="1" x14ac:dyDescent="0.25">
      <c r="A151" s="7" t="str">
        <f t="shared" si="35"/>
        <v>ВРУ1-4</v>
      </c>
      <c r="B151" s="7" t="s">
        <v>15</v>
      </c>
      <c r="C151" s="8" t="s">
        <v>15</v>
      </c>
      <c r="D151" s="7" t="s">
        <v>15</v>
      </c>
      <c r="E151" s="7">
        <v>1</v>
      </c>
      <c r="F151" s="7" t="s">
        <v>9</v>
      </c>
      <c r="G151" s="7" t="s">
        <v>15</v>
      </c>
      <c r="H151" s="9" t="str">
        <f t="shared" si="37"/>
        <v>Блок4</v>
      </c>
    </row>
    <row r="152" spans="1:8" ht="27" customHeight="1" x14ac:dyDescent="0.25">
      <c r="A152" s="5" t="str">
        <f>D152</f>
        <v>РУ-1-4</v>
      </c>
      <c r="B152" s="3"/>
      <c r="C152" s="4" t="str">
        <f>VLOOKUP(D152,[1]Sayfa2!$A:$F,2,0)</f>
        <v>989-090-0606</v>
      </c>
      <c r="D152" s="3" t="s">
        <v>46</v>
      </c>
      <c r="E152" s="5">
        <v>1</v>
      </c>
      <c r="F152" s="6" t="s">
        <v>6</v>
      </c>
      <c r="G152" s="3" t="s">
        <v>7</v>
      </c>
      <c r="H152" s="5" t="s">
        <v>45</v>
      </c>
    </row>
    <row r="153" spans="1:8" ht="27" customHeight="1" x14ac:dyDescent="0.25">
      <c r="A153" s="9" t="str">
        <f t="shared" ref="A153:A158" si="38">A152</f>
        <v>РУ-1-4</v>
      </c>
      <c r="B153" s="7" t="s">
        <v>8</v>
      </c>
      <c r="C153" s="8" t="s">
        <v>131</v>
      </c>
      <c r="D153" s="7" t="s">
        <v>132</v>
      </c>
      <c r="E153" s="9">
        <v>1</v>
      </c>
      <c r="F153" s="10" t="s">
        <v>9</v>
      </c>
      <c r="G153" s="7" t="s">
        <v>10</v>
      </c>
      <c r="H153" s="9" t="str">
        <f>H152</f>
        <v>Блок4</v>
      </c>
    </row>
    <row r="154" spans="1:8" ht="27" customHeight="1" x14ac:dyDescent="0.25">
      <c r="A154" s="9" t="str">
        <f t="shared" si="38"/>
        <v>РУ-1-4</v>
      </c>
      <c r="B154" s="7" t="s">
        <v>238</v>
      </c>
      <c r="C154" s="8" t="s">
        <v>179</v>
      </c>
      <c r="D154" s="7" t="s">
        <v>180</v>
      </c>
      <c r="E154" s="9">
        <v>1</v>
      </c>
      <c r="F154" s="10" t="s">
        <v>9</v>
      </c>
      <c r="G154" s="7" t="s">
        <v>11</v>
      </c>
      <c r="H154" s="9" t="str">
        <f>H153</f>
        <v>Блок4</v>
      </c>
    </row>
    <row r="155" spans="1:8" ht="27" customHeight="1" x14ac:dyDescent="0.25">
      <c r="A155" s="9" t="str">
        <f t="shared" si="38"/>
        <v>РУ-1-4</v>
      </c>
      <c r="B155" s="7" t="s">
        <v>238</v>
      </c>
      <c r="C155" s="8" t="s">
        <v>177</v>
      </c>
      <c r="D155" s="7" t="s">
        <v>178</v>
      </c>
      <c r="E155" s="9">
        <v>2</v>
      </c>
      <c r="F155" s="10" t="s">
        <v>9</v>
      </c>
      <c r="G155" s="7" t="s">
        <v>157</v>
      </c>
      <c r="H155" s="9" t="str">
        <f>H154</f>
        <v>Блок4</v>
      </c>
    </row>
    <row r="156" spans="1:8" ht="27" customHeight="1" x14ac:dyDescent="0.25">
      <c r="A156" s="9" t="str">
        <f t="shared" si="38"/>
        <v>РУ-1-4</v>
      </c>
      <c r="B156" s="7" t="s">
        <v>237</v>
      </c>
      <c r="C156" s="8" t="s">
        <v>167</v>
      </c>
      <c r="D156" s="7" t="s">
        <v>168</v>
      </c>
      <c r="E156" s="9">
        <v>2</v>
      </c>
      <c r="F156" s="10" t="s">
        <v>9</v>
      </c>
      <c r="G156" s="7" t="s">
        <v>157</v>
      </c>
      <c r="H156" s="9" t="str">
        <f>H155</f>
        <v>Блок4</v>
      </c>
    </row>
    <row r="157" spans="1:8" ht="27" customHeight="1" x14ac:dyDescent="0.25">
      <c r="A157" s="9" t="str">
        <f t="shared" si="38"/>
        <v>РУ-1-4</v>
      </c>
      <c r="B157" s="7" t="s">
        <v>237</v>
      </c>
      <c r="C157" s="8" t="s">
        <v>165</v>
      </c>
      <c r="D157" s="7" t="s">
        <v>166</v>
      </c>
      <c r="E157" s="9">
        <v>1</v>
      </c>
      <c r="F157" s="10" t="s">
        <v>9</v>
      </c>
      <c r="G157" s="7" t="s">
        <v>157</v>
      </c>
      <c r="H157" s="9" t="str">
        <f>H156</f>
        <v>Блок4</v>
      </c>
    </row>
    <row r="158" spans="1:8" ht="27" customHeight="1" x14ac:dyDescent="0.25">
      <c r="A158" s="7" t="str">
        <f t="shared" si="38"/>
        <v>РУ-1-4</v>
      </c>
      <c r="B158" s="7" t="s">
        <v>15</v>
      </c>
      <c r="C158" s="8" t="s">
        <v>15</v>
      </c>
      <c r="D158" s="7" t="s">
        <v>15</v>
      </c>
      <c r="E158" s="7">
        <v>1</v>
      </c>
      <c r="F158" s="7" t="s">
        <v>9</v>
      </c>
      <c r="G158" s="7" t="s">
        <v>15</v>
      </c>
      <c r="H158" s="9" t="str">
        <f>H156</f>
        <v>Блок4</v>
      </c>
    </row>
    <row r="159" spans="1:8" ht="27" customHeight="1" x14ac:dyDescent="0.25">
      <c r="A159" s="5" t="str">
        <f>D159</f>
        <v>ЩУР.МОП1-4</v>
      </c>
      <c r="B159" s="3"/>
      <c r="C159" s="4" t="str">
        <f>VLOOKUP(D159,[1]Sayfa2!$A:$F,2,0)</f>
        <v>989-090-0607</v>
      </c>
      <c r="D159" s="3" t="s">
        <v>47</v>
      </c>
      <c r="E159" s="5">
        <v>1</v>
      </c>
      <c r="F159" s="6" t="s">
        <v>6</v>
      </c>
      <c r="G159" s="3" t="s">
        <v>7</v>
      </c>
      <c r="H159" s="5" t="s">
        <v>45</v>
      </c>
    </row>
    <row r="160" spans="1:8" ht="27" customHeight="1" x14ac:dyDescent="0.25">
      <c r="A160" s="9" t="str">
        <f t="shared" ref="A160:A164" si="39">A159</f>
        <v>ЩУР.МОП1-4</v>
      </c>
      <c r="B160" s="7" t="s">
        <v>8</v>
      </c>
      <c r="C160" s="8" t="s">
        <v>27</v>
      </c>
      <c r="D160" s="7" t="s">
        <v>28</v>
      </c>
      <c r="E160" s="9">
        <v>1</v>
      </c>
      <c r="F160" s="10" t="s">
        <v>9</v>
      </c>
      <c r="G160" s="7" t="s">
        <v>10</v>
      </c>
      <c r="H160" s="9" t="str">
        <f t="shared" ref="H160:H164" si="40">H159</f>
        <v>Блок4</v>
      </c>
    </row>
    <row r="161" spans="1:8" ht="27" customHeight="1" x14ac:dyDescent="0.25">
      <c r="A161" s="9" t="str">
        <f t="shared" si="39"/>
        <v>ЩУР.МОП1-4</v>
      </c>
      <c r="B161" s="7" t="s">
        <v>237</v>
      </c>
      <c r="C161" s="8" t="s">
        <v>145</v>
      </c>
      <c r="D161" s="7" t="s">
        <v>146</v>
      </c>
      <c r="E161" s="9">
        <v>1</v>
      </c>
      <c r="F161" s="10" t="s">
        <v>9</v>
      </c>
      <c r="G161" s="7" t="s">
        <v>157</v>
      </c>
      <c r="H161" s="9" t="str">
        <f t="shared" si="40"/>
        <v>Блок4</v>
      </c>
    </row>
    <row r="162" spans="1:8" ht="27" customHeight="1" x14ac:dyDescent="0.25">
      <c r="A162" s="9" t="str">
        <f t="shared" si="39"/>
        <v>ЩУР.МОП1-4</v>
      </c>
      <c r="B162" s="7" t="s">
        <v>237</v>
      </c>
      <c r="C162" s="8" t="s">
        <v>143</v>
      </c>
      <c r="D162" s="7" t="s">
        <v>144</v>
      </c>
      <c r="E162" s="9">
        <v>4</v>
      </c>
      <c r="F162" s="10" t="s">
        <v>9</v>
      </c>
      <c r="G162" s="7" t="s">
        <v>157</v>
      </c>
      <c r="H162" s="9" t="str">
        <f t="shared" si="40"/>
        <v>Блок4</v>
      </c>
    </row>
    <row r="163" spans="1:8" ht="27" customHeight="1" x14ac:dyDescent="0.25">
      <c r="A163" s="9" t="str">
        <f t="shared" si="39"/>
        <v>ЩУР.МОП1-4</v>
      </c>
      <c r="B163" s="7" t="s">
        <v>12</v>
      </c>
      <c r="C163" s="8" t="s">
        <v>243</v>
      </c>
      <c r="D163" s="7" t="s">
        <v>244</v>
      </c>
      <c r="E163" s="9">
        <v>1</v>
      </c>
      <c r="F163" s="10" t="s">
        <v>9</v>
      </c>
      <c r="G163" s="7" t="s">
        <v>13</v>
      </c>
      <c r="H163" s="9" t="str">
        <f t="shared" si="40"/>
        <v>Блок4</v>
      </c>
    </row>
    <row r="164" spans="1:8" ht="27" customHeight="1" x14ac:dyDescent="0.25">
      <c r="A164" s="7" t="str">
        <f t="shared" si="39"/>
        <v>ЩУР.МОП1-4</v>
      </c>
      <c r="B164" s="7" t="s">
        <v>15</v>
      </c>
      <c r="C164" s="8" t="s">
        <v>15</v>
      </c>
      <c r="D164" s="7" t="s">
        <v>15</v>
      </c>
      <c r="E164" s="7">
        <v>1</v>
      </c>
      <c r="F164" s="7" t="s">
        <v>9</v>
      </c>
      <c r="G164" s="7" t="s">
        <v>15</v>
      </c>
      <c r="H164" s="9" t="str">
        <f t="shared" si="40"/>
        <v>Блок4</v>
      </c>
    </row>
    <row r="165" spans="1:8" ht="27" customHeight="1" x14ac:dyDescent="0.25">
      <c r="A165" s="5" t="str">
        <f>D165</f>
        <v>РЩ1-4 (АВР-Б-40-2-1)</v>
      </c>
      <c r="B165" s="3"/>
      <c r="C165" s="4" t="str">
        <f>VLOOKUP(D165,[1]Sayfa2!$A:$F,2,0)</f>
        <v>989-090-0608</v>
      </c>
      <c r="D165" s="3" t="s">
        <v>103</v>
      </c>
      <c r="E165" s="5">
        <v>1</v>
      </c>
      <c r="F165" s="6" t="s">
        <v>6</v>
      </c>
      <c r="G165" s="3" t="s">
        <v>7</v>
      </c>
      <c r="H165" s="5" t="s">
        <v>45</v>
      </c>
    </row>
    <row r="166" spans="1:8" ht="27" customHeight="1" x14ac:dyDescent="0.25">
      <c r="A166" s="9" t="str">
        <f t="shared" ref="A166:A175" si="41">A165</f>
        <v>РЩ1-4 (АВР-Б-40-2-1)</v>
      </c>
      <c r="B166" s="7" t="s">
        <v>8</v>
      </c>
      <c r="C166" s="8" t="s">
        <v>129</v>
      </c>
      <c r="D166" s="7" t="s">
        <v>130</v>
      </c>
      <c r="E166" s="9">
        <v>1</v>
      </c>
      <c r="F166" s="10" t="s">
        <v>9</v>
      </c>
      <c r="G166" s="7" t="s">
        <v>10</v>
      </c>
      <c r="H166" s="9" t="str">
        <f t="shared" ref="H166:H175" si="42">H165</f>
        <v>Блок4</v>
      </c>
    </row>
    <row r="167" spans="1:8" ht="27" customHeight="1" x14ac:dyDescent="0.25">
      <c r="A167" s="9" t="str">
        <f t="shared" si="41"/>
        <v>РЩ1-4 (АВР-Б-40-2-1)</v>
      </c>
      <c r="B167" s="7" t="s">
        <v>29</v>
      </c>
      <c r="C167" s="8" t="s">
        <v>123</v>
      </c>
      <c r="D167" s="7" t="s">
        <v>124</v>
      </c>
      <c r="E167" s="9">
        <v>1</v>
      </c>
      <c r="F167" s="10" t="s">
        <v>9</v>
      </c>
      <c r="G167" s="7" t="s">
        <v>11</v>
      </c>
      <c r="H167" s="9" t="str">
        <f t="shared" si="42"/>
        <v>Блок4</v>
      </c>
    </row>
    <row r="168" spans="1:8" ht="27" customHeight="1" x14ac:dyDescent="0.25">
      <c r="A168" s="9" t="str">
        <f t="shared" si="41"/>
        <v>РЩ1-4 (АВР-Б-40-2-1)</v>
      </c>
      <c r="B168" s="7" t="s">
        <v>237</v>
      </c>
      <c r="C168" s="8" t="s">
        <v>163</v>
      </c>
      <c r="D168" s="7" t="s">
        <v>164</v>
      </c>
      <c r="E168" s="9">
        <v>2</v>
      </c>
      <c r="F168" s="10" t="s">
        <v>9</v>
      </c>
      <c r="G168" s="7" t="s">
        <v>157</v>
      </c>
      <c r="H168" s="9" t="str">
        <f t="shared" si="42"/>
        <v>Блок4</v>
      </c>
    </row>
    <row r="169" spans="1:8" ht="27" customHeight="1" x14ac:dyDescent="0.25">
      <c r="A169" s="9" t="str">
        <f t="shared" si="41"/>
        <v>РЩ1-4 (АВР-Б-40-2-1)</v>
      </c>
      <c r="B169" s="7" t="s">
        <v>237</v>
      </c>
      <c r="C169" s="8" t="s">
        <v>181</v>
      </c>
      <c r="D169" s="7" t="s">
        <v>182</v>
      </c>
      <c r="E169" s="9">
        <v>2</v>
      </c>
      <c r="F169" s="10" t="s">
        <v>9</v>
      </c>
      <c r="G169" s="7" t="s">
        <v>157</v>
      </c>
      <c r="H169" s="9" t="str">
        <f t="shared" si="42"/>
        <v>Блок4</v>
      </c>
    </row>
    <row r="170" spans="1:8" ht="27" customHeight="1" x14ac:dyDescent="0.25">
      <c r="A170" s="9" t="str">
        <f t="shared" si="41"/>
        <v>РЩ1-4 (АВР-Б-40-2-1)</v>
      </c>
      <c r="B170" s="7" t="s">
        <v>238</v>
      </c>
      <c r="C170" s="8" t="s">
        <v>153</v>
      </c>
      <c r="D170" s="7" t="s">
        <v>154</v>
      </c>
      <c r="E170" s="9">
        <v>2</v>
      </c>
      <c r="F170" s="10" t="s">
        <v>9</v>
      </c>
      <c r="G170" s="7" t="s">
        <v>157</v>
      </c>
      <c r="H170" s="9" t="str">
        <f t="shared" si="42"/>
        <v>Блок4</v>
      </c>
    </row>
    <row r="171" spans="1:8" ht="27" customHeight="1" x14ac:dyDescent="0.25">
      <c r="A171" s="9" t="str">
        <f t="shared" si="41"/>
        <v>РЩ1-4 (АВР-Б-40-2-1)</v>
      </c>
      <c r="B171" s="7" t="s">
        <v>14</v>
      </c>
      <c r="C171" s="8" t="s">
        <v>183</v>
      </c>
      <c r="D171" s="7" t="s">
        <v>184</v>
      </c>
      <c r="E171" s="9">
        <v>1</v>
      </c>
      <c r="F171" s="10" t="s">
        <v>9</v>
      </c>
      <c r="G171" s="7" t="s">
        <v>11</v>
      </c>
      <c r="H171" s="9" t="str">
        <f t="shared" si="42"/>
        <v>Блок4</v>
      </c>
    </row>
    <row r="172" spans="1:8" ht="27" customHeight="1" x14ac:dyDescent="0.25">
      <c r="A172" s="9" t="str">
        <f t="shared" si="41"/>
        <v>РЩ1-4 (АВР-Б-40-2-1)</v>
      </c>
      <c r="B172" s="7" t="s">
        <v>237</v>
      </c>
      <c r="C172" s="8" t="s">
        <v>155</v>
      </c>
      <c r="D172" s="7" t="s">
        <v>156</v>
      </c>
      <c r="E172" s="9">
        <v>1</v>
      </c>
      <c r="F172" s="10" t="s">
        <v>9</v>
      </c>
      <c r="G172" s="7" t="s">
        <v>157</v>
      </c>
      <c r="H172" s="9" t="str">
        <f t="shared" si="42"/>
        <v>Блок4</v>
      </c>
    </row>
    <row r="173" spans="1:8" ht="27" customHeight="1" x14ac:dyDescent="0.25">
      <c r="A173" s="9" t="str">
        <f t="shared" si="41"/>
        <v>РЩ1-4 (АВР-Б-40-2-1)</v>
      </c>
      <c r="B173" s="7" t="s">
        <v>12</v>
      </c>
      <c r="C173" s="8" t="s">
        <v>243</v>
      </c>
      <c r="D173" s="7" t="s">
        <v>244</v>
      </c>
      <c r="E173" s="9">
        <v>1</v>
      </c>
      <c r="F173" s="10" t="s">
        <v>9</v>
      </c>
      <c r="G173" s="7" t="s">
        <v>13</v>
      </c>
      <c r="H173" s="9" t="str">
        <f t="shared" si="42"/>
        <v>Блок4</v>
      </c>
    </row>
    <row r="174" spans="1:8" ht="27" customHeight="1" x14ac:dyDescent="0.25">
      <c r="A174" s="9" t="str">
        <f t="shared" si="41"/>
        <v>РЩ1-4 (АВР-Б-40-2-1)</v>
      </c>
      <c r="B174" s="7" t="s">
        <v>22</v>
      </c>
      <c r="C174" s="8"/>
      <c r="D174" s="7" t="s">
        <v>23</v>
      </c>
      <c r="E174" s="9">
        <v>6</v>
      </c>
      <c r="F174" s="10" t="s">
        <v>9</v>
      </c>
      <c r="G174" s="7" t="s">
        <v>19</v>
      </c>
      <c r="H174" s="9" t="str">
        <f t="shared" si="42"/>
        <v>Блок4</v>
      </c>
    </row>
    <row r="175" spans="1:8" ht="27" customHeight="1" x14ac:dyDescent="0.25">
      <c r="A175" s="7" t="str">
        <f t="shared" si="41"/>
        <v>РЩ1-4 (АВР-Б-40-2-1)</v>
      </c>
      <c r="B175" s="7" t="s">
        <v>15</v>
      </c>
      <c r="C175" s="8" t="s">
        <v>15</v>
      </c>
      <c r="D175" s="7" t="s">
        <v>15</v>
      </c>
      <c r="E175" s="7">
        <v>1</v>
      </c>
      <c r="F175" s="7" t="s">
        <v>9</v>
      </c>
      <c r="G175" s="7" t="s">
        <v>15</v>
      </c>
      <c r="H175" s="9" t="str">
        <f t="shared" si="42"/>
        <v>Блок4</v>
      </c>
    </row>
    <row r="176" spans="1:8" ht="27" customHeight="1" x14ac:dyDescent="0.25">
      <c r="A176" s="5" t="str">
        <f>D176</f>
        <v>РУ1-5</v>
      </c>
      <c r="B176" s="3"/>
      <c r="C176" s="4" t="str">
        <f>VLOOKUP(D176,[1]Sayfa2!$A:$F,2,0)</f>
        <v>989-090-0609</v>
      </c>
      <c r="D176" s="3" t="s">
        <v>48</v>
      </c>
      <c r="E176" s="5">
        <v>1</v>
      </c>
      <c r="F176" s="6" t="s">
        <v>6</v>
      </c>
      <c r="G176" s="3" t="s">
        <v>7</v>
      </c>
      <c r="H176" s="5" t="s">
        <v>49</v>
      </c>
    </row>
    <row r="177" spans="1:8" ht="27" customHeight="1" x14ac:dyDescent="0.25">
      <c r="A177" s="9" t="str">
        <f t="shared" ref="A177:A181" si="43">A176</f>
        <v>РУ1-5</v>
      </c>
      <c r="B177" s="7" t="s">
        <v>8</v>
      </c>
      <c r="C177" s="8" t="s">
        <v>131</v>
      </c>
      <c r="D177" s="7" t="s">
        <v>132</v>
      </c>
      <c r="E177" s="9">
        <v>1</v>
      </c>
      <c r="F177" s="10" t="s">
        <v>9</v>
      </c>
      <c r="G177" s="7" t="s">
        <v>10</v>
      </c>
      <c r="H177" s="9" t="str">
        <f t="shared" ref="H177:H181" si="44">H176</f>
        <v>Блок5</v>
      </c>
    </row>
    <row r="178" spans="1:8" ht="27" customHeight="1" x14ac:dyDescent="0.25">
      <c r="A178" s="9" t="str">
        <f t="shared" si="43"/>
        <v>РУ1-5</v>
      </c>
      <c r="B178" s="7" t="s">
        <v>238</v>
      </c>
      <c r="C178" s="8" t="s">
        <v>179</v>
      </c>
      <c r="D178" s="7" t="s">
        <v>180</v>
      </c>
      <c r="E178" s="9">
        <v>1</v>
      </c>
      <c r="F178" s="10" t="s">
        <v>9</v>
      </c>
      <c r="G178" s="7" t="s">
        <v>11</v>
      </c>
      <c r="H178" s="9" t="str">
        <f t="shared" si="44"/>
        <v>Блок5</v>
      </c>
    </row>
    <row r="179" spans="1:8" ht="27" customHeight="1" x14ac:dyDescent="0.25">
      <c r="A179" s="9" t="str">
        <f t="shared" si="43"/>
        <v>РУ1-5</v>
      </c>
      <c r="B179" s="7" t="s">
        <v>238</v>
      </c>
      <c r="C179" s="8" t="s">
        <v>177</v>
      </c>
      <c r="D179" s="7" t="s">
        <v>178</v>
      </c>
      <c r="E179" s="9">
        <v>2</v>
      </c>
      <c r="F179" s="10" t="s">
        <v>9</v>
      </c>
      <c r="G179" s="7" t="s">
        <v>157</v>
      </c>
      <c r="H179" s="9" t="str">
        <f t="shared" si="44"/>
        <v>Блок5</v>
      </c>
    </row>
    <row r="180" spans="1:8" ht="27" customHeight="1" x14ac:dyDescent="0.25">
      <c r="A180" s="9" t="str">
        <f t="shared" si="43"/>
        <v>РУ1-5</v>
      </c>
      <c r="B180" s="7" t="s">
        <v>237</v>
      </c>
      <c r="C180" s="8" t="s">
        <v>167</v>
      </c>
      <c r="D180" s="7" t="s">
        <v>168</v>
      </c>
      <c r="E180" s="9">
        <v>2</v>
      </c>
      <c r="F180" s="10" t="s">
        <v>9</v>
      </c>
      <c r="G180" s="7" t="s">
        <v>157</v>
      </c>
      <c r="H180" s="9" t="str">
        <f t="shared" si="44"/>
        <v>Блок5</v>
      </c>
    </row>
    <row r="181" spans="1:8" ht="27" customHeight="1" x14ac:dyDescent="0.25">
      <c r="A181" s="7" t="str">
        <f t="shared" si="43"/>
        <v>РУ1-5</v>
      </c>
      <c r="B181" s="7" t="s">
        <v>15</v>
      </c>
      <c r="C181" s="8" t="s">
        <v>15</v>
      </c>
      <c r="D181" s="7" t="s">
        <v>15</v>
      </c>
      <c r="E181" s="7">
        <v>1</v>
      </c>
      <c r="F181" s="7" t="s">
        <v>9</v>
      </c>
      <c r="G181" s="7" t="s">
        <v>15</v>
      </c>
      <c r="H181" s="9" t="str">
        <f t="shared" si="44"/>
        <v>Блок5</v>
      </c>
    </row>
    <row r="182" spans="1:8" ht="27" customHeight="1" x14ac:dyDescent="0.25">
      <c r="A182" s="5" t="str">
        <f>D182</f>
        <v>ЩУР.МОП1-5</v>
      </c>
      <c r="B182" s="3"/>
      <c r="C182" s="4" t="str">
        <f>VLOOKUP(D182,[1]Sayfa2!$A:$F,2,0)</f>
        <v>989-090-0610</v>
      </c>
      <c r="D182" s="3" t="s">
        <v>50</v>
      </c>
      <c r="E182" s="5">
        <v>1</v>
      </c>
      <c r="F182" s="6" t="s">
        <v>6</v>
      </c>
      <c r="G182" s="3" t="s">
        <v>7</v>
      </c>
      <c r="H182" s="5" t="s">
        <v>49</v>
      </c>
    </row>
    <row r="183" spans="1:8" ht="27" customHeight="1" x14ac:dyDescent="0.25">
      <c r="A183" s="9" t="str">
        <f t="shared" ref="A183:A187" si="45">A182</f>
        <v>ЩУР.МОП1-5</v>
      </c>
      <c r="B183" s="7" t="s">
        <v>8</v>
      </c>
      <c r="C183" s="8" t="s">
        <v>27</v>
      </c>
      <c r="D183" s="7" t="s">
        <v>28</v>
      </c>
      <c r="E183" s="9">
        <v>1</v>
      </c>
      <c r="F183" s="10" t="s">
        <v>9</v>
      </c>
      <c r="G183" s="7" t="s">
        <v>10</v>
      </c>
      <c r="H183" s="9" t="str">
        <f t="shared" ref="H183:H187" si="46">H182</f>
        <v>Блок5</v>
      </c>
    </row>
    <row r="184" spans="1:8" ht="27" customHeight="1" x14ac:dyDescent="0.25">
      <c r="A184" s="9" t="str">
        <f t="shared" si="45"/>
        <v>ЩУР.МОП1-5</v>
      </c>
      <c r="B184" s="7" t="s">
        <v>237</v>
      </c>
      <c r="C184" s="8" t="s">
        <v>145</v>
      </c>
      <c r="D184" s="7" t="s">
        <v>146</v>
      </c>
      <c r="E184" s="9">
        <v>1</v>
      </c>
      <c r="F184" s="10" t="s">
        <v>9</v>
      </c>
      <c r="G184" s="7" t="s">
        <v>157</v>
      </c>
      <c r="H184" s="9" t="str">
        <f t="shared" si="46"/>
        <v>Блок5</v>
      </c>
    </row>
    <row r="185" spans="1:8" ht="27" customHeight="1" x14ac:dyDescent="0.25">
      <c r="A185" s="9" t="str">
        <f t="shared" si="45"/>
        <v>ЩУР.МОП1-5</v>
      </c>
      <c r="B185" s="7" t="s">
        <v>237</v>
      </c>
      <c r="C185" s="8" t="s">
        <v>143</v>
      </c>
      <c r="D185" s="7" t="s">
        <v>144</v>
      </c>
      <c r="E185" s="9">
        <v>4</v>
      </c>
      <c r="F185" s="10" t="s">
        <v>9</v>
      </c>
      <c r="G185" s="7" t="s">
        <v>157</v>
      </c>
      <c r="H185" s="9" t="str">
        <f t="shared" si="46"/>
        <v>Блок5</v>
      </c>
    </row>
    <row r="186" spans="1:8" ht="27" customHeight="1" x14ac:dyDescent="0.25">
      <c r="A186" s="9" t="str">
        <f t="shared" si="45"/>
        <v>ЩУР.МОП1-5</v>
      </c>
      <c r="B186" s="7" t="s">
        <v>12</v>
      </c>
      <c r="C186" s="8" t="s">
        <v>243</v>
      </c>
      <c r="D186" s="7" t="s">
        <v>244</v>
      </c>
      <c r="E186" s="9">
        <v>1</v>
      </c>
      <c r="F186" s="10" t="s">
        <v>9</v>
      </c>
      <c r="G186" s="7" t="s">
        <v>13</v>
      </c>
      <c r="H186" s="9" t="str">
        <f t="shared" si="46"/>
        <v>Блок5</v>
      </c>
    </row>
    <row r="187" spans="1:8" ht="27" customHeight="1" x14ac:dyDescent="0.25">
      <c r="A187" s="7" t="str">
        <f t="shared" si="45"/>
        <v>ЩУР.МОП1-5</v>
      </c>
      <c r="B187" s="7" t="s">
        <v>15</v>
      </c>
      <c r="C187" s="8" t="s">
        <v>15</v>
      </c>
      <c r="D187" s="7" t="s">
        <v>15</v>
      </c>
      <c r="E187" s="7">
        <v>1</v>
      </c>
      <c r="F187" s="7" t="s">
        <v>9</v>
      </c>
      <c r="G187" s="7" t="s">
        <v>15</v>
      </c>
      <c r="H187" s="9" t="str">
        <f t="shared" si="46"/>
        <v>Блок5</v>
      </c>
    </row>
    <row r="188" spans="1:8" ht="27" customHeight="1" x14ac:dyDescent="0.25">
      <c r="A188" s="5" t="str">
        <f>D188</f>
        <v>РЩ1-5 (АВР-Б-40-2-1)</v>
      </c>
      <c r="B188" s="3"/>
      <c r="C188" s="4" t="str">
        <f>VLOOKUP(D188,[1]Sayfa2!$A:$F,2,0)</f>
        <v>989-090-0611</v>
      </c>
      <c r="D188" s="3" t="s">
        <v>104</v>
      </c>
      <c r="E188" s="5">
        <v>1</v>
      </c>
      <c r="F188" s="6" t="s">
        <v>6</v>
      </c>
      <c r="G188" s="3" t="s">
        <v>7</v>
      </c>
      <c r="H188" s="5" t="s">
        <v>49</v>
      </c>
    </row>
    <row r="189" spans="1:8" ht="27" customHeight="1" x14ac:dyDescent="0.25">
      <c r="A189" s="9" t="str">
        <f t="shared" ref="A189:A197" si="47">A188</f>
        <v>РЩ1-5 (АВР-Б-40-2-1)</v>
      </c>
      <c r="B189" s="7" t="s">
        <v>8</v>
      </c>
      <c r="C189" s="8" t="s">
        <v>129</v>
      </c>
      <c r="D189" s="7" t="s">
        <v>130</v>
      </c>
      <c r="E189" s="9">
        <v>1</v>
      </c>
      <c r="F189" s="10" t="s">
        <v>9</v>
      </c>
      <c r="G189" s="7" t="s">
        <v>10</v>
      </c>
      <c r="H189" s="9" t="str">
        <f t="shared" ref="H189:H197" si="48">H188</f>
        <v>Блок5</v>
      </c>
    </row>
    <row r="190" spans="1:8" ht="27" customHeight="1" x14ac:dyDescent="0.25">
      <c r="A190" s="9" t="str">
        <f t="shared" si="47"/>
        <v>РЩ1-5 (АВР-Б-40-2-1)</v>
      </c>
      <c r="B190" s="7" t="s">
        <v>29</v>
      </c>
      <c r="C190" s="8" t="s">
        <v>123</v>
      </c>
      <c r="D190" s="7" t="s">
        <v>124</v>
      </c>
      <c r="E190" s="9">
        <v>1</v>
      </c>
      <c r="F190" s="10" t="s">
        <v>9</v>
      </c>
      <c r="G190" s="7" t="s">
        <v>11</v>
      </c>
      <c r="H190" s="9" t="str">
        <f t="shared" si="48"/>
        <v>Блок5</v>
      </c>
    </row>
    <row r="191" spans="1:8" ht="27" customHeight="1" x14ac:dyDescent="0.25">
      <c r="A191" s="9" t="str">
        <f t="shared" si="47"/>
        <v>РЩ1-5 (АВР-Б-40-2-1)</v>
      </c>
      <c r="B191" s="7" t="s">
        <v>237</v>
      </c>
      <c r="C191" s="8" t="s">
        <v>163</v>
      </c>
      <c r="D191" s="7" t="s">
        <v>164</v>
      </c>
      <c r="E191" s="9">
        <v>3</v>
      </c>
      <c r="F191" s="10" t="s">
        <v>9</v>
      </c>
      <c r="G191" s="7" t="s">
        <v>157</v>
      </c>
      <c r="H191" s="9" t="str">
        <f t="shared" si="48"/>
        <v>Блок5</v>
      </c>
    </row>
    <row r="192" spans="1:8" ht="27" customHeight="1" x14ac:dyDescent="0.25">
      <c r="A192" s="9" t="str">
        <f t="shared" si="47"/>
        <v>РЩ1-5 (АВР-Б-40-2-1)</v>
      </c>
      <c r="B192" s="7" t="s">
        <v>237</v>
      </c>
      <c r="C192" s="8" t="s">
        <v>181</v>
      </c>
      <c r="D192" s="7" t="s">
        <v>182</v>
      </c>
      <c r="E192" s="9">
        <v>2</v>
      </c>
      <c r="F192" s="10" t="s">
        <v>9</v>
      </c>
      <c r="G192" s="7" t="s">
        <v>157</v>
      </c>
      <c r="H192" s="9" t="str">
        <f t="shared" si="48"/>
        <v>Блок5</v>
      </c>
    </row>
    <row r="193" spans="1:8" ht="27" customHeight="1" x14ac:dyDescent="0.25">
      <c r="A193" s="9" t="str">
        <f t="shared" si="47"/>
        <v>РЩ1-5 (АВР-Б-40-2-1)</v>
      </c>
      <c r="B193" s="7" t="s">
        <v>238</v>
      </c>
      <c r="C193" s="8" t="s">
        <v>153</v>
      </c>
      <c r="D193" s="7" t="s">
        <v>154</v>
      </c>
      <c r="E193" s="9">
        <v>2</v>
      </c>
      <c r="F193" s="10" t="s">
        <v>9</v>
      </c>
      <c r="G193" s="7" t="s">
        <v>157</v>
      </c>
      <c r="H193" s="9" t="str">
        <f t="shared" si="48"/>
        <v>Блок5</v>
      </c>
    </row>
    <row r="194" spans="1:8" ht="27" customHeight="1" x14ac:dyDescent="0.25">
      <c r="A194" s="9" t="str">
        <f t="shared" si="47"/>
        <v>РЩ1-5 (АВР-Б-40-2-1)</v>
      </c>
      <c r="B194" s="7" t="s">
        <v>237</v>
      </c>
      <c r="C194" s="8" t="s">
        <v>155</v>
      </c>
      <c r="D194" s="7" t="s">
        <v>156</v>
      </c>
      <c r="E194" s="9">
        <v>1</v>
      </c>
      <c r="F194" s="10" t="s">
        <v>9</v>
      </c>
      <c r="G194" s="7" t="s">
        <v>157</v>
      </c>
      <c r="H194" s="9" t="str">
        <f t="shared" si="48"/>
        <v>Блок5</v>
      </c>
    </row>
    <row r="195" spans="1:8" ht="27" customHeight="1" x14ac:dyDescent="0.25">
      <c r="A195" s="9" t="str">
        <f t="shared" si="47"/>
        <v>РЩ1-5 (АВР-Б-40-2-1)</v>
      </c>
      <c r="B195" s="7" t="s">
        <v>12</v>
      </c>
      <c r="C195" s="8" t="s">
        <v>243</v>
      </c>
      <c r="D195" s="7" t="s">
        <v>244</v>
      </c>
      <c r="E195" s="9">
        <v>1</v>
      </c>
      <c r="F195" s="10" t="s">
        <v>9</v>
      </c>
      <c r="G195" s="7" t="s">
        <v>13</v>
      </c>
      <c r="H195" s="9" t="str">
        <f t="shared" si="48"/>
        <v>Блок5</v>
      </c>
    </row>
    <row r="196" spans="1:8" ht="27" customHeight="1" x14ac:dyDescent="0.25">
      <c r="A196" s="9" t="str">
        <f t="shared" si="47"/>
        <v>РЩ1-5 (АВР-Б-40-2-1)</v>
      </c>
      <c r="B196" s="7" t="s">
        <v>22</v>
      </c>
      <c r="C196" s="8"/>
      <c r="D196" s="7" t="s">
        <v>23</v>
      </c>
      <c r="E196" s="9">
        <v>6</v>
      </c>
      <c r="F196" s="10" t="s">
        <v>9</v>
      </c>
      <c r="G196" s="7" t="s">
        <v>19</v>
      </c>
      <c r="H196" s="9" t="str">
        <f t="shared" si="48"/>
        <v>Блок5</v>
      </c>
    </row>
    <row r="197" spans="1:8" ht="27" customHeight="1" x14ac:dyDescent="0.25">
      <c r="A197" s="7" t="str">
        <f t="shared" si="47"/>
        <v>РЩ1-5 (АВР-Б-40-2-1)</v>
      </c>
      <c r="B197" s="7" t="s">
        <v>15</v>
      </c>
      <c r="C197" s="8" t="s">
        <v>15</v>
      </c>
      <c r="D197" s="7" t="s">
        <v>15</v>
      </c>
      <c r="E197" s="7">
        <v>1</v>
      </c>
      <c r="F197" s="7" t="s">
        <v>9</v>
      </c>
      <c r="G197" s="7" t="s">
        <v>15</v>
      </c>
      <c r="H197" s="9" t="str">
        <f t="shared" si="48"/>
        <v>Блок5</v>
      </c>
    </row>
    <row r="198" spans="1:8" ht="27" customHeight="1" x14ac:dyDescent="0.25">
      <c r="A198" s="5" t="str">
        <f>D198</f>
        <v>РУ1-6</v>
      </c>
      <c r="B198" s="3"/>
      <c r="C198" s="4" t="str">
        <f>VLOOKUP(D198,[1]Sayfa2!$A:$F,2,0)</f>
        <v>989-090-0612</v>
      </c>
      <c r="D198" s="3" t="s">
        <v>51</v>
      </c>
      <c r="E198" s="5">
        <v>1</v>
      </c>
      <c r="F198" s="6" t="s">
        <v>6</v>
      </c>
      <c r="G198" s="3" t="s">
        <v>7</v>
      </c>
      <c r="H198" s="5" t="s">
        <v>52</v>
      </c>
    </row>
    <row r="199" spans="1:8" ht="27" customHeight="1" x14ac:dyDescent="0.25">
      <c r="A199" s="9" t="str">
        <f t="shared" ref="A199:A203" si="49">A198</f>
        <v>РУ1-6</v>
      </c>
      <c r="B199" s="7" t="s">
        <v>8</v>
      </c>
      <c r="C199" s="8" t="s">
        <v>131</v>
      </c>
      <c r="D199" s="7" t="s">
        <v>132</v>
      </c>
      <c r="E199" s="9">
        <v>1</v>
      </c>
      <c r="F199" s="10" t="s">
        <v>9</v>
      </c>
      <c r="G199" s="7" t="s">
        <v>10</v>
      </c>
      <c r="H199" s="9" t="str">
        <f t="shared" ref="H199:H203" si="50">H198</f>
        <v>Блок6</v>
      </c>
    </row>
    <row r="200" spans="1:8" ht="27" customHeight="1" x14ac:dyDescent="0.25">
      <c r="A200" s="9" t="str">
        <f t="shared" si="49"/>
        <v>РУ1-6</v>
      </c>
      <c r="B200" s="7" t="s">
        <v>238</v>
      </c>
      <c r="C200" s="8" t="s">
        <v>179</v>
      </c>
      <c r="D200" s="7" t="s">
        <v>180</v>
      </c>
      <c r="E200" s="9">
        <v>1</v>
      </c>
      <c r="F200" s="10" t="s">
        <v>9</v>
      </c>
      <c r="G200" s="7" t="s">
        <v>11</v>
      </c>
      <c r="H200" s="9" t="str">
        <f t="shared" si="50"/>
        <v>Блок6</v>
      </c>
    </row>
    <row r="201" spans="1:8" ht="27" customHeight="1" x14ac:dyDescent="0.25">
      <c r="A201" s="9" t="str">
        <f t="shared" si="49"/>
        <v>РУ1-6</v>
      </c>
      <c r="B201" s="7" t="s">
        <v>238</v>
      </c>
      <c r="C201" s="8" t="s">
        <v>175</v>
      </c>
      <c r="D201" s="7" t="s">
        <v>176</v>
      </c>
      <c r="E201" s="9">
        <v>4</v>
      </c>
      <c r="F201" s="10" t="s">
        <v>9</v>
      </c>
      <c r="G201" s="7" t="s">
        <v>157</v>
      </c>
      <c r="H201" s="9" t="str">
        <f t="shared" si="50"/>
        <v>Блок6</v>
      </c>
    </row>
    <row r="202" spans="1:8" ht="27" customHeight="1" x14ac:dyDescent="0.25">
      <c r="A202" s="9" t="str">
        <f t="shared" si="49"/>
        <v>РУ1-6</v>
      </c>
      <c r="B202" s="7" t="s">
        <v>237</v>
      </c>
      <c r="C202" s="8" t="s">
        <v>167</v>
      </c>
      <c r="D202" s="7" t="s">
        <v>168</v>
      </c>
      <c r="E202" s="9">
        <v>2</v>
      </c>
      <c r="F202" s="10" t="s">
        <v>9</v>
      </c>
      <c r="G202" s="7" t="s">
        <v>157</v>
      </c>
      <c r="H202" s="9" t="str">
        <f t="shared" si="50"/>
        <v>Блок6</v>
      </c>
    </row>
    <row r="203" spans="1:8" ht="27" customHeight="1" x14ac:dyDescent="0.25">
      <c r="A203" s="7" t="str">
        <f t="shared" si="49"/>
        <v>РУ1-6</v>
      </c>
      <c r="B203" s="7" t="s">
        <v>15</v>
      </c>
      <c r="C203" s="8" t="s">
        <v>15</v>
      </c>
      <c r="D203" s="7" t="s">
        <v>15</v>
      </c>
      <c r="E203" s="7">
        <v>1</v>
      </c>
      <c r="F203" s="7" t="s">
        <v>9</v>
      </c>
      <c r="G203" s="7" t="s">
        <v>15</v>
      </c>
      <c r="H203" s="9" t="str">
        <f t="shared" si="50"/>
        <v>Блок6</v>
      </c>
    </row>
    <row r="204" spans="1:8" ht="27" customHeight="1" x14ac:dyDescent="0.25">
      <c r="A204" s="5" t="str">
        <f>D204</f>
        <v>ЩУР.МОП1-6</v>
      </c>
      <c r="B204" s="3"/>
      <c r="C204" s="4" t="str">
        <f>VLOOKUP(D204,[1]Sayfa2!$A:$F,2,0)</f>
        <v>989-090-0613</v>
      </c>
      <c r="D204" s="3" t="s">
        <v>53</v>
      </c>
      <c r="E204" s="5">
        <v>1</v>
      </c>
      <c r="F204" s="6" t="s">
        <v>6</v>
      </c>
      <c r="G204" s="3" t="s">
        <v>7</v>
      </c>
      <c r="H204" s="5" t="s">
        <v>52</v>
      </c>
    </row>
    <row r="205" spans="1:8" ht="27" customHeight="1" x14ac:dyDescent="0.25">
      <c r="A205" s="9" t="str">
        <f t="shared" ref="A205:A210" si="51">A204</f>
        <v>ЩУР.МОП1-6</v>
      </c>
      <c r="B205" s="7" t="s">
        <v>8</v>
      </c>
      <c r="C205" s="8" t="s">
        <v>27</v>
      </c>
      <c r="D205" s="7" t="s">
        <v>28</v>
      </c>
      <c r="E205" s="9">
        <v>1</v>
      </c>
      <c r="F205" s="10" t="s">
        <v>9</v>
      </c>
      <c r="G205" s="7" t="s">
        <v>10</v>
      </c>
      <c r="H205" s="9" t="str">
        <f>H204</f>
        <v>Блок6</v>
      </c>
    </row>
    <row r="206" spans="1:8" ht="27" customHeight="1" x14ac:dyDescent="0.25">
      <c r="A206" s="9" t="str">
        <f t="shared" si="51"/>
        <v>ЩУР.МОП1-6</v>
      </c>
      <c r="B206" s="7" t="s">
        <v>237</v>
      </c>
      <c r="C206" s="8" t="s">
        <v>145</v>
      </c>
      <c r="D206" s="7" t="s">
        <v>146</v>
      </c>
      <c r="E206" s="9">
        <v>1</v>
      </c>
      <c r="F206" s="10" t="s">
        <v>9</v>
      </c>
      <c r="G206" s="7" t="s">
        <v>157</v>
      </c>
      <c r="H206" s="9" t="str">
        <f>H205</f>
        <v>Блок6</v>
      </c>
    </row>
    <row r="207" spans="1:8" ht="27" customHeight="1" x14ac:dyDescent="0.25">
      <c r="A207" s="9" t="str">
        <f t="shared" si="51"/>
        <v>ЩУР.МОП1-6</v>
      </c>
      <c r="B207" s="7" t="s">
        <v>237</v>
      </c>
      <c r="C207" s="8" t="s">
        <v>143</v>
      </c>
      <c r="D207" s="7" t="s">
        <v>144</v>
      </c>
      <c r="E207" s="9">
        <v>3</v>
      </c>
      <c r="F207" s="10" t="s">
        <v>9</v>
      </c>
      <c r="G207" s="7" t="s">
        <v>157</v>
      </c>
      <c r="H207" s="9" t="str">
        <f>H206</f>
        <v>Блок6</v>
      </c>
    </row>
    <row r="208" spans="1:8" ht="27" customHeight="1" x14ac:dyDescent="0.25">
      <c r="A208" s="9" t="str">
        <f t="shared" si="51"/>
        <v>ЩУР.МОП1-6</v>
      </c>
      <c r="B208" s="7" t="s">
        <v>237</v>
      </c>
      <c r="C208" s="8" t="s">
        <v>151</v>
      </c>
      <c r="D208" s="7" t="s">
        <v>152</v>
      </c>
      <c r="E208" s="9">
        <v>1</v>
      </c>
      <c r="F208" s="10" t="s">
        <v>9</v>
      </c>
      <c r="G208" s="7" t="s">
        <v>157</v>
      </c>
      <c r="H208" s="9" t="str">
        <f>H207</f>
        <v>Блок6</v>
      </c>
    </row>
    <row r="209" spans="1:8" ht="27" customHeight="1" x14ac:dyDescent="0.25">
      <c r="A209" s="9" t="str">
        <f t="shared" si="51"/>
        <v>ЩУР.МОП1-6</v>
      </c>
      <c r="B209" s="7" t="s">
        <v>12</v>
      </c>
      <c r="C209" s="8" t="s">
        <v>243</v>
      </c>
      <c r="D209" s="7" t="s">
        <v>244</v>
      </c>
      <c r="E209" s="9">
        <v>1</v>
      </c>
      <c r="F209" s="10" t="s">
        <v>9</v>
      </c>
      <c r="G209" s="7" t="s">
        <v>13</v>
      </c>
      <c r="H209" s="9" t="str">
        <f>H207</f>
        <v>Блок6</v>
      </c>
    </row>
    <row r="210" spans="1:8" ht="27" customHeight="1" x14ac:dyDescent="0.25">
      <c r="A210" s="7" t="str">
        <f t="shared" si="51"/>
        <v>ЩУР.МОП1-6</v>
      </c>
      <c r="B210" s="7" t="s">
        <v>15</v>
      </c>
      <c r="C210" s="8" t="s">
        <v>15</v>
      </c>
      <c r="D210" s="7" t="s">
        <v>15</v>
      </c>
      <c r="E210" s="7">
        <v>1</v>
      </c>
      <c r="F210" s="7" t="s">
        <v>9</v>
      </c>
      <c r="G210" s="7" t="s">
        <v>15</v>
      </c>
      <c r="H210" s="9" t="str">
        <f>H209</f>
        <v>Блок6</v>
      </c>
    </row>
    <row r="211" spans="1:8" ht="27" customHeight="1" x14ac:dyDescent="0.25">
      <c r="A211" s="5" t="str">
        <f>D211</f>
        <v>РЩ1-6 (АВР-Б-40-2-1)</v>
      </c>
      <c r="B211" s="3"/>
      <c r="C211" s="4" t="str">
        <f>VLOOKUP(D211,[1]Sayfa2!$A:$F,2,0)</f>
        <v>989-090-0614</v>
      </c>
      <c r="D211" s="3" t="s">
        <v>105</v>
      </c>
      <c r="E211" s="5">
        <v>1</v>
      </c>
      <c r="F211" s="6" t="s">
        <v>6</v>
      </c>
      <c r="G211" s="3" t="s">
        <v>7</v>
      </c>
      <c r="H211" s="5" t="s">
        <v>52</v>
      </c>
    </row>
    <row r="212" spans="1:8" ht="27" customHeight="1" x14ac:dyDescent="0.25">
      <c r="A212" s="9" t="str">
        <f t="shared" ref="A212:A220" si="52">A211</f>
        <v>РЩ1-6 (АВР-Б-40-2-1)</v>
      </c>
      <c r="B212" s="7" t="s">
        <v>8</v>
      </c>
      <c r="C212" s="8" t="s">
        <v>129</v>
      </c>
      <c r="D212" s="7" t="s">
        <v>130</v>
      </c>
      <c r="E212" s="9">
        <v>1</v>
      </c>
      <c r="F212" s="10" t="s">
        <v>9</v>
      </c>
      <c r="G212" s="7" t="s">
        <v>10</v>
      </c>
      <c r="H212" s="9" t="str">
        <f t="shared" ref="H212:H220" si="53">H211</f>
        <v>Блок6</v>
      </c>
    </row>
    <row r="213" spans="1:8" ht="27" customHeight="1" x14ac:dyDescent="0.25">
      <c r="A213" s="9" t="str">
        <f t="shared" si="52"/>
        <v>РЩ1-6 (АВР-Б-40-2-1)</v>
      </c>
      <c r="B213" s="7" t="s">
        <v>29</v>
      </c>
      <c r="C213" s="8" t="s">
        <v>123</v>
      </c>
      <c r="D213" s="7" t="s">
        <v>124</v>
      </c>
      <c r="E213" s="9">
        <v>1</v>
      </c>
      <c r="F213" s="10" t="s">
        <v>9</v>
      </c>
      <c r="G213" s="7" t="s">
        <v>11</v>
      </c>
      <c r="H213" s="9" t="str">
        <f t="shared" si="53"/>
        <v>Блок6</v>
      </c>
    </row>
    <row r="214" spans="1:8" ht="27" customHeight="1" x14ac:dyDescent="0.25">
      <c r="A214" s="9" t="str">
        <f t="shared" si="52"/>
        <v>РЩ1-6 (АВР-Б-40-2-1)</v>
      </c>
      <c r="B214" s="7" t="s">
        <v>237</v>
      </c>
      <c r="C214" s="8" t="s">
        <v>163</v>
      </c>
      <c r="D214" s="7" t="s">
        <v>164</v>
      </c>
      <c r="E214" s="9">
        <v>2</v>
      </c>
      <c r="F214" s="10" t="s">
        <v>9</v>
      </c>
      <c r="G214" s="7" t="s">
        <v>157</v>
      </c>
      <c r="H214" s="9" t="str">
        <f t="shared" si="53"/>
        <v>Блок6</v>
      </c>
    </row>
    <row r="215" spans="1:8" ht="27" customHeight="1" x14ac:dyDescent="0.25">
      <c r="A215" s="9" t="str">
        <f t="shared" si="52"/>
        <v>РЩ1-6 (АВР-Б-40-2-1)</v>
      </c>
      <c r="B215" s="7" t="s">
        <v>237</v>
      </c>
      <c r="C215" s="8" t="s">
        <v>181</v>
      </c>
      <c r="D215" s="7" t="s">
        <v>182</v>
      </c>
      <c r="E215" s="9">
        <v>3</v>
      </c>
      <c r="F215" s="10" t="s">
        <v>9</v>
      </c>
      <c r="G215" s="7" t="s">
        <v>157</v>
      </c>
      <c r="H215" s="9" t="str">
        <f t="shared" si="53"/>
        <v>Блок6</v>
      </c>
    </row>
    <row r="216" spans="1:8" ht="27" customHeight="1" x14ac:dyDescent="0.25">
      <c r="A216" s="9" t="str">
        <f t="shared" si="52"/>
        <v>РЩ1-6 (АВР-Б-40-2-1)</v>
      </c>
      <c r="B216" s="7" t="s">
        <v>238</v>
      </c>
      <c r="C216" s="8" t="s">
        <v>153</v>
      </c>
      <c r="D216" s="7" t="s">
        <v>154</v>
      </c>
      <c r="E216" s="9">
        <v>2</v>
      </c>
      <c r="F216" s="10" t="s">
        <v>9</v>
      </c>
      <c r="G216" s="7" t="s">
        <v>157</v>
      </c>
      <c r="H216" s="9" t="str">
        <f t="shared" si="53"/>
        <v>Блок6</v>
      </c>
    </row>
    <row r="217" spans="1:8" ht="27" customHeight="1" x14ac:dyDescent="0.25">
      <c r="A217" s="9" t="str">
        <f t="shared" si="52"/>
        <v>РЩ1-6 (АВР-Б-40-2-1)</v>
      </c>
      <c r="B217" s="7" t="s">
        <v>237</v>
      </c>
      <c r="C217" s="8" t="s">
        <v>155</v>
      </c>
      <c r="D217" s="7" t="s">
        <v>156</v>
      </c>
      <c r="E217" s="9">
        <v>1</v>
      </c>
      <c r="F217" s="10" t="s">
        <v>9</v>
      </c>
      <c r="G217" s="7" t="s">
        <v>157</v>
      </c>
      <c r="H217" s="9" t="str">
        <f t="shared" si="53"/>
        <v>Блок6</v>
      </c>
    </row>
    <row r="218" spans="1:8" ht="27" customHeight="1" x14ac:dyDescent="0.25">
      <c r="A218" s="9" t="str">
        <f t="shared" si="52"/>
        <v>РЩ1-6 (АВР-Б-40-2-1)</v>
      </c>
      <c r="B218" s="7" t="s">
        <v>12</v>
      </c>
      <c r="C218" s="8" t="s">
        <v>243</v>
      </c>
      <c r="D218" s="7" t="s">
        <v>244</v>
      </c>
      <c r="E218" s="9">
        <v>1</v>
      </c>
      <c r="F218" s="10" t="s">
        <v>9</v>
      </c>
      <c r="G218" s="7" t="s">
        <v>13</v>
      </c>
      <c r="H218" s="9" t="str">
        <f t="shared" si="53"/>
        <v>Блок6</v>
      </c>
    </row>
    <row r="219" spans="1:8" ht="27" customHeight="1" x14ac:dyDescent="0.25">
      <c r="A219" s="9" t="str">
        <f t="shared" si="52"/>
        <v>РЩ1-6 (АВР-Б-40-2-1)</v>
      </c>
      <c r="B219" s="7" t="s">
        <v>22</v>
      </c>
      <c r="C219" s="8"/>
      <c r="D219" s="7" t="s">
        <v>23</v>
      </c>
      <c r="E219" s="9">
        <v>6</v>
      </c>
      <c r="F219" s="10" t="s">
        <v>9</v>
      </c>
      <c r="G219" s="7" t="s">
        <v>19</v>
      </c>
      <c r="H219" s="9" t="str">
        <f t="shared" si="53"/>
        <v>Блок6</v>
      </c>
    </row>
    <row r="220" spans="1:8" ht="27" customHeight="1" x14ac:dyDescent="0.25">
      <c r="A220" s="7" t="str">
        <f t="shared" si="52"/>
        <v>РЩ1-6 (АВР-Б-40-2-1)</v>
      </c>
      <c r="B220" s="7" t="s">
        <v>15</v>
      </c>
      <c r="C220" s="8" t="s">
        <v>15</v>
      </c>
      <c r="D220" s="7" t="s">
        <v>15</v>
      </c>
      <c r="E220" s="7">
        <v>1</v>
      </c>
      <c r="F220" s="7" t="s">
        <v>9</v>
      </c>
      <c r="G220" s="7" t="s">
        <v>15</v>
      </c>
      <c r="H220" s="9" t="str">
        <f t="shared" si="53"/>
        <v>Блок6</v>
      </c>
    </row>
    <row r="221" spans="1:8" ht="27" customHeight="1" x14ac:dyDescent="0.25">
      <c r="A221" s="5" t="str">
        <f>D221</f>
        <v>ВРУ1-7</v>
      </c>
      <c r="B221" s="3"/>
      <c r="C221" s="4" t="str">
        <f>VLOOKUP(D221,[1]Sayfa2!$A:$F,2,0)</f>
        <v>989-090-0615</v>
      </c>
      <c r="D221" s="3" t="s">
        <v>54</v>
      </c>
      <c r="E221" s="5">
        <v>1</v>
      </c>
      <c r="F221" s="6" t="s">
        <v>6</v>
      </c>
      <c r="G221" s="3" t="s">
        <v>7</v>
      </c>
      <c r="H221" s="5" t="s">
        <v>55</v>
      </c>
    </row>
    <row r="222" spans="1:8" ht="27" customHeight="1" x14ac:dyDescent="0.25">
      <c r="A222" s="9" t="str">
        <f t="shared" ref="A222:A230" si="54">A221</f>
        <v>ВРУ1-7</v>
      </c>
      <c r="B222" s="7" t="s">
        <v>8</v>
      </c>
      <c r="C222" s="8" t="s">
        <v>133</v>
      </c>
      <c r="D222" s="7" t="s">
        <v>134</v>
      </c>
      <c r="E222" s="9">
        <v>1</v>
      </c>
      <c r="F222" s="10" t="s">
        <v>9</v>
      </c>
      <c r="G222" s="7" t="s">
        <v>10</v>
      </c>
      <c r="H222" s="9" t="str">
        <f t="shared" ref="H222:H224" si="55">H221</f>
        <v>Блок7</v>
      </c>
    </row>
    <row r="223" spans="1:8" ht="27" customHeight="1" x14ac:dyDescent="0.25">
      <c r="A223" s="9" t="str">
        <f t="shared" si="54"/>
        <v>ВРУ1-7</v>
      </c>
      <c r="B223" s="7" t="s">
        <v>18</v>
      </c>
      <c r="C223" s="8" t="s">
        <v>251</v>
      </c>
      <c r="D223" s="7" t="s">
        <v>252</v>
      </c>
      <c r="E223" s="9">
        <v>6</v>
      </c>
      <c r="F223" s="10" t="s">
        <v>9</v>
      </c>
      <c r="G223" s="7" t="s">
        <v>19</v>
      </c>
      <c r="H223" s="9" t="str">
        <f t="shared" si="55"/>
        <v>Блок7</v>
      </c>
    </row>
    <row r="224" spans="1:8" ht="27" customHeight="1" x14ac:dyDescent="0.25">
      <c r="A224" s="9" t="str">
        <f t="shared" si="54"/>
        <v>ВРУ1-7</v>
      </c>
      <c r="B224" s="7" t="s">
        <v>20</v>
      </c>
      <c r="C224" s="8" t="s">
        <v>135</v>
      </c>
      <c r="D224" s="7" t="s">
        <v>136</v>
      </c>
      <c r="E224" s="9">
        <v>2</v>
      </c>
      <c r="F224" s="10" t="s">
        <v>9</v>
      </c>
      <c r="G224" s="7" t="s">
        <v>19</v>
      </c>
      <c r="H224" s="9" t="str">
        <f t="shared" si="55"/>
        <v>Блок7</v>
      </c>
    </row>
    <row r="225" spans="1:8" ht="27" customHeight="1" x14ac:dyDescent="0.25">
      <c r="A225" s="9" t="str">
        <f t="shared" si="54"/>
        <v>ВРУ1-7</v>
      </c>
      <c r="B225" s="7" t="s">
        <v>94</v>
      </c>
      <c r="C225" s="8" t="s">
        <v>97</v>
      </c>
      <c r="D225" s="7" t="s">
        <v>98</v>
      </c>
      <c r="E225" s="9">
        <v>6</v>
      </c>
      <c r="F225" s="10" t="s">
        <v>9</v>
      </c>
      <c r="G225" s="7" t="s">
        <v>11</v>
      </c>
      <c r="H225" s="9" t="str">
        <f>H223</f>
        <v>Блок7</v>
      </c>
    </row>
    <row r="226" spans="1:8" ht="27" customHeight="1" x14ac:dyDescent="0.25">
      <c r="A226" s="9" t="str">
        <f t="shared" si="54"/>
        <v>ВРУ1-7</v>
      </c>
      <c r="B226" s="7" t="s">
        <v>93</v>
      </c>
      <c r="C226" s="8" t="s">
        <v>95</v>
      </c>
      <c r="D226" s="7" t="s">
        <v>96</v>
      </c>
      <c r="E226" s="9">
        <v>6</v>
      </c>
      <c r="F226" s="10" t="s">
        <v>9</v>
      </c>
      <c r="G226" s="7" t="s">
        <v>11</v>
      </c>
      <c r="H226" s="9" t="str">
        <f t="shared" ref="H226:H230" si="56">H224</f>
        <v>Блок7</v>
      </c>
    </row>
    <row r="227" spans="1:8" ht="27" customHeight="1" x14ac:dyDescent="0.25">
      <c r="A227" s="9" t="str">
        <f t="shared" si="54"/>
        <v>ВРУ1-7</v>
      </c>
      <c r="B227" s="7" t="s">
        <v>237</v>
      </c>
      <c r="C227" s="8" t="s">
        <v>139</v>
      </c>
      <c r="D227" s="7" t="s">
        <v>140</v>
      </c>
      <c r="E227" s="9">
        <v>2</v>
      </c>
      <c r="F227" s="10" t="s">
        <v>9</v>
      </c>
      <c r="G227" s="7" t="s">
        <v>157</v>
      </c>
      <c r="H227" s="9" t="str">
        <f t="shared" si="56"/>
        <v>Блок7</v>
      </c>
    </row>
    <row r="228" spans="1:8" ht="27" customHeight="1" x14ac:dyDescent="0.25">
      <c r="A228" s="9" t="str">
        <f t="shared" si="54"/>
        <v>ВРУ1-7</v>
      </c>
      <c r="B228" s="7" t="s">
        <v>12</v>
      </c>
      <c r="C228" s="8" t="s">
        <v>241</v>
      </c>
      <c r="D228" s="11" t="s">
        <v>242</v>
      </c>
      <c r="E228" s="9">
        <v>2</v>
      </c>
      <c r="F228" s="10" t="s">
        <v>9</v>
      </c>
      <c r="G228" s="7" t="s">
        <v>13</v>
      </c>
      <c r="H228" s="9" t="str">
        <f t="shared" si="56"/>
        <v>Блок7</v>
      </c>
    </row>
    <row r="229" spans="1:8" ht="27" customHeight="1" x14ac:dyDescent="0.25">
      <c r="A229" s="9" t="str">
        <f t="shared" si="54"/>
        <v>ВРУ1-7</v>
      </c>
      <c r="B229" s="7" t="s">
        <v>22</v>
      </c>
      <c r="C229" s="8"/>
      <c r="D229" s="7" t="s">
        <v>23</v>
      </c>
      <c r="E229" s="9">
        <v>6</v>
      </c>
      <c r="F229" s="10" t="s">
        <v>9</v>
      </c>
      <c r="G229" s="7" t="s">
        <v>19</v>
      </c>
      <c r="H229" s="9" t="str">
        <f t="shared" si="56"/>
        <v>Блок7</v>
      </c>
    </row>
    <row r="230" spans="1:8" ht="27" customHeight="1" x14ac:dyDescent="0.25">
      <c r="A230" s="7" t="str">
        <f t="shared" si="54"/>
        <v>ВРУ1-7</v>
      </c>
      <c r="B230" s="7" t="s">
        <v>15</v>
      </c>
      <c r="C230" s="8" t="s">
        <v>15</v>
      </c>
      <c r="D230" s="7" t="s">
        <v>15</v>
      </c>
      <c r="E230" s="7">
        <v>1</v>
      </c>
      <c r="F230" s="7" t="s">
        <v>9</v>
      </c>
      <c r="G230" s="7" t="s">
        <v>15</v>
      </c>
      <c r="H230" s="9" t="str">
        <f t="shared" si="56"/>
        <v>Блок7</v>
      </c>
    </row>
    <row r="231" spans="1:8" ht="27" customHeight="1" x14ac:dyDescent="0.25">
      <c r="A231" s="5" t="str">
        <f>D231</f>
        <v>РУ-1-7</v>
      </c>
      <c r="B231" s="3"/>
      <c r="C231" s="4" t="str">
        <f>VLOOKUP(D231,[1]Sayfa2!$A:$F,2,0)</f>
        <v>989-090-0616</v>
      </c>
      <c r="D231" s="3" t="s">
        <v>56</v>
      </c>
      <c r="E231" s="5">
        <v>1</v>
      </c>
      <c r="F231" s="6" t="s">
        <v>6</v>
      </c>
      <c r="G231" s="3" t="s">
        <v>7</v>
      </c>
      <c r="H231" s="5" t="s">
        <v>55</v>
      </c>
    </row>
    <row r="232" spans="1:8" ht="27" customHeight="1" x14ac:dyDescent="0.25">
      <c r="A232" s="9" t="str">
        <f t="shared" ref="A232:A236" si="57">A231</f>
        <v>РУ-1-7</v>
      </c>
      <c r="B232" s="7" t="s">
        <v>8</v>
      </c>
      <c r="C232" s="8" t="s">
        <v>131</v>
      </c>
      <c r="D232" s="7" t="s">
        <v>132</v>
      </c>
      <c r="E232" s="9">
        <v>1</v>
      </c>
      <c r="F232" s="10" t="s">
        <v>9</v>
      </c>
      <c r="G232" s="7" t="s">
        <v>10</v>
      </c>
      <c r="H232" s="9" t="str">
        <f t="shared" ref="H232:H236" si="58">H231</f>
        <v>Блок7</v>
      </c>
    </row>
    <row r="233" spans="1:8" ht="27" customHeight="1" x14ac:dyDescent="0.25">
      <c r="A233" s="9" t="str">
        <f t="shared" si="57"/>
        <v>РУ-1-7</v>
      </c>
      <c r="B233" s="7" t="s">
        <v>238</v>
      </c>
      <c r="C233" s="8" t="s">
        <v>175</v>
      </c>
      <c r="D233" s="7" t="s">
        <v>176</v>
      </c>
      <c r="E233" s="9">
        <v>4</v>
      </c>
      <c r="F233" s="10" t="s">
        <v>9</v>
      </c>
      <c r="G233" s="7" t="s">
        <v>157</v>
      </c>
      <c r="H233" s="9" t="str">
        <f t="shared" si="58"/>
        <v>Блок7</v>
      </c>
    </row>
    <row r="234" spans="1:8" ht="27" customHeight="1" x14ac:dyDescent="0.25">
      <c r="A234" s="9" t="str">
        <f t="shared" si="57"/>
        <v>РУ-1-7</v>
      </c>
      <c r="B234" s="7" t="s">
        <v>238</v>
      </c>
      <c r="C234" s="8" t="s">
        <v>179</v>
      </c>
      <c r="D234" s="7" t="s">
        <v>180</v>
      </c>
      <c r="E234" s="9">
        <v>1</v>
      </c>
      <c r="F234" s="10" t="s">
        <v>9</v>
      </c>
      <c r="G234" s="7" t="s">
        <v>11</v>
      </c>
      <c r="H234" s="9" t="str">
        <f t="shared" si="58"/>
        <v>Блок7</v>
      </c>
    </row>
    <row r="235" spans="1:8" ht="27" customHeight="1" x14ac:dyDescent="0.25">
      <c r="A235" s="9" t="str">
        <f t="shared" si="57"/>
        <v>РУ-1-7</v>
      </c>
      <c r="B235" s="7" t="s">
        <v>237</v>
      </c>
      <c r="C235" s="8" t="s">
        <v>167</v>
      </c>
      <c r="D235" s="7" t="s">
        <v>168</v>
      </c>
      <c r="E235" s="9">
        <v>2</v>
      </c>
      <c r="F235" s="10" t="s">
        <v>9</v>
      </c>
      <c r="G235" s="7" t="s">
        <v>157</v>
      </c>
      <c r="H235" s="9" t="str">
        <f t="shared" si="58"/>
        <v>Блок7</v>
      </c>
    </row>
    <row r="236" spans="1:8" ht="27" customHeight="1" x14ac:dyDescent="0.25">
      <c r="A236" s="7" t="str">
        <f t="shared" si="57"/>
        <v>РУ-1-7</v>
      </c>
      <c r="B236" s="7" t="s">
        <v>15</v>
      </c>
      <c r="C236" s="8" t="s">
        <v>15</v>
      </c>
      <c r="D236" s="7" t="s">
        <v>15</v>
      </c>
      <c r="E236" s="7">
        <v>1</v>
      </c>
      <c r="F236" s="7" t="s">
        <v>9</v>
      </c>
      <c r="G236" s="7" t="s">
        <v>15</v>
      </c>
      <c r="H236" s="9" t="str">
        <f t="shared" si="58"/>
        <v>Блок7</v>
      </c>
    </row>
    <row r="237" spans="1:8" ht="27" customHeight="1" x14ac:dyDescent="0.25">
      <c r="A237" s="5" t="str">
        <f>D237</f>
        <v>ЩУР.МОП1-7</v>
      </c>
      <c r="B237" s="3"/>
      <c r="C237" s="4" t="str">
        <f>VLOOKUP(D237,[1]Sayfa2!$A:$F,2,0)</f>
        <v>989-090-0617</v>
      </c>
      <c r="D237" s="3" t="s">
        <v>57</v>
      </c>
      <c r="E237" s="5">
        <v>1</v>
      </c>
      <c r="F237" s="6" t="s">
        <v>6</v>
      </c>
      <c r="G237" s="3" t="s">
        <v>7</v>
      </c>
      <c r="H237" s="5" t="s">
        <v>55</v>
      </c>
    </row>
    <row r="238" spans="1:8" ht="27" customHeight="1" x14ac:dyDescent="0.25">
      <c r="A238" s="9" t="str">
        <f t="shared" ref="A238:A243" si="59">A237</f>
        <v>ЩУР.МОП1-7</v>
      </c>
      <c r="B238" s="7" t="s">
        <v>8</v>
      </c>
      <c r="C238" s="8" t="s">
        <v>27</v>
      </c>
      <c r="D238" s="7" t="s">
        <v>28</v>
      </c>
      <c r="E238" s="9">
        <v>1</v>
      </c>
      <c r="F238" s="10" t="s">
        <v>9</v>
      </c>
      <c r="G238" s="7" t="s">
        <v>10</v>
      </c>
      <c r="H238" s="9" t="str">
        <f t="shared" ref="H238:H243" si="60">H237</f>
        <v>Блок7</v>
      </c>
    </row>
    <row r="239" spans="1:8" ht="27" customHeight="1" x14ac:dyDescent="0.25">
      <c r="A239" s="9" t="str">
        <f t="shared" si="59"/>
        <v>ЩУР.МОП1-7</v>
      </c>
      <c r="B239" s="7" t="s">
        <v>237</v>
      </c>
      <c r="C239" s="8" t="s">
        <v>145</v>
      </c>
      <c r="D239" s="7" t="s">
        <v>146</v>
      </c>
      <c r="E239" s="9">
        <v>1</v>
      </c>
      <c r="F239" s="10" t="s">
        <v>9</v>
      </c>
      <c r="G239" s="7" t="s">
        <v>157</v>
      </c>
      <c r="H239" s="9" t="str">
        <f t="shared" si="60"/>
        <v>Блок7</v>
      </c>
    </row>
    <row r="240" spans="1:8" ht="27" customHeight="1" x14ac:dyDescent="0.25">
      <c r="A240" s="9" t="str">
        <f t="shared" si="59"/>
        <v>ЩУР.МОП1-7</v>
      </c>
      <c r="B240" s="7" t="s">
        <v>237</v>
      </c>
      <c r="C240" s="8" t="s">
        <v>151</v>
      </c>
      <c r="D240" s="7" t="s">
        <v>152</v>
      </c>
      <c r="E240" s="9">
        <v>1</v>
      </c>
      <c r="F240" s="10" t="s">
        <v>9</v>
      </c>
      <c r="G240" s="7" t="s">
        <v>157</v>
      </c>
      <c r="H240" s="9" t="str">
        <f t="shared" si="60"/>
        <v>Блок7</v>
      </c>
    </row>
    <row r="241" spans="1:8" ht="27" customHeight="1" x14ac:dyDescent="0.25">
      <c r="A241" s="9" t="str">
        <f t="shared" si="59"/>
        <v>ЩУР.МОП1-7</v>
      </c>
      <c r="B241" s="7" t="s">
        <v>237</v>
      </c>
      <c r="C241" s="8" t="s">
        <v>143</v>
      </c>
      <c r="D241" s="7" t="s">
        <v>144</v>
      </c>
      <c r="E241" s="9">
        <v>3</v>
      </c>
      <c r="F241" s="10" t="s">
        <v>9</v>
      </c>
      <c r="G241" s="7" t="s">
        <v>157</v>
      </c>
      <c r="H241" s="9" t="str">
        <f t="shared" si="60"/>
        <v>Блок7</v>
      </c>
    </row>
    <row r="242" spans="1:8" ht="27" customHeight="1" x14ac:dyDescent="0.25">
      <c r="A242" s="9" t="str">
        <f t="shared" si="59"/>
        <v>ЩУР.МОП1-7</v>
      </c>
      <c r="B242" s="7" t="s">
        <v>12</v>
      </c>
      <c r="C242" s="8" t="s">
        <v>243</v>
      </c>
      <c r="D242" s="7" t="s">
        <v>244</v>
      </c>
      <c r="E242" s="9">
        <v>1</v>
      </c>
      <c r="F242" s="10" t="s">
        <v>9</v>
      </c>
      <c r="G242" s="7" t="s">
        <v>13</v>
      </c>
      <c r="H242" s="9" t="str">
        <f t="shared" si="60"/>
        <v>Блок7</v>
      </c>
    </row>
    <row r="243" spans="1:8" ht="27" customHeight="1" x14ac:dyDescent="0.25">
      <c r="A243" s="7" t="str">
        <f t="shared" si="59"/>
        <v>ЩУР.МОП1-7</v>
      </c>
      <c r="B243" s="7" t="s">
        <v>15</v>
      </c>
      <c r="C243" s="8" t="s">
        <v>15</v>
      </c>
      <c r="D243" s="7" t="s">
        <v>15</v>
      </c>
      <c r="E243" s="7">
        <v>1</v>
      </c>
      <c r="F243" s="7" t="s">
        <v>9</v>
      </c>
      <c r="G243" s="7" t="s">
        <v>15</v>
      </c>
      <c r="H243" s="9" t="str">
        <f t="shared" si="60"/>
        <v>Блок7</v>
      </c>
    </row>
    <row r="244" spans="1:8" ht="27" customHeight="1" x14ac:dyDescent="0.25">
      <c r="A244" s="5" t="str">
        <f>D244</f>
        <v>РЩ1-7 (АВР-Б-40-2-1)</v>
      </c>
      <c r="B244" s="3"/>
      <c r="C244" s="4" t="str">
        <f>VLOOKUP(D244,[1]Sayfa2!$A:$F,2,0)</f>
        <v>989-090-0618</v>
      </c>
      <c r="D244" s="3" t="s">
        <v>106</v>
      </c>
      <c r="E244" s="5">
        <v>1</v>
      </c>
      <c r="F244" s="6" t="s">
        <v>6</v>
      </c>
      <c r="G244" s="3" t="s">
        <v>7</v>
      </c>
      <c r="H244" s="5" t="s">
        <v>55</v>
      </c>
    </row>
    <row r="245" spans="1:8" ht="27" customHeight="1" x14ac:dyDescent="0.25">
      <c r="A245" s="9" t="str">
        <f t="shared" ref="A245:A253" si="61">A244</f>
        <v>РЩ1-7 (АВР-Б-40-2-1)</v>
      </c>
      <c r="B245" s="7" t="s">
        <v>8</v>
      </c>
      <c r="C245" s="8" t="s">
        <v>129</v>
      </c>
      <c r="D245" s="7" t="s">
        <v>130</v>
      </c>
      <c r="E245" s="9">
        <v>1</v>
      </c>
      <c r="F245" s="10" t="s">
        <v>9</v>
      </c>
      <c r="G245" s="7" t="s">
        <v>10</v>
      </c>
      <c r="H245" s="9" t="str">
        <f t="shared" ref="H245:H253" si="62">H244</f>
        <v>Блок7</v>
      </c>
    </row>
    <row r="246" spans="1:8" ht="27" customHeight="1" x14ac:dyDescent="0.25">
      <c r="A246" s="9" t="str">
        <f t="shared" si="61"/>
        <v>РЩ1-7 (АВР-Б-40-2-1)</v>
      </c>
      <c r="B246" s="7" t="s">
        <v>29</v>
      </c>
      <c r="C246" s="8" t="s">
        <v>123</v>
      </c>
      <c r="D246" s="7" t="s">
        <v>124</v>
      </c>
      <c r="E246" s="9">
        <v>1</v>
      </c>
      <c r="F246" s="10" t="s">
        <v>9</v>
      </c>
      <c r="G246" s="7" t="s">
        <v>11</v>
      </c>
      <c r="H246" s="9" t="str">
        <f t="shared" si="62"/>
        <v>Блок7</v>
      </c>
    </row>
    <row r="247" spans="1:8" ht="27" customHeight="1" x14ac:dyDescent="0.25">
      <c r="A247" s="9" t="str">
        <f t="shared" si="61"/>
        <v>РЩ1-7 (АВР-Б-40-2-1)</v>
      </c>
      <c r="B247" s="7" t="s">
        <v>237</v>
      </c>
      <c r="C247" s="8" t="s">
        <v>163</v>
      </c>
      <c r="D247" s="7" t="s">
        <v>164</v>
      </c>
      <c r="E247" s="9">
        <v>2</v>
      </c>
      <c r="F247" s="10" t="s">
        <v>9</v>
      </c>
      <c r="G247" s="7" t="s">
        <v>157</v>
      </c>
      <c r="H247" s="9" t="str">
        <f t="shared" si="62"/>
        <v>Блок7</v>
      </c>
    </row>
    <row r="248" spans="1:8" ht="27" customHeight="1" x14ac:dyDescent="0.25">
      <c r="A248" s="9" t="str">
        <f t="shared" si="61"/>
        <v>РЩ1-7 (АВР-Б-40-2-1)</v>
      </c>
      <c r="B248" s="7" t="s">
        <v>237</v>
      </c>
      <c r="C248" s="8" t="s">
        <v>181</v>
      </c>
      <c r="D248" s="7" t="s">
        <v>182</v>
      </c>
      <c r="E248" s="9">
        <v>3</v>
      </c>
      <c r="F248" s="10" t="s">
        <v>9</v>
      </c>
      <c r="G248" s="7" t="s">
        <v>157</v>
      </c>
      <c r="H248" s="9" t="str">
        <f t="shared" si="62"/>
        <v>Блок7</v>
      </c>
    </row>
    <row r="249" spans="1:8" ht="27" customHeight="1" x14ac:dyDescent="0.25">
      <c r="A249" s="9" t="str">
        <f t="shared" si="61"/>
        <v>РЩ1-7 (АВР-Б-40-2-1)</v>
      </c>
      <c r="B249" s="7" t="s">
        <v>238</v>
      </c>
      <c r="C249" s="8" t="s">
        <v>153</v>
      </c>
      <c r="D249" s="7" t="s">
        <v>154</v>
      </c>
      <c r="E249" s="9">
        <v>2</v>
      </c>
      <c r="F249" s="10" t="s">
        <v>9</v>
      </c>
      <c r="G249" s="7" t="s">
        <v>157</v>
      </c>
      <c r="H249" s="9" t="str">
        <f t="shared" si="62"/>
        <v>Блок7</v>
      </c>
    </row>
    <row r="250" spans="1:8" ht="27" customHeight="1" x14ac:dyDescent="0.25">
      <c r="A250" s="9" t="str">
        <f t="shared" si="61"/>
        <v>РЩ1-7 (АВР-Б-40-2-1)</v>
      </c>
      <c r="B250" s="7" t="s">
        <v>237</v>
      </c>
      <c r="C250" s="8" t="s">
        <v>155</v>
      </c>
      <c r="D250" s="7" t="s">
        <v>156</v>
      </c>
      <c r="E250" s="9">
        <v>1</v>
      </c>
      <c r="F250" s="10" t="s">
        <v>9</v>
      </c>
      <c r="G250" s="7" t="s">
        <v>157</v>
      </c>
      <c r="H250" s="9" t="str">
        <f t="shared" si="62"/>
        <v>Блок7</v>
      </c>
    </row>
    <row r="251" spans="1:8" ht="27" customHeight="1" x14ac:dyDescent="0.25">
      <c r="A251" s="9" t="str">
        <f t="shared" si="61"/>
        <v>РЩ1-7 (АВР-Б-40-2-1)</v>
      </c>
      <c r="B251" s="7" t="s">
        <v>12</v>
      </c>
      <c r="C251" s="8" t="s">
        <v>243</v>
      </c>
      <c r="D251" s="7" t="s">
        <v>244</v>
      </c>
      <c r="E251" s="9">
        <v>1</v>
      </c>
      <c r="F251" s="10" t="s">
        <v>9</v>
      </c>
      <c r="G251" s="7" t="s">
        <v>13</v>
      </c>
      <c r="H251" s="9" t="str">
        <f t="shared" si="62"/>
        <v>Блок7</v>
      </c>
    </row>
    <row r="252" spans="1:8" ht="27" customHeight="1" x14ac:dyDescent="0.25">
      <c r="A252" s="9" t="str">
        <f t="shared" si="61"/>
        <v>РЩ1-7 (АВР-Б-40-2-1)</v>
      </c>
      <c r="B252" s="7" t="s">
        <v>22</v>
      </c>
      <c r="C252" s="8"/>
      <c r="D252" s="7" t="s">
        <v>23</v>
      </c>
      <c r="E252" s="9">
        <v>6</v>
      </c>
      <c r="F252" s="10" t="s">
        <v>9</v>
      </c>
      <c r="G252" s="7" t="s">
        <v>19</v>
      </c>
      <c r="H252" s="9" t="str">
        <f t="shared" si="62"/>
        <v>Блок7</v>
      </c>
    </row>
    <row r="253" spans="1:8" ht="27" customHeight="1" x14ac:dyDescent="0.25">
      <c r="A253" s="7" t="str">
        <f t="shared" si="61"/>
        <v>РЩ1-7 (АВР-Б-40-2-1)</v>
      </c>
      <c r="B253" s="7" t="s">
        <v>15</v>
      </c>
      <c r="C253" s="8" t="s">
        <v>15</v>
      </c>
      <c r="D253" s="7" t="s">
        <v>15</v>
      </c>
      <c r="E253" s="7">
        <v>1</v>
      </c>
      <c r="F253" s="7" t="s">
        <v>9</v>
      </c>
      <c r="G253" s="7" t="s">
        <v>15</v>
      </c>
      <c r="H253" s="9" t="str">
        <f t="shared" si="62"/>
        <v>Блок7</v>
      </c>
    </row>
    <row r="254" spans="1:8" ht="27" customHeight="1" x14ac:dyDescent="0.25">
      <c r="A254" s="5" t="str">
        <f>D254</f>
        <v>ВРУ1-8</v>
      </c>
      <c r="B254" s="3"/>
      <c r="C254" s="4" t="str">
        <f>VLOOKUP(D254,[1]Sayfa2!$A:$F,2,0)</f>
        <v>989-090-0619</v>
      </c>
      <c r="D254" s="3" t="s">
        <v>58</v>
      </c>
      <c r="E254" s="5">
        <v>1</v>
      </c>
      <c r="F254" s="6" t="s">
        <v>6</v>
      </c>
      <c r="G254" s="3" t="s">
        <v>7</v>
      </c>
      <c r="H254" s="5" t="s">
        <v>59</v>
      </c>
    </row>
    <row r="255" spans="1:8" ht="27" customHeight="1" x14ac:dyDescent="0.25">
      <c r="A255" s="9" t="str">
        <f t="shared" ref="A255:A263" si="63">A254</f>
        <v>ВРУ1-8</v>
      </c>
      <c r="B255" s="7" t="s">
        <v>8</v>
      </c>
      <c r="C255" s="8" t="s">
        <v>133</v>
      </c>
      <c r="D255" s="7" t="s">
        <v>134</v>
      </c>
      <c r="E255" s="9">
        <v>1</v>
      </c>
      <c r="F255" s="10" t="s">
        <v>9</v>
      </c>
      <c r="G255" s="7" t="s">
        <v>10</v>
      </c>
      <c r="H255" s="9" t="str">
        <f t="shared" ref="H255:H263" si="64">H254</f>
        <v>Блок8</v>
      </c>
    </row>
    <row r="256" spans="1:8" ht="27" customHeight="1" x14ac:dyDescent="0.25">
      <c r="A256" s="9" t="str">
        <f t="shared" si="63"/>
        <v>ВРУ1-8</v>
      </c>
      <c r="B256" s="7" t="s">
        <v>18</v>
      </c>
      <c r="C256" s="8" t="s">
        <v>251</v>
      </c>
      <c r="D256" s="7" t="s">
        <v>252</v>
      </c>
      <c r="E256" s="9">
        <v>6</v>
      </c>
      <c r="F256" s="10" t="s">
        <v>9</v>
      </c>
      <c r="G256" s="7" t="s">
        <v>19</v>
      </c>
      <c r="H256" s="9" t="str">
        <f t="shared" si="64"/>
        <v>Блок8</v>
      </c>
    </row>
    <row r="257" spans="1:8" ht="27" customHeight="1" x14ac:dyDescent="0.25">
      <c r="A257" s="9" t="str">
        <f t="shared" si="63"/>
        <v>ВРУ1-8</v>
      </c>
      <c r="B257" s="7" t="s">
        <v>20</v>
      </c>
      <c r="C257" s="8" t="s">
        <v>135</v>
      </c>
      <c r="D257" s="7" t="s">
        <v>136</v>
      </c>
      <c r="E257" s="9">
        <v>2</v>
      </c>
      <c r="F257" s="10" t="s">
        <v>9</v>
      </c>
      <c r="G257" s="7" t="s">
        <v>19</v>
      </c>
      <c r="H257" s="9" t="str">
        <f t="shared" si="64"/>
        <v>Блок8</v>
      </c>
    </row>
    <row r="258" spans="1:8" ht="27" customHeight="1" x14ac:dyDescent="0.25">
      <c r="A258" s="9" t="str">
        <f t="shared" si="63"/>
        <v>ВРУ1-8</v>
      </c>
      <c r="B258" s="7" t="s">
        <v>94</v>
      </c>
      <c r="C258" s="8" t="s">
        <v>97</v>
      </c>
      <c r="D258" s="7" t="s">
        <v>98</v>
      </c>
      <c r="E258" s="9">
        <v>6</v>
      </c>
      <c r="F258" s="10" t="s">
        <v>9</v>
      </c>
      <c r="G258" s="7" t="s">
        <v>11</v>
      </c>
      <c r="H258" s="9" t="str">
        <f t="shared" si="64"/>
        <v>Блок8</v>
      </c>
    </row>
    <row r="259" spans="1:8" ht="27" customHeight="1" x14ac:dyDescent="0.25">
      <c r="A259" s="9" t="str">
        <f t="shared" si="63"/>
        <v>ВРУ1-8</v>
      </c>
      <c r="B259" s="7" t="s">
        <v>93</v>
      </c>
      <c r="C259" s="8" t="s">
        <v>95</v>
      </c>
      <c r="D259" s="7" t="s">
        <v>96</v>
      </c>
      <c r="E259" s="9">
        <v>6</v>
      </c>
      <c r="F259" s="10" t="s">
        <v>9</v>
      </c>
      <c r="G259" s="7" t="s">
        <v>11</v>
      </c>
      <c r="H259" s="9" t="str">
        <f t="shared" si="64"/>
        <v>Блок8</v>
      </c>
    </row>
    <row r="260" spans="1:8" ht="27" customHeight="1" x14ac:dyDescent="0.25">
      <c r="A260" s="9" t="str">
        <f t="shared" si="63"/>
        <v>ВРУ1-8</v>
      </c>
      <c r="B260" s="7" t="s">
        <v>237</v>
      </c>
      <c r="C260" s="8" t="s">
        <v>139</v>
      </c>
      <c r="D260" s="7" t="s">
        <v>140</v>
      </c>
      <c r="E260" s="9">
        <v>2</v>
      </c>
      <c r="F260" s="10" t="s">
        <v>9</v>
      </c>
      <c r="G260" s="7" t="s">
        <v>157</v>
      </c>
      <c r="H260" s="9" t="str">
        <f t="shared" si="64"/>
        <v>Блок8</v>
      </c>
    </row>
    <row r="261" spans="1:8" ht="27" customHeight="1" x14ac:dyDescent="0.25">
      <c r="A261" s="9" t="str">
        <f t="shared" si="63"/>
        <v>ВРУ1-8</v>
      </c>
      <c r="B261" s="7" t="s">
        <v>12</v>
      </c>
      <c r="C261" s="8" t="s">
        <v>241</v>
      </c>
      <c r="D261" s="11" t="s">
        <v>242</v>
      </c>
      <c r="E261" s="9">
        <v>2</v>
      </c>
      <c r="F261" s="10" t="s">
        <v>9</v>
      </c>
      <c r="G261" s="7" t="s">
        <v>13</v>
      </c>
      <c r="H261" s="9" t="str">
        <f t="shared" si="64"/>
        <v>Блок8</v>
      </c>
    </row>
    <row r="262" spans="1:8" ht="27" customHeight="1" x14ac:dyDescent="0.25">
      <c r="A262" s="9" t="str">
        <f t="shared" si="63"/>
        <v>ВРУ1-8</v>
      </c>
      <c r="B262" s="7" t="s">
        <v>22</v>
      </c>
      <c r="C262" s="8"/>
      <c r="D262" s="7" t="s">
        <v>23</v>
      </c>
      <c r="E262" s="9">
        <v>6</v>
      </c>
      <c r="F262" s="10" t="s">
        <v>9</v>
      </c>
      <c r="G262" s="7" t="s">
        <v>19</v>
      </c>
      <c r="H262" s="9" t="str">
        <f t="shared" si="64"/>
        <v>Блок8</v>
      </c>
    </row>
    <row r="263" spans="1:8" ht="27" customHeight="1" x14ac:dyDescent="0.25">
      <c r="A263" s="7" t="str">
        <f t="shared" si="63"/>
        <v>ВРУ1-8</v>
      </c>
      <c r="B263" s="7" t="s">
        <v>15</v>
      </c>
      <c r="C263" s="8" t="s">
        <v>15</v>
      </c>
      <c r="D263" s="7" t="s">
        <v>15</v>
      </c>
      <c r="E263" s="7">
        <v>1</v>
      </c>
      <c r="F263" s="7" t="s">
        <v>9</v>
      </c>
      <c r="G263" s="7" t="s">
        <v>15</v>
      </c>
      <c r="H263" s="9" t="str">
        <f t="shared" si="64"/>
        <v>Блок8</v>
      </c>
    </row>
    <row r="264" spans="1:8" ht="27" customHeight="1" x14ac:dyDescent="0.25">
      <c r="A264" s="5" t="str">
        <f>D264</f>
        <v>РУ-1-8</v>
      </c>
      <c r="B264" s="3"/>
      <c r="C264" s="4" t="str">
        <f>VLOOKUP(D264,[1]Sayfa2!$A:$F,2,0)</f>
        <v>989-090-0620</v>
      </c>
      <c r="D264" s="3" t="s">
        <v>60</v>
      </c>
      <c r="E264" s="5">
        <v>1</v>
      </c>
      <c r="F264" s="6" t="s">
        <v>6</v>
      </c>
      <c r="G264" s="3" t="s">
        <v>7</v>
      </c>
      <c r="H264" s="5" t="s">
        <v>59</v>
      </c>
    </row>
    <row r="265" spans="1:8" ht="27" customHeight="1" x14ac:dyDescent="0.25">
      <c r="A265" s="9" t="str">
        <f t="shared" ref="A265:A269" si="65">A264</f>
        <v>РУ-1-8</v>
      </c>
      <c r="B265" s="7" t="s">
        <v>8</v>
      </c>
      <c r="C265" s="8" t="s">
        <v>131</v>
      </c>
      <c r="D265" s="7" t="s">
        <v>132</v>
      </c>
      <c r="E265" s="9">
        <v>1</v>
      </c>
      <c r="F265" s="10" t="s">
        <v>9</v>
      </c>
      <c r="G265" s="7" t="s">
        <v>10</v>
      </c>
      <c r="H265" s="9" t="str">
        <f t="shared" ref="H265:H269" si="66">H264</f>
        <v>Блок8</v>
      </c>
    </row>
    <row r="266" spans="1:8" ht="27" customHeight="1" x14ac:dyDescent="0.25">
      <c r="A266" s="9" t="str">
        <f t="shared" si="65"/>
        <v>РУ-1-8</v>
      </c>
      <c r="B266" s="7" t="s">
        <v>238</v>
      </c>
      <c r="C266" s="8" t="s">
        <v>175</v>
      </c>
      <c r="D266" s="7" t="s">
        <v>176</v>
      </c>
      <c r="E266" s="9">
        <v>4</v>
      </c>
      <c r="F266" s="10" t="s">
        <v>9</v>
      </c>
      <c r="G266" s="7" t="s">
        <v>157</v>
      </c>
      <c r="H266" s="9" t="str">
        <f t="shared" si="66"/>
        <v>Блок8</v>
      </c>
    </row>
    <row r="267" spans="1:8" ht="27" customHeight="1" x14ac:dyDescent="0.25">
      <c r="A267" s="9" t="str">
        <f t="shared" si="65"/>
        <v>РУ-1-8</v>
      </c>
      <c r="B267" s="7" t="s">
        <v>238</v>
      </c>
      <c r="C267" s="8" t="s">
        <v>179</v>
      </c>
      <c r="D267" s="7" t="s">
        <v>180</v>
      </c>
      <c r="E267" s="9">
        <v>1</v>
      </c>
      <c r="F267" s="10" t="s">
        <v>9</v>
      </c>
      <c r="G267" s="7" t="s">
        <v>11</v>
      </c>
      <c r="H267" s="9" t="str">
        <f t="shared" si="66"/>
        <v>Блок8</v>
      </c>
    </row>
    <row r="268" spans="1:8" ht="27" customHeight="1" x14ac:dyDescent="0.25">
      <c r="A268" s="9" t="str">
        <f t="shared" si="65"/>
        <v>РУ-1-8</v>
      </c>
      <c r="B268" s="7" t="s">
        <v>237</v>
      </c>
      <c r="C268" s="8" t="s">
        <v>167</v>
      </c>
      <c r="D268" s="7" t="s">
        <v>168</v>
      </c>
      <c r="E268" s="9">
        <v>2</v>
      </c>
      <c r="F268" s="10" t="s">
        <v>9</v>
      </c>
      <c r="G268" s="7" t="s">
        <v>157</v>
      </c>
      <c r="H268" s="9" t="str">
        <f t="shared" si="66"/>
        <v>Блок8</v>
      </c>
    </row>
    <row r="269" spans="1:8" ht="27" customHeight="1" x14ac:dyDescent="0.25">
      <c r="A269" s="7" t="str">
        <f t="shared" si="65"/>
        <v>РУ-1-8</v>
      </c>
      <c r="B269" s="7" t="s">
        <v>15</v>
      </c>
      <c r="C269" s="8" t="s">
        <v>15</v>
      </c>
      <c r="D269" s="7" t="s">
        <v>15</v>
      </c>
      <c r="E269" s="7">
        <v>1</v>
      </c>
      <c r="F269" s="7" t="s">
        <v>9</v>
      </c>
      <c r="G269" s="7" t="s">
        <v>15</v>
      </c>
      <c r="H269" s="9" t="str">
        <f t="shared" si="66"/>
        <v>Блок8</v>
      </c>
    </row>
    <row r="270" spans="1:8" ht="27" customHeight="1" x14ac:dyDescent="0.25">
      <c r="A270" s="5" t="str">
        <f>D270</f>
        <v>ЩУР.МОП1-8</v>
      </c>
      <c r="B270" s="3"/>
      <c r="C270" s="4" t="str">
        <f>VLOOKUP(D270,[1]Sayfa2!$A:$F,2,0)</f>
        <v>989-090-0621</v>
      </c>
      <c r="D270" s="3" t="s">
        <v>61</v>
      </c>
      <c r="E270" s="5">
        <v>1</v>
      </c>
      <c r="F270" s="6" t="s">
        <v>6</v>
      </c>
      <c r="G270" s="3" t="s">
        <v>7</v>
      </c>
      <c r="H270" s="5" t="s">
        <v>59</v>
      </c>
    </row>
    <row r="271" spans="1:8" ht="27" customHeight="1" x14ac:dyDescent="0.25">
      <c r="A271" s="9" t="str">
        <f t="shared" ref="A271:A276" si="67">A270</f>
        <v>ЩУР.МОП1-8</v>
      </c>
      <c r="B271" s="7" t="s">
        <v>8</v>
      </c>
      <c r="C271" s="8" t="s">
        <v>27</v>
      </c>
      <c r="D271" s="7" t="s">
        <v>28</v>
      </c>
      <c r="E271" s="9">
        <v>1</v>
      </c>
      <c r="F271" s="10" t="s">
        <v>9</v>
      </c>
      <c r="G271" s="7" t="s">
        <v>10</v>
      </c>
      <c r="H271" s="9" t="str">
        <f t="shared" ref="H271:H276" si="68">H270</f>
        <v>Блок8</v>
      </c>
    </row>
    <row r="272" spans="1:8" ht="27" customHeight="1" x14ac:dyDescent="0.25">
      <c r="A272" s="9" t="str">
        <f t="shared" si="67"/>
        <v>ЩУР.МОП1-8</v>
      </c>
      <c r="B272" s="7" t="s">
        <v>237</v>
      </c>
      <c r="C272" s="8" t="s">
        <v>145</v>
      </c>
      <c r="D272" s="7" t="s">
        <v>146</v>
      </c>
      <c r="E272" s="9">
        <v>1</v>
      </c>
      <c r="F272" s="10" t="s">
        <v>9</v>
      </c>
      <c r="G272" s="7" t="s">
        <v>157</v>
      </c>
      <c r="H272" s="9" t="str">
        <f t="shared" si="68"/>
        <v>Блок8</v>
      </c>
    </row>
    <row r="273" spans="1:8" ht="27" customHeight="1" x14ac:dyDescent="0.25">
      <c r="A273" s="9" t="str">
        <f t="shared" si="67"/>
        <v>ЩУР.МОП1-8</v>
      </c>
      <c r="B273" s="7" t="s">
        <v>237</v>
      </c>
      <c r="C273" s="8" t="s">
        <v>151</v>
      </c>
      <c r="D273" s="7" t="s">
        <v>152</v>
      </c>
      <c r="E273" s="9">
        <v>1</v>
      </c>
      <c r="F273" s="10" t="s">
        <v>9</v>
      </c>
      <c r="G273" s="7" t="s">
        <v>157</v>
      </c>
      <c r="H273" s="9" t="str">
        <f t="shared" si="68"/>
        <v>Блок8</v>
      </c>
    </row>
    <row r="274" spans="1:8" ht="27" customHeight="1" x14ac:dyDescent="0.25">
      <c r="A274" s="9" t="str">
        <f t="shared" si="67"/>
        <v>ЩУР.МОП1-8</v>
      </c>
      <c r="B274" s="7" t="s">
        <v>237</v>
      </c>
      <c r="C274" s="8" t="s">
        <v>143</v>
      </c>
      <c r="D274" s="7" t="s">
        <v>144</v>
      </c>
      <c r="E274" s="9">
        <v>3</v>
      </c>
      <c r="F274" s="10" t="s">
        <v>9</v>
      </c>
      <c r="G274" s="7" t="s">
        <v>157</v>
      </c>
      <c r="H274" s="9" t="str">
        <f t="shared" si="68"/>
        <v>Блок8</v>
      </c>
    </row>
    <row r="275" spans="1:8" ht="27" customHeight="1" x14ac:dyDescent="0.25">
      <c r="A275" s="9" t="str">
        <f t="shared" si="67"/>
        <v>ЩУР.МОП1-8</v>
      </c>
      <c r="B275" s="7" t="s">
        <v>12</v>
      </c>
      <c r="C275" s="8" t="s">
        <v>243</v>
      </c>
      <c r="D275" s="7" t="s">
        <v>244</v>
      </c>
      <c r="E275" s="9">
        <v>1</v>
      </c>
      <c r="F275" s="10" t="s">
        <v>9</v>
      </c>
      <c r="G275" s="7" t="s">
        <v>13</v>
      </c>
      <c r="H275" s="9" t="str">
        <f t="shared" si="68"/>
        <v>Блок8</v>
      </c>
    </row>
    <row r="276" spans="1:8" ht="27" customHeight="1" x14ac:dyDescent="0.25">
      <c r="A276" s="7" t="str">
        <f t="shared" si="67"/>
        <v>ЩУР.МОП1-8</v>
      </c>
      <c r="B276" s="7" t="s">
        <v>15</v>
      </c>
      <c r="C276" s="8" t="s">
        <v>15</v>
      </c>
      <c r="D276" s="7" t="s">
        <v>15</v>
      </c>
      <c r="E276" s="7">
        <v>1</v>
      </c>
      <c r="F276" s="7" t="s">
        <v>9</v>
      </c>
      <c r="G276" s="7" t="s">
        <v>15</v>
      </c>
      <c r="H276" s="9" t="str">
        <f t="shared" si="68"/>
        <v>Блок8</v>
      </c>
    </row>
    <row r="277" spans="1:8" ht="27" customHeight="1" x14ac:dyDescent="0.25">
      <c r="A277" s="5" t="str">
        <f>D277</f>
        <v>РЩ1-8 (АВР-Б-40-2-1)</v>
      </c>
      <c r="B277" s="3"/>
      <c r="C277" s="4" t="str">
        <f>VLOOKUP(D277,[1]Sayfa2!$A:$F,2,0)</f>
        <v>989-090-0622</v>
      </c>
      <c r="D277" s="3" t="s">
        <v>107</v>
      </c>
      <c r="E277" s="5">
        <v>1</v>
      </c>
      <c r="F277" s="6" t="s">
        <v>6</v>
      </c>
      <c r="G277" s="3" t="s">
        <v>7</v>
      </c>
      <c r="H277" s="5" t="s">
        <v>59</v>
      </c>
    </row>
    <row r="278" spans="1:8" ht="27" customHeight="1" x14ac:dyDescent="0.25">
      <c r="A278" s="9" t="str">
        <f t="shared" ref="A278:A286" si="69">A277</f>
        <v>РЩ1-8 (АВР-Б-40-2-1)</v>
      </c>
      <c r="B278" s="7" t="s">
        <v>8</v>
      </c>
      <c r="C278" s="8" t="s">
        <v>129</v>
      </c>
      <c r="D278" s="7" t="s">
        <v>130</v>
      </c>
      <c r="E278" s="9">
        <v>1</v>
      </c>
      <c r="F278" s="10" t="s">
        <v>9</v>
      </c>
      <c r="G278" s="7" t="s">
        <v>10</v>
      </c>
      <c r="H278" s="9" t="str">
        <f t="shared" ref="H278:H286" si="70">H277</f>
        <v>Блок8</v>
      </c>
    </row>
    <row r="279" spans="1:8" ht="27" customHeight="1" x14ac:dyDescent="0.25">
      <c r="A279" s="9" t="str">
        <f t="shared" si="69"/>
        <v>РЩ1-8 (АВР-Б-40-2-1)</v>
      </c>
      <c r="B279" s="7" t="s">
        <v>29</v>
      </c>
      <c r="C279" s="8" t="s">
        <v>123</v>
      </c>
      <c r="D279" s="7" t="s">
        <v>124</v>
      </c>
      <c r="E279" s="9">
        <v>1</v>
      </c>
      <c r="F279" s="10" t="s">
        <v>9</v>
      </c>
      <c r="G279" s="7" t="s">
        <v>11</v>
      </c>
      <c r="H279" s="9" t="str">
        <f t="shared" si="70"/>
        <v>Блок8</v>
      </c>
    </row>
    <row r="280" spans="1:8" ht="27" customHeight="1" x14ac:dyDescent="0.25">
      <c r="A280" s="9" t="str">
        <f t="shared" si="69"/>
        <v>РЩ1-8 (АВР-Б-40-2-1)</v>
      </c>
      <c r="B280" s="7" t="s">
        <v>237</v>
      </c>
      <c r="C280" s="8" t="s">
        <v>163</v>
      </c>
      <c r="D280" s="7" t="s">
        <v>164</v>
      </c>
      <c r="E280" s="9">
        <v>2</v>
      </c>
      <c r="F280" s="10" t="s">
        <v>9</v>
      </c>
      <c r="G280" s="7" t="s">
        <v>157</v>
      </c>
      <c r="H280" s="9" t="str">
        <f t="shared" si="70"/>
        <v>Блок8</v>
      </c>
    </row>
    <row r="281" spans="1:8" ht="27" customHeight="1" x14ac:dyDescent="0.25">
      <c r="A281" s="9" t="str">
        <f t="shared" si="69"/>
        <v>РЩ1-8 (АВР-Б-40-2-1)</v>
      </c>
      <c r="B281" s="7" t="s">
        <v>237</v>
      </c>
      <c r="C281" s="8" t="s">
        <v>181</v>
      </c>
      <c r="D281" s="7" t="s">
        <v>182</v>
      </c>
      <c r="E281" s="9">
        <v>3</v>
      </c>
      <c r="F281" s="10" t="s">
        <v>9</v>
      </c>
      <c r="G281" s="7" t="s">
        <v>157</v>
      </c>
      <c r="H281" s="9" t="str">
        <f t="shared" si="70"/>
        <v>Блок8</v>
      </c>
    </row>
    <row r="282" spans="1:8" ht="27" customHeight="1" x14ac:dyDescent="0.25">
      <c r="A282" s="9" t="str">
        <f t="shared" si="69"/>
        <v>РЩ1-8 (АВР-Б-40-2-1)</v>
      </c>
      <c r="B282" s="7" t="s">
        <v>238</v>
      </c>
      <c r="C282" s="8" t="s">
        <v>153</v>
      </c>
      <c r="D282" s="7" t="s">
        <v>154</v>
      </c>
      <c r="E282" s="9">
        <v>2</v>
      </c>
      <c r="F282" s="10" t="s">
        <v>9</v>
      </c>
      <c r="G282" s="7" t="s">
        <v>157</v>
      </c>
      <c r="H282" s="9" t="str">
        <f t="shared" si="70"/>
        <v>Блок8</v>
      </c>
    </row>
    <row r="283" spans="1:8" ht="27" customHeight="1" x14ac:dyDescent="0.25">
      <c r="A283" s="9" t="str">
        <f t="shared" si="69"/>
        <v>РЩ1-8 (АВР-Б-40-2-1)</v>
      </c>
      <c r="B283" s="7" t="s">
        <v>237</v>
      </c>
      <c r="C283" s="8" t="s">
        <v>155</v>
      </c>
      <c r="D283" s="7" t="s">
        <v>156</v>
      </c>
      <c r="E283" s="9">
        <v>1</v>
      </c>
      <c r="F283" s="10" t="s">
        <v>9</v>
      </c>
      <c r="G283" s="7" t="s">
        <v>157</v>
      </c>
      <c r="H283" s="9" t="str">
        <f t="shared" si="70"/>
        <v>Блок8</v>
      </c>
    </row>
    <row r="284" spans="1:8" ht="27" customHeight="1" x14ac:dyDescent="0.25">
      <c r="A284" s="9" t="str">
        <f t="shared" si="69"/>
        <v>РЩ1-8 (АВР-Б-40-2-1)</v>
      </c>
      <c r="B284" s="7" t="s">
        <v>12</v>
      </c>
      <c r="C284" s="8" t="s">
        <v>243</v>
      </c>
      <c r="D284" s="7" t="s">
        <v>244</v>
      </c>
      <c r="E284" s="9">
        <v>1</v>
      </c>
      <c r="F284" s="10" t="s">
        <v>9</v>
      </c>
      <c r="G284" s="7" t="s">
        <v>13</v>
      </c>
      <c r="H284" s="9" t="str">
        <f t="shared" si="70"/>
        <v>Блок8</v>
      </c>
    </row>
    <row r="285" spans="1:8" ht="27" customHeight="1" x14ac:dyDescent="0.25">
      <c r="A285" s="9" t="str">
        <f t="shared" si="69"/>
        <v>РЩ1-8 (АВР-Б-40-2-1)</v>
      </c>
      <c r="B285" s="7" t="s">
        <v>22</v>
      </c>
      <c r="C285" s="8"/>
      <c r="D285" s="7" t="s">
        <v>23</v>
      </c>
      <c r="E285" s="9">
        <v>6</v>
      </c>
      <c r="F285" s="10" t="s">
        <v>9</v>
      </c>
      <c r="G285" s="7" t="s">
        <v>19</v>
      </c>
      <c r="H285" s="9" t="str">
        <f t="shared" si="70"/>
        <v>Блок8</v>
      </c>
    </row>
    <row r="286" spans="1:8" ht="27" customHeight="1" x14ac:dyDescent="0.25">
      <c r="A286" s="7" t="str">
        <f t="shared" si="69"/>
        <v>РЩ1-8 (АВР-Б-40-2-1)</v>
      </c>
      <c r="B286" s="7" t="s">
        <v>15</v>
      </c>
      <c r="C286" s="8" t="s">
        <v>15</v>
      </c>
      <c r="D286" s="7" t="s">
        <v>15</v>
      </c>
      <c r="E286" s="7">
        <v>1</v>
      </c>
      <c r="F286" s="7" t="s">
        <v>9</v>
      </c>
      <c r="G286" s="7" t="s">
        <v>15</v>
      </c>
      <c r="H286" s="9" t="str">
        <f t="shared" si="70"/>
        <v>Блок8</v>
      </c>
    </row>
    <row r="287" spans="1:8" ht="27" customHeight="1" x14ac:dyDescent="0.25">
      <c r="A287" s="5" t="str">
        <f>D287</f>
        <v>РУ1-9</v>
      </c>
      <c r="B287" s="3"/>
      <c r="C287" s="4" t="str">
        <f>VLOOKUP(D287,[1]Sayfa2!$A:$F,2,0)</f>
        <v>989-090-0623</v>
      </c>
      <c r="D287" s="3" t="s">
        <v>62</v>
      </c>
      <c r="E287" s="5">
        <v>1</v>
      </c>
      <c r="F287" s="6" t="s">
        <v>6</v>
      </c>
      <c r="G287" s="3" t="s">
        <v>7</v>
      </c>
      <c r="H287" s="5" t="s">
        <v>63</v>
      </c>
    </row>
    <row r="288" spans="1:8" ht="27" customHeight="1" x14ac:dyDescent="0.25">
      <c r="A288" s="9" t="str">
        <f t="shared" ref="A288:A292" si="71">A287</f>
        <v>РУ1-9</v>
      </c>
      <c r="B288" s="7" t="s">
        <v>8</v>
      </c>
      <c r="C288" s="8" t="s">
        <v>131</v>
      </c>
      <c r="D288" s="7" t="s">
        <v>132</v>
      </c>
      <c r="E288" s="9">
        <v>1</v>
      </c>
      <c r="F288" s="10" t="s">
        <v>9</v>
      </c>
      <c r="G288" s="7" t="s">
        <v>10</v>
      </c>
      <c r="H288" s="9" t="str">
        <f t="shared" ref="H288:H292" si="72">H287</f>
        <v>Блок9</v>
      </c>
    </row>
    <row r="289" spans="1:8" ht="27" customHeight="1" x14ac:dyDescent="0.25">
      <c r="A289" s="9" t="str">
        <f t="shared" si="71"/>
        <v>РУ1-9</v>
      </c>
      <c r="B289" s="7" t="s">
        <v>238</v>
      </c>
      <c r="C289" s="8" t="s">
        <v>179</v>
      </c>
      <c r="D289" s="7" t="s">
        <v>180</v>
      </c>
      <c r="E289" s="9">
        <v>1</v>
      </c>
      <c r="F289" s="10" t="s">
        <v>9</v>
      </c>
      <c r="G289" s="7" t="s">
        <v>11</v>
      </c>
      <c r="H289" s="9" t="str">
        <f t="shared" si="72"/>
        <v>Блок9</v>
      </c>
    </row>
    <row r="290" spans="1:8" ht="27" customHeight="1" x14ac:dyDescent="0.25">
      <c r="A290" s="9" t="str">
        <f t="shared" si="71"/>
        <v>РУ1-9</v>
      </c>
      <c r="B290" s="7" t="s">
        <v>238</v>
      </c>
      <c r="C290" s="8" t="s">
        <v>175</v>
      </c>
      <c r="D290" s="7" t="s">
        <v>176</v>
      </c>
      <c r="E290" s="9">
        <v>4</v>
      </c>
      <c r="F290" s="10" t="s">
        <v>9</v>
      </c>
      <c r="G290" s="7" t="s">
        <v>157</v>
      </c>
      <c r="H290" s="9" t="str">
        <f t="shared" si="72"/>
        <v>Блок9</v>
      </c>
    </row>
    <row r="291" spans="1:8" ht="27" customHeight="1" x14ac:dyDescent="0.25">
      <c r="A291" s="9" t="str">
        <f t="shared" si="71"/>
        <v>РУ1-9</v>
      </c>
      <c r="B291" s="7" t="s">
        <v>237</v>
      </c>
      <c r="C291" s="8" t="s">
        <v>167</v>
      </c>
      <c r="D291" s="7" t="s">
        <v>168</v>
      </c>
      <c r="E291" s="9">
        <v>2</v>
      </c>
      <c r="F291" s="10" t="s">
        <v>9</v>
      </c>
      <c r="G291" s="7" t="s">
        <v>157</v>
      </c>
      <c r="H291" s="9" t="str">
        <f t="shared" si="72"/>
        <v>Блок9</v>
      </c>
    </row>
    <row r="292" spans="1:8" ht="27" customHeight="1" x14ac:dyDescent="0.25">
      <c r="A292" s="7" t="str">
        <f t="shared" si="71"/>
        <v>РУ1-9</v>
      </c>
      <c r="B292" s="7" t="s">
        <v>15</v>
      </c>
      <c r="C292" s="8" t="s">
        <v>15</v>
      </c>
      <c r="D292" s="7" t="s">
        <v>15</v>
      </c>
      <c r="E292" s="7">
        <v>1</v>
      </c>
      <c r="F292" s="7" t="s">
        <v>9</v>
      </c>
      <c r="G292" s="7" t="s">
        <v>15</v>
      </c>
      <c r="H292" s="9" t="str">
        <f t="shared" si="72"/>
        <v>Блок9</v>
      </c>
    </row>
    <row r="293" spans="1:8" ht="27" customHeight="1" x14ac:dyDescent="0.25">
      <c r="A293" s="5" t="str">
        <f>D293</f>
        <v>ЩУР.МОП1-9</v>
      </c>
      <c r="B293" s="3"/>
      <c r="C293" s="4" t="str">
        <f>VLOOKUP(D293,[1]Sayfa2!$A:$F,2,0)</f>
        <v>989-090-0624</v>
      </c>
      <c r="D293" s="3" t="s">
        <v>64</v>
      </c>
      <c r="E293" s="5">
        <v>1</v>
      </c>
      <c r="F293" s="6" t="s">
        <v>6</v>
      </c>
      <c r="G293" s="3" t="s">
        <v>7</v>
      </c>
      <c r="H293" s="5" t="s">
        <v>63</v>
      </c>
    </row>
    <row r="294" spans="1:8" ht="27" customHeight="1" x14ac:dyDescent="0.25">
      <c r="A294" s="9" t="str">
        <f t="shared" ref="A294:A299" si="73">A293</f>
        <v>ЩУР.МОП1-9</v>
      </c>
      <c r="B294" s="7" t="s">
        <v>8</v>
      </c>
      <c r="C294" s="8" t="s">
        <v>27</v>
      </c>
      <c r="D294" s="7" t="s">
        <v>28</v>
      </c>
      <c r="E294" s="9">
        <v>1</v>
      </c>
      <c r="F294" s="10" t="s">
        <v>9</v>
      </c>
      <c r="G294" s="7" t="s">
        <v>10</v>
      </c>
      <c r="H294" s="9" t="str">
        <f>H293</f>
        <v>Блок9</v>
      </c>
    </row>
    <row r="295" spans="1:8" ht="27" customHeight="1" x14ac:dyDescent="0.25">
      <c r="A295" s="9" t="str">
        <f t="shared" si="73"/>
        <v>ЩУР.МОП1-9</v>
      </c>
      <c r="B295" s="7" t="s">
        <v>237</v>
      </c>
      <c r="C295" s="8" t="s">
        <v>145</v>
      </c>
      <c r="D295" s="7" t="s">
        <v>146</v>
      </c>
      <c r="E295" s="9">
        <v>1</v>
      </c>
      <c r="F295" s="10" t="s">
        <v>9</v>
      </c>
      <c r="G295" s="7" t="s">
        <v>157</v>
      </c>
      <c r="H295" s="9" t="str">
        <f>H294</f>
        <v>Блок9</v>
      </c>
    </row>
    <row r="296" spans="1:8" ht="27" customHeight="1" x14ac:dyDescent="0.25">
      <c r="A296" s="9" t="str">
        <f t="shared" si="73"/>
        <v>ЩУР.МОП1-9</v>
      </c>
      <c r="B296" s="7" t="s">
        <v>237</v>
      </c>
      <c r="C296" s="8" t="s">
        <v>143</v>
      </c>
      <c r="D296" s="7" t="s">
        <v>144</v>
      </c>
      <c r="E296" s="9">
        <v>3</v>
      </c>
      <c r="F296" s="10" t="s">
        <v>9</v>
      </c>
      <c r="G296" s="7" t="s">
        <v>157</v>
      </c>
      <c r="H296" s="9" t="str">
        <f>H295</f>
        <v>Блок9</v>
      </c>
    </row>
    <row r="297" spans="1:8" ht="27" customHeight="1" x14ac:dyDescent="0.25">
      <c r="A297" s="9" t="str">
        <f t="shared" si="73"/>
        <v>ЩУР.МОП1-9</v>
      </c>
      <c r="B297" s="7" t="s">
        <v>237</v>
      </c>
      <c r="C297" s="8" t="s">
        <v>151</v>
      </c>
      <c r="D297" s="7" t="s">
        <v>152</v>
      </c>
      <c r="E297" s="9">
        <v>1</v>
      </c>
      <c r="F297" s="10" t="s">
        <v>9</v>
      </c>
      <c r="G297" s="7" t="s">
        <v>157</v>
      </c>
      <c r="H297" s="9" t="str">
        <f>H296</f>
        <v>Блок9</v>
      </c>
    </row>
    <row r="298" spans="1:8" ht="27" customHeight="1" x14ac:dyDescent="0.25">
      <c r="A298" s="9" t="str">
        <f t="shared" si="73"/>
        <v>ЩУР.МОП1-9</v>
      </c>
      <c r="B298" s="7" t="s">
        <v>12</v>
      </c>
      <c r="C298" s="8" t="s">
        <v>243</v>
      </c>
      <c r="D298" s="7" t="s">
        <v>244</v>
      </c>
      <c r="E298" s="9">
        <v>1</v>
      </c>
      <c r="F298" s="10" t="s">
        <v>9</v>
      </c>
      <c r="G298" s="7" t="s">
        <v>13</v>
      </c>
      <c r="H298" s="9" t="str">
        <f>H296</f>
        <v>Блок9</v>
      </c>
    </row>
    <row r="299" spans="1:8" ht="27" customHeight="1" x14ac:dyDescent="0.25">
      <c r="A299" s="7" t="str">
        <f t="shared" si="73"/>
        <v>ЩУР.МОП1-9</v>
      </c>
      <c r="B299" s="7" t="s">
        <v>15</v>
      </c>
      <c r="C299" s="8" t="s">
        <v>15</v>
      </c>
      <c r="D299" s="7" t="s">
        <v>15</v>
      </c>
      <c r="E299" s="7">
        <v>1</v>
      </c>
      <c r="F299" s="7" t="s">
        <v>9</v>
      </c>
      <c r="G299" s="7" t="s">
        <v>15</v>
      </c>
      <c r="H299" s="9" t="str">
        <f>H298</f>
        <v>Блок9</v>
      </c>
    </row>
    <row r="300" spans="1:8" ht="27" customHeight="1" x14ac:dyDescent="0.25">
      <c r="A300" s="5" t="str">
        <f>D300</f>
        <v>РЩ1-9 (АВР-Б-40-2-1)</v>
      </c>
      <c r="B300" s="3"/>
      <c r="C300" s="4" t="str">
        <f>VLOOKUP(D300,[1]Sayfa2!$A:$F,2,0)</f>
        <v>989-090-0625</v>
      </c>
      <c r="D300" s="3" t="s">
        <v>108</v>
      </c>
      <c r="E300" s="5">
        <v>1</v>
      </c>
      <c r="F300" s="6" t="s">
        <v>6</v>
      </c>
      <c r="G300" s="3" t="s">
        <v>7</v>
      </c>
      <c r="H300" s="5" t="s">
        <v>63</v>
      </c>
    </row>
    <row r="301" spans="1:8" ht="27" customHeight="1" x14ac:dyDescent="0.25">
      <c r="A301" s="9" t="str">
        <f t="shared" ref="A301:A309" si="74">A300</f>
        <v>РЩ1-9 (АВР-Б-40-2-1)</v>
      </c>
      <c r="B301" s="7" t="s">
        <v>8</v>
      </c>
      <c r="C301" s="8" t="s">
        <v>129</v>
      </c>
      <c r="D301" s="7" t="s">
        <v>130</v>
      </c>
      <c r="E301" s="9">
        <v>1</v>
      </c>
      <c r="F301" s="10" t="s">
        <v>9</v>
      </c>
      <c r="G301" s="7" t="s">
        <v>10</v>
      </c>
      <c r="H301" s="9" t="str">
        <f t="shared" ref="H301:H309" si="75">H300</f>
        <v>Блок9</v>
      </c>
    </row>
    <row r="302" spans="1:8" ht="27" customHeight="1" x14ac:dyDescent="0.25">
      <c r="A302" s="9" t="str">
        <f t="shared" si="74"/>
        <v>РЩ1-9 (АВР-Б-40-2-1)</v>
      </c>
      <c r="B302" s="7" t="s">
        <v>29</v>
      </c>
      <c r="C302" s="8" t="s">
        <v>123</v>
      </c>
      <c r="D302" s="7" t="s">
        <v>124</v>
      </c>
      <c r="E302" s="9">
        <v>1</v>
      </c>
      <c r="F302" s="10" t="s">
        <v>9</v>
      </c>
      <c r="G302" s="7" t="s">
        <v>11</v>
      </c>
      <c r="H302" s="9" t="str">
        <f t="shared" si="75"/>
        <v>Блок9</v>
      </c>
    </row>
    <row r="303" spans="1:8" ht="27" customHeight="1" x14ac:dyDescent="0.25">
      <c r="A303" s="9" t="str">
        <f t="shared" si="74"/>
        <v>РЩ1-9 (АВР-Б-40-2-1)</v>
      </c>
      <c r="B303" s="7" t="s">
        <v>237</v>
      </c>
      <c r="C303" s="8" t="s">
        <v>163</v>
      </c>
      <c r="D303" s="7" t="s">
        <v>164</v>
      </c>
      <c r="E303" s="9">
        <v>2</v>
      </c>
      <c r="F303" s="10" t="s">
        <v>9</v>
      </c>
      <c r="G303" s="7" t="s">
        <v>157</v>
      </c>
      <c r="H303" s="9" t="str">
        <f t="shared" si="75"/>
        <v>Блок9</v>
      </c>
    </row>
    <row r="304" spans="1:8" ht="27" customHeight="1" x14ac:dyDescent="0.25">
      <c r="A304" s="9" t="str">
        <f t="shared" si="74"/>
        <v>РЩ1-9 (АВР-Б-40-2-1)</v>
      </c>
      <c r="B304" s="7" t="s">
        <v>237</v>
      </c>
      <c r="C304" s="8" t="s">
        <v>181</v>
      </c>
      <c r="D304" s="7" t="s">
        <v>182</v>
      </c>
      <c r="E304" s="9">
        <v>3</v>
      </c>
      <c r="F304" s="10" t="s">
        <v>9</v>
      </c>
      <c r="G304" s="7" t="s">
        <v>157</v>
      </c>
      <c r="H304" s="9" t="str">
        <f t="shared" si="75"/>
        <v>Блок9</v>
      </c>
    </row>
    <row r="305" spans="1:8" ht="27" customHeight="1" x14ac:dyDescent="0.25">
      <c r="A305" s="9" t="str">
        <f t="shared" si="74"/>
        <v>РЩ1-9 (АВР-Б-40-2-1)</v>
      </c>
      <c r="B305" s="7" t="s">
        <v>238</v>
      </c>
      <c r="C305" s="8" t="s">
        <v>153</v>
      </c>
      <c r="D305" s="7" t="s">
        <v>154</v>
      </c>
      <c r="E305" s="9">
        <v>2</v>
      </c>
      <c r="F305" s="10" t="s">
        <v>9</v>
      </c>
      <c r="G305" s="7" t="s">
        <v>157</v>
      </c>
      <c r="H305" s="9" t="str">
        <f t="shared" si="75"/>
        <v>Блок9</v>
      </c>
    </row>
    <row r="306" spans="1:8" ht="27" customHeight="1" x14ac:dyDescent="0.25">
      <c r="A306" s="9" t="str">
        <f t="shared" si="74"/>
        <v>РЩ1-9 (АВР-Б-40-2-1)</v>
      </c>
      <c r="B306" s="7" t="s">
        <v>237</v>
      </c>
      <c r="C306" s="8" t="s">
        <v>155</v>
      </c>
      <c r="D306" s="7" t="s">
        <v>156</v>
      </c>
      <c r="E306" s="9">
        <v>1</v>
      </c>
      <c r="F306" s="10" t="s">
        <v>9</v>
      </c>
      <c r="G306" s="7" t="s">
        <v>157</v>
      </c>
      <c r="H306" s="9" t="str">
        <f t="shared" si="75"/>
        <v>Блок9</v>
      </c>
    </row>
    <row r="307" spans="1:8" ht="27" customHeight="1" x14ac:dyDescent="0.25">
      <c r="A307" s="9" t="str">
        <f t="shared" si="74"/>
        <v>РЩ1-9 (АВР-Б-40-2-1)</v>
      </c>
      <c r="B307" s="7" t="s">
        <v>12</v>
      </c>
      <c r="C307" s="8" t="s">
        <v>243</v>
      </c>
      <c r="D307" s="7" t="s">
        <v>244</v>
      </c>
      <c r="E307" s="9">
        <v>1</v>
      </c>
      <c r="F307" s="10" t="s">
        <v>9</v>
      </c>
      <c r="G307" s="7" t="s">
        <v>13</v>
      </c>
      <c r="H307" s="9" t="str">
        <f t="shared" si="75"/>
        <v>Блок9</v>
      </c>
    </row>
    <row r="308" spans="1:8" ht="27" customHeight="1" x14ac:dyDescent="0.25">
      <c r="A308" s="9" t="str">
        <f t="shared" si="74"/>
        <v>РЩ1-9 (АВР-Б-40-2-1)</v>
      </c>
      <c r="B308" s="7" t="s">
        <v>22</v>
      </c>
      <c r="C308" s="8"/>
      <c r="D308" s="7" t="s">
        <v>23</v>
      </c>
      <c r="E308" s="9">
        <v>6</v>
      </c>
      <c r="F308" s="10" t="s">
        <v>9</v>
      </c>
      <c r="G308" s="7" t="s">
        <v>19</v>
      </c>
      <c r="H308" s="9" t="str">
        <f t="shared" si="75"/>
        <v>Блок9</v>
      </c>
    </row>
    <row r="309" spans="1:8" ht="27" customHeight="1" x14ac:dyDescent="0.25">
      <c r="A309" s="7" t="str">
        <f t="shared" si="74"/>
        <v>РЩ1-9 (АВР-Б-40-2-1)</v>
      </c>
      <c r="B309" s="7" t="s">
        <v>15</v>
      </c>
      <c r="C309" s="8" t="s">
        <v>15</v>
      </c>
      <c r="D309" s="7" t="s">
        <v>15</v>
      </c>
      <c r="E309" s="7">
        <v>1</v>
      </c>
      <c r="F309" s="7" t="s">
        <v>9</v>
      </c>
      <c r="G309" s="7" t="s">
        <v>15</v>
      </c>
      <c r="H309" s="9" t="str">
        <f t="shared" si="75"/>
        <v>Блок9</v>
      </c>
    </row>
    <row r="310" spans="1:8" ht="27" customHeight="1" x14ac:dyDescent="0.25">
      <c r="A310" s="5" t="str">
        <f>D310</f>
        <v>РУ1-10</v>
      </c>
      <c r="B310" s="3"/>
      <c r="C310" s="4" t="str">
        <f>VLOOKUP(D310,[1]Sayfa2!$A:$F,2,0)</f>
        <v>989-090-0626</v>
      </c>
      <c r="D310" s="3" t="s">
        <v>65</v>
      </c>
      <c r="E310" s="5">
        <v>1</v>
      </c>
      <c r="F310" s="6" t="s">
        <v>6</v>
      </c>
      <c r="G310" s="3" t="s">
        <v>7</v>
      </c>
      <c r="H310" s="5" t="s">
        <v>66</v>
      </c>
    </row>
    <row r="311" spans="1:8" ht="27" customHeight="1" x14ac:dyDescent="0.25">
      <c r="A311" s="9" t="str">
        <f t="shared" ref="A311:A315" si="76">A310</f>
        <v>РУ1-10</v>
      </c>
      <c r="B311" s="7" t="s">
        <v>8</v>
      </c>
      <c r="C311" s="8" t="s">
        <v>131</v>
      </c>
      <c r="D311" s="7" t="s">
        <v>132</v>
      </c>
      <c r="E311" s="9">
        <v>1</v>
      </c>
      <c r="F311" s="10" t="s">
        <v>9</v>
      </c>
      <c r="G311" s="7" t="s">
        <v>10</v>
      </c>
      <c r="H311" s="9" t="str">
        <f t="shared" ref="H311:H315" si="77">H310</f>
        <v>Блок10</v>
      </c>
    </row>
    <row r="312" spans="1:8" ht="27" customHeight="1" x14ac:dyDescent="0.25">
      <c r="A312" s="9" t="str">
        <f t="shared" si="76"/>
        <v>РУ1-10</v>
      </c>
      <c r="B312" s="7" t="s">
        <v>238</v>
      </c>
      <c r="C312" s="8" t="s">
        <v>179</v>
      </c>
      <c r="D312" s="7" t="s">
        <v>180</v>
      </c>
      <c r="E312" s="9">
        <v>1</v>
      </c>
      <c r="F312" s="10" t="s">
        <v>9</v>
      </c>
      <c r="G312" s="7" t="s">
        <v>11</v>
      </c>
      <c r="H312" s="9" t="str">
        <f t="shared" si="77"/>
        <v>Блок10</v>
      </c>
    </row>
    <row r="313" spans="1:8" ht="27" customHeight="1" x14ac:dyDescent="0.25">
      <c r="A313" s="9" t="str">
        <f t="shared" si="76"/>
        <v>РУ1-10</v>
      </c>
      <c r="B313" s="7" t="s">
        <v>238</v>
      </c>
      <c r="C313" s="8" t="s">
        <v>177</v>
      </c>
      <c r="D313" s="7" t="s">
        <v>178</v>
      </c>
      <c r="E313" s="9">
        <v>2</v>
      </c>
      <c r="F313" s="10" t="s">
        <v>9</v>
      </c>
      <c r="G313" s="7" t="s">
        <v>157</v>
      </c>
      <c r="H313" s="9" t="str">
        <f t="shared" si="77"/>
        <v>Блок10</v>
      </c>
    </row>
    <row r="314" spans="1:8" ht="27" customHeight="1" x14ac:dyDescent="0.25">
      <c r="A314" s="9" t="str">
        <f t="shared" si="76"/>
        <v>РУ1-10</v>
      </c>
      <c r="B314" s="7" t="s">
        <v>237</v>
      </c>
      <c r="C314" s="8" t="s">
        <v>167</v>
      </c>
      <c r="D314" s="7" t="s">
        <v>168</v>
      </c>
      <c r="E314" s="9">
        <v>2</v>
      </c>
      <c r="F314" s="10" t="s">
        <v>9</v>
      </c>
      <c r="G314" s="7" t="s">
        <v>157</v>
      </c>
      <c r="H314" s="9" t="str">
        <f t="shared" si="77"/>
        <v>Блок10</v>
      </c>
    </row>
    <row r="315" spans="1:8" ht="27" customHeight="1" x14ac:dyDescent="0.25">
      <c r="A315" s="7" t="str">
        <f t="shared" si="76"/>
        <v>РУ1-10</v>
      </c>
      <c r="B315" s="7" t="s">
        <v>15</v>
      </c>
      <c r="C315" s="8" t="s">
        <v>15</v>
      </c>
      <c r="D315" s="7" t="s">
        <v>15</v>
      </c>
      <c r="E315" s="7">
        <v>1</v>
      </c>
      <c r="F315" s="7" t="s">
        <v>9</v>
      </c>
      <c r="G315" s="7" t="s">
        <v>15</v>
      </c>
      <c r="H315" s="9" t="str">
        <f t="shared" si="77"/>
        <v>Блок10</v>
      </c>
    </row>
    <row r="316" spans="1:8" ht="27" customHeight="1" x14ac:dyDescent="0.25">
      <c r="A316" s="5" t="str">
        <f>D316</f>
        <v>ЩУР.МОП1-10</v>
      </c>
      <c r="B316" s="3"/>
      <c r="C316" s="4" t="str">
        <f>VLOOKUP(D316,[1]Sayfa2!$A:$F,2,0)</f>
        <v>989-090-0627</v>
      </c>
      <c r="D316" s="3" t="s">
        <v>67</v>
      </c>
      <c r="E316" s="5">
        <v>1</v>
      </c>
      <c r="F316" s="6" t="s">
        <v>6</v>
      </c>
      <c r="G316" s="3" t="s">
        <v>7</v>
      </c>
      <c r="H316" s="5" t="s">
        <v>66</v>
      </c>
    </row>
    <row r="317" spans="1:8" ht="27" customHeight="1" x14ac:dyDescent="0.25">
      <c r="A317" s="9" t="str">
        <f t="shared" ref="A317:A321" si="78">A316</f>
        <v>ЩУР.МОП1-10</v>
      </c>
      <c r="B317" s="7" t="s">
        <v>8</v>
      </c>
      <c r="C317" s="8" t="s">
        <v>27</v>
      </c>
      <c r="D317" s="7" t="s">
        <v>28</v>
      </c>
      <c r="E317" s="9">
        <v>1</v>
      </c>
      <c r="F317" s="10" t="s">
        <v>9</v>
      </c>
      <c r="G317" s="7" t="s">
        <v>10</v>
      </c>
      <c r="H317" s="9" t="str">
        <f t="shared" ref="H317:H321" si="79">H316</f>
        <v>Блок10</v>
      </c>
    </row>
    <row r="318" spans="1:8" ht="27" customHeight="1" x14ac:dyDescent="0.25">
      <c r="A318" s="9" t="str">
        <f t="shared" si="78"/>
        <v>ЩУР.МОП1-10</v>
      </c>
      <c r="B318" s="7" t="s">
        <v>237</v>
      </c>
      <c r="C318" s="8" t="s">
        <v>145</v>
      </c>
      <c r="D318" s="7" t="s">
        <v>146</v>
      </c>
      <c r="E318" s="9">
        <v>1</v>
      </c>
      <c r="F318" s="10" t="s">
        <v>9</v>
      </c>
      <c r="G318" s="7" t="s">
        <v>157</v>
      </c>
      <c r="H318" s="9" t="str">
        <f t="shared" si="79"/>
        <v>Блок10</v>
      </c>
    </row>
    <row r="319" spans="1:8" ht="27" customHeight="1" x14ac:dyDescent="0.25">
      <c r="A319" s="9" t="str">
        <f t="shared" si="78"/>
        <v>ЩУР.МОП1-10</v>
      </c>
      <c r="B319" s="7" t="s">
        <v>237</v>
      </c>
      <c r="C319" s="8" t="s">
        <v>143</v>
      </c>
      <c r="D319" s="7" t="s">
        <v>144</v>
      </c>
      <c r="E319" s="9">
        <v>4</v>
      </c>
      <c r="F319" s="10" t="s">
        <v>9</v>
      </c>
      <c r="G319" s="7" t="s">
        <v>157</v>
      </c>
      <c r="H319" s="9" t="str">
        <f t="shared" si="79"/>
        <v>Блок10</v>
      </c>
    </row>
    <row r="320" spans="1:8" ht="27" customHeight="1" x14ac:dyDescent="0.25">
      <c r="A320" s="9" t="str">
        <f t="shared" si="78"/>
        <v>ЩУР.МОП1-10</v>
      </c>
      <c r="B320" s="7" t="s">
        <v>12</v>
      </c>
      <c r="C320" s="8" t="s">
        <v>243</v>
      </c>
      <c r="D320" s="7" t="s">
        <v>244</v>
      </c>
      <c r="E320" s="9">
        <v>1</v>
      </c>
      <c r="F320" s="10" t="s">
        <v>9</v>
      </c>
      <c r="G320" s="7" t="s">
        <v>13</v>
      </c>
      <c r="H320" s="9" t="str">
        <f t="shared" si="79"/>
        <v>Блок10</v>
      </c>
    </row>
    <row r="321" spans="1:8" ht="27" customHeight="1" x14ac:dyDescent="0.25">
      <c r="A321" s="7" t="str">
        <f t="shared" si="78"/>
        <v>ЩУР.МОП1-10</v>
      </c>
      <c r="B321" s="7" t="s">
        <v>15</v>
      </c>
      <c r="C321" s="8" t="s">
        <v>15</v>
      </c>
      <c r="D321" s="7" t="s">
        <v>15</v>
      </c>
      <c r="E321" s="7">
        <v>1</v>
      </c>
      <c r="F321" s="7" t="s">
        <v>9</v>
      </c>
      <c r="G321" s="7" t="s">
        <v>15</v>
      </c>
      <c r="H321" s="9" t="str">
        <f t="shared" si="79"/>
        <v>Блок10</v>
      </c>
    </row>
    <row r="322" spans="1:8" ht="27" customHeight="1" x14ac:dyDescent="0.25">
      <c r="A322" s="5" t="str">
        <f>D322</f>
        <v>РЩ1-10 (АВР-Б-40-2-1)</v>
      </c>
      <c r="B322" s="3"/>
      <c r="C322" s="4" t="str">
        <f>VLOOKUP(D322,[1]Sayfa2!$A:$F,2,0)</f>
        <v>989-090-0628</v>
      </c>
      <c r="D322" s="3" t="s">
        <v>109</v>
      </c>
      <c r="E322" s="5">
        <v>1</v>
      </c>
      <c r="F322" s="6" t="s">
        <v>6</v>
      </c>
      <c r="G322" s="3" t="s">
        <v>7</v>
      </c>
      <c r="H322" s="5" t="s">
        <v>66</v>
      </c>
    </row>
    <row r="323" spans="1:8" ht="27" customHeight="1" x14ac:dyDescent="0.25">
      <c r="A323" s="9" t="str">
        <f t="shared" ref="A323:A331" si="80">A322</f>
        <v>РЩ1-10 (АВР-Б-40-2-1)</v>
      </c>
      <c r="B323" s="7" t="s">
        <v>8</v>
      </c>
      <c r="C323" s="8" t="s">
        <v>129</v>
      </c>
      <c r="D323" s="7" t="s">
        <v>130</v>
      </c>
      <c r="E323" s="9">
        <v>1</v>
      </c>
      <c r="F323" s="10" t="s">
        <v>9</v>
      </c>
      <c r="G323" s="7" t="s">
        <v>10</v>
      </c>
      <c r="H323" s="9" t="str">
        <f t="shared" ref="H323:H331" si="81">H322</f>
        <v>Блок10</v>
      </c>
    </row>
    <row r="324" spans="1:8" ht="27" customHeight="1" x14ac:dyDescent="0.25">
      <c r="A324" s="9" t="str">
        <f t="shared" si="80"/>
        <v>РЩ1-10 (АВР-Б-40-2-1)</v>
      </c>
      <c r="B324" s="7" t="s">
        <v>29</v>
      </c>
      <c r="C324" s="8" t="s">
        <v>123</v>
      </c>
      <c r="D324" s="7" t="s">
        <v>124</v>
      </c>
      <c r="E324" s="9">
        <v>1</v>
      </c>
      <c r="F324" s="10" t="s">
        <v>9</v>
      </c>
      <c r="G324" s="7" t="s">
        <v>11</v>
      </c>
      <c r="H324" s="9" t="str">
        <f t="shared" si="81"/>
        <v>Блок10</v>
      </c>
    </row>
    <row r="325" spans="1:8" ht="27" customHeight="1" x14ac:dyDescent="0.25">
      <c r="A325" s="9" t="str">
        <f t="shared" si="80"/>
        <v>РЩ1-10 (АВР-Б-40-2-1)</v>
      </c>
      <c r="B325" s="7" t="s">
        <v>237</v>
      </c>
      <c r="C325" s="8" t="s">
        <v>163</v>
      </c>
      <c r="D325" s="7" t="s">
        <v>164</v>
      </c>
      <c r="E325" s="9">
        <v>3</v>
      </c>
      <c r="F325" s="10" t="s">
        <v>9</v>
      </c>
      <c r="G325" s="7" t="s">
        <v>157</v>
      </c>
      <c r="H325" s="9" t="str">
        <f t="shared" si="81"/>
        <v>Блок10</v>
      </c>
    </row>
    <row r="326" spans="1:8" ht="27" customHeight="1" x14ac:dyDescent="0.25">
      <c r="A326" s="9" t="str">
        <f t="shared" si="80"/>
        <v>РЩ1-10 (АВР-Б-40-2-1)</v>
      </c>
      <c r="B326" s="7" t="s">
        <v>237</v>
      </c>
      <c r="C326" s="8" t="s">
        <v>181</v>
      </c>
      <c r="D326" s="7" t="s">
        <v>182</v>
      </c>
      <c r="E326" s="9">
        <v>2</v>
      </c>
      <c r="F326" s="10" t="s">
        <v>9</v>
      </c>
      <c r="G326" s="7" t="s">
        <v>157</v>
      </c>
      <c r="H326" s="9" t="str">
        <f t="shared" si="81"/>
        <v>Блок10</v>
      </c>
    </row>
    <row r="327" spans="1:8" ht="27" customHeight="1" x14ac:dyDescent="0.25">
      <c r="A327" s="9" t="str">
        <f t="shared" si="80"/>
        <v>РЩ1-10 (АВР-Б-40-2-1)</v>
      </c>
      <c r="B327" s="7" t="s">
        <v>238</v>
      </c>
      <c r="C327" s="8" t="s">
        <v>153</v>
      </c>
      <c r="D327" s="7" t="s">
        <v>154</v>
      </c>
      <c r="E327" s="9">
        <v>2</v>
      </c>
      <c r="F327" s="10" t="s">
        <v>9</v>
      </c>
      <c r="G327" s="7" t="s">
        <v>157</v>
      </c>
      <c r="H327" s="9" t="str">
        <f t="shared" si="81"/>
        <v>Блок10</v>
      </c>
    </row>
    <row r="328" spans="1:8" ht="27" customHeight="1" x14ac:dyDescent="0.25">
      <c r="A328" s="9" t="str">
        <f t="shared" si="80"/>
        <v>РЩ1-10 (АВР-Б-40-2-1)</v>
      </c>
      <c r="B328" s="7" t="s">
        <v>237</v>
      </c>
      <c r="C328" s="8" t="s">
        <v>155</v>
      </c>
      <c r="D328" s="7" t="s">
        <v>156</v>
      </c>
      <c r="E328" s="9">
        <v>1</v>
      </c>
      <c r="F328" s="10" t="s">
        <v>9</v>
      </c>
      <c r="G328" s="7" t="s">
        <v>157</v>
      </c>
      <c r="H328" s="9" t="str">
        <f t="shared" si="81"/>
        <v>Блок10</v>
      </c>
    </row>
    <row r="329" spans="1:8" ht="27" customHeight="1" x14ac:dyDescent="0.25">
      <c r="A329" s="9" t="str">
        <f t="shared" si="80"/>
        <v>РЩ1-10 (АВР-Б-40-2-1)</v>
      </c>
      <c r="B329" s="7" t="s">
        <v>12</v>
      </c>
      <c r="C329" s="8" t="s">
        <v>243</v>
      </c>
      <c r="D329" s="7" t="s">
        <v>244</v>
      </c>
      <c r="E329" s="9">
        <v>1</v>
      </c>
      <c r="F329" s="10" t="s">
        <v>9</v>
      </c>
      <c r="G329" s="7" t="s">
        <v>13</v>
      </c>
      <c r="H329" s="9" t="str">
        <f t="shared" si="81"/>
        <v>Блок10</v>
      </c>
    </row>
    <row r="330" spans="1:8" ht="27" customHeight="1" x14ac:dyDescent="0.25">
      <c r="A330" s="9" t="str">
        <f t="shared" si="80"/>
        <v>РЩ1-10 (АВР-Б-40-2-1)</v>
      </c>
      <c r="B330" s="7" t="s">
        <v>22</v>
      </c>
      <c r="C330" s="8"/>
      <c r="D330" s="7" t="s">
        <v>23</v>
      </c>
      <c r="E330" s="9">
        <v>6</v>
      </c>
      <c r="F330" s="10" t="s">
        <v>9</v>
      </c>
      <c r="G330" s="7" t="s">
        <v>19</v>
      </c>
      <c r="H330" s="9" t="str">
        <f t="shared" si="81"/>
        <v>Блок10</v>
      </c>
    </row>
    <row r="331" spans="1:8" ht="27" customHeight="1" x14ac:dyDescent="0.25">
      <c r="A331" s="7" t="str">
        <f t="shared" si="80"/>
        <v>РЩ1-10 (АВР-Б-40-2-1)</v>
      </c>
      <c r="B331" s="7" t="s">
        <v>15</v>
      </c>
      <c r="C331" s="8" t="s">
        <v>15</v>
      </c>
      <c r="D331" s="7" t="s">
        <v>15</v>
      </c>
      <c r="E331" s="7">
        <v>1</v>
      </c>
      <c r="F331" s="7" t="s">
        <v>9</v>
      </c>
      <c r="G331" s="7" t="s">
        <v>15</v>
      </c>
      <c r="H331" s="9" t="str">
        <f t="shared" si="81"/>
        <v>Блок10</v>
      </c>
    </row>
    <row r="332" spans="1:8" ht="27" customHeight="1" x14ac:dyDescent="0.25">
      <c r="A332" s="5" t="str">
        <f>D332</f>
        <v>ВРУ1-11</v>
      </c>
      <c r="B332" s="3"/>
      <c r="C332" s="4" t="str">
        <f>VLOOKUP(D332,[1]Sayfa2!$A:$F,2,0)</f>
        <v>989-090-0629</v>
      </c>
      <c r="D332" s="3" t="s">
        <v>68</v>
      </c>
      <c r="E332" s="5">
        <v>1</v>
      </c>
      <c r="F332" s="6" t="s">
        <v>6</v>
      </c>
      <c r="G332" s="3" t="s">
        <v>7</v>
      </c>
      <c r="H332" s="5" t="s">
        <v>69</v>
      </c>
    </row>
    <row r="333" spans="1:8" ht="27" customHeight="1" x14ac:dyDescent="0.25">
      <c r="A333" s="9" t="str">
        <f t="shared" ref="A333:A341" si="82">A332</f>
        <v>ВРУ1-11</v>
      </c>
      <c r="B333" s="7" t="s">
        <v>8</v>
      </c>
      <c r="C333" s="8" t="s">
        <v>133</v>
      </c>
      <c r="D333" s="7" t="s">
        <v>134</v>
      </c>
      <c r="E333" s="9">
        <v>1</v>
      </c>
      <c r="F333" s="10" t="s">
        <v>9</v>
      </c>
      <c r="G333" s="7" t="s">
        <v>10</v>
      </c>
      <c r="H333" s="9" t="str">
        <f t="shared" ref="H333:H341" si="83">H332</f>
        <v>Блок11</v>
      </c>
    </row>
    <row r="334" spans="1:8" ht="27" customHeight="1" x14ac:dyDescent="0.25">
      <c r="A334" s="9" t="str">
        <f t="shared" si="82"/>
        <v>ВРУ1-11</v>
      </c>
      <c r="B334" s="7" t="s">
        <v>18</v>
      </c>
      <c r="C334" s="8" t="s">
        <v>251</v>
      </c>
      <c r="D334" s="7" t="s">
        <v>252</v>
      </c>
      <c r="E334" s="9">
        <v>6</v>
      </c>
      <c r="F334" s="10" t="s">
        <v>9</v>
      </c>
      <c r="G334" s="7" t="s">
        <v>19</v>
      </c>
      <c r="H334" s="9" t="str">
        <f t="shared" si="83"/>
        <v>Блок11</v>
      </c>
    </row>
    <row r="335" spans="1:8" ht="27" customHeight="1" x14ac:dyDescent="0.25">
      <c r="A335" s="9" t="str">
        <f t="shared" si="82"/>
        <v>ВРУ1-11</v>
      </c>
      <c r="B335" s="7" t="s">
        <v>20</v>
      </c>
      <c r="C335" s="8" t="s">
        <v>135</v>
      </c>
      <c r="D335" s="7" t="s">
        <v>136</v>
      </c>
      <c r="E335" s="9">
        <v>2</v>
      </c>
      <c r="F335" s="10" t="s">
        <v>9</v>
      </c>
      <c r="G335" s="7" t="s">
        <v>19</v>
      </c>
      <c r="H335" s="9" t="str">
        <f t="shared" si="83"/>
        <v>Блок11</v>
      </c>
    </row>
    <row r="336" spans="1:8" ht="27" customHeight="1" x14ac:dyDescent="0.25">
      <c r="A336" s="9" t="str">
        <f t="shared" si="82"/>
        <v>ВРУ1-11</v>
      </c>
      <c r="B336" s="7" t="s">
        <v>94</v>
      </c>
      <c r="C336" s="8" t="s">
        <v>97</v>
      </c>
      <c r="D336" s="7" t="s">
        <v>98</v>
      </c>
      <c r="E336" s="9">
        <v>6</v>
      </c>
      <c r="F336" s="10" t="s">
        <v>9</v>
      </c>
      <c r="G336" s="7" t="s">
        <v>11</v>
      </c>
      <c r="H336" s="9" t="str">
        <f t="shared" si="83"/>
        <v>Блок11</v>
      </c>
    </row>
    <row r="337" spans="1:8" ht="27" customHeight="1" x14ac:dyDescent="0.25">
      <c r="A337" s="9" t="str">
        <f t="shared" si="82"/>
        <v>ВРУ1-11</v>
      </c>
      <c r="B337" s="7" t="s">
        <v>93</v>
      </c>
      <c r="C337" s="8" t="s">
        <v>95</v>
      </c>
      <c r="D337" s="7" t="s">
        <v>96</v>
      </c>
      <c r="E337" s="9">
        <v>6</v>
      </c>
      <c r="F337" s="10" t="s">
        <v>9</v>
      </c>
      <c r="G337" s="7" t="s">
        <v>11</v>
      </c>
      <c r="H337" s="9" t="str">
        <f t="shared" si="83"/>
        <v>Блок11</v>
      </c>
    </row>
    <row r="338" spans="1:8" ht="27" customHeight="1" x14ac:dyDescent="0.25">
      <c r="A338" s="9" t="str">
        <f t="shared" si="82"/>
        <v>ВРУ1-11</v>
      </c>
      <c r="B338" s="7" t="s">
        <v>237</v>
      </c>
      <c r="C338" s="8" t="s">
        <v>139</v>
      </c>
      <c r="D338" s="7" t="s">
        <v>140</v>
      </c>
      <c r="E338" s="9">
        <v>2</v>
      </c>
      <c r="F338" s="10" t="s">
        <v>9</v>
      </c>
      <c r="G338" s="7" t="s">
        <v>157</v>
      </c>
      <c r="H338" s="9" t="str">
        <f t="shared" si="83"/>
        <v>Блок11</v>
      </c>
    </row>
    <row r="339" spans="1:8" ht="27" customHeight="1" x14ac:dyDescent="0.25">
      <c r="A339" s="9" t="str">
        <f t="shared" si="82"/>
        <v>ВРУ1-11</v>
      </c>
      <c r="B339" s="7" t="s">
        <v>12</v>
      </c>
      <c r="C339" s="8" t="s">
        <v>241</v>
      </c>
      <c r="D339" s="11" t="s">
        <v>242</v>
      </c>
      <c r="E339" s="9">
        <v>2</v>
      </c>
      <c r="F339" s="10" t="s">
        <v>9</v>
      </c>
      <c r="G339" s="7" t="s">
        <v>13</v>
      </c>
      <c r="H339" s="9" t="str">
        <f t="shared" si="83"/>
        <v>Блок11</v>
      </c>
    </row>
    <row r="340" spans="1:8" ht="27" customHeight="1" x14ac:dyDescent="0.25">
      <c r="A340" s="9" t="str">
        <f t="shared" si="82"/>
        <v>ВРУ1-11</v>
      </c>
      <c r="B340" s="7" t="s">
        <v>22</v>
      </c>
      <c r="C340" s="8"/>
      <c r="D340" s="7" t="s">
        <v>23</v>
      </c>
      <c r="E340" s="9">
        <v>6</v>
      </c>
      <c r="F340" s="10" t="s">
        <v>9</v>
      </c>
      <c r="G340" s="7" t="s">
        <v>19</v>
      </c>
      <c r="H340" s="9" t="str">
        <f t="shared" si="83"/>
        <v>Блок11</v>
      </c>
    </row>
    <row r="341" spans="1:8" ht="27" customHeight="1" x14ac:dyDescent="0.25">
      <c r="A341" s="7" t="str">
        <f t="shared" si="82"/>
        <v>ВРУ1-11</v>
      </c>
      <c r="B341" s="7" t="s">
        <v>15</v>
      </c>
      <c r="C341" s="8" t="s">
        <v>15</v>
      </c>
      <c r="D341" s="7" t="s">
        <v>15</v>
      </c>
      <c r="E341" s="7">
        <v>1</v>
      </c>
      <c r="F341" s="7" t="s">
        <v>9</v>
      </c>
      <c r="G341" s="7" t="s">
        <v>15</v>
      </c>
      <c r="H341" s="9" t="str">
        <f t="shared" si="83"/>
        <v>Блок11</v>
      </c>
    </row>
    <row r="342" spans="1:8" ht="27" customHeight="1" x14ac:dyDescent="0.25">
      <c r="A342" s="5" t="str">
        <f>D342</f>
        <v>РУ-1-11</v>
      </c>
      <c r="B342" s="3"/>
      <c r="C342" s="4" t="str">
        <f>VLOOKUP(D342,[1]Sayfa2!$A:$F,2,0)</f>
        <v>989-090-0630</v>
      </c>
      <c r="D342" s="3" t="s">
        <v>70</v>
      </c>
      <c r="E342" s="5">
        <v>1</v>
      </c>
      <c r="F342" s="6" t="s">
        <v>6</v>
      </c>
      <c r="G342" s="3" t="s">
        <v>7</v>
      </c>
      <c r="H342" s="5" t="s">
        <v>69</v>
      </c>
    </row>
    <row r="343" spans="1:8" ht="27" customHeight="1" x14ac:dyDescent="0.25">
      <c r="A343" s="9" t="str">
        <f t="shared" ref="A343:A348" si="84">A342</f>
        <v>РУ-1-11</v>
      </c>
      <c r="B343" s="7" t="s">
        <v>8</v>
      </c>
      <c r="C343" s="8" t="s">
        <v>131</v>
      </c>
      <c r="D343" s="7" t="s">
        <v>132</v>
      </c>
      <c r="E343" s="9">
        <v>1</v>
      </c>
      <c r="F343" s="10" t="s">
        <v>9</v>
      </c>
      <c r="G343" s="7" t="s">
        <v>10</v>
      </c>
      <c r="H343" s="9" t="str">
        <f t="shared" ref="H343:H348" si="85">H342</f>
        <v>Блок11</v>
      </c>
    </row>
    <row r="344" spans="1:8" ht="27" customHeight="1" x14ac:dyDescent="0.25">
      <c r="A344" s="9" t="str">
        <f t="shared" si="84"/>
        <v>РУ-1-11</v>
      </c>
      <c r="B344" s="7" t="s">
        <v>238</v>
      </c>
      <c r="C344" s="8" t="s">
        <v>179</v>
      </c>
      <c r="D344" s="7" t="s">
        <v>180</v>
      </c>
      <c r="E344" s="9">
        <v>1</v>
      </c>
      <c r="F344" s="10" t="s">
        <v>9</v>
      </c>
      <c r="G344" s="7" t="s">
        <v>11</v>
      </c>
      <c r="H344" s="9" t="str">
        <f t="shared" si="85"/>
        <v>Блок11</v>
      </c>
    </row>
    <row r="345" spans="1:8" ht="27" customHeight="1" x14ac:dyDescent="0.25">
      <c r="A345" s="9" t="str">
        <f t="shared" si="84"/>
        <v>РУ-1-11</v>
      </c>
      <c r="B345" s="7" t="s">
        <v>238</v>
      </c>
      <c r="C345" s="8" t="s">
        <v>177</v>
      </c>
      <c r="D345" s="7" t="s">
        <v>178</v>
      </c>
      <c r="E345" s="9">
        <v>2</v>
      </c>
      <c r="F345" s="10" t="s">
        <v>9</v>
      </c>
      <c r="G345" s="7" t="s">
        <v>157</v>
      </c>
      <c r="H345" s="9" t="str">
        <f t="shared" si="85"/>
        <v>Блок11</v>
      </c>
    </row>
    <row r="346" spans="1:8" ht="27" customHeight="1" x14ac:dyDescent="0.25">
      <c r="A346" s="9" t="str">
        <f t="shared" si="84"/>
        <v>РУ-1-11</v>
      </c>
      <c r="B346" s="7" t="s">
        <v>237</v>
      </c>
      <c r="C346" s="8" t="s">
        <v>167</v>
      </c>
      <c r="D346" s="7" t="s">
        <v>168</v>
      </c>
      <c r="E346" s="9">
        <v>2</v>
      </c>
      <c r="F346" s="10" t="s">
        <v>9</v>
      </c>
      <c r="G346" s="7" t="s">
        <v>157</v>
      </c>
      <c r="H346" s="9" t="str">
        <f t="shared" si="85"/>
        <v>Блок11</v>
      </c>
    </row>
    <row r="347" spans="1:8" ht="27" customHeight="1" x14ac:dyDescent="0.25">
      <c r="A347" s="9" t="str">
        <f t="shared" si="84"/>
        <v>РУ-1-11</v>
      </c>
      <c r="B347" s="7" t="s">
        <v>237</v>
      </c>
      <c r="C347" s="8" t="s">
        <v>165</v>
      </c>
      <c r="D347" s="7" t="s">
        <v>166</v>
      </c>
      <c r="E347" s="9">
        <v>1</v>
      </c>
      <c r="F347" s="10" t="s">
        <v>9</v>
      </c>
      <c r="G347" s="7" t="s">
        <v>157</v>
      </c>
      <c r="H347" s="9" t="str">
        <f t="shared" si="85"/>
        <v>Блок11</v>
      </c>
    </row>
    <row r="348" spans="1:8" ht="27" customHeight="1" x14ac:dyDescent="0.25">
      <c r="A348" s="7" t="str">
        <f t="shared" si="84"/>
        <v>РУ-1-11</v>
      </c>
      <c r="B348" s="7" t="s">
        <v>15</v>
      </c>
      <c r="C348" s="8" t="s">
        <v>15</v>
      </c>
      <c r="D348" s="7" t="s">
        <v>15</v>
      </c>
      <c r="E348" s="7">
        <v>1</v>
      </c>
      <c r="F348" s="7" t="s">
        <v>9</v>
      </c>
      <c r="G348" s="7" t="s">
        <v>15</v>
      </c>
      <c r="H348" s="9" t="str">
        <f t="shared" si="85"/>
        <v>Блок11</v>
      </c>
    </row>
    <row r="349" spans="1:8" ht="27" customHeight="1" x14ac:dyDescent="0.25">
      <c r="A349" s="5" t="str">
        <f>D349</f>
        <v>ЩУР.МОП1-11</v>
      </c>
      <c r="B349" s="3"/>
      <c r="C349" s="4" t="str">
        <f>VLOOKUP(D349,[1]Sayfa2!$A:$F,2,0)</f>
        <v>989-090-0631</v>
      </c>
      <c r="D349" s="3" t="s">
        <v>71</v>
      </c>
      <c r="E349" s="5">
        <v>1</v>
      </c>
      <c r="F349" s="6" t="s">
        <v>6</v>
      </c>
      <c r="G349" s="3" t="s">
        <v>7</v>
      </c>
      <c r="H349" s="5" t="s">
        <v>69</v>
      </c>
    </row>
    <row r="350" spans="1:8" ht="27" customHeight="1" x14ac:dyDescent="0.25">
      <c r="A350" s="9" t="str">
        <f t="shared" ref="A350:A354" si="86">A349</f>
        <v>ЩУР.МОП1-11</v>
      </c>
      <c r="B350" s="7" t="s">
        <v>8</v>
      </c>
      <c r="C350" s="8" t="s">
        <v>27</v>
      </c>
      <c r="D350" s="7" t="s">
        <v>28</v>
      </c>
      <c r="E350" s="9">
        <v>1</v>
      </c>
      <c r="F350" s="10" t="s">
        <v>9</v>
      </c>
      <c r="G350" s="7" t="s">
        <v>10</v>
      </c>
      <c r="H350" s="9" t="str">
        <f t="shared" ref="H350:H354" si="87">H349</f>
        <v>Блок11</v>
      </c>
    </row>
    <row r="351" spans="1:8" ht="27" customHeight="1" x14ac:dyDescent="0.25">
      <c r="A351" s="9" t="str">
        <f t="shared" si="86"/>
        <v>ЩУР.МОП1-11</v>
      </c>
      <c r="B351" s="7" t="s">
        <v>237</v>
      </c>
      <c r="C351" s="8" t="s">
        <v>145</v>
      </c>
      <c r="D351" s="7" t="s">
        <v>146</v>
      </c>
      <c r="E351" s="9">
        <v>1</v>
      </c>
      <c r="F351" s="10" t="s">
        <v>9</v>
      </c>
      <c r="G351" s="7" t="s">
        <v>157</v>
      </c>
      <c r="H351" s="9" t="str">
        <f t="shared" si="87"/>
        <v>Блок11</v>
      </c>
    </row>
    <row r="352" spans="1:8" ht="27" customHeight="1" x14ac:dyDescent="0.25">
      <c r="A352" s="9" t="str">
        <f t="shared" si="86"/>
        <v>ЩУР.МОП1-11</v>
      </c>
      <c r="B352" s="7" t="s">
        <v>237</v>
      </c>
      <c r="C352" s="8" t="s">
        <v>143</v>
      </c>
      <c r="D352" s="7" t="s">
        <v>144</v>
      </c>
      <c r="E352" s="9">
        <v>4</v>
      </c>
      <c r="F352" s="10" t="s">
        <v>9</v>
      </c>
      <c r="G352" s="7" t="s">
        <v>157</v>
      </c>
      <c r="H352" s="9" t="str">
        <f t="shared" si="87"/>
        <v>Блок11</v>
      </c>
    </row>
    <row r="353" spans="1:8" ht="27" customHeight="1" x14ac:dyDescent="0.25">
      <c r="A353" s="9" t="str">
        <f t="shared" si="86"/>
        <v>ЩУР.МОП1-11</v>
      </c>
      <c r="B353" s="7" t="s">
        <v>12</v>
      </c>
      <c r="C353" s="8" t="s">
        <v>243</v>
      </c>
      <c r="D353" s="7" t="s">
        <v>244</v>
      </c>
      <c r="E353" s="9">
        <v>1</v>
      </c>
      <c r="F353" s="10" t="s">
        <v>9</v>
      </c>
      <c r="G353" s="7" t="s">
        <v>13</v>
      </c>
      <c r="H353" s="9" t="str">
        <f t="shared" si="87"/>
        <v>Блок11</v>
      </c>
    </row>
    <row r="354" spans="1:8" ht="27" customHeight="1" x14ac:dyDescent="0.25">
      <c r="A354" s="7" t="str">
        <f t="shared" si="86"/>
        <v>ЩУР.МОП1-11</v>
      </c>
      <c r="B354" s="7" t="s">
        <v>15</v>
      </c>
      <c r="C354" s="8" t="s">
        <v>15</v>
      </c>
      <c r="D354" s="7" t="s">
        <v>15</v>
      </c>
      <c r="E354" s="7">
        <v>1</v>
      </c>
      <c r="F354" s="7" t="s">
        <v>9</v>
      </c>
      <c r="G354" s="7" t="s">
        <v>15</v>
      </c>
      <c r="H354" s="9" t="str">
        <f t="shared" si="87"/>
        <v>Блок11</v>
      </c>
    </row>
    <row r="355" spans="1:8" ht="27" customHeight="1" x14ac:dyDescent="0.25">
      <c r="A355" s="5" t="str">
        <f>D355</f>
        <v>РЩ1-11 (АВР-Б-40-2-1)</v>
      </c>
      <c r="B355" s="3"/>
      <c r="C355" s="4" t="str">
        <f>VLOOKUP(D355,[1]Sayfa2!$A:$F,2,0)</f>
        <v>989-090-0632</v>
      </c>
      <c r="D355" s="3" t="s">
        <v>110</v>
      </c>
      <c r="E355" s="5">
        <v>1</v>
      </c>
      <c r="F355" s="6" t="s">
        <v>6</v>
      </c>
      <c r="G355" s="3" t="s">
        <v>7</v>
      </c>
      <c r="H355" s="5" t="s">
        <v>69</v>
      </c>
    </row>
    <row r="356" spans="1:8" ht="27" customHeight="1" x14ac:dyDescent="0.25">
      <c r="A356" s="9" t="str">
        <f t="shared" ref="A356:A365" si="88">A355</f>
        <v>РЩ1-11 (АВР-Б-40-2-1)</v>
      </c>
      <c r="B356" s="7" t="s">
        <v>8</v>
      </c>
      <c r="C356" s="8" t="s">
        <v>129</v>
      </c>
      <c r="D356" s="7" t="s">
        <v>130</v>
      </c>
      <c r="E356" s="9">
        <v>1</v>
      </c>
      <c r="F356" s="10" t="s">
        <v>9</v>
      </c>
      <c r="G356" s="7" t="s">
        <v>10</v>
      </c>
      <c r="H356" s="9" t="str">
        <f t="shared" ref="H356:H365" si="89">H355</f>
        <v>Блок11</v>
      </c>
    </row>
    <row r="357" spans="1:8" ht="27" customHeight="1" x14ac:dyDescent="0.25">
      <c r="A357" s="9" t="str">
        <f t="shared" si="88"/>
        <v>РЩ1-11 (АВР-Б-40-2-1)</v>
      </c>
      <c r="B357" s="7" t="s">
        <v>29</v>
      </c>
      <c r="C357" s="8" t="s">
        <v>123</v>
      </c>
      <c r="D357" s="7" t="s">
        <v>124</v>
      </c>
      <c r="E357" s="9">
        <v>1</v>
      </c>
      <c r="F357" s="10" t="s">
        <v>9</v>
      </c>
      <c r="G357" s="7" t="s">
        <v>11</v>
      </c>
      <c r="H357" s="9" t="str">
        <f t="shared" si="89"/>
        <v>Блок11</v>
      </c>
    </row>
    <row r="358" spans="1:8" ht="27" customHeight="1" x14ac:dyDescent="0.25">
      <c r="A358" s="9" t="str">
        <f t="shared" si="88"/>
        <v>РЩ1-11 (АВР-Б-40-2-1)</v>
      </c>
      <c r="B358" s="7" t="s">
        <v>237</v>
      </c>
      <c r="C358" s="8" t="s">
        <v>163</v>
      </c>
      <c r="D358" s="7" t="s">
        <v>164</v>
      </c>
      <c r="E358" s="9">
        <v>2</v>
      </c>
      <c r="F358" s="10" t="s">
        <v>9</v>
      </c>
      <c r="G358" s="7" t="s">
        <v>157</v>
      </c>
      <c r="H358" s="9" t="str">
        <f t="shared" si="89"/>
        <v>Блок11</v>
      </c>
    </row>
    <row r="359" spans="1:8" ht="27" customHeight="1" x14ac:dyDescent="0.25">
      <c r="A359" s="9" t="str">
        <f t="shared" si="88"/>
        <v>РЩ1-11 (АВР-Б-40-2-1)</v>
      </c>
      <c r="B359" s="7" t="s">
        <v>237</v>
      </c>
      <c r="C359" s="8" t="s">
        <v>181</v>
      </c>
      <c r="D359" s="7" t="s">
        <v>182</v>
      </c>
      <c r="E359" s="9">
        <v>2</v>
      </c>
      <c r="F359" s="10" t="s">
        <v>9</v>
      </c>
      <c r="G359" s="7" t="s">
        <v>157</v>
      </c>
      <c r="H359" s="9" t="str">
        <f t="shared" si="89"/>
        <v>Блок11</v>
      </c>
    </row>
    <row r="360" spans="1:8" ht="27" customHeight="1" x14ac:dyDescent="0.25">
      <c r="A360" s="9" t="str">
        <f t="shared" si="88"/>
        <v>РЩ1-11 (АВР-Б-40-2-1)</v>
      </c>
      <c r="B360" s="7" t="s">
        <v>238</v>
      </c>
      <c r="C360" s="8" t="s">
        <v>153</v>
      </c>
      <c r="D360" s="7" t="s">
        <v>154</v>
      </c>
      <c r="E360" s="9">
        <v>2</v>
      </c>
      <c r="F360" s="10" t="s">
        <v>9</v>
      </c>
      <c r="G360" s="7" t="s">
        <v>157</v>
      </c>
      <c r="H360" s="9" t="str">
        <f t="shared" si="89"/>
        <v>Блок11</v>
      </c>
    </row>
    <row r="361" spans="1:8" ht="27" customHeight="1" x14ac:dyDescent="0.25">
      <c r="A361" s="9" t="str">
        <f t="shared" si="88"/>
        <v>РЩ1-11 (АВР-Б-40-2-1)</v>
      </c>
      <c r="B361" s="7" t="s">
        <v>14</v>
      </c>
      <c r="C361" s="8" t="s">
        <v>183</v>
      </c>
      <c r="D361" s="7" t="s">
        <v>184</v>
      </c>
      <c r="E361" s="9">
        <v>1</v>
      </c>
      <c r="F361" s="10" t="s">
        <v>9</v>
      </c>
      <c r="G361" s="7" t="s">
        <v>11</v>
      </c>
      <c r="H361" s="9" t="str">
        <f t="shared" si="89"/>
        <v>Блок11</v>
      </c>
    </row>
    <row r="362" spans="1:8" ht="27" customHeight="1" x14ac:dyDescent="0.25">
      <c r="A362" s="9" t="str">
        <f t="shared" si="88"/>
        <v>РЩ1-11 (АВР-Б-40-2-1)</v>
      </c>
      <c r="B362" s="7" t="s">
        <v>237</v>
      </c>
      <c r="C362" s="8" t="s">
        <v>155</v>
      </c>
      <c r="D362" s="7" t="s">
        <v>156</v>
      </c>
      <c r="E362" s="9">
        <v>1</v>
      </c>
      <c r="F362" s="10" t="s">
        <v>9</v>
      </c>
      <c r="G362" s="7" t="s">
        <v>157</v>
      </c>
      <c r="H362" s="9" t="str">
        <f t="shared" si="89"/>
        <v>Блок11</v>
      </c>
    </row>
    <row r="363" spans="1:8" ht="27" customHeight="1" x14ac:dyDescent="0.25">
      <c r="A363" s="9" t="str">
        <f t="shared" si="88"/>
        <v>РЩ1-11 (АВР-Б-40-2-1)</v>
      </c>
      <c r="B363" s="7" t="s">
        <v>12</v>
      </c>
      <c r="C363" s="8" t="s">
        <v>243</v>
      </c>
      <c r="D363" s="7" t="s">
        <v>244</v>
      </c>
      <c r="E363" s="9">
        <v>1</v>
      </c>
      <c r="F363" s="10" t="s">
        <v>9</v>
      </c>
      <c r="G363" s="7" t="s">
        <v>13</v>
      </c>
      <c r="H363" s="9" t="str">
        <f t="shared" si="89"/>
        <v>Блок11</v>
      </c>
    </row>
    <row r="364" spans="1:8" ht="27" customHeight="1" x14ac:dyDescent="0.25">
      <c r="A364" s="9" t="str">
        <f t="shared" si="88"/>
        <v>РЩ1-11 (АВР-Б-40-2-1)</v>
      </c>
      <c r="B364" s="7" t="s">
        <v>22</v>
      </c>
      <c r="C364" s="8"/>
      <c r="D364" s="7" t="s">
        <v>23</v>
      </c>
      <c r="E364" s="9">
        <v>6</v>
      </c>
      <c r="F364" s="10" t="s">
        <v>9</v>
      </c>
      <c r="G364" s="7" t="s">
        <v>19</v>
      </c>
      <c r="H364" s="9" t="str">
        <f t="shared" si="89"/>
        <v>Блок11</v>
      </c>
    </row>
    <row r="365" spans="1:8" ht="27" customHeight="1" x14ac:dyDescent="0.25">
      <c r="A365" s="7" t="str">
        <f t="shared" si="88"/>
        <v>РЩ1-11 (АВР-Б-40-2-1)</v>
      </c>
      <c r="B365" s="7" t="s">
        <v>15</v>
      </c>
      <c r="C365" s="8" t="s">
        <v>15</v>
      </c>
      <c r="D365" s="7" t="s">
        <v>15</v>
      </c>
      <c r="E365" s="7">
        <v>1</v>
      </c>
      <c r="F365" s="7" t="s">
        <v>9</v>
      </c>
      <c r="G365" s="7" t="s">
        <v>15</v>
      </c>
      <c r="H365" s="9" t="str">
        <f t="shared" si="89"/>
        <v>Блок11</v>
      </c>
    </row>
    <row r="366" spans="1:8" ht="27" customHeight="1" x14ac:dyDescent="0.25">
      <c r="A366" s="5" t="str">
        <f>D366</f>
        <v>ВРУ1-12</v>
      </c>
      <c r="B366" s="3"/>
      <c r="C366" s="4" t="str">
        <f>VLOOKUP(D366,[1]Sayfa2!$A:$F,2,0)</f>
        <v>989-090-0633</v>
      </c>
      <c r="D366" s="3" t="s">
        <v>72</v>
      </c>
      <c r="E366" s="5">
        <v>1</v>
      </c>
      <c r="F366" s="6" t="s">
        <v>6</v>
      </c>
      <c r="G366" s="3" t="s">
        <v>7</v>
      </c>
      <c r="H366" s="5" t="s">
        <v>73</v>
      </c>
    </row>
    <row r="367" spans="1:8" ht="27" customHeight="1" x14ac:dyDescent="0.25">
      <c r="A367" s="9" t="str">
        <f t="shared" ref="A367:A375" si="90">A366</f>
        <v>ВРУ1-12</v>
      </c>
      <c r="B367" s="7" t="s">
        <v>8</v>
      </c>
      <c r="C367" s="8" t="s">
        <v>133</v>
      </c>
      <c r="D367" s="7" t="s">
        <v>134</v>
      </c>
      <c r="E367" s="9">
        <v>1</v>
      </c>
      <c r="F367" s="10" t="s">
        <v>9</v>
      </c>
      <c r="G367" s="7" t="s">
        <v>10</v>
      </c>
      <c r="H367" s="9" t="str">
        <f t="shared" ref="H367:H375" si="91">H366</f>
        <v>Блок12</v>
      </c>
    </row>
    <row r="368" spans="1:8" ht="27" customHeight="1" x14ac:dyDescent="0.25">
      <c r="A368" s="9" t="str">
        <f t="shared" si="90"/>
        <v>ВРУ1-12</v>
      </c>
      <c r="B368" s="7" t="s">
        <v>18</v>
      </c>
      <c r="C368" s="8" t="s">
        <v>251</v>
      </c>
      <c r="D368" s="7" t="s">
        <v>252</v>
      </c>
      <c r="E368" s="9">
        <v>6</v>
      </c>
      <c r="F368" s="10" t="s">
        <v>9</v>
      </c>
      <c r="G368" s="7" t="s">
        <v>19</v>
      </c>
      <c r="H368" s="9" t="str">
        <f t="shared" si="91"/>
        <v>Блок12</v>
      </c>
    </row>
    <row r="369" spans="1:8" ht="27" customHeight="1" x14ac:dyDescent="0.25">
      <c r="A369" s="9" t="str">
        <f t="shared" si="90"/>
        <v>ВРУ1-12</v>
      </c>
      <c r="B369" s="7" t="s">
        <v>20</v>
      </c>
      <c r="C369" s="8" t="s">
        <v>135</v>
      </c>
      <c r="D369" s="7" t="s">
        <v>136</v>
      </c>
      <c r="E369" s="9">
        <v>2</v>
      </c>
      <c r="F369" s="10" t="s">
        <v>9</v>
      </c>
      <c r="G369" s="7" t="s">
        <v>19</v>
      </c>
      <c r="H369" s="9" t="str">
        <f t="shared" si="91"/>
        <v>Блок12</v>
      </c>
    </row>
    <row r="370" spans="1:8" ht="27" customHeight="1" x14ac:dyDescent="0.25">
      <c r="A370" s="9" t="str">
        <f t="shared" si="90"/>
        <v>ВРУ1-12</v>
      </c>
      <c r="B370" s="7" t="s">
        <v>94</v>
      </c>
      <c r="C370" s="8" t="s">
        <v>97</v>
      </c>
      <c r="D370" s="7" t="s">
        <v>98</v>
      </c>
      <c r="E370" s="9">
        <v>6</v>
      </c>
      <c r="F370" s="10" t="s">
        <v>9</v>
      </c>
      <c r="G370" s="7" t="s">
        <v>11</v>
      </c>
      <c r="H370" s="9" t="str">
        <f t="shared" si="91"/>
        <v>Блок12</v>
      </c>
    </row>
    <row r="371" spans="1:8" ht="27" customHeight="1" x14ac:dyDescent="0.25">
      <c r="A371" s="9" t="str">
        <f t="shared" si="90"/>
        <v>ВРУ1-12</v>
      </c>
      <c r="B371" s="7" t="s">
        <v>93</v>
      </c>
      <c r="C371" s="8" t="s">
        <v>95</v>
      </c>
      <c r="D371" s="7" t="s">
        <v>96</v>
      </c>
      <c r="E371" s="9">
        <v>6</v>
      </c>
      <c r="F371" s="10" t="s">
        <v>9</v>
      </c>
      <c r="G371" s="7" t="s">
        <v>11</v>
      </c>
      <c r="H371" s="9" t="str">
        <f t="shared" si="91"/>
        <v>Блок12</v>
      </c>
    </row>
    <row r="372" spans="1:8" ht="27" customHeight="1" x14ac:dyDescent="0.25">
      <c r="A372" s="9" t="str">
        <f t="shared" si="90"/>
        <v>ВРУ1-12</v>
      </c>
      <c r="B372" s="7" t="s">
        <v>237</v>
      </c>
      <c r="C372" s="8" t="s">
        <v>139</v>
      </c>
      <c r="D372" s="7" t="s">
        <v>140</v>
      </c>
      <c r="E372" s="9">
        <v>2</v>
      </c>
      <c r="F372" s="10" t="s">
        <v>9</v>
      </c>
      <c r="G372" s="7" t="s">
        <v>157</v>
      </c>
      <c r="H372" s="9" t="str">
        <f t="shared" si="91"/>
        <v>Блок12</v>
      </c>
    </row>
    <row r="373" spans="1:8" ht="27" customHeight="1" x14ac:dyDescent="0.25">
      <c r="A373" s="9" t="str">
        <f t="shared" si="90"/>
        <v>ВРУ1-12</v>
      </c>
      <c r="B373" s="7" t="s">
        <v>12</v>
      </c>
      <c r="C373" s="8" t="s">
        <v>241</v>
      </c>
      <c r="D373" s="11" t="s">
        <v>242</v>
      </c>
      <c r="E373" s="9">
        <v>2</v>
      </c>
      <c r="F373" s="10" t="s">
        <v>9</v>
      </c>
      <c r="G373" s="7" t="s">
        <v>13</v>
      </c>
      <c r="H373" s="9" t="str">
        <f t="shared" si="91"/>
        <v>Блок12</v>
      </c>
    </row>
    <row r="374" spans="1:8" ht="27" customHeight="1" x14ac:dyDescent="0.25">
      <c r="A374" s="9" t="str">
        <f t="shared" si="90"/>
        <v>ВРУ1-12</v>
      </c>
      <c r="B374" s="7" t="s">
        <v>22</v>
      </c>
      <c r="C374" s="8"/>
      <c r="D374" s="7" t="s">
        <v>23</v>
      </c>
      <c r="E374" s="9">
        <v>6</v>
      </c>
      <c r="F374" s="10" t="s">
        <v>9</v>
      </c>
      <c r="G374" s="7" t="s">
        <v>19</v>
      </c>
      <c r="H374" s="9" t="str">
        <f t="shared" si="91"/>
        <v>Блок12</v>
      </c>
    </row>
    <row r="375" spans="1:8" ht="27" customHeight="1" x14ac:dyDescent="0.25">
      <c r="A375" s="7" t="str">
        <f t="shared" si="90"/>
        <v>ВРУ1-12</v>
      </c>
      <c r="B375" s="7" t="s">
        <v>15</v>
      </c>
      <c r="C375" s="8" t="s">
        <v>15</v>
      </c>
      <c r="D375" s="7" t="s">
        <v>15</v>
      </c>
      <c r="E375" s="7">
        <v>1</v>
      </c>
      <c r="F375" s="7" t="s">
        <v>9</v>
      </c>
      <c r="G375" s="7" t="s">
        <v>15</v>
      </c>
      <c r="H375" s="9" t="str">
        <f t="shared" si="91"/>
        <v>Блок12</v>
      </c>
    </row>
    <row r="376" spans="1:8" ht="27" customHeight="1" x14ac:dyDescent="0.25">
      <c r="A376" s="5" t="str">
        <f>D376</f>
        <v>РУ-1-12</v>
      </c>
      <c r="B376" s="3"/>
      <c r="C376" s="4" t="str">
        <f>VLOOKUP(D376,[1]Sayfa2!$A:$F,2,0)</f>
        <v>989-090-0634</v>
      </c>
      <c r="D376" s="3" t="s">
        <v>74</v>
      </c>
      <c r="E376" s="5">
        <v>1</v>
      </c>
      <c r="F376" s="6" t="s">
        <v>6</v>
      </c>
      <c r="G376" s="3" t="s">
        <v>7</v>
      </c>
      <c r="H376" s="5" t="s">
        <v>73</v>
      </c>
    </row>
    <row r="377" spans="1:8" ht="27" customHeight="1" x14ac:dyDescent="0.25">
      <c r="A377" s="9" t="str">
        <f t="shared" ref="A377:A381" si="92">A376</f>
        <v>РУ-1-12</v>
      </c>
      <c r="B377" s="7" t="s">
        <v>8</v>
      </c>
      <c r="C377" s="8" t="s">
        <v>131</v>
      </c>
      <c r="D377" s="7" t="s">
        <v>132</v>
      </c>
      <c r="E377" s="9">
        <v>1</v>
      </c>
      <c r="F377" s="10" t="s">
        <v>9</v>
      </c>
      <c r="G377" s="7" t="s">
        <v>10</v>
      </c>
      <c r="H377" s="9" t="str">
        <f t="shared" ref="H377:H381" si="93">H376</f>
        <v>Блок12</v>
      </c>
    </row>
    <row r="378" spans="1:8" ht="27" customHeight="1" x14ac:dyDescent="0.25">
      <c r="A378" s="9" t="str">
        <f t="shared" si="92"/>
        <v>РУ-1-12</v>
      </c>
      <c r="B378" s="7" t="s">
        <v>238</v>
      </c>
      <c r="C378" s="8" t="s">
        <v>175</v>
      </c>
      <c r="D378" s="7" t="s">
        <v>176</v>
      </c>
      <c r="E378" s="9">
        <v>2</v>
      </c>
      <c r="F378" s="10" t="s">
        <v>9</v>
      </c>
      <c r="G378" s="7" t="s">
        <v>157</v>
      </c>
      <c r="H378" s="9" t="str">
        <f t="shared" si="93"/>
        <v>Блок12</v>
      </c>
    </row>
    <row r="379" spans="1:8" ht="27" customHeight="1" x14ac:dyDescent="0.25">
      <c r="A379" s="9" t="str">
        <f t="shared" si="92"/>
        <v>РУ-1-12</v>
      </c>
      <c r="B379" s="7" t="s">
        <v>238</v>
      </c>
      <c r="C379" s="8" t="s">
        <v>177</v>
      </c>
      <c r="D379" s="7" t="s">
        <v>178</v>
      </c>
      <c r="E379" s="9">
        <v>1</v>
      </c>
      <c r="F379" s="10" t="s">
        <v>9</v>
      </c>
      <c r="G379" s="7" t="s">
        <v>157</v>
      </c>
      <c r="H379" s="9" t="str">
        <f t="shared" si="93"/>
        <v>Блок12</v>
      </c>
    </row>
    <row r="380" spans="1:8" ht="27" customHeight="1" x14ac:dyDescent="0.25">
      <c r="A380" s="9" t="str">
        <f t="shared" si="92"/>
        <v>РУ-1-12</v>
      </c>
      <c r="B380" s="7" t="s">
        <v>237</v>
      </c>
      <c r="C380" s="8" t="s">
        <v>167</v>
      </c>
      <c r="D380" s="7" t="s">
        <v>168</v>
      </c>
      <c r="E380" s="9">
        <v>2</v>
      </c>
      <c r="F380" s="10" t="s">
        <v>9</v>
      </c>
      <c r="G380" s="7" t="s">
        <v>157</v>
      </c>
      <c r="H380" s="9" t="str">
        <f t="shared" si="93"/>
        <v>Блок12</v>
      </c>
    </row>
    <row r="381" spans="1:8" ht="27" customHeight="1" x14ac:dyDescent="0.25">
      <c r="A381" s="7" t="str">
        <f t="shared" si="92"/>
        <v>РУ-1-12</v>
      </c>
      <c r="B381" s="7" t="s">
        <v>15</v>
      </c>
      <c r="C381" s="8" t="s">
        <v>15</v>
      </c>
      <c r="D381" s="7" t="s">
        <v>15</v>
      </c>
      <c r="E381" s="7">
        <v>1</v>
      </c>
      <c r="F381" s="7" t="s">
        <v>9</v>
      </c>
      <c r="G381" s="7" t="s">
        <v>15</v>
      </c>
      <c r="H381" s="9" t="str">
        <f t="shared" si="93"/>
        <v>Блок12</v>
      </c>
    </row>
    <row r="382" spans="1:8" ht="27" customHeight="1" x14ac:dyDescent="0.25">
      <c r="A382" s="5" t="str">
        <f>D382</f>
        <v>РУ-2-12</v>
      </c>
      <c r="B382" s="3"/>
      <c r="C382" s="4" t="str">
        <f>VLOOKUP(D382,[1]Sayfa2!$A:$F,2,0)</f>
        <v>989-090-0635</v>
      </c>
      <c r="D382" s="3" t="s">
        <v>75</v>
      </c>
      <c r="E382" s="5">
        <v>1</v>
      </c>
      <c r="F382" s="6" t="s">
        <v>6</v>
      </c>
      <c r="G382" s="3" t="s">
        <v>7</v>
      </c>
      <c r="H382" s="5" t="s">
        <v>73</v>
      </c>
    </row>
    <row r="383" spans="1:8" ht="27" customHeight="1" x14ac:dyDescent="0.25">
      <c r="A383" s="9" t="str">
        <f t="shared" ref="A383:A386" si="94">A382</f>
        <v>РУ-2-12</v>
      </c>
      <c r="B383" s="7" t="s">
        <v>8</v>
      </c>
      <c r="C383" s="8" t="s">
        <v>131</v>
      </c>
      <c r="D383" s="7" t="s">
        <v>132</v>
      </c>
      <c r="E383" s="9">
        <v>1</v>
      </c>
      <c r="F383" s="10" t="s">
        <v>9</v>
      </c>
      <c r="G383" s="7" t="s">
        <v>10</v>
      </c>
      <c r="H383" s="9" t="str">
        <f t="shared" ref="H383:H386" si="95">H382</f>
        <v>Блок12</v>
      </c>
    </row>
    <row r="384" spans="1:8" ht="27" customHeight="1" x14ac:dyDescent="0.25">
      <c r="A384" s="9" t="str">
        <f t="shared" si="94"/>
        <v>РУ-2-12</v>
      </c>
      <c r="B384" s="7" t="s">
        <v>238</v>
      </c>
      <c r="C384" s="8" t="s">
        <v>177</v>
      </c>
      <c r="D384" s="7" t="s">
        <v>178</v>
      </c>
      <c r="E384" s="9">
        <v>1</v>
      </c>
      <c r="F384" s="10" t="s">
        <v>9</v>
      </c>
      <c r="G384" s="7" t="s">
        <v>157</v>
      </c>
      <c r="H384" s="9" t="str">
        <f t="shared" si="95"/>
        <v>Блок12</v>
      </c>
    </row>
    <row r="385" spans="1:8" ht="27" customHeight="1" x14ac:dyDescent="0.25">
      <c r="A385" s="9" t="str">
        <f t="shared" si="94"/>
        <v>РУ-2-12</v>
      </c>
      <c r="B385" s="7" t="s">
        <v>238</v>
      </c>
      <c r="C385" s="8" t="s">
        <v>175</v>
      </c>
      <c r="D385" s="7" t="s">
        <v>176</v>
      </c>
      <c r="E385" s="9">
        <v>3</v>
      </c>
      <c r="F385" s="10" t="s">
        <v>9</v>
      </c>
      <c r="G385" s="7" t="s">
        <v>157</v>
      </c>
      <c r="H385" s="9" t="str">
        <f t="shared" si="95"/>
        <v>Блок12</v>
      </c>
    </row>
    <row r="386" spans="1:8" ht="27" customHeight="1" x14ac:dyDescent="0.25">
      <c r="A386" s="9" t="str">
        <f t="shared" si="94"/>
        <v>РУ-2-12</v>
      </c>
      <c r="B386" s="7" t="s">
        <v>238</v>
      </c>
      <c r="C386" s="8" t="s">
        <v>173</v>
      </c>
      <c r="D386" s="7" t="s">
        <v>174</v>
      </c>
      <c r="E386" s="9">
        <v>1</v>
      </c>
      <c r="F386" s="10" t="s">
        <v>9</v>
      </c>
      <c r="G386" s="7" t="s">
        <v>157</v>
      </c>
      <c r="H386" s="9" t="str">
        <f t="shared" si="95"/>
        <v>Блок12</v>
      </c>
    </row>
    <row r="387" spans="1:8" ht="27" customHeight="1" x14ac:dyDescent="0.25">
      <c r="A387" s="5" t="str">
        <f>D387</f>
        <v>ЩУР.МОП1-12</v>
      </c>
      <c r="B387" s="3"/>
      <c r="C387" s="4" t="str">
        <f>VLOOKUP(D387,[1]Sayfa2!$A:$F,2,0)</f>
        <v>989-090-0636</v>
      </c>
      <c r="D387" s="3" t="s">
        <v>76</v>
      </c>
      <c r="E387" s="5">
        <v>1</v>
      </c>
      <c r="F387" s="6" t="s">
        <v>6</v>
      </c>
      <c r="G387" s="3" t="s">
        <v>7</v>
      </c>
      <c r="H387" s="5" t="s">
        <v>73</v>
      </c>
    </row>
    <row r="388" spans="1:8" ht="27" customHeight="1" x14ac:dyDescent="0.25">
      <c r="A388" s="9" t="str">
        <f t="shared" ref="A388:A393" si="96">A387</f>
        <v>ЩУР.МОП1-12</v>
      </c>
      <c r="B388" s="7" t="s">
        <v>8</v>
      </c>
      <c r="C388" s="8" t="s">
        <v>27</v>
      </c>
      <c r="D388" s="7" t="s">
        <v>28</v>
      </c>
      <c r="E388" s="9">
        <v>1</v>
      </c>
      <c r="F388" s="10" t="s">
        <v>9</v>
      </c>
      <c r="G388" s="7" t="s">
        <v>10</v>
      </c>
      <c r="H388" s="9" t="str">
        <f t="shared" ref="H388:H393" si="97">H387</f>
        <v>Блок12</v>
      </c>
    </row>
    <row r="389" spans="1:8" ht="27" customHeight="1" x14ac:dyDescent="0.25">
      <c r="A389" s="9" t="str">
        <f t="shared" si="96"/>
        <v>ЩУР.МОП1-12</v>
      </c>
      <c r="B389" s="7" t="s">
        <v>237</v>
      </c>
      <c r="C389" s="8" t="s">
        <v>145</v>
      </c>
      <c r="D389" s="7" t="s">
        <v>146</v>
      </c>
      <c r="E389" s="9">
        <v>1</v>
      </c>
      <c r="F389" s="10" t="s">
        <v>9</v>
      </c>
      <c r="G389" s="7" t="s">
        <v>157</v>
      </c>
      <c r="H389" s="9" t="str">
        <f t="shared" si="97"/>
        <v>Блок12</v>
      </c>
    </row>
    <row r="390" spans="1:8" ht="27" customHeight="1" x14ac:dyDescent="0.25">
      <c r="A390" s="9" t="str">
        <f t="shared" si="96"/>
        <v>ЩУР.МОП1-12</v>
      </c>
      <c r="B390" s="7" t="s">
        <v>237</v>
      </c>
      <c r="C390" s="8" t="s">
        <v>151</v>
      </c>
      <c r="D390" s="7" t="s">
        <v>152</v>
      </c>
      <c r="E390" s="9">
        <v>2</v>
      </c>
      <c r="F390" s="10" t="s">
        <v>9</v>
      </c>
      <c r="G390" s="7" t="s">
        <v>157</v>
      </c>
      <c r="H390" s="9" t="str">
        <f t="shared" si="97"/>
        <v>Блок12</v>
      </c>
    </row>
    <row r="391" spans="1:8" ht="27" customHeight="1" x14ac:dyDescent="0.25">
      <c r="A391" s="9" t="str">
        <f t="shared" si="96"/>
        <v>ЩУР.МОП1-12</v>
      </c>
      <c r="B391" s="7" t="s">
        <v>237</v>
      </c>
      <c r="C391" s="8" t="s">
        <v>143</v>
      </c>
      <c r="D391" s="7" t="s">
        <v>144</v>
      </c>
      <c r="E391" s="9">
        <v>2</v>
      </c>
      <c r="F391" s="10" t="s">
        <v>9</v>
      </c>
      <c r="G391" s="7" t="s">
        <v>157</v>
      </c>
      <c r="H391" s="9" t="str">
        <f t="shared" si="97"/>
        <v>Блок12</v>
      </c>
    </row>
    <row r="392" spans="1:8" ht="27" customHeight="1" x14ac:dyDescent="0.25">
      <c r="A392" s="9" t="str">
        <f t="shared" si="96"/>
        <v>ЩУР.МОП1-12</v>
      </c>
      <c r="B392" s="7" t="s">
        <v>12</v>
      </c>
      <c r="C392" s="8" t="s">
        <v>243</v>
      </c>
      <c r="D392" s="7" t="s">
        <v>244</v>
      </c>
      <c r="E392" s="9">
        <v>1</v>
      </c>
      <c r="F392" s="10" t="s">
        <v>9</v>
      </c>
      <c r="G392" s="7" t="s">
        <v>13</v>
      </c>
      <c r="H392" s="9" t="str">
        <f t="shared" si="97"/>
        <v>Блок12</v>
      </c>
    </row>
    <row r="393" spans="1:8" ht="27" customHeight="1" x14ac:dyDescent="0.25">
      <c r="A393" s="7" t="str">
        <f t="shared" si="96"/>
        <v>ЩУР.МОП1-12</v>
      </c>
      <c r="B393" s="7" t="s">
        <v>15</v>
      </c>
      <c r="C393" s="8" t="s">
        <v>15</v>
      </c>
      <c r="D393" s="7" t="s">
        <v>15</v>
      </c>
      <c r="E393" s="7">
        <v>1</v>
      </c>
      <c r="F393" s="7" t="s">
        <v>9</v>
      </c>
      <c r="G393" s="7" t="s">
        <v>15</v>
      </c>
      <c r="H393" s="9" t="str">
        <f t="shared" si="97"/>
        <v>Блок12</v>
      </c>
    </row>
    <row r="394" spans="1:8" ht="27" customHeight="1" x14ac:dyDescent="0.25">
      <c r="A394" s="5" t="str">
        <f>D394</f>
        <v>ЩУР.МОП2-12</v>
      </c>
      <c r="B394" s="3"/>
      <c r="C394" s="4" t="str">
        <f>VLOOKUP(D394,[1]Sayfa2!$A:$F,2,0)</f>
        <v>989-090-0637</v>
      </c>
      <c r="D394" s="3" t="s">
        <v>77</v>
      </c>
      <c r="E394" s="5">
        <v>1</v>
      </c>
      <c r="F394" s="6" t="s">
        <v>6</v>
      </c>
      <c r="G394" s="3" t="s">
        <v>7</v>
      </c>
      <c r="H394" s="5" t="s">
        <v>73</v>
      </c>
    </row>
    <row r="395" spans="1:8" ht="27" customHeight="1" x14ac:dyDescent="0.25">
      <c r="A395" s="9" t="str">
        <f t="shared" ref="A395:A400" si="98">A394</f>
        <v>ЩУР.МОП2-12</v>
      </c>
      <c r="B395" s="7" t="s">
        <v>8</v>
      </c>
      <c r="C395" s="8" t="s">
        <v>27</v>
      </c>
      <c r="D395" s="7" t="s">
        <v>28</v>
      </c>
      <c r="E395" s="9">
        <v>1</v>
      </c>
      <c r="F395" s="10" t="s">
        <v>9</v>
      </c>
      <c r="G395" s="7" t="s">
        <v>10</v>
      </c>
      <c r="H395" s="9" t="str">
        <f t="shared" ref="H395:H400" si="99">H394</f>
        <v>Блок12</v>
      </c>
    </row>
    <row r="396" spans="1:8" ht="27" customHeight="1" x14ac:dyDescent="0.25">
      <c r="A396" s="9" t="str">
        <f t="shared" si="98"/>
        <v>ЩУР.МОП2-12</v>
      </c>
      <c r="B396" s="7" t="s">
        <v>237</v>
      </c>
      <c r="C396" s="8" t="s">
        <v>145</v>
      </c>
      <c r="D396" s="7" t="s">
        <v>146</v>
      </c>
      <c r="E396" s="9">
        <v>1</v>
      </c>
      <c r="F396" s="10" t="s">
        <v>9</v>
      </c>
      <c r="G396" s="7" t="s">
        <v>157</v>
      </c>
      <c r="H396" s="9" t="str">
        <f t="shared" si="99"/>
        <v>Блок12</v>
      </c>
    </row>
    <row r="397" spans="1:8" ht="27" customHeight="1" x14ac:dyDescent="0.25">
      <c r="A397" s="9" t="str">
        <f t="shared" si="98"/>
        <v>ЩУР.МОП2-12</v>
      </c>
      <c r="B397" s="7" t="s">
        <v>237</v>
      </c>
      <c r="C397" s="8" t="s">
        <v>151</v>
      </c>
      <c r="D397" s="7" t="s">
        <v>152</v>
      </c>
      <c r="E397" s="9">
        <v>2</v>
      </c>
      <c r="F397" s="10" t="s">
        <v>9</v>
      </c>
      <c r="G397" s="7" t="s">
        <v>157</v>
      </c>
      <c r="H397" s="9" t="str">
        <f t="shared" si="99"/>
        <v>Блок12</v>
      </c>
    </row>
    <row r="398" spans="1:8" ht="27" customHeight="1" x14ac:dyDescent="0.25">
      <c r="A398" s="9" t="str">
        <f t="shared" si="98"/>
        <v>ЩУР.МОП2-12</v>
      </c>
      <c r="B398" s="7" t="s">
        <v>237</v>
      </c>
      <c r="C398" s="8" t="s">
        <v>143</v>
      </c>
      <c r="D398" s="7" t="s">
        <v>144</v>
      </c>
      <c r="E398" s="9">
        <v>2</v>
      </c>
      <c r="F398" s="10" t="s">
        <v>9</v>
      </c>
      <c r="G398" s="7" t="s">
        <v>157</v>
      </c>
      <c r="H398" s="9" t="str">
        <f t="shared" si="99"/>
        <v>Блок12</v>
      </c>
    </row>
    <row r="399" spans="1:8" ht="27" customHeight="1" x14ac:dyDescent="0.25">
      <c r="A399" s="9" t="str">
        <f t="shared" si="98"/>
        <v>ЩУР.МОП2-12</v>
      </c>
      <c r="B399" s="7" t="s">
        <v>12</v>
      </c>
      <c r="C399" s="8" t="s">
        <v>243</v>
      </c>
      <c r="D399" s="7" t="s">
        <v>244</v>
      </c>
      <c r="E399" s="9">
        <v>1</v>
      </c>
      <c r="F399" s="10" t="s">
        <v>9</v>
      </c>
      <c r="G399" s="7" t="s">
        <v>13</v>
      </c>
      <c r="H399" s="9" t="str">
        <f t="shared" si="99"/>
        <v>Блок12</v>
      </c>
    </row>
    <row r="400" spans="1:8" ht="27" customHeight="1" x14ac:dyDescent="0.25">
      <c r="A400" s="7" t="str">
        <f t="shared" si="98"/>
        <v>ЩУР.МОП2-12</v>
      </c>
      <c r="B400" s="7" t="s">
        <v>15</v>
      </c>
      <c r="C400" s="8" t="s">
        <v>15</v>
      </c>
      <c r="D400" s="7" t="s">
        <v>15</v>
      </c>
      <c r="E400" s="7">
        <v>1</v>
      </c>
      <c r="F400" s="7" t="s">
        <v>9</v>
      </c>
      <c r="G400" s="7" t="s">
        <v>15</v>
      </c>
      <c r="H400" s="9" t="str">
        <f t="shared" si="99"/>
        <v>Блок12</v>
      </c>
    </row>
    <row r="401" spans="1:8" ht="27" customHeight="1" x14ac:dyDescent="0.25">
      <c r="A401" s="5" t="str">
        <f>D401</f>
        <v>РЩ1-12 (АВР-Б-40-2-1)</v>
      </c>
      <c r="B401" s="3"/>
      <c r="C401" s="4" t="str">
        <f>VLOOKUP(D401,[1]Sayfa2!$A:$F,2,0)</f>
        <v>989-090-0638</v>
      </c>
      <c r="D401" s="3" t="s">
        <v>111</v>
      </c>
      <c r="E401" s="5">
        <v>1</v>
      </c>
      <c r="F401" s="6" t="s">
        <v>6</v>
      </c>
      <c r="G401" s="3" t="s">
        <v>7</v>
      </c>
      <c r="H401" s="5" t="s">
        <v>73</v>
      </c>
    </row>
    <row r="402" spans="1:8" ht="27" customHeight="1" x14ac:dyDescent="0.25">
      <c r="A402" s="9" t="str">
        <f t="shared" ref="A402:A410" si="100">A401</f>
        <v>РЩ1-12 (АВР-Б-40-2-1)</v>
      </c>
      <c r="B402" s="7" t="s">
        <v>8</v>
      </c>
      <c r="C402" s="8" t="s">
        <v>129</v>
      </c>
      <c r="D402" s="7" t="s">
        <v>130</v>
      </c>
      <c r="E402" s="9">
        <v>1</v>
      </c>
      <c r="F402" s="10" t="s">
        <v>9</v>
      </c>
      <c r="G402" s="7" t="s">
        <v>10</v>
      </c>
      <c r="H402" s="9" t="str">
        <f t="shared" ref="H402:H410" si="101">H401</f>
        <v>Блок12</v>
      </c>
    </row>
    <row r="403" spans="1:8" ht="27" customHeight="1" x14ac:dyDescent="0.25">
      <c r="A403" s="9" t="str">
        <f t="shared" si="100"/>
        <v>РЩ1-12 (АВР-Б-40-2-1)</v>
      </c>
      <c r="B403" s="7" t="s">
        <v>29</v>
      </c>
      <c r="C403" s="8" t="s">
        <v>123</v>
      </c>
      <c r="D403" s="7" t="s">
        <v>124</v>
      </c>
      <c r="E403" s="9">
        <v>1</v>
      </c>
      <c r="F403" s="10" t="s">
        <v>9</v>
      </c>
      <c r="G403" s="7" t="s">
        <v>11</v>
      </c>
      <c r="H403" s="9" t="str">
        <f t="shared" si="101"/>
        <v>Блок12</v>
      </c>
    </row>
    <row r="404" spans="1:8" ht="27" customHeight="1" x14ac:dyDescent="0.25">
      <c r="A404" s="9" t="str">
        <f t="shared" si="100"/>
        <v>РЩ1-12 (АВР-Б-40-2-1)</v>
      </c>
      <c r="B404" s="7" t="s">
        <v>237</v>
      </c>
      <c r="C404" s="8" t="s">
        <v>163</v>
      </c>
      <c r="D404" s="7" t="s">
        <v>164</v>
      </c>
      <c r="E404" s="9">
        <v>2</v>
      </c>
      <c r="F404" s="10" t="s">
        <v>9</v>
      </c>
      <c r="G404" s="7" t="s">
        <v>157</v>
      </c>
      <c r="H404" s="9" t="str">
        <f t="shared" si="101"/>
        <v>Блок12</v>
      </c>
    </row>
    <row r="405" spans="1:8" ht="27" customHeight="1" x14ac:dyDescent="0.25">
      <c r="A405" s="9" t="str">
        <f t="shared" si="100"/>
        <v>РЩ1-12 (АВР-Б-40-2-1)</v>
      </c>
      <c r="B405" s="7" t="s">
        <v>237</v>
      </c>
      <c r="C405" s="8" t="s">
        <v>181</v>
      </c>
      <c r="D405" s="7" t="s">
        <v>182</v>
      </c>
      <c r="E405" s="9">
        <v>2</v>
      </c>
      <c r="F405" s="10" t="s">
        <v>9</v>
      </c>
      <c r="G405" s="7" t="s">
        <v>157</v>
      </c>
      <c r="H405" s="9" t="str">
        <f t="shared" si="101"/>
        <v>Блок12</v>
      </c>
    </row>
    <row r="406" spans="1:8" ht="27" customHeight="1" x14ac:dyDescent="0.25">
      <c r="A406" s="9" t="str">
        <f t="shared" si="100"/>
        <v>РЩ1-12 (АВР-Б-40-2-1)</v>
      </c>
      <c r="B406" s="7" t="s">
        <v>238</v>
      </c>
      <c r="C406" s="8" t="s">
        <v>153</v>
      </c>
      <c r="D406" s="7" t="s">
        <v>154</v>
      </c>
      <c r="E406" s="9">
        <v>2</v>
      </c>
      <c r="F406" s="10" t="s">
        <v>9</v>
      </c>
      <c r="G406" s="7" t="s">
        <v>157</v>
      </c>
      <c r="H406" s="9" t="str">
        <f t="shared" si="101"/>
        <v>Блок12</v>
      </c>
    </row>
    <row r="407" spans="1:8" ht="27" customHeight="1" x14ac:dyDescent="0.25">
      <c r="A407" s="9" t="str">
        <f t="shared" si="100"/>
        <v>РЩ1-12 (АВР-Б-40-2-1)</v>
      </c>
      <c r="B407" s="7" t="s">
        <v>237</v>
      </c>
      <c r="C407" s="8" t="s">
        <v>155</v>
      </c>
      <c r="D407" s="7" t="s">
        <v>156</v>
      </c>
      <c r="E407" s="9">
        <v>1</v>
      </c>
      <c r="F407" s="10" t="s">
        <v>9</v>
      </c>
      <c r="G407" s="7" t="s">
        <v>157</v>
      </c>
      <c r="H407" s="9" t="str">
        <f t="shared" si="101"/>
        <v>Блок12</v>
      </c>
    </row>
    <row r="408" spans="1:8" ht="27" customHeight="1" x14ac:dyDescent="0.25">
      <c r="A408" s="9" t="str">
        <f t="shared" si="100"/>
        <v>РЩ1-12 (АВР-Б-40-2-1)</v>
      </c>
      <c r="B408" s="7" t="s">
        <v>12</v>
      </c>
      <c r="C408" s="8" t="s">
        <v>243</v>
      </c>
      <c r="D408" s="7" t="s">
        <v>244</v>
      </c>
      <c r="E408" s="9">
        <v>1</v>
      </c>
      <c r="F408" s="10" t="s">
        <v>9</v>
      </c>
      <c r="G408" s="7" t="s">
        <v>13</v>
      </c>
      <c r="H408" s="9" t="str">
        <f t="shared" si="101"/>
        <v>Блок12</v>
      </c>
    </row>
    <row r="409" spans="1:8" ht="27" customHeight="1" x14ac:dyDescent="0.25">
      <c r="A409" s="9" t="str">
        <f t="shared" si="100"/>
        <v>РЩ1-12 (АВР-Б-40-2-1)</v>
      </c>
      <c r="B409" s="7" t="s">
        <v>22</v>
      </c>
      <c r="C409" s="8"/>
      <c r="D409" s="7" t="s">
        <v>23</v>
      </c>
      <c r="E409" s="9">
        <v>6</v>
      </c>
      <c r="F409" s="10" t="s">
        <v>9</v>
      </c>
      <c r="G409" s="7" t="s">
        <v>19</v>
      </c>
      <c r="H409" s="9" t="str">
        <f t="shared" si="101"/>
        <v>Блок12</v>
      </c>
    </row>
    <row r="410" spans="1:8" ht="27" customHeight="1" x14ac:dyDescent="0.25">
      <c r="A410" s="7" t="str">
        <f t="shared" si="100"/>
        <v>РЩ1-12 (АВР-Б-40-2-1)</v>
      </c>
      <c r="B410" s="7" t="s">
        <v>15</v>
      </c>
      <c r="C410" s="8" t="s">
        <v>15</v>
      </c>
      <c r="D410" s="7" t="s">
        <v>15</v>
      </c>
      <c r="E410" s="7">
        <v>1</v>
      </c>
      <c r="F410" s="7" t="s">
        <v>9</v>
      </c>
      <c r="G410" s="7" t="s">
        <v>15</v>
      </c>
      <c r="H410" s="9" t="str">
        <f t="shared" si="101"/>
        <v>Блок12</v>
      </c>
    </row>
    <row r="411" spans="1:8" ht="27" customHeight="1" x14ac:dyDescent="0.25">
      <c r="A411" s="5" t="str">
        <f>D411</f>
        <v>РЩ2-12 (АВР-Б-40-2-1)</v>
      </c>
      <c r="B411" s="3"/>
      <c r="C411" s="4" t="str">
        <f>VLOOKUP(D411,[1]Sayfa2!$A:$F,2,0)</f>
        <v>989-090-0639</v>
      </c>
      <c r="D411" s="3" t="s">
        <v>112</v>
      </c>
      <c r="E411" s="5">
        <v>1</v>
      </c>
      <c r="F411" s="6" t="s">
        <v>6</v>
      </c>
      <c r="G411" s="3" t="s">
        <v>7</v>
      </c>
      <c r="H411" s="5" t="s">
        <v>73</v>
      </c>
    </row>
    <row r="412" spans="1:8" ht="27" customHeight="1" x14ac:dyDescent="0.25">
      <c r="A412" s="9" t="str">
        <f t="shared" ref="A412:A421" si="102">A411</f>
        <v>РЩ2-12 (АВР-Б-40-2-1)</v>
      </c>
      <c r="B412" s="7" t="s">
        <v>8</v>
      </c>
      <c r="C412" s="8" t="s">
        <v>129</v>
      </c>
      <c r="D412" s="7" t="s">
        <v>130</v>
      </c>
      <c r="E412" s="9">
        <v>1</v>
      </c>
      <c r="F412" s="10" t="s">
        <v>9</v>
      </c>
      <c r="G412" s="7" t="s">
        <v>10</v>
      </c>
      <c r="H412" s="9" t="str">
        <f t="shared" ref="H412:H421" si="103">H411</f>
        <v>Блок12</v>
      </c>
    </row>
    <row r="413" spans="1:8" ht="27" customHeight="1" x14ac:dyDescent="0.25">
      <c r="A413" s="9" t="str">
        <f t="shared" si="102"/>
        <v>РЩ2-12 (АВР-Б-40-2-1)</v>
      </c>
      <c r="B413" s="7" t="s">
        <v>29</v>
      </c>
      <c r="C413" s="8" t="s">
        <v>123</v>
      </c>
      <c r="D413" s="7" t="s">
        <v>124</v>
      </c>
      <c r="E413" s="9">
        <v>1</v>
      </c>
      <c r="F413" s="10" t="s">
        <v>9</v>
      </c>
      <c r="G413" s="7" t="s">
        <v>11</v>
      </c>
      <c r="H413" s="9" t="str">
        <f t="shared" si="103"/>
        <v>Блок12</v>
      </c>
    </row>
    <row r="414" spans="1:8" ht="27" customHeight="1" x14ac:dyDescent="0.25">
      <c r="A414" s="9" t="str">
        <f t="shared" si="102"/>
        <v>РЩ2-12 (АВР-Б-40-2-1)</v>
      </c>
      <c r="B414" s="7" t="s">
        <v>237</v>
      </c>
      <c r="C414" s="8" t="s">
        <v>163</v>
      </c>
      <c r="D414" s="7" t="s">
        <v>164</v>
      </c>
      <c r="E414" s="9">
        <v>2</v>
      </c>
      <c r="F414" s="10" t="s">
        <v>9</v>
      </c>
      <c r="G414" s="7" t="s">
        <v>157</v>
      </c>
      <c r="H414" s="9" t="str">
        <f t="shared" si="103"/>
        <v>Блок12</v>
      </c>
    </row>
    <row r="415" spans="1:8" ht="27" customHeight="1" x14ac:dyDescent="0.25">
      <c r="A415" s="9" t="str">
        <f t="shared" si="102"/>
        <v>РЩ2-12 (АВР-Б-40-2-1)</v>
      </c>
      <c r="B415" s="7" t="s">
        <v>237</v>
      </c>
      <c r="C415" s="8" t="s">
        <v>181</v>
      </c>
      <c r="D415" s="7" t="s">
        <v>182</v>
      </c>
      <c r="E415" s="9">
        <v>2</v>
      </c>
      <c r="F415" s="10" t="s">
        <v>9</v>
      </c>
      <c r="G415" s="7" t="s">
        <v>157</v>
      </c>
      <c r="H415" s="9" t="str">
        <f t="shared" si="103"/>
        <v>Блок12</v>
      </c>
    </row>
    <row r="416" spans="1:8" ht="27" customHeight="1" x14ac:dyDescent="0.25">
      <c r="A416" s="9" t="str">
        <f t="shared" si="102"/>
        <v>РЩ2-12 (АВР-Б-40-2-1)</v>
      </c>
      <c r="B416" s="7" t="s">
        <v>238</v>
      </c>
      <c r="C416" s="8" t="s">
        <v>153</v>
      </c>
      <c r="D416" s="7" t="s">
        <v>154</v>
      </c>
      <c r="E416" s="9">
        <v>2</v>
      </c>
      <c r="F416" s="10" t="s">
        <v>9</v>
      </c>
      <c r="G416" s="7" t="s">
        <v>157</v>
      </c>
      <c r="H416" s="9" t="str">
        <f t="shared" si="103"/>
        <v>Блок12</v>
      </c>
    </row>
    <row r="417" spans="1:8" ht="27" customHeight="1" x14ac:dyDescent="0.25">
      <c r="A417" s="9" t="str">
        <f t="shared" si="102"/>
        <v>РЩ2-12 (АВР-Б-40-2-1)</v>
      </c>
      <c r="B417" s="7" t="s">
        <v>14</v>
      </c>
      <c r="C417" s="8" t="s">
        <v>183</v>
      </c>
      <c r="D417" s="7" t="s">
        <v>184</v>
      </c>
      <c r="E417" s="9">
        <v>1</v>
      </c>
      <c r="F417" s="10" t="s">
        <v>9</v>
      </c>
      <c r="G417" s="7" t="s">
        <v>11</v>
      </c>
      <c r="H417" s="9" t="str">
        <f t="shared" si="103"/>
        <v>Блок12</v>
      </c>
    </row>
    <row r="418" spans="1:8" ht="27" customHeight="1" x14ac:dyDescent="0.25">
      <c r="A418" s="9" t="str">
        <f t="shared" si="102"/>
        <v>РЩ2-12 (АВР-Б-40-2-1)</v>
      </c>
      <c r="B418" s="7" t="s">
        <v>237</v>
      </c>
      <c r="C418" s="8" t="s">
        <v>155</v>
      </c>
      <c r="D418" s="7" t="s">
        <v>156</v>
      </c>
      <c r="E418" s="9">
        <v>1</v>
      </c>
      <c r="F418" s="10" t="s">
        <v>9</v>
      </c>
      <c r="G418" s="7" t="s">
        <v>157</v>
      </c>
      <c r="H418" s="9" t="str">
        <f t="shared" si="103"/>
        <v>Блок12</v>
      </c>
    </row>
    <row r="419" spans="1:8" ht="27" customHeight="1" x14ac:dyDescent="0.25">
      <c r="A419" s="9" t="str">
        <f t="shared" si="102"/>
        <v>РЩ2-12 (АВР-Б-40-2-1)</v>
      </c>
      <c r="B419" s="7" t="s">
        <v>12</v>
      </c>
      <c r="C419" s="8" t="s">
        <v>243</v>
      </c>
      <c r="D419" s="7" t="s">
        <v>244</v>
      </c>
      <c r="E419" s="9">
        <v>1</v>
      </c>
      <c r="F419" s="10" t="s">
        <v>9</v>
      </c>
      <c r="G419" s="7" t="s">
        <v>13</v>
      </c>
      <c r="H419" s="9" t="str">
        <f t="shared" si="103"/>
        <v>Блок12</v>
      </c>
    </row>
    <row r="420" spans="1:8" ht="27" customHeight="1" x14ac:dyDescent="0.25">
      <c r="A420" s="9" t="str">
        <f t="shared" si="102"/>
        <v>РЩ2-12 (АВР-Б-40-2-1)</v>
      </c>
      <c r="B420" s="7" t="s">
        <v>22</v>
      </c>
      <c r="C420" s="8"/>
      <c r="D420" s="7" t="s">
        <v>23</v>
      </c>
      <c r="E420" s="9">
        <v>6</v>
      </c>
      <c r="F420" s="10" t="s">
        <v>9</v>
      </c>
      <c r="G420" s="7" t="s">
        <v>19</v>
      </c>
      <c r="H420" s="9" t="str">
        <f t="shared" si="103"/>
        <v>Блок12</v>
      </c>
    </row>
    <row r="421" spans="1:8" ht="27" customHeight="1" x14ac:dyDescent="0.25">
      <c r="A421" s="7" t="str">
        <f t="shared" si="102"/>
        <v>РЩ2-12 (АВР-Б-40-2-1)</v>
      </c>
      <c r="B421" s="7" t="s">
        <v>15</v>
      </c>
      <c r="C421" s="8" t="s">
        <v>15</v>
      </c>
      <c r="D421" s="7" t="s">
        <v>15</v>
      </c>
      <c r="E421" s="7">
        <v>1</v>
      </c>
      <c r="F421" s="7" t="s">
        <v>9</v>
      </c>
      <c r="G421" s="7" t="s">
        <v>15</v>
      </c>
      <c r="H421" s="9" t="str">
        <f t="shared" si="103"/>
        <v>Блок12</v>
      </c>
    </row>
    <row r="422" spans="1:8" ht="27" customHeight="1" x14ac:dyDescent="0.25">
      <c r="A422" s="5" t="str">
        <f>D422</f>
        <v>ВРУ1-13</v>
      </c>
      <c r="B422" s="3"/>
      <c r="C422" s="4" t="str">
        <f>VLOOKUP(D422,[1]Sayfa2!$A:$F,2,0)</f>
        <v>989-090-0640</v>
      </c>
      <c r="D422" s="3" t="s">
        <v>78</v>
      </c>
      <c r="E422" s="5">
        <v>1</v>
      </c>
      <c r="F422" s="6" t="s">
        <v>6</v>
      </c>
      <c r="G422" s="3" t="s">
        <v>7</v>
      </c>
      <c r="H422" s="5" t="s">
        <v>79</v>
      </c>
    </row>
    <row r="423" spans="1:8" ht="27" customHeight="1" x14ac:dyDescent="0.25">
      <c r="A423" s="9" t="str">
        <f t="shared" ref="A423:A431" si="104">A422</f>
        <v>ВРУ1-13</v>
      </c>
      <c r="B423" s="7" t="s">
        <v>8</v>
      </c>
      <c r="C423" s="8" t="s">
        <v>133</v>
      </c>
      <c r="D423" s="7" t="s">
        <v>134</v>
      </c>
      <c r="E423" s="9">
        <v>1</v>
      </c>
      <c r="F423" s="10" t="s">
        <v>9</v>
      </c>
      <c r="G423" s="7" t="s">
        <v>10</v>
      </c>
      <c r="H423" s="9" t="str">
        <f t="shared" ref="H423:H431" si="105">H422</f>
        <v>Блок13</v>
      </c>
    </row>
    <row r="424" spans="1:8" ht="27" customHeight="1" x14ac:dyDescent="0.25">
      <c r="A424" s="9" t="str">
        <f t="shared" si="104"/>
        <v>ВРУ1-13</v>
      </c>
      <c r="B424" s="7" t="s">
        <v>18</v>
      </c>
      <c r="C424" s="8" t="s">
        <v>251</v>
      </c>
      <c r="D424" s="7" t="s">
        <v>252</v>
      </c>
      <c r="E424" s="9">
        <v>6</v>
      </c>
      <c r="F424" s="10" t="s">
        <v>9</v>
      </c>
      <c r="G424" s="7" t="s">
        <v>19</v>
      </c>
      <c r="H424" s="9" t="str">
        <f t="shared" si="105"/>
        <v>Блок13</v>
      </c>
    </row>
    <row r="425" spans="1:8" ht="27" customHeight="1" x14ac:dyDescent="0.25">
      <c r="A425" s="9" t="str">
        <f t="shared" si="104"/>
        <v>ВРУ1-13</v>
      </c>
      <c r="B425" s="7" t="s">
        <v>20</v>
      </c>
      <c r="C425" s="8" t="s">
        <v>135</v>
      </c>
      <c r="D425" s="7" t="s">
        <v>136</v>
      </c>
      <c r="E425" s="9">
        <v>2</v>
      </c>
      <c r="F425" s="10" t="s">
        <v>9</v>
      </c>
      <c r="G425" s="7" t="s">
        <v>19</v>
      </c>
      <c r="H425" s="9" t="str">
        <f t="shared" si="105"/>
        <v>Блок13</v>
      </c>
    </row>
    <row r="426" spans="1:8" ht="27" customHeight="1" x14ac:dyDescent="0.25">
      <c r="A426" s="9" t="str">
        <f t="shared" si="104"/>
        <v>ВРУ1-13</v>
      </c>
      <c r="B426" s="7" t="s">
        <v>94</v>
      </c>
      <c r="C426" s="8" t="s">
        <v>97</v>
      </c>
      <c r="D426" s="7" t="s">
        <v>98</v>
      </c>
      <c r="E426" s="9">
        <v>6</v>
      </c>
      <c r="F426" s="10" t="s">
        <v>9</v>
      </c>
      <c r="G426" s="7" t="s">
        <v>11</v>
      </c>
      <c r="H426" s="9" t="str">
        <f t="shared" si="105"/>
        <v>Блок13</v>
      </c>
    </row>
    <row r="427" spans="1:8" ht="27" customHeight="1" x14ac:dyDescent="0.25">
      <c r="A427" s="9" t="str">
        <f t="shared" si="104"/>
        <v>ВРУ1-13</v>
      </c>
      <c r="B427" s="7" t="s">
        <v>93</v>
      </c>
      <c r="C427" s="8" t="s">
        <v>95</v>
      </c>
      <c r="D427" s="7" t="s">
        <v>96</v>
      </c>
      <c r="E427" s="9">
        <v>6</v>
      </c>
      <c r="F427" s="10" t="s">
        <v>9</v>
      </c>
      <c r="G427" s="7" t="s">
        <v>11</v>
      </c>
      <c r="H427" s="9" t="str">
        <f t="shared" si="105"/>
        <v>Блок13</v>
      </c>
    </row>
    <row r="428" spans="1:8" ht="27" customHeight="1" x14ac:dyDescent="0.25">
      <c r="A428" s="9" t="str">
        <f t="shared" si="104"/>
        <v>ВРУ1-13</v>
      </c>
      <c r="B428" s="7" t="s">
        <v>237</v>
      </c>
      <c r="C428" s="8" t="s">
        <v>139</v>
      </c>
      <c r="D428" s="7" t="s">
        <v>140</v>
      </c>
      <c r="E428" s="9">
        <v>2</v>
      </c>
      <c r="F428" s="10" t="s">
        <v>9</v>
      </c>
      <c r="G428" s="7" t="s">
        <v>157</v>
      </c>
      <c r="H428" s="9" t="str">
        <f t="shared" si="105"/>
        <v>Блок13</v>
      </c>
    </row>
    <row r="429" spans="1:8" ht="27" customHeight="1" x14ac:dyDescent="0.25">
      <c r="A429" s="9" t="str">
        <f t="shared" si="104"/>
        <v>ВРУ1-13</v>
      </c>
      <c r="B429" s="7" t="s">
        <v>12</v>
      </c>
      <c r="C429" s="8" t="s">
        <v>241</v>
      </c>
      <c r="D429" s="11" t="s">
        <v>242</v>
      </c>
      <c r="E429" s="9">
        <v>2</v>
      </c>
      <c r="F429" s="10" t="s">
        <v>9</v>
      </c>
      <c r="G429" s="7" t="s">
        <v>13</v>
      </c>
      <c r="H429" s="9" t="str">
        <f t="shared" si="105"/>
        <v>Блок13</v>
      </c>
    </row>
    <row r="430" spans="1:8" ht="27" customHeight="1" x14ac:dyDescent="0.25">
      <c r="A430" s="9" t="str">
        <f t="shared" si="104"/>
        <v>ВРУ1-13</v>
      </c>
      <c r="B430" s="7" t="s">
        <v>22</v>
      </c>
      <c r="C430" s="8"/>
      <c r="D430" s="7" t="s">
        <v>23</v>
      </c>
      <c r="E430" s="9">
        <v>6</v>
      </c>
      <c r="F430" s="10" t="s">
        <v>9</v>
      </c>
      <c r="G430" s="7" t="s">
        <v>19</v>
      </c>
      <c r="H430" s="9" t="str">
        <f t="shared" si="105"/>
        <v>Блок13</v>
      </c>
    </row>
    <row r="431" spans="1:8" ht="27" customHeight="1" x14ac:dyDescent="0.25">
      <c r="A431" s="7" t="str">
        <f t="shared" si="104"/>
        <v>ВРУ1-13</v>
      </c>
      <c r="B431" s="7" t="s">
        <v>15</v>
      </c>
      <c r="C431" s="8" t="s">
        <v>15</v>
      </c>
      <c r="D431" s="7" t="s">
        <v>15</v>
      </c>
      <c r="E431" s="7">
        <v>1</v>
      </c>
      <c r="F431" s="7" t="s">
        <v>9</v>
      </c>
      <c r="G431" s="7" t="s">
        <v>15</v>
      </c>
      <c r="H431" s="9" t="str">
        <f t="shared" si="105"/>
        <v>Блок13</v>
      </c>
    </row>
    <row r="432" spans="1:8" ht="27" customHeight="1" x14ac:dyDescent="0.25">
      <c r="A432" s="5" t="str">
        <f>D432</f>
        <v>РУ-1-13</v>
      </c>
      <c r="B432" s="3"/>
      <c r="C432" s="4" t="str">
        <f>VLOOKUP(D432,[1]Sayfa2!$A:$F,2,0)</f>
        <v>989-090-0641</v>
      </c>
      <c r="D432" s="3" t="s">
        <v>80</v>
      </c>
      <c r="E432" s="5">
        <v>1</v>
      </c>
      <c r="F432" s="6" t="s">
        <v>6</v>
      </c>
      <c r="G432" s="3" t="s">
        <v>7</v>
      </c>
      <c r="H432" s="5" t="s">
        <v>79</v>
      </c>
    </row>
    <row r="433" spans="1:8" ht="27" customHeight="1" x14ac:dyDescent="0.25">
      <c r="A433" s="9" t="str">
        <f t="shared" ref="A433:A437" si="106">A432</f>
        <v>РУ-1-13</v>
      </c>
      <c r="B433" s="7" t="s">
        <v>8</v>
      </c>
      <c r="C433" s="8" t="s">
        <v>131</v>
      </c>
      <c r="D433" s="7" t="s">
        <v>132</v>
      </c>
      <c r="E433" s="9">
        <v>1</v>
      </c>
      <c r="F433" s="10" t="s">
        <v>9</v>
      </c>
      <c r="G433" s="7" t="s">
        <v>10</v>
      </c>
      <c r="H433" s="9" t="str">
        <f t="shared" ref="H433:H437" si="107">H432</f>
        <v>Блок13</v>
      </c>
    </row>
    <row r="434" spans="1:8" ht="27" customHeight="1" x14ac:dyDescent="0.25">
      <c r="A434" s="9" t="str">
        <f t="shared" si="106"/>
        <v>РУ-1-13</v>
      </c>
      <c r="B434" s="7" t="s">
        <v>238</v>
      </c>
      <c r="C434" s="8" t="s">
        <v>175</v>
      </c>
      <c r="D434" s="7" t="s">
        <v>176</v>
      </c>
      <c r="E434" s="9">
        <v>2</v>
      </c>
      <c r="F434" s="10" t="s">
        <v>9</v>
      </c>
      <c r="G434" s="7" t="s">
        <v>157</v>
      </c>
      <c r="H434" s="9" t="str">
        <f t="shared" si="107"/>
        <v>Блок13</v>
      </c>
    </row>
    <row r="435" spans="1:8" ht="27" customHeight="1" x14ac:dyDescent="0.25">
      <c r="A435" s="9" t="str">
        <f t="shared" si="106"/>
        <v>РУ-1-13</v>
      </c>
      <c r="B435" s="7" t="s">
        <v>238</v>
      </c>
      <c r="C435" s="8" t="s">
        <v>177</v>
      </c>
      <c r="D435" s="7" t="s">
        <v>178</v>
      </c>
      <c r="E435" s="9">
        <v>1</v>
      </c>
      <c r="F435" s="10" t="s">
        <v>9</v>
      </c>
      <c r="G435" s="7" t="s">
        <v>157</v>
      </c>
      <c r="H435" s="9" t="str">
        <f t="shared" si="107"/>
        <v>Блок13</v>
      </c>
    </row>
    <row r="436" spans="1:8" ht="27" customHeight="1" x14ac:dyDescent="0.25">
      <c r="A436" s="9" t="str">
        <f t="shared" si="106"/>
        <v>РУ-1-13</v>
      </c>
      <c r="B436" s="7" t="s">
        <v>237</v>
      </c>
      <c r="C436" s="8" t="s">
        <v>167</v>
      </c>
      <c r="D436" s="7" t="s">
        <v>168</v>
      </c>
      <c r="E436" s="9">
        <v>2</v>
      </c>
      <c r="F436" s="10" t="s">
        <v>9</v>
      </c>
      <c r="G436" s="7" t="s">
        <v>157</v>
      </c>
      <c r="H436" s="9" t="str">
        <f t="shared" si="107"/>
        <v>Блок13</v>
      </c>
    </row>
    <row r="437" spans="1:8" ht="27" customHeight="1" x14ac:dyDescent="0.25">
      <c r="A437" s="7" t="str">
        <f t="shared" si="106"/>
        <v>РУ-1-13</v>
      </c>
      <c r="B437" s="7" t="s">
        <v>15</v>
      </c>
      <c r="C437" s="8" t="s">
        <v>15</v>
      </c>
      <c r="D437" s="7" t="s">
        <v>15</v>
      </c>
      <c r="E437" s="7">
        <v>1</v>
      </c>
      <c r="F437" s="7" t="s">
        <v>9</v>
      </c>
      <c r="G437" s="7" t="s">
        <v>15</v>
      </c>
      <c r="H437" s="9" t="str">
        <f t="shared" si="107"/>
        <v>Блок13</v>
      </c>
    </row>
    <row r="438" spans="1:8" ht="27" customHeight="1" x14ac:dyDescent="0.25">
      <c r="A438" s="5" t="str">
        <f>D438</f>
        <v>РУ-2-13</v>
      </c>
      <c r="B438" s="3"/>
      <c r="C438" s="4" t="str">
        <f>VLOOKUP(D438,[1]Sayfa2!$A:$F,2,0)</f>
        <v>989-090-0642</v>
      </c>
      <c r="D438" s="3" t="s">
        <v>81</v>
      </c>
      <c r="E438" s="5">
        <v>1</v>
      </c>
      <c r="F438" s="6" t="s">
        <v>6</v>
      </c>
      <c r="G438" s="3" t="s">
        <v>7</v>
      </c>
      <c r="H438" s="5" t="s">
        <v>79</v>
      </c>
    </row>
    <row r="439" spans="1:8" ht="27" customHeight="1" x14ac:dyDescent="0.25">
      <c r="A439" s="9" t="str">
        <f t="shared" ref="A439:A443" si="108">A438</f>
        <v>РУ-2-13</v>
      </c>
      <c r="B439" s="7" t="s">
        <v>8</v>
      </c>
      <c r="C439" s="8" t="s">
        <v>131</v>
      </c>
      <c r="D439" s="7" t="s">
        <v>132</v>
      </c>
      <c r="E439" s="9">
        <v>1</v>
      </c>
      <c r="F439" s="10" t="s">
        <v>9</v>
      </c>
      <c r="G439" s="7" t="s">
        <v>10</v>
      </c>
      <c r="H439" s="9" t="str">
        <f t="shared" ref="H439:H443" si="109">H438</f>
        <v>Блок13</v>
      </c>
    </row>
    <row r="440" spans="1:8" ht="27" customHeight="1" x14ac:dyDescent="0.25">
      <c r="A440" s="9" t="str">
        <f t="shared" si="108"/>
        <v>РУ-2-13</v>
      </c>
      <c r="B440" s="7" t="s">
        <v>238</v>
      </c>
      <c r="C440" s="8" t="s">
        <v>177</v>
      </c>
      <c r="D440" s="7" t="s">
        <v>178</v>
      </c>
      <c r="E440" s="9">
        <v>1</v>
      </c>
      <c r="F440" s="10" t="s">
        <v>9</v>
      </c>
      <c r="G440" s="7" t="s">
        <v>157</v>
      </c>
      <c r="H440" s="9" t="str">
        <f t="shared" si="109"/>
        <v>Блок13</v>
      </c>
    </row>
    <row r="441" spans="1:8" ht="27" customHeight="1" x14ac:dyDescent="0.25">
      <c r="A441" s="9" t="str">
        <f t="shared" si="108"/>
        <v>РУ-2-13</v>
      </c>
      <c r="B441" s="7" t="s">
        <v>238</v>
      </c>
      <c r="C441" s="8" t="s">
        <v>161</v>
      </c>
      <c r="D441" s="7" t="s">
        <v>162</v>
      </c>
      <c r="E441" s="9">
        <v>3</v>
      </c>
      <c r="F441" s="10" t="s">
        <v>9</v>
      </c>
      <c r="G441" s="7" t="s">
        <v>157</v>
      </c>
      <c r="H441" s="9" t="str">
        <f t="shared" si="109"/>
        <v>Блок13</v>
      </c>
    </row>
    <row r="442" spans="1:8" ht="27" customHeight="1" x14ac:dyDescent="0.25">
      <c r="A442" s="9" t="str">
        <f t="shared" si="108"/>
        <v>РУ-2-13</v>
      </c>
      <c r="B442" s="7" t="s">
        <v>238</v>
      </c>
      <c r="C442" s="8" t="s">
        <v>173</v>
      </c>
      <c r="D442" s="7" t="s">
        <v>174</v>
      </c>
      <c r="E442" s="9">
        <v>1</v>
      </c>
      <c r="F442" s="10" t="s">
        <v>9</v>
      </c>
      <c r="G442" s="7" t="s">
        <v>157</v>
      </c>
      <c r="H442" s="9" t="str">
        <f t="shared" si="109"/>
        <v>Блок13</v>
      </c>
    </row>
    <row r="443" spans="1:8" ht="27" customHeight="1" x14ac:dyDescent="0.25">
      <c r="A443" s="7" t="str">
        <f t="shared" si="108"/>
        <v>РУ-2-13</v>
      </c>
      <c r="B443" s="7" t="s">
        <v>15</v>
      </c>
      <c r="C443" s="8" t="s">
        <v>15</v>
      </c>
      <c r="D443" s="7" t="s">
        <v>15</v>
      </c>
      <c r="E443" s="7">
        <v>1</v>
      </c>
      <c r="F443" s="7" t="s">
        <v>9</v>
      </c>
      <c r="G443" s="7" t="s">
        <v>15</v>
      </c>
      <c r="H443" s="9" t="str">
        <f t="shared" si="109"/>
        <v>Блок13</v>
      </c>
    </row>
    <row r="444" spans="1:8" ht="27" customHeight="1" x14ac:dyDescent="0.25">
      <c r="A444" s="5" t="str">
        <f>D444</f>
        <v>ЩУР.МОП1-13</v>
      </c>
      <c r="B444" s="3"/>
      <c r="C444" s="4" t="str">
        <f>VLOOKUP(D444,[1]Sayfa2!$A:$F,2,0)</f>
        <v>989-090-0643</v>
      </c>
      <c r="D444" s="3" t="s">
        <v>82</v>
      </c>
      <c r="E444" s="5">
        <v>1</v>
      </c>
      <c r="F444" s="6" t="s">
        <v>6</v>
      </c>
      <c r="G444" s="3" t="s">
        <v>7</v>
      </c>
      <c r="H444" s="5" t="s">
        <v>79</v>
      </c>
    </row>
    <row r="445" spans="1:8" ht="27" customHeight="1" x14ac:dyDescent="0.25">
      <c r="A445" s="9" t="str">
        <f t="shared" ref="A445:A450" si="110">A444</f>
        <v>ЩУР.МОП1-13</v>
      </c>
      <c r="B445" s="7" t="s">
        <v>8</v>
      </c>
      <c r="C445" s="8" t="s">
        <v>27</v>
      </c>
      <c r="D445" s="7" t="s">
        <v>28</v>
      </c>
      <c r="E445" s="9">
        <v>1</v>
      </c>
      <c r="F445" s="10" t="s">
        <v>9</v>
      </c>
      <c r="G445" s="7" t="s">
        <v>10</v>
      </c>
      <c r="H445" s="9" t="str">
        <f t="shared" ref="H445:H450" si="111">H444</f>
        <v>Блок13</v>
      </c>
    </row>
    <row r="446" spans="1:8" ht="27" customHeight="1" x14ac:dyDescent="0.25">
      <c r="A446" s="9" t="str">
        <f t="shared" si="110"/>
        <v>ЩУР.МОП1-13</v>
      </c>
      <c r="B446" s="7" t="s">
        <v>237</v>
      </c>
      <c r="C446" s="8" t="s">
        <v>145</v>
      </c>
      <c r="D446" s="7" t="s">
        <v>146</v>
      </c>
      <c r="E446" s="9">
        <v>1</v>
      </c>
      <c r="F446" s="10" t="s">
        <v>9</v>
      </c>
      <c r="G446" s="7" t="s">
        <v>157</v>
      </c>
      <c r="H446" s="9" t="str">
        <f t="shared" si="111"/>
        <v>Блок13</v>
      </c>
    </row>
    <row r="447" spans="1:8" ht="27" customHeight="1" x14ac:dyDescent="0.25">
      <c r="A447" s="9" t="str">
        <f t="shared" si="110"/>
        <v>ЩУР.МОП1-13</v>
      </c>
      <c r="B447" s="7" t="s">
        <v>237</v>
      </c>
      <c r="C447" s="8" t="s">
        <v>149</v>
      </c>
      <c r="D447" s="7" t="s">
        <v>150</v>
      </c>
      <c r="E447" s="9">
        <v>2</v>
      </c>
      <c r="F447" s="10" t="s">
        <v>9</v>
      </c>
      <c r="G447" s="7" t="s">
        <v>157</v>
      </c>
      <c r="H447" s="9" t="str">
        <f t="shared" si="111"/>
        <v>Блок13</v>
      </c>
    </row>
    <row r="448" spans="1:8" ht="27" customHeight="1" x14ac:dyDescent="0.25">
      <c r="A448" s="9" t="str">
        <f t="shared" si="110"/>
        <v>ЩУР.МОП1-13</v>
      </c>
      <c r="B448" s="7" t="s">
        <v>237</v>
      </c>
      <c r="C448" s="8" t="s">
        <v>143</v>
      </c>
      <c r="D448" s="7" t="s">
        <v>144</v>
      </c>
      <c r="E448" s="9">
        <v>2</v>
      </c>
      <c r="F448" s="10" t="s">
        <v>9</v>
      </c>
      <c r="G448" s="7" t="s">
        <v>157</v>
      </c>
      <c r="H448" s="9" t="str">
        <f t="shared" si="111"/>
        <v>Блок13</v>
      </c>
    </row>
    <row r="449" spans="1:8" ht="27" customHeight="1" x14ac:dyDescent="0.25">
      <c r="A449" s="9" t="str">
        <f t="shared" si="110"/>
        <v>ЩУР.МОП1-13</v>
      </c>
      <c r="B449" s="7" t="s">
        <v>12</v>
      </c>
      <c r="C449" s="8" t="s">
        <v>243</v>
      </c>
      <c r="D449" s="7" t="s">
        <v>244</v>
      </c>
      <c r="E449" s="9">
        <v>1</v>
      </c>
      <c r="F449" s="10" t="s">
        <v>9</v>
      </c>
      <c r="G449" s="7" t="s">
        <v>13</v>
      </c>
      <c r="H449" s="9" t="str">
        <f t="shared" si="111"/>
        <v>Блок13</v>
      </c>
    </row>
    <row r="450" spans="1:8" ht="27" customHeight="1" x14ac:dyDescent="0.25">
      <c r="A450" s="7" t="str">
        <f t="shared" si="110"/>
        <v>ЩУР.МОП1-13</v>
      </c>
      <c r="B450" s="7" t="s">
        <v>15</v>
      </c>
      <c r="C450" s="8" t="s">
        <v>15</v>
      </c>
      <c r="D450" s="7" t="s">
        <v>15</v>
      </c>
      <c r="E450" s="7">
        <v>1</v>
      </c>
      <c r="F450" s="7" t="s">
        <v>9</v>
      </c>
      <c r="G450" s="7" t="s">
        <v>15</v>
      </c>
      <c r="H450" s="9" t="str">
        <f t="shared" si="111"/>
        <v>Блок13</v>
      </c>
    </row>
    <row r="451" spans="1:8" ht="27" customHeight="1" x14ac:dyDescent="0.25">
      <c r="A451" s="5" t="str">
        <f>D451</f>
        <v>РЩ1-13 (АВР-Б-40-2-1)</v>
      </c>
      <c r="B451" s="3"/>
      <c r="C451" s="4" t="str">
        <f>VLOOKUP(D451,[1]Sayfa2!$A:$F,2,0)</f>
        <v>989-090-0644</v>
      </c>
      <c r="D451" s="3" t="s">
        <v>113</v>
      </c>
      <c r="E451" s="5">
        <v>1</v>
      </c>
      <c r="F451" s="6" t="s">
        <v>6</v>
      </c>
      <c r="G451" s="3" t="s">
        <v>7</v>
      </c>
      <c r="H451" s="5" t="s">
        <v>79</v>
      </c>
    </row>
    <row r="452" spans="1:8" ht="27" customHeight="1" x14ac:dyDescent="0.25">
      <c r="A452" s="9" t="str">
        <f t="shared" ref="A452:A461" si="112">A451</f>
        <v>РЩ1-13 (АВР-Б-40-2-1)</v>
      </c>
      <c r="B452" s="7" t="s">
        <v>8</v>
      </c>
      <c r="C452" s="8" t="s">
        <v>129</v>
      </c>
      <c r="D452" s="7" t="s">
        <v>130</v>
      </c>
      <c r="E452" s="9">
        <v>1</v>
      </c>
      <c r="F452" s="10" t="s">
        <v>9</v>
      </c>
      <c r="G452" s="7" t="s">
        <v>10</v>
      </c>
      <c r="H452" s="9" t="str">
        <f t="shared" ref="H452:H461" si="113">H451</f>
        <v>Блок13</v>
      </c>
    </row>
    <row r="453" spans="1:8" ht="27" customHeight="1" x14ac:dyDescent="0.25">
      <c r="A453" s="9" t="str">
        <f t="shared" si="112"/>
        <v>РЩ1-13 (АВР-Б-40-2-1)</v>
      </c>
      <c r="B453" s="7" t="s">
        <v>29</v>
      </c>
      <c r="C453" s="8" t="s">
        <v>123</v>
      </c>
      <c r="D453" s="7" t="s">
        <v>124</v>
      </c>
      <c r="E453" s="9">
        <v>1</v>
      </c>
      <c r="F453" s="10" t="s">
        <v>9</v>
      </c>
      <c r="G453" s="7" t="s">
        <v>11</v>
      </c>
      <c r="H453" s="9" t="str">
        <f t="shared" si="113"/>
        <v>Блок13</v>
      </c>
    </row>
    <row r="454" spans="1:8" ht="27" customHeight="1" x14ac:dyDescent="0.25">
      <c r="A454" s="9" t="str">
        <f t="shared" si="112"/>
        <v>РЩ1-13 (АВР-Б-40-2-1)</v>
      </c>
      <c r="B454" s="7" t="s">
        <v>237</v>
      </c>
      <c r="C454" s="8" t="s">
        <v>163</v>
      </c>
      <c r="D454" s="7" t="s">
        <v>164</v>
      </c>
      <c r="E454" s="9">
        <v>2</v>
      </c>
      <c r="F454" s="10" t="s">
        <v>9</v>
      </c>
      <c r="G454" s="7" t="s">
        <v>157</v>
      </c>
      <c r="H454" s="9" t="str">
        <f t="shared" si="113"/>
        <v>Блок13</v>
      </c>
    </row>
    <row r="455" spans="1:8" ht="27" customHeight="1" x14ac:dyDescent="0.25">
      <c r="A455" s="9" t="str">
        <f t="shared" si="112"/>
        <v>РЩ1-13 (АВР-Б-40-2-1)</v>
      </c>
      <c r="B455" s="7" t="s">
        <v>237</v>
      </c>
      <c r="C455" s="8" t="s">
        <v>181</v>
      </c>
      <c r="D455" s="7" t="s">
        <v>182</v>
      </c>
      <c r="E455" s="9">
        <v>2</v>
      </c>
      <c r="F455" s="10" t="s">
        <v>9</v>
      </c>
      <c r="G455" s="7" t="s">
        <v>157</v>
      </c>
      <c r="H455" s="9" t="str">
        <f t="shared" si="113"/>
        <v>Блок13</v>
      </c>
    </row>
    <row r="456" spans="1:8" ht="27" customHeight="1" x14ac:dyDescent="0.25">
      <c r="A456" s="9" t="str">
        <f t="shared" si="112"/>
        <v>РЩ1-13 (АВР-Б-40-2-1)</v>
      </c>
      <c r="B456" s="7" t="s">
        <v>238</v>
      </c>
      <c r="C456" s="8" t="s">
        <v>153</v>
      </c>
      <c r="D456" s="7" t="s">
        <v>154</v>
      </c>
      <c r="E456" s="9">
        <v>2</v>
      </c>
      <c r="F456" s="10" t="s">
        <v>9</v>
      </c>
      <c r="G456" s="7" t="s">
        <v>157</v>
      </c>
      <c r="H456" s="9" t="str">
        <f t="shared" si="113"/>
        <v>Блок13</v>
      </c>
    </row>
    <row r="457" spans="1:8" ht="27" customHeight="1" x14ac:dyDescent="0.25">
      <c r="A457" s="9" t="str">
        <f t="shared" si="112"/>
        <v>РЩ1-13 (АВР-Б-40-2-1)</v>
      </c>
      <c r="B457" s="7" t="s">
        <v>14</v>
      </c>
      <c r="C457" s="8" t="s">
        <v>183</v>
      </c>
      <c r="D457" s="7" t="s">
        <v>184</v>
      </c>
      <c r="E457" s="9">
        <v>1</v>
      </c>
      <c r="F457" s="10" t="s">
        <v>9</v>
      </c>
      <c r="G457" s="7" t="s">
        <v>11</v>
      </c>
      <c r="H457" s="9" t="str">
        <f t="shared" si="113"/>
        <v>Блок13</v>
      </c>
    </row>
    <row r="458" spans="1:8" ht="27" customHeight="1" x14ac:dyDescent="0.25">
      <c r="A458" s="9" t="str">
        <f t="shared" si="112"/>
        <v>РЩ1-13 (АВР-Б-40-2-1)</v>
      </c>
      <c r="B458" s="7" t="s">
        <v>237</v>
      </c>
      <c r="C458" s="8" t="s">
        <v>155</v>
      </c>
      <c r="D458" s="7" t="s">
        <v>156</v>
      </c>
      <c r="E458" s="9">
        <v>1</v>
      </c>
      <c r="F458" s="10" t="s">
        <v>9</v>
      </c>
      <c r="G458" s="7" t="s">
        <v>157</v>
      </c>
      <c r="H458" s="9" t="str">
        <f t="shared" si="113"/>
        <v>Блок13</v>
      </c>
    </row>
    <row r="459" spans="1:8" ht="27" customHeight="1" x14ac:dyDescent="0.25">
      <c r="A459" s="9" t="str">
        <f t="shared" si="112"/>
        <v>РЩ1-13 (АВР-Б-40-2-1)</v>
      </c>
      <c r="B459" s="7" t="s">
        <v>12</v>
      </c>
      <c r="C459" s="8" t="s">
        <v>243</v>
      </c>
      <c r="D459" s="7" t="s">
        <v>244</v>
      </c>
      <c r="E459" s="9">
        <v>1</v>
      </c>
      <c r="F459" s="10" t="s">
        <v>9</v>
      </c>
      <c r="G459" s="7" t="s">
        <v>13</v>
      </c>
      <c r="H459" s="9" t="str">
        <f t="shared" si="113"/>
        <v>Блок13</v>
      </c>
    </row>
    <row r="460" spans="1:8" ht="27" customHeight="1" x14ac:dyDescent="0.25">
      <c r="A460" s="9" t="str">
        <f t="shared" si="112"/>
        <v>РЩ1-13 (АВР-Б-40-2-1)</v>
      </c>
      <c r="B460" s="7" t="s">
        <v>22</v>
      </c>
      <c r="C460" s="8"/>
      <c r="D460" s="7" t="s">
        <v>23</v>
      </c>
      <c r="E460" s="9">
        <v>6</v>
      </c>
      <c r="F460" s="10" t="s">
        <v>9</v>
      </c>
      <c r="G460" s="7" t="s">
        <v>19</v>
      </c>
      <c r="H460" s="9" t="str">
        <f t="shared" si="113"/>
        <v>Блок13</v>
      </c>
    </row>
    <row r="461" spans="1:8" ht="27" customHeight="1" x14ac:dyDescent="0.25">
      <c r="A461" s="7" t="str">
        <f t="shared" si="112"/>
        <v>РЩ1-13 (АВР-Б-40-2-1)</v>
      </c>
      <c r="B461" s="7" t="s">
        <v>15</v>
      </c>
      <c r="C461" s="8" t="s">
        <v>15</v>
      </c>
      <c r="D461" s="7" t="s">
        <v>15</v>
      </c>
      <c r="E461" s="7">
        <v>1</v>
      </c>
      <c r="F461" s="7" t="s">
        <v>9</v>
      </c>
      <c r="G461" s="7" t="s">
        <v>15</v>
      </c>
      <c r="H461" s="9" t="str">
        <f t="shared" si="113"/>
        <v>Блок13</v>
      </c>
    </row>
    <row r="462" spans="1:8" ht="27" customHeight="1" x14ac:dyDescent="0.25">
      <c r="A462" s="5" t="str">
        <f>D462</f>
        <v>ВРУ1-14</v>
      </c>
      <c r="B462" s="3"/>
      <c r="C462" s="4" t="str">
        <f>VLOOKUP(D462,[1]Sayfa2!$A:$F,2,0)</f>
        <v>989-090-0645</v>
      </c>
      <c r="D462" s="3" t="s">
        <v>83</v>
      </c>
      <c r="E462" s="5">
        <v>1</v>
      </c>
      <c r="F462" s="6" t="s">
        <v>6</v>
      </c>
      <c r="G462" s="3" t="s">
        <v>7</v>
      </c>
      <c r="H462" s="5" t="s">
        <v>84</v>
      </c>
    </row>
    <row r="463" spans="1:8" ht="27" customHeight="1" x14ac:dyDescent="0.25">
      <c r="A463" s="9" t="str">
        <f t="shared" ref="A463:A471" si="114">A462</f>
        <v>ВРУ1-14</v>
      </c>
      <c r="B463" s="7" t="s">
        <v>8</v>
      </c>
      <c r="C463" s="8" t="s">
        <v>133</v>
      </c>
      <c r="D463" s="7" t="s">
        <v>134</v>
      </c>
      <c r="E463" s="9">
        <v>1</v>
      </c>
      <c r="F463" s="10" t="s">
        <v>9</v>
      </c>
      <c r="G463" s="7" t="s">
        <v>10</v>
      </c>
      <c r="H463" s="9" t="str">
        <f t="shared" ref="H463:H471" si="115">H462</f>
        <v>Блок14</v>
      </c>
    </row>
    <row r="464" spans="1:8" ht="27" customHeight="1" x14ac:dyDescent="0.25">
      <c r="A464" s="9" t="str">
        <f t="shared" si="114"/>
        <v>ВРУ1-14</v>
      </c>
      <c r="B464" s="7" t="s">
        <v>18</v>
      </c>
      <c r="C464" s="8" t="s">
        <v>251</v>
      </c>
      <c r="D464" s="7" t="s">
        <v>252</v>
      </c>
      <c r="E464" s="9">
        <v>6</v>
      </c>
      <c r="F464" s="10" t="s">
        <v>9</v>
      </c>
      <c r="G464" s="7" t="s">
        <v>19</v>
      </c>
      <c r="H464" s="9" t="str">
        <f t="shared" si="115"/>
        <v>Блок14</v>
      </c>
    </row>
    <row r="465" spans="1:8" ht="27" customHeight="1" x14ac:dyDescent="0.25">
      <c r="A465" s="9" t="str">
        <f t="shared" si="114"/>
        <v>ВРУ1-14</v>
      </c>
      <c r="B465" s="7" t="s">
        <v>20</v>
      </c>
      <c r="C465" s="8" t="s">
        <v>135</v>
      </c>
      <c r="D465" s="7" t="s">
        <v>136</v>
      </c>
      <c r="E465" s="9">
        <v>2</v>
      </c>
      <c r="F465" s="10" t="s">
        <v>9</v>
      </c>
      <c r="G465" s="7" t="s">
        <v>19</v>
      </c>
      <c r="H465" s="9" t="str">
        <f t="shared" si="115"/>
        <v>Блок14</v>
      </c>
    </row>
    <row r="466" spans="1:8" ht="27" customHeight="1" x14ac:dyDescent="0.25">
      <c r="A466" s="9" t="str">
        <f t="shared" si="114"/>
        <v>ВРУ1-14</v>
      </c>
      <c r="B466" s="7" t="s">
        <v>94</v>
      </c>
      <c r="C466" s="8" t="s">
        <v>97</v>
      </c>
      <c r="D466" s="7" t="s">
        <v>98</v>
      </c>
      <c r="E466" s="9">
        <v>6</v>
      </c>
      <c r="F466" s="10" t="s">
        <v>9</v>
      </c>
      <c r="G466" s="7" t="s">
        <v>11</v>
      </c>
      <c r="H466" s="9" t="str">
        <f t="shared" si="115"/>
        <v>Блок14</v>
      </c>
    </row>
    <row r="467" spans="1:8" ht="27" customHeight="1" x14ac:dyDescent="0.25">
      <c r="A467" s="9" t="str">
        <f t="shared" si="114"/>
        <v>ВРУ1-14</v>
      </c>
      <c r="B467" s="7" t="s">
        <v>93</v>
      </c>
      <c r="C467" s="8" t="s">
        <v>95</v>
      </c>
      <c r="D467" s="7" t="s">
        <v>96</v>
      </c>
      <c r="E467" s="9">
        <v>6</v>
      </c>
      <c r="F467" s="10" t="s">
        <v>9</v>
      </c>
      <c r="G467" s="7" t="s">
        <v>11</v>
      </c>
      <c r="H467" s="9" t="str">
        <f t="shared" si="115"/>
        <v>Блок14</v>
      </c>
    </row>
    <row r="468" spans="1:8" ht="27" customHeight="1" x14ac:dyDescent="0.25">
      <c r="A468" s="9" t="str">
        <f t="shared" si="114"/>
        <v>ВРУ1-14</v>
      </c>
      <c r="B468" s="7" t="s">
        <v>237</v>
      </c>
      <c r="C468" s="8" t="s">
        <v>139</v>
      </c>
      <c r="D468" s="7" t="s">
        <v>140</v>
      </c>
      <c r="E468" s="9">
        <v>2</v>
      </c>
      <c r="F468" s="10" t="s">
        <v>9</v>
      </c>
      <c r="G468" s="7" t="s">
        <v>157</v>
      </c>
      <c r="H468" s="9" t="str">
        <f t="shared" si="115"/>
        <v>Блок14</v>
      </c>
    </row>
    <row r="469" spans="1:8" ht="27" customHeight="1" x14ac:dyDescent="0.25">
      <c r="A469" s="9" t="str">
        <f t="shared" si="114"/>
        <v>ВРУ1-14</v>
      </c>
      <c r="B469" s="7" t="s">
        <v>12</v>
      </c>
      <c r="C469" s="8" t="s">
        <v>241</v>
      </c>
      <c r="D469" s="11" t="s">
        <v>242</v>
      </c>
      <c r="E469" s="9">
        <v>2</v>
      </c>
      <c r="F469" s="10" t="s">
        <v>9</v>
      </c>
      <c r="G469" s="7" t="s">
        <v>13</v>
      </c>
      <c r="H469" s="9" t="str">
        <f t="shared" si="115"/>
        <v>Блок14</v>
      </c>
    </row>
    <row r="470" spans="1:8" ht="27" customHeight="1" x14ac:dyDescent="0.25">
      <c r="A470" s="9" t="str">
        <f t="shared" si="114"/>
        <v>ВРУ1-14</v>
      </c>
      <c r="B470" s="7" t="s">
        <v>22</v>
      </c>
      <c r="C470" s="8"/>
      <c r="D470" s="7" t="s">
        <v>23</v>
      </c>
      <c r="E470" s="9">
        <v>6</v>
      </c>
      <c r="F470" s="10" t="s">
        <v>9</v>
      </c>
      <c r="G470" s="7" t="s">
        <v>19</v>
      </c>
      <c r="H470" s="9" t="str">
        <f t="shared" si="115"/>
        <v>Блок14</v>
      </c>
    </row>
    <row r="471" spans="1:8" ht="27" customHeight="1" x14ac:dyDescent="0.25">
      <c r="A471" s="7" t="str">
        <f t="shared" si="114"/>
        <v>ВРУ1-14</v>
      </c>
      <c r="B471" s="7" t="s">
        <v>15</v>
      </c>
      <c r="C471" s="8" t="s">
        <v>15</v>
      </c>
      <c r="D471" s="7" t="s">
        <v>15</v>
      </c>
      <c r="E471" s="7">
        <v>1</v>
      </c>
      <c r="F471" s="7" t="s">
        <v>9</v>
      </c>
      <c r="G471" s="7" t="s">
        <v>15</v>
      </c>
      <c r="H471" s="9" t="str">
        <f t="shared" si="115"/>
        <v>Блок14</v>
      </c>
    </row>
    <row r="472" spans="1:8" ht="27" customHeight="1" x14ac:dyDescent="0.25">
      <c r="A472" s="5" t="str">
        <f>D472</f>
        <v>РУ-1-14</v>
      </c>
      <c r="B472" s="3"/>
      <c r="C472" s="4" t="str">
        <f>VLOOKUP(D472,[1]Sayfa2!$A:$F,2,0)</f>
        <v>989-090-0646</v>
      </c>
      <c r="D472" s="3" t="s">
        <v>85</v>
      </c>
      <c r="E472" s="5">
        <v>1</v>
      </c>
      <c r="F472" s="6" t="s">
        <v>6</v>
      </c>
      <c r="G472" s="3" t="s">
        <v>7</v>
      </c>
      <c r="H472" s="5" t="s">
        <v>84</v>
      </c>
    </row>
    <row r="473" spans="1:8" ht="27" customHeight="1" x14ac:dyDescent="0.25">
      <c r="A473" s="9" t="str">
        <f t="shared" ref="A473:A477" si="116">A472</f>
        <v>РУ-1-14</v>
      </c>
      <c r="B473" s="7" t="s">
        <v>8</v>
      </c>
      <c r="C473" s="8" t="s">
        <v>131</v>
      </c>
      <c r="D473" s="7" t="s">
        <v>132</v>
      </c>
      <c r="E473" s="9">
        <v>1</v>
      </c>
      <c r="F473" s="10" t="s">
        <v>9</v>
      </c>
      <c r="G473" s="7" t="s">
        <v>10</v>
      </c>
      <c r="H473" s="9" t="str">
        <f t="shared" ref="H473:H477" si="117">H472</f>
        <v>Блок14</v>
      </c>
    </row>
    <row r="474" spans="1:8" ht="27" customHeight="1" x14ac:dyDescent="0.25">
      <c r="A474" s="9" t="str">
        <f t="shared" si="116"/>
        <v>РУ-1-14</v>
      </c>
      <c r="B474" s="7" t="s">
        <v>238</v>
      </c>
      <c r="C474" s="8" t="s">
        <v>175</v>
      </c>
      <c r="D474" s="7" t="s">
        <v>176</v>
      </c>
      <c r="E474" s="9">
        <v>2</v>
      </c>
      <c r="F474" s="10" t="s">
        <v>9</v>
      </c>
      <c r="G474" s="7" t="s">
        <v>157</v>
      </c>
      <c r="H474" s="9" t="str">
        <f t="shared" si="117"/>
        <v>Блок14</v>
      </c>
    </row>
    <row r="475" spans="1:8" ht="27" customHeight="1" x14ac:dyDescent="0.25">
      <c r="A475" s="9" t="str">
        <f t="shared" si="116"/>
        <v>РУ-1-14</v>
      </c>
      <c r="B475" s="7" t="s">
        <v>238</v>
      </c>
      <c r="C475" s="8" t="s">
        <v>177</v>
      </c>
      <c r="D475" s="7" t="s">
        <v>178</v>
      </c>
      <c r="E475" s="9">
        <v>1</v>
      </c>
      <c r="F475" s="10" t="s">
        <v>9</v>
      </c>
      <c r="G475" s="7" t="s">
        <v>157</v>
      </c>
      <c r="H475" s="9" t="str">
        <f t="shared" si="117"/>
        <v>Блок14</v>
      </c>
    </row>
    <row r="476" spans="1:8" ht="27" customHeight="1" x14ac:dyDescent="0.25">
      <c r="A476" s="9" t="str">
        <f t="shared" si="116"/>
        <v>РУ-1-14</v>
      </c>
      <c r="B476" s="7" t="s">
        <v>237</v>
      </c>
      <c r="C476" s="8" t="s">
        <v>167</v>
      </c>
      <c r="D476" s="7" t="s">
        <v>168</v>
      </c>
      <c r="E476" s="9">
        <v>2</v>
      </c>
      <c r="F476" s="10" t="s">
        <v>9</v>
      </c>
      <c r="G476" s="7" t="s">
        <v>157</v>
      </c>
      <c r="H476" s="9" t="str">
        <f t="shared" si="117"/>
        <v>Блок14</v>
      </c>
    </row>
    <row r="477" spans="1:8" ht="27" customHeight="1" x14ac:dyDescent="0.25">
      <c r="A477" s="7" t="str">
        <f t="shared" si="116"/>
        <v>РУ-1-14</v>
      </c>
      <c r="B477" s="7" t="s">
        <v>15</v>
      </c>
      <c r="C477" s="8" t="s">
        <v>15</v>
      </c>
      <c r="D477" s="7" t="s">
        <v>15</v>
      </c>
      <c r="E477" s="7">
        <v>1</v>
      </c>
      <c r="F477" s="7" t="s">
        <v>9</v>
      </c>
      <c r="G477" s="7" t="s">
        <v>15</v>
      </c>
      <c r="H477" s="9" t="str">
        <f t="shared" si="117"/>
        <v>Блок14</v>
      </c>
    </row>
    <row r="478" spans="1:8" ht="27" customHeight="1" x14ac:dyDescent="0.25">
      <c r="A478" s="5" t="str">
        <f>D478</f>
        <v>РУ-2-14</v>
      </c>
      <c r="B478" s="3"/>
      <c r="C478" s="4" t="str">
        <f>VLOOKUP(D478,[1]Sayfa2!$A:$F,2,0)</f>
        <v>989-090-0647</v>
      </c>
      <c r="D478" s="3" t="s">
        <v>86</v>
      </c>
      <c r="E478" s="5">
        <v>1</v>
      </c>
      <c r="F478" s="6" t="s">
        <v>6</v>
      </c>
      <c r="G478" s="3" t="s">
        <v>7</v>
      </c>
      <c r="H478" s="5" t="s">
        <v>84</v>
      </c>
    </row>
    <row r="479" spans="1:8" ht="27" customHeight="1" x14ac:dyDescent="0.25">
      <c r="A479" s="9" t="str">
        <f t="shared" ref="A479:A483" si="118">A478</f>
        <v>РУ-2-14</v>
      </c>
      <c r="B479" s="7" t="s">
        <v>8</v>
      </c>
      <c r="C479" s="8" t="s">
        <v>131</v>
      </c>
      <c r="D479" s="7" t="s">
        <v>132</v>
      </c>
      <c r="E479" s="9">
        <v>1</v>
      </c>
      <c r="F479" s="10" t="s">
        <v>9</v>
      </c>
      <c r="G479" s="7" t="s">
        <v>10</v>
      </c>
      <c r="H479" s="9" t="str">
        <f t="shared" ref="H479:H483" si="119">H478</f>
        <v>Блок14</v>
      </c>
    </row>
    <row r="480" spans="1:8" ht="27" customHeight="1" x14ac:dyDescent="0.25">
      <c r="A480" s="9" t="str">
        <f t="shared" si="118"/>
        <v>РУ-2-14</v>
      </c>
      <c r="B480" s="7" t="s">
        <v>238</v>
      </c>
      <c r="C480" s="8" t="s">
        <v>177</v>
      </c>
      <c r="D480" s="7" t="s">
        <v>178</v>
      </c>
      <c r="E480" s="9">
        <v>1</v>
      </c>
      <c r="F480" s="10" t="s">
        <v>9</v>
      </c>
      <c r="G480" s="7" t="s">
        <v>157</v>
      </c>
      <c r="H480" s="9" t="str">
        <f t="shared" si="119"/>
        <v>Блок14</v>
      </c>
    </row>
    <row r="481" spans="1:8" ht="27" customHeight="1" x14ac:dyDescent="0.25">
      <c r="A481" s="9" t="str">
        <f t="shared" si="118"/>
        <v>РУ-2-14</v>
      </c>
      <c r="B481" s="7" t="s">
        <v>238</v>
      </c>
      <c r="C481" s="8" t="s">
        <v>161</v>
      </c>
      <c r="D481" s="7" t="s">
        <v>162</v>
      </c>
      <c r="E481" s="9">
        <v>3</v>
      </c>
      <c r="F481" s="10" t="s">
        <v>9</v>
      </c>
      <c r="G481" s="7" t="s">
        <v>157</v>
      </c>
      <c r="H481" s="9" t="str">
        <f t="shared" si="119"/>
        <v>Блок14</v>
      </c>
    </row>
    <row r="482" spans="1:8" ht="27" customHeight="1" x14ac:dyDescent="0.25">
      <c r="A482" s="9" t="str">
        <f t="shared" si="118"/>
        <v>РУ-2-14</v>
      </c>
      <c r="B482" s="7" t="s">
        <v>238</v>
      </c>
      <c r="C482" s="8" t="s">
        <v>173</v>
      </c>
      <c r="D482" s="7" t="s">
        <v>174</v>
      </c>
      <c r="E482" s="9">
        <v>1</v>
      </c>
      <c r="F482" s="10" t="s">
        <v>9</v>
      </c>
      <c r="G482" s="7" t="s">
        <v>157</v>
      </c>
      <c r="H482" s="9" t="str">
        <f t="shared" si="119"/>
        <v>Блок14</v>
      </c>
    </row>
    <row r="483" spans="1:8" ht="27" customHeight="1" x14ac:dyDescent="0.25">
      <c r="A483" s="7" t="str">
        <f t="shared" si="118"/>
        <v>РУ-2-14</v>
      </c>
      <c r="B483" s="7" t="s">
        <v>15</v>
      </c>
      <c r="C483" s="8" t="s">
        <v>15</v>
      </c>
      <c r="D483" s="7" t="s">
        <v>15</v>
      </c>
      <c r="E483" s="7">
        <v>1</v>
      </c>
      <c r="F483" s="7" t="s">
        <v>9</v>
      </c>
      <c r="G483" s="7" t="s">
        <v>15</v>
      </c>
      <c r="H483" s="9" t="str">
        <f t="shared" si="119"/>
        <v>Блок14</v>
      </c>
    </row>
    <row r="484" spans="1:8" ht="27" customHeight="1" x14ac:dyDescent="0.25">
      <c r="A484" s="5" t="str">
        <f>D484</f>
        <v>ЩУР.МОП1-14</v>
      </c>
      <c r="B484" s="3"/>
      <c r="C484" s="4" t="str">
        <f>VLOOKUP(D484,[1]Sayfa2!$A:$F,2,0)</f>
        <v>989-090-0648</v>
      </c>
      <c r="D484" s="3" t="s">
        <v>87</v>
      </c>
      <c r="E484" s="5">
        <v>1</v>
      </c>
      <c r="F484" s="6" t="s">
        <v>6</v>
      </c>
      <c r="G484" s="3" t="s">
        <v>7</v>
      </c>
      <c r="H484" s="5" t="s">
        <v>84</v>
      </c>
    </row>
    <row r="485" spans="1:8" ht="27" customHeight="1" x14ac:dyDescent="0.25">
      <c r="A485" s="9" t="str">
        <f t="shared" ref="A485:A490" si="120">A484</f>
        <v>ЩУР.МОП1-14</v>
      </c>
      <c r="B485" s="7" t="s">
        <v>8</v>
      </c>
      <c r="C485" s="8" t="s">
        <v>27</v>
      </c>
      <c r="D485" s="7" t="s">
        <v>28</v>
      </c>
      <c r="E485" s="9">
        <v>1</v>
      </c>
      <c r="F485" s="10" t="s">
        <v>9</v>
      </c>
      <c r="G485" s="7" t="s">
        <v>10</v>
      </c>
      <c r="H485" s="9" t="str">
        <f t="shared" ref="H485:H490" si="121">H484</f>
        <v>Блок14</v>
      </c>
    </row>
    <row r="486" spans="1:8" ht="27" customHeight="1" x14ac:dyDescent="0.25">
      <c r="A486" s="9" t="str">
        <f t="shared" si="120"/>
        <v>ЩУР.МОП1-14</v>
      </c>
      <c r="B486" s="7" t="s">
        <v>237</v>
      </c>
      <c r="C486" s="8" t="s">
        <v>145</v>
      </c>
      <c r="D486" s="7" t="s">
        <v>146</v>
      </c>
      <c r="E486" s="9">
        <v>1</v>
      </c>
      <c r="F486" s="10" t="s">
        <v>9</v>
      </c>
      <c r="G486" s="7" t="s">
        <v>157</v>
      </c>
      <c r="H486" s="9" t="str">
        <f t="shared" si="121"/>
        <v>Блок14</v>
      </c>
    </row>
    <row r="487" spans="1:8" ht="27" customHeight="1" x14ac:dyDescent="0.25">
      <c r="A487" s="9" t="str">
        <f t="shared" si="120"/>
        <v>ЩУР.МОП1-14</v>
      </c>
      <c r="B487" s="7" t="s">
        <v>237</v>
      </c>
      <c r="C487" s="8" t="s">
        <v>149</v>
      </c>
      <c r="D487" s="7" t="s">
        <v>150</v>
      </c>
      <c r="E487" s="9">
        <v>2</v>
      </c>
      <c r="F487" s="10" t="s">
        <v>9</v>
      </c>
      <c r="G487" s="7" t="s">
        <v>157</v>
      </c>
      <c r="H487" s="9" t="str">
        <f t="shared" si="121"/>
        <v>Блок14</v>
      </c>
    </row>
    <row r="488" spans="1:8" ht="27" customHeight="1" x14ac:dyDescent="0.25">
      <c r="A488" s="9" t="str">
        <f t="shared" si="120"/>
        <v>ЩУР.МОП1-14</v>
      </c>
      <c r="B488" s="7" t="s">
        <v>237</v>
      </c>
      <c r="C488" s="8" t="s">
        <v>143</v>
      </c>
      <c r="D488" s="7" t="s">
        <v>144</v>
      </c>
      <c r="E488" s="9">
        <v>2</v>
      </c>
      <c r="F488" s="10" t="s">
        <v>9</v>
      </c>
      <c r="G488" s="7" t="s">
        <v>157</v>
      </c>
      <c r="H488" s="9" t="str">
        <f t="shared" si="121"/>
        <v>Блок14</v>
      </c>
    </row>
    <row r="489" spans="1:8" ht="27" customHeight="1" x14ac:dyDescent="0.25">
      <c r="A489" s="9" t="str">
        <f t="shared" si="120"/>
        <v>ЩУР.МОП1-14</v>
      </c>
      <c r="B489" s="7" t="s">
        <v>12</v>
      </c>
      <c r="C489" s="8" t="s">
        <v>243</v>
      </c>
      <c r="D489" s="7" t="s">
        <v>244</v>
      </c>
      <c r="E489" s="9">
        <v>1</v>
      </c>
      <c r="F489" s="10" t="s">
        <v>9</v>
      </c>
      <c r="G489" s="7" t="s">
        <v>13</v>
      </c>
      <c r="H489" s="9" t="str">
        <f t="shared" si="121"/>
        <v>Блок14</v>
      </c>
    </row>
    <row r="490" spans="1:8" ht="27" customHeight="1" x14ac:dyDescent="0.25">
      <c r="A490" s="7" t="str">
        <f t="shared" si="120"/>
        <v>ЩУР.МОП1-14</v>
      </c>
      <c r="B490" s="7" t="s">
        <v>15</v>
      </c>
      <c r="C490" s="8" t="s">
        <v>15</v>
      </c>
      <c r="D490" s="7" t="s">
        <v>15</v>
      </c>
      <c r="E490" s="7">
        <v>1</v>
      </c>
      <c r="F490" s="7" t="s">
        <v>9</v>
      </c>
      <c r="G490" s="7" t="s">
        <v>15</v>
      </c>
      <c r="H490" s="9" t="str">
        <f t="shared" si="121"/>
        <v>Блок14</v>
      </c>
    </row>
    <row r="491" spans="1:8" ht="27" customHeight="1" x14ac:dyDescent="0.25">
      <c r="A491" s="5" t="str">
        <f>D491</f>
        <v>РЩ1-14 (АВР-Б-40-2-1)</v>
      </c>
      <c r="B491" s="3"/>
      <c r="C491" s="4" t="str">
        <f>VLOOKUP(D491,[1]Sayfa2!$A:$F,2,0)</f>
        <v>989-090-0649</v>
      </c>
      <c r="D491" s="3" t="s">
        <v>114</v>
      </c>
      <c r="E491" s="5">
        <v>1</v>
      </c>
      <c r="F491" s="6" t="s">
        <v>6</v>
      </c>
      <c r="G491" s="3" t="s">
        <v>7</v>
      </c>
      <c r="H491" s="5" t="s">
        <v>84</v>
      </c>
    </row>
    <row r="492" spans="1:8" ht="27" customHeight="1" x14ac:dyDescent="0.25">
      <c r="A492" s="9" t="str">
        <f t="shared" ref="A492:A501" si="122">A491</f>
        <v>РЩ1-14 (АВР-Б-40-2-1)</v>
      </c>
      <c r="B492" s="7" t="s">
        <v>8</v>
      </c>
      <c r="C492" s="8" t="s">
        <v>129</v>
      </c>
      <c r="D492" s="7" t="s">
        <v>130</v>
      </c>
      <c r="E492" s="9">
        <v>1</v>
      </c>
      <c r="F492" s="10" t="s">
        <v>9</v>
      </c>
      <c r="G492" s="7" t="s">
        <v>10</v>
      </c>
      <c r="H492" s="9" t="str">
        <f t="shared" ref="H492:H501" si="123">H491</f>
        <v>Блок14</v>
      </c>
    </row>
    <row r="493" spans="1:8" ht="27" customHeight="1" x14ac:dyDescent="0.25">
      <c r="A493" s="9" t="str">
        <f t="shared" si="122"/>
        <v>РЩ1-14 (АВР-Б-40-2-1)</v>
      </c>
      <c r="B493" s="7" t="s">
        <v>29</v>
      </c>
      <c r="C493" s="8" t="s">
        <v>123</v>
      </c>
      <c r="D493" s="7" t="s">
        <v>124</v>
      </c>
      <c r="E493" s="9">
        <v>1</v>
      </c>
      <c r="F493" s="10" t="s">
        <v>9</v>
      </c>
      <c r="G493" s="7" t="s">
        <v>11</v>
      </c>
      <c r="H493" s="9" t="str">
        <f t="shared" si="123"/>
        <v>Блок14</v>
      </c>
    </row>
    <row r="494" spans="1:8" ht="27" customHeight="1" x14ac:dyDescent="0.25">
      <c r="A494" s="9" t="str">
        <f t="shared" si="122"/>
        <v>РЩ1-14 (АВР-Б-40-2-1)</v>
      </c>
      <c r="B494" s="7" t="s">
        <v>237</v>
      </c>
      <c r="C494" s="8" t="s">
        <v>163</v>
      </c>
      <c r="D494" s="7" t="s">
        <v>164</v>
      </c>
      <c r="E494" s="9">
        <v>2</v>
      </c>
      <c r="F494" s="10" t="s">
        <v>9</v>
      </c>
      <c r="G494" s="7" t="s">
        <v>157</v>
      </c>
      <c r="H494" s="9" t="str">
        <f t="shared" si="123"/>
        <v>Блок14</v>
      </c>
    </row>
    <row r="495" spans="1:8" ht="27" customHeight="1" x14ac:dyDescent="0.25">
      <c r="A495" s="9" t="str">
        <f t="shared" si="122"/>
        <v>РЩ1-14 (АВР-Б-40-2-1)</v>
      </c>
      <c r="B495" s="7" t="s">
        <v>237</v>
      </c>
      <c r="C495" s="8" t="s">
        <v>181</v>
      </c>
      <c r="D495" s="7" t="s">
        <v>182</v>
      </c>
      <c r="E495" s="9">
        <v>2</v>
      </c>
      <c r="F495" s="10" t="s">
        <v>9</v>
      </c>
      <c r="G495" s="7" t="s">
        <v>157</v>
      </c>
      <c r="H495" s="9" t="str">
        <f t="shared" si="123"/>
        <v>Блок14</v>
      </c>
    </row>
    <row r="496" spans="1:8" ht="27" customHeight="1" x14ac:dyDescent="0.25">
      <c r="A496" s="9" t="str">
        <f t="shared" si="122"/>
        <v>РЩ1-14 (АВР-Б-40-2-1)</v>
      </c>
      <c r="B496" s="7" t="s">
        <v>238</v>
      </c>
      <c r="C496" s="8" t="s">
        <v>153</v>
      </c>
      <c r="D496" s="7" t="s">
        <v>154</v>
      </c>
      <c r="E496" s="9">
        <v>2</v>
      </c>
      <c r="F496" s="10" t="s">
        <v>9</v>
      </c>
      <c r="G496" s="7" t="s">
        <v>157</v>
      </c>
      <c r="H496" s="9" t="str">
        <f t="shared" si="123"/>
        <v>Блок14</v>
      </c>
    </row>
    <row r="497" spans="1:8" ht="27" customHeight="1" x14ac:dyDescent="0.25">
      <c r="A497" s="9" t="str">
        <f t="shared" si="122"/>
        <v>РЩ1-14 (АВР-Б-40-2-1)</v>
      </c>
      <c r="B497" s="7" t="s">
        <v>14</v>
      </c>
      <c r="C497" s="8" t="s">
        <v>183</v>
      </c>
      <c r="D497" s="7" t="s">
        <v>184</v>
      </c>
      <c r="E497" s="9">
        <v>1</v>
      </c>
      <c r="F497" s="10" t="s">
        <v>9</v>
      </c>
      <c r="G497" s="7" t="s">
        <v>11</v>
      </c>
      <c r="H497" s="9" t="str">
        <f t="shared" si="123"/>
        <v>Блок14</v>
      </c>
    </row>
    <row r="498" spans="1:8" ht="27" customHeight="1" x14ac:dyDescent="0.25">
      <c r="A498" s="9" t="str">
        <f t="shared" si="122"/>
        <v>РЩ1-14 (АВР-Б-40-2-1)</v>
      </c>
      <c r="B498" s="7" t="s">
        <v>237</v>
      </c>
      <c r="C498" s="8" t="s">
        <v>155</v>
      </c>
      <c r="D498" s="7" t="s">
        <v>156</v>
      </c>
      <c r="E498" s="9">
        <v>1</v>
      </c>
      <c r="F498" s="10" t="s">
        <v>9</v>
      </c>
      <c r="G498" s="7" t="s">
        <v>157</v>
      </c>
      <c r="H498" s="9" t="str">
        <f t="shared" si="123"/>
        <v>Блок14</v>
      </c>
    </row>
    <row r="499" spans="1:8" ht="27" customHeight="1" x14ac:dyDescent="0.25">
      <c r="A499" s="9" t="str">
        <f t="shared" si="122"/>
        <v>РЩ1-14 (АВР-Б-40-2-1)</v>
      </c>
      <c r="B499" s="7" t="s">
        <v>12</v>
      </c>
      <c r="C499" s="8" t="s">
        <v>243</v>
      </c>
      <c r="D499" s="7" t="s">
        <v>244</v>
      </c>
      <c r="E499" s="9">
        <v>1</v>
      </c>
      <c r="F499" s="10" t="s">
        <v>9</v>
      </c>
      <c r="G499" s="7" t="s">
        <v>13</v>
      </c>
      <c r="H499" s="9" t="str">
        <f t="shared" si="123"/>
        <v>Блок14</v>
      </c>
    </row>
    <row r="500" spans="1:8" ht="27" customHeight="1" x14ac:dyDescent="0.25">
      <c r="A500" s="9" t="str">
        <f t="shared" si="122"/>
        <v>РЩ1-14 (АВР-Б-40-2-1)</v>
      </c>
      <c r="B500" s="7" t="s">
        <v>22</v>
      </c>
      <c r="C500" s="8"/>
      <c r="D500" s="7" t="s">
        <v>23</v>
      </c>
      <c r="E500" s="9">
        <v>6</v>
      </c>
      <c r="F500" s="10" t="s">
        <v>9</v>
      </c>
      <c r="G500" s="7" t="s">
        <v>19</v>
      </c>
      <c r="H500" s="9" t="str">
        <f t="shared" si="123"/>
        <v>Блок14</v>
      </c>
    </row>
    <row r="501" spans="1:8" ht="27" customHeight="1" x14ac:dyDescent="0.25">
      <c r="A501" s="7" t="str">
        <f t="shared" si="122"/>
        <v>РЩ1-14 (АВР-Б-40-2-1)</v>
      </c>
      <c r="B501" s="7" t="s">
        <v>15</v>
      </c>
      <c r="C501" s="8" t="s">
        <v>15</v>
      </c>
      <c r="D501" s="7" t="s">
        <v>15</v>
      </c>
      <c r="E501" s="7">
        <v>1</v>
      </c>
      <c r="F501" s="7" t="s">
        <v>9</v>
      </c>
      <c r="G501" s="7" t="s">
        <v>15</v>
      </c>
      <c r="H501" s="9" t="str">
        <f t="shared" si="123"/>
        <v>Блок14</v>
      </c>
    </row>
    <row r="502" spans="1:8" ht="27" customHeight="1" x14ac:dyDescent="0.25">
      <c r="A502" s="5" t="str">
        <f>D502</f>
        <v>ЩРп c</v>
      </c>
      <c r="B502" s="3"/>
      <c r="C502" s="4" t="str">
        <f>VLOOKUP(D502,[1]Sayfa2!$A:$F,2,0)</f>
        <v>989-090-0650</v>
      </c>
      <c r="D502" s="3" t="s">
        <v>115</v>
      </c>
      <c r="E502" s="5">
        <v>1</v>
      </c>
      <c r="F502" s="6" t="s">
        <v>6</v>
      </c>
      <c r="G502" s="3" t="s">
        <v>7</v>
      </c>
      <c r="H502" s="5" t="s">
        <v>88</v>
      </c>
    </row>
    <row r="503" spans="1:8" ht="27" customHeight="1" x14ac:dyDescent="0.25">
      <c r="A503" s="9" t="str">
        <f t="shared" ref="A503:A526" si="124">A502</f>
        <v>ЩРп c</v>
      </c>
      <c r="B503" s="7" t="s">
        <v>8</v>
      </c>
      <c r="C503" s="8" t="s">
        <v>191</v>
      </c>
      <c r="D503" s="7" t="s">
        <v>192</v>
      </c>
      <c r="E503" s="9">
        <v>1</v>
      </c>
      <c r="F503" s="10" t="s">
        <v>9</v>
      </c>
      <c r="G503" s="7" t="s">
        <v>10</v>
      </c>
      <c r="H503" s="9" t="str">
        <f t="shared" ref="H503:H526" si="125">H502</f>
        <v>Блок15</v>
      </c>
    </row>
    <row r="504" spans="1:8" ht="27" customHeight="1" x14ac:dyDescent="0.25">
      <c r="A504" s="9" t="str">
        <f>A502</f>
        <v>ЩРп c</v>
      </c>
      <c r="B504" s="7" t="s">
        <v>193</v>
      </c>
      <c r="C504" s="8" t="s">
        <v>194</v>
      </c>
      <c r="D504" s="7" t="s">
        <v>195</v>
      </c>
      <c r="E504" s="9">
        <v>1</v>
      </c>
      <c r="F504" s="10" t="s">
        <v>9</v>
      </c>
      <c r="G504" s="7" t="s">
        <v>19</v>
      </c>
      <c r="H504" s="9" t="s">
        <v>88</v>
      </c>
    </row>
    <row r="505" spans="1:8" ht="27" customHeight="1" x14ac:dyDescent="0.25">
      <c r="A505" s="9" t="str">
        <f>A503</f>
        <v>ЩРп c</v>
      </c>
      <c r="B505" s="7" t="s">
        <v>196</v>
      </c>
      <c r="C505" s="8" t="s">
        <v>197</v>
      </c>
      <c r="D505" s="7" t="s">
        <v>198</v>
      </c>
      <c r="E505" s="9">
        <v>1</v>
      </c>
      <c r="F505" s="10" t="s">
        <v>9</v>
      </c>
      <c r="G505" s="7" t="s">
        <v>19</v>
      </c>
      <c r="H505" s="9" t="s">
        <v>88</v>
      </c>
    </row>
    <row r="506" spans="1:8" ht="27" customHeight="1" x14ac:dyDescent="0.25">
      <c r="A506" s="9" t="str">
        <f>A503</f>
        <v>ЩРп c</v>
      </c>
      <c r="B506" s="7" t="s">
        <v>29</v>
      </c>
      <c r="C506" s="8" t="s">
        <v>125</v>
      </c>
      <c r="D506" s="7" t="s">
        <v>126</v>
      </c>
      <c r="E506" s="9">
        <v>1</v>
      </c>
      <c r="F506" s="10" t="s">
        <v>9</v>
      </c>
      <c r="G506" s="7" t="s">
        <v>11</v>
      </c>
      <c r="H506" s="9" t="s">
        <v>88</v>
      </c>
    </row>
    <row r="507" spans="1:8" ht="27" customHeight="1" x14ac:dyDescent="0.25">
      <c r="A507" s="9" t="str">
        <f t="shared" si="124"/>
        <v>ЩРп c</v>
      </c>
      <c r="B507" s="7" t="s">
        <v>30</v>
      </c>
      <c r="C507" s="7">
        <v>593071</v>
      </c>
      <c r="D507" s="7" t="s">
        <v>31</v>
      </c>
      <c r="E507" s="9">
        <v>6</v>
      </c>
      <c r="F507" s="10" t="s">
        <v>9</v>
      </c>
      <c r="G507" s="7" t="s">
        <v>11</v>
      </c>
      <c r="H507" s="9" t="s">
        <v>88</v>
      </c>
    </row>
    <row r="508" spans="1:8" ht="27" customHeight="1" x14ac:dyDescent="0.25">
      <c r="A508" s="9" t="str">
        <f t="shared" si="124"/>
        <v>ЩРп c</v>
      </c>
      <c r="B508" s="7" t="s">
        <v>30</v>
      </c>
      <c r="C508" s="7">
        <v>593150</v>
      </c>
      <c r="D508" s="7" t="s">
        <v>32</v>
      </c>
      <c r="E508" s="9">
        <v>3</v>
      </c>
      <c r="F508" s="10" t="s">
        <v>9</v>
      </c>
      <c r="G508" s="7" t="s">
        <v>11</v>
      </c>
      <c r="H508" s="9" t="s">
        <v>88</v>
      </c>
    </row>
    <row r="509" spans="1:8" ht="27" customHeight="1" x14ac:dyDescent="0.25">
      <c r="A509" s="9" t="str">
        <f>A511</f>
        <v>ЩРп c</v>
      </c>
      <c r="B509" s="7" t="s">
        <v>12</v>
      </c>
      <c r="C509" s="8" t="s">
        <v>243</v>
      </c>
      <c r="D509" s="7" t="s">
        <v>244</v>
      </c>
      <c r="E509" s="9">
        <v>1</v>
      </c>
      <c r="F509" s="10" t="s">
        <v>9</v>
      </c>
      <c r="G509" s="7" t="s">
        <v>13</v>
      </c>
      <c r="H509" s="9" t="str">
        <f>H511</f>
        <v>Блок15</v>
      </c>
    </row>
    <row r="510" spans="1:8" ht="27" customHeight="1" x14ac:dyDescent="0.25">
      <c r="A510" s="9" t="str">
        <f>A509</f>
        <v>ЩРп c</v>
      </c>
      <c r="B510" s="7" t="s">
        <v>238</v>
      </c>
      <c r="C510" s="8" t="s">
        <v>169</v>
      </c>
      <c r="D510" s="7" t="s">
        <v>170</v>
      </c>
      <c r="E510" s="9">
        <v>2</v>
      </c>
      <c r="F510" s="10" t="s">
        <v>9</v>
      </c>
      <c r="G510" s="7" t="s">
        <v>157</v>
      </c>
      <c r="H510" s="9" t="str">
        <f>H511</f>
        <v>Блок15</v>
      </c>
    </row>
    <row r="511" spans="1:8" ht="27" customHeight="1" x14ac:dyDescent="0.25">
      <c r="A511" s="9" t="str">
        <f>A503</f>
        <v>ЩРп c</v>
      </c>
      <c r="B511" s="7" t="s">
        <v>89</v>
      </c>
      <c r="C511" s="8" t="s">
        <v>189</v>
      </c>
      <c r="D511" s="7" t="s">
        <v>190</v>
      </c>
      <c r="E511" s="9">
        <v>1</v>
      </c>
      <c r="F511" s="10" t="s">
        <v>9</v>
      </c>
      <c r="G511" s="7" t="s">
        <v>11</v>
      </c>
      <c r="H511" s="9" t="str">
        <f>H503</f>
        <v>Блок15</v>
      </c>
    </row>
    <row r="512" spans="1:8" ht="27" customHeight="1" x14ac:dyDescent="0.25">
      <c r="A512" s="9" t="str">
        <f>A510</f>
        <v>ЩРп c</v>
      </c>
      <c r="B512" s="7" t="s">
        <v>89</v>
      </c>
      <c r="C512" s="8" t="s">
        <v>185</v>
      </c>
      <c r="D512" s="7" t="s">
        <v>186</v>
      </c>
      <c r="E512" s="9">
        <v>2</v>
      </c>
      <c r="F512" s="10" t="s">
        <v>9</v>
      </c>
      <c r="G512" s="7" t="s">
        <v>11</v>
      </c>
      <c r="H512" s="9" t="str">
        <f>H510</f>
        <v>Блок15</v>
      </c>
    </row>
    <row r="513" spans="1:8" ht="27" customHeight="1" x14ac:dyDescent="0.25">
      <c r="A513" s="9" t="str">
        <f>A506</f>
        <v>ЩРп c</v>
      </c>
      <c r="B513" s="7" t="s">
        <v>200</v>
      </c>
      <c r="C513" s="8" t="s">
        <v>201</v>
      </c>
      <c r="D513" s="7" t="s">
        <v>202</v>
      </c>
      <c r="E513" s="9">
        <v>3</v>
      </c>
      <c r="F513" s="10" t="s">
        <v>9</v>
      </c>
      <c r="G513" s="7" t="s">
        <v>11</v>
      </c>
      <c r="H513" s="9" t="str">
        <f>H506</f>
        <v>Блок15</v>
      </c>
    </row>
    <row r="514" spans="1:8" ht="27" customHeight="1" x14ac:dyDescent="0.25">
      <c r="A514" s="9" t="str">
        <f t="shared" ref="A514" si="126">A505</f>
        <v>ЩРп c</v>
      </c>
      <c r="B514" s="7" t="s">
        <v>199</v>
      </c>
      <c r="C514" s="8" t="s">
        <v>203</v>
      </c>
      <c r="D514" s="7" t="s">
        <v>204</v>
      </c>
      <c r="E514" s="9">
        <v>4</v>
      </c>
      <c r="F514" s="10" t="s">
        <v>9</v>
      </c>
      <c r="G514" s="7" t="s">
        <v>157</v>
      </c>
      <c r="H514" s="9" t="str">
        <f t="shared" ref="H514" si="127">H505</f>
        <v>Блок15</v>
      </c>
    </row>
    <row r="515" spans="1:8" ht="27" customHeight="1" x14ac:dyDescent="0.25">
      <c r="A515" s="9" t="str">
        <f>A507</f>
        <v>ЩРп c</v>
      </c>
      <c r="B515" s="7" t="s">
        <v>200</v>
      </c>
      <c r="C515" s="8" t="s">
        <v>205</v>
      </c>
      <c r="D515" s="7" t="s">
        <v>206</v>
      </c>
      <c r="E515" s="9">
        <v>4</v>
      </c>
      <c r="F515" s="10" t="s">
        <v>9</v>
      </c>
      <c r="G515" s="7" t="s">
        <v>157</v>
      </c>
      <c r="H515" s="9" t="str">
        <f>H507</f>
        <v>Блок15</v>
      </c>
    </row>
    <row r="516" spans="1:8" ht="27" customHeight="1" x14ac:dyDescent="0.25">
      <c r="A516" s="9" t="str">
        <f>A512</f>
        <v>ЩРп c</v>
      </c>
      <c r="B516" s="7" t="s">
        <v>14</v>
      </c>
      <c r="C516" s="8" t="s">
        <v>159</v>
      </c>
      <c r="D516" s="7" t="s">
        <v>160</v>
      </c>
      <c r="E516" s="9">
        <v>3</v>
      </c>
      <c r="F516" s="10" t="s">
        <v>9</v>
      </c>
      <c r="G516" s="7" t="s">
        <v>157</v>
      </c>
      <c r="H516" s="9" t="str">
        <f>H512</f>
        <v>Блок15</v>
      </c>
    </row>
    <row r="517" spans="1:8" ht="27" customHeight="1" x14ac:dyDescent="0.25">
      <c r="A517" s="9" t="str">
        <f t="shared" si="124"/>
        <v>ЩРп c</v>
      </c>
      <c r="B517" s="7" t="s">
        <v>14</v>
      </c>
      <c r="C517" s="8" t="s">
        <v>183</v>
      </c>
      <c r="D517" s="7" t="s">
        <v>184</v>
      </c>
      <c r="E517" s="9">
        <v>1</v>
      </c>
      <c r="F517" s="10" t="s">
        <v>9</v>
      </c>
      <c r="G517" s="7" t="s">
        <v>11</v>
      </c>
      <c r="H517" s="9" t="str">
        <f t="shared" si="125"/>
        <v>Блок15</v>
      </c>
    </row>
    <row r="518" spans="1:8" ht="27" customHeight="1" x14ac:dyDescent="0.25">
      <c r="A518" s="9" t="str">
        <f>A516</f>
        <v>ЩРп c</v>
      </c>
      <c r="B518" s="7" t="s">
        <v>237</v>
      </c>
      <c r="C518" s="8" t="s">
        <v>239</v>
      </c>
      <c r="D518" s="7" t="s">
        <v>240</v>
      </c>
      <c r="E518" s="9">
        <v>2</v>
      </c>
      <c r="F518" s="10" t="s">
        <v>9</v>
      </c>
      <c r="G518" s="7" t="s">
        <v>157</v>
      </c>
      <c r="H518" s="9" t="str">
        <f>H516</f>
        <v>Блок15</v>
      </c>
    </row>
    <row r="519" spans="1:8" ht="27" customHeight="1" x14ac:dyDescent="0.25">
      <c r="A519" s="9" t="str">
        <f>A517</f>
        <v>ЩРп c</v>
      </c>
      <c r="B519" s="7" t="s">
        <v>237</v>
      </c>
      <c r="C519" s="8" t="s">
        <v>141</v>
      </c>
      <c r="D519" s="7" t="s">
        <v>142</v>
      </c>
      <c r="E519" s="9">
        <v>4</v>
      </c>
      <c r="F519" s="10" t="s">
        <v>9</v>
      </c>
      <c r="G519" s="7" t="s">
        <v>157</v>
      </c>
      <c r="H519" s="9" t="str">
        <f>H517</f>
        <v>Блок15</v>
      </c>
    </row>
    <row r="520" spans="1:8" ht="27" customHeight="1" x14ac:dyDescent="0.25">
      <c r="A520" s="9" t="str">
        <f t="shared" si="124"/>
        <v>ЩРп c</v>
      </c>
      <c r="B520" s="7" t="s">
        <v>207</v>
      </c>
      <c r="C520" s="8" t="s">
        <v>208</v>
      </c>
      <c r="D520" s="7" t="s">
        <v>209</v>
      </c>
      <c r="E520" s="9">
        <v>2</v>
      </c>
      <c r="F520" s="10" t="s">
        <v>9</v>
      </c>
      <c r="G520" s="7" t="s">
        <v>11</v>
      </c>
      <c r="H520" s="9" t="str">
        <f t="shared" si="125"/>
        <v>Блок15</v>
      </c>
    </row>
    <row r="521" spans="1:8" ht="27" customHeight="1" x14ac:dyDescent="0.25">
      <c r="A521" s="9" t="str">
        <f t="shared" si="124"/>
        <v>ЩРп c</v>
      </c>
      <c r="B521" s="7" t="s">
        <v>212</v>
      </c>
      <c r="C521" s="8" t="s">
        <v>210</v>
      </c>
      <c r="D521" s="7" t="s">
        <v>211</v>
      </c>
      <c r="E521" s="9">
        <v>2</v>
      </c>
      <c r="F521" s="10" t="s">
        <v>9</v>
      </c>
      <c r="G521" s="7" t="s">
        <v>11</v>
      </c>
      <c r="H521" s="9" t="str">
        <f t="shared" si="125"/>
        <v>Блок15</v>
      </c>
    </row>
    <row r="522" spans="1:8" ht="27" customHeight="1" x14ac:dyDescent="0.25">
      <c r="A522" s="9" t="str">
        <f t="shared" si="124"/>
        <v>ЩРп c</v>
      </c>
      <c r="B522" s="7" t="s">
        <v>220</v>
      </c>
      <c r="C522" s="8" t="s">
        <v>221</v>
      </c>
      <c r="D522" s="7" t="s">
        <v>222</v>
      </c>
      <c r="E522" s="9">
        <v>2</v>
      </c>
      <c r="F522" s="10" t="s">
        <v>9</v>
      </c>
      <c r="G522" s="7" t="s">
        <v>11</v>
      </c>
      <c r="H522" s="9" t="str">
        <f t="shared" si="125"/>
        <v>Блок15</v>
      </c>
    </row>
    <row r="523" spans="1:8" ht="27" customHeight="1" x14ac:dyDescent="0.25">
      <c r="A523" s="9" t="str">
        <f>A521</f>
        <v>ЩРп c</v>
      </c>
      <c r="B523" s="7" t="s">
        <v>213</v>
      </c>
      <c r="C523" s="8" t="s">
        <v>214</v>
      </c>
      <c r="D523" s="7" t="s">
        <v>215</v>
      </c>
      <c r="E523" s="9">
        <v>1</v>
      </c>
      <c r="F523" s="10" t="s">
        <v>9</v>
      </c>
      <c r="G523" s="7" t="s">
        <v>11</v>
      </c>
      <c r="H523" s="9" t="str">
        <f>H521</f>
        <v>Блок15</v>
      </c>
    </row>
    <row r="524" spans="1:8" ht="27" customHeight="1" x14ac:dyDescent="0.25">
      <c r="A524" s="9" t="str">
        <f t="shared" si="124"/>
        <v>ЩРп c</v>
      </c>
      <c r="B524" s="7" t="s">
        <v>216</v>
      </c>
      <c r="C524" s="8"/>
      <c r="D524" s="7" t="s">
        <v>217</v>
      </c>
      <c r="E524" s="9">
        <v>2</v>
      </c>
      <c r="F524" s="10" t="s">
        <v>9</v>
      </c>
      <c r="G524" s="7" t="s">
        <v>11</v>
      </c>
      <c r="H524" s="9" t="str">
        <f t="shared" si="125"/>
        <v>Блок15</v>
      </c>
    </row>
    <row r="525" spans="1:8" ht="27" customHeight="1" x14ac:dyDescent="0.25">
      <c r="A525" s="9" t="str">
        <f t="shared" si="124"/>
        <v>ЩРп c</v>
      </c>
      <c r="B525" s="7" t="s">
        <v>216</v>
      </c>
      <c r="C525" s="8"/>
      <c r="D525" s="7" t="s">
        <v>218</v>
      </c>
      <c r="E525" s="9">
        <v>4</v>
      </c>
      <c r="F525" s="10" t="s">
        <v>9</v>
      </c>
      <c r="G525" s="7" t="s">
        <v>11</v>
      </c>
      <c r="H525" s="9" t="str">
        <f t="shared" si="125"/>
        <v>Блок15</v>
      </c>
    </row>
    <row r="526" spans="1:8" ht="27" customHeight="1" x14ac:dyDescent="0.25">
      <c r="A526" s="9" t="str">
        <f t="shared" si="124"/>
        <v>ЩРп c</v>
      </c>
      <c r="B526" s="7" t="s">
        <v>216</v>
      </c>
      <c r="C526" s="8"/>
      <c r="D526" s="7" t="s">
        <v>219</v>
      </c>
      <c r="E526" s="9">
        <v>3</v>
      </c>
      <c r="F526" s="10" t="s">
        <v>9</v>
      </c>
      <c r="G526" s="7" t="s">
        <v>11</v>
      </c>
      <c r="H526" s="9" t="str">
        <f t="shared" si="125"/>
        <v>Блок15</v>
      </c>
    </row>
    <row r="527" spans="1:8" ht="27" customHeight="1" x14ac:dyDescent="0.25">
      <c r="A527" s="7" t="str">
        <f>A519</f>
        <v>ЩРп c</v>
      </c>
      <c r="B527" s="7" t="s">
        <v>15</v>
      </c>
      <c r="C527" s="8" t="s">
        <v>15</v>
      </c>
      <c r="D527" s="7" t="s">
        <v>15</v>
      </c>
      <c r="E527" s="7">
        <v>1</v>
      </c>
      <c r="F527" s="7" t="s">
        <v>9</v>
      </c>
      <c r="G527" s="7" t="s">
        <v>15</v>
      </c>
      <c r="H527" s="9" t="str">
        <f>H519</f>
        <v>Блок15</v>
      </c>
    </row>
    <row r="528" spans="1:8" ht="27" customHeight="1" x14ac:dyDescent="0.25">
      <c r="A528" s="5" t="str">
        <f>D528</f>
        <v>ЩР15</v>
      </c>
      <c r="B528" s="3"/>
      <c r="C528" s="4" t="str">
        <f>VLOOKUP(D528,[1]Sayfa2!$A:$F,2,0)</f>
        <v>989-090-0652</v>
      </c>
      <c r="D528" s="3" t="s">
        <v>90</v>
      </c>
      <c r="E528" s="5">
        <v>1</v>
      </c>
      <c r="F528" s="6" t="s">
        <v>6</v>
      </c>
      <c r="G528" s="3" t="s">
        <v>7</v>
      </c>
      <c r="H528" s="5" t="s">
        <v>88</v>
      </c>
    </row>
    <row r="529" spans="1:8" ht="27" customHeight="1" x14ac:dyDescent="0.25">
      <c r="A529" s="9" t="str">
        <f t="shared" ref="A529:A553" si="128">A528</f>
        <v>ЩР15</v>
      </c>
      <c r="B529" s="7" t="s">
        <v>8</v>
      </c>
      <c r="C529" s="8" t="s">
        <v>191</v>
      </c>
      <c r="D529" s="7" t="s">
        <v>192</v>
      </c>
      <c r="E529" s="9">
        <v>1</v>
      </c>
      <c r="F529" s="10" t="s">
        <v>9</v>
      </c>
      <c r="G529" s="7" t="s">
        <v>10</v>
      </c>
      <c r="H529" s="9" t="str">
        <f>H528</f>
        <v>Блок15</v>
      </c>
    </row>
    <row r="530" spans="1:8" ht="27" customHeight="1" x14ac:dyDescent="0.25">
      <c r="A530" s="9" t="str">
        <f>A528</f>
        <v>ЩР15</v>
      </c>
      <c r="B530" s="7" t="s">
        <v>193</v>
      </c>
      <c r="C530" s="8" t="s">
        <v>194</v>
      </c>
      <c r="D530" s="7" t="s">
        <v>195</v>
      </c>
      <c r="E530" s="9">
        <v>1</v>
      </c>
      <c r="F530" s="10" t="s">
        <v>9</v>
      </c>
      <c r="G530" s="7" t="s">
        <v>19</v>
      </c>
      <c r="H530" s="9" t="s">
        <v>88</v>
      </c>
    </row>
    <row r="531" spans="1:8" ht="27" customHeight="1" x14ac:dyDescent="0.25">
      <c r="A531" s="9" t="str">
        <f>A529</f>
        <v>ЩР15</v>
      </c>
      <c r="B531" s="7" t="s">
        <v>196</v>
      </c>
      <c r="C531" s="8" t="s">
        <v>197</v>
      </c>
      <c r="D531" s="7" t="s">
        <v>198</v>
      </c>
      <c r="E531" s="9">
        <v>1</v>
      </c>
      <c r="F531" s="10" t="s">
        <v>9</v>
      </c>
      <c r="G531" s="7" t="s">
        <v>19</v>
      </c>
      <c r="H531" s="9" t="s">
        <v>88</v>
      </c>
    </row>
    <row r="532" spans="1:8" ht="27" customHeight="1" x14ac:dyDescent="0.25">
      <c r="A532" s="9" t="str">
        <f>A529</f>
        <v>ЩР15</v>
      </c>
      <c r="B532" s="7" t="s">
        <v>12</v>
      </c>
      <c r="C532" s="8" t="s">
        <v>245</v>
      </c>
      <c r="D532" s="7" t="s">
        <v>246</v>
      </c>
      <c r="E532" s="9">
        <v>1</v>
      </c>
      <c r="F532" s="10" t="s">
        <v>9</v>
      </c>
      <c r="G532" s="7" t="s">
        <v>13</v>
      </c>
      <c r="H532" s="9" t="str">
        <f t="shared" ref="H532" si="129">H529</f>
        <v>Блок15</v>
      </c>
    </row>
    <row r="533" spans="1:8" ht="27" customHeight="1" x14ac:dyDescent="0.25">
      <c r="A533" s="9" t="str">
        <f t="shared" si="128"/>
        <v>ЩР15</v>
      </c>
      <c r="B533" s="7" t="s">
        <v>29</v>
      </c>
      <c r="C533" s="8" t="s">
        <v>127</v>
      </c>
      <c r="D533" s="7" t="s">
        <v>128</v>
      </c>
      <c r="E533" s="9">
        <v>1</v>
      </c>
      <c r="F533" s="10" t="s">
        <v>9</v>
      </c>
      <c r="G533" s="7" t="s">
        <v>11</v>
      </c>
      <c r="H533" s="9" t="s">
        <v>88</v>
      </c>
    </row>
    <row r="534" spans="1:8" ht="27" customHeight="1" x14ac:dyDescent="0.25">
      <c r="A534" s="9" t="str">
        <f t="shared" si="128"/>
        <v>ЩР15</v>
      </c>
      <c r="B534" s="7" t="s">
        <v>30</v>
      </c>
      <c r="C534" s="7">
        <v>593071</v>
      </c>
      <c r="D534" s="7" t="s">
        <v>31</v>
      </c>
      <c r="E534" s="9">
        <v>2</v>
      </c>
      <c r="F534" s="10" t="s">
        <v>9</v>
      </c>
      <c r="G534" s="7" t="s">
        <v>11</v>
      </c>
      <c r="H534" s="9" t="s">
        <v>88</v>
      </c>
    </row>
    <row r="535" spans="1:8" ht="27" customHeight="1" x14ac:dyDescent="0.25">
      <c r="A535" s="9" t="str">
        <f t="shared" si="128"/>
        <v>ЩР15</v>
      </c>
      <c r="B535" s="7" t="s">
        <v>30</v>
      </c>
      <c r="C535" s="7">
        <v>593150</v>
      </c>
      <c r="D535" s="7" t="s">
        <v>32</v>
      </c>
      <c r="E535" s="9">
        <v>1</v>
      </c>
      <c r="F535" s="10" t="s">
        <v>9</v>
      </c>
      <c r="G535" s="7" t="s">
        <v>11</v>
      </c>
      <c r="H535" s="9" t="s">
        <v>88</v>
      </c>
    </row>
    <row r="536" spans="1:8" ht="27" customHeight="1" x14ac:dyDescent="0.25">
      <c r="A536" s="9" t="str">
        <f t="shared" si="128"/>
        <v>ЩР15</v>
      </c>
      <c r="B536" s="7" t="s">
        <v>230</v>
      </c>
      <c r="C536" s="7" t="s">
        <v>231</v>
      </c>
      <c r="D536" s="7" t="s">
        <v>232</v>
      </c>
      <c r="E536" s="9">
        <v>1</v>
      </c>
      <c r="F536" s="10" t="s">
        <v>9</v>
      </c>
      <c r="G536" s="7" t="s">
        <v>11</v>
      </c>
      <c r="H536" s="9" t="s">
        <v>88</v>
      </c>
    </row>
    <row r="537" spans="1:8" ht="27" customHeight="1" x14ac:dyDescent="0.25">
      <c r="A537" s="9" t="str">
        <f>A532</f>
        <v>ЩР15</v>
      </c>
      <c r="B537" s="7" t="s">
        <v>238</v>
      </c>
      <c r="C537" s="8" t="s">
        <v>173</v>
      </c>
      <c r="D537" s="7" t="s">
        <v>174</v>
      </c>
      <c r="E537" s="9">
        <v>2</v>
      </c>
      <c r="F537" s="10" t="s">
        <v>9</v>
      </c>
      <c r="G537" s="7" t="s">
        <v>157</v>
      </c>
      <c r="H537" s="9" t="str">
        <f>H529</f>
        <v>Блок15</v>
      </c>
    </row>
    <row r="538" spans="1:8" ht="27" customHeight="1" x14ac:dyDescent="0.25">
      <c r="A538" s="9" t="str">
        <f t="shared" si="128"/>
        <v>ЩР15</v>
      </c>
      <c r="B538" s="7" t="s">
        <v>238</v>
      </c>
      <c r="C538" s="8" t="s">
        <v>171</v>
      </c>
      <c r="D538" s="7" t="s">
        <v>172</v>
      </c>
      <c r="E538" s="9">
        <v>2</v>
      </c>
      <c r="F538" s="10" t="s">
        <v>9</v>
      </c>
      <c r="G538" s="7" t="s">
        <v>157</v>
      </c>
      <c r="H538" s="9" t="str">
        <f>H537</f>
        <v>Блок15</v>
      </c>
    </row>
    <row r="539" spans="1:8" ht="27" customHeight="1" x14ac:dyDescent="0.25">
      <c r="A539" s="9" t="str">
        <f>A537</f>
        <v>ЩР15</v>
      </c>
      <c r="B539" s="7" t="s">
        <v>237</v>
      </c>
      <c r="C539" s="8" t="s">
        <v>239</v>
      </c>
      <c r="D539" s="7" t="s">
        <v>240</v>
      </c>
      <c r="E539" s="9">
        <v>2</v>
      </c>
      <c r="F539" s="10" t="s">
        <v>9</v>
      </c>
      <c r="G539" s="7" t="s">
        <v>157</v>
      </c>
      <c r="H539" s="9" t="str">
        <f>H537</f>
        <v>Блок15</v>
      </c>
    </row>
    <row r="540" spans="1:8" ht="27" customHeight="1" x14ac:dyDescent="0.25">
      <c r="A540" s="9" t="str">
        <f>A538</f>
        <v>ЩР15</v>
      </c>
      <c r="B540" s="7" t="s">
        <v>237</v>
      </c>
      <c r="C540" s="8">
        <v>296841</v>
      </c>
      <c r="D540" s="7" t="s">
        <v>91</v>
      </c>
      <c r="E540" s="9">
        <v>1</v>
      </c>
      <c r="F540" s="10" t="s">
        <v>9</v>
      </c>
      <c r="G540" s="7" t="s">
        <v>21</v>
      </c>
      <c r="H540" s="9" t="str">
        <f>H538</f>
        <v>Блок15</v>
      </c>
    </row>
    <row r="541" spans="1:8" ht="27" customHeight="1" x14ac:dyDescent="0.25">
      <c r="A541" s="9" t="str">
        <f t="shared" si="128"/>
        <v>ЩР15</v>
      </c>
      <c r="B541" s="7" t="s">
        <v>237</v>
      </c>
      <c r="C541" s="8" t="s">
        <v>149</v>
      </c>
      <c r="D541" s="7" t="s">
        <v>150</v>
      </c>
      <c r="E541" s="9">
        <v>2</v>
      </c>
      <c r="F541" s="10" t="s">
        <v>9</v>
      </c>
      <c r="G541" s="7" t="s">
        <v>157</v>
      </c>
      <c r="H541" s="9" t="str">
        <f>H540</f>
        <v>Блок15</v>
      </c>
    </row>
    <row r="542" spans="1:8" ht="27" customHeight="1" x14ac:dyDescent="0.25">
      <c r="A542" s="9" t="str">
        <f t="shared" si="128"/>
        <v>ЩР15</v>
      </c>
      <c r="B542" s="7" t="s">
        <v>237</v>
      </c>
      <c r="C542" s="8" t="s">
        <v>147</v>
      </c>
      <c r="D542" s="7" t="s">
        <v>148</v>
      </c>
      <c r="E542" s="9">
        <v>1</v>
      </c>
      <c r="F542" s="10" t="s">
        <v>9</v>
      </c>
      <c r="G542" s="7" t="s">
        <v>157</v>
      </c>
      <c r="H542" s="9" t="str">
        <f>H540</f>
        <v>Блок15</v>
      </c>
    </row>
    <row r="543" spans="1:8" ht="27" customHeight="1" x14ac:dyDescent="0.25">
      <c r="A543" s="9" t="str">
        <f t="shared" si="128"/>
        <v>ЩР15</v>
      </c>
      <c r="B543" s="7" t="s">
        <v>237</v>
      </c>
      <c r="C543" s="8" t="s">
        <v>149</v>
      </c>
      <c r="D543" s="7" t="s">
        <v>150</v>
      </c>
      <c r="E543" s="9">
        <v>1</v>
      </c>
      <c r="F543" s="10" t="s">
        <v>9</v>
      </c>
      <c r="G543" s="7" t="s">
        <v>157</v>
      </c>
      <c r="H543" s="9" t="str">
        <f>H542</f>
        <v>Блок15</v>
      </c>
    </row>
    <row r="544" spans="1:8" ht="27" customHeight="1" x14ac:dyDescent="0.25">
      <c r="A544" s="9" t="str">
        <f t="shared" si="128"/>
        <v>ЩР15</v>
      </c>
      <c r="B544" s="7" t="s">
        <v>237</v>
      </c>
      <c r="C544" s="8" t="s">
        <v>141</v>
      </c>
      <c r="D544" s="7" t="s">
        <v>142</v>
      </c>
      <c r="E544" s="9">
        <v>11</v>
      </c>
      <c r="F544" s="10" t="s">
        <v>9</v>
      </c>
      <c r="G544" s="7" t="s">
        <v>157</v>
      </c>
      <c r="H544" s="9" t="str">
        <f>H543</f>
        <v>Блок15</v>
      </c>
    </row>
    <row r="545" spans="1:8" ht="27" customHeight="1" x14ac:dyDescent="0.25">
      <c r="A545" s="9" t="str">
        <f>A535</f>
        <v>ЩР15</v>
      </c>
      <c r="B545" s="7" t="s">
        <v>199</v>
      </c>
      <c r="C545" s="8" t="s">
        <v>233</v>
      </c>
      <c r="D545" s="7" t="s">
        <v>234</v>
      </c>
      <c r="E545" s="9">
        <v>1</v>
      </c>
      <c r="F545" s="10" t="s">
        <v>9</v>
      </c>
      <c r="G545" s="7" t="s">
        <v>157</v>
      </c>
      <c r="H545" s="9" t="str">
        <f>H535</f>
        <v>Блок15</v>
      </c>
    </row>
    <row r="546" spans="1:8" ht="27" customHeight="1" x14ac:dyDescent="0.25">
      <c r="A546" s="9" t="str">
        <f>A538</f>
        <v>ЩР15</v>
      </c>
      <c r="B546" s="7" t="s">
        <v>199</v>
      </c>
      <c r="C546" s="8" t="s">
        <v>235</v>
      </c>
      <c r="D546" s="7" t="s">
        <v>236</v>
      </c>
      <c r="E546" s="9">
        <v>2</v>
      </c>
      <c r="F546" s="10" t="s">
        <v>9</v>
      </c>
      <c r="G546" s="7" t="s">
        <v>157</v>
      </c>
      <c r="H546" s="9" t="str">
        <f>H538</f>
        <v>Блок15</v>
      </c>
    </row>
    <row r="547" spans="1:8" ht="27" customHeight="1" x14ac:dyDescent="0.25">
      <c r="A547" s="9" t="str">
        <f t="shared" ref="A547" si="130">A538</f>
        <v>ЩР15</v>
      </c>
      <c r="B547" s="7" t="s">
        <v>223</v>
      </c>
      <c r="C547" s="8" t="s">
        <v>247</v>
      </c>
      <c r="D547" s="7" t="s">
        <v>248</v>
      </c>
      <c r="E547" s="9">
        <v>1</v>
      </c>
      <c r="F547" s="10" t="s">
        <v>9</v>
      </c>
      <c r="G547" s="7" t="s">
        <v>157</v>
      </c>
      <c r="H547" s="9" t="str">
        <f t="shared" ref="H547" si="131">H538</f>
        <v>Блок15</v>
      </c>
    </row>
    <row r="548" spans="1:8" ht="27" customHeight="1" x14ac:dyDescent="0.25">
      <c r="A548" s="9" t="str">
        <f>A540</f>
        <v>ЩР15</v>
      </c>
      <c r="B548" s="7" t="s">
        <v>223</v>
      </c>
      <c r="C548" s="8" t="s">
        <v>249</v>
      </c>
      <c r="D548" s="12" t="s">
        <v>250</v>
      </c>
      <c r="E548" s="9">
        <v>2</v>
      </c>
      <c r="F548" s="10" t="s">
        <v>9</v>
      </c>
      <c r="G548" s="7" t="s">
        <v>157</v>
      </c>
      <c r="H548" s="9" t="str">
        <f>H540</f>
        <v>Блок15</v>
      </c>
    </row>
    <row r="549" spans="1:8" ht="27" customHeight="1" x14ac:dyDescent="0.25">
      <c r="A549" s="9" t="str">
        <f>A544</f>
        <v>ЩР15</v>
      </c>
      <c r="B549" s="7" t="s">
        <v>207</v>
      </c>
      <c r="C549" s="8" t="s">
        <v>208</v>
      </c>
      <c r="D549" s="7" t="s">
        <v>209</v>
      </c>
      <c r="E549" s="9">
        <v>3</v>
      </c>
      <c r="F549" s="10" t="s">
        <v>9</v>
      </c>
      <c r="G549" s="7" t="s">
        <v>11</v>
      </c>
      <c r="H549" s="9" t="str">
        <f>H544</f>
        <v>Блок15</v>
      </c>
    </row>
    <row r="550" spans="1:8" ht="27" customHeight="1" x14ac:dyDescent="0.25">
      <c r="A550" s="9" t="str">
        <f t="shared" si="128"/>
        <v>ЩР15</v>
      </c>
      <c r="B550" s="7" t="s">
        <v>212</v>
      </c>
      <c r="C550" s="8" t="s">
        <v>210</v>
      </c>
      <c r="D550" s="7" t="s">
        <v>211</v>
      </c>
      <c r="E550" s="9">
        <v>2</v>
      </c>
      <c r="F550" s="10" t="s">
        <v>9</v>
      </c>
      <c r="G550" s="7" t="s">
        <v>11</v>
      </c>
      <c r="H550" s="9" t="str">
        <f t="shared" ref="H550:H553" si="132">H549</f>
        <v>Блок15</v>
      </c>
    </row>
    <row r="551" spans="1:8" ht="27" customHeight="1" x14ac:dyDescent="0.25">
      <c r="A551" s="9" t="str">
        <f t="shared" si="128"/>
        <v>ЩР15</v>
      </c>
      <c r="B551" s="7" t="s">
        <v>220</v>
      </c>
      <c r="C551" s="8" t="s">
        <v>221</v>
      </c>
      <c r="D551" s="7" t="s">
        <v>222</v>
      </c>
      <c r="E551" s="9">
        <v>1</v>
      </c>
      <c r="F551" s="10" t="s">
        <v>9</v>
      </c>
      <c r="G551" s="7" t="s">
        <v>11</v>
      </c>
      <c r="H551" s="9" t="str">
        <f t="shared" si="132"/>
        <v>Блок15</v>
      </c>
    </row>
    <row r="552" spans="1:8" ht="27" customHeight="1" x14ac:dyDescent="0.25">
      <c r="A552" s="9" t="str">
        <f t="shared" si="128"/>
        <v>ЩР15</v>
      </c>
      <c r="B552" s="7" t="s">
        <v>224</v>
      </c>
      <c r="C552" s="8" t="s">
        <v>225</v>
      </c>
      <c r="D552" s="7" t="s">
        <v>226</v>
      </c>
      <c r="E552" s="9">
        <v>2</v>
      </c>
      <c r="F552" s="10" t="s">
        <v>9</v>
      </c>
      <c r="G552" s="7" t="s">
        <v>11</v>
      </c>
      <c r="H552" s="9" t="str">
        <f t="shared" si="132"/>
        <v>Блок15</v>
      </c>
    </row>
    <row r="553" spans="1:8" ht="27" customHeight="1" x14ac:dyDescent="0.25">
      <c r="A553" s="9" t="str">
        <f t="shared" si="128"/>
        <v>ЩР15</v>
      </c>
      <c r="B553" s="7" t="s">
        <v>227</v>
      </c>
      <c r="C553" s="8" t="s">
        <v>228</v>
      </c>
      <c r="D553" s="7" t="s">
        <v>229</v>
      </c>
      <c r="E553" s="9">
        <v>4</v>
      </c>
      <c r="F553" s="10" t="s">
        <v>9</v>
      </c>
      <c r="G553" s="7" t="s">
        <v>11</v>
      </c>
      <c r="H553" s="9" t="str">
        <f t="shared" si="132"/>
        <v>Блок15</v>
      </c>
    </row>
    <row r="554" spans="1:8" ht="27" customHeight="1" x14ac:dyDescent="0.25">
      <c r="A554" s="9" t="str">
        <f>A552</f>
        <v>ЩР15</v>
      </c>
      <c r="B554" s="7" t="s">
        <v>213</v>
      </c>
      <c r="C554" s="8" t="s">
        <v>214</v>
      </c>
      <c r="D554" s="7" t="s">
        <v>215</v>
      </c>
      <c r="E554" s="9">
        <v>1</v>
      </c>
      <c r="F554" s="10" t="s">
        <v>9</v>
      </c>
      <c r="G554" s="7" t="s">
        <v>11</v>
      </c>
      <c r="H554" s="9" t="str">
        <f>H552</f>
        <v>Блок15</v>
      </c>
    </row>
    <row r="555" spans="1:8" ht="27" customHeight="1" x14ac:dyDescent="0.25">
      <c r="A555" s="7" t="str">
        <f>A544</f>
        <v>ЩР15</v>
      </c>
      <c r="B555" s="7" t="s">
        <v>15</v>
      </c>
      <c r="C555" s="8" t="s">
        <v>15</v>
      </c>
      <c r="D555" s="7" t="s">
        <v>15</v>
      </c>
      <c r="E555" s="7">
        <v>1</v>
      </c>
      <c r="F555" s="7" t="s">
        <v>9</v>
      </c>
      <c r="G555" s="7" t="s">
        <v>15</v>
      </c>
      <c r="H555" s="9" t="str">
        <f>H544</f>
        <v>Блок15</v>
      </c>
    </row>
    <row r="556" spans="1:8" ht="27" customHeight="1" x14ac:dyDescent="0.25">
      <c r="A556" s="5" t="str">
        <f>D556</f>
        <v>ЩЭ-3</v>
      </c>
      <c r="B556" s="3"/>
      <c r="C556" s="4" t="str">
        <f>VLOOKUP(D556,[1]Sayfa2!$A:$F,2,0)</f>
        <v>989-090-0654</v>
      </c>
      <c r="D556" s="3" t="s">
        <v>116</v>
      </c>
      <c r="E556" s="5">
        <v>4</v>
      </c>
      <c r="F556" s="6" t="s">
        <v>6</v>
      </c>
      <c r="G556" s="3" t="s">
        <v>7</v>
      </c>
      <c r="H556" s="5" t="s">
        <v>88</v>
      </c>
    </row>
    <row r="557" spans="1:8" ht="27" customHeight="1" x14ac:dyDescent="0.25">
      <c r="A557" s="9" t="str">
        <f t="shared" ref="A557:A560" si="133">A556</f>
        <v>ЩЭ-3</v>
      </c>
      <c r="B557" s="7" t="s">
        <v>8</v>
      </c>
      <c r="C557" s="8" t="s">
        <v>92</v>
      </c>
      <c r="D557" s="7" t="s">
        <v>118</v>
      </c>
      <c r="E557" s="9">
        <v>1</v>
      </c>
      <c r="F557" s="10" t="s">
        <v>9</v>
      </c>
      <c r="G557" s="7" t="s">
        <v>10</v>
      </c>
      <c r="H557" s="9" t="s">
        <v>88</v>
      </c>
    </row>
    <row r="558" spans="1:8" ht="27" customHeight="1" x14ac:dyDescent="0.25">
      <c r="A558" s="9" t="str">
        <f t="shared" si="133"/>
        <v>ЩЭ-3</v>
      </c>
      <c r="B558" s="7" t="s">
        <v>237</v>
      </c>
      <c r="C558" s="8" t="s">
        <v>137</v>
      </c>
      <c r="D558" s="7" t="s">
        <v>138</v>
      </c>
      <c r="E558" s="9">
        <v>3</v>
      </c>
      <c r="F558" s="10" t="s">
        <v>9</v>
      </c>
      <c r="G558" s="7" t="s">
        <v>158</v>
      </c>
      <c r="H558" s="9" t="s">
        <v>88</v>
      </c>
    </row>
    <row r="559" spans="1:8" ht="27" customHeight="1" x14ac:dyDescent="0.25">
      <c r="A559" s="9" t="str">
        <f t="shared" si="133"/>
        <v>ЩЭ-3</v>
      </c>
      <c r="B559" s="7" t="s">
        <v>12</v>
      </c>
      <c r="C559" s="8" t="s">
        <v>253</v>
      </c>
      <c r="D559" s="7" t="s">
        <v>254</v>
      </c>
      <c r="E559" s="9">
        <v>3</v>
      </c>
      <c r="F559" s="10" t="s">
        <v>9</v>
      </c>
      <c r="G559" s="7" t="s">
        <v>13</v>
      </c>
      <c r="H559" s="9" t="s">
        <v>88</v>
      </c>
    </row>
    <row r="560" spans="1:8" ht="27" customHeight="1" x14ac:dyDescent="0.25">
      <c r="A560" s="7" t="str">
        <f t="shared" si="133"/>
        <v>ЩЭ-3</v>
      </c>
      <c r="B560" s="7" t="s">
        <v>15</v>
      </c>
      <c r="C560" s="8" t="s">
        <v>15</v>
      </c>
      <c r="D560" s="7" t="s">
        <v>15</v>
      </c>
      <c r="E560" s="7">
        <v>1</v>
      </c>
      <c r="F560" s="7" t="s">
        <v>9</v>
      </c>
      <c r="G560" s="7" t="s">
        <v>15</v>
      </c>
      <c r="H560" s="9" t="s">
        <v>88</v>
      </c>
    </row>
    <row r="561" spans="1:8" ht="27" customHeight="1" x14ac:dyDescent="0.25">
      <c r="A561" s="5" t="str">
        <f>D561</f>
        <v>ЩЭ-4</v>
      </c>
      <c r="B561" s="3"/>
      <c r="C561" s="4" t="str">
        <f>VLOOKUP(D561,[1]Sayfa2!$A:$F,2,0)</f>
        <v>989-090-0655</v>
      </c>
      <c r="D561" s="3" t="s">
        <v>117</v>
      </c>
      <c r="E561" s="5">
        <v>72</v>
      </c>
      <c r="F561" s="6" t="s">
        <v>6</v>
      </c>
      <c r="G561" s="3" t="s">
        <v>7</v>
      </c>
      <c r="H561" s="5" t="s">
        <v>88</v>
      </c>
    </row>
    <row r="562" spans="1:8" ht="27" customHeight="1" x14ac:dyDescent="0.25">
      <c r="A562" s="9" t="str">
        <f t="shared" ref="A562:A565" si="134">A561</f>
        <v>ЩЭ-4</v>
      </c>
      <c r="B562" s="7" t="s">
        <v>8</v>
      </c>
      <c r="C562" s="8" t="s">
        <v>92</v>
      </c>
      <c r="D562" s="7" t="s">
        <v>119</v>
      </c>
      <c r="E562" s="9">
        <v>1</v>
      </c>
      <c r="F562" s="10" t="s">
        <v>9</v>
      </c>
      <c r="G562" s="7" t="s">
        <v>10</v>
      </c>
      <c r="H562" s="9" t="s">
        <v>88</v>
      </c>
    </row>
    <row r="563" spans="1:8" ht="27" customHeight="1" x14ac:dyDescent="0.25">
      <c r="A563" s="9" t="str">
        <f t="shared" si="134"/>
        <v>ЩЭ-4</v>
      </c>
      <c r="B563" s="7" t="s">
        <v>237</v>
      </c>
      <c r="C563" s="8" t="s">
        <v>137</v>
      </c>
      <c r="D563" s="7" t="s">
        <v>138</v>
      </c>
      <c r="E563" s="9">
        <v>4</v>
      </c>
      <c r="F563" s="10" t="s">
        <v>9</v>
      </c>
      <c r="G563" s="7" t="s">
        <v>158</v>
      </c>
      <c r="H563" s="9" t="s">
        <v>88</v>
      </c>
    </row>
    <row r="564" spans="1:8" ht="27" customHeight="1" x14ac:dyDescent="0.25">
      <c r="A564" s="9" t="str">
        <f t="shared" si="134"/>
        <v>ЩЭ-4</v>
      </c>
      <c r="B564" s="7" t="s">
        <v>12</v>
      </c>
      <c r="C564" s="8" t="s">
        <v>253</v>
      </c>
      <c r="D564" s="7" t="s">
        <v>254</v>
      </c>
      <c r="E564" s="9">
        <v>4</v>
      </c>
      <c r="F564" s="10" t="s">
        <v>9</v>
      </c>
      <c r="G564" s="7" t="s">
        <v>13</v>
      </c>
      <c r="H564" s="9" t="s">
        <v>88</v>
      </c>
    </row>
    <row r="565" spans="1:8" ht="27" customHeight="1" x14ac:dyDescent="0.25">
      <c r="A565" s="7" t="str">
        <f t="shared" si="134"/>
        <v>ЩЭ-4</v>
      </c>
      <c r="B565" s="7" t="s">
        <v>15</v>
      </c>
      <c r="C565" s="8" t="s">
        <v>15</v>
      </c>
      <c r="D565" s="7" t="s">
        <v>15</v>
      </c>
      <c r="E565" s="7">
        <v>1</v>
      </c>
      <c r="F565" s="7" t="s">
        <v>9</v>
      </c>
      <c r="G565" s="7" t="s">
        <v>15</v>
      </c>
      <c r="H565" s="9" t="s">
        <v>88</v>
      </c>
    </row>
    <row r="566" spans="1:8" ht="27" customHeight="1" x14ac:dyDescent="0.25">
      <c r="A566" s="5" t="str">
        <f>D566</f>
        <v>ЩЭ-6</v>
      </c>
      <c r="B566" s="3"/>
      <c r="C566" s="4" t="str">
        <f>VLOOKUP(D566,[1]Sayfa2!$A:$F,2,0)</f>
        <v>989-090-0656</v>
      </c>
      <c r="D566" s="3" t="s">
        <v>120</v>
      </c>
      <c r="E566" s="5">
        <v>2</v>
      </c>
      <c r="F566" s="6" t="s">
        <v>6</v>
      </c>
      <c r="G566" s="3" t="s">
        <v>7</v>
      </c>
      <c r="H566" s="5" t="s">
        <v>88</v>
      </c>
    </row>
    <row r="567" spans="1:8" ht="27" customHeight="1" x14ac:dyDescent="0.25">
      <c r="A567" s="9" t="str">
        <f t="shared" ref="A567:A570" si="135">A566</f>
        <v>ЩЭ-6</v>
      </c>
      <c r="B567" s="7" t="s">
        <v>8</v>
      </c>
      <c r="C567" s="8" t="s">
        <v>92</v>
      </c>
      <c r="D567" s="7" t="s">
        <v>121</v>
      </c>
      <c r="E567" s="9">
        <v>1</v>
      </c>
      <c r="F567" s="10" t="s">
        <v>9</v>
      </c>
      <c r="G567" s="7" t="s">
        <v>10</v>
      </c>
      <c r="H567" s="9" t="s">
        <v>88</v>
      </c>
    </row>
    <row r="568" spans="1:8" ht="27" customHeight="1" x14ac:dyDescent="0.25">
      <c r="A568" s="9" t="str">
        <f t="shared" si="135"/>
        <v>ЩЭ-6</v>
      </c>
      <c r="B568" s="7" t="s">
        <v>237</v>
      </c>
      <c r="C568" s="8" t="s">
        <v>137</v>
      </c>
      <c r="D568" s="7" t="s">
        <v>138</v>
      </c>
      <c r="E568" s="9">
        <v>6</v>
      </c>
      <c r="F568" s="10" t="s">
        <v>9</v>
      </c>
      <c r="G568" s="7" t="s">
        <v>158</v>
      </c>
      <c r="H568" s="9" t="s">
        <v>88</v>
      </c>
    </row>
    <row r="569" spans="1:8" ht="27" customHeight="1" x14ac:dyDescent="0.25">
      <c r="A569" s="9" t="str">
        <f t="shared" si="135"/>
        <v>ЩЭ-6</v>
      </c>
      <c r="B569" s="7" t="s">
        <v>12</v>
      </c>
      <c r="C569" s="8" t="s">
        <v>253</v>
      </c>
      <c r="D569" s="7" t="s">
        <v>254</v>
      </c>
      <c r="E569" s="9">
        <v>6</v>
      </c>
      <c r="F569" s="10" t="s">
        <v>9</v>
      </c>
      <c r="G569" s="7" t="s">
        <v>13</v>
      </c>
      <c r="H569" s="9" t="s">
        <v>88</v>
      </c>
    </row>
    <row r="570" spans="1:8" ht="27" customHeight="1" x14ac:dyDescent="0.25">
      <c r="A570" s="7" t="str">
        <f t="shared" si="135"/>
        <v>ЩЭ-6</v>
      </c>
      <c r="B570" s="7" t="s">
        <v>15</v>
      </c>
      <c r="C570" s="8" t="s">
        <v>15</v>
      </c>
      <c r="D570" s="7" t="s">
        <v>15</v>
      </c>
      <c r="E570" s="7">
        <v>1</v>
      </c>
      <c r="F570" s="7" t="s">
        <v>9</v>
      </c>
      <c r="G570" s="7" t="s">
        <v>15</v>
      </c>
      <c r="H570" s="9" t="s">
        <v>88</v>
      </c>
    </row>
    <row r="571" spans="1:8" ht="27" customHeight="1" x14ac:dyDescent="0.25">
      <c r="A571" s="5" t="str">
        <f>D571</f>
        <v>ЩЭ-7</v>
      </c>
      <c r="B571" s="3"/>
      <c r="C571" s="4" t="str">
        <f>VLOOKUP(D571,[1]Sayfa2!$A:$F,2,0)</f>
        <v>989-090-0657</v>
      </c>
      <c r="D571" s="3" t="s">
        <v>122</v>
      </c>
      <c r="E571" s="5">
        <v>18</v>
      </c>
      <c r="F571" s="6" t="s">
        <v>6</v>
      </c>
      <c r="G571" s="3" t="s">
        <v>7</v>
      </c>
      <c r="H571" s="5" t="s">
        <v>88</v>
      </c>
    </row>
    <row r="572" spans="1:8" ht="27" customHeight="1" x14ac:dyDescent="0.25">
      <c r="A572" s="9" t="str">
        <f t="shared" ref="A572:A575" si="136">A571</f>
        <v>ЩЭ-7</v>
      </c>
      <c r="B572" s="7" t="s">
        <v>8</v>
      </c>
      <c r="C572" s="8" t="s">
        <v>92</v>
      </c>
      <c r="D572" s="7" t="s">
        <v>121</v>
      </c>
      <c r="E572" s="9">
        <v>1</v>
      </c>
      <c r="F572" s="10" t="s">
        <v>9</v>
      </c>
      <c r="G572" s="7" t="s">
        <v>10</v>
      </c>
      <c r="H572" s="9" t="s">
        <v>88</v>
      </c>
    </row>
    <row r="573" spans="1:8" ht="27" customHeight="1" x14ac:dyDescent="0.25">
      <c r="A573" s="9" t="str">
        <f t="shared" si="136"/>
        <v>ЩЭ-7</v>
      </c>
      <c r="B573" s="7" t="s">
        <v>237</v>
      </c>
      <c r="C573" s="8" t="s">
        <v>137</v>
      </c>
      <c r="D573" s="7" t="s">
        <v>138</v>
      </c>
      <c r="E573" s="9">
        <v>7</v>
      </c>
      <c r="F573" s="10" t="s">
        <v>9</v>
      </c>
      <c r="G573" s="7" t="s">
        <v>158</v>
      </c>
      <c r="H573" s="9" t="s">
        <v>88</v>
      </c>
    </row>
    <row r="574" spans="1:8" ht="27" customHeight="1" x14ac:dyDescent="0.25">
      <c r="A574" s="9" t="str">
        <f t="shared" si="136"/>
        <v>ЩЭ-7</v>
      </c>
      <c r="B574" s="7" t="s">
        <v>12</v>
      </c>
      <c r="C574" s="8" t="s">
        <v>253</v>
      </c>
      <c r="D574" s="7" t="s">
        <v>254</v>
      </c>
      <c r="E574" s="9">
        <v>7</v>
      </c>
      <c r="F574" s="10" t="s">
        <v>9</v>
      </c>
      <c r="G574" s="7" t="s">
        <v>13</v>
      </c>
      <c r="H574" s="9" t="s">
        <v>88</v>
      </c>
    </row>
    <row r="575" spans="1:8" ht="27" customHeight="1" x14ac:dyDescent="0.25">
      <c r="A575" s="7" t="str">
        <f t="shared" si="136"/>
        <v>ЩЭ-7</v>
      </c>
      <c r="B575" s="7" t="s">
        <v>15</v>
      </c>
      <c r="C575" s="8" t="s">
        <v>15</v>
      </c>
      <c r="D575" s="7" t="s">
        <v>15</v>
      </c>
      <c r="E575" s="7">
        <v>1</v>
      </c>
      <c r="F575" s="7" t="s">
        <v>9</v>
      </c>
      <c r="G575" s="7" t="s">
        <v>15</v>
      </c>
      <c r="H575" s="9" t="s">
        <v>88</v>
      </c>
    </row>
  </sheetData>
  <autoFilter ref="A1:H575" xr:uid="{199731C4-AB2C-4A56-A62C-451163DDF05F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teksan salt ile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2026-06-30T07:52:44Z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