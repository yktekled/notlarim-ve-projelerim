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30 germes ALM BTA\"/>
    </mc:Choice>
  </mc:AlternateContent>
  <xr:revisionPtr revIDLastSave="0" documentId="13_ncr:1_{557A14C4-C5BD-4097-B0A5-6ED13526FA4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4" i="2" l="1"/>
  <c r="F34" i="2"/>
  <c r="H33" i="2"/>
  <c r="G31" i="2"/>
  <c r="H31" i="2" s="1"/>
  <c r="G30" i="2"/>
  <c r="H30" i="2" s="1"/>
  <c r="H29" i="2"/>
  <c r="H27" i="2"/>
  <c r="F27" i="2"/>
  <c r="H26" i="2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7" i="2"/>
  <c r="H17" i="2" s="1"/>
  <c r="G16" i="2"/>
  <c r="H16" i="2" s="1"/>
  <c r="G15" i="2"/>
  <c r="H15" i="2" s="1"/>
  <c r="H14" i="2"/>
  <c r="G14" i="2"/>
  <c r="H13" i="2"/>
  <c r="G13" i="2"/>
  <c r="G12" i="2"/>
  <c r="H12" i="2" s="1"/>
  <c r="G11" i="2"/>
  <c r="H11" i="2" s="1"/>
  <c r="G10" i="2"/>
  <c r="H10" i="2" s="1"/>
  <c r="H9" i="2"/>
  <c r="G8" i="2"/>
  <c r="H8" i="2" s="1"/>
  <c r="G7" i="2"/>
  <c r="H7" i="2" s="1"/>
  <c r="H6" i="2"/>
  <c r="H36" i="2" l="1"/>
</calcChain>
</file>

<file path=xl/sharedStrings.xml><?xml version="1.0" encoding="utf-8"?>
<sst xmlns="http://schemas.openxmlformats.org/spreadsheetml/2006/main" count="169" uniqueCount="70">
  <si>
    <t>korpus</t>
  </si>
  <si>
    <t xml:space="preserve"> ШТ. </t>
  </si>
  <si>
    <t>teksan f</t>
  </si>
  <si>
    <t>oto</t>
  </si>
  <si>
    <t>dif</t>
  </si>
  <si>
    <t>perekluchatel</t>
  </si>
  <si>
    <t>монтажный материал</t>
  </si>
  <si>
    <t>монтажная работа</t>
  </si>
  <si>
    <t>Panel</t>
  </si>
  <si>
    <t>Malzeme Tipi</t>
  </si>
  <si>
    <t>D Kodu</t>
  </si>
  <si>
    <t>ABB Artikül</t>
  </si>
  <si>
    <t>Ürün Adı</t>
  </si>
  <si>
    <t>ABB Liste Fiyatı (EUR)</t>
  </si>
  <si>
    <t>Hesaplanan Fiyat (KZT)</t>
  </si>
  <si>
    <t>Toplam (KZT)</t>
  </si>
  <si>
    <t>Miktar</t>
  </si>
  <si>
    <t>Birim</t>
  </si>
  <si>
    <t>Üretici</t>
  </si>
  <si>
    <t>Fiyat Hesaplama: KZT = EUR Liste Fiyatı × 0.33 (indirim) × 1.30 (yol+gümrük) × EUR/KZT kuru | Kur: ayrı hücrede girilecek</t>
  </si>
  <si>
    <t>EUR/KZT Kuru:</t>
  </si>
  <si>
    <t>(Güncel kuru giriniz)</t>
  </si>
  <si>
    <t>DCBP-N PANEL</t>
  </si>
  <si>
    <t>mccb</t>
  </si>
  <si>
    <t>1SDA066719R1</t>
  </si>
  <si>
    <t>A1C 125, TMF, In=100A</t>
  </si>
  <si>
    <t>ABB</t>
  </si>
  <si>
    <t>rascepitel</t>
  </si>
  <si>
    <t>1SDA066720R1</t>
  </si>
  <si>
    <t>SOR-C 220-240V AC/220-250V DC</t>
  </si>
  <si>
    <t>tt</t>
  </si>
  <si>
    <t>Трансформатор тока Т-66 100/5А</t>
  </si>
  <si>
    <t>pys</t>
  </si>
  <si>
    <t>2CSA255901R9164</t>
  </si>
  <si>
    <t xml:space="preserve">dif 2P S-ARC1 C16 
</t>
  </si>
  <si>
    <t>2CSA255901R9254</t>
  </si>
  <si>
    <t>Дифф. Авт. Выкл S-ARC1 C25</t>
  </si>
  <si>
    <t>2CSR256040R1254</t>
  </si>
  <si>
    <t>Dif 4p DS203NC C25 AC30</t>
  </si>
  <si>
    <t>2CDS251001R0105</t>
  </si>
  <si>
    <t>oto 1p S 201-B 10</t>
  </si>
  <si>
    <t>2CDS251001R0065</t>
  </si>
  <si>
    <t>oto 1p S 201-B 6</t>
  </si>
  <si>
    <t>2CDS253001R0254</t>
  </si>
  <si>
    <t>oto 3p S 203-C 25</t>
  </si>
  <si>
    <t>mcb</t>
  </si>
  <si>
    <t>2CDS251001R0024</t>
  </si>
  <si>
    <t>S201-C2  1P C2A 6kA (KS 1x2A yerine)</t>
  </si>
  <si>
    <t>ШТ.</t>
  </si>
  <si>
    <t>2CDS253001R0024</t>
  </si>
  <si>
    <t>S203-C2  3P C2A 6kA (KS 3x2A yerine)</t>
  </si>
  <si>
    <t>multimetr</t>
  </si>
  <si>
    <t>2CSG251141R4051</t>
  </si>
  <si>
    <t>M4M 20 Modbus</t>
  </si>
  <si>
    <t>contactor</t>
  </si>
  <si>
    <t>1SBL237001R1300</t>
  </si>
  <si>
    <t>Трехполюсный контактор AF26-30-00 25А</t>
  </si>
  <si>
    <t>1SBL137001R1310</t>
  </si>
  <si>
    <t>Контактор 9А
AF09-30-10  35,76</t>
  </si>
  <si>
    <t>1SCA104848R1001-B</t>
  </si>
  <si>
    <t>Переключатель кулачковый 16А  OT16FT3HY3ST1</t>
  </si>
  <si>
    <t>button</t>
  </si>
  <si>
    <t>1SFA611520R1001</t>
  </si>
  <si>
    <t>Аварийная кнопка MPET3-10R</t>
  </si>
  <si>
    <t>1SFA611605R1100</t>
  </si>
  <si>
    <t>Держатель контактов MCBH-00</t>
  </si>
  <si>
    <t>1SFA611610R1010</t>
  </si>
  <si>
    <t>Блок контактов MCB-01</t>
  </si>
  <si>
    <t>DCBP-UPS</t>
  </si>
  <si>
    <t>PANEL TOPLAMI: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</si>
</sst>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KZT&quot;"/>
    <numFmt numFmtId="165" formatCode="#,##0.00&quot; EUR&quot;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i/>
      <sz val="8"/>
      <color rgb="FF555555"/>
      <name val="Arial"/>
      <family val="2"/>
      <charset val="204"/>
    </font>
    <font>
      <b/>
      <sz val="9"/>
      <name val="Arial"/>
      <family val="2"/>
      <charset val="204"/>
    </font>
    <font>
      <b/>
      <sz val="10"/>
      <color rgb="FFFF0000"/>
      <name val="Arial"/>
      <family val="2"/>
      <charset val="204"/>
    </font>
    <font>
      <i/>
      <sz val="8"/>
      <color rgb="FF888888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9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EFF"/>
        <bgColor rgb="FFCCFFFF"/>
      </patternFill>
    </fill>
    <fill>
      <patternFill patternType="solid">
        <fgColor rgb="FFDDFFDD"/>
        <bgColor rgb="FFCCFFFF"/>
      </patternFill>
    </fill>
    <fill>
      <patternFill patternType="solid">
        <fgColor rgb="FFFFE0B2"/>
        <bgColor rgb="FFFFFF99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4" fontId="10" fillId="7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D7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abSelected="1" zoomScaleNormal="100" workbookViewId="0">
      <selection activeCell="B4" sqref="B4"/>
    </sheetView>
  </sheetViews>
  <sheetFormatPr defaultColWidth="8.7109375" defaultRowHeight="15" x14ac:dyDescent="0.25"/>
  <cols>
    <col min="1" max="1" width="25" customWidth="1"/>
    <col min="2" max="2" width="18" customWidth="1"/>
    <col min="3" max="3" width="14" customWidth="1"/>
    <col min="4" max="4" width="22" customWidth="1"/>
    <col min="5" max="5" width="45" customWidth="1"/>
    <col min="6" max="8" width="22" customWidth="1"/>
    <col min="9" max="9" width="10" customWidth="1"/>
    <col min="10" max="10" width="8" customWidth="1"/>
    <col min="11" max="11" width="12" customWidth="1"/>
  </cols>
  <sheetData>
    <row r="1" spans="1:11" ht="30" customHeigh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19.5" customHeight="1" x14ac:dyDescent="0.25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 x14ac:dyDescent="0.25">
      <c r="A3" s="4" t="s">
        <v>20</v>
      </c>
      <c r="B3" s="5">
        <v>560</v>
      </c>
      <c r="C3" s="6" t="s">
        <v>21</v>
      </c>
    </row>
    <row r="5" spans="1:11" ht="21.75" customHeight="1" x14ac:dyDescent="0.25">
      <c r="A5" s="1" t="s">
        <v>22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.75" customHeight="1" x14ac:dyDescent="0.25">
      <c r="A6" s="7" t="s">
        <v>22</v>
      </c>
      <c r="B6" s="7" t="s">
        <v>0</v>
      </c>
      <c r="C6" s="8"/>
      <c r="D6" s="7"/>
      <c r="E6" s="7"/>
      <c r="F6" s="9"/>
      <c r="G6" s="10">
        <v>0</v>
      </c>
      <c r="H6" s="10">
        <f t="shared" ref="H6:H17" si="0">G6*I6</f>
        <v>0</v>
      </c>
      <c r="I6" s="11">
        <v>1</v>
      </c>
      <c r="J6" s="8" t="s">
        <v>1</v>
      </c>
      <c r="K6" s="8" t="s">
        <v>2</v>
      </c>
    </row>
    <row r="7" spans="1:11" ht="15.75" customHeight="1" x14ac:dyDescent="0.25">
      <c r="A7" s="7" t="s">
        <v>22</v>
      </c>
      <c r="B7" s="7" t="s">
        <v>23</v>
      </c>
      <c r="C7" s="8"/>
      <c r="D7" s="7" t="s">
        <v>24</v>
      </c>
      <c r="E7" s="7" t="s">
        <v>25</v>
      </c>
      <c r="F7" s="12">
        <v>153.6</v>
      </c>
      <c r="G7" s="13">
        <f>F7*0.33*1.3*$B$3</f>
        <v>36900.864000000001</v>
      </c>
      <c r="H7" s="14">
        <f t="shared" si="0"/>
        <v>36900.864000000001</v>
      </c>
      <c r="I7" s="11">
        <v>1</v>
      </c>
      <c r="J7" s="8" t="s">
        <v>1</v>
      </c>
      <c r="K7" s="8" t="s">
        <v>26</v>
      </c>
    </row>
    <row r="8" spans="1:11" ht="15.75" customHeight="1" x14ac:dyDescent="0.25">
      <c r="A8" s="7" t="s">
        <v>22</v>
      </c>
      <c r="B8" s="7" t="s">
        <v>27</v>
      </c>
      <c r="C8" s="8"/>
      <c r="D8" s="7" t="s">
        <v>28</v>
      </c>
      <c r="E8" s="7" t="s">
        <v>29</v>
      </c>
      <c r="F8" s="12">
        <v>164.5</v>
      </c>
      <c r="G8" s="13">
        <f>F8*0.33*1.3*$B$3</f>
        <v>39519.480000000003</v>
      </c>
      <c r="H8" s="14">
        <f t="shared" si="0"/>
        <v>39519.480000000003</v>
      </c>
      <c r="I8" s="11">
        <v>1</v>
      </c>
      <c r="J8" s="8" t="s">
        <v>1</v>
      </c>
      <c r="K8" s="8" t="s">
        <v>26</v>
      </c>
    </row>
    <row r="9" spans="1:11" ht="15.75" customHeight="1" x14ac:dyDescent="0.25">
      <c r="A9" s="7" t="s">
        <v>22</v>
      </c>
      <c r="B9" s="7" t="s">
        <v>30</v>
      </c>
      <c r="C9" s="8"/>
      <c r="D9" s="7"/>
      <c r="E9" s="7" t="s">
        <v>31</v>
      </c>
      <c r="F9" s="9"/>
      <c r="G9" s="10">
        <v>0</v>
      </c>
      <c r="H9" s="10">
        <f t="shared" si="0"/>
        <v>0</v>
      </c>
      <c r="I9" s="11">
        <v>3</v>
      </c>
      <c r="J9" s="8" t="s">
        <v>1</v>
      </c>
      <c r="K9" s="8" t="s">
        <v>32</v>
      </c>
    </row>
    <row r="10" spans="1:11" ht="15.75" customHeight="1" x14ac:dyDescent="0.25">
      <c r="A10" s="7" t="s">
        <v>22</v>
      </c>
      <c r="B10" s="7" t="s">
        <v>4</v>
      </c>
      <c r="C10" s="8"/>
      <c r="D10" s="7" t="s">
        <v>33</v>
      </c>
      <c r="E10" s="7" t="s">
        <v>34</v>
      </c>
      <c r="F10" s="12">
        <v>268.89999999999998</v>
      </c>
      <c r="G10" s="13">
        <f t="shared" ref="G10:G17" si="1">F10*0.33*1.3*$B$3</f>
        <v>64600.535999999993</v>
      </c>
      <c r="H10" s="14">
        <f t="shared" si="0"/>
        <v>2519420.9039999996</v>
      </c>
      <c r="I10" s="11">
        <v>39</v>
      </c>
      <c r="J10" s="8" t="s">
        <v>1</v>
      </c>
      <c r="K10" s="8" t="s">
        <v>26</v>
      </c>
    </row>
    <row r="11" spans="1:11" ht="15.75" customHeight="1" x14ac:dyDescent="0.25">
      <c r="A11" s="7" t="s">
        <v>22</v>
      </c>
      <c r="B11" s="7" t="s">
        <v>4</v>
      </c>
      <c r="C11" s="8"/>
      <c r="D11" s="7" t="s">
        <v>35</v>
      </c>
      <c r="E11" s="7" t="s">
        <v>36</v>
      </c>
      <c r="F11" s="12">
        <v>268.89999999999998</v>
      </c>
      <c r="G11" s="13">
        <f t="shared" si="1"/>
        <v>64600.535999999993</v>
      </c>
      <c r="H11" s="14">
        <f t="shared" si="0"/>
        <v>258402.14399999997</v>
      </c>
      <c r="I11" s="11">
        <v>4</v>
      </c>
      <c r="J11" s="8" t="s">
        <v>1</v>
      </c>
      <c r="K11" s="8" t="s">
        <v>26</v>
      </c>
    </row>
    <row r="12" spans="1:11" ht="15.75" customHeight="1" x14ac:dyDescent="0.25">
      <c r="A12" s="7" t="s">
        <v>22</v>
      </c>
      <c r="B12" s="7" t="s">
        <v>4</v>
      </c>
      <c r="C12" s="8"/>
      <c r="D12" s="7" t="s">
        <v>37</v>
      </c>
      <c r="E12" s="7" t="s">
        <v>38</v>
      </c>
      <c r="F12" s="12">
        <v>292</v>
      </c>
      <c r="G12" s="13">
        <f t="shared" si="1"/>
        <v>70150.080000000002</v>
      </c>
      <c r="H12" s="14">
        <f t="shared" si="0"/>
        <v>210450.24</v>
      </c>
      <c r="I12" s="11">
        <v>3</v>
      </c>
      <c r="J12" s="8" t="s">
        <v>1</v>
      </c>
      <c r="K12" s="8" t="s">
        <v>26</v>
      </c>
    </row>
    <row r="13" spans="1:11" ht="15.75" customHeight="1" x14ac:dyDescent="0.25">
      <c r="A13" s="7" t="s">
        <v>22</v>
      </c>
      <c r="B13" s="7" t="s">
        <v>3</v>
      </c>
      <c r="C13" s="8"/>
      <c r="D13" s="7" t="s">
        <v>39</v>
      </c>
      <c r="E13" s="7" t="s">
        <v>40</v>
      </c>
      <c r="F13" s="12">
        <v>9.7799999999999994</v>
      </c>
      <c r="G13" s="13">
        <f t="shared" si="1"/>
        <v>2349.5472</v>
      </c>
      <c r="H13" s="14">
        <f t="shared" si="0"/>
        <v>37592.7552</v>
      </c>
      <c r="I13" s="11">
        <v>16</v>
      </c>
      <c r="J13" s="8" t="s">
        <v>1</v>
      </c>
      <c r="K13" s="8" t="s">
        <v>26</v>
      </c>
    </row>
    <row r="14" spans="1:11" ht="15.75" customHeight="1" x14ac:dyDescent="0.25">
      <c r="A14" s="7" t="s">
        <v>22</v>
      </c>
      <c r="B14" s="7" t="s">
        <v>3</v>
      </c>
      <c r="C14" s="8"/>
      <c r="D14" s="7" t="s">
        <v>41</v>
      </c>
      <c r="E14" s="7" t="s">
        <v>42</v>
      </c>
      <c r="F14" s="12">
        <v>11.74</v>
      </c>
      <c r="G14" s="13">
        <f t="shared" si="1"/>
        <v>2820.4175999999998</v>
      </c>
      <c r="H14" s="14">
        <f t="shared" si="0"/>
        <v>5640.8351999999995</v>
      </c>
      <c r="I14" s="11">
        <v>2</v>
      </c>
      <c r="J14" s="8" t="s">
        <v>1</v>
      </c>
      <c r="K14" s="8" t="s">
        <v>26</v>
      </c>
    </row>
    <row r="15" spans="1:11" ht="15.75" customHeight="1" x14ac:dyDescent="0.25">
      <c r="A15" s="7" t="s">
        <v>22</v>
      </c>
      <c r="B15" s="7" t="s">
        <v>3</v>
      </c>
      <c r="C15" s="8"/>
      <c r="D15" s="7" t="s">
        <v>43</v>
      </c>
      <c r="E15" s="7" t="s">
        <v>44</v>
      </c>
      <c r="F15" s="12">
        <v>48.51</v>
      </c>
      <c r="G15" s="13">
        <f t="shared" si="1"/>
        <v>11654.042399999998</v>
      </c>
      <c r="H15" s="14">
        <f t="shared" si="0"/>
        <v>11654.042399999998</v>
      </c>
      <c r="I15" s="11">
        <v>1</v>
      </c>
      <c r="J15" s="8" t="s">
        <v>1</v>
      </c>
      <c r="K15" s="8" t="s">
        <v>26</v>
      </c>
    </row>
    <row r="16" spans="1:11" ht="15.75" customHeight="1" x14ac:dyDescent="0.25">
      <c r="A16" s="7" t="s">
        <v>22</v>
      </c>
      <c r="B16" s="7" t="s">
        <v>45</v>
      </c>
      <c r="C16" s="15"/>
      <c r="D16" s="7" t="s">
        <v>46</v>
      </c>
      <c r="E16" s="7" t="s">
        <v>47</v>
      </c>
      <c r="F16" s="16">
        <v>14.53</v>
      </c>
      <c r="G16" s="17">
        <f t="shared" si="1"/>
        <v>3490.6872000000003</v>
      </c>
      <c r="H16" s="18">
        <f t="shared" si="0"/>
        <v>10472.061600000001</v>
      </c>
      <c r="I16" s="19">
        <v>3</v>
      </c>
      <c r="J16" s="15" t="s">
        <v>48</v>
      </c>
      <c r="K16" s="15" t="s">
        <v>26</v>
      </c>
    </row>
    <row r="17" spans="1:11" ht="15.75" customHeight="1" x14ac:dyDescent="0.25">
      <c r="A17" s="7" t="s">
        <v>22</v>
      </c>
      <c r="B17" s="7" t="s">
        <v>45</v>
      </c>
      <c r="C17" s="15"/>
      <c r="D17" s="7" t="s">
        <v>49</v>
      </c>
      <c r="E17" s="7" t="s">
        <v>50</v>
      </c>
      <c r="F17" s="16">
        <v>65.41</v>
      </c>
      <c r="G17" s="17">
        <f t="shared" si="1"/>
        <v>15714.098400000001</v>
      </c>
      <c r="H17" s="18">
        <f t="shared" si="0"/>
        <v>15714.098400000001</v>
      </c>
      <c r="I17" s="19">
        <v>1</v>
      </c>
      <c r="J17" s="15" t="s">
        <v>48</v>
      </c>
      <c r="K17" s="15" t="s">
        <v>26</v>
      </c>
    </row>
    <row r="18" spans="1:11" ht="15.75" customHeight="1" x14ac:dyDescent="0.25">
      <c r="A18" s="7"/>
      <c r="B18" s="7"/>
      <c r="C18" s="8"/>
      <c r="D18" s="7"/>
      <c r="E18" s="7"/>
      <c r="F18" s="20"/>
      <c r="G18" s="10"/>
      <c r="H18" s="10"/>
      <c r="I18" s="11"/>
      <c r="J18" s="8"/>
      <c r="K18" s="8"/>
    </row>
    <row r="19" spans="1:11" ht="15.75" customHeight="1" x14ac:dyDescent="0.25">
      <c r="A19" s="7" t="s">
        <v>22</v>
      </c>
      <c r="B19" s="7" t="s">
        <v>51</v>
      </c>
      <c r="C19" s="8"/>
      <c r="D19" s="7" t="s">
        <v>52</v>
      </c>
      <c r="E19" s="7" t="s">
        <v>53</v>
      </c>
      <c r="F19" s="12">
        <v>779.8</v>
      </c>
      <c r="G19" s="13">
        <f t="shared" ref="G19:G25" si="2">F19*0.33*1.3*$B$3</f>
        <v>187339.152</v>
      </c>
      <c r="H19" s="14">
        <f t="shared" ref="H19:H27" si="3">G19*I19</f>
        <v>187339.152</v>
      </c>
      <c r="I19" s="11">
        <v>1</v>
      </c>
      <c r="J19" s="8" t="s">
        <v>1</v>
      </c>
      <c r="K19" s="8" t="s">
        <v>26</v>
      </c>
    </row>
    <row r="20" spans="1:11" ht="15.75" customHeight="1" x14ac:dyDescent="0.25">
      <c r="A20" s="7" t="s">
        <v>22</v>
      </c>
      <c r="B20" s="7" t="s">
        <v>54</v>
      </c>
      <c r="C20" s="8"/>
      <c r="D20" s="7" t="s">
        <v>55</v>
      </c>
      <c r="E20" s="7" t="s">
        <v>56</v>
      </c>
      <c r="F20" s="12">
        <v>59.16</v>
      </c>
      <c r="G20" s="13">
        <f t="shared" si="2"/>
        <v>14212.598400000001</v>
      </c>
      <c r="H20" s="14">
        <f t="shared" si="3"/>
        <v>14212.598400000001</v>
      </c>
      <c r="I20" s="11">
        <v>1</v>
      </c>
      <c r="J20" s="8" t="s">
        <v>1</v>
      </c>
      <c r="K20" s="8" t="s">
        <v>26</v>
      </c>
    </row>
    <row r="21" spans="1:11" ht="15.75" customHeight="1" x14ac:dyDescent="0.25">
      <c r="A21" s="7" t="s">
        <v>22</v>
      </c>
      <c r="B21" s="7" t="s">
        <v>54</v>
      </c>
      <c r="C21" s="8"/>
      <c r="D21" s="7" t="s">
        <v>57</v>
      </c>
      <c r="E21" s="7" t="s">
        <v>58</v>
      </c>
      <c r="F21" s="12">
        <v>37.909999999999997</v>
      </c>
      <c r="G21" s="13">
        <f t="shared" si="2"/>
        <v>9107.4984000000004</v>
      </c>
      <c r="H21" s="14">
        <f t="shared" si="3"/>
        <v>81967.4856</v>
      </c>
      <c r="I21" s="11">
        <v>9</v>
      </c>
      <c r="J21" s="8" t="s">
        <v>1</v>
      </c>
      <c r="K21" s="8" t="s">
        <v>26</v>
      </c>
    </row>
    <row r="22" spans="1:11" ht="15.75" customHeight="1" x14ac:dyDescent="0.25">
      <c r="A22" s="7" t="s">
        <v>22</v>
      </c>
      <c r="B22" s="7" t="s">
        <v>5</v>
      </c>
      <c r="C22" s="8"/>
      <c r="D22" s="7" t="s">
        <v>59</v>
      </c>
      <c r="E22" s="7" t="s">
        <v>60</v>
      </c>
      <c r="F22" s="12">
        <v>36.090000000000003</v>
      </c>
      <c r="G22" s="13">
        <f t="shared" si="2"/>
        <v>8670.2615999999998</v>
      </c>
      <c r="H22" s="14">
        <f t="shared" si="3"/>
        <v>86702.615999999995</v>
      </c>
      <c r="I22" s="11">
        <v>10</v>
      </c>
      <c r="J22" s="8" t="s">
        <v>1</v>
      </c>
      <c r="K22" s="8" t="s">
        <v>26</v>
      </c>
    </row>
    <row r="23" spans="1:11" ht="15.75" customHeight="1" x14ac:dyDescent="0.25">
      <c r="A23" s="7" t="s">
        <v>22</v>
      </c>
      <c r="B23" s="7" t="s">
        <v>61</v>
      </c>
      <c r="C23" s="8"/>
      <c r="D23" s="7" t="s">
        <v>62</v>
      </c>
      <c r="E23" s="7" t="s">
        <v>63</v>
      </c>
      <c r="F23" s="12">
        <v>16.27</v>
      </c>
      <c r="G23" s="13">
        <f t="shared" si="2"/>
        <v>3908.7048000000004</v>
      </c>
      <c r="H23" s="14">
        <f t="shared" si="3"/>
        <v>3908.7048000000004</v>
      </c>
      <c r="I23" s="11">
        <v>1</v>
      </c>
      <c r="J23" s="8" t="s">
        <v>1</v>
      </c>
      <c r="K23" s="8" t="s">
        <v>26</v>
      </c>
    </row>
    <row r="24" spans="1:11" ht="15.75" customHeight="1" x14ac:dyDescent="0.25">
      <c r="A24" s="7" t="s">
        <v>22</v>
      </c>
      <c r="B24" s="7" t="s">
        <v>61</v>
      </c>
      <c r="C24" s="8"/>
      <c r="D24" s="7" t="s">
        <v>64</v>
      </c>
      <c r="E24" s="7" t="s">
        <v>65</v>
      </c>
      <c r="F24" s="12">
        <v>1.1399999999999999</v>
      </c>
      <c r="G24" s="13">
        <f t="shared" si="2"/>
        <v>273.87360000000001</v>
      </c>
      <c r="H24" s="14">
        <f t="shared" si="3"/>
        <v>273.87360000000001</v>
      </c>
      <c r="I24" s="11">
        <v>1</v>
      </c>
      <c r="J24" s="8" t="s">
        <v>1</v>
      </c>
      <c r="K24" s="8" t="s">
        <v>26</v>
      </c>
    </row>
    <row r="25" spans="1:11" ht="15.75" customHeight="1" x14ac:dyDescent="0.25">
      <c r="A25" s="7" t="s">
        <v>22</v>
      </c>
      <c r="B25" s="7" t="s">
        <v>61</v>
      </c>
      <c r="C25" s="8"/>
      <c r="D25" s="7" t="s">
        <v>66</v>
      </c>
      <c r="E25" s="7" t="s">
        <v>67</v>
      </c>
      <c r="F25" s="12">
        <v>4.5999999999999996</v>
      </c>
      <c r="G25" s="13">
        <f t="shared" si="2"/>
        <v>1105.104</v>
      </c>
      <c r="H25" s="14">
        <f t="shared" si="3"/>
        <v>1105.104</v>
      </c>
      <c r="I25" s="11">
        <v>1</v>
      </c>
      <c r="J25" s="8" t="s">
        <v>1</v>
      </c>
      <c r="K25" s="8" t="s">
        <v>26</v>
      </c>
    </row>
    <row r="26" spans="1:11" ht="15.75" customHeight="1" x14ac:dyDescent="0.25">
      <c r="A26" s="7" t="s">
        <v>22</v>
      </c>
      <c r="B26" s="7" t="s">
        <v>6</v>
      </c>
      <c r="C26" s="8"/>
      <c r="D26" s="7" t="s">
        <v>6</v>
      </c>
      <c r="E26" s="7" t="s">
        <v>6</v>
      </c>
      <c r="F26" s="9"/>
      <c r="G26" s="10">
        <v>0</v>
      </c>
      <c r="H26" s="10">
        <f t="shared" si="3"/>
        <v>0</v>
      </c>
      <c r="I26" s="11">
        <v>0</v>
      </c>
      <c r="J26" s="8" t="s">
        <v>1</v>
      </c>
      <c r="K26" s="8" t="s">
        <v>6</v>
      </c>
    </row>
    <row r="27" spans="1:11" ht="15.75" customHeight="1" x14ac:dyDescent="0.25">
      <c r="A27" s="7" t="s">
        <v>22</v>
      </c>
      <c r="B27" s="7" t="s">
        <v>7</v>
      </c>
      <c r="C27" s="8"/>
      <c r="D27" s="7" t="s">
        <v>7</v>
      </c>
      <c r="E27" s="7" t="s">
        <v>7</v>
      </c>
      <c r="F27" s="9">
        <f>I24/60</f>
        <v>1.6666666666666666E-2</v>
      </c>
      <c r="G27" s="10">
        <v>0</v>
      </c>
      <c r="H27" s="10">
        <f t="shared" si="3"/>
        <v>0</v>
      </c>
      <c r="I27" s="11">
        <v>0</v>
      </c>
      <c r="J27" s="8" t="s">
        <v>1</v>
      </c>
      <c r="K27" s="8" t="s">
        <v>7</v>
      </c>
    </row>
    <row r="28" spans="1:11" ht="21.75" customHeight="1" x14ac:dyDescent="0.25">
      <c r="A28" s="1" t="s">
        <v>68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customHeight="1" x14ac:dyDescent="0.25">
      <c r="A29" s="7" t="s">
        <v>68</v>
      </c>
      <c r="B29" s="7" t="s">
        <v>0</v>
      </c>
      <c r="C29" s="8"/>
      <c r="D29" s="7"/>
      <c r="E29" s="7" t="s">
        <v>68</v>
      </c>
      <c r="F29" s="9"/>
      <c r="G29" s="10">
        <v>0</v>
      </c>
      <c r="H29" s="10">
        <f>G29*I29</f>
        <v>0</v>
      </c>
      <c r="I29" s="11">
        <v>1</v>
      </c>
      <c r="J29" s="8" t="s">
        <v>1</v>
      </c>
      <c r="K29" s="8" t="s">
        <v>2</v>
      </c>
    </row>
    <row r="30" spans="1:11" ht="15.75" customHeight="1" x14ac:dyDescent="0.25">
      <c r="A30" s="7" t="s">
        <v>68</v>
      </c>
      <c r="B30" s="7" t="s">
        <v>4</v>
      </c>
      <c r="C30" s="8"/>
      <c r="D30" s="7" t="s">
        <v>33</v>
      </c>
      <c r="E30" s="7" t="s">
        <v>34</v>
      </c>
      <c r="F30" s="12">
        <v>268.89999999999998</v>
      </c>
      <c r="G30" s="13">
        <f>F30*0.33*1.3*$B$3</f>
        <v>64600.535999999993</v>
      </c>
      <c r="H30" s="14">
        <f>G30*I30</f>
        <v>581404.82399999991</v>
      </c>
      <c r="I30" s="11">
        <v>9</v>
      </c>
      <c r="J30" s="8" t="s">
        <v>1</v>
      </c>
      <c r="K30" s="8" t="s">
        <v>26</v>
      </c>
    </row>
    <row r="31" spans="1:11" ht="15.75" customHeight="1" x14ac:dyDescent="0.25">
      <c r="A31" s="7" t="s">
        <v>68</v>
      </c>
      <c r="B31" s="7" t="s">
        <v>45</v>
      </c>
      <c r="C31" s="15"/>
      <c r="D31" s="7" t="s">
        <v>46</v>
      </c>
      <c r="E31" s="7" t="s">
        <v>47</v>
      </c>
      <c r="F31" s="16">
        <v>14.53</v>
      </c>
      <c r="G31" s="17">
        <f>F31*0.33*1.3*$B$3</f>
        <v>3490.6872000000003</v>
      </c>
      <c r="H31" s="18">
        <f>G31*I31</f>
        <v>3490.6872000000003</v>
      </c>
      <c r="I31" s="19">
        <v>1</v>
      </c>
      <c r="J31" s="15" t="s">
        <v>48</v>
      </c>
      <c r="K31" s="15" t="s">
        <v>26</v>
      </c>
    </row>
    <row r="32" spans="1:11" ht="15.75" customHeight="1" x14ac:dyDescent="0.25">
      <c r="A32" s="7"/>
      <c r="B32" s="7"/>
      <c r="C32" s="8"/>
      <c r="D32" s="7"/>
      <c r="E32" s="7"/>
      <c r="F32" s="20"/>
      <c r="G32" s="10"/>
      <c r="H32" s="10"/>
      <c r="I32" s="11"/>
      <c r="J32" s="8"/>
      <c r="K32" s="8"/>
    </row>
    <row r="33" spans="1:11" ht="15.75" customHeight="1" x14ac:dyDescent="0.25">
      <c r="A33" s="7" t="s">
        <v>68</v>
      </c>
      <c r="B33" s="7" t="s">
        <v>6</v>
      </c>
      <c r="C33" s="8"/>
      <c r="D33" s="7" t="s">
        <v>6</v>
      </c>
      <c r="E33" s="7" t="s">
        <v>6</v>
      </c>
      <c r="F33" s="9"/>
      <c r="G33" s="10">
        <v>0</v>
      </c>
      <c r="H33" s="10">
        <f>G33*I33</f>
        <v>0</v>
      </c>
      <c r="I33" s="11">
        <v>0</v>
      </c>
      <c r="J33" s="8" t="s">
        <v>1</v>
      </c>
      <c r="K33" s="8" t="s">
        <v>6</v>
      </c>
    </row>
    <row r="34" spans="1:11" ht="15.75" customHeight="1" x14ac:dyDescent="0.25">
      <c r="A34" s="7" t="s">
        <v>68</v>
      </c>
      <c r="B34" s="7" t="s">
        <v>7</v>
      </c>
      <c r="C34" s="8"/>
      <c r="D34" s="7" t="s">
        <v>7</v>
      </c>
      <c r="E34" s="7" t="s">
        <v>7</v>
      </c>
      <c r="F34" s="9">
        <f>I32/60</f>
        <v>0</v>
      </c>
      <c r="G34" s="10">
        <v>0</v>
      </c>
      <c r="H34" s="10">
        <f>G34*I34</f>
        <v>0</v>
      </c>
      <c r="I34" s="11">
        <v>0</v>
      </c>
      <c r="J34" s="8" t="s">
        <v>1</v>
      </c>
      <c r="K34" s="8" t="s">
        <v>7</v>
      </c>
    </row>
    <row r="36" spans="1:11" ht="15" customHeight="1" x14ac:dyDescent="0.25">
      <c r="G36" s="21" t="s">
        <v>69</v>
      </c>
      <c r="H36" s="22">
        <f>SUM(H5:H35)</f>
        <v>4106172.4703999995</v>
      </c>
    </row>
  </sheetData>
  <mergeCells count="3">
    <mergeCell ref="A2:K2"/>
    <mergeCell ref="A5:K5"/>
    <mergeCell ref="A28:K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2026-05-16T04:28:14Z</dcterms:created>
  <dcterms:modified xsi:type="dcterms:W3CDTF">2026-05-16T09:48:33Z</dcterms:modified>
  <dc:language>en-US</dc:language>
</cp:coreProperties>
</file>