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430 germes ALM BTA\260516 guncel burda\"/>
    </mc:Choice>
  </mc:AlternateContent>
  <xr:revisionPtr revIDLastSave="0" documentId="13_ncr:1_{C02D3C0E-AC2E-4933-94E9-7022719EA35E}" xr6:coauthVersionLast="47" xr6:coauthVersionMax="47" xr10:uidLastSave="{00000000-0000-0000-0000-000000000000}"/>
  <bookViews>
    <workbookView xWindow="28680" yWindow="-120" windowWidth="29040" windowHeight="15720" tabRatio="500" activeTab="1" xr2:uid="{00000000-000D-0000-FFFF-FFFF00000000}"/>
  </bookViews>
  <sheets>
    <sheet name="CB-02_DCBP-N" sheetId="1" r:id="rId1"/>
    <sheet name="BRM-03_ABP" sheetId="2" r:id="rId2"/>
    <sheet name="Satinalma_Birlesik" sheetId="3" r:id="rId3"/>
    <sheet name="Kararlar_Karsilastirma" sheetId="4" r:id="rId4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44" i="2" l="1"/>
  <c r="G44" i="2" s="1"/>
  <c r="F43" i="2"/>
  <c r="G43" i="2" s="1"/>
  <c r="F42" i="2"/>
  <c r="G42" i="2" s="1"/>
  <c r="F41" i="2"/>
  <c r="G41" i="2" s="1"/>
  <c r="F40" i="2"/>
  <c r="G40" i="2" s="1"/>
  <c r="F37" i="2"/>
  <c r="G37" i="2" s="1"/>
  <c r="F36" i="2"/>
  <c r="G36" i="2" s="1"/>
  <c r="F35" i="2"/>
  <c r="G35" i="2" s="1"/>
  <c r="F34" i="2"/>
  <c r="G34" i="2" s="1"/>
  <c r="F33" i="2"/>
  <c r="G33" i="2" s="1"/>
  <c r="F32" i="2"/>
  <c r="G32" i="2" s="1"/>
  <c r="F31" i="2"/>
  <c r="G31" i="2" s="1"/>
  <c r="F30" i="2"/>
  <c r="G30" i="2" s="1"/>
  <c r="F29" i="2"/>
  <c r="G29" i="2" s="1"/>
  <c r="F28" i="2"/>
  <c r="G28" i="2" s="1"/>
  <c r="F26" i="2"/>
  <c r="G26" i="2" s="1"/>
  <c r="F25" i="2"/>
  <c r="G25" i="2" s="1"/>
  <c r="F24" i="2"/>
  <c r="G24" i="2" s="1"/>
  <c r="F23" i="2"/>
  <c r="G23" i="2" s="1"/>
  <c r="F22" i="2"/>
  <c r="G22" i="2" s="1"/>
  <c r="F21" i="2"/>
  <c r="G21" i="2" s="1"/>
  <c r="F20" i="2"/>
  <c r="G20" i="2" s="1"/>
  <c r="F19" i="2"/>
  <c r="G19" i="2" s="1"/>
  <c r="F18" i="2"/>
  <c r="G18" i="2" s="1"/>
  <c r="F17" i="2"/>
  <c r="G17" i="2" s="1"/>
  <c r="F16" i="2"/>
  <c r="G16" i="2" s="1"/>
  <c r="F15" i="2"/>
  <c r="G15" i="2" s="1"/>
  <c r="F14" i="2"/>
  <c r="G14" i="2" s="1"/>
  <c r="F13" i="2"/>
  <c r="G13" i="2" s="1"/>
  <c r="F11" i="2"/>
  <c r="G11" i="2" s="1"/>
  <c r="F9" i="2"/>
  <c r="G9" i="2" s="1"/>
  <c r="F8" i="2"/>
  <c r="G8" i="2" s="1"/>
  <c r="F29" i="1"/>
  <c r="G29" i="1" s="1"/>
  <c r="F28" i="1"/>
  <c r="G28" i="1" s="1"/>
  <c r="F27" i="1"/>
  <c r="G27" i="1" s="1"/>
  <c r="F26" i="1"/>
  <c r="G26" i="1" s="1"/>
  <c r="F25" i="1"/>
  <c r="G25" i="1" s="1"/>
  <c r="F24" i="1"/>
  <c r="G24" i="1" s="1"/>
  <c r="F23" i="1"/>
  <c r="G23" i="1" s="1"/>
  <c r="F22" i="1"/>
  <c r="G22" i="1" s="1"/>
  <c r="F21" i="1"/>
  <c r="G21" i="1" s="1"/>
  <c r="F20" i="1"/>
  <c r="G20" i="1" s="1"/>
  <c r="F19" i="1"/>
  <c r="G19" i="1" s="1"/>
  <c r="F18" i="1"/>
  <c r="G18" i="1" s="1"/>
  <c r="F17" i="1"/>
  <c r="G17" i="1" s="1"/>
  <c r="F16" i="1"/>
  <c r="G16" i="1" s="1"/>
  <c r="F15" i="1"/>
  <c r="G15" i="1" s="1"/>
  <c r="F14" i="1"/>
  <c r="G14" i="1" s="1"/>
  <c r="F13" i="1"/>
  <c r="G13" i="1" s="1"/>
  <c r="F12" i="1"/>
  <c r="G12" i="1" s="1"/>
  <c r="F11" i="1"/>
  <c r="G11" i="1" s="1"/>
  <c r="F9" i="1"/>
  <c r="G9" i="1" s="1"/>
  <c r="F8" i="1"/>
  <c r="G8" i="1" s="1"/>
  <c r="G33" i="1" l="1"/>
  <c r="G48" i="2"/>
</calcChain>
</file>

<file path=xl/sharedStrings.xml><?xml version="1.0" encoding="utf-8"?>
<sst xmlns="http://schemas.openxmlformats.org/spreadsheetml/2006/main" count="949" uniqueCount="336">
  <si>
    <t>EP34-ALM-BTA  |  CB-02_DCBP-N  |  ABB BOM  |  Kur: 547.47 KZT/EUR  |  Formül: EUR × 0.33 × 1.3 × Kur</t>
  </si>
  <si>
    <t>EUR/KZT Kuru →</t>
  </si>
  <si>
    <t>Teklif günü güncelle!</t>
  </si>
  <si>
    <t>⚠ KZT hesabı: EUR Liste × 0.33 (indirim) × 1.30 (yol+gümrük) × Kur  |  KONTROL EDILECEK = fiyat/kod teyit bekliyor</t>
  </si>
  <si>
    <t>Panel</t>
  </si>
  <si>
    <t>Malzeme Tipi</t>
  </si>
  <si>
    <t>ABB Artikül</t>
  </si>
  <si>
    <t>Ürün Adı</t>
  </si>
  <si>
    <t>ABB Liste Fiyatı (EUR)</t>
  </si>
  <si>
    <t>Hesaplanan KZT (birim)</t>
  </si>
  <si>
    <t>Toplam KZT</t>
  </si>
  <si>
    <t>Miktar</t>
  </si>
  <si>
    <t>Birim</t>
  </si>
  <si>
    <t>Üretici</t>
  </si>
  <si>
    <t>Durum</t>
  </si>
  <si>
    <t>DCBP-N PANEL  (Cakes &amp; Bakes Network Panel)  —  EP34-ALM-BTA-CB-02</t>
  </si>
  <si>
    <t>DCBP-N PANEL</t>
  </si>
  <si>
    <t>korpus</t>
  </si>
  <si>
    <t>Pano gövdesi 120×200×40 cm, serbest ayaklı, metal, kablo girişi/çıkışı (TEKSAN)</t>
  </si>
  <si>
    <t>ШТ.</t>
  </si>
  <si>
    <t>TEKSAN</t>
  </si>
  <si>
    <t>✅</t>
  </si>
  <si>
    <t>mccb</t>
  </si>
  <si>
    <t>1SDA066719R1</t>
  </si>
  <si>
    <t>A1C 125, TMF, In=100A, 25kA, 3P  MCCB</t>
  </si>
  <si>
    <t>ABB</t>
  </si>
  <si>
    <t>rascepitel</t>
  </si>
  <si>
    <t>1SDA066720R1</t>
  </si>
  <si>
    <t>SOR-C 220-240V AC/220-250V DC  (acil açma bobini, A1C için)</t>
  </si>
  <si>
    <t>tt</t>
  </si>
  <si>
    <t>Akım trafosu 100/5A CL:0.5</t>
  </si>
  <si>
    <t>PYS</t>
  </si>
  <si>
    <t>✅ fiyat yok</t>
  </si>
  <si>
    <t>mcb</t>
  </si>
  <si>
    <t>2CDS251001R0024</t>
  </si>
  <si>
    <t>S201-C2  1P C2A 6kA  (KS 1x2A yerine, ölçüm devresi)</t>
  </si>
  <si>
    <t>2CDS253001R0024</t>
  </si>
  <si>
    <t>S203-C2  3P C2A 6kA  (KS 3x2A yerine, ölçüm devresi)</t>
  </si>
  <si>
    <t>energy_meter</t>
  </si>
  <si>
    <t>2CSG251141R4051</t>
  </si>
  <si>
    <t>M4M 20 Modbus  (X5 tipi enerji sayacı, Modbus)</t>
  </si>
  <si>
    <t>uzo</t>
  </si>
  <si>
    <t>2CSF202001R1250</t>
  </si>
  <si>
    <t>F202 AC-25/0.03  RCCB 2P 25A 30mA A-tip  (ayrı RCCB)</t>
  </si>
  <si>
    <t>✅ GPT ekledi</t>
  </si>
  <si>
    <t>2CSF204001R1250</t>
  </si>
  <si>
    <t>F204 AC-25/0.03  RCCB 4P 25A 30mA A-tip  (ayrı RCCB)</t>
  </si>
  <si>
    <t>dif</t>
  </si>
  <si>
    <t>2CSA255901R9164</t>
  </si>
  <si>
    <t>S-ARC1 C16  2P RCBO 30mA  (entegre MCB+RCCB)</t>
  </si>
  <si>
    <t>✅ GPT sayım</t>
  </si>
  <si>
    <t>2CSA255901R9254</t>
  </si>
  <si>
    <t>S-ARC1 C25  2P RCBO 30mA  (entegre MCB+RCCB)</t>
  </si>
  <si>
    <t>2CSR256040R1254</t>
  </si>
  <si>
    <t>DS203NC C25 AC30  4P RCBO 30mA</t>
  </si>
  <si>
    <t>✅ GPT düzeltti (3→2)</t>
  </si>
  <si>
    <t>oto</t>
  </si>
  <si>
    <t>2CDS253001R0254</t>
  </si>
  <si>
    <t>S203-C25  3P MCB C eğrisi 6kA</t>
  </si>
  <si>
    <t>✅ GPT düzeltti (1→2)</t>
  </si>
  <si>
    <t>2CDS251001R0105</t>
  </si>
  <si>
    <t>S201-B10  1P MCB B eğrisi 6kA</t>
  </si>
  <si>
    <t>✅ Claude doğru (GPT 10 yazmış)</t>
  </si>
  <si>
    <t>2CDS251001R0065</t>
  </si>
  <si>
    <t>S201-B6   1P MCB B eğrisi 6kA</t>
  </si>
  <si>
    <t>contactor</t>
  </si>
  <si>
    <t>1SBL237001R1300</t>
  </si>
  <si>
    <t>AF26-30-00  3P kontaktör 25A</t>
  </si>
  <si>
    <t>1SBL137001R1310</t>
  </si>
  <si>
    <t>AF09-30-10  3P kontaktör 9A</t>
  </si>
  <si>
    <t>pako</t>
  </si>
  <si>
    <t>1SCA104848R1001-B</t>
  </si>
  <si>
    <t>OT16FT3HY3ST1  Pako şalter 16A, 1-0 konumlu</t>
  </si>
  <si>
    <t>button</t>
  </si>
  <si>
    <t>1SFA611520R1001</t>
  </si>
  <si>
    <t>MPET3-10R  Acil stop butonu (kırmızı, bas-çevir-çek)</t>
  </si>
  <si>
    <t>1SFA611605R1100</t>
  </si>
  <si>
    <t>MCBH-00  Buton/sinyal gövdesi</t>
  </si>
  <si>
    <t>1SFA611610R1010</t>
  </si>
  <si>
    <t>MCB-01  Kontak bloğu 1NK</t>
  </si>
  <si>
    <t>sinyal lamba</t>
  </si>
  <si>
    <t>1SFA611400R1002</t>
  </si>
  <si>
    <t>ML1-100G  Sinyal lambası kafası (yeşil, faz göstergesi)</t>
  </si>
  <si>
    <t>✅ bulundu</t>
  </si>
  <si>
    <t>opn/spd</t>
  </si>
  <si>
    <t>2CTB803973R1100</t>
  </si>
  <si>
    <t>OVR T2 3N 40-275 P QS  4P SPD (Parafudr C tipi, 4P)</t>
  </si>
  <si>
    <t>fire</t>
  </si>
  <si>
    <t>KONTROL EDILECEK</t>
  </si>
  <si>
    <t>Pano içi yangın söndürme sistemi</t>
  </si>
  <si>
    <t>set</t>
  </si>
  <si>
    <t>—</t>
  </si>
  <si>
    <t>⚠ tedarikçiye sor</t>
  </si>
  <si>
    <t>montaj malz</t>
  </si>
  <si>
    <t>Montaj malzemeleri (ray, kanal, terminal, kablo, pabuç vb.)</t>
  </si>
  <si>
    <t>fiyat teklif aşamasında</t>
  </si>
  <si>
    <t>montaj iş</t>
  </si>
  <si>
    <t>Montaj işçiliği</t>
  </si>
  <si>
    <t>PANEL TOPLAMI:</t>
  </si>
  <si>
    <t>EP34-ALM-BTA  |  BRM-03_ABP  |  ABB BOM  |  Kur: 547.47 KZT/EUR  |  Formül: EUR × 0.33 × 1.3 × Kur</t>
  </si>
  <si>
    <t>ABP PANEL  (Almaty Brewmark Panel)  —  EP34-ALM-BTA-BRM-03</t>
  </si>
  <si>
    <t>ABP PANEL</t>
  </si>
  <si>
    <t>1SDA100345R1</t>
  </si>
  <si>
    <t>XT5N 400, TMA, In=400A, 36kA, 3P  MCCB (ana şalter)</t>
  </si>
  <si>
    <t>1SDA054873R1</t>
  </si>
  <si>
    <t>SOR 220-240V AC/220-250V DC  (acil açma bobini, T4-T5/XT5 için)</t>
  </si>
  <si>
    <t>✅ bulundu (GPT KONTROL demişti)</t>
  </si>
  <si>
    <t>3P MCCB 125A 25kA  (A1N125 In=125A → 1SDA066496R1 olabilir, fiyat listesinde A1C 125A=118EUR, teyit gerek)</t>
  </si>
  <si>
    <t>⚠ kod teyit et</t>
  </si>
  <si>
    <t>Akım trafosu 300/5A CL:0.5</t>
  </si>
  <si>
    <t>2CSF204001R1400</t>
  </si>
  <si>
    <t>F204 AC-40/0.03  RCCB 4P 40A 30mA A-tip  (ayrı RCCB)</t>
  </si>
  <si>
    <t>2CSF204001R1630</t>
  </si>
  <si>
    <t>F204 AC-63/0.03  RCCB 4P 63A 30mA A-tip  (ayrı RCCB, GPT düzeltti)</t>
  </si>
  <si>
    <t>✅ GPT düzeltti</t>
  </si>
  <si>
    <t>2CSF204001R1900</t>
  </si>
  <si>
    <t>F204 AC-100/0.03  RCCB 4P 100A 30mA A-tip  (ayrı RCCB)</t>
  </si>
  <si>
    <t>⚠ A-tip stok teyit</t>
  </si>
  <si>
    <t>S-ARC1 C25  2P RCBO 30mA  (normal devre)</t>
  </si>
  <si>
    <t>S-ARC1 C25  2P RCBO 30mA  (locked/kilitli devre)</t>
  </si>
  <si>
    <t>✅ kilitli, aynı ürün</t>
  </si>
  <si>
    <t>2CSR256040R1164</t>
  </si>
  <si>
    <t>DS203NC C16 AC30  4P RCBO 30mA</t>
  </si>
  <si>
    <t>2CSR256040R1324</t>
  </si>
  <si>
    <t>DS203NC C32 AC30  4P RCBO 30mA</t>
  </si>
  <si>
    <t>4P C40 RCBO 30mA A-tip  (S204-C40 + DDA204 AC-40 kombinasyonu olabilir)</t>
  </si>
  <si>
    <t>2CDS253001R0404</t>
  </si>
  <si>
    <t>S203-C40  3P MCB C eğrisi 6kA</t>
  </si>
  <si>
    <t>2CDS253001R0504</t>
  </si>
  <si>
    <t>S203-C50  3P MCB C eğrisi 6kA</t>
  </si>
  <si>
    <t>1SBL407001R1111</t>
  </si>
  <si>
    <t>AF96-30-11  3P kontaktör 100A</t>
  </si>
  <si>
    <t>✅ GPT: 14</t>
  </si>
  <si>
    <t>motor</t>
  </si>
  <si>
    <t>1SAM250000R1006</t>
  </si>
  <si>
    <t>MS116-1.6  Motor koruma şalteri 1.0-1.6A  (DOĞRU KOD: R1006, Claude R1005=0.63-1A yazmıştı)</t>
  </si>
  <si>
    <t>✅ düzeltildi</t>
  </si>
  <si>
    <t>Motor koruma şalteri 5.5-8.0A  (MS116 serisinde tam karşılık yok: MS116-6.3=4-6.3A, MS116-10=6.3-10A)</t>
  </si>
  <si>
    <t>⚠ MS116-6.3 veya MS116-10?</t>
  </si>
  <si>
    <t>Motor koruma şalteri 3.5-5.0A  (MS116 serisinde tam karşılık yok: MS116-4=2.5-4A, MS116-6.3=4-6.3A)</t>
  </si>
  <si>
    <t>⚠ MS116-4 veya MS116-6.3?</t>
  </si>
  <si>
    <t>MPET3-10R  Acil stop butonu</t>
  </si>
  <si>
    <t>BİRLEŞİK SATINALMA LİSTESİ  |  CB-02 + BRM-03  |  EP34-ALM-BTA</t>
  </si>
  <si>
    <t>Artikül</t>
  </si>
  <si>
    <t>Liste EUR</t>
  </si>
  <si>
    <t>Birim KZT</t>
  </si>
  <si>
    <t>CB-02 Adet</t>
  </si>
  <si>
    <t>BRM-03 Adet</t>
  </si>
  <si>
    <t>Toplam Adet</t>
  </si>
  <si>
    <t>XT5N 400, TMA, In=400A, 36kA, 3P</t>
  </si>
  <si>
    <t>1237.0 EUR</t>
  </si>
  <si>
    <t>290,528 KZT</t>
  </si>
  <si>
    <t>SOR 220V (XT5/T4-T5 acil açma bobini)</t>
  </si>
  <si>
    <t>130.3 EUR</t>
  </si>
  <si>
    <t>30,603 KZT</t>
  </si>
  <si>
    <t>3P MCCB 125A 25kA  (1SDA066496R1?)</t>
  </si>
  <si>
    <t>⚠ KONTROL ET</t>
  </si>
  <si>
    <t>A1C 125, TMF, In=100A, 25kA, 3P</t>
  </si>
  <si>
    <t>153.6 EUR</t>
  </si>
  <si>
    <t>36,075 KZT</t>
  </si>
  <si>
    <t>72,150 KZT</t>
  </si>
  <si>
    <t>SOR-C 220V (A1C acil açma bobini)</t>
  </si>
  <si>
    <t>164.5 EUR</t>
  </si>
  <si>
    <t>38,635 KZT</t>
  </si>
  <si>
    <t>S201-C2  1P C2A 6kA  (ölçüm MCB)</t>
  </si>
  <si>
    <t>14.53 EUR</t>
  </si>
  <si>
    <t>3,413 KZT</t>
  </si>
  <si>
    <t>20,475 KZT</t>
  </si>
  <si>
    <t>S203-C2  3P C2A 6kA  (ölçüm MCB)</t>
  </si>
  <si>
    <t>65.41 EUR</t>
  </si>
  <si>
    <t>15,362 KZT</t>
  </si>
  <si>
    <t>30,725 KZT</t>
  </si>
  <si>
    <t>M4M 20 Modbus  (enerji sayacı)</t>
  </si>
  <si>
    <t>779.8 EUR</t>
  </si>
  <si>
    <t>183,147 KZT</t>
  </si>
  <si>
    <t>366,295 KZT</t>
  </si>
  <si>
    <t>F202 AC-25/0.03  RCCB 2P 25A</t>
  </si>
  <si>
    <t>97.88 EUR</t>
  </si>
  <si>
    <t>22,989 KZT</t>
  </si>
  <si>
    <t>45,977 KZT</t>
  </si>
  <si>
    <t>F204 AC-25/0.03  RCCB 4P 25A</t>
  </si>
  <si>
    <t>127.2 EUR</t>
  </si>
  <si>
    <t>29,875 KZT</t>
  </si>
  <si>
    <t>119,499 KZT</t>
  </si>
  <si>
    <t>F204 AC-40/0.03  RCCB 4P 40A</t>
  </si>
  <si>
    <t>165.4 EUR</t>
  </si>
  <si>
    <t>38,847 KZT</t>
  </si>
  <si>
    <t>F204 AC-63/0.03  RCCB 4P 63A</t>
  </si>
  <si>
    <t>190.8 EUR</t>
  </si>
  <si>
    <t>44,812 KZT</t>
  </si>
  <si>
    <t>89,624 KZT</t>
  </si>
  <si>
    <t>F204 AC-100/0.03  RCCB 4P 100A</t>
  </si>
  <si>
    <t>363.9 EUR</t>
  </si>
  <si>
    <t>85,467 KZT</t>
  </si>
  <si>
    <t>S-ARC1 C16  2P RCBO 30mA</t>
  </si>
  <si>
    <t>268.9 EUR</t>
  </si>
  <si>
    <t>63,155 KZT</t>
  </si>
  <si>
    <t>5,431,339 KZT</t>
  </si>
  <si>
    <t>S-ARC1 C25  2P RCBO 30mA</t>
  </si>
  <si>
    <t>442,086 KZT</t>
  </si>
  <si>
    <t>292.0 EUR</t>
  </si>
  <si>
    <t>68,580 KZT</t>
  </si>
  <si>
    <t>274,322 KZT</t>
  </si>
  <si>
    <t>137,161 KZT</t>
  </si>
  <si>
    <t>4P C40 RCBO 30mA A-tip</t>
  </si>
  <si>
    <t>S203-C25  3P MCB C eğrisi</t>
  </si>
  <si>
    <t>48.51 EUR</t>
  </si>
  <si>
    <t>11,393 KZT</t>
  </si>
  <si>
    <t>45,573 KZT</t>
  </si>
  <si>
    <t>S203-C40  3P MCB C eğrisi</t>
  </si>
  <si>
    <t>63.02 EUR</t>
  </si>
  <si>
    <t>14,801 KZT</t>
  </si>
  <si>
    <t>S203-C50  3P MCB C eğrisi</t>
  </si>
  <si>
    <t>72.72 EUR</t>
  </si>
  <si>
    <t>17,079 KZT</t>
  </si>
  <si>
    <t>34,159 KZT</t>
  </si>
  <si>
    <t>S201-B10  1P MCB B eğrisi</t>
  </si>
  <si>
    <t>9.78 EUR</t>
  </si>
  <si>
    <t>2,297 KZT</t>
  </si>
  <si>
    <t>73,503 KZT</t>
  </si>
  <si>
    <t>S201-B6   1P MCB B eğrisi</t>
  </si>
  <si>
    <t>11.74 EUR</t>
  </si>
  <si>
    <t>2,757 KZT</t>
  </si>
  <si>
    <t>11,029 KZT</t>
  </si>
  <si>
    <t>515.7 EUR</t>
  </si>
  <si>
    <t>121,120 KZT</t>
  </si>
  <si>
    <t>59.16 EUR</t>
  </si>
  <si>
    <t>13,895 KZT</t>
  </si>
  <si>
    <t>27,789 KZT</t>
  </si>
  <si>
    <t>37.91 EUR</t>
  </si>
  <si>
    <t>8,904 KZT</t>
  </si>
  <si>
    <t>195,882 KZT</t>
  </si>
  <si>
    <t>OT16FT3  Pako şalter 16A 1-0</t>
  </si>
  <si>
    <t>36.09 EUR</t>
  </si>
  <si>
    <t>8,476 KZT</t>
  </si>
  <si>
    <t>203,430 KZT</t>
  </si>
  <si>
    <t>MS116-1.6  Motor koruma 1.0-1.6A</t>
  </si>
  <si>
    <t>62.53 EUR</t>
  </si>
  <si>
    <t>14,686 KZT</t>
  </si>
  <si>
    <t>Motor koruma 5.5-8.0A</t>
  </si>
  <si>
    <t>Motor koruma 3.5-5.0A</t>
  </si>
  <si>
    <t>16.27 EUR</t>
  </si>
  <si>
    <t>3,821 KZT</t>
  </si>
  <si>
    <t>7,642 KZT</t>
  </si>
  <si>
    <t>MCBH-00  Buton gövdesi</t>
  </si>
  <si>
    <t>1.14 EUR</t>
  </si>
  <si>
    <t>268 KZT</t>
  </si>
  <si>
    <t>536 KZT</t>
  </si>
  <si>
    <t>4.6 EUR</t>
  </si>
  <si>
    <t>1,080 KZT</t>
  </si>
  <si>
    <t>2,161 KZT</t>
  </si>
  <si>
    <t>ML1-100G  Sinyal lambası (yeşil)</t>
  </si>
  <si>
    <t>8,643 KZT</t>
  </si>
  <si>
    <t>OVR T2 3N 40-275  4P SPD Parafudr</t>
  </si>
  <si>
    <t>361.2 EUR</t>
  </si>
  <si>
    <t>84,833 KZT</t>
  </si>
  <si>
    <t>169,666 KZT</t>
  </si>
  <si>
    <t>Pano</t>
  </si>
  <si>
    <t>Kalem</t>
  </si>
  <si>
    <t>Claude Değeri</t>
  </si>
  <si>
    <t>GPT Değeri</t>
  </si>
  <si>
    <t>KARAR</t>
  </si>
  <si>
    <t>Açıklama</t>
  </si>
  <si>
    <t>CB-02</t>
  </si>
  <si>
    <t>S-ARC1 C16 adedi</t>
  </si>
  <si>
    <t>Claude: 39+9=48</t>
  </si>
  <si>
    <t>GPT: 44</t>
  </si>
  <si>
    <t>44</t>
  </si>
  <si>
    <t>GPT tekhat sayımı doğru</t>
  </si>
  <si>
    <t>DS203NC C25 adedi</t>
  </si>
  <si>
    <t>Claude: 3</t>
  </si>
  <si>
    <t>GPT: 2</t>
  </si>
  <si>
    <t>2</t>
  </si>
  <si>
    <t>GPT doğru</t>
  </si>
  <si>
    <t>3P C25 MCB adedi</t>
  </si>
  <si>
    <t>Claude: 1</t>
  </si>
  <si>
    <t>S201-B10 adedi</t>
  </si>
  <si>
    <t>Claude: 16</t>
  </si>
  <si>
    <t>GPT: 10</t>
  </si>
  <si>
    <t>16</t>
  </si>
  <si>
    <t>Claude doğru (BOQ=16)</t>
  </si>
  <si>
    <t>Kartaj→MCB</t>
  </si>
  <si>
    <t>Claude: S201-C2×3+S203-C2×1</t>
  </si>
  <si>
    <t>GPT: aynı</t>
  </si>
  <si>
    <t>S201-C2×3, S203-C2×1</t>
  </si>
  <si>
    <t>İkisi de aynı, kullanıcı talimatı</t>
  </si>
  <si>
    <t>RCCB ayrı 2P+4P</t>
  </si>
  <si>
    <t>Claude: yok</t>
  </si>
  <si>
    <t>GPT: ekledi</t>
  </si>
  <si>
    <t>F202+F204 A-tip eklendi</t>
  </si>
  <si>
    <t>Sinyal lambası</t>
  </si>
  <si>
    <t>GPT: KONTROL</t>
  </si>
  <si>
    <t>ML1-100G bulundu (fiyat listesi)</t>
  </si>
  <si>
    <t>Claude buldu: 1SFA611400R1002</t>
  </si>
  <si>
    <t>OVR/SPD Parafudr</t>
  </si>
  <si>
    <t>OVR T2 3N 40-275 bulundu</t>
  </si>
  <si>
    <t>2CTB803973R1100 = 361.20 EUR</t>
  </si>
  <si>
    <t>BRM-03</t>
  </si>
  <si>
    <t>XT5 SOR kodu</t>
  </si>
  <si>
    <t>Claude: 1SDA066720R1 (YANLIŞ)</t>
  </si>
  <si>
    <t>1SDA054873R1 (T4-T5, 130.30 EUR)</t>
  </si>
  <si>
    <t>Fiyat listesinden bulundu</t>
  </si>
  <si>
    <t>125A MCCB kodu</t>
  </si>
  <si>
    <t>Claude: 1SDA066719R1 (100A!)</t>
  </si>
  <si>
    <t>KONTROL EDILECEK (A1C 125A=1SDA066496R1?)</t>
  </si>
  <si>
    <t>Teyit gerekli</t>
  </si>
  <si>
    <t>Claude: 36+6=42</t>
  </si>
  <si>
    <t>GPT: 42</t>
  </si>
  <si>
    <t>42</t>
  </si>
  <si>
    <t>İkisi de aynı</t>
  </si>
  <si>
    <t>Pako switch adedi</t>
  </si>
  <si>
    <t>Claude: 14</t>
  </si>
  <si>
    <t>GPT: 14</t>
  </si>
  <si>
    <t>14</t>
  </si>
  <si>
    <t>Motor 1-1.6A kodu</t>
  </si>
  <si>
    <t>Claude: 1SAM250000R1005 (0.63-1A!)</t>
  </si>
  <si>
    <t>GPT: 1SAM250000R1005</t>
  </si>
  <si>
    <t>1SAM250000R1006 (1-1.6A)</t>
  </si>
  <si>
    <t>İkisi de yanlış yazıyordu!</t>
  </si>
  <si>
    <t>Motor 5.5-8A</t>
  </si>
  <si>
    <t>Claude: R1010 (6.3-10A)</t>
  </si>
  <si>
    <t>MS116 serisinde 5.5-8A yok</t>
  </si>
  <si>
    <t>Motor 3.5-5A</t>
  </si>
  <si>
    <t>Claude: R1009 (4-6.3A)</t>
  </si>
  <si>
    <t>MS116 serisinde 3.5-5A yok</t>
  </si>
  <si>
    <t>GENEL</t>
  </si>
  <si>
    <t>Fiyat formülü</t>
  </si>
  <si>
    <t>Claude: ×0.33×1.30×kur</t>
  </si>
  <si>
    <t>GPT: ×1.35×0.30×kur</t>
  </si>
  <si>
    <t>Matematiksel olarak AYNI (0.429)</t>
  </si>
  <si>
    <t>Kur: 547.47 KZT (16.05.2026)</t>
  </si>
  <si>
    <t>Kur</t>
  </si>
  <si>
    <t>Claude: 520 (varsayılan)</t>
  </si>
  <si>
    <t>GPT: 547.47</t>
  </si>
  <si>
    <t>547.47 KZT/EUR</t>
  </si>
  <si>
    <t>GPT güncel kur, benimsendi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</si>
</sst>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&quot; EUR&quot;"/>
    <numFmt numFmtId="165" formatCode="#,##0&quot; KZT&quot;"/>
  </numFmts>
  <fonts count="11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  <charset val="204"/>
    </font>
    <font>
      <b/>
      <sz val="9"/>
      <name val="Arial"/>
      <family val="2"/>
      <charset val="204"/>
    </font>
    <font>
      <b/>
      <sz val="11"/>
      <color rgb="FFCC0000"/>
      <name val="Arial"/>
      <family val="2"/>
      <charset val="204"/>
    </font>
    <font>
      <i/>
      <sz val="8"/>
      <color rgb="FF666666"/>
      <name val="Arial"/>
      <family val="2"/>
      <charset val="204"/>
    </font>
    <font>
      <i/>
      <sz val="8"/>
      <color rgb="FF884400"/>
      <name val="Arial"/>
      <family val="2"/>
      <charset val="204"/>
    </font>
    <font>
      <b/>
      <sz val="9"/>
      <color rgb="FFFFFFFF"/>
      <name val="Arial"/>
      <family val="2"/>
      <charset val="204"/>
    </font>
    <font>
      <sz val="9"/>
      <name val="Arial"/>
      <family val="2"/>
      <charset val="204"/>
    </font>
    <font>
      <sz val="9"/>
      <color rgb="FFCC0000"/>
      <name val="Arial"/>
      <family val="2"/>
      <charset val="204"/>
    </font>
    <font>
      <b/>
      <sz val="10"/>
      <name val="Arial"/>
      <family val="2"/>
      <charset val="204"/>
    </font>
    <font>
      <b/>
      <sz val="11"/>
      <color rgb="FFFFFFFF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1F497D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2E75B6"/>
        <bgColor rgb="FF0066CC"/>
      </patternFill>
    </fill>
    <fill>
      <patternFill patternType="solid">
        <fgColor rgb="FFDDEEFF"/>
        <bgColor rgb="FFCCFFFF"/>
      </patternFill>
    </fill>
    <fill>
      <patternFill patternType="solid">
        <fgColor rgb="FFDDFFDD"/>
        <bgColor rgb="FFCCFFFF"/>
      </patternFill>
    </fill>
    <fill>
      <patternFill patternType="solid">
        <fgColor rgb="FFFFE0B2"/>
        <bgColor rgb="FFFFF3CD"/>
      </patternFill>
    </fill>
    <fill>
      <patternFill patternType="solid">
        <fgColor rgb="FFFFF3CD"/>
        <bgColor rgb="FFFFE0B2"/>
      </patternFill>
    </fill>
    <fill>
      <patternFill patternType="solid">
        <fgColor rgb="FFFFCCCC"/>
        <bgColor rgb="FFFFE0B2"/>
      </patternFill>
    </fill>
    <fill>
      <patternFill patternType="solid">
        <fgColor rgb="FFFFD700"/>
        <bgColor rgb="FFFFFF00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4" fontId="3" fillId="3" borderId="0" xfId="0" applyNumberFormat="1" applyFont="1" applyFill="1" applyAlignment="1">
      <alignment horizontal="center" vertical="center" wrapText="1"/>
    </xf>
    <xf numFmtId="0" fontId="4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 wrapText="1"/>
    </xf>
    <xf numFmtId="164" fontId="7" fillId="5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7" fillId="8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right" vertical="center"/>
    </xf>
    <xf numFmtId="0" fontId="2" fillId="8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right" vertical="center"/>
    </xf>
    <xf numFmtId="165" fontId="9" fillId="10" borderId="2" xfId="0" applyNumberFormat="1" applyFont="1" applyFill="1" applyBorder="1" applyAlignment="1">
      <alignment horizontal="right" vertical="center"/>
    </xf>
    <xf numFmtId="0" fontId="0" fillId="2" borderId="0" xfId="0" applyFill="1"/>
    <xf numFmtId="0" fontId="2" fillId="0" borderId="1" xfId="0" applyFont="1" applyBorder="1" applyAlignment="1">
      <alignment horizontal="left" vertical="center" wrapText="1"/>
    </xf>
    <xf numFmtId="0" fontId="1" fillId="2" borderId="0" xfId="0" applyFont="1" applyFill="1"/>
    <xf numFmtId="0" fontId="5" fillId="0" borderId="0" xfId="0" applyFont="1"/>
    <xf numFmtId="0" fontId="1" fillId="4" borderId="1" xfId="0" applyFont="1" applyFill="1" applyBorder="1" applyAlignment="1">
      <alignment horizontal="left" vertical="center" wrapText="1"/>
    </xf>
    <xf numFmtId="0" fontId="10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88888"/>
      <rgbColor rgb="FF9999FF"/>
      <rgbColor rgb="FF993366"/>
      <rgbColor rgb="FFFFF3CD"/>
      <rgbColor rgb="FFDDEE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FFDD"/>
      <rgbColor rgb="FFFFE0B2"/>
      <rgbColor rgb="FF99CCFF"/>
      <rgbColor rgb="FFFF99CC"/>
      <rgbColor rgb="FFCC99FF"/>
      <rgbColor rgb="FFFFCCCC"/>
      <rgbColor rgb="FF2E75B6"/>
      <rgbColor rgb="FF33CCCC"/>
      <rgbColor rgb="FF99CC00"/>
      <rgbColor rgb="FFFFD7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8844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zoomScaleNormal="100" workbookViewId="0">
      <pane ySplit="5" topLeftCell="A6" activePane="bottomLeft" state="frozen"/>
      <selection pane="bottomLeft" activeCell="A19" sqref="A19"/>
    </sheetView>
  </sheetViews>
  <sheetFormatPr defaultColWidth="8.7109375" defaultRowHeight="15" x14ac:dyDescent="0.25"/>
  <cols>
    <col min="1" max="1" width="22" customWidth="1"/>
    <col min="2" max="2" width="16" customWidth="1"/>
    <col min="3" max="3" width="22" customWidth="1"/>
    <col min="4" max="4" width="48" customWidth="1"/>
    <col min="5" max="7" width="22" customWidth="1"/>
    <col min="8" max="8" width="9" customWidth="1"/>
    <col min="9" max="9" width="7" customWidth="1"/>
    <col min="10" max="10" width="12" customWidth="1"/>
    <col min="11" max="11" width="22" customWidth="1"/>
  </cols>
  <sheetData>
    <row r="1" spans="1:11" ht="18" customHeight="1" x14ac:dyDescent="0.25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ht="15.75" customHeight="1" x14ac:dyDescent="0.25">
      <c r="A2" s="1" t="s">
        <v>1</v>
      </c>
      <c r="B2" s="2">
        <v>560</v>
      </c>
      <c r="C2" s="3" t="s">
        <v>2</v>
      </c>
    </row>
    <row r="3" spans="1:11" ht="13.5" customHeight="1" x14ac:dyDescent="0.25">
      <c r="A3" s="22" t="s">
        <v>3</v>
      </c>
      <c r="B3" s="22"/>
      <c r="C3" s="22"/>
      <c r="D3" s="22"/>
      <c r="E3" s="22"/>
      <c r="F3" s="22"/>
      <c r="G3" s="22"/>
      <c r="H3" s="22"/>
      <c r="I3" s="22"/>
      <c r="J3" s="22"/>
      <c r="K3" s="22"/>
    </row>
    <row r="4" spans="1:11" ht="3.75" customHeight="1" x14ac:dyDescent="0.25"/>
    <row r="5" spans="1:11" ht="27.75" customHeight="1" x14ac:dyDescent="0.25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</row>
    <row r="6" spans="1:11" ht="21.75" customHeight="1" x14ac:dyDescent="0.25">
      <c r="A6" s="23" t="s">
        <v>15</v>
      </c>
      <c r="B6" s="23"/>
      <c r="C6" s="23"/>
      <c r="D6" s="23"/>
      <c r="E6" s="23"/>
      <c r="F6" s="23"/>
      <c r="G6" s="23"/>
      <c r="H6" s="23"/>
      <c r="I6" s="23"/>
      <c r="J6" s="23"/>
      <c r="K6" s="23"/>
    </row>
    <row r="7" spans="1:11" ht="15.75" customHeight="1" x14ac:dyDescent="0.25">
      <c r="A7" s="5" t="s">
        <v>16</v>
      </c>
      <c r="B7" s="5" t="s">
        <v>17</v>
      </c>
      <c r="C7" s="5"/>
      <c r="D7" s="5" t="s">
        <v>18</v>
      </c>
      <c r="E7" s="7"/>
      <c r="F7" s="7"/>
      <c r="G7" s="7"/>
      <c r="H7" s="8">
        <v>1</v>
      </c>
      <c r="I7" s="6" t="s">
        <v>19</v>
      </c>
      <c r="J7" s="6" t="s">
        <v>20</v>
      </c>
      <c r="K7" s="5" t="s">
        <v>21</v>
      </c>
    </row>
    <row r="8" spans="1:11" ht="15.75" customHeight="1" x14ac:dyDescent="0.25">
      <c r="A8" s="5" t="s">
        <v>16</v>
      </c>
      <c r="B8" s="5" t="s">
        <v>22</v>
      </c>
      <c r="C8" s="5" t="s">
        <v>23</v>
      </c>
      <c r="D8" s="5" t="s">
        <v>24</v>
      </c>
      <c r="E8" s="9">
        <v>153.6</v>
      </c>
      <c r="F8" s="10">
        <f>E8*0.33*1.3*$B$2</f>
        <v>36900.864000000001</v>
      </c>
      <c r="G8" s="11">
        <f>F8*H8</f>
        <v>36900.864000000001</v>
      </c>
      <c r="H8" s="8">
        <v>1</v>
      </c>
      <c r="I8" s="6" t="s">
        <v>19</v>
      </c>
      <c r="J8" s="6" t="s">
        <v>25</v>
      </c>
      <c r="K8" s="5" t="s">
        <v>21</v>
      </c>
    </row>
    <row r="9" spans="1:11" ht="15.75" customHeight="1" x14ac:dyDescent="0.25">
      <c r="A9" s="5" t="s">
        <v>16</v>
      </c>
      <c r="B9" s="5" t="s">
        <v>26</v>
      </c>
      <c r="C9" s="5" t="s">
        <v>27</v>
      </c>
      <c r="D9" s="5" t="s">
        <v>28</v>
      </c>
      <c r="E9" s="9">
        <v>164.5</v>
      </c>
      <c r="F9" s="10">
        <f>E9*0.33*1.3*$B$2</f>
        <v>39519.480000000003</v>
      </c>
      <c r="G9" s="11">
        <f>F9*H9</f>
        <v>39519.480000000003</v>
      </c>
      <c r="H9" s="8">
        <v>1</v>
      </c>
      <c r="I9" s="6" t="s">
        <v>19</v>
      </c>
      <c r="J9" s="6" t="s">
        <v>25</v>
      </c>
      <c r="K9" s="5" t="s">
        <v>21</v>
      </c>
    </row>
    <row r="10" spans="1:11" ht="15.75" customHeight="1" x14ac:dyDescent="0.25">
      <c r="A10" s="5" t="s">
        <v>16</v>
      </c>
      <c r="B10" s="5" t="s">
        <v>29</v>
      </c>
      <c r="C10" s="5"/>
      <c r="D10" s="5" t="s">
        <v>30</v>
      </c>
      <c r="E10" s="7"/>
      <c r="F10" s="7"/>
      <c r="G10" s="7"/>
      <c r="H10" s="8">
        <v>3</v>
      </c>
      <c r="I10" s="6" t="s">
        <v>19</v>
      </c>
      <c r="J10" s="6" t="s">
        <v>31</v>
      </c>
      <c r="K10" s="5" t="s">
        <v>32</v>
      </c>
    </row>
    <row r="11" spans="1:11" ht="15.75" customHeight="1" x14ac:dyDescent="0.25">
      <c r="A11" s="5" t="s">
        <v>16</v>
      </c>
      <c r="B11" s="5" t="s">
        <v>33</v>
      </c>
      <c r="C11" s="5" t="s">
        <v>34</v>
      </c>
      <c r="D11" s="5" t="s">
        <v>35</v>
      </c>
      <c r="E11" s="9">
        <v>14.53</v>
      </c>
      <c r="F11" s="10">
        <f t="shared" ref="F11:F29" si="0">E11*0.33*1.3*$B$2</f>
        <v>3490.6872000000003</v>
      </c>
      <c r="G11" s="11">
        <f t="shared" ref="G11:G29" si="1">F11*H11</f>
        <v>10472.061600000001</v>
      </c>
      <c r="H11" s="8">
        <v>3</v>
      </c>
      <c r="I11" s="6" t="s">
        <v>19</v>
      </c>
      <c r="J11" s="6" t="s">
        <v>25</v>
      </c>
      <c r="K11" s="5" t="s">
        <v>21</v>
      </c>
    </row>
    <row r="12" spans="1:11" ht="15.75" customHeight="1" x14ac:dyDescent="0.25">
      <c r="A12" s="5" t="s">
        <v>16</v>
      </c>
      <c r="B12" s="5" t="s">
        <v>33</v>
      </c>
      <c r="C12" s="5" t="s">
        <v>36</v>
      </c>
      <c r="D12" s="5" t="s">
        <v>37</v>
      </c>
      <c r="E12" s="9">
        <v>65.41</v>
      </c>
      <c r="F12" s="10">
        <f t="shared" si="0"/>
        <v>15714.098400000001</v>
      </c>
      <c r="G12" s="11">
        <f t="shared" si="1"/>
        <v>15714.098400000001</v>
      </c>
      <c r="H12" s="8">
        <v>1</v>
      </c>
      <c r="I12" s="6" t="s">
        <v>19</v>
      </c>
      <c r="J12" s="6" t="s">
        <v>25</v>
      </c>
      <c r="K12" s="5" t="s">
        <v>21</v>
      </c>
    </row>
    <row r="13" spans="1:11" ht="15.75" customHeight="1" x14ac:dyDescent="0.25">
      <c r="A13" s="5" t="s">
        <v>16</v>
      </c>
      <c r="B13" s="5" t="s">
        <v>38</v>
      </c>
      <c r="C13" s="5" t="s">
        <v>39</v>
      </c>
      <c r="D13" s="5" t="s">
        <v>40</v>
      </c>
      <c r="E13" s="9">
        <v>779.8</v>
      </c>
      <c r="F13" s="10">
        <f t="shared" si="0"/>
        <v>187339.152</v>
      </c>
      <c r="G13" s="11">
        <f t="shared" si="1"/>
        <v>187339.152</v>
      </c>
      <c r="H13" s="8">
        <v>1</v>
      </c>
      <c r="I13" s="6" t="s">
        <v>19</v>
      </c>
      <c r="J13" s="6" t="s">
        <v>25</v>
      </c>
      <c r="K13" s="5" t="s">
        <v>21</v>
      </c>
    </row>
    <row r="14" spans="1:11" ht="15.75" customHeight="1" x14ac:dyDescent="0.25">
      <c r="A14" s="5" t="s">
        <v>16</v>
      </c>
      <c r="B14" s="5" t="s">
        <v>41</v>
      </c>
      <c r="C14" s="5" t="s">
        <v>42</v>
      </c>
      <c r="D14" s="5" t="s">
        <v>43</v>
      </c>
      <c r="E14" s="9">
        <v>97.88</v>
      </c>
      <c r="F14" s="10">
        <f t="shared" si="0"/>
        <v>23514.691200000001</v>
      </c>
      <c r="G14" s="11">
        <f t="shared" si="1"/>
        <v>23514.691200000001</v>
      </c>
      <c r="H14" s="8">
        <v>1</v>
      </c>
      <c r="I14" s="6" t="s">
        <v>19</v>
      </c>
      <c r="J14" s="6" t="s">
        <v>25</v>
      </c>
      <c r="K14" s="5" t="s">
        <v>44</v>
      </c>
    </row>
    <row r="15" spans="1:11" ht="15.75" customHeight="1" x14ac:dyDescent="0.25">
      <c r="A15" s="5" t="s">
        <v>16</v>
      </c>
      <c r="B15" s="5" t="s">
        <v>41</v>
      </c>
      <c r="C15" s="5" t="s">
        <v>45</v>
      </c>
      <c r="D15" s="5" t="s">
        <v>46</v>
      </c>
      <c r="E15" s="9">
        <v>127.2</v>
      </c>
      <c r="F15" s="10">
        <f t="shared" si="0"/>
        <v>30558.528000000006</v>
      </c>
      <c r="G15" s="11">
        <f t="shared" si="1"/>
        <v>30558.528000000006</v>
      </c>
      <c r="H15" s="8">
        <v>1</v>
      </c>
      <c r="I15" s="6" t="s">
        <v>19</v>
      </c>
      <c r="J15" s="6" t="s">
        <v>25</v>
      </c>
      <c r="K15" s="5" t="s">
        <v>44</v>
      </c>
    </row>
    <row r="16" spans="1:11" ht="15.75" customHeight="1" x14ac:dyDescent="0.25">
      <c r="A16" s="5" t="s">
        <v>16</v>
      </c>
      <c r="B16" s="5" t="s">
        <v>47</v>
      </c>
      <c r="C16" s="5" t="s">
        <v>48</v>
      </c>
      <c r="D16" s="5" t="s">
        <v>49</v>
      </c>
      <c r="E16" s="9">
        <v>268.89999999999998</v>
      </c>
      <c r="F16" s="10">
        <f t="shared" si="0"/>
        <v>64600.535999999993</v>
      </c>
      <c r="G16" s="11">
        <f t="shared" si="1"/>
        <v>2842423.5839999998</v>
      </c>
      <c r="H16" s="8">
        <v>44</v>
      </c>
      <c r="I16" s="6" t="s">
        <v>19</v>
      </c>
      <c r="J16" s="6" t="s">
        <v>25</v>
      </c>
      <c r="K16" s="5" t="s">
        <v>50</v>
      </c>
    </row>
    <row r="17" spans="1:11" ht="15.75" customHeight="1" x14ac:dyDescent="0.25">
      <c r="A17" s="5" t="s">
        <v>16</v>
      </c>
      <c r="B17" s="5" t="s">
        <v>47</v>
      </c>
      <c r="C17" s="5" t="s">
        <v>51</v>
      </c>
      <c r="D17" s="5" t="s">
        <v>52</v>
      </c>
      <c r="E17" s="9">
        <v>268.89999999999998</v>
      </c>
      <c r="F17" s="10">
        <f t="shared" si="0"/>
        <v>64600.535999999993</v>
      </c>
      <c r="G17" s="11">
        <f t="shared" si="1"/>
        <v>258402.14399999997</v>
      </c>
      <c r="H17" s="8">
        <v>4</v>
      </c>
      <c r="I17" s="6" t="s">
        <v>19</v>
      </c>
      <c r="J17" s="6" t="s">
        <v>25</v>
      </c>
      <c r="K17" s="5" t="s">
        <v>21</v>
      </c>
    </row>
    <row r="18" spans="1:11" ht="15.75" customHeight="1" x14ac:dyDescent="0.25">
      <c r="A18" s="5" t="s">
        <v>16</v>
      </c>
      <c r="B18" s="5" t="s">
        <v>47</v>
      </c>
      <c r="C18" s="5" t="s">
        <v>53</v>
      </c>
      <c r="D18" s="5" t="s">
        <v>54</v>
      </c>
      <c r="E18" s="9">
        <v>292</v>
      </c>
      <c r="F18" s="10">
        <f t="shared" si="0"/>
        <v>70150.080000000002</v>
      </c>
      <c r="G18" s="11">
        <f t="shared" si="1"/>
        <v>140300.16</v>
      </c>
      <c r="H18" s="8">
        <v>2</v>
      </c>
      <c r="I18" s="6" t="s">
        <v>19</v>
      </c>
      <c r="J18" s="6" t="s">
        <v>25</v>
      </c>
      <c r="K18" s="5" t="s">
        <v>55</v>
      </c>
    </row>
    <row r="19" spans="1:11" ht="15.75" customHeight="1" x14ac:dyDescent="0.25">
      <c r="A19" s="5" t="s">
        <v>16</v>
      </c>
      <c r="B19" s="5" t="s">
        <v>56</v>
      </c>
      <c r="C19" s="5" t="s">
        <v>57</v>
      </c>
      <c r="D19" s="5" t="s">
        <v>58</v>
      </c>
      <c r="E19" s="9">
        <v>48.51</v>
      </c>
      <c r="F19" s="10">
        <f t="shared" si="0"/>
        <v>11654.042399999998</v>
      </c>
      <c r="G19" s="11">
        <f t="shared" si="1"/>
        <v>23308.084799999997</v>
      </c>
      <c r="H19" s="8">
        <v>2</v>
      </c>
      <c r="I19" s="6" t="s">
        <v>19</v>
      </c>
      <c r="J19" s="6" t="s">
        <v>25</v>
      </c>
      <c r="K19" s="5" t="s">
        <v>59</v>
      </c>
    </row>
    <row r="20" spans="1:11" ht="15.75" customHeight="1" x14ac:dyDescent="0.25">
      <c r="A20" s="5" t="s">
        <v>16</v>
      </c>
      <c r="B20" s="5" t="s">
        <v>56</v>
      </c>
      <c r="C20" s="5" t="s">
        <v>60</v>
      </c>
      <c r="D20" s="5" t="s">
        <v>61</v>
      </c>
      <c r="E20" s="9">
        <v>9.7799999999999994</v>
      </c>
      <c r="F20" s="10">
        <f t="shared" si="0"/>
        <v>2349.5472</v>
      </c>
      <c r="G20" s="11">
        <f t="shared" si="1"/>
        <v>37592.7552</v>
      </c>
      <c r="H20" s="8">
        <v>16</v>
      </c>
      <c r="I20" s="6" t="s">
        <v>19</v>
      </c>
      <c r="J20" s="6" t="s">
        <v>25</v>
      </c>
      <c r="K20" s="5" t="s">
        <v>62</v>
      </c>
    </row>
    <row r="21" spans="1:11" ht="15.75" customHeight="1" x14ac:dyDescent="0.25">
      <c r="A21" s="5" t="s">
        <v>16</v>
      </c>
      <c r="B21" s="5" t="s">
        <v>56</v>
      </c>
      <c r="C21" s="5" t="s">
        <v>63</v>
      </c>
      <c r="D21" s="5" t="s">
        <v>64</v>
      </c>
      <c r="E21" s="9">
        <v>11.74</v>
      </c>
      <c r="F21" s="10">
        <f t="shared" si="0"/>
        <v>2820.4175999999998</v>
      </c>
      <c r="G21" s="11">
        <f t="shared" si="1"/>
        <v>5640.8351999999995</v>
      </c>
      <c r="H21" s="8">
        <v>2</v>
      </c>
      <c r="I21" s="6" t="s">
        <v>19</v>
      </c>
      <c r="J21" s="6" t="s">
        <v>25</v>
      </c>
      <c r="K21" s="5" t="s">
        <v>21</v>
      </c>
    </row>
    <row r="22" spans="1:11" ht="15.75" customHeight="1" x14ac:dyDescent="0.25">
      <c r="A22" s="5" t="s">
        <v>16</v>
      </c>
      <c r="B22" s="5" t="s">
        <v>65</v>
      </c>
      <c r="C22" s="5" t="s">
        <v>66</v>
      </c>
      <c r="D22" s="5" t="s">
        <v>67</v>
      </c>
      <c r="E22" s="9">
        <v>59.16</v>
      </c>
      <c r="F22" s="10">
        <f t="shared" si="0"/>
        <v>14212.598400000001</v>
      </c>
      <c r="G22" s="11">
        <f t="shared" si="1"/>
        <v>14212.598400000001</v>
      </c>
      <c r="H22" s="8">
        <v>1</v>
      </c>
      <c r="I22" s="6" t="s">
        <v>19</v>
      </c>
      <c r="J22" s="6" t="s">
        <v>25</v>
      </c>
      <c r="K22" s="5" t="s">
        <v>21</v>
      </c>
    </row>
    <row r="23" spans="1:11" ht="15.75" customHeight="1" x14ac:dyDescent="0.25">
      <c r="A23" s="5" t="s">
        <v>16</v>
      </c>
      <c r="B23" s="5" t="s">
        <v>65</v>
      </c>
      <c r="C23" s="5" t="s">
        <v>68</v>
      </c>
      <c r="D23" s="5" t="s">
        <v>69</v>
      </c>
      <c r="E23" s="9">
        <v>37.909999999999997</v>
      </c>
      <c r="F23" s="10">
        <f t="shared" si="0"/>
        <v>9107.4984000000004</v>
      </c>
      <c r="G23" s="11">
        <f t="shared" si="1"/>
        <v>81967.4856</v>
      </c>
      <c r="H23" s="8">
        <v>9</v>
      </c>
      <c r="I23" s="6" t="s">
        <v>19</v>
      </c>
      <c r="J23" s="6" t="s">
        <v>25</v>
      </c>
      <c r="K23" s="5" t="s">
        <v>21</v>
      </c>
    </row>
    <row r="24" spans="1:11" ht="15.75" customHeight="1" x14ac:dyDescent="0.25">
      <c r="A24" s="5" t="s">
        <v>16</v>
      </c>
      <c r="B24" s="5" t="s">
        <v>70</v>
      </c>
      <c r="C24" s="5" t="s">
        <v>71</v>
      </c>
      <c r="D24" s="5" t="s">
        <v>72</v>
      </c>
      <c r="E24" s="9">
        <v>36.090000000000003</v>
      </c>
      <c r="F24" s="10">
        <f t="shared" si="0"/>
        <v>8670.2615999999998</v>
      </c>
      <c r="G24" s="11">
        <f t="shared" si="1"/>
        <v>86702.615999999995</v>
      </c>
      <c r="H24" s="8">
        <v>10</v>
      </c>
      <c r="I24" s="6" t="s">
        <v>19</v>
      </c>
      <c r="J24" s="6" t="s">
        <v>25</v>
      </c>
      <c r="K24" s="5" t="s">
        <v>21</v>
      </c>
    </row>
    <row r="25" spans="1:11" ht="15.75" customHeight="1" x14ac:dyDescent="0.25">
      <c r="A25" s="5" t="s">
        <v>16</v>
      </c>
      <c r="B25" s="5" t="s">
        <v>73</v>
      </c>
      <c r="C25" s="5" t="s">
        <v>74</v>
      </c>
      <c r="D25" s="5" t="s">
        <v>75</v>
      </c>
      <c r="E25" s="9">
        <v>16.27</v>
      </c>
      <c r="F25" s="10">
        <f t="shared" si="0"/>
        <v>3908.7048000000004</v>
      </c>
      <c r="G25" s="11">
        <f t="shared" si="1"/>
        <v>3908.7048000000004</v>
      </c>
      <c r="H25" s="8">
        <v>1</v>
      </c>
      <c r="I25" s="6" t="s">
        <v>19</v>
      </c>
      <c r="J25" s="6" t="s">
        <v>25</v>
      </c>
      <c r="K25" s="5" t="s">
        <v>21</v>
      </c>
    </row>
    <row r="26" spans="1:11" ht="15.75" customHeight="1" x14ac:dyDescent="0.25">
      <c r="A26" s="5" t="s">
        <v>16</v>
      </c>
      <c r="B26" s="5" t="s">
        <v>73</v>
      </c>
      <c r="C26" s="5" t="s">
        <v>76</v>
      </c>
      <c r="D26" s="5" t="s">
        <v>77</v>
      </c>
      <c r="E26" s="9">
        <v>1.1399999999999999</v>
      </c>
      <c r="F26" s="10">
        <f t="shared" si="0"/>
        <v>273.87360000000001</v>
      </c>
      <c r="G26" s="11">
        <f t="shared" si="1"/>
        <v>273.87360000000001</v>
      </c>
      <c r="H26" s="8">
        <v>1</v>
      </c>
      <c r="I26" s="6" t="s">
        <v>19</v>
      </c>
      <c r="J26" s="6" t="s">
        <v>25</v>
      </c>
      <c r="K26" s="5" t="s">
        <v>21</v>
      </c>
    </row>
    <row r="27" spans="1:11" ht="15.75" customHeight="1" x14ac:dyDescent="0.25">
      <c r="A27" s="5" t="s">
        <v>16</v>
      </c>
      <c r="B27" s="5" t="s">
        <v>73</v>
      </c>
      <c r="C27" s="5" t="s">
        <v>78</v>
      </c>
      <c r="D27" s="5" t="s">
        <v>79</v>
      </c>
      <c r="E27" s="9">
        <v>4.5999999999999996</v>
      </c>
      <c r="F27" s="10">
        <f t="shared" si="0"/>
        <v>1105.104</v>
      </c>
      <c r="G27" s="11">
        <f t="shared" si="1"/>
        <v>1105.104</v>
      </c>
      <c r="H27" s="8">
        <v>1</v>
      </c>
      <c r="I27" s="6" t="s">
        <v>19</v>
      </c>
      <c r="J27" s="6" t="s">
        <v>25</v>
      </c>
      <c r="K27" s="5" t="s">
        <v>21</v>
      </c>
    </row>
    <row r="28" spans="1:11" ht="15.75" customHeight="1" x14ac:dyDescent="0.25">
      <c r="A28" s="5" t="s">
        <v>16</v>
      </c>
      <c r="B28" s="5" t="s">
        <v>80</v>
      </c>
      <c r="C28" s="5" t="s">
        <v>81</v>
      </c>
      <c r="D28" s="5" t="s">
        <v>82</v>
      </c>
      <c r="E28" s="9">
        <v>4.5999999999999996</v>
      </c>
      <c r="F28" s="10">
        <f t="shared" si="0"/>
        <v>1105.104</v>
      </c>
      <c r="G28" s="11">
        <f t="shared" si="1"/>
        <v>4420.4160000000002</v>
      </c>
      <c r="H28" s="8">
        <v>4</v>
      </c>
      <c r="I28" s="6" t="s">
        <v>19</v>
      </c>
      <c r="J28" s="6" t="s">
        <v>25</v>
      </c>
      <c r="K28" s="5" t="s">
        <v>83</v>
      </c>
    </row>
    <row r="29" spans="1:11" ht="15.75" customHeight="1" x14ac:dyDescent="0.25">
      <c r="A29" s="5" t="s">
        <v>16</v>
      </c>
      <c r="B29" s="5" t="s">
        <v>84</v>
      </c>
      <c r="C29" s="5" t="s">
        <v>85</v>
      </c>
      <c r="D29" s="5" t="s">
        <v>86</v>
      </c>
      <c r="E29" s="9">
        <v>361.2</v>
      </c>
      <c r="F29" s="10">
        <f t="shared" si="0"/>
        <v>86774.688000000009</v>
      </c>
      <c r="G29" s="11">
        <f t="shared" si="1"/>
        <v>86774.688000000009</v>
      </c>
      <c r="H29" s="8">
        <v>1</v>
      </c>
      <c r="I29" s="6" t="s">
        <v>19</v>
      </c>
      <c r="J29" s="6" t="s">
        <v>25</v>
      </c>
      <c r="K29" s="5" t="s">
        <v>83</v>
      </c>
    </row>
    <row r="30" spans="1:11" ht="15.75" customHeight="1" x14ac:dyDescent="0.25">
      <c r="A30" s="12" t="s">
        <v>16</v>
      </c>
      <c r="B30" s="12" t="s">
        <v>87</v>
      </c>
      <c r="C30" s="14" t="s">
        <v>88</v>
      </c>
      <c r="D30" s="12" t="s">
        <v>89</v>
      </c>
      <c r="E30" s="15"/>
      <c r="F30" s="7"/>
      <c r="G30" s="7"/>
      <c r="H30" s="16">
        <v>1</v>
      </c>
      <c r="I30" s="13" t="s">
        <v>90</v>
      </c>
      <c r="J30" s="13" t="s">
        <v>91</v>
      </c>
      <c r="K30" s="12" t="s">
        <v>92</v>
      </c>
    </row>
    <row r="31" spans="1:11" ht="15.75" customHeight="1" x14ac:dyDescent="0.25">
      <c r="A31" s="5" t="s">
        <v>16</v>
      </c>
      <c r="B31" s="5" t="s">
        <v>93</v>
      </c>
      <c r="C31" s="5"/>
      <c r="D31" s="5" t="s">
        <v>94</v>
      </c>
      <c r="E31" s="7"/>
      <c r="F31" s="7"/>
      <c r="G31" s="7"/>
      <c r="H31" s="8">
        <v>1</v>
      </c>
      <c r="I31" s="6" t="s">
        <v>90</v>
      </c>
      <c r="J31" s="6" t="s">
        <v>91</v>
      </c>
      <c r="K31" s="5" t="s">
        <v>95</v>
      </c>
    </row>
    <row r="32" spans="1:11" ht="15.75" customHeight="1" x14ac:dyDescent="0.25">
      <c r="A32" s="5" t="s">
        <v>16</v>
      </c>
      <c r="B32" s="5" t="s">
        <v>96</v>
      </c>
      <c r="C32" s="5"/>
      <c r="D32" s="5" t="s">
        <v>97</v>
      </c>
      <c r="E32" s="7"/>
      <c r="F32" s="7"/>
      <c r="G32" s="7"/>
      <c r="H32" s="8">
        <v>1</v>
      </c>
      <c r="I32" s="6" t="s">
        <v>90</v>
      </c>
      <c r="J32" s="6" t="s">
        <v>91</v>
      </c>
      <c r="K32" s="5" t="s">
        <v>95</v>
      </c>
    </row>
    <row r="33" spans="6:7" ht="18" customHeight="1" x14ac:dyDescent="0.25">
      <c r="F33" s="17" t="s">
        <v>98</v>
      </c>
      <c r="G33" s="18">
        <f>SUM(G7:G32)</f>
        <v>3931051.9247999997</v>
      </c>
    </row>
  </sheetData>
  <mergeCells count="3">
    <mergeCell ref="A1:K1"/>
    <mergeCell ref="A3:K3"/>
    <mergeCell ref="A6:K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8"/>
  <sheetViews>
    <sheetView tabSelected="1" zoomScaleNormal="100" workbookViewId="0">
      <pane ySplit="5" topLeftCell="A6" activePane="bottomLeft" state="frozen"/>
      <selection pane="bottomLeft" activeCell="C14" sqref="C14"/>
    </sheetView>
  </sheetViews>
  <sheetFormatPr defaultColWidth="8.7109375" defaultRowHeight="15" x14ac:dyDescent="0.25"/>
  <cols>
    <col min="1" max="1" width="22" customWidth="1"/>
    <col min="2" max="2" width="16" customWidth="1"/>
    <col min="3" max="3" width="22" customWidth="1"/>
    <col min="4" max="4" width="48" customWidth="1"/>
    <col min="5" max="7" width="22" customWidth="1"/>
    <col min="8" max="8" width="9" customWidth="1"/>
    <col min="9" max="9" width="7" customWidth="1"/>
    <col min="10" max="10" width="12" customWidth="1"/>
    <col min="11" max="11" width="22" customWidth="1"/>
  </cols>
  <sheetData>
    <row r="1" spans="1:11" ht="18" customHeight="1" x14ac:dyDescent="0.25">
      <c r="A1" s="21" t="s">
        <v>99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ht="15.75" customHeight="1" x14ac:dyDescent="0.25">
      <c r="A2" s="1" t="s">
        <v>1</v>
      </c>
      <c r="B2" s="2">
        <v>560</v>
      </c>
      <c r="C2" s="3" t="s">
        <v>2</v>
      </c>
    </row>
    <row r="3" spans="1:11" ht="13.5" customHeight="1" x14ac:dyDescent="0.25">
      <c r="A3" s="22" t="s">
        <v>3</v>
      </c>
      <c r="B3" s="22"/>
      <c r="C3" s="22"/>
      <c r="D3" s="22"/>
      <c r="E3" s="22"/>
      <c r="F3" s="22"/>
      <c r="G3" s="22"/>
      <c r="H3" s="22"/>
      <c r="I3" s="22"/>
      <c r="J3" s="22"/>
      <c r="K3" s="22"/>
    </row>
    <row r="4" spans="1:11" ht="3.75" customHeight="1" x14ac:dyDescent="0.25"/>
    <row r="5" spans="1:11" ht="27.75" customHeight="1" x14ac:dyDescent="0.25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</row>
    <row r="6" spans="1:11" ht="21.75" customHeight="1" x14ac:dyDescent="0.25">
      <c r="A6" s="23" t="s">
        <v>100</v>
      </c>
      <c r="B6" s="23"/>
      <c r="C6" s="23"/>
      <c r="D6" s="23"/>
      <c r="E6" s="23"/>
      <c r="F6" s="23"/>
      <c r="G6" s="23"/>
      <c r="H6" s="23"/>
      <c r="I6" s="23"/>
      <c r="J6" s="23"/>
      <c r="K6" s="23"/>
    </row>
    <row r="7" spans="1:11" ht="15.75" customHeight="1" x14ac:dyDescent="0.25">
      <c r="A7" s="5" t="s">
        <v>101</v>
      </c>
      <c r="B7" s="5" t="s">
        <v>17</v>
      </c>
      <c r="C7" s="5"/>
      <c r="D7" s="5" t="s">
        <v>18</v>
      </c>
      <c r="E7" s="7"/>
      <c r="F7" s="7"/>
      <c r="G7" s="7"/>
      <c r="H7" s="8">
        <v>1</v>
      </c>
      <c r="I7" s="6" t="s">
        <v>19</v>
      </c>
      <c r="J7" s="6" t="s">
        <v>20</v>
      </c>
      <c r="K7" s="5" t="s">
        <v>21</v>
      </c>
    </row>
    <row r="8" spans="1:11" ht="15.75" customHeight="1" x14ac:dyDescent="0.25">
      <c r="A8" s="5" t="s">
        <v>101</v>
      </c>
      <c r="B8" s="5" t="s">
        <v>22</v>
      </c>
      <c r="C8" s="5" t="s">
        <v>102</v>
      </c>
      <c r="D8" s="5" t="s">
        <v>103</v>
      </c>
      <c r="E8" s="9">
        <v>1237</v>
      </c>
      <c r="F8" s="10">
        <f>E8*0.33*1.3*$B$2</f>
        <v>297176.88000000006</v>
      </c>
      <c r="G8" s="11">
        <f>F8*H8</f>
        <v>297176.88000000006</v>
      </c>
      <c r="H8" s="8">
        <v>1</v>
      </c>
      <c r="I8" s="6" t="s">
        <v>19</v>
      </c>
      <c r="J8" s="6" t="s">
        <v>25</v>
      </c>
      <c r="K8" s="5" t="s">
        <v>21</v>
      </c>
    </row>
    <row r="9" spans="1:11" ht="15.75" customHeight="1" x14ac:dyDescent="0.25">
      <c r="A9" s="5" t="s">
        <v>101</v>
      </c>
      <c r="B9" s="5" t="s">
        <v>26</v>
      </c>
      <c r="C9" s="5" t="s">
        <v>104</v>
      </c>
      <c r="D9" s="5" t="s">
        <v>105</v>
      </c>
      <c r="E9" s="9">
        <v>130.30000000000001</v>
      </c>
      <c r="F9" s="10">
        <f>E9*0.33*1.3*$B$2</f>
        <v>31303.272000000004</v>
      </c>
      <c r="G9" s="11">
        <f>F9*H9</f>
        <v>31303.272000000004</v>
      </c>
      <c r="H9" s="8">
        <v>1</v>
      </c>
      <c r="I9" s="6" t="s">
        <v>19</v>
      </c>
      <c r="J9" s="6" t="s">
        <v>25</v>
      </c>
      <c r="K9" s="5" t="s">
        <v>106</v>
      </c>
    </row>
    <row r="10" spans="1:11" ht="15.75" customHeight="1" x14ac:dyDescent="0.25">
      <c r="A10" s="12" t="s">
        <v>101</v>
      </c>
      <c r="B10" s="12" t="s">
        <v>22</v>
      </c>
      <c r="C10" s="14" t="s">
        <v>88</v>
      </c>
      <c r="D10" s="12" t="s">
        <v>107</v>
      </c>
      <c r="E10" s="15"/>
      <c r="F10" s="7"/>
      <c r="G10" s="7"/>
      <c r="H10" s="16">
        <v>1</v>
      </c>
      <c r="I10" s="13" t="s">
        <v>19</v>
      </c>
      <c r="J10" s="13" t="s">
        <v>25</v>
      </c>
      <c r="K10" s="12" t="s">
        <v>108</v>
      </c>
    </row>
    <row r="11" spans="1:11" ht="15.75" customHeight="1" x14ac:dyDescent="0.25">
      <c r="A11" s="5" t="s">
        <v>101</v>
      </c>
      <c r="B11" s="5" t="s">
        <v>22</v>
      </c>
      <c r="C11" s="5" t="s">
        <v>23</v>
      </c>
      <c r="D11" s="5" t="s">
        <v>24</v>
      </c>
      <c r="E11" s="9">
        <v>153.6</v>
      </c>
      <c r="F11" s="10">
        <f>E11*0.33*1.3*$B$2</f>
        <v>36900.864000000001</v>
      </c>
      <c r="G11" s="11">
        <f>F11*H11</f>
        <v>36900.864000000001</v>
      </c>
      <c r="H11" s="8">
        <v>1</v>
      </c>
      <c r="I11" s="6" t="s">
        <v>19</v>
      </c>
      <c r="J11" s="6" t="s">
        <v>25</v>
      </c>
      <c r="K11" s="5" t="s">
        <v>21</v>
      </c>
    </row>
    <row r="12" spans="1:11" ht="15.75" customHeight="1" x14ac:dyDescent="0.25">
      <c r="A12" s="5" t="s">
        <v>101</v>
      </c>
      <c r="B12" s="5" t="s">
        <v>29</v>
      </c>
      <c r="C12" s="5"/>
      <c r="D12" s="5" t="s">
        <v>109</v>
      </c>
      <c r="E12" s="7"/>
      <c r="F12" s="7"/>
      <c r="G12" s="7"/>
      <c r="H12" s="8">
        <v>3</v>
      </c>
      <c r="I12" s="6" t="s">
        <v>19</v>
      </c>
      <c r="J12" s="6" t="s">
        <v>31</v>
      </c>
      <c r="K12" s="5" t="s">
        <v>32</v>
      </c>
    </row>
    <row r="13" spans="1:11" ht="15.75" customHeight="1" x14ac:dyDescent="0.25">
      <c r="A13" s="5" t="s">
        <v>101</v>
      </c>
      <c r="B13" s="5" t="s">
        <v>33</v>
      </c>
      <c r="C13" s="5" t="s">
        <v>34</v>
      </c>
      <c r="D13" s="5" t="s">
        <v>35</v>
      </c>
      <c r="E13" s="9">
        <v>14.53</v>
      </c>
      <c r="F13" s="10">
        <f t="shared" ref="F13:F26" si="0">E13*0.33*1.3*$B$2</f>
        <v>3490.6872000000003</v>
      </c>
      <c r="G13" s="11">
        <f t="shared" ref="G13:G26" si="1">F13*H13</f>
        <v>10472.061600000001</v>
      </c>
      <c r="H13" s="8">
        <v>3</v>
      </c>
      <c r="I13" s="6" t="s">
        <v>19</v>
      </c>
      <c r="J13" s="6" t="s">
        <v>25</v>
      </c>
      <c r="K13" s="5" t="s">
        <v>21</v>
      </c>
    </row>
    <row r="14" spans="1:11" ht="15.75" customHeight="1" x14ac:dyDescent="0.25">
      <c r="A14" s="5" t="s">
        <v>101</v>
      </c>
      <c r="B14" s="5" t="s">
        <v>33</v>
      </c>
      <c r="C14" s="5" t="s">
        <v>36</v>
      </c>
      <c r="D14" s="5" t="s">
        <v>37</v>
      </c>
      <c r="E14" s="9">
        <v>65.41</v>
      </c>
      <c r="F14" s="10">
        <f t="shared" si="0"/>
        <v>15714.098400000001</v>
      </c>
      <c r="G14" s="11">
        <f t="shared" si="1"/>
        <v>15714.098400000001</v>
      </c>
      <c r="H14" s="8">
        <v>1</v>
      </c>
      <c r="I14" s="6" t="s">
        <v>19</v>
      </c>
      <c r="J14" s="6" t="s">
        <v>25</v>
      </c>
      <c r="K14" s="5" t="s">
        <v>21</v>
      </c>
    </row>
    <row r="15" spans="1:11" ht="15.75" customHeight="1" x14ac:dyDescent="0.25">
      <c r="A15" s="5" t="s">
        <v>101</v>
      </c>
      <c r="B15" s="5" t="s">
        <v>38</v>
      </c>
      <c r="C15" s="5" t="s">
        <v>39</v>
      </c>
      <c r="D15" s="5" t="s">
        <v>40</v>
      </c>
      <c r="E15" s="9">
        <v>779.8</v>
      </c>
      <c r="F15" s="10">
        <f t="shared" si="0"/>
        <v>187339.152</v>
      </c>
      <c r="G15" s="11">
        <f t="shared" si="1"/>
        <v>187339.152</v>
      </c>
      <c r="H15" s="8">
        <v>1</v>
      </c>
      <c r="I15" s="6" t="s">
        <v>19</v>
      </c>
      <c r="J15" s="6" t="s">
        <v>25</v>
      </c>
      <c r="K15" s="5" t="s">
        <v>21</v>
      </c>
    </row>
    <row r="16" spans="1:11" ht="15.75" customHeight="1" x14ac:dyDescent="0.25">
      <c r="A16" s="5" t="s">
        <v>101</v>
      </c>
      <c r="B16" s="5" t="s">
        <v>41</v>
      </c>
      <c r="C16" s="5" t="s">
        <v>42</v>
      </c>
      <c r="D16" s="5" t="s">
        <v>43</v>
      </c>
      <c r="E16" s="9">
        <v>97.88</v>
      </c>
      <c r="F16" s="10">
        <f t="shared" si="0"/>
        <v>23514.691200000001</v>
      </c>
      <c r="G16" s="11">
        <f t="shared" si="1"/>
        <v>23514.691200000001</v>
      </c>
      <c r="H16" s="8">
        <v>1</v>
      </c>
      <c r="I16" s="6" t="s">
        <v>19</v>
      </c>
      <c r="J16" s="6" t="s">
        <v>25</v>
      </c>
      <c r="K16" s="5" t="s">
        <v>21</v>
      </c>
    </row>
    <row r="17" spans="1:11" ht="15.75" customHeight="1" x14ac:dyDescent="0.25">
      <c r="A17" s="5" t="s">
        <v>101</v>
      </c>
      <c r="B17" s="5" t="s">
        <v>41</v>
      </c>
      <c r="C17" s="5" t="s">
        <v>45</v>
      </c>
      <c r="D17" s="5" t="s">
        <v>46</v>
      </c>
      <c r="E17" s="9">
        <v>127.2</v>
      </c>
      <c r="F17" s="10">
        <f t="shared" si="0"/>
        <v>30558.528000000006</v>
      </c>
      <c r="G17" s="11">
        <f t="shared" si="1"/>
        <v>91675.584000000017</v>
      </c>
      <c r="H17" s="8">
        <v>3</v>
      </c>
      <c r="I17" s="6" t="s">
        <v>19</v>
      </c>
      <c r="J17" s="6" t="s">
        <v>25</v>
      </c>
      <c r="K17" s="5" t="s">
        <v>21</v>
      </c>
    </row>
    <row r="18" spans="1:11" ht="15.75" customHeight="1" x14ac:dyDescent="0.25">
      <c r="A18" s="5" t="s">
        <v>101</v>
      </c>
      <c r="B18" s="5" t="s">
        <v>41</v>
      </c>
      <c r="C18" s="5" t="s">
        <v>110</v>
      </c>
      <c r="D18" s="5" t="s">
        <v>111</v>
      </c>
      <c r="E18" s="9">
        <v>165.4</v>
      </c>
      <c r="F18" s="10">
        <f t="shared" si="0"/>
        <v>39735.696000000004</v>
      </c>
      <c r="G18" s="11">
        <f t="shared" si="1"/>
        <v>39735.696000000004</v>
      </c>
      <c r="H18" s="8">
        <v>1</v>
      </c>
      <c r="I18" s="6" t="s">
        <v>19</v>
      </c>
      <c r="J18" s="6" t="s">
        <v>25</v>
      </c>
      <c r="K18" s="5" t="s">
        <v>21</v>
      </c>
    </row>
    <row r="19" spans="1:11" ht="15.75" customHeight="1" x14ac:dyDescent="0.25">
      <c r="A19" s="5" t="s">
        <v>101</v>
      </c>
      <c r="B19" s="5" t="s">
        <v>41</v>
      </c>
      <c r="C19" s="5" t="s">
        <v>112</v>
      </c>
      <c r="D19" s="5" t="s">
        <v>113</v>
      </c>
      <c r="E19" s="9">
        <v>190.8</v>
      </c>
      <c r="F19" s="10">
        <f t="shared" si="0"/>
        <v>45837.792000000009</v>
      </c>
      <c r="G19" s="11">
        <f t="shared" si="1"/>
        <v>91675.584000000017</v>
      </c>
      <c r="H19" s="8">
        <v>2</v>
      </c>
      <c r="I19" s="6" t="s">
        <v>19</v>
      </c>
      <c r="J19" s="6" t="s">
        <v>25</v>
      </c>
      <c r="K19" s="5" t="s">
        <v>114</v>
      </c>
    </row>
    <row r="20" spans="1:11" ht="15.75" customHeight="1" x14ac:dyDescent="0.25">
      <c r="A20" s="12" t="s">
        <v>101</v>
      </c>
      <c r="B20" s="12" t="s">
        <v>41</v>
      </c>
      <c r="C20" s="14" t="s">
        <v>115</v>
      </c>
      <c r="D20" s="12" t="s">
        <v>116</v>
      </c>
      <c r="E20" s="9">
        <v>363.9</v>
      </c>
      <c r="F20" s="10">
        <f t="shared" si="0"/>
        <v>87423.335999999996</v>
      </c>
      <c r="G20" s="11">
        <f t="shared" si="1"/>
        <v>87423.335999999996</v>
      </c>
      <c r="H20" s="16">
        <v>1</v>
      </c>
      <c r="I20" s="13" t="s">
        <v>19</v>
      </c>
      <c r="J20" s="13" t="s">
        <v>25</v>
      </c>
      <c r="K20" s="12" t="s">
        <v>117</v>
      </c>
    </row>
    <row r="21" spans="1:11" ht="15.75" customHeight="1" x14ac:dyDescent="0.25">
      <c r="A21" s="5" t="s">
        <v>101</v>
      </c>
      <c r="B21" s="5" t="s">
        <v>47</v>
      </c>
      <c r="C21" s="5" t="s">
        <v>48</v>
      </c>
      <c r="D21" s="5" t="s">
        <v>49</v>
      </c>
      <c r="E21" s="9">
        <v>268.89999999999998</v>
      </c>
      <c r="F21" s="10">
        <f t="shared" si="0"/>
        <v>64600.535999999993</v>
      </c>
      <c r="G21" s="11">
        <f t="shared" si="1"/>
        <v>2713222.5119999996</v>
      </c>
      <c r="H21" s="8">
        <v>42</v>
      </c>
      <c r="I21" s="6" t="s">
        <v>19</v>
      </c>
      <c r="J21" s="6" t="s">
        <v>25</v>
      </c>
      <c r="K21" s="5" t="s">
        <v>50</v>
      </c>
    </row>
    <row r="22" spans="1:11" ht="15.75" customHeight="1" x14ac:dyDescent="0.25">
      <c r="A22" s="5" t="s">
        <v>101</v>
      </c>
      <c r="B22" s="5" t="s">
        <v>47</v>
      </c>
      <c r="C22" s="5" t="s">
        <v>51</v>
      </c>
      <c r="D22" s="5" t="s">
        <v>118</v>
      </c>
      <c r="E22" s="9">
        <v>268.89999999999998</v>
      </c>
      <c r="F22" s="10">
        <f t="shared" si="0"/>
        <v>64600.535999999993</v>
      </c>
      <c r="G22" s="11">
        <f t="shared" si="1"/>
        <v>129201.07199999999</v>
      </c>
      <c r="H22" s="8">
        <v>2</v>
      </c>
      <c r="I22" s="6" t="s">
        <v>19</v>
      </c>
      <c r="J22" s="6" t="s">
        <v>25</v>
      </c>
      <c r="K22" s="5" t="s">
        <v>21</v>
      </c>
    </row>
    <row r="23" spans="1:11" ht="15.75" customHeight="1" x14ac:dyDescent="0.25">
      <c r="A23" s="5" t="s">
        <v>101</v>
      </c>
      <c r="B23" s="5" t="s">
        <v>47</v>
      </c>
      <c r="C23" s="5" t="s">
        <v>51</v>
      </c>
      <c r="D23" s="5" t="s">
        <v>119</v>
      </c>
      <c r="E23" s="9">
        <v>268.89999999999998</v>
      </c>
      <c r="F23" s="10">
        <f t="shared" si="0"/>
        <v>64600.535999999993</v>
      </c>
      <c r="G23" s="11">
        <f t="shared" si="1"/>
        <v>64600.535999999993</v>
      </c>
      <c r="H23" s="8">
        <v>1</v>
      </c>
      <c r="I23" s="6" t="s">
        <v>19</v>
      </c>
      <c r="J23" s="6" t="s">
        <v>25</v>
      </c>
      <c r="K23" s="5" t="s">
        <v>120</v>
      </c>
    </row>
    <row r="24" spans="1:11" ht="15.75" customHeight="1" x14ac:dyDescent="0.25">
      <c r="A24" s="5" t="s">
        <v>101</v>
      </c>
      <c r="B24" s="5" t="s">
        <v>47</v>
      </c>
      <c r="C24" s="5" t="s">
        <v>121</v>
      </c>
      <c r="D24" s="5" t="s">
        <v>122</v>
      </c>
      <c r="E24" s="9">
        <v>292</v>
      </c>
      <c r="F24" s="10">
        <f t="shared" si="0"/>
        <v>70150.080000000002</v>
      </c>
      <c r="G24" s="11">
        <f t="shared" si="1"/>
        <v>280600.32000000001</v>
      </c>
      <c r="H24" s="8">
        <v>4</v>
      </c>
      <c r="I24" s="6" t="s">
        <v>19</v>
      </c>
      <c r="J24" s="6" t="s">
        <v>25</v>
      </c>
      <c r="K24" s="5" t="s">
        <v>21</v>
      </c>
    </row>
    <row r="25" spans="1:11" ht="15.75" customHeight="1" x14ac:dyDescent="0.25">
      <c r="A25" s="5" t="s">
        <v>101</v>
      </c>
      <c r="B25" s="5" t="s">
        <v>47</v>
      </c>
      <c r="C25" s="5" t="s">
        <v>53</v>
      </c>
      <c r="D25" s="5" t="s">
        <v>54</v>
      </c>
      <c r="E25" s="9">
        <v>292</v>
      </c>
      <c r="F25" s="10">
        <f t="shared" si="0"/>
        <v>70150.080000000002</v>
      </c>
      <c r="G25" s="11">
        <f t="shared" si="1"/>
        <v>140300.16</v>
      </c>
      <c r="H25" s="8">
        <v>2</v>
      </c>
      <c r="I25" s="6" t="s">
        <v>19</v>
      </c>
      <c r="J25" s="6" t="s">
        <v>25</v>
      </c>
      <c r="K25" s="5" t="s">
        <v>21</v>
      </c>
    </row>
    <row r="26" spans="1:11" ht="15.75" customHeight="1" x14ac:dyDescent="0.25">
      <c r="A26" s="5" t="s">
        <v>101</v>
      </c>
      <c r="B26" s="5" t="s">
        <v>47</v>
      </c>
      <c r="C26" s="5" t="s">
        <v>123</v>
      </c>
      <c r="D26" s="5" t="s">
        <v>124</v>
      </c>
      <c r="E26" s="9">
        <v>292</v>
      </c>
      <c r="F26" s="10">
        <f t="shared" si="0"/>
        <v>70150.080000000002</v>
      </c>
      <c r="G26" s="11">
        <f t="shared" si="1"/>
        <v>140300.16</v>
      </c>
      <c r="H26" s="8">
        <v>2</v>
      </c>
      <c r="I26" s="6" t="s">
        <v>19</v>
      </c>
      <c r="J26" s="6" t="s">
        <v>25</v>
      </c>
      <c r="K26" s="5" t="s">
        <v>21</v>
      </c>
    </row>
    <row r="27" spans="1:11" ht="15.75" customHeight="1" x14ac:dyDescent="0.25">
      <c r="A27" s="12" t="s">
        <v>101</v>
      </c>
      <c r="B27" s="12" t="s">
        <v>47</v>
      </c>
      <c r="C27" s="14" t="s">
        <v>88</v>
      </c>
      <c r="D27" s="12" t="s">
        <v>125</v>
      </c>
      <c r="E27" s="15"/>
      <c r="F27" s="7"/>
      <c r="G27" s="7"/>
      <c r="H27" s="16">
        <v>1</v>
      </c>
      <c r="I27" s="13" t="s">
        <v>19</v>
      </c>
      <c r="J27" s="13" t="s">
        <v>25</v>
      </c>
      <c r="K27" s="12" t="s">
        <v>108</v>
      </c>
    </row>
    <row r="28" spans="1:11" ht="15.75" customHeight="1" x14ac:dyDescent="0.25">
      <c r="A28" s="5" t="s">
        <v>101</v>
      </c>
      <c r="B28" s="5" t="s">
        <v>56</v>
      </c>
      <c r="C28" s="5" t="s">
        <v>57</v>
      </c>
      <c r="D28" s="5" t="s">
        <v>58</v>
      </c>
      <c r="E28" s="9">
        <v>48.51</v>
      </c>
      <c r="F28" s="10">
        <f t="shared" ref="F28:F37" si="2">E28*0.33*1.3*$B$2</f>
        <v>11654.042399999998</v>
      </c>
      <c r="G28" s="11">
        <f t="shared" ref="G28:G37" si="3">F28*H28</f>
        <v>23308.084799999997</v>
      </c>
      <c r="H28" s="8">
        <v>2</v>
      </c>
      <c r="I28" s="6" t="s">
        <v>19</v>
      </c>
      <c r="J28" s="6" t="s">
        <v>25</v>
      </c>
      <c r="K28" s="5" t="s">
        <v>21</v>
      </c>
    </row>
    <row r="29" spans="1:11" ht="15.75" customHeight="1" x14ac:dyDescent="0.25">
      <c r="A29" s="5" t="s">
        <v>101</v>
      </c>
      <c r="B29" s="5" t="s">
        <v>56</v>
      </c>
      <c r="C29" s="5" t="s">
        <v>126</v>
      </c>
      <c r="D29" s="5" t="s">
        <v>127</v>
      </c>
      <c r="E29" s="9">
        <v>63.02</v>
      </c>
      <c r="F29" s="10">
        <f t="shared" si="2"/>
        <v>15139.924800000003</v>
      </c>
      <c r="G29" s="11">
        <f t="shared" si="3"/>
        <v>15139.924800000003</v>
      </c>
      <c r="H29" s="8">
        <v>1</v>
      </c>
      <c r="I29" s="6" t="s">
        <v>19</v>
      </c>
      <c r="J29" s="6" t="s">
        <v>25</v>
      </c>
      <c r="K29" s="5" t="s">
        <v>21</v>
      </c>
    </row>
    <row r="30" spans="1:11" ht="15.75" customHeight="1" x14ac:dyDescent="0.25">
      <c r="A30" s="5" t="s">
        <v>101</v>
      </c>
      <c r="B30" s="5" t="s">
        <v>56</v>
      </c>
      <c r="C30" s="5" t="s">
        <v>128</v>
      </c>
      <c r="D30" s="5" t="s">
        <v>129</v>
      </c>
      <c r="E30" s="9">
        <v>72.72</v>
      </c>
      <c r="F30" s="10">
        <f t="shared" si="2"/>
        <v>17470.252800000002</v>
      </c>
      <c r="G30" s="11">
        <f t="shared" si="3"/>
        <v>34940.505600000004</v>
      </c>
      <c r="H30" s="8">
        <v>2</v>
      </c>
      <c r="I30" s="6" t="s">
        <v>19</v>
      </c>
      <c r="J30" s="6" t="s">
        <v>25</v>
      </c>
      <c r="K30" s="5" t="s">
        <v>21</v>
      </c>
    </row>
    <row r="31" spans="1:11" ht="15.75" customHeight="1" x14ac:dyDescent="0.25">
      <c r="A31" s="5" t="s">
        <v>101</v>
      </c>
      <c r="B31" s="5" t="s">
        <v>56</v>
      </c>
      <c r="C31" s="5" t="s">
        <v>60</v>
      </c>
      <c r="D31" s="5" t="s">
        <v>61</v>
      </c>
      <c r="E31" s="9">
        <v>9.7799999999999994</v>
      </c>
      <c r="F31" s="10">
        <f t="shared" si="2"/>
        <v>2349.5472</v>
      </c>
      <c r="G31" s="11">
        <f t="shared" si="3"/>
        <v>37592.7552</v>
      </c>
      <c r="H31" s="8">
        <v>16</v>
      </c>
      <c r="I31" s="6" t="s">
        <v>19</v>
      </c>
      <c r="J31" s="6" t="s">
        <v>25</v>
      </c>
      <c r="K31" s="5" t="s">
        <v>21</v>
      </c>
    </row>
    <row r="32" spans="1:11" ht="15.75" customHeight="1" x14ac:dyDescent="0.25">
      <c r="A32" s="5" t="s">
        <v>101</v>
      </c>
      <c r="B32" s="5" t="s">
        <v>56</v>
      </c>
      <c r="C32" s="5" t="s">
        <v>63</v>
      </c>
      <c r="D32" s="5" t="s">
        <v>64</v>
      </c>
      <c r="E32" s="9">
        <v>11.74</v>
      </c>
      <c r="F32" s="10">
        <f t="shared" si="2"/>
        <v>2820.4175999999998</v>
      </c>
      <c r="G32" s="11">
        <f t="shared" si="3"/>
        <v>5640.8351999999995</v>
      </c>
      <c r="H32" s="8">
        <v>2</v>
      </c>
      <c r="I32" s="6" t="s">
        <v>19</v>
      </c>
      <c r="J32" s="6" t="s">
        <v>25</v>
      </c>
      <c r="K32" s="5" t="s">
        <v>21</v>
      </c>
    </row>
    <row r="33" spans="1:11" ht="15.75" customHeight="1" x14ac:dyDescent="0.25">
      <c r="A33" s="5" t="s">
        <v>101</v>
      </c>
      <c r="B33" s="5" t="s">
        <v>65</v>
      </c>
      <c r="C33" s="5" t="s">
        <v>130</v>
      </c>
      <c r="D33" s="5" t="s">
        <v>131</v>
      </c>
      <c r="E33" s="9">
        <v>515.70000000000005</v>
      </c>
      <c r="F33" s="10">
        <f t="shared" si="2"/>
        <v>123891.76800000001</v>
      </c>
      <c r="G33" s="11">
        <f t="shared" si="3"/>
        <v>123891.76800000001</v>
      </c>
      <c r="H33" s="8">
        <v>1</v>
      </c>
      <c r="I33" s="6" t="s">
        <v>19</v>
      </c>
      <c r="J33" s="6" t="s">
        <v>25</v>
      </c>
      <c r="K33" s="5" t="s">
        <v>21</v>
      </c>
    </row>
    <row r="34" spans="1:11" ht="15.75" customHeight="1" x14ac:dyDescent="0.25">
      <c r="A34" s="5" t="s">
        <v>101</v>
      </c>
      <c r="B34" s="5" t="s">
        <v>65</v>
      </c>
      <c r="C34" s="5" t="s">
        <v>66</v>
      </c>
      <c r="D34" s="5" t="s">
        <v>67</v>
      </c>
      <c r="E34" s="9">
        <v>59.16</v>
      </c>
      <c r="F34" s="10">
        <f t="shared" si="2"/>
        <v>14212.598400000001</v>
      </c>
      <c r="G34" s="11">
        <f t="shared" si="3"/>
        <v>14212.598400000001</v>
      </c>
      <c r="H34" s="8">
        <v>1</v>
      </c>
      <c r="I34" s="6" t="s">
        <v>19</v>
      </c>
      <c r="J34" s="6" t="s">
        <v>25</v>
      </c>
      <c r="K34" s="5" t="s">
        <v>21</v>
      </c>
    </row>
    <row r="35" spans="1:11" ht="15.75" customHeight="1" x14ac:dyDescent="0.25">
      <c r="A35" s="5" t="s">
        <v>101</v>
      </c>
      <c r="B35" s="5" t="s">
        <v>65</v>
      </c>
      <c r="C35" s="5" t="s">
        <v>68</v>
      </c>
      <c r="D35" s="5" t="s">
        <v>69</v>
      </c>
      <c r="E35" s="9">
        <v>37.909999999999997</v>
      </c>
      <c r="F35" s="10">
        <f t="shared" si="2"/>
        <v>9107.4984000000004</v>
      </c>
      <c r="G35" s="11">
        <f t="shared" si="3"/>
        <v>118397.4792</v>
      </c>
      <c r="H35" s="8">
        <v>13</v>
      </c>
      <c r="I35" s="6" t="s">
        <v>19</v>
      </c>
      <c r="J35" s="6" t="s">
        <v>25</v>
      </c>
      <c r="K35" s="5" t="s">
        <v>21</v>
      </c>
    </row>
    <row r="36" spans="1:11" ht="15.75" customHeight="1" x14ac:dyDescent="0.25">
      <c r="A36" s="5" t="s">
        <v>101</v>
      </c>
      <c r="B36" s="5" t="s">
        <v>70</v>
      </c>
      <c r="C36" s="5" t="s">
        <v>71</v>
      </c>
      <c r="D36" s="5" t="s">
        <v>72</v>
      </c>
      <c r="E36" s="9">
        <v>36.090000000000003</v>
      </c>
      <c r="F36" s="10">
        <f t="shared" si="2"/>
        <v>8670.2615999999998</v>
      </c>
      <c r="G36" s="11">
        <f t="shared" si="3"/>
        <v>121383.6624</v>
      </c>
      <c r="H36" s="8">
        <v>14</v>
      </c>
      <c r="I36" s="6" t="s">
        <v>19</v>
      </c>
      <c r="J36" s="6" t="s">
        <v>25</v>
      </c>
      <c r="K36" s="5" t="s">
        <v>132</v>
      </c>
    </row>
    <row r="37" spans="1:11" ht="15.75" customHeight="1" x14ac:dyDescent="0.25">
      <c r="A37" s="5" t="s">
        <v>101</v>
      </c>
      <c r="B37" s="5" t="s">
        <v>133</v>
      </c>
      <c r="C37" s="5" t="s">
        <v>134</v>
      </c>
      <c r="D37" s="5" t="s">
        <v>135</v>
      </c>
      <c r="E37" s="9">
        <v>62.53</v>
      </c>
      <c r="F37" s="10">
        <f t="shared" si="2"/>
        <v>15022.207200000003</v>
      </c>
      <c r="G37" s="11">
        <f t="shared" si="3"/>
        <v>15022.207200000003</v>
      </c>
      <c r="H37" s="8">
        <v>1</v>
      </c>
      <c r="I37" s="6" t="s">
        <v>19</v>
      </c>
      <c r="J37" s="6" t="s">
        <v>25</v>
      </c>
      <c r="K37" s="5" t="s">
        <v>136</v>
      </c>
    </row>
    <row r="38" spans="1:11" ht="15.75" customHeight="1" x14ac:dyDescent="0.25">
      <c r="A38" s="12" t="s">
        <v>101</v>
      </c>
      <c r="B38" s="12" t="s">
        <v>133</v>
      </c>
      <c r="C38" s="14" t="s">
        <v>88</v>
      </c>
      <c r="D38" s="12" t="s">
        <v>137</v>
      </c>
      <c r="E38" s="15"/>
      <c r="F38" s="7"/>
      <c r="G38" s="7"/>
      <c r="H38" s="16">
        <v>2</v>
      </c>
      <c r="I38" s="13" t="s">
        <v>19</v>
      </c>
      <c r="J38" s="13" t="s">
        <v>25</v>
      </c>
      <c r="K38" s="12" t="s">
        <v>138</v>
      </c>
    </row>
    <row r="39" spans="1:11" ht="15.75" customHeight="1" x14ac:dyDescent="0.25">
      <c r="A39" s="12" t="s">
        <v>101</v>
      </c>
      <c r="B39" s="12" t="s">
        <v>133</v>
      </c>
      <c r="C39" s="14" t="s">
        <v>88</v>
      </c>
      <c r="D39" s="12" t="s">
        <v>139</v>
      </c>
      <c r="E39" s="15"/>
      <c r="F39" s="7"/>
      <c r="G39" s="7"/>
      <c r="H39" s="16">
        <v>1</v>
      </c>
      <c r="I39" s="13" t="s">
        <v>19</v>
      </c>
      <c r="J39" s="13" t="s">
        <v>25</v>
      </c>
      <c r="K39" s="12" t="s">
        <v>140</v>
      </c>
    </row>
    <row r="40" spans="1:11" ht="15.75" customHeight="1" x14ac:dyDescent="0.25">
      <c r="A40" s="5" t="s">
        <v>101</v>
      </c>
      <c r="B40" s="5" t="s">
        <v>73</v>
      </c>
      <c r="C40" s="5" t="s">
        <v>74</v>
      </c>
      <c r="D40" s="5" t="s">
        <v>141</v>
      </c>
      <c r="E40" s="9">
        <v>16.27</v>
      </c>
      <c r="F40" s="10">
        <f>E40*0.33*1.3*$B$2</f>
        <v>3908.7048000000004</v>
      </c>
      <c r="G40" s="11">
        <f>F40*H40</f>
        <v>3908.7048000000004</v>
      </c>
      <c r="H40" s="8">
        <v>1</v>
      </c>
      <c r="I40" s="6" t="s">
        <v>19</v>
      </c>
      <c r="J40" s="6" t="s">
        <v>25</v>
      </c>
      <c r="K40" s="5" t="s">
        <v>21</v>
      </c>
    </row>
    <row r="41" spans="1:11" ht="15.75" customHeight="1" x14ac:dyDescent="0.25">
      <c r="A41" s="5" t="s">
        <v>101</v>
      </c>
      <c r="B41" s="5" t="s">
        <v>73</v>
      </c>
      <c r="C41" s="5" t="s">
        <v>76</v>
      </c>
      <c r="D41" s="5" t="s">
        <v>77</v>
      </c>
      <c r="E41" s="9">
        <v>1.1399999999999999</v>
      </c>
      <c r="F41" s="10">
        <f>E41*0.33*1.3*$B$2</f>
        <v>273.87360000000001</v>
      </c>
      <c r="G41" s="11">
        <f>F41*H41</f>
        <v>273.87360000000001</v>
      </c>
      <c r="H41" s="8">
        <v>1</v>
      </c>
      <c r="I41" s="6" t="s">
        <v>19</v>
      </c>
      <c r="J41" s="6" t="s">
        <v>25</v>
      </c>
      <c r="K41" s="5" t="s">
        <v>21</v>
      </c>
    </row>
    <row r="42" spans="1:11" ht="15.75" customHeight="1" x14ac:dyDescent="0.25">
      <c r="A42" s="5" t="s">
        <v>101</v>
      </c>
      <c r="B42" s="5" t="s">
        <v>73</v>
      </c>
      <c r="C42" s="5" t="s">
        <v>78</v>
      </c>
      <c r="D42" s="5" t="s">
        <v>79</v>
      </c>
      <c r="E42" s="9">
        <v>4.5999999999999996</v>
      </c>
      <c r="F42" s="10">
        <f>E42*0.33*1.3*$B$2</f>
        <v>1105.104</v>
      </c>
      <c r="G42" s="11">
        <f>F42*H42</f>
        <v>1105.104</v>
      </c>
      <c r="H42" s="8">
        <v>1</v>
      </c>
      <c r="I42" s="6" t="s">
        <v>19</v>
      </c>
      <c r="J42" s="6" t="s">
        <v>25</v>
      </c>
      <c r="K42" s="5" t="s">
        <v>21</v>
      </c>
    </row>
    <row r="43" spans="1:11" ht="15.75" customHeight="1" x14ac:dyDescent="0.25">
      <c r="A43" s="5" t="s">
        <v>101</v>
      </c>
      <c r="B43" s="5" t="s">
        <v>80</v>
      </c>
      <c r="C43" s="5" t="s">
        <v>81</v>
      </c>
      <c r="D43" s="5" t="s">
        <v>82</v>
      </c>
      <c r="E43" s="9">
        <v>4.5999999999999996</v>
      </c>
      <c r="F43" s="10">
        <f>E43*0.33*1.3*$B$2</f>
        <v>1105.104</v>
      </c>
      <c r="G43" s="11">
        <f>F43*H43</f>
        <v>4420.4160000000002</v>
      </c>
      <c r="H43" s="8">
        <v>4</v>
      </c>
      <c r="I43" s="6" t="s">
        <v>19</v>
      </c>
      <c r="J43" s="6" t="s">
        <v>25</v>
      </c>
      <c r="K43" s="5" t="s">
        <v>83</v>
      </c>
    </row>
    <row r="44" spans="1:11" ht="15.75" customHeight="1" x14ac:dyDescent="0.25">
      <c r="A44" s="5" t="s">
        <v>101</v>
      </c>
      <c r="B44" s="5" t="s">
        <v>84</v>
      </c>
      <c r="C44" s="5" t="s">
        <v>85</v>
      </c>
      <c r="D44" s="5" t="s">
        <v>86</v>
      </c>
      <c r="E44" s="9">
        <v>361.2</v>
      </c>
      <c r="F44" s="10">
        <f>E44*0.33*1.3*$B$2</f>
        <v>86774.688000000009</v>
      </c>
      <c r="G44" s="11">
        <f>F44*H44</f>
        <v>86774.688000000009</v>
      </c>
      <c r="H44" s="8">
        <v>1</v>
      </c>
      <c r="I44" s="6" t="s">
        <v>19</v>
      </c>
      <c r="J44" s="6" t="s">
        <v>25</v>
      </c>
      <c r="K44" s="5" t="s">
        <v>83</v>
      </c>
    </row>
    <row r="45" spans="1:11" ht="15.75" customHeight="1" x14ac:dyDescent="0.25">
      <c r="A45" s="12" t="s">
        <v>101</v>
      </c>
      <c r="B45" s="12" t="s">
        <v>87</v>
      </c>
      <c r="C45" s="14" t="s">
        <v>88</v>
      </c>
      <c r="D45" s="12" t="s">
        <v>89</v>
      </c>
      <c r="E45" s="15"/>
      <c r="F45" s="7"/>
      <c r="G45" s="7"/>
      <c r="H45" s="16">
        <v>1</v>
      </c>
      <c r="I45" s="13" t="s">
        <v>90</v>
      </c>
      <c r="J45" s="13" t="s">
        <v>91</v>
      </c>
      <c r="K45" s="12" t="s">
        <v>92</v>
      </c>
    </row>
    <row r="46" spans="1:11" ht="15.75" customHeight="1" x14ac:dyDescent="0.25">
      <c r="A46" s="5" t="s">
        <v>101</v>
      </c>
      <c r="B46" s="5" t="s">
        <v>93</v>
      </c>
      <c r="C46" s="5"/>
      <c r="D46" s="5" t="s">
        <v>94</v>
      </c>
      <c r="E46" s="7"/>
      <c r="F46" s="7"/>
      <c r="G46" s="7"/>
      <c r="H46" s="8">
        <v>1</v>
      </c>
      <c r="I46" s="6" t="s">
        <v>90</v>
      </c>
      <c r="J46" s="6" t="s">
        <v>91</v>
      </c>
      <c r="K46" s="5" t="s">
        <v>95</v>
      </c>
    </row>
    <row r="47" spans="1:11" ht="15.75" customHeight="1" x14ac:dyDescent="0.25">
      <c r="A47" s="5" t="s">
        <v>101</v>
      </c>
      <c r="B47" s="5" t="s">
        <v>96</v>
      </c>
      <c r="C47" s="5"/>
      <c r="D47" s="5" t="s">
        <v>97</v>
      </c>
      <c r="E47" s="7"/>
      <c r="F47" s="7"/>
      <c r="G47" s="7"/>
      <c r="H47" s="8">
        <v>1</v>
      </c>
      <c r="I47" s="6" t="s">
        <v>90</v>
      </c>
      <c r="J47" s="6" t="s">
        <v>91</v>
      </c>
      <c r="K47" s="5" t="s">
        <v>95</v>
      </c>
    </row>
    <row r="48" spans="1:11" ht="18" customHeight="1" x14ac:dyDescent="0.25">
      <c r="F48" s="17" t="s">
        <v>98</v>
      </c>
      <c r="G48" s="18">
        <f>SUM(G7:G47)</f>
        <v>4987168.5863999994</v>
      </c>
    </row>
  </sheetData>
  <mergeCells count="3">
    <mergeCell ref="A1:K1"/>
    <mergeCell ref="A3:K3"/>
    <mergeCell ref="A6:K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9"/>
  <sheetViews>
    <sheetView zoomScaleNormal="100" workbookViewId="0"/>
  </sheetViews>
  <sheetFormatPr defaultColWidth="8.7109375" defaultRowHeight="15" x14ac:dyDescent="0.25"/>
  <cols>
    <col min="1" max="1" width="16" customWidth="1"/>
    <col min="2" max="2" width="48" customWidth="1"/>
    <col min="3" max="4" width="14" customWidth="1"/>
    <col min="5" max="5" width="16" customWidth="1"/>
    <col min="6" max="8" width="10" customWidth="1"/>
    <col min="9" max="9" width="7" customWidth="1"/>
    <col min="10" max="10" width="10" customWidth="1"/>
    <col min="11" max="11" width="18" customWidth="1"/>
    <col min="12" max="12" width="20" customWidth="1"/>
  </cols>
  <sheetData>
    <row r="1" spans="1:13" ht="25.5" customHeight="1" x14ac:dyDescent="0.25">
      <c r="A1" s="24" t="s">
        <v>142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19"/>
    </row>
    <row r="2" spans="1:13" ht="21.75" customHeight="1" x14ac:dyDescent="0.25">
      <c r="A2" s="4" t="s">
        <v>143</v>
      </c>
      <c r="B2" s="4" t="s">
        <v>7</v>
      </c>
      <c r="C2" s="4" t="s">
        <v>5</v>
      </c>
      <c r="D2" s="4" t="s">
        <v>144</v>
      </c>
      <c r="E2" s="4" t="s">
        <v>145</v>
      </c>
      <c r="F2" s="4" t="s">
        <v>146</v>
      </c>
      <c r="G2" s="4" t="s">
        <v>147</v>
      </c>
      <c r="H2" s="4" t="s">
        <v>148</v>
      </c>
      <c r="I2" s="4" t="s">
        <v>12</v>
      </c>
      <c r="J2" s="4" t="s">
        <v>13</v>
      </c>
      <c r="K2" s="4" t="s">
        <v>10</v>
      </c>
      <c r="L2" s="4" t="s">
        <v>14</v>
      </c>
    </row>
    <row r="3" spans="1:13" ht="15" customHeight="1" x14ac:dyDescent="0.25">
      <c r="A3" s="6" t="s">
        <v>102</v>
      </c>
      <c r="B3" s="5" t="s">
        <v>149</v>
      </c>
      <c r="C3" s="6" t="s">
        <v>22</v>
      </c>
      <c r="D3" s="6" t="s">
        <v>150</v>
      </c>
      <c r="E3" s="6" t="s">
        <v>151</v>
      </c>
      <c r="F3" s="6">
        <v>0</v>
      </c>
      <c r="G3" s="6">
        <v>1</v>
      </c>
      <c r="H3" s="6">
        <v>1</v>
      </c>
      <c r="I3" s="6" t="s">
        <v>19</v>
      </c>
      <c r="J3" s="6" t="s">
        <v>25</v>
      </c>
      <c r="K3" s="6" t="s">
        <v>151</v>
      </c>
      <c r="L3" s="5" t="s">
        <v>21</v>
      </c>
    </row>
    <row r="4" spans="1:13" ht="15" customHeight="1" x14ac:dyDescent="0.25">
      <c r="A4" s="6" t="s">
        <v>104</v>
      </c>
      <c r="B4" s="5" t="s">
        <v>152</v>
      </c>
      <c r="C4" s="6" t="s">
        <v>26</v>
      </c>
      <c r="D4" s="6" t="s">
        <v>153</v>
      </c>
      <c r="E4" s="6" t="s">
        <v>154</v>
      </c>
      <c r="F4" s="6">
        <v>0</v>
      </c>
      <c r="G4" s="6">
        <v>1</v>
      </c>
      <c r="H4" s="6">
        <v>1</v>
      </c>
      <c r="I4" s="6" t="s">
        <v>19</v>
      </c>
      <c r="J4" s="6" t="s">
        <v>25</v>
      </c>
      <c r="K4" s="6" t="s">
        <v>154</v>
      </c>
      <c r="L4" s="5" t="s">
        <v>21</v>
      </c>
    </row>
    <row r="5" spans="1:13" ht="15" customHeight="1" x14ac:dyDescent="0.25">
      <c r="A5" s="13" t="s">
        <v>88</v>
      </c>
      <c r="B5" s="12" t="s">
        <v>155</v>
      </c>
      <c r="C5" s="13" t="s">
        <v>22</v>
      </c>
      <c r="D5" s="13" t="s">
        <v>91</v>
      </c>
      <c r="E5" s="13" t="s">
        <v>91</v>
      </c>
      <c r="F5" s="13">
        <v>0</v>
      </c>
      <c r="G5" s="13">
        <v>1</v>
      </c>
      <c r="H5" s="13">
        <v>1</v>
      </c>
      <c r="I5" s="13" t="s">
        <v>19</v>
      </c>
      <c r="J5" s="13" t="s">
        <v>25</v>
      </c>
      <c r="K5" s="13" t="s">
        <v>91</v>
      </c>
      <c r="L5" s="12" t="s">
        <v>156</v>
      </c>
    </row>
    <row r="6" spans="1:13" ht="15" customHeight="1" x14ac:dyDescent="0.25">
      <c r="A6" s="6" t="s">
        <v>23</v>
      </c>
      <c r="B6" s="5" t="s">
        <v>157</v>
      </c>
      <c r="C6" s="6" t="s">
        <v>22</v>
      </c>
      <c r="D6" s="6" t="s">
        <v>158</v>
      </c>
      <c r="E6" s="6" t="s">
        <v>159</v>
      </c>
      <c r="F6" s="6">
        <v>1</v>
      </c>
      <c r="G6" s="6">
        <v>1</v>
      </c>
      <c r="H6" s="6">
        <v>2</v>
      </c>
      <c r="I6" s="6" t="s">
        <v>19</v>
      </c>
      <c r="J6" s="6" t="s">
        <v>25</v>
      </c>
      <c r="K6" s="6" t="s">
        <v>160</v>
      </c>
      <c r="L6" s="5" t="s">
        <v>21</v>
      </c>
    </row>
    <row r="7" spans="1:13" ht="15" customHeight="1" x14ac:dyDescent="0.25">
      <c r="A7" s="6" t="s">
        <v>27</v>
      </c>
      <c r="B7" s="5" t="s">
        <v>161</v>
      </c>
      <c r="C7" s="6" t="s">
        <v>26</v>
      </c>
      <c r="D7" s="6" t="s">
        <v>162</v>
      </c>
      <c r="E7" s="6" t="s">
        <v>163</v>
      </c>
      <c r="F7" s="6">
        <v>1</v>
      </c>
      <c r="G7" s="6">
        <v>0</v>
      </c>
      <c r="H7" s="6">
        <v>1</v>
      </c>
      <c r="I7" s="6" t="s">
        <v>19</v>
      </c>
      <c r="J7" s="6" t="s">
        <v>25</v>
      </c>
      <c r="K7" s="6" t="s">
        <v>163</v>
      </c>
      <c r="L7" s="5" t="s">
        <v>21</v>
      </c>
    </row>
    <row r="8" spans="1:13" ht="15" customHeight="1" x14ac:dyDescent="0.25">
      <c r="A8" s="6" t="s">
        <v>34</v>
      </c>
      <c r="B8" s="5" t="s">
        <v>164</v>
      </c>
      <c r="C8" s="6" t="s">
        <v>33</v>
      </c>
      <c r="D8" s="6" t="s">
        <v>165</v>
      </c>
      <c r="E8" s="6" t="s">
        <v>166</v>
      </c>
      <c r="F8" s="6">
        <v>3</v>
      </c>
      <c r="G8" s="6">
        <v>3</v>
      </c>
      <c r="H8" s="6">
        <v>6</v>
      </c>
      <c r="I8" s="6" t="s">
        <v>19</v>
      </c>
      <c r="J8" s="6" t="s">
        <v>25</v>
      </c>
      <c r="K8" s="6" t="s">
        <v>167</v>
      </c>
      <c r="L8" s="5" t="s">
        <v>21</v>
      </c>
    </row>
    <row r="9" spans="1:13" ht="15" customHeight="1" x14ac:dyDescent="0.25">
      <c r="A9" s="6" t="s">
        <v>36</v>
      </c>
      <c r="B9" s="5" t="s">
        <v>168</v>
      </c>
      <c r="C9" s="6" t="s">
        <v>33</v>
      </c>
      <c r="D9" s="6" t="s">
        <v>169</v>
      </c>
      <c r="E9" s="6" t="s">
        <v>170</v>
      </c>
      <c r="F9" s="6">
        <v>1</v>
      </c>
      <c r="G9" s="6">
        <v>1</v>
      </c>
      <c r="H9" s="6">
        <v>2</v>
      </c>
      <c r="I9" s="6" t="s">
        <v>19</v>
      </c>
      <c r="J9" s="6" t="s">
        <v>25</v>
      </c>
      <c r="K9" s="6" t="s">
        <v>171</v>
      </c>
      <c r="L9" s="5" t="s">
        <v>21</v>
      </c>
    </row>
    <row r="10" spans="1:13" ht="15" customHeight="1" x14ac:dyDescent="0.25">
      <c r="A10" s="6" t="s">
        <v>39</v>
      </c>
      <c r="B10" s="5" t="s">
        <v>172</v>
      </c>
      <c r="C10" s="6" t="s">
        <v>38</v>
      </c>
      <c r="D10" s="6" t="s">
        <v>173</v>
      </c>
      <c r="E10" s="6" t="s">
        <v>174</v>
      </c>
      <c r="F10" s="6">
        <v>1</v>
      </c>
      <c r="G10" s="6">
        <v>1</v>
      </c>
      <c r="H10" s="6">
        <v>2</v>
      </c>
      <c r="I10" s="6" t="s">
        <v>19</v>
      </c>
      <c r="J10" s="6" t="s">
        <v>25</v>
      </c>
      <c r="K10" s="6" t="s">
        <v>175</v>
      </c>
      <c r="L10" s="5" t="s">
        <v>21</v>
      </c>
    </row>
    <row r="11" spans="1:13" ht="15" customHeight="1" x14ac:dyDescent="0.25">
      <c r="A11" s="6" t="s">
        <v>42</v>
      </c>
      <c r="B11" s="5" t="s">
        <v>176</v>
      </c>
      <c r="C11" s="6" t="s">
        <v>41</v>
      </c>
      <c r="D11" s="6" t="s">
        <v>177</v>
      </c>
      <c r="E11" s="6" t="s">
        <v>178</v>
      </c>
      <c r="F11" s="6">
        <v>1</v>
      </c>
      <c r="G11" s="6">
        <v>1</v>
      </c>
      <c r="H11" s="6">
        <v>2</v>
      </c>
      <c r="I11" s="6" t="s">
        <v>19</v>
      </c>
      <c r="J11" s="6" t="s">
        <v>25</v>
      </c>
      <c r="K11" s="6" t="s">
        <v>179</v>
      </c>
      <c r="L11" s="5" t="s">
        <v>21</v>
      </c>
    </row>
    <row r="12" spans="1:13" ht="15" customHeight="1" x14ac:dyDescent="0.25">
      <c r="A12" s="6" t="s">
        <v>45</v>
      </c>
      <c r="B12" s="5" t="s">
        <v>180</v>
      </c>
      <c r="C12" s="6" t="s">
        <v>41</v>
      </c>
      <c r="D12" s="6" t="s">
        <v>181</v>
      </c>
      <c r="E12" s="6" t="s">
        <v>182</v>
      </c>
      <c r="F12" s="6">
        <v>1</v>
      </c>
      <c r="G12" s="6">
        <v>3</v>
      </c>
      <c r="H12" s="6">
        <v>4</v>
      </c>
      <c r="I12" s="6" t="s">
        <v>19</v>
      </c>
      <c r="J12" s="6" t="s">
        <v>25</v>
      </c>
      <c r="K12" s="6" t="s">
        <v>183</v>
      </c>
      <c r="L12" s="5" t="s">
        <v>21</v>
      </c>
    </row>
    <row r="13" spans="1:13" ht="15" customHeight="1" x14ac:dyDescent="0.25">
      <c r="A13" s="6" t="s">
        <v>110</v>
      </c>
      <c r="B13" s="5" t="s">
        <v>184</v>
      </c>
      <c r="C13" s="6" t="s">
        <v>41</v>
      </c>
      <c r="D13" s="6" t="s">
        <v>185</v>
      </c>
      <c r="E13" s="6" t="s">
        <v>186</v>
      </c>
      <c r="F13" s="6">
        <v>0</v>
      </c>
      <c r="G13" s="6">
        <v>1</v>
      </c>
      <c r="H13" s="6">
        <v>1</v>
      </c>
      <c r="I13" s="6" t="s">
        <v>19</v>
      </c>
      <c r="J13" s="6" t="s">
        <v>25</v>
      </c>
      <c r="K13" s="6" t="s">
        <v>186</v>
      </c>
      <c r="L13" s="5" t="s">
        <v>21</v>
      </c>
    </row>
    <row r="14" spans="1:13" ht="15" customHeight="1" x14ac:dyDescent="0.25">
      <c r="A14" s="6" t="s">
        <v>112</v>
      </c>
      <c r="B14" s="5" t="s">
        <v>187</v>
      </c>
      <c r="C14" s="6" t="s">
        <v>41</v>
      </c>
      <c r="D14" s="6" t="s">
        <v>188</v>
      </c>
      <c r="E14" s="6" t="s">
        <v>189</v>
      </c>
      <c r="F14" s="6">
        <v>0</v>
      </c>
      <c r="G14" s="6">
        <v>2</v>
      </c>
      <c r="H14" s="6">
        <v>2</v>
      </c>
      <c r="I14" s="6" t="s">
        <v>19</v>
      </c>
      <c r="J14" s="6" t="s">
        <v>25</v>
      </c>
      <c r="K14" s="6" t="s">
        <v>190</v>
      </c>
      <c r="L14" s="5" t="s">
        <v>21</v>
      </c>
    </row>
    <row r="15" spans="1:13" ht="15" customHeight="1" x14ac:dyDescent="0.25">
      <c r="A15" s="6" t="s">
        <v>115</v>
      </c>
      <c r="B15" s="5" t="s">
        <v>191</v>
      </c>
      <c r="C15" s="6" t="s">
        <v>41</v>
      </c>
      <c r="D15" s="6" t="s">
        <v>192</v>
      </c>
      <c r="E15" s="6" t="s">
        <v>193</v>
      </c>
      <c r="F15" s="6">
        <v>0</v>
      </c>
      <c r="G15" s="6">
        <v>1</v>
      </c>
      <c r="H15" s="6">
        <v>1</v>
      </c>
      <c r="I15" s="6" t="s">
        <v>19</v>
      </c>
      <c r="J15" s="6" t="s">
        <v>25</v>
      </c>
      <c r="K15" s="6" t="s">
        <v>193</v>
      </c>
      <c r="L15" s="5" t="s">
        <v>21</v>
      </c>
    </row>
    <row r="16" spans="1:13" ht="15" customHeight="1" x14ac:dyDescent="0.25">
      <c r="A16" s="6" t="s">
        <v>48</v>
      </c>
      <c r="B16" s="5" t="s">
        <v>194</v>
      </c>
      <c r="C16" s="6" t="s">
        <v>47</v>
      </c>
      <c r="D16" s="6" t="s">
        <v>195</v>
      </c>
      <c r="E16" s="6" t="s">
        <v>196</v>
      </c>
      <c r="F16" s="6">
        <v>44</v>
      </c>
      <c r="G16" s="6">
        <v>42</v>
      </c>
      <c r="H16" s="6">
        <v>86</v>
      </c>
      <c r="I16" s="6" t="s">
        <v>19</v>
      </c>
      <c r="J16" s="6" t="s">
        <v>25</v>
      </c>
      <c r="K16" s="6" t="s">
        <v>197</v>
      </c>
      <c r="L16" s="5" t="s">
        <v>21</v>
      </c>
    </row>
    <row r="17" spans="1:12" ht="15" customHeight="1" x14ac:dyDescent="0.25">
      <c r="A17" s="6" t="s">
        <v>51</v>
      </c>
      <c r="B17" s="5" t="s">
        <v>198</v>
      </c>
      <c r="C17" s="6" t="s">
        <v>47</v>
      </c>
      <c r="D17" s="6" t="s">
        <v>195</v>
      </c>
      <c r="E17" s="6" t="s">
        <v>196</v>
      </c>
      <c r="F17" s="6">
        <v>4</v>
      </c>
      <c r="G17" s="6">
        <v>3</v>
      </c>
      <c r="H17" s="6">
        <v>7</v>
      </c>
      <c r="I17" s="6" t="s">
        <v>19</v>
      </c>
      <c r="J17" s="6" t="s">
        <v>25</v>
      </c>
      <c r="K17" s="6" t="s">
        <v>199</v>
      </c>
      <c r="L17" s="5" t="s">
        <v>21</v>
      </c>
    </row>
    <row r="18" spans="1:12" ht="15" customHeight="1" x14ac:dyDescent="0.25">
      <c r="A18" s="6" t="s">
        <v>121</v>
      </c>
      <c r="B18" s="5" t="s">
        <v>122</v>
      </c>
      <c r="C18" s="6" t="s">
        <v>47</v>
      </c>
      <c r="D18" s="6" t="s">
        <v>200</v>
      </c>
      <c r="E18" s="6" t="s">
        <v>201</v>
      </c>
      <c r="F18" s="6">
        <v>0</v>
      </c>
      <c r="G18" s="6">
        <v>4</v>
      </c>
      <c r="H18" s="6">
        <v>4</v>
      </c>
      <c r="I18" s="6" t="s">
        <v>19</v>
      </c>
      <c r="J18" s="6" t="s">
        <v>25</v>
      </c>
      <c r="K18" s="6" t="s">
        <v>202</v>
      </c>
      <c r="L18" s="5" t="s">
        <v>21</v>
      </c>
    </row>
    <row r="19" spans="1:12" ht="15" customHeight="1" x14ac:dyDescent="0.25">
      <c r="A19" s="6" t="s">
        <v>53</v>
      </c>
      <c r="B19" s="5" t="s">
        <v>54</v>
      </c>
      <c r="C19" s="6" t="s">
        <v>47</v>
      </c>
      <c r="D19" s="6" t="s">
        <v>200</v>
      </c>
      <c r="E19" s="6" t="s">
        <v>201</v>
      </c>
      <c r="F19" s="6">
        <v>2</v>
      </c>
      <c r="G19" s="6">
        <v>2</v>
      </c>
      <c r="H19" s="6">
        <v>4</v>
      </c>
      <c r="I19" s="6" t="s">
        <v>19</v>
      </c>
      <c r="J19" s="6" t="s">
        <v>25</v>
      </c>
      <c r="K19" s="6" t="s">
        <v>202</v>
      </c>
      <c r="L19" s="5" t="s">
        <v>21</v>
      </c>
    </row>
    <row r="20" spans="1:12" ht="15" customHeight="1" x14ac:dyDescent="0.25">
      <c r="A20" s="6" t="s">
        <v>123</v>
      </c>
      <c r="B20" s="5" t="s">
        <v>124</v>
      </c>
      <c r="C20" s="6" t="s">
        <v>47</v>
      </c>
      <c r="D20" s="6" t="s">
        <v>200</v>
      </c>
      <c r="E20" s="6" t="s">
        <v>201</v>
      </c>
      <c r="F20" s="6">
        <v>0</v>
      </c>
      <c r="G20" s="6">
        <v>2</v>
      </c>
      <c r="H20" s="6">
        <v>2</v>
      </c>
      <c r="I20" s="6" t="s">
        <v>19</v>
      </c>
      <c r="J20" s="6" t="s">
        <v>25</v>
      </c>
      <c r="K20" s="6" t="s">
        <v>203</v>
      </c>
      <c r="L20" s="5" t="s">
        <v>21</v>
      </c>
    </row>
    <row r="21" spans="1:12" ht="15" customHeight="1" x14ac:dyDescent="0.25">
      <c r="A21" s="13" t="s">
        <v>88</v>
      </c>
      <c r="B21" s="12" t="s">
        <v>204</v>
      </c>
      <c r="C21" s="13" t="s">
        <v>47</v>
      </c>
      <c r="D21" s="13" t="s">
        <v>91</v>
      </c>
      <c r="E21" s="13" t="s">
        <v>91</v>
      </c>
      <c r="F21" s="13">
        <v>0</v>
      </c>
      <c r="G21" s="13">
        <v>1</v>
      </c>
      <c r="H21" s="13">
        <v>1</v>
      </c>
      <c r="I21" s="13" t="s">
        <v>19</v>
      </c>
      <c r="J21" s="13" t="s">
        <v>25</v>
      </c>
      <c r="K21" s="13" t="s">
        <v>91</v>
      </c>
      <c r="L21" s="12" t="s">
        <v>156</v>
      </c>
    </row>
    <row r="22" spans="1:12" ht="15" customHeight="1" x14ac:dyDescent="0.25">
      <c r="A22" s="6" t="s">
        <v>57</v>
      </c>
      <c r="B22" s="5" t="s">
        <v>205</v>
      </c>
      <c r="C22" s="6" t="s">
        <v>56</v>
      </c>
      <c r="D22" s="6" t="s">
        <v>206</v>
      </c>
      <c r="E22" s="6" t="s">
        <v>207</v>
      </c>
      <c r="F22" s="6">
        <v>2</v>
      </c>
      <c r="G22" s="6">
        <v>2</v>
      </c>
      <c r="H22" s="6">
        <v>4</v>
      </c>
      <c r="I22" s="6" t="s">
        <v>19</v>
      </c>
      <c r="J22" s="6" t="s">
        <v>25</v>
      </c>
      <c r="K22" s="6" t="s">
        <v>208</v>
      </c>
      <c r="L22" s="5" t="s">
        <v>21</v>
      </c>
    </row>
    <row r="23" spans="1:12" ht="15" customHeight="1" x14ac:dyDescent="0.25">
      <c r="A23" s="6" t="s">
        <v>126</v>
      </c>
      <c r="B23" s="5" t="s">
        <v>209</v>
      </c>
      <c r="C23" s="6" t="s">
        <v>56</v>
      </c>
      <c r="D23" s="6" t="s">
        <v>210</v>
      </c>
      <c r="E23" s="6" t="s">
        <v>211</v>
      </c>
      <c r="F23" s="6">
        <v>0</v>
      </c>
      <c r="G23" s="6">
        <v>1</v>
      </c>
      <c r="H23" s="6">
        <v>1</v>
      </c>
      <c r="I23" s="6" t="s">
        <v>19</v>
      </c>
      <c r="J23" s="6" t="s">
        <v>25</v>
      </c>
      <c r="K23" s="6" t="s">
        <v>211</v>
      </c>
      <c r="L23" s="5" t="s">
        <v>21</v>
      </c>
    </row>
    <row r="24" spans="1:12" ht="15" customHeight="1" x14ac:dyDescent="0.25">
      <c r="A24" s="6" t="s">
        <v>128</v>
      </c>
      <c r="B24" s="5" t="s">
        <v>212</v>
      </c>
      <c r="C24" s="6" t="s">
        <v>56</v>
      </c>
      <c r="D24" s="6" t="s">
        <v>213</v>
      </c>
      <c r="E24" s="6" t="s">
        <v>214</v>
      </c>
      <c r="F24" s="6">
        <v>0</v>
      </c>
      <c r="G24" s="6">
        <v>2</v>
      </c>
      <c r="H24" s="6">
        <v>2</v>
      </c>
      <c r="I24" s="6" t="s">
        <v>19</v>
      </c>
      <c r="J24" s="6" t="s">
        <v>25</v>
      </c>
      <c r="K24" s="6" t="s">
        <v>215</v>
      </c>
      <c r="L24" s="5" t="s">
        <v>21</v>
      </c>
    </row>
    <row r="25" spans="1:12" ht="15" customHeight="1" x14ac:dyDescent="0.25">
      <c r="A25" s="6" t="s">
        <v>60</v>
      </c>
      <c r="B25" s="5" t="s">
        <v>216</v>
      </c>
      <c r="C25" s="6" t="s">
        <v>56</v>
      </c>
      <c r="D25" s="6" t="s">
        <v>217</v>
      </c>
      <c r="E25" s="6" t="s">
        <v>218</v>
      </c>
      <c r="F25" s="6">
        <v>16</v>
      </c>
      <c r="G25" s="6">
        <v>16</v>
      </c>
      <c r="H25" s="6">
        <v>32</v>
      </c>
      <c r="I25" s="6" t="s">
        <v>19</v>
      </c>
      <c r="J25" s="6" t="s">
        <v>25</v>
      </c>
      <c r="K25" s="6" t="s">
        <v>219</v>
      </c>
      <c r="L25" s="5" t="s">
        <v>21</v>
      </c>
    </row>
    <row r="26" spans="1:12" ht="15" customHeight="1" x14ac:dyDescent="0.25">
      <c r="A26" s="6" t="s">
        <v>63</v>
      </c>
      <c r="B26" s="5" t="s">
        <v>220</v>
      </c>
      <c r="C26" s="6" t="s">
        <v>56</v>
      </c>
      <c r="D26" s="6" t="s">
        <v>221</v>
      </c>
      <c r="E26" s="6" t="s">
        <v>222</v>
      </c>
      <c r="F26" s="6">
        <v>2</v>
      </c>
      <c r="G26" s="6">
        <v>2</v>
      </c>
      <c r="H26" s="6">
        <v>4</v>
      </c>
      <c r="I26" s="6" t="s">
        <v>19</v>
      </c>
      <c r="J26" s="6" t="s">
        <v>25</v>
      </c>
      <c r="K26" s="6" t="s">
        <v>223</v>
      </c>
      <c r="L26" s="5" t="s">
        <v>21</v>
      </c>
    </row>
    <row r="27" spans="1:12" ht="15" customHeight="1" x14ac:dyDescent="0.25">
      <c r="A27" s="6" t="s">
        <v>130</v>
      </c>
      <c r="B27" s="5" t="s">
        <v>131</v>
      </c>
      <c r="C27" s="6" t="s">
        <v>65</v>
      </c>
      <c r="D27" s="6" t="s">
        <v>224</v>
      </c>
      <c r="E27" s="6" t="s">
        <v>225</v>
      </c>
      <c r="F27" s="6">
        <v>0</v>
      </c>
      <c r="G27" s="6">
        <v>1</v>
      </c>
      <c r="H27" s="6">
        <v>1</v>
      </c>
      <c r="I27" s="6" t="s">
        <v>19</v>
      </c>
      <c r="J27" s="6" t="s">
        <v>25</v>
      </c>
      <c r="K27" s="6" t="s">
        <v>225</v>
      </c>
      <c r="L27" s="5" t="s">
        <v>21</v>
      </c>
    </row>
    <row r="28" spans="1:12" ht="15" customHeight="1" x14ac:dyDescent="0.25">
      <c r="A28" s="6" t="s">
        <v>66</v>
      </c>
      <c r="B28" s="5" t="s">
        <v>67</v>
      </c>
      <c r="C28" s="6" t="s">
        <v>65</v>
      </c>
      <c r="D28" s="6" t="s">
        <v>226</v>
      </c>
      <c r="E28" s="6" t="s">
        <v>227</v>
      </c>
      <c r="F28" s="6">
        <v>1</v>
      </c>
      <c r="G28" s="6">
        <v>1</v>
      </c>
      <c r="H28" s="6">
        <v>2</v>
      </c>
      <c r="I28" s="6" t="s">
        <v>19</v>
      </c>
      <c r="J28" s="6" t="s">
        <v>25</v>
      </c>
      <c r="K28" s="6" t="s">
        <v>228</v>
      </c>
      <c r="L28" s="5" t="s">
        <v>21</v>
      </c>
    </row>
    <row r="29" spans="1:12" ht="15" customHeight="1" x14ac:dyDescent="0.25">
      <c r="A29" s="6" t="s">
        <v>68</v>
      </c>
      <c r="B29" s="5" t="s">
        <v>69</v>
      </c>
      <c r="C29" s="6" t="s">
        <v>65</v>
      </c>
      <c r="D29" s="6" t="s">
        <v>229</v>
      </c>
      <c r="E29" s="6" t="s">
        <v>230</v>
      </c>
      <c r="F29" s="6">
        <v>9</v>
      </c>
      <c r="G29" s="6">
        <v>13</v>
      </c>
      <c r="H29" s="6">
        <v>22</v>
      </c>
      <c r="I29" s="6" t="s">
        <v>19</v>
      </c>
      <c r="J29" s="6" t="s">
        <v>25</v>
      </c>
      <c r="K29" s="6" t="s">
        <v>231</v>
      </c>
      <c r="L29" s="5" t="s">
        <v>21</v>
      </c>
    </row>
    <row r="30" spans="1:12" ht="15" customHeight="1" x14ac:dyDescent="0.25">
      <c r="A30" s="6" t="s">
        <v>71</v>
      </c>
      <c r="B30" s="5" t="s">
        <v>232</v>
      </c>
      <c r="C30" s="6" t="s">
        <v>70</v>
      </c>
      <c r="D30" s="6" t="s">
        <v>233</v>
      </c>
      <c r="E30" s="6" t="s">
        <v>234</v>
      </c>
      <c r="F30" s="6">
        <v>10</v>
      </c>
      <c r="G30" s="6">
        <v>14</v>
      </c>
      <c r="H30" s="6">
        <v>24</v>
      </c>
      <c r="I30" s="6" t="s">
        <v>19</v>
      </c>
      <c r="J30" s="6" t="s">
        <v>25</v>
      </c>
      <c r="K30" s="6" t="s">
        <v>235</v>
      </c>
      <c r="L30" s="5" t="s">
        <v>21</v>
      </c>
    </row>
    <row r="31" spans="1:12" ht="15" customHeight="1" x14ac:dyDescent="0.25">
      <c r="A31" s="6" t="s">
        <v>134</v>
      </c>
      <c r="B31" s="5" t="s">
        <v>236</v>
      </c>
      <c r="C31" s="6" t="s">
        <v>133</v>
      </c>
      <c r="D31" s="6" t="s">
        <v>237</v>
      </c>
      <c r="E31" s="6" t="s">
        <v>238</v>
      </c>
      <c r="F31" s="6">
        <v>0</v>
      </c>
      <c r="G31" s="6">
        <v>1</v>
      </c>
      <c r="H31" s="6">
        <v>1</v>
      </c>
      <c r="I31" s="6" t="s">
        <v>19</v>
      </c>
      <c r="J31" s="6" t="s">
        <v>25</v>
      </c>
      <c r="K31" s="6" t="s">
        <v>238</v>
      </c>
      <c r="L31" s="5" t="s">
        <v>21</v>
      </c>
    </row>
    <row r="32" spans="1:12" ht="15" customHeight="1" x14ac:dyDescent="0.25">
      <c r="A32" s="13" t="s">
        <v>88</v>
      </c>
      <c r="B32" s="12" t="s">
        <v>239</v>
      </c>
      <c r="C32" s="13" t="s">
        <v>133</v>
      </c>
      <c r="D32" s="13" t="s">
        <v>91</v>
      </c>
      <c r="E32" s="13" t="s">
        <v>91</v>
      </c>
      <c r="F32" s="13">
        <v>0</v>
      </c>
      <c r="G32" s="13">
        <v>2</v>
      </c>
      <c r="H32" s="13">
        <v>2</v>
      </c>
      <c r="I32" s="13" t="s">
        <v>19</v>
      </c>
      <c r="J32" s="13" t="s">
        <v>25</v>
      </c>
      <c r="K32" s="13" t="s">
        <v>91</v>
      </c>
      <c r="L32" s="12" t="s">
        <v>156</v>
      </c>
    </row>
    <row r="33" spans="1:12" ht="15" customHeight="1" x14ac:dyDescent="0.25">
      <c r="A33" s="13" t="s">
        <v>88</v>
      </c>
      <c r="B33" s="12" t="s">
        <v>240</v>
      </c>
      <c r="C33" s="13" t="s">
        <v>133</v>
      </c>
      <c r="D33" s="13" t="s">
        <v>91</v>
      </c>
      <c r="E33" s="13" t="s">
        <v>91</v>
      </c>
      <c r="F33" s="13">
        <v>0</v>
      </c>
      <c r="G33" s="13">
        <v>1</v>
      </c>
      <c r="H33" s="13">
        <v>1</v>
      </c>
      <c r="I33" s="13" t="s">
        <v>19</v>
      </c>
      <c r="J33" s="13" t="s">
        <v>25</v>
      </c>
      <c r="K33" s="13" t="s">
        <v>91</v>
      </c>
      <c r="L33" s="12" t="s">
        <v>156</v>
      </c>
    </row>
    <row r="34" spans="1:12" ht="15" customHeight="1" x14ac:dyDescent="0.25">
      <c r="A34" s="6" t="s">
        <v>74</v>
      </c>
      <c r="B34" s="5" t="s">
        <v>141</v>
      </c>
      <c r="C34" s="6" t="s">
        <v>73</v>
      </c>
      <c r="D34" s="6" t="s">
        <v>241</v>
      </c>
      <c r="E34" s="6" t="s">
        <v>242</v>
      </c>
      <c r="F34" s="6">
        <v>1</v>
      </c>
      <c r="G34" s="6">
        <v>1</v>
      </c>
      <c r="H34" s="6">
        <v>2</v>
      </c>
      <c r="I34" s="6" t="s">
        <v>19</v>
      </c>
      <c r="J34" s="6" t="s">
        <v>25</v>
      </c>
      <c r="K34" s="6" t="s">
        <v>243</v>
      </c>
      <c r="L34" s="5" t="s">
        <v>21</v>
      </c>
    </row>
    <row r="35" spans="1:12" ht="15" customHeight="1" x14ac:dyDescent="0.25">
      <c r="A35" s="6" t="s">
        <v>76</v>
      </c>
      <c r="B35" s="5" t="s">
        <v>244</v>
      </c>
      <c r="C35" s="6" t="s">
        <v>73</v>
      </c>
      <c r="D35" s="6" t="s">
        <v>245</v>
      </c>
      <c r="E35" s="6" t="s">
        <v>246</v>
      </c>
      <c r="F35" s="6">
        <v>1</v>
      </c>
      <c r="G35" s="6">
        <v>1</v>
      </c>
      <c r="H35" s="6">
        <v>2</v>
      </c>
      <c r="I35" s="6" t="s">
        <v>19</v>
      </c>
      <c r="J35" s="6" t="s">
        <v>25</v>
      </c>
      <c r="K35" s="6" t="s">
        <v>247</v>
      </c>
      <c r="L35" s="5" t="s">
        <v>21</v>
      </c>
    </row>
    <row r="36" spans="1:12" ht="15" customHeight="1" x14ac:dyDescent="0.25">
      <c r="A36" s="6" t="s">
        <v>78</v>
      </c>
      <c r="B36" s="5" t="s">
        <v>79</v>
      </c>
      <c r="C36" s="6" t="s">
        <v>73</v>
      </c>
      <c r="D36" s="6" t="s">
        <v>248</v>
      </c>
      <c r="E36" s="6" t="s">
        <v>249</v>
      </c>
      <c r="F36" s="6">
        <v>1</v>
      </c>
      <c r="G36" s="6">
        <v>1</v>
      </c>
      <c r="H36" s="6">
        <v>2</v>
      </c>
      <c r="I36" s="6" t="s">
        <v>19</v>
      </c>
      <c r="J36" s="6" t="s">
        <v>25</v>
      </c>
      <c r="K36" s="6" t="s">
        <v>250</v>
      </c>
      <c r="L36" s="5" t="s">
        <v>21</v>
      </c>
    </row>
    <row r="37" spans="1:12" ht="15" customHeight="1" x14ac:dyDescent="0.25">
      <c r="A37" s="6" t="s">
        <v>81</v>
      </c>
      <c r="B37" s="5" t="s">
        <v>251</v>
      </c>
      <c r="C37" s="6" t="s">
        <v>80</v>
      </c>
      <c r="D37" s="6" t="s">
        <v>248</v>
      </c>
      <c r="E37" s="6" t="s">
        <v>249</v>
      </c>
      <c r="F37" s="6">
        <v>4</v>
      </c>
      <c r="G37" s="6">
        <v>4</v>
      </c>
      <c r="H37" s="6">
        <v>8</v>
      </c>
      <c r="I37" s="6" t="s">
        <v>19</v>
      </c>
      <c r="J37" s="6" t="s">
        <v>25</v>
      </c>
      <c r="K37" s="6" t="s">
        <v>252</v>
      </c>
      <c r="L37" s="5" t="s">
        <v>21</v>
      </c>
    </row>
    <row r="38" spans="1:12" ht="15" customHeight="1" x14ac:dyDescent="0.25">
      <c r="A38" s="6" t="s">
        <v>85</v>
      </c>
      <c r="B38" s="5" t="s">
        <v>253</v>
      </c>
      <c r="C38" s="6" t="s">
        <v>84</v>
      </c>
      <c r="D38" s="6" t="s">
        <v>254</v>
      </c>
      <c r="E38" s="6" t="s">
        <v>255</v>
      </c>
      <c r="F38" s="6">
        <v>1</v>
      </c>
      <c r="G38" s="6">
        <v>1</v>
      </c>
      <c r="H38" s="6">
        <v>2</v>
      </c>
      <c r="I38" s="6" t="s">
        <v>19</v>
      </c>
      <c r="J38" s="6" t="s">
        <v>25</v>
      </c>
      <c r="K38" s="6" t="s">
        <v>256</v>
      </c>
      <c r="L38" s="5" t="s">
        <v>21</v>
      </c>
    </row>
    <row r="39" spans="1:12" ht="15" customHeight="1" x14ac:dyDescent="0.25">
      <c r="A39" s="13" t="s">
        <v>88</v>
      </c>
      <c r="B39" s="12" t="s">
        <v>89</v>
      </c>
      <c r="C39" s="13" t="s">
        <v>87</v>
      </c>
      <c r="D39" s="13" t="s">
        <v>91</v>
      </c>
      <c r="E39" s="13" t="s">
        <v>91</v>
      </c>
      <c r="F39" s="13">
        <v>1</v>
      </c>
      <c r="G39" s="13">
        <v>1</v>
      </c>
      <c r="H39" s="13">
        <v>2</v>
      </c>
      <c r="I39" s="13" t="s">
        <v>19</v>
      </c>
      <c r="J39" s="13" t="s">
        <v>25</v>
      </c>
      <c r="K39" s="13" t="s">
        <v>91</v>
      </c>
      <c r="L39" s="12" t="s">
        <v>156</v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8"/>
  <sheetViews>
    <sheetView zoomScaleNormal="100" workbookViewId="0"/>
  </sheetViews>
  <sheetFormatPr defaultColWidth="8.7109375" defaultRowHeight="15" x14ac:dyDescent="0.25"/>
  <cols>
    <col min="1" max="1" width="10" customWidth="1"/>
    <col min="2" max="2" width="25" customWidth="1"/>
    <col min="3" max="4" width="28" customWidth="1"/>
    <col min="5" max="5" width="30" customWidth="1"/>
    <col min="6" max="6" width="35" customWidth="1"/>
  </cols>
  <sheetData>
    <row r="1" spans="1:6" ht="19.5" customHeight="1" x14ac:dyDescent="0.25">
      <c r="A1" s="4" t="s">
        <v>257</v>
      </c>
      <c r="B1" s="4" t="s">
        <v>258</v>
      </c>
      <c r="C1" s="4" t="s">
        <v>259</v>
      </c>
      <c r="D1" s="4" t="s">
        <v>260</v>
      </c>
      <c r="E1" s="4" t="s">
        <v>261</v>
      </c>
      <c r="F1" s="4" t="s">
        <v>262</v>
      </c>
    </row>
    <row r="2" spans="1:6" ht="15" customHeight="1" x14ac:dyDescent="0.25">
      <c r="A2" s="5" t="s">
        <v>263</v>
      </c>
      <c r="B2" s="5" t="s">
        <v>264</v>
      </c>
      <c r="C2" s="5" t="s">
        <v>265</v>
      </c>
      <c r="D2" s="5" t="s">
        <v>266</v>
      </c>
      <c r="E2" s="20" t="s">
        <v>267</v>
      </c>
      <c r="F2" s="5" t="s">
        <v>268</v>
      </c>
    </row>
    <row r="3" spans="1:6" ht="15" customHeight="1" x14ac:dyDescent="0.25">
      <c r="A3" s="5" t="s">
        <v>263</v>
      </c>
      <c r="B3" s="5" t="s">
        <v>269</v>
      </c>
      <c r="C3" s="5" t="s">
        <v>270</v>
      </c>
      <c r="D3" s="5" t="s">
        <v>271</v>
      </c>
      <c r="E3" s="20" t="s">
        <v>272</v>
      </c>
      <c r="F3" s="5" t="s">
        <v>273</v>
      </c>
    </row>
    <row r="4" spans="1:6" ht="15" customHeight="1" x14ac:dyDescent="0.25">
      <c r="A4" s="5" t="s">
        <v>263</v>
      </c>
      <c r="B4" s="5" t="s">
        <v>274</v>
      </c>
      <c r="C4" s="5" t="s">
        <v>275</v>
      </c>
      <c r="D4" s="5" t="s">
        <v>271</v>
      </c>
      <c r="E4" s="20" t="s">
        <v>272</v>
      </c>
      <c r="F4" s="5" t="s">
        <v>273</v>
      </c>
    </row>
    <row r="5" spans="1:6" ht="15" customHeight="1" x14ac:dyDescent="0.25">
      <c r="A5" s="5" t="s">
        <v>263</v>
      </c>
      <c r="B5" s="5" t="s">
        <v>276</v>
      </c>
      <c r="C5" s="5" t="s">
        <v>277</v>
      </c>
      <c r="D5" s="5" t="s">
        <v>278</v>
      </c>
      <c r="E5" s="20" t="s">
        <v>279</v>
      </c>
      <c r="F5" s="5" t="s">
        <v>280</v>
      </c>
    </row>
    <row r="6" spans="1:6" ht="15" customHeight="1" x14ac:dyDescent="0.25">
      <c r="A6" s="5" t="s">
        <v>263</v>
      </c>
      <c r="B6" s="5" t="s">
        <v>281</v>
      </c>
      <c r="C6" s="5" t="s">
        <v>282</v>
      </c>
      <c r="D6" s="5" t="s">
        <v>283</v>
      </c>
      <c r="E6" s="20" t="s">
        <v>284</v>
      </c>
      <c r="F6" s="5" t="s">
        <v>285</v>
      </c>
    </row>
    <row r="7" spans="1:6" ht="15" customHeight="1" x14ac:dyDescent="0.25">
      <c r="A7" s="5" t="s">
        <v>263</v>
      </c>
      <c r="B7" s="5" t="s">
        <v>286</v>
      </c>
      <c r="C7" s="5" t="s">
        <v>287</v>
      </c>
      <c r="D7" s="5" t="s">
        <v>288</v>
      </c>
      <c r="E7" s="20" t="s">
        <v>289</v>
      </c>
      <c r="F7" s="5" t="s">
        <v>273</v>
      </c>
    </row>
    <row r="8" spans="1:6" ht="15" customHeight="1" x14ac:dyDescent="0.25">
      <c r="A8" s="5" t="s">
        <v>263</v>
      </c>
      <c r="B8" s="5" t="s">
        <v>290</v>
      </c>
      <c r="C8" s="5" t="s">
        <v>287</v>
      </c>
      <c r="D8" s="5" t="s">
        <v>291</v>
      </c>
      <c r="E8" s="20" t="s">
        <v>292</v>
      </c>
      <c r="F8" s="5" t="s">
        <v>293</v>
      </c>
    </row>
    <row r="9" spans="1:6" ht="15" customHeight="1" x14ac:dyDescent="0.25">
      <c r="A9" s="5" t="s">
        <v>263</v>
      </c>
      <c r="B9" s="5" t="s">
        <v>294</v>
      </c>
      <c r="C9" s="5" t="s">
        <v>287</v>
      </c>
      <c r="D9" s="5" t="s">
        <v>291</v>
      </c>
      <c r="E9" s="20" t="s">
        <v>295</v>
      </c>
      <c r="F9" s="5" t="s">
        <v>296</v>
      </c>
    </row>
    <row r="10" spans="1:6" ht="15" customHeight="1" x14ac:dyDescent="0.25">
      <c r="A10" s="5" t="s">
        <v>297</v>
      </c>
      <c r="B10" s="5" t="s">
        <v>298</v>
      </c>
      <c r="C10" s="5" t="s">
        <v>299</v>
      </c>
      <c r="D10" s="5" t="s">
        <v>291</v>
      </c>
      <c r="E10" s="20" t="s">
        <v>300</v>
      </c>
      <c r="F10" s="5" t="s">
        <v>301</v>
      </c>
    </row>
    <row r="11" spans="1:6" ht="15" customHeight="1" x14ac:dyDescent="0.25">
      <c r="A11" s="5" t="s">
        <v>297</v>
      </c>
      <c r="B11" s="5" t="s">
        <v>302</v>
      </c>
      <c r="C11" s="5" t="s">
        <v>303</v>
      </c>
      <c r="D11" s="5" t="s">
        <v>291</v>
      </c>
      <c r="E11" s="20" t="s">
        <v>304</v>
      </c>
      <c r="F11" s="5" t="s">
        <v>305</v>
      </c>
    </row>
    <row r="12" spans="1:6" ht="15" customHeight="1" x14ac:dyDescent="0.25">
      <c r="A12" s="5" t="s">
        <v>297</v>
      </c>
      <c r="B12" s="5" t="s">
        <v>264</v>
      </c>
      <c r="C12" s="5" t="s">
        <v>306</v>
      </c>
      <c r="D12" s="5" t="s">
        <v>307</v>
      </c>
      <c r="E12" s="20" t="s">
        <v>308</v>
      </c>
      <c r="F12" s="5" t="s">
        <v>309</v>
      </c>
    </row>
    <row r="13" spans="1:6" ht="15" customHeight="1" x14ac:dyDescent="0.25">
      <c r="A13" s="5" t="s">
        <v>297</v>
      </c>
      <c r="B13" s="5" t="s">
        <v>310</v>
      </c>
      <c r="C13" s="5" t="s">
        <v>311</v>
      </c>
      <c r="D13" s="5" t="s">
        <v>312</v>
      </c>
      <c r="E13" s="20" t="s">
        <v>313</v>
      </c>
      <c r="F13" s="5" t="s">
        <v>309</v>
      </c>
    </row>
    <row r="14" spans="1:6" ht="15" customHeight="1" x14ac:dyDescent="0.25">
      <c r="A14" s="5" t="s">
        <v>297</v>
      </c>
      <c r="B14" s="5" t="s">
        <v>314</v>
      </c>
      <c r="C14" s="5" t="s">
        <v>315</v>
      </c>
      <c r="D14" s="5" t="s">
        <v>316</v>
      </c>
      <c r="E14" s="20" t="s">
        <v>317</v>
      </c>
      <c r="F14" s="5" t="s">
        <v>318</v>
      </c>
    </row>
    <row r="15" spans="1:6" ht="15" customHeight="1" x14ac:dyDescent="0.25">
      <c r="A15" s="5" t="s">
        <v>297</v>
      </c>
      <c r="B15" s="5" t="s">
        <v>319</v>
      </c>
      <c r="C15" s="5" t="s">
        <v>320</v>
      </c>
      <c r="D15" s="5" t="s">
        <v>291</v>
      </c>
      <c r="E15" s="20" t="s">
        <v>88</v>
      </c>
      <c r="F15" s="5" t="s">
        <v>321</v>
      </c>
    </row>
    <row r="16" spans="1:6" ht="15" customHeight="1" x14ac:dyDescent="0.25">
      <c r="A16" s="5" t="s">
        <v>297</v>
      </c>
      <c r="B16" s="5" t="s">
        <v>322</v>
      </c>
      <c r="C16" s="5" t="s">
        <v>323</v>
      </c>
      <c r="D16" s="5" t="s">
        <v>291</v>
      </c>
      <c r="E16" s="20" t="s">
        <v>88</v>
      </c>
      <c r="F16" s="5" t="s">
        <v>324</v>
      </c>
    </row>
    <row r="17" spans="1:6" ht="15" customHeight="1" x14ac:dyDescent="0.25">
      <c r="A17" s="5" t="s">
        <v>325</v>
      </c>
      <c r="B17" s="5" t="s">
        <v>326</v>
      </c>
      <c r="C17" s="5" t="s">
        <v>327</v>
      </c>
      <c r="D17" s="5" t="s">
        <v>328</v>
      </c>
      <c r="E17" s="20" t="s">
        <v>329</v>
      </c>
      <c r="F17" s="5" t="s">
        <v>330</v>
      </c>
    </row>
    <row r="18" spans="1:6" ht="15" customHeight="1" x14ac:dyDescent="0.25">
      <c r="A18" s="5" t="s">
        <v>325</v>
      </c>
      <c r="B18" s="5" t="s">
        <v>331</v>
      </c>
      <c r="C18" s="5" t="s">
        <v>332</v>
      </c>
      <c r="D18" s="5" t="s">
        <v>333</v>
      </c>
      <c r="E18" s="20" t="s">
        <v>334</v>
      </c>
      <c r="F18" s="5" t="s">
        <v>335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CB-02_DCBP-N</vt:lpstr>
      <vt:lpstr>BRM-03_ABP</vt:lpstr>
      <vt:lpstr>Satinalma_Birlesik</vt:lpstr>
      <vt:lpstr>Kararlar_Karsilastirma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2026-05-16T06:00:54Z</dcterms:created>
  <dcterms:modified xsi:type="dcterms:W3CDTF">2026-05-16T09:48:27Z</dcterms:modified>
  <dc:language>en-US</dc:language>
</cp:coreProperties>
</file>