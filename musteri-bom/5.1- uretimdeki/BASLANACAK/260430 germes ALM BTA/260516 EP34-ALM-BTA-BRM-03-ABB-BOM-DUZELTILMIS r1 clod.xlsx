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30 germes ALM BTA\"/>
    </mc:Choice>
  </mc:AlternateContent>
  <xr:revisionPtr revIDLastSave="0" documentId="8_{3AA997FE-F226-450A-8108-195FFE379B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9" i="2" l="1"/>
  <c r="F49" i="2"/>
  <c r="H48" i="2"/>
  <c r="H47" i="2"/>
  <c r="G47" i="2"/>
  <c r="G46" i="2"/>
  <c r="H46" i="2" s="1"/>
  <c r="G45" i="2"/>
  <c r="H45" i="2" s="1"/>
  <c r="H44" i="2"/>
  <c r="H42" i="2"/>
  <c r="F42" i="2"/>
  <c r="H41" i="2"/>
  <c r="H40" i="2"/>
  <c r="G40" i="2"/>
  <c r="H39" i="2"/>
  <c r="G39" i="2"/>
  <c r="G38" i="2"/>
  <c r="H38" i="2" s="1"/>
  <c r="G37" i="2"/>
  <c r="H37" i="2" s="1"/>
  <c r="H36" i="2"/>
  <c r="G36" i="2"/>
  <c r="G35" i="2"/>
  <c r="H35" i="2" s="1"/>
  <c r="H34" i="2"/>
  <c r="G34" i="2"/>
  <c r="H33" i="2"/>
  <c r="G33" i="2"/>
  <c r="G32" i="2"/>
  <c r="H32" i="2" s="1"/>
  <c r="G31" i="2"/>
  <c r="H31" i="2" s="1"/>
  <c r="H30" i="2"/>
  <c r="G30" i="2"/>
  <c r="G29" i="2"/>
  <c r="H29" i="2" s="1"/>
  <c r="H28" i="2"/>
  <c r="G28" i="2"/>
  <c r="H27" i="2"/>
  <c r="G27" i="2"/>
  <c r="G26" i="2"/>
  <c r="H26" i="2" s="1"/>
  <c r="G25" i="2"/>
  <c r="H25" i="2" s="1"/>
  <c r="H24" i="2"/>
  <c r="G24" i="2"/>
  <c r="G23" i="2"/>
  <c r="H23" i="2" s="1"/>
  <c r="H22" i="2"/>
  <c r="G22" i="2"/>
  <c r="H21" i="2"/>
  <c r="G21" i="2"/>
  <c r="G20" i="2"/>
  <c r="H20" i="2" s="1"/>
  <c r="G19" i="2"/>
  <c r="H19" i="2" s="1"/>
  <c r="H18" i="2"/>
  <c r="G18" i="2"/>
  <c r="G17" i="2"/>
  <c r="H17" i="2" s="1"/>
  <c r="H16" i="2"/>
  <c r="G16" i="2"/>
  <c r="H15" i="2"/>
  <c r="G15" i="2"/>
  <c r="G14" i="2"/>
  <c r="H14" i="2" s="1"/>
  <c r="G13" i="2"/>
  <c r="H13" i="2" s="1"/>
  <c r="H12" i="2"/>
  <c r="G12" i="2"/>
  <c r="H11" i="2"/>
  <c r="G10" i="2"/>
  <c r="H10" i="2" s="1"/>
  <c r="G9" i="2"/>
  <c r="H9" i="2" s="1"/>
  <c r="G8" i="2"/>
  <c r="H8" i="2" s="1"/>
  <c r="H7" i="2"/>
  <c r="G7" i="2"/>
  <c r="H6" i="2"/>
  <c r="H51" i="2" l="1"/>
</calcChain>
</file>

<file path=xl/sharedStrings.xml><?xml version="1.0" encoding="utf-8"?>
<sst xmlns="http://schemas.openxmlformats.org/spreadsheetml/2006/main" count="272" uniqueCount="104">
  <si>
    <t>korpus</t>
  </si>
  <si>
    <t xml:space="preserve"> ШТ. </t>
  </si>
  <si>
    <t>teksan f</t>
  </si>
  <si>
    <t>oto</t>
  </si>
  <si>
    <t>dif</t>
  </si>
  <si>
    <t>perekluchatel</t>
  </si>
  <si>
    <t>монтажный материал</t>
  </si>
  <si>
    <t>монтажная работа</t>
  </si>
  <si>
    <t>Panel</t>
  </si>
  <si>
    <t>Malzeme Tipi</t>
  </si>
  <si>
    <t>D Kodu</t>
  </si>
  <si>
    <t>ABB Artikül</t>
  </si>
  <si>
    <t>Ürün Adı</t>
  </si>
  <si>
    <t>ABB Liste Fiyatı (EUR)</t>
  </si>
  <si>
    <t>Hesaplanan Fiyat (KZT)</t>
  </si>
  <si>
    <t>Toplam (KZT)</t>
  </si>
  <si>
    <t>Miktar</t>
  </si>
  <si>
    <t>Birim</t>
  </si>
  <si>
    <t>Üretici</t>
  </si>
  <si>
    <t>Fiyat Hesaplama: KZT = EUR Liste Fiyatı × 0.33 (indirim) × 1.30 (yol+gümrük) × EUR/KZT kuru | Kur: ayrı hücrede girilecek</t>
  </si>
  <si>
    <t>EUR/KZT Kuru:</t>
  </si>
  <si>
    <t>(Güncel kuru giriniz)</t>
  </si>
  <si>
    <t>DCBP-N PANEL</t>
  </si>
  <si>
    <t>120*200*40 cm</t>
  </si>
  <si>
    <t>mccb</t>
  </si>
  <si>
    <t>1SDA100345R1</t>
  </si>
  <si>
    <t>XT5N 400, TMA, In=400A</t>
  </si>
  <si>
    <t>ABB</t>
  </si>
  <si>
    <t>1SDA066719R1</t>
  </si>
  <si>
    <t>A1C 125, TMF, In=100A</t>
  </si>
  <si>
    <t>A1C 125, TMF, In=125A</t>
  </si>
  <si>
    <t>rascepitel</t>
  </si>
  <si>
    <t>1SDA066720R1</t>
  </si>
  <si>
    <t>SOR-C 220-240V AC/220-250V DC</t>
  </si>
  <si>
    <t>tt</t>
  </si>
  <si>
    <t>Трансформатор тока Т-66 300/5А</t>
  </si>
  <si>
    <t>pys</t>
  </si>
  <si>
    <t>uzo</t>
  </si>
  <si>
    <t>2CSF204001R1900</t>
  </si>
  <si>
    <t>УЗО F204 AC-100/0.03 100A</t>
  </si>
  <si>
    <t>2CSB204001R1630</t>
  </si>
  <si>
    <t>dif blok DDA204 AC-63/0.03</t>
  </si>
  <si>
    <t>2CDS254001R0634</t>
  </si>
  <si>
    <t>oto 4p S 204-C 63</t>
  </si>
  <si>
    <t>2CSB204001R1400</t>
  </si>
  <si>
    <t xml:space="preserve">dif blok DDA204 AC-40/0.03 </t>
  </si>
  <si>
    <t>2CDS254001R0404</t>
  </si>
  <si>
    <t>oto 4p S 204-C 40</t>
  </si>
  <si>
    <t>2CSA255901R9164</t>
  </si>
  <si>
    <t xml:space="preserve">Дифф. Авт. Выкл S-ARC1 C16 
</t>
  </si>
  <si>
    <t>2CSA255901R9254</t>
  </si>
  <si>
    <t>Дифф. Авт. Выкл S-ARC1 C25</t>
  </si>
  <si>
    <t>2CSR256040R1164</t>
  </si>
  <si>
    <t>Дифф. Авт. Выкл. 4P DS203NC C16 AC30</t>
  </si>
  <si>
    <t>2CSR256040R1254</t>
  </si>
  <si>
    <t>Dif 4p DS203NC C25 AC30</t>
  </si>
  <si>
    <t>2CSR256040R1324</t>
  </si>
  <si>
    <t>Dif 4p DS203NC C32 AC30</t>
  </si>
  <si>
    <t>2CDS251001R0105</t>
  </si>
  <si>
    <t>oto 1p S 201-B 10</t>
  </si>
  <si>
    <t>2CDS251001R0065</t>
  </si>
  <si>
    <t>oto 1p S 201-B 6</t>
  </si>
  <si>
    <t>2CDS253001R0254</t>
  </si>
  <si>
    <t>oto 3p S 203-C 25</t>
  </si>
  <si>
    <t>2CDS253001R0404</t>
  </si>
  <si>
    <t>oto 3p S 203-C 40</t>
  </si>
  <si>
    <t>2CDS253001R0504</t>
  </si>
  <si>
    <t xml:space="preserve">oto 3p S 203-C 50 </t>
  </si>
  <si>
    <t>fu</t>
  </si>
  <si>
    <t>2CSM256393R1801</t>
  </si>
  <si>
    <t>FU 2A E 9F8 GG2</t>
  </si>
  <si>
    <t>2CSM200983R1801</t>
  </si>
  <si>
    <t>Держатель предохранителя E 91/20</t>
  </si>
  <si>
    <t>2CSM200943R1801</t>
  </si>
  <si>
    <t>Держатель предохранителя E 93/20</t>
  </si>
  <si>
    <t>2CSG251141R4051</t>
  </si>
  <si>
    <t>M4M 20 Modbus</t>
  </si>
  <si>
    <t>contactor</t>
  </si>
  <si>
    <t>1SBL237001R1300</t>
  </si>
  <si>
    <t>Трехполюсный контактор AF26-30-00 25А</t>
  </si>
  <si>
    <t>1SBL137001R1310</t>
  </si>
  <si>
    <t>Контактор 9А
AF09-30-10  35,76</t>
  </si>
  <si>
    <t>1SBL407001R1111</t>
  </si>
  <si>
    <t>Трехполюсный контактор AF96-30-11 100А</t>
  </si>
  <si>
    <t>1SCA104848R1001-B</t>
  </si>
  <si>
    <t>Переключатель кулачковый 16А  OT16FT3HY3ST1</t>
  </si>
  <si>
    <t>motor</t>
  </si>
  <si>
    <t>1SAM250000R1005</t>
  </si>
  <si>
    <t>Aвтоматические выключатели защиты двигателя MS116-1.6 1-1,6A</t>
  </si>
  <si>
    <t>1SAM250000R1009</t>
  </si>
  <si>
    <t>Aвтоматические выключатели защиты двигателя MS116-6.3 4-6,3A</t>
  </si>
  <si>
    <t>1SAM250000R1010</t>
  </si>
  <si>
    <t>Aвтоматические выключатели защиты двигателя MS116-10 6,3-10A</t>
  </si>
  <si>
    <t>button</t>
  </si>
  <si>
    <t>1SFA611520R1001</t>
  </si>
  <si>
    <t>Аварийная кнопка MPET3-10R</t>
  </si>
  <si>
    <t>1SFA611605R1100</t>
  </si>
  <si>
    <t>Держатель контактов MCBH-00</t>
  </si>
  <si>
    <t>1SFA611610R1010</t>
  </si>
  <si>
    <t>Блок контактов MCB-01</t>
  </si>
  <si>
    <t>DCBP-UPS</t>
  </si>
  <si>
    <t xml:space="preserve">dif 2P S-ARC1 C16 
</t>
  </si>
  <si>
    <t>Плавкая вставка предохранителя E 9F8 GG2</t>
  </si>
  <si>
    <t>PANEL TOPLAMI: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</si>
</sst>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KZT&quot;"/>
    <numFmt numFmtId="165" formatCode="#,##0.00&quot; EUR&quot;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i/>
      <sz val="8"/>
      <color rgb="FF555555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rgb="FFFF0000"/>
      <name val="Arial"/>
      <family val="2"/>
      <charset val="204"/>
    </font>
    <font>
      <i/>
      <sz val="8"/>
      <color rgb="FF888888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F99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4" fontId="10" fillId="7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D7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zoomScaleNormal="100" workbookViewId="0"/>
  </sheetViews>
  <sheetFormatPr defaultColWidth="8.7109375" defaultRowHeight="15" x14ac:dyDescent="0.25"/>
  <cols>
    <col min="1" max="1" width="25" customWidth="1"/>
    <col min="2" max="2" width="18" customWidth="1"/>
    <col min="3" max="3" width="14" customWidth="1"/>
    <col min="4" max="4" width="22" customWidth="1"/>
    <col min="5" max="5" width="45" customWidth="1"/>
    <col min="6" max="8" width="22" customWidth="1"/>
    <col min="9" max="9" width="10" customWidth="1"/>
    <col min="10" max="10" width="8" customWidth="1"/>
    <col min="11" max="11" width="12" customWidth="1"/>
  </cols>
  <sheetData>
    <row r="1" spans="1:11" ht="30" customHeigh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19.5" customHeight="1" x14ac:dyDescent="0.25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 x14ac:dyDescent="0.25">
      <c r="A3" s="4" t="s">
        <v>20</v>
      </c>
      <c r="B3" s="5">
        <v>520</v>
      </c>
      <c r="C3" s="6" t="s">
        <v>21</v>
      </c>
    </row>
    <row r="5" spans="1:11" ht="21.75" customHeight="1" x14ac:dyDescent="0.25">
      <c r="A5" s="1" t="s">
        <v>22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.75" customHeight="1" x14ac:dyDescent="0.25">
      <c r="A6" s="7" t="s">
        <v>22</v>
      </c>
      <c r="B6" s="7" t="s">
        <v>0</v>
      </c>
      <c r="C6" s="8"/>
      <c r="D6" s="7"/>
      <c r="E6" s="7" t="s">
        <v>23</v>
      </c>
      <c r="F6" s="9"/>
      <c r="G6" s="10">
        <v>0</v>
      </c>
      <c r="H6" s="10">
        <f t="shared" ref="H6:H42" si="0">G6*I6</f>
        <v>0</v>
      </c>
      <c r="I6" s="11">
        <v>1</v>
      </c>
      <c r="J6" s="8" t="s">
        <v>1</v>
      </c>
      <c r="K6" s="8" t="s">
        <v>2</v>
      </c>
    </row>
    <row r="7" spans="1:11" ht="15.75" customHeight="1" x14ac:dyDescent="0.25">
      <c r="A7" s="7" t="s">
        <v>22</v>
      </c>
      <c r="B7" s="7" t="s">
        <v>24</v>
      </c>
      <c r="C7" s="8"/>
      <c r="D7" s="7" t="s">
        <v>25</v>
      </c>
      <c r="E7" s="7" t="s">
        <v>26</v>
      </c>
      <c r="F7" s="12">
        <v>1237</v>
      </c>
      <c r="G7" s="13">
        <f>F7*0.33*1.3*$B$3</f>
        <v>275949.96000000008</v>
      </c>
      <c r="H7" s="14">
        <f t="shared" si="0"/>
        <v>275949.96000000008</v>
      </c>
      <c r="I7" s="11">
        <v>1</v>
      </c>
      <c r="J7" s="8" t="s">
        <v>1</v>
      </c>
      <c r="K7" s="8" t="s">
        <v>27</v>
      </c>
    </row>
    <row r="8" spans="1:11" ht="15.75" customHeight="1" x14ac:dyDescent="0.25">
      <c r="A8" s="7" t="s">
        <v>22</v>
      </c>
      <c r="B8" s="7" t="s">
        <v>24</v>
      </c>
      <c r="C8" s="8"/>
      <c r="D8" s="7" t="s">
        <v>28</v>
      </c>
      <c r="E8" s="7" t="s">
        <v>29</v>
      </c>
      <c r="F8" s="12">
        <v>153.6</v>
      </c>
      <c r="G8" s="13">
        <f>F8*0.33*1.3*$B$3</f>
        <v>34265.088000000003</v>
      </c>
      <c r="H8" s="14">
        <f t="shared" si="0"/>
        <v>34265.088000000003</v>
      </c>
      <c r="I8" s="11">
        <v>1</v>
      </c>
      <c r="J8" s="8" t="s">
        <v>1</v>
      </c>
      <c r="K8" s="8" t="s">
        <v>27</v>
      </c>
    </row>
    <row r="9" spans="1:11" ht="15.75" customHeight="1" x14ac:dyDescent="0.25">
      <c r="A9" s="7" t="s">
        <v>22</v>
      </c>
      <c r="B9" s="7" t="s">
        <v>24</v>
      </c>
      <c r="C9" s="8"/>
      <c r="D9" s="7" t="s">
        <v>28</v>
      </c>
      <c r="E9" s="7" t="s">
        <v>30</v>
      </c>
      <c r="F9" s="12">
        <v>153.6</v>
      </c>
      <c r="G9" s="13">
        <f>F9*0.33*1.3*$B$3</f>
        <v>34265.088000000003</v>
      </c>
      <c r="H9" s="14">
        <f t="shared" si="0"/>
        <v>34265.088000000003</v>
      </c>
      <c r="I9" s="11">
        <v>1</v>
      </c>
      <c r="J9" s="8" t="s">
        <v>1</v>
      </c>
      <c r="K9" s="8" t="s">
        <v>27</v>
      </c>
    </row>
    <row r="10" spans="1:11" ht="15.75" customHeight="1" x14ac:dyDescent="0.25">
      <c r="A10" s="7" t="s">
        <v>22</v>
      </c>
      <c r="B10" s="7" t="s">
        <v>31</v>
      </c>
      <c r="C10" s="8"/>
      <c r="D10" s="7" t="s">
        <v>32</v>
      </c>
      <c r="E10" s="7" t="s">
        <v>33</v>
      </c>
      <c r="F10" s="12">
        <v>164.5</v>
      </c>
      <c r="G10" s="13">
        <f>F10*0.33*1.3*$B$3</f>
        <v>36696.660000000003</v>
      </c>
      <c r="H10" s="14">
        <f t="shared" si="0"/>
        <v>36696.660000000003</v>
      </c>
      <c r="I10" s="11">
        <v>1</v>
      </c>
      <c r="J10" s="8" t="s">
        <v>1</v>
      </c>
      <c r="K10" s="8" t="s">
        <v>27</v>
      </c>
    </row>
    <row r="11" spans="1:11" ht="15.75" customHeight="1" x14ac:dyDescent="0.25">
      <c r="A11" s="7" t="s">
        <v>22</v>
      </c>
      <c r="B11" s="7" t="s">
        <v>34</v>
      </c>
      <c r="C11" s="8"/>
      <c r="D11" s="7"/>
      <c r="E11" s="7" t="s">
        <v>35</v>
      </c>
      <c r="F11" s="9"/>
      <c r="G11" s="10">
        <v>0</v>
      </c>
      <c r="H11" s="10">
        <f t="shared" si="0"/>
        <v>0</v>
      </c>
      <c r="I11" s="11">
        <v>3</v>
      </c>
      <c r="J11" s="8" t="s">
        <v>1</v>
      </c>
      <c r="K11" s="8" t="s">
        <v>36</v>
      </c>
    </row>
    <row r="12" spans="1:11" ht="15.75" customHeight="1" x14ac:dyDescent="0.25">
      <c r="A12" s="7" t="s">
        <v>22</v>
      </c>
      <c r="B12" s="7" t="s">
        <v>37</v>
      </c>
      <c r="C12" s="8"/>
      <c r="D12" s="7" t="s">
        <v>38</v>
      </c>
      <c r="E12" s="7" t="s">
        <v>39</v>
      </c>
      <c r="F12" s="12">
        <v>363.9</v>
      </c>
      <c r="G12" s="13">
        <f t="shared" ref="G12:G40" si="1">F12*0.33*1.3*$B$3</f>
        <v>81178.812000000005</v>
      </c>
      <c r="H12" s="14">
        <f t="shared" si="0"/>
        <v>81178.812000000005</v>
      </c>
      <c r="I12" s="11">
        <v>1</v>
      </c>
      <c r="J12" s="8" t="s">
        <v>1</v>
      </c>
      <c r="K12" s="8" t="s">
        <v>27</v>
      </c>
    </row>
    <row r="13" spans="1:11" ht="15.75" customHeight="1" x14ac:dyDescent="0.25">
      <c r="A13" s="7" t="s">
        <v>22</v>
      </c>
      <c r="B13" s="7" t="s">
        <v>4</v>
      </c>
      <c r="C13" s="8"/>
      <c r="D13" s="7" t="s">
        <v>40</v>
      </c>
      <c r="E13" s="7" t="s">
        <v>41</v>
      </c>
      <c r="F13" s="12">
        <v>159.69999999999999</v>
      </c>
      <c r="G13" s="13">
        <f t="shared" si="1"/>
        <v>35625.876000000004</v>
      </c>
      <c r="H13" s="14">
        <f t="shared" si="0"/>
        <v>71251.752000000008</v>
      </c>
      <c r="I13" s="11">
        <v>2</v>
      </c>
      <c r="J13" s="8" t="s">
        <v>1</v>
      </c>
      <c r="K13" s="8" t="s">
        <v>27</v>
      </c>
    </row>
    <row r="14" spans="1:11" ht="15.75" customHeight="1" x14ac:dyDescent="0.25">
      <c r="A14" s="7" t="s">
        <v>22</v>
      </c>
      <c r="B14" s="7" t="s">
        <v>3</v>
      </c>
      <c r="C14" s="8"/>
      <c r="D14" s="7" t="s">
        <v>42</v>
      </c>
      <c r="E14" s="7" t="s">
        <v>43</v>
      </c>
      <c r="F14" s="12">
        <v>109.8</v>
      </c>
      <c r="G14" s="13">
        <f t="shared" si="1"/>
        <v>24494.184000000005</v>
      </c>
      <c r="H14" s="14">
        <f t="shared" si="0"/>
        <v>48988.368000000009</v>
      </c>
      <c r="I14" s="11">
        <v>2</v>
      </c>
      <c r="J14" s="8" t="s">
        <v>1</v>
      </c>
      <c r="K14" s="8" t="s">
        <v>27</v>
      </c>
    </row>
    <row r="15" spans="1:11" ht="15.75" customHeight="1" x14ac:dyDescent="0.25">
      <c r="A15" s="7" t="s">
        <v>22</v>
      </c>
      <c r="B15" s="7" t="s">
        <v>4</v>
      </c>
      <c r="C15" s="8"/>
      <c r="D15" s="7" t="s">
        <v>44</v>
      </c>
      <c r="E15" s="7" t="s">
        <v>45</v>
      </c>
      <c r="F15" s="12">
        <v>159.69999999999999</v>
      </c>
      <c r="G15" s="13">
        <f t="shared" si="1"/>
        <v>35625.876000000004</v>
      </c>
      <c r="H15" s="14">
        <f t="shared" si="0"/>
        <v>71251.752000000008</v>
      </c>
      <c r="I15" s="11">
        <v>2</v>
      </c>
      <c r="J15" s="8" t="s">
        <v>1</v>
      </c>
      <c r="K15" s="8" t="s">
        <v>27</v>
      </c>
    </row>
    <row r="16" spans="1:11" ht="15.75" customHeight="1" x14ac:dyDescent="0.25">
      <c r="A16" s="7" t="s">
        <v>22</v>
      </c>
      <c r="B16" s="7" t="s">
        <v>3</v>
      </c>
      <c r="C16" s="8"/>
      <c r="D16" s="7" t="s">
        <v>46</v>
      </c>
      <c r="E16" s="7" t="s">
        <v>47</v>
      </c>
      <c r="F16" s="12">
        <v>84.04</v>
      </c>
      <c r="G16" s="13">
        <f t="shared" si="1"/>
        <v>18747.643200000002</v>
      </c>
      <c r="H16" s="14">
        <f t="shared" si="0"/>
        <v>37495.286400000005</v>
      </c>
      <c r="I16" s="11">
        <v>2</v>
      </c>
      <c r="J16" s="8" t="s">
        <v>1</v>
      </c>
      <c r="K16" s="8" t="s">
        <v>27</v>
      </c>
    </row>
    <row r="17" spans="1:11" ht="15.75" customHeight="1" x14ac:dyDescent="0.25">
      <c r="A17" s="7" t="s">
        <v>22</v>
      </c>
      <c r="B17" s="7" t="s">
        <v>4</v>
      </c>
      <c r="C17" s="8"/>
      <c r="D17" s="7" t="s">
        <v>48</v>
      </c>
      <c r="E17" s="7" t="s">
        <v>49</v>
      </c>
      <c r="F17" s="12">
        <v>268.89999999999998</v>
      </c>
      <c r="G17" s="13">
        <f t="shared" si="1"/>
        <v>59986.212</v>
      </c>
      <c r="H17" s="14">
        <f t="shared" si="0"/>
        <v>2159503.6320000002</v>
      </c>
      <c r="I17" s="11">
        <v>36</v>
      </c>
      <c r="J17" s="8" t="s">
        <v>1</v>
      </c>
      <c r="K17" s="8" t="s">
        <v>27</v>
      </c>
    </row>
    <row r="18" spans="1:11" ht="15.75" customHeight="1" x14ac:dyDescent="0.25">
      <c r="A18" s="7" t="s">
        <v>22</v>
      </c>
      <c r="B18" s="7" t="s">
        <v>4</v>
      </c>
      <c r="C18" s="8"/>
      <c r="D18" s="7" t="s">
        <v>50</v>
      </c>
      <c r="E18" s="7" t="s">
        <v>51</v>
      </c>
      <c r="F18" s="12">
        <v>268.89999999999998</v>
      </c>
      <c r="G18" s="13">
        <f t="shared" si="1"/>
        <v>59986.212</v>
      </c>
      <c r="H18" s="14">
        <f t="shared" si="0"/>
        <v>239944.848</v>
      </c>
      <c r="I18" s="11">
        <v>4</v>
      </c>
      <c r="J18" s="8" t="s">
        <v>1</v>
      </c>
      <c r="K18" s="8" t="s">
        <v>27</v>
      </c>
    </row>
    <row r="19" spans="1:11" ht="15.75" customHeight="1" x14ac:dyDescent="0.25">
      <c r="A19" s="7" t="s">
        <v>22</v>
      </c>
      <c r="B19" s="7" t="s">
        <v>4</v>
      </c>
      <c r="C19" s="8"/>
      <c r="D19" s="7" t="s">
        <v>52</v>
      </c>
      <c r="E19" s="7" t="s">
        <v>53</v>
      </c>
      <c r="F19" s="12">
        <v>292</v>
      </c>
      <c r="G19" s="13">
        <f t="shared" si="1"/>
        <v>65139.360000000001</v>
      </c>
      <c r="H19" s="14">
        <f t="shared" si="0"/>
        <v>260557.44</v>
      </c>
      <c r="I19" s="11">
        <v>4</v>
      </c>
      <c r="J19" s="8" t="s">
        <v>1</v>
      </c>
      <c r="K19" s="8" t="s">
        <v>27</v>
      </c>
    </row>
    <row r="20" spans="1:11" ht="15.75" customHeight="1" x14ac:dyDescent="0.25">
      <c r="A20" s="7" t="s">
        <v>22</v>
      </c>
      <c r="B20" s="7" t="s">
        <v>4</v>
      </c>
      <c r="C20" s="8"/>
      <c r="D20" s="7" t="s">
        <v>54</v>
      </c>
      <c r="E20" s="7" t="s">
        <v>55</v>
      </c>
      <c r="F20" s="12">
        <v>292</v>
      </c>
      <c r="G20" s="13">
        <f t="shared" si="1"/>
        <v>65139.360000000001</v>
      </c>
      <c r="H20" s="14">
        <f t="shared" si="0"/>
        <v>325696.8</v>
      </c>
      <c r="I20" s="11">
        <v>5</v>
      </c>
      <c r="J20" s="8" t="s">
        <v>1</v>
      </c>
      <c r="K20" s="8" t="s">
        <v>27</v>
      </c>
    </row>
    <row r="21" spans="1:11" ht="15.75" customHeight="1" x14ac:dyDescent="0.25">
      <c r="A21" s="7" t="s">
        <v>22</v>
      </c>
      <c r="B21" s="7" t="s">
        <v>4</v>
      </c>
      <c r="C21" s="8"/>
      <c r="D21" s="7" t="s">
        <v>56</v>
      </c>
      <c r="E21" s="7" t="s">
        <v>57</v>
      </c>
      <c r="F21" s="12">
        <v>292</v>
      </c>
      <c r="G21" s="13">
        <f t="shared" si="1"/>
        <v>65139.360000000001</v>
      </c>
      <c r="H21" s="14">
        <f t="shared" si="0"/>
        <v>130278.72</v>
      </c>
      <c r="I21" s="11">
        <v>2</v>
      </c>
      <c r="J21" s="8" t="s">
        <v>1</v>
      </c>
      <c r="K21" s="8" t="s">
        <v>27</v>
      </c>
    </row>
    <row r="22" spans="1:11" ht="15.75" customHeight="1" x14ac:dyDescent="0.25">
      <c r="A22" s="7" t="s">
        <v>22</v>
      </c>
      <c r="B22" s="7" t="s">
        <v>3</v>
      </c>
      <c r="C22" s="8"/>
      <c r="D22" s="7" t="s">
        <v>58</v>
      </c>
      <c r="E22" s="7" t="s">
        <v>59</v>
      </c>
      <c r="F22" s="12">
        <v>9.7799999999999994</v>
      </c>
      <c r="G22" s="13">
        <f t="shared" si="1"/>
        <v>2181.7224000000001</v>
      </c>
      <c r="H22" s="14">
        <f t="shared" si="0"/>
        <v>34907.558400000002</v>
      </c>
      <c r="I22" s="11">
        <v>16</v>
      </c>
      <c r="J22" s="8" t="s">
        <v>1</v>
      </c>
      <c r="K22" s="8" t="s">
        <v>27</v>
      </c>
    </row>
    <row r="23" spans="1:11" ht="15.75" customHeight="1" x14ac:dyDescent="0.25">
      <c r="A23" s="7" t="s">
        <v>22</v>
      </c>
      <c r="B23" s="7" t="s">
        <v>3</v>
      </c>
      <c r="C23" s="8"/>
      <c r="D23" s="7" t="s">
        <v>60</v>
      </c>
      <c r="E23" s="7" t="s">
        <v>61</v>
      </c>
      <c r="F23" s="12">
        <v>11.74</v>
      </c>
      <c r="G23" s="13">
        <f t="shared" si="1"/>
        <v>2618.9591999999998</v>
      </c>
      <c r="H23" s="14">
        <f t="shared" si="0"/>
        <v>2618.9591999999998</v>
      </c>
      <c r="I23" s="11">
        <v>1</v>
      </c>
      <c r="J23" s="8" t="s">
        <v>1</v>
      </c>
      <c r="K23" s="8" t="s">
        <v>27</v>
      </c>
    </row>
    <row r="24" spans="1:11" ht="15.75" customHeight="1" x14ac:dyDescent="0.25">
      <c r="A24" s="7" t="s">
        <v>22</v>
      </c>
      <c r="B24" s="7" t="s">
        <v>3</v>
      </c>
      <c r="C24" s="8"/>
      <c r="D24" s="7" t="s">
        <v>62</v>
      </c>
      <c r="E24" s="7" t="s">
        <v>63</v>
      </c>
      <c r="F24" s="12">
        <v>48.51</v>
      </c>
      <c r="G24" s="13">
        <f t="shared" si="1"/>
        <v>10821.610799999999</v>
      </c>
      <c r="H24" s="14">
        <f t="shared" si="0"/>
        <v>21643.221599999997</v>
      </c>
      <c r="I24" s="11">
        <v>2</v>
      </c>
      <c r="J24" s="8" t="s">
        <v>1</v>
      </c>
      <c r="K24" s="8" t="s">
        <v>27</v>
      </c>
    </row>
    <row r="25" spans="1:11" ht="15.75" customHeight="1" x14ac:dyDescent="0.25">
      <c r="A25" s="7" t="s">
        <v>22</v>
      </c>
      <c r="B25" s="7" t="s">
        <v>3</v>
      </c>
      <c r="C25" s="8"/>
      <c r="D25" s="7" t="s">
        <v>64</v>
      </c>
      <c r="E25" s="7" t="s">
        <v>65</v>
      </c>
      <c r="F25" s="12">
        <v>63.02</v>
      </c>
      <c r="G25" s="13">
        <f t="shared" si="1"/>
        <v>14058.501600000001</v>
      </c>
      <c r="H25" s="14">
        <f t="shared" si="0"/>
        <v>14058.501600000001</v>
      </c>
      <c r="I25" s="11">
        <v>1</v>
      </c>
      <c r="J25" s="8" t="s">
        <v>1</v>
      </c>
      <c r="K25" s="8" t="s">
        <v>27</v>
      </c>
    </row>
    <row r="26" spans="1:11" ht="15.75" customHeight="1" x14ac:dyDescent="0.25">
      <c r="A26" s="7" t="s">
        <v>22</v>
      </c>
      <c r="B26" s="7" t="s">
        <v>3</v>
      </c>
      <c r="C26" s="8"/>
      <c r="D26" s="7" t="s">
        <v>66</v>
      </c>
      <c r="E26" s="7" t="s">
        <v>67</v>
      </c>
      <c r="F26" s="12">
        <v>72.72</v>
      </c>
      <c r="G26" s="13">
        <f t="shared" si="1"/>
        <v>16222.377600000002</v>
      </c>
      <c r="H26" s="14">
        <f t="shared" si="0"/>
        <v>32444.755200000003</v>
      </c>
      <c r="I26" s="11">
        <v>2</v>
      </c>
      <c r="J26" s="8" t="s">
        <v>1</v>
      </c>
      <c r="K26" s="8" t="s">
        <v>27</v>
      </c>
    </row>
    <row r="27" spans="1:11" ht="15.75" customHeight="1" x14ac:dyDescent="0.25">
      <c r="A27" s="7" t="s">
        <v>22</v>
      </c>
      <c r="B27" s="7" t="s">
        <v>68</v>
      </c>
      <c r="C27" s="8"/>
      <c r="D27" s="7" t="s">
        <v>69</v>
      </c>
      <c r="E27" s="7" t="s">
        <v>70</v>
      </c>
      <c r="F27" s="12">
        <v>4.4000000000000004</v>
      </c>
      <c r="G27" s="13">
        <f t="shared" si="1"/>
        <v>981.55200000000025</v>
      </c>
      <c r="H27" s="14">
        <f t="shared" si="0"/>
        <v>6870.8640000000014</v>
      </c>
      <c r="I27" s="11">
        <v>7</v>
      </c>
      <c r="J27" s="8" t="s">
        <v>1</v>
      </c>
      <c r="K27" s="8" t="s">
        <v>27</v>
      </c>
    </row>
    <row r="28" spans="1:11" ht="15.75" customHeight="1" x14ac:dyDescent="0.25">
      <c r="A28" s="7" t="s">
        <v>22</v>
      </c>
      <c r="B28" s="7" t="s">
        <v>68</v>
      </c>
      <c r="C28" s="8"/>
      <c r="D28" s="7" t="s">
        <v>71</v>
      </c>
      <c r="E28" s="7" t="s">
        <v>72</v>
      </c>
      <c r="F28" s="12">
        <v>8.52</v>
      </c>
      <c r="G28" s="13">
        <f t="shared" si="1"/>
        <v>1900.6415999999999</v>
      </c>
      <c r="H28" s="14">
        <f t="shared" si="0"/>
        <v>7602.5663999999997</v>
      </c>
      <c r="I28" s="11">
        <v>4</v>
      </c>
      <c r="J28" s="8" t="s">
        <v>1</v>
      </c>
      <c r="K28" s="8" t="s">
        <v>27</v>
      </c>
    </row>
    <row r="29" spans="1:11" ht="15.75" customHeight="1" x14ac:dyDescent="0.25">
      <c r="A29" s="7" t="s">
        <v>22</v>
      </c>
      <c r="B29" s="7" t="s">
        <v>68</v>
      </c>
      <c r="C29" s="8"/>
      <c r="D29" s="7" t="s">
        <v>73</v>
      </c>
      <c r="E29" s="7" t="s">
        <v>74</v>
      </c>
      <c r="F29" s="12">
        <v>22.76</v>
      </c>
      <c r="G29" s="13">
        <f t="shared" si="1"/>
        <v>5077.3008000000009</v>
      </c>
      <c r="H29" s="14">
        <f t="shared" si="0"/>
        <v>5077.3008000000009</v>
      </c>
      <c r="I29" s="11">
        <v>1</v>
      </c>
      <c r="J29" s="8" t="s">
        <v>1</v>
      </c>
      <c r="K29" s="8" t="s">
        <v>27</v>
      </c>
    </row>
    <row r="30" spans="1:11" ht="15.75" customHeight="1" x14ac:dyDescent="0.25">
      <c r="A30" s="7" t="s">
        <v>22</v>
      </c>
      <c r="B30" s="7" t="s">
        <v>68</v>
      </c>
      <c r="C30" s="8"/>
      <c r="D30" s="7" t="s">
        <v>75</v>
      </c>
      <c r="E30" s="7" t="s">
        <v>76</v>
      </c>
      <c r="F30" s="12">
        <v>779.8</v>
      </c>
      <c r="G30" s="13">
        <f t="shared" si="1"/>
        <v>173957.78399999999</v>
      </c>
      <c r="H30" s="14">
        <f t="shared" si="0"/>
        <v>173957.78399999999</v>
      </c>
      <c r="I30" s="11">
        <v>1</v>
      </c>
      <c r="J30" s="8" t="s">
        <v>1</v>
      </c>
      <c r="K30" s="8" t="s">
        <v>27</v>
      </c>
    </row>
    <row r="31" spans="1:11" ht="15.75" customHeight="1" x14ac:dyDescent="0.25">
      <c r="A31" s="7" t="s">
        <v>22</v>
      </c>
      <c r="B31" s="7" t="s">
        <v>77</v>
      </c>
      <c r="C31" s="8"/>
      <c r="D31" s="7" t="s">
        <v>78</v>
      </c>
      <c r="E31" s="7" t="s">
        <v>79</v>
      </c>
      <c r="F31" s="12">
        <v>59.16</v>
      </c>
      <c r="G31" s="13">
        <f t="shared" si="1"/>
        <v>13197.412800000002</v>
      </c>
      <c r="H31" s="14">
        <f t="shared" si="0"/>
        <v>13197.412800000002</v>
      </c>
      <c r="I31" s="11">
        <v>1</v>
      </c>
      <c r="J31" s="8" t="s">
        <v>1</v>
      </c>
      <c r="K31" s="8" t="s">
        <v>27</v>
      </c>
    </row>
    <row r="32" spans="1:11" ht="15.75" customHeight="1" x14ac:dyDescent="0.25">
      <c r="A32" s="7" t="s">
        <v>22</v>
      </c>
      <c r="B32" s="7" t="s">
        <v>77</v>
      </c>
      <c r="C32" s="8"/>
      <c r="D32" s="7" t="s">
        <v>80</v>
      </c>
      <c r="E32" s="7" t="s">
        <v>81</v>
      </c>
      <c r="F32" s="12">
        <v>37.909999999999997</v>
      </c>
      <c r="G32" s="13">
        <f t="shared" si="1"/>
        <v>8456.9628000000012</v>
      </c>
      <c r="H32" s="14">
        <f t="shared" si="0"/>
        <v>109940.51640000002</v>
      </c>
      <c r="I32" s="11">
        <v>13</v>
      </c>
      <c r="J32" s="8" t="s">
        <v>1</v>
      </c>
      <c r="K32" s="8" t="s">
        <v>27</v>
      </c>
    </row>
    <row r="33" spans="1:11" ht="15.75" customHeight="1" x14ac:dyDescent="0.25">
      <c r="A33" s="7" t="s">
        <v>22</v>
      </c>
      <c r="B33" s="7" t="s">
        <v>77</v>
      </c>
      <c r="C33" s="8"/>
      <c r="D33" s="7" t="s">
        <v>82</v>
      </c>
      <c r="E33" s="7" t="s">
        <v>83</v>
      </c>
      <c r="F33" s="12">
        <v>515.70000000000005</v>
      </c>
      <c r="G33" s="13">
        <f t="shared" si="1"/>
        <v>115042.35600000001</v>
      </c>
      <c r="H33" s="14">
        <f t="shared" si="0"/>
        <v>115042.35600000001</v>
      </c>
      <c r="I33" s="11">
        <v>1</v>
      </c>
      <c r="J33" s="8" t="s">
        <v>1</v>
      </c>
      <c r="K33" s="8" t="s">
        <v>27</v>
      </c>
    </row>
    <row r="34" spans="1:11" ht="15.75" customHeight="1" x14ac:dyDescent="0.25">
      <c r="A34" s="7" t="s">
        <v>22</v>
      </c>
      <c r="B34" s="7" t="s">
        <v>5</v>
      </c>
      <c r="C34" s="8"/>
      <c r="D34" s="7" t="s">
        <v>84</v>
      </c>
      <c r="E34" s="7" t="s">
        <v>85</v>
      </c>
      <c r="F34" s="12">
        <v>36.090000000000003</v>
      </c>
      <c r="G34" s="13">
        <f t="shared" si="1"/>
        <v>8050.9572000000007</v>
      </c>
      <c r="H34" s="14">
        <f t="shared" si="0"/>
        <v>112713.4008</v>
      </c>
      <c r="I34" s="11">
        <v>14</v>
      </c>
      <c r="J34" s="8" t="s">
        <v>1</v>
      </c>
      <c r="K34" s="8" t="s">
        <v>27</v>
      </c>
    </row>
    <row r="35" spans="1:11" ht="15.75" customHeight="1" x14ac:dyDescent="0.25">
      <c r="A35" s="7" t="s">
        <v>22</v>
      </c>
      <c r="B35" s="7" t="s">
        <v>86</v>
      </c>
      <c r="C35" s="8"/>
      <c r="D35" s="7" t="s">
        <v>87</v>
      </c>
      <c r="E35" s="7" t="s">
        <v>88</v>
      </c>
      <c r="F35" s="12">
        <v>62.53</v>
      </c>
      <c r="G35" s="13">
        <f t="shared" si="1"/>
        <v>13949.192400000002</v>
      </c>
      <c r="H35" s="14">
        <f t="shared" si="0"/>
        <v>13949.192400000002</v>
      </c>
      <c r="I35" s="11">
        <v>1</v>
      </c>
      <c r="J35" s="8" t="s">
        <v>1</v>
      </c>
      <c r="K35" s="8" t="s">
        <v>27</v>
      </c>
    </row>
    <row r="36" spans="1:11" ht="15.75" customHeight="1" x14ac:dyDescent="0.25">
      <c r="A36" s="7" t="s">
        <v>22</v>
      </c>
      <c r="B36" s="7" t="s">
        <v>86</v>
      </c>
      <c r="C36" s="8"/>
      <c r="D36" s="7" t="s">
        <v>89</v>
      </c>
      <c r="E36" s="7" t="s">
        <v>90</v>
      </c>
      <c r="F36" s="12">
        <v>62.53</v>
      </c>
      <c r="G36" s="13">
        <f t="shared" si="1"/>
        <v>13949.192400000002</v>
      </c>
      <c r="H36" s="14">
        <f t="shared" si="0"/>
        <v>13949.192400000002</v>
      </c>
      <c r="I36" s="11">
        <v>1</v>
      </c>
      <c r="J36" s="8" t="s">
        <v>1</v>
      </c>
      <c r="K36" s="8" t="s">
        <v>27</v>
      </c>
    </row>
    <row r="37" spans="1:11" ht="15.75" customHeight="1" x14ac:dyDescent="0.25">
      <c r="A37" s="7" t="s">
        <v>22</v>
      </c>
      <c r="B37" s="7" t="s">
        <v>86</v>
      </c>
      <c r="C37" s="8"/>
      <c r="D37" s="7" t="s">
        <v>91</v>
      </c>
      <c r="E37" s="7" t="s">
        <v>92</v>
      </c>
      <c r="F37" s="12">
        <v>67.17</v>
      </c>
      <c r="G37" s="13">
        <f t="shared" si="1"/>
        <v>14984.283600000001</v>
      </c>
      <c r="H37" s="14">
        <f t="shared" si="0"/>
        <v>29968.567200000001</v>
      </c>
      <c r="I37" s="11">
        <v>2</v>
      </c>
      <c r="J37" s="8" t="s">
        <v>1</v>
      </c>
      <c r="K37" s="8" t="s">
        <v>27</v>
      </c>
    </row>
    <row r="38" spans="1:11" ht="15.75" customHeight="1" x14ac:dyDescent="0.25">
      <c r="A38" s="7" t="s">
        <v>22</v>
      </c>
      <c r="B38" s="7" t="s">
        <v>93</v>
      </c>
      <c r="C38" s="8"/>
      <c r="D38" s="7" t="s">
        <v>94</v>
      </c>
      <c r="E38" s="7" t="s">
        <v>95</v>
      </c>
      <c r="F38" s="12">
        <v>16.27</v>
      </c>
      <c r="G38" s="13">
        <f t="shared" si="1"/>
        <v>3629.5116000000003</v>
      </c>
      <c r="H38" s="14">
        <f t="shared" si="0"/>
        <v>3629.5116000000003</v>
      </c>
      <c r="I38" s="11">
        <v>1</v>
      </c>
      <c r="J38" s="8" t="s">
        <v>1</v>
      </c>
      <c r="K38" s="8" t="s">
        <v>27</v>
      </c>
    </row>
    <row r="39" spans="1:11" ht="15.75" customHeight="1" x14ac:dyDescent="0.25">
      <c r="A39" s="7" t="s">
        <v>22</v>
      </c>
      <c r="B39" s="7" t="s">
        <v>93</v>
      </c>
      <c r="C39" s="8"/>
      <c r="D39" s="7" t="s">
        <v>96</v>
      </c>
      <c r="E39" s="7" t="s">
        <v>97</v>
      </c>
      <c r="F39" s="12">
        <v>1.1399999999999999</v>
      </c>
      <c r="G39" s="13">
        <f t="shared" si="1"/>
        <v>254.31119999999999</v>
      </c>
      <c r="H39" s="14">
        <f t="shared" si="0"/>
        <v>254.31119999999999</v>
      </c>
      <c r="I39" s="11">
        <v>1</v>
      </c>
      <c r="J39" s="8" t="s">
        <v>1</v>
      </c>
      <c r="K39" s="8" t="s">
        <v>27</v>
      </c>
    </row>
    <row r="40" spans="1:11" ht="15.75" customHeight="1" x14ac:dyDescent="0.25">
      <c r="A40" s="7" t="s">
        <v>22</v>
      </c>
      <c r="B40" s="7" t="s">
        <v>93</v>
      </c>
      <c r="C40" s="8"/>
      <c r="D40" s="7" t="s">
        <v>98</v>
      </c>
      <c r="E40" s="7" t="s">
        <v>99</v>
      </c>
      <c r="F40" s="12">
        <v>4.5999999999999996</v>
      </c>
      <c r="G40" s="13">
        <f t="shared" si="1"/>
        <v>1026.1680000000001</v>
      </c>
      <c r="H40" s="14">
        <f t="shared" si="0"/>
        <v>1026.1680000000001</v>
      </c>
      <c r="I40" s="11">
        <v>1</v>
      </c>
      <c r="J40" s="8" t="s">
        <v>1</v>
      </c>
      <c r="K40" s="8" t="s">
        <v>27</v>
      </c>
    </row>
    <row r="41" spans="1:11" ht="15.75" customHeight="1" x14ac:dyDescent="0.25">
      <c r="A41" s="7" t="s">
        <v>22</v>
      </c>
      <c r="B41" s="7" t="s">
        <v>6</v>
      </c>
      <c r="C41" s="8"/>
      <c r="D41" s="7" t="s">
        <v>6</v>
      </c>
      <c r="E41" s="7" t="s">
        <v>6</v>
      </c>
      <c r="F41" s="9"/>
      <c r="G41" s="10">
        <v>0</v>
      </c>
      <c r="H41" s="10">
        <f t="shared" si="0"/>
        <v>0</v>
      </c>
      <c r="I41" s="11">
        <v>0</v>
      </c>
      <c r="J41" s="8" t="s">
        <v>1</v>
      </c>
      <c r="K41" s="8" t="s">
        <v>6</v>
      </c>
    </row>
    <row r="42" spans="1:11" ht="15.75" customHeight="1" x14ac:dyDescent="0.25">
      <c r="A42" s="7" t="s">
        <v>22</v>
      </c>
      <c r="B42" s="7" t="s">
        <v>7</v>
      </c>
      <c r="C42" s="8"/>
      <c r="D42" s="7" t="s">
        <v>7</v>
      </c>
      <c r="E42" s="7" t="s">
        <v>7</v>
      </c>
      <c r="F42" s="9">
        <f>I39/60</f>
        <v>1.6666666666666666E-2</v>
      </c>
      <c r="G42" s="10">
        <v>0</v>
      </c>
      <c r="H42" s="10">
        <f t="shared" si="0"/>
        <v>0</v>
      </c>
      <c r="I42" s="11">
        <v>0</v>
      </c>
      <c r="J42" s="8" t="s">
        <v>1</v>
      </c>
      <c r="K42" s="8" t="s">
        <v>7</v>
      </c>
    </row>
    <row r="43" spans="1:11" ht="21.75" customHeight="1" x14ac:dyDescent="0.25">
      <c r="A43" s="1" t="s">
        <v>100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25">
      <c r="A44" s="7" t="s">
        <v>100</v>
      </c>
      <c r="B44" s="7" t="s">
        <v>0</v>
      </c>
      <c r="C44" s="8"/>
      <c r="D44" s="7"/>
      <c r="E44" s="7" t="s">
        <v>100</v>
      </c>
      <c r="F44" s="9"/>
      <c r="G44" s="10">
        <v>0</v>
      </c>
      <c r="H44" s="10">
        <f t="shared" ref="H44:H49" si="2">G44*I44</f>
        <v>0</v>
      </c>
      <c r="I44" s="11">
        <v>1</v>
      </c>
      <c r="J44" s="8" t="s">
        <v>1</v>
      </c>
      <c r="K44" s="8" t="s">
        <v>2</v>
      </c>
    </row>
    <row r="45" spans="1:11" ht="15.75" customHeight="1" x14ac:dyDescent="0.25">
      <c r="A45" s="7" t="s">
        <v>100</v>
      </c>
      <c r="B45" s="7" t="s">
        <v>4</v>
      </c>
      <c r="C45" s="8"/>
      <c r="D45" s="7" t="s">
        <v>48</v>
      </c>
      <c r="E45" s="7" t="s">
        <v>101</v>
      </c>
      <c r="F45" s="12">
        <v>268.89999999999998</v>
      </c>
      <c r="G45" s="13">
        <f>F45*0.33*1.3*$B$3</f>
        <v>59986.212</v>
      </c>
      <c r="H45" s="14">
        <f t="shared" si="2"/>
        <v>359917.272</v>
      </c>
      <c r="I45" s="11">
        <v>6</v>
      </c>
      <c r="J45" s="8" t="s">
        <v>1</v>
      </c>
      <c r="K45" s="8" t="s">
        <v>27</v>
      </c>
    </row>
    <row r="46" spans="1:11" ht="15.75" customHeight="1" x14ac:dyDescent="0.25">
      <c r="A46" s="7" t="s">
        <v>100</v>
      </c>
      <c r="B46" s="7" t="s">
        <v>68</v>
      </c>
      <c r="C46" s="8"/>
      <c r="D46" s="7" t="s">
        <v>69</v>
      </c>
      <c r="E46" s="7" t="s">
        <v>102</v>
      </c>
      <c r="F46" s="12">
        <v>4.4000000000000004</v>
      </c>
      <c r="G46" s="13">
        <f>F46*0.33*1.3*$B$3</f>
        <v>981.55200000000025</v>
      </c>
      <c r="H46" s="14">
        <f t="shared" si="2"/>
        <v>981.55200000000025</v>
      </c>
      <c r="I46" s="11">
        <v>1</v>
      </c>
      <c r="J46" s="8" t="s">
        <v>1</v>
      </c>
      <c r="K46" s="8" t="s">
        <v>27</v>
      </c>
    </row>
    <row r="47" spans="1:11" ht="15.75" customHeight="1" x14ac:dyDescent="0.25">
      <c r="A47" s="7" t="s">
        <v>100</v>
      </c>
      <c r="B47" s="7" t="s">
        <v>68</v>
      </c>
      <c r="C47" s="8"/>
      <c r="D47" s="7" t="s">
        <v>71</v>
      </c>
      <c r="E47" s="7" t="s">
        <v>72</v>
      </c>
      <c r="F47" s="12">
        <v>8.52</v>
      </c>
      <c r="G47" s="13">
        <f>F47*0.33*1.3*$B$3</f>
        <v>1900.6415999999999</v>
      </c>
      <c r="H47" s="14">
        <f t="shared" si="2"/>
        <v>1900.6415999999999</v>
      </c>
      <c r="I47" s="11">
        <v>1</v>
      </c>
      <c r="J47" s="8" t="s">
        <v>1</v>
      </c>
      <c r="K47" s="8" t="s">
        <v>27</v>
      </c>
    </row>
    <row r="48" spans="1:11" ht="15.75" customHeight="1" x14ac:dyDescent="0.25">
      <c r="A48" s="7" t="s">
        <v>100</v>
      </c>
      <c r="B48" s="7" t="s">
        <v>6</v>
      </c>
      <c r="C48" s="8"/>
      <c r="D48" s="7" t="s">
        <v>6</v>
      </c>
      <c r="E48" s="7" t="s">
        <v>6</v>
      </c>
      <c r="F48" s="9"/>
      <c r="G48" s="10">
        <v>0</v>
      </c>
      <c r="H48" s="10">
        <f t="shared" si="2"/>
        <v>0</v>
      </c>
      <c r="I48" s="11">
        <v>0</v>
      </c>
      <c r="J48" s="8" t="s">
        <v>1</v>
      </c>
      <c r="K48" s="8" t="s">
        <v>6</v>
      </c>
    </row>
    <row r="49" spans="1:11" ht="15.75" customHeight="1" x14ac:dyDescent="0.25">
      <c r="A49" s="7" t="s">
        <v>100</v>
      </c>
      <c r="B49" s="7" t="s">
        <v>7</v>
      </c>
      <c r="C49" s="8"/>
      <c r="D49" s="7" t="s">
        <v>7</v>
      </c>
      <c r="E49" s="7" t="s">
        <v>7</v>
      </c>
      <c r="F49" s="9">
        <f>I47/60</f>
        <v>1.6666666666666666E-2</v>
      </c>
      <c r="G49" s="10">
        <v>0</v>
      </c>
      <c r="H49" s="10">
        <f t="shared" si="2"/>
        <v>0</v>
      </c>
      <c r="I49" s="11">
        <v>0</v>
      </c>
      <c r="J49" s="8" t="s">
        <v>1</v>
      </c>
      <c r="K49" s="8" t="s">
        <v>7</v>
      </c>
    </row>
    <row r="51" spans="1:11" x14ac:dyDescent="0.25">
      <c r="G51" s="15" t="s">
        <v>103</v>
      </c>
      <c r="H51" s="16">
        <f>SUM(H5:H49)</f>
        <v>4882975.8119999999</v>
      </c>
    </row>
  </sheetData>
  <mergeCells count="3">
    <mergeCell ref="A2:K2"/>
    <mergeCell ref="A5:K5"/>
    <mergeCell ref="A43:K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2026-05-16T04:28:14Z</dcterms:created>
  <dcterms:modified xsi:type="dcterms:W3CDTF">2026-05-16T06:44:18Z</dcterms:modified>
  <dc:language>en-US</dc:language>
</cp:coreProperties>
</file>