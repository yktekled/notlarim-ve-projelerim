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430 germes ALM BTA\"/>
    </mc:Choice>
  </mc:AlternateContent>
  <xr:revisionPtr revIDLastSave="0" documentId="13_ncr:1_{CDC281DC-41E8-48FB-B43B-5DA84704E157}" xr6:coauthVersionLast="47" xr6:coauthVersionMax="47" xr10:uidLastSave="{00000000-0000-0000-0000-000000000000}"/>
  <bookViews>
    <workbookView xWindow="28680" yWindow="-120" windowWidth="29040" windowHeight="15720" tabRatio="500" activeTab="1" xr2:uid="{00000000-000D-0000-FFFF-FFFF00000000}"/>
  </bookViews>
  <sheets>
    <sheet name="fiyat calismasi burda" sheetId="1" r:id="rId1"/>
    <sheet name="Лист1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4" i="2" l="1"/>
  <c r="E34" i="2"/>
  <c r="G33" i="2"/>
  <c r="F32" i="2"/>
  <c r="G32" i="2" s="1"/>
  <c r="F31" i="2"/>
  <c r="G31" i="2" s="1"/>
  <c r="F30" i="2"/>
  <c r="G30" i="2" s="1"/>
  <c r="G29" i="2"/>
  <c r="G27" i="2"/>
  <c r="E27" i="2"/>
  <c r="G26" i="2"/>
  <c r="F25" i="2"/>
  <c r="G25" i="2" s="1"/>
  <c r="F24" i="2"/>
  <c r="G24" i="2" s="1"/>
  <c r="F23" i="2"/>
  <c r="G23" i="2" s="1"/>
  <c r="F22" i="2"/>
  <c r="G22" i="2" s="1"/>
  <c r="F21" i="2"/>
  <c r="G21" i="2" s="1"/>
  <c r="F20" i="2"/>
  <c r="G20" i="2" s="1"/>
  <c r="F19" i="2"/>
  <c r="G19" i="2" s="1"/>
  <c r="F18" i="2"/>
  <c r="G18" i="2" s="1"/>
  <c r="F17" i="2"/>
  <c r="G17" i="2" s="1"/>
  <c r="F16" i="2"/>
  <c r="G16" i="2" s="1"/>
  <c r="F15" i="2"/>
  <c r="G15" i="2" s="1"/>
  <c r="F14" i="2"/>
  <c r="G14" i="2" s="1"/>
  <c r="F13" i="2"/>
  <c r="G13" i="2" s="1"/>
  <c r="F12" i="2"/>
  <c r="G12" i="2" s="1"/>
  <c r="F11" i="2"/>
  <c r="G11" i="2" s="1"/>
  <c r="F10" i="2"/>
  <c r="G10" i="2" s="1"/>
  <c r="G9" i="2"/>
  <c r="F8" i="2"/>
  <c r="G8" i="2" s="1"/>
  <c r="F7" i="2"/>
  <c r="G7" i="2" s="1"/>
  <c r="G6" i="2"/>
  <c r="H67" i="1"/>
  <c r="F67" i="1"/>
  <c r="G66" i="1"/>
  <c r="H66" i="1" s="1"/>
  <c r="H65" i="1"/>
  <c r="G65" i="1"/>
  <c r="H64" i="1"/>
  <c r="G64" i="1"/>
  <c r="G63" i="1"/>
  <c r="H63" i="1" s="1"/>
  <c r="G62" i="1"/>
  <c r="H62" i="1" s="1"/>
  <c r="H61" i="1"/>
  <c r="G61" i="1"/>
  <c r="H60" i="1"/>
  <c r="G60" i="1"/>
  <c r="G59" i="1"/>
  <c r="H59" i="1" s="1"/>
  <c r="G58" i="1"/>
  <c r="H58" i="1" s="1"/>
  <c r="H57" i="1"/>
  <c r="G57" i="1"/>
  <c r="H56" i="1"/>
  <c r="G56" i="1"/>
  <c r="G55" i="1"/>
  <c r="H55" i="1" s="1"/>
  <c r="G54" i="1"/>
  <c r="H54" i="1" s="1"/>
  <c r="H53" i="1"/>
  <c r="G53" i="1"/>
  <c r="H52" i="1"/>
  <c r="G52" i="1"/>
  <c r="G51" i="1"/>
  <c r="H51" i="1" s="1"/>
  <c r="G50" i="1"/>
  <c r="H50" i="1" s="1"/>
  <c r="H49" i="1"/>
  <c r="G49" i="1"/>
  <c r="H48" i="1"/>
  <c r="G48" i="1"/>
  <c r="G47" i="1"/>
  <c r="H47" i="1" s="1"/>
  <c r="G46" i="1"/>
  <c r="H46" i="1" s="1"/>
  <c r="H45" i="1"/>
  <c r="G45" i="1"/>
  <c r="H44" i="1"/>
  <c r="G44" i="1"/>
  <c r="G43" i="1"/>
  <c r="H43" i="1" s="1"/>
  <c r="G42" i="1"/>
  <c r="H42" i="1" s="1"/>
  <c r="H41" i="1"/>
  <c r="G41" i="1"/>
  <c r="H40" i="1"/>
  <c r="G40" i="1"/>
  <c r="G39" i="1"/>
  <c r="H39" i="1" s="1"/>
  <c r="G38" i="1"/>
  <c r="H38" i="1" s="1"/>
  <c r="H37" i="1"/>
  <c r="G37" i="1"/>
  <c r="H36" i="1"/>
  <c r="G36" i="1"/>
  <c r="G35" i="1"/>
  <c r="H35" i="1" s="1"/>
  <c r="G34" i="1"/>
  <c r="H34" i="1" s="1"/>
  <c r="H33" i="1"/>
  <c r="G33" i="1"/>
  <c r="H32" i="1"/>
  <c r="G32" i="1"/>
  <c r="G31" i="1"/>
  <c r="H31" i="1" s="1"/>
  <c r="G30" i="1"/>
  <c r="H30" i="1" s="1"/>
  <c r="H29" i="1"/>
  <c r="G29" i="1"/>
  <c r="H28" i="1"/>
  <c r="G28" i="1"/>
  <c r="G27" i="1"/>
  <c r="H27" i="1" s="1"/>
  <c r="G26" i="1"/>
  <c r="H26" i="1" s="1"/>
  <c r="H25" i="1"/>
  <c r="G25" i="1"/>
  <c r="H24" i="1"/>
  <c r="G24" i="1"/>
  <c r="G23" i="1"/>
  <c r="H23" i="1" s="1"/>
  <c r="G22" i="1"/>
  <c r="H22" i="1" s="1"/>
  <c r="H21" i="1"/>
  <c r="G21" i="1"/>
  <c r="H20" i="1"/>
  <c r="G20" i="1"/>
  <c r="G19" i="1"/>
  <c r="H19" i="1" s="1"/>
  <c r="G18" i="1"/>
  <c r="H18" i="1" s="1"/>
  <c r="H17" i="1"/>
  <c r="G17" i="1"/>
  <c r="H16" i="1"/>
  <c r="G16" i="1"/>
  <c r="G15" i="1"/>
  <c r="H15" i="1" s="1"/>
  <c r="G14" i="1"/>
  <c r="H14" i="1" s="1"/>
  <c r="H13" i="1"/>
  <c r="G13" i="1"/>
  <c r="H12" i="1"/>
  <c r="G12" i="1"/>
  <c r="G11" i="1"/>
  <c r="H11" i="1" s="1"/>
  <c r="G10" i="1"/>
  <c r="H10" i="1" s="1"/>
  <c r="H9" i="1"/>
  <c r="G9" i="1"/>
  <c r="H8" i="1"/>
  <c r="G8" i="1"/>
  <c r="G7" i="1"/>
  <c r="H7" i="1" s="1"/>
  <c r="G6" i="1"/>
  <c r="H6" i="1" s="1"/>
  <c r="H5" i="1"/>
  <c r="G5" i="1"/>
  <c r="H4" i="1"/>
  <c r="G4" i="1"/>
  <c r="G3" i="1"/>
  <c r="H3" i="1" s="1"/>
  <c r="A2" i="1"/>
  <c r="A3" i="1" s="1"/>
  <c r="G36" i="2" l="1"/>
  <c r="A5" i="1"/>
  <c r="A8" i="1" s="1"/>
  <c r="A11" i="1" s="1"/>
  <c r="A14" i="1" s="1"/>
  <c r="A4" i="1"/>
  <c r="H68" i="1"/>
  <c r="A7" i="1" l="1"/>
  <c r="A10" i="1" s="1"/>
  <c r="A6" i="1"/>
  <c r="A9" i="1" s="1"/>
  <c r="G2" i="1"/>
  <c r="H2" i="1" s="1"/>
  <c r="F2" i="1"/>
  <c r="A13" i="1" l="1"/>
  <c r="A15" i="1" s="1"/>
  <c r="A12" i="1"/>
  <c r="A17" i="1" l="1"/>
  <c r="A16" i="1"/>
  <c r="A19" i="1" l="1"/>
  <c r="A22" i="1"/>
  <c r="A20" i="1"/>
  <c r="A18" i="1"/>
  <c r="A21" i="1" l="1"/>
  <c r="A23" i="1"/>
  <c r="A31" i="1"/>
  <c r="A32" i="1" s="1"/>
  <c r="A33" i="1" s="1"/>
  <c r="A34" i="1" s="1"/>
  <c r="A35" i="1" s="1"/>
  <c r="A36" i="1" s="1"/>
  <c r="A24" i="1"/>
  <c r="A26" i="1" s="1"/>
  <c r="A27" i="1"/>
  <c r="A29" i="1" s="1"/>
  <c r="A37" i="1" l="1"/>
  <c r="A38" i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25" i="1"/>
  <c r="A28" i="1"/>
  <c r="A30" i="1" s="1"/>
</calcChain>
</file>

<file path=xl/sharedStrings.xml><?xml version="1.0" encoding="utf-8"?>
<sst xmlns="http://schemas.openxmlformats.org/spreadsheetml/2006/main" count="536" uniqueCount="253">
  <si>
    <t>Наименование</t>
  </si>
  <si>
    <t>malzeme</t>
  </si>
  <si>
    <t>D kodu</t>
  </si>
  <si>
    <t>Артикул</t>
  </si>
  <si>
    <t>Номенклатура</t>
  </si>
  <si>
    <t>Цена,тг</t>
  </si>
  <si>
    <t>СУММ.</t>
  </si>
  <si>
    <t>Кол- во</t>
  </si>
  <si>
    <t>Ед.изм</t>
  </si>
  <si>
    <t>завод из готовитель</t>
  </si>
  <si>
    <t>ЩС (260108 AKMIR SULTANRABAT)</t>
  </si>
  <si>
    <t>комплект</t>
  </si>
  <si>
    <t>TEKSAN</t>
  </si>
  <si>
    <t>korpus</t>
  </si>
  <si>
    <t>YM01976</t>
  </si>
  <si>
    <t>Shit  2100x800x400mm</t>
  </si>
  <si>
    <t xml:space="preserve"> ШТ. </t>
  </si>
  <si>
    <t>teksan f</t>
  </si>
  <si>
    <t>YM01977</t>
  </si>
  <si>
    <t>Shit  2100x500x400mm</t>
  </si>
  <si>
    <t>tms</t>
  </si>
  <si>
    <t>131362</t>
  </si>
  <si>
    <t>Авт. выкл. NXM-125S/3Р 100A 25кА (R)</t>
  </si>
  <si>
    <t>chint</t>
  </si>
  <si>
    <t>bobin</t>
  </si>
  <si>
    <t>946996</t>
  </si>
  <si>
    <t>Независимый расцепитель SHT-M1 A1 L для NXM-125(63)/NXMLE-125 AC230V (левый) (R)</t>
  </si>
  <si>
    <t>kutu buson</t>
  </si>
  <si>
    <t>D004141</t>
  </si>
  <si>
    <t>403017</t>
  </si>
  <si>
    <t>Откидной выключатель-разъединитель NHR17, 3P, 100А, с вспомогательными контактами</t>
  </si>
  <si>
    <t>sayac</t>
  </si>
  <si>
    <t>NF</t>
  </si>
  <si>
    <t>NF Дала TX П СА4У-Э720 (3x220/380V 5-7,5A)</t>
  </si>
  <si>
    <t>saiman</t>
  </si>
  <si>
    <t>NY</t>
  </si>
  <si>
    <t>Дала TX П СА4-Э720 (3x220/380V 10-100A)</t>
  </si>
  <si>
    <t>at</t>
  </si>
  <si>
    <t>270300099_</t>
  </si>
  <si>
    <t xml:space="preserve">              Трансформатор тока ТТИ-А  100/5А  5ВА  класс 0,5  IEK</t>
  </si>
  <si>
    <t>pyc</t>
  </si>
  <si>
    <t>multimetre</t>
  </si>
  <si>
    <t>D003581</t>
  </si>
  <si>
    <t>EMM-04 MULTIMETER</t>
  </si>
  <si>
    <t>oto</t>
  </si>
  <si>
    <t>296909</t>
  </si>
  <si>
    <t>Авт. выкл. NXB-63S 4P 40А 4.5kA х-ка C (R)</t>
  </si>
  <si>
    <t>296833</t>
  </si>
  <si>
    <t>Авт. выкл. NXB-63S 3P 63А 4.5kA х-ка C (R)</t>
  </si>
  <si>
    <t>296831</t>
  </si>
  <si>
    <t>Авт. выкл. NXB-63S 3P 40А 4.5kA х-ка C (R)</t>
  </si>
  <si>
    <t>296829</t>
  </si>
  <si>
    <t>Авт. выкл. NXB-63S 3P 25А 4.5kA х-ка C (R)</t>
  </si>
  <si>
    <t>296827</t>
  </si>
  <si>
    <t>Авт. выкл. NXB-63S 3P 16А 4.5kA х-ка C (R)</t>
  </si>
  <si>
    <t>296825</t>
  </si>
  <si>
    <t>Авт. выкл. NXB-63S 3P 6А 4.5kA х-ка C (R)</t>
  </si>
  <si>
    <t>296705</t>
  </si>
  <si>
    <t>Авт. выкл. NXB-63S 1P 2А 4.5kA х-ка C (R)</t>
  </si>
  <si>
    <t>296713</t>
  </si>
  <si>
    <t>Авт. выкл. NXB-63S 1P 32А 4.5kA х-ка C (R)</t>
  </si>
  <si>
    <t>296710</t>
  </si>
  <si>
    <t>Авт. выкл. NXB-63S 1P 16А 4.5kA х-ка C (R)</t>
  </si>
  <si>
    <t>296709</t>
  </si>
  <si>
    <t>Авт. выкл. NXB-63S 1P 10А 4.5kA х-ка C (R)</t>
  </si>
  <si>
    <t>296708</t>
  </si>
  <si>
    <t>Авт. выкл. NXB-63S 1P 6А 4.5kA х-ка C (R)</t>
  </si>
  <si>
    <t>dif</t>
  </si>
  <si>
    <t>539890</t>
  </si>
  <si>
    <t>Диф. авт. выкл. NXBLE-63YH 3P+N C63 30mA тип A, 6kA (R)</t>
  </si>
  <si>
    <t>539872</t>
  </si>
  <si>
    <t>Диф. авт. выкл. NXBLE-63YH 3P+N C40 30mA тип A, 6kA (R)</t>
  </si>
  <si>
    <t>105542</t>
  </si>
  <si>
    <t>Диф. авт. выкл. NXBLE-63Y 1P+N 16А 30mA электронный тип AС, х-ка С, 4.5kA (R)</t>
  </si>
  <si>
    <t>105540</t>
  </si>
  <si>
    <t>Диф. авт. выкл. NXBLE-63Y 1P+N 6А 30mA электронный тип AС, х-ка С, 4.5kA (R)</t>
  </si>
  <si>
    <t>kontaktor</t>
  </si>
  <si>
    <t>256101</t>
  </si>
  <si>
    <t>Контактор модульный NCH8-63/40 63A 4НО AC220/230В 50Гц (R)</t>
  </si>
  <si>
    <t>256089</t>
  </si>
  <si>
    <t>Контактор модульный NCH8-25/40 25A 4НО AC220/230В 50Гц (R)</t>
  </si>
  <si>
    <t>257418</t>
  </si>
  <si>
    <t>Контактор модульный с ручн. упр. NCH8-25M/20 AC220-240V 50/60Гц (R)</t>
  </si>
  <si>
    <t>256052</t>
  </si>
  <si>
    <t>Контактор модульный NCH8-20/11 20A 1НО+1НЗ AC220/230В 50Гц (R)</t>
  </si>
  <si>
    <t>faza</t>
  </si>
  <si>
    <t>000-00-9-305</t>
  </si>
  <si>
    <t>Переключатель фаз автоматический PF-431</t>
  </si>
  <si>
    <t>f&amp;f</t>
  </si>
  <si>
    <t>sinyal lamb</t>
  </si>
  <si>
    <t>Индикатор ND16-22D/2 зеленый AC/DC230В (R)</t>
  </si>
  <si>
    <t>opn</t>
  </si>
  <si>
    <t>308602</t>
  </si>
  <si>
    <t>Ограничитель имп. перенапр. NXU-I+II 4P In=25kA Uc=385B Im=50kA (R)</t>
  </si>
  <si>
    <t>modul pere</t>
  </si>
  <si>
    <t>643001</t>
  </si>
  <si>
    <t>Модульный переключатель NZK1-32 2P 32А 3 положения (R)</t>
  </si>
  <si>
    <t>transformator</t>
  </si>
  <si>
    <t>D005041</t>
  </si>
  <si>
    <t>Однофазный трансформатор  NDK-50VA 400 230/24 0 24 IEC (R)</t>
  </si>
  <si>
    <t>taimer</t>
  </si>
  <si>
    <t>Таймер электронный NKG3 AC230В (R)</t>
  </si>
  <si>
    <t>perekluchatel</t>
  </si>
  <si>
    <t>D002868</t>
  </si>
  <si>
    <t>Переключатель NP2-BD33, 3 положения с фиксацией, 2НО IP40</t>
  </si>
  <si>
    <t>D002865</t>
  </si>
  <si>
    <t>574847</t>
  </si>
  <si>
    <t>Переключатель NP2-BD21, 2 положения с фиксацией, 1НО IP40</t>
  </si>
  <si>
    <t>preomzhutochny rele</t>
  </si>
  <si>
    <t>Промежуточное реле JZX-22F(B) 4 конт. с инд. LED и подавителем перенапр. 3А 24В DC (R)</t>
  </si>
  <si>
    <t>rozetka</t>
  </si>
  <si>
    <t>Розетка CZY14A для JZX-22F(D) 4 контакта</t>
  </si>
  <si>
    <t>285127</t>
  </si>
  <si>
    <t>Промежуточное реле JZX-22F 2 конт. 5А 220В AC</t>
  </si>
  <si>
    <t>285978</t>
  </si>
  <si>
    <t>Розетка CZY08B-01 для NJDC-17/2ZS, JZX-22F/(D)  и JSZ6.  2 конт. 5А (R)</t>
  </si>
  <si>
    <t>dagitim kutusu</t>
  </si>
  <si>
    <t>D004385</t>
  </si>
  <si>
    <t>130200397_</t>
  </si>
  <si>
    <t xml:space="preserve">                Шина "N" нулевая ШНК  L+PEN  2х7  100А на DIN-рейку в корпусе  UNIT NEW</t>
  </si>
  <si>
    <t>faz kontrol</t>
  </si>
  <si>
    <t>D003469</t>
  </si>
  <si>
    <t>310008</t>
  </si>
  <si>
    <t>Реле контроля фаз NJB1-X AC380V (R)</t>
  </si>
  <si>
    <t>bara</t>
  </si>
  <si>
    <t>D002808</t>
  </si>
  <si>
    <t>130300473_</t>
  </si>
  <si>
    <t xml:space="preserve">                Шина медн.3х20х4000</t>
  </si>
  <si>
    <t>kablo</t>
  </si>
  <si>
    <t>D000703</t>
  </si>
  <si>
    <t>KABLO PVZ (NYAF -KAHVERENGI) 1*0,75 (PROJEKTOR ICI</t>
  </si>
  <si>
    <t>M</t>
  </si>
  <si>
    <t>D000710</t>
  </si>
  <si>
    <t>KABLO PVZ 1*2,5(KAHVERENGI)</t>
  </si>
  <si>
    <t>D002794</t>
  </si>
  <si>
    <t>Kablo PVZ 1*4</t>
  </si>
  <si>
    <t>D001688</t>
  </si>
  <si>
    <t>KABLO PV3 1*6</t>
  </si>
  <si>
    <t>D002721</t>
  </si>
  <si>
    <t>PROVOD PVZ 1X10</t>
  </si>
  <si>
    <t>D002720</t>
  </si>
  <si>
    <t>PROVOD PVZ 1X25</t>
  </si>
  <si>
    <t>pabuc</t>
  </si>
  <si>
    <t>D002925</t>
  </si>
  <si>
    <t>311100816_</t>
  </si>
  <si>
    <t xml:space="preserve">                 Наконечник НШВИ 1,0-12 изолированный 79439 (100шт) КВТ NEW</t>
  </si>
  <si>
    <t>D002924</t>
  </si>
  <si>
    <t>311100821_</t>
  </si>
  <si>
    <t xml:space="preserve">                 Наконечник НШВИ 2,5-12 изолированный 79444 (100шт) КВТ NEW</t>
  </si>
  <si>
    <t>D002923</t>
  </si>
  <si>
    <t>260100138_</t>
  </si>
  <si>
    <t xml:space="preserve">                 Наконечник медно-луженный JG -   6  IEK (600)</t>
  </si>
  <si>
    <t>D002922</t>
  </si>
  <si>
    <t>D002784</t>
  </si>
  <si>
    <t>311100828_</t>
  </si>
  <si>
    <t xml:space="preserve">                 Наконечник НШВИ 10-12 изолированный 79451 (100шт) КВТ NEW</t>
  </si>
  <si>
    <t>D002785</t>
  </si>
  <si>
    <t>260100167_</t>
  </si>
  <si>
    <t xml:space="preserve">                 Наконечник медно-луженный JG -  25  IEK (200)</t>
  </si>
  <si>
    <t>yuzuk</t>
  </si>
  <si>
    <t>D002927</t>
  </si>
  <si>
    <t>311101120_</t>
  </si>
  <si>
    <t xml:space="preserve">                Наконечник кольцевой НКИ 6,0- 6 серия ПРОФИ (100шт) 47482 КВТ NEW</t>
  </si>
  <si>
    <t>D002741</t>
  </si>
  <si>
    <t>130301505_</t>
  </si>
  <si>
    <t xml:space="preserve">                    Наконечник ТА  25- 8-7 44845 КВТ NEW </t>
  </si>
  <si>
    <t>kablo kanali</t>
  </si>
  <si>
    <t>D003722</t>
  </si>
  <si>
    <t>270300079_</t>
  </si>
  <si>
    <t xml:space="preserve">                Кабель.канал перф.  25х40 ИМПАКТ IEK (60)</t>
  </si>
  <si>
    <t>D003721</t>
  </si>
  <si>
    <t>270300105_</t>
  </si>
  <si>
    <t xml:space="preserve">                Кабель.канал перф.  40х60 ИМПАКТ IEK (24)</t>
  </si>
  <si>
    <t>D002834</t>
  </si>
  <si>
    <t>270300150_</t>
  </si>
  <si>
    <t xml:space="preserve">                Кабель.канал перф.  60х60 ИМПАКТ IEK (16)</t>
  </si>
  <si>
    <t>sm izol</t>
  </si>
  <si>
    <t>D002791</t>
  </si>
  <si>
    <t>130500106_</t>
  </si>
  <si>
    <t xml:space="preserve">                Изолятор SM40 с болтом (М8) 475А 12кВ UNIT (10/200)</t>
  </si>
  <si>
    <t>lamba</t>
  </si>
  <si>
    <t>117-03300</t>
  </si>
  <si>
    <t>Sv-k LED FX T5 5W 6500K + aksessuary (TEKLED) 25</t>
  </si>
  <si>
    <t>teksan m</t>
  </si>
  <si>
    <t>switch</t>
  </si>
  <si>
    <t>D004444</t>
  </si>
  <si>
    <t>WS-1011B 1NC KAPI SWITCH</t>
  </si>
  <si>
    <t>WS-1011B 1NC KAPI SWITCH-KAHVERENGI</t>
  </si>
  <si>
    <t>монтажный материал</t>
  </si>
  <si>
    <t>монтажная работа</t>
  </si>
  <si>
    <t>Panel</t>
  </si>
  <si>
    <t>Malzeme Tipi</t>
  </si>
  <si>
    <t>ABB Artikül</t>
  </si>
  <si>
    <t>Ürün Adı</t>
  </si>
  <si>
    <t>ABB Liste Fiyatı (EUR)</t>
  </si>
  <si>
    <t>Hesaplanan Fiyat (KZT)</t>
  </si>
  <si>
    <t>Toplam (KZT)</t>
  </si>
  <si>
    <t>Miktar</t>
  </si>
  <si>
    <t>Birim</t>
  </si>
  <si>
    <t>Üretici</t>
  </si>
  <si>
    <t>Fiyat Hesaplama: KZT = EUR Liste Fiyatı × 0.33 (indirim) × 1.30 (yol+gümrük) × EUR/KZT kuru | Kur: ayrı hücrede girilecek</t>
  </si>
  <si>
    <t>EUR/KZT Kuru:</t>
  </si>
  <si>
    <t>(Güncel kuru giriniz)</t>
  </si>
  <si>
    <t>DCBP-N PANEL</t>
  </si>
  <si>
    <t>mccb</t>
  </si>
  <si>
    <t>1SDA066719R1</t>
  </si>
  <si>
    <t>A1C 125, TMF, In=100A</t>
  </si>
  <si>
    <t>ABB</t>
  </si>
  <si>
    <t>rascepitel</t>
  </si>
  <si>
    <t>1SDA066720R1</t>
  </si>
  <si>
    <t>SOR-C 220-240V AC/220-250V DC</t>
  </si>
  <si>
    <t>tt</t>
  </si>
  <si>
    <t>Трансформатор тока Т-66 100/5А</t>
  </si>
  <si>
    <t>pys</t>
  </si>
  <si>
    <t>2CSA255901R9164</t>
  </si>
  <si>
    <t xml:space="preserve">dif 2P S-ARC1 C16 
</t>
  </si>
  <si>
    <t>2CSA255901R9254</t>
  </si>
  <si>
    <t>Дифф. Авт. Выкл S-ARC1 C25</t>
  </si>
  <si>
    <t>2CSR256040R1254</t>
  </si>
  <si>
    <t>Dif 4p DS203NC C25 AC30</t>
  </si>
  <si>
    <t>2CDS251001R0105</t>
  </si>
  <si>
    <t>oto 1p S 201-B 10</t>
  </si>
  <si>
    <t>2CDS251001R0065</t>
  </si>
  <si>
    <t>oto 1p S 201-B 6</t>
  </si>
  <si>
    <t>2CDS253001R0254</t>
  </si>
  <si>
    <t>oto 3p S 203-C 25</t>
  </si>
  <si>
    <t>fu</t>
  </si>
  <si>
    <t>2CSM256393R1801</t>
  </si>
  <si>
    <t>FU 2A E 9F8 GG2</t>
  </si>
  <si>
    <t>2CSM200943R1801</t>
  </si>
  <si>
    <t>Держатель предохранителя E 93/20</t>
  </si>
  <si>
    <t>2CSM200983R1801</t>
  </si>
  <si>
    <t>Держатель предохранителя E 91/20</t>
  </si>
  <si>
    <t>multimetr</t>
  </si>
  <si>
    <t>2CSG251141R4051</t>
  </si>
  <si>
    <t>M4M 20 Modbus</t>
  </si>
  <si>
    <t>contactor</t>
  </si>
  <si>
    <t>1SBL237001R1300</t>
  </si>
  <si>
    <t>Трехполюсный контактор AF26-30-00 25А</t>
  </si>
  <si>
    <t>1SBL137001R1310</t>
  </si>
  <si>
    <t>Контактор 9А
AF09-30-10  35,76</t>
  </si>
  <si>
    <t>1SCA104848R1001-B</t>
  </si>
  <si>
    <t>Переключатель кулачковый 16А  OT16FT3HY3ST1</t>
  </si>
  <si>
    <t>button</t>
  </si>
  <si>
    <t>1SFA611520R1001</t>
  </si>
  <si>
    <t>Аварийная кнопка MPET3-10R</t>
  </si>
  <si>
    <t>1SFA611605R1100</t>
  </si>
  <si>
    <t>Держатель контактов MCBH-00</t>
  </si>
  <si>
    <t>1SFA611610R1010</t>
  </si>
  <si>
    <t>Блок контактов MCB-01</t>
  </si>
  <si>
    <t>DCBP-UPS</t>
  </si>
  <si>
    <t>Плавкая вставка предохранителя E 9F8 GG2</t>
  </si>
  <si>
    <t>PANEL TOPLAMI: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</si>
</sst>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 KZT&quot;"/>
    <numFmt numFmtId="165" formatCode="#,##0.00&quot; EUR&quot;"/>
  </numFmts>
  <fonts count="11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  <charset val="204"/>
    </font>
    <font>
      <i/>
      <sz val="8"/>
      <color rgb="FF555555"/>
      <name val="Arial"/>
      <family val="2"/>
      <charset val="204"/>
    </font>
    <font>
      <b/>
      <sz val="9"/>
      <name val="Arial"/>
      <family val="2"/>
      <charset val="204"/>
    </font>
    <font>
      <b/>
      <sz val="10"/>
      <color rgb="FFFF0000"/>
      <name val="Arial"/>
      <family val="2"/>
      <charset val="204"/>
    </font>
    <font>
      <i/>
      <sz val="8"/>
      <color rgb="FF888888"/>
      <name val="Arial"/>
      <family val="2"/>
      <charset val="204"/>
    </font>
    <font>
      <b/>
      <sz val="11"/>
      <color rgb="FFFFFFFF"/>
      <name val="Arial"/>
      <family val="2"/>
      <charset val="204"/>
    </font>
    <font>
      <sz val="9"/>
      <name val="Arial"/>
      <family val="2"/>
      <charset val="204"/>
    </font>
    <font>
      <sz val="9"/>
      <color rgb="FFFF0000"/>
      <name val="Arial"/>
      <family val="2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DEEFF"/>
        <bgColor rgb="FFCCFFFF"/>
      </patternFill>
    </fill>
    <fill>
      <patternFill patternType="solid">
        <fgColor rgb="FFDDFFDD"/>
        <bgColor rgb="FFCCFFFF"/>
      </patternFill>
    </fill>
    <fill>
      <patternFill patternType="solid">
        <fgColor rgb="FFFFE0B2"/>
        <bgColor rgb="FFFFFF99"/>
      </patternFill>
    </fill>
    <fill>
      <patternFill patternType="solid">
        <fgColor rgb="FFFFD700"/>
        <bgColor rgb="FFFFFF00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/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165" fontId="0" fillId="4" borderId="1" xfId="0" applyNumberFormat="1" applyFill="1" applyBorder="1" applyAlignment="1">
      <alignment horizontal="right" vertical="center"/>
    </xf>
    <xf numFmtId="164" fontId="0" fillId="5" borderId="1" xfId="0" applyNumberFormat="1" applyFill="1" applyBorder="1" applyAlignment="1">
      <alignment horizontal="right" vertical="center"/>
    </xf>
    <xf numFmtId="164" fontId="0" fillId="6" borderId="1" xfId="0" applyNumberFormat="1" applyFill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164" fontId="10" fillId="7" borderId="2" xfId="0" applyNumberFormat="1" applyFont="1" applyFill="1" applyBorder="1"/>
    <xf numFmtId="0" fontId="6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DDEE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FFDD"/>
      <rgbColor rgb="FFFFFF99"/>
      <rgbColor rgb="FF99CCFF"/>
      <rgbColor rgb="FFFF99CC"/>
      <rgbColor rgb="FFCC99FF"/>
      <rgbColor rgb="FFFFE0B2"/>
      <rgbColor rgb="FF3366FF"/>
      <rgbColor rgb="FF33CCCC"/>
      <rgbColor rgb="FF99CC00"/>
      <rgbColor rgb="FFFFD700"/>
      <rgbColor rgb="FFFF9900"/>
      <rgbColor rgb="FFFF6600"/>
      <rgbColor rgb="FF555555"/>
      <rgbColor rgb="FFAAAAAA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8"/>
  <sheetViews>
    <sheetView zoomScaleNormal="100" workbookViewId="0"/>
  </sheetViews>
  <sheetFormatPr defaultColWidth="8.7109375" defaultRowHeight="15" x14ac:dyDescent="0.25"/>
  <cols>
    <col min="1" max="1" width="33.140625" customWidth="1"/>
    <col min="2" max="2" width="17.28515625" customWidth="1"/>
    <col min="3" max="3" width="27.7109375" customWidth="1"/>
    <col min="4" max="4" width="24.7109375" customWidth="1"/>
    <col min="5" max="5" width="126.5703125" customWidth="1"/>
    <col min="6" max="6" width="32.42578125" customWidth="1"/>
    <col min="7" max="7" width="24.5703125" customWidth="1"/>
    <col min="8" max="8" width="24.7109375" customWidth="1"/>
    <col min="9" max="9" width="13" customWidth="1"/>
    <col min="10" max="10" width="23.140625" customWidth="1"/>
    <col min="11" max="11" width="32.42578125" customWidth="1"/>
    <col min="12" max="12" width="13" customWidth="1"/>
    <col min="13" max="13" width="8.42578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2" x14ac:dyDescent="0.25">
      <c r="A2" t="str">
        <f>E2</f>
        <v>ЩС (260108 AKMIR SULTANRABAT)</v>
      </c>
      <c r="E2" t="s">
        <v>10</v>
      </c>
      <c r="F2">
        <f>2.145*H68</f>
        <v>2949498.7128750002</v>
      </c>
      <c r="G2">
        <f>2.145*H68</f>
        <v>2949498.7128750002</v>
      </c>
      <c r="H2">
        <f>G2*I2</f>
        <v>2949498.7128750002</v>
      </c>
      <c r="I2">
        <v>1</v>
      </c>
      <c r="J2" t="s">
        <v>11</v>
      </c>
      <c r="K2" t="s">
        <v>12</v>
      </c>
    </row>
    <row r="3" spans="1:12" x14ac:dyDescent="0.25">
      <c r="A3" t="str">
        <f>A2</f>
        <v>ЩС (260108 AKMIR SULTANRABAT)</v>
      </c>
      <c r="B3" t="s">
        <v>13</v>
      </c>
      <c r="D3" t="s">
        <v>14</v>
      </c>
      <c r="E3" t="s">
        <v>15</v>
      </c>
      <c r="F3">
        <v>181700</v>
      </c>
      <c r="G3">
        <f>0.6*F3</f>
        <v>109020</v>
      </c>
      <c r="H3">
        <f t="shared" ref="H3:H34" si="0">I3*G3</f>
        <v>109020</v>
      </c>
      <c r="I3">
        <v>1</v>
      </c>
      <c r="J3" t="s">
        <v>16</v>
      </c>
      <c r="K3" t="s">
        <v>17</v>
      </c>
    </row>
    <row r="4" spans="1:12" x14ac:dyDescent="0.25">
      <c r="A4" t="str">
        <f>A3</f>
        <v>ЩС (260108 AKMIR SULTANRABAT)</v>
      </c>
      <c r="B4" t="s">
        <v>13</v>
      </c>
      <c r="D4" t="s">
        <v>18</v>
      </c>
      <c r="E4" t="s">
        <v>19</v>
      </c>
      <c r="F4">
        <v>122010</v>
      </c>
      <c r="G4">
        <f>0.6*F4</f>
        <v>73206</v>
      </c>
      <c r="H4">
        <f t="shared" si="0"/>
        <v>73206</v>
      </c>
      <c r="I4">
        <v>1</v>
      </c>
      <c r="J4" t="s">
        <v>16</v>
      </c>
      <c r="K4" t="s">
        <v>17</v>
      </c>
    </row>
    <row r="5" spans="1:12" x14ac:dyDescent="0.25">
      <c r="A5" t="str">
        <f>A3</f>
        <v>ЩС (260108 AKMIR SULTANRABAT)</v>
      </c>
      <c r="B5" t="s">
        <v>20</v>
      </c>
      <c r="D5" t="s">
        <v>21</v>
      </c>
      <c r="E5" t="s">
        <v>22</v>
      </c>
      <c r="F5">
        <v>18517</v>
      </c>
      <c r="G5">
        <f>0.6*F5</f>
        <v>11110.199999999999</v>
      </c>
      <c r="H5">
        <f t="shared" si="0"/>
        <v>11110.199999999999</v>
      </c>
      <c r="I5">
        <v>1</v>
      </c>
      <c r="J5" t="s">
        <v>16</v>
      </c>
      <c r="K5" t="s">
        <v>23</v>
      </c>
    </row>
    <row r="6" spans="1:12" x14ac:dyDescent="0.25">
      <c r="A6" t="str">
        <f>A4</f>
        <v>ЩС (260108 AKMIR SULTANRABAT)</v>
      </c>
      <c r="B6" t="s">
        <v>24</v>
      </c>
      <c r="D6" t="s">
        <v>25</v>
      </c>
      <c r="E6" t="s">
        <v>26</v>
      </c>
      <c r="F6">
        <v>5878</v>
      </c>
      <c r="G6">
        <f>0.6*F6</f>
        <v>3526.7999999999997</v>
      </c>
      <c r="H6">
        <f t="shared" si="0"/>
        <v>3526.7999999999997</v>
      </c>
      <c r="I6">
        <v>1</v>
      </c>
      <c r="J6" t="s">
        <v>16</v>
      </c>
      <c r="K6" t="s">
        <v>23</v>
      </c>
    </row>
    <row r="7" spans="1:12" x14ac:dyDescent="0.25">
      <c r="A7" t="str">
        <f>A4</f>
        <v>ЩС (260108 AKMIR SULTANRABAT)</v>
      </c>
      <c r="B7" t="s">
        <v>27</v>
      </c>
      <c r="C7" t="s">
        <v>28</v>
      </c>
      <c r="D7" t="s">
        <v>29</v>
      </c>
      <c r="E7" t="s">
        <v>30</v>
      </c>
      <c r="F7">
        <v>30049</v>
      </c>
      <c r="G7">
        <f>0.6*F7</f>
        <v>18029.399999999998</v>
      </c>
      <c r="H7">
        <f t="shared" si="0"/>
        <v>18029.399999999998</v>
      </c>
      <c r="I7">
        <v>1</v>
      </c>
      <c r="J7" t="s">
        <v>16</v>
      </c>
      <c r="K7" t="s">
        <v>23</v>
      </c>
      <c r="L7">
        <v>1</v>
      </c>
    </row>
    <row r="8" spans="1:12" x14ac:dyDescent="0.25">
      <c r="A8" t="str">
        <f>A5</f>
        <v>ЩС (260108 AKMIR SULTANRABAT)</v>
      </c>
      <c r="B8" t="s">
        <v>31</v>
      </c>
      <c r="D8" t="s">
        <v>32</v>
      </c>
      <c r="E8" t="s">
        <v>33</v>
      </c>
      <c r="F8">
        <v>40000</v>
      </c>
      <c r="G8">
        <f>F8</f>
        <v>40000</v>
      </c>
      <c r="H8">
        <f t="shared" si="0"/>
        <v>40000</v>
      </c>
      <c r="I8">
        <v>1</v>
      </c>
      <c r="J8" t="s">
        <v>16</v>
      </c>
      <c r="K8" t="s">
        <v>34</v>
      </c>
    </row>
    <row r="9" spans="1:12" x14ac:dyDescent="0.25">
      <c r="A9" t="str">
        <f>A6</f>
        <v>ЩС (260108 AKMIR SULTANRABAT)</v>
      </c>
      <c r="B9" t="s">
        <v>31</v>
      </c>
      <c r="D9" t="s">
        <v>35</v>
      </c>
      <c r="E9" t="s">
        <v>36</v>
      </c>
      <c r="F9">
        <v>45000</v>
      </c>
      <c r="G9">
        <f>F9</f>
        <v>45000</v>
      </c>
      <c r="H9">
        <f t="shared" si="0"/>
        <v>90000</v>
      </c>
      <c r="I9">
        <v>2</v>
      </c>
      <c r="J9" t="s">
        <v>16</v>
      </c>
      <c r="K9" t="s">
        <v>34</v>
      </c>
      <c r="L9">
        <v>2</v>
      </c>
    </row>
    <row r="10" spans="1:12" x14ac:dyDescent="0.25">
      <c r="A10" t="str">
        <f>A7</f>
        <v>ЩС (260108 AKMIR SULTANRABAT)</v>
      </c>
      <c r="B10" t="s">
        <v>37</v>
      </c>
      <c r="D10" t="s">
        <v>38</v>
      </c>
      <c r="E10" t="s">
        <v>39</v>
      </c>
      <c r="F10">
        <v>5300</v>
      </c>
      <c r="G10">
        <f>F10</f>
        <v>5300</v>
      </c>
      <c r="H10">
        <f t="shared" si="0"/>
        <v>15900</v>
      </c>
      <c r="I10">
        <v>3</v>
      </c>
      <c r="J10" t="s">
        <v>16</v>
      </c>
      <c r="K10" t="s">
        <v>40</v>
      </c>
    </row>
    <row r="11" spans="1:12" x14ac:dyDescent="0.25">
      <c r="A11" t="str">
        <f>A8</f>
        <v>ЩС (260108 AKMIR SULTANRABAT)</v>
      </c>
      <c r="B11" t="s">
        <v>41</v>
      </c>
      <c r="D11" t="s">
        <v>42</v>
      </c>
      <c r="E11" t="s">
        <v>43</v>
      </c>
      <c r="F11">
        <v>30000</v>
      </c>
      <c r="G11">
        <f>F11</f>
        <v>30000</v>
      </c>
      <c r="H11">
        <f t="shared" si="0"/>
        <v>30000</v>
      </c>
      <c r="I11">
        <v>1</v>
      </c>
      <c r="J11" t="s">
        <v>16</v>
      </c>
      <c r="K11" t="s">
        <v>40</v>
      </c>
    </row>
    <row r="12" spans="1:12" x14ac:dyDescent="0.25">
      <c r="A12" t="str">
        <f>A10</f>
        <v>ЩС (260108 AKMIR SULTANRABAT)</v>
      </c>
      <c r="B12" t="s">
        <v>44</v>
      </c>
      <c r="D12" t="s">
        <v>45</v>
      </c>
      <c r="E12" t="s">
        <v>46</v>
      </c>
      <c r="F12">
        <v>3632</v>
      </c>
      <c r="G12">
        <f t="shared" ref="G12:G30" si="1">0.6*F12</f>
        <v>2179.1999999999998</v>
      </c>
      <c r="H12">
        <f t="shared" si="0"/>
        <v>2179.1999999999998</v>
      </c>
      <c r="I12">
        <v>1</v>
      </c>
      <c r="J12" t="s">
        <v>16</v>
      </c>
      <c r="K12" t="s">
        <v>23</v>
      </c>
      <c r="L12">
        <v>1</v>
      </c>
    </row>
    <row r="13" spans="1:12" x14ac:dyDescent="0.25">
      <c r="A13" t="str">
        <f>A10</f>
        <v>ЩС (260108 AKMIR SULTANRABAT)</v>
      </c>
      <c r="B13" t="s">
        <v>44</v>
      </c>
      <c r="D13" t="s">
        <v>47</v>
      </c>
      <c r="E13" t="s">
        <v>48</v>
      </c>
      <c r="F13">
        <v>3280</v>
      </c>
      <c r="G13">
        <f t="shared" si="1"/>
        <v>1968</v>
      </c>
      <c r="H13">
        <f t="shared" si="0"/>
        <v>1968</v>
      </c>
      <c r="I13">
        <v>1</v>
      </c>
      <c r="J13" t="s">
        <v>16</v>
      </c>
      <c r="K13" t="s">
        <v>23</v>
      </c>
      <c r="L13">
        <v>1</v>
      </c>
    </row>
    <row r="14" spans="1:12" x14ac:dyDescent="0.25">
      <c r="A14" t="str">
        <f>A11</f>
        <v>ЩС (260108 AKMIR SULTANRABAT)</v>
      </c>
      <c r="B14" t="s">
        <v>44</v>
      </c>
      <c r="D14" t="s">
        <v>49</v>
      </c>
      <c r="E14" t="s">
        <v>50</v>
      </c>
      <c r="F14">
        <v>2725</v>
      </c>
      <c r="G14">
        <f t="shared" si="1"/>
        <v>1635</v>
      </c>
      <c r="H14">
        <f t="shared" si="0"/>
        <v>1635</v>
      </c>
      <c r="I14">
        <v>1</v>
      </c>
      <c r="J14" t="s">
        <v>16</v>
      </c>
      <c r="K14" t="s">
        <v>23</v>
      </c>
      <c r="L14">
        <v>1</v>
      </c>
    </row>
    <row r="15" spans="1:12" x14ac:dyDescent="0.25">
      <c r="A15" t="str">
        <f>A13</f>
        <v>ЩС (260108 AKMIR SULTANRABAT)</v>
      </c>
      <c r="B15" t="s">
        <v>44</v>
      </c>
      <c r="D15" t="s">
        <v>51</v>
      </c>
      <c r="E15" t="s">
        <v>52</v>
      </c>
      <c r="F15">
        <v>2358</v>
      </c>
      <c r="G15">
        <f t="shared" si="1"/>
        <v>1414.8</v>
      </c>
      <c r="H15">
        <f t="shared" si="0"/>
        <v>7074</v>
      </c>
      <c r="I15">
        <v>5</v>
      </c>
      <c r="J15" t="s">
        <v>16</v>
      </c>
      <c r="K15" t="s">
        <v>23</v>
      </c>
      <c r="L15">
        <v>5</v>
      </c>
    </row>
    <row r="16" spans="1:12" x14ac:dyDescent="0.25">
      <c r="A16" t="str">
        <f>A15</f>
        <v>ЩС (260108 AKMIR SULTANRABAT)</v>
      </c>
      <c r="B16" t="s">
        <v>44</v>
      </c>
      <c r="D16" t="s">
        <v>53</v>
      </c>
      <c r="E16" t="s">
        <v>54</v>
      </c>
      <c r="F16">
        <v>2269</v>
      </c>
      <c r="G16">
        <f t="shared" si="1"/>
        <v>1361.3999999999999</v>
      </c>
      <c r="H16">
        <f t="shared" si="0"/>
        <v>6806.9999999999991</v>
      </c>
      <c r="I16">
        <v>5</v>
      </c>
      <c r="J16" t="s">
        <v>16</v>
      </c>
      <c r="K16" t="s">
        <v>23</v>
      </c>
      <c r="L16">
        <v>5</v>
      </c>
    </row>
    <row r="17" spans="1:12" x14ac:dyDescent="0.25">
      <c r="A17" t="str">
        <f>A15</f>
        <v>ЩС (260108 AKMIR SULTANRABAT)</v>
      </c>
      <c r="B17" t="s">
        <v>44</v>
      </c>
      <c r="D17" t="s">
        <v>55</v>
      </c>
      <c r="E17" t="s">
        <v>56</v>
      </c>
      <c r="F17">
        <v>2789</v>
      </c>
      <c r="G17">
        <f t="shared" si="1"/>
        <v>1673.3999999999999</v>
      </c>
      <c r="H17">
        <f t="shared" si="0"/>
        <v>3346.7999999999997</v>
      </c>
      <c r="I17">
        <v>2</v>
      </c>
      <c r="J17" t="s">
        <v>16</v>
      </c>
      <c r="K17" t="s">
        <v>23</v>
      </c>
      <c r="L17">
        <v>2</v>
      </c>
    </row>
    <row r="18" spans="1:12" x14ac:dyDescent="0.25">
      <c r="A18" t="str">
        <f>A16</f>
        <v>ЩС (260108 AKMIR SULTANRABAT)</v>
      </c>
      <c r="B18" t="s">
        <v>44</v>
      </c>
      <c r="D18" t="s">
        <v>57</v>
      </c>
      <c r="E18" t="s">
        <v>58</v>
      </c>
      <c r="F18">
        <v>1054</v>
      </c>
      <c r="G18">
        <f t="shared" si="1"/>
        <v>632.4</v>
      </c>
      <c r="H18">
        <f t="shared" si="0"/>
        <v>632.4</v>
      </c>
      <c r="I18">
        <v>1</v>
      </c>
      <c r="J18" t="s">
        <v>16</v>
      </c>
      <c r="K18" t="s">
        <v>23</v>
      </c>
      <c r="L18">
        <v>1</v>
      </c>
    </row>
    <row r="19" spans="1:12" x14ac:dyDescent="0.25">
      <c r="A19" t="str">
        <f>A17</f>
        <v>ЩС (260108 AKMIR SULTANRABAT)</v>
      </c>
      <c r="B19" t="s">
        <v>44</v>
      </c>
      <c r="D19" t="s">
        <v>59</v>
      </c>
      <c r="E19" t="s">
        <v>60</v>
      </c>
      <c r="F19">
        <v>876</v>
      </c>
      <c r="G19">
        <f t="shared" si="1"/>
        <v>525.6</v>
      </c>
      <c r="H19">
        <f t="shared" si="0"/>
        <v>1051.2</v>
      </c>
      <c r="I19">
        <v>2</v>
      </c>
      <c r="J19" t="s">
        <v>16</v>
      </c>
      <c r="K19" t="s">
        <v>23</v>
      </c>
      <c r="L19">
        <v>2</v>
      </c>
    </row>
    <row r="20" spans="1:12" x14ac:dyDescent="0.25">
      <c r="A20" t="str">
        <f>A16</f>
        <v>ЩС (260108 AKMIR SULTANRABAT)</v>
      </c>
      <c r="B20" t="s">
        <v>44</v>
      </c>
      <c r="D20" t="s">
        <v>61</v>
      </c>
      <c r="E20" t="s">
        <v>62</v>
      </c>
      <c r="F20">
        <v>760</v>
      </c>
      <c r="G20">
        <f t="shared" si="1"/>
        <v>456</v>
      </c>
      <c r="H20">
        <f t="shared" si="0"/>
        <v>7296</v>
      </c>
      <c r="I20">
        <v>16</v>
      </c>
      <c r="J20" t="s">
        <v>16</v>
      </c>
      <c r="K20" t="s">
        <v>23</v>
      </c>
      <c r="L20">
        <v>16</v>
      </c>
    </row>
    <row r="21" spans="1:12" x14ac:dyDescent="0.25">
      <c r="A21" t="str">
        <f>A20</f>
        <v>ЩС (260108 AKMIR SULTANRABAT)</v>
      </c>
      <c r="B21" t="s">
        <v>44</v>
      </c>
      <c r="D21" t="s">
        <v>63</v>
      </c>
      <c r="E21" t="s">
        <v>64</v>
      </c>
      <c r="F21">
        <v>760</v>
      </c>
      <c r="G21">
        <f t="shared" si="1"/>
        <v>456</v>
      </c>
      <c r="H21">
        <f t="shared" si="0"/>
        <v>3648</v>
      </c>
      <c r="I21">
        <v>8</v>
      </c>
      <c r="J21" t="s">
        <v>16</v>
      </c>
      <c r="K21" t="s">
        <v>23</v>
      </c>
      <c r="L21">
        <v>8</v>
      </c>
    </row>
    <row r="22" spans="1:12" x14ac:dyDescent="0.25">
      <c r="A22" t="str">
        <f>A17</f>
        <v>ЩС (260108 AKMIR SULTANRABAT)</v>
      </c>
      <c r="B22" t="s">
        <v>44</v>
      </c>
      <c r="D22" t="s">
        <v>65</v>
      </c>
      <c r="E22" t="s">
        <v>66</v>
      </c>
      <c r="F22">
        <v>947</v>
      </c>
      <c r="G22">
        <f t="shared" si="1"/>
        <v>568.19999999999993</v>
      </c>
      <c r="H22">
        <f t="shared" si="0"/>
        <v>1136.3999999999999</v>
      </c>
      <c r="I22">
        <v>2</v>
      </c>
      <c r="J22" t="s">
        <v>16</v>
      </c>
      <c r="K22" t="s">
        <v>23</v>
      </c>
      <c r="L22">
        <v>2</v>
      </c>
    </row>
    <row r="23" spans="1:12" x14ac:dyDescent="0.25">
      <c r="A23" t="str">
        <f>A20</f>
        <v>ЩС (260108 AKMIR SULTANRABAT)</v>
      </c>
      <c r="B23" t="s">
        <v>67</v>
      </c>
      <c r="D23" t="s">
        <v>68</v>
      </c>
      <c r="E23" t="s">
        <v>69</v>
      </c>
      <c r="F23">
        <v>9917</v>
      </c>
      <c r="G23">
        <f t="shared" si="1"/>
        <v>5950.2</v>
      </c>
      <c r="H23">
        <f t="shared" si="0"/>
        <v>17850.599999999999</v>
      </c>
      <c r="I23">
        <v>3</v>
      </c>
      <c r="J23" t="s">
        <v>16</v>
      </c>
      <c r="K23" t="s">
        <v>23</v>
      </c>
      <c r="L23">
        <v>3</v>
      </c>
    </row>
    <row r="24" spans="1:12" x14ac:dyDescent="0.25">
      <c r="A24" t="str">
        <f>A22</f>
        <v>ЩС (260108 AKMIR SULTANRABAT)</v>
      </c>
      <c r="B24" t="s">
        <v>67</v>
      </c>
      <c r="D24" t="s">
        <v>70</v>
      </c>
      <c r="E24" t="s">
        <v>71</v>
      </c>
      <c r="F24">
        <v>11071</v>
      </c>
      <c r="G24">
        <f t="shared" si="1"/>
        <v>6642.5999999999995</v>
      </c>
      <c r="H24">
        <f t="shared" si="0"/>
        <v>6642.5999999999995</v>
      </c>
      <c r="I24">
        <v>1</v>
      </c>
      <c r="J24" t="s">
        <v>16</v>
      </c>
      <c r="K24" t="s">
        <v>23</v>
      </c>
      <c r="L24">
        <v>1</v>
      </c>
    </row>
    <row r="25" spans="1:12" x14ac:dyDescent="0.25">
      <c r="A25" t="str">
        <f>A23</f>
        <v>ЩС (260108 AKMIR SULTANRABAT)</v>
      </c>
      <c r="B25" t="s">
        <v>67</v>
      </c>
      <c r="D25" t="s">
        <v>72</v>
      </c>
      <c r="E25" t="s">
        <v>73</v>
      </c>
      <c r="F25">
        <v>4945</v>
      </c>
      <c r="G25">
        <f t="shared" si="1"/>
        <v>2967</v>
      </c>
      <c r="H25">
        <f t="shared" si="0"/>
        <v>53406</v>
      </c>
      <c r="I25">
        <v>18</v>
      </c>
      <c r="J25" t="s">
        <v>16</v>
      </c>
      <c r="K25" t="s">
        <v>23</v>
      </c>
      <c r="L25">
        <v>18</v>
      </c>
    </row>
    <row r="26" spans="1:12" x14ac:dyDescent="0.25">
      <c r="A26" t="str">
        <f>A24</f>
        <v>ЩС (260108 AKMIR SULTANRABAT)</v>
      </c>
      <c r="B26" t="s">
        <v>67</v>
      </c>
      <c r="D26" t="s">
        <v>74</v>
      </c>
      <c r="E26" t="s">
        <v>75</v>
      </c>
      <c r="F26">
        <v>5821</v>
      </c>
      <c r="G26">
        <f t="shared" si="1"/>
        <v>3492.6</v>
      </c>
      <c r="H26">
        <f t="shared" si="0"/>
        <v>27940.799999999999</v>
      </c>
      <c r="I26">
        <v>8</v>
      </c>
      <c r="J26" t="s">
        <v>16</v>
      </c>
      <c r="K26" t="s">
        <v>23</v>
      </c>
      <c r="L26">
        <v>8</v>
      </c>
    </row>
    <row r="27" spans="1:12" x14ac:dyDescent="0.25">
      <c r="A27" t="str">
        <f>A22</f>
        <v>ЩС (260108 AKMIR SULTANRABAT)</v>
      </c>
      <c r="B27" t="s">
        <v>76</v>
      </c>
      <c r="D27" t="s">
        <v>77</v>
      </c>
      <c r="E27" t="s">
        <v>78</v>
      </c>
      <c r="F27">
        <v>13919</v>
      </c>
      <c r="G27">
        <f t="shared" si="1"/>
        <v>8351.4</v>
      </c>
      <c r="H27">
        <f t="shared" si="0"/>
        <v>16702.8</v>
      </c>
      <c r="I27">
        <v>2</v>
      </c>
      <c r="J27" t="s">
        <v>16</v>
      </c>
      <c r="K27" t="s">
        <v>23</v>
      </c>
      <c r="L27">
        <v>2</v>
      </c>
    </row>
    <row r="28" spans="1:12" x14ac:dyDescent="0.25">
      <c r="A28" t="str">
        <f>A23</f>
        <v>ЩС (260108 AKMIR SULTANRABAT)</v>
      </c>
      <c r="B28" t="s">
        <v>76</v>
      </c>
      <c r="D28" t="s">
        <v>79</v>
      </c>
      <c r="E28" t="s">
        <v>80</v>
      </c>
      <c r="F28">
        <v>11041</v>
      </c>
      <c r="G28">
        <f t="shared" si="1"/>
        <v>6624.5999999999995</v>
      </c>
      <c r="H28">
        <f t="shared" si="0"/>
        <v>39747.599999999999</v>
      </c>
      <c r="I28">
        <v>6</v>
      </c>
      <c r="J28" t="s">
        <v>16</v>
      </c>
      <c r="K28" t="s">
        <v>23</v>
      </c>
      <c r="L28">
        <v>6</v>
      </c>
    </row>
    <row r="29" spans="1:12" x14ac:dyDescent="0.25">
      <c r="A29" t="str">
        <f>A27</f>
        <v>ЩС (260108 AKMIR SULTANRABAT)</v>
      </c>
      <c r="B29" t="s">
        <v>76</v>
      </c>
      <c r="D29" t="s">
        <v>81</v>
      </c>
      <c r="E29" t="s">
        <v>82</v>
      </c>
      <c r="F29">
        <v>8550</v>
      </c>
      <c r="G29">
        <f t="shared" si="1"/>
        <v>5130</v>
      </c>
      <c r="H29">
        <f t="shared" si="0"/>
        <v>25650</v>
      </c>
      <c r="I29">
        <v>5</v>
      </c>
      <c r="J29" t="s">
        <v>16</v>
      </c>
      <c r="K29" t="s">
        <v>23</v>
      </c>
      <c r="L29">
        <v>5</v>
      </c>
    </row>
    <row r="30" spans="1:12" x14ac:dyDescent="0.25">
      <c r="A30" t="str">
        <f>A28</f>
        <v>ЩС (260108 AKMIR SULTANRABAT)</v>
      </c>
      <c r="B30" t="s">
        <v>76</v>
      </c>
      <c r="D30" t="s">
        <v>83</v>
      </c>
      <c r="E30" t="s">
        <v>84</v>
      </c>
      <c r="F30">
        <v>5388</v>
      </c>
      <c r="G30">
        <f t="shared" si="1"/>
        <v>3232.7999999999997</v>
      </c>
      <c r="H30">
        <f t="shared" si="0"/>
        <v>6465.5999999999995</v>
      </c>
      <c r="I30">
        <v>2</v>
      </c>
      <c r="J30" t="s">
        <v>16</v>
      </c>
      <c r="K30" t="s">
        <v>23</v>
      </c>
      <c r="L30">
        <v>3</v>
      </c>
    </row>
    <row r="31" spans="1:12" x14ac:dyDescent="0.25">
      <c r="A31" t="str">
        <f>A22</f>
        <v>ЩС (260108 AKMIR SULTANRABAT)</v>
      </c>
      <c r="B31" t="s">
        <v>85</v>
      </c>
      <c r="D31" t="s">
        <v>86</v>
      </c>
      <c r="E31" t="s">
        <v>87</v>
      </c>
      <c r="F31">
        <v>30000</v>
      </c>
      <c r="G31">
        <f>F31</f>
        <v>30000</v>
      </c>
      <c r="H31">
        <f t="shared" si="0"/>
        <v>30000</v>
      </c>
      <c r="I31">
        <v>1</v>
      </c>
      <c r="J31" t="s">
        <v>16</v>
      </c>
      <c r="K31" t="s">
        <v>88</v>
      </c>
      <c r="L31">
        <v>1</v>
      </c>
    </row>
    <row r="32" spans="1:12" x14ac:dyDescent="0.25">
      <c r="A32" t="str">
        <f t="shared" ref="A32:A37" si="2">A31</f>
        <v>ЩС (260108 AKMIR SULTANRABAT)</v>
      </c>
      <c r="B32" t="s">
        <v>89</v>
      </c>
      <c r="D32">
        <v>593077</v>
      </c>
      <c r="E32" t="s">
        <v>90</v>
      </c>
      <c r="F32">
        <v>589</v>
      </c>
      <c r="G32">
        <f t="shared" ref="G32:G42" si="3">0.6*F32</f>
        <v>353.4</v>
      </c>
      <c r="H32">
        <f t="shared" si="0"/>
        <v>7774.7999999999993</v>
      </c>
      <c r="I32">
        <v>22</v>
      </c>
      <c r="J32" t="s">
        <v>16</v>
      </c>
      <c r="K32" t="s">
        <v>23</v>
      </c>
    </row>
    <row r="33" spans="1:12" x14ac:dyDescent="0.25">
      <c r="A33" t="str">
        <f t="shared" si="2"/>
        <v>ЩС (260108 AKMIR SULTANRABAT)</v>
      </c>
      <c r="B33" t="s">
        <v>91</v>
      </c>
      <c r="D33" t="s">
        <v>92</v>
      </c>
      <c r="E33" t="s">
        <v>93</v>
      </c>
      <c r="F33">
        <v>56704</v>
      </c>
      <c r="G33">
        <f t="shared" si="3"/>
        <v>34022.400000000001</v>
      </c>
      <c r="H33">
        <f t="shared" si="0"/>
        <v>34022.400000000001</v>
      </c>
      <c r="I33">
        <v>1</v>
      </c>
      <c r="J33" t="s">
        <v>16</v>
      </c>
      <c r="K33" t="s">
        <v>23</v>
      </c>
      <c r="L33">
        <v>2</v>
      </c>
    </row>
    <row r="34" spans="1:12" x14ac:dyDescent="0.25">
      <c r="A34" t="str">
        <f t="shared" si="2"/>
        <v>ЩС (260108 AKMIR SULTANRABAT)</v>
      </c>
      <c r="B34" t="s">
        <v>94</v>
      </c>
      <c r="D34" t="s">
        <v>95</v>
      </c>
      <c r="E34" t="s">
        <v>96</v>
      </c>
      <c r="F34">
        <v>5852</v>
      </c>
      <c r="G34">
        <f t="shared" si="3"/>
        <v>3511.2</v>
      </c>
      <c r="H34">
        <f t="shared" si="0"/>
        <v>3511.2</v>
      </c>
      <c r="I34">
        <v>1</v>
      </c>
      <c r="J34" t="s">
        <v>16</v>
      </c>
      <c r="K34" t="s">
        <v>23</v>
      </c>
      <c r="L34">
        <v>1</v>
      </c>
    </row>
    <row r="35" spans="1:12" x14ac:dyDescent="0.25">
      <c r="A35" t="str">
        <f t="shared" si="2"/>
        <v>ЩС (260108 AKMIR SULTANRABAT)</v>
      </c>
      <c r="B35" t="s">
        <v>97</v>
      </c>
      <c r="C35" t="s">
        <v>98</v>
      </c>
      <c r="D35">
        <v>266985</v>
      </c>
      <c r="E35" t="s">
        <v>99</v>
      </c>
      <c r="F35">
        <v>12515</v>
      </c>
      <c r="G35">
        <f t="shared" si="3"/>
        <v>7509</v>
      </c>
      <c r="H35">
        <f t="shared" ref="H35:H66" si="4">I35*G35</f>
        <v>7509</v>
      </c>
      <c r="I35">
        <v>1</v>
      </c>
      <c r="J35" t="s">
        <v>16</v>
      </c>
      <c r="K35" t="s">
        <v>23</v>
      </c>
      <c r="L35">
        <v>1</v>
      </c>
    </row>
    <row r="36" spans="1:12" x14ac:dyDescent="0.25">
      <c r="A36" t="str">
        <f t="shared" si="2"/>
        <v>ЩС (260108 AKMIR SULTANRABAT)</v>
      </c>
      <c r="B36" t="s">
        <v>100</v>
      </c>
      <c r="D36">
        <v>310024</v>
      </c>
      <c r="E36" t="s">
        <v>101</v>
      </c>
      <c r="F36">
        <v>18847</v>
      </c>
      <c r="G36">
        <f t="shared" si="3"/>
        <v>11308.199999999999</v>
      </c>
      <c r="H36">
        <f t="shared" si="4"/>
        <v>33924.6</v>
      </c>
      <c r="I36">
        <v>3</v>
      </c>
      <c r="J36" t="s">
        <v>16</v>
      </c>
      <c r="K36" t="s">
        <v>23</v>
      </c>
    </row>
    <row r="37" spans="1:12" x14ac:dyDescent="0.25">
      <c r="A37" t="str">
        <f t="shared" si="2"/>
        <v>ЩС (260108 AKMIR SULTANRABAT)</v>
      </c>
      <c r="B37" t="s">
        <v>102</v>
      </c>
      <c r="C37" t="s">
        <v>103</v>
      </c>
      <c r="D37">
        <v>574849</v>
      </c>
      <c r="E37" t="s">
        <v>104</v>
      </c>
      <c r="F37">
        <v>1836</v>
      </c>
      <c r="G37">
        <f t="shared" si="3"/>
        <v>1101.5999999999999</v>
      </c>
      <c r="H37">
        <f t="shared" si="4"/>
        <v>7711.1999999999989</v>
      </c>
      <c r="I37">
        <v>7</v>
      </c>
      <c r="J37" t="s">
        <v>16</v>
      </c>
      <c r="K37" t="s">
        <v>23</v>
      </c>
    </row>
    <row r="38" spans="1:12" x14ac:dyDescent="0.25">
      <c r="A38" t="str">
        <f>A36</f>
        <v>ЩС (260108 AKMIR SULTANRABAT)</v>
      </c>
      <c r="B38" t="s">
        <v>102</v>
      </c>
      <c r="C38" t="s">
        <v>105</v>
      </c>
      <c r="D38" t="s">
        <v>106</v>
      </c>
      <c r="E38" t="s">
        <v>107</v>
      </c>
      <c r="F38">
        <v>1602</v>
      </c>
      <c r="G38">
        <f t="shared" si="3"/>
        <v>961.19999999999993</v>
      </c>
      <c r="H38">
        <f t="shared" si="4"/>
        <v>11534.4</v>
      </c>
      <c r="I38">
        <v>12</v>
      </c>
      <c r="J38" t="s">
        <v>16</v>
      </c>
      <c r="K38" t="s">
        <v>23</v>
      </c>
    </row>
    <row r="39" spans="1:12" x14ac:dyDescent="0.25">
      <c r="A39" t="str">
        <f t="shared" ref="A39:A67" si="5">A38</f>
        <v>ЩС (260108 AKMIR SULTANRABAT)</v>
      </c>
      <c r="B39" t="s">
        <v>108</v>
      </c>
      <c r="D39">
        <v>285250</v>
      </c>
      <c r="E39" t="s">
        <v>109</v>
      </c>
      <c r="F39">
        <v>1571</v>
      </c>
      <c r="G39">
        <f t="shared" si="3"/>
        <v>942.59999999999991</v>
      </c>
      <c r="H39">
        <f t="shared" si="4"/>
        <v>4713</v>
      </c>
      <c r="I39">
        <v>5</v>
      </c>
      <c r="J39" t="s">
        <v>16</v>
      </c>
      <c r="K39" t="s">
        <v>23</v>
      </c>
      <c r="L39">
        <v>1</v>
      </c>
    </row>
    <row r="40" spans="1:12" x14ac:dyDescent="0.25">
      <c r="A40" t="str">
        <f t="shared" si="5"/>
        <v>ЩС (260108 AKMIR SULTANRABAT)</v>
      </c>
      <c r="B40" t="s">
        <v>110</v>
      </c>
      <c r="D40">
        <v>285976</v>
      </c>
      <c r="E40" t="s">
        <v>111</v>
      </c>
      <c r="F40">
        <v>682</v>
      </c>
      <c r="G40">
        <f t="shared" si="3"/>
        <v>409.2</v>
      </c>
      <c r="H40">
        <f t="shared" si="4"/>
        <v>2046</v>
      </c>
      <c r="I40">
        <v>5</v>
      </c>
      <c r="J40" t="s">
        <v>16</v>
      </c>
      <c r="K40" t="s">
        <v>23</v>
      </c>
      <c r="L40">
        <v>1</v>
      </c>
    </row>
    <row r="41" spans="1:12" x14ac:dyDescent="0.25">
      <c r="A41" t="str">
        <f t="shared" si="5"/>
        <v>ЩС (260108 AKMIR SULTANRABAT)</v>
      </c>
      <c r="B41" t="s">
        <v>108</v>
      </c>
      <c r="D41" t="s">
        <v>112</v>
      </c>
      <c r="E41" t="s">
        <v>113</v>
      </c>
      <c r="F41">
        <v>1229</v>
      </c>
      <c r="G41">
        <f t="shared" si="3"/>
        <v>737.4</v>
      </c>
      <c r="H41">
        <f t="shared" si="4"/>
        <v>1474.8</v>
      </c>
      <c r="I41">
        <v>2</v>
      </c>
      <c r="J41" t="s">
        <v>16</v>
      </c>
      <c r="K41" t="s">
        <v>23</v>
      </c>
    </row>
    <row r="42" spans="1:12" x14ac:dyDescent="0.25">
      <c r="A42" t="str">
        <f t="shared" si="5"/>
        <v>ЩС (260108 AKMIR SULTANRABAT)</v>
      </c>
      <c r="B42" t="s">
        <v>110</v>
      </c>
      <c r="D42" t="s">
        <v>114</v>
      </c>
      <c r="E42" t="s">
        <v>115</v>
      </c>
      <c r="F42">
        <v>1154</v>
      </c>
      <c r="G42">
        <f t="shared" si="3"/>
        <v>692.4</v>
      </c>
      <c r="H42">
        <f t="shared" si="4"/>
        <v>1384.8</v>
      </c>
      <c r="I42">
        <v>2</v>
      </c>
      <c r="J42" t="s">
        <v>16</v>
      </c>
      <c r="K42" t="s">
        <v>23</v>
      </c>
    </row>
    <row r="43" spans="1:12" x14ac:dyDescent="0.25">
      <c r="A43" t="str">
        <f t="shared" si="5"/>
        <v>ЩС (260108 AKMIR SULTANRABAT)</v>
      </c>
      <c r="B43" t="s">
        <v>116</v>
      </c>
      <c r="C43" t="s">
        <v>117</v>
      </c>
      <c r="D43" t="s">
        <v>118</v>
      </c>
      <c r="E43" t="s">
        <v>119</v>
      </c>
      <c r="F43">
        <v>1432</v>
      </c>
      <c r="G43">
        <f>F43</f>
        <v>1432</v>
      </c>
      <c r="H43">
        <f t="shared" si="4"/>
        <v>4296</v>
      </c>
      <c r="I43">
        <v>3</v>
      </c>
      <c r="J43" t="s">
        <v>16</v>
      </c>
      <c r="K43" t="s">
        <v>40</v>
      </c>
    </row>
    <row r="44" spans="1:12" x14ac:dyDescent="0.25">
      <c r="A44" t="str">
        <f t="shared" si="5"/>
        <v>ЩС (260108 AKMIR SULTANRABAT)</v>
      </c>
      <c r="B44" t="s">
        <v>120</v>
      </c>
      <c r="C44" t="s">
        <v>121</v>
      </c>
      <c r="D44" t="s">
        <v>122</v>
      </c>
      <c r="E44" t="s">
        <v>123</v>
      </c>
      <c r="F44">
        <v>16808</v>
      </c>
      <c r="G44">
        <f>0.6*F44</f>
        <v>10084.799999999999</v>
      </c>
      <c r="H44">
        <f t="shared" si="4"/>
        <v>40339.199999999997</v>
      </c>
      <c r="I44">
        <v>4</v>
      </c>
      <c r="J44" t="s">
        <v>16</v>
      </c>
      <c r="K44" t="s">
        <v>23</v>
      </c>
    </row>
    <row r="45" spans="1:12" x14ac:dyDescent="0.25">
      <c r="A45" t="str">
        <f t="shared" si="5"/>
        <v>ЩС (260108 AKMIR SULTANRABAT)</v>
      </c>
      <c r="B45" t="s">
        <v>124</v>
      </c>
      <c r="C45" t="s">
        <v>125</v>
      </c>
      <c r="D45" t="s">
        <v>126</v>
      </c>
      <c r="E45" t="s">
        <v>127</v>
      </c>
      <c r="F45">
        <v>5133</v>
      </c>
      <c r="G45">
        <f t="shared" ref="G45:G63" si="6">F45</f>
        <v>5133</v>
      </c>
      <c r="H45">
        <f t="shared" si="4"/>
        <v>1924.875</v>
      </c>
      <c r="I45">
        <v>0.375</v>
      </c>
      <c r="J45" t="s">
        <v>16</v>
      </c>
      <c r="K45" t="s">
        <v>40</v>
      </c>
    </row>
    <row r="46" spans="1:12" x14ac:dyDescent="0.25">
      <c r="A46" t="str">
        <f t="shared" si="5"/>
        <v>ЩС (260108 AKMIR SULTANRABAT)</v>
      </c>
      <c r="B46" t="s">
        <v>128</v>
      </c>
      <c r="C46" t="s">
        <v>129</v>
      </c>
      <c r="E46" t="s">
        <v>130</v>
      </c>
      <c r="F46">
        <v>60</v>
      </c>
      <c r="G46">
        <f t="shared" si="6"/>
        <v>60</v>
      </c>
      <c r="H46">
        <f t="shared" si="4"/>
        <v>12000</v>
      </c>
      <c r="I46">
        <v>200</v>
      </c>
      <c r="J46" t="s">
        <v>131</v>
      </c>
      <c r="K46" t="s">
        <v>40</v>
      </c>
    </row>
    <row r="47" spans="1:12" x14ac:dyDescent="0.25">
      <c r="A47" t="str">
        <f t="shared" si="5"/>
        <v>ЩС (260108 AKMIR SULTANRABAT)</v>
      </c>
      <c r="B47" t="s">
        <v>128</v>
      </c>
      <c r="C47" t="s">
        <v>132</v>
      </c>
      <c r="E47" t="s">
        <v>133</v>
      </c>
      <c r="F47">
        <v>185</v>
      </c>
      <c r="G47">
        <f t="shared" si="6"/>
        <v>185</v>
      </c>
      <c r="H47">
        <f t="shared" si="4"/>
        <v>74000</v>
      </c>
      <c r="I47">
        <v>400</v>
      </c>
      <c r="J47" t="s">
        <v>131</v>
      </c>
      <c r="K47" t="s">
        <v>40</v>
      </c>
    </row>
    <row r="48" spans="1:12" x14ac:dyDescent="0.25">
      <c r="A48" t="str">
        <f t="shared" si="5"/>
        <v>ЩС (260108 AKMIR SULTANRABAT)</v>
      </c>
      <c r="B48" t="s">
        <v>128</v>
      </c>
      <c r="C48" t="s">
        <v>134</v>
      </c>
      <c r="E48" t="s">
        <v>135</v>
      </c>
      <c r="F48">
        <v>305</v>
      </c>
      <c r="G48">
        <f t="shared" si="6"/>
        <v>305</v>
      </c>
      <c r="H48">
        <f t="shared" si="4"/>
        <v>4575</v>
      </c>
      <c r="I48">
        <v>15</v>
      </c>
      <c r="J48" t="s">
        <v>131</v>
      </c>
      <c r="K48" t="s">
        <v>40</v>
      </c>
    </row>
    <row r="49" spans="1:11" x14ac:dyDescent="0.25">
      <c r="A49" t="str">
        <f t="shared" si="5"/>
        <v>ЩС (260108 AKMIR SULTANRABAT)</v>
      </c>
      <c r="B49" t="s">
        <v>128</v>
      </c>
      <c r="C49" t="s">
        <v>136</v>
      </c>
      <c r="E49" t="s">
        <v>137</v>
      </c>
      <c r="F49">
        <v>440</v>
      </c>
      <c r="G49">
        <f t="shared" si="6"/>
        <v>440</v>
      </c>
      <c r="H49">
        <f t="shared" si="4"/>
        <v>3520</v>
      </c>
      <c r="I49">
        <v>8</v>
      </c>
      <c r="J49" t="s">
        <v>131</v>
      </c>
      <c r="K49" t="s">
        <v>40</v>
      </c>
    </row>
    <row r="50" spans="1:11" x14ac:dyDescent="0.25">
      <c r="A50" t="str">
        <f t="shared" si="5"/>
        <v>ЩС (260108 AKMIR SULTANRABAT)</v>
      </c>
      <c r="B50" t="s">
        <v>128</v>
      </c>
      <c r="C50" t="s">
        <v>138</v>
      </c>
      <c r="E50" t="s">
        <v>139</v>
      </c>
      <c r="F50">
        <v>770</v>
      </c>
      <c r="G50">
        <f t="shared" si="6"/>
        <v>770</v>
      </c>
      <c r="H50">
        <f t="shared" si="4"/>
        <v>19250</v>
      </c>
      <c r="I50">
        <v>25</v>
      </c>
      <c r="J50" t="s">
        <v>131</v>
      </c>
      <c r="K50" t="s">
        <v>40</v>
      </c>
    </row>
    <row r="51" spans="1:11" x14ac:dyDescent="0.25">
      <c r="A51" t="str">
        <f t="shared" si="5"/>
        <v>ЩС (260108 AKMIR SULTANRABAT)</v>
      </c>
      <c r="B51" t="s">
        <v>128</v>
      </c>
      <c r="C51" t="s">
        <v>140</v>
      </c>
      <c r="E51" t="s">
        <v>141</v>
      </c>
      <c r="F51">
        <v>1900</v>
      </c>
      <c r="G51">
        <f t="shared" si="6"/>
        <v>1900</v>
      </c>
      <c r="H51">
        <f t="shared" si="4"/>
        <v>47500</v>
      </c>
      <c r="I51">
        <v>25</v>
      </c>
      <c r="J51" t="s">
        <v>131</v>
      </c>
      <c r="K51" t="s">
        <v>40</v>
      </c>
    </row>
    <row r="52" spans="1:11" x14ac:dyDescent="0.25">
      <c r="A52" t="str">
        <f t="shared" si="5"/>
        <v>ЩС (260108 AKMIR SULTANRABAT)</v>
      </c>
      <c r="B52" t="s">
        <v>142</v>
      </c>
      <c r="C52" t="s">
        <v>143</v>
      </c>
      <c r="D52" t="s">
        <v>144</v>
      </c>
      <c r="E52" t="s">
        <v>145</v>
      </c>
      <c r="F52">
        <v>6</v>
      </c>
      <c r="G52">
        <f t="shared" si="6"/>
        <v>6</v>
      </c>
      <c r="H52">
        <f t="shared" si="4"/>
        <v>2400</v>
      </c>
      <c r="I52">
        <v>400</v>
      </c>
      <c r="J52" t="s">
        <v>16</v>
      </c>
      <c r="K52" t="s">
        <v>40</v>
      </c>
    </row>
    <row r="53" spans="1:11" x14ac:dyDescent="0.25">
      <c r="A53" t="str">
        <f t="shared" si="5"/>
        <v>ЩС (260108 AKMIR SULTANRABAT)</v>
      </c>
      <c r="B53" t="s">
        <v>142</v>
      </c>
      <c r="C53" t="s">
        <v>146</v>
      </c>
      <c r="D53" t="s">
        <v>147</v>
      </c>
      <c r="E53" t="s">
        <v>148</v>
      </c>
      <c r="F53">
        <v>8</v>
      </c>
      <c r="G53">
        <f t="shared" si="6"/>
        <v>8</v>
      </c>
      <c r="H53">
        <f t="shared" si="4"/>
        <v>3600</v>
      </c>
      <c r="I53">
        <v>450</v>
      </c>
      <c r="J53" t="s">
        <v>16</v>
      </c>
      <c r="K53" t="s">
        <v>40</v>
      </c>
    </row>
    <row r="54" spans="1:11" x14ac:dyDescent="0.25">
      <c r="A54" t="str">
        <f t="shared" si="5"/>
        <v>ЩС (260108 AKMIR SULTANRABAT)</v>
      </c>
      <c r="B54" t="s">
        <v>142</v>
      </c>
      <c r="C54" t="s">
        <v>149</v>
      </c>
      <c r="D54" t="s">
        <v>150</v>
      </c>
      <c r="E54" t="s">
        <v>151</v>
      </c>
      <c r="F54">
        <v>100</v>
      </c>
      <c r="G54">
        <f t="shared" si="6"/>
        <v>100</v>
      </c>
      <c r="H54">
        <f t="shared" si="4"/>
        <v>5000</v>
      </c>
      <c r="I54">
        <v>50</v>
      </c>
      <c r="J54" t="s">
        <v>16</v>
      </c>
      <c r="K54" t="s">
        <v>40</v>
      </c>
    </row>
    <row r="55" spans="1:11" x14ac:dyDescent="0.25">
      <c r="A55" t="str">
        <f t="shared" si="5"/>
        <v>ЩС (260108 AKMIR SULTANRABAT)</v>
      </c>
      <c r="B55" t="s">
        <v>142</v>
      </c>
      <c r="C55" t="s">
        <v>152</v>
      </c>
      <c r="D55" t="s">
        <v>150</v>
      </c>
      <c r="E55" t="s">
        <v>151</v>
      </c>
      <c r="F55">
        <v>100</v>
      </c>
      <c r="G55">
        <f t="shared" si="6"/>
        <v>100</v>
      </c>
      <c r="H55">
        <f t="shared" si="4"/>
        <v>3000</v>
      </c>
      <c r="I55">
        <v>30</v>
      </c>
      <c r="J55" t="s">
        <v>16</v>
      </c>
      <c r="K55" t="s">
        <v>40</v>
      </c>
    </row>
    <row r="56" spans="1:11" x14ac:dyDescent="0.25">
      <c r="A56" t="str">
        <f t="shared" si="5"/>
        <v>ЩС (260108 AKMIR SULTANRABAT)</v>
      </c>
      <c r="B56" t="s">
        <v>142</v>
      </c>
      <c r="C56" t="s">
        <v>153</v>
      </c>
      <c r="D56" t="s">
        <v>154</v>
      </c>
      <c r="E56" t="s">
        <v>155</v>
      </c>
      <c r="F56">
        <v>20</v>
      </c>
      <c r="G56">
        <f t="shared" si="6"/>
        <v>20</v>
      </c>
      <c r="H56">
        <f t="shared" si="4"/>
        <v>720</v>
      </c>
      <c r="I56">
        <v>36</v>
      </c>
      <c r="J56" t="s">
        <v>16</v>
      </c>
      <c r="K56" t="s">
        <v>40</v>
      </c>
    </row>
    <row r="57" spans="1:11" x14ac:dyDescent="0.25">
      <c r="A57" t="str">
        <f t="shared" si="5"/>
        <v>ЩС (260108 AKMIR SULTANRABAT)</v>
      </c>
      <c r="B57" t="s">
        <v>142</v>
      </c>
      <c r="C57" t="s">
        <v>156</v>
      </c>
      <c r="D57" t="s">
        <v>157</v>
      </c>
      <c r="E57" t="s">
        <v>158</v>
      </c>
      <c r="F57">
        <v>240</v>
      </c>
      <c r="G57">
        <f t="shared" si="6"/>
        <v>240</v>
      </c>
      <c r="H57">
        <f t="shared" si="4"/>
        <v>3600</v>
      </c>
      <c r="I57">
        <v>15</v>
      </c>
      <c r="J57" t="s">
        <v>16</v>
      </c>
      <c r="K57" t="s">
        <v>40</v>
      </c>
    </row>
    <row r="58" spans="1:11" x14ac:dyDescent="0.25">
      <c r="A58" t="str">
        <f t="shared" si="5"/>
        <v>ЩС (260108 AKMIR SULTANRABAT)</v>
      </c>
      <c r="B58" t="s">
        <v>159</v>
      </c>
      <c r="C58" t="s">
        <v>160</v>
      </c>
      <c r="D58" t="s">
        <v>161</v>
      </c>
      <c r="E58" t="s">
        <v>162</v>
      </c>
      <c r="F58">
        <v>62</v>
      </c>
      <c r="G58">
        <f t="shared" si="6"/>
        <v>62</v>
      </c>
      <c r="H58">
        <f t="shared" si="4"/>
        <v>744</v>
      </c>
      <c r="I58">
        <v>12</v>
      </c>
      <c r="J58" t="s">
        <v>16</v>
      </c>
      <c r="K58" t="s">
        <v>40</v>
      </c>
    </row>
    <row r="59" spans="1:11" x14ac:dyDescent="0.25">
      <c r="A59" t="str">
        <f t="shared" si="5"/>
        <v>ЩС (260108 AKMIR SULTANRABAT)</v>
      </c>
      <c r="B59" t="s">
        <v>142</v>
      </c>
      <c r="C59" t="s">
        <v>163</v>
      </c>
      <c r="D59" t="s">
        <v>164</v>
      </c>
      <c r="E59" t="s">
        <v>165</v>
      </c>
      <c r="F59">
        <v>170</v>
      </c>
      <c r="G59">
        <f t="shared" si="6"/>
        <v>170</v>
      </c>
      <c r="H59">
        <f t="shared" si="4"/>
        <v>3400</v>
      </c>
      <c r="I59">
        <v>20</v>
      </c>
      <c r="J59" t="s">
        <v>16</v>
      </c>
      <c r="K59" t="s">
        <v>40</v>
      </c>
    </row>
    <row r="60" spans="1:11" x14ac:dyDescent="0.25">
      <c r="A60" t="str">
        <f t="shared" si="5"/>
        <v>ЩС (260108 AKMIR SULTANRABAT)</v>
      </c>
      <c r="B60" t="s">
        <v>166</v>
      </c>
      <c r="C60" t="s">
        <v>167</v>
      </c>
      <c r="D60" t="s">
        <v>168</v>
      </c>
      <c r="E60" t="s">
        <v>169</v>
      </c>
      <c r="F60">
        <v>1372</v>
      </c>
      <c r="G60">
        <f t="shared" si="6"/>
        <v>1372</v>
      </c>
      <c r="H60">
        <f t="shared" si="4"/>
        <v>5488</v>
      </c>
      <c r="I60">
        <v>4</v>
      </c>
      <c r="J60" t="s">
        <v>131</v>
      </c>
      <c r="K60" t="s">
        <v>40</v>
      </c>
    </row>
    <row r="61" spans="1:11" x14ac:dyDescent="0.25">
      <c r="A61" t="str">
        <f t="shared" si="5"/>
        <v>ЩС (260108 AKMIR SULTANRABAT)</v>
      </c>
      <c r="B61" t="s">
        <v>166</v>
      </c>
      <c r="C61" t="s">
        <v>170</v>
      </c>
      <c r="D61" t="s">
        <v>171</v>
      </c>
      <c r="E61" t="s">
        <v>172</v>
      </c>
      <c r="F61">
        <v>2267</v>
      </c>
      <c r="G61">
        <f t="shared" si="6"/>
        <v>2267</v>
      </c>
      <c r="H61">
        <f t="shared" si="4"/>
        <v>13602</v>
      </c>
      <c r="I61">
        <v>6</v>
      </c>
      <c r="J61" t="s">
        <v>131</v>
      </c>
      <c r="K61" t="s">
        <v>40</v>
      </c>
    </row>
    <row r="62" spans="1:11" x14ac:dyDescent="0.25">
      <c r="A62" t="str">
        <f t="shared" si="5"/>
        <v>ЩС (260108 AKMIR SULTANRABAT)</v>
      </c>
      <c r="B62" t="s">
        <v>166</v>
      </c>
      <c r="C62" t="s">
        <v>173</v>
      </c>
      <c r="D62" t="s">
        <v>174</v>
      </c>
      <c r="E62" t="s">
        <v>175</v>
      </c>
      <c r="F62">
        <v>2900</v>
      </c>
      <c r="G62">
        <f t="shared" si="6"/>
        <v>2900</v>
      </c>
      <c r="H62">
        <f t="shared" si="4"/>
        <v>11600</v>
      </c>
      <c r="I62">
        <v>4</v>
      </c>
      <c r="J62" t="s">
        <v>131</v>
      </c>
      <c r="K62" t="s">
        <v>40</v>
      </c>
    </row>
    <row r="63" spans="1:11" x14ac:dyDescent="0.25">
      <c r="A63" t="str">
        <f t="shared" si="5"/>
        <v>ЩС (260108 AKMIR SULTANRABAT)</v>
      </c>
      <c r="B63" t="s">
        <v>176</v>
      </c>
      <c r="C63" t="s">
        <v>177</v>
      </c>
      <c r="D63" t="s">
        <v>178</v>
      </c>
      <c r="E63" t="s">
        <v>179</v>
      </c>
      <c r="F63">
        <v>460</v>
      </c>
      <c r="G63">
        <f t="shared" si="6"/>
        <v>460</v>
      </c>
      <c r="H63">
        <f t="shared" si="4"/>
        <v>3680</v>
      </c>
      <c r="I63">
        <v>8</v>
      </c>
      <c r="J63" t="s">
        <v>16</v>
      </c>
      <c r="K63" t="s">
        <v>40</v>
      </c>
    </row>
    <row r="64" spans="1:11" x14ac:dyDescent="0.25">
      <c r="A64" t="str">
        <f t="shared" si="5"/>
        <v>ЩС (260108 AKMIR SULTANRABAT)</v>
      </c>
      <c r="B64" t="s">
        <v>180</v>
      </c>
      <c r="C64" t="s">
        <v>181</v>
      </c>
      <c r="D64" t="s">
        <v>181</v>
      </c>
      <c r="E64" t="s">
        <v>182</v>
      </c>
      <c r="F64">
        <v>1700</v>
      </c>
      <c r="G64">
        <f>0.6*F64</f>
        <v>1020</v>
      </c>
      <c r="H64">
        <f t="shared" si="4"/>
        <v>2040</v>
      </c>
      <c r="I64">
        <v>2</v>
      </c>
      <c r="J64" t="s">
        <v>16</v>
      </c>
      <c r="K64" t="s">
        <v>183</v>
      </c>
    </row>
    <row r="65" spans="1:11" x14ac:dyDescent="0.25">
      <c r="A65" t="str">
        <f t="shared" si="5"/>
        <v>ЩС (260108 AKMIR SULTANRABAT)</v>
      </c>
      <c r="B65" t="s">
        <v>184</v>
      </c>
      <c r="C65" t="s">
        <v>185</v>
      </c>
      <c r="D65" t="s">
        <v>186</v>
      </c>
      <c r="E65" t="s">
        <v>187</v>
      </c>
      <c r="F65">
        <v>600</v>
      </c>
      <c r="G65">
        <f>F65</f>
        <v>600</v>
      </c>
      <c r="H65">
        <f t="shared" si="4"/>
        <v>1200</v>
      </c>
      <c r="I65">
        <v>2</v>
      </c>
      <c r="J65" t="s">
        <v>16</v>
      </c>
      <c r="K65" t="s">
        <v>40</v>
      </c>
    </row>
    <row r="66" spans="1:11" x14ac:dyDescent="0.25">
      <c r="A66" t="str">
        <f t="shared" si="5"/>
        <v>ЩС (260108 AKMIR SULTANRABAT)</v>
      </c>
      <c r="B66" t="s">
        <v>188</v>
      </c>
      <c r="D66" t="s">
        <v>188</v>
      </c>
      <c r="E66" t="s">
        <v>188</v>
      </c>
      <c r="F66">
        <v>100</v>
      </c>
      <c r="G66">
        <f>F66</f>
        <v>100</v>
      </c>
      <c r="H66">
        <f t="shared" si="4"/>
        <v>100000</v>
      </c>
      <c r="I66">
        <v>1000</v>
      </c>
      <c r="J66" t="s">
        <v>16</v>
      </c>
      <c r="K66" t="s">
        <v>188</v>
      </c>
    </row>
    <row r="67" spans="1:11" x14ac:dyDescent="0.25">
      <c r="A67" t="str">
        <f t="shared" si="5"/>
        <v>ЩС (260108 AKMIR SULTANRABAT)</v>
      </c>
      <c r="B67" t="s">
        <v>189</v>
      </c>
      <c r="D67" t="s">
        <v>189</v>
      </c>
      <c r="E67" t="s">
        <v>189</v>
      </c>
      <c r="F67">
        <f>I67/60</f>
        <v>40</v>
      </c>
      <c r="G67">
        <v>100</v>
      </c>
      <c r="H67">
        <f t="shared" ref="H67:H98" si="7">I67*G67</f>
        <v>240000</v>
      </c>
      <c r="I67">
        <v>2400</v>
      </c>
      <c r="J67" t="s">
        <v>16</v>
      </c>
      <c r="K67" t="s">
        <v>189</v>
      </c>
    </row>
    <row r="68" spans="1:11" x14ac:dyDescent="0.25">
      <c r="H68">
        <f>SUM(H3:H67)</f>
        <v>1375057.675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tabSelected="1" zoomScaleNormal="100" workbookViewId="0">
      <selection activeCell="F7" sqref="F7"/>
    </sheetView>
  </sheetViews>
  <sheetFormatPr defaultColWidth="8.7109375" defaultRowHeight="15" x14ac:dyDescent="0.25"/>
  <cols>
    <col min="1" max="1" width="25" customWidth="1"/>
    <col min="2" max="2" width="18" customWidth="1"/>
    <col min="3" max="3" width="22" customWidth="1"/>
    <col min="4" max="4" width="45" customWidth="1"/>
    <col min="5" max="7" width="22" customWidth="1"/>
    <col min="8" max="8" width="10" customWidth="1"/>
    <col min="9" max="9" width="8" customWidth="1"/>
    <col min="10" max="10" width="15.7109375" customWidth="1"/>
  </cols>
  <sheetData>
    <row r="1" spans="1:10" ht="30" customHeight="1" x14ac:dyDescent="0.25">
      <c r="A1" s="2" t="s">
        <v>190</v>
      </c>
      <c r="B1" s="2" t="s">
        <v>191</v>
      </c>
      <c r="C1" s="2" t="s">
        <v>192</v>
      </c>
      <c r="D1" s="2" t="s">
        <v>193</v>
      </c>
      <c r="E1" s="2" t="s">
        <v>194</v>
      </c>
      <c r="F1" s="2" t="s">
        <v>195</v>
      </c>
      <c r="G1" s="2" t="s">
        <v>196</v>
      </c>
      <c r="H1" s="2" t="s">
        <v>197</v>
      </c>
      <c r="I1" s="2" t="s">
        <v>198</v>
      </c>
      <c r="J1" s="2" t="s">
        <v>199</v>
      </c>
    </row>
    <row r="2" spans="1:10" ht="19.5" customHeight="1" x14ac:dyDescent="0.25">
      <c r="A2" s="1" t="s">
        <v>200</v>
      </c>
      <c r="B2" s="1"/>
      <c r="C2" s="1"/>
      <c r="D2" s="1"/>
      <c r="E2" s="1"/>
      <c r="F2" s="1"/>
      <c r="G2" s="1"/>
      <c r="H2" s="1"/>
      <c r="I2" s="1"/>
      <c r="J2" s="1"/>
    </row>
    <row r="3" spans="1:10" ht="18" customHeight="1" x14ac:dyDescent="0.25">
      <c r="A3" s="3" t="s">
        <v>201</v>
      </c>
      <c r="B3" s="4">
        <v>560</v>
      </c>
      <c r="C3" s="5" t="s">
        <v>202</v>
      </c>
    </row>
    <row r="5" spans="1:10" ht="21.75" customHeight="1" x14ac:dyDescent="0.25">
      <c r="A5" s="16" t="s">
        <v>203</v>
      </c>
      <c r="B5" s="16"/>
      <c r="C5" s="16"/>
      <c r="D5" s="16" t="s">
        <v>203</v>
      </c>
      <c r="E5" s="16"/>
      <c r="F5" s="16"/>
      <c r="G5" s="16"/>
      <c r="H5" s="16"/>
      <c r="I5" s="16"/>
      <c r="J5" s="16"/>
    </row>
    <row r="6" spans="1:10" ht="15.75" customHeight="1" x14ac:dyDescent="0.25">
      <c r="A6" s="6" t="s">
        <v>203</v>
      </c>
      <c r="B6" s="6" t="s">
        <v>13</v>
      </c>
      <c r="C6" s="6"/>
      <c r="D6" s="6"/>
      <c r="E6" s="8"/>
      <c r="F6" s="9">
        <v>0</v>
      </c>
      <c r="G6" s="9">
        <f t="shared" ref="G6:G27" si="0">F6*H6</f>
        <v>0</v>
      </c>
      <c r="H6" s="10">
        <v>1</v>
      </c>
      <c r="I6" s="7" t="s">
        <v>16</v>
      </c>
      <c r="J6" s="7" t="s">
        <v>17</v>
      </c>
    </row>
    <row r="7" spans="1:10" ht="15.75" customHeight="1" x14ac:dyDescent="0.25">
      <c r="A7" s="6" t="s">
        <v>203</v>
      </c>
      <c r="B7" s="6" t="s">
        <v>204</v>
      </c>
      <c r="C7" s="6" t="s">
        <v>205</v>
      </c>
      <c r="D7" s="6" t="s">
        <v>206</v>
      </c>
      <c r="E7" s="11">
        <v>153.6</v>
      </c>
      <c r="F7" s="12">
        <f>E7*0.33*1.3*$B$3</f>
        <v>36900.864000000001</v>
      </c>
      <c r="G7" s="13">
        <f t="shared" si="0"/>
        <v>36900.864000000001</v>
      </c>
      <c r="H7" s="10">
        <v>1</v>
      </c>
      <c r="I7" s="7" t="s">
        <v>16</v>
      </c>
      <c r="J7" s="7" t="s">
        <v>207</v>
      </c>
    </row>
    <row r="8" spans="1:10" ht="15.75" customHeight="1" x14ac:dyDescent="0.25">
      <c r="A8" s="6" t="s">
        <v>203</v>
      </c>
      <c r="B8" s="6" t="s">
        <v>208</v>
      </c>
      <c r="C8" s="6" t="s">
        <v>209</v>
      </c>
      <c r="D8" s="6" t="s">
        <v>210</v>
      </c>
      <c r="E8" s="11">
        <v>164.5</v>
      </c>
      <c r="F8" s="12">
        <f>E8*0.33*1.3*$B$3</f>
        <v>39519.480000000003</v>
      </c>
      <c r="G8" s="13">
        <f t="shared" si="0"/>
        <v>39519.480000000003</v>
      </c>
      <c r="H8" s="10">
        <v>1</v>
      </c>
      <c r="I8" s="7" t="s">
        <v>16</v>
      </c>
      <c r="J8" s="7" t="s">
        <v>207</v>
      </c>
    </row>
    <row r="9" spans="1:10" ht="15.75" customHeight="1" x14ac:dyDescent="0.25">
      <c r="A9" s="6" t="s">
        <v>203</v>
      </c>
      <c r="B9" s="6" t="s">
        <v>211</v>
      </c>
      <c r="C9" s="6"/>
      <c r="D9" s="6" t="s">
        <v>212</v>
      </c>
      <c r="E9" s="8"/>
      <c r="F9" s="9">
        <v>0</v>
      </c>
      <c r="G9" s="9">
        <f t="shared" si="0"/>
        <v>0</v>
      </c>
      <c r="H9" s="10">
        <v>3</v>
      </c>
      <c r="I9" s="7" t="s">
        <v>16</v>
      </c>
      <c r="J9" s="7" t="s">
        <v>213</v>
      </c>
    </row>
    <row r="10" spans="1:10" ht="15.75" customHeight="1" x14ac:dyDescent="0.25">
      <c r="A10" s="6" t="s">
        <v>203</v>
      </c>
      <c r="B10" s="6" t="s">
        <v>67</v>
      </c>
      <c r="C10" s="6" t="s">
        <v>214</v>
      </c>
      <c r="D10" s="6" t="s">
        <v>215</v>
      </c>
      <c r="E10" s="11">
        <v>268.89999999999998</v>
      </c>
      <c r="F10" s="12">
        <f t="shared" ref="F10:F25" si="1">E10*0.33*1.3*$B$3</f>
        <v>64600.535999999993</v>
      </c>
      <c r="G10" s="13">
        <f t="shared" si="0"/>
        <v>2519420.9039999996</v>
      </c>
      <c r="H10" s="10">
        <v>39</v>
      </c>
      <c r="I10" s="7" t="s">
        <v>16</v>
      </c>
      <c r="J10" s="7" t="s">
        <v>207</v>
      </c>
    </row>
    <row r="11" spans="1:10" ht="15.75" customHeight="1" x14ac:dyDescent="0.25">
      <c r="A11" s="6" t="s">
        <v>203</v>
      </c>
      <c r="B11" s="6" t="s">
        <v>67</v>
      </c>
      <c r="C11" s="6" t="s">
        <v>216</v>
      </c>
      <c r="D11" s="6" t="s">
        <v>217</v>
      </c>
      <c r="E11" s="11">
        <v>268.89999999999998</v>
      </c>
      <c r="F11" s="12">
        <f t="shared" si="1"/>
        <v>64600.535999999993</v>
      </c>
      <c r="G11" s="13">
        <f t="shared" si="0"/>
        <v>258402.14399999997</v>
      </c>
      <c r="H11" s="10">
        <v>4</v>
      </c>
      <c r="I11" s="7" t="s">
        <v>16</v>
      </c>
      <c r="J11" s="7" t="s">
        <v>207</v>
      </c>
    </row>
    <row r="12" spans="1:10" ht="15.75" customHeight="1" x14ac:dyDescent="0.25">
      <c r="A12" s="6" t="s">
        <v>203</v>
      </c>
      <c r="B12" s="6" t="s">
        <v>67</v>
      </c>
      <c r="C12" s="6" t="s">
        <v>218</v>
      </c>
      <c r="D12" s="6" t="s">
        <v>219</v>
      </c>
      <c r="E12" s="11">
        <v>292</v>
      </c>
      <c r="F12" s="12">
        <f t="shared" si="1"/>
        <v>70150.080000000002</v>
      </c>
      <c r="G12" s="13">
        <f t="shared" si="0"/>
        <v>210450.24</v>
      </c>
      <c r="H12" s="10">
        <v>3</v>
      </c>
      <c r="I12" s="7" t="s">
        <v>16</v>
      </c>
      <c r="J12" s="7" t="s">
        <v>207</v>
      </c>
    </row>
    <row r="13" spans="1:10" ht="15.75" customHeight="1" x14ac:dyDescent="0.25">
      <c r="A13" s="6" t="s">
        <v>203</v>
      </c>
      <c r="B13" s="6" t="s">
        <v>44</v>
      </c>
      <c r="C13" s="6" t="s">
        <v>220</v>
      </c>
      <c r="D13" s="6" t="s">
        <v>221</v>
      </c>
      <c r="E13" s="11">
        <v>9.7799999999999994</v>
      </c>
      <c r="F13" s="12">
        <f t="shared" si="1"/>
        <v>2349.5472</v>
      </c>
      <c r="G13" s="13">
        <f t="shared" si="0"/>
        <v>37592.7552</v>
      </c>
      <c r="H13" s="10">
        <v>16</v>
      </c>
      <c r="I13" s="7" t="s">
        <v>16</v>
      </c>
      <c r="J13" s="7" t="s">
        <v>207</v>
      </c>
    </row>
    <row r="14" spans="1:10" ht="15.75" customHeight="1" x14ac:dyDescent="0.25">
      <c r="A14" s="6" t="s">
        <v>203</v>
      </c>
      <c r="B14" s="6" t="s">
        <v>44</v>
      </c>
      <c r="C14" s="6" t="s">
        <v>222</v>
      </c>
      <c r="D14" s="6" t="s">
        <v>223</v>
      </c>
      <c r="E14" s="11">
        <v>11.74</v>
      </c>
      <c r="F14" s="12">
        <f t="shared" si="1"/>
        <v>2820.4175999999998</v>
      </c>
      <c r="G14" s="13">
        <f t="shared" si="0"/>
        <v>5640.8351999999995</v>
      </c>
      <c r="H14" s="10">
        <v>2</v>
      </c>
      <c r="I14" s="7" t="s">
        <v>16</v>
      </c>
      <c r="J14" s="7" t="s">
        <v>207</v>
      </c>
    </row>
    <row r="15" spans="1:10" ht="15.75" customHeight="1" x14ac:dyDescent="0.25">
      <c r="A15" s="6" t="s">
        <v>203</v>
      </c>
      <c r="B15" s="6" t="s">
        <v>44</v>
      </c>
      <c r="C15" s="6" t="s">
        <v>224</v>
      </c>
      <c r="D15" s="6" t="s">
        <v>225</v>
      </c>
      <c r="E15" s="11">
        <v>48.51</v>
      </c>
      <c r="F15" s="12">
        <f t="shared" si="1"/>
        <v>11654.042399999998</v>
      </c>
      <c r="G15" s="13">
        <f t="shared" si="0"/>
        <v>11654.042399999998</v>
      </c>
      <c r="H15" s="10">
        <v>1</v>
      </c>
      <c r="I15" s="7" t="s">
        <v>16</v>
      </c>
      <c r="J15" s="7" t="s">
        <v>207</v>
      </c>
    </row>
    <row r="16" spans="1:10" ht="15.75" customHeight="1" x14ac:dyDescent="0.25">
      <c r="A16" s="6" t="s">
        <v>203</v>
      </c>
      <c r="B16" s="6" t="s">
        <v>226</v>
      </c>
      <c r="C16" s="6" t="s">
        <v>227</v>
      </c>
      <c r="D16" s="6" t="s">
        <v>228</v>
      </c>
      <c r="E16" s="11">
        <v>4.4000000000000004</v>
      </c>
      <c r="F16" s="12">
        <f t="shared" si="1"/>
        <v>1057.0560000000003</v>
      </c>
      <c r="G16" s="13">
        <f t="shared" si="0"/>
        <v>6342.3360000000011</v>
      </c>
      <c r="H16" s="10">
        <v>6</v>
      </c>
      <c r="I16" s="7" t="s">
        <v>16</v>
      </c>
      <c r="J16" s="7" t="s">
        <v>207</v>
      </c>
    </row>
    <row r="17" spans="1:10" ht="15.75" customHeight="1" x14ac:dyDescent="0.25">
      <c r="A17" s="6" t="s">
        <v>203</v>
      </c>
      <c r="B17" s="6" t="s">
        <v>226</v>
      </c>
      <c r="C17" s="6" t="s">
        <v>229</v>
      </c>
      <c r="D17" s="6" t="s">
        <v>230</v>
      </c>
      <c r="E17" s="11">
        <v>22.76</v>
      </c>
      <c r="F17" s="12">
        <f t="shared" si="1"/>
        <v>5467.8624000000009</v>
      </c>
      <c r="G17" s="13">
        <f t="shared" si="0"/>
        <v>5467.8624000000009</v>
      </c>
      <c r="H17" s="10">
        <v>1</v>
      </c>
      <c r="I17" s="7" t="s">
        <v>16</v>
      </c>
      <c r="J17" s="7" t="s">
        <v>207</v>
      </c>
    </row>
    <row r="18" spans="1:10" ht="15.75" customHeight="1" x14ac:dyDescent="0.25">
      <c r="A18" s="6" t="s">
        <v>203</v>
      </c>
      <c r="B18" s="6" t="s">
        <v>226</v>
      </c>
      <c r="C18" s="6" t="s">
        <v>231</v>
      </c>
      <c r="D18" s="6" t="s">
        <v>232</v>
      </c>
      <c r="E18" s="11">
        <v>8.52</v>
      </c>
      <c r="F18" s="12">
        <f t="shared" si="1"/>
        <v>2046.8447999999999</v>
      </c>
      <c r="G18" s="13">
        <f t="shared" si="0"/>
        <v>6140.5343999999996</v>
      </c>
      <c r="H18" s="10">
        <v>3</v>
      </c>
      <c r="I18" s="7" t="s">
        <v>16</v>
      </c>
      <c r="J18" s="7" t="s">
        <v>207</v>
      </c>
    </row>
    <row r="19" spans="1:10" ht="15.75" customHeight="1" x14ac:dyDescent="0.25">
      <c r="A19" s="6" t="s">
        <v>203</v>
      </c>
      <c r="B19" s="6" t="s">
        <v>233</v>
      </c>
      <c r="C19" s="6" t="s">
        <v>234</v>
      </c>
      <c r="D19" s="6" t="s">
        <v>235</v>
      </c>
      <c r="E19" s="11">
        <v>779.8</v>
      </c>
      <c r="F19" s="12">
        <f t="shared" si="1"/>
        <v>187339.152</v>
      </c>
      <c r="G19" s="13">
        <f t="shared" si="0"/>
        <v>187339.152</v>
      </c>
      <c r="H19" s="10">
        <v>1</v>
      </c>
      <c r="I19" s="7" t="s">
        <v>16</v>
      </c>
      <c r="J19" s="7" t="s">
        <v>207</v>
      </c>
    </row>
    <row r="20" spans="1:10" ht="15.75" customHeight="1" x14ac:dyDescent="0.25">
      <c r="A20" s="6" t="s">
        <v>203</v>
      </c>
      <c r="B20" s="6" t="s">
        <v>236</v>
      </c>
      <c r="C20" s="6" t="s">
        <v>237</v>
      </c>
      <c r="D20" s="6" t="s">
        <v>238</v>
      </c>
      <c r="E20" s="11">
        <v>59.16</v>
      </c>
      <c r="F20" s="12">
        <f t="shared" si="1"/>
        <v>14212.598400000001</v>
      </c>
      <c r="G20" s="13">
        <f t="shared" si="0"/>
        <v>14212.598400000001</v>
      </c>
      <c r="H20" s="10">
        <v>1</v>
      </c>
      <c r="I20" s="7" t="s">
        <v>16</v>
      </c>
      <c r="J20" s="7" t="s">
        <v>207</v>
      </c>
    </row>
    <row r="21" spans="1:10" ht="15.75" customHeight="1" x14ac:dyDescent="0.25">
      <c r="A21" s="6" t="s">
        <v>203</v>
      </c>
      <c r="B21" s="6" t="s">
        <v>236</v>
      </c>
      <c r="C21" s="6" t="s">
        <v>239</v>
      </c>
      <c r="D21" s="6" t="s">
        <v>240</v>
      </c>
      <c r="E21" s="11">
        <v>37.909999999999997</v>
      </c>
      <c r="F21" s="12">
        <f t="shared" si="1"/>
        <v>9107.4984000000004</v>
      </c>
      <c r="G21" s="13">
        <f t="shared" si="0"/>
        <v>81967.4856</v>
      </c>
      <c r="H21" s="10">
        <v>9</v>
      </c>
      <c r="I21" s="7" t="s">
        <v>16</v>
      </c>
      <c r="J21" s="7" t="s">
        <v>207</v>
      </c>
    </row>
    <row r="22" spans="1:10" ht="15.75" customHeight="1" x14ac:dyDescent="0.25">
      <c r="A22" s="6" t="s">
        <v>203</v>
      </c>
      <c r="B22" s="6" t="s">
        <v>102</v>
      </c>
      <c r="C22" s="6" t="s">
        <v>241</v>
      </c>
      <c r="D22" s="6" t="s">
        <v>242</v>
      </c>
      <c r="E22" s="11">
        <v>36.090000000000003</v>
      </c>
      <c r="F22" s="12">
        <f t="shared" si="1"/>
        <v>8670.2615999999998</v>
      </c>
      <c r="G22" s="13">
        <f t="shared" si="0"/>
        <v>86702.615999999995</v>
      </c>
      <c r="H22" s="10">
        <v>10</v>
      </c>
      <c r="I22" s="7" t="s">
        <v>16</v>
      </c>
      <c r="J22" s="7" t="s">
        <v>207</v>
      </c>
    </row>
    <row r="23" spans="1:10" ht="15.75" customHeight="1" x14ac:dyDescent="0.25">
      <c r="A23" s="6" t="s">
        <v>203</v>
      </c>
      <c r="B23" s="6" t="s">
        <v>243</v>
      </c>
      <c r="C23" s="6" t="s">
        <v>244</v>
      </c>
      <c r="D23" s="6" t="s">
        <v>245</v>
      </c>
      <c r="E23" s="11">
        <v>16.27</v>
      </c>
      <c r="F23" s="12">
        <f t="shared" si="1"/>
        <v>3908.7048000000004</v>
      </c>
      <c r="G23" s="13">
        <f t="shared" si="0"/>
        <v>3908.7048000000004</v>
      </c>
      <c r="H23" s="10">
        <v>1</v>
      </c>
      <c r="I23" s="7" t="s">
        <v>16</v>
      </c>
      <c r="J23" s="7" t="s">
        <v>207</v>
      </c>
    </row>
    <row r="24" spans="1:10" ht="15.75" customHeight="1" x14ac:dyDescent="0.25">
      <c r="A24" s="6" t="s">
        <v>203</v>
      </c>
      <c r="B24" s="6" t="s">
        <v>243</v>
      </c>
      <c r="C24" s="6" t="s">
        <v>246</v>
      </c>
      <c r="D24" s="6" t="s">
        <v>247</v>
      </c>
      <c r="E24" s="11">
        <v>1.1399999999999999</v>
      </c>
      <c r="F24" s="12">
        <f t="shared" si="1"/>
        <v>273.87360000000001</v>
      </c>
      <c r="G24" s="13">
        <f t="shared" si="0"/>
        <v>273.87360000000001</v>
      </c>
      <c r="H24" s="10">
        <v>1</v>
      </c>
      <c r="I24" s="7" t="s">
        <v>16</v>
      </c>
      <c r="J24" s="7" t="s">
        <v>207</v>
      </c>
    </row>
    <row r="25" spans="1:10" ht="15.75" customHeight="1" x14ac:dyDescent="0.25">
      <c r="A25" s="6" t="s">
        <v>203</v>
      </c>
      <c r="B25" s="6" t="s">
        <v>243</v>
      </c>
      <c r="C25" s="6" t="s">
        <v>248</v>
      </c>
      <c r="D25" s="6" t="s">
        <v>249</v>
      </c>
      <c r="E25" s="11">
        <v>4.5999999999999996</v>
      </c>
      <c r="F25" s="12">
        <f t="shared" si="1"/>
        <v>1105.104</v>
      </c>
      <c r="G25" s="13">
        <f t="shared" si="0"/>
        <v>1105.104</v>
      </c>
      <c r="H25" s="10">
        <v>1</v>
      </c>
      <c r="I25" s="7" t="s">
        <v>16</v>
      </c>
      <c r="J25" s="7" t="s">
        <v>207</v>
      </c>
    </row>
    <row r="26" spans="1:10" ht="15.75" customHeight="1" x14ac:dyDescent="0.25">
      <c r="A26" s="6" t="s">
        <v>203</v>
      </c>
      <c r="B26" s="6" t="s">
        <v>188</v>
      </c>
      <c r="C26" s="6" t="s">
        <v>188</v>
      </c>
      <c r="D26" s="6" t="s">
        <v>188</v>
      </c>
      <c r="E26" s="8"/>
      <c r="F26" s="9">
        <v>0</v>
      </c>
      <c r="G26" s="9">
        <f t="shared" si="0"/>
        <v>0</v>
      </c>
      <c r="H26" s="10">
        <v>0</v>
      </c>
      <c r="I26" s="7" t="s">
        <v>16</v>
      </c>
      <c r="J26" s="7" t="s">
        <v>188</v>
      </c>
    </row>
    <row r="27" spans="1:10" ht="15.75" customHeight="1" x14ac:dyDescent="0.25">
      <c r="A27" s="6" t="s">
        <v>203</v>
      </c>
      <c r="B27" s="6" t="s">
        <v>189</v>
      </c>
      <c r="C27" s="6" t="s">
        <v>189</v>
      </c>
      <c r="D27" s="6" t="s">
        <v>189</v>
      </c>
      <c r="E27" s="8">
        <f>H24/60</f>
        <v>1.6666666666666666E-2</v>
      </c>
      <c r="F27" s="9">
        <v>0</v>
      </c>
      <c r="G27" s="9">
        <f t="shared" si="0"/>
        <v>0</v>
      </c>
      <c r="H27" s="10">
        <v>0</v>
      </c>
      <c r="I27" s="7" t="s">
        <v>16</v>
      </c>
      <c r="J27" s="7" t="s">
        <v>189</v>
      </c>
    </row>
    <row r="28" spans="1:10" ht="21.75" customHeight="1" x14ac:dyDescent="0.25">
      <c r="A28" s="16" t="s">
        <v>250</v>
      </c>
      <c r="B28" s="16"/>
      <c r="C28" s="16"/>
      <c r="D28" s="16" t="s">
        <v>250</v>
      </c>
      <c r="E28" s="16"/>
      <c r="F28" s="16"/>
      <c r="G28" s="16"/>
      <c r="H28" s="16"/>
      <c r="I28" s="16"/>
      <c r="J28" s="16"/>
    </row>
    <row r="29" spans="1:10" ht="15.75" customHeight="1" x14ac:dyDescent="0.25">
      <c r="A29" s="6" t="s">
        <v>250</v>
      </c>
      <c r="B29" s="6" t="s">
        <v>13</v>
      </c>
      <c r="C29" s="6"/>
      <c r="D29" s="6" t="s">
        <v>250</v>
      </c>
      <c r="E29" s="8"/>
      <c r="F29" s="9">
        <v>0</v>
      </c>
      <c r="G29" s="9">
        <f t="shared" ref="G29:G34" si="2">F29*H29</f>
        <v>0</v>
      </c>
      <c r="H29" s="10">
        <v>1</v>
      </c>
      <c r="I29" s="7" t="s">
        <v>16</v>
      </c>
      <c r="J29" s="7" t="s">
        <v>17</v>
      </c>
    </row>
    <row r="30" spans="1:10" ht="15.75" customHeight="1" x14ac:dyDescent="0.25">
      <c r="A30" s="6" t="s">
        <v>250</v>
      </c>
      <c r="B30" s="6" t="s">
        <v>67</v>
      </c>
      <c r="C30" s="6" t="s">
        <v>214</v>
      </c>
      <c r="D30" s="6" t="s">
        <v>215</v>
      </c>
      <c r="E30" s="11">
        <v>268.89999999999998</v>
      </c>
      <c r="F30" s="12">
        <f>E30*0.33*1.3*$B$3</f>
        <v>64600.535999999993</v>
      </c>
      <c r="G30" s="13">
        <f t="shared" si="2"/>
        <v>581404.82399999991</v>
      </c>
      <c r="H30" s="10">
        <v>9</v>
      </c>
      <c r="I30" s="7" t="s">
        <v>16</v>
      </c>
      <c r="J30" s="7" t="s">
        <v>207</v>
      </c>
    </row>
    <row r="31" spans="1:10" ht="15.75" customHeight="1" x14ac:dyDescent="0.25">
      <c r="A31" s="6" t="s">
        <v>250</v>
      </c>
      <c r="B31" s="6" t="s">
        <v>226</v>
      </c>
      <c r="C31" s="6" t="s">
        <v>227</v>
      </c>
      <c r="D31" s="6" t="s">
        <v>251</v>
      </c>
      <c r="E31" s="11">
        <v>4.4000000000000004</v>
      </c>
      <c r="F31" s="12">
        <f>E31*0.33*1.3*$B$3</f>
        <v>1057.0560000000003</v>
      </c>
      <c r="G31" s="13">
        <f t="shared" si="2"/>
        <v>1057.0560000000003</v>
      </c>
      <c r="H31" s="10">
        <v>1</v>
      </c>
      <c r="I31" s="7" t="s">
        <v>16</v>
      </c>
      <c r="J31" s="7" t="s">
        <v>207</v>
      </c>
    </row>
    <row r="32" spans="1:10" ht="15.75" customHeight="1" x14ac:dyDescent="0.25">
      <c r="A32" s="6" t="s">
        <v>250</v>
      </c>
      <c r="B32" s="6" t="s">
        <v>226</v>
      </c>
      <c r="C32" s="6" t="s">
        <v>231</v>
      </c>
      <c r="D32" s="6" t="s">
        <v>232</v>
      </c>
      <c r="E32" s="11">
        <v>8.52</v>
      </c>
      <c r="F32" s="12">
        <f>E32*0.33*1.3*$B$3</f>
        <v>2046.8447999999999</v>
      </c>
      <c r="G32" s="13">
        <f t="shared" si="2"/>
        <v>2046.8447999999999</v>
      </c>
      <c r="H32" s="10">
        <v>1</v>
      </c>
      <c r="I32" s="7" t="s">
        <v>16</v>
      </c>
      <c r="J32" s="7" t="s">
        <v>207</v>
      </c>
    </row>
    <row r="33" spans="1:10" ht="15.75" customHeight="1" x14ac:dyDescent="0.25">
      <c r="A33" s="6" t="s">
        <v>250</v>
      </c>
      <c r="B33" s="6" t="s">
        <v>188</v>
      </c>
      <c r="C33" s="6" t="s">
        <v>188</v>
      </c>
      <c r="D33" s="6" t="s">
        <v>188</v>
      </c>
      <c r="E33" s="8"/>
      <c r="F33" s="9">
        <v>0</v>
      </c>
      <c r="G33" s="9">
        <f t="shared" si="2"/>
        <v>0</v>
      </c>
      <c r="H33" s="10">
        <v>0</v>
      </c>
      <c r="I33" s="7" t="s">
        <v>16</v>
      </c>
      <c r="J33" s="7" t="s">
        <v>188</v>
      </c>
    </row>
    <row r="34" spans="1:10" ht="15.75" customHeight="1" x14ac:dyDescent="0.25">
      <c r="A34" s="6" t="s">
        <v>250</v>
      </c>
      <c r="B34" s="6" t="s">
        <v>189</v>
      </c>
      <c r="C34" s="6" t="s">
        <v>189</v>
      </c>
      <c r="D34" s="6" t="s">
        <v>189</v>
      </c>
      <c r="E34" s="8">
        <f>H32/60</f>
        <v>1.6666666666666666E-2</v>
      </c>
      <c r="F34" s="9">
        <v>0</v>
      </c>
      <c r="G34" s="9">
        <f t="shared" si="2"/>
        <v>0</v>
      </c>
      <c r="H34" s="10">
        <v>0</v>
      </c>
      <c r="I34" s="7" t="s">
        <v>16</v>
      </c>
      <c r="J34" s="7" t="s">
        <v>189</v>
      </c>
    </row>
    <row r="36" spans="1:10" x14ac:dyDescent="0.25">
      <c r="F36" s="14" t="s">
        <v>252</v>
      </c>
      <c r="G36" s="15">
        <f>SUM(G5:G34)</f>
        <v>4097550.2567999987</v>
      </c>
    </row>
  </sheetData>
  <mergeCells count="1"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fiyat calismasi burda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2026-05-16T04:28:14Z</dcterms:created>
  <dcterms:modified xsi:type="dcterms:W3CDTF">2026-05-16T06:37:40Z</dcterms:modified>
  <dc:language>en-US</dc:language>
</cp:coreProperties>
</file>