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430 germes ALM BTA\260516 guncel burda\"/>
    </mc:Choice>
  </mc:AlternateContent>
  <xr:revisionPtr revIDLastSave="0" documentId="13_ncr:1_{37CC3FA5-459D-4F76-97D5-202F509DBA1A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CB-02_DCBP-N" sheetId="1" r:id="rId1"/>
    <sheet name="BRM-03_ABP" sheetId="2" r:id="rId2"/>
    <sheet name="Satinalma_Birlesik" sheetId="3" r:id="rId3"/>
  </sheets>
  <definedNames>
    <definedName name="_xlnm._FilterDatabase" localSheetId="1" hidden="1">'BRM-03_ABP'!$A$5:$K$53</definedName>
    <definedName name="_xlnm._FilterDatabase" localSheetId="0" hidden="1">'CB-02_DCBP-N'!$A$5:$K$36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5" i="1" l="1"/>
  <c r="G35" i="1" s="1"/>
  <c r="F34" i="1" s="1"/>
  <c r="G34" i="1" s="1"/>
  <c r="G33" i="1"/>
  <c r="G7" i="1"/>
  <c r="G10" i="1"/>
  <c r="G50" i="2"/>
  <c r="F32" i="2"/>
  <c r="G32" i="2" s="1"/>
  <c r="G12" i="2"/>
  <c r="F43" i="2"/>
  <c r="G43" i="2" s="1"/>
  <c r="F44" i="2"/>
  <c r="G44" i="2" s="1"/>
  <c r="H52" i="2"/>
  <c r="G52" i="2" s="1"/>
  <c r="F51" i="2" s="1"/>
  <c r="G51" i="2" s="1"/>
  <c r="F10" i="2"/>
  <c r="G10" i="2" s="1"/>
  <c r="G7" i="2"/>
  <c r="F49" i="2" l="1"/>
  <c r="G49" i="2" s="1"/>
  <c r="F48" i="2"/>
  <c r="G48" i="2" s="1"/>
  <c r="F47" i="2"/>
  <c r="G47" i="2" s="1"/>
  <c r="F46" i="2"/>
  <c r="G46" i="2" s="1"/>
  <c r="F45" i="2"/>
  <c r="G45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1" i="2"/>
  <c r="G11" i="2" s="1"/>
  <c r="F9" i="2"/>
  <c r="G9" i="2" s="1"/>
  <c r="F8" i="2"/>
  <c r="G8" i="2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9" i="1"/>
  <c r="G9" i="1" s="1"/>
  <c r="F8" i="1"/>
  <c r="G8" i="1" s="1"/>
  <c r="G36" i="1" l="1"/>
  <c r="G53" i="2"/>
</calcChain>
</file>

<file path=xl/sharedStrings.xml><?xml version="1.0" encoding="utf-8"?>
<sst xmlns="http://schemas.openxmlformats.org/spreadsheetml/2006/main" count="893" uniqueCount="265">
  <si>
    <t>EP34-ALM-BTA  |  CB-02_DCBP-N  |  ABB BOM r4  |  Kur: 547.47 KZT/EUR  |  EUR×0.33×1.3×Kur</t>
  </si>
  <si>
    <t>EUR/KZT Kuru →</t>
  </si>
  <si>
    <t>Teklif günü güncelle!</t>
  </si>
  <si>
    <t>FH202/FH204 A tipi RCCB + SH200 MCB kombinasyonu kullanıldı  |  Tüm RCBO kalemleri A tipi RCCB+MCB olarak değiştirildi</t>
  </si>
  <si>
    <t>Panel</t>
  </si>
  <si>
    <t>Malzeme Tipi</t>
  </si>
  <si>
    <t>ABB Artikül</t>
  </si>
  <si>
    <t>Ürün Adı</t>
  </si>
  <si>
    <t>Liste EUR</t>
  </si>
  <si>
    <t>KZT (birim)</t>
  </si>
  <si>
    <t>Toplam KZT</t>
  </si>
  <si>
    <t>Adet</t>
  </si>
  <si>
    <t>Birim</t>
  </si>
  <si>
    <t>Üretici</t>
  </si>
  <si>
    <t>Durum</t>
  </si>
  <si>
    <t>DCBP-N PANEL  (Cakes &amp; Bakes Network + UPS Panel)  —  EP34-ALM-BTA-CB-02</t>
  </si>
  <si>
    <t>DCBP-N PANEL</t>
  </si>
  <si>
    <t>korpus</t>
  </si>
  <si>
    <t>—</t>
  </si>
  <si>
    <t>ШТ.</t>
  </si>
  <si>
    <t>TEKSAN</t>
  </si>
  <si>
    <t>✅</t>
  </si>
  <si>
    <t>mccb</t>
  </si>
  <si>
    <t>1SDA066719R1</t>
  </si>
  <si>
    <t>A1C 125, TMF, In=100A, 25kA, 3P  MCCB</t>
  </si>
  <si>
    <t>ABB</t>
  </si>
  <si>
    <t>rascepitel</t>
  </si>
  <si>
    <t>1SDA066720R1</t>
  </si>
  <si>
    <t>SOR-C 220-240V AC  (acil açma bobini, A1C için)</t>
  </si>
  <si>
    <t>tt</t>
  </si>
  <si>
    <t>PYS</t>
  </si>
  <si>
    <t>✅ fiyat yok</t>
  </si>
  <si>
    <t>mcb</t>
  </si>
  <si>
    <t>2CDS211001R0064</t>
  </si>
  <si>
    <t>SH201-C2  1P C2A 6kA  (KS 1x2A yerine, ölçüm)</t>
  </si>
  <si>
    <t>✅ SH200</t>
  </si>
  <si>
    <t>2CDS213001R0024</t>
  </si>
  <si>
    <t>SH203-C2  3P C2A 6kA  (KS 3x2A yerine, ölçüm)</t>
  </si>
  <si>
    <t>energy_meter</t>
  </si>
  <si>
    <t>2CSG251141R4051</t>
  </si>
  <si>
    <t>M4M 20 Modbus  (X5 tipi enerji sayacı)</t>
  </si>
  <si>
    <t>rccb</t>
  </si>
  <si>
    <t>2CSF202102R1250</t>
  </si>
  <si>
    <t>FH202 A-25/0.03  RCCB 2P 25A 30mA A-tip  (2P C16 devreler için)</t>
  </si>
  <si>
    <t>✅ A-tip, CB-02 Net.18+UPS.29</t>
  </si>
  <si>
    <t>2CDS211001R0164</t>
  </si>
  <si>
    <t>SH201-C16  1P+N C16A 6kA  (FH202 ile kombinasyon)</t>
  </si>
  <si>
    <t>FH202 A-25/0.03  RCCB 2P 25A 30mA A-tip  (2P C25 devreler için)</t>
  </si>
  <si>
    <t>✅ A-tip</t>
  </si>
  <si>
    <t>2CDS211001R0254</t>
  </si>
  <si>
    <t>SH201-C25  1P C25A 6kA  (FH202 ile kombinasyon)</t>
  </si>
  <si>
    <t>2CSF204102R1250</t>
  </si>
  <si>
    <t>FH204 A-25/0.03  RCCB 4P 25A 30mA A-tip  (4P C25 devreler için)</t>
  </si>
  <si>
    <t>2CDS213001R0254</t>
  </si>
  <si>
    <t>SH203-C25  3P C25A 6kA  (FH204 ile kombinasyon)</t>
  </si>
  <si>
    <t>FH202 A-25/0.03  RCCB 2P 25A 30mA A-tip  (2P ayrı RCCB)</t>
  </si>
  <si>
    <t>FH204 A-25/0.03  RCCB 4P 25A 30mA A-tip  (4P ayrı RCCB)</t>
  </si>
  <si>
    <t>SH203-C25  3P C25A 6kA  (direkt devre)</t>
  </si>
  <si>
    <t>2CDS211001R0105</t>
  </si>
  <si>
    <t>SH201-B10  1P B10A 6kA  (Network B tipi)</t>
  </si>
  <si>
    <t>✅ SH200 PDF sayım</t>
  </si>
  <si>
    <t>2CDS211001R0065</t>
  </si>
  <si>
    <t>SH201-B6   1P B6A 6kA</t>
  </si>
  <si>
    <t>contactor</t>
  </si>
  <si>
    <t>1SBL237001R1300</t>
  </si>
  <si>
    <t>AF26-30-00  3P kontaktör 25A  (100-250V AC/DC)</t>
  </si>
  <si>
    <t>1SBL137001R1310</t>
  </si>
  <si>
    <t>AF09-30-10  3P kontaktör 9A   (100-250V AC/DC)</t>
  </si>
  <si>
    <t>pako</t>
  </si>
  <si>
    <t>1SCA104848R1001-B</t>
  </si>
  <si>
    <t>OT16FT3HY3ST1  Pako şalter 16A, 1-0</t>
  </si>
  <si>
    <t>button</t>
  </si>
  <si>
    <t>1SFA611520R1001</t>
  </si>
  <si>
    <t>MPET3-10R  Acil stop butonu</t>
  </si>
  <si>
    <t>1SFA611605R1100</t>
  </si>
  <si>
    <t>MCBH-00  Buton gövdesi</t>
  </si>
  <si>
    <t>1SFA611610R1010</t>
  </si>
  <si>
    <t>MCB-01  Kontak bloğu</t>
  </si>
  <si>
    <t>sinyal lamba</t>
  </si>
  <si>
    <t>1SFA611400R1002</t>
  </si>
  <si>
    <t>ML1-100G  Sinyal lambası (yeşil)</t>
  </si>
  <si>
    <t>opn/spd</t>
  </si>
  <si>
    <t>2CTB803973R1100</t>
  </si>
  <si>
    <t>OVR T2 3N 40-275  4P SPD Parafudr</t>
  </si>
  <si>
    <t>fire</t>
  </si>
  <si>
    <t>KONTROL EDILECEK</t>
  </si>
  <si>
    <t>Pano içi yangın söndürme sistemi</t>
  </si>
  <si>
    <t>set</t>
  </si>
  <si>
    <t>⚠ tedarikçiye sor</t>
  </si>
  <si>
    <t>montaj malz</t>
  </si>
  <si>
    <t>Montaj malzemeleri</t>
  </si>
  <si>
    <t>teklif aşamasında</t>
  </si>
  <si>
    <t>montaj iş</t>
  </si>
  <si>
    <t>Montaj işçiliği</t>
  </si>
  <si>
    <t>PANEL TOPLAMI:</t>
  </si>
  <si>
    <t>EP34-ALM-BTA  |  BRM-03_ABP  |  ABB BOM r4  |  Kur: 547.47 KZT/EUR  |  EUR×0.33×1.3×Kur</t>
  </si>
  <si>
    <t>ABP PANEL  (Almaty Brewmark Panel)  —  EP34-ALM-BTA-BRM-03</t>
  </si>
  <si>
    <t>ABP PANEL</t>
  </si>
  <si>
    <t>1SDA100345R1</t>
  </si>
  <si>
    <t>XT5N 400, TMA, In=400A, 36kA, 3P  MCCB (ana şalter)</t>
  </si>
  <si>
    <t>1SDA054873R1</t>
  </si>
  <si>
    <t>SOR 220-240V AC  (acil açma bobini, XT5N için)</t>
  </si>
  <si>
    <t>⚠ kod teyit</t>
  </si>
  <si>
    <t>SH201-C16  1P C16A 6kA  (FH202 ile kombinasyon)</t>
  </si>
  <si>
    <t>✅ A-tip (1 adet kilitli)</t>
  </si>
  <si>
    <t>FH204 A-25/0.03  RCCB 4P 25A 30mA A-tip  (4P C16 devreler için)</t>
  </si>
  <si>
    <t>2CDS213001R0164</t>
  </si>
  <si>
    <t>SH203-C16  3P C16A 6kA  (FH204 ile kombinasyon)</t>
  </si>
  <si>
    <t>2CSF204102R1400</t>
  </si>
  <si>
    <t>FH204 A-40/0.03  RCCB 4P 40A 30mA A-tip  (4P C32 devreler için)</t>
  </si>
  <si>
    <t>2CDS213001R0324</t>
  </si>
  <si>
    <t>SH203-C32  3P C32A 6kA  (FH204 ile kombinasyon)</t>
  </si>
  <si>
    <t>FH204 A-40/0.03  RCCB 4P 40A 30mA A-tip  (4P C40 devreler için)</t>
  </si>
  <si>
    <t>2CDS213001R0404</t>
  </si>
  <si>
    <t>SH203-C40  3P C40A 6kA  (FH204 ile kombinasyon)</t>
  </si>
  <si>
    <t>FH204 A-25/0.03  RCCB 4P 25A 30mA A-tip  (4P25 ayrı RCCB)</t>
  </si>
  <si>
    <t>FH204 A-40/0.03  RCCB 4P 40A 30mA A-tip  (4P40 ayrı RCCB)</t>
  </si>
  <si>
    <t>2CSF204102R1630</t>
  </si>
  <si>
    <t>FH204 A-63/0.03  RCCB 4P 63A 30mA A-tip  (4P63 ayrı RCCB)</t>
  </si>
  <si>
    <t>⚠ stok teyit</t>
  </si>
  <si>
    <t>SH203-C40  3P C40A 6kA</t>
  </si>
  <si>
    <t>2CDS213001R0504</t>
  </si>
  <si>
    <t>SH203-C50  3P C50A 6kA</t>
  </si>
  <si>
    <t>SH201-B10  1P B10A 6kA</t>
  </si>
  <si>
    <t>1SBL407001R1311</t>
  </si>
  <si>
    <t>✅ R1311 düzeltildi</t>
  </si>
  <si>
    <t>AF26-30-00  3P kontaktör 25A</t>
  </si>
  <si>
    <t>AF09-30-10  3P kontaktör 9A</t>
  </si>
  <si>
    <t>motor</t>
  </si>
  <si>
    <t>1SAM250000R1006</t>
  </si>
  <si>
    <t>MS116-1.6  Motor koruma 1.0-1.6A</t>
  </si>
  <si>
    <t>✅ R1006 doğru</t>
  </si>
  <si>
    <t>BİRLEŞİK SATINALMA  |  CB-02 + BRM-03  |  r4  |  FH202/FH204 A-tip + SH200 MCB</t>
  </si>
  <si>
    <t>Artikül</t>
  </si>
  <si>
    <t>Tip</t>
  </si>
  <si>
    <t>Birim KZT</t>
  </si>
  <si>
    <t>CB-02</t>
  </si>
  <si>
    <t>BRM-03</t>
  </si>
  <si>
    <t>Toplam</t>
  </si>
  <si>
    <t>XT5N 400, TMA, In=400A 36kA 3P MCCB</t>
  </si>
  <si>
    <t>1237.0 EUR</t>
  </si>
  <si>
    <t>290,528 KZT</t>
  </si>
  <si>
    <t>SOR 220V (XT5N acil açma bobini)</t>
  </si>
  <si>
    <t>rascep</t>
  </si>
  <si>
    <t>130.3 EUR</t>
  </si>
  <si>
    <t>30,603 KZT</t>
  </si>
  <si>
    <t>3P MCCB 125A 25kA</t>
  </si>
  <si>
    <t>⚠</t>
  </si>
  <si>
    <t>A1C 125 TMF In=100A 25kA 3P MCCB</t>
  </si>
  <si>
    <t>153.6 EUR</t>
  </si>
  <si>
    <t>36,075 KZT</t>
  </si>
  <si>
    <t>72,150 KZT</t>
  </si>
  <si>
    <t>SOR-C 220V (A1C acil açma bobini)</t>
  </si>
  <si>
    <t>164.5 EUR</t>
  </si>
  <si>
    <t>38,635 KZT</t>
  </si>
  <si>
    <t>FH202 A-25/0.03  RCCB 2P 25A 30mA A-tip</t>
  </si>
  <si>
    <t>65.75 EUR</t>
  </si>
  <si>
    <t>15,442 KZT</t>
  </si>
  <si>
    <t>1,513,316 KZT</t>
  </si>
  <si>
    <t>FH204 A-25/0.03  RCCB 4P 25A 30mA A-tip</t>
  </si>
  <si>
    <t>85.43 EUR</t>
  </si>
  <si>
    <t>20,064 KZT</t>
  </si>
  <si>
    <t>240,768 KZT</t>
  </si>
  <si>
    <t>FH204 A-40/0.03  RCCB 4P 40A 30mA A-tip</t>
  </si>
  <si>
    <t>89.7 EUR</t>
  </si>
  <si>
    <t>21,067 KZT</t>
  </si>
  <si>
    <t>63,201 KZT</t>
  </si>
  <si>
    <t>FH204 A-63/0.03  RCCB 4P 63A 30mA A-tip</t>
  </si>
  <si>
    <t>111.1 EUR</t>
  </si>
  <si>
    <t>26,093 KZT</t>
  </si>
  <si>
    <t>52,186 KZT</t>
  </si>
  <si>
    <t>FH204 A-100/0.03 RCCB 4P 100A 30mA A-tip</t>
  </si>
  <si>
    <t>SH201-C16  1P C16A 6kA</t>
  </si>
  <si>
    <t>8.09 EUR</t>
  </si>
  <si>
    <t>1,900 KZT</t>
  </si>
  <si>
    <t>169,100 KZT</t>
  </si>
  <si>
    <t>SH201-C25  1P C25A 6kA</t>
  </si>
  <si>
    <t>13,300 KZT</t>
  </si>
  <si>
    <t>SH201-C2   1P C2A  6kA  (ölçüm)</t>
  </si>
  <si>
    <t>9.71 EUR</t>
  </si>
  <si>
    <t>2,281 KZT</t>
  </si>
  <si>
    <t>13,686 KZT</t>
  </si>
  <si>
    <t>7.36 EUR</t>
  </si>
  <si>
    <t>1,729 KZT</t>
  </si>
  <si>
    <t>44,954 KZT</t>
  </si>
  <si>
    <t>SH201-B6   1P B6A  6kA</t>
  </si>
  <si>
    <t>8.83 EUR</t>
  </si>
  <si>
    <t>2,074 KZT</t>
  </si>
  <si>
    <t>6,222 KZT</t>
  </si>
  <si>
    <t>SH203-C16  3P C16A 6kA</t>
  </si>
  <si>
    <t>36.42 EUR</t>
  </si>
  <si>
    <t>8,554 KZT</t>
  </si>
  <si>
    <t>34,216 KZT</t>
  </si>
  <si>
    <t>SH203-C25  3P C25A 6kA</t>
  </si>
  <si>
    <t>68,432 KZT</t>
  </si>
  <si>
    <t>SH203-C32  3P C32A 6kA</t>
  </si>
  <si>
    <t>45.54 EUR</t>
  </si>
  <si>
    <t>10,696 KZT</t>
  </si>
  <si>
    <t>21,392 KZT</t>
  </si>
  <si>
    <t>47.38 EUR</t>
  </si>
  <si>
    <t>11,128 KZT</t>
  </si>
  <si>
    <t>22,256 KZT</t>
  </si>
  <si>
    <t>54.63 EUR</t>
  </si>
  <si>
    <t>12,831 KZT</t>
  </si>
  <si>
    <t>25,662 KZT</t>
  </si>
  <si>
    <t>SH203-C2   3P C2A  6kA  (ölçüm)</t>
  </si>
  <si>
    <t>65.41 EUR</t>
  </si>
  <si>
    <t>15,362 KZT</t>
  </si>
  <si>
    <t>30,724 KZT</t>
  </si>
  <si>
    <t>M4M 20 Modbus  (enerji sayacı)</t>
  </si>
  <si>
    <t>meter</t>
  </si>
  <si>
    <t>779.8 EUR</t>
  </si>
  <si>
    <t>183,147 KZT</t>
  </si>
  <si>
    <t>366,294 KZT</t>
  </si>
  <si>
    <t>AF96-30-11  3P kontaktör 100A  (220V)</t>
  </si>
  <si>
    <t>contak</t>
  </si>
  <si>
    <t>394.9 EUR</t>
  </si>
  <si>
    <t>92,748 KZT</t>
  </si>
  <si>
    <t>59.16 EUR</t>
  </si>
  <si>
    <t>13,895 KZT</t>
  </si>
  <si>
    <t>27,790 KZT</t>
  </si>
  <si>
    <t>37.91 EUR</t>
  </si>
  <si>
    <t>8,904 KZT</t>
  </si>
  <si>
    <t>195,888 KZT</t>
  </si>
  <si>
    <t>OT16FT3  Pako şalter 16A 1-0</t>
  </si>
  <si>
    <t>36.09 EUR</t>
  </si>
  <si>
    <t>8,476 KZT</t>
  </si>
  <si>
    <t>203,424 KZT</t>
  </si>
  <si>
    <t>62.53 EUR</t>
  </si>
  <si>
    <t>14,686 KZT</t>
  </si>
  <si>
    <t>Motor koruma 5.5-8.0A</t>
  </si>
  <si>
    <t>Motor koruma 3.5-5.0A</t>
  </si>
  <si>
    <t>16.27 EUR</t>
  </si>
  <si>
    <t>3,821 KZT</t>
  </si>
  <si>
    <t>7,642 KZT</t>
  </si>
  <si>
    <t>1.14 EUR</t>
  </si>
  <si>
    <t>268 KZT</t>
  </si>
  <si>
    <t>536 KZT</t>
  </si>
  <si>
    <t>4.6 EUR</t>
  </si>
  <si>
    <t>1,080 KZT</t>
  </si>
  <si>
    <t>2,160 KZT</t>
  </si>
  <si>
    <t>sinyal</t>
  </si>
  <si>
    <t>8,640 KZT</t>
  </si>
  <si>
    <t>spd</t>
  </si>
  <si>
    <t>361.2 EUR</t>
  </si>
  <si>
    <t>84,833 KZT</t>
  </si>
  <si>
    <t>169,666 KZT</t>
  </si>
  <si>
    <t xml:space="preserve"> AF96-30-11   3P kontaktör 100A  1NA+1NK</t>
  </si>
  <si>
    <t>Pano gövdesi 120×200×450+10cm baza cm, serbest ayaklı, metal (TEKSAN)</t>
  </si>
  <si>
    <t xml:space="preserve"> 1SDA066720R1</t>
  </si>
  <si>
    <t>A1C 125, TMF, In=125A</t>
  </si>
  <si>
    <t xml:space="preserve"> 1SAM350000R1010</t>
  </si>
  <si>
    <t xml:space="preserve"> MS132-10 Motor koruma 6,3-10A</t>
  </si>
  <si>
    <t>1SAM350000R1009</t>
  </si>
  <si>
    <t xml:space="preserve"> MS132-6.3 Motor koruma 4-6,3A</t>
  </si>
  <si>
    <t>mks</t>
  </si>
  <si>
    <t>270300021_</t>
  </si>
  <si>
    <t xml:space="preserve">             Трансформатор тока ТТИ-40  300/5А  5ВА  класс 0,5  IEK</t>
  </si>
  <si>
    <t xml:space="preserve">2CSF204401R1900 </t>
  </si>
  <si>
    <t xml:space="preserve">F204 A-100/0.03 AP-R </t>
  </si>
  <si>
    <t>YCFP7</t>
  </si>
  <si>
    <t>cnc</t>
  </si>
  <si>
    <t>ITT20-3-05-0100</t>
  </si>
  <si>
    <t xml:space="preserve">             Трансформатор тока ТТИ-30  100/5А 5ВА 0,5S IEK E-PRO</t>
  </si>
  <si>
    <t>Pano gövdesi 120×200×450+10CM BAZA , serbest ayaklı, metal (TEKSAN)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</si>
</sst>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EUR&quot;"/>
    <numFmt numFmtId="165" formatCode="#,##0&quot; KZT&quot;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204"/>
    </font>
    <font>
      <b/>
      <sz val="9"/>
      <name val="Arial"/>
      <family val="2"/>
      <charset val="204"/>
    </font>
    <font>
      <b/>
      <sz val="11"/>
      <color rgb="FFCC0000"/>
      <name val="Arial"/>
      <family val="2"/>
      <charset val="204"/>
    </font>
    <font>
      <i/>
      <sz val="8"/>
      <color rgb="FF666666"/>
      <name val="Arial"/>
      <family val="2"/>
      <charset val="204"/>
    </font>
    <font>
      <i/>
      <sz val="8"/>
      <color rgb="FF884400"/>
      <name val="Arial"/>
      <family val="2"/>
      <charset val="204"/>
    </font>
    <font>
      <b/>
      <sz val="9"/>
      <color rgb="FFFFFFFF"/>
      <name val="Arial"/>
      <family val="2"/>
      <charset val="204"/>
    </font>
    <font>
      <sz val="9"/>
      <name val="Arial"/>
      <family val="2"/>
      <charset val="204"/>
    </font>
    <font>
      <sz val="9"/>
      <color rgb="FFCC0000"/>
      <name val="Arial"/>
      <family val="2"/>
      <charset val="204"/>
    </font>
    <font>
      <b/>
      <sz val="11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DDEEFF"/>
        <bgColor rgb="FFCCFFFF"/>
      </patternFill>
    </fill>
    <fill>
      <patternFill patternType="solid">
        <fgColor rgb="FFDDFFDD"/>
        <bgColor rgb="FFCCFFFF"/>
      </patternFill>
    </fill>
    <fill>
      <patternFill patternType="solid">
        <fgColor rgb="FFFFE0B2"/>
        <bgColor rgb="FFFFF3CD"/>
      </patternFill>
    </fill>
    <fill>
      <patternFill patternType="solid">
        <fgColor rgb="FFFFF3CD"/>
        <bgColor rgb="FFFFE0B2"/>
      </patternFill>
    </fill>
    <fill>
      <patternFill patternType="solid">
        <fgColor rgb="FFFFCCCC"/>
        <bgColor rgb="FFFFE0B2"/>
      </patternFill>
    </fill>
    <fill>
      <patternFill patternType="solid">
        <fgColor rgb="FFFFD700"/>
        <bgColor rgb="FFFFFF0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4" fontId="3" fillId="3" borderId="0" xfId="0" applyNumberFormat="1" applyFont="1" applyFill="1" applyAlignment="1">
      <alignment horizontal="center" vertical="center" wrapText="1"/>
    </xf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165" fontId="9" fillId="10" borderId="2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vertical="center" wrapText="1"/>
    </xf>
    <xf numFmtId="0" fontId="1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3CD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FDD"/>
      <rgbColor rgb="FFFFE0B2"/>
      <rgbColor rgb="FF99CCFF"/>
      <rgbColor rgb="FFFF99CC"/>
      <rgbColor rgb="FFCC99FF"/>
      <rgbColor rgb="FFFFCCCC"/>
      <rgbColor rgb="FF2E75B6"/>
      <rgbColor rgb="FF33CCCC"/>
      <rgbColor rgb="FF99CC00"/>
      <rgbColor rgb="FFFFD7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8844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zoomScaleNormal="100" workbookViewId="0">
      <pane ySplit="5" topLeftCell="A14" activePane="bottomLeft" state="frozen"/>
      <selection pane="bottomLeft" activeCell="D10" sqref="D10"/>
    </sheetView>
  </sheetViews>
  <sheetFormatPr defaultColWidth="8.7109375" defaultRowHeight="15" x14ac:dyDescent="0.25"/>
  <cols>
    <col min="1" max="1" width="20" customWidth="1"/>
    <col min="2" max="2" width="14" customWidth="1"/>
    <col min="3" max="3" width="22" customWidth="1"/>
    <col min="4" max="4" width="55" customWidth="1"/>
    <col min="5" max="6" width="18" customWidth="1"/>
    <col min="7" max="7" width="20" customWidth="1"/>
    <col min="8" max="8" width="8" customWidth="1"/>
    <col min="9" max="9" width="7" customWidth="1"/>
    <col min="10" max="10" width="10" customWidth="1"/>
    <col min="11" max="11" width="22" customWidth="1"/>
  </cols>
  <sheetData>
    <row r="1" spans="1:11" ht="18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5.75" customHeight="1" x14ac:dyDescent="0.25">
      <c r="A2" s="1" t="s">
        <v>1</v>
      </c>
      <c r="B2" s="2">
        <v>550</v>
      </c>
      <c r="C2" s="3" t="s">
        <v>2</v>
      </c>
    </row>
    <row r="3" spans="1:11" ht="12.75" customHeight="1" x14ac:dyDescent="0.25">
      <c r="A3" s="21" t="s">
        <v>3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ht="3.75" customHeight="1" x14ac:dyDescent="0.25"/>
    <row r="5" spans="1:11" ht="27.75" customHeight="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spans="1:11" ht="21.75" customHeight="1" x14ac:dyDescent="0.25">
      <c r="A6" s="19" t="s">
        <v>15</v>
      </c>
      <c r="B6" s="19"/>
      <c r="C6" s="19"/>
      <c r="D6" s="19" t="s">
        <v>15</v>
      </c>
      <c r="E6" s="19"/>
      <c r="F6" s="19"/>
      <c r="G6" s="19"/>
      <c r="H6" s="19"/>
      <c r="I6" s="19"/>
      <c r="J6" s="19"/>
      <c r="K6" s="19"/>
    </row>
    <row r="7" spans="1:11" ht="15" customHeight="1" x14ac:dyDescent="0.25">
      <c r="A7" s="5" t="s">
        <v>16</v>
      </c>
      <c r="B7" s="5" t="s">
        <v>17</v>
      </c>
      <c r="C7" s="5"/>
      <c r="D7" s="5" t="s">
        <v>264</v>
      </c>
      <c r="E7" s="7" t="s">
        <v>18</v>
      </c>
      <c r="F7" s="7">
        <v>205000</v>
      </c>
      <c r="G7" s="11">
        <f>F7*H7</f>
        <v>205000</v>
      </c>
      <c r="H7" s="8">
        <v>1</v>
      </c>
      <c r="I7" s="6" t="s">
        <v>19</v>
      </c>
      <c r="J7" s="6" t="s">
        <v>20</v>
      </c>
      <c r="K7" s="5" t="s">
        <v>21</v>
      </c>
    </row>
    <row r="8" spans="1:11" ht="15" customHeight="1" x14ac:dyDescent="0.25">
      <c r="A8" s="5" t="s">
        <v>16</v>
      </c>
      <c r="B8" s="5" t="s">
        <v>22</v>
      </c>
      <c r="C8" s="5" t="s">
        <v>23</v>
      </c>
      <c r="D8" s="5" t="s">
        <v>24</v>
      </c>
      <c r="E8" s="9">
        <v>153.6</v>
      </c>
      <c r="F8" s="10">
        <f>E8*0.33*1.3*$B$2</f>
        <v>36241.920000000006</v>
      </c>
      <c r="G8" s="11">
        <f>F8*H8</f>
        <v>36241.920000000006</v>
      </c>
      <c r="H8" s="8">
        <v>1</v>
      </c>
      <c r="I8" s="6" t="s">
        <v>19</v>
      </c>
      <c r="J8" s="6" t="s">
        <v>25</v>
      </c>
      <c r="K8" s="5" t="s">
        <v>21</v>
      </c>
    </row>
    <row r="9" spans="1:11" ht="15" customHeight="1" x14ac:dyDescent="0.25">
      <c r="A9" s="5" t="s">
        <v>16</v>
      </c>
      <c r="B9" s="5" t="s">
        <v>26</v>
      </c>
      <c r="C9" s="5" t="s">
        <v>27</v>
      </c>
      <c r="D9" s="5" t="s">
        <v>28</v>
      </c>
      <c r="E9" s="9">
        <v>164.5</v>
      </c>
      <c r="F9" s="10">
        <f>E9*0.33*1.3*$B$2</f>
        <v>38813.775000000009</v>
      </c>
      <c r="G9" s="11">
        <f>F9*H9</f>
        <v>38813.775000000009</v>
      </c>
      <c r="H9" s="8">
        <v>1</v>
      </c>
      <c r="I9" s="6" t="s">
        <v>19</v>
      </c>
      <c r="J9" s="6" t="s">
        <v>25</v>
      </c>
      <c r="K9" s="5" t="s">
        <v>21</v>
      </c>
    </row>
    <row r="10" spans="1:11" ht="15" customHeight="1" x14ac:dyDescent="0.25">
      <c r="A10" s="5" t="s">
        <v>16</v>
      </c>
      <c r="B10" s="5" t="s">
        <v>29</v>
      </c>
      <c r="C10" s="5" t="s">
        <v>262</v>
      </c>
      <c r="D10" s="5" t="s">
        <v>263</v>
      </c>
      <c r="E10" s="7" t="s">
        <v>18</v>
      </c>
      <c r="F10" s="7">
        <v>6350</v>
      </c>
      <c r="G10" s="11">
        <f>F10*H10</f>
        <v>19050</v>
      </c>
      <c r="H10" s="8">
        <v>3</v>
      </c>
      <c r="I10" s="6" t="s">
        <v>19</v>
      </c>
      <c r="J10" s="6" t="s">
        <v>30</v>
      </c>
      <c r="K10" s="5" t="s">
        <v>31</v>
      </c>
    </row>
    <row r="11" spans="1:11" ht="15" customHeight="1" x14ac:dyDescent="0.25">
      <c r="A11" s="5" t="s">
        <v>16</v>
      </c>
      <c r="B11" s="5" t="s">
        <v>32</v>
      </c>
      <c r="C11" s="5" t="s">
        <v>33</v>
      </c>
      <c r="D11" s="5" t="s">
        <v>34</v>
      </c>
      <c r="E11" s="9">
        <v>9.7100000000000009</v>
      </c>
      <c r="F11" s="10">
        <f t="shared" ref="F11:F32" si="0">E11*0.33*1.3*$B$2</f>
        <v>2291.0745000000006</v>
      </c>
      <c r="G11" s="11">
        <f t="shared" ref="G11:G32" si="1">F11*H11</f>
        <v>6873.2235000000019</v>
      </c>
      <c r="H11" s="8">
        <v>3</v>
      </c>
      <c r="I11" s="6" t="s">
        <v>19</v>
      </c>
      <c r="J11" s="6" t="s">
        <v>25</v>
      </c>
      <c r="K11" s="5" t="s">
        <v>35</v>
      </c>
    </row>
    <row r="12" spans="1:11" ht="15" customHeight="1" x14ac:dyDescent="0.25">
      <c r="A12" s="5" t="s">
        <v>16</v>
      </c>
      <c r="B12" s="5" t="s">
        <v>32</v>
      </c>
      <c r="C12" s="5" t="s">
        <v>36</v>
      </c>
      <c r="D12" s="5" t="s">
        <v>37</v>
      </c>
      <c r="E12" s="9">
        <v>65.41</v>
      </c>
      <c r="F12" s="10">
        <f t="shared" si="0"/>
        <v>15433.4895</v>
      </c>
      <c r="G12" s="11">
        <f t="shared" si="1"/>
        <v>15433.4895</v>
      </c>
      <c r="H12" s="8">
        <v>1</v>
      </c>
      <c r="I12" s="6" t="s">
        <v>19</v>
      </c>
      <c r="J12" s="6" t="s">
        <v>25</v>
      </c>
      <c r="K12" s="5" t="s">
        <v>35</v>
      </c>
    </row>
    <row r="13" spans="1:11" ht="15" customHeight="1" x14ac:dyDescent="0.25">
      <c r="A13" s="5" t="s">
        <v>16</v>
      </c>
      <c r="B13" s="5" t="s">
        <v>38</v>
      </c>
      <c r="C13" s="5" t="s">
        <v>39</v>
      </c>
      <c r="D13" s="5" t="s">
        <v>40</v>
      </c>
      <c r="E13" s="9">
        <v>779.8</v>
      </c>
      <c r="F13" s="10">
        <f t="shared" si="0"/>
        <v>183993.81</v>
      </c>
      <c r="G13" s="11">
        <f t="shared" si="1"/>
        <v>183993.81</v>
      </c>
      <c r="H13" s="8">
        <v>1</v>
      </c>
      <c r="I13" s="6" t="s">
        <v>19</v>
      </c>
      <c r="J13" s="6" t="s">
        <v>25</v>
      </c>
      <c r="K13" s="5" t="s">
        <v>21</v>
      </c>
    </row>
    <row r="14" spans="1:11" ht="15" customHeight="1" x14ac:dyDescent="0.25">
      <c r="A14" s="5" t="s">
        <v>16</v>
      </c>
      <c r="B14" s="5" t="s">
        <v>41</v>
      </c>
      <c r="C14" s="5" t="s">
        <v>42</v>
      </c>
      <c r="D14" s="5" t="s">
        <v>43</v>
      </c>
      <c r="E14" s="9">
        <v>65.75</v>
      </c>
      <c r="F14" s="10">
        <f t="shared" si="0"/>
        <v>15513.712500000001</v>
      </c>
      <c r="G14" s="11">
        <f t="shared" si="1"/>
        <v>729144.48750000005</v>
      </c>
      <c r="H14" s="8">
        <v>47</v>
      </c>
      <c r="I14" s="6" t="s">
        <v>19</v>
      </c>
      <c r="J14" s="6" t="s">
        <v>25</v>
      </c>
      <c r="K14" s="5" t="s">
        <v>44</v>
      </c>
    </row>
    <row r="15" spans="1:11" ht="15" customHeight="1" x14ac:dyDescent="0.25">
      <c r="A15" s="5" t="s">
        <v>16</v>
      </c>
      <c r="B15" s="5" t="s">
        <v>32</v>
      </c>
      <c r="C15" s="5" t="s">
        <v>45</v>
      </c>
      <c r="D15" s="5" t="s">
        <v>46</v>
      </c>
      <c r="E15" s="9">
        <v>8.09</v>
      </c>
      <c r="F15" s="10">
        <f t="shared" si="0"/>
        <v>1908.8355000000001</v>
      </c>
      <c r="G15" s="11">
        <f t="shared" si="1"/>
        <v>89715.268500000006</v>
      </c>
      <c r="H15" s="8">
        <v>47</v>
      </c>
      <c r="I15" s="6" t="s">
        <v>19</v>
      </c>
      <c r="J15" s="6" t="s">
        <v>25</v>
      </c>
      <c r="K15" s="5" t="s">
        <v>35</v>
      </c>
    </row>
    <row r="16" spans="1:11" ht="15" customHeight="1" x14ac:dyDescent="0.25">
      <c r="A16" s="5" t="s">
        <v>16</v>
      </c>
      <c r="B16" s="5" t="s">
        <v>41</v>
      </c>
      <c r="C16" s="5" t="s">
        <v>42</v>
      </c>
      <c r="D16" s="5" t="s">
        <v>47</v>
      </c>
      <c r="E16" s="9">
        <v>65.75</v>
      </c>
      <c r="F16" s="10">
        <f t="shared" si="0"/>
        <v>15513.712500000001</v>
      </c>
      <c r="G16" s="11">
        <f t="shared" si="1"/>
        <v>62054.850000000006</v>
      </c>
      <c r="H16" s="8">
        <v>4</v>
      </c>
      <c r="I16" s="6" t="s">
        <v>19</v>
      </c>
      <c r="J16" s="6" t="s">
        <v>25</v>
      </c>
      <c r="K16" s="5" t="s">
        <v>48</v>
      </c>
    </row>
    <row r="17" spans="1:11" ht="15" customHeight="1" x14ac:dyDescent="0.25">
      <c r="A17" s="5" t="s">
        <v>16</v>
      </c>
      <c r="B17" s="5" t="s">
        <v>32</v>
      </c>
      <c r="C17" s="5" t="s">
        <v>49</v>
      </c>
      <c r="D17" s="5" t="s">
        <v>50</v>
      </c>
      <c r="E17" s="9">
        <v>8.09</v>
      </c>
      <c r="F17" s="10">
        <f t="shared" si="0"/>
        <v>1908.8355000000001</v>
      </c>
      <c r="G17" s="11">
        <f t="shared" si="1"/>
        <v>7635.3420000000006</v>
      </c>
      <c r="H17" s="8">
        <v>4</v>
      </c>
      <c r="I17" s="6" t="s">
        <v>19</v>
      </c>
      <c r="J17" s="6" t="s">
        <v>25</v>
      </c>
      <c r="K17" s="5" t="s">
        <v>35</v>
      </c>
    </row>
    <row r="18" spans="1:11" ht="15" customHeight="1" x14ac:dyDescent="0.25">
      <c r="A18" s="5" t="s">
        <v>16</v>
      </c>
      <c r="B18" s="5" t="s">
        <v>41</v>
      </c>
      <c r="C18" s="5" t="s">
        <v>51</v>
      </c>
      <c r="D18" s="5" t="s">
        <v>52</v>
      </c>
      <c r="E18" s="9">
        <v>85.43</v>
      </c>
      <c r="F18" s="10">
        <f t="shared" si="0"/>
        <v>20157.208500000004</v>
      </c>
      <c r="G18" s="11">
        <f t="shared" si="1"/>
        <v>40314.417000000009</v>
      </c>
      <c r="H18" s="8">
        <v>2</v>
      </c>
      <c r="I18" s="6" t="s">
        <v>19</v>
      </c>
      <c r="J18" s="6" t="s">
        <v>25</v>
      </c>
      <c r="K18" s="5" t="s">
        <v>48</v>
      </c>
    </row>
    <row r="19" spans="1:11" ht="15" customHeight="1" x14ac:dyDescent="0.25">
      <c r="A19" s="5" t="s">
        <v>16</v>
      </c>
      <c r="B19" s="5" t="s">
        <v>32</v>
      </c>
      <c r="C19" s="5" t="s">
        <v>53</v>
      </c>
      <c r="D19" s="5" t="s">
        <v>54</v>
      </c>
      <c r="E19" s="9">
        <v>36.42</v>
      </c>
      <c r="F19" s="10">
        <f t="shared" si="0"/>
        <v>8593.2990000000009</v>
      </c>
      <c r="G19" s="11">
        <f t="shared" si="1"/>
        <v>17186.598000000002</v>
      </c>
      <c r="H19" s="8">
        <v>2</v>
      </c>
      <c r="I19" s="6" t="s">
        <v>19</v>
      </c>
      <c r="J19" s="6" t="s">
        <v>25</v>
      </c>
      <c r="K19" s="5" t="s">
        <v>35</v>
      </c>
    </row>
    <row r="20" spans="1:11" ht="15" customHeight="1" x14ac:dyDescent="0.25">
      <c r="A20" s="5" t="s">
        <v>16</v>
      </c>
      <c r="B20" s="5" t="s">
        <v>41</v>
      </c>
      <c r="C20" s="5" t="s">
        <v>42</v>
      </c>
      <c r="D20" s="5" t="s">
        <v>55</v>
      </c>
      <c r="E20" s="9">
        <v>65.75</v>
      </c>
      <c r="F20" s="10">
        <f t="shared" si="0"/>
        <v>15513.712500000001</v>
      </c>
      <c r="G20" s="11">
        <f t="shared" si="1"/>
        <v>15513.712500000001</v>
      </c>
      <c r="H20" s="8">
        <v>1</v>
      </c>
      <c r="I20" s="6" t="s">
        <v>19</v>
      </c>
      <c r="J20" s="6" t="s">
        <v>25</v>
      </c>
      <c r="K20" s="5" t="s">
        <v>21</v>
      </c>
    </row>
    <row r="21" spans="1:11" ht="15" customHeight="1" x14ac:dyDescent="0.25">
      <c r="A21" s="5" t="s">
        <v>16</v>
      </c>
      <c r="B21" s="5" t="s">
        <v>41</v>
      </c>
      <c r="C21" s="5" t="s">
        <v>51</v>
      </c>
      <c r="D21" s="5" t="s">
        <v>56</v>
      </c>
      <c r="E21" s="9">
        <v>85.43</v>
      </c>
      <c r="F21" s="10">
        <f t="shared" si="0"/>
        <v>20157.208500000004</v>
      </c>
      <c r="G21" s="11">
        <f t="shared" si="1"/>
        <v>20157.208500000004</v>
      </c>
      <c r="H21" s="8">
        <v>1</v>
      </c>
      <c r="I21" s="6" t="s">
        <v>19</v>
      </c>
      <c r="J21" s="6" t="s">
        <v>25</v>
      </c>
      <c r="K21" s="5" t="s">
        <v>21</v>
      </c>
    </row>
    <row r="22" spans="1:11" ht="15" customHeight="1" x14ac:dyDescent="0.25">
      <c r="A22" s="5" t="s">
        <v>16</v>
      </c>
      <c r="B22" s="5" t="s">
        <v>32</v>
      </c>
      <c r="C22" s="5" t="s">
        <v>53</v>
      </c>
      <c r="D22" s="5" t="s">
        <v>57</v>
      </c>
      <c r="E22" s="9">
        <v>36.42</v>
      </c>
      <c r="F22" s="10">
        <f t="shared" si="0"/>
        <v>8593.2990000000009</v>
      </c>
      <c r="G22" s="11">
        <f t="shared" si="1"/>
        <v>17186.598000000002</v>
      </c>
      <c r="H22" s="8">
        <v>2</v>
      </c>
      <c r="I22" s="6" t="s">
        <v>19</v>
      </c>
      <c r="J22" s="6" t="s">
        <v>25</v>
      </c>
      <c r="K22" s="5" t="s">
        <v>35</v>
      </c>
    </row>
    <row r="23" spans="1:11" ht="15" customHeight="1" x14ac:dyDescent="0.25">
      <c r="A23" s="5" t="s">
        <v>16</v>
      </c>
      <c r="B23" s="5" t="s">
        <v>32</v>
      </c>
      <c r="C23" s="5" t="s">
        <v>58</v>
      </c>
      <c r="D23" s="5" t="s">
        <v>59</v>
      </c>
      <c r="E23" s="9">
        <v>7.36</v>
      </c>
      <c r="F23" s="10">
        <f t="shared" si="0"/>
        <v>1736.5920000000003</v>
      </c>
      <c r="G23" s="11">
        <f t="shared" si="1"/>
        <v>17365.920000000002</v>
      </c>
      <c r="H23" s="8">
        <v>10</v>
      </c>
      <c r="I23" s="6" t="s">
        <v>19</v>
      </c>
      <c r="J23" s="6" t="s">
        <v>25</v>
      </c>
      <c r="K23" s="5" t="s">
        <v>60</v>
      </c>
    </row>
    <row r="24" spans="1:11" ht="15" customHeight="1" x14ac:dyDescent="0.25">
      <c r="A24" s="5" t="s">
        <v>16</v>
      </c>
      <c r="B24" s="5" t="s">
        <v>32</v>
      </c>
      <c r="C24" s="5" t="s">
        <v>61</v>
      </c>
      <c r="D24" s="5" t="s">
        <v>62</v>
      </c>
      <c r="E24" s="9">
        <v>8.83</v>
      </c>
      <c r="F24" s="10">
        <f t="shared" si="0"/>
        <v>2083.4385000000002</v>
      </c>
      <c r="G24" s="11">
        <f t="shared" si="1"/>
        <v>2083.4385000000002</v>
      </c>
      <c r="H24" s="8">
        <v>1</v>
      </c>
      <c r="I24" s="6" t="s">
        <v>19</v>
      </c>
      <c r="J24" s="6" t="s">
        <v>25</v>
      </c>
      <c r="K24" s="5" t="s">
        <v>35</v>
      </c>
    </row>
    <row r="25" spans="1:11" ht="15" customHeight="1" x14ac:dyDescent="0.25">
      <c r="A25" s="5" t="s">
        <v>16</v>
      </c>
      <c r="B25" s="5" t="s">
        <v>63</v>
      </c>
      <c r="C25" s="5" t="s">
        <v>64</v>
      </c>
      <c r="D25" s="5" t="s">
        <v>65</v>
      </c>
      <c r="E25" s="9">
        <v>59.16</v>
      </c>
      <c r="F25" s="10">
        <f t="shared" si="0"/>
        <v>13958.802000000001</v>
      </c>
      <c r="G25" s="11">
        <f t="shared" si="1"/>
        <v>13958.802000000001</v>
      </c>
      <c r="H25" s="8">
        <v>1</v>
      </c>
      <c r="I25" s="6" t="s">
        <v>19</v>
      </c>
      <c r="J25" s="6" t="s">
        <v>25</v>
      </c>
      <c r="K25" s="5" t="s">
        <v>21</v>
      </c>
    </row>
    <row r="26" spans="1:11" ht="15" customHeight="1" x14ac:dyDescent="0.25">
      <c r="A26" s="5" t="s">
        <v>16</v>
      </c>
      <c r="B26" s="5" t="s">
        <v>63</v>
      </c>
      <c r="C26" s="5" t="s">
        <v>66</v>
      </c>
      <c r="D26" s="5" t="s">
        <v>67</v>
      </c>
      <c r="E26" s="9">
        <v>37.909999999999997</v>
      </c>
      <c r="F26" s="10">
        <f t="shared" si="0"/>
        <v>8944.8645000000015</v>
      </c>
      <c r="G26" s="11">
        <f t="shared" si="1"/>
        <v>80503.780500000008</v>
      </c>
      <c r="H26" s="8">
        <v>9</v>
      </c>
      <c r="I26" s="6" t="s">
        <v>19</v>
      </c>
      <c r="J26" s="6" t="s">
        <v>25</v>
      </c>
      <c r="K26" s="5" t="s">
        <v>21</v>
      </c>
    </row>
    <row r="27" spans="1:11" ht="15" customHeight="1" x14ac:dyDescent="0.25">
      <c r="A27" s="5" t="s">
        <v>16</v>
      </c>
      <c r="B27" s="5" t="s">
        <v>68</v>
      </c>
      <c r="C27" s="5" t="s">
        <v>69</v>
      </c>
      <c r="D27" s="5" t="s">
        <v>70</v>
      </c>
      <c r="E27" s="9">
        <v>36.090000000000003</v>
      </c>
      <c r="F27" s="10">
        <f t="shared" si="0"/>
        <v>8515.4355000000014</v>
      </c>
      <c r="G27" s="11">
        <f t="shared" si="1"/>
        <v>85154.35500000001</v>
      </c>
      <c r="H27" s="8">
        <v>10</v>
      </c>
      <c r="I27" s="6" t="s">
        <v>19</v>
      </c>
      <c r="J27" s="6" t="s">
        <v>25</v>
      </c>
      <c r="K27" s="5" t="s">
        <v>21</v>
      </c>
    </row>
    <row r="28" spans="1:11" ht="15" customHeight="1" x14ac:dyDescent="0.25">
      <c r="A28" s="5" t="s">
        <v>16</v>
      </c>
      <c r="B28" s="5" t="s">
        <v>71</v>
      </c>
      <c r="C28" s="5" t="s">
        <v>72</v>
      </c>
      <c r="D28" s="5" t="s">
        <v>73</v>
      </c>
      <c r="E28" s="9">
        <v>16.27</v>
      </c>
      <c r="F28" s="10">
        <f t="shared" si="0"/>
        <v>3838.9065000000005</v>
      </c>
      <c r="G28" s="11">
        <f t="shared" si="1"/>
        <v>3838.9065000000005</v>
      </c>
      <c r="H28" s="8">
        <v>1</v>
      </c>
      <c r="I28" s="6" t="s">
        <v>19</v>
      </c>
      <c r="J28" s="6" t="s">
        <v>25</v>
      </c>
      <c r="K28" s="5" t="s">
        <v>21</v>
      </c>
    </row>
    <row r="29" spans="1:11" ht="15" customHeight="1" x14ac:dyDescent="0.25">
      <c r="A29" s="5" t="s">
        <v>16</v>
      </c>
      <c r="B29" s="5" t="s">
        <v>71</v>
      </c>
      <c r="C29" s="5" t="s">
        <v>74</v>
      </c>
      <c r="D29" s="5" t="s">
        <v>75</v>
      </c>
      <c r="E29" s="9">
        <v>1.1399999999999999</v>
      </c>
      <c r="F29" s="10">
        <f t="shared" si="0"/>
        <v>268.983</v>
      </c>
      <c r="G29" s="11">
        <f t="shared" si="1"/>
        <v>268.983</v>
      </c>
      <c r="H29" s="8">
        <v>1</v>
      </c>
      <c r="I29" s="6" t="s">
        <v>19</v>
      </c>
      <c r="J29" s="6" t="s">
        <v>25</v>
      </c>
      <c r="K29" s="5" t="s">
        <v>21</v>
      </c>
    </row>
    <row r="30" spans="1:11" ht="15" customHeight="1" x14ac:dyDescent="0.25">
      <c r="A30" s="5" t="s">
        <v>16</v>
      </c>
      <c r="B30" s="5" t="s">
        <v>71</v>
      </c>
      <c r="C30" s="5" t="s">
        <v>76</v>
      </c>
      <c r="D30" s="5" t="s">
        <v>77</v>
      </c>
      <c r="E30" s="9">
        <v>4.5999999999999996</v>
      </c>
      <c r="F30" s="10">
        <f t="shared" si="0"/>
        <v>1085.3700000000001</v>
      </c>
      <c r="G30" s="11">
        <f t="shared" si="1"/>
        <v>1085.3700000000001</v>
      </c>
      <c r="H30" s="8">
        <v>1</v>
      </c>
      <c r="I30" s="6" t="s">
        <v>19</v>
      </c>
      <c r="J30" s="6" t="s">
        <v>25</v>
      </c>
      <c r="K30" s="5" t="s">
        <v>21</v>
      </c>
    </row>
    <row r="31" spans="1:11" ht="15" customHeight="1" x14ac:dyDescent="0.25">
      <c r="A31" s="5" t="s">
        <v>16</v>
      </c>
      <c r="B31" s="5" t="s">
        <v>78</v>
      </c>
      <c r="C31" s="5" t="s">
        <v>79</v>
      </c>
      <c r="D31" s="5" t="s">
        <v>80</v>
      </c>
      <c r="E31" s="9">
        <v>4.5999999999999996</v>
      </c>
      <c r="F31" s="10">
        <f t="shared" si="0"/>
        <v>1085.3700000000001</v>
      </c>
      <c r="G31" s="11">
        <f t="shared" si="1"/>
        <v>4341.4800000000005</v>
      </c>
      <c r="H31" s="8">
        <v>4</v>
      </c>
      <c r="I31" s="6" t="s">
        <v>19</v>
      </c>
      <c r="J31" s="6" t="s">
        <v>25</v>
      </c>
      <c r="K31" s="5" t="s">
        <v>21</v>
      </c>
    </row>
    <row r="32" spans="1:11" ht="15" customHeight="1" x14ac:dyDescent="0.25">
      <c r="A32" s="5" t="s">
        <v>16</v>
      </c>
      <c r="B32" s="5" t="s">
        <v>81</v>
      </c>
      <c r="C32" s="5" t="s">
        <v>82</v>
      </c>
      <c r="D32" s="5" t="s">
        <v>83</v>
      </c>
      <c r="E32" s="9">
        <v>361.2</v>
      </c>
      <c r="F32" s="10">
        <f t="shared" si="0"/>
        <v>85225.14</v>
      </c>
      <c r="G32" s="11">
        <f t="shared" si="1"/>
        <v>85225.14</v>
      </c>
      <c r="H32" s="8">
        <v>1</v>
      </c>
      <c r="I32" s="6" t="s">
        <v>19</v>
      </c>
      <c r="J32" s="6" t="s">
        <v>25</v>
      </c>
      <c r="K32" s="5" t="s">
        <v>21</v>
      </c>
    </row>
    <row r="33" spans="1:11" ht="15" customHeight="1" x14ac:dyDescent="0.25">
      <c r="A33" s="12" t="s">
        <v>16</v>
      </c>
      <c r="B33" s="12" t="s">
        <v>84</v>
      </c>
      <c r="C33" s="14" t="s">
        <v>260</v>
      </c>
      <c r="D33" s="12" t="s">
        <v>86</v>
      </c>
      <c r="E33" s="15" t="s">
        <v>18</v>
      </c>
      <c r="F33" s="7">
        <v>6500</v>
      </c>
      <c r="G33" s="7">
        <f>F33*H33</f>
        <v>6500</v>
      </c>
      <c r="H33" s="16">
        <v>1</v>
      </c>
      <c r="I33" s="13" t="s">
        <v>87</v>
      </c>
      <c r="J33" s="13" t="s">
        <v>18</v>
      </c>
      <c r="K33" s="12" t="s">
        <v>88</v>
      </c>
    </row>
    <row r="34" spans="1:11" ht="15" customHeight="1" x14ac:dyDescent="0.25">
      <c r="A34" s="5" t="s">
        <v>16</v>
      </c>
      <c r="B34" s="5" t="s">
        <v>89</v>
      </c>
      <c r="C34" s="5"/>
      <c r="D34" s="5" t="s">
        <v>90</v>
      </c>
      <c r="E34" s="7" t="s">
        <v>18</v>
      </c>
      <c r="F34" s="7">
        <f ca="1">OFFSET(F34,1,1)</f>
        <v>173400</v>
      </c>
      <c r="G34" s="7">
        <f ca="1">F34*H34</f>
        <v>173400</v>
      </c>
      <c r="H34" s="8">
        <v>1</v>
      </c>
      <c r="I34" s="6" t="s">
        <v>87</v>
      </c>
      <c r="J34" s="6" t="s">
        <v>18</v>
      </c>
      <c r="K34" s="5" t="s">
        <v>91</v>
      </c>
    </row>
    <row r="35" spans="1:11" ht="15" customHeight="1" x14ac:dyDescent="0.25">
      <c r="A35" s="5" t="s">
        <v>16</v>
      </c>
      <c r="B35" s="5" t="s">
        <v>92</v>
      </c>
      <c r="C35" s="5"/>
      <c r="D35" s="5" t="s">
        <v>93</v>
      </c>
      <c r="E35" s="7" t="s">
        <v>18</v>
      </c>
      <c r="F35" s="7">
        <v>17</v>
      </c>
      <c r="G35" s="7">
        <f>F35*H35</f>
        <v>173400</v>
      </c>
      <c r="H35" s="8">
        <f>600*F35</f>
        <v>10200</v>
      </c>
      <c r="I35" s="6" t="s">
        <v>87</v>
      </c>
      <c r="J35" s="6" t="s">
        <v>18</v>
      </c>
      <c r="K35" s="5" t="s">
        <v>91</v>
      </c>
    </row>
    <row r="36" spans="1:11" ht="19.5" customHeight="1" x14ac:dyDescent="0.25">
      <c r="F36" s="17" t="s">
        <v>94</v>
      </c>
      <c r="G36" s="18">
        <f ca="1">SUM(G7:G35)</f>
        <v>2151440.8755000001</v>
      </c>
    </row>
  </sheetData>
  <autoFilter ref="A5:K36" xr:uid="{00000000-0001-0000-0000-000000000000}"/>
  <mergeCells count="2">
    <mergeCell ref="A1:K1"/>
    <mergeCell ref="A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tabSelected="1" zoomScaleNormal="100" workbookViewId="0">
      <pane ySplit="5" topLeftCell="A6" activePane="bottomLeft" state="frozen"/>
      <selection pane="bottomLeft" activeCell="F54" sqref="F54"/>
    </sheetView>
  </sheetViews>
  <sheetFormatPr defaultColWidth="8.7109375" defaultRowHeight="15" x14ac:dyDescent="0.25"/>
  <cols>
    <col min="1" max="1" width="20" customWidth="1"/>
    <col min="2" max="2" width="14" customWidth="1"/>
    <col min="3" max="3" width="22" customWidth="1"/>
    <col min="4" max="4" width="55" customWidth="1"/>
    <col min="5" max="6" width="18" customWidth="1"/>
    <col min="7" max="7" width="20" customWidth="1"/>
    <col min="8" max="8" width="14.7109375" customWidth="1"/>
    <col min="9" max="9" width="7" customWidth="1"/>
    <col min="10" max="10" width="10" customWidth="1"/>
    <col min="11" max="11" width="22" customWidth="1"/>
  </cols>
  <sheetData>
    <row r="1" spans="1:11" ht="18" customHeight="1" x14ac:dyDescent="0.25">
      <c r="A1" s="20" t="s">
        <v>95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5.75" customHeight="1" x14ac:dyDescent="0.25">
      <c r="A2" s="1" t="s">
        <v>1</v>
      </c>
      <c r="B2" s="2">
        <v>550</v>
      </c>
      <c r="C2" s="3" t="s">
        <v>2</v>
      </c>
    </row>
    <row r="3" spans="1:11" ht="12.75" customHeight="1" x14ac:dyDescent="0.25">
      <c r="A3" s="21" t="s">
        <v>3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ht="3.75" customHeight="1" x14ac:dyDescent="0.25"/>
    <row r="5" spans="1:11" ht="27.75" customHeight="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spans="1:11" ht="21.75" customHeight="1" x14ac:dyDescent="0.25">
      <c r="A6" s="19" t="s">
        <v>96</v>
      </c>
      <c r="B6" s="19"/>
      <c r="C6" s="19"/>
      <c r="D6" s="19" t="s">
        <v>96</v>
      </c>
      <c r="E6" s="19"/>
      <c r="F6" s="19"/>
      <c r="G6" s="19"/>
      <c r="H6" s="19"/>
      <c r="I6" s="19"/>
      <c r="J6" s="19"/>
      <c r="K6" s="19"/>
    </row>
    <row r="7" spans="1:11" ht="15" customHeight="1" x14ac:dyDescent="0.25">
      <c r="A7" s="5" t="s">
        <v>97</v>
      </c>
      <c r="B7" s="5" t="s">
        <v>17</v>
      </c>
      <c r="C7" s="5"/>
      <c r="D7" s="5" t="s">
        <v>248</v>
      </c>
      <c r="E7" s="7" t="s">
        <v>18</v>
      </c>
      <c r="F7" s="7">
        <v>205000</v>
      </c>
      <c r="G7" s="7">
        <f>F7*H7</f>
        <v>205000</v>
      </c>
      <c r="H7" s="8">
        <v>1</v>
      </c>
      <c r="I7" s="6" t="s">
        <v>19</v>
      </c>
      <c r="J7" s="6" t="s">
        <v>20</v>
      </c>
      <c r="K7" s="5" t="s">
        <v>21</v>
      </c>
    </row>
    <row r="8" spans="1:11" ht="15" customHeight="1" x14ac:dyDescent="0.25">
      <c r="A8" s="5" t="s">
        <v>97</v>
      </c>
      <c r="B8" s="5" t="s">
        <v>22</v>
      </c>
      <c r="C8" s="5" t="s">
        <v>98</v>
      </c>
      <c r="D8" s="5" t="s">
        <v>99</v>
      </c>
      <c r="E8" s="9">
        <v>1237</v>
      </c>
      <c r="F8" s="10">
        <f>E8*0.33*1.3*$B$2</f>
        <v>291870.15000000008</v>
      </c>
      <c r="G8" s="11">
        <f>F8*H8</f>
        <v>291870.15000000008</v>
      </c>
      <c r="H8" s="8">
        <v>1</v>
      </c>
      <c r="I8" s="6" t="s">
        <v>19</v>
      </c>
      <c r="J8" s="6" t="s">
        <v>25</v>
      </c>
      <c r="K8" s="5" t="s">
        <v>21</v>
      </c>
    </row>
    <row r="9" spans="1:11" ht="15" customHeight="1" x14ac:dyDescent="0.25">
      <c r="A9" s="5" t="s">
        <v>97</v>
      </c>
      <c r="B9" s="5" t="s">
        <v>26</v>
      </c>
      <c r="C9" s="5" t="s">
        <v>100</v>
      </c>
      <c r="D9" s="5" t="s">
        <v>101</v>
      </c>
      <c r="E9" s="9">
        <v>130.30000000000001</v>
      </c>
      <c r="F9" s="10">
        <f>E9*0.33*1.3*$B$2</f>
        <v>30744.285000000003</v>
      </c>
      <c r="G9" s="11">
        <f>F9*H9</f>
        <v>30744.285000000003</v>
      </c>
      <c r="H9" s="8">
        <v>1</v>
      </c>
      <c r="I9" s="6" t="s">
        <v>19</v>
      </c>
      <c r="J9" s="6" t="s">
        <v>25</v>
      </c>
      <c r="K9" s="5" t="s">
        <v>21</v>
      </c>
    </row>
    <row r="10" spans="1:11" ht="15" customHeight="1" x14ac:dyDescent="0.25">
      <c r="A10" s="12" t="s">
        <v>97</v>
      </c>
      <c r="B10" s="12" t="s">
        <v>22</v>
      </c>
      <c r="C10" s="14" t="s">
        <v>249</v>
      </c>
      <c r="D10" s="12" t="s">
        <v>250</v>
      </c>
      <c r="E10" s="9">
        <v>137</v>
      </c>
      <c r="F10" s="10">
        <f>E10*0.33*1.3*$B$2</f>
        <v>32325.15</v>
      </c>
      <c r="G10" s="11">
        <f>F10*H10</f>
        <v>32325.15</v>
      </c>
      <c r="H10" s="16">
        <v>1</v>
      </c>
      <c r="I10" s="13" t="s">
        <v>19</v>
      </c>
      <c r="J10" s="13" t="s">
        <v>25</v>
      </c>
      <c r="K10" s="12" t="s">
        <v>102</v>
      </c>
    </row>
    <row r="11" spans="1:11" ht="15" customHeight="1" x14ac:dyDescent="0.25">
      <c r="A11" s="5" t="s">
        <v>97</v>
      </c>
      <c r="B11" s="5" t="s">
        <v>22</v>
      </c>
      <c r="C11" s="5" t="s">
        <v>23</v>
      </c>
      <c r="D11" s="5" t="s">
        <v>24</v>
      </c>
      <c r="E11" s="9">
        <v>153.6</v>
      </c>
      <c r="F11" s="10">
        <f>E11*0.33*1.3*$B$2</f>
        <v>36241.920000000006</v>
      </c>
      <c r="G11" s="11">
        <f>F11*H11</f>
        <v>36241.920000000006</v>
      </c>
      <c r="H11" s="8">
        <v>1</v>
      </c>
      <c r="I11" s="6" t="s">
        <v>19</v>
      </c>
      <c r="J11" s="6" t="s">
        <v>25</v>
      </c>
      <c r="K11" s="5" t="s">
        <v>21</v>
      </c>
    </row>
    <row r="12" spans="1:11" ht="15" customHeight="1" x14ac:dyDescent="0.25">
      <c r="A12" s="5" t="s">
        <v>97</v>
      </c>
      <c r="B12" s="5" t="s">
        <v>29</v>
      </c>
      <c r="C12" s="5" t="s">
        <v>256</v>
      </c>
      <c r="D12" s="5" t="s">
        <v>257</v>
      </c>
      <c r="E12" s="7" t="s">
        <v>18</v>
      </c>
      <c r="F12" s="7">
        <v>6350</v>
      </c>
      <c r="G12" s="7">
        <f>H12*F12</f>
        <v>19050</v>
      </c>
      <c r="H12" s="8">
        <v>3</v>
      </c>
      <c r="I12" s="6" t="s">
        <v>19</v>
      </c>
      <c r="J12" s="6" t="s">
        <v>30</v>
      </c>
      <c r="K12" s="5" t="s">
        <v>31</v>
      </c>
    </row>
    <row r="13" spans="1:11" ht="15" customHeight="1" x14ac:dyDescent="0.25">
      <c r="A13" s="5" t="s">
        <v>97</v>
      </c>
      <c r="B13" s="5" t="s">
        <v>32</v>
      </c>
      <c r="C13" s="5" t="s">
        <v>33</v>
      </c>
      <c r="D13" s="5" t="s">
        <v>34</v>
      </c>
      <c r="E13" s="9">
        <v>9.7100000000000009</v>
      </c>
      <c r="F13" s="10">
        <f t="shared" ref="F13:F31" si="0">E13*0.33*1.3*$B$2</f>
        <v>2291.0745000000006</v>
      </c>
      <c r="G13" s="11">
        <f t="shared" ref="G13:G31" si="1">F13*H13</f>
        <v>6873.2235000000019</v>
      </c>
      <c r="H13" s="8">
        <v>3</v>
      </c>
      <c r="I13" s="6" t="s">
        <v>19</v>
      </c>
      <c r="J13" s="6" t="s">
        <v>25</v>
      </c>
      <c r="K13" s="5" t="s">
        <v>35</v>
      </c>
    </row>
    <row r="14" spans="1:11" ht="15" customHeight="1" x14ac:dyDescent="0.25">
      <c r="A14" s="5" t="s">
        <v>97</v>
      </c>
      <c r="B14" s="5" t="s">
        <v>32</v>
      </c>
      <c r="C14" s="5" t="s">
        <v>36</v>
      </c>
      <c r="D14" s="5" t="s">
        <v>37</v>
      </c>
      <c r="E14" s="9">
        <v>65.41</v>
      </c>
      <c r="F14" s="10">
        <f t="shared" si="0"/>
        <v>15433.4895</v>
      </c>
      <c r="G14" s="11">
        <f t="shared" si="1"/>
        <v>15433.4895</v>
      </c>
      <c r="H14" s="8">
        <v>1</v>
      </c>
      <c r="I14" s="6" t="s">
        <v>19</v>
      </c>
      <c r="J14" s="6" t="s">
        <v>25</v>
      </c>
      <c r="K14" s="5" t="s">
        <v>35</v>
      </c>
    </row>
    <row r="15" spans="1:11" ht="15" customHeight="1" x14ac:dyDescent="0.25">
      <c r="A15" s="5" t="s">
        <v>97</v>
      </c>
      <c r="B15" s="5" t="s">
        <v>38</v>
      </c>
      <c r="C15" s="5" t="s">
        <v>39</v>
      </c>
      <c r="D15" s="5" t="s">
        <v>40</v>
      </c>
      <c r="E15" s="9">
        <v>779.8</v>
      </c>
      <c r="F15" s="10">
        <f t="shared" si="0"/>
        <v>183993.81</v>
      </c>
      <c r="G15" s="11">
        <f t="shared" si="1"/>
        <v>183993.81</v>
      </c>
      <c r="H15" s="8">
        <v>1</v>
      </c>
      <c r="I15" s="6" t="s">
        <v>19</v>
      </c>
      <c r="J15" s="6" t="s">
        <v>25</v>
      </c>
      <c r="K15" s="5" t="s">
        <v>21</v>
      </c>
    </row>
    <row r="16" spans="1:11" ht="15" customHeight="1" x14ac:dyDescent="0.25">
      <c r="A16" s="5" t="s">
        <v>97</v>
      </c>
      <c r="B16" s="5" t="s">
        <v>41</v>
      </c>
      <c r="C16" s="5" t="s">
        <v>42</v>
      </c>
      <c r="D16" s="5" t="s">
        <v>43</v>
      </c>
      <c r="E16" s="9">
        <v>65.75</v>
      </c>
      <c r="F16" s="10">
        <f t="shared" si="0"/>
        <v>15513.712500000001</v>
      </c>
      <c r="G16" s="11">
        <f t="shared" si="1"/>
        <v>651575.92500000005</v>
      </c>
      <c r="H16" s="8">
        <v>42</v>
      </c>
      <c r="I16" s="6" t="s">
        <v>19</v>
      </c>
      <c r="J16" s="6" t="s">
        <v>25</v>
      </c>
      <c r="K16" s="5" t="s">
        <v>48</v>
      </c>
    </row>
    <row r="17" spans="1:11" ht="15" customHeight="1" x14ac:dyDescent="0.25">
      <c r="A17" s="5" t="s">
        <v>97</v>
      </c>
      <c r="B17" s="5" t="s">
        <v>32</v>
      </c>
      <c r="C17" s="5" t="s">
        <v>45</v>
      </c>
      <c r="D17" s="5" t="s">
        <v>103</v>
      </c>
      <c r="E17" s="9">
        <v>8.09</v>
      </c>
      <c r="F17" s="10">
        <f t="shared" si="0"/>
        <v>1908.8355000000001</v>
      </c>
      <c r="G17" s="11">
        <f t="shared" si="1"/>
        <v>80171.091</v>
      </c>
      <c r="H17" s="8">
        <v>42</v>
      </c>
      <c r="I17" s="6" t="s">
        <v>19</v>
      </c>
      <c r="J17" s="6" t="s">
        <v>25</v>
      </c>
      <c r="K17" s="5" t="s">
        <v>35</v>
      </c>
    </row>
    <row r="18" spans="1:11" ht="15" customHeight="1" x14ac:dyDescent="0.25">
      <c r="A18" s="5" t="s">
        <v>97</v>
      </c>
      <c r="B18" s="5" t="s">
        <v>41</v>
      </c>
      <c r="C18" s="5" t="s">
        <v>42</v>
      </c>
      <c r="D18" s="5" t="s">
        <v>47</v>
      </c>
      <c r="E18" s="9">
        <v>65.75</v>
      </c>
      <c r="F18" s="10">
        <f t="shared" si="0"/>
        <v>15513.712500000001</v>
      </c>
      <c r="G18" s="11">
        <f t="shared" si="1"/>
        <v>46541.137500000004</v>
      </c>
      <c r="H18" s="8">
        <v>3</v>
      </c>
      <c r="I18" s="6" t="s">
        <v>19</v>
      </c>
      <c r="J18" s="6" t="s">
        <v>25</v>
      </c>
      <c r="K18" s="5" t="s">
        <v>104</v>
      </c>
    </row>
    <row r="19" spans="1:11" ht="15" customHeight="1" x14ac:dyDescent="0.25">
      <c r="A19" s="5" t="s">
        <v>97</v>
      </c>
      <c r="B19" s="5" t="s">
        <v>32</v>
      </c>
      <c r="C19" s="5" t="s">
        <v>49</v>
      </c>
      <c r="D19" s="5" t="s">
        <v>50</v>
      </c>
      <c r="E19" s="9">
        <v>8.09</v>
      </c>
      <c r="F19" s="10">
        <f t="shared" si="0"/>
        <v>1908.8355000000001</v>
      </c>
      <c r="G19" s="11">
        <f t="shared" si="1"/>
        <v>5726.5065000000004</v>
      </c>
      <c r="H19" s="8">
        <v>3</v>
      </c>
      <c r="I19" s="6" t="s">
        <v>19</v>
      </c>
      <c r="J19" s="6" t="s">
        <v>25</v>
      </c>
      <c r="K19" s="5" t="s">
        <v>35</v>
      </c>
    </row>
    <row r="20" spans="1:11" ht="15" customHeight="1" x14ac:dyDescent="0.25">
      <c r="A20" s="5" t="s">
        <v>97</v>
      </c>
      <c r="B20" s="5" t="s">
        <v>41</v>
      </c>
      <c r="C20" s="5" t="s">
        <v>51</v>
      </c>
      <c r="D20" s="5" t="s">
        <v>105</v>
      </c>
      <c r="E20" s="9">
        <v>85.43</v>
      </c>
      <c r="F20" s="10">
        <f t="shared" si="0"/>
        <v>20157.208500000004</v>
      </c>
      <c r="G20" s="11">
        <f t="shared" si="1"/>
        <v>80628.834000000017</v>
      </c>
      <c r="H20" s="8">
        <v>4</v>
      </c>
      <c r="I20" s="6" t="s">
        <v>19</v>
      </c>
      <c r="J20" s="6" t="s">
        <v>25</v>
      </c>
      <c r="K20" s="5" t="s">
        <v>48</v>
      </c>
    </row>
    <row r="21" spans="1:11" ht="15" customHeight="1" x14ac:dyDescent="0.25">
      <c r="A21" s="5" t="s">
        <v>97</v>
      </c>
      <c r="B21" s="5" t="s">
        <v>32</v>
      </c>
      <c r="C21" s="5" t="s">
        <v>106</v>
      </c>
      <c r="D21" s="5" t="s">
        <v>107</v>
      </c>
      <c r="E21" s="9">
        <v>36.42</v>
      </c>
      <c r="F21" s="10">
        <f t="shared" si="0"/>
        <v>8593.2990000000009</v>
      </c>
      <c r="G21" s="11">
        <f t="shared" si="1"/>
        <v>34373.196000000004</v>
      </c>
      <c r="H21" s="8">
        <v>4</v>
      </c>
      <c r="I21" s="6" t="s">
        <v>19</v>
      </c>
      <c r="J21" s="6" t="s">
        <v>25</v>
      </c>
      <c r="K21" s="5" t="s">
        <v>35</v>
      </c>
    </row>
    <row r="22" spans="1:11" ht="15" customHeight="1" x14ac:dyDescent="0.25">
      <c r="A22" s="5" t="s">
        <v>97</v>
      </c>
      <c r="B22" s="5" t="s">
        <v>41</v>
      </c>
      <c r="C22" s="5" t="s">
        <v>51</v>
      </c>
      <c r="D22" s="5" t="s">
        <v>52</v>
      </c>
      <c r="E22" s="9">
        <v>85.43</v>
      </c>
      <c r="F22" s="10">
        <f t="shared" si="0"/>
        <v>20157.208500000004</v>
      </c>
      <c r="G22" s="11">
        <f t="shared" si="1"/>
        <v>40314.417000000009</v>
      </c>
      <c r="H22" s="8">
        <v>2</v>
      </c>
      <c r="I22" s="6" t="s">
        <v>19</v>
      </c>
      <c r="J22" s="6" t="s">
        <v>25</v>
      </c>
      <c r="K22" s="5" t="s">
        <v>48</v>
      </c>
    </row>
    <row r="23" spans="1:11" ht="15" customHeight="1" x14ac:dyDescent="0.25">
      <c r="A23" s="5" t="s">
        <v>97</v>
      </c>
      <c r="B23" s="5" t="s">
        <v>32</v>
      </c>
      <c r="C23" s="5" t="s">
        <v>53</v>
      </c>
      <c r="D23" s="5" t="s">
        <v>54</v>
      </c>
      <c r="E23" s="9">
        <v>36.42</v>
      </c>
      <c r="F23" s="10">
        <f t="shared" si="0"/>
        <v>8593.2990000000009</v>
      </c>
      <c r="G23" s="11">
        <f t="shared" si="1"/>
        <v>17186.598000000002</v>
      </c>
      <c r="H23" s="8">
        <v>2</v>
      </c>
      <c r="I23" s="6" t="s">
        <v>19</v>
      </c>
      <c r="J23" s="6" t="s">
        <v>25</v>
      </c>
      <c r="K23" s="5" t="s">
        <v>35</v>
      </c>
    </row>
    <row r="24" spans="1:11" ht="15" customHeight="1" x14ac:dyDescent="0.25">
      <c r="A24" s="5" t="s">
        <v>97</v>
      </c>
      <c r="B24" s="5" t="s">
        <v>41</v>
      </c>
      <c r="C24" s="5" t="s">
        <v>108</v>
      </c>
      <c r="D24" s="5" t="s">
        <v>109</v>
      </c>
      <c r="E24" s="9">
        <v>89.7</v>
      </c>
      <c r="F24" s="10">
        <f t="shared" si="0"/>
        <v>21164.715000000004</v>
      </c>
      <c r="G24" s="11">
        <f t="shared" si="1"/>
        <v>42329.430000000008</v>
      </c>
      <c r="H24" s="8">
        <v>2</v>
      </c>
      <c r="I24" s="6" t="s">
        <v>19</v>
      </c>
      <c r="J24" s="6" t="s">
        <v>25</v>
      </c>
      <c r="K24" s="5" t="s">
        <v>48</v>
      </c>
    </row>
    <row r="25" spans="1:11" ht="15" customHeight="1" x14ac:dyDescent="0.25">
      <c r="A25" s="5" t="s">
        <v>97</v>
      </c>
      <c r="B25" s="5" t="s">
        <v>32</v>
      </c>
      <c r="C25" s="5" t="s">
        <v>110</v>
      </c>
      <c r="D25" s="5" t="s">
        <v>111</v>
      </c>
      <c r="E25" s="9">
        <v>45.54</v>
      </c>
      <c r="F25" s="10">
        <f t="shared" si="0"/>
        <v>10745.163</v>
      </c>
      <c r="G25" s="11">
        <f t="shared" si="1"/>
        <v>21490.326000000001</v>
      </c>
      <c r="H25" s="8">
        <v>2</v>
      </c>
      <c r="I25" s="6" t="s">
        <v>19</v>
      </c>
      <c r="J25" s="6" t="s">
        <v>25</v>
      </c>
      <c r="K25" s="5" t="s">
        <v>35</v>
      </c>
    </row>
    <row r="26" spans="1:11" ht="15" customHeight="1" x14ac:dyDescent="0.25">
      <c r="A26" s="5" t="s">
        <v>97</v>
      </c>
      <c r="B26" s="5" t="s">
        <v>41</v>
      </c>
      <c r="C26" s="5" t="s">
        <v>108</v>
      </c>
      <c r="D26" s="5" t="s">
        <v>112</v>
      </c>
      <c r="E26" s="9">
        <v>89.7</v>
      </c>
      <c r="F26" s="10">
        <f t="shared" si="0"/>
        <v>21164.715000000004</v>
      </c>
      <c r="G26" s="11">
        <f t="shared" si="1"/>
        <v>21164.715000000004</v>
      </c>
      <c r="H26" s="8">
        <v>1</v>
      </c>
      <c r="I26" s="6" t="s">
        <v>19</v>
      </c>
      <c r="J26" s="6" t="s">
        <v>25</v>
      </c>
      <c r="K26" s="5" t="s">
        <v>48</v>
      </c>
    </row>
    <row r="27" spans="1:11" ht="15" customHeight="1" x14ac:dyDescent="0.25">
      <c r="A27" s="5" t="s">
        <v>97</v>
      </c>
      <c r="B27" s="5" t="s">
        <v>32</v>
      </c>
      <c r="C27" s="5" t="s">
        <v>113</v>
      </c>
      <c r="D27" s="5" t="s">
        <v>114</v>
      </c>
      <c r="E27" s="9">
        <v>47.38</v>
      </c>
      <c r="F27" s="10">
        <f t="shared" si="0"/>
        <v>11179.311000000002</v>
      </c>
      <c r="G27" s="11">
        <f t="shared" si="1"/>
        <v>11179.311000000002</v>
      </c>
      <c r="H27" s="8">
        <v>1</v>
      </c>
      <c r="I27" s="6" t="s">
        <v>19</v>
      </c>
      <c r="J27" s="6" t="s">
        <v>25</v>
      </c>
      <c r="K27" s="5" t="s">
        <v>35</v>
      </c>
    </row>
    <row r="28" spans="1:11" ht="15" customHeight="1" x14ac:dyDescent="0.25">
      <c r="A28" s="5" t="s">
        <v>97</v>
      </c>
      <c r="B28" s="5" t="s">
        <v>41</v>
      </c>
      <c r="C28" s="5" t="s">
        <v>42</v>
      </c>
      <c r="D28" s="5" t="s">
        <v>55</v>
      </c>
      <c r="E28" s="9">
        <v>65.75</v>
      </c>
      <c r="F28" s="10">
        <f t="shared" si="0"/>
        <v>15513.712500000001</v>
      </c>
      <c r="G28" s="11">
        <f t="shared" si="1"/>
        <v>15513.712500000001</v>
      </c>
      <c r="H28" s="8">
        <v>1</v>
      </c>
      <c r="I28" s="6" t="s">
        <v>19</v>
      </c>
      <c r="J28" s="6" t="s">
        <v>25</v>
      </c>
      <c r="K28" s="5" t="s">
        <v>21</v>
      </c>
    </row>
    <row r="29" spans="1:11" ht="15" customHeight="1" x14ac:dyDescent="0.25">
      <c r="A29" s="5" t="s">
        <v>97</v>
      </c>
      <c r="B29" s="5" t="s">
        <v>41</v>
      </c>
      <c r="C29" s="5" t="s">
        <v>51</v>
      </c>
      <c r="D29" s="5" t="s">
        <v>115</v>
      </c>
      <c r="E29" s="9">
        <v>85.43</v>
      </c>
      <c r="F29" s="10">
        <f t="shared" si="0"/>
        <v>20157.208500000004</v>
      </c>
      <c r="G29" s="11">
        <f t="shared" si="1"/>
        <v>60471.625500000009</v>
      </c>
      <c r="H29" s="8">
        <v>3</v>
      </c>
      <c r="I29" s="6" t="s">
        <v>19</v>
      </c>
      <c r="J29" s="6" t="s">
        <v>25</v>
      </c>
      <c r="K29" s="5" t="s">
        <v>21</v>
      </c>
    </row>
    <row r="30" spans="1:11" ht="15" customHeight="1" x14ac:dyDescent="0.25">
      <c r="A30" s="5" t="s">
        <v>97</v>
      </c>
      <c r="B30" s="5" t="s">
        <v>41</v>
      </c>
      <c r="C30" s="5" t="s">
        <v>108</v>
      </c>
      <c r="D30" s="5" t="s">
        <v>116</v>
      </c>
      <c r="E30" s="9">
        <v>89.7</v>
      </c>
      <c r="F30" s="10">
        <f t="shared" si="0"/>
        <v>21164.715000000004</v>
      </c>
      <c r="G30" s="11">
        <f t="shared" si="1"/>
        <v>21164.715000000004</v>
      </c>
      <c r="H30" s="8">
        <v>1</v>
      </c>
      <c r="I30" s="6" t="s">
        <v>19</v>
      </c>
      <c r="J30" s="6" t="s">
        <v>25</v>
      </c>
      <c r="K30" s="5" t="s">
        <v>21</v>
      </c>
    </row>
    <row r="31" spans="1:11" ht="15" customHeight="1" x14ac:dyDescent="0.25">
      <c r="A31" s="5" t="s">
        <v>97</v>
      </c>
      <c r="B31" s="5" t="s">
        <v>41</v>
      </c>
      <c r="C31" s="5" t="s">
        <v>117</v>
      </c>
      <c r="D31" s="5" t="s">
        <v>118</v>
      </c>
      <c r="E31" s="9">
        <v>111.1</v>
      </c>
      <c r="F31" s="10">
        <f t="shared" si="0"/>
        <v>26214.044999999998</v>
      </c>
      <c r="G31" s="11">
        <f t="shared" si="1"/>
        <v>52428.09</v>
      </c>
      <c r="H31" s="8">
        <v>2</v>
      </c>
      <c r="I31" s="6" t="s">
        <v>19</v>
      </c>
      <c r="J31" s="6" t="s">
        <v>25</v>
      </c>
      <c r="K31" s="5" t="s">
        <v>21</v>
      </c>
    </row>
    <row r="32" spans="1:11" ht="15" customHeight="1" x14ac:dyDescent="0.25">
      <c r="A32" s="12" t="s">
        <v>97</v>
      </c>
      <c r="B32" s="5" t="s">
        <v>41</v>
      </c>
      <c r="C32" s="14" t="s">
        <v>258</v>
      </c>
      <c r="D32" s="12" t="s">
        <v>259</v>
      </c>
      <c r="E32" s="15">
        <v>493.7</v>
      </c>
      <c r="F32" s="10">
        <f t="shared" ref="F32" si="2">E32*0.33*1.3*$B$2</f>
        <v>116488.515</v>
      </c>
      <c r="G32" s="11">
        <f t="shared" ref="G32" si="3">F32*H32</f>
        <v>116488.515</v>
      </c>
      <c r="H32" s="16">
        <v>1</v>
      </c>
      <c r="I32" s="13" t="s">
        <v>19</v>
      </c>
      <c r="J32" s="13" t="s">
        <v>25</v>
      </c>
      <c r="K32" s="12" t="s">
        <v>119</v>
      </c>
    </row>
    <row r="33" spans="1:11" ht="15" customHeight="1" x14ac:dyDescent="0.25">
      <c r="A33" s="5" t="s">
        <v>97</v>
      </c>
      <c r="B33" s="5" t="s">
        <v>32</v>
      </c>
      <c r="C33" s="5" t="s">
        <v>53</v>
      </c>
      <c r="D33" s="5" t="s">
        <v>57</v>
      </c>
      <c r="E33" s="9">
        <v>36.42</v>
      </c>
      <c r="F33" s="10">
        <f t="shared" ref="F33:F42" si="4">E33*0.33*1.3*$B$2</f>
        <v>8593.2990000000009</v>
      </c>
      <c r="G33" s="11">
        <f t="shared" ref="G33:G42" si="5">F33*H33</f>
        <v>17186.598000000002</v>
      </c>
      <c r="H33" s="8">
        <v>2</v>
      </c>
      <c r="I33" s="6" t="s">
        <v>19</v>
      </c>
      <c r="J33" s="6" t="s">
        <v>25</v>
      </c>
      <c r="K33" s="5" t="s">
        <v>35</v>
      </c>
    </row>
    <row r="34" spans="1:11" ht="15" customHeight="1" x14ac:dyDescent="0.25">
      <c r="A34" s="5" t="s">
        <v>97</v>
      </c>
      <c r="B34" s="5" t="s">
        <v>32</v>
      </c>
      <c r="C34" s="5" t="s">
        <v>113</v>
      </c>
      <c r="D34" s="5" t="s">
        <v>120</v>
      </c>
      <c r="E34" s="9">
        <v>47.38</v>
      </c>
      <c r="F34" s="10">
        <f t="shared" si="4"/>
        <v>11179.311000000002</v>
      </c>
      <c r="G34" s="11">
        <f t="shared" si="5"/>
        <v>11179.311000000002</v>
      </c>
      <c r="H34" s="8">
        <v>1</v>
      </c>
      <c r="I34" s="6" t="s">
        <v>19</v>
      </c>
      <c r="J34" s="6" t="s">
        <v>25</v>
      </c>
      <c r="K34" s="5" t="s">
        <v>35</v>
      </c>
    </row>
    <row r="35" spans="1:11" ht="15" customHeight="1" x14ac:dyDescent="0.25">
      <c r="A35" s="5" t="s">
        <v>97</v>
      </c>
      <c r="B35" s="5" t="s">
        <v>32</v>
      </c>
      <c r="C35" s="5" t="s">
        <v>121</v>
      </c>
      <c r="D35" s="5" t="s">
        <v>122</v>
      </c>
      <c r="E35" s="9">
        <v>54.63</v>
      </c>
      <c r="F35" s="10">
        <f t="shared" si="4"/>
        <v>12889.948500000002</v>
      </c>
      <c r="G35" s="11">
        <f t="shared" si="5"/>
        <v>25779.897000000004</v>
      </c>
      <c r="H35" s="8">
        <v>2</v>
      </c>
      <c r="I35" s="6" t="s">
        <v>19</v>
      </c>
      <c r="J35" s="6" t="s">
        <v>25</v>
      </c>
      <c r="K35" s="5" t="s">
        <v>35</v>
      </c>
    </row>
    <row r="36" spans="1:11" ht="15" customHeight="1" x14ac:dyDescent="0.25">
      <c r="A36" s="5" t="s">
        <v>97</v>
      </c>
      <c r="B36" s="5" t="s">
        <v>32</v>
      </c>
      <c r="C36" s="5" t="s">
        <v>58</v>
      </c>
      <c r="D36" s="5" t="s">
        <v>123</v>
      </c>
      <c r="E36" s="9">
        <v>7.36</v>
      </c>
      <c r="F36" s="10">
        <f t="shared" si="4"/>
        <v>1736.5920000000003</v>
      </c>
      <c r="G36" s="11">
        <f t="shared" si="5"/>
        <v>27785.472000000005</v>
      </c>
      <c r="H36" s="8">
        <v>16</v>
      </c>
      <c r="I36" s="6" t="s">
        <v>19</v>
      </c>
      <c r="J36" s="6" t="s">
        <v>25</v>
      </c>
      <c r="K36" s="5" t="s">
        <v>35</v>
      </c>
    </row>
    <row r="37" spans="1:11" ht="15" customHeight="1" x14ac:dyDescent="0.25">
      <c r="A37" s="5" t="s">
        <v>97</v>
      </c>
      <c r="B37" s="5" t="s">
        <v>32</v>
      </c>
      <c r="C37" s="5" t="s">
        <v>61</v>
      </c>
      <c r="D37" s="5" t="s">
        <v>62</v>
      </c>
      <c r="E37" s="9">
        <v>8.83</v>
      </c>
      <c r="F37" s="10">
        <f t="shared" si="4"/>
        <v>2083.4385000000002</v>
      </c>
      <c r="G37" s="11">
        <f t="shared" si="5"/>
        <v>4166.8770000000004</v>
      </c>
      <c r="H37" s="8">
        <v>2</v>
      </c>
      <c r="I37" s="6" t="s">
        <v>19</v>
      </c>
      <c r="J37" s="6" t="s">
        <v>25</v>
      </c>
      <c r="K37" s="5" t="s">
        <v>35</v>
      </c>
    </row>
    <row r="38" spans="1:11" ht="15" customHeight="1" x14ac:dyDescent="0.25">
      <c r="A38" s="5" t="s">
        <v>97</v>
      </c>
      <c r="B38" s="5" t="s">
        <v>63</v>
      </c>
      <c r="C38" s="5" t="s">
        <v>124</v>
      </c>
      <c r="D38" s="5" t="s">
        <v>247</v>
      </c>
      <c r="E38" s="9">
        <v>341.2</v>
      </c>
      <c r="F38" s="10">
        <f t="shared" si="4"/>
        <v>80506.140000000014</v>
      </c>
      <c r="G38" s="11">
        <f t="shared" si="5"/>
        <v>80506.140000000014</v>
      </c>
      <c r="H38" s="8">
        <v>1</v>
      </c>
      <c r="I38" s="6" t="s">
        <v>19</v>
      </c>
      <c r="J38" s="6" t="s">
        <v>25</v>
      </c>
      <c r="K38" s="5" t="s">
        <v>125</v>
      </c>
    </row>
    <row r="39" spans="1:11" ht="15" customHeight="1" x14ac:dyDescent="0.25">
      <c r="A39" s="5" t="s">
        <v>97</v>
      </c>
      <c r="B39" s="5" t="s">
        <v>63</v>
      </c>
      <c r="C39" s="5" t="s">
        <v>64</v>
      </c>
      <c r="D39" s="5" t="s">
        <v>126</v>
      </c>
      <c r="E39" s="9">
        <v>59.16</v>
      </c>
      <c r="F39" s="10">
        <f t="shared" si="4"/>
        <v>13958.802000000001</v>
      </c>
      <c r="G39" s="11">
        <f t="shared" si="5"/>
        <v>13958.802000000001</v>
      </c>
      <c r="H39" s="8">
        <v>1</v>
      </c>
      <c r="I39" s="6" t="s">
        <v>19</v>
      </c>
      <c r="J39" s="6" t="s">
        <v>25</v>
      </c>
      <c r="K39" s="5" t="s">
        <v>21</v>
      </c>
    </row>
    <row r="40" spans="1:11" ht="15" customHeight="1" x14ac:dyDescent="0.25">
      <c r="A40" s="5" t="s">
        <v>97</v>
      </c>
      <c r="B40" s="5" t="s">
        <v>63</v>
      </c>
      <c r="C40" s="5" t="s">
        <v>66</v>
      </c>
      <c r="D40" s="5" t="s">
        <v>127</v>
      </c>
      <c r="E40" s="9">
        <v>37.909999999999997</v>
      </c>
      <c r="F40" s="10">
        <f t="shared" si="4"/>
        <v>8944.8645000000015</v>
      </c>
      <c r="G40" s="11">
        <f t="shared" si="5"/>
        <v>116283.23850000002</v>
      </c>
      <c r="H40" s="8">
        <v>13</v>
      </c>
      <c r="I40" s="6" t="s">
        <v>19</v>
      </c>
      <c r="J40" s="6" t="s">
        <v>25</v>
      </c>
      <c r="K40" s="5" t="s">
        <v>21</v>
      </c>
    </row>
    <row r="41" spans="1:11" ht="15" customHeight="1" x14ac:dyDescent="0.25">
      <c r="A41" s="5" t="s">
        <v>97</v>
      </c>
      <c r="B41" s="5" t="s">
        <v>68</v>
      </c>
      <c r="C41" s="5" t="s">
        <v>69</v>
      </c>
      <c r="D41" s="5" t="s">
        <v>70</v>
      </c>
      <c r="E41" s="9">
        <v>36.090000000000003</v>
      </c>
      <c r="F41" s="10">
        <f t="shared" si="4"/>
        <v>8515.4355000000014</v>
      </c>
      <c r="G41" s="11">
        <f t="shared" si="5"/>
        <v>119216.09700000002</v>
      </c>
      <c r="H41" s="8">
        <v>14</v>
      </c>
      <c r="I41" s="6" t="s">
        <v>19</v>
      </c>
      <c r="J41" s="6" t="s">
        <v>25</v>
      </c>
      <c r="K41" s="5" t="s">
        <v>21</v>
      </c>
    </row>
    <row r="42" spans="1:11" ht="15" customHeight="1" x14ac:dyDescent="0.25">
      <c r="A42" s="5" t="s">
        <v>97</v>
      </c>
      <c r="B42" s="5" t="s">
        <v>255</v>
      </c>
      <c r="C42" s="5" t="s">
        <v>129</v>
      </c>
      <c r="D42" s="5" t="s">
        <v>130</v>
      </c>
      <c r="E42" s="9">
        <v>62.53</v>
      </c>
      <c r="F42" s="10">
        <f t="shared" si="4"/>
        <v>14753.953500000001</v>
      </c>
      <c r="G42" s="11">
        <f t="shared" si="5"/>
        <v>14753.953500000001</v>
      </c>
      <c r="H42" s="8">
        <v>1</v>
      </c>
      <c r="I42" s="6" t="s">
        <v>19</v>
      </c>
      <c r="J42" s="6" t="s">
        <v>25</v>
      </c>
      <c r="K42" s="5" t="s">
        <v>131</v>
      </c>
    </row>
    <row r="43" spans="1:11" ht="15" customHeight="1" x14ac:dyDescent="0.25">
      <c r="A43" s="12" t="s">
        <v>97</v>
      </c>
      <c r="B43" s="5" t="s">
        <v>255</v>
      </c>
      <c r="C43" s="14" t="s">
        <v>251</v>
      </c>
      <c r="D43" s="12" t="s">
        <v>252</v>
      </c>
      <c r="E43" s="15">
        <v>67.83</v>
      </c>
      <c r="F43" s="10">
        <f t="shared" ref="F43:F44" si="6">E43*0.33*1.3*$B$2</f>
        <v>16004.488500000001</v>
      </c>
      <c r="G43" s="11">
        <f t="shared" ref="G43:G44" si="7">F43*H43</f>
        <v>32008.977000000003</v>
      </c>
      <c r="H43" s="16">
        <v>2</v>
      </c>
      <c r="I43" s="13" t="s">
        <v>19</v>
      </c>
      <c r="J43" s="13" t="s">
        <v>25</v>
      </c>
      <c r="K43" s="12" t="s">
        <v>102</v>
      </c>
    </row>
    <row r="44" spans="1:11" ht="15" customHeight="1" x14ac:dyDescent="0.25">
      <c r="A44" s="12" t="s">
        <v>97</v>
      </c>
      <c r="B44" s="5" t="s">
        <v>255</v>
      </c>
      <c r="C44" s="14" t="s">
        <v>253</v>
      </c>
      <c r="D44" s="12" t="s">
        <v>254</v>
      </c>
      <c r="E44" s="15">
        <v>61.91</v>
      </c>
      <c r="F44" s="10">
        <f t="shared" si="6"/>
        <v>14607.664500000001</v>
      </c>
      <c r="G44" s="11">
        <f t="shared" si="7"/>
        <v>14607.664500000001</v>
      </c>
      <c r="H44" s="16">
        <v>1</v>
      </c>
      <c r="I44" s="13" t="s">
        <v>19</v>
      </c>
      <c r="J44" s="13" t="s">
        <v>25</v>
      </c>
      <c r="K44" s="12" t="s">
        <v>102</v>
      </c>
    </row>
    <row r="45" spans="1:11" ht="15" customHeight="1" x14ac:dyDescent="0.25">
      <c r="A45" s="5" t="s">
        <v>97</v>
      </c>
      <c r="B45" s="5" t="s">
        <v>71</v>
      </c>
      <c r="C45" s="5" t="s">
        <v>72</v>
      </c>
      <c r="D45" s="5" t="s">
        <v>73</v>
      </c>
      <c r="E45" s="9">
        <v>16.27</v>
      </c>
      <c r="F45" s="10">
        <f>E45*0.33*1.3*$B$2</f>
        <v>3838.9065000000005</v>
      </c>
      <c r="G45" s="11">
        <f t="shared" ref="G45:G50" si="8">F45*H45</f>
        <v>3838.9065000000005</v>
      </c>
      <c r="H45" s="8">
        <v>1</v>
      </c>
      <c r="I45" s="6" t="s">
        <v>19</v>
      </c>
      <c r="J45" s="6" t="s">
        <v>25</v>
      </c>
      <c r="K45" s="5" t="s">
        <v>21</v>
      </c>
    </row>
    <row r="46" spans="1:11" ht="15" customHeight="1" x14ac:dyDescent="0.25">
      <c r="A46" s="5" t="s">
        <v>97</v>
      </c>
      <c r="B46" s="5" t="s">
        <v>71</v>
      </c>
      <c r="C46" s="5" t="s">
        <v>74</v>
      </c>
      <c r="D46" s="5" t="s">
        <v>75</v>
      </c>
      <c r="E46" s="9">
        <v>1.1399999999999999</v>
      </c>
      <c r="F46" s="10">
        <f>E46*0.33*1.3*$B$2</f>
        <v>268.983</v>
      </c>
      <c r="G46" s="11">
        <f t="shared" si="8"/>
        <v>268.983</v>
      </c>
      <c r="H46" s="8">
        <v>1</v>
      </c>
      <c r="I46" s="6" t="s">
        <v>19</v>
      </c>
      <c r="J46" s="6" t="s">
        <v>25</v>
      </c>
      <c r="K46" s="5" t="s">
        <v>21</v>
      </c>
    </row>
    <row r="47" spans="1:11" ht="15" customHeight="1" x14ac:dyDescent="0.25">
      <c r="A47" s="5" t="s">
        <v>97</v>
      </c>
      <c r="B47" s="5" t="s">
        <v>71</v>
      </c>
      <c r="C47" s="5" t="s">
        <v>76</v>
      </c>
      <c r="D47" s="5" t="s">
        <v>77</v>
      </c>
      <c r="E47" s="9">
        <v>4.5999999999999996</v>
      </c>
      <c r="F47" s="10">
        <f>E47*0.33*1.3*$B$2</f>
        <v>1085.3700000000001</v>
      </c>
      <c r="G47" s="11">
        <f t="shared" si="8"/>
        <v>1085.3700000000001</v>
      </c>
      <c r="H47" s="8">
        <v>1</v>
      </c>
      <c r="I47" s="6" t="s">
        <v>19</v>
      </c>
      <c r="J47" s="6" t="s">
        <v>25</v>
      </c>
      <c r="K47" s="5" t="s">
        <v>21</v>
      </c>
    </row>
    <row r="48" spans="1:11" ht="15" customHeight="1" x14ac:dyDescent="0.25">
      <c r="A48" s="5" t="s">
        <v>97</v>
      </c>
      <c r="B48" s="5" t="s">
        <v>78</v>
      </c>
      <c r="C48" s="5" t="s">
        <v>79</v>
      </c>
      <c r="D48" s="5" t="s">
        <v>80</v>
      </c>
      <c r="E48" s="9">
        <v>4.5999999999999996</v>
      </c>
      <c r="F48" s="10">
        <f>E48*0.33*1.3*$B$2</f>
        <v>1085.3700000000001</v>
      </c>
      <c r="G48" s="11">
        <f t="shared" si="8"/>
        <v>4341.4800000000005</v>
      </c>
      <c r="H48" s="8">
        <v>4</v>
      </c>
      <c r="I48" s="6" t="s">
        <v>19</v>
      </c>
      <c r="J48" s="6" t="s">
        <v>25</v>
      </c>
      <c r="K48" s="5" t="s">
        <v>21</v>
      </c>
    </row>
    <row r="49" spans="1:11" ht="15" customHeight="1" x14ac:dyDescent="0.25">
      <c r="A49" s="5" t="s">
        <v>97</v>
      </c>
      <c r="B49" s="5" t="s">
        <v>81</v>
      </c>
      <c r="C49" s="5" t="s">
        <v>82</v>
      </c>
      <c r="D49" s="5" t="s">
        <v>83</v>
      </c>
      <c r="E49" s="9">
        <v>361.2</v>
      </c>
      <c r="F49" s="10">
        <f>E49*0.33*1.3*$B$2</f>
        <v>85225.14</v>
      </c>
      <c r="G49" s="11">
        <f t="shared" si="8"/>
        <v>85225.14</v>
      </c>
      <c r="H49" s="8">
        <v>1</v>
      </c>
      <c r="I49" s="6" t="s">
        <v>19</v>
      </c>
      <c r="J49" s="6" t="s">
        <v>25</v>
      </c>
      <c r="K49" s="5" t="s">
        <v>21</v>
      </c>
    </row>
    <row r="50" spans="1:11" ht="15" customHeight="1" x14ac:dyDescent="0.25">
      <c r="A50" s="12" t="s">
        <v>97</v>
      </c>
      <c r="B50" s="12" t="s">
        <v>84</v>
      </c>
      <c r="C50" s="14" t="s">
        <v>260</v>
      </c>
      <c r="D50" s="12" t="s">
        <v>86</v>
      </c>
      <c r="E50" s="15" t="s">
        <v>18</v>
      </c>
      <c r="F50" s="7">
        <v>6500</v>
      </c>
      <c r="G50" s="11">
        <f t="shared" si="8"/>
        <v>6500</v>
      </c>
      <c r="H50" s="16">
        <v>1</v>
      </c>
      <c r="I50" s="13" t="s">
        <v>87</v>
      </c>
      <c r="J50" s="13" t="s">
        <v>261</v>
      </c>
      <c r="K50" s="12" t="s">
        <v>88</v>
      </c>
    </row>
    <row r="51" spans="1:11" ht="15" customHeight="1" x14ac:dyDescent="0.25">
      <c r="A51" s="5" t="s">
        <v>97</v>
      </c>
      <c r="B51" s="5" t="s">
        <v>89</v>
      </c>
      <c r="C51" s="5"/>
      <c r="D51" s="5" t="s">
        <v>90</v>
      </c>
      <c r="E51" s="7" t="s">
        <v>18</v>
      </c>
      <c r="F51" s="7">
        <f ca="1">OFFSET(F51,1,1)</f>
        <v>240000</v>
      </c>
      <c r="G51" s="7">
        <f ca="1">H51*F51</f>
        <v>240000</v>
      </c>
      <c r="H51" s="8">
        <v>1</v>
      </c>
      <c r="I51" s="6" t="s">
        <v>87</v>
      </c>
      <c r="J51" s="6" t="s">
        <v>18</v>
      </c>
      <c r="K51" s="5" t="s">
        <v>91</v>
      </c>
    </row>
    <row r="52" spans="1:11" ht="15" customHeight="1" x14ac:dyDescent="0.25">
      <c r="A52" s="5" t="s">
        <v>97</v>
      </c>
      <c r="B52" s="5" t="s">
        <v>92</v>
      </c>
      <c r="C52" s="5"/>
      <c r="D52" s="5" t="s">
        <v>93</v>
      </c>
      <c r="E52" s="7" t="s">
        <v>18</v>
      </c>
      <c r="F52" s="7">
        <v>20</v>
      </c>
      <c r="G52" s="7">
        <f>H52*F52</f>
        <v>240000</v>
      </c>
      <c r="H52" s="8">
        <f>600*F52</f>
        <v>12000</v>
      </c>
      <c r="I52" s="6" t="s">
        <v>87</v>
      </c>
      <c r="J52" s="6" t="s">
        <v>18</v>
      </c>
      <c r="K52" s="5" t="s">
        <v>91</v>
      </c>
    </row>
    <row r="53" spans="1:11" ht="19.5" customHeight="1" x14ac:dyDescent="0.25">
      <c r="F53" s="17" t="s">
        <v>94</v>
      </c>
      <c r="G53" s="18">
        <f ca="1">SUM(G7:G52)</f>
        <v>3198973.080000001</v>
      </c>
    </row>
  </sheetData>
  <autoFilter ref="A5:K53" xr:uid="{00000000-0001-0000-0100-000000000000}"/>
  <mergeCells count="2">
    <mergeCell ref="A1:K1"/>
    <mergeCell ref="A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"/>
  <sheetViews>
    <sheetView zoomScaleNormal="100" workbookViewId="0"/>
  </sheetViews>
  <sheetFormatPr defaultColWidth="8.7109375" defaultRowHeight="15" x14ac:dyDescent="0.25"/>
  <cols>
    <col min="1" max="1" width="20" customWidth="1"/>
    <col min="2" max="2" width="52" customWidth="1"/>
    <col min="3" max="4" width="14" customWidth="1"/>
    <col min="5" max="5" width="16" customWidth="1"/>
    <col min="6" max="8" width="9" customWidth="1"/>
    <col min="9" max="9" width="7" customWidth="1"/>
    <col min="10" max="10" width="10" customWidth="1"/>
    <col min="11" max="11" width="18" customWidth="1"/>
    <col min="12" max="12" width="16" customWidth="1"/>
  </cols>
  <sheetData>
    <row r="1" spans="1:12" ht="19.5" customHeight="1" x14ac:dyDescent="0.25">
      <c r="A1" s="20" t="s">
        <v>132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25">
      <c r="A2" s="4" t="s">
        <v>133</v>
      </c>
      <c r="B2" s="4" t="s">
        <v>7</v>
      </c>
      <c r="C2" s="4" t="s">
        <v>134</v>
      </c>
      <c r="D2" s="4" t="s">
        <v>8</v>
      </c>
      <c r="E2" s="4" t="s">
        <v>135</v>
      </c>
      <c r="F2" s="4" t="s">
        <v>136</v>
      </c>
      <c r="G2" s="4" t="s">
        <v>137</v>
      </c>
      <c r="H2" s="4" t="s">
        <v>138</v>
      </c>
      <c r="I2" s="4" t="s">
        <v>12</v>
      </c>
      <c r="J2" s="4" t="s">
        <v>13</v>
      </c>
      <c r="K2" s="4" t="s">
        <v>10</v>
      </c>
      <c r="L2" s="4" t="s">
        <v>14</v>
      </c>
    </row>
    <row r="3" spans="1:12" ht="13.5" customHeight="1" x14ac:dyDescent="0.25">
      <c r="A3" s="6" t="s">
        <v>98</v>
      </c>
      <c r="B3" s="5" t="s">
        <v>139</v>
      </c>
      <c r="C3" s="6" t="s">
        <v>22</v>
      </c>
      <c r="D3" s="6" t="s">
        <v>140</v>
      </c>
      <c r="E3" s="6" t="s">
        <v>141</v>
      </c>
      <c r="F3" s="6">
        <v>0</v>
      </c>
      <c r="G3" s="6">
        <v>1</v>
      </c>
      <c r="H3" s="6">
        <v>1</v>
      </c>
      <c r="I3" s="6" t="s">
        <v>19</v>
      </c>
      <c r="J3" s="6" t="s">
        <v>25</v>
      </c>
      <c r="K3" s="6" t="s">
        <v>141</v>
      </c>
      <c r="L3" s="5" t="s">
        <v>21</v>
      </c>
    </row>
    <row r="4" spans="1:12" ht="13.5" customHeight="1" x14ac:dyDescent="0.25">
      <c r="A4" s="6" t="s">
        <v>100</v>
      </c>
      <c r="B4" s="5" t="s">
        <v>142</v>
      </c>
      <c r="C4" s="6" t="s">
        <v>143</v>
      </c>
      <c r="D4" s="6" t="s">
        <v>144</v>
      </c>
      <c r="E4" s="6" t="s">
        <v>145</v>
      </c>
      <c r="F4" s="6">
        <v>0</v>
      </c>
      <c r="G4" s="6">
        <v>1</v>
      </c>
      <c r="H4" s="6">
        <v>1</v>
      </c>
      <c r="I4" s="6" t="s">
        <v>19</v>
      </c>
      <c r="J4" s="6" t="s">
        <v>25</v>
      </c>
      <c r="K4" s="6" t="s">
        <v>145</v>
      </c>
      <c r="L4" s="5" t="s">
        <v>21</v>
      </c>
    </row>
    <row r="5" spans="1:12" ht="13.5" customHeight="1" x14ac:dyDescent="0.25">
      <c r="A5" s="13" t="s">
        <v>85</v>
      </c>
      <c r="B5" s="12" t="s">
        <v>146</v>
      </c>
      <c r="C5" s="13" t="s">
        <v>22</v>
      </c>
      <c r="D5" s="13" t="s">
        <v>18</v>
      </c>
      <c r="E5" s="13" t="s">
        <v>18</v>
      </c>
      <c r="F5" s="13">
        <v>0</v>
      </c>
      <c r="G5" s="13">
        <v>1</v>
      </c>
      <c r="H5" s="13">
        <v>1</v>
      </c>
      <c r="I5" s="13" t="s">
        <v>19</v>
      </c>
      <c r="J5" s="13" t="s">
        <v>25</v>
      </c>
      <c r="K5" s="13" t="s">
        <v>18</v>
      </c>
      <c r="L5" s="12" t="s">
        <v>147</v>
      </c>
    </row>
    <row r="6" spans="1:12" ht="13.5" customHeight="1" x14ac:dyDescent="0.25">
      <c r="A6" s="6" t="s">
        <v>23</v>
      </c>
      <c r="B6" s="5" t="s">
        <v>148</v>
      </c>
      <c r="C6" s="6" t="s">
        <v>22</v>
      </c>
      <c r="D6" s="6" t="s">
        <v>149</v>
      </c>
      <c r="E6" s="6" t="s">
        <v>150</v>
      </c>
      <c r="F6" s="6">
        <v>1</v>
      </c>
      <c r="G6" s="6">
        <v>1</v>
      </c>
      <c r="H6" s="6">
        <v>2</v>
      </c>
      <c r="I6" s="6" t="s">
        <v>19</v>
      </c>
      <c r="J6" s="6" t="s">
        <v>25</v>
      </c>
      <c r="K6" s="6" t="s">
        <v>151</v>
      </c>
      <c r="L6" s="5" t="s">
        <v>21</v>
      </c>
    </row>
    <row r="7" spans="1:12" ht="13.5" customHeight="1" x14ac:dyDescent="0.25">
      <c r="A7" s="6" t="s">
        <v>27</v>
      </c>
      <c r="B7" s="5" t="s">
        <v>152</v>
      </c>
      <c r="C7" s="6" t="s">
        <v>143</v>
      </c>
      <c r="D7" s="6" t="s">
        <v>153</v>
      </c>
      <c r="E7" s="6" t="s">
        <v>154</v>
      </c>
      <c r="F7" s="6">
        <v>1</v>
      </c>
      <c r="G7" s="6">
        <v>0</v>
      </c>
      <c r="H7" s="6">
        <v>1</v>
      </c>
      <c r="I7" s="6" t="s">
        <v>19</v>
      </c>
      <c r="J7" s="6" t="s">
        <v>25</v>
      </c>
      <c r="K7" s="6" t="s">
        <v>154</v>
      </c>
      <c r="L7" s="5" t="s">
        <v>21</v>
      </c>
    </row>
    <row r="8" spans="1:12" ht="13.5" customHeight="1" x14ac:dyDescent="0.25">
      <c r="A8" s="6" t="s">
        <v>42</v>
      </c>
      <c r="B8" s="5" t="s">
        <v>155</v>
      </c>
      <c r="C8" s="6" t="s">
        <v>41</v>
      </c>
      <c r="D8" s="6" t="s">
        <v>156</v>
      </c>
      <c r="E8" s="6" t="s">
        <v>157</v>
      </c>
      <c r="F8" s="6">
        <v>52</v>
      </c>
      <c r="G8" s="6">
        <v>46</v>
      </c>
      <c r="H8" s="6">
        <v>98</v>
      </c>
      <c r="I8" s="6" t="s">
        <v>19</v>
      </c>
      <c r="J8" s="6" t="s">
        <v>25</v>
      </c>
      <c r="K8" s="6" t="s">
        <v>158</v>
      </c>
      <c r="L8" s="5" t="s">
        <v>21</v>
      </c>
    </row>
    <row r="9" spans="1:12" ht="13.5" customHeight="1" x14ac:dyDescent="0.25">
      <c r="A9" s="6" t="s">
        <v>51</v>
      </c>
      <c r="B9" s="5" t="s">
        <v>159</v>
      </c>
      <c r="C9" s="6" t="s">
        <v>41</v>
      </c>
      <c r="D9" s="6" t="s">
        <v>160</v>
      </c>
      <c r="E9" s="6" t="s">
        <v>161</v>
      </c>
      <c r="F9" s="6">
        <v>3</v>
      </c>
      <c r="G9" s="6">
        <v>9</v>
      </c>
      <c r="H9" s="6">
        <v>12</v>
      </c>
      <c r="I9" s="6" t="s">
        <v>19</v>
      </c>
      <c r="J9" s="6" t="s">
        <v>25</v>
      </c>
      <c r="K9" s="6" t="s">
        <v>162</v>
      </c>
      <c r="L9" s="5" t="s">
        <v>21</v>
      </c>
    </row>
    <row r="10" spans="1:12" ht="13.5" customHeight="1" x14ac:dyDescent="0.25">
      <c r="A10" s="6" t="s">
        <v>108</v>
      </c>
      <c r="B10" s="5" t="s">
        <v>163</v>
      </c>
      <c r="C10" s="6" t="s">
        <v>41</v>
      </c>
      <c r="D10" s="6" t="s">
        <v>164</v>
      </c>
      <c r="E10" s="6" t="s">
        <v>165</v>
      </c>
      <c r="F10" s="6">
        <v>0</v>
      </c>
      <c r="G10" s="6">
        <v>3</v>
      </c>
      <c r="H10" s="6">
        <v>3</v>
      </c>
      <c r="I10" s="6" t="s">
        <v>19</v>
      </c>
      <c r="J10" s="6" t="s">
        <v>25</v>
      </c>
      <c r="K10" s="6" t="s">
        <v>166</v>
      </c>
      <c r="L10" s="5" t="s">
        <v>21</v>
      </c>
    </row>
    <row r="11" spans="1:12" ht="13.5" customHeight="1" x14ac:dyDescent="0.25">
      <c r="A11" s="6" t="s">
        <v>117</v>
      </c>
      <c r="B11" s="5" t="s">
        <v>167</v>
      </c>
      <c r="C11" s="6" t="s">
        <v>41</v>
      </c>
      <c r="D11" s="6" t="s">
        <v>168</v>
      </c>
      <c r="E11" s="6" t="s">
        <v>169</v>
      </c>
      <c r="F11" s="6">
        <v>0</v>
      </c>
      <c r="G11" s="6">
        <v>2</v>
      </c>
      <c r="H11" s="6">
        <v>2</v>
      </c>
      <c r="I11" s="6" t="s">
        <v>19</v>
      </c>
      <c r="J11" s="6" t="s">
        <v>25</v>
      </c>
      <c r="K11" s="6" t="s">
        <v>170</v>
      </c>
      <c r="L11" s="5" t="s">
        <v>21</v>
      </c>
    </row>
    <row r="12" spans="1:12" ht="13.5" customHeight="1" x14ac:dyDescent="0.25">
      <c r="A12" s="13" t="s">
        <v>85</v>
      </c>
      <c r="B12" s="12" t="s">
        <v>171</v>
      </c>
      <c r="C12" s="13" t="s">
        <v>41</v>
      </c>
      <c r="D12" s="13" t="s">
        <v>18</v>
      </c>
      <c r="E12" s="13" t="s">
        <v>18</v>
      </c>
      <c r="F12" s="13">
        <v>0</v>
      </c>
      <c r="G12" s="13">
        <v>1</v>
      </c>
      <c r="H12" s="13">
        <v>1</v>
      </c>
      <c r="I12" s="13" t="s">
        <v>19</v>
      </c>
      <c r="J12" s="13" t="s">
        <v>25</v>
      </c>
      <c r="K12" s="13" t="s">
        <v>18</v>
      </c>
      <c r="L12" s="12" t="s">
        <v>147</v>
      </c>
    </row>
    <row r="13" spans="1:12" ht="13.5" customHeight="1" x14ac:dyDescent="0.25">
      <c r="A13" s="6" t="s">
        <v>45</v>
      </c>
      <c r="B13" s="5" t="s">
        <v>172</v>
      </c>
      <c r="C13" s="6" t="s">
        <v>32</v>
      </c>
      <c r="D13" s="6" t="s">
        <v>173</v>
      </c>
      <c r="E13" s="6" t="s">
        <v>174</v>
      </c>
      <c r="F13" s="6">
        <v>47</v>
      </c>
      <c r="G13" s="6">
        <v>42</v>
      </c>
      <c r="H13" s="6">
        <v>89</v>
      </c>
      <c r="I13" s="6" t="s">
        <v>19</v>
      </c>
      <c r="J13" s="6" t="s">
        <v>25</v>
      </c>
      <c r="K13" s="6" t="s">
        <v>175</v>
      </c>
      <c r="L13" s="5" t="s">
        <v>21</v>
      </c>
    </row>
    <row r="14" spans="1:12" ht="13.5" customHeight="1" x14ac:dyDescent="0.25">
      <c r="A14" s="6" t="s">
        <v>49</v>
      </c>
      <c r="B14" s="5" t="s">
        <v>176</v>
      </c>
      <c r="C14" s="6" t="s">
        <v>32</v>
      </c>
      <c r="D14" s="6" t="s">
        <v>173</v>
      </c>
      <c r="E14" s="6" t="s">
        <v>174</v>
      </c>
      <c r="F14" s="6">
        <v>4</v>
      </c>
      <c r="G14" s="6">
        <v>3</v>
      </c>
      <c r="H14" s="6">
        <v>7</v>
      </c>
      <c r="I14" s="6" t="s">
        <v>19</v>
      </c>
      <c r="J14" s="6" t="s">
        <v>25</v>
      </c>
      <c r="K14" s="6" t="s">
        <v>177</v>
      </c>
      <c r="L14" s="5" t="s">
        <v>21</v>
      </c>
    </row>
    <row r="15" spans="1:12" ht="13.5" customHeight="1" x14ac:dyDescent="0.25">
      <c r="A15" s="6" t="s">
        <v>33</v>
      </c>
      <c r="B15" s="5" t="s">
        <v>178</v>
      </c>
      <c r="C15" s="6" t="s">
        <v>32</v>
      </c>
      <c r="D15" s="6" t="s">
        <v>179</v>
      </c>
      <c r="E15" s="6" t="s">
        <v>180</v>
      </c>
      <c r="F15" s="6">
        <v>3</v>
      </c>
      <c r="G15" s="6">
        <v>3</v>
      </c>
      <c r="H15" s="6">
        <v>6</v>
      </c>
      <c r="I15" s="6" t="s">
        <v>19</v>
      </c>
      <c r="J15" s="6" t="s">
        <v>25</v>
      </c>
      <c r="K15" s="6" t="s">
        <v>181</v>
      </c>
      <c r="L15" s="5" t="s">
        <v>21</v>
      </c>
    </row>
    <row r="16" spans="1:12" ht="13.5" customHeight="1" x14ac:dyDescent="0.25">
      <c r="A16" s="6" t="s">
        <v>58</v>
      </c>
      <c r="B16" s="5" t="s">
        <v>123</v>
      </c>
      <c r="C16" s="6" t="s">
        <v>32</v>
      </c>
      <c r="D16" s="6" t="s">
        <v>182</v>
      </c>
      <c r="E16" s="6" t="s">
        <v>183</v>
      </c>
      <c r="F16" s="6">
        <v>10</v>
      </c>
      <c r="G16" s="6">
        <v>16</v>
      </c>
      <c r="H16" s="6">
        <v>26</v>
      </c>
      <c r="I16" s="6" t="s">
        <v>19</v>
      </c>
      <c r="J16" s="6" t="s">
        <v>25</v>
      </c>
      <c r="K16" s="6" t="s">
        <v>184</v>
      </c>
      <c r="L16" s="5" t="s">
        <v>21</v>
      </c>
    </row>
    <row r="17" spans="1:12" ht="13.5" customHeight="1" x14ac:dyDescent="0.25">
      <c r="A17" s="6" t="s">
        <v>61</v>
      </c>
      <c r="B17" s="5" t="s">
        <v>185</v>
      </c>
      <c r="C17" s="6" t="s">
        <v>32</v>
      </c>
      <c r="D17" s="6" t="s">
        <v>186</v>
      </c>
      <c r="E17" s="6" t="s">
        <v>187</v>
      </c>
      <c r="F17" s="6">
        <v>1</v>
      </c>
      <c r="G17" s="6">
        <v>2</v>
      </c>
      <c r="H17" s="6">
        <v>3</v>
      </c>
      <c r="I17" s="6" t="s">
        <v>19</v>
      </c>
      <c r="J17" s="6" t="s">
        <v>25</v>
      </c>
      <c r="K17" s="6" t="s">
        <v>188</v>
      </c>
      <c r="L17" s="5" t="s">
        <v>21</v>
      </c>
    </row>
    <row r="18" spans="1:12" ht="13.5" customHeight="1" x14ac:dyDescent="0.25">
      <c r="A18" s="6" t="s">
        <v>106</v>
      </c>
      <c r="B18" s="5" t="s">
        <v>189</v>
      </c>
      <c r="C18" s="6" t="s">
        <v>32</v>
      </c>
      <c r="D18" s="6" t="s">
        <v>190</v>
      </c>
      <c r="E18" s="6" t="s">
        <v>191</v>
      </c>
      <c r="F18" s="6">
        <v>0</v>
      </c>
      <c r="G18" s="6">
        <v>4</v>
      </c>
      <c r="H18" s="6">
        <v>4</v>
      </c>
      <c r="I18" s="6" t="s">
        <v>19</v>
      </c>
      <c r="J18" s="6" t="s">
        <v>25</v>
      </c>
      <c r="K18" s="6" t="s">
        <v>192</v>
      </c>
      <c r="L18" s="5" t="s">
        <v>21</v>
      </c>
    </row>
    <row r="19" spans="1:12" ht="13.5" customHeight="1" x14ac:dyDescent="0.25">
      <c r="A19" s="6" t="s">
        <v>53</v>
      </c>
      <c r="B19" s="5" t="s">
        <v>193</v>
      </c>
      <c r="C19" s="6" t="s">
        <v>32</v>
      </c>
      <c r="D19" s="6" t="s">
        <v>190</v>
      </c>
      <c r="E19" s="6" t="s">
        <v>191</v>
      </c>
      <c r="F19" s="6">
        <v>4</v>
      </c>
      <c r="G19" s="6">
        <v>4</v>
      </c>
      <c r="H19" s="6">
        <v>8</v>
      </c>
      <c r="I19" s="6" t="s">
        <v>19</v>
      </c>
      <c r="J19" s="6" t="s">
        <v>25</v>
      </c>
      <c r="K19" s="6" t="s">
        <v>194</v>
      </c>
      <c r="L19" s="5" t="s">
        <v>21</v>
      </c>
    </row>
    <row r="20" spans="1:12" ht="13.5" customHeight="1" x14ac:dyDescent="0.25">
      <c r="A20" s="6" t="s">
        <v>110</v>
      </c>
      <c r="B20" s="5" t="s">
        <v>195</v>
      </c>
      <c r="C20" s="6" t="s">
        <v>32</v>
      </c>
      <c r="D20" s="6" t="s">
        <v>196</v>
      </c>
      <c r="E20" s="6" t="s">
        <v>197</v>
      </c>
      <c r="F20" s="6">
        <v>0</v>
      </c>
      <c r="G20" s="6">
        <v>2</v>
      </c>
      <c r="H20" s="6">
        <v>2</v>
      </c>
      <c r="I20" s="6" t="s">
        <v>19</v>
      </c>
      <c r="J20" s="6" t="s">
        <v>25</v>
      </c>
      <c r="K20" s="6" t="s">
        <v>198</v>
      </c>
      <c r="L20" s="5" t="s">
        <v>21</v>
      </c>
    </row>
    <row r="21" spans="1:12" ht="13.5" customHeight="1" x14ac:dyDescent="0.25">
      <c r="A21" s="6" t="s">
        <v>113</v>
      </c>
      <c r="B21" s="5" t="s">
        <v>120</v>
      </c>
      <c r="C21" s="6" t="s">
        <v>32</v>
      </c>
      <c r="D21" s="6" t="s">
        <v>199</v>
      </c>
      <c r="E21" s="6" t="s">
        <v>200</v>
      </c>
      <c r="F21" s="6">
        <v>0</v>
      </c>
      <c r="G21" s="6">
        <v>2</v>
      </c>
      <c r="H21" s="6">
        <v>2</v>
      </c>
      <c r="I21" s="6" t="s">
        <v>19</v>
      </c>
      <c r="J21" s="6" t="s">
        <v>25</v>
      </c>
      <c r="K21" s="6" t="s">
        <v>201</v>
      </c>
      <c r="L21" s="5" t="s">
        <v>21</v>
      </c>
    </row>
    <row r="22" spans="1:12" ht="13.5" customHeight="1" x14ac:dyDescent="0.25">
      <c r="A22" s="6" t="s">
        <v>121</v>
      </c>
      <c r="B22" s="5" t="s">
        <v>122</v>
      </c>
      <c r="C22" s="6" t="s">
        <v>32</v>
      </c>
      <c r="D22" s="6" t="s">
        <v>202</v>
      </c>
      <c r="E22" s="6" t="s">
        <v>203</v>
      </c>
      <c r="F22" s="6">
        <v>0</v>
      </c>
      <c r="G22" s="6">
        <v>2</v>
      </c>
      <c r="H22" s="6">
        <v>2</v>
      </c>
      <c r="I22" s="6" t="s">
        <v>19</v>
      </c>
      <c r="J22" s="6" t="s">
        <v>25</v>
      </c>
      <c r="K22" s="6" t="s">
        <v>204</v>
      </c>
      <c r="L22" s="5" t="s">
        <v>21</v>
      </c>
    </row>
    <row r="23" spans="1:12" ht="13.5" customHeight="1" x14ac:dyDescent="0.25">
      <c r="A23" s="6" t="s">
        <v>36</v>
      </c>
      <c r="B23" s="5" t="s">
        <v>205</v>
      </c>
      <c r="C23" s="6" t="s">
        <v>32</v>
      </c>
      <c r="D23" s="6" t="s">
        <v>206</v>
      </c>
      <c r="E23" s="6" t="s">
        <v>207</v>
      </c>
      <c r="F23" s="6">
        <v>1</v>
      </c>
      <c r="G23" s="6">
        <v>1</v>
      </c>
      <c r="H23" s="6">
        <v>2</v>
      </c>
      <c r="I23" s="6" t="s">
        <v>19</v>
      </c>
      <c r="J23" s="6" t="s">
        <v>25</v>
      </c>
      <c r="K23" s="6" t="s">
        <v>208</v>
      </c>
      <c r="L23" s="5" t="s">
        <v>21</v>
      </c>
    </row>
    <row r="24" spans="1:12" ht="13.5" customHeight="1" x14ac:dyDescent="0.25">
      <c r="A24" s="6" t="s">
        <v>39</v>
      </c>
      <c r="B24" s="5" t="s">
        <v>209</v>
      </c>
      <c r="C24" s="6" t="s">
        <v>210</v>
      </c>
      <c r="D24" s="6" t="s">
        <v>211</v>
      </c>
      <c r="E24" s="6" t="s">
        <v>212</v>
      </c>
      <c r="F24" s="6">
        <v>1</v>
      </c>
      <c r="G24" s="6">
        <v>1</v>
      </c>
      <c r="H24" s="6">
        <v>2</v>
      </c>
      <c r="I24" s="6" t="s">
        <v>19</v>
      </c>
      <c r="J24" s="6" t="s">
        <v>25</v>
      </c>
      <c r="K24" s="6" t="s">
        <v>213</v>
      </c>
      <c r="L24" s="5" t="s">
        <v>21</v>
      </c>
    </row>
    <row r="25" spans="1:12" ht="13.5" customHeight="1" x14ac:dyDescent="0.25">
      <c r="A25" s="6" t="s">
        <v>124</v>
      </c>
      <c r="B25" s="5" t="s">
        <v>214</v>
      </c>
      <c r="C25" s="6" t="s">
        <v>215</v>
      </c>
      <c r="D25" s="6" t="s">
        <v>216</v>
      </c>
      <c r="E25" s="6" t="s">
        <v>217</v>
      </c>
      <c r="F25" s="6">
        <v>0</v>
      </c>
      <c r="G25" s="6">
        <v>1</v>
      </c>
      <c r="H25" s="6">
        <v>1</v>
      </c>
      <c r="I25" s="6" t="s">
        <v>19</v>
      </c>
      <c r="J25" s="6" t="s">
        <v>25</v>
      </c>
      <c r="K25" s="6" t="s">
        <v>217</v>
      </c>
      <c r="L25" s="5" t="s">
        <v>21</v>
      </c>
    </row>
    <row r="26" spans="1:12" ht="13.5" customHeight="1" x14ac:dyDescent="0.25">
      <c r="A26" s="6" t="s">
        <v>64</v>
      </c>
      <c r="B26" s="5" t="s">
        <v>126</v>
      </c>
      <c r="C26" s="6" t="s">
        <v>215</v>
      </c>
      <c r="D26" s="6" t="s">
        <v>218</v>
      </c>
      <c r="E26" s="6" t="s">
        <v>219</v>
      </c>
      <c r="F26" s="6">
        <v>1</v>
      </c>
      <c r="G26" s="6">
        <v>1</v>
      </c>
      <c r="H26" s="6">
        <v>2</v>
      </c>
      <c r="I26" s="6" t="s">
        <v>19</v>
      </c>
      <c r="J26" s="6" t="s">
        <v>25</v>
      </c>
      <c r="K26" s="6" t="s">
        <v>220</v>
      </c>
      <c r="L26" s="5" t="s">
        <v>21</v>
      </c>
    </row>
    <row r="27" spans="1:12" ht="13.5" customHeight="1" x14ac:dyDescent="0.25">
      <c r="A27" s="6" t="s">
        <v>66</v>
      </c>
      <c r="B27" s="5" t="s">
        <v>127</v>
      </c>
      <c r="C27" s="6" t="s">
        <v>215</v>
      </c>
      <c r="D27" s="6" t="s">
        <v>221</v>
      </c>
      <c r="E27" s="6" t="s">
        <v>222</v>
      </c>
      <c r="F27" s="6">
        <v>9</v>
      </c>
      <c r="G27" s="6">
        <v>13</v>
      </c>
      <c r="H27" s="6">
        <v>22</v>
      </c>
      <c r="I27" s="6" t="s">
        <v>19</v>
      </c>
      <c r="J27" s="6" t="s">
        <v>25</v>
      </c>
      <c r="K27" s="6" t="s">
        <v>223</v>
      </c>
      <c r="L27" s="5" t="s">
        <v>21</v>
      </c>
    </row>
    <row r="28" spans="1:12" ht="13.5" customHeight="1" x14ac:dyDescent="0.25">
      <c r="A28" s="6" t="s">
        <v>69</v>
      </c>
      <c r="B28" s="5" t="s">
        <v>224</v>
      </c>
      <c r="C28" s="6" t="s">
        <v>68</v>
      </c>
      <c r="D28" s="6" t="s">
        <v>225</v>
      </c>
      <c r="E28" s="6" t="s">
        <v>226</v>
      </c>
      <c r="F28" s="6">
        <v>10</v>
      </c>
      <c r="G28" s="6">
        <v>14</v>
      </c>
      <c r="H28" s="6">
        <v>24</v>
      </c>
      <c r="I28" s="6" t="s">
        <v>19</v>
      </c>
      <c r="J28" s="6" t="s">
        <v>25</v>
      </c>
      <c r="K28" s="6" t="s">
        <v>227</v>
      </c>
      <c r="L28" s="5" t="s">
        <v>21</v>
      </c>
    </row>
    <row r="29" spans="1:12" ht="13.5" customHeight="1" x14ac:dyDescent="0.25">
      <c r="A29" s="6" t="s">
        <v>129</v>
      </c>
      <c r="B29" s="5" t="s">
        <v>130</v>
      </c>
      <c r="C29" s="6" t="s">
        <v>128</v>
      </c>
      <c r="D29" s="6" t="s">
        <v>228</v>
      </c>
      <c r="E29" s="6" t="s">
        <v>229</v>
      </c>
      <c r="F29" s="6">
        <v>0</v>
      </c>
      <c r="G29" s="6">
        <v>1</v>
      </c>
      <c r="H29" s="6">
        <v>1</v>
      </c>
      <c r="I29" s="6" t="s">
        <v>19</v>
      </c>
      <c r="J29" s="6" t="s">
        <v>25</v>
      </c>
      <c r="K29" s="6" t="s">
        <v>229</v>
      </c>
      <c r="L29" s="5" t="s">
        <v>21</v>
      </c>
    </row>
    <row r="30" spans="1:12" ht="13.5" customHeight="1" x14ac:dyDescent="0.25">
      <c r="A30" s="13" t="s">
        <v>85</v>
      </c>
      <c r="B30" s="12" t="s">
        <v>230</v>
      </c>
      <c r="C30" s="13" t="s">
        <v>128</v>
      </c>
      <c r="D30" s="13" t="s">
        <v>18</v>
      </c>
      <c r="E30" s="13" t="s">
        <v>18</v>
      </c>
      <c r="F30" s="13">
        <v>0</v>
      </c>
      <c r="G30" s="13">
        <v>2</v>
      </c>
      <c r="H30" s="13">
        <v>2</v>
      </c>
      <c r="I30" s="13" t="s">
        <v>19</v>
      </c>
      <c r="J30" s="13" t="s">
        <v>25</v>
      </c>
      <c r="K30" s="13" t="s">
        <v>18</v>
      </c>
      <c r="L30" s="12" t="s">
        <v>147</v>
      </c>
    </row>
    <row r="31" spans="1:12" ht="13.5" customHeight="1" x14ac:dyDescent="0.25">
      <c r="A31" s="13" t="s">
        <v>85</v>
      </c>
      <c r="B31" s="12" t="s">
        <v>231</v>
      </c>
      <c r="C31" s="13" t="s">
        <v>128</v>
      </c>
      <c r="D31" s="13" t="s">
        <v>18</v>
      </c>
      <c r="E31" s="13" t="s">
        <v>18</v>
      </c>
      <c r="F31" s="13">
        <v>0</v>
      </c>
      <c r="G31" s="13">
        <v>1</v>
      </c>
      <c r="H31" s="13">
        <v>1</v>
      </c>
      <c r="I31" s="13" t="s">
        <v>19</v>
      </c>
      <c r="J31" s="13" t="s">
        <v>25</v>
      </c>
      <c r="K31" s="13" t="s">
        <v>18</v>
      </c>
      <c r="L31" s="12" t="s">
        <v>147</v>
      </c>
    </row>
    <row r="32" spans="1:12" ht="13.5" customHeight="1" x14ac:dyDescent="0.25">
      <c r="A32" s="6" t="s">
        <v>72</v>
      </c>
      <c r="B32" s="5" t="s">
        <v>73</v>
      </c>
      <c r="C32" s="6" t="s">
        <v>71</v>
      </c>
      <c r="D32" s="6" t="s">
        <v>232</v>
      </c>
      <c r="E32" s="6" t="s">
        <v>233</v>
      </c>
      <c r="F32" s="6">
        <v>1</v>
      </c>
      <c r="G32" s="6">
        <v>1</v>
      </c>
      <c r="H32" s="6">
        <v>2</v>
      </c>
      <c r="I32" s="6" t="s">
        <v>19</v>
      </c>
      <c r="J32" s="6" t="s">
        <v>25</v>
      </c>
      <c r="K32" s="6" t="s">
        <v>234</v>
      </c>
      <c r="L32" s="5" t="s">
        <v>21</v>
      </c>
    </row>
    <row r="33" spans="1:12" ht="13.5" customHeight="1" x14ac:dyDescent="0.25">
      <c r="A33" s="6" t="s">
        <v>74</v>
      </c>
      <c r="B33" s="5" t="s">
        <v>75</v>
      </c>
      <c r="C33" s="6" t="s">
        <v>71</v>
      </c>
      <c r="D33" s="6" t="s">
        <v>235</v>
      </c>
      <c r="E33" s="6" t="s">
        <v>236</v>
      </c>
      <c r="F33" s="6">
        <v>1</v>
      </c>
      <c r="G33" s="6">
        <v>1</v>
      </c>
      <c r="H33" s="6">
        <v>2</v>
      </c>
      <c r="I33" s="6" t="s">
        <v>19</v>
      </c>
      <c r="J33" s="6" t="s">
        <v>25</v>
      </c>
      <c r="K33" s="6" t="s">
        <v>237</v>
      </c>
      <c r="L33" s="5" t="s">
        <v>21</v>
      </c>
    </row>
    <row r="34" spans="1:12" ht="13.5" customHeight="1" x14ac:dyDescent="0.25">
      <c r="A34" s="6" t="s">
        <v>76</v>
      </c>
      <c r="B34" s="5" t="s">
        <v>77</v>
      </c>
      <c r="C34" s="6" t="s">
        <v>71</v>
      </c>
      <c r="D34" s="6" t="s">
        <v>238</v>
      </c>
      <c r="E34" s="6" t="s">
        <v>239</v>
      </c>
      <c r="F34" s="6">
        <v>1</v>
      </c>
      <c r="G34" s="6">
        <v>1</v>
      </c>
      <c r="H34" s="6">
        <v>2</v>
      </c>
      <c r="I34" s="6" t="s">
        <v>19</v>
      </c>
      <c r="J34" s="6" t="s">
        <v>25</v>
      </c>
      <c r="K34" s="6" t="s">
        <v>240</v>
      </c>
      <c r="L34" s="5" t="s">
        <v>21</v>
      </c>
    </row>
    <row r="35" spans="1:12" ht="13.5" customHeight="1" x14ac:dyDescent="0.25">
      <c r="A35" s="6" t="s">
        <v>79</v>
      </c>
      <c r="B35" s="5" t="s">
        <v>80</v>
      </c>
      <c r="C35" s="6" t="s">
        <v>241</v>
      </c>
      <c r="D35" s="6" t="s">
        <v>238</v>
      </c>
      <c r="E35" s="6" t="s">
        <v>239</v>
      </c>
      <c r="F35" s="6">
        <v>4</v>
      </c>
      <c r="G35" s="6">
        <v>4</v>
      </c>
      <c r="H35" s="6">
        <v>8</v>
      </c>
      <c r="I35" s="6" t="s">
        <v>19</v>
      </c>
      <c r="J35" s="6" t="s">
        <v>25</v>
      </c>
      <c r="K35" s="6" t="s">
        <v>242</v>
      </c>
      <c r="L35" s="5" t="s">
        <v>21</v>
      </c>
    </row>
    <row r="36" spans="1:12" ht="13.5" customHeight="1" x14ac:dyDescent="0.25">
      <c r="A36" s="6" t="s">
        <v>82</v>
      </c>
      <c r="B36" s="5" t="s">
        <v>83</v>
      </c>
      <c r="C36" s="6" t="s">
        <v>243</v>
      </c>
      <c r="D36" s="6" t="s">
        <v>244</v>
      </c>
      <c r="E36" s="6" t="s">
        <v>245</v>
      </c>
      <c r="F36" s="6">
        <v>1</v>
      </c>
      <c r="G36" s="6">
        <v>1</v>
      </c>
      <c r="H36" s="6">
        <v>2</v>
      </c>
      <c r="I36" s="6" t="s">
        <v>19</v>
      </c>
      <c r="J36" s="6" t="s">
        <v>25</v>
      </c>
      <c r="K36" s="6" t="s">
        <v>246</v>
      </c>
      <c r="L36" s="5" t="s">
        <v>21</v>
      </c>
    </row>
    <row r="37" spans="1:12" ht="13.5" customHeight="1" x14ac:dyDescent="0.25">
      <c r="A37" s="13" t="s">
        <v>85</v>
      </c>
      <c r="B37" s="12" t="s">
        <v>86</v>
      </c>
      <c r="C37" s="13" t="s">
        <v>84</v>
      </c>
      <c r="D37" s="13" t="s">
        <v>18</v>
      </c>
      <c r="E37" s="13" t="s">
        <v>18</v>
      </c>
      <c r="F37" s="13">
        <v>1</v>
      </c>
      <c r="G37" s="13">
        <v>1</v>
      </c>
      <c r="H37" s="13">
        <v>2</v>
      </c>
      <c r="I37" s="13" t="s">
        <v>19</v>
      </c>
      <c r="J37" s="13" t="s">
        <v>25</v>
      </c>
      <c r="K37" s="13" t="s">
        <v>18</v>
      </c>
      <c r="L37" s="12" t="s">
        <v>147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CB-02_DCBP-N</vt:lpstr>
      <vt:lpstr>BRM-03_ABP</vt:lpstr>
      <vt:lpstr>Satinalma_Birlesik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2026-05-16T09:46:20Z</dcterms:created>
  <dcterms:modified xsi:type="dcterms:W3CDTF">2026-05-18T10:00:36Z</dcterms:modified>
  <dc:language>en-US</dc:language>
</cp:coreProperties>
</file>