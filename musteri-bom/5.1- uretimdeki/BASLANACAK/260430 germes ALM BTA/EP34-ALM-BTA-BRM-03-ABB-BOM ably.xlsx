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проект\EP-34ABB\"/>
    </mc:Choice>
  </mc:AlternateContent>
  <xr:revisionPtr revIDLastSave="0" documentId="13_ncr:1_{1CDAF852-E4B6-4E16-A7ED-E66B1DCFC08F}" xr6:coauthVersionLast="47" xr6:coauthVersionMax="47" xr10:uidLastSave="{00000000-0000-0000-0000-000000000000}"/>
  <bookViews>
    <workbookView xWindow="28680" yWindow="-75" windowWidth="29040" windowHeight="15720" tabRatio="500" firstSheet="1" activeTab="1" xr2:uid="{00000000-000D-0000-FFFF-FFFF00000000}"/>
  </bookViews>
  <sheets>
    <sheet name="fiyat calismasi burda" sheetId="1" r:id="rId1"/>
    <sheet name="Sayfa1" sheetId="2" r:id="rId2"/>
  </sheets>
  <definedNames>
    <definedName name="_xlnm._FilterDatabase" localSheetId="0" hidden="1">'fiyat calismasi burda'!$A$1:$K$68</definedName>
    <definedName name="_xlnm._FilterDatabase" localSheetId="1" hidden="1">Sayfa1!$A$1:$L$48</definedName>
    <definedName name="sayac">Sayfa1!#REF!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G37" i="2" l="1"/>
  <c r="H37" i="2" s="1"/>
  <c r="G36" i="2"/>
  <c r="H36" i="2" s="1"/>
  <c r="G32" i="2"/>
  <c r="H32" i="2" s="1"/>
  <c r="G33" i="2"/>
  <c r="H33" i="2" s="1"/>
  <c r="G34" i="2"/>
  <c r="H34" i="2" s="1"/>
  <c r="G28" i="2"/>
  <c r="H28" i="2" s="1"/>
  <c r="G43" i="2"/>
  <c r="H43" i="2" s="1"/>
  <c r="G26" i="2"/>
  <c r="H26" i="2" s="1"/>
  <c r="G24" i="2"/>
  <c r="H24" i="2" s="1"/>
  <c r="G9" i="2"/>
  <c r="H9" i="2" s="1"/>
  <c r="G11" i="2"/>
  <c r="H11" i="2" s="1"/>
  <c r="G10" i="2"/>
  <c r="H10" i="2" s="1"/>
  <c r="G12" i="2"/>
  <c r="H12" i="2" s="1"/>
  <c r="G23" i="2"/>
  <c r="H23" i="2" s="1"/>
  <c r="G22" i="2"/>
  <c r="H22" i="2" s="1"/>
  <c r="G5" i="2"/>
  <c r="H5" i="2" s="1"/>
  <c r="G6" i="2"/>
  <c r="H6" i="2" s="1"/>
  <c r="G35" i="2"/>
  <c r="H35" i="2" s="1"/>
  <c r="F47" i="2"/>
  <c r="G47" i="2" s="1"/>
  <c r="H47" i="2" s="1"/>
  <c r="G46" i="2"/>
  <c r="H46" i="2" s="1"/>
  <c r="G42" i="2"/>
  <c r="H42" i="2" s="1"/>
  <c r="A41" i="2"/>
  <c r="A42" i="2" s="1"/>
  <c r="A43" i="2" s="1"/>
  <c r="G31" i="2"/>
  <c r="H31" i="2" s="1"/>
  <c r="G30" i="2"/>
  <c r="H30" i="2" s="1"/>
  <c r="G29" i="2"/>
  <c r="H29" i="2" s="1"/>
  <c r="G7" i="2"/>
  <c r="H7" i="2" s="1"/>
  <c r="G4" i="2"/>
  <c r="H4" i="2" s="1"/>
  <c r="G27" i="2"/>
  <c r="H27" i="2" s="1"/>
  <c r="G21" i="2"/>
  <c r="H21" i="2" s="1"/>
  <c r="G25" i="2"/>
  <c r="H25" i="2" s="1"/>
  <c r="G20" i="2"/>
  <c r="H20" i="2" s="1"/>
  <c r="G8" i="2"/>
  <c r="H8" i="2" s="1"/>
  <c r="G19" i="2"/>
  <c r="H19" i="2" s="1"/>
  <c r="G18" i="2"/>
  <c r="H18" i="2" s="1"/>
  <c r="A44" i="2" l="1"/>
  <c r="A45" i="2" s="1"/>
  <c r="A46" i="2" s="1"/>
  <c r="A47" i="2" s="1"/>
  <c r="A48" i="2" s="1"/>
  <c r="H48" i="2"/>
  <c r="H41" i="2" s="1"/>
  <c r="G17" i="2" l="1"/>
  <c r="H17" i="2" s="1"/>
  <c r="G16" i="2"/>
  <c r="H16" i="2" s="1"/>
  <c r="G15" i="2"/>
  <c r="H15" i="2" s="1"/>
  <c r="G38" i="2"/>
  <c r="H38" i="2" s="1"/>
  <c r="A2" i="2" l="1"/>
  <c r="G3" i="2"/>
  <c r="H3" i="2" s="1"/>
  <c r="G13" i="2"/>
  <c r="H13" i="2" s="1"/>
  <c r="G14" i="2"/>
  <c r="H14" i="2" s="1"/>
  <c r="A3" i="2" l="1"/>
  <c r="F39" i="2" l="1"/>
  <c r="G39" i="2" s="1"/>
  <c r="H39" i="2" s="1"/>
  <c r="H40" i="2" s="1"/>
  <c r="H2" i="2" s="1"/>
  <c r="H67" i="1"/>
  <c r="G44" i="1"/>
  <c r="H44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7" i="1"/>
  <c r="H7" i="1" s="1"/>
  <c r="G6" i="1"/>
  <c r="H6" i="1" s="1"/>
  <c r="G9" i="1" l="1"/>
  <c r="H9" i="1" s="1"/>
  <c r="G66" i="1"/>
  <c r="H66" i="1" s="1"/>
  <c r="F67" i="1"/>
  <c r="G64" i="1"/>
  <c r="H64" i="1" s="1"/>
  <c r="G4" i="1"/>
  <c r="H4" i="1" s="1"/>
  <c r="G3" i="1"/>
  <c r="H3" i="1" s="1"/>
  <c r="G65" i="1"/>
  <c r="H65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3" i="1"/>
  <c r="H43" i="1" s="1"/>
  <c r="G31" i="1"/>
  <c r="H31" i="1" s="1"/>
  <c r="G11" i="1"/>
  <c r="H11" i="1" s="1"/>
  <c r="G10" i="1"/>
  <c r="H10" i="1" s="1"/>
  <c r="G8" i="1"/>
  <c r="H8" i="1" s="1"/>
  <c r="G5" i="1"/>
  <c r="H5" i="1" s="1"/>
  <c r="H68" i="1" l="1"/>
  <c r="A2" i="1"/>
  <c r="A3" i="1" s="1"/>
  <c r="G2" i="1" l="1"/>
  <c r="H2" i="1" s="1"/>
  <c r="F2" i="1"/>
  <c r="A5" i="1"/>
  <c r="A4" i="1"/>
  <c r="A6" i="1" s="1"/>
  <c r="A9" i="1" s="1"/>
  <c r="A7" i="1" l="1"/>
  <c r="A10" i="1" s="1"/>
  <c r="A12" i="1" s="1"/>
  <c r="A8" i="1"/>
  <c r="A13" i="1" l="1"/>
  <c r="A15" i="1" s="1"/>
  <c r="A11" i="1"/>
  <c r="A14" i="1" s="1"/>
  <c r="A17" i="1" l="1"/>
  <c r="A22" i="1" s="1"/>
  <c r="A24" i="1" s="1"/>
  <c r="A26" i="1" s="1"/>
  <c r="A16" i="1"/>
  <c r="A18" i="1" s="1"/>
  <c r="A19" i="1" l="1"/>
  <c r="A20" i="1"/>
  <c r="A23" i="1" s="1"/>
  <c r="A27" i="1"/>
  <c r="A29" i="1" s="1"/>
  <c r="A31" i="1"/>
  <c r="A32" i="1" s="1"/>
  <c r="A33" i="1" s="1"/>
  <c r="A34" i="1" s="1"/>
  <c r="A35" i="1" s="1"/>
  <c r="A36" i="1" s="1"/>
  <c r="A21" i="1" l="1"/>
  <c r="A38" i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37" i="1"/>
  <c r="A28" i="1"/>
  <c r="A30" i="1" s="1"/>
  <c r="A25" i="1"/>
</calcChain>
</file>

<file path=xl/sharedStrings.xml><?xml version="1.0" encoding="utf-8"?>
<sst xmlns="http://schemas.openxmlformats.org/spreadsheetml/2006/main" count="619" uniqueCount="300">
  <si>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</si>
  <si>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</si>
  <si>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</si>
  <si>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</si>
  <si>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</si>
  <si>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</si>
  <si>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</si>
  <si>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</si>
  <si>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</si>
  <si>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</si>
  <si>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</si>
  <si>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</si>
  <si>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</si>
  <si>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</si>
  <si>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</si>
  <si>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</si>
  <si>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</si>
  <si>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chint</t>
  </si>
  <si>
    <t>296710</t>
  </si>
  <si>
    <t>Авт. выкл. NXB-63S 1P 16А 4.5kA х-ка C (R)</t>
  </si>
  <si>
    <t>tms</t>
  </si>
  <si>
    <t>at</t>
  </si>
  <si>
    <t>faza</t>
  </si>
  <si>
    <t>sinyal lamb</t>
  </si>
  <si>
    <t>sayac</t>
  </si>
  <si>
    <t>opn</t>
  </si>
  <si>
    <t>kontaktor</t>
  </si>
  <si>
    <t>perekluchatel</t>
  </si>
  <si>
    <t>modul pere</t>
  </si>
  <si>
    <t>transformator</t>
  </si>
  <si>
    <t>taimer</t>
  </si>
  <si>
    <t>preomzhutochny rele</t>
  </si>
  <si>
    <t>rozetka</t>
  </si>
  <si>
    <t>296709</t>
  </si>
  <si>
    <t>Авт. выкл. NXB-63S 1P 10А 4.5kA х-ка C (R)</t>
  </si>
  <si>
    <t>296713</t>
  </si>
  <si>
    <t>Авт. выкл. NXB-63S 1P 32А 4.5kA х-ка C (R)</t>
  </si>
  <si>
    <t>296708</t>
  </si>
  <si>
    <t>Авт. выкл. NXB-63S 1P 6А 4.5kA х-ка C (R)</t>
  </si>
  <si>
    <t>296825</t>
  </si>
  <si>
    <t>Авт. выкл. NXB-63S 3P 6А 4.5kA х-ка C (R)</t>
  </si>
  <si>
    <t>296827</t>
  </si>
  <si>
    <t>Авт. выкл. NXB-63S 3P 16А 4.5kA х-ка C (R)</t>
  </si>
  <si>
    <t>296829</t>
  </si>
  <si>
    <t>Авт. выкл. NXB-63S 3P 25А 4.5kA х-ка C (R)</t>
  </si>
  <si>
    <t>296833</t>
  </si>
  <si>
    <t>Авт. выкл. NXB-63S 3P 63А 4.5kA х-ка C (R)</t>
  </si>
  <si>
    <t>643001</t>
  </si>
  <si>
    <t>Модульный переключатель NZK1-32 2P 32А 3 положения (R)</t>
  </si>
  <si>
    <t>256101</t>
  </si>
  <si>
    <t>Контактор модульный NCH8-63/40 63A 4НО AC220/230В 50Гц (R)</t>
  </si>
  <si>
    <t>256089</t>
  </si>
  <si>
    <t>Контактор модульный NCH8-25/40 25A 4НО AC220/230В 50Гц (R)</t>
  </si>
  <si>
    <t>105542</t>
  </si>
  <si>
    <t>Диф. авт. выкл. NXBLE-63Y 1P+N 16А 30mA электронный тип AС, х-ка С, 4.5kA (R)</t>
  </si>
  <si>
    <t>Таймер электронный NKG3 AC230В (R)</t>
  </si>
  <si>
    <t>pyc</t>
  </si>
  <si>
    <t>YM01976</t>
  </si>
  <si>
    <t>Shit  2100x800x400mm</t>
  </si>
  <si>
    <t>YM01977</t>
  </si>
  <si>
    <t>Shit  2100x500x400mm</t>
  </si>
  <si>
    <t>dif</t>
  </si>
  <si>
    <t>kutu buson</t>
  </si>
  <si>
    <t>D004141</t>
  </si>
  <si>
    <t>saiman</t>
  </si>
  <si>
    <t>NF Дала TX П СА4У-Э720 (3x220/380V 5-7,5A)</t>
  </si>
  <si>
    <t>NF</t>
  </si>
  <si>
    <t>multimetre</t>
  </si>
  <si>
    <t>D003581</t>
  </si>
  <si>
    <t>EMM-04 MULTIMETER</t>
  </si>
  <si>
    <t>285127</t>
  </si>
  <si>
    <t>Промежуточное реле JZX-22F 2 конт. 5А 220В AC</t>
  </si>
  <si>
    <t>285978</t>
  </si>
  <si>
    <t>Розетка CZY08B-01 для NJDC-17/2ZS, JZX-22F/(D)  и JSZ6.  2 конт. 5А (R)</t>
  </si>
  <si>
    <t>Промежуточное реле JZX-22F(B) 4 конт. с инд. LED и подавителем перенапр. 3А 24В DC (R)</t>
  </si>
  <si>
    <t>Розетка CZY14A для JZX-22F(D) 4 контакта</t>
  </si>
  <si>
    <t>D005041</t>
  </si>
  <si>
    <t>Однофазный трансформатор  NDK-50VA 400 230/24 0 24 IEC (R)</t>
  </si>
  <si>
    <t>Индикатор ND16-22D/2 зеленый AC/DC230В (R)</t>
  </si>
  <si>
    <t>D002865</t>
  </si>
  <si>
    <t>574847</t>
  </si>
  <si>
    <t>Переключатель NP2-BD21, 2 положения с фиксацией, 1НО IP40</t>
  </si>
  <si>
    <t>D002868</t>
  </si>
  <si>
    <t>Переключатель NP2-BD33, 3 положения с фиксацией, 2НО IP40</t>
  </si>
  <si>
    <t>Реле контроля фаз NJB1-X AC380V (R)</t>
  </si>
  <si>
    <t>310008</t>
  </si>
  <si>
    <t>D003469</t>
  </si>
  <si>
    <t xml:space="preserve">                Шина "N" нулевая ШНК  L+PEN  2х7  100А на DIN-рейку в корпусе  UNIT NEW</t>
  </si>
  <si>
    <t>130200397_</t>
  </si>
  <si>
    <t>D004385</t>
  </si>
  <si>
    <t>dagitim kutusu</t>
  </si>
  <si>
    <t>faz kontrol</t>
  </si>
  <si>
    <t>bara</t>
  </si>
  <si>
    <t>D002808</t>
  </si>
  <si>
    <t>130300473_</t>
  </si>
  <si>
    <t xml:space="preserve">                Шина медн.3х20х4000</t>
  </si>
  <si>
    <t>kablo</t>
  </si>
  <si>
    <t>D000703</t>
  </si>
  <si>
    <t>KABLO PVZ (NYAF -KAHVERENGI) 1*0,75 (PROJEKTOR ICI</t>
  </si>
  <si>
    <t>M</t>
  </si>
  <si>
    <t>D000710</t>
  </si>
  <si>
    <t>KABLO PVZ 1*2,5(KAHVERENGI)</t>
  </si>
  <si>
    <t>D002794</t>
  </si>
  <si>
    <t>Kablo PVZ 1*4</t>
  </si>
  <si>
    <t>D001688</t>
  </si>
  <si>
    <t>KABLO PV3 1*6</t>
  </si>
  <si>
    <t>D002721</t>
  </si>
  <si>
    <t>PROVOD PVZ 1X10</t>
  </si>
  <si>
    <t>D002720</t>
  </si>
  <si>
    <t>PROVOD PVZ 1X25</t>
  </si>
  <si>
    <t>pabuc</t>
  </si>
  <si>
    <t>D002925</t>
  </si>
  <si>
    <t>311100816_</t>
  </si>
  <si>
    <t xml:space="preserve">                 Наконечник НШВИ 1,0-12 изолированный 79439 (100шт) КВТ NEW</t>
  </si>
  <si>
    <t>D002924</t>
  </si>
  <si>
    <t>311100821_</t>
  </si>
  <si>
    <t xml:space="preserve">                 Наконечник НШВИ 2,5-12 изолированный 79444 (100шт) КВТ NEW</t>
  </si>
  <si>
    <t>D002923</t>
  </si>
  <si>
    <t>260100138_</t>
  </si>
  <si>
    <t xml:space="preserve">                 Наконечник медно-луженный JG -   6  IEK (600)</t>
  </si>
  <si>
    <t>D002922</t>
  </si>
  <si>
    <t>D002784</t>
  </si>
  <si>
    <t>311100828_</t>
  </si>
  <si>
    <t xml:space="preserve">                 Наконечник НШВИ 10-12 изолированный 79451 (100шт) КВТ NEW</t>
  </si>
  <si>
    <t>D002785</t>
  </si>
  <si>
    <t>260100167_</t>
  </si>
  <si>
    <t xml:space="preserve">                 Наконечник медно-луженный JG -  25  IEK (200)</t>
  </si>
  <si>
    <t>yuzuk</t>
  </si>
  <si>
    <t>D002927</t>
  </si>
  <si>
    <t>311101120_</t>
  </si>
  <si>
    <t xml:space="preserve">                Наконечник кольцевой НКИ 6,0- 6 серия ПРОФИ (100шт) 47482 КВТ NEW</t>
  </si>
  <si>
    <t>D002741</t>
  </si>
  <si>
    <t>130301505_</t>
  </si>
  <si>
    <t xml:space="preserve">                    Наконечник ТА  25- 8-7 44845 КВТ NEW </t>
  </si>
  <si>
    <t>kablo kanali</t>
  </si>
  <si>
    <t>D003722</t>
  </si>
  <si>
    <t>270300079_</t>
  </si>
  <si>
    <t xml:space="preserve">                Кабель.канал перф.  25х40 ИМПАКТ IEK (60)</t>
  </si>
  <si>
    <t>D003721</t>
  </si>
  <si>
    <t>270300105_</t>
  </si>
  <si>
    <t xml:space="preserve">                Кабель.канал перф.  40х60 ИМПАКТ IEK (24)</t>
  </si>
  <si>
    <t>D002834</t>
  </si>
  <si>
    <t>270300150_</t>
  </si>
  <si>
    <t xml:space="preserve">                Кабель.канал перф.  60х60 ИМПАКТ IEK (16)</t>
  </si>
  <si>
    <t>sm izol</t>
  </si>
  <si>
    <t>D002791</t>
  </si>
  <si>
    <t>130500106_</t>
  </si>
  <si>
    <t xml:space="preserve">                Изолятор SM40 с болтом (М8) 475А 12кВ UNIT (10/200)</t>
  </si>
  <si>
    <t>lamba</t>
  </si>
  <si>
    <t>117-03300</t>
  </si>
  <si>
    <t>Sv-k LED FX T5 5W 6500K + aksessuary (TEKLED) 25</t>
  </si>
  <si>
    <t>teksan m</t>
  </si>
  <si>
    <t>switch</t>
  </si>
  <si>
    <t>D004444</t>
  </si>
  <si>
    <t>WS-1011B 1NC KAPI SWITCH</t>
  </si>
  <si>
    <t>WS-1011B 1NC KAPI SWITCH-KAHVERENGI</t>
  </si>
  <si>
    <t>D kodu</t>
  </si>
  <si>
    <t>256052</t>
  </si>
  <si>
    <t>Контактор модульный NCH8-20/11 20A 1НО+1НЗ AC220/230В 50Гц (R)</t>
  </si>
  <si>
    <t>308602</t>
  </si>
  <si>
    <t>Ограничитель имп. перенапр. NXU-I+II 4P In=25kA Uc=385B Im=50kA (R)</t>
  </si>
  <si>
    <t>257418</t>
  </si>
  <si>
    <t>Контактор модульный с ручн. упр. NCH8-25M/20 AC220-240V 50/60Гц (R)</t>
  </si>
  <si>
    <t>Переключатель фаз автоматический PF-431</t>
  </si>
  <si>
    <t>000-00-9-305</t>
  </si>
  <si>
    <t>f&amp;f</t>
  </si>
  <si>
    <t>296705</t>
  </si>
  <si>
    <t>Авт. выкл. NXB-63S 1P 2А 4.5kA х-ка C (R)</t>
  </si>
  <si>
    <t>105540</t>
  </si>
  <si>
    <t>Диф. авт. выкл. NXBLE-63Y 1P+N 6А 30mA электронный тип AС, х-ка С, 4.5kA (R)</t>
  </si>
  <si>
    <t>539872</t>
  </si>
  <si>
    <t>Диф. авт. выкл. NXBLE-63YH 3P+N C40 30mA тип A, 6kA (R)</t>
  </si>
  <si>
    <t>539890</t>
  </si>
  <si>
    <t>Диф. авт. выкл. NXBLE-63YH 3P+N C63 30mA тип A, 6kA (R)</t>
  </si>
  <si>
    <t>296909</t>
  </si>
  <si>
    <t>Авт. выкл. NXB-63S 4P 40А 4.5kA х-ка C (R)</t>
  </si>
  <si>
    <t>bobin</t>
  </si>
  <si>
    <t>ЩС (260108 AKMIR SULTANRABAT)</t>
  </si>
  <si>
    <t>131362</t>
  </si>
  <si>
    <t>Авт. выкл. NXM-125S/3Р 100A 25кА (R)</t>
  </si>
  <si>
    <t>946996</t>
  </si>
  <si>
    <t>Независимый расцепитель SHT-M1 A1 L для NXM-125(63)/NXMLE-125 AC230V (левый) (R)</t>
  </si>
  <si>
    <t>403017</t>
  </si>
  <si>
    <t>Откидной выключатель-разъединитель NHR17, 3P, 100А, с вспомогательными контактами</t>
  </si>
  <si>
    <t>270300099_</t>
  </si>
  <si>
    <t xml:space="preserve">              Трансформатор тока ТТИ-А  100/5А  5ВА  класс 0,5  IEK</t>
  </si>
  <si>
    <t>Дала TX П СА4-Э720 (3x220/380V 10-100A)</t>
  </si>
  <si>
    <t>NY</t>
  </si>
  <si>
    <t>296831</t>
  </si>
  <si>
    <t>Авт. выкл. NXB-63S 3P 40А 4.5kA х-ка C (R)</t>
  </si>
  <si>
    <t>pys</t>
  </si>
  <si>
    <t>tt</t>
  </si>
  <si>
    <t>rascepitel</t>
  </si>
  <si>
    <t>9,23 EUR</t>
  </si>
  <si>
    <t>45,76 EUR</t>
  </si>
  <si>
    <t>contactor</t>
  </si>
  <si>
    <t>2CSM256393R1801</t>
  </si>
  <si>
    <t>4,15 EUR</t>
  </si>
  <si>
    <t>Плавкая вставка предохранителя E 9F8 GG2</t>
  </si>
  <si>
    <t>Держатель предохранителя E 91/20</t>
  </si>
  <si>
    <t>2CSM200983R1801</t>
  </si>
  <si>
    <t>8,04 EUR</t>
  </si>
  <si>
    <t>Держатель предохранителя E 93/20</t>
  </si>
  <si>
    <t>21,47 EUR</t>
  </si>
  <si>
    <t>2CSG251141R4051</t>
  </si>
  <si>
    <t>M4M 20 Modbus</t>
  </si>
  <si>
    <t>779,80 EUR</t>
  </si>
  <si>
    <t>SOR-C 220-240V AC/220-250V DC</t>
  </si>
  <si>
    <t>108,6 EUR</t>
  </si>
  <si>
    <t>1SBL137001R1310</t>
  </si>
  <si>
    <t>35,76 EUR</t>
  </si>
  <si>
    <t>1SBL237001R1300</t>
  </si>
  <si>
    <t>Трехполюсный контактор AF26-30-00 25А</t>
  </si>
  <si>
    <t>55,81 EUR</t>
  </si>
  <si>
    <t>DCBP-UPS</t>
  </si>
  <si>
    <t>Переключатель кулачковый 16А  OT16FT3HY3ST1</t>
  </si>
  <si>
    <t>1SCA104848R1001-B</t>
  </si>
  <si>
    <t>34,05 EUR</t>
  </si>
  <si>
    <t>DCBP-N PANEL</t>
  </si>
  <si>
    <t>button</t>
  </si>
  <si>
    <t>1SFA611520R1001</t>
  </si>
  <si>
    <t>Аварийная кнопка MPET3-10R</t>
  </si>
  <si>
    <t>15,35 EUR</t>
  </si>
  <si>
    <t>ABB</t>
  </si>
  <si>
    <t>Трансформатор тока Т-66 300/5А</t>
  </si>
  <si>
    <t>XT5N 400, TMA, In=400A</t>
  </si>
  <si>
    <t xml:space="preserve">1SDA100345R1 </t>
  </si>
  <si>
    <t>1167 EUR</t>
  </si>
  <si>
    <t>mccb</t>
  </si>
  <si>
    <t>A1C 125, TMF, In=100A</t>
  </si>
  <si>
    <t>1SDA066719R1</t>
  </si>
  <si>
    <t>144,9 EUR</t>
  </si>
  <si>
    <t>A1C 125, TMF, In=125A</t>
  </si>
  <si>
    <t>1SDA066720R1</t>
  </si>
  <si>
    <t xml:space="preserve"> 155,2 EUR</t>
  </si>
  <si>
    <t xml:space="preserve">2CSA255901R9164 </t>
  </si>
  <si>
    <t>253,70 eur</t>
  </si>
  <si>
    <t>2CSA255901R9254</t>
  </si>
  <si>
    <t>Дифф. Авт. Выкл S-ARC1 C25</t>
  </si>
  <si>
    <t>Дифф. Авт. Выкл. 4P DS203NC C16 AC30</t>
  </si>
  <si>
    <t xml:space="preserve">2CSR256040R1164 </t>
  </si>
  <si>
    <t>275,50 eur</t>
  </si>
  <si>
    <t>Dif 4p DS203NC C25 AC30</t>
  </si>
  <si>
    <t>275,5 EUR</t>
  </si>
  <si>
    <t>2CSR256040R1254</t>
  </si>
  <si>
    <t>Dif 4p DS203NC C32 AC30</t>
  </si>
  <si>
    <t>2CSR256040R1324</t>
  </si>
  <si>
    <t xml:space="preserve">2CDS251001R0105 </t>
  </si>
  <si>
    <t>2CDS251001R0065</t>
  </si>
  <si>
    <t>11,08 EUR</t>
  </si>
  <si>
    <t>oto 1p S 201-B 10</t>
  </si>
  <si>
    <t>2CDS253001R0254</t>
  </si>
  <si>
    <t>oto 3p S 203-C 25</t>
  </si>
  <si>
    <t>2CDS253001R0404</t>
  </si>
  <si>
    <t>59,45 EUR</t>
  </si>
  <si>
    <t>2CDS253001R0504</t>
  </si>
  <si>
    <t>68,60 EUR</t>
  </si>
  <si>
    <t xml:space="preserve">oto 3p S 203-C 50 </t>
  </si>
  <si>
    <t>oto 3p S 203-C 40</t>
  </si>
  <si>
    <t>oto 1p S 201-B 6</t>
  </si>
  <si>
    <t>150,70 EUR</t>
  </si>
  <si>
    <t>2CSB204001R1400</t>
  </si>
  <si>
    <t xml:space="preserve">dif blok DDA204 AC-40/0.03 </t>
  </si>
  <si>
    <t>79,28 EUR</t>
  </si>
  <si>
    <t>2CDS254001R0404</t>
  </si>
  <si>
    <t>oto 4p S 204-C 40</t>
  </si>
  <si>
    <t>2CDS254001R0634</t>
  </si>
  <si>
    <t>103,60 EUR</t>
  </si>
  <si>
    <t>oto 4p S 204-C 63</t>
  </si>
  <si>
    <t>2CSB204001R1630</t>
  </si>
  <si>
    <t>dif blok DDA204 AC-63/0.03</t>
  </si>
  <si>
    <t>FU 2A E 9F8 GG2</t>
  </si>
  <si>
    <t xml:space="preserve">2CSM200943R1801 </t>
  </si>
  <si>
    <t>fu</t>
  </si>
  <si>
    <t>486,50 EUR</t>
  </si>
  <si>
    <t>1SBL407001R1111</t>
  </si>
  <si>
    <t>Трехполюсный контактор AF96-30-11 100А</t>
  </si>
  <si>
    <t>Контактор 9А
AF09-30-10  35,76</t>
  </si>
  <si>
    <t>motor</t>
  </si>
  <si>
    <t>Aвтоматические выключатели защиты двигателя MS116-1.6 1-1,6A</t>
  </si>
  <si>
    <t>58,99 EUR</t>
  </si>
  <si>
    <t xml:space="preserve">1SAM250000R1005 </t>
  </si>
  <si>
    <t>Aвтоматические выключатели защиты двигателя MS116-6.3 4-6,3A</t>
  </si>
  <si>
    <t xml:space="preserve">1SAM250000R1009 </t>
  </si>
  <si>
    <t>Aвтоматические выключатели защиты двигателя MS116-10 6,3-10A</t>
  </si>
  <si>
    <t xml:space="preserve">1SAM250000R1010 </t>
  </si>
  <si>
    <t>63,37 EUR</t>
  </si>
  <si>
    <t>1SFA611605R1100</t>
  </si>
  <si>
    <t>1,08 EUR</t>
  </si>
  <si>
    <t>Держатель контактов MCBH-00</t>
  </si>
  <si>
    <t>1SFA611610R1010</t>
  </si>
  <si>
    <t xml:space="preserve"> 4,34 EUR</t>
  </si>
  <si>
    <t>Блок контактов MCB-01</t>
  </si>
  <si>
    <t xml:space="preserve">Дифф. Авт. Выкл S-ARC1 C16 
</t>
  </si>
  <si>
    <t>120*200*40 cm</t>
  </si>
  <si>
    <t>УЗО F204 AC-100/0.03 100A</t>
  </si>
  <si>
    <t>uzo</t>
  </si>
  <si>
    <t xml:space="preserve"> 343,3 EUR</t>
  </si>
  <si>
    <t>2CSF204001R1900</t>
  </si>
  <si>
    <t xml:space="preserve">dif 2P S-ARC1 C16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</si>
</sst>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24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6"/>
      <color rgb="FF000000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charset val="162"/>
      <scheme val="minor"/>
    </font>
    <font>
      <b/>
      <sz val="2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8"/>
      <color rgb="FF000000"/>
      <name val="Arial"/>
      <family val="2"/>
      <charset val="204"/>
    </font>
    <font>
      <sz val="18"/>
      <color theme="0"/>
      <name val="Arial"/>
      <family val="2"/>
      <charset val="204"/>
    </font>
    <font>
      <sz val="20"/>
      <color rgb="FF000000"/>
      <name val="Calibri"/>
      <family val="2"/>
      <charset val="1"/>
    </font>
    <font>
      <b/>
      <sz val="22"/>
      <color rgb="FF000000"/>
      <name val="Calibri"/>
      <family val="2"/>
      <charset val="204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  <font>
      <b/>
      <sz val="10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8" fillId="0" borderId="0"/>
    <xf numFmtId="0" fontId="1" fillId="0" borderId="0"/>
    <xf numFmtId="0" fontId="1" fillId="0" borderId="0"/>
  </cellStyleXfs>
  <cellXfs count="55">
    <xf numFmtId="0" fontId="0" fillId="0" borderId="0" xfId="0"/>
    <xf numFmtId="0" fontId="0" fillId="5" borderId="0" xfId="0" applyFill="1"/>
    <xf numFmtId="0" fontId="7" fillId="5" borderId="0" xfId="0" applyFont="1" applyFill="1"/>
    <xf numFmtId="0" fontId="9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65" fontId="9" fillId="2" borderId="1" xfId="1" applyNumberFormat="1" applyFont="1" applyFill="1" applyBorder="1" applyAlignment="1" applyProtection="1">
      <alignment horizontal="center" vertical="center" wrapText="1"/>
    </xf>
    <xf numFmtId="0" fontId="9" fillId="2" borderId="1" xfId="1" applyNumberFormat="1" applyFont="1" applyFill="1" applyBorder="1" applyAlignment="1" applyProtection="1">
      <alignment horizontal="center" vertical="center" wrapText="1"/>
    </xf>
    <xf numFmtId="165" fontId="10" fillId="4" borderId="1" xfId="1" applyNumberFormat="1" applyFont="1" applyFill="1" applyBorder="1" applyAlignment="1" applyProtection="1">
      <alignment horizontal="center" vertical="center" wrapText="1"/>
    </xf>
    <xf numFmtId="165" fontId="10" fillId="4" borderId="1" xfId="1" applyNumberFormat="1" applyFont="1" applyFill="1" applyBorder="1" applyAlignment="1" applyProtection="1">
      <alignment horizontal="center" vertical="center"/>
    </xf>
    <xf numFmtId="0" fontId="10" fillId="4" borderId="1" xfId="1" applyNumberFormat="1" applyFont="1" applyFill="1" applyBorder="1" applyAlignment="1" applyProtection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11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65" fontId="10" fillId="6" borderId="1" xfId="1" applyNumberFormat="1" applyFont="1" applyFill="1" applyBorder="1" applyAlignment="1" applyProtection="1">
      <alignment horizontal="center" vertical="center" wrapText="1"/>
    </xf>
    <xf numFmtId="165" fontId="10" fillId="6" borderId="1" xfId="1" applyNumberFormat="1" applyFont="1" applyFill="1" applyBorder="1" applyAlignment="1" applyProtection="1">
      <alignment horizontal="center" vertical="center"/>
    </xf>
    <xf numFmtId="166" fontId="10" fillId="6" borderId="1" xfId="1" applyNumberFormat="1" applyFont="1" applyFill="1" applyBorder="1" applyAlignment="1" applyProtection="1">
      <alignment horizontal="center" vertical="center" wrapText="1"/>
    </xf>
    <xf numFmtId="0" fontId="10" fillId="6" borderId="1" xfId="1" applyNumberFormat="1" applyFont="1" applyFill="1" applyBorder="1" applyAlignment="1" applyProtection="1">
      <alignment horizontal="center" vertical="center"/>
    </xf>
    <xf numFmtId="0" fontId="13" fillId="5" borderId="0" xfId="0" applyFont="1" applyFill="1"/>
    <xf numFmtId="0" fontId="12" fillId="5" borderId="1" xfId="0" applyFont="1" applyFill="1" applyBorder="1" applyAlignment="1">
      <alignment vertical="top"/>
    </xf>
    <xf numFmtId="0" fontId="14" fillId="5" borderId="0" xfId="0" applyFont="1" applyFill="1"/>
    <xf numFmtId="165" fontId="15" fillId="5" borderId="0" xfId="0" applyNumberFormat="1" applyFont="1" applyFill="1"/>
    <xf numFmtId="3" fontId="9" fillId="2" borderId="1" xfId="0" applyNumberFormat="1" applyFont="1" applyFill="1" applyBorder="1" applyAlignment="1">
      <alignment horizontal="center" vertical="center" wrapText="1"/>
    </xf>
    <xf numFmtId="3" fontId="10" fillId="6" borderId="1" xfId="1" applyNumberFormat="1" applyFont="1" applyFill="1" applyBorder="1" applyAlignment="1" applyProtection="1">
      <alignment horizontal="center" vertical="center" wrapText="1"/>
    </xf>
    <xf numFmtId="3" fontId="10" fillId="4" borderId="1" xfId="1" applyNumberFormat="1" applyFont="1" applyFill="1" applyBorder="1" applyAlignment="1" applyProtection="1">
      <alignment horizontal="center" vertical="center" wrapText="1"/>
    </xf>
    <xf numFmtId="3" fontId="10" fillId="4" borderId="1" xfId="0" applyNumberFormat="1" applyFont="1" applyFill="1" applyBorder="1" applyAlignment="1">
      <alignment horizontal="center" vertical="center" wrapText="1"/>
    </xf>
    <xf numFmtId="3" fontId="7" fillId="5" borderId="0" xfId="0" applyNumberFormat="1" applyFont="1" applyFill="1"/>
    <xf numFmtId="0" fontId="16" fillId="2" borderId="1" xfId="0" applyFont="1" applyFill="1" applyBorder="1" applyAlignment="1">
      <alignment horizontal="center" vertical="center" wrapText="1"/>
    </xf>
    <xf numFmtId="3" fontId="16" fillId="2" borderId="1" xfId="0" applyNumberFormat="1" applyFont="1" applyFill="1" applyBorder="1" applyAlignment="1">
      <alignment horizontal="center" vertical="center" wrapText="1"/>
    </xf>
    <xf numFmtId="165" fontId="16" fillId="2" borderId="1" xfId="1" applyNumberFormat="1" applyFont="1" applyFill="1" applyBorder="1" applyAlignment="1" applyProtection="1">
      <alignment horizontal="center" vertical="center" wrapText="1"/>
    </xf>
    <xf numFmtId="0" fontId="16" fillId="2" borderId="1" xfId="1" applyNumberFormat="1" applyFont="1" applyFill="1" applyBorder="1" applyAlignment="1" applyProtection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3" fontId="16" fillId="6" borderId="1" xfId="1" applyNumberFormat="1" applyFont="1" applyFill="1" applyBorder="1" applyAlignment="1" applyProtection="1">
      <alignment horizontal="center" vertical="center" wrapText="1"/>
    </xf>
    <xf numFmtId="165" fontId="16" fillId="6" borderId="1" xfId="1" applyNumberFormat="1" applyFont="1" applyFill="1" applyBorder="1" applyAlignment="1" applyProtection="1">
      <alignment horizontal="center" vertical="center"/>
    </xf>
    <xf numFmtId="166" fontId="16" fillId="6" borderId="1" xfId="1" applyNumberFormat="1" applyFont="1" applyFill="1" applyBorder="1" applyAlignment="1" applyProtection="1">
      <alignment horizontal="center" vertical="center" wrapText="1"/>
    </xf>
    <xf numFmtId="0" fontId="16" fillId="6" borderId="1" xfId="1" applyNumberFormat="1" applyFont="1" applyFill="1" applyBorder="1" applyAlignment="1" applyProtection="1">
      <alignment horizontal="center" vertical="center"/>
    </xf>
    <xf numFmtId="165" fontId="16" fillId="6" borderId="1" xfId="1" applyNumberFormat="1" applyFont="1" applyFill="1" applyBorder="1" applyAlignment="1" applyProtection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3" fontId="16" fillId="4" borderId="1" xfId="1" applyNumberFormat="1" applyFont="1" applyFill="1" applyBorder="1" applyAlignment="1" applyProtection="1">
      <alignment horizontal="center" vertical="center" wrapText="1"/>
    </xf>
    <xf numFmtId="165" fontId="16" fillId="4" borderId="1" xfId="1" applyNumberFormat="1" applyFont="1" applyFill="1" applyBorder="1" applyAlignment="1" applyProtection="1">
      <alignment horizontal="center" vertical="center"/>
    </xf>
    <xf numFmtId="0" fontId="16" fillId="4" borderId="1" xfId="1" applyNumberFormat="1" applyFont="1" applyFill="1" applyBorder="1" applyAlignment="1" applyProtection="1">
      <alignment horizontal="center" vertical="center"/>
    </xf>
    <xf numFmtId="165" fontId="16" fillId="4" borderId="1" xfId="1" applyNumberFormat="1" applyFont="1" applyFill="1" applyBorder="1" applyAlignment="1" applyProtection="1">
      <alignment horizontal="center" vertical="center" wrapText="1"/>
    </xf>
    <xf numFmtId="3" fontId="16" fillId="4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1" fontId="20" fillId="0" borderId="1" xfId="0" quotePrefix="1" applyNumberFormat="1" applyFont="1" applyBorder="1" applyAlignment="1">
      <alignment horizontal="center" vertical="center"/>
    </xf>
    <xf numFmtId="165" fontId="22" fillId="4" borderId="1" xfId="1" applyNumberFormat="1" applyFont="1" applyFill="1" applyBorder="1" applyAlignment="1" applyProtection="1">
      <alignment horizontal="center" vertical="center" wrapText="1"/>
    </xf>
    <xf numFmtId="3" fontId="21" fillId="0" borderId="2" xfId="0" applyNumberFormat="1" applyFont="1" applyBorder="1" applyAlignment="1">
      <alignment horizontal="center" vertical="center" wrapText="1"/>
    </xf>
    <xf numFmtId="3" fontId="21" fillId="0" borderId="3" xfId="0" applyNumberFormat="1" applyFont="1" applyBorder="1" applyAlignment="1">
      <alignment horizontal="center" vertical="center" wrapText="1"/>
    </xf>
    <xf numFmtId="3" fontId="21" fillId="0" borderId="1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wrapText="1"/>
    </xf>
    <xf numFmtId="0" fontId="23" fillId="0" borderId="1" xfId="0" applyFont="1" applyBorder="1" applyAlignment="1">
      <alignment wrapText="1"/>
    </xf>
  </cellXfs>
  <cellStyles count="7">
    <cellStyle name="Normal 2" xfId="4" xr:uid="{58983704-5E2B-4916-A376-1020AEBA7112}"/>
    <cellStyle name="Обычный" xfId="0" builtinId="0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  <cellStyle name="Финансовый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zoomScale="55" zoomScaleNormal="55" workbookViewId="0">
      <pane ySplit="1" topLeftCell="A2" activePane="bottomLeft" state="frozen"/>
      <selection pane="bottomLeft" activeCell="A7" sqref="A1:L68"/>
    </sheetView>
  </sheetViews>
  <sheetFormatPr defaultColWidth="8.42578125" defaultRowHeight="21" x14ac:dyDescent="0.25"/>
  <cols>
    <col min="1" max="1" width="33.140625" style="1" customWidth="1"/>
    <col min="2" max="2" width="17.28515625" style="1" customWidth="1"/>
    <col min="3" max="3" width="27.7109375" style="1" customWidth="1"/>
    <col min="4" max="4" width="24.7109375" style="27" customWidth="1"/>
    <col min="5" max="5" width="126.5703125" style="2" customWidth="1"/>
    <col min="6" max="6" width="32.42578125" style="1" customWidth="1"/>
    <col min="7" max="7" width="24.5703125" style="10" customWidth="1"/>
    <col min="8" max="8" width="24.7109375" style="1" customWidth="1"/>
    <col min="9" max="9" width="13" style="11" customWidth="1"/>
    <col min="10" max="10" width="23.140625" style="1" bestFit="1" customWidth="1"/>
    <col min="11" max="11" width="32.42578125" style="1" bestFit="1" customWidth="1"/>
    <col min="12" max="12" width="13" style="11" customWidth="1"/>
    <col min="13" max="16384" width="8.42578125" style="1"/>
  </cols>
  <sheetData>
    <row r="1" spans="1:12" s="2" customFormat="1" ht="93" customHeight="1" x14ac:dyDescent="0.25">
      <c r="A1" s="3" t="s">
        <v>2</v>
      </c>
      <c r="B1" s="3" t="s">
        <v>0</v>
      </c>
      <c r="C1" s="3" t="s">
        <v>156</v>
      </c>
      <c r="D1" s="23" t="s">
        <v>1</v>
      </c>
      <c r="E1" s="3" t="s">
        <v>14</v>
      </c>
      <c r="F1" s="3" t="s">
        <v>3</v>
      </c>
      <c r="G1" s="3" t="s">
        <v>3</v>
      </c>
      <c r="H1" s="5" t="s">
        <v>6</v>
      </c>
      <c r="I1" s="6" t="s">
        <v>15</v>
      </c>
      <c r="J1" s="6" t="s">
        <v>4</v>
      </c>
      <c r="K1" s="6" t="s">
        <v>5</v>
      </c>
      <c r="L1" s="6"/>
    </row>
    <row r="2" spans="1:12" s="2" customFormat="1" ht="39" customHeight="1" x14ac:dyDescent="0.25">
      <c r="A2" s="13" t="str">
        <f>E2</f>
        <v>ЩС (260108 AKMIR SULTANRABAT)</v>
      </c>
      <c r="B2" s="14"/>
      <c r="C2" s="13"/>
      <c r="D2" s="24"/>
      <c r="E2" s="14" t="s">
        <v>177</v>
      </c>
      <c r="F2" s="16">
        <f>2.145*H68</f>
        <v>2949498.7128750002</v>
      </c>
      <c r="G2" s="16">
        <f>2.145*H68</f>
        <v>2949498.7128750002</v>
      </c>
      <c r="H2" s="17">
        <f>G2*I2</f>
        <v>2949498.7128750002</v>
      </c>
      <c r="I2" s="18">
        <v>1</v>
      </c>
      <c r="J2" s="15" t="s">
        <v>7</v>
      </c>
      <c r="K2" s="14" t="s">
        <v>9</v>
      </c>
      <c r="L2" s="18"/>
    </row>
    <row r="3" spans="1:12" s="2" customFormat="1" ht="39" customHeight="1" x14ac:dyDescent="0.25">
      <c r="A3" s="4" t="str">
        <f>A2</f>
        <v>ЩС (260108 AKMIR SULTANRABAT)</v>
      </c>
      <c r="B3" s="12" t="s">
        <v>8</v>
      </c>
      <c r="C3" s="4"/>
      <c r="D3" s="25" t="s">
        <v>57</v>
      </c>
      <c r="E3" s="4" t="s">
        <v>58</v>
      </c>
      <c r="F3" s="12">
        <v>181700</v>
      </c>
      <c r="G3" s="8">
        <f>0.6*F3</f>
        <v>109020</v>
      </c>
      <c r="H3" s="8">
        <f t="shared" ref="H3:H66" si="0">I3*G3</f>
        <v>109020</v>
      </c>
      <c r="I3" s="9">
        <v>1</v>
      </c>
      <c r="J3" s="7" t="s">
        <v>13</v>
      </c>
      <c r="K3" s="12" t="s">
        <v>16</v>
      </c>
      <c r="L3" s="9"/>
    </row>
    <row r="4" spans="1:12" s="2" customFormat="1" ht="39" customHeight="1" x14ac:dyDescent="0.25">
      <c r="A4" s="4" t="str">
        <f>A3</f>
        <v>ЩС (260108 AKMIR SULTANRABAT)</v>
      </c>
      <c r="B4" s="12" t="s">
        <v>8</v>
      </c>
      <c r="C4" s="4"/>
      <c r="D4" s="25" t="s">
        <v>59</v>
      </c>
      <c r="E4" s="4" t="s">
        <v>60</v>
      </c>
      <c r="F4" s="12">
        <v>122010</v>
      </c>
      <c r="G4" s="8">
        <f>0.6*F4</f>
        <v>73206</v>
      </c>
      <c r="H4" s="8">
        <f t="shared" si="0"/>
        <v>73206</v>
      </c>
      <c r="I4" s="9">
        <v>1</v>
      </c>
      <c r="J4" s="7" t="s">
        <v>13</v>
      </c>
      <c r="K4" s="12" t="s">
        <v>16</v>
      </c>
      <c r="L4" s="9"/>
    </row>
    <row r="5" spans="1:12" s="2" customFormat="1" ht="39" customHeight="1" x14ac:dyDescent="0.25">
      <c r="A5" s="4" t="str">
        <f>A3</f>
        <v>ЩС (260108 AKMIR SULTANRABAT)</v>
      </c>
      <c r="B5" s="12" t="s">
        <v>20</v>
      </c>
      <c r="C5" s="4"/>
      <c r="D5" s="25" t="s">
        <v>178</v>
      </c>
      <c r="E5" s="4" t="s">
        <v>179</v>
      </c>
      <c r="F5" s="12">
        <v>18517</v>
      </c>
      <c r="G5" s="8">
        <f>0.6*F5</f>
        <v>11110.199999999999</v>
      </c>
      <c r="H5" s="8">
        <f t="shared" si="0"/>
        <v>11110.199999999999</v>
      </c>
      <c r="I5" s="9">
        <v>1</v>
      </c>
      <c r="J5" s="7" t="s">
        <v>13</v>
      </c>
      <c r="K5" s="12" t="s">
        <v>17</v>
      </c>
      <c r="L5" s="9"/>
    </row>
    <row r="6" spans="1:12" s="2" customFormat="1" ht="39" customHeight="1" x14ac:dyDescent="0.25">
      <c r="A6" s="4" t="str">
        <f>A4</f>
        <v>ЩС (260108 AKMIR SULTANRABAT)</v>
      </c>
      <c r="B6" s="12" t="s">
        <v>176</v>
      </c>
      <c r="C6" s="4"/>
      <c r="D6" s="25" t="s">
        <v>180</v>
      </c>
      <c r="E6" s="4" t="s">
        <v>181</v>
      </c>
      <c r="F6" s="12">
        <v>5878</v>
      </c>
      <c r="G6" s="8">
        <f t="shared" ref="G6:G7" si="1">0.6*F6</f>
        <v>3526.7999999999997</v>
      </c>
      <c r="H6" s="8">
        <f t="shared" si="0"/>
        <v>3526.7999999999997</v>
      </c>
      <c r="I6" s="9">
        <v>1</v>
      </c>
      <c r="J6" s="7" t="s">
        <v>13</v>
      </c>
      <c r="K6" s="12" t="s">
        <v>17</v>
      </c>
      <c r="L6" s="9"/>
    </row>
    <row r="7" spans="1:12" s="19" customFormat="1" ht="44.25" customHeight="1" x14ac:dyDescent="0.35">
      <c r="A7" s="4" t="str">
        <f>A4</f>
        <v>ЩС (260108 AKMIR SULTANRABAT)</v>
      </c>
      <c r="B7" s="4" t="s">
        <v>62</v>
      </c>
      <c r="C7" s="4" t="s">
        <v>63</v>
      </c>
      <c r="D7" s="26" t="s">
        <v>182</v>
      </c>
      <c r="E7" s="4" t="s">
        <v>183</v>
      </c>
      <c r="F7" s="12">
        <v>30049</v>
      </c>
      <c r="G7" s="8">
        <f t="shared" si="1"/>
        <v>18029.399999999998</v>
      </c>
      <c r="H7" s="8">
        <f t="shared" si="0"/>
        <v>18029.399999999998</v>
      </c>
      <c r="I7" s="4">
        <v>1</v>
      </c>
      <c r="J7" s="4" t="s">
        <v>13</v>
      </c>
      <c r="K7" s="12" t="s">
        <v>17</v>
      </c>
      <c r="L7" s="4">
        <v>1</v>
      </c>
    </row>
    <row r="8" spans="1:12" s="19" customFormat="1" ht="44.25" customHeight="1" x14ac:dyDescent="0.35">
      <c r="A8" s="4" t="str">
        <f>A5</f>
        <v>ЩС (260108 AKMIR SULTANRABAT)</v>
      </c>
      <c r="B8" s="4" t="s">
        <v>24</v>
      </c>
      <c r="C8" s="4"/>
      <c r="D8" s="26" t="s">
        <v>66</v>
      </c>
      <c r="E8" s="4" t="s">
        <v>65</v>
      </c>
      <c r="F8" s="4">
        <v>40000</v>
      </c>
      <c r="G8" s="8">
        <f>F8</f>
        <v>40000</v>
      </c>
      <c r="H8" s="8">
        <f t="shared" si="0"/>
        <v>40000</v>
      </c>
      <c r="I8" s="4">
        <v>1</v>
      </c>
      <c r="J8" s="4" t="s">
        <v>13</v>
      </c>
      <c r="K8" s="4" t="s">
        <v>64</v>
      </c>
      <c r="L8" s="4"/>
    </row>
    <row r="9" spans="1:12" s="19" customFormat="1" ht="44.25" customHeight="1" x14ac:dyDescent="0.35">
      <c r="A9" s="4" t="str">
        <f>A6</f>
        <v>ЩС (260108 AKMIR SULTANRABAT)</v>
      </c>
      <c r="B9" s="4" t="s">
        <v>24</v>
      </c>
      <c r="C9" s="4"/>
      <c r="D9" s="26" t="s">
        <v>187</v>
      </c>
      <c r="E9" s="4" t="s">
        <v>186</v>
      </c>
      <c r="F9" s="4">
        <v>45000</v>
      </c>
      <c r="G9" s="8">
        <f>F9</f>
        <v>45000</v>
      </c>
      <c r="H9" s="8">
        <f t="shared" si="0"/>
        <v>90000</v>
      </c>
      <c r="I9" s="4">
        <v>2</v>
      </c>
      <c r="J9" s="4" t="s">
        <v>13</v>
      </c>
      <c r="K9" s="4" t="s">
        <v>64</v>
      </c>
      <c r="L9" s="4">
        <v>2</v>
      </c>
    </row>
    <row r="10" spans="1:12" s="2" customFormat="1" ht="39" customHeight="1" x14ac:dyDescent="0.25">
      <c r="A10" s="4" t="str">
        <f>A7</f>
        <v>ЩС (260108 AKMIR SULTANRABAT)</v>
      </c>
      <c r="B10" s="4" t="s">
        <v>21</v>
      </c>
      <c r="C10" s="4"/>
      <c r="D10" s="25" t="s">
        <v>184</v>
      </c>
      <c r="E10" s="4" t="s">
        <v>185</v>
      </c>
      <c r="F10" s="12">
        <v>5300</v>
      </c>
      <c r="G10" s="8">
        <f t="shared" ref="G10:G11" si="2">F10</f>
        <v>5300</v>
      </c>
      <c r="H10" s="8">
        <f t="shared" si="0"/>
        <v>15900</v>
      </c>
      <c r="I10" s="9">
        <v>3</v>
      </c>
      <c r="J10" s="7" t="s">
        <v>13</v>
      </c>
      <c r="K10" s="4" t="s">
        <v>56</v>
      </c>
      <c r="L10" s="9"/>
    </row>
    <row r="11" spans="1:12" s="2" customFormat="1" ht="39" customHeight="1" x14ac:dyDescent="0.25">
      <c r="A11" s="4" t="str">
        <f>A8</f>
        <v>ЩС (260108 AKMIR SULTANRABAT)</v>
      </c>
      <c r="B11" s="4" t="s">
        <v>67</v>
      </c>
      <c r="C11" s="4"/>
      <c r="D11" s="25" t="s">
        <v>68</v>
      </c>
      <c r="E11" s="4" t="s">
        <v>69</v>
      </c>
      <c r="F11" s="12">
        <v>30000</v>
      </c>
      <c r="G11" s="8">
        <f t="shared" si="2"/>
        <v>30000</v>
      </c>
      <c r="H11" s="8">
        <f t="shared" si="0"/>
        <v>30000</v>
      </c>
      <c r="I11" s="9">
        <v>1</v>
      </c>
      <c r="J11" s="7" t="s">
        <v>13</v>
      </c>
      <c r="K11" s="4" t="s">
        <v>56</v>
      </c>
      <c r="L11" s="9"/>
    </row>
    <row r="12" spans="1:12" s="2" customFormat="1" ht="39" customHeight="1" x14ac:dyDescent="0.25">
      <c r="A12" s="4" t="str">
        <f>A10</f>
        <v>ЩС (260108 AKMIR SULTANRABAT)</v>
      </c>
      <c r="B12" s="12" t="s">
        <v>12</v>
      </c>
      <c r="C12" s="4"/>
      <c r="D12" s="25" t="s">
        <v>174</v>
      </c>
      <c r="E12" s="4" t="s">
        <v>175</v>
      </c>
      <c r="F12" s="12">
        <v>3632</v>
      </c>
      <c r="G12" s="8">
        <f t="shared" ref="G12:G30" si="3">0.6*F12</f>
        <v>2179.1999999999998</v>
      </c>
      <c r="H12" s="8">
        <f t="shared" si="0"/>
        <v>2179.1999999999998</v>
      </c>
      <c r="I12" s="9">
        <v>1</v>
      </c>
      <c r="J12" s="7" t="s">
        <v>13</v>
      </c>
      <c r="K12" s="12" t="s">
        <v>17</v>
      </c>
      <c r="L12" s="9">
        <v>1</v>
      </c>
    </row>
    <row r="13" spans="1:12" s="2" customFormat="1" ht="39" customHeight="1" x14ac:dyDescent="0.25">
      <c r="A13" s="4" t="str">
        <f>A10</f>
        <v>ЩС (260108 AKMIR SULTANRABAT)</v>
      </c>
      <c r="B13" s="12" t="s">
        <v>12</v>
      </c>
      <c r="C13" s="4"/>
      <c r="D13" s="25" t="s">
        <v>45</v>
      </c>
      <c r="E13" s="4" t="s">
        <v>46</v>
      </c>
      <c r="F13" s="12">
        <v>3280</v>
      </c>
      <c r="G13" s="8">
        <f t="shared" si="3"/>
        <v>1968</v>
      </c>
      <c r="H13" s="8">
        <f t="shared" si="0"/>
        <v>1968</v>
      </c>
      <c r="I13" s="9">
        <v>1</v>
      </c>
      <c r="J13" s="7" t="s">
        <v>13</v>
      </c>
      <c r="K13" s="12" t="s">
        <v>17</v>
      </c>
      <c r="L13" s="9">
        <v>1</v>
      </c>
    </row>
    <row r="14" spans="1:12" s="2" customFormat="1" ht="39" customHeight="1" x14ac:dyDescent="0.25">
      <c r="A14" s="4" t="str">
        <f>A11</f>
        <v>ЩС (260108 AKMIR SULTANRABAT)</v>
      </c>
      <c r="B14" s="12" t="s">
        <v>12</v>
      </c>
      <c r="C14" s="4"/>
      <c r="D14" s="25" t="s">
        <v>188</v>
      </c>
      <c r="E14" s="4" t="s">
        <v>189</v>
      </c>
      <c r="F14" s="12">
        <v>2725</v>
      </c>
      <c r="G14" s="8">
        <f t="shared" si="3"/>
        <v>1635</v>
      </c>
      <c r="H14" s="8">
        <f t="shared" si="0"/>
        <v>1635</v>
      </c>
      <c r="I14" s="9">
        <v>1</v>
      </c>
      <c r="J14" s="7" t="s">
        <v>13</v>
      </c>
      <c r="K14" s="12" t="s">
        <v>17</v>
      </c>
      <c r="L14" s="9">
        <v>1</v>
      </c>
    </row>
    <row r="15" spans="1:12" s="2" customFormat="1" ht="39" customHeight="1" x14ac:dyDescent="0.25">
      <c r="A15" s="4" t="str">
        <f>A13</f>
        <v>ЩС (260108 AKMIR SULTANRABAT)</v>
      </c>
      <c r="B15" s="12" t="s">
        <v>12</v>
      </c>
      <c r="C15" s="4"/>
      <c r="D15" s="25" t="s">
        <v>43</v>
      </c>
      <c r="E15" s="4" t="s">
        <v>44</v>
      </c>
      <c r="F15" s="12">
        <v>2358</v>
      </c>
      <c r="G15" s="8">
        <f t="shared" si="3"/>
        <v>1414.8</v>
      </c>
      <c r="H15" s="8">
        <f t="shared" si="0"/>
        <v>7074</v>
      </c>
      <c r="I15" s="9">
        <v>5</v>
      </c>
      <c r="J15" s="7" t="s">
        <v>13</v>
      </c>
      <c r="K15" s="12" t="s">
        <v>17</v>
      </c>
      <c r="L15" s="9">
        <v>5</v>
      </c>
    </row>
    <row r="16" spans="1:12" s="2" customFormat="1" ht="39" customHeight="1" x14ac:dyDescent="0.25">
      <c r="A16" s="4" t="str">
        <f>A15</f>
        <v>ЩС (260108 AKMIR SULTANRABAT)</v>
      </c>
      <c r="B16" s="12" t="s">
        <v>12</v>
      </c>
      <c r="C16" s="4"/>
      <c r="D16" s="25" t="s">
        <v>41</v>
      </c>
      <c r="E16" s="4" t="s">
        <v>42</v>
      </c>
      <c r="F16" s="12">
        <v>2269</v>
      </c>
      <c r="G16" s="8">
        <f t="shared" si="3"/>
        <v>1361.3999999999999</v>
      </c>
      <c r="H16" s="8">
        <f t="shared" si="0"/>
        <v>6806.9999999999991</v>
      </c>
      <c r="I16" s="9">
        <v>5</v>
      </c>
      <c r="J16" s="7" t="s">
        <v>13</v>
      </c>
      <c r="K16" s="12" t="s">
        <v>17</v>
      </c>
      <c r="L16" s="9">
        <v>5</v>
      </c>
    </row>
    <row r="17" spans="1:12" s="2" customFormat="1" ht="39" customHeight="1" x14ac:dyDescent="0.25">
      <c r="A17" s="4" t="str">
        <f>A15</f>
        <v>ЩС (260108 AKMIR SULTANRABAT)</v>
      </c>
      <c r="B17" s="12" t="s">
        <v>12</v>
      </c>
      <c r="C17" s="4"/>
      <c r="D17" s="25" t="s">
        <v>39</v>
      </c>
      <c r="E17" s="4" t="s">
        <v>40</v>
      </c>
      <c r="F17" s="12">
        <v>2789</v>
      </c>
      <c r="G17" s="8">
        <f t="shared" si="3"/>
        <v>1673.3999999999999</v>
      </c>
      <c r="H17" s="8">
        <f t="shared" si="0"/>
        <v>3346.7999999999997</v>
      </c>
      <c r="I17" s="9">
        <v>2</v>
      </c>
      <c r="J17" s="7" t="s">
        <v>13</v>
      </c>
      <c r="K17" s="12" t="s">
        <v>17</v>
      </c>
      <c r="L17" s="9">
        <v>2</v>
      </c>
    </row>
    <row r="18" spans="1:12" s="2" customFormat="1" ht="39" customHeight="1" x14ac:dyDescent="0.25">
      <c r="A18" s="4" t="str">
        <f>A16</f>
        <v>ЩС (260108 AKMIR SULTANRABAT)</v>
      </c>
      <c r="B18" s="12" t="s">
        <v>12</v>
      </c>
      <c r="C18" s="4"/>
      <c r="D18" s="25" t="s">
        <v>166</v>
      </c>
      <c r="E18" s="4" t="s">
        <v>167</v>
      </c>
      <c r="F18" s="12">
        <v>1054</v>
      </c>
      <c r="G18" s="8">
        <f t="shared" si="3"/>
        <v>632.4</v>
      </c>
      <c r="H18" s="8">
        <f t="shared" si="0"/>
        <v>632.4</v>
      </c>
      <c r="I18" s="9">
        <v>1</v>
      </c>
      <c r="J18" s="7" t="s">
        <v>13</v>
      </c>
      <c r="K18" s="12" t="s">
        <v>17</v>
      </c>
      <c r="L18" s="9">
        <v>1</v>
      </c>
    </row>
    <row r="19" spans="1:12" s="2" customFormat="1" ht="39" customHeight="1" x14ac:dyDescent="0.25">
      <c r="A19" s="4" t="str">
        <f>A17</f>
        <v>ЩС (260108 AKMIR SULTANRABAT)</v>
      </c>
      <c r="B19" s="12" t="s">
        <v>12</v>
      </c>
      <c r="C19" s="4"/>
      <c r="D19" s="25" t="s">
        <v>35</v>
      </c>
      <c r="E19" s="4" t="s">
        <v>36</v>
      </c>
      <c r="F19" s="12">
        <v>876</v>
      </c>
      <c r="G19" s="8">
        <f t="shared" si="3"/>
        <v>525.6</v>
      </c>
      <c r="H19" s="8">
        <f t="shared" si="0"/>
        <v>1051.2</v>
      </c>
      <c r="I19" s="9">
        <v>2</v>
      </c>
      <c r="J19" s="7" t="s">
        <v>13</v>
      </c>
      <c r="K19" s="12" t="s">
        <v>17</v>
      </c>
      <c r="L19" s="9">
        <v>2</v>
      </c>
    </row>
    <row r="20" spans="1:12" s="2" customFormat="1" ht="39" customHeight="1" x14ac:dyDescent="0.25">
      <c r="A20" s="4" t="str">
        <f>A16</f>
        <v>ЩС (260108 AKMIR SULTANRABAT)</v>
      </c>
      <c r="B20" s="12" t="s">
        <v>12</v>
      </c>
      <c r="C20" s="4"/>
      <c r="D20" s="25" t="s">
        <v>18</v>
      </c>
      <c r="E20" s="4" t="s">
        <v>19</v>
      </c>
      <c r="F20" s="12">
        <v>760</v>
      </c>
      <c r="G20" s="8">
        <f t="shared" si="3"/>
        <v>456</v>
      </c>
      <c r="H20" s="8">
        <f t="shared" si="0"/>
        <v>7296</v>
      </c>
      <c r="I20" s="9">
        <v>16</v>
      </c>
      <c r="J20" s="7" t="s">
        <v>13</v>
      </c>
      <c r="K20" s="12" t="s">
        <v>17</v>
      </c>
      <c r="L20" s="9">
        <v>16</v>
      </c>
    </row>
    <row r="21" spans="1:12" s="2" customFormat="1" ht="39" customHeight="1" x14ac:dyDescent="0.25">
      <c r="A21" s="4" t="str">
        <f>A20</f>
        <v>ЩС (260108 AKMIR SULTANRABAT)</v>
      </c>
      <c r="B21" s="12" t="s">
        <v>12</v>
      </c>
      <c r="C21" s="4"/>
      <c r="D21" s="25" t="s">
        <v>33</v>
      </c>
      <c r="E21" s="4" t="s">
        <v>34</v>
      </c>
      <c r="F21" s="12">
        <v>760</v>
      </c>
      <c r="G21" s="8">
        <f t="shared" si="3"/>
        <v>456</v>
      </c>
      <c r="H21" s="8">
        <f t="shared" si="0"/>
        <v>3648</v>
      </c>
      <c r="I21" s="9">
        <v>8</v>
      </c>
      <c r="J21" s="7" t="s">
        <v>13</v>
      </c>
      <c r="K21" s="12" t="s">
        <v>17</v>
      </c>
      <c r="L21" s="9">
        <v>8</v>
      </c>
    </row>
    <row r="22" spans="1:12" s="2" customFormat="1" ht="39" customHeight="1" x14ac:dyDescent="0.25">
      <c r="A22" s="4" t="str">
        <f>A17</f>
        <v>ЩС (260108 AKMIR SULTANRABAT)</v>
      </c>
      <c r="B22" s="12" t="s">
        <v>12</v>
      </c>
      <c r="C22" s="4"/>
      <c r="D22" s="25" t="s">
        <v>37</v>
      </c>
      <c r="E22" s="4" t="s">
        <v>38</v>
      </c>
      <c r="F22" s="12">
        <v>947</v>
      </c>
      <c r="G22" s="8">
        <f t="shared" si="3"/>
        <v>568.19999999999993</v>
      </c>
      <c r="H22" s="8">
        <f t="shared" si="0"/>
        <v>1136.3999999999999</v>
      </c>
      <c r="I22" s="9">
        <v>2</v>
      </c>
      <c r="J22" s="7" t="s">
        <v>13</v>
      </c>
      <c r="K22" s="12" t="s">
        <v>17</v>
      </c>
      <c r="L22" s="9">
        <v>2</v>
      </c>
    </row>
    <row r="23" spans="1:12" s="2" customFormat="1" ht="39" customHeight="1" x14ac:dyDescent="0.25">
      <c r="A23" s="4" t="str">
        <f>A20</f>
        <v>ЩС (260108 AKMIR SULTANRABAT)</v>
      </c>
      <c r="B23" s="12" t="s">
        <v>61</v>
      </c>
      <c r="C23" s="4"/>
      <c r="D23" s="25" t="s">
        <v>172</v>
      </c>
      <c r="E23" s="4" t="s">
        <v>173</v>
      </c>
      <c r="F23" s="12">
        <v>9917</v>
      </c>
      <c r="G23" s="8">
        <f t="shared" si="3"/>
        <v>5950.2</v>
      </c>
      <c r="H23" s="8">
        <f t="shared" si="0"/>
        <v>17850.599999999999</v>
      </c>
      <c r="I23" s="9">
        <v>3</v>
      </c>
      <c r="J23" s="7" t="s">
        <v>13</v>
      </c>
      <c r="K23" s="12" t="s">
        <v>17</v>
      </c>
      <c r="L23" s="9">
        <v>3</v>
      </c>
    </row>
    <row r="24" spans="1:12" s="2" customFormat="1" ht="39" customHeight="1" x14ac:dyDescent="0.25">
      <c r="A24" s="4" t="str">
        <f>A22</f>
        <v>ЩС (260108 AKMIR SULTANRABAT)</v>
      </c>
      <c r="B24" s="12" t="s">
        <v>61</v>
      </c>
      <c r="C24" s="4"/>
      <c r="D24" s="25" t="s">
        <v>170</v>
      </c>
      <c r="E24" s="4" t="s">
        <v>171</v>
      </c>
      <c r="F24" s="12">
        <v>11071</v>
      </c>
      <c r="G24" s="8">
        <f t="shared" si="3"/>
        <v>6642.5999999999995</v>
      </c>
      <c r="H24" s="8">
        <f t="shared" si="0"/>
        <v>6642.5999999999995</v>
      </c>
      <c r="I24" s="9">
        <v>1</v>
      </c>
      <c r="J24" s="7" t="s">
        <v>13</v>
      </c>
      <c r="K24" s="12" t="s">
        <v>17</v>
      </c>
      <c r="L24" s="9">
        <v>1</v>
      </c>
    </row>
    <row r="25" spans="1:12" s="2" customFormat="1" ht="39" customHeight="1" x14ac:dyDescent="0.25">
      <c r="A25" s="4" t="str">
        <f>A23</f>
        <v>ЩС (260108 AKMIR SULTANRABAT)</v>
      </c>
      <c r="B25" s="12" t="s">
        <v>61</v>
      </c>
      <c r="C25" s="4"/>
      <c r="D25" s="25" t="s">
        <v>53</v>
      </c>
      <c r="E25" s="4" t="s">
        <v>54</v>
      </c>
      <c r="F25" s="12">
        <v>4945</v>
      </c>
      <c r="G25" s="8">
        <f t="shared" si="3"/>
        <v>2967</v>
      </c>
      <c r="H25" s="8">
        <f t="shared" si="0"/>
        <v>53406</v>
      </c>
      <c r="I25" s="9">
        <v>18</v>
      </c>
      <c r="J25" s="7" t="s">
        <v>13</v>
      </c>
      <c r="K25" s="12" t="s">
        <v>17</v>
      </c>
      <c r="L25" s="9">
        <v>18</v>
      </c>
    </row>
    <row r="26" spans="1:12" s="2" customFormat="1" ht="39" customHeight="1" x14ac:dyDescent="0.25">
      <c r="A26" s="4" t="str">
        <f>A24</f>
        <v>ЩС (260108 AKMIR SULTANRABAT)</v>
      </c>
      <c r="B26" s="12" t="s">
        <v>61</v>
      </c>
      <c r="C26" s="4"/>
      <c r="D26" s="25" t="s">
        <v>168</v>
      </c>
      <c r="E26" s="4" t="s">
        <v>169</v>
      </c>
      <c r="F26" s="12">
        <v>5821</v>
      </c>
      <c r="G26" s="8">
        <f t="shared" si="3"/>
        <v>3492.6</v>
      </c>
      <c r="H26" s="8">
        <f t="shared" si="0"/>
        <v>27940.799999999999</v>
      </c>
      <c r="I26" s="9">
        <v>8</v>
      </c>
      <c r="J26" s="7" t="s">
        <v>13</v>
      </c>
      <c r="K26" s="12" t="s">
        <v>17</v>
      </c>
      <c r="L26" s="9">
        <v>8</v>
      </c>
    </row>
    <row r="27" spans="1:12" s="2" customFormat="1" ht="39" customHeight="1" x14ac:dyDescent="0.25">
      <c r="A27" s="4" t="str">
        <f>A22</f>
        <v>ЩС (260108 AKMIR SULTANRABAT)</v>
      </c>
      <c r="B27" s="12" t="s">
        <v>26</v>
      </c>
      <c r="C27" s="4"/>
      <c r="D27" s="25" t="s">
        <v>49</v>
      </c>
      <c r="E27" s="4" t="s">
        <v>50</v>
      </c>
      <c r="F27" s="12">
        <v>13919</v>
      </c>
      <c r="G27" s="8">
        <f t="shared" si="3"/>
        <v>8351.4</v>
      </c>
      <c r="H27" s="8">
        <f t="shared" si="0"/>
        <v>16702.8</v>
      </c>
      <c r="I27" s="9">
        <v>2</v>
      </c>
      <c r="J27" s="7" t="s">
        <v>13</v>
      </c>
      <c r="K27" s="12" t="s">
        <v>17</v>
      </c>
      <c r="L27" s="9">
        <v>2</v>
      </c>
    </row>
    <row r="28" spans="1:12" s="2" customFormat="1" ht="39" customHeight="1" x14ac:dyDescent="0.25">
      <c r="A28" s="4" t="str">
        <f>A23</f>
        <v>ЩС (260108 AKMIR SULTANRABAT)</v>
      </c>
      <c r="B28" s="12" t="s">
        <v>26</v>
      </c>
      <c r="C28" s="4"/>
      <c r="D28" s="25" t="s">
        <v>51</v>
      </c>
      <c r="E28" s="4" t="s">
        <v>52</v>
      </c>
      <c r="F28" s="12">
        <v>11041</v>
      </c>
      <c r="G28" s="8">
        <f t="shared" si="3"/>
        <v>6624.5999999999995</v>
      </c>
      <c r="H28" s="8">
        <f t="shared" si="0"/>
        <v>39747.599999999999</v>
      </c>
      <c r="I28" s="9">
        <v>6</v>
      </c>
      <c r="J28" s="7" t="s">
        <v>13</v>
      </c>
      <c r="K28" s="12" t="s">
        <v>17</v>
      </c>
      <c r="L28" s="9">
        <v>6</v>
      </c>
    </row>
    <row r="29" spans="1:12" s="2" customFormat="1" ht="39" customHeight="1" x14ac:dyDescent="0.25">
      <c r="A29" s="4" t="str">
        <f>A27</f>
        <v>ЩС (260108 AKMIR SULTANRABAT)</v>
      </c>
      <c r="B29" s="12" t="s">
        <v>26</v>
      </c>
      <c r="C29" s="4"/>
      <c r="D29" s="25" t="s">
        <v>161</v>
      </c>
      <c r="E29" s="4" t="s">
        <v>162</v>
      </c>
      <c r="F29" s="12">
        <v>8550</v>
      </c>
      <c r="G29" s="8">
        <f t="shared" si="3"/>
        <v>5130</v>
      </c>
      <c r="H29" s="8">
        <f t="shared" si="0"/>
        <v>25650</v>
      </c>
      <c r="I29" s="9">
        <v>5</v>
      </c>
      <c r="J29" s="7" t="s">
        <v>13</v>
      </c>
      <c r="K29" s="12" t="s">
        <v>17</v>
      </c>
      <c r="L29" s="9">
        <v>5</v>
      </c>
    </row>
    <row r="30" spans="1:12" s="2" customFormat="1" ht="39" customHeight="1" x14ac:dyDescent="0.25">
      <c r="A30" s="4" t="str">
        <f>A28</f>
        <v>ЩС (260108 AKMIR SULTANRABAT)</v>
      </c>
      <c r="B30" s="12" t="s">
        <v>26</v>
      </c>
      <c r="C30" s="4"/>
      <c r="D30" s="25" t="s">
        <v>157</v>
      </c>
      <c r="E30" s="4" t="s">
        <v>158</v>
      </c>
      <c r="F30" s="12">
        <v>5388</v>
      </c>
      <c r="G30" s="8">
        <f t="shared" si="3"/>
        <v>3232.7999999999997</v>
      </c>
      <c r="H30" s="8">
        <f t="shared" si="0"/>
        <v>6465.5999999999995</v>
      </c>
      <c r="I30" s="9">
        <v>2</v>
      </c>
      <c r="J30" s="7" t="s">
        <v>13</v>
      </c>
      <c r="K30" s="12" t="s">
        <v>17</v>
      </c>
      <c r="L30" s="9">
        <v>3</v>
      </c>
    </row>
    <row r="31" spans="1:12" s="2" customFormat="1" ht="39" customHeight="1" x14ac:dyDescent="0.25">
      <c r="A31" s="4" t="str">
        <f>A22</f>
        <v>ЩС (260108 AKMIR SULTANRABAT)</v>
      </c>
      <c r="B31" s="12" t="s">
        <v>22</v>
      </c>
      <c r="C31" s="4"/>
      <c r="D31" s="25" t="s">
        <v>164</v>
      </c>
      <c r="E31" s="4" t="s">
        <v>163</v>
      </c>
      <c r="F31" s="12">
        <v>30000</v>
      </c>
      <c r="G31" s="8">
        <f>F31</f>
        <v>30000</v>
      </c>
      <c r="H31" s="8">
        <f t="shared" si="0"/>
        <v>30000</v>
      </c>
      <c r="I31" s="9">
        <v>1</v>
      </c>
      <c r="J31" s="7" t="s">
        <v>13</v>
      </c>
      <c r="K31" s="12" t="s">
        <v>165</v>
      </c>
      <c r="L31" s="9">
        <v>1</v>
      </c>
    </row>
    <row r="32" spans="1:12" s="2" customFormat="1" ht="39" customHeight="1" x14ac:dyDescent="0.25">
      <c r="A32" s="4" t="str">
        <f t="shared" ref="A32:A67" si="4">A31</f>
        <v>ЩС (260108 AKMIR SULTANRABAT)</v>
      </c>
      <c r="B32" s="12" t="s">
        <v>23</v>
      </c>
      <c r="C32" s="4"/>
      <c r="D32" s="25">
        <v>593077</v>
      </c>
      <c r="E32" s="4" t="s">
        <v>78</v>
      </c>
      <c r="F32" s="12">
        <v>589</v>
      </c>
      <c r="G32" s="8">
        <f t="shared" ref="G32:G42" si="5">0.6*F32</f>
        <v>353.4</v>
      </c>
      <c r="H32" s="8">
        <f t="shared" si="0"/>
        <v>7774.7999999999993</v>
      </c>
      <c r="I32" s="9">
        <v>22</v>
      </c>
      <c r="J32" s="7" t="s">
        <v>13</v>
      </c>
      <c r="K32" s="12" t="s">
        <v>17</v>
      </c>
      <c r="L32" s="9"/>
    </row>
    <row r="33" spans="1:12" s="2" customFormat="1" ht="39" customHeight="1" x14ac:dyDescent="0.25">
      <c r="A33" s="4" t="str">
        <f t="shared" si="4"/>
        <v>ЩС (260108 AKMIR SULTANRABAT)</v>
      </c>
      <c r="B33" s="12" t="s">
        <v>25</v>
      </c>
      <c r="C33" s="4"/>
      <c r="D33" s="25" t="s">
        <v>159</v>
      </c>
      <c r="E33" s="4" t="s">
        <v>160</v>
      </c>
      <c r="F33" s="12">
        <v>56704</v>
      </c>
      <c r="G33" s="8">
        <f t="shared" si="5"/>
        <v>34022.400000000001</v>
      </c>
      <c r="H33" s="8">
        <f t="shared" si="0"/>
        <v>34022.400000000001</v>
      </c>
      <c r="I33" s="9">
        <v>1</v>
      </c>
      <c r="J33" s="7" t="s">
        <v>13</v>
      </c>
      <c r="K33" s="12" t="s">
        <v>17</v>
      </c>
      <c r="L33" s="9">
        <v>2</v>
      </c>
    </row>
    <row r="34" spans="1:12" s="2" customFormat="1" ht="39" customHeight="1" x14ac:dyDescent="0.25">
      <c r="A34" s="4" t="str">
        <f t="shared" si="4"/>
        <v>ЩС (260108 AKMIR SULTANRABAT)</v>
      </c>
      <c r="B34" s="12" t="s">
        <v>28</v>
      </c>
      <c r="C34" s="4"/>
      <c r="D34" s="25" t="s">
        <v>47</v>
      </c>
      <c r="E34" s="4" t="s">
        <v>48</v>
      </c>
      <c r="F34" s="12">
        <v>5852</v>
      </c>
      <c r="G34" s="8">
        <f t="shared" si="5"/>
        <v>3511.2</v>
      </c>
      <c r="H34" s="8">
        <f t="shared" si="0"/>
        <v>3511.2</v>
      </c>
      <c r="I34" s="9">
        <v>1</v>
      </c>
      <c r="J34" s="7" t="s">
        <v>13</v>
      </c>
      <c r="K34" s="12" t="s">
        <v>17</v>
      </c>
      <c r="L34" s="9">
        <v>1</v>
      </c>
    </row>
    <row r="35" spans="1:12" s="2" customFormat="1" ht="39" customHeight="1" x14ac:dyDescent="0.25">
      <c r="A35" s="4" t="str">
        <f t="shared" si="4"/>
        <v>ЩС (260108 AKMIR SULTANRABAT)</v>
      </c>
      <c r="B35" s="12" t="s">
        <v>29</v>
      </c>
      <c r="C35" s="4" t="s">
        <v>76</v>
      </c>
      <c r="D35" s="25">
        <v>266985</v>
      </c>
      <c r="E35" s="4" t="s">
        <v>77</v>
      </c>
      <c r="F35" s="12">
        <v>12515</v>
      </c>
      <c r="G35" s="8">
        <f t="shared" si="5"/>
        <v>7509</v>
      </c>
      <c r="H35" s="8">
        <f t="shared" si="0"/>
        <v>7509</v>
      </c>
      <c r="I35" s="9">
        <v>1</v>
      </c>
      <c r="J35" s="7" t="s">
        <v>13</v>
      </c>
      <c r="K35" s="12" t="s">
        <v>17</v>
      </c>
      <c r="L35" s="9">
        <v>1</v>
      </c>
    </row>
    <row r="36" spans="1:12" s="2" customFormat="1" ht="39" customHeight="1" x14ac:dyDescent="0.25">
      <c r="A36" s="4" t="str">
        <f t="shared" si="4"/>
        <v>ЩС (260108 AKMIR SULTANRABAT)</v>
      </c>
      <c r="B36" s="4" t="s">
        <v>30</v>
      </c>
      <c r="C36" s="4"/>
      <c r="D36" s="25">
        <v>310024</v>
      </c>
      <c r="E36" s="4" t="s">
        <v>55</v>
      </c>
      <c r="F36" s="12">
        <v>18847</v>
      </c>
      <c r="G36" s="8">
        <f t="shared" si="5"/>
        <v>11308.199999999999</v>
      </c>
      <c r="H36" s="8">
        <f t="shared" si="0"/>
        <v>33924.6</v>
      </c>
      <c r="I36" s="9">
        <v>3</v>
      </c>
      <c r="J36" s="7" t="s">
        <v>13</v>
      </c>
      <c r="K36" s="12" t="s">
        <v>17</v>
      </c>
      <c r="L36" s="9"/>
    </row>
    <row r="37" spans="1:12" s="2" customFormat="1" ht="39" customHeight="1" x14ac:dyDescent="0.25">
      <c r="A37" s="4" t="str">
        <f t="shared" si="4"/>
        <v>ЩС (260108 AKMIR SULTANRABAT)</v>
      </c>
      <c r="B37" s="12" t="s">
        <v>27</v>
      </c>
      <c r="C37" s="4" t="s">
        <v>82</v>
      </c>
      <c r="D37" s="26">
        <v>574849</v>
      </c>
      <c r="E37" s="4" t="s">
        <v>83</v>
      </c>
      <c r="F37" s="4">
        <v>1836</v>
      </c>
      <c r="G37" s="8">
        <f t="shared" si="5"/>
        <v>1101.5999999999999</v>
      </c>
      <c r="H37" s="8">
        <f t="shared" si="0"/>
        <v>7711.1999999999989</v>
      </c>
      <c r="I37" s="4">
        <v>7</v>
      </c>
      <c r="J37" s="4" t="s">
        <v>13</v>
      </c>
      <c r="K37" s="4" t="s">
        <v>17</v>
      </c>
      <c r="L37" s="4"/>
    </row>
    <row r="38" spans="1:12" s="2" customFormat="1" ht="39" customHeight="1" x14ac:dyDescent="0.25">
      <c r="A38" s="4" t="str">
        <f>A36</f>
        <v>ЩС (260108 AKMIR SULTANRABAT)</v>
      </c>
      <c r="B38" s="12" t="s">
        <v>27</v>
      </c>
      <c r="C38" s="4" t="s">
        <v>79</v>
      </c>
      <c r="D38" s="26" t="s">
        <v>80</v>
      </c>
      <c r="E38" s="4" t="s">
        <v>81</v>
      </c>
      <c r="F38" s="4">
        <v>1602</v>
      </c>
      <c r="G38" s="8">
        <f t="shared" si="5"/>
        <v>961.19999999999993</v>
      </c>
      <c r="H38" s="8">
        <f t="shared" si="0"/>
        <v>11534.4</v>
      </c>
      <c r="I38" s="4">
        <v>12</v>
      </c>
      <c r="J38" s="4" t="s">
        <v>13</v>
      </c>
      <c r="K38" s="4" t="s">
        <v>17</v>
      </c>
      <c r="L38" s="4"/>
    </row>
    <row r="39" spans="1:12" s="2" customFormat="1" ht="39" customHeight="1" x14ac:dyDescent="0.25">
      <c r="A39" s="4" t="str">
        <f t="shared" si="4"/>
        <v>ЩС (260108 AKMIR SULTANRABAT)</v>
      </c>
      <c r="B39" s="4" t="s">
        <v>31</v>
      </c>
      <c r="C39" s="4"/>
      <c r="D39" s="25">
        <v>285250</v>
      </c>
      <c r="E39" s="4" t="s">
        <v>74</v>
      </c>
      <c r="F39" s="12">
        <v>1571</v>
      </c>
      <c r="G39" s="8">
        <f t="shared" si="5"/>
        <v>942.59999999999991</v>
      </c>
      <c r="H39" s="8">
        <f t="shared" si="0"/>
        <v>4713</v>
      </c>
      <c r="I39" s="9">
        <v>5</v>
      </c>
      <c r="J39" s="7" t="s">
        <v>13</v>
      </c>
      <c r="K39" s="12" t="s">
        <v>17</v>
      </c>
      <c r="L39" s="9">
        <v>1</v>
      </c>
    </row>
    <row r="40" spans="1:12" s="2" customFormat="1" ht="39" customHeight="1" x14ac:dyDescent="0.25">
      <c r="A40" s="4" t="str">
        <f t="shared" si="4"/>
        <v>ЩС (260108 AKMIR SULTANRABAT)</v>
      </c>
      <c r="B40" s="4" t="s">
        <v>32</v>
      </c>
      <c r="C40" s="4"/>
      <c r="D40" s="26">
        <v>285976</v>
      </c>
      <c r="E40" s="4" t="s">
        <v>75</v>
      </c>
      <c r="F40" s="12">
        <v>682</v>
      </c>
      <c r="G40" s="8">
        <f t="shared" si="5"/>
        <v>409.2</v>
      </c>
      <c r="H40" s="8">
        <f t="shared" si="0"/>
        <v>2046</v>
      </c>
      <c r="I40" s="9">
        <v>5</v>
      </c>
      <c r="J40" s="7" t="s">
        <v>13</v>
      </c>
      <c r="K40" s="12" t="s">
        <v>17</v>
      </c>
      <c r="L40" s="9">
        <v>1</v>
      </c>
    </row>
    <row r="41" spans="1:12" s="2" customFormat="1" ht="39" customHeight="1" x14ac:dyDescent="0.25">
      <c r="A41" s="4" t="str">
        <f t="shared" si="4"/>
        <v>ЩС (260108 AKMIR SULTANRABAT)</v>
      </c>
      <c r="B41" s="4" t="s">
        <v>31</v>
      </c>
      <c r="C41" s="4"/>
      <c r="D41" s="25" t="s">
        <v>70</v>
      </c>
      <c r="E41" s="4" t="s">
        <v>71</v>
      </c>
      <c r="F41" s="12">
        <v>1229</v>
      </c>
      <c r="G41" s="8">
        <f t="shared" si="5"/>
        <v>737.4</v>
      </c>
      <c r="H41" s="8">
        <f t="shared" si="0"/>
        <v>1474.8</v>
      </c>
      <c r="I41" s="9">
        <v>2</v>
      </c>
      <c r="J41" s="7" t="s">
        <v>13</v>
      </c>
      <c r="K41" s="12" t="s">
        <v>17</v>
      </c>
      <c r="L41" s="9"/>
    </row>
    <row r="42" spans="1:12" s="2" customFormat="1" ht="39" customHeight="1" x14ac:dyDescent="0.25">
      <c r="A42" s="4" t="str">
        <f>A41</f>
        <v>ЩС (260108 AKMIR SULTANRABAT)</v>
      </c>
      <c r="B42" s="4" t="s">
        <v>32</v>
      </c>
      <c r="C42" s="4"/>
      <c r="D42" s="26" t="s">
        <v>72</v>
      </c>
      <c r="E42" s="4" t="s">
        <v>73</v>
      </c>
      <c r="F42" s="12">
        <v>1154</v>
      </c>
      <c r="G42" s="8">
        <f t="shared" si="5"/>
        <v>692.4</v>
      </c>
      <c r="H42" s="8">
        <f t="shared" si="0"/>
        <v>1384.8</v>
      </c>
      <c r="I42" s="9">
        <v>2</v>
      </c>
      <c r="J42" s="7" t="s">
        <v>13</v>
      </c>
      <c r="K42" s="12" t="s">
        <v>17</v>
      </c>
      <c r="L42" s="9"/>
    </row>
    <row r="43" spans="1:12" s="2" customFormat="1" ht="39" customHeight="1" x14ac:dyDescent="0.25">
      <c r="A43" s="4" t="str">
        <f t="shared" ref="A43:A66" si="6">A42</f>
        <v>ЩС (260108 AKMIR SULTANRABAT)</v>
      </c>
      <c r="B43" s="20" t="s">
        <v>90</v>
      </c>
      <c r="C43" s="4" t="s">
        <v>89</v>
      </c>
      <c r="D43" s="26" t="s">
        <v>88</v>
      </c>
      <c r="E43" s="4" t="s">
        <v>87</v>
      </c>
      <c r="F43" s="4">
        <v>1432</v>
      </c>
      <c r="G43" s="8">
        <f>F43</f>
        <v>1432</v>
      </c>
      <c r="H43" s="8">
        <f t="shared" si="0"/>
        <v>4296</v>
      </c>
      <c r="I43" s="4">
        <v>3</v>
      </c>
      <c r="J43" s="4" t="s">
        <v>13</v>
      </c>
      <c r="K43" s="4" t="s">
        <v>56</v>
      </c>
      <c r="L43" s="4"/>
    </row>
    <row r="44" spans="1:12" s="2" customFormat="1" ht="39" customHeight="1" x14ac:dyDescent="0.25">
      <c r="A44" s="4" t="str">
        <f t="shared" si="6"/>
        <v>ЩС (260108 AKMIR SULTANRABAT)</v>
      </c>
      <c r="B44" s="20" t="s">
        <v>91</v>
      </c>
      <c r="C44" s="4" t="s">
        <v>86</v>
      </c>
      <c r="D44" s="26" t="s">
        <v>85</v>
      </c>
      <c r="E44" s="4" t="s">
        <v>84</v>
      </c>
      <c r="F44" s="4">
        <v>16808</v>
      </c>
      <c r="G44" s="8">
        <f>0.6*F44</f>
        <v>10084.799999999999</v>
      </c>
      <c r="H44" s="8">
        <f t="shared" si="0"/>
        <v>40339.199999999997</v>
      </c>
      <c r="I44" s="4">
        <v>4</v>
      </c>
      <c r="J44" s="4" t="s">
        <v>13</v>
      </c>
      <c r="K44" s="4" t="s">
        <v>17</v>
      </c>
      <c r="L44" s="4"/>
    </row>
    <row r="45" spans="1:12" s="2" customFormat="1" ht="39" customHeight="1" x14ac:dyDescent="0.25">
      <c r="A45" s="4" t="str">
        <f t="shared" si="6"/>
        <v>ЩС (260108 AKMIR SULTANRABAT)</v>
      </c>
      <c r="B45" s="4" t="s">
        <v>92</v>
      </c>
      <c r="C45" s="4" t="s">
        <v>93</v>
      </c>
      <c r="D45" s="26" t="s">
        <v>94</v>
      </c>
      <c r="E45" s="4" t="s">
        <v>95</v>
      </c>
      <c r="F45" s="4">
        <v>5133</v>
      </c>
      <c r="G45" s="8">
        <f t="shared" ref="G45:G66" si="7">F45</f>
        <v>5133</v>
      </c>
      <c r="H45" s="8">
        <f t="shared" si="0"/>
        <v>1924.875</v>
      </c>
      <c r="I45" s="4">
        <v>0.375</v>
      </c>
      <c r="J45" s="4" t="s">
        <v>13</v>
      </c>
      <c r="K45" s="4" t="s">
        <v>56</v>
      </c>
      <c r="L45" s="4"/>
    </row>
    <row r="46" spans="1:12" s="2" customFormat="1" ht="39" customHeight="1" x14ac:dyDescent="0.25">
      <c r="A46" s="4" t="str">
        <f t="shared" si="6"/>
        <v>ЩС (260108 AKMIR SULTANRABAT)</v>
      </c>
      <c r="B46" s="4" t="s">
        <v>96</v>
      </c>
      <c r="C46" s="4" t="s">
        <v>97</v>
      </c>
      <c r="D46" s="26"/>
      <c r="E46" s="4" t="s">
        <v>98</v>
      </c>
      <c r="F46" s="4">
        <v>60</v>
      </c>
      <c r="G46" s="8">
        <f t="shared" si="7"/>
        <v>60</v>
      </c>
      <c r="H46" s="8">
        <f t="shared" si="0"/>
        <v>12000</v>
      </c>
      <c r="I46" s="4">
        <v>200</v>
      </c>
      <c r="J46" s="4" t="s">
        <v>99</v>
      </c>
      <c r="K46" s="4" t="s">
        <v>56</v>
      </c>
      <c r="L46" s="4"/>
    </row>
    <row r="47" spans="1:12" s="2" customFormat="1" ht="39" customHeight="1" x14ac:dyDescent="0.25">
      <c r="A47" s="4" t="str">
        <f t="shared" si="6"/>
        <v>ЩС (260108 AKMIR SULTANRABAT)</v>
      </c>
      <c r="B47" s="4" t="s">
        <v>96</v>
      </c>
      <c r="C47" s="4" t="s">
        <v>100</v>
      </c>
      <c r="D47" s="26"/>
      <c r="E47" s="4" t="s">
        <v>101</v>
      </c>
      <c r="F47" s="4">
        <v>185</v>
      </c>
      <c r="G47" s="8">
        <f t="shared" si="7"/>
        <v>185</v>
      </c>
      <c r="H47" s="8">
        <f t="shared" si="0"/>
        <v>74000</v>
      </c>
      <c r="I47" s="4">
        <v>400</v>
      </c>
      <c r="J47" s="4" t="s">
        <v>99</v>
      </c>
      <c r="K47" s="4" t="s">
        <v>56</v>
      </c>
      <c r="L47" s="4"/>
    </row>
    <row r="48" spans="1:12" s="2" customFormat="1" ht="39" customHeight="1" x14ac:dyDescent="0.25">
      <c r="A48" s="4" t="str">
        <f t="shared" si="6"/>
        <v>ЩС (260108 AKMIR SULTANRABAT)</v>
      </c>
      <c r="B48" s="4" t="s">
        <v>96</v>
      </c>
      <c r="C48" s="4" t="s">
        <v>102</v>
      </c>
      <c r="D48" s="26"/>
      <c r="E48" s="4" t="s">
        <v>103</v>
      </c>
      <c r="F48" s="4">
        <v>305</v>
      </c>
      <c r="G48" s="8">
        <f t="shared" si="7"/>
        <v>305</v>
      </c>
      <c r="H48" s="8">
        <f t="shared" si="0"/>
        <v>4575</v>
      </c>
      <c r="I48" s="4">
        <v>15</v>
      </c>
      <c r="J48" s="4" t="s">
        <v>99</v>
      </c>
      <c r="K48" s="4" t="s">
        <v>56</v>
      </c>
      <c r="L48" s="4"/>
    </row>
    <row r="49" spans="1:12" s="2" customFormat="1" ht="39" customHeight="1" x14ac:dyDescent="0.25">
      <c r="A49" s="4" t="str">
        <f t="shared" si="6"/>
        <v>ЩС (260108 AKMIR SULTANRABAT)</v>
      </c>
      <c r="B49" s="4" t="s">
        <v>96</v>
      </c>
      <c r="C49" s="4" t="s">
        <v>104</v>
      </c>
      <c r="D49" s="26"/>
      <c r="E49" s="4" t="s">
        <v>105</v>
      </c>
      <c r="F49" s="4">
        <v>440</v>
      </c>
      <c r="G49" s="8">
        <f t="shared" si="7"/>
        <v>440</v>
      </c>
      <c r="H49" s="8">
        <f t="shared" si="0"/>
        <v>3520</v>
      </c>
      <c r="I49" s="4">
        <v>8</v>
      </c>
      <c r="J49" s="4" t="s">
        <v>99</v>
      </c>
      <c r="K49" s="4" t="s">
        <v>56</v>
      </c>
      <c r="L49" s="4"/>
    </row>
    <row r="50" spans="1:12" s="2" customFormat="1" ht="39" customHeight="1" x14ac:dyDescent="0.25">
      <c r="A50" s="4" t="str">
        <f t="shared" si="6"/>
        <v>ЩС (260108 AKMIR SULTANRABAT)</v>
      </c>
      <c r="B50" s="4" t="s">
        <v>96</v>
      </c>
      <c r="C50" s="4" t="s">
        <v>106</v>
      </c>
      <c r="D50" s="26"/>
      <c r="E50" s="4" t="s">
        <v>107</v>
      </c>
      <c r="F50" s="4">
        <v>770</v>
      </c>
      <c r="G50" s="8">
        <f t="shared" si="7"/>
        <v>770</v>
      </c>
      <c r="H50" s="8">
        <f t="shared" si="0"/>
        <v>19250</v>
      </c>
      <c r="I50" s="4">
        <v>25</v>
      </c>
      <c r="J50" s="4" t="s">
        <v>99</v>
      </c>
      <c r="K50" s="4" t="s">
        <v>56</v>
      </c>
      <c r="L50" s="4"/>
    </row>
    <row r="51" spans="1:12" s="2" customFormat="1" ht="39" customHeight="1" x14ac:dyDescent="0.25">
      <c r="A51" s="4" t="str">
        <f t="shared" si="6"/>
        <v>ЩС (260108 AKMIR SULTANRABAT)</v>
      </c>
      <c r="B51" s="4" t="s">
        <v>96</v>
      </c>
      <c r="C51" s="4" t="s">
        <v>108</v>
      </c>
      <c r="D51" s="26"/>
      <c r="E51" s="4" t="s">
        <v>109</v>
      </c>
      <c r="F51" s="4">
        <v>1900</v>
      </c>
      <c r="G51" s="8">
        <f t="shared" si="7"/>
        <v>1900</v>
      </c>
      <c r="H51" s="8">
        <f t="shared" si="0"/>
        <v>47500</v>
      </c>
      <c r="I51" s="4">
        <v>25</v>
      </c>
      <c r="J51" s="4" t="s">
        <v>99</v>
      </c>
      <c r="K51" s="4" t="s">
        <v>56</v>
      </c>
      <c r="L51" s="4"/>
    </row>
    <row r="52" spans="1:12" s="2" customFormat="1" ht="39" customHeight="1" x14ac:dyDescent="0.25">
      <c r="A52" s="4" t="str">
        <f t="shared" si="6"/>
        <v>ЩС (260108 AKMIR SULTANRABAT)</v>
      </c>
      <c r="B52" s="4" t="s">
        <v>110</v>
      </c>
      <c r="C52" s="4" t="s">
        <v>111</v>
      </c>
      <c r="D52" s="26" t="s">
        <v>112</v>
      </c>
      <c r="E52" s="4" t="s">
        <v>113</v>
      </c>
      <c r="F52" s="4">
        <v>6</v>
      </c>
      <c r="G52" s="8">
        <f t="shared" si="7"/>
        <v>6</v>
      </c>
      <c r="H52" s="8">
        <f t="shared" si="0"/>
        <v>2400</v>
      </c>
      <c r="I52" s="4">
        <v>400</v>
      </c>
      <c r="J52" s="4" t="s">
        <v>13</v>
      </c>
      <c r="K52" s="4" t="s">
        <v>56</v>
      </c>
      <c r="L52" s="4"/>
    </row>
    <row r="53" spans="1:12" s="2" customFormat="1" ht="39" customHeight="1" x14ac:dyDescent="0.25">
      <c r="A53" s="4" t="str">
        <f t="shared" si="6"/>
        <v>ЩС (260108 AKMIR SULTANRABAT)</v>
      </c>
      <c r="B53" s="4" t="s">
        <v>110</v>
      </c>
      <c r="C53" s="4" t="s">
        <v>114</v>
      </c>
      <c r="D53" s="26" t="s">
        <v>115</v>
      </c>
      <c r="E53" s="4" t="s">
        <v>116</v>
      </c>
      <c r="F53" s="4">
        <v>8</v>
      </c>
      <c r="G53" s="8">
        <f t="shared" si="7"/>
        <v>8</v>
      </c>
      <c r="H53" s="8">
        <f t="shared" si="0"/>
        <v>3600</v>
      </c>
      <c r="I53" s="4">
        <v>450</v>
      </c>
      <c r="J53" s="4" t="s">
        <v>13</v>
      </c>
      <c r="K53" s="4" t="s">
        <v>56</v>
      </c>
      <c r="L53" s="4"/>
    </row>
    <row r="54" spans="1:12" s="2" customFormat="1" ht="39" customHeight="1" x14ac:dyDescent="0.25">
      <c r="A54" s="4" t="str">
        <f t="shared" si="6"/>
        <v>ЩС (260108 AKMIR SULTANRABAT)</v>
      </c>
      <c r="B54" s="4" t="s">
        <v>110</v>
      </c>
      <c r="C54" s="4" t="s">
        <v>117</v>
      </c>
      <c r="D54" s="26" t="s">
        <v>118</v>
      </c>
      <c r="E54" s="4" t="s">
        <v>119</v>
      </c>
      <c r="F54" s="4">
        <v>100</v>
      </c>
      <c r="G54" s="8">
        <f t="shared" si="7"/>
        <v>100</v>
      </c>
      <c r="H54" s="8">
        <f t="shared" si="0"/>
        <v>5000</v>
      </c>
      <c r="I54" s="4">
        <v>50</v>
      </c>
      <c r="J54" s="4" t="s">
        <v>13</v>
      </c>
      <c r="K54" s="4" t="s">
        <v>56</v>
      </c>
      <c r="L54" s="4"/>
    </row>
    <row r="55" spans="1:12" s="2" customFormat="1" ht="39" customHeight="1" x14ac:dyDescent="0.25">
      <c r="A55" s="4" t="str">
        <f t="shared" si="6"/>
        <v>ЩС (260108 AKMIR SULTANRABAT)</v>
      </c>
      <c r="B55" s="4" t="s">
        <v>110</v>
      </c>
      <c r="C55" s="4" t="s">
        <v>120</v>
      </c>
      <c r="D55" s="26" t="s">
        <v>118</v>
      </c>
      <c r="E55" s="4" t="s">
        <v>119</v>
      </c>
      <c r="F55" s="4">
        <v>100</v>
      </c>
      <c r="G55" s="8">
        <f t="shared" si="7"/>
        <v>100</v>
      </c>
      <c r="H55" s="8">
        <f t="shared" si="0"/>
        <v>3000</v>
      </c>
      <c r="I55" s="4">
        <v>30</v>
      </c>
      <c r="J55" s="4" t="s">
        <v>13</v>
      </c>
      <c r="K55" s="4" t="s">
        <v>56</v>
      </c>
      <c r="L55" s="4"/>
    </row>
    <row r="56" spans="1:12" s="2" customFormat="1" ht="39" customHeight="1" x14ac:dyDescent="0.25">
      <c r="A56" s="4" t="str">
        <f t="shared" si="6"/>
        <v>ЩС (260108 AKMIR SULTANRABAT)</v>
      </c>
      <c r="B56" s="4" t="s">
        <v>110</v>
      </c>
      <c r="C56" s="4" t="s">
        <v>121</v>
      </c>
      <c r="D56" s="26" t="s">
        <v>122</v>
      </c>
      <c r="E56" s="4" t="s">
        <v>123</v>
      </c>
      <c r="F56" s="4">
        <v>20</v>
      </c>
      <c r="G56" s="8">
        <f t="shared" si="7"/>
        <v>20</v>
      </c>
      <c r="H56" s="8">
        <f t="shared" si="0"/>
        <v>720</v>
      </c>
      <c r="I56" s="4">
        <v>36</v>
      </c>
      <c r="J56" s="4" t="s">
        <v>13</v>
      </c>
      <c r="K56" s="4" t="s">
        <v>56</v>
      </c>
      <c r="L56" s="4"/>
    </row>
    <row r="57" spans="1:12" s="2" customFormat="1" ht="39" customHeight="1" x14ac:dyDescent="0.25">
      <c r="A57" s="4" t="str">
        <f t="shared" si="6"/>
        <v>ЩС (260108 AKMIR SULTANRABAT)</v>
      </c>
      <c r="B57" s="4" t="s">
        <v>110</v>
      </c>
      <c r="C57" s="4" t="s">
        <v>124</v>
      </c>
      <c r="D57" s="26" t="s">
        <v>125</v>
      </c>
      <c r="E57" s="4" t="s">
        <v>126</v>
      </c>
      <c r="F57" s="4">
        <v>240</v>
      </c>
      <c r="G57" s="8">
        <f t="shared" si="7"/>
        <v>240</v>
      </c>
      <c r="H57" s="8">
        <f t="shared" si="0"/>
        <v>3600</v>
      </c>
      <c r="I57" s="4">
        <v>15</v>
      </c>
      <c r="J57" s="4" t="s">
        <v>13</v>
      </c>
      <c r="K57" s="4" t="s">
        <v>56</v>
      </c>
      <c r="L57" s="4"/>
    </row>
    <row r="58" spans="1:12" s="2" customFormat="1" ht="39" customHeight="1" x14ac:dyDescent="0.25">
      <c r="A58" s="4" t="str">
        <f t="shared" si="6"/>
        <v>ЩС (260108 AKMIR SULTANRABAT)</v>
      </c>
      <c r="B58" s="4" t="s">
        <v>127</v>
      </c>
      <c r="C58" s="4" t="s">
        <v>128</v>
      </c>
      <c r="D58" s="26" t="s">
        <v>129</v>
      </c>
      <c r="E58" s="4" t="s">
        <v>130</v>
      </c>
      <c r="F58" s="4">
        <v>62</v>
      </c>
      <c r="G58" s="8">
        <f t="shared" si="7"/>
        <v>62</v>
      </c>
      <c r="H58" s="8">
        <f t="shared" si="0"/>
        <v>744</v>
      </c>
      <c r="I58" s="4">
        <v>12</v>
      </c>
      <c r="J58" s="4" t="s">
        <v>13</v>
      </c>
      <c r="K58" s="4" t="s">
        <v>56</v>
      </c>
      <c r="L58" s="4"/>
    </row>
    <row r="59" spans="1:12" s="2" customFormat="1" ht="39" customHeight="1" x14ac:dyDescent="0.25">
      <c r="A59" s="4" t="str">
        <f t="shared" si="6"/>
        <v>ЩС (260108 AKMIR SULTANRABAT)</v>
      </c>
      <c r="B59" s="4" t="s">
        <v>110</v>
      </c>
      <c r="C59" s="4" t="s">
        <v>131</v>
      </c>
      <c r="D59" s="26" t="s">
        <v>132</v>
      </c>
      <c r="E59" s="4" t="s">
        <v>133</v>
      </c>
      <c r="F59" s="4">
        <v>170</v>
      </c>
      <c r="G59" s="8">
        <f t="shared" si="7"/>
        <v>170</v>
      </c>
      <c r="H59" s="8">
        <f t="shared" si="0"/>
        <v>3400</v>
      </c>
      <c r="I59" s="4">
        <v>20</v>
      </c>
      <c r="J59" s="4" t="s">
        <v>13</v>
      </c>
      <c r="K59" s="4" t="s">
        <v>56</v>
      </c>
      <c r="L59" s="4"/>
    </row>
    <row r="60" spans="1:12" s="2" customFormat="1" ht="39" customHeight="1" x14ac:dyDescent="0.25">
      <c r="A60" s="4" t="str">
        <f t="shared" si="6"/>
        <v>ЩС (260108 AKMIR SULTANRABAT)</v>
      </c>
      <c r="B60" s="4" t="s">
        <v>134</v>
      </c>
      <c r="C60" s="4" t="s">
        <v>135</v>
      </c>
      <c r="D60" s="26" t="s">
        <v>136</v>
      </c>
      <c r="E60" s="4" t="s">
        <v>137</v>
      </c>
      <c r="F60" s="4">
        <v>1372</v>
      </c>
      <c r="G60" s="8">
        <f t="shared" si="7"/>
        <v>1372</v>
      </c>
      <c r="H60" s="8">
        <f t="shared" si="0"/>
        <v>5488</v>
      </c>
      <c r="I60" s="4">
        <v>4</v>
      </c>
      <c r="J60" s="4" t="s">
        <v>99</v>
      </c>
      <c r="K60" s="4" t="s">
        <v>56</v>
      </c>
      <c r="L60" s="4"/>
    </row>
    <row r="61" spans="1:12" s="2" customFormat="1" ht="39" customHeight="1" x14ac:dyDescent="0.25">
      <c r="A61" s="4" t="str">
        <f t="shared" si="6"/>
        <v>ЩС (260108 AKMIR SULTANRABAT)</v>
      </c>
      <c r="B61" s="4" t="s">
        <v>134</v>
      </c>
      <c r="C61" s="4" t="s">
        <v>138</v>
      </c>
      <c r="D61" s="26" t="s">
        <v>139</v>
      </c>
      <c r="E61" s="4" t="s">
        <v>140</v>
      </c>
      <c r="F61" s="4">
        <v>2267</v>
      </c>
      <c r="G61" s="8">
        <f t="shared" si="7"/>
        <v>2267</v>
      </c>
      <c r="H61" s="8">
        <f t="shared" si="0"/>
        <v>13602</v>
      </c>
      <c r="I61" s="4">
        <v>6</v>
      </c>
      <c r="J61" s="4" t="s">
        <v>99</v>
      </c>
      <c r="K61" s="4" t="s">
        <v>56</v>
      </c>
      <c r="L61" s="4"/>
    </row>
    <row r="62" spans="1:12" s="2" customFormat="1" ht="39" customHeight="1" x14ac:dyDescent="0.25">
      <c r="A62" s="4" t="str">
        <f t="shared" si="6"/>
        <v>ЩС (260108 AKMIR SULTANRABAT)</v>
      </c>
      <c r="B62" s="4" t="s">
        <v>134</v>
      </c>
      <c r="C62" s="4" t="s">
        <v>141</v>
      </c>
      <c r="D62" s="26" t="s">
        <v>142</v>
      </c>
      <c r="E62" s="4" t="s">
        <v>143</v>
      </c>
      <c r="F62" s="4">
        <v>2900</v>
      </c>
      <c r="G62" s="8">
        <f t="shared" si="7"/>
        <v>2900</v>
      </c>
      <c r="H62" s="8">
        <f t="shared" si="0"/>
        <v>11600</v>
      </c>
      <c r="I62" s="4">
        <v>4</v>
      </c>
      <c r="J62" s="4" t="s">
        <v>99</v>
      </c>
      <c r="K62" s="4" t="s">
        <v>56</v>
      </c>
      <c r="L62" s="4"/>
    </row>
    <row r="63" spans="1:12" s="2" customFormat="1" ht="39" customHeight="1" x14ac:dyDescent="0.25">
      <c r="A63" s="4" t="str">
        <f t="shared" si="6"/>
        <v>ЩС (260108 AKMIR SULTANRABAT)</v>
      </c>
      <c r="B63" s="4" t="s">
        <v>144</v>
      </c>
      <c r="C63" s="4" t="s">
        <v>145</v>
      </c>
      <c r="D63" s="26" t="s">
        <v>146</v>
      </c>
      <c r="E63" s="4" t="s">
        <v>147</v>
      </c>
      <c r="F63" s="4">
        <v>460</v>
      </c>
      <c r="G63" s="8">
        <f t="shared" si="7"/>
        <v>460</v>
      </c>
      <c r="H63" s="8">
        <f t="shared" si="0"/>
        <v>3680</v>
      </c>
      <c r="I63" s="4">
        <v>8</v>
      </c>
      <c r="J63" s="4" t="s">
        <v>13</v>
      </c>
      <c r="K63" s="4" t="s">
        <v>56</v>
      </c>
      <c r="L63" s="4"/>
    </row>
    <row r="64" spans="1:12" s="2" customFormat="1" ht="39" customHeight="1" x14ac:dyDescent="0.25">
      <c r="A64" s="4" t="str">
        <f t="shared" si="6"/>
        <v>ЩС (260108 AKMIR SULTANRABAT)</v>
      </c>
      <c r="B64" s="4" t="s">
        <v>148</v>
      </c>
      <c r="C64" s="4" t="s">
        <v>149</v>
      </c>
      <c r="D64" s="26" t="s">
        <v>149</v>
      </c>
      <c r="E64" s="4" t="s">
        <v>150</v>
      </c>
      <c r="F64" s="4">
        <v>1700</v>
      </c>
      <c r="G64" s="8">
        <f>0.6*F64</f>
        <v>1020</v>
      </c>
      <c r="H64" s="8">
        <f t="shared" si="0"/>
        <v>2040</v>
      </c>
      <c r="I64" s="4">
        <v>2</v>
      </c>
      <c r="J64" s="4" t="s">
        <v>13</v>
      </c>
      <c r="K64" s="4" t="s">
        <v>151</v>
      </c>
      <c r="L64" s="4"/>
    </row>
    <row r="65" spans="1:12" s="2" customFormat="1" ht="39" customHeight="1" x14ac:dyDescent="0.25">
      <c r="A65" s="4" t="str">
        <f t="shared" si="6"/>
        <v>ЩС (260108 AKMIR SULTANRABAT)</v>
      </c>
      <c r="B65" s="4" t="s">
        <v>152</v>
      </c>
      <c r="C65" s="4" t="s">
        <v>153</v>
      </c>
      <c r="D65" s="26" t="s">
        <v>154</v>
      </c>
      <c r="E65" s="4" t="s">
        <v>155</v>
      </c>
      <c r="F65" s="4">
        <v>600</v>
      </c>
      <c r="G65" s="8">
        <f t="shared" si="7"/>
        <v>600</v>
      </c>
      <c r="H65" s="8">
        <f t="shared" si="0"/>
        <v>1200</v>
      </c>
      <c r="I65" s="4">
        <v>2</v>
      </c>
      <c r="J65" s="4" t="s">
        <v>13</v>
      </c>
      <c r="K65" s="4" t="s">
        <v>56</v>
      </c>
      <c r="L65" s="4"/>
    </row>
    <row r="66" spans="1:12" s="2" customFormat="1" ht="49.5" customHeight="1" x14ac:dyDescent="0.25">
      <c r="A66" s="4" t="str">
        <f t="shared" si="6"/>
        <v>ЩС (260108 AKMIR SULTANRABAT)</v>
      </c>
      <c r="B66" s="4" t="s">
        <v>10</v>
      </c>
      <c r="C66" s="4"/>
      <c r="D66" s="26" t="s">
        <v>10</v>
      </c>
      <c r="E66" s="4" t="s">
        <v>10</v>
      </c>
      <c r="F66" s="4">
        <v>100</v>
      </c>
      <c r="G66" s="8">
        <f t="shared" si="7"/>
        <v>100</v>
      </c>
      <c r="H66" s="8">
        <f t="shared" si="0"/>
        <v>100000</v>
      </c>
      <c r="I66" s="4">
        <v>1000</v>
      </c>
      <c r="J66" s="4" t="s">
        <v>13</v>
      </c>
      <c r="K66" s="4" t="s">
        <v>10</v>
      </c>
      <c r="L66" s="4"/>
    </row>
    <row r="67" spans="1:12" ht="54.75" customHeight="1" x14ac:dyDescent="0.25">
      <c r="A67" s="4" t="str">
        <f t="shared" si="4"/>
        <v>ЩС (260108 AKMIR SULTANRABAT)</v>
      </c>
      <c r="B67" s="4" t="s">
        <v>11</v>
      </c>
      <c r="C67" s="4"/>
      <c r="D67" s="26" t="s">
        <v>11</v>
      </c>
      <c r="E67" s="4" t="s">
        <v>11</v>
      </c>
      <c r="F67" s="4">
        <f>I67/60</f>
        <v>40</v>
      </c>
      <c r="G67" s="8">
        <v>100</v>
      </c>
      <c r="H67" s="8">
        <f t="shared" ref="H67" si="8">I67*G67</f>
        <v>240000</v>
      </c>
      <c r="I67" s="4">
        <v>2400</v>
      </c>
      <c r="J67" s="4" t="s">
        <v>13</v>
      </c>
      <c r="K67" s="4" t="s">
        <v>11</v>
      </c>
      <c r="L67" s="4"/>
    </row>
    <row r="68" spans="1:12" ht="28.5" x14ac:dyDescent="0.45">
      <c r="H68" s="22">
        <f>SUM(H3:H67)</f>
        <v>1375057.675</v>
      </c>
    </row>
    <row r="69" spans="1:12" ht="26.25" x14ac:dyDescent="0.4">
      <c r="H69" s="21"/>
    </row>
  </sheetData>
  <autoFilter ref="A1:K68" xr:uid="{00000000-0001-0000-0000-000000000000}"/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L48"/>
  <sheetViews>
    <sheetView tabSelected="1" zoomScaleNormal="100" workbookViewId="0">
      <pane ySplit="1" topLeftCell="A2" activePane="bottomLeft" state="frozen"/>
      <selection pane="bottomLeft" activeCell="N5" sqref="N5"/>
    </sheetView>
  </sheetViews>
  <sheetFormatPr defaultRowHeight="21" customHeight="1" x14ac:dyDescent="0.25"/>
  <cols>
    <col min="1" max="1" width="36.42578125" customWidth="1"/>
    <col min="4" max="4" width="9.28515625" bestFit="1" customWidth="1"/>
    <col min="5" max="5" width="72.42578125" customWidth="1"/>
    <col min="6" max="6" width="12.42578125" customWidth="1"/>
    <col min="7" max="7" width="10" bestFit="1" customWidth="1"/>
    <col min="8" max="8" width="15.7109375" bestFit="1" customWidth="1"/>
    <col min="9" max="9" width="9.28515625" bestFit="1" customWidth="1"/>
    <col min="12" max="12" width="9.28515625" bestFit="1" customWidth="1"/>
  </cols>
  <sheetData>
    <row r="1" spans="1:12" ht="39.75" customHeight="1" x14ac:dyDescent="0.25">
      <c r="A1" s="28" t="s">
        <v>2</v>
      </c>
      <c r="B1" s="28" t="s">
        <v>0</v>
      </c>
      <c r="C1" s="28" t="s">
        <v>156</v>
      </c>
      <c r="D1" s="29" t="s">
        <v>1</v>
      </c>
      <c r="E1" s="28" t="s">
        <v>14</v>
      </c>
      <c r="F1" s="28" t="s">
        <v>3</v>
      </c>
      <c r="G1" s="28" t="s">
        <v>3</v>
      </c>
      <c r="H1" s="30" t="s">
        <v>6</v>
      </c>
      <c r="I1" s="31" t="s">
        <v>15</v>
      </c>
      <c r="J1" s="31" t="s">
        <v>4</v>
      </c>
      <c r="K1" s="31" t="s">
        <v>5</v>
      </c>
      <c r="L1" s="31"/>
    </row>
    <row r="2" spans="1:12" ht="39.75" customHeight="1" x14ac:dyDescent="0.25">
      <c r="A2" s="32" t="str">
        <f>E2</f>
        <v>DCBP-N PANEL</v>
      </c>
      <c r="B2" s="33"/>
      <c r="C2" s="32"/>
      <c r="D2" s="34"/>
      <c r="E2" s="33" t="s">
        <v>218</v>
      </c>
      <c r="F2" s="35"/>
      <c r="G2" s="35"/>
      <c r="H2" s="36" t="e">
        <f>I2*H40</f>
        <v>#VALUE!</v>
      </c>
      <c r="I2" s="37">
        <v>1</v>
      </c>
      <c r="J2" s="38" t="s">
        <v>7</v>
      </c>
      <c r="K2" s="33" t="s">
        <v>9</v>
      </c>
      <c r="L2" s="37"/>
    </row>
    <row r="3" spans="1:12" ht="21" customHeight="1" x14ac:dyDescent="0.25">
      <c r="A3" s="39" t="str">
        <f>A2</f>
        <v>DCBP-N PANEL</v>
      </c>
      <c r="B3" s="40" t="s">
        <v>8</v>
      </c>
      <c r="C3" s="39"/>
      <c r="D3" s="41"/>
      <c r="E3" s="39" t="s">
        <v>294</v>
      </c>
      <c r="F3" s="40"/>
      <c r="G3" s="42">
        <f>F3</f>
        <v>0</v>
      </c>
      <c r="H3" s="42">
        <f>I3*G3</f>
        <v>0</v>
      </c>
      <c r="I3" s="43">
        <v>1</v>
      </c>
      <c r="J3" s="44" t="s">
        <v>13</v>
      </c>
      <c r="K3" s="40" t="s">
        <v>16</v>
      </c>
      <c r="L3" s="43"/>
    </row>
    <row r="4" spans="1:12" ht="31.5" customHeight="1" x14ac:dyDescent="0.25">
      <c r="A4" s="39" t="str">
        <f t="shared" ref="A4:A40" si="0">A3</f>
        <v>DCBP-N PANEL</v>
      </c>
      <c r="B4" s="40" t="s">
        <v>228</v>
      </c>
      <c r="C4" s="39"/>
      <c r="D4" s="41" t="s">
        <v>226</v>
      </c>
      <c r="E4" s="39" t="s">
        <v>225</v>
      </c>
      <c r="F4" s="40" t="s">
        <v>227</v>
      </c>
      <c r="G4" s="42" t="e">
        <f t="shared" ref="G4:G5" si="1">F4*0.6</f>
        <v>#VALUE!</v>
      </c>
      <c r="H4" s="42" t="e">
        <f t="shared" ref="H4:H5" si="2">G4*I4</f>
        <v>#VALUE!</v>
      </c>
      <c r="I4" s="43">
        <v>1</v>
      </c>
      <c r="J4" s="44" t="s">
        <v>13</v>
      </c>
      <c r="K4" s="40" t="s">
        <v>223</v>
      </c>
      <c r="L4" s="43"/>
    </row>
    <row r="5" spans="1:12" ht="31.5" customHeight="1" x14ac:dyDescent="0.25">
      <c r="A5" s="39" t="str">
        <f t="shared" si="0"/>
        <v>DCBP-N PANEL</v>
      </c>
      <c r="B5" s="40" t="s">
        <v>228</v>
      </c>
      <c r="C5" s="39"/>
      <c r="D5" s="41" t="s">
        <v>230</v>
      </c>
      <c r="E5" s="39" t="s">
        <v>229</v>
      </c>
      <c r="F5" s="40" t="s">
        <v>231</v>
      </c>
      <c r="G5" s="42" t="e">
        <f t="shared" si="1"/>
        <v>#VALUE!</v>
      </c>
      <c r="H5" s="42" t="e">
        <f t="shared" si="2"/>
        <v>#VALUE!</v>
      </c>
      <c r="I5" s="43">
        <v>1</v>
      </c>
      <c r="J5" s="44" t="s">
        <v>13</v>
      </c>
      <c r="K5" s="40" t="s">
        <v>223</v>
      </c>
      <c r="L5" s="43"/>
    </row>
    <row r="6" spans="1:12" ht="31.5" customHeight="1" x14ac:dyDescent="0.25">
      <c r="A6" s="39" t="str">
        <f t="shared" si="0"/>
        <v>DCBP-N PANEL</v>
      </c>
      <c r="B6" s="40" t="s">
        <v>228</v>
      </c>
      <c r="C6" s="39"/>
      <c r="D6" s="41" t="s">
        <v>230</v>
      </c>
      <c r="E6" s="39" t="s">
        <v>232</v>
      </c>
      <c r="F6" s="40" t="s">
        <v>234</v>
      </c>
      <c r="G6" s="42" t="e">
        <f t="shared" ref="G6" si="3">F6*0.6</f>
        <v>#VALUE!</v>
      </c>
      <c r="H6" s="42" t="e">
        <f t="shared" ref="H6" si="4">G6*I6</f>
        <v>#VALUE!</v>
      </c>
      <c r="I6" s="43">
        <v>1</v>
      </c>
      <c r="J6" s="44" t="s">
        <v>13</v>
      </c>
      <c r="K6" s="40" t="s">
        <v>223</v>
      </c>
      <c r="L6" s="43"/>
    </row>
    <row r="7" spans="1:12" ht="30" customHeight="1" x14ac:dyDescent="0.25">
      <c r="A7" s="39" t="str">
        <f t="shared" si="0"/>
        <v>DCBP-N PANEL</v>
      </c>
      <c r="B7" s="40" t="s">
        <v>192</v>
      </c>
      <c r="C7" s="39"/>
      <c r="D7" s="41" t="s">
        <v>233</v>
      </c>
      <c r="E7" s="39" t="s">
        <v>207</v>
      </c>
      <c r="F7" s="40" t="s">
        <v>208</v>
      </c>
      <c r="G7" s="42" t="e">
        <f t="shared" ref="G7" si="5">F7*0.6</f>
        <v>#VALUE!</v>
      </c>
      <c r="H7" s="42" t="e">
        <f t="shared" ref="H7" si="6">G7*I7</f>
        <v>#VALUE!</v>
      </c>
      <c r="I7" s="43">
        <v>1</v>
      </c>
      <c r="J7" s="44" t="s">
        <v>13</v>
      </c>
      <c r="K7" s="40" t="s">
        <v>223</v>
      </c>
      <c r="L7" s="43"/>
    </row>
    <row r="8" spans="1:12" ht="21" customHeight="1" x14ac:dyDescent="0.25">
      <c r="A8" s="39" t="str">
        <f t="shared" si="0"/>
        <v>DCBP-N PANEL</v>
      </c>
      <c r="B8" s="40" t="s">
        <v>191</v>
      </c>
      <c r="C8" s="39"/>
      <c r="D8" s="41"/>
      <c r="E8" s="39" t="s">
        <v>224</v>
      </c>
      <c r="F8" s="40"/>
      <c r="G8" s="42">
        <f t="shared" ref="G8" si="7">F8*0.6</f>
        <v>0</v>
      </c>
      <c r="H8" s="42">
        <f t="shared" ref="H8" si="8">G8*I8</f>
        <v>0</v>
      </c>
      <c r="I8" s="43">
        <v>3</v>
      </c>
      <c r="J8" s="44" t="s">
        <v>13</v>
      </c>
      <c r="K8" s="40" t="s">
        <v>190</v>
      </c>
      <c r="L8" s="43"/>
    </row>
    <row r="9" spans="1:12" ht="35.25" customHeight="1" x14ac:dyDescent="0.25">
      <c r="A9" s="39" t="str">
        <f t="shared" si="0"/>
        <v>DCBP-N PANEL</v>
      </c>
      <c r="B9" s="40" t="s">
        <v>296</v>
      </c>
      <c r="C9" s="39"/>
      <c r="D9" s="41" t="s">
        <v>298</v>
      </c>
      <c r="E9" s="39" t="s">
        <v>295</v>
      </c>
      <c r="F9" s="40" t="s">
        <v>297</v>
      </c>
      <c r="G9" s="42" t="e">
        <f t="shared" ref="G9:G13" si="9">F9*0.6</f>
        <v>#VALUE!</v>
      </c>
      <c r="H9" s="42" t="e">
        <f t="shared" ref="H9:H13" si="10">G9*I9</f>
        <v>#VALUE!</v>
      </c>
      <c r="I9" s="43">
        <v>1</v>
      </c>
      <c r="J9" s="44" t="s">
        <v>13</v>
      </c>
      <c r="K9" s="40" t="s">
        <v>223</v>
      </c>
      <c r="L9" s="43"/>
    </row>
    <row r="10" spans="1:12" ht="35.25" customHeight="1" x14ac:dyDescent="0.25">
      <c r="A10" s="39" t="str">
        <f t="shared" si="0"/>
        <v>DCBP-N PANEL</v>
      </c>
      <c r="B10" s="40" t="s">
        <v>61</v>
      </c>
      <c r="C10" s="39"/>
      <c r="D10" s="41" t="s">
        <v>269</v>
      </c>
      <c r="E10" s="39" t="s">
        <v>270</v>
      </c>
      <c r="F10" s="40" t="s">
        <v>260</v>
      </c>
      <c r="G10" s="42" t="e">
        <f t="shared" si="9"/>
        <v>#VALUE!</v>
      </c>
      <c r="H10" s="42" t="e">
        <f t="shared" si="10"/>
        <v>#VALUE!</v>
      </c>
      <c r="I10" s="43">
        <v>2</v>
      </c>
      <c r="J10" s="44" t="s">
        <v>13</v>
      </c>
      <c r="K10" s="40" t="s">
        <v>223</v>
      </c>
      <c r="L10" s="43"/>
    </row>
    <row r="11" spans="1:12" ht="35.25" customHeight="1" x14ac:dyDescent="0.25">
      <c r="A11" s="39" t="str">
        <f t="shared" si="0"/>
        <v>DCBP-N PANEL</v>
      </c>
      <c r="B11" s="40" t="s">
        <v>12</v>
      </c>
      <c r="C11" s="39"/>
      <c r="D11" s="41" t="s">
        <v>266</v>
      </c>
      <c r="E11" s="39" t="s">
        <v>268</v>
      </c>
      <c r="F11" s="40" t="s">
        <v>267</v>
      </c>
      <c r="G11" s="42" t="e">
        <f t="shared" si="9"/>
        <v>#VALUE!</v>
      </c>
      <c r="H11" s="42" t="e">
        <f t="shared" si="10"/>
        <v>#VALUE!</v>
      </c>
      <c r="I11" s="43">
        <v>2</v>
      </c>
      <c r="J11" s="44" t="s">
        <v>13</v>
      </c>
      <c r="K11" s="40" t="s">
        <v>223</v>
      </c>
      <c r="L11" s="43"/>
    </row>
    <row r="12" spans="1:12" ht="35.25" customHeight="1" x14ac:dyDescent="0.25">
      <c r="A12" s="39" t="str">
        <f t="shared" si="0"/>
        <v>DCBP-N PANEL</v>
      </c>
      <c r="B12" s="40" t="s">
        <v>61</v>
      </c>
      <c r="C12" s="39"/>
      <c r="D12" s="41" t="s">
        <v>261</v>
      </c>
      <c r="E12" s="39" t="s">
        <v>262</v>
      </c>
      <c r="F12" s="40" t="s">
        <v>260</v>
      </c>
      <c r="G12" s="42" t="e">
        <f t="shared" si="9"/>
        <v>#VALUE!</v>
      </c>
      <c r="H12" s="42" t="e">
        <f t="shared" si="10"/>
        <v>#VALUE!</v>
      </c>
      <c r="I12" s="43">
        <v>2</v>
      </c>
      <c r="J12" s="44" t="s">
        <v>13</v>
      </c>
      <c r="K12" s="40" t="s">
        <v>223</v>
      </c>
      <c r="L12" s="43"/>
    </row>
    <row r="13" spans="1:12" ht="35.25" customHeight="1" x14ac:dyDescent="0.25">
      <c r="A13" s="39" t="str">
        <f t="shared" si="0"/>
        <v>DCBP-N PANEL</v>
      </c>
      <c r="B13" s="40" t="s">
        <v>12</v>
      </c>
      <c r="C13" s="39"/>
      <c r="D13" s="41" t="s">
        <v>264</v>
      </c>
      <c r="E13" s="39" t="s">
        <v>265</v>
      </c>
      <c r="F13" s="40" t="s">
        <v>263</v>
      </c>
      <c r="G13" s="42" t="e">
        <f t="shared" si="9"/>
        <v>#VALUE!</v>
      </c>
      <c r="H13" s="42" t="e">
        <f t="shared" si="10"/>
        <v>#VALUE!</v>
      </c>
      <c r="I13" s="43">
        <v>2</v>
      </c>
      <c r="J13" s="44" t="s">
        <v>13</v>
      </c>
      <c r="K13" s="40" t="s">
        <v>223</v>
      </c>
      <c r="L13" s="43"/>
    </row>
    <row r="14" spans="1:12" ht="29.25" customHeight="1" x14ac:dyDescent="0.25">
      <c r="A14" s="39" t="str">
        <f t="shared" si="0"/>
        <v>DCBP-N PANEL</v>
      </c>
      <c r="B14" s="40" t="s">
        <v>61</v>
      </c>
      <c r="C14" s="39"/>
      <c r="D14" s="41" t="s">
        <v>235</v>
      </c>
      <c r="E14" s="39" t="s">
        <v>293</v>
      </c>
      <c r="F14" s="40" t="s">
        <v>236</v>
      </c>
      <c r="G14" s="42" t="e">
        <f t="shared" ref="G14:G39" si="11">F14*0.6</f>
        <v>#VALUE!</v>
      </c>
      <c r="H14" s="42" t="e">
        <f t="shared" ref="H14:H39" si="12">G14*I14</f>
        <v>#VALUE!</v>
      </c>
      <c r="I14" s="43">
        <v>36</v>
      </c>
      <c r="J14" s="44" t="s">
        <v>13</v>
      </c>
      <c r="K14" s="40" t="s">
        <v>223</v>
      </c>
      <c r="L14" s="43"/>
    </row>
    <row r="15" spans="1:12" ht="28.5" customHeight="1" x14ac:dyDescent="0.25">
      <c r="A15" s="39" t="str">
        <f t="shared" si="0"/>
        <v>DCBP-N PANEL</v>
      </c>
      <c r="B15" s="40" t="s">
        <v>61</v>
      </c>
      <c r="C15" s="39"/>
      <c r="D15" s="41" t="s">
        <v>237</v>
      </c>
      <c r="E15" s="39" t="s">
        <v>238</v>
      </c>
      <c r="F15" s="40" t="s">
        <v>236</v>
      </c>
      <c r="G15" s="42" t="e">
        <f>F15*0.6</f>
        <v>#VALUE!</v>
      </c>
      <c r="H15" s="42" t="e">
        <f>G15*I15</f>
        <v>#VALUE!</v>
      </c>
      <c r="I15" s="43">
        <v>4</v>
      </c>
      <c r="J15" s="44" t="s">
        <v>13</v>
      </c>
      <c r="K15" s="40" t="s">
        <v>223</v>
      </c>
      <c r="L15" s="43"/>
    </row>
    <row r="16" spans="1:12" ht="27.75" customHeight="1" x14ac:dyDescent="0.25">
      <c r="A16" s="39" t="str">
        <f t="shared" si="0"/>
        <v>DCBP-N PANEL</v>
      </c>
      <c r="B16" s="40" t="s">
        <v>61</v>
      </c>
      <c r="C16" s="39"/>
      <c r="D16" s="41" t="s">
        <v>240</v>
      </c>
      <c r="E16" s="39" t="s">
        <v>239</v>
      </c>
      <c r="F16" s="40" t="s">
        <v>241</v>
      </c>
      <c r="G16" s="42" t="e">
        <f>F16*0.6</f>
        <v>#VALUE!</v>
      </c>
      <c r="H16" s="42" t="e">
        <f>G16*I16</f>
        <v>#VALUE!</v>
      </c>
      <c r="I16" s="43">
        <v>4</v>
      </c>
      <c r="J16" s="44" t="s">
        <v>13</v>
      </c>
      <c r="K16" s="40" t="s">
        <v>223</v>
      </c>
      <c r="L16" s="43"/>
    </row>
    <row r="17" spans="1:12" ht="26.25" customHeight="1" x14ac:dyDescent="0.25">
      <c r="A17" s="39" t="str">
        <f t="shared" si="0"/>
        <v>DCBP-N PANEL</v>
      </c>
      <c r="B17" s="40" t="s">
        <v>61</v>
      </c>
      <c r="C17" s="39"/>
      <c r="D17" s="54" t="s">
        <v>244</v>
      </c>
      <c r="E17" s="39" t="s">
        <v>242</v>
      </c>
      <c r="F17" s="40" t="s">
        <v>243</v>
      </c>
      <c r="G17" s="42" t="e">
        <f t="shared" ref="G17" si="13">F17*0.6</f>
        <v>#VALUE!</v>
      </c>
      <c r="H17" s="42" t="e">
        <f t="shared" ref="H17" si="14">G17*I17</f>
        <v>#VALUE!</v>
      </c>
      <c r="I17" s="43">
        <v>5</v>
      </c>
      <c r="J17" s="44" t="s">
        <v>13</v>
      </c>
      <c r="K17" s="40" t="s">
        <v>223</v>
      </c>
      <c r="L17" s="43"/>
    </row>
    <row r="18" spans="1:12" ht="26.25" customHeight="1" x14ac:dyDescent="0.25">
      <c r="A18" s="39" t="str">
        <f t="shared" si="0"/>
        <v>DCBP-N PANEL</v>
      </c>
      <c r="B18" s="40" t="s">
        <v>61</v>
      </c>
      <c r="C18" s="39"/>
      <c r="D18" s="53" t="s">
        <v>246</v>
      </c>
      <c r="E18" s="39" t="s">
        <v>245</v>
      </c>
      <c r="F18" s="40" t="s">
        <v>243</v>
      </c>
      <c r="G18" s="42" t="e">
        <f t="shared" ref="G18" si="15">F18*0.6</f>
        <v>#VALUE!</v>
      </c>
      <c r="H18" s="42" t="e">
        <f t="shared" ref="H18" si="16">G18*I18</f>
        <v>#VALUE!</v>
      </c>
      <c r="I18" s="43">
        <v>2</v>
      </c>
      <c r="J18" s="44" t="s">
        <v>13</v>
      </c>
      <c r="K18" s="40" t="s">
        <v>223</v>
      </c>
      <c r="L18" s="43"/>
    </row>
    <row r="19" spans="1:12" ht="33.75" customHeight="1" x14ac:dyDescent="0.25">
      <c r="A19" s="39" t="str">
        <f t="shared" si="0"/>
        <v>DCBP-N PANEL</v>
      </c>
      <c r="B19" s="40" t="s">
        <v>12</v>
      </c>
      <c r="C19" s="39"/>
      <c r="D19" s="41" t="s">
        <v>247</v>
      </c>
      <c r="E19" s="39" t="s">
        <v>250</v>
      </c>
      <c r="F19" s="40" t="s">
        <v>193</v>
      </c>
      <c r="G19" s="42" t="e">
        <f t="shared" ref="G19" si="17">F19*0.6</f>
        <v>#VALUE!</v>
      </c>
      <c r="H19" s="42" t="e">
        <f t="shared" ref="H19" si="18">G19*I19</f>
        <v>#VALUE!</v>
      </c>
      <c r="I19" s="43">
        <v>16</v>
      </c>
      <c r="J19" s="44" t="s">
        <v>13</v>
      </c>
      <c r="K19" s="40" t="s">
        <v>223</v>
      </c>
      <c r="L19" s="43"/>
    </row>
    <row r="20" spans="1:12" ht="30.75" customHeight="1" x14ac:dyDescent="0.25">
      <c r="A20" s="39" t="str">
        <f t="shared" si="0"/>
        <v>DCBP-N PANEL</v>
      </c>
      <c r="B20" s="40" t="s">
        <v>12</v>
      </c>
      <c r="C20" s="39"/>
      <c r="D20" s="41" t="s">
        <v>248</v>
      </c>
      <c r="E20" s="39" t="s">
        <v>259</v>
      </c>
      <c r="F20" s="40" t="s">
        <v>249</v>
      </c>
      <c r="G20" s="42" t="e">
        <f t="shared" ref="G20:G21" si="19">F20*0.6</f>
        <v>#VALUE!</v>
      </c>
      <c r="H20" s="42" t="e">
        <f t="shared" ref="H20:H21" si="20">G20*I20</f>
        <v>#VALUE!</v>
      </c>
      <c r="I20" s="43">
        <v>1</v>
      </c>
      <c r="J20" s="44" t="s">
        <v>13</v>
      </c>
      <c r="K20" s="40" t="s">
        <v>223</v>
      </c>
      <c r="L20" s="43"/>
    </row>
    <row r="21" spans="1:12" ht="27.75" customHeight="1" x14ac:dyDescent="0.25">
      <c r="A21" s="39" t="str">
        <f t="shared" si="0"/>
        <v>DCBP-N PANEL</v>
      </c>
      <c r="B21" s="40" t="s">
        <v>12</v>
      </c>
      <c r="C21" s="39"/>
      <c r="D21" s="41" t="s">
        <v>251</v>
      </c>
      <c r="E21" s="39" t="s">
        <v>252</v>
      </c>
      <c r="F21" s="40" t="s">
        <v>194</v>
      </c>
      <c r="G21" s="42" t="e">
        <f t="shared" si="19"/>
        <v>#VALUE!</v>
      </c>
      <c r="H21" s="42" t="e">
        <f t="shared" si="20"/>
        <v>#VALUE!</v>
      </c>
      <c r="I21" s="43">
        <v>2</v>
      </c>
      <c r="J21" s="44" t="s">
        <v>13</v>
      </c>
      <c r="K21" s="40" t="s">
        <v>223</v>
      </c>
      <c r="L21" s="43"/>
    </row>
    <row r="22" spans="1:12" ht="27.75" customHeight="1" x14ac:dyDescent="0.25">
      <c r="A22" s="39" t="str">
        <f t="shared" si="0"/>
        <v>DCBP-N PANEL</v>
      </c>
      <c r="B22" s="40" t="s">
        <v>12</v>
      </c>
      <c r="C22" s="39"/>
      <c r="D22" s="41" t="s">
        <v>253</v>
      </c>
      <c r="E22" s="39" t="s">
        <v>258</v>
      </c>
      <c r="F22" s="40" t="s">
        <v>254</v>
      </c>
      <c r="G22" s="42" t="e">
        <f t="shared" ref="G22" si="21">F22*0.6</f>
        <v>#VALUE!</v>
      </c>
      <c r="H22" s="42" t="e">
        <f t="shared" ref="H22" si="22">G22*I22</f>
        <v>#VALUE!</v>
      </c>
      <c r="I22" s="43">
        <v>1</v>
      </c>
      <c r="J22" s="44" t="s">
        <v>13</v>
      </c>
      <c r="K22" s="40" t="s">
        <v>223</v>
      </c>
      <c r="L22" s="43"/>
    </row>
    <row r="23" spans="1:12" ht="27.75" customHeight="1" x14ac:dyDescent="0.25">
      <c r="A23" s="39" t="str">
        <f t="shared" si="0"/>
        <v>DCBP-N PANEL</v>
      </c>
      <c r="B23" s="40" t="s">
        <v>12</v>
      </c>
      <c r="C23" s="39"/>
      <c r="D23" s="41" t="s">
        <v>255</v>
      </c>
      <c r="E23" s="39" t="s">
        <v>257</v>
      </c>
      <c r="F23" s="40" t="s">
        <v>256</v>
      </c>
      <c r="G23" s="42" t="e">
        <f t="shared" ref="G23:G24" si="23">F23*0.6</f>
        <v>#VALUE!</v>
      </c>
      <c r="H23" s="42" t="e">
        <f t="shared" ref="H23:H24" si="24">G23*I23</f>
        <v>#VALUE!</v>
      </c>
      <c r="I23" s="43">
        <v>2</v>
      </c>
      <c r="J23" s="44" t="s">
        <v>13</v>
      </c>
      <c r="K23" s="40" t="s">
        <v>223</v>
      </c>
      <c r="L23" s="43"/>
    </row>
    <row r="24" spans="1:12" ht="27.75" customHeight="1" x14ac:dyDescent="0.25">
      <c r="A24" s="39" t="str">
        <f t="shared" si="0"/>
        <v>DCBP-N PANEL</v>
      </c>
      <c r="B24" s="40" t="s">
        <v>273</v>
      </c>
      <c r="C24" s="39"/>
      <c r="D24" s="41" t="s">
        <v>196</v>
      </c>
      <c r="E24" s="39" t="s">
        <v>271</v>
      </c>
      <c r="F24" s="40" t="s">
        <v>197</v>
      </c>
      <c r="G24" s="42" t="e">
        <f t="shared" si="23"/>
        <v>#VALUE!</v>
      </c>
      <c r="H24" s="42" t="e">
        <f t="shared" si="24"/>
        <v>#VALUE!</v>
      </c>
      <c r="I24" s="43">
        <v>7</v>
      </c>
      <c r="J24" s="44" t="s">
        <v>13</v>
      </c>
      <c r="K24" s="40" t="s">
        <v>223</v>
      </c>
      <c r="L24" s="43"/>
    </row>
    <row r="25" spans="1:12" ht="27.75" customHeight="1" x14ac:dyDescent="0.25">
      <c r="A25" s="39" t="str">
        <f t="shared" si="0"/>
        <v>DCBP-N PANEL</v>
      </c>
      <c r="B25" s="40" t="s">
        <v>273</v>
      </c>
      <c r="C25" s="39"/>
      <c r="D25" s="41" t="s">
        <v>200</v>
      </c>
      <c r="E25" s="39" t="s">
        <v>199</v>
      </c>
      <c r="F25" s="40" t="s">
        <v>201</v>
      </c>
      <c r="G25" s="42" t="e">
        <f t="shared" ref="G25" si="25">F25*0.6</f>
        <v>#VALUE!</v>
      </c>
      <c r="H25" s="42" t="e">
        <f t="shared" ref="H25" si="26">G25*I25</f>
        <v>#VALUE!</v>
      </c>
      <c r="I25" s="43">
        <v>4</v>
      </c>
      <c r="J25" s="44" t="s">
        <v>13</v>
      </c>
      <c r="K25" s="40" t="s">
        <v>223</v>
      </c>
      <c r="L25" s="43"/>
    </row>
    <row r="26" spans="1:12" ht="31.5" customHeight="1" x14ac:dyDescent="0.25">
      <c r="A26" s="39" t="str">
        <f t="shared" si="0"/>
        <v>DCBP-N PANEL</v>
      </c>
      <c r="B26" s="40" t="s">
        <v>273</v>
      </c>
      <c r="C26" s="39"/>
      <c r="D26" s="41" t="s">
        <v>272</v>
      </c>
      <c r="E26" s="39" t="s">
        <v>202</v>
      </c>
      <c r="F26" s="40" t="s">
        <v>203</v>
      </c>
      <c r="G26" s="42" t="e">
        <f t="shared" ref="G26" si="27">F26*0.6</f>
        <v>#VALUE!</v>
      </c>
      <c r="H26" s="42" t="e">
        <f t="shared" ref="H26" si="28">G26*I26</f>
        <v>#VALUE!</v>
      </c>
      <c r="I26" s="43">
        <v>1</v>
      </c>
      <c r="J26" s="44" t="s">
        <v>13</v>
      </c>
      <c r="K26" s="40" t="s">
        <v>223</v>
      </c>
      <c r="L26" s="43"/>
    </row>
    <row r="27" spans="1:12" ht="31.5" customHeight="1" x14ac:dyDescent="0.25">
      <c r="A27" s="39" t="str">
        <f t="shared" si="0"/>
        <v>DCBP-N PANEL</v>
      </c>
      <c r="B27" s="40" t="s">
        <v>273</v>
      </c>
      <c r="C27" s="39"/>
      <c r="D27" s="41" t="s">
        <v>204</v>
      </c>
      <c r="E27" s="39" t="s">
        <v>205</v>
      </c>
      <c r="F27" s="40" t="s">
        <v>206</v>
      </c>
      <c r="G27" s="42" t="e">
        <f t="shared" ref="G27:G28" si="29">F27*0.6</f>
        <v>#VALUE!</v>
      </c>
      <c r="H27" s="42" t="e">
        <f t="shared" ref="H27:H28" si="30">G27*I27</f>
        <v>#VALUE!</v>
      </c>
      <c r="I27" s="43">
        <v>1</v>
      </c>
      <c r="J27" s="44" t="s">
        <v>13</v>
      </c>
      <c r="K27" s="40" t="s">
        <v>223</v>
      </c>
      <c r="L27" s="43"/>
    </row>
    <row r="28" spans="1:12" ht="29.25" customHeight="1" x14ac:dyDescent="0.25">
      <c r="A28" s="39" t="str">
        <f t="shared" si="0"/>
        <v>DCBP-N PANEL</v>
      </c>
      <c r="B28" s="40" t="s">
        <v>195</v>
      </c>
      <c r="C28" s="39"/>
      <c r="D28" s="41" t="s">
        <v>211</v>
      </c>
      <c r="E28" s="39" t="s">
        <v>212</v>
      </c>
      <c r="F28" s="40" t="s">
        <v>213</v>
      </c>
      <c r="G28" s="42" t="e">
        <f t="shared" si="29"/>
        <v>#VALUE!</v>
      </c>
      <c r="H28" s="42" t="e">
        <f t="shared" si="30"/>
        <v>#VALUE!</v>
      </c>
      <c r="I28" s="43">
        <v>1</v>
      </c>
      <c r="J28" s="44" t="s">
        <v>13</v>
      </c>
      <c r="K28" s="40" t="s">
        <v>223</v>
      </c>
      <c r="L28" s="43"/>
    </row>
    <row r="29" spans="1:12" ht="27.75" customHeight="1" x14ac:dyDescent="0.25">
      <c r="A29" s="39" t="str">
        <f t="shared" si="0"/>
        <v>DCBP-N PANEL</v>
      </c>
      <c r="B29" s="40" t="s">
        <v>195</v>
      </c>
      <c r="C29" s="39"/>
      <c r="D29" s="41" t="s">
        <v>209</v>
      </c>
      <c r="E29" s="39" t="s">
        <v>277</v>
      </c>
      <c r="F29" s="40" t="s">
        <v>210</v>
      </c>
      <c r="G29" s="42" t="e">
        <f t="shared" ref="G29" si="31">F29*0.6</f>
        <v>#VALUE!</v>
      </c>
      <c r="H29" s="42" t="e">
        <f t="shared" ref="H29" si="32">G29*I29</f>
        <v>#VALUE!</v>
      </c>
      <c r="I29" s="43">
        <v>13</v>
      </c>
      <c r="J29" s="44" t="s">
        <v>13</v>
      </c>
      <c r="K29" s="40" t="s">
        <v>223</v>
      </c>
      <c r="L29" s="43"/>
    </row>
    <row r="30" spans="1:12" ht="29.25" customHeight="1" x14ac:dyDescent="0.25">
      <c r="A30" s="39" t="str">
        <f t="shared" si="0"/>
        <v>DCBP-N PANEL</v>
      </c>
      <c r="B30" s="40" t="s">
        <v>195</v>
      </c>
      <c r="C30" s="39"/>
      <c r="D30" s="41" t="s">
        <v>275</v>
      </c>
      <c r="E30" s="39" t="s">
        <v>276</v>
      </c>
      <c r="F30" s="40" t="s">
        <v>274</v>
      </c>
      <c r="G30" s="42" t="e">
        <f t="shared" ref="G30:G33" si="33">F30*0.6</f>
        <v>#VALUE!</v>
      </c>
      <c r="H30" s="42" t="e">
        <f t="shared" ref="H30:H33" si="34">G30*I30</f>
        <v>#VALUE!</v>
      </c>
      <c r="I30" s="43">
        <v>1</v>
      </c>
      <c r="J30" s="44" t="s">
        <v>13</v>
      </c>
      <c r="K30" s="40" t="s">
        <v>223</v>
      </c>
      <c r="L30" s="43"/>
    </row>
    <row r="31" spans="1:12" ht="27.75" customHeight="1" x14ac:dyDescent="0.25">
      <c r="A31" s="39" t="str">
        <f t="shared" si="0"/>
        <v>DCBP-N PANEL</v>
      </c>
      <c r="B31" s="39" t="s">
        <v>27</v>
      </c>
      <c r="C31" s="39"/>
      <c r="D31" s="45" t="s">
        <v>216</v>
      </c>
      <c r="E31" s="39" t="s">
        <v>215</v>
      </c>
      <c r="F31" s="39" t="s">
        <v>217</v>
      </c>
      <c r="G31" s="42" t="e">
        <f t="shared" si="33"/>
        <v>#VALUE!</v>
      </c>
      <c r="H31" s="42" t="e">
        <f t="shared" si="34"/>
        <v>#VALUE!</v>
      </c>
      <c r="I31" s="39">
        <v>14</v>
      </c>
      <c r="J31" s="39" t="s">
        <v>13</v>
      </c>
      <c r="K31" s="40" t="s">
        <v>223</v>
      </c>
      <c r="L31" s="39"/>
    </row>
    <row r="32" spans="1:12" ht="30" customHeight="1" x14ac:dyDescent="0.25">
      <c r="A32" s="39" t="str">
        <f t="shared" si="0"/>
        <v>DCBP-N PANEL</v>
      </c>
      <c r="B32" s="39" t="s">
        <v>278</v>
      </c>
      <c r="C32" s="39"/>
      <c r="D32" s="45" t="s">
        <v>281</v>
      </c>
      <c r="E32" s="39" t="s">
        <v>279</v>
      </c>
      <c r="F32" s="39" t="s">
        <v>280</v>
      </c>
      <c r="G32" s="42" t="e">
        <f t="shared" ref="G32" si="35">F32*0.6</f>
        <v>#VALUE!</v>
      </c>
      <c r="H32" s="42" t="e">
        <f t="shared" ref="H32" si="36">G32*I32</f>
        <v>#VALUE!</v>
      </c>
      <c r="I32" s="39">
        <v>1</v>
      </c>
      <c r="J32" s="39" t="s">
        <v>13</v>
      </c>
      <c r="K32" s="40" t="s">
        <v>223</v>
      </c>
      <c r="L32" s="39"/>
    </row>
    <row r="33" spans="1:12" ht="28.5" customHeight="1" x14ac:dyDescent="0.25">
      <c r="A33" s="39" t="str">
        <f t="shared" si="0"/>
        <v>DCBP-N PANEL</v>
      </c>
      <c r="B33" s="39" t="s">
        <v>278</v>
      </c>
      <c r="C33" s="39"/>
      <c r="D33" s="45" t="s">
        <v>283</v>
      </c>
      <c r="E33" s="39" t="s">
        <v>282</v>
      </c>
      <c r="F33" s="39" t="s">
        <v>280</v>
      </c>
      <c r="G33" s="42" t="e">
        <f t="shared" si="33"/>
        <v>#VALUE!</v>
      </c>
      <c r="H33" s="42" t="e">
        <f t="shared" si="34"/>
        <v>#VALUE!</v>
      </c>
      <c r="I33" s="39">
        <v>1</v>
      </c>
      <c r="J33" s="39" t="s">
        <v>13</v>
      </c>
      <c r="K33" s="40" t="s">
        <v>223</v>
      </c>
      <c r="L33" s="39"/>
    </row>
    <row r="34" spans="1:12" ht="29.25" customHeight="1" x14ac:dyDescent="0.25">
      <c r="A34" s="39" t="str">
        <f t="shared" si="0"/>
        <v>DCBP-N PANEL</v>
      </c>
      <c r="B34" s="39" t="s">
        <v>278</v>
      </c>
      <c r="C34" s="39"/>
      <c r="D34" s="45" t="s">
        <v>285</v>
      </c>
      <c r="E34" s="39" t="s">
        <v>284</v>
      </c>
      <c r="F34" s="39" t="s">
        <v>286</v>
      </c>
      <c r="G34" s="42" t="e">
        <f t="shared" ref="G34" si="37">F34*0.6</f>
        <v>#VALUE!</v>
      </c>
      <c r="H34" s="42" t="e">
        <f t="shared" ref="H34" si="38">G34*I34</f>
        <v>#VALUE!</v>
      </c>
      <c r="I34" s="39">
        <v>2</v>
      </c>
      <c r="J34" s="39" t="s">
        <v>13</v>
      </c>
      <c r="K34" s="40" t="s">
        <v>223</v>
      </c>
      <c r="L34" s="39"/>
    </row>
    <row r="35" spans="1:12" ht="31.5" customHeight="1" x14ac:dyDescent="0.25">
      <c r="A35" s="39" t="str">
        <f t="shared" si="0"/>
        <v>DCBP-N PANEL</v>
      </c>
      <c r="B35" s="39" t="s">
        <v>219</v>
      </c>
      <c r="C35" s="39"/>
      <c r="D35" s="45" t="s">
        <v>220</v>
      </c>
      <c r="E35" s="39" t="s">
        <v>221</v>
      </c>
      <c r="F35" s="39" t="s">
        <v>222</v>
      </c>
      <c r="G35" s="42" t="e">
        <f t="shared" ref="G35" si="39">F35*0.6</f>
        <v>#VALUE!</v>
      </c>
      <c r="H35" s="42" t="e">
        <f t="shared" ref="H35" si="40">G35*I35</f>
        <v>#VALUE!</v>
      </c>
      <c r="I35" s="39">
        <v>1</v>
      </c>
      <c r="J35" s="39" t="s">
        <v>13</v>
      </c>
      <c r="K35" s="40" t="s">
        <v>223</v>
      </c>
      <c r="L35" s="39"/>
    </row>
    <row r="36" spans="1:12" ht="32.25" customHeight="1" x14ac:dyDescent="0.25">
      <c r="A36" s="39" t="str">
        <f t="shared" si="0"/>
        <v>DCBP-N PANEL</v>
      </c>
      <c r="B36" s="39" t="s">
        <v>219</v>
      </c>
      <c r="C36" s="39"/>
      <c r="D36" s="45" t="s">
        <v>287</v>
      </c>
      <c r="E36" s="39" t="s">
        <v>289</v>
      </c>
      <c r="F36" s="39" t="s">
        <v>288</v>
      </c>
      <c r="G36" s="42" t="e">
        <f t="shared" ref="G36" si="41">F36*0.6</f>
        <v>#VALUE!</v>
      </c>
      <c r="H36" s="42" t="e">
        <f t="shared" ref="H36" si="42">G36*I36</f>
        <v>#VALUE!</v>
      </c>
      <c r="I36" s="39">
        <v>1</v>
      </c>
      <c r="J36" s="39" t="s">
        <v>13</v>
      </c>
      <c r="K36" s="40" t="s">
        <v>223</v>
      </c>
      <c r="L36" s="39"/>
    </row>
    <row r="37" spans="1:12" ht="28.5" customHeight="1" x14ac:dyDescent="0.25">
      <c r="A37" s="39" t="str">
        <f t="shared" si="0"/>
        <v>DCBP-N PANEL</v>
      </c>
      <c r="B37" s="39" t="s">
        <v>219</v>
      </c>
      <c r="C37" s="39"/>
      <c r="D37" s="45" t="s">
        <v>290</v>
      </c>
      <c r="E37" s="39" t="s">
        <v>292</v>
      </c>
      <c r="F37" s="39" t="s">
        <v>291</v>
      </c>
      <c r="G37" s="42" t="e">
        <f t="shared" ref="G37" si="43">F37*0.6</f>
        <v>#VALUE!</v>
      </c>
      <c r="H37" s="42" t="e">
        <f t="shared" ref="H37" si="44">G37*I37</f>
        <v>#VALUE!</v>
      </c>
      <c r="I37" s="39">
        <v>1</v>
      </c>
      <c r="J37" s="39" t="s">
        <v>13</v>
      </c>
      <c r="K37" s="40" t="s">
        <v>223</v>
      </c>
      <c r="L37" s="39"/>
    </row>
    <row r="38" spans="1:12" ht="24" customHeight="1" x14ac:dyDescent="0.25">
      <c r="A38" s="39" t="str">
        <f t="shared" si="0"/>
        <v>DCBP-N PANEL</v>
      </c>
      <c r="B38" s="39" t="s">
        <v>10</v>
      </c>
      <c r="C38" s="39"/>
      <c r="D38" s="45" t="s">
        <v>10</v>
      </c>
      <c r="E38" s="39" t="s">
        <v>10</v>
      </c>
      <c r="F38" s="39"/>
      <c r="G38" s="42">
        <f t="shared" si="11"/>
        <v>0</v>
      </c>
      <c r="H38" s="42">
        <f t="shared" si="12"/>
        <v>0</v>
      </c>
      <c r="I38" s="39"/>
      <c r="J38" s="39" t="s">
        <v>13</v>
      </c>
      <c r="K38" s="39" t="s">
        <v>10</v>
      </c>
      <c r="L38" s="39"/>
    </row>
    <row r="39" spans="1:12" ht="21" customHeight="1" x14ac:dyDescent="0.25">
      <c r="A39" s="39" t="str">
        <f t="shared" si="0"/>
        <v>DCBP-N PANEL</v>
      </c>
      <c r="B39" s="39" t="s">
        <v>11</v>
      </c>
      <c r="C39" s="39"/>
      <c r="D39" s="45" t="s">
        <v>11</v>
      </c>
      <c r="E39" s="39" t="s">
        <v>11</v>
      </c>
      <c r="F39" s="39">
        <f>I39/60</f>
        <v>0</v>
      </c>
      <c r="G39" s="42">
        <f t="shared" si="11"/>
        <v>0</v>
      </c>
      <c r="H39" s="42">
        <f t="shared" si="12"/>
        <v>0</v>
      </c>
      <c r="I39" s="39"/>
      <c r="J39" s="39" t="s">
        <v>13</v>
      </c>
      <c r="K39" s="39" t="s">
        <v>11</v>
      </c>
      <c r="L39" s="39"/>
    </row>
    <row r="40" spans="1:12" ht="30" customHeight="1" x14ac:dyDescent="0.25">
      <c r="A40" s="39" t="str">
        <f t="shared" si="0"/>
        <v>DCBP-N PANEL</v>
      </c>
      <c r="B40" s="46"/>
      <c r="C40" s="47"/>
      <c r="D40" s="47"/>
      <c r="E40" s="48"/>
      <c r="F40" s="50"/>
      <c r="G40" s="52"/>
      <c r="H40" s="51" t="e">
        <f>SUM(H3:H39)</f>
        <v>#VALUE!</v>
      </c>
      <c r="I40" s="47"/>
      <c r="J40" s="49"/>
      <c r="K40" s="47"/>
      <c r="L40" s="47"/>
    </row>
    <row r="41" spans="1:12" ht="39.75" customHeight="1" x14ac:dyDescent="0.25">
      <c r="A41" s="32" t="str">
        <f>E41</f>
        <v>DCBP-UPS</v>
      </c>
      <c r="B41" s="33"/>
      <c r="C41" s="32"/>
      <c r="D41" s="34"/>
      <c r="E41" s="33" t="s">
        <v>214</v>
      </c>
      <c r="F41" s="35"/>
      <c r="G41" s="35"/>
      <c r="H41" s="36" t="e">
        <f>I41*H48</f>
        <v>#VALUE!</v>
      </c>
      <c r="I41" s="37">
        <v>1</v>
      </c>
      <c r="J41" s="38" t="s">
        <v>7</v>
      </c>
      <c r="K41" s="33" t="s">
        <v>9</v>
      </c>
      <c r="L41" s="37"/>
    </row>
    <row r="42" spans="1:12" ht="21" customHeight="1" x14ac:dyDescent="0.25">
      <c r="A42" s="39" t="str">
        <f>A41</f>
        <v>DCBP-UPS</v>
      </c>
      <c r="B42" s="40" t="s">
        <v>8</v>
      </c>
      <c r="C42" s="39"/>
      <c r="D42" s="41"/>
      <c r="E42" s="39" t="s">
        <v>214</v>
      </c>
      <c r="F42" s="40"/>
      <c r="G42" s="42">
        <f>F42</f>
        <v>0</v>
      </c>
      <c r="H42" s="42">
        <f>I42*G42</f>
        <v>0</v>
      </c>
      <c r="I42" s="43">
        <v>1</v>
      </c>
      <c r="J42" s="44" t="s">
        <v>13</v>
      </c>
      <c r="K42" s="40" t="s">
        <v>16</v>
      </c>
      <c r="L42" s="43"/>
    </row>
    <row r="43" spans="1:12" ht="29.25" customHeight="1" x14ac:dyDescent="0.25">
      <c r="A43" s="39" t="str">
        <f t="shared" ref="A43" si="45">A42</f>
        <v>DCBP-UPS</v>
      </c>
      <c r="B43" s="40" t="s">
        <v>61</v>
      </c>
      <c r="C43" s="39"/>
      <c r="D43" s="41" t="s">
        <v>235</v>
      </c>
      <c r="E43" s="39" t="s">
        <v>299</v>
      </c>
      <c r="F43" s="40" t="s">
        <v>236</v>
      </c>
      <c r="G43" s="42" t="e">
        <f t="shared" ref="G43" si="46">F43*0.6</f>
        <v>#VALUE!</v>
      </c>
      <c r="H43" s="42" t="e">
        <f t="shared" ref="H43" si="47">G43*I43</f>
        <v>#VALUE!</v>
      </c>
      <c r="I43" s="43">
        <v>6</v>
      </c>
      <c r="J43" s="44" t="s">
        <v>13</v>
      </c>
      <c r="K43" s="40" t="s">
        <v>223</v>
      </c>
      <c r="L43" s="43"/>
    </row>
    <row r="44" spans="1:12" ht="21" customHeight="1" x14ac:dyDescent="0.25">
      <c r="A44" s="39" t="str">
        <f t="shared" ref="A44:A48" si="48">A43</f>
        <v>DCBP-UPS</v>
      </c>
      <c r="B44" s="40" t="s">
        <v>273</v>
      </c>
      <c r="C44" s="39"/>
      <c r="D44" s="41" t="s">
        <v>196</v>
      </c>
      <c r="E44" s="39" t="s">
        <v>198</v>
      </c>
      <c r="F44" s="40" t="s">
        <v>197</v>
      </c>
      <c r="G44" s="42" t="e">
        <v>#VALUE!</v>
      </c>
      <c r="H44" s="42" t="e">
        <v>#VALUE!</v>
      </c>
      <c r="I44" s="43">
        <v>1</v>
      </c>
      <c r="J44" s="44" t="s">
        <v>13</v>
      </c>
      <c r="K44" s="40" t="s">
        <v>223</v>
      </c>
      <c r="L44" s="43"/>
    </row>
    <row r="45" spans="1:12" ht="21" customHeight="1" x14ac:dyDescent="0.25">
      <c r="A45" s="39" t="str">
        <f t="shared" si="48"/>
        <v>DCBP-UPS</v>
      </c>
      <c r="B45" s="40" t="s">
        <v>273</v>
      </c>
      <c r="C45" s="39"/>
      <c r="D45" s="41" t="s">
        <v>200</v>
      </c>
      <c r="E45" s="39" t="s">
        <v>199</v>
      </c>
      <c r="F45" s="40" t="s">
        <v>201</v>
      </c>
      <c r="G45" s="42" t="e">
        <v>#VALUE!</v>
      </c>
      <c r="H45" s="42" t="e">
        <v>#VALUE!</v>
      </c>
      <c r="I45" s="43">
        <v>1</v>
      </c>
      <c r="J45" s="44" t="s">
        <v>13</v>
      </c>
      <c r="K45" s="40" t="s">
        <v>223</v>
      </c>
      <c r="L45" s="43"/>
    </row>
    <row r="46" spans="1:12" ht="24" customHeight="1" x14ac:dyDescent="0.25">
      <c r="A46" s="39" t="str">
        <f t="shared" si="48"/>
        <v>DCBP-UPS</v>
      </c>
      <c r="B46" s="39" t="s">
        <v>10</v>
      </c>
      <c r="C46" s="39"/>
      <c r="D46" s="45" t="s">
        <v>10</v>
      </c>
      <c r="E46" s="39" t="s">
        <v>10</v>
      </c>
      <c r="F46" s="39"/>
      <c r="G46" s="42">
        <f t="shared" ref="G46:G47" si="49">F46*0.6</f>
        <v>0</v>
      </c>
      <c r="H46" s="42">
        <f t="shared" ref="H46:H47" si="50">G46*I46</f>
        <v>0</v>
      </c>
      <c r="I46" s="39"/>
      <c r="J46" s="39" t="s">
        <v>13</v>
      </c>
      <c r="K46" s="39" t="s">
        <v>10</v>
      </c>
      <c r="L46" s="39"/>
    </row>
    <row r="47" spans="1:12" ht="21" customHeight="1" x14ac:dyDescent="0.25">
      <c r="A47" s="39" t="str">
        <f t="shared" si="48"/>
        <v>DCBP-UPS</v>
      </c>
      <c r="B47" s="39" t="s">
        <v>11</v>
      </c>
      <c r="C47" s="39"/>
      <c r="D47" s="45" t="s">
        <v>11</v>
      </c>
      <c r="E47" s="39" t="s">
        <v>11</v>
      </c>
      <c r="F47" s="39">
        <f>I47/60</f>
        <v>0</v>
      </c>
      <c r="G47" s="42">
        <f t="shared" si="49"/>
        <v>0</v>
      </c>
      <c r="H47" s="42">
        <f t="shared" si="50"/>
        <v>0</v>
      </c>
      <c r="I47" s="39"/>
      <c r="J47" s="39" t="s">
        <v>13</v>
      </c>
      <c r="K47" s="39" t="s">
        <v>11</v>
      </c>
      <c r="L47" s="39"/>
    </row>
    <row r="48" spans="1:12" ht="30" customHeight="1" x14ac:dyDescent="0.25">
      <c r="A48" s="39" t="str">
        <f t="shared" si="48"/>
        <v>DCBP-UPS</v>
      </c>
      <c r="B48" s="46"/>
      <c r="C48" s="47"/>
      <c r="D48" s="47"/>
      <c r="E48" s="48"/>
      <c r="F48" s="50"/>
      <c r="G48" s="52"/>
      <c r="H48" s="51" t="e">
        <f>SUM(H42:H47)</f>
        <v>#VALUE!</v>
      </c>
      <c r="I48" s="47"/>
      <c r="J48" s="49"/>
      <c r="K48" s="47"/>
      <c r="L48" s="47"/>
    </row>
  </sheetData>
  <autoFilter ref="A1:L48" xr:uid="{0E2C231C-0991-4FBE-BD8E-9CD4D9BF51D9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fiyat calismasi burda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Tilepi Abilay</cp:lastModifiedBy>
  <cp:revision>3</cp:revision>
  <dcterms:created xsi:type="dcterms:W3CDTF">2015-06-05T18:19:34Z</dcterms:created>
  <dcterms:modified xsi:type="dcterms:W3CDTF">2026-05-13T10:42:54Z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