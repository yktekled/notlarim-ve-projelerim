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4 farhat aeroport luna\"/>
    </mc:Choice>
  </mc:AlternateContent>
  <xr:revisionPtr revIDLastSave="0" documentId="13_ncr:1_{473291BD-F58D-4D82-A970-08419EBD6A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TEKLIF!$A$1:$H$42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4" l="1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I18" i="4"/>
  <c r="I16" i="4" l="1"/>
  <c r="J16" i="4" l="1"/>
  <c r="K16" i="4" l="1"/>
  <c r="G16" i="4"/>
  <c r="I17" i="4"/>
  <c r="J17" i="4" l="1"/>
  <c r="K17" i="4" l="1"/>
  <c r="G17" i="4"/>
  <c r="G18" i="4" s="1"/>
  <c r="K18" i="4" l="1"/>
</calcChain>
</file>

<file path=xl/sharedStrings.xml><?xml version="1.0" encoding="utf-8"?>
<sst xmlns="http://schemas.openxmlformats.org/spreadsheetml/2006/main" count="60" uniqueCount="45">
  <si>
    <t>Farhat</t>
  </si>
  <si>
    <t>LUNA Bar + Hello Sweetie (ADP) — аэропорт г. Алматы</t>
  </si>
  <si>
    <t>ТОО "TEK LED"</t>
  </si>
  <si>
    <t>Директор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</si>
  <si>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</si>
  <si>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</si>
  <si>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</si>
  <si>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</si>
  <si>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</si>
  <si>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</si>
  <si>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</si>
  <si>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</si>
  <si>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</si>
  <si>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</si>
  <si>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</si>
  <si>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</si>
  <si>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</si>
  <si>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</si>
  <si>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</si>
  <si>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</si>
  <si>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</si>
  <si>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</si>
  <si>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</si>
  <si>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</si>
  <si>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</si>
  <si>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</si>
  <si>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</si>
  <si>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</si>
  <si>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</si>
  <si>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</si>
  <si>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</si>
  <si>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</si>
  <si>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</si>
  <si>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</si>
  <si>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</si>
  <si>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</si>
  <si>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</si>
  <si>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1.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</si>
  <si>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</si>
  <si>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ABB.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</si>
  <si>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</si>
  <si>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</si>
  <si>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</si>
  <si>
    <t>РЩ LUNA Bar (260924  luna)</t>
  </si>
  <si>
    <t>ADP Hello Sweetie (260924  Hs-Almaty)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</si>
</sst>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40</xdr:row>
      <xdr:rowOff>19080</xdr:rowOff>
    </xdr:from>
    <xdr:to>
      <xdr:col>2</xdr:col>
      <xdr:colOff>2666580</xdr:colOff>
      <xdr:row>40</xdr:row>
      <xdr:rowOff>399600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5537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1"/>
  <sheetViews>
    <sheetView showGridLines="0" tabSelected="1" zoomScaleNormal="100" workbookViewId="0">
      <selection activeCell="P15" sqref="P15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2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7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8</v>
      </c>
      <c r="B7" s="22"/>
      <c r="C7" s="2">
        <v>9890900054</v>
      </c>
      <c r="D7" s="20" t="s">
        <v>9</v>
      </c>
      <c r="E7" s="20"/>
      <c r="F7" s="21" t="s">
        <v>0</v>
      </c>
      <c r="G7" s="21"/>
      <c r="H7" s="21"/>
    </row>
    <row r="8" spans="1:11" ht="27.75" customHeight="1" x14ac:dyDescent="0.25">
      <c r="A8" s="22" t="s">
        <v>10</v>
      </c>
      <c r="B8" s="22"/>
      <c r="C8" s="4">
        <v>46289</v>
      </c>
      <c r="D8" s="20" t="s">
        <v>11</v>
      </c>
      <c r="E8" s="20"/>
      <c r="F8" s="21" t="s">
        <v>35</v>
      </c>
      <c r="G8" s="21"/>
      <c r="H8" s="21"/>
    </row>
    <row r="9" spans="1:11" ht="27.75" customHeight="1" x14ac:dyDescent="0.25">
      <c r="D9" s="20" t="s">
        <v>12</v>
      </c>
      <c r="E9" s="20"/>
      <c r="F9" s="21" t="s">
        <v>1</v>
      </c>
      <c r="G9" s="21"/>
      <c r="H9" s="21"/>
    </row>
    <row r="10" spans="1:11" ht="15" customHeight="1" x14ac:dyDescent="0.25">
      <c r="D10" s="20" t="s">
        <v>13</v>
      </c>
      <c r="E10" s="20"/>
      <c r="F10" s="21" t="s">
        <v>35</v>
      </c>
      <c r="G10" s="21"/>
      <c r="H10" s="21"/>
    </row>
    <row r="11" spans="1:11" ht="15" customHeight="1" x14ac:dyDescent="0.25">
      <c r="D11" s="20" t="s">
        <v>14</v>
      </c>
      <c r="E11" s="20"/>
      <c r="F11" s="21" t="s">
        <v>35</v>
      </c>
      <c r="G11" s="21"/>
      <c r="H11" s="21"/>
    </row>
    <row r="12" spans="1:11" ht="15" customHeight="1" x14ac:dyDescent="0.25">
      <c r="D12" s="20" t="s">
        <v>15</v>
      </c>
      <c r="E12" s="20"/>
      <c r="F12" s="21" t="s">
        <v>35</v>
      </c>
      <c r="G12" s="21"/>
      <c r="H12" s="21"/>
    </row>
    <row r="13" spans="1:11" ht="15" customHeight="1" x14ac:dyDescent="0.25">
      <c r="D13" s="20" t="s">
        <v>16</v>
      </c>
      <c r="E13" s="20"/>
      <c r="F13" s="21" t="s">
        <v>35</v>
      </c>
      <c r="G13" s="21"/>
      <c r="H13" s="21"/>
    </row>
    <row r="15" spans="1:11" ht="39.75" customHeight="1" x14ac:dyDescent="0.25">
      <c r="A15" s="5" t="s">
        <v>17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  <c r="I15" s="3" t="s">
        <v>25</v>
      </c>
      <c r="J15" s="3" t="s">
        <v>26</v>
      </c>
      <c r="K15" s="3" t="s">
        <v>27</v>
      </c>
    </row>
    <row r="16" spans="1:11" ht="42" customHeight="1" x14ac:dyDescent="0.25">
      <c r="A16" s="6">
        <v>1</v>
      </c>
      <c r="B16" s="7"/>
      <c r="C16" s="8" t="s">
        <v>43</v>
      </c>
      <c r="D16" s="9">
        <v>1</v>
      </c>
      <c r="E16" s="6" t="s">
        <v>28</v>
      </c>
      <c r="F16" s="10">
        <v>779993</v>
      </c>
      <c r="G16" s="10">
        <f>IF(F16="","",D16*F16)</f>
        <v>779993</v>
      </c>
      <c r="H16" s="6">
        <v>20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>IF(J16="","",D16*J16)</f>
        <v>#REF!</v>
      </c>
    </row>
    <row r="17" spans="1:11" ht="42" customHeight="1" x14ac:dyDescent="0.25">
      <c r="A17" s="6">
        <v>2</v>
      </c>
      <c r="B17" s="7"/>
      <c r="C17" s="8" t="s">
        <v>44</v>
      </c>
      <c r="D17" s="9">
        <v>1</v>
      </c>
      <c r="E17" s="6" t="s">
        <v>28</v>
      </c>
      <c r="F17" s="10">
        <v>537762</v>
      </c>
      <c r="G17" s="10">
        <f>IF(F17="","",D17*F17)</f>
        <v>537762</v>
      </c>
      <c r="H17" s="6">
        <v>20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>IF(J17="","",D17*J17)</f>
        <v>#REF!</v>
      </c>
    </row>
    <row r="18" spans="1:11" ht="21.75" customHeight="1" x14ac:dyDescent="0.25">
      <c r="A18" s="12"/>
      <c r="B18" s="5" t="s">
        <v>29</v>
      </c>
      <c r="C18" s="12"/>
      <c r="D18" s="12"/>
      <c r="E18" s="12"/>
      <c r="F18" s="12"/>
      <c r="G18" s="13">
        <f>SUM(G16:G17)</f>
        <v>1317755</v>
      </c>
      <c r="H18" s="12"/>
      <c r="I18" s="3" t="e">
        <f>IF(KAR_ORANI="","KÂR ORANI GİRİLMEDİ","")</f>
        <v>#REF!</v>
      </c>
      <c r="K18" s="11" t="e">
        <f>SUM(K16:K17)</f>
        <v>#REF!</v>
      </c>
    </row>
    <row r="20" spans="1:11" ht="24" customHeight="1" x14ac:dyDescent="0.25">
      <c r="A20" s="19" t="s">
        <v>36</v>
      </c>
      <c r="B20" s="19"/>
      <c r="C20" s="19"/>
      <c r="D20" s="19"/>
      <c r="E20" s="19"/>
      <c r="F20" s="19"/>
      <c r="G20" s="19"/>
      <c r="H20" s="19"/>
      <c r="I20" s="3" t="e">
        <f>IF(GECERLILIK&lt;&gt;"","Срок действия ценового предложения "&amp;GECERLILIK&amp;" рабочих дней.","")</f>
        <v>#REF!</v>
      </c>
      <c r="J20" s="3" t="e">
        <f>IF(I20="","",COUNTIF(I$20:I20,"?*"))</f>
        <v>#REF!</v>
      </c>
    </row>
    <row r="21" spans="1:11" ht="24" customHeight="1" x14ac:dyDescent="0.25">
      <c r="A21" s="19" t="s">
        <v>37</v>
      </c>
      <c r="B21" s="19"/>
      <c r="C21" s="19"/>
      <c r="D21" s="19"/>
      <c r="E21" s="19"/>
      <c r="F21" s="19"/>
      <c r="G21" s="19"/>
      <c r="H21" s="19"/>
      <c r="I21" s="3" t="e">
        <f>IF(TESLIM_YERI&lt;&gt;"","Место поставки: "&amp;TESLIM_YERI&amp;".","")</f>
        <v>#REF!</v>
      </c>
      <c r="J21" s="3" t="e">
        <f>IF(I21="","",COUNTIF(I$20:I21,"?*"))</f>
        <v>#REF!</v>
      </c>
    </row>
    <row r="22" spans="1:11" ht="24" customHeight="1" x14ac:dyDescent="0.25">
      <c r="A22" s="19" t="s">
        <v>38</v>
      </c>
      <c r="B22" s="19"/>
      <c r="C22" s="19"/>
      <c r="D22" s="19"/>
      <c r="E22" s="19"/>
      <c r="F22" s="19"/>
      <c r="G22" s="19"/>
      <c r="H22" s="19"/>
      <c r="I22" s="3" t="e">
        <f>IF(ODEME&lt;&gt;"","Условия оплаты: "&amp;ODEME&amp;".","")</f>
        <v>#REF!</v>
      </c>
      <c r="J22" s="3" t="e">
        <f>IF(I22="","",COUNTIF(I$20:I22,"?*"))</f>
        <v>#REF!</v>
      </c>
    </row>
    <row r="23" spans="1:11" ht="24" customHeight="1" x14ac:dyDescent="0.25">
      <c r="A23" s="19" t="s">
        <v>39</v>
      </c>
      <c r="B23" s="19"/>
      <c r="C23" s="19"/>
      <c r="D23" s="19"/>
      <c r="E23" s="19"/>
      <c r="F23" s="19"/>
      <c r="G23" s="19"/>
      <c r="H23" s="19"/>
      <c r="I23" s="3" t="e">
        <f>IF(GARANTI&lt;&gt;"","Гарантия: "&amp;GARANTI&amp;".","")</f>
        <v>#REF!</v>
      </c>
      <c r="J23" s="3" t="e">
        <f>IF(I23="","",COUNTIF(I$20:I23,"?*"))</f>
        <v>#REF!</v>
      </c>
    </row>
    <row r="24" spans="1:11" ht="24" customHeight="1" x14ac:dyDescent="0.25">
      <c r="A24" s="19" t="s">
        <v>40</v>
      </c>
      <c r="B24" s="19"/>
      <c r="C24" s="19"/>
      <c r="D24" s="19"/>
      <c r="E24" s="19"/>
      <c r="F24" s="19"/>
      <c r="G24" s="19"/>
      <c r="H24" s="19"/>
      <c r="I24" s="3" t="e">
        <f>IF(1=1,"В щитах с системой сборных шин применяются "&amp;IF(BARA_MALZEME="AL","алюминиевые (Al)","медные (Cu)")&amp;" шины.","")</f>
        <v>#REF!</v>
      </c>
      <c r="J24" s="3" t="e">
        <f>IF(I24="","",COUNTIF(I$20:I24,"?*"))</f>
        <v>#REF!</v>
      </c>
    </row>
    <row r="25" spans="1:11" ht="24" customHeight="1" x14ac:dyDescent="0.25">
      <c r="A25" s="19" t="s">
        <v>35</v>
      </c>
      <c r="B25" s="19"/>
      <c r="C25" s="19"/>
      <c r="D25" s="19"/>
      <c r="E25" s="19"/>
      <c r="F25" s="19"/>
      <c r="G25" s="19"/>
      <c r="H25" s="19"/>
      <c r="I25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25" s="3" t="e">
        <f>IF(I25="","",COUNTIF(I$20:I25,"?*"))</f>
        <v>#REF!</v>
      </c>
    </row>
    <row r="26" spans="1:11" ht="24" customHeight="1" x14ac:dyDescent="0.25">
      <c r="A26" s="19" t="s">
        <v>35</v>
      </c>
      <c r="B26" s="19"/>
      <c r="C26" s="19"/>
      <c r="D26" s="19"/>
      <c r="E26" s="19"/>
      <c r="F26" s="19"/>
      <c r="G26" s="19"/>
      <c r="H26" s="19"/>
      <c r="I26" s="3" t="e">
        <f>IF(SERTIFIKAT&lt;&gt;"",SERTIFIKAT,"")</f>
        <v>#REF!</v>
      </c>
      <c r="J26" s="3" t="e">
        <f>IF(I26="","",COUNTIF(I$20:I26,"?*"))</f>
        <v>#REF!</v>
      </c>
    </row>
    <row r="27" spans="1:11" ht="24" customHeight="1" x14ac:dyDescent="0.25">
      <c r="A27" s="19" t="s">
        <v>35</v>
      </c>
      <c r="B27" s="19"/>
      <c r="C27" s="19"/>
      <c r="D27" s="19"/>
      <c r="E27" s="19"/>
      <c r="F27" s="19"/>
      <c r="G27" s="19"/>
      <c r="H27" s="19"/>
      <c r="I27" s="3" t="e">
        <f>IF(PROJE_NOT&lt;&gt;"",PROJE_NOT,"")</f>
        <v>#REF!</v>
      </c>
      <c r="J27" s="3" t="e">
        <f>IF(I27="","",COUNTIF(I$20:I27,"?*"))</f>
        <v>#REF!</v>
      </c>
    </row>
    <row r="29" spans="1:11" ht="19.5" customHeight="1" x14ac:dyDescent="0.25">
      <c r="A29" s="15" t="s">
        <v>35</v>
      </c>
      <c r="B29" s="15"/>
      <c r="C29" s="15"/>
      <c r="D29" s="15"/>
      <c r="E29" s="15"/>
      <c r="F29" s="15"/>
      <c r="G29" s="15"/>
      <c r="H29" s="15"/>
    </row>
    <row r="31" spans="1:11" ht="15" customHeight="1" x14ac:dyDescent="0.25">
      <c r="A31" s="16" t="s">
        <v>30</v>
      </c>
      <c r="B31" s="16"/>
      <c r="C31" s="16"/>
    </row>
    <row r="32" spans="1:11" x14ac:dyDescent="0.25">
      <c r="A32" s="16" t="s">
        <v>3</v>
      </c>
      <c r="B32" s="16"/>
      <c r="C32" s="16"/>
      <c r="F32" s="16" t="s">
        <v>35</v>
      </c>
      <c r="G32" s="16"/>
      <c r="H32" s="16"/>
    </row>
    <row r="35" spans="1:8" x14ac:dyDescent="0.25">
      <c r="A35" s="14" t="s">
        <v>31</v>
      </c>
      <c r="B35" s="14"/>
      <c r="C35" s="1" t="s">
        <v>41</v>
      </c>
      <c r="E35" s="17" t="s">
        <v>32</v>
      </c>
      <c r="F35" s="17"/>
      <c r="G35" s="18" t="s">
        <v>35</v>
      </c>
      <c r="H35" s="18"/>
    </row>
    <row r="36" spans="1:8" x14ac:dyDescent="0.25">
      <c r="A36" s="14" t="s">
        <v>33</v>
      </c>
      <c r="B36" s="14"/>
      <c r="C36" s="1" t="s">
        <v>41</v>
      </c>
    </row>
    <row r="37" spans="1:8" x14ac:dyDescent="0.25">
      <c r="A37" s="14" t="s">
        <v>34</v>
      </c>
      <c r="B37" s="14"/>
      <c r="C37" s="1" t="s">
        <v>42</v>
      </c>
    </row>
    <row r="38" spans="1:8" x14ac:dyDescent="0.25">
      <c r="A38" s="14" t="s">
        <v>4</v>
      </c>
      <c r="B38" s="14"/>
      <c r="C38" s="1" t="s">
        <v>41</v>
      </c>
    </row>
    <row r="39" spans="1:8" x14ac:dyDescent="0.25">
      <c r="A39" s="14" t="s">
        <v>5</v>
      </c>
      <c r="B39" s="14"/>
      <c r="C39" s="1" t="s">
        <v>41</v>
      </c>
    </row>
    <row r="40" spans="1:8" x14ac:dyDescent="0.25">
      <c r="A40" s="14" t="s">
        <v>6</v>
      </c>
      <c r="B40" s="14"/>
      <c r="C40" s="1" t="s">
        <v>41</v>
      </c>
    </row>
    <row r="41" spans="1:8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0:H20"/>
    <mergeCell ref="A21:H21"/>
    <mergeCell ref="A22:H22"/>
    <mergeCell ref="A23:H23"/>
    <mergeCell ref="A24:H24"/>
    <mergeCell ref="A25:H25"/>
    <mergeCell ref="A26:H26"/>
    <mergeCell ref="A27:H27"/>
    <mergeCell ref="A29:H29"/>
    <mergeCell ref="A31:C31"/>
    <mergeCell ref="A32:C32"/>
    <mergeCell ref="F32:H32"/>
    <mergeCell ref="A35:B35"/>
    <mergeCell ref="E35:F35"/>
    <mergeCell ref="G35:H35"/>
    <mergeCell ref="A36:B36"/>
    <mergeCell ref="A37:B37"/>
    <mergeCell ref="A38:B38"/>
    <mergeCell ref="A39:B39"/>
    <mergeCell ref="A40:B40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2026-09-24T03:55:41Z</dcterms:created>
  <dcterms:modified xsi:type="dcterms:W3CDTF">2026-09-24T09:49:50Z</dcterms:modified>
  <dc:language>en-US</dc:language>
</cp:coreProperties>
</file>