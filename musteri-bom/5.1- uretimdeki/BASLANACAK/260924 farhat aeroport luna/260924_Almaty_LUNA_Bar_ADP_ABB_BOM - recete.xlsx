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24 farhat aeroport luna\"/>
    </mc:Choice>
  </mc:AlternateContent>
  <xr:revisionPtr revIDLastSave="0" documentId="13_ncr:1_{EB520A79-0C37-4B2E-80C0-64955ED3FD2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</sheets>
  <definedNames>
    <definedName name="AL_A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ESIK_A">#REF!</definedName>
    <definedName name="BARA_FIRE">#REF!</definedName>
    <definedName name="BARA_MALZEME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YUKSUK">#REF!</definedName>
    <definedName name="SARF_ZAGL">#REF!</definedName>
    <definedName name="SEHIR">#REF!</definedName>
    <definedName name="SERTIFIKAT">#REF!</definedName>
    <definedName name="SNI_DELIK">#REF!</definedName>
    <definedName name="SNI_KOD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12" i="1" l="1"/>
  <c r="AH43" i="1"/>
  <c r="AH42" i="1"/>
  <c r="AH41" i="1"/>
  <c r="AH40" i="1"/>
  <c r="AH39" i="1"/>
  <c r="AH38" i="1"/>
  <c r="AH37" i="1"/>
  <c r="AH36" i="1"/>
  <c r="AH35" i="1"/>
  <c r="AH34" i="1"/>
  <c r="AH33" i="1"/>
  <c r="AH32" i="1"/>
  <c r="T32" i="1"/>
  <c r="AH31" i="1"/>
  <c r="AF31" i="1"/>
  <c r="T31" i="1"/>
  <c r="AH30" i="1"/>
  <c r="T30" i="1"/>
  <c r="AH29" i="1"/>
  <c r="T29" i="1"/>
  <c r="AH28" i="1"/>
  <c r="T28" i="1"/>
  <c r="AH27" i="1"/>
  <c r="T27" i="1"/>
  <c r="AH26" i="1"/>
  <c r="AH21" i="1"/>
  <c r="AH20" i="1"/>
  <c r="AH19" i="1"/>
  <c r="AH18" i="1"/>
  <c r="AH17" i="1"/>
  <c r="AH16" i="1"/>
  <c r="AH15" i="1"/>
  <c r="AH14" i="1"/>
  <c r="AH13" i="1"/>
  <c r="AH12" i="1"/>
  <c r="AF12" i="1"/>
  <c r="AC12" i="1"/>
  <c r="AA12" i="1"/>
  <c r="Z12" i="1"/>
  <c r="S12" i="1"/>
  <c r="N12" i="1"/>
  <c r="AH11" i="1"/>
  <c r="AH10" i="1"/>
  <c r="T10" i="1"/>
  <c r="AH9" i="1"/>
  <c r="T9" i="1"/>
  <c r="AH8" i="1"/>
  <c r="T8" i="1"/>
  <c r="AH7" i="1"/>
  <c r="T7" i="1"/>
  <c r="AH6" i="1"/>
  <c r="T6" i="1"/>
  <c r="AH5" i="1"/>
  <c r="T5" i="1"/>
  <c r="AH4" i="1"/>
  <c r="T4" i="1"/>
  <c r="AH3" i="1"/>
  <c r="N43" i="1" l="1"/>
  <c r="AA43" i="1"/>
  <c r="AC43" i="1"/>
  <c r="AB43" i="1"/>
  <c r="Z43" i="1"/>
  <c r="Y43" i="1"/>
  <c r="S43" i="1"/>
  <c r="AA42" i="1"/>
  <c r="Z42" i="1"/>
  <c r="Y42" i="1"/>
  <c r="S42" i="1"/>
  <c r="N42" i="1"/>
  <c r="X42" i="1"/>
  <c r="AI42" i="1" s="1"/>
  <c r="AB42" i="1"/>
  <c r="AF42" i="1"/>
  <c r="AC42" i="1"/>
  <c r="AB41" i="1"/>
  <c r="AA41" i="1"/>
  <c r="Z41" i="1"/>
  <c r="S41" i="1"/>
  <c r="N41" i="1"/>
  <c r="AC41" i="1"/>
  <c r="N40" i="1"/>
  <c r="S40" i="1"/>
  <c r="Y40" i="1"/>
  <c r="Z40" i="1"/>
  <c r="AA40" i="1"/>
  <c r="AB40" i="1"/>
  <c r="AC40" i="1"/>
  <c r="N39" i="1"/>
  <c r="S39" i="1"/>
  <c r="Y39" i="1"/>
  <c r="Z39" i="1"/>
  <c r="AA39" i="1"/>
  <c r="AB39" i="1"/>
  <c r="AC39" i="1"/>
  <c r="AF38" i="1"/>
  <c r="AC38" i="1"/>
  <c r="AB38" i="1"/>
  <c r="AA38" i="1"/>
  <c r="Z38" i="1"/>
  <c r="Y38" i="1"/>
  <c r="S38" i="1"/>
  <c r="N38" i="1"/>
  <c r="X38" i="1"/>
  <c r="AI38" i="1" s="1"/>
  <c r="AC37" i="1"/>
  <c r="AB37" i="1"/>
  <c r="AA37" i="1"/>
  <c r="Z37" i="1"/>
  <c r="Y37" i="1"/>
  <c r="S37" i="1"/>
  <c r="N37" i="1"/>
  <c r="AC36" i="1"/>
  <c r="AB36" i="1"/>
  <c r="AA36" i="1"/>
  <c r="Z36" i="1"/>
  <c r="S36" i="1"/>
  <c r="N36" i="1"/>
  <c r="Z35" i="1"/>
  <c r="N35" i="1"/>
  <c r="S35" i="1"/>
  <c r="AA35" i="1"/>
  <c r="AB35" i="1"/>
  <c r="AC35" i="1"/>
  <c r="X34" i="1"/>
  <c r="AI34" i="1" s="1"/>
  <c r="Y34" i="1"/>
  <c r="S34" i="1"/>
  <c r="AA34" i="1"/>
  <c r="AB34" i="1"/>
  <c r="Z34" i="1"/>
  <c r="AC34" i="1"/>
  <c r="AF34" i="1"/>
  <c r="X33" i="1"/>
  <c r="AI33" i="1" s="1"/>
  <c r="AA33" i="1"/>
  <c r="AC33" i="1"/>
  <c r="AF33" i="1"/>
  <c r="AB33" i="1"/>
  <c r="Z33" i="1"/>
  <c r="Y33" i="1"/>
  <c r="S33" i="1"/>
  <c r="AF32" i="1"/>
  <c r="AC32" i="1"/>
  <c r="AB32" i="1"/>
  <c r="AA32" i="1"/>
  <c r="Z32" i="1"/>
  <c r="Y32" i="1"/>
  <c r="U32" i="1" s="1"/>
  <c r="S32" i="1"/>
  <c r="R32" i="1"/>
  <c r="Q32" i="1"/>
  <c r="P32" i="1"/>
  <c r="N32" i="1"/>
  <c r="X32" i="1"/>
  <c r="AI32" i="1" s="1"/>
  <c r="R31" i="1"/>
  <c r="S31" i="1"/>
  <c r="Y31" i="1"/>
  <c r="U31" i="1" s="1"/>
  <c r="Z31" i="1"/>
  <c r="X31" i="1"/>
  <c r="AI31" i="1" s="1"/>
  <c r="N31" i="1"/>
  <c r="AA31" i="1"/>
  <c r="AB31" i="1"/>
  <c r="Q31" i="1"/>
  <c r="P31" i="1"/>
  <c r="AF30" i="1"/>
  <c r="AB30" i="1"/>
  <c r="N30" i="1"/>
  <c r="AC30" i="1"/>
  <c r="X30" i="1"/>
  <c r="AI30" i="1" s="1"/>
  <c r="P30" i="1"/>
  <c r="Q30" i="1"/>
  <c r="R30" i="1"/>
  <c r="S30" i="1"/>
  <c r="Y30" i="1"/>
  <c r="U30" i="1" s="1"/>
  <c r="Z30" i="1"/>
  <c r="AA30" i="1"/>
  <c r="Q29" i="1"/>
  <c r="Y29" i="1"/>
  <c r="U29" i="1" s="1"/>
  <c r="Z29" i="1"/>
  <c r="X29" i="1"/>
  <c r="AI29" i="1" s="1"/>
  <c r="AB29" i="1"/>
  <c r="S29" i="1"/>
  <c r="AF29" i="1"/>
  <c r="N29" i="1"/>
  <c r="P29" i="1"/>
  <c r="AA29" i="1"/>
  <c r="R29" i="1"/>
  <c r="AC28" i="1"/>
  <c r="AB28" i="1"/>
  <c r="AF28" i="1"/>
  <c r="Z28" i="1"/>
  <c r="AA28" i="1"/>
  <c r="S28" i="1"/>
  <c r="R28" i="1"/>
  <c r="Q28" i="1"/>
  <c r="X28" i="1"/>
  <c r="AI28" i="1" s="1"/>
  <c r="P28" i="1"/>
  <c r="Q27" i="1"/>
  <c r="R27" i="1"/>
  <c r="X27" i="1"/>
  <c r="AI27" i="1" s="1"/>
  <c r="P27" i="1"/>
  <c r="AF27" i="1"/>
  <c r="AC27" i="1"/>
  <c r="AB27" i="1"/>
  <c r="S27" i="1"/>
  <c r="AF26" i="1"/>
  <c r="AC26" i="1"/>
  <c r="S26" i="1"/>
  <c r="AB26" i="1"/>
  <c r="X26" i="1"/>
  <c r="AI26" i="1" s="1"/>
  <c r="AG26" i="1"/>
  <c r="AA21" i="1"/>
  <c r="AC21" i="1"/>
  <c r="AB21" i="1"/>
  <c r="Z21" i="1"/>
  <c r="Y21" i="1"/>
  <c r="S21" i="1"/>
  <c r="AC20" i="1"/>
  <c r="AB20" i="1"/>
  <c r="AA20" i="1"/>
  <c r="S20" i="1"/>
  <c r="AF20" i="1"/>
  <c r="Y20" i="1"/>
  <c r="Z20" i="1"/>
  <c r="X20" i="1"/>
  <c r="AI20" i="1" s="1"/>
  <c r="S19" i="1"/>
  <c r="Y19" i="1"/>
  <c r="AA19" i="1"/>
  <c r="AB19" i="1"/>
  <c r="AC19" i="1"/>
  <c r="Z19" i="1"/>
  <c r="S18" i="1"/>
  <c r="Z18" i="1"/>
  <c r="AA18" i="1"/>
  <c r="AC18" i="1"/>
  <c r="AB18" i="1"/>
  <c r="S17" i="1"/>
  <c r="Z17" i="1"/>
  <c r="AA17" i="1"/>
  <c r="AB17" i="1"/>
  <c r="AC17" i="1"/>
  <c r="Y17" i="1"/>
  <c r="N16" i="1"/>
  <c r="AF16" i="1"/>
  <c r="AC16" i="1"/>
  <c r="AB16" i="1"/>
  <c r="AA16" i="1"/>
  <c r="Z16" i="1"/>
  <c r="Y16" i="1"/>
  <c r="S16" i="1"/>
  <c r="X16" i="1"/>
  <c r="AI16" i="1" s="1"/>
  <c r="AC15" i="1"/>
  <c r="AB15" i="1"/>
  <c r="AA15" i="1"/>
  <c r="Z15" i="1"/>
  <c r="Y15" i="1"/>
  <c r="S15" i="1"/>
  <c r="AC14" i="1"/>
  <c r="AB14" i="1"/>
  <c r="AA14" i="1"/>
  <c r="Z14" i="1"/>
  <c r="Y14" i="1"/>
  <c r="S14" i="1"/>
  <c r="AC13" i="1"/>
  <c r="S13" i="1"/>
  <c r="Z13" i="1"/>
  <c r="AA13" i="1"/>
  <c r="AB13" i="1"/>
  <c r="AD12" i="1"/>
  <c r="AE12" i="1"/>
  <c r="X12" i="1"/>
  <c r="AI12" i="1" s="1"/>
  <c r="X11" i="1"/>
  <c r="AI11" i="1" s="1"/>
  <c r="AF11" i="1"/>
  <c r="AC11" i="1"/>
  <c r="S11" i="1"/>
  <c r="AB11" i="1"/>
  <c r="AA11" i="1"/>
  <c r="Z11" i="1"/>
  <c r="Y11" i="1"/>
  <c r="AF10" i="1"/>
  <c r="AB10" i="1"/>
  <c r="AA10" i="1"/>
  <c r="Z10" i="1"/>
  <c r="Y10" i="1"/>
  <c r="U10" i="1" s="1"/>
  <c r="R10" i="1"/>
  <c r="Q10" i="1"/>
  <c r="P10" i="1"/>
  <c r="N10" i="1"/>
  <c r="X10" i="1"/>
  <c r="AI10" i="1" s="1"/>
  <c r="S10" i="1"/>
  <c r="Y9" i="1"/>
  <c r="U9" i="1" s="1"/>
  <c r="Z9" i="1"/>
  <c r="AA9" i="1"/>
  <c r="AF9" i="1"/>
  <c r="X9" i="1"/>
  <c r="AI9" i="1" s="1"/>
  <c r="S9" i="1"/>
  <c r="P9" i="1"/>
  <c r="Q9" i="1"/>
  <c r="R9" i="1"/>
  <c r="AB9" i="1"/>
  <c r="AA8" i="1"/>
  <c r="Z8" i="1"/>
  <c r="Y8" i="1"/>
  <c r="U8" i="1" s="1"/>
  <c r="S8" i="1"/>
  <c r="R8" i="1"/>
  <c r="Q8" i="1"/>
  <c r="P8" i="1"/>
  <c r="X8" i="1"/>
  <c r="AI8" i="1" s="1"/>
  <c r="AF8" i="1"/>
  <c r="AC8" i="1"/>
  <c r="AB8" i="1"/>
  <c r="Q7" i="1"/>
  <c r="AB7" i="1"/>
  <c r="AA7" i="1"/>
  <c r="Z7" i="1"/>
  <c r="Y7" i="1"/>
  <c r="U7" i="1" s="1"/>
  <c r="S7" i="1"/>
  <c r="R7" i="1"/>
  <c r="P7" i="1"/>
  <c r="X7" i="1"/>
  <c r="AI7" i="1" s="1"/>
  <c r="AF7" i="1"/>
  <c r="S6" i="1"/>
  <c r="R6" i="1"/>
  <c r="Q6" i="1"/>
  <c r="P6" i="1"/>
  <c r="X6" i="1"/>
  <c r="AI6" i="1" s="1"/>
  <c r="AF6" i="1"/>
  <c r="AB6" i="1"/>
  <c r="X5" i="1"/>
  <c r="AI5" i="1" s="1"/>
  <c r="P5" i="1"/>
  <c r="Q5" i="1"/>
  <c r="R5" i="1"/>
  <c r="S5" i="1"/>
  <c r="AF5" i="1"/>
  <c r="AC5" i="1"/>
  <c r="AB5" i="1"/>
  <c r="AC4" i="1"/>
  <c r="AB4" i="1"/>
  <c r="S4" i="1"/>
  <c r="R4" i="1"/>
  <c r="Q4" i="1"/>
  <c r="P4" i="1"/>
  <c r="AF4" i="1"/>
  <c r="X4" i="1"/>
  <c r="AI4" i="1" s="1"/>
  <c r="N3" i="1"/>
  <c r="S3" i="1"/>
  <c r="Y3" i="1"/>
  <c r="Z3" i="1"/>
  <c r="AA3" i="1"/>
  <c r="AB3" i="1"/>
  <c r="AC3" i="1"/>
  <c r="AF3" i="1"/>
  <c r="X3" i="1"/>
  <c r="AI3" i="1" s="1"/>
  <c r="AG3" i="1"/>
  <c r="N4" i="1" l="1"/>
  <c r="Y12" i="1"/>
  <c r="AD43" i="1"/>
  <c r="AE43" i="1"/>
  <c r="AD42" i="1"/>
  <c r="AE42" i="1"/>
  <c r="AD41" i="1"/>
  <c r="AE41" i="1"/>
  <c r="AD40" i="1"/>
  <c r="AE40" i="1"/>
  <c r="AD39" i="1"/>
  <c r="AE39" i="1"/>
  <c r="AD38" i="1"/>
  <c r="AE38" i="1"/>
  <c r="AD37" i="1"/>
  <c r="AE37" i="1"/>
  <c r="AD36" i="1"/>
  <c r="AE36" i="1"/>
  <c r="AD35" i="1"/>
  <c r="AE35" i="1"/>
  <c r="AD34" i="1"/>
  <c r="AE34" i="1"/>
  <c r="AD33" i="1"/>
  <c r="AE33" i="1"/>
  <c r="AD32" i="1"/>
  <c r="AE32" i="1"/>
  <c r="V32" i="1"/>
  <c r="W32" i="1"/>
  <c r="V31" i="1"/>
  <c r="W31" i="1"/>
  <c r="AD30" i="1"/>
  <c r="AE30" i="1"/>
  <c r="V30" i="1"/>
  <c r="W30" i="1"/>
  <c r="V29" i="1"/>
  <c r="W29" i="1"/>
  <c r="AD28" i="1"/>
  <c r="AE28" i="1"/>
  <c r="V28" i="1"/>
  <c r="V27" i="1"/>
  <c r="AD27" i="1"/>
  <c r="AE27" i="1"/>
  <c r="AD26" i="1"/>
  <c r="AE26" i="1"/>
  <c r="AG27" i="1"/>
  <c r="AD21" i="1"/>
  <c r="AE21" i="1"/>
  <c r="AD20" i="1"/>
  <c r="AE20" i="1"/>
  <c r="AD19" i="1"/>
  <c r="AE19" i="1"/>
  <c r="AD18" i="1"/>
  <c r="AE18" i="1"/>
  <c r="AD17" i="1"/>
  <c r="AE17" i="1"/>
  <c r="AD16" i="1"/>
  <c r="AE16" i="1"/>
  <c r="AD15" i="1"/>
  <c r="AE15" i="1"/>
  <c r="AD14" i="1"/>
  <c r="AE14" i="1"/>
  <c r="AD13" i="1"/>
  <c r="AE13" i="1"/>
  <c r="AD11" i="1"/>
  <c r="AE11" i="1"/>
  <c r="V10" i="1"/>
  <c r="W10" i="1"/>
  <c r="V9" i="1"/>
  <c r="W9" i="1"/>
  <c r="V8" i="1"/>
  <c r="W8" i="1"/>
  <c r="AD8" i="1"/>
  <c r="AE8" i="1"/>
  <c r="V7" i="1"/>
  <c r="W7" i="1"/>
  <c r="V6" i="1"/>
  <c r="V5" i="1"/>
  <c r="AD5" i="1"/>
  <c r="AE5" i="1"/>
  <c r="AD4" i="1"/>
  <c r="AE4" i="1"/>
  <c r="V4" i="1"/>
  <c r="AD3" i="1"/>
  <c r="AE3" i="1"/>
  <c r="AG4" i="1"/>
  <c r="Y41" i="1"/>
  <c r="Y18" i="1"/>
  <c r="Y36" i="1"/>
  <c r="Y13" i="1"/>
  <c r="Y35" i="1"/>
  <c r="Y28" i="1"/>
  <c r="U28" i="1" s="1"/>
  <c r="W28" i="1" s="1"/>
  <c r="Y5" i="1"/>
  <c r="U5" i="1" s="1"/>
  <c r="W5" i="1" s="1"/>
  <c r="Y27" i="1"/>
  <c r="U27" i="1" s="1"/>
  <c r="W27" i="1" s="1"/>
  <c r="Y26" i="1"/>
  <c r="Y4" i="1"/>
  <c r="Y6" i="1"/>
  <c r="U6" i="1" s="1"/>
  <c r="W6" i="1" s="1"/>
  <c r="N5" i="1" l="1"/>
  <c r="AG28" i="1"/>
  <c r="AG5" i="1"/>
  <c r="Z5" i="1"/>
  <c r="AA5" i="1"/>
  <c r="Z27" i="1"/>
  <c r="AA27" i="1"/>
  <c r="Z26" i="1"/>
  <c r="AA26" i="1"/>
  <c r="Z4" i="1"/>
  <c r="AA4" i="1"/>
  <c r="U4" i="1"/>
  <c r="AC29" i="1"/>
  <c r="AC7" i="1"/>
  <c r="Z6" i="1"/>
  <c r="AA6" i="1"/>
  <c r="AC6" i="1"/>
  <c r="AC31" i="1"/>
  <c r="AC9" i="1"/>
  <c r="AC10" i="1"/>
  <c r="N6" i="1" l="1"/>
  <c r="AG29" i="1"/>
  <c r="AG6" i="1"/>
  <c r="AF15" i="1"/>
  <c r="X15" i="1"/>
  <c r="AI15" i="1" s="1"/>
  <c r="AF37" i="1"/>
  <c r="X37" i="1"/>
  <c r="AI37" i="1" s="1"/>
  <c r="AF36" i="1"/>
  <c r="X36" i="1"/>
  <c r="AI36" i="1" s="1"/>
  <c r="X35" i="1"/>
  <c r="AI35" i="1" s="1"/>
  <c r="AF35" i="1"/>
  <c r="AF40" i="1"/>
  <c r="X40" i="1"/>
  <c r="AI40" i="1" s="1"/>
  <c r="X41" i="1"/>
  <c r="AI41" i="1" s="1"/>
  <c r="AF41" i="1"/>
  <c r="AF39" i="1"/>
  <c r="X39" i="1"/>
  <c r="AI39" i="1" s="1"/>
  <c r="AF14" i="1"/>
  <c r="X14" i="1"/>
  <c r="AI14" i="1" s="1"/>
  <c r="X19" i="1"/>
  <c r="AI19" i="1" s="1"/>
  <c r="AF19" i="1"/>
  <c r="W4" i="1"/>
  <c r="AE29" i="1"/>
  <c r="AD29" i="1"/>
  <c r="AE7" i="1"/>
  <c r="AD7" i="1"/>
  <c r="AE6" i="1"/>
  <c r="AD6" i="1"/>
  <c r="AD31" i="1"/>
  <c r="AE31" i="1"/>
  <c r="AE9" i="1"/>
  <c r="AD9" i="1"/>
  <c r="AE10" i="1"/>
  <c r="AD10" i="1"/>
  <c r="AF13" i="1"/>
  <c r="X13" i="1"/>
  <c r="AI13" i="1" s="1"/>
  <c r="X17" i="1"/>
  <c r="AI17" i="1" s="1"/>
  <c r="AF17" i="1"/>
  <c r="AF18" i="1"/>
  <c r="X18" i="1"/>
  <c r="AI18" i="1" s="1"/>
  <c r="N7" i="1" l="1"/>
  <c r="AG30" i="1"/>
  <c r="AG7" i="1"/>
  <c r="X43" i="1"/>
  <c r="AI43" i="1" s="1"/>
  <c r="AF43" i="1"/>
  <c r="AF21" i="1"/>
  <c r="X21" i="1"/>
  <c r="AI21" i="1" s="1"/>
  <c r="N8" i="1" l="1"/>
  <c r="AG31" i="1"/>
  <c r="AG8" i="1"/>
  <c r="N9" i="1" l="1"/>
  <c r="N11" i="1"/>
  <c r="N13" i="1" s="1"/>
  <c r="N14" i="1" s="1"/>
  <c r="N15" i="1" s="1"/>
  <c r="N17" i="1" s="1"/>
  <c r="N18" i="1" s="1"/>
  <c r="AG32" i="1"/>
  <c r="AG9" i="1"/>
  <c r="N19" i="1" l="1"/>
  <c r="N20" i="1" s="1"/>
  <c r="N21" i="1" s="1"/>
  <c r="N26" i="1" s="1"/>
  <c r="N27" i="1" s="1"/>
  <c r="N28" i="1" s="1"/>
  <c r="N33" i="1" s="1"/>
  <c r="N34" i="1" s="1"/>
  <c r="AG33" i="1"/>
  <c r="AG10" i="1"/>
  <c r="AG34" i="1" l="1"/>
  <c r="AG11" i="1"/>
  <c r="AG35" i="1" l="1"/>
  <c r="AG12" i="1"/>
  <c r="AG36" i="1" l="1"/>
  <c r="AG13" i="1"/>
  <c r="AG37" i="1" l="1"/>
  <c r="AG14" i="1"/>
  <c r="AG38" i="1" l="1"/>
  <c r="AG15" i="1"/>
  <c r="AG39" i="1" l="1"/>
  <c r="AG16" i="1"/>
  <c r="AG40" i="1" l="1"/>
  <c r="AG17" i="1"/>
  <c r="AG41" i="1" l="1"/>
  <c r="AG18" i="1"/>
  <c r="AG42" i="1" l="1"/>
  <c r="AG19" i="1"/>
  <c r="AG43" i="1" l="1"/>
  <c r="AG20" i="1"/>
  <c r="AG21" i="1" l="1"/>
</calcChain>
</file>

<file path=xl/sharedStrings.xml><?xml version="1.0" encoding="utf-8"?>
<sst xmlns="http://schemas.openxmlformats.org/spreadsheetml/2006/main" count="503" uniqueCount="152">
  <si>
    <t>Наименование</t>
  </si>
  <si>
    <t>malzeme</t>
  </si>
  <si>
    <t>Артикул</t>
  </si>
  <si>
    <t>Номенклатура</t>
  </si>
  <si>
    <t>Кол- во</t>
  </si>
  <si>
    <t>Ед.изм</t>
  </si>
  <si>
    <t>завод из готовитель</t>
  </si>
  <si>
    <t>Источник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</si>
  <si>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</si>
  <si>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</si>
  <si>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</si>
  <si>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</si>
  <si>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</si>
  <si>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</si>
  <si>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</si>
  <si>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</si>
  <si>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</si>
  <si>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</si>
  <si>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</si>
  <si>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</si>
  <si>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</si>
  <si>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</si>
  <si>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</si>
  <si>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</si>
  <si>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</si>
  <si>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</si>
  <si>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</si>
  <si>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</si>
  <si>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</si>
  <si>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</si>
  <si>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</si>
  <si>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</si>
  <si>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</si>
  <si>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</si>
  <si>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</si>
  <si>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РЩ LUNA Bar (260924 farhat luna)</t>
  </si>
  <si>
    <t>комплект</t>
  </si>
  <si>
    <t>TEKLED electric</t>
  </si>
  <si>
    <t>260924</t>
  </si>
  <si>
    <t>korpus</t>
  </si>
  <si>
    <t>KORPUS</t>
  </si>
  <si>
    <t>KORPUS_KUCUK</t>
  </si>
  <si>
    <t>projede ABB AT/U 24 IP65 24 modül — sayaç + 27 modül için yetersiz, büyütüldü: KAZTEK ЩУРн-3/48 sayaç pencereli</t>
  </si>
  <si>
    <t>F006</t>
  </si>
  <si>
    <t>sayac</t>
  </si>
  <si>
    <t>OLCU</t>
  </si>
  <si>
    <t>WH — spec poz.5 Schneider iEM3155 doğrudan bağlantı</t>
  </si>
  <si>
    <t>F005</t>
  </si>
  <si>
    <t>oto</t>
  </si>
  <si>
    <t>GIRIS</t>
  </si>
  <si>
    <t>MCB 40A 4P 6kA — spec S204 C40 2CDS254001R0404 birebir (SH204 listede yok)</t>
  </si>
  <si>
    <t>F009</t>
  </si>
  <si>
    <t>CIKIS</t>
  </si>
  <si>
    <t>CB1 B10 2P Освещение</t>
  </si>
  <si>
    <t>F003</t>
  </si>
  <si>
    <t>CB2 B6 2P Подсветка</t>
  </si>
  <si>
    <t>F004</t>
  </si>
  <si>
    <t>YEDEK</t>
  </si>
  <si>
    <t>CB18, CB19 C16 2P резерв (spec S201N C16 → SH201-C16 NA)</t>
  </si>
  <si>
    <t>F001</t>
  </si>
  <si>
    <t>dif</t>
  </si>
  <si>
    <t>CB3–CB14 C16 30mA 2P (spec DS201 C16 A30 → DS301C C16 AC30)</t>
  </si>
  <si>
    <t>F002</t>
  </si>
  <si>
    <t>CB15–CB17 C16 30mA 2P (spec DS201 C16 A30 → DS301C C16 AC30)</t>
  </si>
  <si>
    <t>nbara</t>
  </si>
  <si>
    <t>SARF</t>
  </si>
  <si>
    <t>N barası (otomatik)</t>
  </si>
  <si>
    <t>PE barası (otomatik)</t>
  </si>
  <si>
    <t>kablo</t>
  </si>
  <si>
    <t>ПВ3 1.5 mm² pano içi</t>
  </si>
  <si>
    <t>ПВ3 2.5 mm² pano içi</t>
  </si>
  <si>
    <t>ПВ3 6 mm² pano içi</t>
  </si>
  <si>
    <t>kapak topraklama iletkeni 6 mm²</t>
  </si>
  <si>
    <t>yuksuk</t>
  </si>
  <si>
    <t>yüksük 1.5 mm² · UÇ TİPİ YÜKSÜK teller × 2 uç</t>
  </si>
  <si>
    <t>yüksük 2.5 mm² · UÇ TİPİ YÜKSÜK teller × 2 uç</t>
  </si>
  <si>
    <t>yüksük 6 mm² · UÇ TİPİ YÜKSÜK teller × 2 uç</t>
  </si>
  <si>
    <t>pabuc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</si>
  <si>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</si>
  <si>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</si>
  <si>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</si>
  <si>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</si>
  <si>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</si>
  <si>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</si>
  <si>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</si>
  <si>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ADP Hello Sweetie (260924 farhat luna)</t>
  </si>
  <si>
    <t>spec: Щит учёта и распределения ADP навесной IP40 с монтажной платой — ölçü yok; sayaç + 19 modül → KAZTEK ЩУРн-3/30 sayaç pencereli</t>
  </si>
  <si>
    <t>F007</t>
  </si>
  <si>
    <t>WH — spec: 3-фазный электронный (model yok), doğrudan bağlantı 40A → SAIMAN Дала СА4-Э720 10-100A</t>
  </si>
  <si>
    <t>F008</t>
  </si>
  <si>
    <t>MCB 40A 4P — spec C40A 10кА → S204M-C40 10kA (SH204 listede yok)</t>
  </si>
  <si>
    <t>F010</t>
  </si>
  <si>
    <t>CB1–CB3 B6 2P aydınlatma L1–L3</t>
  </si>
  <si>
    <t>CB12 B10 2P резерв</t>
  </si>
  <si>
    <t>CB4–CB9 C16 30mA 2P P1–P6 (DS301C C16 AC30)</t>
  </si>
  <si>
    <t>CB11 C16 30mA резерв</t>
  </si>
  <si>
    <t>2CDS211103R0164</t>
  </si>
  <si>
    <t>SH 201-C 16 NA</t>
  </si>
  <si>
    <t>abb</t>
  </si>
  <si>
    <t>2CSR255063R1164</t>
  </si>
  <si>
    <t>DS301C C16 AC30</t>
  </si>
  <si>
    <t>PYS-001</t>
  </si>
  <si>
    <t>ABB SH201-B10 NA 1P+N 6kA (listede yok)</t>
  </si>
  <si>
    <t>pys</t>
  </si>
  <si>
    <t>PYS-002</t>
  </si>
  <si>
    <t>ABB SH201-B6 NA 1P+N 6kA (listede yok)</t>
  </si>
  <si>
    <t>PYS-003</t>
  </si>
  <si>
    <t>Счётчик Schneider iEM3155 METSEIEM3155 3ф прямого включения 63A, Modbus (listede yok)</t>
  </si>
  <si>
    <t>716-15020</t>
  </si>
  <si>
    <t>Щит ЩУРн-3/48 окошко (540х600х165) S/U 36 IP31(TS)</t>
  </si>
  <si>
    <t>teksan f</t>
  </si>
  <si>
    <t>716-15015</t>
  </si>
  <si>
    <t>Щит ЩУРн-3/30 окошко (490х540х165) S/U36 IP31(TS)</t>
  </si>
  <si>
    <t>NX</t>
  </si>
  <si>
    <t>Дала СА4-Э720 (3x220/380V 10-100A)</t>
  </si>
  <si>
    <t>saiman</t>
  </si>
  <si>
    <t>2CDS254001R0404</t>
  </si>
  <si>
    <t>S204-C16 40 1 S 204-C 40</t>
  </si>
  <si>
    <t>2CDS274001R0404</t>
  </si>
  <si>
    <t>S 204 C 40</t>
  </si>
  <si>
    <t>м</t>
  </si>
  <si>
    <t>harmony</t>
  </si>
  <si>
    <t>упак</t>
  </si>
  <si>
    <t>ekt</t>
  </si>
  <si>
    <t>151.01.PV3.01,5</t>
  </si>
  <si>
    <t>HARMONY ПВ3 1*1,5</t>
  </si>
  <si>
    <t>311100817</t>
  </si>
  <si>
    <t>Наконечник НШВИ 1,5-8 изолированный 79440 (100шт) КВТ NEW</t>
  </si>
  <si>
    <t>151.01.PV3.02,5</t>
  </si>
  <si>
    <t>HARMONY ПВ3 1*2,5</t>
  </si>
  <si>
    <t>311100820</t>
  </si>
  <si>
    <t>Наконечник НШВИ 2,5-8 изолированный 79443 (100шт) КВТ NEW</t>
  </si>
  <si>
    <t>151.01.PV3.06</t>
  </si>
  <si>
    <t>HARMONY ПВ3 1*6</t>
  </si>
  <si>
    <t>311100826</t>
  </si>
  <si>
    <t>Наконечник НШВИ 6,0-12 изолированный 79449 (100шт) КВТ NEW</t>
  </si>
  <si>
    <t>260100138</t>
  </si>
  <si>
    <t>Наконечник медно-луженный JG - 6 IEK (600)</t>
  </si>
  <si>
    <t>240100162</t>
  </si>
  <si>
    <t>Хомут 2,5х100 черный UNIT (100/500)</t>
  </si>
  <si>
    <t>130200361</t>
  </si>
  <si>
    <t>Шина "N" нулевая 8х12мм комб с изол "Стойка" ШНИ 10-КС-С UNIT (20/300)</t>
  </si>
  <si>
    <t>130200362</t>
  </si>
  <si>
    <t>Шина "N" нулевая 8х12мм комб с изол "Стойка" ШНИ 12-КС-С UNIT (20/200)</t>
  </si>
  <si>
    <t>130200363</t>
  </si>
  <si>
    <t>Шина "N" нулевая 8х12мм комб с изол "Стойка" ШНИ 14-КС-С UNIT (20/200)</t>
  </si>
  <si>
    <t>OK</t>
  </si>
  <si>
    <t>FİYAT YOK</t>
  </si>
  <si>
    <t>ESKİ</t>
  </si>
  <si>
    <t>TARİH YOK</t>
  </si>
  <si>
    <t>EKSİK FİYAT</t>
  </si>
  <si>
    <t>YERLEŞİM: PERDE 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</si>
</sst>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6"/>
  <sheetViews>
    <sheetView tabSelected="1" zoomScaleNormal="100" workbookViewId="0">
      <pane ySplit="1" topLeftCell="A2" activePane="bottomLeft" state="frozen"/>
      <selection pane="bottomLeft" activeCell="F15" sqref="F15"/>
    </sheetView>
  </sheetViews>
  <sheetFormatPr defaultColWidth="8.7109375" defaultRowHeight="15" outlineLevelCol="1" x14ac:dyDescent="0.25"/>
  <cols>
    <col min="1" max="1" width="36.42578125" customWidth="1"/>
    <col min="2" max="2" width="11" customWidth="1"/>
    <col min="3" max="3" width="14" customWidth="1"/>
    <col min="4" max="4" width="72.5703125" customWidth="1"/>
    <col min="5" max="5" width="9.28515625" customWidth="1"/>
    <col min="6" max="6" width="7" customWidth="1"/>
    <col min="7" max="7" width="12" customWidth="1"/>
    <col min="8" max="8" width="22" customWidth="1"/>
    <col min="9" max="11" width="9" hidden="1" customWidth="1" outlineLevel="1"/>
    <col min="12" max="12" width="40" customWidth="1" collapsed="1"/>
    <col min="13" max="14" width="7" hidden="1" customWidth="1" outlineLevel="1"/>
    <col min="15" max="15" width="6" customWidth="1" collapsed="1"/>
    <col min="16" max="35" width="9" hidden="1" customWidth="1" outlineLevel="1"/>
    <col min="36" max="36" width="8.7109375" collapsed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25">
      <c r="A2" s="3" t="s">
        <v>35</v>
      </c>
      <c r="B2" s="4"/>
      <c r="C2" s="4"/>
      <c r="D2" s="3" t="s">
        <v>35</v>
      </c>
      <c r="E2" s="3">
        <v>1</v>
      </c>
      <c r="F2" s="3" t="s">
        <v>36</v>
      </c>
      <c r="G2" s="3" t="s">
        <v>37</v>
      </c>
      <c r="H2" s="3" t="s">
        <v>38</v>
      </c>
    </row>
    <row r="3" spans="1:35" x14ac:dyDescent="0.25">
      <c r="A3" s="5" t="s">
        <v>35</v>
      </c>
      <c r="B3" s="5" t="s">
        <v>39</v>
      </c>
      <c r="C3" s="5" t="s">
        <v>108</v>
      </c>
      <c r="D3" s="5" t="s">
        <v>109</v>
      </c>
      <c r="E3" s="5">
        <v>1</v>
      </c>
      <c r="F3" s="5" t="s">
        <v>82</v>
      </c>
      <c r="G3" s="5" t="s">
        <v>110</v>
      </c>
      <c r="H3" s="5" t="s">
        <v>38</v>
      </c>
      <c r="I3" s="6" t="s">
        <v>40</v>
      </c>
      <c r="J3" s="6" t="s">
        <v>41</v>
      </c>
      <c r="K3" s="7" t="s">
        <v>146</v>
      </c>
      <c r="L3" s="7" t="s">
        <v>42</v>
      </c>
      <c r="M3" s="7" t="s">
        <v>43</v>
      </c>
      <c r="N3" s="7">
        <f>IF(OR($C3="",$C3="FID YOK"),"",IF(ISNUMBER(MATCH($C3,FA_ANA,0)),"",IF(COUNTIF($C$1:$C2,$C3)&gt;0,"",MAX($N$1:$N2)+1)))</f>
        <v>1</v>
      </c>
      <c r="P3" s="7"/>
      <c r="Q3" s="7"/>
      <c r="R3" s="7"/>
      <c r="S3" s="7">
        <f>IF(ISNA(MATCH($C3,FA,0)),0,IF($I3="GIRIS",N(INDEX(F_INKOR,MATCH($C3,FA,0))),0))</f>
        <v>0</v>
      </c>
      <c r="T3" s="7"/>
      <c r="U3" s="7"/>
      <c r="V3" s="7"/>
      <c r="W3" s="7"/>
      <c r="X3" s="7">
        <f>N($E3)*IF($F3="упак",MAX(1,IF(ISNA(MATCH($C3,FA,0)),1,N(INDEX(F_PAKET,MATCH($C3,FA,0))))),1)</f>
        <v>1</v>
      </c>
      <c r="Y3" s="7" t="e">
        <f t="shared" ref="Y3:Y21" si="0">IF(ISNA(MATCH($C3,FA,0)),0,N(INDEX(F_BK,MATCH($C3,FA,0))))</f>
        <v>#REF!</v>
      </c>
      <c r="Z3" s="7" t="e">
        <f>IF(OR(ISNA(MATCH($C3,FA,0)),$I3="YEDEK",$I3="SARF"),0,N($E3)*N(INDEX(F_TEL,MATCH($C3,FA,0))))</f>
        <v>#REF!</v>
      </c>
      <c r="AA3" s="7" t="e">
        <f>IF(OR(ISNA(MATCH($C3,FA,0)),$I3="YEDEK",$I3="SARF"),0,N($E3)*N(INDEX(F_TELM,MATCH($C3,FA,0))))</f>
        <v>#REF!</v>
      </c>
      <c r="AB3" s="7" t="e">
        <f t="shared" ref="AB3:AB21" si="1">IF(ISNA(MATCH($C3,FA,0)),"",INDEX(F_UC,MATCH($C3,FA,0))&amp;"")</f>
        <v>#REF!</v>
      </c>
      <c r="AC3" s="7">
        <f>IF(OR(ISNA(MATCH($C3,FA,0)),$I3&lt;&gt;"CIKIS"),0,N(INDEX(F_KK,MATCH($C3,FA,0))))</f>
        <v>0</v>
      </c>
      <c r="AD3" s="7">
        <f>IF($AC3=0,0,N($E3)*N(INDEX(F_KLN,MATCH($C3,FA,0))))</f>
        <v>0</v>
      </c>
      <c r="AE3" s="7">
        <f>IF($AC3=0,0,N($E3)*N(INDEX(F_KPE,MATCH($C3,FA,0))))</f>
        <v>0</v>
      </c>
      <c r="AF3" s="7" t="e">
        <f>IF(ISNA(MATCH($C3,FA,0)),0,N($E3)*N(INDEX(F_MODUL,MATCH($C3,FA,0))))</f>
        <v>#REF!</v>
      </c>
      <c r="AG3" s="7" t="e">
        <f>N($E3)*N(#REF!)</f>
        <v>#REF!</v>
      </c>
      <c r="AH3" s="7" t="e">
        <f t="shared" ref="AH3:AH21" si="2">IF(ISNA(MATCH($J3,TIP_AD,0)),"YOK",IF(INDEX(NORM_DK,MATCH($J3,TIP_AD,0))="","BOŞ",INDEX(NORM_DK,MATCH($J3,TIP_AD,0))))</f>
        <v>#REF!</v>
      </c>
      <c r="AI3" s="7">
        <f t="shared" ref="AI3:AI21" si="3">IF(ISNUMBER($AH3),$X3*$AH3,0)</f>
        <v>0</v>
      </c>
    </row>
    <row r="4" spans="1:35" x14ac:dyDescent="0.25">
      <c r="A4" s="5" t="s">
        <v>35</v>
      </c>
      <c r="B4" s="5" t="s">
        <v>44</v>
      </c>
      <c r="C4" s="5" t="s">
        <v>106</v>
      </c>
      <c r="D4" s="5" t="s">
        <v>107</v>
      </c>
      <c r="E4" s="5">
        <v>1</v>
      </c>
      <c r="F4" s="5" t="s">
        <v>82</v>
      </c>
      <c r="G4" s="5" t="s">
        <v>103</v>
      </c>
      <c r="H4" s="5" t="s">
        <v>38</v>
      </c>
      <c r="I4" s="6" t="s">
        <v>45</v>
      </c>
      <c r="J4" s="6" t="s">
        <v>44</v>
      </c>
      <c r="K4" s="7" t="s">
        <v>147</v>
      </c>
      <c r="L4" s="7" t="s">
        <v>46</v>
      </c>
      <c r="M4" s="7" t="s">
        <v>47</v>
      </c>
      <c r="N4" s="7">
        <f>IF(OR($C4="",$C4="FID YOK"),"",IF(ISNUMBER(MATCH($C4,FA_ANA,0)),"",IF(COUNTIF($C$1:$C3,$C4)&gt;0,"",MAX($N$1:$N3)+1)))</f>
        <v>2</v>
      </c>
      <c r="O4" s="8">
        <v>1</v>
      </c>
      <c r="P4" s="7" t="e">
        <f>IF(OR($O4="",$O4="G",ISNA(MATCH($C4,FA,0))),"",IF(N(INDEX(F_G,MATCH($C4,FA,0)))&gt;0,INDEX(F_G,MATCH($C4,FA,0)),IF(N(INDEX(F_MODUL,MATCH($C4,FA,0)))&gt;0,INDEX(F_MODUL,MATCH($C4,FA,0))*MODUL_MM,"")))</f>
        <v>#REF!</v>
      </c>
      <c r="Q4" s="7" t="e">
        <f>IF(OR($O4="",$O4="G",ISNA(MATCH($C4,FA,0))),"",IF(N(INDEX(F_Y,MATCH($C4,FA,0)))&gt;0,INDEX(F_Y,MATCH($C4,FA,0)),""))</f>
        <v>#REF!</v>
      </c>
      <c r="R4" s="7" t="e">
        <f>IF(OR($O4="",$O4="G",ISNA(MATCH($C4,FA,0))),"",IF(N(INDEX(F_D,MATCH($C4,FA,0)))&gt;0,INDEX(F_D,MATCH($C4,FA,0)),""))</f>
        <v>#REF!</v>
      </c>
      <c r="S4" s="7">
        <f>IF(ISNA(MATCH($C4,FA,0)),0,IF($I4="GIRIS",N(INDEX(F_INKOR,MATCH($C4,FA,0))),0))</f>
        <v>0</v>
      </c>
      <c r="T4" s="7" t="e">
        <f t="shared" ref="T4:T10" si="4">IF(ISNA(MATCH($B4,TIP_AD,0)),"",INDEX(TIP_KAT,MATCH($B4,TIP_AD,0))&amp;"")</f>
        <v>#REF!</v>
      </c>
      <c r="U4" s="7" t="e">
        <f t="shared" ref="U4:U10" si="5">IF(NOT(ISNUMBER($O4)),"",IF($Y4=0,0,IF(ISNA(MATCH($Y4,BUK_KESIT,0)),"",IF(INDEX(BUK_ALAN,MATCH($Y4,BUK_KESIT,0))&amp;""="","",INDEX(BUK_ALAN,MATCH($Y4,BUK_KESIT,0))))))</f>
        <v>#REF!</v>
      </c>
      <c r="V4" s="7" t="e">
        <f>IF(OR(NOT(ISNUMBER($O4)),$P4=""),"",N($E4)*($P4+IF(ISNA(MATCH($B4,TIP_AD,0)),0,N(INDEX(TIP_BOSLUK,MATCH($B4,TIP_AD,0))))))</f>
        <v>#REF!</v>
      </c>
      <c r="W4" s="7" t="e">
        <f>IF(ISNUMBER($O4),($P4="")+($Q4="")+($U4="")+IF(AND($T4="KONTAKTOR",NOT(ISNA(MATCH($B4,TIP_AD,0)))),IF(INDEX(TIP_BOSLUK,MATCH($B4,TIP_AD,0))&amp;""="",1,0),0),IF($O4="K",IF($R4="",1,0),0))</f>
        <v>#REF!</v>
      </c>
      <c r="X4" s="7">
        <f>N($E4)*IF($F4="упак",MAX(1,IF(ISNA(MATCH($C4,FA,0)),1,N(INDEX(F_PAKET,MATCH($C4,FA,0))))),1)</f>
        <v>1</v>
      </c>
      <c r="Y4" s="7" t="e">
        <f t="shared" si="0"/>
        <v>#REF!</v>
      </c>
      <c r="Z4" s="7" t="e">
        <f>IF(OR(ISNA(MATCH($C4,FA,0)),$I4="YEDEK",$I4="SARF"),0,N($E4)*N(INDEX(F_TEL,MATCH($C4,FA,0))))</f>
        <v>#REF!</v>
      </c>
      <c r="AA4" s="7" t="e">
        <f>IF(OR(ISNA(MATCH($C4,FA,0)),$I4="YEDEK",$I4="SARF"),0,N($E4)*N(INDEX(F_TELM,MATCH($C4,FA,0))))</f>
        <v>#REF!</v>
      </c>
      <c r="AB4" s="7" t="e">
        <f t="shared" si="1"/>
        <v>#REF!</v>
      </c>
      <c r="AC4" s="7">
        <f>IF(OR(ISNA(MATCH($C4,FA,0)),$I4&lt;&gt;"CIKIS"),0,N(INDEX(F_KK,MATCH($C4,FA,0))))</f>
        <v>0</v>
      </c>
      <c r="AD4" s="7">
        <f>IF($AC4=0,0,N($E4)*N(INDEX(F_KLN,MATCH($C4,FA,0))))</f>
        <v>0</v>
      </c>
      <c r="AE4" s="7">
        <f>IF($AC4=0,0,N($E4)*N(INDEX(F_KPE,MATCH($C4,FA,0))))</f>
        <v>0</v>
      </c>
      <c r="AF4" s="7" t="e">
        <f>IF(ISNA(MATCH($C4,FA,0)),0,N($E4)*N(INDEX(F_MODUL,MATCH($C4,FA,0))))</f>
        <v>#REF!</v>
      </c>
      <c r="AG4" s="7" t="e">
        <f>N($E4)*N(#REF!)</f>
        <v>#REF!</v>
      </c>
      <c r="AH4" s="7" t="e">
        <f t="shared" si="2"/>
        <v>#REF!</v>
      </c>
      <c r="AI4" s="7">
        <f t="shared" si="3"/>
        <v>0</v>
      </c>
    </row>
    <row r="5" spans="1:35" x14ac:dyDescent="0.25">
      <c r="A5" s="5" t="s">
        <v>35</v>
      </c>
      <c r="B5" s="5" t="s">
        <v>48</v>
      </c>
      <c r="C5" s="5" t="s">
        <v>116</v>
      </c>
      <c r="D5" s="5" t="s">
        <v>117</v>
      </c>
      <c r="E5" s="5">
        <v>1</v>
      </c>
      <c r="F5" s="5" t="s">
        <v>82</v>
      </c>
      <c r="G5" s="5" t="s">
        <v>98</v>
      </c>
      <c r="H5" s="5" t="s">
        <v>38</v>
      </c>
      <c r="I5" s="6" t="s">
        <v>49</v>
      </c>
      <c r="J5" s="6" t="s">
        <v>48</v>
      </c>
      <c r="K5" s="7" t="s">
        <v>146</v>
      </c>
      <c r="L5" s="7" t="s">
        <v>50</v>
      </c>
      <c r="M5" s="7" t="s">
        <v>51</v>
      </c>
      <c r="N5" s="7">
        <f>IF(OR($C5="",$C5="FID YOK"),"",IF(ISNUMBER(MATCH($C5,FA_ANA,0)),"",IF(COUNTIF($C$1:$C4,$C5)&gt;0,"",MAX($N$1:$N4)+1)))</f>
        <v>3</v>
      </c>
      <c r="O5" s="8">
        <v>2</v>
      </c>
      <c r="P5" s="7" t="e">
        <f>IF(OR($O5="",$O5="G",ISNA(MATCH($C5,FA,0))),"",IF(N(INDEX(F_G,MATCH($C5,FA,0)))&gt;0,INDEX(F_G,MATCH($C5,FA,0)),IF(N(INDEX(F_MODUL,MATCH($C5,FA,0)))&gt;0,INDEX(F_MODUL,MATCH($C5,FA,0))*MODUL_MM,"")))</f>
        <v>#REF!</v>
      </c>
      <c r="Q5" s="7" t="e">
        <f>IF(OR($O5="",$O5="G",ISNA(MATCH($C5,FA,0))),"",IF(N(INDEX(F_Y,MATCH($C5,FA,0)))&gt;0,INDEX(F_Y,MATCH($C5,FA,0)),""))</f>
        <v>#REF!</v>
      </c>
      <c r="R5" s="7" t="e">
        <f>IF(OR($O5="",$O5="G",ISNA(MATCH($C5,FA,0))),"",IF(N(INDEX(F_D,MATCH($C5,FA,0)))&gt;0,INDEX(F_D,MATCH($C5,FA,0)),""))</f>
        <v>#REF!</v>
      </c>
      <c r="S5" s="7" t="e">
        <f>IF(ISNA(MATCH($C5,FA,0)),0,IF($I5="GIRIS",N(INDEX(F_INKOR,MATCH($C5,FA,0))),0))</f>
        <v>#REF!</v>
      </c>
      <c r="T5" s="7" t="e">
        <f t="shared" si="4"/>
        <v>#REF!</v>
      </c>
      <c r="U5" s="7" t="e">
        <f t="shared" si="5"/>
        <v>#REF!</v>
      </c>
      <c r="V5" s="7" t="e">
        <f>IF(OR(NOT(ISNUMBER($O5)),$P5=""),"",N($E5)*($P5+IF(ISNA(MATCH($B5,TIP_AD,0)),0,N(INDEX(TIP_BOSLUK,MATCH($B5,TIP_AD,0))))))</f>
        <v>#REF!</v>
      </c>
      <c r="W5" s="7" t="e">
        <f>IF(ISNUMBER($O5),($P5="")+($Q5="")+($U5="")+IF(AND($T5="KONTAKTOR",NOT(ISNA(MATCH($B5,TIP_AD,0)))),IF(INDEX(TIP_BOSLUK,MATCH($B5,TIP_AD,0))&amp;""="",1,0),0),IF($O5="K",IF($R5="",1,0),0))</f>
        <v>#REF!</v>
      </c>
      <c r="X5" s="7">
        <f>N($E5)*IF($F5="упак",MAX(1,IF(ISNA(MATCH($C5,FA,0)),1,N(INDEX(F_PAKET,MATCH($C5,FA,0))))),1)</f>
        <v>1</v>
      </c>
      <c r="Y5" s="7" t="e">
        <f t="shared" si="0"/>
        <v>#REF!</v>
      </c>
      <c r="Z5" s="7" t="e">
        <f>IF(OR(ISNA(MATCH($C5,FA,0)),$I5="YEDEK",$I5="SARF"),0,N($E5)*N(INDEX(F_TEL,MATCH($C5,FA,0))))</f>
        <v>#REF!</v>
      </c>
      <c r="AA5" s="7" t="e">
        <f>IF(OR(ISNA(MATCH($C5,FA,0)),$I5="YEDEK",$I5="SARF"),0,N($E5)*N(INDEX(F_TELM,MATCH($C5,FA,0))))</f>
        <v>#REF!</v>
      </c>
      <c r="AB5" s="7" t="e">
        <f t="shared" si="1"/>
        <v>#REF!</v>
      </c>
      <c r="AC5" s="7">
        <f>IF(OR(ISNA(MATCH($C5,FA,0)),$I5&lt;&gt;"CIKIS"),0,N(INDEX(F_KK,MATCH($C5,FA,0))))</f>
        <v>0</v>
      </c>
      <c r="AD5" s="7">
        <f>IF($AC5=0,0,N($E5)*N(INDEX(F_KLN,MATCH($C5,FA,0))))</f>
        <v>0</v>
      </c>
      <c r="AE5" s="7">
        <f>IF($AC5=0,0,N($E5)*N(INDEX(F_KPE,MATCH($C5,FA,0))))</f>
        <v>0</v>
      </c>
      <c r="AF5" s="7" t="e">
        <f>IF(ISNA(MATCH($C5,FA,0)),0,N($E5)*N(INDEX(F_MODUL,MATCH($C5,FA,0))))</f>
        <v>#REF!</v>
      </c>
      <c r="AG5" s="7" t="e">
        <f>N($E5)*N(#REF!)</f>
        <v>#REF!</v>
      </c>
      <c r="AH5" s="7" t="e">
        <f t="shared" si="2"/>
        <v>#REF!</v>
      </c>
      <c r="AI5" s="7">
        <f t="shared" si="3"/>
        <v>0</v>
      </c>
    </row>
    <row r="6" spans="1:35" x14ac:dyDescent="0.25">
      <c r="A6" s="5" t="s">
        <v>35</v>
      </c>
      <c r="B6" s="5" t="s">
        <v>48</v>
      </c>
      <c r="C6" s="5" t="s">
        <v>101</v>
      </c>
      <c r="D6" s="5" t="s">
        <v>102</v>
      </c>
      <c r="E6" s="5">
        <v>1</v>
      </c>
      <c r="F6" s="5" t="s">
        <v>82</v>
      </c>
      <c r="G6" s="5" t="s">
        <v>103</v>
      </c>
      <c r="H6" s="5" t="s">
        <v>38</v>
      </c>
      <c r="I6" s="6" t="s">
        <v>52</v>
      </c>
      <c r="J6" s="6" t="s">
        <v>48</v>
      </c>
      <c r="K6" s="7" t="s">
        <v>147</v>
      </c>
      <c r="L6" s="7" t="s">
        <v>53</v>
      </c>
      <c r="M6" s="7" t="s">
        <v>54</v>
      </c>
      <c r="N6" s="7">
        <f>IF(OR($C6="",$C6="FID YOK"),"",IF(ISNUMBER(MATCH($C6,FA_ANA,0)),"",IF(COUNTIF($C$1:$C5,$C6)&gt;0,"",MAX($N$1:$N5)+1)))</f>
        <v>4</v>
      </c>
      <c r="O6" s="8">
        <v>2</v>
      </c>
      <c r="P6" s="7" t="e">
        <f>IF(OR($O6="",$O6="G",ISNA(MATCH($C6,FA,0))),"",IF(N(INDEX(F_G,MATCH($C6,FA,0)))&gt;0,INDEX(F_G,MATCH($C6,FA,0)),IF(N(INDEX(F_MODUL,MATCH($C6,FA,0)))&gt;0,INDEX(F_MODUL,MATCH($C6,FA,0))*MODUL_MM,"")))</f>
        <v>#REF!</v>
      </c>
      <c r="Q6" s="7" t="e">
        <f>IF(OR($O6="",$O6="G",ISNA(MATCH($C6,FA,0))),"",IF(N(INDEX(F_Y,MATCH($C6,FA,0)))&gt;0,INDEX(F_Y,MATCH($C6,FA,0)),""))</f>
        <v>#REF!</v>
      </c>
      <c r="R6" s="7" t="e">
        <f>IF(OR($O6="",$O6="G",ISNA(MATCH($C6,FA,0))),"",IF(N(INDEX(F_D,MATCH($C6,FA,0)))&gt;0,INDEX(F_D,MATCH($C6,FA,0)),""))</f>
        <v>#REF!</v>
      </c>
      <c r="S6" s="7">
        <f>IF(ISNA(MATCH($C6,FA,0)),0,IF($I6="GIRIS",N(INDEX(F_INKOR,MATCH($C6,FA,0))),0))</f>
        <v>0</v>
      </c>
      <c r="T6" s="7" t="e">
        <f t="shared" si="4"/>
        <v>#REF!</v>
      </c>
      <c r="U6" s="7" t="e">
        <f t="shared" si="5"/>
        <v>#REF!</v>
      </c>
      <c r="V6" s="7" t="e">
        <f>IF(OR(NOT(ISNUMBER($O6)),$P6=""),"",N($E6)*($P6+IF(ISNA(MATCH($B6,TIP_AD,0)),0,N(INDEX(TIP_BOSLUK,MATCH($B6,TIP_AD,0))))))</f>
        <v>#REF!</v>
      </c>
      <c r="W6" s="7" t="e">
        <f>IF(ISNUMBER($O6),($P6="")+($Q6="")+($U6="")+IF(AND($T6="KONTAKTOR",NOT(ISNA(MATCH($B6,TIP_AD,0)))),IF(INDEX(TIP_BOSLUK,MATCH($B6,TIP_AD,0))&amp;""="",1,0),0),IF($O6="K",IF($R6="",1,0),0))</f>
        <v>#REF!</v>
      </c>
      <c r="X6" s="7">
        <f>N($E6)*IF($F6="упак",MAX(1,IF(ISNA(MATCH($C6,FA,0)),1,N(INDEX(F_PAKET,MATCH($C6,FA,0))))),1)</f>
        <v>1</v>
      </c>
      <c r="Y6" s="7" t="e">
        <f t="shared" si="0"/>
        <v>#REF!</v>
      </c>
      <c r="Z6" s="7" t="e">
        <f>IF(OR(ISNA(MATCH($C6,FA,0)),$I6="YEDEK",$I6="SARF"),0,N($E6)*N(INDEX(F_TEL,MATCH($C6,FA,0))))</f>
        <v>#REF!</v>
      </c>
      <c r="AA6" s="7" t="e">
        <f>IF(OR(ISNA(MATCH($C6,FA,0)),$I6="YEDEK",$I6="SARF"),0,N($E6)*N(INDEX(F_TELM,MATCH($C6,FA,0))))</f>
        <v>#REF!</v>
      </c>
      <c r="AB6" s="7" t="e">
        <f t="shared" si="1"/>
        <v>#REF!</v>
      </c>
      <c r="AC6" s="7" t="e">
        <f>IF(OR(ISNA(MATCH($C6,FA,0)),$I6&lt;&gt;"CIKIS"),0,N(INDEX(F_KK,MATCH($C6,FA,0))))</f>
        <v>#REF!</v>
      </c>
      <c r="AD6" s="7" t="e">
        <f>IF($AC6=0,0,N($E6)*N(INDEX(F_KLN,MATCH($C6,FA,0))))</f>
        <v>#REF!</v>
      </c>
      <c r="AE6" s="7" t="e">
        <f>IF($AC6=0,0,N($E6)*N(INDEX(F_KPE,MATCH($C6,FA,0))))</f>
        <v>#REF!</v>
      </c>
      <c r="AF6" s="7" t="e">
        <f>IF(ISNA(MATCH($C6,FA,0)),0,N($E6)*N(INDEX(F_MODUL,MATCH($C6,FA,0))))</f>
        <v>#REF!</v>
      </c>
      <c r="AG6" s="7" t="e">
        <f>N($E6)*N(#REF!)</f>
        <v>#REF!</v>
      </c>
      <c r="AH6" s="7" t="e">
        <f t="shared" si="2"/>
        <v>#REF!</v>
      </c>
      <c r="AI6" s="7">
        <f t="shared" si="3"/>
        <v>0</v>
      </c>
    </row>
    <row r="7" spans="1:35" x14ac:dyDescent="0.25">
      <c r="A7" s="5" t="s">
        <v>35</v>
      </c>
      <c r="B7" s="5" t="s">
        <v>48</v>
      </c>
      <c r="C7" s="5" t="s">
        <v>104</v>
      </c>
      <c r="D7" s="5" t="s">
        <v>105</v>
      </c>
      <c r="E7" s="5">
        <v>1</v>
      </c>
      <c r="F7" s="5" t="s">
        <v>82</v>
      </c>
      <c r="G7" s="5" t="s">
        <v>103</v>
      </c>
      <c r="H7" s="5" t="s">
        <v>38</v>
      </c>
      <c r="I7" s="6" t="s">
        <v>52</v>
      </c>
      <c r="J7" s="6" t="s">
        <v>48</v>
      </c>
      <c r="K7" s="7" t="s">
        <v>147</v>
      </c>
      <c r="L7" s="7" t="s">
        <v>55</v>
      </c>
      <c r="M7" s="7" t="s">
        <v>56</v>
      </c>
      <c r="N7" s="7">
        <f>IF(OR($C7="",$C7="FID YOK"),"",IF(ISNUMBER(MATCH($C7,FA_ANA,0)),"",IF(COUNTIF($C$1:$C6,$C7)&gt;0,"",MAX($N$1:$N6)+1)))</f>
        <v>5</v>
      </c>
      <c r="O7" s="8">
        <v>2</v>
      </c>
      <c r="P7" s="7" t="e">
        <f>IF(OR($O7="",$O7="G",ISNA(MATCH($C7,FA,0))),"",IF(N(INDEX(F_G,MATCH($C7,FA,0)))&gt;0,INDEX(F_G,MATCH($C7,FA,0)),IF(N(INDEX(F_MODUL,MATCH($C7,FA,0)))&gt;0,INDEX(F_MODUL,MATCH($C7,FA,0))*MODUL_MM,"")))</f>
        <v>#REF!</v>
      </c>
      <c r="Q7" s="7" t="e">
        <f>IF(OR($O7="",$O7="G",ISNA(MATCH($C7,FA,0))),"",IF(N(INDEX(F_Y,MATCH($C7,FA,0)))&gt;0,INDEX(F_Y,MATCH($C7,FA,0)),""))</f>
        <v>#REF!</v>
      </c>
      <c r="R7" s="7" t="e">
        <f>IF(OR($O7="",$O7="G",ISNA(MATCH($C7,FA,0))),"",IF(N(INDEX(F_D,MATCH($C7,FA,0)))&gt;0,INDEX(F_D,MATCH($C7,FA,0)),""))</f>
        <v>#REF!</v>
      </c>
      <c r="S7" s="7">
        <f>IF(ISNA(MATCH($C7,FA,0)),0,IF($I7="GIRIS",N(INDEX(F_INKOR,MATCH($C7,FA,0))),0))</f>
        <v>0</v>
      </c>
      <c r="T7" s="7" t="e">
        <f t="shared" si="4"/>
        <v>#REF!</v>
      </c>
      <c r="U7" s="7" t="e">
        <f t="shared" si="5"/>
        <v>#REF!</v>
      </c>
      <c r="V7" s="7" t="e">
        <f>IF(OR(NOT(ISNUMBER($O7)),$P7=""),"",N($E7)*($P7+IF(ISNA(MATCH($B7,TIP_AD,0)),0,N(INDEX(TIP_BOSLUK,MATCH($B7,TIP_AD,0))))))</f>
        <v>#REF!</v>
      </c>
      <c r="W7" s="7" t="e">
        <f>IF(ISNUMBER($O7),($P7="")+($Q7="")+($U7="")+IF(AND($T7="KONTAKTOR",NOT(ISNA(MATCH($B7,TIP_AD,0)))),IF(INDEX(TIP_BOSLUK,MATCH($B7,TIP_AD,0))&amp;""="",1,0),0),IF($O7="K",IF($R7="",1,0),0))</f>
        <v>#REF!</v>
      </c>
      <c r="X7" s="7">
        <f>N($E7)*IF($F7="упак",MAX(1,IF(ISNA(MATCH($C7,FA,0)),1,N(INDEX(F_PAKET,MATCH($C7,FA,0))))),1)</f>
        <v>1</v>
      </c>
      <c r="Y7" s="7" t="e">
        <f t="shared" si="0"/>
        <v>#REF!</v>
      </c>
      <c r="Z7" s="7" t="e">
        <f>IF(OR(ISNA(MATCH($C7,FA,0)),$I7="YEDEK",$I7="SARF"),0,N($E7)*N(INDEX(F_TEL,MATCH($C7,FA,0))))</f>
        <v>#REF!</v>
      </c>
      <c r="AA7" s="7" t="e">
        <f>IF(OR(ISNA(MATCH($C7,FA,0)),$I7="YEDEK",$I7="SARF"),0,N($E7)*N(INDEX(F_TELM,MATCH($C7,FA,0))))</f>
        <v>#REF!</v>
      </c>
      <c r="AB7" s="7" t="e">
        <f t="shared" si="1"/>
        <v>#REF!</v>
      </c>
      <c r="AC7" s="7" t="e">
        <f>IF(OR(ISNA(MATCH($C7,FA,0)),$I7&lt;&gt;"CIKIS"),0,N(INDEX(F_KK,MATCH($C7,FA,0))))</f>
        <v>#REF!</v>
      </c>
      <c r="AD7" s="7" t="e">
        <f>IF($AC7=0,0,N($E7)*N(INDEX(F_KLN,MATCH($C7,FA,0))))</f>
        <v>#REF!</v>
      </c>
      <c r="AE7" s="7" t="e">
        <f>IF($AC7=0,0,N($E7)*N(INDEX(F_KPE,MATCH($C7,FA,0))))</f>
        <v>#REF!</v>
      </c>
      <c r="AF7" s="7" t="e">
        <f>IF(ISNA(MATCH($C7,FA,0)),0,N($E7)*N(INDEX(F_MODUL,MATCH($C7,FA,0))))</f>
        <v>#REF!</v>
      </c>
      <c r="AG7" s="7" t="e">
        <f>N($E7)*N(#REF!)</f>
        <v>#REF!</v>
      </c>
      <c r="AH7" s="7" t="e">
        <f t="shared" si="2"/>
        <v>#REF!</v>
      </c>
      <c r="AI7" s="7">
        <f t="shared" si="3"/>
        <v>0</v>
      </c>
    </row>
    <row r="8" spans="1:35" x14ac:dyDescent="0.25">
      <c r="A8" s="5" t="s">
        <v>35</v>
      </c>
      <c r="B8" s="5" t="s">
        <v>48</v>
      </c>
      <c r="C8" s="5" t="s">
        <v>96</v>
      </c>
      <c r="D8" s="5" t="s">
        <v>97</v>
      </c>
      <c r="E8" s="5">
        <v>2</v>
      </c>
      <c r="F8" s="5" t="s">
        <v>82</v>
      </c>
      <c r="G8" s="5" t="s">
        <v>98</v>
      </c>
      <c r="H8" s="5" t="s">
        <v>38</v>
      </c>
      <c r="I8" s="6" t="s">
        <v>57</v>
      </c>
      <c r="J8" s="6" t="s">
        <v>48</v>
      </c>
      <c r="K8" s="7" t="s">
        <v>146</v>
      </c>
      <c r="L8" s="7" t="s">
        <v>58</v>
      </c>
      <c r="M8" s="7" t="s">
        <v>59</v>
      </c>
      <c r="N8" s="7">
        <f>IF(OR($C8="",$C8="FID YOK"),"",IF(ISNUMBER(MATCH($C8,FA_ANA,0)),"",IF(COUNTIF($C$1:$C7,$C8)&gt;0,"",MAX($N$1:$N7)+1)))</f>
        <v>6</v>
      </c>
      <c r="O8" s="8">
        <v>2</v>
      </c>
      <c r="P8" s="7" t="e">
        <f>IF(OR($O8="",$O8="G",ISNA(MATCH($C8,FA,0))),"",IF(N(INDEX(F_G,MATCH($C8,FA,0)))&gt;0,INDEX(F_G,MATCH($C8,FA,0)),IF(N(INDEX(F_MODUL,MATCH($C8,FA,0)))&gt;0,INDEX(F_MODUL,MATCH($C8,FA,0))*MODUL_MM,"")))</f>
        <v>#REF!</v>
      </c>
      <c r="Q8" s="7" t="e">
        <f>IF(OR($O8="",$O8="G",ISNA(MATCH($C8,FA,0))),"",IF(N(INDEX(F_Y,MATCH($C8,FA,0)))&gt;0,INDEX(F_Y,MATCH($C8,FA,0)),""))</f>
        <v>#REF!</v>
      </c>
      <c r="R8" s="7" t="e">
        <f>IF(OR($O8="",$O8="G",ISNA(MATCH($C8,FA,0))),"",IF(N(INDEX(F_D,MATCH($C8,FA,0)))&gt;0,INDEX(F_D,MATCH($C8,FA,0)),""))</f>
        <v>#REF!</v>
      </c>
      <c r="S8" s="7">
        <f>IF(ISNA(MATCH($C8,FA,0)),0,IF($I8="GIRIS",N(INDEX(F_INKOR,MATCH($C8,FA,0))),0))</f>
        <v>0</v>
      </c>
      <c r="T8" s="7" t="e">
        <f t="shared" si="4"/>
        <v>#REF!</v>
      </c>
      <c r="U8" s="7" t="e">
        <f t="shared" si="5"/>
        <v>#REF!</v>
      </c>
      <c r="V8" s="7" t="e">
        <f>IF(OR(NOT(ISNUMBER($O8)),$P8=""),"",N($E8)*($P8+IF(ISNA(MATCH($B8,TIP_AD,0)),0,N(INDEX(TIP_BOSLUK,MATCH($B8,TIP_AD,0))))))</f>
        <v>#REF!</v>
      </c>
      <c r="W8" s="7" t="e">
        <f>IF(ISNUMBER($O8),($P8="")+($Q8="")+($U8="")+IF(AND($T8="KONTAKTOR",NOT(ISNA(MATCH($B8,TIP_AD,0)))),IF(INDEX(TIP_BOSLUK,MATCH($B8,TIP_AD,0))&amp;""="",1,0),0),IF($O8="K",IF($R8="",1,0),0))</f>
        <v>#REF!</v>
      </c>
      <c r="X8" s="7">
        <f>N($E8)*IF($F8="упак",MAX(1,IF(ISNA(MATCH($C8,FA,0)),1,N(INDEX(F_PAKET,MATCH($C8,FA,0))))),1)</f>
        <v>2</v>
      </c>
      <c r="Y8" s="7" t="e">
        <f t="shared" si="0"/>
        <v>#REF!</v>
      </c>
      <c r="Z8" s="7">
        <f>IF(OR(ISNA(MATCH($C8,FA,0)),$I8="YEDEK",$I8="SARF"),0,N($E8)*N(INDEX(F_TEL,MATCH($C8,FA,0))))</f>
        <v>0</v>
      </c>
      <c r="AA8" s="7">
        <f>IF(OR(ISNA(MATCH($C8,FA,0)),$I8="YEDEK",$I8="SARF"),0,N($E8)*N(INDEX(F_TELM,MATCH($C8,FA,0))))</f>
        <v>0</v>
      </c>
      <c r="AB8" s="7" t="e">
        <f t="shared" si="1"/>
        <v>#REF!</v>
      </c>
      <c r="AC8" s="7">
        <f>IF(OR(ISNA(MATCH($C8,FA,0)),$I8&lt;&gt;"CIKIS"),0,N(INDEX(F_KK,MATCH($C8,FA,0))))</f>
        <v>0</v>
      </c>
      <c r="AD8" s="7">
        <f>IF($AC8=0,0,N($E8)*N(INDEX(F_KLN,MATCH($C8,FA,0))))</f>
        <v>0</v>
      </c>
      <c r="AE8" s="7">
        <f>IF($AC8=0,0,N($E8)*N(INDEX(F_KPE,MATCH($C8,FA,0))))</f>
        <v>0</v>
      </c>
      <c r="AF8" s="7" t="e">
        <f>IF(ISNA(MATCH($C8,FA,0)),0,N($E8)*N(INDEX(F_MODUL,MATCH($C8,FA,0))))</f>
        <v>#REF!</v>
      </c>
      <c r="AG8" s="7" t="e">
        <f>N($E8)*N(#REF!)</f>
        <v>#REF!</v>
      </c>
      <c r="AH8" s="7" t="e">
        <f t="shared" si="2"/>
        <v>#REF!</v>
      </c>
      <c r="AI8" s="7">
        <f t="shared" si="3"/>
        <v>0</v>
      </c>
    </row>
    <row r="9" spans="1:35" x14ac:dyDescent="0.25">
      <c r="A9" s="5" t="s">
        <v>35</v>
      </c>
      <c r="B9" s="5" t="s">
        <v>60</v>
      </c>
      <c r="C9" s="5" t="s">
        <v>99</v>
      </c>
      <c r="D9" s="5" t="s">
        <v>100</v>
      </c>
      <c r="E9" s="5">
        <v>12</v>
      </c>
      <c r="F9" s="5" t="s">
        <v>82</v>
      </c>
      <c r="G9" s="5" t="s">
        <v>98</v>
      </c>
      <c r="H9" s="5" t="s">
        <v>38</v>
      </c>
      <c r="I9" s="6" t="s">
        <v>52</v>
      </c>
      <c r="J9" s="6" t="s">
        <v>60</v>
      </c>
      <c r="K9" s="7" t="s">
        <v>146</v>
      </c>
      <c r="L9" s="7" t="s">
        <v>61</v>
      </c>
      <c r="M9" s="7" t="s">
        <v>62</v>
      </c>
      <c r="N9" s="7">
        <f>IF(OR($C9="",$C9="FID YOK"),"",IF(ISNUMBER(MATCH($C9,FA_ANA,0)),"",IF(COUNTIF($C$1:$C8,$C9)&gt;0,"",MAX($N$1:$N8)+1)))</f>
        <v>7</v>
      </c>
      <c r="O9" s="8">
        <v>2</v>
      </c>
      <c r="P9" s="7" t="e">
        <f>IF(OR($O9="",$O9="G",ISNA(MATCH($C9,FA,0))),"",IF(N(INDEX(F_G,MATCH($C9,FA,0)))&gt;0,INDEX(F_G,MATCH($C9,FA,0)),IF(N(INDEX(F_MODUL,MATCH($C9,FA,0)))&gt;0,INDEX(F_MODUL,MATCH($C9,FA,0))*MODUL_MM,"")))</f>
        <v>#REF!</v>
      </c>
      <c r="Q9" s="7" t="e">
        <f>IF(OR($O9="",$O9="G",ISNA(MATCH($C9,FA,0))),"",IF(N(INDEX(F_Y,MATCH($C9,FA,0)))&gt;0,INDEX(F_Y,MATCH($C9,FA,0)),""))</f>
        <v>#REF!</v>
      </c>
      <c r="R9" s="7" t="e">
        <f>IF(OR($O9="",$O9="G",ISNA(MATCH($C9,FA,0))),"",IF(N(INDEX(F_D,MATCH($C9,FA,0)))&gt;0,INDEX(F_D,MATCH($C9,FA,0)),""))</f>
        <v>#REF!</v>
      </c>
      <c r="S9" s="7">
        <f>IF(ISNA(MATCH($C9,FA,0)),0,IF($I9="GIRIS",N(INDEX(F_INKOR,MATCH($C9,FA,0))),0))</f>
        <v>0</v>
      </c>
      <c r="T9" s="7" t="e">
        <f t="shared" si="4"/>
        <v>#REF!</v>
      </c>
      <c r="U9" s="7" t="e">
        <f t="shared" si="5"/>
        <v>#REF!</v>
      </c>
      <c r="V9" s="7" t="e">
        <f>IF(OR(NOT(ISNUMBER($O9)),$P9=""),"",N($E9)*($P9+IF(ISNA(MATCH($B9,TIP_AD,0)),0,N(INDEX(TIP_BOSLUK,MATCH($B9,TIP_AD,0))))))</f>
        <v>#REF!</v>
      </c>
      <c r="W9" s="7" t="e">
        <f>IF(ISNUMBER($O9),($P9="")+($Q9="")+($U9="")+IF(AND($T9="KONTAKTOR",NOT(ISNA(MATCH($B9,TIP_AD,0)))),IF(INDEX(TIP_BOSLUK,MATCH($B9,TIP_AD,0))&amp;""="",1,0),0),IF($O9="K",IF($R9="",1,0),0))</f>
        <v>#REF!</v>
      </c>
      <c r="X9" s="7">
        <f>N($E9)*IF($F9="упак",MAX(1,IF(ISNA(MATCH($C9,FA,0)),1,N(INDEX(F_PAKET,MATCH($C9,FA,0))))),1)</f>
        <v>12</v>
      </c>
      <c r="Y9" s="7" t="e">
        <f t="shared" si="0"/>
        <v>#REF!</v>
      </c>
      <c r="Z9" s="7" t="e">
        <f>IF(OR(ISNA(MATCH($C9,FA,0)),$I9="YEDEK",$I9="SARF"),0,N($E9)*N(INDEX(F_TEL,MATCH($C9,FA,0))))</f>
        <v>#REF!</v>
      </c>
      <c r="AA9" s="7" t="e">
        <f>IF(OR(ISNA(MATCH($C9,FA,0)),$I9="YEDEK",$I9="SARF"),0,N($E9)*N(INDEX(F_TELM,MATCH($C9,FA,0))))</f>
        <v>#REF!</v>
      </c>
      <c r="AB9" s="7" t="e">
        <f t="shared" si="1"/>
        <v>#REF!</v>
      </c>
      <c r="AC9" s="7" t="e">
        <f>IF(OR(ISNA(MATCH($C9,FA,0)),$I9&lt;&gt;"CIKIS"),0,N(INDEX(F_KK,MATCH($C9,FA,0))))</f>
        <v>#REF!</v>
      </c>
      <c r="AD9" s="7" t="e">
        <f>IF($AC9=0,0,N($E9)*N(INDEX(F_KLN,MATCH($C9,FA,0))))</f>
        <v>#REF!</v>
      </c>
      <c r="AE9" s="7" t="e">
        <f>IF($AC9=0,0,N($E9)*N(INDEX(F_KPE,MATCH($C9,FA,0))))</f>
        <v>#REF!</v>
      </c>
      <c r="AF9" s="7" t="e">
        <f>IF(ISNA(MATCH($C9,FA,0)),0,N($E9)*N(INDEX(F_MODUL,MATCH($C9,FA,0))))</f>
        <v>#REF!</v>
      </c>
      <c r="AG9" s="7" t="e">
        <f>N($E9)*N(#REF!)</f>
        <v>#REF!</v>
      </c>
      <c r="AH9" s="7" t="e">
        <f t="shared" si="2"/>
        <v>#REF!</v>
      </c>
      <c r="AI9" s="7">
        <f t="shared" si="3"/>
        <v>0</v>
      </c>
    </row>
    <row r="10" spans="1:35" x14ac:dyDescent="0.25">
      <c r="A10" s="5" t="s">
        <v>35</v>
      </c>
      <c r="B10" s="5" t="s">
        <v>60</v>
      </c>
      <c r="C10" s="5" t="s">
        <v>99</v>
      </c>
      <c r="D10" s="5" t="s">
        <v>100</v>
      </c>
      <c r="E10" s="5">
        <v>3</v>
      </c>
      <c r="F10" s="5" t="s">
        <v>82</v>
      </c>
      <c r="G10" s="5" t="s">
        <v>98</v>
      </c>
      <c r="H10" s="5" t="s">
        <v>38</v>
      </c>
      <c r="I10" s="6" t="s">
        <v>52</v>
      </c>
      <c r="J10" s="6" t="s">
        <v>60</v>
      </c>
      <c r="K10" s="7" t="s">
        <v>146</v>
      </c>
      <c r="L10" s="7" t="s">
        <v>63</v>
      </c>
      <c r="M10" s="7" t="s">
        <v>62</v>
      </c>
      <c r="N10" s="7" t="str">
        <f>IF(OR($C10="",$C10="FID YOK"),"",IF(ISNUMBER(MATCH($C10,FA_ANA,0)),"",IF(COUNTIF($C$1:$C9,$C10)&gt;0,"",MAX($N$1:$N9)+1)))</f>
        <v/>
      </c>
      <c r="O10" s="8">
        <v>3</v>
      </c>
      <c r="P10" s="7" t="e">
        <f>IF(OR($O10="",$O10="G",ISNA(MATCH($C10,FA,0))),"",IF(N(INDEX(F_G,MATCH($C10,FA,0)))&gt;0,INDEX(F_G,MATCH($C10,FA,0)),IF(N(INDEX(F_MODUL,MATCH($C10,FA,0)))&gt;0,INDEX(F_MODUL,MATCH($C10,FA,0))*MODUL_MM,"")))</f>
        <v>#REF!</v>
      </c>
      <c r="Q10" s="7" t="e">
        <f>IF(OR($O10="",$O10="G",ISNA(MATCH($C10,FA,0))),"",IF(N(INDEX(F_Y,MATCH($C10,FA,0)))&gt;0,INDEX(F_Y,MATCH($C10,FA,0)),""))</f>
        <v>#REF!</v>
      </c>
      <c r="R10" s="7" t="e">
        <f>IF(OR($O10="",$O10="G",ISNA(MATCH($C10,FA,0))),"",IF(N(INDEX(F_D,MATCH($C10,FA,0)))&gt;0,INDEX(F_D,MATCH($C10,FA,0)),""))</f>
        <v>#REF!</v>
      </c>
      <c r="S10" s="7">
        <f>IF(ISNA(MATCH($C10,FA,0)),0,IF($I10="GIRIS",N(INDEX(F_INKOR,MATCH($C10,FA,0))),0))</f>
        <v>0</v>
      </c>
      <c r="T10" s="7" t="e">
        <f t="shared" si="4"/>
        <v>#REF!</v>
      </c>
      <c r="U10" s="7" t="e">
        <f t="shared" si="5"/>
        <v>#REF!</v>
      </c>
      <c r="V10" s="7" t="e">
        <f>IF(OR(NOT(ISNUMBER($O10)),$P10=""),"",N($E10)*($P10+IF(ISNA(MATCH($B10,TIP_AD,0)),0,N(INDEX(TIP_BOSLUK,MATCH($B10,TIP_AD,0))))))</f>
        <v>#REF!</v>
      </c>
      <c r="W10" s="7" t="e">
        <f>IF(ISNUMBER($O10),($P10="")+($Q10="")+($U10="")+IF(AND($T10="KONTAKTOR",NOT(ISNA(MATCH($B10,TIP_AD,0)))),IF(INDEX(TIP_BOSLUK,MATCH($B10,TIP_AD,0))&amp;""="",1,0),0),IF($O10="K",IF($R10="",1,0),0))</f>
        <v>#REF!</v>
      </c>
      <c r="X10" s="7">
        <f>N($E10)*IF($F10="упак",MAX(1,IF(ISNA(MATCH($C10,FA,0)),1,N(INDEX(F_PAKET,MATCH($C10,FA,0))))),1)</f>
        <v>3</v>
      </c>
      <c r="Y10" s="7" t="e">
        <f t="shared" si="0"/>
        <v>#REF!</v>
      </c>
      <c r="Z10" s="7" t="e">
        <f>IF(OR(ISNA(MATCH($C10,FA,0)),$I10="YEDEK",$I10="SARF"),0,N($E10)*N(INDEX(F_TEL,MATCH($C10,FA,0))))</f>
        <v>#REF!</v>
      </c>
      <c r="AA10" s="7" t="e">
        <f>IF(OR(ISNA(MATCH($C10,FA,0)),$I10="YEDEK",$I10="SARF"),0,N($E10)*N(INDEX(F_TELM,MATCH($C10,FA,0))))</f>
        <v>#REF!</v>
      </c>
      <c r="AB10" s="7" t="e">
        <f t="shared" si="1"/>
        <v>#REF!</v>
      </c>
      <c r="AC10" s="7" t="e">
        <f>IF(OR(ISNA(MATCH($C10,FA,0)),$I10&lt;&gt;"CIKIS"),0,N(INDEX(F_KK,MATCH($C10,FA,0))))</f>
        <v>#REF!</v>
      </c>
      <c r="AD10" s="7" t="e">
        <f>IF($AC10=0,0,N($E10)*N(INDEX(F_KLN,MATCH($C10,FA,0))))</f>
        <v>#REF!</v>
      </c>
      <c r="AE10" s="7" t="e">
        <f>IF($AC10=0,0,N($E10)*N(INDEX(F_KPE,MATCH($C10,FA,0))))</f>
        <v>#REF!</v>
      </c>
      <c r="AF10" s="7" t="e">
        <f>IF(ISNA(MATCH($C10,FA,0)),0,N($E10)*N(INDEX(F_MODUL,MATCH($C10,FA,0))))</f>
        <v>#REF!</v>
      </c>
      <c r="AG10" s="7" t="e">
        <f>N($E10)*N(#REF!)</f>
        <v>#REF!</v>
      </c>
      <c r="AH10" s="7" t="e">
        <f t="shared" si="2"/>
        <v>#REF!</v>
      </c>
      <c r="AI10" s="7">
        <f t="shared" si="3"/>
        <v>0</v>
      </c>
    </row>
    <row r="11" spans="1:35" x14ac:dyDescent="0.25">
      <c r="A11" s="5" t="s">
        <v>35</v>
      </c>
      <c r="B11" s="5" t="s">
        <v>64</v>
      </c>
      <c r="C11" s="5" t="s">
        <v>144</v>
      </c>
      <c r="D11" s="5" t="s">
        <v>145</v>
      </c>
      <c r="E11" s="5">
        <v>2</v>
      </c>
      <c r="F11" s="5" t="s">
        <v>82</v>
      </c>
      <c r="G11" s="5" t="s">
        <v>123</v>
      </c>
      <c r="H11" s="5" t="s">
        <v>38</v>
      </c>
      <c r="I11" s="6" t="s">
        <v>65</v>
      </c>
      <c r="J11" s="6" t="s">
        <v>64</v>
      </c>
      <c r="K11" s="7" t="s">
        <v>148</v>
      </c>
      <c r="L11" s="7" t="s">
        <v>66</v>
      </c>
      <c r="N11" s="7">
        <f>IF(OR($C11="",$C11="FID YOK"),"",IF(ISNUMBER(MATCH($C11,FA_ANA,0)),"",IF(COUNTIF($C$1:$C10,$C11)&gt;0,"",MAX($N$1:$N10)+1)))</f>
        <v>8</v>
      </c>
      <c r="S11" s="7">
        <f>IF(ISNA(MATCH($C11,FA,0)),0,IF($I11="GIRIS",N(INDEX(F_INKOR,MATCH($C11,FA,0))),0))</f>
        <v>0</v>
      </c>
      <c r="X11" s="7">
        <f>N($E11)*IF($F11="упак",MAX(1,IF(ISNA(MATCH($C11,FA,0)),1,N(INDEX(F_PAKET,MATCH($C11,FA,0))))),1)</f>
        <v>2</v>
      </c>
      <c r="Y11" s="7" t="e">
        <f t="shared" si="0"/>
        <v>#REF!</v>
      </c>
      <c r="Z11" s="7">
        <f>IF(OR(ISNA(MATCH($C11,FA,0)),$I11="YEDEK",$I11="SARF"),0,N($E11)*N(INDEX(F_TEL,MATCH($C11,FA,0))))</f>
        <v>0</v>
      </c>
      <c r="AA11" s="7">
        <f>IF(OR(ISNA(MATCH($C11,FA,0)),$I11="YEDEK",$I11="SARF"),0,N($E11)*N(INDEX(F_TELM,MATCH($C11,FA,0))))</f>
        <v>0</v>
      </c>
      <c r="AB11" s="7" t="e">
        <f t="shared" si="1"/>
        <v>#REF!</v>
      </c>
      <c r="AC11" s="7">
        <f>IF(OR(ISNA(MATCH($C11,FA,0)),$I11&lt;&gt;"CIKIS"),0,N(INDEX(F_KK,MATCH($C11,FA,0))))</f>
        <v>0</v>
      </c>
      <c r="AD11" s="7">
        <f>IF($AC11=0,0,N($E11)*N(INDEX(F_KLN,MATCH($C11,FA,0))))</f>
        <v>0</v>
      </c>
      <c r="AE11" s="7">
        <f>IF($AC11=0,0,N($E11)*N(INDEX(F_KPE,MATCH($C11,FA,0))))</f>
        <v>0</v>
      </c>
      <c r="AF11" s="7" t="e">
        <f>IF(ISNA(MATCH($C11,FA,0)),0,N($E11)*N(INDEX(F_MODUL,MATCH($C11,FA,0))))</f>
        <v>#REF!</v>
      </c>
      <c r="AG11" s="7" t="e">
        <f>N($E11)*N(#REF!)</f>
        <v>#REF!</v>
      </c>
      <c r="AH11" s="7" t="e">
        <f t="shared" si="2"/>
        <v>#REF!</v>
      </c>
      <c r="AI11" s="7">
        <f t="shared" si="3"/>
        <v>0</v>
      </c>
    </row>
    <row r="12" spans="1:35" x14ac:dyDescent="0.25">
      <c r="A12" s="5" t="s">
        <v>35</v>
      </c>
      <c r="B12" s="5" t="s">
        <v>64</v>
      </c>
      <c r="C12" s="5" t="s">
        <v>144</v>
      </c>
      <c r="D12" s="5" t="s">
        <v>145</v>
      </c>
      <c r="E12" s="5">
        <v>2</v>
      </c>
      <c r="F12" s="5" t="s">
        <v>82</v>
      </c>
      <c r="G12" s="5" t="s">
        <v>123</v>
      </c>
      <c r="H12" s="5" t="s">
        <v>38</v>
      </c>
      <c r="I12" s="6" t="s">
        <v>65</v>
      </c>
      <c r="J12" s="6" t="s">
        <v>64</v>
      </c>
      <c r="K12" s="7" t="s">
        <v>148</v>
      </c>
      <c r="L12" s="7" t="s">
        <v>67</v>
      </c>
      <c r="N12" s="7" t="str">
        <f>IF(OR($C12="",$C12="FID YOK"),"",IF(ISNUMBER(MATCH($C12,FA_ANA,0)),"",IF(COUNTIF($C$1:$C11,$C12)&gt;0,"",MAX($N$1:$N11)+1)))</f>
        <v/>
      </c>
      <c r="S12" s="7">
        <f>IF(ISNA(MATCH($C12,FA,0)),0,IF($I12="GIRIS",N(INDEX(F_INKOR,MATCH($C12,FA,0))),0))</f>
        <v>0</v>
      </c>
      <c r="X12" s="7">
        <f>N($E12)*IF($F12="упак",MAX(1,IF(ISNA(MATCH($C12,FA,0)),1,N(INDEX(F_PAKET,MATCH($C12,FA,0))))),1)</f>
        <v>2</v>
      </c>
      <c r="Y12" s="7" t="e">
        <f t="shared" si="0"/>
        <v>#REF!</v>
      </c>
      <c r="Z12" s="7">
        <f>IF(OR(ISNA(MATCH($C12,FA,0)),$I12="YEDEK",$I12="SARF"),0,N($E12)*N(INDEX(F_TEL,MATCH($C12,FA,0))))</f>
        <v>0</v>
      </c>
      <c r="AA12" s="7">
        <f>IF(OR(ISNA(MATCH($C12,FA,0)),$I12="YEDEK",$I12="SARF"),0,N($E12)*N(INDEX(F_TELM,MATCH($C12,FA,0))))</f>
        <v>0</v>
      </c>
      <c r="AB12" s="7" t="e">
        <f t="shared" si="1"/>
        <v>#REF!</v>
      </c>
      <c r="AC12" s="7">
        <f>IF(OR(ISNA(MATCH($C12,FA,0)),$I12&lt;&gt;"CIKIS"),0,N(INDEX(F_KK,MATCH($C12,FA,0))))</f>
        <v>0</v>
      </c>
      <c r="AD12" s="7">
        <f>IF($AC12=0,0,N($E12)*N(INDEX(F_KLN,MATCH($C12,FA,0))))</f>
        <v>0</v>
      </c>
      <c r="AE12" s="7">
        <f>IF($AC12=0,0,N($E12)*N(INDEX(F_KPE,MATCH($C12,FA,0))))</f>
        <v>0</v>
      </c>
      <c r="AF12" s="7" t="e">
        <f>IF(ISNA(MATCH($C12,FA,0)),0,N($E12)*N(INDEX(F_MODUL,MATCH($C12,FA,0))))</f>
        <v>#REF!</v>
      </c>
      <c r="AG12" s="7" t="e">
        <f>N($E12)*N(#REF!)</f>
        <v>#REF!</v>
      </c>
      <c r="AH12" s="7" t="e">
        <f t="shared" si="2"/>
        <v>#REF!</v>
      </c>
      <c r="AI12" s="7">
        <f t="shared" si="3"/>
        <v>0</v>
      </c>
    </row>
    <row r="13" spans="1:35" x14ac:dyDescent="0.25">
      <c r="A13" s="5" t="s">
        <v>35</v>
      </c>
      <c r="B13" s="5" t="s">
        <v>68</v>
      </c>
      <c r="C13" s="5" t="s">
        <v>124</v>
      </c>
      <c r="D13" s="5" t="s">
        <v>125</v>
      </c>
      <c r="E13" s="5">
        <v>0.7</v>
      </c>
      <c r="F13" s="5" t="s">
        <v>120</v>
      </c>
      <c r="G13" s="5" t="s">
        <v>121</v>
      </c>
      <c r="H13" s="5" t="s">
        <v>38</v>
      </c>
      <c r="I13" s="6" t="s">
        <v>65</v>
      </c>
      <c r="J13" s="6" t="s">
        <v>68</v>
      </c>
      <c r="K13" s="7" t="s">
        <v>149</v>
      </c>
      <c r="L13" s="7" t="s">
        <v>69</v>
      </c>
      <c r="N13" s="7">
        <f>IF(OR($C13="",$C13="FID YOK"),"",IF(ISNUMBER(MATCH($C13,FA_ANA,0)),"",IF(COUNTIF($C$1:$C12,$C13)&gt;0,"",MAX($N$1:$N12)+1)))</f>
        <v>9</v>
      </c>
      <c r="S13" s="7">
        <f>IF(ISNA(MATCH($C13,FA,0)),0,IF($I13="GIRIS",N(INDEX(F_INKOR,MATCH($C13,FA,0))),0))</f>
        <v>0</v>
      </c>
      <c r="X13" s="7">
        <f>N($E13)*IF($F13="упак",MAX(1,IF(ISNA(MATCH($C13,FA,0)),1,N(INDEX(F_PAKET,MATCH($C13,FA,0))))),1)</f>
        <v>0.7</v>
      </c>
      <c r="Y13" s="7" t="e">
        <f t="shared" si="0"/>
        <v>#REF!</v>
      </c>
      <c r="Z13" s="7">
        <f>IF(OR(ISNA(MATCH($C13,FA,0)),$I13="YEDEK",$I13="SARF"),0,N($E13)*N(INDEX(F_TEL,MATCH($C13,FA,0))))</f>
        <v>0</v>
      </c>
      <c r="AA13" s="7">
        <f>IF(OR(ISNA(MATCH($C13,FA,0)),$I13="YEDEK",$I13="SARF"),0,N($E13)*N(INDEX(F_TELM,MATCH($C13,FA,0))))</f>
        <v>0</v>
      </c>
      <c r="AB13" s="7" t="e">
        <f t="shared" si="1"/>
        <v>#REF!</v>
      </c>
      <c r="AC13" s="7">
        <f>IF(OR(ISNA(MATCH($C13,FA,0)),$I13&lt;&gt;"CIKIS"),0,N(INDEX(F_KK,MATCH($C13,FA,0))))</f>
        <v>0</v>
      </c>
      <c r="AD13" s="7">
        <f>IF($AC13=0,0,N($E13)*N(INDEX(F_KLN,MATCH($C13,FA,0))))</f>
        <v>0</v>
      </c>
      <c r="AE13" s="7">
        <f>IF($AC13=0,0,N($E13)*N(INDEX(F_KPE,MATCH($C13,FA,0))))</f>
        <v>0</v>
      </c>
      <c r="AF13" s="7" t="e">
        <f>IF(ISNA(MATCH($C13,FA,0)),0,N($E13)*N(INDEX(F_MODUL,MATCH($C13,FA,0))))</f>
        <v>#REF!</v>
      </c>
      <c r="AG13" s="7" t="e">
        <f>N($E13)*N(#REF!)</f>
        <v>#REF!</v>
      </c>
      <c r="AH13" s="7" t="e">
        <f t="shared" si="2"/>
        <v>#REF!</v>
      </c>
      <c r="AI13" s="7">
        <f t="shared" si="3"/>
        <v>0</v>
      </c>
    </row>
    <row r="14" spans="1:35" x14ac:dyDescent="0.25">
      <c r="A14" s="5" t="s">
        <v>35</v>
      </c>
      <c r="B14" s="5" t="s">
        <v>68</v>
      </c>
      <c r="C14" s="5" t="s">
        <v>128</v>
      </c>
      <c r="D14" s="5" t="s">
        <v>129</v>
      </c>
      <c r="E14" s="5">
        <v>20.6</v>
      </c>
      <c r="F14" s="5" t="s">
        <v>120</v>
      </c>
      <c r="G14" s="5" t="s">
        <v>121</v>
      </c>
      <c r="H14" s="5" t="s">
        <v>38</v>
      </c>
      <c r="I14" s="6" t="s">
        <v>65</v>
      </c>
      <c r="J14" s="6" t="s">
        <v>68</v>
      </c>
      <c r="K14" s="7" t="s">
        <v>149</v>
      </c>
      <c r="L14" s="7" t="s">
        <v>70</v>
      </c>
      <c r="N14" s="7">
        <f>IF(OR($C14="",$C14="FID YOK"),"",IF(ISNUMBER(MATCH($C14,FA_ANA,0)),"",IF(COUNTIF($C$1:$C13,$C14)&gt;0,"",MAX($N$1:$N13)+1)))</f>
        <v>10</v>
      </c>
      <c r="S14" s="7">
        <f>IF(ISNA(MATCH($C14,FA,0)),0,IF($I14="GIRIS",N(INDEX(F_INKOR,MATCH($C14,FA,0))),0))</f>
        <v>0</v>
      </c>
      <c r="X14" s="7">
        <f>N($E14)*IF($F14="упак",MAX(1,IF(ISNA(MATCH($C14,FA,0)),1,N(INDEX(F_PAKET,MATCH($C14,FA,0))))),1)</f>
        <v>20.6</v>
      </c>
      <c r="Y14" s="7" t="e">
        <f t="shared" si="0"/>
        <v>#REF!</v>
      </c>
      <c r="Z14" s="7">
        <f>IF(OR(ISNA(MATCH($C14,FA,0)),$I14="YEDEK",$I14="SARF"),0,N($E14)*N(INDEX(F_TEL,MATCH($C14,FA,0))))</f>
        <v>0</v>
      </c>
      <c r="AA14" s="7">
        <f>IF(OR(ISNA(MATCH($C14,FA,0)),$I14="YEDEK",$I14="SARF"),0,N($E14)*N(INDEX(F_TELM,MATCH($C14,FA,0))))</f>
        <v>0</v>
      </c>
      <c r="AB14" s="7" t="e">
        <f t="shared" si="1"/>
        <v>#REF!</v>
      </c>
      <c r="AC14" s="7">
        <f>IF(OR(ISNA(MATCH($C14,FA,0)),$I14&lt;&gt;"CIKIS"),0,N(INDEX(F_KK,MATCH($C14,FA,0))))</f>
        <v>0</v>
      </c>
      <c r="AD14" s="7">
        <f>IF($AC14=0,0,N($E14)*N(INDEX(F_KLN,MATCH($C14,FA,0))))</f>
        <v>0</v>
      </c>
      <c r="AE14" s="7">
        <f>IF($AC14=0,0,N($E14)*N(INDEX(F_KPE,MATCH($C14,FA,0))))</f>
        <v>0</v>
      </c>
      <c r="AF14" s="7" t="e">
        <f>IF(ISNA(MATCH($C14,FA,0)),0,N($E14)*N(INDEX(F_MODUL,MATCH($C14,FA,0))))</f>
        <v>#REF!</v>
      </c>
      <c r="AG14" s="7" t="e">
        <f>N($E14)*N(#REF!)</f>
        <v>#REF!</v>
      </c>
      <c r="AH14" s="7" t="e">
        <f t="shared" si="2"/>
        <v>#REF!</v>
      </c>
      <c r="AI14" s="7">
        <f t="shared" si="3"/>
        <v>0</v>
      </c>
    </row>
    <row r="15" spans="1:35" x14ac:dyDescent="0.25">
      <c r="A15" s="5" t="s">
        <v>35</v>
      </c>
      <c r="B15" s="5" t="s">
        <v>68</v>
      </c>
      <c r="C15" s="5" t="s">
        <v>132</v>
      </c>
      <c r="D15" s="5" t="s">
        <v>133</v>
      </c>
      <c r="E15" s="5">
        <v>0.9</v>
      </c>
      <c r="F15" s="5" t="s">
        <v>120</v>
      </c>
      <c r="G15" s="5" t="s">
        <v>121</v>
      </c>
      <c r="H15" s="5" t="s">
        <v>38</v>
      </c>
      <c r="I15" s="6" t="s">
        <v>65</v>
      </c>
      <c r="J15" s="6" t="s">
        <v>68</v>
      </c>
      <c r="K15" s="7" t="s">
        <v>149</v>
      </c>
      <c r="L15" s="7" t="s">
        <v>71</v>
      </c>
      <c r="N15" s="7">
        <f>IF(OR($C15="",$C15="FID YOK"),"",IF(ISNUMBER(MATCH($C15,FA_ANA,0)),"",IF(COUNTIF($C$1:$C14,$C15)&gt;0,"",MAX($N$1:$N14)+1)))</f>
        <v>11</v>
      </c>
      <c r="S15" s="7">
        <f>IF(ISNA(MATCH($C15,FA,0)),0,IF($I15="GIRIS",N(INDEX(F_INKOR,MATCH($C15,FA,0))),0))</f>
        <v>0</v>
      </c>
      <c r="X15" s="7">
        <f>N($E15)*IF($F15="упак",MAX(1,IF(ISNA(MATCH($C15,FA,0)),1,N(INDEX(F_PAKET,MATCH($C15,FA,0))))),1)</f>
        <v>0.9</v>
      </c>
      <c r="Y15" s="7" t="e">
        <f t="shared" si="0"/>
        <v>#REF!</v>
      </c>
      <c r="Z15" s="7">
        <f>IF(OR(ISNA(MATCH($C15,FA,0)),$I15="YEDEK",$I15="SARF"),0,N($E15)*N(INDEX(F_TEL,MATCH($C15,FA,0))))</f>
        <v>0</v>
      </c>
      <c r="AA15" s="7">
        <f>IF(OR(ISNA(MATCH($C15,FA,0)),$I15="YEDEK",$I15="SARF"),0,N($E15)*N(INDEX(F_TELM,MATCH($C15,FA,0))))</f>
        <v>0</v>
      </c>
      <c r="AB15" s="7" t="e">
        <f t="shared" si="1"/>
        <v>#REF!</v>
      </c>
      <c r="AC15" s="7">
        <f>IF(OR(ISNA(MATCH($C15,FA,0)),$I15&lt;&gt;"CIKIS"),0,N(INDEX(F_KK,MATCH($C15,FA,0))))</f>
        <v>0</v>
      </c>
      <c r="AD15" s="7">
        <f>IF($AC15=0,0,N($E15)*N(INDEX(F_KLN,MATCH($C15,FA,0))))</f>
        <v>0</v>
      </c>
      <c r="AE15" s="7">
        <f>IF($AC15=0,0,N($E15)*N(INDEX(F_KPE,MATCH($C15,FA,0))))</f>
        <v>0</v>
      </c>
      <c r="AF15" s="7" t="e">
        <f>IF(ISNA(MATCH($C15,FA,0)),0,N($E15)*N(INDEX(F_MODUL,MATCH($C15,FA,0))))</f>
        <v>#REF!</v>
      </c>
      <c r="AG15" s="7" t="e">
        <f>N($E15)*N(#REF!)</f>
        <v>#REF!</v>
      </c>
      <c r="AH15" s="7" t="e">
        <f t="shared" si="2"/>
        <v>#REF!</v>
      </c>
      <c r="AI15" s="7">
        <f t="shared" si="3"/>
        <v>0</v>
      </c>
    </row>
    <row r="16" spans="1:35" x14ac:dyDescent="0.25">
      <c r="A16" s="5" t="s">
        <v>35</v>
      </c>
      <c r="B16" s="5" t="s">
        <v>68</v>
      </c>
      <c r="C16" s="5" t="s">
        <v>132</v>
      </c>
      <c r="D16" s="5" t="s">
        <v>133</v>
      </c>
      <c r="E16" s="5">
        <v>0.5</v>
      </c>
      <c r="F16" s="5" t="s">
        <v>120</v>
      </c>
      <c r="G16" s="5" t="s">
        <v>121</v>
      </c>
      <c r="H16" s="5" t="s">
        <v>38</v>
      </c>
      <c r="I16" s="6" t="s">
        <v>65</v>
      </c>
      <c r="J16" s="6" t="s">
        <v>68</v>
      </c>
      <c r="K16" s="7" t="s">
        <v>149</v>
      </c>
      <c r="L16" s="7" t="s">
        <v>72</v>
      </c>
      <c r="N16" s="7" t="str">
        <f>IF(OR($C16="",$C16="FID YOK"),"",IF(ISNUMBER(MATCH($C16,FA_ANA,0)),"",IF(COUNTIF($C$1:$C15,$C16)&gt;0,"",MAX($N$1:$N15)+1)))</f>
        <v/>
      </c>
      <c r="S16" s="7">
        <f>IF(ISNA(MATCH($C16,FA,0)),0,IF($I16="GIRIS",N(INDEX(F_INKOR,MATCH($C16,FA,0))),0))</f>
        <v>0</v>
      </c>
      <c r="X16" s="7">
        <f>N($E16)*IF($F16="упак",MAX(1,IF(ISNA(MATCH($C16,FA,0)),1,N(INDEX(F_PAKET,MATCH($C16,FA,0))))),1)</f>
        <v>0.5</v>
      </c>
      <c r="Y16" s="7" t="e">
        <f t="shared" si="0"/>
        <v>#REF!</v>
      </c>
      <c r="Z16" s="7">
        <f>IF(OR(ISNA(MATCH($C16,FA,0)),$I16="YEDEK",$I16="SARF"),0,N($E16)*N(INDEX(F_TEL,MATCH($C16,FA,0))))</f>
        <v>0</v>
      </c>
      <c r="AA16" s="7">
        <f>IF(OR(ISNA(MATCH($C16,FA,0)),$I16="YEDEK",$I16="SARF"),0,N($E16)*N(INDEX(F_TELM,MATCH($C16,FA,0))))</f>
        <v>0</v>
      </c>
      <c r="AB16" s="7" t="e">
        <f t="shared" si="1"/>
        <v>#REF!</v>
      </c>
      <c r="AC16" s="7">
        <f>IF(OR(ISNA(MATCH($C16,FA,0)),$I16&lt;&gt;"CIKIS"),0,N(INDEX(F_KK,MATCH($C16,FA,0))))</f>
        <v>0</v>
      </c>
      <c r="AD16" s="7">
        <f>IF($AC16=0,0,N($E16)*N(INDEX(F_KLN,MATCH($C16,FA,0))))</f>
        <v>0</v>
      </c>
      <c r="AE16" s="7">
        <f>IF($AC16=0,0,N($E16)*N(INDEX(F_KPE,MATCH($C16,FA,0))))</f>
        <v>0</v>
      </c>
      <c r="AF16" s="7" t="e">
        <f>IF(ISNA(MATCH($C16,FA,0)),0,N($E16)*N(INDEX(F_MODUL,MATCH($C16,FA,0))))</f>
        <v>#REF!</v>
      </c>
      <c r="AG16" s="7" t="e">
        <f>N($E16)*N(#REF!)</f>
        <v>#REF!</v>
      </c>
      <c r="AH16" s="7" t="e">
        <f t="shared" si="2"/>
        <v>#REF!</v>
      </c>
      <c r="AI16" s="7">
        <f t="shared" si="3"/>
        <v>0</v>
      </c>
    </row>
    <row r="17" spans="1:35" x14ac:dyDescent="0.25">
      <c r="A17" s="5" t="s">
        <v>35</v>
      </c>
      <c r="B17" s="5" t="s">
        <v>73</v>
      </c>
      <c r="C17" s="5" t="s">
        <v>126</v>
      </c>
      <c r="D17" s="5" t="s">
        <v>127</v>
      </c>
      <c r="E17" s="5">
        <v>1</v>
      </c>
      <c r="F17" s="5" t="s">
        <v>122</v>
      </c>
      <c r="G17" s="5" t="s">
        <v>123</v>
      </c>
      <c r="H17" s="5" t="s">
        <v>38</v>
      </c>
      <c r="I17" s="6" t="s">
        <v>65</v>
      </c>
      <c r="J17" s="6" t="s">
        <v>73</v>
      </c>
      <c r="K17" s="7" t="s">
        <v>148</v>
      </c>
      <c r="L17" s="7" t="s">
        <v>74</v>
      </c>
      <c r="N17" s="7">
        <f>IF(OR($C17="",$C17="FID YOK"),"",IF(ISNUMBER(MATCH($C17,FA_ANA,0)),"",IF(COUNTIF($C$1:$C16,$C17)&gt;0,"",MAX($N$1:$N16)+1)))</f>
        <v>12</v>
      </c>
      <c r="S17" s="7">
        <f>IF(ISNA(MATCH($C17,FA,0)),0,IF($I17="GIRIS",N(INDEX(F_INKOR,MATCH($C17,FA,0))),0))</f>
        <v>0</v>
      </c>
      <c r="X17" s="7" t="e">
        <f>N($E17)*IF($F17="упак",MAX(1,IF(ISNA(MATCH($C17,FA,0)),1,N(INDEX(F_PAKET,MATCH($C17,FA,0))))),1)</f>
        <v>#REF!</v>
      </c>
      <c r="Y17" s="7" t="e">
        <f t="shared" si="0"/>
        <v>#REF!</v>
      </c>
      <c r="Z17" s="7">
        <f>IF(OR(ISNA(MATCH($C17,FA,0)),$I17="YEDEK",$I17="SARF"),0,N($E17)*N(INDEX(F_TEL,MATCH($C17,FA,0))))</f>
        <v>0</v>
      </c>
      <c r="AA17" s="7">
        <f>IF(OR(ISNA(MATCH($C17,FA,0)),$I17="YEDEK",$I17="SARF"),0,N($E17)*N(INDEX(F_TELM,MATCH($C17,FA,0))))</f>
        <v>0</v>
      </c>
      <c r="AB17" s="7" t="e">
        <f t="shared" si="1"/>
        <v>#REF!</v>
      </c>
      <c r="AC17" s="7">
        <f>IF(OR(ISNA(MATCH($C17,FA,0)),$I17&lt;&gt;"CIKIS"),0,N(INDEX(F_KK,MATCH($C17,FA,0))))</f>
        <v>0</v>
      </c>
      <c r="AD17" s="7">
        <f>IF($AC17=0,0,N($E17)*N(INDEX(F_KLN,MATCH($C17,FA,0))))</f>
        <v>0</v>
      </c>
      <c r="AE17" s="7">
        <f>IF($AC17=0,0,N($E17)*N(INDEX(F_KPE,MATCH($C17,FA,0))))</f>
        <v>0</v>
      </c>
      <c r="AF17" s="7" t="e">
        <f>IF(ISNA(MATCH($C17,FA,0)),0,N($E17)*N(INDEX(F_MODUL,MATCH($C17,FA,0))))</f>
        <v>#REF!</v>
      </c>
      <c r="AG17" s="7" t="e">
        <f>N($E17)*N(#REF!)</f>
        <v>#REF!</v>
      </c>
      <c r="AH17" s="7" t="e">
        <f t="shared" si="2"/>
        <v>#REF!</v>
      </c>
      <c r="AI17" s="7">
        <f t="shared" si="3"/>
        <v>0</v>
      </c>
    </row>
    <row r="18" spans="1:35" x14ac:dyDescent="0.25">
      <c r="A18" s="5" t="s">
        <v>35</v>
      </c>
      <c r="B18" s="5" t="s">
        <v>73</v>
      </c>
      <c r="C18" s="5" t="s">
        <v>130</v>
      </c>
      <c r="D18" s="5" t="s">
        <v>131</v>
      </c>
      <c r="E18" s="5">
        <v>2</v>
      </c>
      <c r="F18" s="5" t="s">
        <v>122</v>
      </c>
      <c r="G18" s="5" t="s">
        <v>123</v>
      </c>
      <c r="H18" s="5" t="s">
        <v>38</v>
      </c>
      <c r="I18" s="6" t="s">
        <v>65</v>
      </c>
      <c r="J18" s="6" t="s">
        <v>73</v>
      </c>
      <c r="K18" s="7" t="s">
        <v>148</v>
      </c>
      <c r="L18" s="7" t="s">
        <v>75</v>
      </c>
      <c r="N18" s="7">
        <f>IF(OR($C18="",$C18="FID YOK"),"",IF(ISNUMBER(MATCH($C18,FA_ANA,0)),"",IF(COUNTIF($C$1:$C17,$C18)&gt;0,"",MAX($N$1:$N17)+1)))</f>
        <v>13</v>
      </c>
      <c r="S18" s="7">
        <f>IF(ISNA(MATCH($C18,FA,0)),0,IF($I18="GIRIS",N(INDEX(F_INKOR,MATCH($C18,FA,0))),0))</f>
        <v>0</v>
      </c>
      <c r="X18" s="7" t="e">
        <f>N($E18)*IF($F18="упак",MAX(1,IF(ISNA(MATCH($C18,FA,0)),1,N(INDEX(F_PAKET,MATCH($C18,FA,0))))),1)</f>
        <v>#REF!</v>
      </c>
      <c r="Y18" s="7" t="e">
        <f t="shared" si="0"/>
        <v>#REF!</v>
      </c>
      <c r="Z18" s="7">
        <f>IF(OR(ISNA(MATCH($C18,FA,0)),$I18="YEDEK",$I18="SARF"),0,N($E18)*N(INDEX(F_TEL,MATCH($C18,FA,0))))</f>
        <v>0</v>
      </c>
      <c r="AA18" s="7">
        <f>IF(OR(ISNA(MATCH($C18,FA,0)),$I18="YEDEK",$I18="SARF"),0,N($E18)*N(INDEX(F_TELM,MATCH($C18,FA,0))))</f>
        <v>0</v>
      </c>
      <c r="AB18" s="7" t="e">
        <f t="shared" si="1"/>
        <v>#REF!</v>
      </c>
      <c r="AC18" s="7">
        <f>IF(OR(ISNA(MATCH($C18,FA,0)),$I18&lt;&gt;"CIKIS"),0,N(INDEX(F_KK,MATCH($C18,FA,0))))</f>
        <v>0</v>
      </c>
      <c r="AD18" s="7">
        <f>IF($AC18=0,0,N($E18)*N(INDEX(F_KLN,MATCH($C18,FA,0))))</f>
        <v>0</v>
      </c>
      <c r="AE18" s="7">
        <f>IF($AC18=0,0,N($E18)*N(INDEX(F_KPE,MATCH($C18,FA,0))))</f>
        <v>0</v>
      </c>
      <c r="AF18" s="7" t="e">
        <f>IF(ISNA(MATCH($C18,FA,0)),0,N($E18)*N(INDEX(F_MODUL,MATCH($C18,FA,0))))</f>
        <v>#REF!</v>
      </c>
      <c r="AG18" s="7" t="e">
        <f>N($E18)*N(#REF!)</f>
        <v>#REF!</v>
      </c>
      <c r="AH18" s="7" t="e">
        <f t="shared" si="2"/>
        <v>#REF!</v>
      </c>
      <c r="AI18" s="7">
        <f t="shared" si="3"/>
        <v>0</v>
      </c>
    </row>
    <row r="19" spans="1:35" x14ac:dyDescent="0.25">
      <c r="A19" s="5" t="s">
        <v>35</v>
      </c>
      <c r="B19" s="5" t="s">
        <v>73</v>
      </c>
      <c r="C19" s="5" t="s">
        <v>134</v>
      </c>
      <c r="D19" s="5" t="s">
        <v>135</v>
      </c>
      <c r="E19" s="5">
        <v>1</v>
      </c>
      <c r="F19" s="5" t="s">
        <v>122</v>
      </c>
      <c r="G19" s="5" t="s">
        <v>123</v>
      </c>
      <c r="H19" s="5" t="s">
        <v>38</v>
      </c>
      <c r="I19" s="6" t="s">
        <v>65</v>
      </c>
      <c r="J19" s="6" t="s">
        <v>73</v>
      </c>
      <c r="K19" s="7" t="s">
        <v>148</v>
      </c>
      <c r="L19" s="7" t="s">
        <v>76</v>
      </c>
      <c r="N19" s="7">
        <f>IF(OR($C19="",$C19="FID YOK"),"",IF(ISNUMBER(MATCH($C19,FA_ANA,0)),"",IF(COUNTIF($C$1:$C18,$C19)&gt;0,"",MAX($N$1:$N18)+1)))</f>
        <v>14</v>
      </c>
      <c r="S19" s="7">
        <f>IF(ISNA(MATCH($C19,FA,0)),0,IF($I19="GIRIS",N(INDEX(F_INKOR,MATCH($C19,FA,0))),0))</f>
        <v>0</v>
      </c>
      <c r="X19" s="7" t="e">
        <f>N($E19)*IF($F19="упак",MAX(1,IF(ISNA(MATCH($C19,FA,0)),1,N(INDEX(F_PAKET,MATCH($C19,FA,0))))),1)</f>
        <v>#REF!</v>
      </c>
      <c r="Y19" s="7" t="e">
        <f t="shared" si="0"/>
        <v>#REF!</v>
      </c>
      <c r="Z19" s="7">
        <f>IF(OR(ISNA(MATCH($C19,FA,0)),$I19="YEDEK",$I19="SARF"),0,N($E19)*N(INDEX(F_TEL,MATCH($C19,FA,0))))</f>
        <v>0</v>
      </c>
      <c r="AA19" s="7">
        <f>IF(OR(ISNA(MATCH($C19,FA,0)),$I19="YEDEK",$I19="SARF"),0,N($E19)*N(INDEX(F_TELM,MATCH($C19,FA,0))))</f>
        <v>0</v>
      </c>
      <c r="AB19" s="7" t="e">
        <f t="shared" si="1"/>
        <v>#REF!</v>
      </c>
      <c r="AC19" s="7">
        <f>IF(OR(ISNA(MATCH($C19,FA,0)),$I19&lt;&gt;"CIKIS"),0,N(INDEX(F_KK,MATCH($C19,FA,0))))</f>
        <v>0</v>
      </c>
      <c r="AD19" s="7">
        <f>IF($AC19=0,0,N($E19)*N(INDEX(F_KLN,MATCH($C19,FA,0))))</f>
        <v>0</v>
      </c>
      <c r="AE19" s="7">
        <f>IF($AC19=0,0,N($E19)*N(INDEX(F_KPE,MATCH($C19,FA,0))))</f>
        <v>0</v>
      </c>
      <c r="AF19" s="7" t="e">
        <f>IF(ISNA(MATCH($C19,FA,0)),0,N($E19)*N(INDEX(F_MODUL,MATCH($C19,FA,0))))</f>
        <v>#REF!</v>
      </c>
      <c r="AG19" s="7" t="e">
        <f>N($E19)*N(#REF!)</f>
        <v>#REF!</v>
      </c>
      <c r="AH19" s="7" t="e">
        <f t="shared" si="2"/>
        <v>#REF!</v>
      </c>
      <c r="AI19" s="7">
        <f t="shared" si="3"/>
        <v>0</v>
      </c>
    </row>
    <row r="20" spans="1:35" x14ac:dyDescent="0.25">
      <c r="A20" s="5" t="s">
        <v>35</v>
      </c>
      <c r="B20" s="5" t="s">
        <v>77</v>
      </c>
      <c r="C20" s="5" t="s">
        <v>136</v>
      </c>
      <c r="D20" s="5" t="s">
        <v>137</v>
      </c>
      <c r="E20" s="5">
        <v>2</v>
      </c>
      <c r="F20" s="5" t="s">
        <v>82</v>
      </c>
      <c r="G20" s="5" t="s">
        <v>123</v>
      </c>
      <c r="H20" s="5" t="s">
        <v>38</v>
      </c>
      <c r="I20" s="6" t="s">
        <v>65</v>
      </c>
      <c r="J20" s="6" t="s">
        <v>77</v>
      </c>
      <c r="K20" s="7" t="s">
        <v>148</v>
      </c>
      <c r="L20" s="7" t="s">
        <v>78</v>
      </c>
      <c r="N20" s="7">
        <f>IF(OR($C20="",$C20="FID YOK"),"",IF(ISNUMBER(MATCH($C20,FA_ANA,0)),"",IF(COUNTIF($C$1:$C19,$C20)&gt;0,"",MAX($N$1:$N19)+1)))</f>
        <v>15</v>
      </c>
      <c r="S20" s="7">
        <f>IF(ISNA(MATCH($C20,FA,0)),0,IF($I20="GIRIS",N(INDEX(F_INKOR,MATCH($C20,FA,0))),0))</f>
        <v>0</v>
      </c>
      <c r="X20" s="7">
        <f>N($E20)*IF($F20="упак",MAX(1,IF(ISNA(MATCH($C20,FA,0)),1,N(INDEX(F_PAKET,MATCH($C20,FA,0))))),1)</f>
        <v>2</v>
      </c>
      <c r="Y20" s="7" t="e">
        <f t="shared" si="0"/>
        <v>#REF!</v>
      </c>
      <c r="Z20" s="7">
        <f>IF(OR(ISNA(MATCH($C20,FA,0)),$I20="YEDEK",$I20="SARF"),0,N($E20)*N(INDEX(F_TEL,MATCH($C20,FA,0))))</f>
        <v>0</v>
      </c>
      <c r="AA20" s="7">
        <f>IF(OR(ISNA(MATCH($C20,FA,0)),$I20="YEDEK",$I20="SARF"),0,N($E20)*N(INDEX(F_TELM,MATCH($C20,FA,0))))</f>
        <v>0</v>
      </c>
      <c r="AB20" s="7" t="e">
        <f t="shared" si="1"/>
        <v>#REF!</v>
      </c>
      <c r="AC20" s="7">
        <f>IF(OR(ISNA(MATCH($C20,FA,0)),$I20&lt;&gt;"CIKIS"),0,N(INDEX(F_KK,MATCH($C20,FA,0))))</f>
        <v>0</v>
      </c>
      <c r="AD20" s="7">
        <f>IF($AC20=0,0,N($E20)*N(INDEX(F_KLN,MATCH($C20,FA,0))))</f>
        <v>0</v>
      </c>
      <c r="AE20" s="7">
        <f>IF($AC20=0,0,N($E20)*N(INDEX(F_KPE,MATCH($C20,FA,0))))</f>
        <v>0</v>
      </c>
      <c r="AF20" s="7" t="e">
        <f>IF(ISNA(MATCH($C20,FA,0)),0,N($E20)*N(INDEX(F_MODUL,MATCH($C20,FA,0))))</f>
        <v>#REF!</v>
      </c>
      <c r="AG20" s="7" t="e">
        <f>N($E20)*N(#REF!)</f>
        <v>#REF!</v>
      </c>
      <c r="AH20" s="7" t="e">
        <f t="shared" si="2"/>
        <v>#REF!</v>
      </c>
      <c r="AI20" s="7">
        <f t="shared" si="3"/>
        <v>0</v>
      </c>
    </row>
    <row r="21" spans="1:35" x14ac:dyDescent="0.25">
      <c r="A21" s="5" t="s">
        <v>35</v>
      </c>
      <c r="B21" s="5" t="s">
        <v>79</v>
      </c>
      <c r="C21" s="5" t="s">
        <v>138</v>
      </c>
      <c r="D21" s="5" t="s">
        <v>139</v>
      </c>
      <c r="E21" s="5">
        <v>1</v>
      </c>
      <c r="F21" s="5" t="s">
        <v>122</v>
      </c>
      <c r="G21" s="5" t="s">
        <v>123</v>
      </c>
      <c r="H21" s="5" t="s">
        <v>38</v>
      </c>
      <c r="I21" s="6" t="s">
        <v>65</v>
      </c>
      <c r="J21" s="6" t="s">
        <v>79</v>
      </c>
      <c r="K21" s="7" t="s">
        <v>148</v>
      </c>
      <c r="L21" s="7" t="s">
        <v>80</v>
      </c>
      <c r="N21" s="7">
        <f>IF(OR($C21="",$C21="FID YOK"),"",IF(ISNUMBER(MATCH($C21,FA_ANA,0)),"",IF(COUNTIF($C$1:$C20,$C21)&gt;0,"",MAX($N$1:$N20)+1)))</f>
        <v>16</v>
      </c>
      <c r="S21" s="7">
        <f>IF(ISNA(MATCH($C21,FA,0)),0,IF($I21="GIRIS",N(INDEX(F_INKOR,MATCH($C21,FA,0))),0))</f>
        <v>0</v>
      </c>
      <c r="X21" s="7" t="e">
        <f>N($E21)*IF($F21="упак",MAX(1,IF(ISNA(MATCH($C21,FA,0)),1,N(INDEX(F_PAKET,MATCH($C21,FA,0))))),1)</f>
        <v>#REF!</v>
      </c>
      <c r="Y21" s="7" t="e">
        <f t="shared" si="0"/>
        <v>#REF!</v>
      </c>
      <c r="Z21" s="7">
        <f>IF(OR(ISNA(MATCH($C21,FA,0)),$I21="YEDEK",$I21="SARF"),0,N($E21)*N(INDEX(F_TEL,MATCH($C21,FA,0))))</f>
        <v>0</v>
      </c>
      <c r="AA21" s="7">
        <f>IF(OR(ISNA(MATCH($C21,FA,0)),$I21="YEDEK",$I21="SARF"),0,N($E21)*N(INDEX(F_TELM,MATCH($C21,FA,0))))</f>
        <v>0</v>
      </c>
      <c r="AB21" s="7" t="e">
        <f t="shared" si="1"/>
        <v>#REF!</v>
      </c>
      <c r="AC21" s="7">
        <f>IF(OR(ISNA(MATCH($C21,FA,0)),$I21&lt;&gt;"CIKIS"),0,N(INDEX(F_KK,MATCH($C21,FA,0))))</f>
        <v>0</v>
      </c>
      <c r="AD21" s="7">
        <f>IF($AC21=0,0,N($E21)*N(INDEX(F_KLN,MATCH($C21,FA,0))))</f>
        <v>0</v>
      </c>
      <c r="AE21" s="7">
        <f>IF($AC21=0,0,N($E21)*N(INDEX(F_KPE,MATCH($C21,FA,0))))</f>
        <v>0</v>
      </c>
      <c r="AF21" s="7" t="e">
        <f>IF(ISNA(MATCH($C21,FA,0)),0,N($E21)*N(INDEX(F_MODUL,MATCH($C21,FA,0))))</f>
        <v>#REF!</v>
      </c>
      <c r="AG21" s="7" t="e">
        <f>N($E21)*N(#REF!)</f>
        <v>#REF!</v>
      </c>
      <c r="AH21" s="7" t="e">
        <f t="shared" si="2"/>
        <v>#REF!</v>
      </c>
      <c r="AI21" s="7">
        <f t="shared" si="3"/>
        <v>0</v>
      </c>
    </row>
    <row r="22" spans="1:35" x14ac:dyDescent="0.25">
      <c r="A22" s="5" t="s">
        <v>35</v>
      </c>
      <c r="B22" s="5" t="s">
        <v>81</v>
      </c>
      <c r="C22" s="5" t="s">
        <v>81</v>
      </c>
      <c r="D22" s="5" t="s">
        <v>81</v>
      </c>
      <c r="E22" s="5">
        <v>1</v>
      </c>
      <c r="F22" s="5" t="s">
        <v>82</v>
      </c>
      <c r="G22" s="5" t="s">
        <v>81</v>
      </c>
      <c r="H22" s="5" t="s">
        <v>38</v>
      </c>
    </row>
    <row r="23" spans="1:35" x14ac:dyDescent="0.25">
      <c r="A23" s="5" t="s">
        <v>35</v>
      </c>
      <c r="B23" s="5" t="s">
        <v>83</v>
      </c>
      <c r="C23" s="5" t="s">
        <v>83</v>
      </c>
      <c r="D23" s="5" t="s">
        <v>83</v>
      </c>
      <c r="E23" s="5">
        <v>184.2</v>
      </c>
      <c r="F23" s="5" t="s">
        <v>84</v>
      </c>
      <c r="G23" s="5" t="s">
        <v>83</v>
      </c>
      <c r="H23" s="5" t="s">
        <v>38</v>
      </c>
    </row>
    <row r="24" spans="1:35" x14ac:dyDescent="0.25">
      <c r="A24" s="5" t="s">
        <v>35</v>
      </c>
      <c r="B24" s="9"/>
      <c r="C24" s="9"/>
      <c r="D24" s="9"/>
      <c r="E24" s="9"/>
      <c r="F24" s="9"/>
      <c r="G24" s="9"/>
      <c r="H24" s="5" t="s">
        <v>38</v>
      </c>
      <c r="K24" s="6" t="s">
        <v>150</v>
      </c>
      <c r="L24" s="6" t="s">
        <v>151</v>
      </c>
    </row>
    <row r="25" spans="1:35" x14ac:dyDescent="0.25">
      <c r="A25" s="3" t="s">
        <v>85</v>
      </c>
      <c r="B25" s="4"/>
      <c r="C25" s="4"/>
      <c r="D25" s="3" t="s">
        <v>85</v>
      </c>
      <c r="E25" s="3">
        <v>1</v>
      </c>
      <c r="F25" s="3" t="s">
        <v>36</v>
      </c>
      <c r="G25" s="3" t="s">
        <v>37</v>
      </c>
      <c r="H25" s="3" t="s">
        <v>38</v>
      </c>
    </row>
    <row r="26" spans="1:35" x14ac:dyDescent="0.25">
      <c r="A26" s="5" t="s">
        <v>85</v>
      </c>
      <c r="B26" s="5" t="s">
        <v>39</v>
      </c>
      <c r="C26" s="5" t="s">
        <v>111</v>
      </c>
      <c r="D26" s="5" t="s">
        <v>112</v>
      </c>
      <c r="E26" s="5">
        <v>1</v>
      </c>
      <c r="F26" s="5" t="s">
        <v>82</v>
      </c>
      <c r="G26" s="5" t="s">
        <v>110</v>
      </c>
      <c r="H26" s="5" t="s">
        <v>38</v>
      </c>
      <c r="I26" s="6" t="s">
        <v>40</v>
      </c>
      <c r="J26" s="6" t="s">
        <v>41</v>
      </c>
      <c r="K26" s="7" t="s">
        <v>146</v>
      </c>
      <c r="L26" s="7" t="s">
        <v>86</v>
      </c>
      <c r="M26" s="7" t="s">
        <v>87</v>
      </c>
      <c r="N26" s="7">
        <f>IF(OR($C26="",$C26="FID YOK"),"",IF(ISNUMBER(MATCH($C26,FA_ANA,0)),"",IF(COUNTIF($C$1:$C25,$C26)&gt;0,"",MAX($N$1:$N25)+1)))</f>
        <v>17</v>
      </c>
      <c r="P26" s="7"/>
      <c r="Q26" s="7"/>
      <c r="R26" s="7"/>
      <c r="S26" s="7">
        <f>IF(ISNA(MATCH($C26,FA,0)),0,IF($I26="GIRIS",N(INDEX(F_INKOR,MATCH($C26,FA,0))),0))</f>
        <v>0</v>
      </c>
      <c r="T26" s="7"/>
      <c r="U26" s="7"/>
      <c r="V26" s="7"/>
      <c r="W26" s="7"/>
      <c r="X26" s="7">
        <f>N($E26)*IF($F26="упак",MAX(1,IF(ISNA(MATCH($C26,FA,0)),1,N(INDEX(F_PAKET,MATCH($C26,FA,0))))),1)</f>
        <v>1</v>
      </c>
      <c r="Y26" s="7" t="e">
        <f t="shared" ref="Y26:Y43" si="6">IF(ISNA(MATCH($C26,FA,0)),0,N(INDEX(F_BK,MATCH($C26,FA,0))))</f>
        <v>#REF!</v>
      </c>
      <c r="Z26" s="7" t="e">
        <f>IF(OR(ISNA(MATCH($C26,FA,0)),$I26="YEDEK",$I26="SARF"),0,N($E26)*N(INDEX(F_TEL,MATCH($C26,FA,0))))</f>
        <v>#REF!</v>
      </c>
      <c r="AA26" s="7" t="e">
        <f>IF(OR(ISNA(MATCH($C26,FA,0)),$I26="YEDEK",$I26="SARF"),0,N($E26)*N(INDEX(F_TELM,MATCH($C26,FA,0))))</f>
        <v>#REF!</v>
      </c>
      <c r="AB26" s="7" t="e">
        <f t="shared" ref="AB26:AB43" si="7">IF(ISNA(MATCH($C26,FA,0)),"",INDEX(F_UC,MATCH($C26,FA,0))&amp;"")</f>
        <v>#REF!</v>
      </c>
      <c r="AC26" s="7">
        <f>IF(OR(ISNA(MATCH($C26,FA,0)),$I26&lt;&gt;"CIKIS"),0,N(INDEX(F_KK,MATCH($C26,FA,0))))</f>
        <v>0</v>
      </c>
      <c r="AD26" s="7">
        <f>IF($AC26=0,0,N($E26)*N(INDEX(F_KLN,MATCH($C26,FA,0))))</f>
        <v>0</v>
      </c>
      <c r="AE26" s="7">
        <f>IF($AC26=0,0,N($E26)*N(INDEX(F_KPE,MATCH($C26,FA,0))))</f>
        <v>0</v>
      </c>
      <c r="AF26" s="7" t="e">
        <f>IF(ISNA(MATCH($C26,FA,0)),0,N($E26)*N(INDEX(F_MODUL,MATCH($C26,FA,0))))</f>
        <v>#REF!</v>
      </c>
      <c r="AG26" s="7" t="e">
        <f>N($E26)*N(#REF!)</f>
        <v>#REF!</v>
      </c>
      <c r="AH26" s="7" t="e">
        <f t="shared" ref="AH26:AH43" si="8">IF(ISNA(MATCH($J26,TIP_AD,0)),"YOK",IF(INDEX(NORM_DK,MATCH($J26,TIP_AD,0))="","BOŞ",INDEX(NORM_DK,MATCH($J26,TIP_AD,0))))</f>
        <v>#REF!</v>
      </c>
      <c r="AI26" s="7">
        <f t="shared" ref="AI26:AI43" si="9">IF(ISNUMBER($AH26),$X26*$AH26,0)</f>
        <v>0</v>
      </c>
    </row>
    <row r="27" spans="1:35" x14ac:dyDescent="0.25">
      <c r="A27" s="5" t="s">
        <v>85</v>
      </c>
      <c r="B27" s="5" t="s">
        <v>44</v>
      </c>
      <c r="C27" s="5" t="s">
        <v>113</v>
      </c>
      <c r="D27" s="5" t="s">
        <v>114</v>
      </c>
      <c r="E27" s="5">
        <v>1</v>
      </c>
      <c r="F27" s="5" t="s">
        <v>82</v>
      </c>
      <c r="G27" s="5" t="s">
        <v>115</v>
      </c>
      <c r="H27" s="5" t="s">
        <v>38</v>
      </c>
      <c r="I27" s="6" t="s">
        <v>45</v>
      </c>
      <c r="J27" s="6" t="s">
        <v>44</v>
      </c>
      <c r="K27" s="7" t="s">
        <v>146</v>
      </c>
      <c r="L27" s="7" t="s">
        <v>88</v>
      </c>
      <c r="M27" s="7" t="s">
        <v>89</v>
      </c>
      <c r="N27" s="7">
        <f>IF(OR($C27="",$C27="FID YOK"),"",IF(ISNUMBER(MATCH($C27,FA_ANA,0)),"",IF(COUNTIF($C$1:$C26,$C27)&gt;0,"",MAX($N$1:$N26)+1)))</f>
        <v>18</v>
      </c>
      <c r="O27" s="8">
        <v>1</v>
      </c>
      <c r="P27" s="7" t="e">
        <f>IF(OR($O27="",$O27="G",ISNA(MATCH($C27,FA,0))),"",IF(N(INDEX(F_G,MATCH($C27,FA,0)))&gt;0,INDEX(F_G,MATCH($C27,FA,0)),IF(N(INDEX(F_MODUL,MATCH($C27,FA,0)))&gt;0,INDEX(F_MODUL,MATCH($C27,FA,0))*MODUL_MM,"")))</f>
        <v>#REF!</v>
      </c>
      <c r="Q27" s="7" t="e">
        <f>IF(OR($O27="",$O27="G",ISNA(MATCH($C27,FA,0))),"",IF(N(INDEX(F_Y,MATCH($C27,FA,0)))&gt;0,INDEX(F_Y,MATCH($C27,FA,0)),""))</f>
        <v>#REF!</v>
      </c>
      <c r="R27" s="7" t="e">
        <f>IF(OR($O27="",$O27="G",ISNA(MATCH($C27,FA,0))),"",IF(N(INDEX(F_D,MATCH($C27,FA,0)))&gt;0,INDEX(F_D,MATCH($C27,FA,0)),""))</f>
        <v>#REF!</v>
      </c>
      <c r="S27" s="7">
        <f>IF(ISNA(MATCH($C27,FA,0)),0,IF($I27="GIRIS",N(INDEX(F_INKOR,MATCH($C27,FA,0))),0))</f>
        <v>0</v>
      </c>
      <c r="T27" s="7" t="e">
        <f t="shared" ref="T27:T32" si="10">IF(ISNA(MATCH($B27,TIP_AD,0)),"",INDEX(TIP_KAT,MATCH($B27,TIP_AD,0))&amp;"")</f>
        <v>#REF!</v>
      </c>
      <c r="U27" s="7" t="e">
        <f t="shared" ref="U27:U32" si="11">IF(NOT(ISNUMBER($O27)),"",IF($Y27=0,0,IF(ISNA(MATCH($Y27,BUK_KESIT,0)),"",IF(INDEX(BUK_ALAN,MATCH($Y27,BUK_KESIT,0))&amp;""="","",INDEX(BUK_ALAN,MATCH($Y27,BUK_KESIT,0))))))</f>
        <v>#REF!</v>
      </c>
      <c r="V27" s="7" t="e">
        <f>IF(OR(NOT(ISNUMBER($O27)),$P27=""),"",N($E27)*($P27+IF(ISNA(MATCH($B27,TIP_AD,0)),0,N(INDEX(TIP_BOSLUK,MATCH($B27,TIP_AD,0))))))</f>
        <v>#REF!</v>
      </c>
      <c r="W27" s="7" t="e">
        <f>IF(ISNUMBER($O27),($P27="")+($Q27="")+($U27="")+IF(AND($T27="KONTAKTOR",NOT(ISNA(MATCH($B27,TIP_AD,0)))),IF(INDEX(TIP_BOSLUK,MATCH($B27,TIP_AD,0))&amp;""="",1,0),0),IF($O27="K",IF($R27="",1,0),0))</f>
        <v>#REF!</v>
      </c>
      <c r="X27" s="7">
        <f>N($E27)*IF($F27="упак",MAX(1,IF(ISNA(MATCH($C27,FA,0)),1,N(INDEX(F_PAKET,MATCH($C27,FA,0))))),1)</f>
        <v>1</v>
      </c>
      <c r="Y27" s="7" t="e">
        <f t="shared" si="6"/>
        <v>#REF!</v>
      </c>
      <c r="Z27" s="7" t="e">
        <f>IF(OR(ISNA(MATCH($C27,FA,0)),$I27="YEDEK",$I27="SARF"),0,N($E27)*N(INDEX(F_TEL,MATCH($C27,FA,0))))</f>
        <v>#REF!</v>
      </c>
      <c r="AA27" s="7" t="e">
        <f>IF(OR(ISNA(MATCH($C27,FA,0)),$I27="YEDEK",$I27="SARF"),0,N($E27)*N(INDEX(F_TELM,MATCH($C27,FA,0))))</f>
        <v>#REF!</v>
      </c>
      <c r="AB27" s="7" t="e">
        <f t="shared" si="7"/>
        <v>#REF!</v>
      </c>
      <c r="AC27" s="7">
        <f>IF(OR(ISNA(MATCH($C27,FA,0)),$I27&lt;&gt;"CIKIS"),0,N(INDEX(F_KK,MATCH($C27,FA,0))))</f>
        <v>0</v>
      </c>
      <c r="AD27" s="7">
        <f>IF($AC27=0,0,N($E27)*N(INDEX(F_KLN,MATCH($C27,FA,0))))</f>
        <v>0</v>
      </c>
      <c r="AE27" s="7">
        <f>IF($AC27=0,0,N($E27)*N(INDEX(F_KPE,MATCH($C27,FA,0))))</f>
        <v>0</v>
      </c>
      <c r="AF27" s="7" t="e">
        <f>IF(ISNA(MATCH($C27,FA,0)),0,N($E27)*N(INDEX(F_MODUL,MATCH($C27,FA,0))))</f>
        <v>#REF!</v>
      </c>
      <c r="AG27" s="7" t="e">
        <f>N($E27)*N(#REF!)</f>
        <v>#REF!</v>
      </c>
      <c r="AH27" s="7" t="e">
        <f t="shared" si="8"/>
        <v>#REF!</v>
      </c>
      <c r="AI27" s="7">
        <f t="shared" si="9"/>
        <v>0</v>
      </c>
    </row>
    <row r="28" spans="1:35" x14ac:dyDescent="0.25">
      <c r="A28" s="5" t="s">
        <v>85</v>
      </c>
      <c r="B28" s="5" t="s">
        <v>48</v>
      </c>
      <c r="C28" s="5" t="s">
        <v>118</v>
      </c>
      <c r="D28" s="5" t="s">
        <v>119</v>
      </c>
      <c r="E28" s="5">
        <v>1</v>
      </c>
      <c r="F28" s="5" t="s">
        <v>82</v>
      </c>
      <c r="G28" s="5" t="s">
        <v>98</v>
      </c>
      <c r="H28" s="5" t="s">
        <v>38</v>
      </c>
      <c r="I28" s="6" t="s">
        <v>49</v>
      </c>
      <c r="J28" s="6" t="s">
        <v>48</v>
      </c>
      <c r="K28" s="7" t="s">
        <v>146</v>
      </c>
      <c r="L28" s="7" t="s">
        <v>90</v>
      </c>
      <c r="M28" s="7" t="s">
        <v>91</v>
      </c>
      <c r="N28" s="7">
        <f>IF(OR($C28="",$C28="FID YOK"),"",IF(ISNUMBER(MATCH($C28,FA_ANA,0)),"",IF(COUNTIF($C$1:$C27,$C28)&gt;0,"",MAX($N$1:$N27)+1)))</f>
        <v>19</v>
      </c>
      <c r="O28" s="8">
        <v>2</v>
      </c>
      <c r="P28" s="7" t="e">
        <f>IF(OR($O28="",$O28="G",ISNA(MATCH($C28,FA,0))),"",IF(N(INDEX(F_G,MATCH($C28,FA,0)))&gt;0,INDEX(F_G,MATCH($C28,FA,0)),IF(N(INDEX(F_MODUL,MATCH($C28,FA,0)))&gt;0,INDEX(F_MODUL,MATCH($C28,FA,0))*MODUL_MM,"")))</f>
        <v>#REF!</v>
      </c>
      <c r="Q28" s="7" t="e">
        <f>IF(OR($O28="",$O28="G",ISNA(MATCH($C28,FA,0))),"",IF(N(INDEX(F_Y,MATCH($C28,FA,0)))&gt;0,INDEX(F_Y,MATCH($C28,FA,0)),""))</f>
        <v>#REF!</v>
      </c>
      <c r="R28" s="7" t="e">
        <f>IF(OR($O28="",$O28="G",ISNA(MATCH($C28,FA,0))),"",IF(N(INDEX(F_D,MATCH($C28,FA,0)))&gt;0,INDEX(F_D,MATCH($C28,FA,0)),""))</f>
        <v>#REF!</v>
      </c>
      <c r="S28" s="7" t="e">
        <f>IF(ISNA(MATCH($C28,FA,0)),0,IF($I28="GIRIS",N(INDEX(F_INKOR,MATCH($C28,FA,0))),0))</f>
        <v>#REF!</v>
      </c>
      <c r="T28" s="7" t="e">
        <f t="shared" si="10"/>
        <v>#REF!</v>
      </c>
      <c r="U28" s="7" t="e">
        <f t="shared" si="11"/>
        <v>#REF!</v>
      </c>
      <c r="V28" s="7" t="e">
        <f>IF(OR(NOT(ISNUMBER($O28)),$P28=""),"",N($E28)*($P28+IF(ISNA(MATCH($B28,TIP_AD,0)),0,N(INDEX(TIP_BOSLUK,MATCH($B28,TIP_AD,0))))))</f>
        <v>#REF!</v>
      </c>
      <c r="W28" s="7" t="e">
        <f>IF(ISNUMBER($O28),($P28="")+($Q28="")+($U28="")+IF(AND($T28="KONTAKTOR",NOT(ISNA(MATCH($B28,TIP_AD,0)))),IF(INDEX(TIP_BOSLUK,MATCH($B28,TIP_AD,0))&amp;""="",1,0),0),IF($O28="K",IF($R28="",1,0),0))</f>
        <v>#REF!</v>
      </c>
      <c r="X28" s="7">
        <f>N($E28)*IF($F28="упак",MAX(1,IF(ISNA(MATCH($C28,FA,0)),1,N(INDEX(F_PAKET,MATCH($C28,FA,0))))),1)</f>
        <v>1</v>
      </c>
      <c r="Y28" s="7" t="e">
        <f t="shared" si="6"/>
        <v>#REF!</v>
      </c>
      <c r="Z28" s="7" t="e">
        <f>IF(OR(ISNA(MATCH($C28,FA,0)),$I28="YEDEK",$I28="SARF"),0,N($E28)*N(INDEX(F_TEL,MATCH($C28,FA,0))))</f>
        <v>#REF!</v>
      </c>
      <c r="AA28" s="7" t="e">
        <f>IF(OR(ISNA(MATCH($C28,FA,0)),$I28="YEDEK",$I28="SARF"),0,N($E28)*N(INDEX(F_TELM,MATCH($C28,FA,0))))</f>
        <v>#REF!</v>
      </c>
      <c r="AB28" s="7" t="e">
        <f t="shared" si="7"/>
        <v>#REF!</v>
      </c>
      <c r="AC28" s="7">
        <f>IF(OR(ISNA(MATCH($C28,FA,0)),$I28&lt;&gt;"CIKIS"),0,N(INDEX(F_KK,MATCH($C28,FA,0))))</f>
        <v>0</v>
      </c>
      <c r="AD28" s="7">
        <f>IF($AC28=0,0,N($E28)*N(INDEX(F_KLN,MATCH($C28,FA,0))))</f>
        <v>0</v>
      </c>
      <c r="AE28" s="7">
        <f>IF($AC28=0,0,N($E28)*N(INDEX(F_KPE,MATCH($C28,FA,0))))</f>
        <v>0</v>
      </c>
      <c r="AF28" s="7" t="e">
        <f>IF(ISNA(MATCH($C28,FA,0)),0,N($E28)*N(INDEX(F_MODUL,MATCH($C28,FA,0))))</f>
        <v>#REF!</v>
      </c>
      <c r="AG28" s="7" t="e">
        <f>N($E28)*N(#REF!)</f>
        <v>#REF!</v>
      </c>
      <c r="AH28" s="7" t="e">
        <f t="shared" si="8"/>
        <v>#REF!</v>
      </c>
      <c r="AI28" s="7">
        <f t="shared" si="9"/>
        <v>0</v>
      </c>
    </row>
    <row r="29" spans="1:35" x14ac:dyDescent="0.25">
      <c r="A29" s="5" t="s">
        <v>85</v>
      </c>
      <c r="B29" s="5" t="s">
        <v>48</v>
      </c>
      <c r="C29" s="5" t="s">
        <v>104</v>
      </c>
      <c r="D29" s="5" t="s">
        <v>105</v>
      </c>
      <c r="E29" s="5">
        <v>3</v>
      </c>
      <c r="F29" s="5" t="s">
        <v>82</v>
      </c>
      <c r="G29" s="5" t="s">
        <v>103</v>
      </c>
      <c r="H29" s="5" t="s">
        <v>38</v>
      </c>
      <c r="I29" s="6" t="s">
        <v>52</v>
      </c>
      <c r="J29" s="6" t="s">
        <v>48</v>
      </c>
      <c r="K29" s="7" t="s">
        <v>147</v>
      </c>
      <c r="L29" s="7" t="s">
        <v>92</v>
      </c>
      <c r="M29" s="7" t="s">
        <v>56</v>
      </c>
      <c r="N29" s="7" t="str">
        <f>IF(OR($C29="",$C29="FID YOK"),"",IF(ISNUMBER(MATCH($C29,FA_ANA,0)),"",IF(COUNTIF($C$1:$C28,$C29)&gt;0,"",MAX($N$1:$N28)+1)))</f>
        <v/>
      </c>
      <c r="O29" s="8">
        <v>2</v>
      </c>
      <c r="P29" s="7" t="e">
        <f>IF(OR($O29="",$O29="G",ISNA(MATCH($C29,FA,0))),"",IF(N(INDEX(F_G,MATCH($C29,FA,0)))&gt;0,INDEX(F_G,MATCH($C29,FA,0)),IF(N(INDEX(F_MODUL,MATCH($C29,FA,0)))&gt;0,INDEX(F_MODUL,MATCH($C29,FA,0))*MODUL_MM,"")))</f>
        <v>#REF!</v>
      </c>
      <c r="Q29" s="7" t="e">
        <f>IF(OR($O29="",$O29="G",ISNA(MATCH($C29,FA,0))),"",IF(N(INDEX(F_Y,MATCH($C29,FA,0)))&gt;0,INDEX(F_Y,MATCH($C29,FA,0)),""))</f>
        <v>#REF!</v>
      </c>
      <c r="R29" s="7" t="e">
        <f>IF(OR($O29="",$O29="G",ISNA(MATCH($C29,FA,0))),"",IF(N(INDEX(F_D,MATCH($C29,FA,0)))&gt;0,INDEX(F_D,MATCH($C29,FA,0)),""))</f>
        <v>#REF!</v>
      </c>
      <c r="S29" s="7">
        <f>IF(ISNA(MATCH($C29,FA,0)),0,IF($I29="GIRIS",N(INDEX(F_INKOR,MATCH($C29,FA,0))),0))</f>
        <v>0</v>
      </c>
      <c r="T29" s="7" t="e">
        <f t="shared" si="10"/>
        <v>#REF!</v>
      </c>
      <c r="U29" s="7" t="e">
        <f t="shared" si="11"/>
        <v>#REF!</v>
      </c>
      <c r="V29" s="7" t="e">
        <f>IF(OR(NOT(ISNUMBER($O29)),$P29=""),"",N($E29)*($P29+IF(ISNA(MATCH($B29,TIP_AD,0)),0,N(INDEX(TIP_BOSLUK,MATCH($B29,TIP_AD,0))))))</f>
        <v>#REF!</v>
      </c>
      <c r="W29" s="7" t="e">
        <f>IF(ISNUMBER($O29),($P29="")+($Q29="")+($U29="")+IF(AND($T29="KONTAKTOR",NOT(ISNA(MATCH($B29,TIP_AD,0)))),IF(INDEX(TIP_BOSLUK,MATCH($B29,TIP_AD,0))&amp;""="",1,0),0),IF($O29="K",IF($R29="",1,0),0))</f>
        <v>#REF!</v>
      </c>
      <c r="X29" s="7">
        <f>N($E29)*IF($F29="упак",MAX(1,IF(ISNA(MATCH($C29,FA,0)),1,N(INDEX(F_PAKET,MATCH($C29,FA,0))))),1)</f>
        <v>3</v>
      </c>
      <c r="Y29" s="7" t="e">
        <f t="shared" si="6"/>
        <v>#REF!</v>
      </c>
      <c r="Z29" s="7" t="e">
        <f>IF(OR(ISNA(MATCH($C29,FA,0)),$I29="YEDEK",$I29="SARF"),0,N($E29)*N(INDEX(F_TEL,MATCH($C29,FA,0))))</f>
        <v>#REF!</v>
      </c>
      <c r="AA29" s="7" t="e">
        <f>IF(OR(ISNA(MATCH($C29,FA,0)),$I29="YEDEK",$I29="SARF"),0,N($E29)*N(INDEX(F_TELM,MATCH($C29,FA,0))))</f>
        <v>#REF!</v>
      </c>
      <c r="AB29" s="7" t="e">
        <f t="shared" si="7"/>
        <v>#REF!</v>
      </c>
      <c r="AC29" s="7" t="e">
        <f>IF(OR(ISNA(MATCH($C29,FA,0)),$I29&lt;&gt;"CIKIS"),0,N(INDEX(F_KK,MATCH($C29,FA,0))))</f>
        <v>#REF!</v>
      </c>
      <c r="AD29" s="7" t="e">
        <f>IF($AC29=0,0,N($E29)*N(INDEX(F_KLN,MATCH($C29,FA,0))))</f>
        <v>#REF!</v>
      </c>
      <c r="AE29" s="7" t="e">
        <f>IF($AC29=0,0,N($E29)*N(INDEX(F_KPE,MATCH($C29,FA,0))))</f>
        <v>#REF!</v>
      </c>
      <c r="AF29" s="7" t="e">
        <f>IF(ISNA(MATCH($C29,FA,0)),0,N($E29)*N(INDEX(F_MODUL,MATCH($C29,FA,0))))</f>
        <v>#REF!</v>
      </c>
      <c r="AG29" s="7" t="e">
        <f>N($E29)*N(#REF!)</f>
        <v>#REF!</v>
      </c>
      <c r="AH29" s="7" t="e">
        <f t="shared" si="8"/>
        <v>#REF!</v>
      </c>
      <c r="AI29" s="7">
        <f t="shared" si="9"/>
        <v>0</v>
      </c>
    </row>
    <row r="30" spans="1:35" x14ac:dyDescent="0.25">
      <c r="A30" s="5" t="s">
        <v>85</v>
      </c>
      <c r="B30" s="5" t="s">
        <v>48</v>
      </c>
      <c r="C30" s="5" t="s">
        <v>101</v>
      </c>
      <c r="D30" s="5" t="s">
        <v>102</v>
      </c>
      <c r="E30" s="5">
        <v>1</v>
      </c>
      <c r="F30" s="5" t="s">
        <v>82</v>
      </c>
      <c r="G30" s="5" t="s">
        <v>103</v>
      </c>
      <c r="H30" s="5" t="s">
        <v>38</v>
      </c>
      <c r="I30" s="6" t="s">
        <v>57</v>
      </c>
      <c r="J30" s="6" t="s">
        <v>48</v>
      </c>
      <c r="K30" s="7" t="s">
        <v>147</v>
      </c>
      <c r="L30" s="7" t="s">
        <v>93</v>
      </c>
      <c r="M30" s="7" t="s">
        <v>54</v>
      </c>
      <c r="N30" s="7" t="str">
        <f>IF(OR($C30="",$C30="FID YOK"),"",IF(ISNUMBER(MATCH($C30,FA_ANA,0)),"",IF(COUNTIF($C$1:$C29,$C30)&gt;0,"",MAX($N$1:$N29)+1)))</f>
        <v/>
      </c>
      <c r="O30" s="8">
        <v>2</v>
      </c>
      <c r="P30" s="7" t="e">
        <f>IF(OR($O30="",$O30="G",ISNA(MATCH($C30,FA,0))),"",IF(N(INDEX(F_G,MATCH($C30,FA,0)))&gt;0,INDEX(F_G,MATCH($C30,FA,0)),IF(N(INDEX(F_MODUL,MATCH($C30,FA,0)))&gt;0,INDEX(F_MODUL,MATCH($C30,FA,0))*MODUL_MM,"")))</f>
        <v>#REF!</v>
      </c>
      <c r="Q30" s="7" t="e">
        <f>IF(OR($O30="",$O30="G",ISNA(MATCH($C30,FA,0))),"",IF(N(INDEX(F_Y,MATCH($C30,FA,0)))&gt;0,INDEX(F_Y,MATCH($C30,FA,0)),""))</f>
        <v>#REF!</v>
      </c>
      <c r="R30" s="7" t="e">
        <f>IF(OR($O30="",$O30="G",ISNA(MATCH($C30,FA,0))),"",IF(N(INDEX(F_D,MATCH($C30,FA,0)))&gt;0,INDEX(F_D,MATCH($C30,FA,0)),""))</f>
        <v>#REF!</v>
      </c>
      <c r="S30" s="7">
        <f>IF(ISNA(MATCH($C30,FA,0)),0,IF($I30="GIRIS",N(INDEX(F_INKOR,MATCH($C30,FA,0))),0))</f>
        <v>0</v>
      </c>
      <c r="T30" s="7" t="e">
        <f t="shared" si="10"/>
        <v>#REF!</v>
      </c>
      <c r="U30" s="7" t="e">
        <f t="shared" si="11"/>
        <v>#REF!</v>
      </c>
      <c r="V30" s="7" t="e">
        <f>IF(OR(NOT(ISNUMBER($O30)),$P30=""),"",N($E30)*($P30+IF(ISNA(MATCH($B30,TIP_AD,0)),0,N(INDEX(TIP_BOSLUK,MATCH($B30,TIP_AD,0))))))</f>
        <v>#REF!</v>
      </c>
      <c r="W30" s="7" t="e">
        <f>IF(ISNUMBER($O30),($P30="")+($Q30="")+($U30="")+IF(AND($T30="KONTAKTOR",NOT(ISNA(MATCH($B30,TIP_AD,0)))),IF(INDEX(TIP_BOSLUK,MATCH($B30,TIP_AD,0))&amp;""="",1,0),0),IF($O30="K",IF($R30="",1,0),0))</f>
        <v>#REF!</v>
      </c>
      <c r="X30" s="7">
        <f>N($E30)*IF($F30="упак",MAX(1,IF(ISNA(MATCH($C30,FA,0)),1,N(INDEX(F_PAKET,MATCH($C30,FA,0))))),1)</f>
        <v>1</v>
      </c>
      <c r="Y30" s="7" t="e">
        <f t="shared" si="6"/>
        <v>#REF!</v>
      </c>
      <c r="Z30" s="7">
        <f>IF(OR(ISNA(MATCH($C30,FA,0)),$I30="YEDEK",$I30="SARF"),0,N($E30)*N(INDEX(F_TEL,MATCH($C30,FA,0))))</f>
        <v>0</v>
      </c>
      <c r="AA30" s="7">
        <f>IF(OR(ISNA(MATCH($C30,FA,0)),$I30="YEDEK",$I30="SARF"),0,N($E30)*N(INDEX(F_TELM,MATCH($C30,FA,0))))</f>
        <v>0</v>
      </c>
      <c r="AB30" s="7" t="e">
        <f t="shared" si="7"/>
        <v>#REF!</v>
      </c>
      <c r="AC30" s="7">
        <f>IF(OR(ISNA(MATCH($C30,FA,0)),$I30&lt;&gt;"CIKIS"),0,N(INDEX(F_KK,MATCH($C30,FA,0))))</f>
        <v>0</v>
      </c>
      <c r="AD30" s="7">
        <f>IF($AC30=0,0,N($E30)*N(INDEX(F_KLN,MATCH($C30,FA,0))))</f>
        <v>0</v>
      </c>
      <c r="AE30" s="7">
        <f>IF($AC30=0,0,N($E30)*N(INDEX(F_KPE,MATCH($C30,FA,0))))</f>
        <v>0</v>
      </c>
      <c r="AF30" s="7" t="e">
        <f>IF(ISNA(MATCH($C30,FA,0)),0,N($E30)*N(INDEX(F_MODUL,MATCH($C30,FA,0))))</f>
        <v>#REF!</v>
      </c>
      <c r="AG30" s="7" t="e">
        <f>N($E30)*N(#REF!)</f>
        <v>#REF!</v>
      </c>
      <c r="AH30" s="7" t="e">
        <f t="shared" si="8"/>
        <v>#REF!</v>
      </c>
      <c r="AI30" s="7">
        <f t="shared" si="9"/>
        <v>0</v>
      </c>
    </row>
    <row r="31" spans="1:35" x14ac:dyDescent="0.25">
      <c r="A31" s="5" t="s">
        <v>85</v>
      </c>
      <c r="B31" s="5" t="s">
        <v>60</v>
      </c>
      <c r="C31" s="5" t="s">
        <v>99</v>
      </c>
      <c r="D31" s="5" t="s">
        <v>100</v>
      </c>
      <c r="E31" s="5">
        <v>6</v>
      </c>
      <c r="F31" s="5" t="s">
        <v>82</v>
      </c>
      <c r="G31" s="5" t="s">
        <v>98</v>
      </c>
      <c r="H31" s="5" t="s">
        <v>38</v>
      </c>
      <c r="I31" s="6" t="s">
        <v>52</v>
      </c>
      <c r="J31" s="6" t="s">
        <v>60</v>
      </c>
      <c r="K31" s="7" t="s">
        <v>146</v>
      </c>
      <c r="L31" s="7" t="s">
        <v>94</v>
      </c>
      <c r="M31" s="7" t="s">
        <v>62</v>
      </c>
      <c r="N31" s="7" t="str">
        <f>IF(OR($C31="",$C31="FID YOK"),"",IF(ISNUMBER(MATCH($C31,FA_ANA,0)),"",IF(COUNTIF($C$1:$C30,$C31)&gt;0,"",MAX($N$1:$N30)+1)))</f>
        <v/>
      </c>
      <c r="O31" s="8">
        <v>2</v>
      </c>
      <c r="P31" s="7" t="e">
        <f>IF(OR($O31="",$O31="G",ISNA(MATCH($C31,FA,0))),"",IF(N(INDEX(F_G,MATCH($C31,FA,0)))&gt;0,INDEX(F_G,MATCH($C31,FA,0)),IF(N(INDEX(F_MODUL,MATCH($C31,FA,0)))&gt;0,INDEX(F_MODUL,MATCH($C31,FA,0))*MODUL_MM,"")))</f>
        <v>#REF!</v>
      </c>
      <c r="Q31" s="7" t="e">
        <f>IF(OR($O31="",$O31="G",ISNA(MATCH($C31,FA,0))),"",IF(N(INDEX(F_Y,MATCH($C31,FA,0)))&gt;0,INDEX(F_Y,MATCH($C31,FA,0)),""))</f>
        <v>#REF!</v>
      </c>
      <c r="R31" s="7" t="e">
        <f>IF(OR($O31="",$O31="G",ISNA(MATCH($C31,FA,0))),"",IF(N(INDEX(F_D,MATCH($C31,FA,0)))&gt;0,INDEX(F_D,MATCH($C31,FA,0)),""))</f>
        <v>#REF!</v>
      </c>
      <c r="S31" s="7">
        <f>IF(ISNA(MATCH($C31,FA,0)),0,IF($I31="GIRIS",N(INDEX(F_INKOR,MATCH($C31,FA,0))),0))</f>
        <v>0</v>
      </c>
      <c r="T31" s="7" t="e">
        <f t="shared" si="10"/>
        <v>#REF!</v>
      </c>
      <c r="U31" s="7" t="e">
        <f t="shared" si="11"/>
        <v>#REF!</v>
      </c>
      <c r="V31" s="7" t="e">
        <f>IF(OR(NOT(ISNUMBER($O31)),$P31=""),"",N($E31)*($P31+IF(ISNA(MATCH($B31,TIP_AD,0)),0,N(INDEX(TIP_BOSLUK,MATCH($B31,TIP_AD,0))))))</f>
        <v>#REF!</v>
      </c>
      <c r="W31" s="7" t="e">
        <f>IF(ISNUMBER($O31),($P31="")+($Q31="")+($U31="")+IF(AND($T31="KONTAKTOR",NOT(ISNA(MATCH($B31,TIP_AD,0)))),IF(INDEX(TIP_BOSLUK,MATCH($B31,TIP_AD,0))&amp;""="",1,0),0),IF($O31="K",IF($R31="",1,0),0))</f>
        <v>#REF!</v>
      </c>
      <c r="X31" s="7">
        <f>N($E31)*IF($F31="упак",MAX(1,IF(ISNA(MATCH($C31,FA,0)),1,N(INDEX(F_PAKET,MATCH($C31,FA,0))))),1)</f>
        <v>6</v>
      </c>
      <c r="Y31" s="7" t="e">
        <f t="shared" si="6"/>
        <v>#REF!</v>
      </c>
      <c r="Z31" s="7" t="e">
        <f>IF(OR(ISNA(MATCH($C31,FA,0)),$I31="YEDEK",$I31="SARF"),0,N($E31)*N(INDEX(F_TEL,MATCH($C31,FA,0))))</f>
        <v>#REF!</v>
      </c>
      <c r="AA31" s="7" t="e">
        <f>IF(OR(ISNA(MATCH($C31,FA,0)),$I31="YEDEK",$I31="SARF"),0,N($E31)*N(INDEX(F_TELM,MATCH($C31,FA,0))))</f>
        <v>#REF!</v>
      </c>
      <c r="AB31" s="7" t="e">
        <f t="shared" si="7"/>
        <v>#REF!</v>
      </c>
      <c r="AC31" s="7" t="e">
        <f>IF(OR(ISNA(MATCH($C31,FA,0)),$I31&lt;&gt;"CIKIS"),0,N(INDEX(F_KK,MATCH($C31,FA,0))))</f>
        <v>#REF!</v>
      </c>
      <c r="AD31" s="7" t="e">
        <f>IF($AC31=0,0,N($E31)*N(INDEX(F_KLN,MATCH($C31,FA,0))))</f>
        <v>#REF!</v>
      </c>
      <c r="AE31" s="7" t="e">
        <f>IF($AC31=0,0,N($E31)*N(INDEX(F_KPE,MATCH($C31,FA,0))))</f>
        <v>#REF!</v>
      </c>
      <c r="AF31" s="7" t="e">
        <f>IF(ISNA(MATCH($C31,FA,0)),0,N($E31)*N(INDEX(F_MODUL,MATCH($C31,FA,0))))</f>
        <v>#REF!</v>
      </c>
      <c r="AG31" s="7" t="e">
        <f>N($E31)*N(#REF!)</f>
        <v>#REF!</v>
      </c>
      <c r="AH31" s="7" t="e">
        <f t="shared" si="8"/>
        <v>#REF!</v>
      </c>
      <c r="AI31" s="7">
        <f t="shared" si="9"/>
        <v>0</v>
      </c>
    </row>
    <row r="32" spans="1:35" x14ac:dyDescent="0.25">
      <c r="A32" s="5" t="s">
        <v>85</v>
      </c>
      <c r="B32" s="5" t="s">
        <v>60</v>
      </c>
      <c r="C32" s="5" t="s">
        <v>99</v>
      </c>
      <c r="D32" s="5" t="s">
        <v>100</v>
      </c>
      <c r="E32" s="5">
        <v>1</v>
      </c>
      <c r="F32" s="5" t="s">
        <v>82</v>
      </c>
      <c r="G32" s="5" t="s">
        <v>98</v>
      </c>
      <c r="H32" s="5" t="s">
        <v>38</v>
      </c>
      <c r="I32" s="6" t="s">
        <v>57</v>
      </c>
      <c r="J32" s="6" t="s">
        <v>60</v>
      </c>
      <c r="K32" s="7" t="s">
        <v>146</v>
      </c>
      <c r="L32" s="7" t="s">
        <v>95</v>
      </c>
      <c r="M32" s="7" t="s">
        <v>62</v>
      </c>
      <c r="N32" s="7" t="str">
        <f>IF(OR($C32="",$C32="FID YOK"),"",IF(ISNUMBER(MATCH($C32,FA_ANA,0)),"",IF(COUNTIF($C$1:$C31,$C32)&gt;0,"",MAX($N$1:$N31)+1)))</f>
        <v/>
      </c>
      <c r="O32" s="8">
        <v>2</v>
      </c>
      <c r="P32" s="7" t="e">
        <f>IF(OR($O32="",$O32="G",ISNA(MATCH($C32,FA,0))),"",IF(N(INDEX(F_G,MATCH($C32,FA,0)))&gt;0,INDEX(F_G,MATCH($C32,FA,0)),IF(N(INDEX(F_MODUL,MATCH($C32,FA,0)))&gt;0,INDEX(F_MODUL,MATCH($C32,FA,0))*MODUL_MM,"")))</f>
        <v>#REF!</v>
      </c>
      <c r="Q32" s="7" t="e">
        <f>IF(OR($O32="",$O32="G",ISNA(MATCH($C32,FA,0))),"",IF(N(INDEX(F_Y,MATCH($C32,FA,0)))&gt;0,INDEX(F_Y,MATCH($C32,FA,0)),""))</f>
        <v>#REF!</v>
      </c>
      <c r="R32" s="7" t="e">
        <f>IF(OR($O32="",$O32="G",ISNA(MATCH($C32,FA,0))),"",IF(N(INDEX(F_D,MATCH($C32,FA,0)))&gt;0,INDEX(F_D,MATCH($C32,FA,0)),""))</f>
        <v>#REF!</v>
      </c>
      <c r="S32" s="7">
        <f>IF(ISNA(MATCH($C32,FA,0)),0,IF($I32="GIRIS",N(INDEX(F_INKOR,MATCH($C32,FA,0))),0))</f>
        <v>0</v>
      </c>
      <c r="T32" s="7" t="e">
        <f t="shared" si="10"/>
        <v>#REF!</v>
      </c>
      <c r="U32" s="7" t="e">
        <f t="shared" si="11"/>
        <v>#REF!</v>
      </c>
      <c r="V32" s="7" t="e">
        <f>IF(OR(NOT(ISNUMBER($O32)),$P32=""),"",N($E32)*($P32+IF(ISNA(MATCH($B32,TIP_AD,0)),0,N(INDEX(TIP_BOSLUK,MATCH($B32,TIP_AD,0))))))</f>
        <v>#REF!</v>
      </c>
      <c r="W32" s="7" t="e">
        <f>IF(ISNUMBER($O32),($P32="")+($Q32="")+($U32="")+IF(AND($T32="KONTAKTOR",NOT(ISNA(MATCH($B32,TIP_AD,0)))),IF(INDEX(TIP_BOSLUK,MATCH($B32,TIP_AD,0))&amp;""="",1,0),0),IF($O32="K",IF($R32="",1,0),0))</f>
        <v>#REF!</v>
      </c>
      <c r="X32" s="7">
        <f>N($E32)*IF($F32="упак",MAX(1,IF(ISNA(MATCH($C32,FA,0)),1,N(INDEX(F_PAKET,MATCH($C32,FA,0))))),1)</f>
        <v>1</v>
      </c>
      <c r="Y32" s="7" t="e">
        <f t="shared" si="6"/>
        <v>#REF!</v>
      </c>
      <c r="Z32" s="7">
        <f>IF(OR(ISNA(MATCH($C32,FA,0)),$I32="YEDEK",$I32="SARF"),0,N($E32)*N(INDEX(F_TEL,MATCH($C32,FA,0))))</f>
        <v>0</v>
      </c>
      <c r="AA32" s="7">
        <f>IF(OR(ISNA(MATCH($C32,FA,0)),$I32="YEDEK",$I32="SARF"),0,N($E32)*N(INDEX(F_TELM,MATCH($C32,FA,0))))</f>
        <v>0</v>
      </c>
      <c r="AB32" s="7" t="e">
        <f t="shared" si="7"/>
        <v>#REF!</v>
      </c>
      <c r="AC32" s="7">
        <f>IF(OR(ISNA(MATCH($C32,FA,0)),$I32&lt;&gt;"CIKIS"),0,N(INDEX(F_KK,MATCH($C32,FA,0))))</f>
        <v>0</v>
      </c>
      <c r="AD32" s="7">
        <f>IF($AC32=0,0,N($E32)*N(INDEX(F_KLN,MATCH($C32,FA,0))))</f>
        <v>0</v>
      </c>
      <c r="AE32" s="7">
        <f>IF($AC32=0,0,N($E32)*N(INDEX(F_KPE,MATCH($C32,FA,0))))</f>
        <v>0</v>
      </c>
      <c r="AF32" s="7" t="e">
        <f>IF(ISNA(MATCH($C32,FA,0)),0,N($E32)*N(INDEX(F_MODUL,MATCH($C32,FA,0))))</f>
        <v>#REF!</v>
      </c>
      <c r="AG32" s="7" t="e">
        <f>N($E32)*N(#REF!)</f>
        <v>#REF!</v>
      </c>
      <c r="AH32" s="7" t="e">
        <f t="shared" si="8"/>
        <v>#REF!</v>
      </c>
      <c r="AI32" s="7">
        <f t="shared" si="9"/>
        <v>0</v>
      </c>
    </row>
    <row r="33" spans="1:35" x14ac:dyDescent="0.25">
      <c r="A33" s="5" t="s">
        <v>85</v>
      </c>
      <c r="B33" s="5" t="s">
        <v>64</v>
      </c>
      <c r="C33" s="5" t="s">
        <v>140</v>
      </c>
      <c r="D33" s="5" t="s">
        <v>141</v>
      </c>
      <c r="E33" s="5">
        <v>1</v>
      </c>
      <c r="F33" s="5" t="s">
        <v>82</v>
      </c>
      <c r="G33" s="5" t="s">
        <v>123</v>
      </c>
      <c r="H33" s="5" t="s">
        <v>38</v>
      </c>
      <c r="I33" s="6" t="s">
        <v>65</v>
      </c>
      <c r="J33" s="6" t="s">
        <v>64</v>
      </c>
      <c r="K33" s="7" t="s">
        <v>148</v>
      </c>
      <c r="L33" s="7" t="s">
        <v>66</v>
      </c>
      <c r="N33" s="7">
        <f>IF(OR($C33="",$C33="FID YOK"),"",IF(ISNUMBER(MATCH($C33,FA_ANA,0)),"",IF(COUNTIF($C$1:$C32,$C33)&gt;0,"",MAX($N$1:$N32)+1)))</f>
        <v>20</v>
      </c>
      <c r="S33" s="7">
        <f>IF(ISNA(MATCH($C33,FA,0)),0,IF($I33="GIRIS",N(INDEX(F_INKOR,MATCH($C33,FA,0))),0))</f>
        <v>0</v>
      </c>
      <c r="X33" s="7">
        <f>N($E33)*IF($F33="упак",MAX(1,IF(ISNA(MATCH($C33,FA,0)),1,N(INDEX(F_PAKET,MATCH($C33,FA,0))))),1)</f>
        <v>1</v>
      </c>
      <c r="Y33" s="7" t="e">
        <f t="shared" si="6"/>
        <v>#REF!</v>
      </c>
      <c r="Z33" s="7">
        <f>IF(OR(ISNA(MATCH($C33,FA,0)),$I33="YEDEK",$I33="SARF"),0,N($E33)*N(INDEX(F_TEL,MATCH($C33,FA,0))))</f>
        <v>0</v>
      </c>
      <c r="AA33" s="7">
        <f>IF(OR(ISNA(MATCH($C33,FA,0)),$I33="YEDEK",$I33="SARF"),0,N($E33)*N(INDEX(F_TELM,MATCH($C33,FA,0))))</f>
        <v>0</v>
      </c>
      <c r="AB33" s="7" t="e">
        <f t="shared" si="7"/>
        <v>#REF!</v>
      </c>
      <c r="AC33" s="7">
        <f>IF(OR(ISNA(MATCH($C33,FA,0)),$I33&lt;&gt;"CIKIS"),0,N(INDEX(F_KK,MATCH($C33,FA,0))))</f>
        <v>0</v>
      </c>
      <c r="AD33" s="7">
        <f>IF($AC33=0,0,N($E33)*N(INDEX(F_KLN,MATCH($C33,FA,0))))</f>
        <v>0</v>
      </c>
      <c r="AE33" s="7">
        <f>IF($AC33=0,0,N($E33)*N(INDEX(F_KPE,MATCH($C33,FA,0))))</f>
        <v>0</v>
      </c>
      <c r="AF33" s="7" t="e">
        <f>IF(ISNA(MATCH($C33,FA,0)),0,N($E33)*N(INDEX(F_MODUL,MATCH($C33,FA,0))))</f>
        <v>#REF!</v>
      </c>
      <c r="AG33" s="7" t="e">
        <f>N($E33)*N(#REF!)</f>
        <v>#REF!</v>
      </c>
      <c r="AH33" s="7" t="e">
        <f t="shared" si="8"/>
        <v>#REF!</v>
      </c>
      <c r="AI33" s="7">
        <f t="shared" si="9"/>
        <v>0</v>
      </c>
    </row>
    <row r="34" spans="1:35" x14ac:dyDescent="0.25">
      <c r="A34" s="5" t="s">
        <v>85</v>
      </c>
      <c r="B34" s="5" t="s">
        <v>64</v>
      </c>
      <c r="C34" s="5" t="s">
        <v>142</v>
      </c>
      <c r="D34" s="5" t="s">
        <v>143</v>
      </c>
      <c r="E34" s="5">
        <v>1</v>
      </c>
      <c r="F34" s="5" t="s">
        <v>82</v>
      </c>
      <c r="G34" s="5" t="s">
        <v>123</v>
      </c>
      <c r="H34" s="5" t="s">
        <v>38</v>
      </c>
      <c r="I34" s="6" t="s">
        <v>65</v>
      </c>
      <c r="J34" s="6" t="s">
        <v>64</v>
      </c>
      <c r="K34" s="7" t="s">
        <v>148</v>
      </c>
      <c r="L34" s="7" t="s">
        <v>67</v>
      </c>
      <c r="N34" s="7">
        <f>IF(OR($C34="",$C34="FID YOK"),"",IF(ISNUMBER(MATCH($C34,FA_ANA,0)),"",IF(COUNTIF($C$1:$C33,$C34)&gt;0,"",MAX($N$1:$N33)+1)))</f>
        <v>21</v>
      </c>
      <c r="S34" s="7">
        <f>IF(ISNA(MATCH($C34,FA,0)),0,IF($I34="GIRIS",N(INDEX(F_INKOR,MATCH($C34,FA,0))),0))</f>
        <v>0</v>
      </c>
      <c r="X34" s="7">
        <f>N($E34)*IF($F34="упак",MAX(1,IF(ISNA(MATCH($C34,FA,0)),1,N(INDEX(F_PAKET,MATCH($C34,FA,0))))),1)</f>
        <v>1</v>
      </c>
      <c r="Y34" s="7" t="e">
        <f t="shared" si="6"/>
        <v>#REF!</v>
      </c>
      <c r="Z34" s="7">
        <f>IF(OR(ISNA(MATCH($C34,FA,0)),$I34="YEDEK",$I34="SARF"),0,N($E34)*N(INDEX(F_TEL,MATCH($C34,FA,0))))</f>
        <v>0</v>
      </c>
      <c r="AA34" s="7">
        <f>IF(OR(ISNA(MATCH($C34,FA,0)),$I34="YEDEK",$I34="SARF"),0,N($E34)*N(INDEX(F_TELM,MATCH($C34,FA,0))))</f>
        <v>0</v>
      </c>
      <c r="AB34" s="7" t="e">
        <f t="shared" si="7"/>
        <v>#REF!</v>
      </c>
      <c r="AC34" s="7">
        <f>IF(OR(ISNA(MATCH($C34,FA,0)),$I34&lt;&gt;"CIKIS"),0,N(INDEX(F_KK,MATCH($C34,FA,0))))</f>
        <v>0</v>
      </c>
      <c r="AD34" s="7">
        <f>IF($AC34=0,0,N($E34)*N(INDEX(F_KLN,MATCH($C34,FA,0))))</f>
        <v>0</v>
      </c>
      <c r="AE34" s="7">
        <f>IF($AC34=0,0,N($E34)*N(INDEX(F_KPE,MATCH($C34,FA,0))))</f>
        <v>0</v>
      </c>
      <c r="AF34" s="7" t="e">
        <f>IF(ISNA(MATCH($C34,FA,0)),0,N($E34)*N(INDEX(F_MODUL,MATCH($C34,FA,0))))</f>
        <v>#REF!</v>
      </c>
      <c r="AG34" s="7" t="e">
        <f>N($E34)*N(#REF!)</f>
        <v>#REF!</v>
      </c>
      <c r="AH34" s="7" t="e">
        <f t="shared" si="8"/>
        <v>#REF!</v>
      </c>
      <c r="AI34" s="7">
        <f t="shared" si="9"/>
        <v>0</v>
      </c>
    </row>
    <row r="35" spans="1:35" x14ac:dyDescent="0.25">
      <c r="A35" s="5" t="s">
        <v>85</v>
      </c>
      <c r="B35" s="5" t="s">
        <v>68</v>
      </c>
      <c r="C35" s="5" t="s">
        <v>124</v>
      </c>
      <c r="D35" s="5" t="s">
        <v>125</v>
      </c>
      <c r="E35" s="5">
        <v>1</v>
      </c>
      <c r="F35" s="5" t="s">
        <v>120</v>
      </c>
      <c r="G35" s="5" t="s">
        <v>121</v>
      </c>
      <c r="H35" s="5" t="s">
        <v>38</v>
      </c>
      <c r="I35" s="6" t="s">
        <v>65</v>
      </c>
      <c r="J35" s="6" t="s">
        <v>68</v>
      </c>
      <c r="K35" s="7" t="s">
        <v>149</v>
      </c>
      <c r="L35" s="7" t="s">
        <v>69</v>
      </c>
      <c r="N35" s="7" t="str">
        <f>IF(OR($C35="",$C35="FID YOK"),"",IF(ISNUMBER(MATCH($C35,FA_ANA,0)),"",IF(COUNTIF($C$1:$C34,$C35)&gt;0,"",MAX($N$1:$N34)+1)))</f>
        <v/>
      </c>
      <c r="S35" s="7">
        <f>IF(ISNA(MATCH($C35,FA,0)),0,IF($I35="GIRIS",N(INDEX(F_INKOR,MATCH($C35,FA,0))),0))</f>
        <v>0</v>
      </c>
      <c r="X35" s="7">
        <f>N($E35)*IF($F35="упак",MAX(1,IF(ISNA(MATCH($C35,FA,0)),1,N(INDEX(F_PAKET,MATCH($C35,FA,0))))),1)</f>
        <v>1</v>
      </c>
      <c r="Y35" s="7" t="e">
        <f t="shared" si="6"/>
        <v>#REF!</v>
      </c>
      <c r="Z35" s="7">
        <f>IF(OR(ISNA(MATCH($C35,FA,0)),$I35="YEDEK",$I35="SARF"),0,N($E35)*N(INDEX(F_TEL,MATCH($C35,FA,0))))</f>
        <v>0</v>
      </c>
      <c r="AA35" s="7">
        <f>IF(OR(ISNA(MATCH($C35,FA,0)),$I35="YEDEK",$I35="SARF"),0,N($E35)*N(INDEX(F_TELM,MATCH($C35,FA,0))))</f>
        <v>0</v>
      </c>
      <c r="AB35" s="7" t="e">
        <f t="shared" si="7"/>
        <v>#REF!</v>
      </c>
      <c r="AC35" s="7">
        <f>IF(OR(ISNA(MATCH($C35,FA,0)),$I35&lt;&gt;"CIKIS"),0,N(INDEX(F_KK,MATCH($C35,FA,0))))</f>
        <v>0</v>
      </c>
      <c r="AD35" s="7">
        <f>IF($AC35=0,0,N($E35)*N(INDEX(F_KLN,MATCH($C35,FA,0))))</f>
        <v>0</v>
      </c>
      <c r="AE35" s="7">
        <f>IF($AC35=0,0,N($E35)*N(INDEX(F_KPE,MATCH($C35,FA,0))))</f>
        <v>0</v>
      </c>
      <c r="AF35" s="7" t="e">
        <f>IF(ISNA(MATCH($C35,FA,0)),0,N($E35)*N(INDEX(F_MODUL,MATCH($C35,FA,0))))</f>
        <v>#REF!</v>
      </c>
      <c r="AG35" s="7" t="e">
        <f>N($E35)*N(#REF!)</f>
        <v>#REF!</v>
      </c>
      <c r="AH35" s="7" t="e">
        <f t="shared" si="8"/>
        <v>#REF!</v>
      </c>
      <c r="AI35" s="7">
        <f t="shared" si="9"/>
        <v>0</v>
      </c>
    </row>
    <row r="36" spans="1:35" x14ac:dyDescent="0.25">
      <c r="A36" s="5" t="s">
        <v>85</v>
      </c>
      <c r="B36" s="5" t="s">
        <v>68</v>
      </c>
      <c r="C36" s="5" t="s">
        <v>128</v>
      </c>
      <c r="D36" s="5" t="s">
        <v>129</v>
      </c>
      <c r="E36" s="5">
        <v>16.2</v>
      </c>
      <c r="F36" s="5" t="s">
        <v>120</v>
      </c>
      <c r="G36" s="5" t="s">
        <v>121</v>
      </c>
      <c r="H36" s="5" t="s">
        <v>38</v>
      </c>
      <c r="I36" s="6" t="s">
        <v>65</v>
      </c>
      <c r="J36" s="6" t="s">
        <v>68</v>
      </c>
      <c r="K36" s="7" t="s">
        <v>149</v>
      </c>
      <c r="L36" s="7" t="s">
        <v>70</v>
      </c>
      <c r="N36" s="7" t="str">
        <f>IF(OR($C36="",$C36="FID YOK"),"",IF(ISNUMBER(MATCH($C36,FA_ANA,0)),"",IF(COUNTIF($C$1:$C35,$C36)&gt;0,"",MAX($N$1:$N35)+1)))</f>
        <v/>
      </c>
      <c r="S36" s="7">
        <f>IF(ISNA(MATCH($C36,FA,0)),0,IF($I36="GIRIS",N(INDEX(F_INKOR,MATCH($C36,FA,0))),0))</f>
        <v>0</v>
      </c>
      <c r="X36" s="7">
        <f>N($E36)*IF($F36="упак",MAX(1,IF(ISNA(MATCH($C36,FA,0)),1,N(INDEX(F_PAKET,MATCH($C36,FA,0))))),1)</f>
        <v>16.2</v>
      </c>
      <c r="Y36" s="7" t="e">
        <f t="shared" si="6"/>
        <v>#REF!</v>
      </c>
      <c r="Z36" s="7">
        <f>IF(OR(ISNA(MATCH($C36,FA,0)),$I36="YEDEK",$I36="SARF"),0,N($E36)*N(INDEX(F_TEL,MATCH($C36,FA,0))))</f>
        <v>0</v>
      </c>
      <c r="AA36" s="7">
        <f>IF(OR(ISNA(MATCH($C36,FA,0)),$I36="YEDEK",$I36="SARF"),0,N($E36)*N(INDEX(F_TELM,MATCH($C36,FA,0))))</f>
        <v>0</v>
      </c>
      <c r="AB36" s="7" t="e">
        <f t="shared" si="7"/>
        <v>#REF!</v>
      </c>
      <c r="AC36" s="7">
        <f>IF(OR(ISNA(MATCH($C36,FA,0)),$I36&lt;&gt;"CIKIS"),0,N(INDEX(F_KK,MATCH($C36,FA,0))))</f>
        <v>0</v>
      </c>
      <c r="AD36" s="7">
        <f>IF($AC36=0,0,N($E36)*N(INDEX(F_KLN,MATCH($C36,FA,0))))</f>
        <v>0</v>
      </c>
      <c r="AE36" s="7">
        <f>IF($AC36=0,0,N($E36)*N(INDEX(F_KPE,MATCH($C36,FA,0))))</f>
        <v>0</v>
      </c>
      <c r="AF36" s="7" t="e">
        <f>IF(ISNA(MATCH($C36,FA,0)),0,N($E36)*N(INDEX(F_MODUL,MATCH($C36,FA,0))))</f>
        <v>#REF!</v>
      </c>
      <c r="AG36" s="7" t="e">
        <f>N($E36)*N(#REF!)</f>
        <v>#REF!</v>
      </c>
      <c r="AH36" s="7" t="e">
        <f t="shared" si="8"/>
        <v>#REF!</v>
      </c>
      <c r="AI36" s="7">
        <f t="shared" si="9"/>
        <v>0</v>
      </c>
    </row>
    <row r="37" spans="1:35" x14ac:dyDescent="0.25">
      <c r="A37" s="5" t="s">
        <v>85</v>
      </c>
      <c r="B37" s="5" t="s">
        <v>68</v>
      </c>
      <c r="C37" s="5" t="s">
        <v>132</v>
      </c>
      <c r="D37" s="5" t="s">
        <v>133</v>
      </c>
      <c r="E37" s="5">
        <v>0.9</v>
      </c>
      <c r="F37" s="5" t="s">
        <v>120</v>
      </c>
      <c r="G37" s="5" t="s">
        <v>121</v>
      </c>
      <c r="H37" s="5" t="s">
        <v>38</v>
      </c>
      <c r="I37" s="6" t="s">
        <v>65</v>
      </c>
      <c r="J37" s="6" t="s">
        <v>68</v>
      </c>
      <c r="K37" s="7" t="s">
        <v>149</v>
      </c>
      <c r="L37" s="7" t="s">
        <v>71</v>
      </c>
      <c r="N37" s="7" t="str">
        <f>IF(OR($C37="",$C37="FID YOK"),"",IF(ISNUMBER(MATCH($C37,FA_ANA,0)),"",IF(COUNTIF($C$1:$C36,$C37)&gt;0,"",MAX($N$1:$N36)+1)))</f>
        <v/>
      </c>
      <c r="S37" s="7">
        <f>IF(ISNA(MATCH($C37,FA,0)),0,IF($I37="GIRIS",N(INDEX(F_INKOR,MATCH($C37,FA,0))),0))</f>
        <v>0</v>
      </c>
      <c r="X37" s="7">
        <f>N($E37)*IF($F37="упак",MAX(1,IF(ISNA(MATCH($C37,FA,0)),1,N(INDEX(F_PAKET,MATCH($C37,FA,0))))),1)</f>
        <v>0.9</v>
      </c>
      <c r="Y37" s="7" t="e">
        <f t="shared" si="6"/>
        <v>#REF!</v>
      </c>
      <c r="Z37" s="7">
        <f>IF(OR(ISNA(MATCH($C37,FA,0)),$I37="YEDEK",$I37="SARF"),0,N($E37)*N(INDEX(F_TEL,MATCH($C37,FA,0))))</f>
        <v>0</v>
      </c>
      <c r="AA37" s="7">
        <f>IF(OR(ISNA(MATCH($C37,FA,0)),$I37="YEDEK",$I37="SARF"),0,N($E37)*N(INDEX(F_TELM,MATCH($C37,FA,0))))</f>
        <v>0</v>
      </c>
      <c r="AB37" s="7" t="e">
        <f t="shared" si="7"/>
        <v>#REF!</v>
      </c>
      <c r="AC37" s="7">
        <f>IF(OR(ISNA(MATCH($C37,FA,0)),$I37&lt;&gt;"CIKIS"),0,N(INDEX(F_KK,MATCH($C37,FA,0))))</f>
        <v>0</v>
      </c>
      <c r="AD37" s="7">
        <f>IF($AC37=0,0,N($E37)*N(INDEX(F_KLN,MATCH($C37,FA,0))))</f>
        <v>0</v>
      </c>
      <c r="AE37" s="7">
        <f>IF($AC37=0,0,N($E37)*N(INDEX(F_KPE,MATCH($C37,FA,0))))</f>
        <v>0</v>
      </c>
      <c r="AF37" s="7" t="e">
        <f>IF(ISNA(MATCH($C37,FA,0)),0,N($E37)*N(INDEX(F_MODUL,MATCH($C37,FA,0))))</f>
        <v>#REF!</v>
      </c>
      <c r="AG37" s="7" t="e">
        <f>N($E37)*N(#REF!)</f>
        <v>#REF!</v>
      </c>
      <c r="AH37" s="7" t="e">
        <f t="shared" si="8"/>
        <v>#REF!</v>
      </c>
      <c r="AI37" s="7">
        <f t="shared" si="9"/>
        <v>0</v>
      </c>
    </row>
    <row r="38" spans="1:35" x14ac:dyDescent="0.25">
      <c r="A38" s="5" t="s">
        <v>85</v>
      </c>
      <c r="B38" s="5" t="s">
        <v>68</v>
      </c>
      <c r="C38" s="5" t="s">
        <v>132</v>
      </c>
      <c r="D38" s="5" t="s">
        <v>133</v>
      </c>
      <c r="E38" s="5">
        <v>0.5</v>
      </c>
      <c r="F38" s="5" t="s">
        <v>120</v>
      </c>
      <c r="G38" s="5" t="s">
        <v>121</v>
      </c>
      <c r="H38" s="5" t="s">
        <v>38</v>
      </c>
      <c r="I38" s="6" t="s">
        <v>65</v>
      </c>
      <c r="J38" s="6" t="s">
        <v>68</v>
      </c>
      <c r="K38" s="7" t="s">
        <v>149</v>
      </c>
      <c r="L38" s="7" t="s">
        <v>72</v>
      </c>
      <c r="N38" s="7" t="str">
        <f>IF(OR($C38="",$C38="FID YOK"),"",IF(ISNUMBER(MATCH($C38,FA_ANA,0)),"",IF(COUNTIF($C$1:$C37,$C38)&gt;0,"",MAX($N$1:$N37)+1)))</f>
        <v/>
      </c>
      <c r="S38" s="7">
        <f>IF(ISNA(MATCH($C38,FA,0)),0,IF($I38="GIRIS",N(INDEX(F_INKOR,MATCH($C38,FA,0))),0))</f>
        <v>0</v>
      </c>
      <c r="X38" s="7">
        <f>N($E38)*IF($F38="упак",MAX(1,IF(ISNA(MATCH($C38,FA,0)),1,N(INDEX(F_PAKET,MATCH($C38,FA,0))))),1)</f>
        <v>0.5</v>
      </c>
      <c r="Y38" s="7" t="e">
        <f t="shared" si="6"/>
        <v>#REF!</v>
      </c>
      <c r="Z38" s="7">
        <f>IF(OR(ISNA(MATCH($C38,FA,0)),$I38="YEDEK",$I38="SARF"),0,N($E38)*N(INDEX(F_TEL,MATCH($C38,FA,0))))</f>
        <v>0</v>
      </c>
      <c r="AA38" s="7">
        <f>IF(OR(ISNA(MATCH($C38,FA,0)),$I38="YEDEK",$I38="SARF"),0,N($E38)*N(INDEX(F_TELM,MATCH($C38,FA,0))))</f>
        <v>0</v>
      </c>
      <c r="AB38" s="7" t="e">
        <f t="shared" si="7"/>
        <v>#REF!</v>
      </c>
      <c r="AC38" s="7">
        <f>IF(OR(ISNA(MATCH($C38,FA,0)),$I38&lt;&gt;"CIKIS"),0,N(INDEX(F_KK,MATCH($C38,FA,0))))</f>
        <v>0</v>
      </c>
      <c r="AD38" s="7">
        <f>IF($AC38=0,0,N($E38)*N(INDEX(F_KLN,MATCH($C38,FA,0))))</f>
        <v>0</v>
      </c>
      <c r="AE38" s="7">
        <f>IF($AC38=0,0,N($E38)*N(INDEX(F_KPE,MATCH($C38,FA,0))))</f>
        <v>0</v>
      </c>
      <c r="AF38" s="7" t="e">
        <f>IF(ISNA(MATCH($C38,FA,0)),0,N($E38)*N(INDEX(F_MODUL,MATCH($C38,FA,0))))</f>
        <v>#REF!</v>
      </c>
      <c r="AG38" s="7" t="e">
        <f>N($E38)*N(#REF!)</f>
        <v>#REF!</v>
      </c>
      <c r="AH38" s="7" t="e">
        <f t="shared" si="8"/>
        <v>#REF!</v>
      </c>
      <c r="AI38" s="7">
        <f t="shared" si="9"/>
        <v>0</v>
      </c>
    </row>
    <row r="39" spans="1:35" x14ac:dyDescent="0.25">
      <c r="A39" s="5" t="s">
        <v>85</v>
      </c>
      <c r="B39" s="5" t="s">
        <v>73</v>
      </c>
      <c r="C39" s="5" t="s">
        <v>126</v>
      </c>
      <c r="D39" s="5" t="s">
        <v>127</v>
      </c>
      <c r="E39" s="5">
        <v>1</v>
      </c>
      <c r="F39" s="5" t="s">
        <v>122</v>
      </c>
      <c r="G39" s="5" t="s">
        <v>123</v>
      </c>
      <c r="H39" s="5" t="s">
        <v>38</v>
      </c>
      <c r="I39" s="6" t="s">
        <v>65</v>
      </c>
      <c r="J39" s="6" t="s">
        <v>73</v>
      </c>
      <c r="K39" s="7" t="s">
        <v>148</v>
      </c>
      <c r="L39" s="7" t="s">
        <v>74</v>
      </c>
      <c r="N39" s="7" t="str">
        <f>IF(OR($C39="",$C39="FID YOK"),"",IF(ISNUMBER(MATCH($C39,FA_ANA,0)),"",IF(COUNTIF($C$1:$C38,$C39)&gt;0,"",MAX($N$1:$N38)+1)))</f>
        <v/>
      </c>
      <c r="S39" s="7">
        <f>IF(ISNA(MATCH($C39,FA,0)),0,IF($I39="GIRIS",N(INDEX(F_INKOR,MATCH($C39,FA,0))),0))</f>
        <v>0</v>
      </c>
      <c r="X39" s="7" t="e">
        <f>N($E39)*IF($F39="упак",MAX(1,IF(ISNA(MATCH($C39,FA,0)),1,N(INDEX(F_PAKET,MATCH($C39,FA,0))))),1)</f>
        <v>#REF!</v>
      </c>
      <c r="Y39" s="7" t="e">
        <f t="shared" si="6"/>
        <v>#REF!</v>
      </c>
      <c r="Z39" s="7">
        <f>IF(OR(ISNA(MATCH($C39,FA,0)),$I39="YEDEK",$I39="SARF"),0,N($E39)*N(INDEX(F_TEL,MATCH($C39,FA,0))))</f>
        <v>0</v>
      </c>
      <c r="AA39" s="7">
        <f>IF(OR(ISNA(MATCH($C39,FA,0)),$I39="YEDEK",$I39="SARF"),0,N($E39)*N(INDEX(F_TELM,MATCH($C39,FA,0))))</f>
        <v>0</v>
      </c>
      <c r="AB39" s="7" t="e">
        <f t="shared" si="7"/>
        <v>#REF!</v>
      </c>
      <c r="AC39" s="7">
        <f>IF(OR(ISNA(MATCH($C39,FA,0)),$I39&lt;&gt;"CIKIS"),0,N(INDEX(F_KK,MATCH($C39,FA,0))))</f>
        <v>0</v>
      </c>
      <c r="AD39" s="7">
        <f>IF($AC39=0,0,N($E39)*N(INDEX(F_KLN,MATCH($C39,FA,0))))</f>
        <v>0</v>
      </c>
      <c r="AE39" s="7">
        <f>IF($AC39=0,0,N($E39)*N(INDEX(F_KPE,MATCH($C39,FA,0))))</f>
        <v>0</v>
      </c>
      <c r="AF39" s="7" t="e">
        <f>IF(ISNA(MATCH($C39,FA,0)),0,N($E39)*N(INDEX(F_MODUL,MATCH($C39,FA,0))))</f>
        <v>#REF!</v>
      </c>
      <c r="AG39" s="7" t="e">
        <f>N($E39)*N(#REF!)</f>
        <v>#REF!</v>
      </c>
      <c r="AH39" s="7" t="e">
        <f t="shared" si="8"/>
        <v>#REF!</v>
      </c>
      <c r="AI39" s="7">
        <f t="shared" si="9"/>
        <v>0</v>
      </c>
    </row>
    <row r="40" spans="1:35" x14ac:dyDescent="0.25">
      <c r="A40" s="5" t="s">
        <v>85</v>
      </c>
      <c r="B40" s="5" t="s">
        <v>73</v>
      </c>
      <c r="C40" s="5" t="s">
        <v>130</v>
      </c>
      <c r="D40" s="5" t="s">
        <v>131</v>
      </c>
      <c r="E40" s="5">
        <v>1</v>
      </c>
      <c r="F40" s="5" t="s">
        <v>122</v>
      </c>
      <c r="G40" s="5" t="s">
        <v>123</v>
      </c>
      <c r="H40" s="5" t="s">
        <v>38</v>
      </c>
      <c r="I40" s="6" t="s">
        <v>65</v>
      </c>
      <c r="J40" s="6" t="s">
        <v>73</v>
      </c>
      <c r="K40" s="7" t="s">
        <v>148</v>
      </c>
      <c r="L40" s="7" t="s">
        <v>75</v>
      </c>
      <c r="N40" s="7" t="str">
        <f>IF(OR($C40="",$C40="FID YOK"),"",IF(ISNUMBER(MATCH($C40,FA_ANA,0)),"",IF(COUNTIF($C$1:$C39,$C40)&gt;0,"",MAX($N$1:$N39)+1)))</f>
        <v/>
      </c>
      <c r="S40" s="7">
        <f>IF(ISNA(MATCH($C40,FA,0)),0,IF($I40="GIRIS",N(INDEX(F_INKOR,MATCH($C40,FA,0))),0))</f>
        <v>0</v>
      </c>
      <c r="X40" s="7" t="e">
        <f>N($E40)*IF($F40="упак",MAX(1,IF(ISNA(MATCH($C40,FA,0)),1,N(INDEX(F_PAKET,MATCH($C40,FA,0))))),1)</f>
        <v>#REF!</v>
      </c>
      <c r="Y40" s="7" t="e">
        <f t="shared" si="6"/>
        <v>#REF!</v>
      </c>
      <c r="Z40" s="7">
        <f>IF(OR(ISNA(MATCH($C40,FA,0)),$I40="YEDEK",$I40="SARF"),0,N($E40)*N(INDEX(F_TEL,MATCH($C40,FA,0))))</f>
        <v>0</v>
      </c>
      <c r="AA40" s="7">
        <f>IF(OR(ISNA(MATCH($C40,FA,0)),$I40="YEDEK",$I40="SARF"),0,N($E40)*N(INDEX(F_TELM,MATCH($C40,FA,0))))</f>
        <v>0</v>
      </c>
      <c r="AB40" s="7" t="e">
        <f t="shared" si="7"/>
        <v>#REF!</v>
      </c>
      <c r="AC40" s="7">
        <f>IF(OR(ISNA(MATCH($C40,FA,0)),$I40&lt;&gt;"CIKIS"),0,N(INDEX(F_KK,MATCH($C40,FA,0))))</f>
        <v>0</v>
      </c>
      <c r="AD40" s="7">
        <f>IF($AC40=0,0,N($E40)*N(INDEX(F_KLN,MATCH($C40,FA,0))))</f>
        <v>0</v>
      </c>
      <c r="AE40" s="7">
        <f>IF($AC40=0,0,N($E40)*N(INDEX(F_KPE,MATCH($C40,FA,0))))</f>
        <v>0</v>
      </c>
      <c r="AF40" s="7" t="e">
        <f>IF(ISNA(MATCH($C40,FA,0)),0,N($E40)*N(INDEX(F_MODUL,MATCH($C40,FA,0))))</f>
        <v>#REF!</v>
      </c>
      <c r="AG40" s="7" t="e">
        <f>N($E40)*N(#REF!)</f>
        <v>#REF!</v>
      </c>
      <c r="AH40" s="7" t="e">
        <f t="shared" si="8"/>
        <v>#REF!</v>
      </c>
      <c r="AI40" s="7">
        <f t="shared" si="9"/>
        <v>0</v>
      </c>
    </row>
    <row r="41" spans="1:35" x14ac:dyDescent="0.25">
      <c r="A41" s="5" t="s">
        <v>85</v>
      </c>
      <c r="B41" s="5" t="s">
        <v>73</v>
      </c>
      <c r="C41" s="5" t="s">
        <v>134</v>
      </c>
      <c r="D41" s="5" t="s">
        <v>135</v>
      </c>
      <c r="E41" s="5">
        <v>1</v>
      </c>
      <c r="F41" s="5" t="s">
        <v>122</v>
      </c>
      <c r="G41" s="5" t="s">
        <v>123</v>
      </c>
      <c r="H41" s="5" t="s">
        <v>38</v>
      </c>
      <c r="I41" s="6" t="s">
        <v>65</v>
      </c>
      <c r="J41" s="6" t="s">
        <v>73</v>
      </c>
      <c r="K41" s="7" t="s">
        <v>148</v>
      </c>
      <c r="L41" s="7" t="s">
        <v>76</v>
      </c>
      <c r="N41" s="7" t="str">
        <f>IF(OR($C41="",$C41="FID YOK"),"",IF(ISNUMBER(MATCH($C41,FA_ANA,0)),"",IF(COUNTIF($C$1:$C40,$C41)&gt;0,"",MAX($N$1:$N40)+1)))</f>
        <v/>
      </c>
      <c r="S41" s="7">
        <f>IF(ISNA(MATCH($C41,FA,0)),0,IF($I41="GIRIS",N(INDEX(F_INKOR,MATCH($C41,FA,0))),0))</f>
        <v>0</v>
      </c>
      <c r="X41" s="7" t="e">
        <f>N($E41)*IF($F41="упак",MAX(1,IF(ISNA(MATCH($C41,FA,0)),1,N(INDEX(F_PAKET,MATCH($C41,FA,0))))),1)</f>
        <v>#REF!</v>
      </c>
      <c r="Y41" s="7" t="e">
        <f t="shared" si="6"/>
        <v>#REF!</v>
      </c>
      <c r="Z41" s="7">
        <f>IF(OR(ISNA(MATCH($C41,FA,0)),$I41="YEDEK",$I41="SARF"),0,N($E41)*N(INDEX(F_TEL,MATCH($C41,FA,0))))</f>
        <v>0</v>
      </c>
      <c r="AA41" s="7">
        <f>IF(OR(ISNA(MATCH($C41,FA,0)),$I41="YEDEK",$I41="SARF"),0,N($E41)*N(INDEX(F_TELM,MATCH($C41,FA,0))))</f>
        <v>0</v>
      </c>
      <c r="AB41" s="7" t="e">
        <f t="shared" si="7"/>
        <v>#REF!</v>
      </c>
      <c r="AC41" s="7">
        <f>IF(OR(ISNA(MATCH($C41,FA,0)),$I41&lt;&gt;"CIKIS"),0,N(INDEX(F_KK,MATCH($C41,FA,0))))</f>
        <v>0</v>
      </c>
      <c r="AD41" s="7">
        <f>IF($AC41=0,0,N($E41)*N(INDEX(F_KLN,MATCH($C41,FA,0))))</f>
        <v>0</v>
      </c>
      <c r="AE41" s="7">
        <f>IF($AC41=0,0,N($E41)*N(INDEX(F_KPE,MATCH($C41,FA,0))))</f>
        <v>0</v>
      </c>
      <c r="AF41" s="7" t="e">
        <f>IF(ISNA(MATCH($C41,FA,0)),0,N($E41)*N(INDEX(F_MODUL,MATCH($C41,FA,0))))</f>
        <v>#REF!</v>
      </c>
      <c r="AG41" s="7" t="e">
        <f>N($E41)*N(#REF!)</f>
        <v>#REF!</v>
      </c>
      <c r="AH41" s="7" t="e">
        <f t="shared" si="8"/>
        <v>#REF!</v>
      </c>
      <c r="AI41" s="7">
        <f t="shared" si="9"/>
        <v>0</v>
      </c>
    </row>
    <row r="42" spans="1:35" x14ac:dyDescent="0.25">
      <c r="A42" s="5" t="s">
        <v>85</v>
      </c>
      <c r="B42" s="5" t="s">
        <v>77</v>
      </c>
      <c r="C42" s="5" t="s">
        <v>136</v>
      </c>
      <c r="D42" s="5" t="s">
        <v>137</v>
      </c>
      <c r="E42" s="5">
        <v>2</v>
      </c>
      <c r="F42" s="5" t="s">
        <v>82</v>
      </c>
      <c r="G42" s="5" t="s">
        <v>123</v>
      </c>
      <c r="H42" s="5" t="s">
        <v>38</v>
      </c>
      <c r="I42" s="6" t="s">
        <v>65</v>
      </c>
      <c r="J42" s="6" t="s">
        <v>77</v>
      </c>
      <c r="K42" s="7" t="s">
        <v>148</v>
      </c>
      <c r="L42" s="7" t="s">
        <v>78</v>
      </c>
      <c r="N42" s="7" t="str">
        <f>IF(OR($C42="",$C42="FID YOK"),"",IF(ISNUMBER(MATCH($C42,FA_ANA,0)),"",IF(COUNTIF($C$1:$C41,$C42)&gt;0,"",MAX($N$1:$N41)+1)))</f>
        <v/>
      </c>
      <c r="S42" s="7">
        <f>IF(ISNA(MATCH($C42,FA,0)),0,IF($I42="GIRIS",N(INDEX(F_INKOR,MATCH($C42,FA,0))),0))</f>
        <v>0</v>
      </c>
      <c r="X42" s="7">
        <f>N($E42)*IF($F42="упак",MAX(1,IF(ISNA(MATCH($C42,FA,0)),1,N(INDEX(F_PAKET,MATCH($C42,FA,0))))),1)</f>
        <v>2</v>
      </c>
      <c r="Y42" s="7" t="e">
        <f t="shared" si="6"/>
        <v>#REF!</v>
      </c>
      <c r="Z42" s="7">
        <f>IF(OR(ISNA(MATCH($C42,FA,0)),$I42="YEDEK",$I42="SARF"),0,N($E42)*N(INDEX(F_TEL,MATCH($C42,FA,0))))</f>
        <v>0</v>
      </c>
      <c r="AA42" s="7">
        <f>IF(OR(ISNA(MATCH($C42,FA,0)),$I42="YEDEK",$I42="SARF"),0,N($E42)*N(INDEX(F_TELM,MATCH($C42,FA,0))))</f>
        <v>0</v>
      </c>
      <c r="AB42" s="7" t="e">
        <f t="shared" si="7"/>
        <v>#REF!</v>
      </c>
      <c r="AC42" s="7">
        <f>IF(OR(ISNA(MATCH($C42,FA,0)),$I42&lt;&gt;"CIKIS"),0,N(INDEX(F_KK,MATCH($C42,FA,0))))</f>
        <v>0</v>
      </c>
      <c r="AD42" s="7">
        <f>IF($AC42=0,0,N($E42)*N(INDEX(F_KLN,MATCH($C42,FA,0))))</f>
        <v>0</v>
      </c>
      <c r="AE42" s="7">
        <f>IF($AC42=0,0,N($E42)*N(INDEX(F_KPE,MATCH($C42,FA,0))))</f>
        <v>0</v>
      </c>
      <c r="AF42" s="7" t="e">
        <f>IF(ISNA(MATCH($C42,FA,0)),0,N($E42)*N(INDEX(F_MODUL,MATCH($C42,FA,0))))</f>
        <v>#REF!</v>
      </c>
      <c r="AG42" s="7" t="e">
        <f>N($E42)*N(#REF!)</f>
        <v>#REF!</v>
      </c>
      <c r="AH42" s="7" t="e">
        <f t="shared" si="8"/>
        <v>#REF!</v>
      </c>
      <c r="AI42" s="7">
        <f t="shared" si="9"/>
        <v>0</v>
      </c>
    </row>
    <row r="43" spans="1:35" x14ac:dyDescent="0.25">
      <c r="A43" s="5" t="s">
        <v>85</v>
      </c>
      <c r="B43" s="5" t="s">
        <v>79</v>
      </c>
      <c r="C43" s="5" t="s">
        <v>138</v>
      </c>
      <c r="D43" s="5" t="s">
        <v>139</v>
      </c>
      <c r="E43" s="5">
        <v>1</v>
      </c>
      <c r="F43" s="5" t="s">
        <v>122</v>
      </c>
      <c r="G43" s="5" t="s">
        <v>123</v>
      </c>
      <c r="H43" s="5" t="s">
        <v>38</v>
      </c>
      <c r="I43" s="6" t="s">
        <v>65</v>
      </c>
      <c r="J43" s="6" t="s">
        <v>79</v>
      </c>
      <c r="K43" s="7" t="s">
        <v>148</v>
      </c>
      <c r="L43" s="7" t="s">
        <v>80</v>
      </c>
      <c r="N43" s="7" t="str">
        <f>IF(OR($C43="",$C43="FID YOK"),"",IF(ISNUMBER(MATCH($C43,FA_ANA,0)),"",IF(COUNTIF($C$1:$C42,$C43)&gt;0,"",MAX($N$1:$N42)+1)))</f>
        <v/>
      </c>
      <c r="S43" s="7">
        <f>IF(ISNA(MATCH($C43,FA,0)),0,IF($I43="GIRIS",N(INDEX(F_INKOR,MATCH($C43,FA,0))),0))</f>
        <v>0</v>
      </c>
      <c r="X43" s="7" t="e">
        <f>N($E43)*IF($F43="упак",MAX(1,IF(ISNA(MATCH($C43,FA,0)),1,N(INDEX(F_PAKET,MATCH($C43,FA,0))))),1)</f>
        <v>#REF!</v>
      </c>
      <c r="Y43" s="7" t="e">
        <f t="shared" si="6"/>
        <v>#REF!</v>
      </c>
      <c r="Z43" s="7">
        <f>IF(OR(ISNA(MATCH($C43,FA,0)),$I43="YEDEK",$I43="SARF"),0,N($E43)*N(INDEX(F_TEL,MATCH($C43,FA,0))))</f>
        <v>0</v>
      </c>
      <c r="AA43" s="7">
        <f>IF(OR(ISNA(MATCH($C43,FA,0)),$I43="YEDEK",$I43="SARF"),0,N($E43)*N(INDEX(F_TELM,MATCH($C43,FA,0))))</f>
        <v>0</v>
      </c>
      <c r="AB43" s="7" t="e">
        <f t="shared" si="7"/>
        <v>#REF!</v>
      </c>
      <c r="AC43" s="7">
        <f>IF(OR(ISNA(MATCH($C43,FA,0)),$I43&lt;&gt;"CIKIS"),0,N(INDEX(F_KK,MATCH($C43,FA,0))))</f>
        <v>0</v>
      </c>
      <c r="AD43" s="7">
        <f>IF($AC43=0,0,N($E43)*N(INDEX(F_KLN,MATCH($C43,FA,0))))</f>
        <v>0</v>
      </c>
      <c r="AE43" s="7">
        <f>IF($AC43=0,0,N($E43)*N(INDEX(F_KPE,MATCH($C43,FA,0))))</f>
        <v>0</v>
      </c>
      <c r="AF43" s="7" t="e">
        <f>IF(ISNA(MATCH($C43,FA,0)),0,N($E43)*N(INDEX(F_MODUL,MATCH($C43,FA,0))))</f>
        <v>#REF!</v>
      </c>
      <c r="AG43" s="7" t="e">
        <f>N($E43)*N(#REF!)</f>
        <v>#REF!</v>
      </c>
      <c r="AH43" s="7" t="e">
        <f t="shared" si="8"/>
        <v>#REF!</v>
      </c>
      <c r="AI43" s="7">
        <f t="shared" si="9"/>
        <v>0</v>
      </c>
    </row>
    <row r="44" spans="1:35" x14ac:dyDescent="0.25">
      <c r="A44" s="5" t="s">
        <v>85</v>
      </c>
      <c r="B44" s="5" t="s">
        <v>81</v>
      </c>
      <c r="C44" s="5" t="s">
        <v>81</v>
      </c>
      <c r="D44" s="5" t="s">
        <v>81</v>
      </c>
      <c r="E44" s="5">
        <v>1</v>
      </c>
      <c r="F44" s="5" t="s">
        <v>82</v>
      </c>
      <c r="G44" s="5" t="s">
        <v>81</v>
      </c>
      <c r="H44" s="5" t="s">
        <v>38</v>
      </c>
    </row>
    <row r="45" spans="1:35" x14ac:dyDescent="0.25">
      <c r="A45" s="5" t="s">
        <v>85</v>
      </c>
      <c r="B45" s="5" t="s">
        <v>83</v>
      </c>
      <c r="C45" s="5" t="s">
        <v>83</v>
      </c>
      <c r="D45" s="5" t="s">
        <v>83</v>
      </c>
      <c r="E45" s="5">
        <v>133.80000000000001</v>
      </c>
      <c r="F45" s="5" t="s">
        <v>84</v>
      </c>
      <c r="G45" s="5" t="s">
        <v>83</v>
      </c>
      <c r="H45" s="5" t="s">
        <v>38</v>
      </c>
    </row>
    <row r="46" spans="1:35" x14ac:dyDescent="0.25">
      <c r="A46" s="5" t="s">
        <v>85</v>
      </c>
      <c r="B46" s="9"/>
      <c r="C46" s="9"/>
      <c r="D46" s="9"/>
      <c r="E46" s="9"/>
      <c r="F46" s="9"/>
      <c r="G46" s="9"/>
      <c r="H46" s="5" t="s">
        <v>38</v>
      </c>
      <c r="K46" s="6" t="s">
        <v>150</v>
      </c>
      <c r="L46" s="6" t="s">
        <v>151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2026-09-24T03:55:41Z</dcterms:created>
  <dcterms:modified xsi:type="dcterms:W3CDTF">2026-09-25T13:44:56Z</dcterms:modified>
  <dc:language>en-US</dc:language>
</cp:coreProperties>
</file>