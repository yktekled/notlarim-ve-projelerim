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15 rahmi bey elle cizilen\"/>
    </mc:Choice>
  </mc:AlternateContent>
  <xr:revisionPtr revIDLastSave="0" documentId="13_ncr:1_{EEFB93FC-D414-4A65-B603-D5EB1014721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СВОД" sheetId="2" r:id="rId2"/>
    <sheet name="Kurallar" sheetId="3" r:id="rId3"/>
  </sheets>
  <definedNames>
    <definedName name="_xlnm._FilterDatabase" localSheetId="0" hidden="1">BOM!$A$1:$L$34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" i="1" l="1"/>
  <c r="G12" i="1"/>
  <c r="H12" i="1" s="1"/>
  <c r="G3" i="1"/>
  <c r="H3" i="1" s="1"/>
  <c r="I32" i="1"/>
  <c r="I21" i="1"/>
  <c r="H21" i="1" s="1"/>
  <c r="L21" i="1" s="1"/>
  <c r="I9" i="1"/>
  <c r="H9" i="1" s="1"/>
  <c r="L9" i="1" s="1"/>
  <c r="G31" i="1"/>
  <c r="H31" i="1" s="1"/>
  <c r="L31" i="1" s="1"/>
  <c r="G30" i="1"/>
  <c r="H30" i="1" s="1"/>
  <c r="L30" i="1" s="1"/>
  <c r="G29" i="1"/>
  <c r="H29" i="1" s="1"/>
  <c r="L29" i="1" s="1"/>
  <c r="G28" i="1"/>
  <c r="H28" i="1" s="1"/>
  <c r="L28" i="1" s="1"/>
  <c r="G27" i="1"/>
  <c r="H27" i="1" s="1"/>
  <c r="L27" i="1" s="1"/>
  <c r="G26" i="1"/>
  <c r="H26" i="1" s="1"/>
  <c r="L26" i="1" s="1"/>
  <c r="G25" i="1"/>
  <c r="H25" i="1" s="1"/>
  <c r="L25" i="1" s="1"/>
  <c r="H24" i="1"/>
  <c r="B23" i="1"/>
  <c r="G20" i="1"/>
  <c r="H20" i="1" s="1"/>
  <c r="L20" i="1" s="1"/>
  <c r="G19" i="1"/>
  <c r="H19" i="1" s="1"/>
  <c r="L19" i="1" s="1"/>
  <c r="G18" i="1"/>
  <c r="H18" i="1" s="1"/>
  <c r="L18" i="1" s="1"/>
  <c r="G17" i="1"/>
  <c r="H17" i="1" s="1"/>
  <c r="L17" i="1" s="1"/>
  <c r="G16" i="1"/>
  <c r="H16" i="1" s="1"/>
  <c r="L16" i="1" s="1"/>
  <c r="G15" i="1"/>
  <c r="H15" i="1" s="1"/>
  <c r="L15" i="1" s="1"/>
  <c r="G14" i="1"/>
  <c r="H14" i="1" s="1"/>
  <c r="L14" i="1" s="1"/>
  <c r="G13" i="1"/>
  <c r="H13" i="1" s="1"/>
  <c r="L13" i="1" s="1"/>
  <c r="B11" i="1"/>
  <c r="G8" i="1"/>
  <c r="H8" i="1" s="1"/>
  <c r="L8" i="1" s="1"/>
  <c r="G7" i="1"/>
  <c r="H7" i="1" s="1"/>
  <c r="L7" i="1" s="1"/>
  <c r="G6" i="1"/>
  <c r="H6" i="1" s="1"/>
  <c r="L6" i="1" s="1"/>
  <c r="G5" i="1"/>
  <c r="H5" i="1" s="1"/>
  <c r="L5" i="1" s="1"/>
  <c r="G4" i="1"/>
  <c r="H4" i="1" s="1"/>
  <c r="L4" i="1" s="1"/>
  <c r="B2" i="1"/>
  <c r="H32" i="1" l="1"/>
  <c r="L32" i="1" s="1"/>
  <c r="H22" i="1"/>
  <c r="E3" i="2" s="1"/>
  <c r="F3" i="2" s="1"/>
  <c r="G3" i="2" s="1"/>
  <c r="L12" i="1"/>
  <c r="L22" i="1" s="1"/>
  <c r="L3" i="1"/>
  <c r="L10" i="1" s="1"/>
  <c r="H10" i="1"/>
  <c r="L24" i="1"/>
  <c r="H33" i="1"/>
  <c r="E4" i="2" s="1"/>
  <c r="F4" i="2" s="1"/>
  <c r="G4" i="2" s="1"/>
  <c r="L33" i="1" l="1"/>
  <c r="L34" i="1" s="1"/>
  <c r="E2" i="2"/>
  <c r="H34" i="1"/>
  <c r="E5" i="2" l="1"/>
  <c r="F2" i="2"/>
  <c r="G2" i="2" s="1"/>
  <c r="G5" i="2" s="1"/>
</calcChain>
</file>

<file path=xl/sharedStrings.xml><?xml version="1.0" encoding="utf-8"?>
<sst xmlns="http://schemas.openxmlformats.org/spreadsheetml/2006/main" count="190" uniqueCount="93">
  <si>
    <t>ROW</t>
  </si>
  <si>
    <t>Наименование1</t>
  </si>
  <si>
    <t>Tip</t>
  </si>
  <si>
    <t>Артикул</t>
  </si>
  <si>
    <t>Номенклатура</t>
  </si>
  <si>
    <t>Цена (liste KZT)</t>
  </si>
  <si>
    <t>Net KZT</t>
  </si>
  <si>
    <t>Сумма</t>
  </si>
  <si>
    <t>Qty</t>
  </si>
  <si>
    <t>Ед.изм.</t>
  </si>
  <si>
    <t>Завод</t>
  </si>
  <si>
    <t>malz(tutar)</t>
  </si>
  <si>
    <t>ЩС-112 (Раздевалка), вводной 63А 3P</t>
  </si>
  <si>
    <t>комплект</t>
  </si>
  <si>
    <t>korpus</t>
  </si>
  <si>
    <t>-</t>
  </si>
  <si>
    <t>шт.</t>
  </si>
  <si>
    <t>OTO</t>
  </si>
  <si>
    <t>296833</t>
  </si>
  <si>
    <t>Авт. выкл. NXB-63S 3P 63А 4.5kA х-ка C (вводной)</t>
  </si>
  <si>
    <t>CHINT</t>
  </si>
  <si>
    <t>296713</t>
  </si>
  <si>
    <t>Авт. выкл. NXB-63S 1P 32А 4.5kA х-ка C (Гр.1-9)</t>
  </si>
  <si>
    <t>296714</t>
  </si>
  <si>
    <t>Авт. выкл. NXB-63S 1P 40А 4.5kA х-ка C (Гр.10-12)</t>
  </si>
  <si>
    <t>LOOBAR</t>
  </si>
  <si>
    <t>811010</t>
  </si>
  <si>
    <t>Шина соединительная FORK 3P 63А L=1000мм</t>
  </si>
  <si>
    <t>montajный материал</t>
  </si>
  <si>
    <t>DIN-рейка, кабель-канал, НШВ/PE, klemens, uç — MANUEL FİYAT</t>
  </si>
  <si>
    <t>компл.</t>
  </si>
  <si>
    <t>montajная работа</t>
  </si>
  <si>
    <t>Сборка и монтаж щита</t>
  </si>
  <si>
    <t>Toplam ЩС-112 (Раздевалка)</t>
  </si>
  <si>
    <t>ЩС АБК, вводной 400А 3P</t>
  </si>
  <si>
    <t>TMŞ</t>
  </si>
  <si>
    <t>268938</t>
  </si>
  <si>
    <t>Авт. выкл. NM8N-400C TM 3P 400А 36кА с рег. термомаг. расц. (вводной)</t>
  </si>
  <si>
    <t>271142</t>
  </si>
  <si>
    <t>Авт. выкл. NM8N-250C TM 3P 160А 36кА с рег. термомаг. расц. (Гр.20)</t>
  </si>
  <si>
    <t>816141</t>
  </si>
  <si>
    <t>Авт. выкл. NXB-125 3P 100А 10кА х-ка C (Гр.8 - "ЭлА?" KONTROL)</t>
  </si>
  <si>
    <t>Авт. выкл. NXB-63S 3P 63А 4.5kA х-ка C (Гр.9 АБК, Гр.19 Резерв)</t>
  </si>
  <si>
    <t>296832</t>
  </si>
  <si>
    <t>Авт. выкл. NXB-63S 3P 50А 4.5kA х-ка C (Гр.10 КНС, Гр.18 Резерв)</t>
  </si>
  <si>
    <t>Авт. выкл. NXB-63S 1P 40А 4.5kA х-ка C (Гр.1-7, 11-17)</t>
  </si>
  <si>
    <t>Ana bara Cu (ПУЭ 1.3.31, ~40х4), DIN-рейка, kanal, klemens, НШВ/PE — MANUEL</t>
  </si>
  <si>
    <t>Toplam ЩС АБК</t>
  </si>
  <si>
    <t>ЩС Кафе, вводной 160А 3P</t>
  </si>
  <si>
    <t>Авт. выкл. NM8N-250C TM 3P 160А 36кА с рег. термомаг. расц. (вводной)</t>
  </si>
  <si>
    <t>Авт. выкл. NXB-125 3P 100А 10кА х-ка C (Гр.20)</t>
  </si>
  <si>
    <t>Авт. выкл. NXB-63S 3P 63А 4.5kA х-ка C (Гр.7-10, 17)</t>
  </si>
  <si>
    <t>Авт. выкл. NXB-63S 3P 50А 4.5kA х-ка C (Гр.18-19)</t>
  </si>
  <si>
    <t>Авт. выкл. NXB-63S 1P 40А 4.5kA х-ка C (Гр.1-6, 11-16)</t>
  </si>
  <si>
    <t>DIN-рейка, kanal, klemens, НШВ/PE, uç — MANUEL FİYAT</t>
  </si>
  <si>
    <t>Toplam ЩС Кафе</t>
  </si>
  <si>
    <t>GENEL TOPLAM (3 pano)</t>
  </si>
  <si>
    <t>№</t>
  </si>
  <si>
    <t>Наименование щита</t>
  </si>
  <si>
    <t>Кол-во</t>
  </si>
  <si>
    <t>Сумма, KZT</t>
  </si>
  <si>
    <t>ИТОГО</t>
  </si>
  <si>
    <t>KURALLAR / KATSAYILAR (sarı hücreler düzenlenebilir)</t>
  </si>
  <si>
    <t>CHINT net katsayı (liste × )</t>
  </si>
  <si>
    <t>CHINT: liste fiyatından %40 indirim</t>
  </si>
  <si>
    <t>İşçilik birim ücreti (KZT/dk)</t>
  </si>
  <si>
    <t>işçilik = saat × 60 × bu ücret</t>
  </si>
  <si>
    <t>ЩС-112 işçilik (saat)</t>
  </si>
  <si>
    <t>tahmini, düzenlenebilir</t>
  </si>
  <si>
    <t>ЩС АБК işçilik (saat)</t>
  </si>
  <si>
    <t>ЩС Кафе işçilik (saat)</t>
  </si>
  <si>
    <t>EUR/KZT kuru</t>
  </si>
  <si>
    <t>bu projede kullanılmıyor (CHINT KZT)</t>
  </si>
  <si>
    <t>TL/KZT kuru</t>
  </si>
  <si>
    <t>bu projede kullanılmıyor</t>
  </si>
  <si>
    <t>NOTLAR / KAYNAK İZLEME</t>
  </si>
  <si>
    <t>FİYAT KAYNAĞI: 260613 chint Остатки и доступность товаров с ценой (13.06.2026, KZT, liste "Прайс-лист")</t>
  </si>
  <si>
    <t>Korpus: TEKSAN — fiyat listesi Nisan 2025 (~15 ay) ⚠ eski; BOM F sütununa güncel teklif MANUEL girilecek</t>
  </si>
  <si>
    <t>Montaj malzemesi (DIN ray, kanal, klemens, НШВ/PE, uç): F sütununa MANUEL girilecek</t>
  </si>
  <si>
    <t>Klemsan / ONKA / EKF listeleri &gt;18 ay — fiyatlamada kullanılmadı</t>
  </si>
  <si>
    <t>BOM yapısı: pano satırı = комплект (sarı B); korpus her pano bloğunun ilk malzeme satırı</t>
  </si>
  <si>
    <t>KONTROL EDİLECEK kalemler (rubilnik, parafudr, sayaç): Qty=0, toplama dahil değil; onaylanınca Qty girilir</t>
  </si>
  <si>
    <t>kA: NXB-63S 4.5kA seçildi — АБК kısa devre akımı teyit edilmeli (gerekirse NXB-63H 10kA)</t>
  </si>
  <si>
    <t>NH40-630/3 (АБК rubilnik adayı) CHINT stok: 0 ⚠</t>
  </si>
  <si>
    <t>714-15015</t>
  </si>
  <si>
    <t>Pano met.ShRn-36 b/o (312х540х120)S/U 36 IP31 (TS)</t>
  </si>
  <si>
    <t>719-15085</t>
  </si>
  <si>
    <t>Мет.Корпус ВРУ (1700X700X450+10X700 База) IP31</t>
  </si>
  <si>
    <t>719-15450</t>
  </si>
  <si>
    <t>Корпус ЩМП5 (1000x650x300)</t>
  </si>
  <si>
    <t>Корпус ЩМП5 (1000x650x300) IP54</t>
  </si>
  <si>
    <t>kaztek</t>
  </si>
  <si>
    <t>tekled elektrik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</si>
</sst>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4" fontId="2" fillId="0" borderId="1" xfId="0" applyNumberFormat="1" applyFont="1" applyBorder="1"/>
    <xf numFmtId="0" fontId="0" fillId="0" borderId="1" xfId="0" applyBorder="1"/>
    <xf numFmtId="4" fontId="0" fillId="0" borderId="1" xfId="0" applyNumberFormat="1" applyBorder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3" fontId="0" fillId="0" borderId="0" xfId="0" applyNumberFormat="1"/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zoomScaleNormal="100" workbookViewId="0">
      <pane ySplit="1" topLeftCell="A4" activePane="bottomLeft" state="frozen"/>
      <selection pane="bottomLeft" activeCell="D13" sqref="D13"/>
    </sheetView>
  </sheetViews>
  <sheetFormatPr defaultColWidth="8.7109375" defaultRowHeight="15" x14ac:dyDescent="0.25"/>
  <cols>
    <col min="1" max="1" width="5" style="11" customWidth="1"/>
    <col min="2" max="2" width="28" style="11" customWidth="1"/>
    <col min="3" max="3" width="16" style="11" customWidth="1"/>
    <col min="4" max="4" width="10" style="11" customWidth="1"/>
    <col min="5" max="5" width="68" style="11" customWidth="1"/>
    <col min="6" max="6" width="14" style="11" customWidth="1"/>
    <col min="7" max="7" width="12" style="11" customWidth="1"/>
    <col min="8" max="8" width="14" style="11" customWidth="1"/>
    <col min="9" max="9" width="10.140625" style="11" customWidth="1"/>
    <col min="10" max="10" width="10" style="14" customWidth="1"/>
    <col min="11" max="11" width="13.5703125" style="14" customWidth="1"/>
    <col min="12" max="12" width="14" style="11" customWidth="1"/>
    <col min="13" max="16384" width="8.7109375" style="11"/>
  </cols>
  <sheetData>
    <row r="1" spans="1:12" ht="25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5" t="s">
        <v>5</v>
      </c>
      <c r="G1" s="15" t="s">
        <v>6</v>
      </c>
      <c r="H1" s="15" t="s">
        <v>7</v>
      </c>
      <c r="I1" s="8" t="s">
        <v>8</v>
      </c>
      <c r="J1" s="8" t="s">
        <v>9</v>
      </c>
      <c r="K1" s="8" t="s">
        <v>10</v>
      </c>
      <c r="L1" s="15" t="s">
        <v>11</v>
      </c>
    </row>
    <row r="2" spans="1:12" x14ac:dyDescent="0.25">
      <c r="A2" s="9">
        <v>1</v>
      </c>
      <c r="B2" s="16" t="str">
        <f>E2</f>
        <v>ЩС-112 (Раздевалка), вводной 63А 3P</v>
      </c>
      <c r="C2" s="9"/>
      <c r="D2" s="9"/>
      <c r="E2" s="17" t="s">
        <v>12</v>
      </c>
      <c r="F2" s="18"/>
      <c r="G2" s="18"/>
      <c r="H2" s="18"/>
      <c r="I2" s="9">
        <v>1</v>
      </c>
      <c r="J2" s="12" t="s">
        <v>13</v>
      </c>
      <c r="K2" s="13" t="s">
        <v>92</v>
      </c>
      <c r="L2" s="18"/>
    </row>
    <row r="3" spans="1:12" x14ac:dyDescent="0.25">
      <c r="A3" s="9">
        <v>2</v>
      </c>
      <c r="B3" s="9"/>
      <c r="C3" s="9" t="s">
        <v>14</v>
      </c>
      <c r="D3" s="9" t="s">
        <v>84</v>
      </c>
      <c r="E3" s="10" t="s">
        <v>85</v>
      </c>
      <c r="F3" s="18">
        <v>16500</v>
      </c>
      <c r="G3" s="18">
        <f>0.6*F3</f>
        <v>9900</v>
      </c>
      <c r="H3" s="18">
        <f t="shared" ref="H3:H9" si="0">G3*I3</f>
        <v>9900</v>
      </c>
      <c r="I3" s="9">
        <v>1</v>
      </c>
      <c r="J3" s="12" t="s">
        <v>16</v>
      </c>
      <c r="K3" s="13" t="s">
        <v>91</v>
      </c>
      <c r="L3" s="18">
        <f t="shared" ref="L3:L9" si="1">H3</f>
        <v>9900</v>
      </c>
    </row>
    <row r="4" spans="1:12" x14ac:dyDescent="0.25">
      <c r="A4" s="9">
        <v>3</v>
      </c>
      <c r="B4" s="9"/>
      <c r="C4" s="9" t="s">
        <v>17</v>
      </c>
      <c r="D4" s="9" t="s">
        <v>18</v>
      </c>
      <c r="E4" s="9" t="s">
        <v>19</v>
      </c>
      <c r="F4" s="18">
        <v>3641</v>
      </c>
      <c r="G4" s="18">
        <f>F4*Kurallar!$B$2</f>
        <v>2184.6</v>
      </c>
      <c r="H4" s="18">
        <f t="shared" si="0"/>
        <v>2184.6</v>
      </c>
      <c r="I4" s="9">
        <v>1</v>
      </c>
      <c r="J4" s="12" t="s">
        <v>16</v>
      </c>
      <c r="K4" s="12" t="s">
        <v>20</v>
      </c>
      <c r="L4" s="18">
        <f t="shared" si="1"/>
        <v>2184.6</v>
      </c>
    </row>
    <row r="5" spans="1:12" x14ac:dyDescent="0.25">
      <c r="A5" s="9">
        <v>4</v>
      </c>
      <c r="B5" s="9"/>
      <c r="C5" s="9" t="s">
        <v>17</v>
      </c>
      <c r="D5" s="9" t="s">
        <v>21</v>
      </c>
      <c r="E5" s="9" t="s">
        <v>22</v>
      </c>
      <c r="F5" s="18">
        <v>902</v>
      </c>
      <c r="G5" s="18">
        <f>F5*Kurallar!$B$2</f>
        <v>541.19999999999993</v>
      </c>
      <c r="H5" s="18">
        <f t="shared" si="0"/>
        <v>4870.7999999999993</v>
      </c>
      <c r="I5" s="9">
        <v>9</v>
      </c>
      <c r="J5" s="12" t="s">
        <v>16</v>
      </c>
      <c r="K5" s="12" t="s">
        <v>20</v>
      </c>
      <c r="L5" s="18">
        <f t="shared" si="1"/>
        <v>4870.7999999999993</v>
      </c>
    </row>
    <row r="6" spans="1:12" x14ac:dyDescent="0.25">
      <c r="A6" s="9">
        <v>5</v>
      </c>
      <c r="B6" s="9"/>
      <c r="C6" s="9" t="s">
        <v>17</v>
      </c>
      <c r="D6" s="9" t="s">
        <v>23</v>
      </c>
      <c r="E6" s="9" t="s">
        <v>24</v>
      </c>
      <c r="F6" s="18">
        <v>888</v>
      </c>
      <c r="G6" s="18">
        <f>F6*Kurallar!$B$2</f>
        <v>532.79999999999995</v>
      </c>
      <c r="H6" s="18">
        <f t="shared" si="0"/>
        <v>1598.3999999999999</v>
      </c>
      <c r="I6" s="9">
        <v>3</v>
      </c>
      <c r="J6" s="12" t="s">
        <v>16</v>
      </c>
      <c r="K6" s="12" t="s">
        <v>20</v>
      </c>
      <c r="L6" s="18">
        <f t="shared" si="1"/>
        <v>1598.3999999999999</v>
      </c>
    </row>
    <row r="7" spans="1:12" x14ac:dyDescent="0.25">
      <c r="A7" s="9">
        <v>6</v>
      </c>
      <c r="B7" s="9"/>
      <c r="C7" s="9" t="s">
        <v>25</v>
      </c>
      <c r="D7" s="9" t="s">
        <v>26</v>
      </c>
      <c r="E7" s="9" t="s">
        <v>27</v>
      </c>
      <c r="F7" s="18">
        <v>12858</v>
      </c>
      <c r="G7" s="18">
        <f>F7*Kurallar!$B$2</f>
        <v>7714.7999999999993</v>
      </c>
      <c r="H7" s="18">
        <f t="shared" si="0"/>
        <v>7714.7999999999993</v>
      </c>
      <c r="I7" s="9">
        <v>1</v>
      </c>
      <c r="J7" s="12" t="s">
        <v>16</v>
      </c>
      <c r="K7" s="12" t="s">
        <v>20</v>
      </c>
      <c r="L7" s="18">
        <f t="shared" si="1"/>
        <v>7714.7999999999993</v>
      </c>
    </row>
    <row r="8" spans="1:12" x14ac:dyDescent="0.25">
      <c r="A8" s="9">
        <v>7</v>
      </c>
      <c r="B8" s="9"/>
      <c r="C8" s="9" t="s">
        <v>28</v>
      </c>
      <c r="D8" s="9" t="s">
        <v>15</v>
      </c>
      <c r="E8" s="9" t="s">
        <v>29</v>
      </c>
      <c r="F8" s="18">
        <v>10000</v>
      </c>
      <c r="G8" s="18">
        <f>F8</f>
        <v>10000</v>
      </c>
      <c r="H8" s="18">
        <f t="shared" si="0"/>
        <v>10000</v>
      </c>
      <c r="I8" s="9">
        <v>1</v>
      </c>
      <c r="J8" s="13" t="s">
        <v>16</v>
      </c>
      <c r="K8" s="12" t="s">
        <v>28</v>
      </c>
      <c r="L8" s="18">
        <f t="shared" si="1"/>
        <v>10000</v>
      </c>
    </row>
    <row r="9" spans="1:12" x14ac:dyDescent="0.25">
      <c r="A9" s="9">
        <v>8</v>
      </c>
      <c r="B9" s="9"/>
      <c r="C9" s="9" t="s">
        <v>31</v>
      </c>
      <c r="D9" s="9" t="s">
        <v>15</v>
      </c>
      <c r="E9" s="9" t="s">
        <v>32</v>
      </c>
      <c r="F9" s="18">
        <v>1.5</v>
      </c>
      <c r="G9" s="18">
        <v>100</v>
      </c>
      <c r="H9" s="18">
        <f t="shared" si="0"/>
        <v>9000</v>
      </c>
      <c r="I9" s="9">
        <f>60*F9</f>
        <v>90</v>
      </c>
      <c r="J9" s="13" t="s">
        <v>16</v>
      </c>
      <c r="K9" s="12" t="s">
        <v>31</v>
      </c>
      <c r="L9" s="18">
        <f t="shared" si="1"/>
        <v>9000</v>
      </c>
    </row>
    <row r="10" spans="1:12" x14ac:dyDescent="0.25">
      <c r="A10" s="9">
        <v>9</v>
      </c>
      <c r="B10" s="17" t="s">
        <v>33</v>
      </c>
      <c r="C10" s="9"/>
      <c r="D10" s="9"/>
      <c r="E10" s="9"/>
      <c r="F10" s="18"/>
      <c r="G10" s="18"/>
      <c r="H10" s="19">
        <f>SUBTOTAL(9,H3:H9)</f>
        <v>45268.600000000006</v>
      </c>
      <c r="I10" s="9"/>
      <c r="J10" s="12"/>
      <c r="K10" s="12"/>
      <c r="L10" s="19">
        <f>SUBTOTAL(9,L3:L9)</f>
        <v>45268.600000000006</v>
      </c>
    </row>
    <row r="11" spans="1:12" x14ac:dyDescent="0.25">
      <c r="A11" s="9">
        <v>10</v>
      </c>
      <c r="B11" s="16" t="str">
        <f>E11</f>
        <v>ЩС АБК, вводной 400А 3P</v>
      </c>
      <c r="C11" s="9"/>
      <c r="D11" s="9"/>
      <c r="E11" s="17" t="s">
        <v>34</v>
      </c>
      <c r="F11" s="18"/>
      <c r="G11" s="18"/>
      <c r="H11" s="18"/>
      <c r="I11" s="9">
        <v>1</v>
      </c>
      <c r="J11" s="12" t="s">
        <v>13</v>
      </c>
      <c r="K11" s="13" t="s">
        <v>92</v>
      </c>
      <c r="L11" s="18"/>
    </row>
    <row r="12" spans="1:12" x14ac:dyDescent="0.25">
      <c r="A12" s="9">
        <v>11</v>
      </c>
      <c r="B12" s="9"/>
      <c r="C12" s="9" t="s">
        <v>14</v>
      </c>
      <c r="D12" s="9" t="s">
        <v>86</v>
      </c>
      <c r="E12" s="10" t="s">
        <v>87</v>
      </c>
      <c r="F12" s="18">
        <v>154595</v>
      </c>
      <c r="G12" s="18">
        <f>0.6*F12</f>
        <v>92757</v>
      </c>
      <c r="H12" s="18">
        <f t="shared" ref="H12:H21" si="2">G12*I12</f>
        <v>92757</v>
      </c>
      <c r="I12" s="9">
        <v>1</v>
      </c>
      <c r="J12" s="12" t="s">
        <v>16</v>
      </c>
      <c r="K12" s="13" t="s">
        <v>91</v>
      </c>
      <c r="L12" s="18">
        <f t="shared" ref="L12:L21" si="3">H12</f>
        <v>92757</v>
      </c>
    </row>
    <row r="13" spans="1:12" x14ac:dyDescent="0.25">
      <c r="A13" s="9">
        <v>12</v>
      </c>
      <c r="B13" s="9"/>
      <c r="C13" s="9" t="s">
        <v>35</v>
      </c>
      <c r="D13" s="9" t="s">
        <v>36</v>
      </c>
      <c r="E13" s="9" t="s">
        <v>37</v>
      </c>
      <c r="F13" s="18">
        <v>208671</v>
      </c>
      <c r="G13" s="18">
        <f>F13*Kurallar!$B$2</f>
        <v>125202.59999999999</v>
      </c>
      <c r="H13" s="18">
        <f t="shared" si="2"/>
        <v>125202.59999999999</v>
      </c>
      <c r="I13" s="9">
        <v>1</v>
      </c>
      <c r="J13" s="12" t="s">
        <v>16</v>
      </c>
      <c r="K13" s="12" t="s">
        <v>20</v>
      </c>
      <c r="L13" s="18">
        <f t="shared" si="3"/>
        <v>125202.59999999999</v>
      </c>
    </row>
    <row r="14" spans="1:12" x14ac:dyDescent="0.25">
      <c r="A14" s="9">
        <v>13</v>
      </c>
      <c r="B14" s="9"/>
      <c r="C14" s="9" t="s">
        <v>35</v>
      </c>
      <c r="D14" s="9" t="s">
        <v>38</v>
      </c>
      <c r="E14" s="9" t="s">
        <v>39</v>
      </c>
      <c r="F14" s="18">
        <v>89083</v>
      </c>
      <c r="G14" s="18">
        <f>F14*Kurallar!$B$2</f>
        <v>53449.799999999996</v>
      </c>
      <c r="H14" s="18">
        <f t="shared" si="2"/>
        <v>53449.799999999996</v>
      </c>
      <c r="I14" s="9">
        <v>1</v>
      </c>
      <c r="J14" s="12" t="s">
        <v>16</v>
      </c>
      <c r="K14" s="12" t="s">
        <v>20</v>
      </c>
      <c r="L14" s="18">
        <f t="shared" si="3"/>
        <v>53449.799999999996</v>
      </c>
    </row>
    <row r="15" spans="1:12" x14ac:dyDescent="0.25">
      <c r="A15" s="9">
        <v>14</v>
      </c>
      <c r="B15" s="9"/>
      <c r="C15" s="9" t="s">
        <v>17</v>
      </c>
      <c r="D15" s="9" t="s">
        <v>40</v>
      </c>
      <c r="E15" s="9" t="s">
        <v>41</v>
      </c>
      <c r="F15" s="18">
        <v>11015</v>
      </c>
      <c r="G15" s="18">
        <f>F15*Kurallar!$B$2</f>
        <v>6609</v>
      </c>
      <c r="H15" s="18">
        <f t="shared" si="2"/>
        <v>6609</v>
      </c>
      <c r="I15" s="9">
        <v>1</v>
      </c>
      <c r="J15" s="12" t="s">
        <v>16</v>
      </c>
      <c r="K15" s="12" t="s">
        <v>20</v>
      </c>
      <c r="L15" s="18">
        <f t="shared" si="3"/>
        <v>6609</v>
      </c>
    </row>
    <row r="16" spans="1:12" x14ac:dyDescent="0.25">
      <c r="A16" s="9">
        <v>15</v>
      </c>
      <c r="B16" s="9"/>
      <c r="C16" s="9" t="s">
        <v>17</v>
      </c>
      <c r="D16" s="9" t="s">
        <v>18</v>
      </c>
      <c r="E16" s="9" t="s">
        <v>42</v>
      </c>
      <c r="F16" s="18">
        <v>3641</v>
      </c>
      <c r="G16" s="18">
        <f>F16*Kurallar!$B$2</f>
        <v>2184.6</v>
      </c>
      <c r="H16" s="18">
        <f t="shared" si="2"/>
        <v>4369.2</v>
      </c>
      <c r="I16" s="9">
        <v>2</v>
      </c>
      <c r="J16" s="12" t="s">
        <v>16</v>
      </c>
      <c r="K16" s="12" t="s">
        <v>20</v>
      </c>
      <c r="L16" s="18">
        <f t="shared" si="3"/>
        <v>4369.2</v>
      </c>
    </row>
    <row r="17" spans="1:12" x14ac:dyDescent="0.25">
      <c r="A17" s="9">
        <v>16</v>
      </c>
      <c r="B17" s="9"/>
      <c r="C17" s="9" t="s">
        <v>17</v>
      </c>
      <c r="D17" s="9" t="s">
        <v>43</v>
      </c>
      <c r="E17" s="9" t="s">
        <v>44</v>
      </c>
      <c r="F17" s="18">
        <v>3172</v>
      </c>
      <c r="G17" s="18">
        <f>F17*Kurallar!$B$2</f>
        <v>1903.1999999999998</v>
      </c>
      <c r="H17" s="18">
        <f t="shared" si="2"/>
        <v>3806.3999999999996</v>
      </c>
      <c r="I17" s="9">
        <v>2</v>
      </c>
      <c r="J17" s="12" t="s">
        <v>16</v>
      </c>
      <c r="K17" s="12" t="s">
        <v>20</v>
      </c>
      <c r="L17" s="18">
        <f t="shared" si="3"/>
        <v>3806.3999999999996</v>
      </c>
    </row>
    <row r="18" spans="1:12" x14ac:dyDescent="0.25">
      <c r="A18" s="9">
        <v>17</v>
      </c>
      <c r="B18" s="9"/>
      <c r="C18" s="9" t="s">
        <v>17</v>
      </c>
      <c r="D18" s="9" t="s">
        <v>23</v>
      </c>
      <c r="E18" s="9" t="s">
        <v>45</v>
      </c>
      <c r="F18" s="18">
        <v>888</v>
      </c>
      <c r="G18" s="18">
        <f>F18*Kurallar!$B$2</f>
        <v>532.79999999999995</v>
      </c>
      <c r="H18" s="18">
        <f t="shared" si="2"/>
        <v>7459.1999999999989</v>
      </c>
      <c r="I18" s="9">
        <v>14</v>
      </c>
      <c r="J18" s="12" t="s">
        <v>16</v>
      </c>
      <c r="K18" s="12" t="s">
        <v>20</v>
      </c>
      <c r="L18" s="18">
        <f t="shared" si="3"/>
        <v>7459.1999999999989</v>
      </c>
    </row>
    <row r="19" spans="1:12" x14ac:dyDescent="0.25">
      <c r="A19" s="9">
        <v>18</v>
      </c>
      <c r="B19" s="9"/>
      <c r="C19" s="9" t="s">
        <v>25</v>
      </c>
      <c r="D19" s="9" t="s">
        <v>26</v>
      </c>
      <c r="E19" s="9" t="s">
        <v>27</v>
      </c>
      <c r="F19" s="18">
        <v>12858</v>
      </c>
      <c r="G19" s="18">
        <f>F19*Kurallar!$B$2</f>
        <v>7714.7999999999993</v>
      </c>
      <c r="H19" s="18">
        <f t="shared" si="2"/>
        <v>15429.599999999999</v>
      </c>
      <c r="I19" s="9">
        <v>2</v>
      </c>
      <c r="J19" s="12" t="s">
        <v>16</v>
      </c>
      <c r="K19" s="12" t="s">
        <v>20</v>
      </c>
      <c r="L19" s="18">
        <f t="shared" si="3"/>
        <v>15429.599999999999</v>
      </c>
    </row>
    <row r="20" spans="1:12" x14ac:dyDescent="0.25">
      <c r="A20" s="9">
        <v>19</v>
      </c>
      <c r="B20" s="9"/>
      <c r="C20" s="9" t="s">
        <v>28</v>
      </c>
      <c r="D20" s="9" t="s">
        <v>15</v>
      </c>
      <c r="E20" s="9" t="s">
        <v>46</v>
      </c>
      <c r="F20" s="18">
        <v>40000</v>
      </c>
      <c r="G20" s="18">
        <f>F20</f>
        <v>40000</v>
      </c>
      <c r="H20" s="18">
        <f t="shared" si="2"/>
        <v>40000</v>
      </c>
      <c r="I20" s="9">
        <v>1</v>
      </c>
      <c r="J20" s="13" t="s">
        <v>16</v>
      </c>
      <c r="K20" s="12" t="s">
        <v>28</v>
      </c>
      <c r="L20" s="18">
        <f t="shared" si="3"/>
        <v>40000</v>
      </c>
    </row>
    <row r="21" spans="1:12" x14ac:dyDescent="0.25">
      <c r="A21" s="9">
        <v>20</v>
      </c>
      <c r="B21" s="9"/>
      <c r="C21" s="9" t="s">
        <v>31</v>
      </c>
      <c r="D21" s="9" t="s">
        <v>15</v>
      </c>
      <c r="E21" s="9" t="s">
        <v>32</v>
      </c>
      <c r="F21" s="18">
        <v>8</v>
      </c>
      <c r="G21" s="18">
        <v>100</v>
      </c>
      <c r="H21" s="18">
        <f t="shared" si="2"/>
        <v>48000</v>
      </c>
      <c r="I21" s="9">
        <f>60*F21</f>
        <v>480</v>
      </c>
      <c r="J21" s="13" t="s">
        <v>16</v>
      </c>
      <c r="K21" s="12" t="s">
        <v>31</v>
      </c>
      <c r="L21" s="18">
        <f t="shared" si="3"/>
        <v>48000</v>
      </c>
    </row>
    <row r="22" spans="1:12" x14ac:dyDescent="0.25">
      <c r="A22" s="9">
        <v>21</v>
      </c>
      <c r="B22" s="17" t="s">
        <v>47</v>
      </c>
      <c r="C22" s="9"/>
      <c r="D22" s="9"/>
      <c r="E22" s="9"/>
      <c r="F22" s="18"/>
      <c r="G22" s="18"/>
      <c r="H22" s="19">
        <f>SUBTOTAL(9,H12:H21)</f>
        <v>397082.8</v>
      </c>
      <c r="I22" s="9"/>
      <c r="J22" s="12"/>
      <c r="K22" s="12"/>
      <c r="L22" s="19">
        <f>SUBTOTAL(9,L12:L21)</f>
        <v>397082.8</v>
      </c>
    </row>
    <row r="23" spans="1:12" x14ac:dyDescent="0.25">
      <c r="A23" s="9">
        <v>22</v>
      </c>
      <c r="B23" s="16" t="str">
        <f>E23</f>
        <v>ЩС Кафе, вводной 160А 3P</v>
      </c>
      <c r="C23" s="9"/>
      <c r="D23" s="9"/>
      <c r="E23" s="17" t="s">
        <v>48</v>
      </c>
      <c r="F23" s="18"/>
      <c r="G23" s="18"/>
      <c r="H23" s="18"/>
      <c r="I23" s="9">
        <v>1</v>
      </c>
      <c r="J23" s="12" t="s">
        <v>13</v>
      </c>
      <c r="K23" s="13" t="s">
        <v>92</v>
      </c>
      <c r="L23" s="18"/>
    </row>
    <row r="24" spans="1:12" x14ac:dyDescent="0.25">
      <c r="A24" s="9">
        <v>23</v>
      </c>
      <c r="B24" s="9"/>
      <c r="C24" s="9" t="s">
        <v>14</v>
      </c>
      <c r="D24" s="21" t="s">
        <v>88</v>
      </c>
      <c r="E24" s="10" t="s">
        <v>90</v>
      </c>
      <c r="F24" s="18">
        <v>40030</v>
      </c>
      <c r="G24" s="18">
        <f>0.6*F24</f>
        <v>24018</v>
      </c>
      <c r="H24" s="18">
        <f t="shared" ref="H24:H32" si="4">G24*I24</f>
        <v>24018</v>
      </c>
      <c r="I24" s="9">
        <v>1</v>
      </c>
      <c r="J24" s="12" t="s">
        <v>16</v>
      </c>
      <c r="K24" s="13" t="s">
        <v>91</v>
      </c>
      <c r="L24" s="18">
        <f t="shared" ref="L24:L32" si="5">H24</f>
        <v>24018</v>
      </c>
    </row>
    <row r="25" spans="1:12" x14ac:dyDescent="0.25">
      <c r="A25" s="9">
        <v>24</v>
      </c>
      <c r="B25" s="9"/>
      <c r="C25" s="9" t="s">
        <v>35</v>
      </c>
      <c r="D25" s="21" t="s">
        <v>89</v>
      </c>
      <c r="E25" s="9" t="s">
        <v>49</v>
      </c>
      <c r="F25" s="18">
        <v>89083</v>
      </c>
      <c r="G25" s="18">
        <f>F25*Kurallar!$B$2</f>
        <v>53449.799999999996</v>
      </c>
      <c r="H25" s="18">
        <f t="shared" si="4"/>
        <v>53449.799999999996</v>
      </c>
      <c r="I25" s="9">
        <v>1</v>
      </c>
      <c r="J25" s="12" t="s">
        <v>16</v>
      </c>
      <c r="K25" s="12" t="s">
        <v>20</v>
      </c>
      <c r="L25" s="18">
        <f t="shared" si="5"/>
        <v>53449.799999999996</v>
      </c>
    </row>
    <row r="26" spans="1:12" x14ac:dyDescent="0.25">
      <c r="A26" s="9">
        <v>25</v>
      </c>
      <c r="B26" s="9"/>
      <c r="C26" s="9" t="s">
        <v>17</v>
      </c>
      <c r="D26" s="22">
        <v>40030</v>
      </c>
      <c r="E26" s="9" t="s">
        <v>50</v>
      </c>
      <c r="F26" s="18">
        <v>11015</v>
      </c>
      <c r="G26" s="18">
        <f>F26*Kurallar!$B$2</f>
        <v>6609</v>
      </c>
      <c r="H26" s="18">
        <f t="shared" si="4"/>
        <v>6609</v>
      </c>
      <c r="I26" s="9">
        <v>1</v>
      </c>
      <c r="J26" s="12" t="s">
        <v>16</v>
      </c>
      <c r="K26" s="12" t="s">
        <v>20</v>
      </c>
      <c r="L26" s="18">
        <f t="shared" si="5"/>
        <v>6609</v>
      </c>
    </row>
    <row r="27" spans="1:12" x14ac:dyDescent="0.25">
      <c r="A27" s="9">
        <v>26</v>
      </c>
      <c r="B27" s="9"/>
      <c r="C27" s="9" t="s">
        <v>17</v>
      </c>
      <c r="D27" s="9" t="s">
        <v>18</v>
      </c>
      <c r="E27" s="9" t="s">
        <v>51</v>
      </c>
      <c r="F27" s="18">
        <v>3641</v>
      </c>
      <c r="G27" s="18">
        <f>F27*Kurallar!$B$2</f>
        <v>2184.6</v>
      </c>
      <c r="H27" s="18">
        <f t="shared" si="4"/>
        <v>10923</v>
      </c>
      <c r="I27" s="9">
        <v>5</v>
      </c>
      <c r="J27" s="12" t="s">
        <v>16</v>
      </c>
      <c r="K27" s="12" t="s">
        <v>20</v>
      </c>
      <c r="L27" s="18">
        <f t="shared" si="5"/>
        <v>10923</v>
      </c>
    </row>
    <row r="28" spans="1:12" x14ac:dyDescent="0.25">
      <c r="A28" s="9">
        <v>27</v>
      </c>
      <c r="B28" s="9"/>
      <c r="C28" s="9" t="s">
        <v>17</v>
      </c>
      <c r="D28" s="9" t="s">
        <v>43</v>
      </c>
      <c r="E28" s="9" t="s">
        <v>52</v>
      </c>
      <c r="F28" s="18">
        <v>3172</v>
      </c>
      <c r="G28" s="18">
        <f>F28*Kurallar!$B$2</f>
        <v>1903.1999999999998</v>
      </c>
      <c r="H28" s="18">
        <f t="shared" si="4"/>
        <v>3806.3999999999996</v>
      </c>
      <c r="I28" s="9">
        <v>2</v>
      </c>
      <c r="J28" s="12" t="s">
        <v>16</v>
      </c>
      <c r="K28" s="12" t="s">
        <v>20</v>
      </c>
      <c r="L28" s="18">
        <f t="shared" si="5"/>
        <v>3806.3999999999996</v>
      </c>
    </row>
    <row r="29" spans="1:12" x14ac:dyDescent="0.25">
      <c r="A29" s="9">
        <v>28</v>
      </c>
      <c r="B29" s="9"/>
      <c r="C29" s="9" t="s">
        <v>17</v>
      </c>
      <c r="D29" s="9" t="s">
        <v>23</v>
      </c>
      <c r="E29" s="9" t="s">
        <v>53</v>
      </c>
      <c r="F29" s="18">
        <v>888</v>
      </c>
      <c r="G29" s="18">
        <f>F29*Kurallar!$B$2</f>
        <v>532.79999999999995</v>
      </c>
      <c r="H29" s="18">
        <f t="shared" si="4"/>
        <v>6393.5999999999995</v>
      </c>
      <c r="I29" s="9">
        <v>12</v>
      </c>
      <c r="J29" s="12" t="s">
        <v>16</v>
      </c>
      <c r="K29" s="12" t="s">
        <v>20</v>
      </c>
      <c r="L29" s="18">
        <f t="shared" si="5"/>
        <v>6393.5999999999995</v>
      </c>
    </row>
    <row r="30" spans="1:12" x14ac:dyDescent="0.25">
      <c r="A30" s="9">
        <v>29</v>
      </c>
      <c r="B30" s="9"/>
      <c r="C30" s="9" t="s">
        <v>25</v>
      </c>
      <c r="D30" s="9" t="s">
        <v>26</v>
      </c>
      <c r="E30" s="9" t="s">
        <v>27</v>
      </c>
      <c r="F30" s="18">
        <v>12858</v>
      </c>
      <c r="G30" s="18">
        <f>F30*Kurallar!$B$2</f>
        <v>7714.7999999999993</v>
      </c>
      <c r="H30" s="18">
        <f t="shared" si="4"/>
        <v>15429.599999999999</v>
      </c>
      <c r="I30" s="9">
        <v>2</v>
      </c>
      <c r="J30" s="12" t="s">
        <v>16</v>
      </c>
      <c r="K30" s="12" t="s">
        <v>20</v>
      </c>
      <c r="L30" s="18">
        <f t="shared" si="5"/>
        <v>15429.599999999999</v>
      </c>
    </row>
    <row r="31" spans="1:12" x14ac:dyDescent="0.25">
      <c r="A31" s="9">
        <v>30</v>
      </c>
      <c r="B31" s="9"/>
      <c r="C31" s="9" t="s">
        <v>28</v>
      </c>
      <c r="D31" s="9" t="s">
        <v>15</v>
      </c>
      <c r="E31" s="9" t="s">
        <v>54</v>
      </c>
      <c r="F31" s="18">
        <v>25000</v>
      </c>
      <c r="G31" s="18">
        <f>F31</f>
        <v>25000</v>
      </c>
      <c r="H31" s="18">
        <f t="shared" si="4"/>
        <v>25000</v>
      </c>
      <c r="I31" s="9">
        <v>1</v>
      </c>
      <c r="J31" s="13" t="s">
        <v>16</v>
      </c>
      <c r="K31" s="12" t="s">
        <v>28</v>
      </c>
      <c r="L31" s="18">
        <f t="shared" si="5"/>
        <v>25000</v>
      </c>
    </row>
    <row r="32" spans="1:12" x14ac:dyDescent="0.25">
      <c r="A32" s="9">
        <v>31</v>
      </c>
      <c r="B32" s="9"/>
      <c r="C32" s="9" t="s">
        <v>31</v>
      </c>
      <c r="D32" s="9" t="s">
        <v>15</v>
      </c>
      <c r="E32" s="9" t="s">
        <v>32</v>
      </c>
      <c r="F32" s="18">
        <v>7</v>
      </c>
      <c r="G32" s="18">
        <v>100</v>
      </c>
      <c r="H32" s="18">
        <f t="shared" si="4"/>
        <v>42000</v>
      </c>
      <c r="I32" s="9">
        <f>60*F32</f>
        <v>420</v>
      </c>
      <c r="J32" s="13" t="s">
        <v>16</v>
      </c>
      <c r="K32" s="12" t="s">
        <v>31</v>
      </c>
      <c r="L32" s="18">
        <f t="shared" si="5"/>
        <v>42000</v>
      </c>
    </row>
    <row r="33" spans="1:12" x14ac:dyDescent="0.25">
      <c r="A33" s="9">
        <v>32</v>
      </c>
      <c r="B33" s="17" t="s">
        <v>55</v>
      </c>
      <c r="C33" s="9"/>
      <c r="D33" s="9"/>
      <c r="E33" s="9"/>
      <c r="F33" s="18"/>
      <c r="G33" s="18"/>
      <c r="H33" s="19">
        <f>SUBTOTAL(9,H24:H32)</f>
        <v>187629.4</v>
      </c>
      <c r="I33" s="9"/>
      <c r="J33" s="12"/>
      <c r="K33" s="12"/>
      <c r="L33" s="19">
        <f>SUBTOTAL(9,L24:L32)</f>
        <v>187629.4</v>
      </c>
    </row>
    <row r="34" spans="1:12" x14ac:dyDescent="0.25">
      <c r="A34" s="9">
        <v>33</v>
      </c>
      <c r="B34" s="17" t="s">
        <v>56</v>
      </c>
      <c r="C34" s="9"/>
      <c r="D34" s="9"/>
      <c r="E34" s="9"/>
      <c r="F34" s="18"/>
      <c r="G34" s="18"/>
      <c r="H34" s="19">
        <f>H10+H22+H33</f>
        <v>629980.80000000005</v>
      </c>
      <c r="I34" s="9"/>
      <c r="J34" s="12"/>
      <c r="K34" s="12"/>
      <c r="L34" s="19">
        <f>L10+L22+L33</f>
        <v>629980.80000000005</v>
      </c>
    </row>
  </sheetData>
  <autoFilter ref="A1:L34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zoomScaleNormal="100" workbookViewId="0">
      <selection activeCell="G2" sqref="G2:G4"/>
    </sheetView>
  </sheetViews>
  <sheetFormatPr defaultColWidth="8.7109375" defaultRowHeight="15" x14ac:dyDescent="0.25"/>
  <cols>
    <col min="2" max="2" width="45" customWidth="1"/>
    <col min="5" max="5" width="16" customWidth="1"/>
    <col min="6" max="6" width="8.85546875" style="20" bestFit="1" customWidth="1"/>
    <col min="7" max="7" width="9.140625" style="20" bestFit="1" customWidth="1"/>
  </cols>
  <sheetData>
    <row r="1" spans="1:7" x14ac:dyDescent="0.25">
      <c r="A1" s="1" t="s">
        <v>57</v>
      </c>
      <c r="B1" s="1" t="s">
        <v>58</v>
      </c>
      <c r="C1" s="1" t="s">
        <v>59</v>
      </c>
      <c r="D1" s="1" t="s">
        <v>9</v>
      </c>
      <c r="E1" s="2" t="s">
        <v>60</v>
      </c>
      <c r="F1" s="20">
        <v>2.2999999999999998</v>
      </c>
    </row>
    <row r="2" spans="1:7" x14ac:dyDescent="0.25">
      <c r="A2" s="3">
        <v>1</v>
      </c>
      <c r="B2" s="3" t="s">
        <v>12</v>
      </c>
      <c r="C2" s="3">
        <v>1</v>
      </c>
      <c r="D2" s="3" t="s">
        <v>30</v>
      </c>
      <c r="E2" s="4">
        <f>BOM!H10</f>
        <v>45268.600000000006</v>
      </c>
      <c r="F2" s="20">
        <f>2.3*E2</f>
        <v>104117.78</v>
      </c>
      <c r="G2" s="20">
        <f>ROUNDUP(F2,-3)</f>
        <v>105000</v>
      </c>
    </row>
    <row r="3" spans="1:7" x14ac:dyDescent="0.25">
      <c r="A3" s="3">
        <v>2</v>
      </c>
      <c r="B3" s="3" t="s">
        <v>34</v>
      </c>
      <c r="C3" s="3">
        <v>1</v>
      </c>
      <c r="D3" s="3" t="s">
        <v>30</v>
      </c>
      <c r="E3" s="4">
        <f>BOM!H22</f>
        <v>397082.8</v>
      </c>
      <c r="F3" s="20">
        <f t="shared" ref="F3:F4" si="0">2.3*E3</f>
        <v>913290.44</v>
      </c>
      <c r="G3" s="20">
        <f t="shared" ref="G3:G4" si="1">ROUNDUP(F3,-3)</f>
        <v>914000</v>
      </c>
    </row>
    <row r="4" spans="1:7" x14ac:dyDescent="0.25">
      <c r="A4" s="3">
        <v>3</v>
      </c>
      <c r="B4" s="3" t="s">
        <v>48</v>
      </c>
      <c r="C4" s="3">
        <v>1</v>
      </c>
      <c r="D4" s="3" t="s">
        <v>30</v>
      </c>
      <c r="E4" s="4">
        <f>BOM!H33</f>
        <v>187629.4</v>
      </c>
      <c r="F4" s="20">
        <f t="shared" si="0"/>
        <v>431547.61999999994</v>
      </c>
      <c r="G4" s="20">
        <f t="shared" si="1"/>
        <v>432000</v>
      </c>
    </row>
    <row r="5" spans="1:7" x14ac:dyDescent="0.25">
      <c r="A5" s="3"/>
      <c r="B5" s="1" t="s">
        <v>61</v>
      </c>
      <c r="C5" s="3"/>
      <c r="D5" s="3"/>
      <c r="E5" s="2">
        <f>SUM(E2:E4)</f>
        <v>629980.80000000005</v>
      </c>
      <c r="G5" s="20">
        <f>SUM(G2:G4)</f>
        <v>1451000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zoomScaleNormal="100" workbookViewId="0"/>
  </sheetViews>
  <sheetFormatPr defaultColWidth="8.7109375" defaultRowHeight="15" x14ac:dyDescent="0.25"/>
  <cols>
    <col min="1" max="1" width="60" customWidth="1"/>
    <col min="2" max="2" width="12" customWidth="1"/>
    <col min="3" max="3" width="55" customWidth="1"/>
  </cols>
  <sheetData>
    <row r="1" spans="1:3" x14ac:dyDescent="0.25">
      <c r="A1" s="5" t="s">
        <v>62</v>
      </c>
      <c r="C1" s="6"/>
    </row>
    <row r="2" spans="1:3" x14ac:dyDescent="0.25">
      <c r="A2" s="6" t="s">
        <v>63</v>
      </c>
      <c r="B2" s="7">
        <v>0.6</v>
      </c>
      <c r="C2" s="6" t="s">
        <v>64</v>
      </c>
    </row>
    <row r="3" spans="1:3" x14ac:dyDescent="0.25">
      <c r="A3" s="6" t="s">
        <v>65</v>
      </c>
      <c r="B3" s="7">
        <v>100</v>
      </c>
      <c r="C3" s="6" t="s">
        <v>66</v>
      </c>
    </row>
    <row r="4" spans="1:3" x14ac:dyDescent="0.25">
      <c r="A4" s="6" t="s">
        <v>67</v>
      </c>
      <c r="B4" s="7">
        <v>8</v>
      </c>
      <c r="C4" s="6" t="s">
        <v>68</v>
      </c>
    </row>
    <row r="5" spans="1:3" x14ac:dyDescent="0.25">
      <c r="A5" s="6" t="s">
        <v>69</v>
      </c>
      <c r="B5" s="7">
        <v>24</v>
      </c>
      <c r="C5" s="6" t="s">
        <v>68</v>
      </c>
    </row>
    <row r="6" spans="1:3" x14ac:dyDescent="0.25">
      <c r="A6" s="6" t="s">
        <v>70</v>
      </c>
      <c r="B6" s="7">
        <v>14</v>
      </c>
      <c r="C6" s="6" t="s">
        <v>68</v>
      </c>
    </row>
    <row r="7" spans="1:3" x14ac:dyDescent="0.25">
      <c r="A7" s="6" t="s">
        <v>71</v>
      </c>
      <c r="B7" s="7">
        <v>0</v>
      </c>
      <c r="C7" s="6" t="s">
        <v>72</v>
      </c>
    </row>
    <row r="8" spans="1:3" x14ac:dyDescent="0.25">
      <c r="A8" s="6" t="s">
        <v>73</v>
      </c>
      <c r="B8" s="7">
        <v>0</v>
      </c>
      <c r="C8" s="6" t="s">
        <v>74</v>
      </c>
    </row>
    <row r="10" spans="1:3" x14ac:dyDescent="0.25">
      <c r="A10" s="5" t="s">
        <v>75</v>
      </c>
    </row>
    <row r="11" spans="1:3" x14ac:dyDescent="0.25">
      <c r="A11" s="6" t="s">
        <v>76</v>
      </c>
    </row>
    <row r="12" spans="1:3" x14ac:dyDescent="0.25">
      <c r="A12" s="6" t="s">
        <v>77</v>
      </c>
    </row>
    <row r="13" spans="1:3" x14ac:dyDescent="0.25">
      <c r="A13" s="6" t="s">
        <v>78</v>
      </c>
    </row>
    <row r="14" spans="1:3" x14ac:dyDescent="0.25">
      <c r="A14" s="6" t="s">
        <v>79</v>
      </c>
    </row>
    <row r="15" spans="1:3" x14ac:dyDescent="0.25">
      <c r="A15" s="6" t="s">
        <v>80</v>
      </c>
    </row>
    <row r="16" spans="1:3" x14ac:dyDescent="0.25">
      <c r="A16" s="6" t="s">
        <v>81</v>
      </c>
    </row>
    <row r="17" spans="1:1" x14ac:dyDescent="0.25">
      <c r="A17" s="6" t="s">
        <v>82</v>
      </c>
    </row>
    <row r="18" spans="1:1" x14ac:dyDescent="0.25">
      <c r="A18" s="6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2026-07-15T05:01:30Z</dcterms:created>
  <dcterms:modified xsi:type="dcterms:W3CDTF">2026-07-15T09:43:21Z</dcterms:modified>
  <dc:language>en-US</dc:language>
</cp:coreProperties>
</file>