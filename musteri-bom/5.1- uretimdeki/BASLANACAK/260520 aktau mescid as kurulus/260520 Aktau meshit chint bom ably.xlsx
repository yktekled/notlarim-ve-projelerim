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520 aktau mescid as kurulus\"/>
    </mc:Choice>
  </mc:AlternateContent>
  <xr:revisionPtr revIDLastSave="0" documentId="13_ncr:1_{17A31A81-BE61-464A-B44E-7805B7D987E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1" sheetId="2" r:id="rId1"/>
    <sheet name="Sayfa2" sheetId="3" r:id="rId2"/>
    <sheet name="Sayfa3" sheetId="4" r:id="rId3"/>
  </sheets>
  <definedNames>
    <definedName name="_xlnm._FilterDatabase" localSheetId="0" hidden="1">Sayfa1!$A$1:$L$121</definedName>
    <definedName name="_xlnm._FilterDatabase" localSheetId="1" hidden="1">Sayfa2!$A$1:$K$102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5" i="3" l="1"/>
  <c r="G84" i="3"/>
  <c r="G73" i="3"/>
  <c r="G64" i="3"/>
  <c r="G57" i="3"/>
  <c r="G48" i="3"/>
  <c r="G39" i="3"/>
  <c r="H39" i="3" s="1"/>
  <c r="G31" i="3"/>
  <c r="H31" i="3" s="1"/>
  <c r="G24" i="3"/>
  <c r="H24" i="3" s="1"/>
  <c r="G17" i="3"/>
  <c r="H17" i="3" s="1"/>
  <c r="G3" i="3"/>
  <c r="H3" i="3" s="1"/>
  <c r="H48" i="3"/>
  <c r="G43" i="3"/>
  <c r="G52" i="3"/>
  <c r="G90" i="3"/>
  <c r="H90" i="3" s="1"/>
  <c r="I61" i="3"/>
  <c r="H61" i="3" s="1"/>
  <c r="F60" i="3" s="1"/>
  <c r="G60" i="3" s="1"/>
  <c r="H60" i="3" s="1"/>
  <c r="G59" i="3"/>
  <c r="H59" i="3" s="1"/>
  <c r="G58" i="3"/>
  <c r="H58" i="3" s="1"/>
  <c r="H57" i="3"/>
  <c r="A56" i="3"/>
  <c r="A57" i="3" s="1"/>
  <c r="A58" i="3" s="1"/>
  <c r="A59" i="3" s="1"/>
  <c r="A60" i="3" s="1"/>
  <c r="A61" i="3" s="1"/>
  <c r="A62" i="3" s="1"/>
  <c r="I6" i="4"/>
  <c r="H6" i="4"/>
  <c r="A6" i="4"/>
  <c r="A7" i="4" s="1"/>
  <c r="F5" i="4"/>
  <c r="G5" i="4" s="1"/>
  <c r="H5" i="4" s="1"/>
  <c r="A5" i="4"/>
  <c r="G4" i="4"/>
  <c r="H4" i="4" s="1"/>
  <c r="A4" i="4"/>
  <c r="G3" i="4"/>
  <c r="H3" i="4" s="1"/>
  <c r="A3" i="4"/>
  <c r="G2" i="4"/>
  <c r="H2" i="4" s="1"/>
  <c r="A2" i="4"/>
  <c r="A1" i="4"/>
  <c r="I101" i="3"/>
  <c r="H101" i="3" s="1"/>
  <c r="F100" i="3" s="1"/>
  <c r="I92" i="3"/>
  <c r="H92" i="3" s="1"/>
  <c r="F91" i="3" s="1"/>
  <c r="G91" i="3" s="1"/>
  <c r="I81" i="3"/>
  <c r="H81" i="3" s="1"/>
  <c r="F80" i="3" s="1"/>
  <c r="I70" i="3"/>
  <c r="H70" i="3" s="1"/>
  <c r="F69" i="3" s="1"/>
  <c r="I54" i="3"/>
  <c r="H54" i="3" s="1"/>
  <c r="F53" i="3" s="1"/>
  <c r="I45" i="3"/>
  <c r="H45" i="3" s="1"/>
  <c r="F44" i="3" s="1"/>
  <c r="I36" i="3"/>
  <c r="H36" i="3" s="1"/>
  <c r="F35" i="3" s="1"/>
  <c r="G35" i="3" s="1"/>
  <c r="I28" i="3"/>
  <c r="H28" i="3" s="1"/>
  <c r="F27" i="3" s="1"/>
  <c r="G27" i="3" s="1"/>
  <c r="I21" i="3"/>
  <c r="H21" i="3" s="1"/>
  <c r="F20" i="3" s="1"/>
  <c r="G12" i="3"/>
  <c r="H12" i="3" s="1"/>
  <c r="G99" i="3"/>
  <c r="H99" i="3" s="1"/>
  <c r="G98" i="3"/>
  <c r="H98" i="3" s="1"/>
  <c r="G97" i="3"/>
  <c r="H97" i="3" s="1"/>
  <c r="G96" i="3"/>
  <c r="H96" i="3" s="1"/>
  <c r="H95" i="3"/>
  <c r="A94" i="3"/>
  <c r="A95" i="3" s="1"/>
  <c r="A96" i="3" s="1"/>
  <c r="A97" i="3" s="1"/>
  <c r="A98" i="3" s="1"/>
  <c r="A99" i="3" s="1"/>
  <c r="A100" i="3" s="1"/>
  <c r="A101" i="3" s="1"/>
  <c r="A102" i="3" s="1"/>
  <c r="G89" i="3"/>
  <c r="H89" i="3" s="1"/>
  <c r="G88" i="3"/>
  <c r="H88" i="3" s="1"/>
  <c r="G87" i="3"/>
  <c r="H87" i="3" s="1"/>
  <c r="G86" i="3"/>
  <c r="H86" i="3" s="1"/>
  <c r="G85" i="3"/>
  <c r="H85" i="3" s="1"/>
  <c r="H84" i="3"/>
  <c r="A83" i="3"/>
  <c r="A84" i="3" s="1"/>
  <c r="A85" i="3" s="1"/>
  <c r="A86" i="3" s="1"/>
  <c r="A87" i="3" s="1"/>
  <c r="A88" i="3" s="1"/>
  <c r="A89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H73" i="3"/>
  <c r="A72" i="3"/>
  <c r="A73" i="3" s="1"/>
  <c r="A74" i="3" s="1"/>
  <c r="A75" i="3" s="1"/>
  <c r="A76" i="3" s="1"/>
  <c r="G68" i="3"/>
  <c r="H68" i="3" s="1"/>
  <c r="G67" i="3"/>
  <c r="H67" i="3" s="1"/>
  <c r="G66" i="3"/>
  <c r="H66" i="3" s="1"/>
  <c r="G65" i="3"/>
  <c r="H65" i="3" s="1"/>
  <c r="H64" i="3"/>
  <c r="A63" i="3"/>
  <c r="A64" i="3" s="1"/>
  <c r="A65" i="3" s="1"/>
  <c r="A66" i="3" s="1"/>
  <c r="A67" i="3" s="1"/>
  <c r="A68" i="3" s="1"/>
  <c r="A69" i="3" s="1"/>
  <c r="A70" i="3" s="1"/>
  <c r="A71" i="3" s="1"/>
  <c r="H52" i="3"/>
  <c r="G51" i="3"/>
  <c r="H51" i="3" s="1"/>
  <c r="G50" i="3"/>
  <c r="H50" i="3" s="1"/>
  <c r="G49" i="3"/>
  <c r="H49" i="3" s="1"/>
  <c r="A47" i="3"/>
  <c r="A48" i="3" s="1"/>
  <c r="A49" i="3" s="1"/>
  <c r="A50" i="3" s="1"/>
  <c r="A51" i="3" s="1"/>
  <c r="A52" i="3" s="1"/>
  <c r="A53" i="3" s="1"/>
  <c r="A54" i="3" s="1"/>
  <c r="A55" i="3" s="1"/>
  <c r="H43" i="3"/>
  <c r="G42" i="3"/>
  <c r="H42" i="3" s="1"/>
  <c r="G41" i="3"/>
  <c r="H41" i="3" s="1"/>
  <c r="G40" i="3"/>
  <c r="H40" i="3" s="1"/>
  <c r="A38" i="3"/>
  <c r="A39" i="3" s="1"/>
  <c r="A40" i="3" s="1"/>
  <c r="A41" i="3" s="1"/>
  <c r="A42" i="3" s="1"/>
  <c r="A43" i="3" s="1"/>
  <c r="A44" i="3" s="1"/>
  <c r="A45" i="3" s="1"/>
  <c r="A46" i="3" s="1"/>
  <c r="G34" i="3"/>
  <c r="H34" i="3" s="1"/>
  <c r="G33" i="3"/>
  <c r="H33" i="3" s="1"/>
  <c r="G32" i="3"/>
  <c r="H32" i="3" s="1"/>
  <c r="A30" i="3"/>
  <c r="A31" i="3" s="1"/>
  <c r="A32" i="3" s="1"/>
  <c r="A33" i="3" s="1"/>
  <c r="A34" i="3" s="1"/>
  <c r="A35" i="3" s="1"/>
  <c r="A36" i="3" s="1"/>
  <c r="A37" i="3" s="1"/>
  <c r="G26" i="3"/>
  <c r="H26" i="3" s="1"/>
  <c r="G25" i="3"/>
  <c r="H25" i="3" s="1"/>
  <c r="A23" i="3"/>
  <c r="A24" i="3" s="1"/>
  <c r="A25" i="3" s="1"/>
  <c r="A26" i="3" s="1"/>
  <c r="A27" i="3" s="1"/>
  <c r="A28" i="3" s="1"/>
  <c r="A29" i="3" s="1"/>
  <c r="A21" i="3"/>
  <c r="A22" i="3" s="1"/>
  <c r="A20" i="3"/>
  <c r="G19" i="3"/>
  <c r="H19" i="3" s="1"/>
  <c r="A19" i="3"/>
  <c r="G18" i="3"/>
  <c r="H18" i="3" s="1"/>
  <c r="A18" i="3"/>
  <c r="A17" i="3"/>
  <c r="A16" i="3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A2" i="3"/>
  <c r="A3" i="3" s="1"/>
  <c r="A4" i="3" s="1"/>
  <c r="A5" i="3" s="1"/>
  <c r="G78" i="2"/>
  <c r="H78" i="2" s="1"/>
  <c r="G69" i="2"/>
  <c r="H69" i="2" s="1"/>
  <c r="G118" i="2"/>
  <c r="H118" i="2" s="1"/>
  <c r="F120" i="2"/>
  <c r="G120" i="2" s="1"/>
  <c r="H120" i="2" s="1"/>
  <c r="G119" i="2"/>
  <c r="H119" i="2" s="1"/>
  <c r="G117" i="2"/>
  <c r="H117" i="2" s="1"/>
  <c r="G116" i="2"/>
  <c r="H116" i="2" s="1"/>
  <c r="G115" i="2"/>
  <c r="H115" i="2" s="1"/>
  <c r="G114" i="2"/>
  <c r="H114" i="2" s="1"/>
  <c r="A113" i="2"/>
  <c r="A114" i="2" s="1"/>
  <c r="A115" i="2" s="1"/>
  <c r="A116" i="2" s="1"/>
  <c r="A117" i="2" s="1"/>
  <c r="A118" i="2" s="1"/>
  <c r="A119" i="2" s="1"/>
  <c r="A120" i="2" s="1"/>
  <c r="A121" i="2" s="1"/>
  <c r="G109" i="2"/>
  <c r="H109" i="2" s="1"/>
  <c r="F111" i="2"/>
  <c r="G111" i="2" s="1"/>
  <c r="H111" i="2" s="1"/>
  <c r="G110" i="2"/>
  <c r="H110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A102" i="2"/>
  <c r="A103" i="2" s="1"/>
  <c r="A104" i="2" s="1"/>
  <c r="A105" i="2" s="1"/>
  <c r="A106" i="2" s="1"/>
  <c r="A107" i="2" s="1"/>
  <c r="A108" i="2" s="1"/>
  <c r="A110" i="2" s="1"/>
  <c r="A111" i="2" s="1"/>
  <c r="A112" i="2" s="1"/>
  <c r="F54" i="2"/>
  <c r="G54" i="2" s="1"/>
  <c r="H54" i="2" s="1"/>
  <c r="G53" i="2"/>
  <c r="H53" i="2" s="1"/>
  <c r="G52" i="2"/>
  <c r="H52" i="2" s="1"/>
  <c r="G51" i="2"/>
  <c r="H51" i="2" s="1"/>
  <c r="G50" i="2"/>
  <c r="H50" i="2" s="1"/>
  <c r="A49" i="2"/>
  <c r="A50" i="2" s="1"/>
  <c r="A51" i="2" s="1"/>
  <c r="A52" i="2" s="1"/>
  <c r="A53" i="2" s="1"/>
  <c r="A54" i="2" s="1"/>
  <c r="A55" i="2" s="1"/>
  <c r="F40" i="2"/>
  <c r="G40" i="2" s="1"/>
  <c r="H40" i="2" s="1"/>
  <c r="A40" i="2"/>
  <c r="A41" i="2" s="1"/>
  <c r="G39" i="2"/>
  <c r="H39" i="2" s="1"/>
  <c r="A39" i="2"/>
  <c r="G38" i="2"/>
  <c r="H38" i="2" s="1"/>
  <c r="A38" i="2"/>
  <c r="G37" i="2"/>
  <c r="H37" i="2" s="1"/>
  <c r="A37" i="2"/>
  <c r="G36" i="2"/>
  <c r="H36" i="2" s="1"/>
  <c r="A36" i="2"/>
  <c r="A35" i="2"/>
  <c r="G30" i="2"/>
  <c r="H30" i="2" s="1"/>
  <c r="G24" i="2"/>
  <c r="H24" i="2" s="1"/>
  <c r="G31" i="2"/>
  <c r="H31" i="2" s="1"/>
  <c r="G9" i="2"/>
  <c r="H9" i="2" s="1"/>
  <c r="G8" i="2"/>
  <c r="H8" i="2" s="1"/>
  <c r="G6" i="2"/>
  <c r="H6" i="2" s="1"/>
  <c r="G7" i="2"/>
  <c r="H7" i="2" s="1"/>
  <c r="G5" i="2"/>
  <c r="H5" i="2" s="1"/>
  <c r="G13" i="2"/>
  <c r="H13" i="2" s="1"/>
  <c r="G14" i="2"/>
  <c r="H14" i="2" s="1"/>
  <c r="G12" i="2"/>
  <c r="H12" i="2" s="1"/>
  <c r="F19" i="2"/>
  <c r="G19" i="2" s="1"/>
  <c r="H19" i="2" s="1"/>
  <c r="G18" i="2"/>
  <c r="H18" i="2" s="1"/>
  <c r="G17" i="2"/>
  <c r="H17" i="2" s="1"/>
  <c r="G16" i="2"/>
  <c r="H16" i="2" s="1"/>
  <c r="G15" i="2"/>
  <c r="H15" i="2" s="1"/>
  <c r="G11" i="2"/>
  <c r="H11" i="2" s="1"/>
  <c r="G10" i="2"/>
  <c r="H10" i="2" s="1"/>
  <c r="G4" i="2"/>
  <c r="H4" i="2" s="1"/>
  <c r="G3" i="2"/>
  <c r="H3" i="2" s="1"/>
  <c r="A2" i="2"/>
  <c r="A3" i="2" s="1"/>
  <c r="A4" i="2" s="1"/>
  <c r="A10" i="2" s="1"/>
  <c r="A11" i="2" s="1"/>
  <c r="A15" i="2" s="1"/>
  <c r="A16" i="2" s="1"/>
  <c r="A17" i="2" s="1"/>
  <c r="A18" i="2" s="1"/>
  <c r="A19" i="2" s="1"/>
  <c r="A20" i="2" s="1"/>
  <c r="G97" i="2"/>
  <c r="H97" i="2" s="1"/>
  <c r="G96" i="2"/>
  <c r="H96" i="2" s="1"/>
  <c r="F100" i="2"/>
  <c r="G100" i="2" s="1"/>
  <c r="H100" i="2" s="1"/>
  <c r="G99" i="2"/>
  <c r="H99" i="2" s="1"/>
  <c r="G98" i="2"/>
  <c r="H98" i="2" s="1"/>
  <c r="G95" i="2"/>
  <c r="H95" i="2" s="1"/>
  <c r="G94" i="2"/>
  <c r="H94" i="2" s="1"/>
  <c r="G93" i="2"/>
  <c r="H93" i="2" s="1"/>
  <c r="G92" i="2"/>
  <c r="H92" i="2" s="1"/>
  <c r="A91" i="2"/>
  <c r="A92" i="2" s="1"/>
  <c r="A93" i="2" s="1"/>
  <c r="A94" i="2" s="1"/>
  <c r="A95" i="2" s="1"/>
  <c r="A96" i="2" s="1"/>
  <c r="A98" i="2" s="1"/>
  <c r="A99" i="2" s="1"/>
  <c r="A100" i="2" s="1"/>
  <c r="A101" i="2" s="1"/>
  <c r="G86" i="2"/>
  <c r="H86" i="2" s="1"/>
  <c r="F89" i="2"/>
  <c r="G89" i="2" s="1"/>
  <c r="H89" i="2" s="1"/>
  <c r="G88" i="2"/>
  <c r="H88" i="2" s="1"/>
  <c r="G87" i="2"/>
  <c r="H87" i="2" s="1"/>
  <c r="G85" i="2"/>
  <c r="H85" i="2" s="1"/>
  <c r="G84" i="2"/>
  <c r="H84" i="2" s="1"/>
  <c r="G83" i="2"/>
  <c r="H83" i="2" s="1"/>
  <c r="A82" i="2"/>
  <c r="A83" i="2" s="1"/>
  <c r="A84" i="2" s="1"/>
  <c r="A85" i="2" s="1"/>
  <c r="A86" i="2" s="1"/>
  <c r="A87" i="2" s="1"/>
  <c r="A88" i="2" s="1"/>
  <c r="A89" i="2" s="1"/>
  <c r="A90" i="2" s="1"/>
  <c r="F80" i="2"/>
  <c r="G80" i="2" s="1"/>
  <c r="H80" i="2" s="1"/>
  <c r="G79" i="2"/>
  <c r="H79" i="2" s="1"/>
  <c r="G77" i="2"/>
  <c r="H77" i="2" s="1"/>
  <c r="G76" i="2"/>
  <c r="H76" i="2" s="1"/>
  <c r="G75" i="2"/>
  <c r="H75" i="2" s="1"/>
  <c r="G74" i="2"/>
  <c r="H74" i="2" s="1"/>
  <c r="A73" i="2"/>
  <c r="A74" i="2" s="1"/>
  <c r="A75" i="2" s="1"/>
  <c r="A76" i="2" s="1"/>
  <c r="A77" i="2" s="1"/>
  <c r="A78" i="2" s="1"/>
  <c r="A79" i="2" s="1"/>
  <c r="A80" i="2" s="1"/>
  <c r="A81" i="2" s="1"/>
  <c r="G67" i="2"/>
  <c r="H67" i="2" s="1"/>
  <c r="G68" i="2"/>
  <c r="H68" i="2" s="1"/>
  <c r="G29" i="2"/>
  <c r="H29" i="2" s="1"/>
  <c r="H62" i="3" l="1"/>
  <c r="H56" i="3" s="1"/>
  <c r="H7" i="4"/>
  <c r="H1" i="4" s="1"/>
  <c r="G69" i="3"/>
  <c r="H69" i="3" s="1"/>
  <c r="H71" i="3" s="1"/>
  <c r="H63" i="3" s="1"/>
  <c r="G20" i="3"/>
  <c r="H20" i="3" s="1"/>
  <c r="H22" i="3" s="1"/>
  <c r="H16" i="3" s="1"/>
  <c r="G80" i="3"/>
  <c r="H80" i="3" s="1"/>
  <c r="H82" i="3" s="1"/>
  <c r="H72" i="3" s="1"/>
  <c r="H35" i="3"/>
  <c r="H37" i="3" s="1"/>
  <c r="H30" i="3" s="1"/>
  <c r="H27" i="3"/>
  <c r="H29" i="3" s="1"/>
  <c r="H23" i="3" s="1"/>
  <c r="H91" i="3"/>
  <c r="H93" i="3" s="1"/>
  <c r="H83" i="3" s="1"/>
  <c r="G44" i="3"/>
  <c r="H44" i="3" s="1"/>
  <c r="H46" i="3" s="1"/>
  <c r="H38" i="3" s="1"/>
  <c r="G53" i="3"/>
  <c r="H53" i="3" s="1"/>
  <c r="H55" i="3" s="1"/>
  <c r="H47" i="3" s="1"/>
  <c r="G100" i="3"/>
  <c r="H100" i="3" s="1"/>
  <c r="H102" i="3" s="1"/>
  <c r="H94" i="3" s="1"/>
  <c r="A90" i="3"/>
  <c r="A91" i="3"/>
  <c r="A92" i="3" s="1"/>
  <c r="A93" i="3" s="1"/>
  <c r="A78" i="3"/>
  <c r="A77" i="3"/>
  <c r="A79" i="3" s="1"/>
  <c r="A80" i="3" s="1"/>
  <c r="A81" i="3" s="1"/>
  <c r="A82" i="3" s="1"/>
  <c r="A6" i="3"/>
  <c r="A7" i="3" s="1"/>
  <c r="A8" i="3" s="1"/>
  <c r="A9" i="3" s="1"/>
  <c r="A10" i="3" s="1"/>
  <c r="H121" i="2"/>
  <c r="H113" i="2" s="1"/>
  <c r="A109" i="2"/>
  <c r="H112" i="2"/>
  <c r="H102" i="2" s="1"/>
  <c r="H55" i="2"/>
  <c r="H49" i="2" s="1"/>
  <c r="H41" i="2"/>
  <c r="H35" i="2" s="1"/>
  <c r="A6" i="2"/>
  <c r="A8" i="2" s="1"/>
  <c r="A14" i="2"/>
  <c r="A5" i="2"/>
  <c r="A7" i="2" s="1"/>
  <c r="A9" i="2" s="1"/>
  <c r="A13" i="2"/>
  <c r="A12" i="2"/>
  <c r="H20" i="2"/>
  <c r="H2" i="2" s="1"/>
  <c r="A97" i="2"/>
  <c r="H101" i="2"/>
  <c r="H91" i="2" s="1"/>
  <c r="H90" i="2"/>
  <c r="H82" i="2" s="1"/>
  <c r="H81" i="2"/>
  <c r="H73" i="2" s="1"/>
  <c r="A11" i="3" l="1"/>
  <c r="A13" i="3"/>
  <c r="A14" i="3" s="1"/>
  <c r="A15" i="3" s="1"/>
  <c r="A12" i="3"/>
  <c r="F71" i="2"/>
  <c r="G71" i="2" s="1"/>
  <c r="H71" i="2" s="1"/>
  <c r="G70" i="2"/>
  <c r="H70" i="2" s="1"/>
  <c r="G66" i="2"/>
  <c r="H66" i="2" s="1"/>
  <c r="G65" i="2"/>
  <c r="H65" i="2" s="1"/>
  <c r="A64" i="2"/>
  <c r="A65" i="2" s="1"/>
  <c r="A66" i="2" s="1"/>
  <c r="A67" i="2" s="1"/>
  <c r="A68" i="2" s="1"/>
  <c r="A69" i="2" s="1"/>
  <c r="A70" i="2" s="1"/>
  <c r="A71" i="2" s="1"/>
  <c r="A72" i="2" s="1"/>
  <c r="F62" i="2"/>
  <c r="G62" i="2" s="1"/>
  <c r="H62" i="2" s="1"/>
  <c r="G61" i="2"/>
  <c r="H61" i="2" s="1"/>
  <c r="G60" i="2"/>
  <c r="H60" i="2" s="1"/>
  <c r="G59" i="2"/>
  <c r="H59" i="2" s="1"/>
  <c r="G58" i="2"/>
  <c r="H58" i="2" s="1"/>
  <c r="G57" i="2"/>
  <c r="H57" i="2" s="1"/>
  <c r="A56" i="2"/>
  <c r="A57" i="2" s="1"/>
  <c r="A58" i="2" s="1"/>
  <c r="A59" i="2" s="1"/>
  <c r="A60" i="2" s="1"/>
  <c r="A61" i="2" s="1"/>
  <c r="A62" i="2" s="1"/>
  <c r="A63" i="2" s="1"/>
  <c r="H63" i="2" l="1"/>
  <c r="H56" i="2" s="1"/>
  <c r="H72" i="2"/>
  <c r="H64" i="2" s="1"/>
  <c r="G28" i="2" l="1"/>
  <c r="H28" i="2" s="1"/>
  <c r="G27" i="2"/>
  <c r="H27" i="2" s="1"/>
  <c r="G26" i="2"/>
  <c r="H26" i="2" s="1"/>
  <c r="G32" i="2"/>
  <c r="H32" i="2" s="1"/>
  <c r="G43" i="2"/>
  <c r="H43" i="2" s="1"/>
  <c r="G44" i="2"/>
  <c r="H44" i="2" s="1"/>
  <c r="G45" i="2"/>
  <c r="H45" i="2" s="1"/>
  <c r="G46" i="2"/>
  <c r="H46" i="2" s="1"/>
  <c r="A47" i="2"/>
  <c r="A48" i="2" s="1"/>
  <c r="A46" i="2"/>
  <c r="A45" i="2"/>
  <c r="A44" i="2"/>
  <c r="A43" i="2"/>
  <c r="F47" i="2"/>
  <c r="G47" i="2" s="1"/>
  <c r="H47" i="2" s="1"/>
  <c r="A42" i="2"/>
  <c r="H48" i="2" l="1"/>
  <c r="H42" i="2" s="1"/>
  <c r="A21" i="2"/>
  <c r="A22" i="2" s="1"/>
  <c r="A23" i="2" s="1"/>
  <c r="G22" i="2"/>
  <c r="H22" i="2" s="1"/>
  <c r="G23" i="2"/>
  <c r="H23" i="2" s="1"/>
  <c r="G25" i="2"/>
  <c r="H25" i="2" s="1"/>
  <c r="A25" i="2" l="1"/>
  <c r="A26" i="2" s="1"/>
  <c r="A27" i="2" s="1"/>
  <c r="A28" i="2" s="1"/>
  <c r="A29" i="2" s="1"/>
  <c r="A30" i="2" s="1"/>
  <c r="A24" i="2"/>
  <c r="F33" i="2"/>
  <c r="G33" i="2" s="1"/>
  <c r="H33" i="2" s="1"/>
  <c r="H34" i="2" s="1"/>
  <c r="H21" i="2" s="1"/>
  <c r="A31" i="2" l="1"/>
  <c r="A32" i="2"/>
  <c r="A33" i="2" s="1"/>
  <c r="A34" i="2" s="1"/>
  <c r="I14" i="3" l="1"/>
  <c r="H14" i="3" s="1"/>
  <c r="F13" i="3" l="1"/>
  <c r="G13" i="3" l="1"/>
  <c r="H13" i="3" s="1"/>
  <c r="H15" i="3" s="1"/>
  <c r="H2" i="3" s="1"/>
</calcChain>
</file>

<file path=xl/sharedStrings.xml><?xml version="1.0" encoding="utf-8"?>
<sst xmlns="http://schemas.openxmlformats.org/spreadsheetml/2006/main" count="962" uniqueCount="141">
  <si>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</si>
  <si>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</si>
  <si>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</si>
  <si>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</si>
  <si>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</si>
  <si>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</si>
  <si>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</si>
  <si>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</si>
  <si>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</si>
  <si>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</si>
  <si>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</si>
  <si>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</si>
  <si>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</si>
  <si>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</si>
  <si>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</si>
  <si>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</si>
  <si>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</si>
  <si>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</si>
  <si>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tms</t>
  </si>
  <si>
    <t>sayac</t>
  </si>
  <si>
    <t>opn</t>
  </si>
  <si>
    <t>perekluchatel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</si>
  <si>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</si>
  <si>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</si>
  <si>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</si>
  <si>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</si>
  <si>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</si>
  <si>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</si>
  <si>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296833</t>
  </si>
  <si>
    <t>Авт. выкл. NXB-63S 3P 63А 4.5kA х-ка C (R)</t>
  </si>
  <si>
    <t>Таймер электронный NKG3 AC230В (R)</t>
  </si>
  <si>
    <t>dif</t>
  </si>
  <si>
    <t>D kodu</t>
  </si>
  <si>
    <t>296705</t>
  </si>
  <si>
    <t>Авт. выкл. NXB-63S 1P 2А 4.5kA х-ка C (R)</t>
  </si>
  <si>
    <t>131362</t>
  </si>
  <si>
    <t>Авт. выкл. NXM-125S/3Р 100A 25кА (R)</t>
  </si>
  <si>
    <t>ШТ.</t>
  </si>
  <si>
    <t>pys</t>
  </si>
  <si>
    <t>tt</t>
  </si>
  <si>
    <t>ЩО-1</t>
  </si>
  <si>
    <t>bh</t>
  </si>
  <si>
    <t>Авт. выкл. NXB-63S 3P 32А 4.5kA х-ка C (R)</t>
  </si>
  <si>
    <t>ЯУО</t>
  </si>
  <si>
    <t>296830</t>
  </si>
  <si>
    <t>ЯУО9601-Э474</t>
  </si>
  <si>
    <t>425037</t>
  </si>
  <si>
    <t>Кулачковый переключатель LW32-32/3, 32А, 3Р, "1-0-2"</t>
  </si>
  <si>
    <t>574003</t>
  </si>
  <si>
    <t>Кнопка управления Двойная кнопка "Пуск-Стоп" NP2-BL8325 1НО+1НЗ AC230В IP40 (R)</t>
  </si>
  <si>
    <t>310024</t>
  </si>
  <si>
    <t>фотореле</t>
  </si>
  <si>
    <t>contactor</t>
  </si>
  <si>
    <t>button</t>
  </si>
  <si>
    <t>timer</t>
  </si>
  <si>
    <t>fotorele</t>
  </si>
  <si>
    <t>ШНО</t>
  </si>
  <si>
    <t>296907</t>
  </si>
  <si>
    <t>Авт. выкл. NXB-63S 4P 25А 4.5kA х-ка C (R)</t>
  </si>
  <si>
    <t>819977</t>
  </si>
  <si>
    <t>Диф. авт. выкл. NXBLE-63 2P C16 30mA тип AC 6kA (R)</t>
  </si>
  <si>
    <t>844302</t>
  </si>
  <si>
    <t>Авт. выкл. NXM-125S/3Р 50A 25кА (R)</t>
  </si>
  <si>
    <t>296791</t>
  </si>
  <si>
    <t>Авт. выкл. NXB-63S 2P 32А 4.5kA х-ка C (R)</t>
  </si>
  <si>
    <t>ЩР-1 - ЩР-5</t>
  </si>
  <si>
    <t>5-0 36 УХЛ3 IP31</t>
  </si>
  <si>
    <t>296832</t>
  </si>
  <si>
    <t>Авт. выкл. NXB-63S 3P 50А 4.5kA х-ка C (R)</t>
  </si>
  <si>
    <t>ЩР-6</t>
  </si>
  <si>
    <t>ЩР-1.1 - ЩР-1.2</t>
  </si>
  <si>
    <t>ЩР-М</t>
  </si>
  <si>
    <t>819979</t>
  </si>
  <si>
    <t>Диф. авт. выкл. NXBLE-63 2P C25 30mA тип AC 6kA (R)</t>
  </si>
  <si>
    <t>КТПН</t>
  </si>
  <si>
    <t>630/5</t>
  </si>
  <si>
    <t>131366</t>
  </si>
  <si>
    <t>Авт. выкл. NXM-250S/3Р 180A 36кА (R)</t>
  </si>
  <si>
    <t>131360</t>
  </si>
  <si>
    <t>Авт. выкл. NXM-125S/3Р 63A 25кА (R)</t>
  </si>
  <si>
    <t>813871</t>
  </si>
  <si>
    <t>Авт. выкл. NXB-63H 3P 16A 10кА х-ка C (R)</t>
  </si>
  <si>
    <t>813873</t>
  </si>
  <si>
    <t>Авт. выкл. NXB-63H 3P 25A 10кА х-ка C (R)</t>
  </si>
  <si>
    <t>Трансофрматор тока ТМ-400 10/0,4кВ</t>
  </si>
  <si>
    <t>AS3500-134-RLM-PB2K-BD-GP</t>
  </si>
  <si>
    <t>rl</t>
  </si>
  <si>
    <t>Линейный разъединитель 630А</t>
  </si>
  <si>
    <t>Ограничителей перенапряжения Fv1-3</t>
  </si>
  <si>
    <t>Высоковольтный разьединитель П1–3</t>
  </si>
  <si>
    <t>270100213_</t>
  </si>
  <si>
    <t xml:space="preserve">                Разъединитель РЕ19-39-31120 630А IEK (1) NEW</t>
  </si>
  <si>
    <t>837122</t>
  </si>
  <si>
    <t>Тепловое реле NXR-100 23A-32A (R)</t>
  </si>
  <si>
    <t>rele</t>
  </si>
  <si>
    <t>593075</t>
  </si>
  <si>
    <t>Индикатор ND16-22D/2 красный AC/DC230В (R)</t>
  </si>
  <si>
    <t>indicator</t>
  </si>
  <si>
    <t>ЩСВ-1</t>
  </si>
  <si>
    <t>ЩР-Б</t>
  </si>
  <si>
    <t>982189</t>
  </si>
  <si>
    <t>Диф. авт. выкл. NXBLE-63 4P C50 100mA тип AC 6kA (R)</t>
  </si>
  <si>
    <t>Меркурий 206 RN 230ВА 5(60)А</t>
  </si>
  <si>
    <t>ЩР-С</t>
  </si>
  <si>
    <t>ЩРУЭ-3-7-80А</t>
  </si>
  <si>
    <t>982159</t>
  </si>
  <si>
    <t>Диф. авт. выкл. NXBLE-63 4P C25 30mA тип AC 6kA (R)</t>
  </si>
  <si>
    <t>982157</t>
  </si>
  <si>
    <t>Диф. авт. выкл. NXBLE-63 4P C16 30mA тип AC 6kA (R)</t>
  </si>
  <si>
    <t>МИР-С-07.05S-230-5(10)-PZ-S</t>
  </si>
  <si>
    <t>ЩР-В</t>
  </si>
  <si>
    <t>836713</t>
  </si>
  <si>
    <t>Контактор NXC-12 12A 380В/АС3 1НО+1НЗ 50Гц (R)</t>
  </si>
  <si>
    <t>836857</t>
  </si>
  <si>
    <t>Контактор NXC-25 25A 380В/АС3 1НО+1НЗ 50Гц (R)</t>
  </si>
  <si>
    <t>ЩО-H1</t>
  </si>
  <si>
    <t>ЩР-Д</t>
  </si>
  <si>
    <t>836712</t>
  </si>
  <si>
    <t>Контактор NXC-12 12A 220В/АС3 1НО+1НЗ 50Гц (R)</t>
  </si>
  <si>
    <t>836851</t>
  </si>
  <si>
    <t>Контактор NXC-25 25A 220В/АС3 1НО+1НЗ 50Гц (R)</t>
  </si>
  <si>
    <t>515381</t>
  </si>
  <si>
    <t>Диф. авт. выкл. NXBLE-63YH 1P+N C16 30mA тип A, 6kA (R)</t>
  </si>
  <si>
    <t>515395</t>
  </si>
  <si>
    <t>Диф. авт. выкл. NXBLE-63YH 1P+N C25 30mA тип A, 6kA (R)</t>
  </si>
  <si>
    <t>539847</t>
  </si>
  <si>
    <t>Диф. авт. выкл. NXBLE-63YH 3P+N C16 30mA тип AC, 6kA (R)</t>
  </si>
  <si>
    <t>539859</t>
  </si>
  <si>
    <t>Диф. авт. выкл. NXBLE-63YH 3P+N C25 30mA тип AC, 6kA (R)</t>
  </si>
  <si>
    <t>719-15425</t>
  </si>
  <si>
    <t>Мет.Корпус ЩМП-2 (500x400x220)  IP54</t>
  </si>
  <si>
    <t>719-15420</t>
  </si>
  <si>
    <t>Мет.Корпус ЩМП-4 (800x650x250)  IP54</t>
  </si>
  <si>
    <t>719-15410</t>
  </si>
  <si>
    <t>Мет.Корпус ЩМП-1 (395х310х150) УХЛ3 IP54</t>
  </si>
  <si>
    <t>714-15007</t>
  </si>
  <si>
    <t>Щит мет.ЩРн-18 б/o (448х268х120)S/U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</si>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</sst>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121"/>
  <sheetViews>
    <sheetView zoomScale="115" zoomScaleNormal="115" workbookViewId="0">
      <pane ySplit="1" topLeftCell="A2" activePane="bottomLeft" state="frozen"/>
      <selection pane="bottomLeft" activeCell="A3" sqref="A1:K121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9.75" customHeight="1" x14ac:dyDescent="0.25">
      <c r="A1" s="1" t="s">
        <v>2</v>
      </c>
      <c r="B1" s="1" t="s">
        <v>0</v>
      </c>
      <c r="C1" s="1" t="s">
        <v>32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  <c r="L1" s="4"/>
    </row>
    <row r="2" spans="1:12" ht="39.75" customHeight="1" x14ac:dyDescent="0.25">
      <c r="A2" s="5" t="str">
        <f>E2</f>
        <v>КТПН</v>
      </c>
      <c r="B2" s="6"/>
      <c r="C2" s="5"/>
      <c r="D2" s="7"/>
      <c r="E2" s="6" t="s">
        <v>74</v>
      </c>
      <c r="F2" s="8"/>
      <c r="G2" s="8"/>
      <c r="H2" s="9">
        <f>I2*H20</f>
        <v>114324</v>
      </c>
      <c r="I2" s="10">
        <v>1</v>
      </c>
      <c r="J2" s="11" t="s">
        <v>7</v>
      </c>
      <c r="K2" s="6" t="s">
        <v>9</v>
      </c>
      <c r="L2" s="10"/>
    </row>
    <row r="3" spans="1:12" ht="21" customHeight="1" x14ac:dyDescent="0.25">
      <c r="A3" s="12" t="str">
        <f>A2</f>
        <v>КТПН</v>
      </c>
      <c r="B3" s="13" t="s">
        <v>8</v>
      </c>
      <c r="C3" s="12"/>
      <c r="D3" s="14"/>
      <c r="E3" s="12"/>
      <c r="F3" s="13"/>
      <c r="G3" s="15">
        <f>F3</f>
        <v>0</v>
      </c>
      <c r="H3" s="15">
        <f>I3*G3</f>
        <v>0</v>
      </c>
      <c r="I3" s="16">
        <v>1</v>
      </c>
      <c r="J3" s="17" t="s">
        <v>13</v>
      </c>
      <c r="K3" s="13" t="s">
        <v>16</v>
      </c>
      <c r="L3" s="16"/>
    </row>
    <row r="4" spans="1:12" ht="21" customHeight="1" x14ac:dyDescent="0.25">
      <c r="A4" s="12" t="str">
        <f t="shared" ref="A4:A20" si="0">A3</f>
        <v>КТПН</v>
      </c>
      <c r="B4" s="13" t="s">
        <v>39</v>
      </c>
      <c r="C4" s="12"/>
      <c r="D4" s="14"/>
      <c r="E4" s="12" t="s">
        <v>84</v>
      </c>
      <c r="F4" s="13"/>
      <c r="G4" s="15">
        <f>F4*0.6</f>
        <v>0</v>
      </c>
      <c r="H4" s="15">
        <f>G4*I4</f>
        <v>0</v>
      </c>
      <c r="I4" s="16">
        <v>1</v>
      </c>
      <c r="J4" s="17" t="s">
        <v>13</v>
      </c>
      <c r="K4" s="13" t="s">
        <v>38</v>
      </c>
      <c r="L4" s="16"/>
    </row>
    <row r="5" spans="1:12" ht="21" customHeight="1" x14ac:dyDescent="0.25">
      <c r="A5" s="12" t="str">
        <f t="shared" ref="A5" si="1">A4</f>
        <v>КТПН</v>
      </c>
      <c r="B5" s="13" t="s">
        <v>19</v>
      </c>
      <c r="C5" s="12"/>
      <c r="D5" s="14"/>
      <c r="E5" s="12" t="s">
        <v>85</v>
      </c>
      <c r="F5" s="13"/>
      <c r="G5" s="15">
        <f t="shared" ref="G5:G6" si="2">F5*0.6</f>
        <v>0</v>
      </c>
      <c r="H5" s="15">
        <f t="shared" ref="H5:H6" si="3">G5*I5</f>
        <v>0</v>
      </c>
      <c r="I5" s="16">
        <v>1</v>
      </c>
      <c r="J5" s="17" t="s">
        <v>13</v>
      </c>
      <c r="K5" s="13" t="s">
        <v>38</v>
      </c>
      <c r="L5" s="16"/>
    </row>
    <row r="6" spans="1:12" ht="21" customHeight="1" x14ac:dyDescent="0.25">
      <c r="A6" s="12" t="str">
        <f t="shared" ref="A6" si="4">A4</f>
        <v>КТПН</v>
      </c>
      <c r="B6" s="13" t="s">
        <v>86</v>
      </c>
      <c r="C6" s="12"/>
      <c r="D6" s="14"/>
      <c r="E6" s="12" t="s">
        <v>87</v>
      </c>
      <c r="F6" s="13"/>
      <c r="G6" s="15">
        <f t="shared" si="2"/>
        <v>0</v>
      </c>
      <c r="H6" s="15">
        <f t="shared" si="3"/>
        <v>0</v>
      </c>
      <c r="I6" s="16">
        <v>1</v>
      </c>
      <c r="J6" s="17" t="s">
        <v>13</v>
      </c>
      <c r="K6" s="13" t="s">
        <v>38</v>
      </c>
      <c r="L6" s="16"/>
    </row>
    <row r="7" spans="1:12" ht="21" customHeight="1" x14ac:dyDescent="0.25">
      <c r="A7" s="12" t="str">
        <f t="shared" ref="A7" si="5">A5</f>
        <v>КТПН</v>
      </c>
      <c r="B7" s="13" t="s">
        <v>20</v>
      </c>
      <c r="C7" s="12"/>
      <c r="D7" s="14"/>
      <c r="E7" s="12" t="s">
        <v>88</v>
      </c>
      <c r="F7" s="13"/>
      <c r="G7" s="15">
        <f t="shared" ref="G7" si="6">F7*0.6</f>
        <v>0</v>
      </c>
      <c r="H7" s="15">
        <f t="shared" ref="H7" si="7">G7*I7</f>
        <v>0</v>
      </c>
      <c r="I7" s="16">
        <v>1</v>
      </c>
      <c r="J7" s="17" t="s">
        <v>13</v>
      </c>
      <c r="K7" s="13" t="s">
        <v>38</v>
      </c>
      <c r="L7" s="16"/>
    </row>
    <row r="8" spans="1:12" ht="21" customHeight="1" x14ac:dyDescent="0.25">
      <c r="A8" s="12" t="str">
        <f t="shared" ref="A8" si="8">A6</f>
        <v>КТПН</v>
      </c>
      <c r="B8" s="13" t="s">
        <v>41</v>
      </c>
      <c r="C8" s="12"/>
      <c r="D8" s="14"/>
      <c r="E8" s="12" t="s">
        <v>89</v>
      </c>
      <c r="F8" s="13"/>
      <c r="G8" s="15">
        <f t="shared" ref="G8" si="9">F8*0.6</f>
        <v>0</v>
      </c>
      <c r="H8" s="15">
        <f t="shared" ref="H8" si="10">G8*I8</f>
        <v>0</v>
      </c>
      <c r="I8" s="16">
        <v>1</v>
      </c>
      <c r="J8" s="17" t="s">
        <v>13</v>
      </c>
      <c r="K8" s="13" t="s">
        <v>38</v>
      </c>
      <c r="L8" s="16"/>
    </row>
    <row r="9" spans="1:12" ht="21" customHeight="1" x14ac:dyDescent="0.25">
      <c r="A9" s="12" t="str">
        <f t="shared" ref="A9" si="11">A7</f>
        <v>КТПН</v>
      </c>
      <c r="B9" s="13" t="s">
        <v>41</v>
      </c>
      <c r="C9" s="12"/>
      <c r="D9" s="14" t="s">
        <v>90</v>
      </c>
      <c r="E9" s="12" t="s">
        <v>91</v>
      </c>
      <c r="F9" s="13">
        <v>58320</v>
      </c>
      <c r="G9" s="15">
        <f>F9*0.6</f>
        <v>34992</v>
      </c>
      <c r="H9" s="15">
        <f t="shared" ref="H9" si="12">G9*I9</f>
        <v>34992</v>
      </c>
      <c r="I9" s="16">
        <v>1</v>
      </c>
      <c r="J9" s="17" t="s">
        <v>13</v>
      </c>
      <c r="K9" s="13" t="s">
        <v>38</v>
      </c>
      <c r="L9" s="16"/>
    </row>
    <row r="10" spans="1:12" ht="21" customHeight="1" x14ac:dyDescent="0.25">
      <c r="A10" s="12" t="str">
        <f>A4</f>
        <v>КТПН</v>
      </c>
      <c r="B10" s="13" t="s">
        <v>18</v>
      </c>
      <c r="C10" s="12"/>
      <c r="D10" s="14" t="s">
        <v>76</v>
      </c>
      <c r="E10" s="12" t="s">
        <v>77</v>
      </c>
      <c r="F10" s="13">
        <v>35268</v>
      </c>
      <c r="G10" s="15">
        <f t="shared" ref="G10" si="13">F10*0.6</f>
        <v>21160.799999999999</v>
      </c>
      <c r="H10" s="15">
        <f t="shared" ref="H10" si="14">G10*I10</f>
        <v>21160.799999999999</v>
      </c>
      <c r="I10" s="16">
        <v>1</v>
      </c>
      <c r="J10" s="17" t="s">
        <v>13</v>
      </c>
      <c r="K10" s="13" t="s">
        <v>17</v>
      </c>
      <c r="L10" s="16"/>
    </row>
    <row r="11" spans="1:12" ht="21" customHeight="1" x14ac:dyDescent="0.25">
      <c r="A11" s="12" t="str">
        <f t="shared" si="0"/>
        <v>КТПН</v>
      </c>
      <c r="B11" s="13" t="s">
        <v>18</v>
      </c>
      <c r="C11" s="12"/>
      <c r="D11" s="14" t="s">
        <v>35</v>
      </c>
      <c r="E11" s="12" t="s">
        <v>36</v>
      </c>
      <c r="F11" s="13">
        <v>19443</v>
      </c>
      <c r="G11" s="15">
        <f>F11*0.6</f>
        <v>11665.8</v>
      </c>
      <c r="H11" s="15">
        <f>G11*I11</f>
        <v>11665.8</v>
      </c>
      <c r="I11" s="16">
        <v>1</v>
      </c>
      <c r="J11" s="17" t="s">
        <v>13</v>
      </c>
      <c r="K11" s="13" t="s">
        <v>17</v>
      </c>
      <c r="L11" s="16"/>
    </row>
    <row r="12" spans="1:12" ht="21" customHeight="1" x14ac:dyDescent="0.25">
      <c r="A12" s="12" t="str">
        <f>A10</f>
        <v>КТПН</v>
      </c>
      <c r="B12" s="13" t="s">
        <v>18</v>
      </c>
      <c r="C12" s="12"/>
      <c r="D12" s="14" t="s">
        <v>78</v>
      </c>
      <c r="E12" s="12" t="s">
        <v>79</v>
      </c>
      <c r="F12" s="13">
        <v>18263</v>
      </c>
      <c r="G12" s="15">
        <f>F12*0.6</f>
        <v>10957.8</v>
      </c>
      <c r="H12" s="15">
        <f>G12*I12</f>
        <v>10957.8</v>
      </c>
      <c r="I12" s="16">
        <v>1</v>
      </c>
      <c r="J12" s="17" t="s">
        <v>13</v>
      </c>
      <c r="K12" s="13" t="s">
        <v>17</v>
      </c>
      <c r="L12" s="16"/>
    </row>
    <row r="13" spans="1:12" ht="21" customHeight="1" x14ac:dyDescent="0.25">
      <c r="A13" s="12" t="str">
        <f>A4</f>
        <v>КТПН</v>
      </c>
      <c r="B13" s="13" t="s">
        <v>18</v>
      </c>
      <c r="C13" s="12"/>
      <c r="D13" s="14" t="s">
        <v>61</v>
      </c>
      <c r="E13" s="12" t="s">
        <v>62</v>
      </c>
      <c r="F13" s="13">
        <v>19295</v>
      </c>
      <c r="G13" s="15">
        <f>F13*0.6</f>
        <v>11577</v>
      </c>
      <c r="H13" s="15">
        <f>G13*I13</f>
        <v>11577</v>
      </c>
      <c r="I13" s="16">
        <v>1</v>
      </c>
      <c r="J13" s="17" t="s">
        <v>13</v>
      </c>
      <c r="K13" s="13" t="s">
        <v>17</v>
      </c>
      <c r="L13" s="16"/>
    </row>
    <row r="14" spans="1:12" ht="21" customHeight="1" x14ac:dyDescent="0.25">
      <c r="A14" s="12" t="str">
        <f>A10</f>
        <v>КТПН</v>
      </c>
      <c r="B14" s="13" t="s">
        <v>12</v>
      </c>
      <c r="C14" s="12"/>
      <c r="D14" s="14" t="s">
        <v>82</v>
      </c>
      <c r="E14" s="12" t="s">
        <v>83</v>
      </c>
      <c r="F14" s="13">
        <v>10552</v>
      </c>
      <c r="G14" s="15">
        <f>F14*0.6</f>
        <v>6331.2</v>
      </c>
      <c r="H14" s="15">
        <f>G14*I14</f>
        <v>6331.2</v>
      </c>
      <c r="I14" s="16">
        <v>1</v>
      </c>
      <c r="J14" s="17" t="s">
        <v>13</v>
      </c>
      <c r="K14" s="13" t="s">
        <v>17</v>
      </c>
      <c r="L14" s="16"/>
    </row>
    <row r="15" spans="1:12" ht="21" customHeight="1" x14ac:dyDescent="0.25">
      <c r="A15" s="12" t="str">
        <f>A11</f>
        <v>КТПН</v>
      </c>
      <c r="B15" s="13" t="s">
        <v>12</v>
      </c>
      <c r="C15" s="12"/>
      <c r="D15" s="14" t="s">
        <v>80</v>
      </c>
      <c r="E15" s="12" t="s">
        <v>81</v>
      </c>
      <c r="F15" s="13">
        <v>10552</v>
      </c>
      <c r="G15" s="15">
        <f>F15*0.6</f>
        <v>6331.2</v>
      </c>
      <c r="H15" s="15">
        <f>G15*I15</f>
        <v>6331.2</v>
      </c>
      <c r="I15" s="16">
        <v>1</v>
      </c>
      <c r="J15" s="17" t="s">
        <v>13</v>
      </c>
      <c r="K15" s="13" t="s">
        <v>17</v>
      </c>
      <c r="L15" s="16"/>
    </row>
    <row r="16" spans="1:12" ht="21" customHeight="1" x14ac:dyDescent="0.25">
      <c r="A16" s="12" t="str">
        <f t="shared" si="0"/>
        <v>КТПН</v>
      </c>
      <c r="B16" s="13" t="s">
        <v>19</v>
      </c>
      <c r="C16" s="12"/>
      <c r="D16" s="14"/>
      <c r="E16" s="12" t="s">
        <v>19</v>
      </c>
      <c r="F16" s="13">
        <v>18847</v>
      </c>
      <c r="G16" s="15">
        <f t="shared" ref="G16:G19" si="15">F16*0.6</f>
        <v>11308.199999999999</v>
      </c>
      <c r="H16" s="15">
        <f t="shared" ref="H16:H19" si="16">G16*I16</f>
        <v>11308.199999999999</v>
      </c>
      <c r="I16" s="16">
        <v>1</v>
      </c>
      <c r="J16" s="17" t="s">
        <v>13</v>
      </c>
      <c r="K16" s="13" t="s">
        <v>17</v>
      </c>
      <c r="L16" s="16"/>
    </row>
    <row r="17" spans="1:12" ht="21" customHeight="1" x14ac:dyDescent="0.25">
      <c r="A17" s="12" t="str">
        <f t="shared" si="0"/>
        <v>КТПН</v>
      </c>
      <c r="B17" s="13" t="s">
        <v>39</v>
      </c>
      <c r="C17" s="12"/>
      <c r="D17" s="14"/>
      <c r="E17" s="12" t="s">
        <v>75</v>
      </c>
      <c r="F17" s="13"/>
      <c r="G17" s="15">
        <f t="shared" si="15"/>
        <v>0</v>
      </c>
      <c r="H17" s="15">
        <f t="shared" si="16"/>
        <v>0</v>
      </c>
      <c r="I17" s="16">
        <v>2</v>
      </c>
      <c r="J17" s="17" t="s">
        <v>13</v>
      </c>
      <c r="K17" s="13" t="s">
        <v>38</v>
      </c>
      <c r="L17" s="16"/>
    </row>
    <row r="18" spans="1:12" ht="24" customHeight="1" x14ac:dyDescent="0.25">
      <c r="A18" s="12" t="str">
        <f t="shared" si="0"/>
        <v>КТПН</v>
      </c>
      <c r="B18" s="12" t="s">
        <v>10</v>
      </c>
      <c r="C18" s="12"/>
      <c r="D18" s="18" t="s">
        <v>10</v>
      </c>
      <c r="E18" s="12" t="s">
        <v>10</v>
      </c>
      <c r="F18" s="12"/>
      <c r="G18" s="15">
        <f t="shared" si="15"/>
        <v>0</v>
      </c>
      <c r="H18" s="15">
        <f t="shared" si="16"/>
        <v>0</v>
      </c>
      <c r="I18" s="12"/>
      <c r="J18" s="12" t="s">
        <v>13</v>
      </c>
      <c r="K18" s="12" t="s">
        <v>10</v>
      </c>
      <c r="L18" s="12"/>
    </row>
    <row r="19" spans="1:12" ht="21" customHeight="1" x14ac:dyDescent="0.25">
      <c r="A19" s="12" t="str">
        <f t="shared" si="0"/>
        <v>КТПН</v>
      </c>
      <c r="B19" s="12" t="s">
        <v>11</v>
      </c>
      <c r="C19" s="12"/>
      <c r="D19" s="18" t="s">
        <v>11</v>
      </c>
      <c r="E19" s="12" t="s">
        <v>11</v>
      </c>
      <c r="F19" s="12">
        <f>I19/60</f>
        <v>0</v>
      </c>
      <c r="G19" s="15">
        <f t="shared" si="15"/>
        <v>0</v>
      </c>
      <c r="H19" s="15">
        <f t="shared" si="16"/>
        <v>0</v>
      </c>
      <c r="I19" s="12"/>
      <c r="J19" s="12" t="s">
        <v>13</v>
      </c>
      <c r="K19" s="12" t="s">
        <v>11</v>
      </c>
      <c r="L19" s="12"/>
    </row>
    <row r="20" spans="1:12" ht="30" customHeight="1" x14ac:dyDescent="0.25">
      <c r="A20" s="12" t="str">
        <f t="shared" si="0"/>
        <v>КТПН</v>
      </c>
      <c r="B20" s="19"/>
      <c r="C20" s="20"/>
      <c r="D20" s="20"/>
      <c r="E20" s="21"/>
      <c r="F20" s="23"/>
      <c r="G20" s="25"/>
      <c r="H20" s="24">
        <f>SUM(H3:H19)</f>
        <v>114324</v>
      </c>
      <c r="I20" s="20"/>
      <c r="J20" s="22"/>
      <c r="K20" s="20"/>
      <c r="L20" s="20"/>
    </row>
    <row r="21" spans="1:12" ht="39.75" customHeight="1" x14ac:dyDescent="0.25">
      <c r="A21" s="5" t="str">
        <f>E21</f>
        <v>ЯУО</v>
      </c>
      <c r="B21" s="6"/>
      <c r="C21" s="5"/>
      <c r="D21" s="7"/>
      <c r="E21" s="6" t="s">
        <v>43</v>
      </c>
      <c r="F21" s="8"/>
      <c r="G21" s="8"/>
      <c r="H21" s="9">
        <f>I21*H34</f>
        <v>42804.599999999991</v>
      </c>
      <c r="I21" s="10">
        <v>1</v>
      </c>
      <c r="J21" s="11" t="s">
        <v>7</v>
      </c>
      <c r="K21" s="6" t="s">
        <v>9</v>
      </c>
      <c r="L21" s="10"/>
    </row>
    <row r="22" spans="1:12" ht="21" customHeight="1" x14ac:dyDescent="0.25">
      <c r="A22" s="12" t="str">
        <f>A21</f>
        <v>ЯУО</v>
      </c>
      <c r="B22" s="13" t="s">
        <v>8</v>
      </c>
      <c r="C22" s="12"/>
      <c r="D22" s="14"/>
      <c r="E22" s="12" t="s">
        <v>45</v>
      </c>
      <c r="F22" s="13"/>
      <c r="G22" s="15">
        <f>F22</f>
        <v>0</v>
      </c>
      <c r="H22" s="15">
        <f>I22*G22</f>
        <v>0</v>
      </c>
      <c r="I22" s="16">
        <v>1</v>
      </c>
      <c r="J22" s="17" t="s">
        <v>13</v>
      </c>
      <c r="K22" s="13" t="s">
        <v>16</v>
      </c>
      <c r="L22" s="16"/>
    </row>
    <row r="23" spans="1:12" ht="21" customHeight="1" x14ac:dyDescent="0.25">
      <c r="A23" s="12" t="str">
        <f t="shared" ref="A23:A34" si="17">A22</f>
        <v>ЯУО</v>
      </c>
      <c r="B23" s="13" t="s">
        <v>12</v>
      </c>
      <c r="C23" s="12"/>
      <c r="D23" s="14" t="s">
        <v>44</v>
      </c>
      <c r="E23" s="12" t="s">
        <v>42</v>
      </c>
      <c r="F23" s="13">
        <v>2606</v>
      </c>
      <c r="G23" s="15">
        <f>F23*0.6</f>
        <v>1563.6</v>
      </c>
      <c r="H23" s="15">
        <f>G23*I23</f>
        <v>1563.6</v>
      </c>
      <c r="I23" s="16">
        <v>1</v>
      </c>
      <c r="J23" s="17" t="s">
        <v>13</v>
      </c>
      <c r="K23" s="13" t="s">
        <v>17</v>
      </c>
      <c r="L23" s="16"/>
    </row>
    <row r="24" spans="1:12" ht="21" customHeight="1" x14ac:dyDescent="0.25">
      <c r="A24" s="12" t="str">
        <f t="shared" ref="A24" si="18">A23</f>
        <v>ЯУО</v>
      </c>
      <c r="B24" s="13" t="s">
        <v>12</v>
      </c>
      <c r="C24" s="12"/>
      <c r="D24" s="14" t="s">
        <v>33</v>
      </c>
      <c r="E24" s="12" t="s">
        <v>34</v>
      </c>
      <c r="F24" s="13">
        <v>1086</v>
      </c>
      <c r="G24" s="15">
        <f>F24*0.6</f>
        <v>651.6</v>
      </c>
      <c r="H24" s="15">
        <f>G24*I24</f>
        <v>651.6</v>
      </c>
      <c r="I24" s="16">
        <v>1</v>
      </c>
      <c r="J24" s="17" t="s">
        <v>13</v>
      </c>
      <c r="K24" s="13" t="s">
        <v>17</v>
      </c>
      <c r="L24" s="16"/>
    </row>
    <row r="25" spans="1:12" ht="21" customHeight="1" x14ac:dyDescent="0.25">
      <c r="A25" s="12" t="str">
        <f>A23</f>
        <v>ЯУО</v>
      </c>
      <c r="B25" s="13" t="s">
        <v>52</v>
      </c>
      <c r="C25" s="12"/>
      <c r="D25" s="14" t="s">
        <v>113</v>
      </c>
      <c r="E25" s="12" t="s">
        <v>114</v>
      </c>
      <c r="F25" s="13">
        <v>9246</v>
      </c>
      <c r="G25" s="15">
        <f t="shared" ref="G25:G47" si="19">F25*0.6</f>
        <v>5547.5999999999995</v>
      </c>
      <c r="H25" s="15">
        <f t="shared" ref="H25:H47" si="20">G25*I25</f>
        <v>11095.199999999999</v>
      </c>
      <c r="I25" s="16">
        <v>2</v>
      </c>
      <c r="J25" s="17" t="s">
        <v>13</v>
      </c>
      <c r="K25" s="13" t="s">
        <v>17</v>
      </c>
      <c r="L25" s="16"/>
    </row>
    <row r="26" spans="1:12" ht="21" customHeight="1" x14ac:dyDescent="0.25">
      <c r="A26" s="12" t="str">
        <f t="shared" si="17"/>
        <v>ЯУО</v>
      </c>
      <c r="B26" s="13" t="s">
        <v>21</v>
      </c>
      <c r="C26" s="12"/>
      <c r="D26" s="14" t="s">
        <v>46</v>
      </c>
      <c r="E26" s="12" t="s">
        <v>47</v>
      </c>
      <c r="F26" s="13">
        <v>18123</v>
      </c>
      <c r="G26" s="15">
        <f>F26*0.6</f>
        <v>10873.8</v>
      </c>
      <c r="H26" s="15">
        <f>G26*I26</f>
        <v>10873.8</v>
      </c>
      <c r="I26" s="16">
        <v>1</v>
      </c>
      <c r="J26" s="17" t="s">
        <v>13</v>
      </c>
      <c r="K26" s="13" t="s">
        <v>17</v>
      </c>
      <c r="L26" s="16"/>
    </row>
    <row r="27" spans="1:12" ht="21" customHeight="1" x14ac:dyDescent="0.25">
      <c r="A27" s="12" t="str">
        <f t="shared" si="17"/>
        <v>ЯУО</v>
      </c>
      <c r="B27" s="13" t="s">
        <v>53</v>
      </c>
      <c r="C27" s="12"/>
      <c r="D27" s="14" t="s">
        <v>48</v>
      </c>
      <c r="E27" s="12" t="s">
        <v>49</v>
      </c>
      <c r="F27" s="13">
        <v>2460</v>
      </c>
      <c r="G27" s="15">
        <f>F27*0.6</f>
        <v>1476</v>
      </c>
      <c r="H27" s="15">
        <f>G27*I27</f>
        <v>1476</v>
      </c>
      <c r="I27" s="16">
        <v>1</v>
      </c>
      <c r="J27" s="17" t="s">
        <v>13</v>
      </c>
      <c r="K27" s="13" t="s">
        <v>17</v>
      </c>
      <c r="L27" s="16"/>
    </row>
    <row r="28" spans="1:12" ht="21" customHeight="1" x14ac:dyDescent="0.25">
      <c r="A28" s="12" t="str">
        <f t="shared" si="17"/>
        <v>ЯУО</v>
      </c>
      <c r="B28" s="13" t="s">
        <v>54</v>
      </c>
      <c r="C28" s="12"/>
      <c r="D28" s="14" t="s">
        <v>50</v>
      </c>
      <c r="E28" s="12" t="s">
        <v>30</v>
      </c>
      <c r="F28" s="13">
        <v>18847</v>
      </c>
      <c r="G28" s="15">
        <f t="shared" ref="G28:G29" si="21">F28*0.6</f>
        <v>11308.199999999999</v>
      </c>
      <c r="H28" s="15">
        <f t="shared" ref="H28:H29" si="22">G28*I28</f>
        <v>11308.199999999999</v>
      </c>
      <c r="I28" s="16">
        <v>1</v>
      </c>
      <c r="J28" s="17" t="s">
        <v>13</v>
      </c>
      <c r="K28" s="13" t="s">
        <v>17</v>
      </c>
      <c r="L28" s="16"/>
    </row>
    <row r="29" spans="1:12" ht="21" customHeight="1" x14ac:dyDescent="0.25">
      <c r="A29" s="12" t="str">
        <f t="shared" si="17"/>
        <v>ЯУО</v>
      </c>
      <c r="B29" s="13" t="s">
        <v>94</v>
      </c>
      <c r="C29" s="12"/>
      <c r="D29" s="14" t="s">
        <v>92</v>
      </c>
      <c r="E29" s="12" t="s">
        <v>93</v>
      </c>
      <c r="F29" s="13">
        <v>9156</v>
      </c>
      <c r="G29" s="15">
        <f t="shared" si="21"/>
        <v>5493.5999999999995</v>
      </c>
      <c r="H29" s="15">
        <f t="shared" si="22"/>
        <v>5493.5999999999995</v>
      </c>
      <c r="I29" s="16">
        <v>1</v>
      </c>
      <c r="J29" s="17" t="s">
        <v>13</v>
      </c>
      <c r="K29" s="13" t="s">
        <v>17</v>
      </c>
      <c r="L29" s="16"/>
    </row>
    <row r="30" spans="1:12" ht="21" customHeight="1" x14ac:dyDescent="0.25">
      <c r="A30" s="12" t="str">
        <f t="shared" ref="A30" si="23">A29</f>
        <v>ЯУО</v>
      </c>
      <c r="B30" s="13" t="s">
        <v>97</v>
      </c>
      <c r="C30" s="12"/>
      <c r="D30" s="14" t="s">
        <v>95</v>
      </c>
      <c r="E30" s="12" t="s">
        <v>96</v>
      </c>
      <c r="F30" s="13">
        <v>571</v>
      </c>
      <c r="G30" s="15">
        <f t="shared" ref="G30" si="24">F30*0.6</f>
        <v>342.59999999999997</v>
      </c>
      <c r="H30" s="15">
        <f t="shared" ref="H30" si="25">G30*I30</f>
        <v>342.59999999999997</v>
      </c>
      <c r="I30" s="16">
        <v>1</v>
      </c>
      <c r="J30" s="17" t="s">
        <v>13</v>
      </c>
      <c r="K30" s="13" t="s">
        <v>17</v>
      </c>
      <c r="L30" s="16"/>
    </row>
    <row r="31" spans="1:12" ht="21" customHeight="1" x14ac:dyDescent="0.25">
      <c r="A31" s="12" t="str">
        <f t="shared" ref="A31" si="26">A29</f>
        <v>ЯУО</v>
      </c>
      <c r="B31" s="13" t="s">
        <v>55</v>
      </c>
      <c r="C31" s="12"/>
      <c r="D31" s="14"/>
      <c r="E31" s="12" t="s">
        <v>51</v>
      </c>
      <c r="F31" s="13"/>
      <c r="G31" s="15">
        <f t="shared" ref="G31" si="27">F31*0.6</f>
        <v>0</v>
      </c>
      <c r="H31" s="15">
        <f t="shared" ref="H31" si="28">G31*I31</f>
        <v>0</v>
      </c>
      <c r="I31" s="16">
        <v>2</v>
      </c>
      <c r="J31" s="17" t="s">
        <v>13</v>
      </c>
      <c r="K31" s="13" t="s">
        <v>38</v>
      </c>
      <c r="L31" s="16"/>
    </row>
    <row r="32" spans="1:12" ht="24" customHeight="1" x14ac:dyDescent="0.25">
      <c r="A32" s="12" t="str">
        <f>A29</f>
        <v>ЯУО</v>
      </c>
      <c r="B32" s="12" t="s">
        <v>10</v>
      </c>
      <c r="C32" s="12"/>
      <c r="D32" s="18" t="s">
        <v>10</v>
      </c>
      <c r="E32" s="12" t="s">
        <v>10</v>
      </c>
      <c r="F32" s="12"/>
      <c r="G32" s="15">
        <f t="shared" si="19"/>
        <v>0</v>
      </c>
      <c r="H32" s="15">
        <f t="shared" si="20"/>
        <v>0</v>
      </c>
      <c r="I32" s="12"/>
      <c r="J32" s="12" t="s">
        <v>13</v>
      </c>
      <c r="K32" s="12" t="s">
        <v>10</v>
      </c>
      <c r="L32" s="12"/>
    </row>
    <row r="33" spans="1:12" ht="21" customHeight="1" x14ac:dyDescent="0.25">
      <c r="A33" s="12" t="str">
        <f t="shared" si="17"/>
        <v>ЯУО</v>
      </c>
      <c r="B33" s="12" t="s">
        <v>11</v>
      </c>
      <c r="C33" s="12"/>
      <c r="D33" s="18" t="s">
        <v>11</v>
      </c>
      <c r="E33" s="12" t="s">
        <v>11</v>
      </c>
      <c r="F33" s="12">
        <f>I33/60</f>
        <v>0</v>
      </c>
      <c r="G33" s="15">
        <f t="shared" si="19"/>
        <v>0</v>
      </c>
      <c r="H33" s="15">
        <f t="shared" si="20"/>
        <v>0</v>
      </c>
      <c r="I33" s="12"/>
      <c r="J33" s="12" t="s">
        <v>13</v>
      </c>
      <c r="K33" s="12" t="s">
        <v>11</v>
      </c>
      <c r="L33" s="12"/>
    </row>
    <row r="34" spans="1:12" ht="30" customHeight="1" x14ac:dyDescent="0.25">
      <c r="A34" s="12" t="str">
        <f t="shared" si="17"/>
        <v>ЯУО</v>
      </c>
      <c r="B34" s="19"/>
      <c r="C34" s="20"/>
      <c r="D34" s="20"/>
      <c r="E34" s="21"/>
      <c r="F34" s="23"/>
      <c r="G34" s="25"/>
      <c r="H34" s="24">
        <f>SUM(H22:H33)</f>
        <v>42804.599999999991</v>
      </c>
      <c r="I34" s="20"/>
      <c r="J34" s="22"/>
      <c r="K34" s="20"/>
      <c r="L34" s="20"/>
    </row>
    <row r="35" spans="1:12" ht="21" customHeight="1" x14ac:dyDescent="0.25">
      <c r="A35" s="5" t="str">
        <f>E35</f>
        <v>ЩО-1</v>
      </c>
      <c r="B35" s="6"/>
      <c r="C35" s="5"/>
      <c r="D35" s="7"/>
      <c r="E35" s="6" t="s">
        <v>40</v>
      </c>
      <c r="F35" s="8"/>
      <c r="G35" s="8"/>
      <c r="H35" s="8">
        <f>I35*H41</f>
        <v>12138.6</v>
      </c>
      <c r="I35" s="10">
        <v>1</v>
      </c>
      <c r="J35" s="11" t="s">
        <v>7</v>
      </c>
      <c r="K35" s="6" t="s">
        <v>9</v>
      </c>
      <c r="L35" s="10"/>
    </row>
    <row r="36" spans="1:12" ht="21" customHeight="1" x14ac:dyDescent="0.25">
      <c r="A36" s="12" t="str">
        <f>E35</f>
        <v>ЩО-1</v>
      </c>
      <c r="B36" s="13" t="s">
        <v>8</v>
      </c>
      <c r="C36" s="12"/>
      <c r="D36" s="14"/>
      <c r="E36" s="12"/>
      <c r="F36" s="13"/>
      <c r="G36" s="15">
        <f t="shared" ref="G36:G40" si="29">F36*0.6</f>
        <v>0</v>
      </c>
      <c r="H36" s="15">
        <f t="shared" ref="H36:H40" si="30">G36*I36</f>
        <v>0</v>
      </c>
      <c r="I36" s="16"/>
      <c r="J36" s="17" t="s">
        <v>37</v>
      </c>
      <c r="K36" s="13" t="s">
        <v>16</v>
      </c>
      <c r="L36" s="16"/>
    </row>
    <row r="37" spans="1:12" ht="21" customHeight="1" x14ac:dyDescent="0.25">
      <c r="A37" s="12" t="str">
        <f>E35</f>
        <v>ЩО-1</v>
      </c>
      <c r="B37" s="13" t="s">
        <v>12</v>
      </c>
      <c r="C37" s="12"/>
      <c r="D37" s="14" t="s">
        <v>26</v>
      </c>
      <c r="E37" s="12" t="s">
        <v>27</v>
      </c>
      <c r="F37" s="13">
        <v>2429</v>
      </c>
      <c r="G37" s="15">
        <f t="shared" si="29"/>
        <v>1457.3999999999999</v>
      </c>
      <c r="H37" s="15">
        <f t="shared" si="30"/>
        <v>1457.3999999999999</v>
      </c>
      <c r="I37" s="16">
        <v>1</v>
      </c>
      <c r="J37" s="17" t="s">
        <v>37</v>
      </c>
      <c r="K37" s="13" t="s">
        <v>17</v>
      </c>
      <c r="L37" s="16"/>
    </row>
    <row r="38" spans="1:12" ht="21" customHeight="1" x14ac:dyDescent="0.25">
      <c r="A38" s="12" t="str">
        <f>E35</f>
        <v>ЩО-1</v>
      </c>
      <c r="B38" s="13" t="s">
        <v>31</v>
      </c>
      <c r="C38" s="12"/>
      <c r="D38" s="14" t="s">
        <v>59</v>
      </c>
      <c r="E38" s="12" t="s">
        <v>60</v>
      </c>
      <c r="F38" s="13">
        <v>5934</v>
      </c>
      <c r="G38" s="15">
        <f t="shared" si="29"/>
        <v>3560.4</v>
      </c>
      <c r="H38" s="15">
        <f t="shared" si="30"/>
        <v>10681.2</v>
      </c>
      <c r="I38" s="16">
        <v>3</v>
      </c>
      <c r="J38" s="17" t="s">
        <v>37</v>
      </c>
      <c r="K38" s="13" t="s">
        <v>17</v>
      </c>
      <c r="L38" s="16"/>
    </row>
    <row r="39" spans="1:12" ht="21" customHeight="1" x14ac:dyDescent="0.25">
      <c r="A39" s="12" t="str">
        <f>E35</f>
        <v>ЩО-1</v>
      </c>
      <c r="B39" s="12" t="s">
        <v>10</v>
      </c>
      <c r="C39" s="12"/>
      <c r="D39" s="18" t="s">
        <v>10</v>
      </c>
      <c r="E39" s="12" t="s">
        <v>10</v>
      </c>
      <c r="F39" s="12"/>
      <c r="G39" s="15">
        <f t="shared" si="29"/>
        <v>0</v>
      </c>
      <c r="H39" s="15">
        <f t="shared" si="30"/>
        <v>0</v>
      </c>
      <c r="I39" s="12"/>
      <c r="J39" s="12" t="s">
        <v>13</v>
      </c>
      <c r="K39" s="12" t="s">
        <v>10</v>
      </c>
      <c r="L39" s="12"/>
    </row>
    <row r="40" spans="1:12" ht="21" customHeight="1" x14ac:dyDescent="0.25">
      <c r="A40" s="12" t="str">
        <f>E35</f>
        <v>ЩО-1</v>
      </c>
      <c r="B40" s="12" t="s">
        <v>11</v>
      </c>
      <c r="C40" s="12"/>
      <c r="D40" s="18" t="s">
        <v>11</v>
      </c>
      <c r="E40" s="12" t="s">
        <v>11</v>
      </c>
      <c r="F40" s="12">
        <f>I40/60</f>
        <v>0</v>
      </c>
      <c r="G40" s="15">
        <f t="shared" si="29"/>
        <v>0</v>
      </c>
      <c r="H40" s="15">
        <f t="shared" si="30"/>
        <v>0</v>
      </c>
      <c r="I40" s="12"/>
      <c r="J40" s="12" t="s">
        <v>13</v>
      </c>
      <c r="K40" s="12" t="s">
        <v>11</v>
      </c>
      <c r="L40" s="12"/>
    </row>
    <row r="41" spans="1:12" ht="30" customHeight="1" x14ac:dyDescent="0.25">
      <c r="A41" s="12" t="str">
        <f t="shared" ref="A41" si="31">A40</f>
        <v>ЩО-1</v>
      </c>
      <c r="B41" s="19"/>
      <c r="C41" s="20"/>
      <c r="D41" s="20"/>
      <c r="E41" s="21"/>
      <c r="F41" s="23"/>
      <c r="G41" s="25"/>
      <c r="H41" s="24">
        <f>SUM(H36:H40)</f>
        <v>12138.6</v>
      </c>
      <c r="I41" s="20"/>
      <c r="J41" s="22"/>
      <c r="K41" s="20"/>
      <c r="L41" s="20"/>
    </row>
    <row r="42" spans="1:12" ht="21" customHeight="1" x14ac:dyDescent="0.25">
      <c r="A42" s="5" t="str">
        <f>E42</f>
        <v>ШНО</v>
      </c>
      <c r="B42" s="6"/>
      <c r="C42" s="5"/>
      <c r="D42" s="7"/>
      <c r="E42" s="6" t="s">
        <v>56</v>
      </c>
      <c r="F42" s="8"/>
      <c r="G42" s="8"/>
      <c r="H42" s="8">
        <f>I42*H48</f>
        <v>23403</v>
      </c>
      <c r="I42" s="10">
        <v>1</v>
      </c>
      <c r="J42" s="11" t="s">
        <v>7</v>
      </c>
      <c r="K42" s="6" t="s">
        <v>9</v>
      </c>
      <c r="L42" s="10"/>
    </row>
    <row r="43" spans="1:12" ht="21" customHeight="1" x14ac:dyDescent="0.25">
      <c r="A43" s="12" t="str">
        <f>E42</f>
        <v>ШНО</v>
      </c>
      <c r="B43" s="13" t="s">
        <v>8</v>
      </c>
      <c r="C43" s="12"/>
      <c r="D43" s="14"/>
      <c r="E43" s="12"/>
      <c r="F43" s="13"/>
      <c r="G43" s="15">
        <f t="shared" si="19"/>
        <v>0</v>
      </c>
      <c r="H43" s="15">
        <f t="shared" si="20"/>
        <v>0</v>
      </c>
      <c r="I43" s="16"/>
      <c r="J43" s="17" t="s">
        <v>37</v>
      </c>
      <c r="K43" s="13" t="s">
        <v>16</v>
      </c>
      <c r="L43" s="16"/>
    </row>
    <row r="44" spans="1:12" ht="21" customHeight="1" x14ac:dyDescent="0.25">
      <c r="A44" s="12" t="str">
        <f>E42</f>
        <v>ШНО</v>
      </c>
      <c r="B44" s="13" t="s">
        <v>12</v>
      </c>
      <c r="C44" s="12"/>
      <c r="D44" s="14" t="s">
        <v>57</v>
      </c>
      <c r="E44" s="12" t="s">
        <v>58</v>
      </c>
      <c r="F44" s="13">
        <v>3401</v>
      </c>
      <c r="G44" s="15">
        <f t="shared" si="19"/>
        <v>2040.6</v>
      </c>
      <c r="H44" s="15">
        <f t="shared" si="20"/>
        <v>2040.6</v>
      </c>
      <c r="I44" s="16">
        <v>1</v>
      </c>
      <c r="J44" s="17" t="s">
        <v>37</v>
      </c>
      <c r="K44" s="13" t="s">
        <v>17</v>
      </c>
      <c r="L44" s="16"/>
    </row>
    <row r="45" spans="1:12" ht="21" customHeight="1" x14ac:dyDescent="0.25">
      <c r="A45" s="12" t="str">
        <f>E42</f>
        <v>ШНО</v>
      </c>
      <c r="B45" s="13" t="s">
        <v>31</v>
      </c>
      <c r="C45" s="12"/>
      <c r="D45" s="14" t="s">
        <v>59</v>
      </c>
      <c r="E45" s="12" t="s">
        <v>60</v>
      </c>
      <c r="F45" s="13">
        <v>5934</v>
      </c>
      <c r="G45" s="15">
        <f t="shared" si="19"/>
        <v>3560.4</v>
      </c>
      <c r="H45" s="15">
        <f t="shared" si="20"/>
        <v>21362.400000000001</v>
      </c>
      <c r="I45" s="16">
        <v>6</v>
      </c>
      <c r="J45" s="17" t="s">
        <v>37</v>
      </c>
      <c r="K45" s="13" t="s">
        <v>17</v>
      </c>
      <c r="L45" s="16"/>
    </row>
    <row r="46" spans="1:12" ht="21" customHeight="1" x14ac:dyDescent="0.25">
      <c r="A46" s="12" t="str">
        <f>E42</f>
        <v>ШНО</v>
      </c>
      <c r="B46" s="12" t="s">
        <v>10</v>
      </c>
      <c r="C46" s="12"/>
      <c r="D46" s="18" t="s">
        <v>10</v>
      </c>
      <c r="E46" s="12" t="s">
        <v>10</v>
      </c>
      <c r="F46" s="12"/>
      <c r="G46" s="15">
        <f t="shared" si="19"/>
        <v>0</v>
      </c>
      <c r="H46" s="15">
        <f t="shared" si="20"/>
        <v>0</v>
      </c>
      <c r="I46" s="12"/>
      <c r="J46" s="12" t="s">
        <v>13</v>
      </c>
      <c r="K46" s="12" t="s">
        <v>10</v>
      </c>
      <c r="L46" s="12"/>
    </row>
    <row r="47" spans="1:12" ht="21" customHeight="1" x14ac:dyDescent="0.25">
      <c r="A47" s="12" t="str">
        <f>E42</f>
        <v>ШНО</v>
      </c>
      <c r="B47" s="12" t="s">
        <v>11</v>
      </c>
      <c r="C47" s="12"/>
      <c r="D47" s="18" t="s">
        <v>11</v>
      </c>
      <c r="E47" s="12" t="s">
        <v>11</v>
      </c>
      <c r="F47" s="12">
        <f>I47/60</f>
        <v>0</v>
      </c>
      <c r="G47" s="15">
        <f t="shared" si="19"/>
        <v>0</v>
      </c>
      <c r="H47" s="15">
        <f t="shared" si="20"/>
        <v>0</v>
      </c>
      <c r="I47" s="12"/>
      <c r="J47" s="12" t="s">
        <v>13</v>
      </c>
      <c r="K47" s="12" t="s">
        <v>11</v>
      </c>
      <c r="L47" s="12"/>
    </row>
    <row r="48" spans="1:12" ht="30" customHeight="1" x14ac:dyDescent="0.25">
      <c r="A48" s="12" t="str">
        <f t="shared" ref="A48" si="32">A47</f>
        <v>ШНО</v>
      </c>
      <c r="B48" s="19"/>
      <c r="C48" s="20"/>
      <c r="D48" s="20"/>
      <c r="E48" s="21"/>
      <c r="F48" s="23"/>
      <c r="G48" s="25"/>
      <c r="H48" s="24">
        <f>SUM(H43:H47)</f>
        <v>23403</v>
      </c>
      <c r="I48" s="20"/>
      <c r="J48" s="22"/>
      <c r="K48" s="20"/>
      <c r="L48" s="20"/>
    </row>
    <row r="49" spans="1:12" ht="39.75" customHeight="1" x14ac:dyDescent="0.25">
      <c r="A49" s="5" t="str">
        <f>E49</f>
        <v>ЩСВ-1</v>
      </c>
      <c r="B49" s="6"/>
      <c r="C49" s="5"/>
      <c r="D49" s="7"/>
      <c r="E49" s="6" t="s">
        <v>98</v>
      </c>
      <c r="F49" s="8"/>
      <c r="G49" s="8"/>
      <c r="H49" s="9">
        <f>I49*H55</f>
        <v>13463.4</v>
      </c>
      <c r="I49" s="10">
        <v>1</v>
      </c>
      <c r="J49" s="11" t="s">
        <v>7</v>
      </c>
      <c r="K49" s="6" t="s">
        <v>9</v>
      </c>
      <c r="L49" s="10"/>
    </row>
    <row r="50" spans="1:12" ht="21" customHeight="1" x14ac:dyDescent="0.25">
      <c r="A50" s="12" t="str">
        <f>A49</f>
        <v>ЩСВ-1</v>
      </c>
      <c r="B50" s="13" t="s">
        <v>8</v>
      </c>
      <c r="C50" s="12"/>
      <c r="D50" s="14"/>
      <c r="E50" s="12" t="s">
        <v>66</v>
      </c>
      <c r="F50" s="13"/>
      <c r="G50" s="15">
        <f>F50</f>
        <v>0</v>
      </c>
      <c r="H50" s="15">
        <f>I50*G50</f>
        <v>0</v>
      </c>
      <c r="I50" s="16">
        <v>1</v>
      </c>
      <c r="J50" s="17" t="s">
        <v>13</v>
      </c>
      <c r="K50" s="13" t="s">
        <v>16</v>
      </c>
      <c r="L50" s="16"/>
    </row>
    <row r="51" spans="1:12" ht="21" customHeight="1" x14ac:dyDescent="0.25">
      <c r="A51" s="12" t="str">
        <f t="shared" ref="A51:A55" si="33">A50</f>
        <v>ЩСВ-1</v>
      </c>
      <c r="B51" s="13" t="s">
        <v>31</v>
      </c>
      <c r="C51" s="12"/>
      <c r="D51" s="14" t="s">
        <v>100</v>
      </c>
      <c r="E51" s="12" t="s">
        <v>101</v>
      </c>
      <c r="F51" s="13">
        <v>11813</v>
      </c>
      <c r="G51" s="15">
        <f>F51*0.6</f>
        <v>7087.8</v>
      </c>
      <c r="H51" s="15">
        <f>G51*I51</f>
        <v>7087.8</v>
      </c>
      <c r="I51" s="16">
        <v>1</v>
      </c>
      <c r="J51" s="17" t="s">
        <v>13</v>
      </c>
      <c r="K51" s="13" t="s">
        <v>17</v>
      </c>
      <c r="L51" s="16"/>
    </row>
    <row r="52" spans="1:12" ht="21" customHeight="1" x14ac:dyDescent="0.25">
      <c r="A52" s="12" t="str">
        <f t="shared" si="33"/>
        <v>ЩСВ-1</v>
      </c>
      <c r="B52" s="13" t="s">
        <v>12</v>
      </c>
      <c r="C52" s="12"/>
      <c r="D52" s="14" t="s">
        <v>63</v>
      </c>
      <c r="E52" s="12" t="s">
        <v>64</v>
      </c>
      <c r="F52" s="13">
        <v>1771</v>
      </c>
      <c r="G52" s="15">
        <f t="shared" ref="G52" si="34">F52*0.6</f>
        <v>1062.5999999999999</v>
      </c>
      <c r="H52" s="15">
        <f t="shared" ref="H52" si="35">G52*I52</f>
        <v>6375.5999999999995</v>
      </c>
      <c r="I52" s="16">
        <v>6</v>
      </c>
      <c r="J52" s="17" t="s">
        <v>13</v>
      </c>
      <c r="K52" s="13" t="s">
        <v>17</v>
      </c>
      <c r="L52" s="16"/>
    </row>
    <row r="53" spans="1:12" ht="24" customHeight="1" x14ac:dyDescent="0.25">
      <c r="A53" s="12" t="str">
        <f t="shared" si="33"/>
        <v>ЩСВ-1</v>
      </c>
      <c r="B53" s="12" t="s">
        <v>10</v>
      </c>
      <c r="C53" s="12"/>
      <c r="D53" s="18" t="s">
        <v>10</v>
      </c>
      <c r="E53" s="12" t="s">
        <v>10</v>
      </c>
      <c r="F53" s="12"/>
      <c r="G53" s="15">
        <f t="shared" ref="G53:G54" si="36">F53*0.6</f>
        <v>0</v>
      </c>
      <c r="H53" s="15">
        <f t="shared" ref="H53:H54" si="37">G53*I53</f>
        <v>0</v>
      </c>
      <c r="I53" s="12"/>
      <c r="J53" s="12" t="s">
        <v>13</v>
      </c>
      <c r="K53" s="12" t="s">
        <v>10</v>
      </c>
      <c r="L53" s="12"/>
    </row>
    <row r="54" spans="1:12" ht="21" customHeight="1" x14ac:dyDescent="0.25">
      <c r="A54" s="12" t="str">
        <f t="shared" si="33"/>
        <v>ЩСВ-1</v>
      </c>
      <c r="B54" s="12" t="s">
        <v>11</v>
      </c>
      <c r="C54" s="12"/>
      <c r="D54" s="18" t="s">
        <v>11</v>
      </c>
      <c r="E54" s="12" t="s">
        <v>11</v>
      </c>
      <c r="F54" s="12">
        <f>I54/60</f>
        <v>0</v>
      </c>
      <c r="G54" s="15">
        <f t="shared" si="36"/>
        <v>0</v>
      </c>
      <c r="H54" s="15">
        <f t="shared" si="37"/>
        <v>0</v>
      </c>
      <c r="I54" s="12"/>
      <c r="J54" s="12" t="s">
        <v>13</v>
      </c>
      <c r="K54" s="12" t="s">
        <v>11</v>
      </c>
      <c r="L54" s="12"/>
    </row>
    <row r="55" spans="1:12" ht="30" customHeight="1" x14ac:dyDescent="0.25">
      <c r="A55" s="12" t="str">
        <f t="shared" si="33"/>
        <v>ЩСВ-1</v>
      </c>
      <c r="B55" s="19"/>
      <c r="C55" s="20"/>
      <c r="D55" s="20"/>
      <c r="E55" s="21"/>
      <c r="F55" s="23"/>
      <c r="G55" s="25"/>
      <c r="H55" s="24">
        <f>SUM(H50:H54)</f>
        <v>13463.4</v>
      </c>
      <c r="I55" s="20"/>
      <c r="J55" s="22"/>
      <c r="K55" s="20"/>
      <c r="L55" s="20"/>
    </row>
    <row r="56" spans="1:12" ht="39.75" customHeight="1" x14ac:dyDescent="0.25">
      <c r="A56" s="5" t="str">
        <f>E56</f>
        <v>ЩР-Б</v>
      </c>
      <c r="B56" s="6"/>
      <c r="C56" s="5"/>
      <c r="D56" s="7"/>
      <c r="E56" s="6" t="s">
        <v>99</v>
      </c>
      <c r="F56" s="8"/>
      <c r="G56" s="8"/>
      <c r="H56" s="9">
        <f>I56*H63</f>
        <v>10158</v>
      </c>
      <c r="I56" s="10">
        <v>1</v>
      </c>
      <c r="J56" s="11" t="s">
        <v>7</v>
      </c>
      <c r="K56" s="6" t="s">
        <v>9</v>
      </c>
      <c r="L56" s="10"/>
    </row>
    <row r="57" spans="1:12" ht="21" customHeight="1" x14ac:dyDescent="0.25">
      <c r="A57" s="12" t="str">
        <f>A56</f>
        <v>ЩР-Б</v>
      </c>
      <c r="B57" s="13" t="s">
        <v>8</v>
      </c>
      <c r="C57" s="12"/>
      <c r="D57" s="14"/>
      <c r="E57" s="12" t="s">
        <v>66</v>
      </c>
      <c r="F57" s="13"/>
      <c r="G57" s="15">
        <f>F57</f>
        <v>0</v>
      </c>
      <c r="H57" s="15">
        <f>I57*G57</f>
        <v>0</v>
      </c>
      <c r="I57" s="16">
        <v>1</v>
      </c>
      <c r="J57" s="17" t="s">
        <v>13</v>
      </c>
      <c r="K57" s="13" t="s">
        <v>16</v>
      </c>
      <c r="L57" s="16"/>
    </row>
    <row r="58" spans="1:12" ht="21" customHeight="1" x14ac:dyDescent="0.25">
      <c r="A58" s="12" t="str">
        <f t="shared" ref="A58:A63" si="38">A57</f>
        <v>ЩР-Б</v>
      </c>
      <c r="B58" s="13" t="s">
        <v>12</v>
      </c>
      <c r="C58" s="12"/>
      <c r="D58" s="14" t="s">
        <v>67</v>
      </c>
      <c r="E58" s="12" t="s">
        <v>68</v>
      </c>
      <c r="F58" s="13">
        <v>3172</v>
      </c>
      <c r="G58" s="15">
        <f>F58*0.6</f>
        <v>1903.1999999999998</v>
      </c>
      <c r="H58" s="15">
        <f>G58*I58</f>
        <v>1903.1999999999998</v>
      </c>
      <c r="I58" s="16">
        <v>1</v>
      </c>
      <c r="J58" s="17" t="s">
        <v>13</v>
      </c>
      <c r="K58" s="13" t="s">
        <v>17</v>
      </c>
      <c r="L58" s="16"/>
    </row>
    <row r="59" spans="1:12" ht="21" customHeight="1" x14ac:dyDescent="0.25">
      <c r="A59" s="12" t="str">
        <f t="shared" si="38"/>
        <v>ЩР-Б</v>
      </c>
      <c r="B59" s="13" t="s">
        <v>12</v>
      </c>
      <c r="C59" s="12"/>
      <c r="D59" s="14" t="s">
        <v>63</v>
      </c>
      <c r="E59" s="12" t="s">
        <v>64</v>
      </c>
      <c r="F59" s="13">
        <v>1771</v>
      </c>
      <c r="G59" s="15">
        <f t="shared" ref="G59" si="39">F59*0.6</f>
        <v>1062.5999999999999</v>
      </c>
      <c r="H59" s="15">
        <f t="shared" ref="H59" si="40">G59*I59</f>
        <v>6375.5999999999995</v>
      </c>
      <c r="I59" s="16">
        <v>6</v>
      </c>
      <c r="J59" s="17" t="s">
        <v>13</v>
      </c>
      <c r="K59" s="13" t="s">
        <v>17</v>
      </c>
      <c r="L59" s="16"/>
    </row>
    <row r="60" spans="1:12" ht="21" customHeight="1" x14ac:dyDescent="0.25">
      <c r="A60" s="12" t="str">
        <f t="shared" si="38"/>
        <v>ЩР-Б</v>
      </c>
      <c r="B60" s="13" t="s">
        <v>12</v>
      </c>
      <c r="C60" s="12"/>
      <c r="D60" s="14" t="s">
        <v>22</v>
      </c>
      <c r="E60" s="12" t="s">
        <v>23</v>
      </c>
      <c r="F60" s="13">
        <v>783</v>
      </c>
      <c r="G60" s="15">
        <f>F60*0.6</f>
        <v>469.79999999999995</v>
      </c>
      <c r="H60" s="15">
        <f>G60*I60</f>
        <v>1879.1999999999998</v>
      </c>
      <c r="I60" s="16">
        <v>4</v>
      </c>
      <c r="J60" s="17" t="s">
        <v>13</v>
      </c>
      <c r="K60" s="13" t="s">
        <v>17</v>
      </c>
      <c r="L60" s="16"/>
    </row>
    <row r="61" spans="1:12" ht="24" customHeight="1" x14ac:dyDescent="0.25">
      <c r="A61" s="12" t="str">
        <f t="shared" si="38"/>
        <v>ЩР-Б</v>
      </c>
      <c r="B61" s="12" t="s">
        <v>10</v>
      </c>
      <c r="C61" s="12"/>
      <c r="D61" s="18" t="s">
        <v>10</v>
      </c>
      <c r="E61" s="12" t="s">
        <v>10</v>
      </c>
      <c r="F61" s="12"/>
      <c r="G61" s="15">
        <f t="shared" ref="G61:G62" si="41">F61*0.6</f>
        <v>0</v>
      </c>
      <c r="H61" s="15">
        <f t="shared" ref="H61:H62" si="42">G61*I61</f>
        <v>0</v>
      </c>
      <c r="I61" s="12"/>
      <c r="J61" s="12" t="s">
        <v>13</v>
      </c>
      <c r="K61" s="12" t="s">
        <v>10</v>
      </c>
      <c r="L61" s="12"/>
    </row>
    <row r="62" spans="1:12" ht="21" customHeight="1" x14ac:dyDescent="0.25">
      <c r="A62" s="12" t="str">
        <f t="shared" si="38"/>
        <v>ЩР-Б</v>
      </c>
      <c r="B62" s="12" t="s">
        <v>11</v>
      </c>
      <c r="C62" s="12"/>
      <c r="D62" s="18" t="s">
        <v>11</v>
      </c>
      <c r="E62" s="12" t="s">
        <v>11</v>
      </c>
      <c r="F62" s="12">
        <f>I62/60</f>
        <v>0</v>
      </c>
      <c r="G62" s="15">
        <f t="shared" si="41"/>
        <v>0</v>
      </c>
      <c r="H62" s="15">
        <f t="shared" si="42"/>
        <v>0</v>
      </c>
      <c r="I62" s="12"/>
      <c r="J62" s="12" t="s">
        <v>13</v>
      </c>
      <c r="K62" s="12" t="s">
        <v>11</v>
      </c>
      <c r="L62" s="12"/>
    </row>
    <row r="63" spans="1:12" ht="30" customHeight="1" x14ac:dyDescent="0.25">
      <c r="A63" s="12" t="str">
        <f t="shared" si="38"/>
        <v>ЩР-Б</v>
      </c>
      <c r="B63" s="19"/>
      <c r="C63" s="20"/>
      <c r="D63" s="20"/>
      <c r="E63" s="21"/>
      <c r="F63" s="23"/>
      <c r="G63" s="25"/>
      <c r="H63" s="24">
        <f>SUM(H57:H62)</f>
        <v>10158</v>
      </c>
      <c r="I63" s="20"/>
      <c r="J63" s="22"/>
      <c r="K63" s="20"/>
      <c r="L63" s="20"/>
    </row>
    <row r="64" spans="1:12" ht="39.75" customHeight="1" x14ac:dyDescent="0.25">
      <c r="A64" s="5" t="str">
        <f>E64</f>
        <v>ЩР-1 - ЩР-5</v>
      </c>
      <c r="B64" s="6"/>
      <c r="C64" s="5"/>
      <c r="D64" s="7"/>
      <c r="E64" s="6" t="s">
        <v>65</v>
      </c>
      <c r="F64" s="8"/>
      <c r="G64" s="8"/>
      <c r="H64" s="9">
        <f>I64*H72</f>
        <v>63573</v>
      </c>
      <c r="I64" s="10">
        <v>5</v>
      </c>
      <c r="J64" s="11" t="s">
        <v>7</v>
      </c>
      <c r="K64" s="6" t="s">
        <v>9</v>
      </c>
      <c r="L64" s="10"/>
    </row>
    <row r="65" spans="1:12" ht="21" customHeight="1" x14ac:dyDescent="0.25">
      <c r="A65" s="12" t="str">
        <f>A64</f>
        <v>ЩР-1 - ЩР-5</v>
      </c>
      <c r="B65" s="13" t="s">
        <v>8</v>
      </c>
      <c r="C65" s="12"/>
      <c r="D65" s="14"/>
      <c r="E65" s="12" t="s">
        <v>66</v>
      </c>
      <c r="F65" s="13"/>
      <c r="G65" s="15">
        <f>F65</f>
        <v>0</v>
      </c>
      <c r="H65" s="15">
        <f>I65*G65</f>
        <v>0</v>
      </c>
      <c r="I65" s="16">
        <v>1</v>
      </c>
      <c r="J65" s="17" t="s">
        <v>13</v>
      </c>
      <c r="K65" s="13" t="s">
        <v>16</v>
      </c>
      <c r="L65" s="16"/>
    </row>
    <row r="66" spans="1:12" ht="21" customHeight="1" x14ac:dyDescent="0.25">
      <c r="A66" s="12" t="str">
        <f t="shared" ref="A66:A72" si="43">A65</f>
        <v>ЩР-1 - ЩР-5</v>
      </c>
      <c r="B66" s="13" t="s">
        <v>12</v>
      </c>
      <c r="C66" s="12"/>
      <c r="D66" s="14" t="s">
        <v>44</v>
      </c>
      <c r="E66" s="12" t="s">
        <v>42</v>
      </c>
      <c r="F66" s="13">
        <v>2606</v>
      </c>
      <c r="G66" s="15">
        <f>F66*0.6</f>
        <v>1563.6</v>
      </c>
      <c r="H66" s="15">
        <f>G66*I66</f>
        <v>1563.6</v>
      </c>
      <c r="I66" s="16">
        <v>1</v>
      </c>
      <c r="J66" s="17" t="s">
        <v>13</v>
      </c>
      <c r="K66" s="13" t="s">
        <v>17</v>
      </c>
      <c r="L66" s="16"/>
    </row>
    <row r="67" spans="1:12" ht="21" customHeight="1" x14ac:dyDescent="0.25">
      <c r="A67" s="12" t="str">
        <f t="shared" si="43"/>
        <v>ЩР-1 - ЩР-5</v>
      </c>
      <c r="B67" s="13" t="s">
        <v>12</v>
      </c>
      <c r="C67" s="12"/>
      <c r="D67" s="14" t="s">
        <v>22</v>
      </c>
      <c r="E67" s="12" t="s">
        <v>23</v>
      </c>
      <c r="F67" s="13">
        <v>783</v>
      </c>
      <c r="G67" s="15">
        <f>F67*0.6</f>
        <v>469.79999999999995</v>
      </c>
      <c r="H67" s="15">
        <f>G67*I67</f>
        <v>469.79999999999995</v>
      </c>
      <c r="I67" s="16">
        <v>1</v>
      </c>
      <c r="J67" s="17" t="s">
        <v>13</v>
      </c>
      <c r="K67" s="13" t="s">
        <v>17</v>
      </c>
      <c r="L67" s="16"/>
    </row>
    <row r="68" spans="1:12" ht="21" customHeight="1" x14ac:dyDescent="0.25">
      <c r="A68" s="12" t="str">
        <f t="shared" si="43"/>
        <v>ЩР-1 - ЩР-5</v>
      </c>
      <c r="B68" s="13" t="s">
        <v>31</v>
      </c>
      <c r="C68" s="12"/>
      <c r="D68" s="14" t="s">
        <v>59</v>
      </c>
      <c r="E68" s="12" t="s">
        <v>60</v>
      </c>
      <c r="F68" s="13">
        <v>5934</v>
      </c>
      <c r="G68" s="15">
        <f t="shared" ref="G68" si="44">F68*0.6</f>
        <v>3560.4</v>
      </c>
      <c r="H68" s="15">
        <f t="shared" ref="H68" si="45">G68*I68</f>
        <v>10681.2</v>
      </c>
      <c r="I68" s="16">
        <v>3</v>
      </c>
      <c r="J68" s="17" t="s">
        <v>37</v>
      </c>
      <c r="K68" s="13" t="s">
        <v>17</v>
      </c>
      <c r="L68" s="16"/>
    </row>
    <row r="69" spans="1:12" ht="21" customHeight="1" x14ac:dyDescent="0.25">
      <c r="A69" s="12" t="str">
        <f t="shared" si="43"/>
        <v>ЩР-1 - ЩР-5</v>
      </c>
      <c r="B69" s="13" t="s">
        <v>19</v>
      </c>
      <c r="C69" s="12"/>
      <c r="D69" s="14"/>
      <c r="E69" s="12" t="s">
        <v>102</v>
      </c>
      <c r="F69" s="13"/>
      <c r="G69" s="15">
        <f>F69*0.6</f>
        <v>0</v>
      </c>
      <c r="H69" s="15">
        <f>G69*I69</f>
        <v>0</v>
      </c>
      <c r="I69" s="16">
        <v>1</v>
      </c>
      <c r="J69" s="17" t="s">
        <v>13</v>
      </c>
      <c r="K69" s="13" t="s">
        <v>17</v>
      </c>
      <c r="L69" s="16"/>
    </row>
    <row r="70" spans="1:12" ht="24" customHeight="1" x14ac:dyDescent="0.25">
      <c r="A70" s="12" t="str">
        <f t="shared" si="43"/>
        <v>ЩР-1 - ЩР-5</v>
      </c>
      <c r="B70" s="12" t="s">
        <v>10</v>
      </c>
      <c r="C70" s="12"/>
      <c r="D70" s="18" t="s">
        <v>10</v>
      </c>
      <c r="E70" s="12" t="s">
        <v>10</v>
      </c>
      <c r="F70" s="12"/>
      <c r="G70" s="15">
        <f t="shared" ref="G70:G71" si="46">F70*0.6</f>
        <v>0</v>
      </c>
      <c r="H70" s="15">
        <f t="shared" ref="H70:H71" si="47">G70*I70</f>
        <v>0</v>
      </c>
      <c r="I70" s="12"/>
      <c r="J70" s="12" t="s">
        <v>13</v>
      </c>
      <c r="K70" s="12" t="s">
        <v>10</v>
      </c>
      <c r="L70" s="12"/>
    </row>
    <row r="71" spans="1:12" ht="21" customHeight="1" x14ac:dyDescent="0.25">
      <c r="A71" s="12" t="str">
        <f t="shared" si="43"/>
        <v>ЩР-1 - ЩР-5</v>
      </c>
      <c r="B71" s="12" t="s">
        <v>11</v>
      </c>
      <c r="C71" s="12"/>
      <c r="D71" s="18" t="s">
        <v>11</v>
      </c>
      <c r="E71" s="12" t="s">
        <v>11</v>
      </c>
      <c r="F71" s="12">
        <f>I71/60</f>
        <v>0</v>
      </c>
      <c r="G71" s="15">
        <f t="shared" si="46"/>
        <v>0</v>
      </c>
      <c r="H71" s="15">
        <f t="shared" si="47"/>
        <v>0</v>
      </c>
      <c r="I71" s="12"/>
      <c r="J71" s="12" t="s">
        <v>13</v>
      </c>
      <c r="K71" s="12" t="s">
        <v>11</v>
      </c>
      <c r="L71" s="12"/>
    </row>
    <row r="72" spans="1:12" ht="30" customHeight="1" x14ac:dyDescent="0.25">
      <c r="A72" s="12" t="str">
        <f t="shared" si="43"/>
        <v>ЩР-1 - ЩР-5</v>
      </c>
      <c r="B72" s="19"/>
      <c r="C72" s="20"/>
      <c r="D72" s="20"/>
      <c r="E72" s="21"/>
      <c r="F72" s="23"/>
      <c r="G72" s="25"/>
      <c r="H72" s="24">
        <f>SUM(H65:H71)</f>
        <v>12714.6</v>
      </c>
      <c r="I72" s="20"/>
      <c r="J72" s="22"/>
      <c r="K72" s="20"/>
      <c r="L72" s="20"/>
    </row>
    <row r="73" spans="1:12" ht="39.75" customHeight="1" x14ac:dyDescent="0.25">
      <c r="A73" s="5" t="str">
        <f>E73</f>
        <v>ЩР-6</v>
      </c>
      <c r="B73" s="6"/>
      <c r="C73" s="5"/>
      <c r="D73" s="7"/>
      <c r="E73" s="6" t="s">
        <v>69</v>
      </c>
      <c r="F73" s="8"/>
      <c r="G73" s="8"/>
      <c r="H73" s="9">
        <f>I73*H81</f>
        <v>9517.7999999999993</v>
      </c>
      <c r="I73" s="10">
        <v>1</v>
      </c>
      <c r="J73" s="11" t="s">
        <v>7</v>
      </c>
      <c r="K73" s="6" t="s">
        <v>9</v>
      </c>
      <c r="L73" s="10"/>
    </row>
    <row r="74" spans="1:12" ht="21" customHeight="1" x14ac:dyDescent="0.25">
      <c r="A74" s="12" t="str">
        <f>A73</f>
        <v>ЩР-6</v>
      </c>
      <c r="B74" s="13" t="s">
        <v>8</v>
      </c>
      <c r="C74" s="12"/>
      <c r="D74" s="14"/>
      <c r="E74" s="12" t="s">
        <v>66</v>
      </c>
      <c r="F74" s="13"/>
      <c r="G74" s="15">
        <f>F74</f>
        <v>0</v>
      </c>
      <c r="H74" s="15">
        <f>I74*G74</f>
        <v>0</v>
      </c>
      <c r="I74" s="16">
        <v>1</v>
      </c>
      <c r="J74" s="17" t="s">
        <v>13</v>
      </c>
      <c r="K74" s="13" t="s">
        <v>16</v>
      </c>
      <c r="L74" s="16"/>
    </row>
    <row r="75" spans="1:12" ht="21" customHeight="1" x14ac:dyDescent="0.25">
      <c r="A75" s="12" t="str">
        <f t="shared" ref="A75:A81" si="48">A74</f>
        <v>ЩР-6</v>
      </c>
      <c r="B75" s="13" t="s">
        <v>12</v>
      </c>
      <c r="C75" s="12"/>
      <c r="D75" s="14" t="s">
        <v>26</v>
      </c>
      <c r="E75" s="12" t="s">
        <v>27</v>
      </c>
      <c r="F75" s="13">
        <v>2429</v>
      </c>
      <c r="G75" s="15">
        <f>F75*0.6</f>
        <v>1457.3999999999999</v>
      </c>
      <c r="H75" s="15">
        <f>G75*I75</f>
        <v>1457.3999999999999</v>
      </c>
      <c r="I75" s="16">
        <v>1</v>
      </c>
      <c r="J75" s="17" t="s">
        <v>13</v>
      </c>
      <c r="K75" s="13" t="s">
        <v>17</v>
      </c>
      <c r="L75" s="16"/>
    </row>
    <row r="76" spans="1:12" ht="21" customHeight="1" x14ac:dyDescent="0.25">
      <c r="A76" s="12" t="str">
        <f t="shared" si="48"/>
        <v>ЩР-6</v>
      </c>
      <c r="B76" s="13" t="s">
        <v>12</v>
      </c>
      <c r="C76" s="12"/>
      <c r="D76" s="14" t="s">
        <v>22</v>
      </c>
      <c r="E76" s="12" t="s">
        <v>23</v>
      </c>
      <c r="F76" s="13">
        <v>783</v>
      </c>
      <c r="G76" s="15">
        <f>F76*0.6</f>
        <v>469.79999999999995</v>
      </c>
      <c r="H76" s="15">
        <f>G76*I76</f>
        <v>939.59999999999991</v>
      </c>
      <c r="I76" s="16">
        <v>2</v>
      </c>
      <c r="J76" s="17" t="s">
        <v>13</v>
      </c>
      <c r="K76" s="13" t="s">
        <v>17</v>
      </c>
      <c r="L76" s="16"/>
    </row>
    <row r="77" spans="1:12" ht="21" customHeight="1" x14ac:dyDescent="0.25">
      <c r="A77" s="12" t="str">
        <f t="shared" si="48"/>
        <v>ЩР-6</v>
      </c>
      <c r="B77" s="13" t="s">
        <v>31</v>
      </c>
      <c r="C77" s="12"/>
      <c r="D77" s="14" t="s">
        <v>59</v>
      </c>
      <c r="E77" s="12" t="s">
        <v>60</v>
      </c>
      <c r="F77" s="13">
        <v>5934</v>
      </c>
      <c r="G77" s="15">
        <f t="shared" ref="G77:G80" si="49">F77*0.6</f>
        <v>3560.4</v>
      </c>
      <c r="H77" s="15">
        <f t="shared" ref="H77:H80" si="50">G77*I77</f>
        <v>7120.8</v>
      </c>
      <c r="I77" s="16">
        <v>2</v>
      </c>
      <c r="J77" s="17" t="s">
        <v>37</v>
      </c>
      <c r="K77" s="13" t="s">
        <v>17</v>
      </c>
      <c r="L77" s="16"/>
    </row>
    <row r="78" spans="1:12" ht="21" customHeight="1" x14ac:dyDescent="0.25">
      <c r="A78" s="12" t="str">
        <f t="shared" si="48"/>
        <v>ЩР-6</v>
      </c>
      <c r="B78" s="13" t="s">
        <v>19</v>
      </c>
      <c r="C78" s="12"/>
      <c r="D78" s="14"/>
      <c r="E78" s="12" t="s">
        <v>102</v>
      </c>
      <c r="F78" s="13"/>
      <c r="G78" s="15">
        <f>F78*0.6</f>
        <v>0</v>
      </c>
      <c r="H78" s="15">
        <f>G78*I78</f>
        <v>0</v>
      </c>
      <c r="I78" s="16">
        <v>1</v>
      </c>
      <c r="J78" s="17" t="s">
        <v>13</v>
      </c>
      <c r="K78" s="13" t="s">
        <v>17</v>
      </c>
      <c r="L78" s="16"/>
    </row>
    <row r="79" spans="1:12" ht="24" customHeight="1" x14ac:dyDescent="0.25">
      <c r="A79" s="12" t="str">
        <f t="shared" si="48"/>
        <v>ЩР-6</v>
      </c>
      <c r="B79" s="12" t="s">
        <v>10</v>
      </c>
      <c r="C79" s="12"/>
      <c r="D79" s="18" t="s">
        <v>10</v>
      </c>
      <c r="E79" s="12" t="s">
        <v>10</v>
      </c>
      <c r="F79" s="12"/>
      <c r="G79" s="15">
        <f t="shared" si="49"/>
        <v>0</v>
      </c>
      <c r="H79" s="15">
        <f t="shared" si="50"/>
        <v>0</v>
      </c>
      <c r="I79" s="12"/>
      <c r="J79" s="12" t="s">
        <v>13</v>
      </c>
      <c r="K79" s="12" t="s">
        <v>10</v>
      </c>
      <c r="L79" s="12"/>
    </row>
    <row r="80" spans="1:12" ht="21" customHeight="1" x14ac:dyDescent="0.25">
      <c r="A80" s="12" t="str">
        <f t="shared" si="48"/>
        <v>ЩР-6</v>
      </c>
      <c r="B80" s="12" t="s">
        <v>11</v>
      </c>
      <c r="C80" s="12"/>
      <c r="D80" s="18" t="s">
        <v>11</v>
      </c>
      <c r="E80" s="12" t="s">
        <v>11</v>
      </c>
      <c r="F80" s="12">
        <f>I80/60</f>
        <v>0</v>
      </c>
      <c r="G80" s="15">
        <f t="shared" si="49"/>
        <v>0</v>
      </c>
      <c r="H80" s="15">
        <f t="shared" si="50"/>
        <v>0</v>
      </c>
      <c r="I80" s="12"/>
      <c r="J80" s="12" t="s">
        <v>13</v>
      </c>
      <c r="K80" s="12" t="s">
        <v>11</v>
      </c>
      <c r="L80" s="12"/>
    </row>
    <row r="81" spans="1:12" ht="30" customHeight="1" x14ac:dyDescent="0.25">
      <c r="A81" s="12" t="str">
        <f t="shared" si="48"/>
        <v>ЩР-6</v>
      </c>
      <c r="B81" s="19"/>
      <c r="C81" s="20"/>
      <c r="D81" s="20"/>
      <c r="E81" s="21"/>
      <c r="F81" s="23"/>
      <c r="G81" s="25"/>
      <c r="H81" s="24">
        <f>SUM(H74:H80)</f>
        <v>9517.7999999999993</v>
      </c>
      <c r="I81" s="20"/>
      <c r="J81" s="22"/>
      <c r="K81" s="20"/>
      <c r="L81" s="20"/>
    </row>
    <row r="82" spans="1:12" ht="39.75" customHeight="1" x14ac:dyDescent="0.25">
      <c r="A82" s="5" t="str">
        <f>E82</f>
        <v>ЩР-1.1 - ЩР-1.2</v>
      </c>
      <c r="B82" s="6"/>
      <c r="C82" s="5"/>
      <c r="D82" s="7"/>
      <c r="E82" s="6" t="s">
        <v>70</v>
      </c>
      <c r="F82" s="8"/>
      <c r="G82" s="8"/>
      <c r="H82" s="9">
        <f>I82*H90</f>
        <v>60350.400000000001</v>
      </c>
      <c r="I82" s="10">
        <v>2</v>
      </c>
      <c r="J82" s="11" t="s">
        <v>7</v>
      </c>
      <c r="K82" s="6" t="s">
        <v>9</v>
      </c>
      <c r="L82" s="10"/>
    </row>
    <row r="83" spans="1:12" ht="21" customHeight="1" x14ac:dyDescent="0.25">
      <c r="A83" s="12" t="str">
        <f>A82</f>
        <v>ЩР-1.1 - ЩР-1.2</v>
      </c>
      <c r="B83" s="13" t="s">
        <v>8</v>
      </c>
      <c r="C83" s="12"/>
      <c r="D83" s="14"/>
      <c r="E83" s="12" t="s">
        <v>66</v>
      </c>
      <c r="F83" s="13"/>
      <c r="G83" s="15">
        <f>F83</f>
        <v>0</v>
      </c>
      <c r="H83" s="15">
        <f>I83*G83</f>
        <v>0</v>
      </c>
      <c r="I83" s="16">
        <v>1</v>
      </c>
      <c r="J83" s="17" t="s">
        <v>13</v>
      </c>
      <c r="K83" s="13" t="s">
        <v>16</v>
      </c>
      <c r="L83" s="16"/>
    </row>
    <row r="84" spans="1:12" ht="21" customHeight="1" x14ac:dyDescent="0.25">
      <c r="A84" s="12" t="str">
        <f t="shared" ref="A84:A90" si="51">A83</f>
        <v>ЩР-1.1 - ЩР-1.2</v>
      </c>
      <c r="B84" s="13" t="s">
        <v>12</v>
      </c>
      <c r="C84" s="12"/>
      <c r="D84" s="14" t="s">
        <v>44</v>
      </c>
      <c r="E84" s="12" t="s">
        <v>42</v>
      </c>
      <c r="F84" s="13">
        <v>2606</v>
      </c>
      <c r="G84" s="15">
        <f>F84*0.6</f>
        <v>1563.6</v>
      </c>
      <c r="H84" s="15">
        <f>G84*I84</f>
        <v>1563.6</v>
      </c>
      <c r="I84" s="16">
        <v>1</v>
      </c>
      <c r="J84" s="17" t="s">
        <v>13</v>
      </c>
      <c r="K84" s="13" t="s">
        <v>17</v>
      </c>
      <c r="L84" s="16"/>
    </row>
    <row r="85" spans="1:12" ht="21" customHeight="1" x14ac:dyDescent="0.25">
      <c r="A85" s="12" t="str">
        <f t="shared" si="51"/>
        <v>ЩР-1.1 - ЩР-1.2</v>
      </c>
      <c r="B85" s="13" t="s">
        <v>12</v>
      </c>
      <c r="C85" s="12"/>
      <c r="D85" s="14" t="s">
        <v>22</v>
      </c>
      <c r="E85" s="12" t="s">
        <v>23</v>
      </c>
      <c r="F85" s="13">
        <v>783</v>
      </c>
      <c r="G85" s="15">
        <f>F85*0.6</f>
        <v>469.79999999999995</v>
      </c>
      <c r="H85" s="15">
        <f>G85*I85</f>
        <v>939.59999999999991</v>
      </c>
      <c r="I85" s="16">
        <v>2</v>
      </c>
      <c r="J85" s="17" t="s">
        <v>13</v>
      </c>
      <c r="K85" s="13" t="s">
        <v>17</v>
      </c>
      <c r="L85" s="16"/>
    </row>
    <row r="86" spans="1:12" ht="21" customHeight="1" x14ac:dyDescent="0.25">
      <c r="A86" s="12" t="str">
        <f t="shared" si="51"/>
        <v>ЩР-1.1 - ЩР-1.2</v>
      </c>
      <c r="B86" s="13" t="s">
        <v>52</v>
      </c>
      <c r="C86" s="12"/>
      <c r="D86" s="14" t="s">
        <v>111</v>
      </c>
      <c r="E86" s="12" t="s">
        <v>112</v>
      </c>
      <c r="F86" s="13">
        <v>5258</v>
      </c>
      <c r="G86" s="15">
        <f>F86*0.6</f>
        <v>3154.7999999999997</v>
      </c>
      <c r="H86" s="15">
        <f>G86*I86</f>
        <v>6309.5999999999995</v>
      </c>
      <c r="I86" s="16">
        <v>2</v>
      </c>
      <c r="J86" s="17" t="s">
        <v>13</v>
      </c>
      <c r="K86" s="13" t="s">
        <v>17</v>
      </c>
      <c r="L86" s="16"/>
    </row>
    <row r="87" spans="1:12" ht="21" customHeight="1" x14ac:dyDescent="0.25">
      <c r="A87" s="12" t="str">
        <f t="shared" si="51"/>
        <v>ЩР-1.1 - ЩР-1.2</v>
      </c>
      <c r="B87" s="13" t="s">
        <v>31</v>
      </c>
      <c r="C87" s="12"/>
      <c r="D87" s="14" t="s">
        <v>59</v>
      </c>
      <c r="E87" s="12" t="s">
        <v>60</v>
      </c>
      <c r="F87" s="13">
        <v>5934</v>
      </c>
      <c r="G87" s="15">
        <f t="shared" ref="G87:G89" si="52">F87*0.6</f>
        <v>3560.4</v>
      </c>
      <c r="H87" s="15">
        <f t="shared" ref="H87:H89" si="53">G87*I87</f>
        <v>21362.400000000001</v>
      </c>
      <c r="I87" s="16">
        <v>6</v>
      </c>
      <c r="J87" s="17" t="s">
        <v>37</v>
      </c>
      <c r="K87" s="13" t="s">
        <v>17</v>
      </c>
      <c r="L87" s="16"/>
    </row>
    <row r="88" spans="1:12" ht="24" customHeight="1" x14ac:dyDescent="0.25">
      <c r="A88" s="12" t="str">
        <f t="shared" si="51"/>
        <v>ЩР-1.1 - ЩР-1.2</v>
      </c>
      <c r="B88" s="12" t="s">
        <v>10</v>
      </c>
      <c r="C88" s="12"/>
      <c r="D88" s="18" t="s">
        <v>10</v>
      </c>
      <c r="E88" s="12" t="s">
        <v>10</v>
      </c>
      <c r="F88" s="12"/>
      <c r="G88" s="15">
        <f t="shared" si="52"/>
        <v>0</v>
      </c>
      <c r="H88" s="15">
        <f t="shared" si="53"/>
        <v>0</v>
      </c>
      <c r="I88" s="12"/>
      <c r="J88" s="12" t="s">
        <v>13</v>
      </c>
      <c r="K88" s="12" t="s">
        <v>10</v>
      </c>
      <c r="L88" s="12"/>
    </row>
    <row r="89" spans="1:12" ht="21" customHeight="1" x14ac:dyDescent="0.25">
      <c r="A89" s="12" t="str">
        <f t="shared" si="51"/>
        <v>ЩР-1.1 - ЩР-1.2</v>
      </c>
      <c r="B89" s="12" t="s">
        <v>11</v>
      </c>
      <c r="C89" s="12"/>
      <c r="D89" s="18" t="s">
        <v>11</v>
      </c>
      <c r="E89" s="12" t="s">
        <v>11</v>
      </c>
      <c r="F89" s="12">
        <f>I89/60</f>
        <v>0</v>
      </c>
      <c r="G89" s="15">
        <f t="shared" si="52"/>
        <v>0</v>
      </c>
      <c r="H89" s="15">
        <f t="shared" si="53"/>
        <v>0</v>
      </c>
      <c r="I89" s="12"/>
      <c r="J89" s="12" t="s">
        <v>13</v>
      </c>
      <c r="K89" s="12" t="s">
        <v>11</v>
      </c>
      <c r="L89" s="12"/>
    </row>
    <row r="90" spans="1:12" ht="30" customHeight="1" x14ac:dyDescent="0.25">
      <c r="A90" s="12" t="str">
        <f t="shared" si="51"/>
        <v>ЩР-1.1 - ЩР-1.2</v>
      </c>
      <c r="B90" s="19"/>
      <c r="C90" s="20"/>
      <c r="D90" s="20"/>
      <c r="E90" s="21"/>
      <c r="F90" s="23"/>
      <c r="G90" s="25"/>
      <c r="H90" s="24">
        <f>SUM(H83:H89)</f>
        <v>30175.200000000001</v>
      </c>
      <c r="I90" s="20"/>
      <c r="J90" s="22"/>
      <c r="K90" s="20"/>
      <c r="L90" s="20"/>
    </row>
    <row r="91" spans="1:12" ht="39.75" customHeight="1" x14ac:dyDescent="0.25">
      <c r="A91" s="5" t="str">
        <f>E91</f>
        <v>ЩР-М</v>
      </c>
      <c r="B91" s="6"/>
      <c r="C91" s="5"/>
      <c r="D91" s="7"/>
      <c r="E91" s="6" t="s">
        <v>71</v>
      </c>
      <c r="F91" s="8"/>
      <c r="G91" s="8"/>
      <c r="H91" s="9">
        <f>I91*H101</f>
        <v>38115.599999999999</v>
      </c>
      <c r="I91" s="10">
        <v>1</v>
      </c>
      <c r="J91" s="11" t="s">
        <v>7</v>
      </c>
      <c r="K91" s="6" t="s">
        <v>9</v>
      </c>
      <c r="L91" s="10"/>
    </row>
    <row r="92" spans="1:12" ht="21" customHeight="1" x14ac:dyDescent="0.25">
      <c r="A92" s="12" t="str">
        <f>A91</f>
        <v>ЩР-М</v>
      </c>
      <c r="B92" s="13" t="s">
        <v>8</v>
      </c>
      <c r="C92" s="12"/>
      <c r="D92" s="14"/>
      <c r="E92" s="12" t="s">
        <v>66</v>
      </c>
      <c r="F92" s="13"/>
      <c r="G92" s="15">
        <f>F92</f>
        <v>0</v>
      </c>
      <c r="H92" s="15">
        <f>I92*G92</f>
        <v>0</v>
      </c>
      <c r="I92" s="16">
        <v>1</v>
      </c>
      <c r="J92" s="17" t="s">
        <v>13</v>
      </c>
      <c r="K92" s="13" t="s">
        <v>16</v>
      </c>
      <c r="L92" s="16"/>
    </row>
    <row r="93" spans="1:12" ht="21" customHeight="1" x14ac:dyDescent="0.25">
      <c r="A93" s="12" t="str">
        <f t="shared" ref="A93:A101" si="54">A92</f>
        <v>ЩР-М</v>
      </c>
      <c r="B93" s="13" t="s">
        <v>12</v>
      </c>
      <c r="C93" s="12"/>
      <c r="D93" s="14" t="s">
        <v>44</v>
      </c>
      <c r="E93" s="12" t="s">
        <v>42</v>
      </c>
      <c r="F93" s="13">
        <v>2606</v>
      </c>
      <c r="G93" s="15">
        <f>F93*0.6</f>
        <v>1563.6</v>
      </c>
      <c r="H93" s="15">
        <f>G93*I93</f>
        <v>1563.6</v>
      </c>
      <c r="I93" s="16">
        <v>1</v>
      </c>
      <c r="J93" s="17" t="s">
        <v>13</v>
      </c>
      <c r="K93" s="13" t="s">
        <v>17</v>
      </c>
      <c r="L93" s="16"/>
    </row>
    <row r="94" spans="1:12" ht="21" customHeight="1" x14ac:dyDescent="0.25">
      <c r="A94" s="12" t="str">
        <f t="shared" si="54"/>
        <v>ЩР-М</v>
      </c>
      <c r="B94" s="13" t="s">
        <v>12</v>
      </c>
      <c r="C94" s="12"/>
      <c r="D94" s="14" t="s">
        <v>22</v>
      </c>
      <c r="E94" s="12" t="s">
        <v>23</v>
      </c>
      <c r="F94" s="13">
        <v>783</v>
      </c>
      <c r="G94" s="15">
        <f>F94*0.6</f>
        <v>469.79999999999995</v>
      </c>
      <c r="H94" s="15">
        <f>G94*I94</f>
        <v>939.59999999999991</v>
      </c>
      <c r="I94" s="16">
        <v>2</v>
      </c>
      <c r="J94" s="17" t="s">
        <v>13</v>
      </c>
      <c r="K94" s="13" t="s">
        <v>17</v>
      </c>
      <c r="L94" s="16"/>
    </row>
    <row r="95" spans="1:12" ht="21" customHeight="1" x14ac:dyDescent="0.25">
      <c r="A95" s="12" t="str">
        <f t="shared" si="54"/>
        <v>ЩР-М</v>
      </c>
      <c r="B95" s="13" t="s">
        <v>52</v>
      </c>
      <c r="C95" s="12"/>
      <c r="D95" s="14" t="s">
        <v>111</v>
      </c>
      <c r="E95" s="12" t="s">
        <v>112</v>
      </c>
      <c r="F95" s="13">
        <v>5258</v>
      </c>
      <c r="G95" s="15">
        <f>F95*0.6</f>
        <v>3154.7999999999997</v>
      </c>
      <c r="H95" s="15">
        <f>G95*I95</f>
        <v>3154.7999999999997</v>
      </c>
      <c r="I95" s="16">
        <v>1</v>
      </c>
      <c r="J95" s="17" t="s">
        <v>13</v>
      </c>
      <c r="K95" s="13" t="s">
        <v>17</v>
      </c>
      <c r="L95" s="16"/>
    </row>
    <row r="96" spans="1:12" ht="21" customHeight="1" x14ac:dyDescent="0.25">
      <c r="A96" s="12" t="str">
        <f t="shared" si="54"/>
        <v>ЩР-М</v>
      </c>
      <c r="B96" s="13" t="s">
        <v>52</v>
      </c>
      <c r="C96" s="12"/>
      <c r="D96" s="14" t="s">
        <v>113</v>
      </c>
      <c r="E96" s="12" t="s">
        <v>114</v>
      </c>
      <c r="F96" s="13">
        <v>9246</v>
      </c>
      <c r="G96" s="15">
        <f>F96*0.6</f>
        <v>5547.5999999999995</v>
      </c>
      <c r="H96" s="15">
        <f>G96*I96</f>
        <v>11095.199999999999</v>
      </c>
      <c r="I96" s="16">
        <v>2</v>
      </c>
      <c r="J96" s="17" t="s">
        <v>13</v>
      </c>
      <c r="K96" s="13" t="s">
        <v>17</v>
      </c>
      <c r="L96" s="16"/>
    </row>
    <row r="97" spans="1:12" ht="21" customHeight="1" x14ac:dyDescent="0.25">
      <c r="A97" s="12" t="str">
        <f>A95</f>
        <v>ЩР-М</v>
      </c>
      <c r="B97" s="13" t="s">
        <v>31</v>
      </c>
      <c r="C97" s="12"/>
      <c r="D97" s="14" t="s">
        <v>72</v>
      </c>
      <c r="E97" s="12" t="s">
        <v>73</v>
      </c>
      <c r="F97" s="13">
        <v>5934</v>
      </c>
      <c r="G97" s="15">
        <f t="shared" ref="G97" si="55">F97*0.6</f>
        <v>3560.4</v>
      </c>
      <c r="H97" s="15">
        <f t="shared" ref="H97" si="56">G97*I97</f>
        <v>7120.8</v>
      </c>
      <c r="I97" s="16">
        <v>2</v>
      </c>
      <c r="J97" s="17" t="s">
        <v>37</v>
      </c>
      <c r="K97" s="13" t="s">
        <v>17</v>
      </c>
      <c r="L97" s="16"/>
    </row>
    <row r="98" spans="1:12" ht="21" customHeight="1" x14ac:dyDescent="0.25">
      <c r="A98" s="12" t="str">
        <f>A96</f>
        <v>ЩР-М</v>
      </c>
      <c r="B98" s="13" t="s">
        <v>31</v>
      </c>
      <c r="C98" s="12"/>
      <c r="D98" s="14" t="s">
        <v>59</v>
      </c>
      <c r="E98" s="12" t="s">
        <v>60</v>
      </c>
      <c r="F98" s="13">
        <v>5934</v>
      </c>
      <c r="G98" s="15">
        <f t="shared" ref="G98:G100" si="57">F98*0.6</f>
        <v>3560.4</v>
      </c>
      <c r="H98" s="15">
        <f t="shared" ref="H98:H100" si="58">G98*I98</f>
        <v>14241.6</v>
      </c>
      <c r="I98" s="16">
        <v>4</v>
      </c>
      <c r="J98" s="17" t="s">
        <v>37</v>
      </c>
      <c r="K98" s="13" t="s">
        <v>17</v>
      </c>
      <c r="L98" s="16"/>
    </row>
    <row r="99" spans="1:12" ht="24" customHeight="1" x14ac:dyDescent="0.25">
      <c r="A99" s="12" t="str">
        <f t="shared" si="54"/>
        <v>ЩР-М</v>
      </c>
      <c r="B99" s="12" t="s">
        <v>10</v>
      </c>
      <c r="C99" s="12"/>
      <c r="D99" s="18" t="s">
        <v>10</v>
      </c>
      <c r="E99" s="12" t="s">
        <v>10</v>
      </c>
      <c r="F99" s="12"/>
      <c r="G99" s="15">
        <f t="shared" si="57"/>
        <v>0</v>
      </c>
      <c r="H99" s="15">
        <f t="shared" si="58"/>
        <v>0</v>
      </c>
      <c r="I99" s="12"/>
      <c r="J99" s="12" t="s">
        <v>13</v>
      </c>
      <c r="K99" s="12" t="s">
        <v>10</v>
      </c>
      <c r="L99" s="12"/>
    </row>
    <row r="100" spans="1:12" ht="21" customHeight="1" x14ac:dyDescent="0.25">
      <c r="A100" s="12" t="str">
        <f t="shared" si="54"/>
        <v>ЩР-М</v>
      </c>
      <c r="B100" s="12" t="s">
        <v>11</v>
      </c>
      <c r="C100" s="12"/>
      <c r="D100" s="18" t="s">
        <v>11</v>
      </c>
      <c r="E100" s="12" t="s">
        <v>11</v>
      </c>
      <c r="F100" s="12">
        <f>I100/60</f>
        <v>0</v>
      </c>
      <c r="G100" s="15">
        <f t="shared" si="57"/>
        <v>0</v>
      </c>
      <c r="H100" s="15">
        <f t="shared" si="58"/>
        <v>0</v>
      </c>
      <c r="I100" s="12"/>
      <c r="J100" s="12" t="s">
        <v>13</v>
      </c>
      <c r="K100" s="12" t="s">
        <v>11</v>
      </c>
      <c r="L100" s="12"/>
    </row>
    <row r="101" spans="1:12" ht="30" customHeight="1" x14ac:dyDescent="0.25">
      <c r="A101" s="12" t="str">
        <f t="shared" si="54"/>
        <v>ЩР-М</v>
      </c>
      <c r="B101" s="19"/>
      <c r="C101" s="20"/>
      <c r="D101" s="20"/>
      <c r="E101" s="21"/>
      <c r="F101" s="23"/>
      <c r="G101" s="25"/>
      <c r="H101" s="24">
        <f>SUM(H92:H100)</f>
        <v>38115.599999999999</v>
      </c>
      <c r="I101" s="20"/>
      <c r="J101" s="22"/>
      <c r="K101" s="20"/>
      <c r="L101" s="20"/>
    </row>
    <row r="102" spans="1:12" ht="39.75" customHeight="1" x14ac:dyDescent="0.25">
      <c r="A102" s="5" t="str">
        <f>E102</f>
        <v>ЩР-С</v>
      </c>
      <c r="B102" s="6"/>
      <c r="C102" s="5"/>
      <c r="D102" s="7"/>
      <c r="E102" s="6" t="s">
        <v>103</v>
      </c>
      <c r="F102" s="8"/>
      <c r="G102" s="8"/>
      <c r="H102" s="9">
        <f>I102*H112</f>
        <v>54285.599999999999</v>
      </c>
      <c r="I102" s="10">
        <v>1</v>
      </c>
      <c r="J102" s="11" t="s">
        <v>7</v>
      </c>
      <c r="K102" s="6" t="s">
        <v>9</v>
      </c>
      <c r="L102" s="10"/>
    </row>
    <row r="103" spans="1:12" ht="21" customHeight="1" x14ac:dyDescent="0.25">
      <c r="A103" s="12" t="str">
        <f>A102</f>
        <v>ЩР-С</v>
      </c>
      <c r="B103" s="13" t="s">
        <v>8</v>
      </c>
      <c r="C103" s="12"/>
      <c r="D103" s="14"/>
      <c r="E103" s="12" t="s">
        <v>104</v>
      </c>
      <c r="F103" s="13"/>
      <c r="G103" s="15">
        <f>F103</f>
        <v>0</v>
      </c>
      <c r="H103" s="15">
        <f>I103*G103</f>
        <v>0</v>
      </c>
      <c r="I103" s="16">
        <v>1</v>
      </c>
      <c r="J103" s="17" t="s">
        <v>13</v>
      </c>
      <c r="K103" s="13" t="s">
        <v>16</v>
      </c>
      <c r="L103" s="16"/>
    </row>
    <row r="104" spans="1:12" ht="21" customHeight="1" x14ac:dyDescent="0.25">
      <c r="A104" s="12" t="str">
        <f t="shared" ref="A104:A112" si="59">A103</f>
        <v>ЩР-С</v>
      </c>
      <c r="B104" s="13" t="s">
        <v>12</v>
      </c>
      <c r="C104" s="12"/>
      <c r="D104" s="14" t="s">
        <v>28</v>
      </c>
      <c r="E104" s="12" t="s">
        <v>29</v>
      </c>
      <c r="F104" s="13">
        <v>3641</v>
      </c>
      <c r="G104" s="15">
        <f>F104*0.6</f>
        <v>2184.6</v>
      </c>
      <c r="H104" s="15">
        <f>G104*I104</f>
        <v>2184.6</v>
      </c>
      <c r="I104" s="16">
        <v>1</v>
      </c>
      <c r="J104" s="17" t="s">
        <v>13</v>
      </c>
      <c r="K104" s="13" t="s">
        <v>17</v>
      </c>
      <c r="L104" s="16"/>
    </row>
    <row r="105" spans="1:12" ht="21" customHeight="1" x14ac:dyDescent="0.25">
      <c r="A105" s="12" t="str">
        <f t="shared" si="59"/>
        <v>ЩР-С</v>
      </c>
      <c r="B105" s="13" t="s">
        <v>12</v>
      </c>
      <c r="C105" s="12"/>
      <c r="D105" s="14" t="s">
        <v>22</v>
      </c>
      <c r="E105" s="12" t="s">
        <v>23</v>
      </c>
      <c r="F105" s="13">
        <v>783</v>
      </c>
      <c r="G105" s="15">
        <f>F105*0.6</f>
        <v>469.79999999999995</v>
      </c>
      <c r="H105" s="15">
        <f>G105*I105</f>
        <v>939.59999999999991</v>
      </c>
      <c r="I105" s="16">
        <v>2</v>
      </c>
      <c r="J105" s="17" t="s">
        <v>13</v>
      </c>
      <c r="K105" s="13" t="s">
        <v>17</v>
      </c>
      <c r="L105" s="16"/>
    </row>
    <row r="106" spans="1:12" ht="21" customHeight="1" x14ac:dyDescent="0.25">
      <c r="A106" s="12" t="str">
        <f t="shared" si="59"/>
        <v>ЩР-С</v>
      </c>
      <c r="B106" s="13" t="s">
        <v>31</v>
      </c>
      <c r="C106" s="12"/>
      <c r="D106" s="14" t="s">
        <v>105</v>
      </c>
      <c r="E106" s="12" t="s">
        <v>106</v>
      </c>
      <c r="F106" s="13">
        <v>10621</v>
      </c>
      <c r="G106" s="15">
        <f>F106*0.6</f>
        <v>6372.5999999999995</v>
      </c>
      <c r="H106" s="15">
        <f>G106*I106</f>
        <v>12745.199999999999</v>
      </c>
      <c r="I106" s="16">
        <v>2</v>
      </c>
      <c r="J106" s="17" t="s">
        <v>13</v>
      </c>
      <c r="K106" s="13" t="s">
        <v>17</v>
      </c>
      <c r="L106" s="16"/>
    </row>
    <row r="107" spans="1:12" ht="21" customHeight="1" x14ac:dyDescent="0.25">
      <c r="A107" s="12" t="str">
        <f t="shared" si="59"/>
        <v>ЩР-С</v>
      </c>
      <c r="B107" s="13" t="s">
        <v>31</v>
      </c>
      <c r="C107" s="12"/>
      <c r="D107" s="14" t="s">
        <v>107</v>
      </c>
      <c r="E107" s="12" t="s">
        <v>108</v>
      </c>
      <c r="F107" s="13">
        <v>10621</v>
      </c>
      <c r="G107" s="15">
        <f t="shared" ref="G107:G111" si="60">F107*0.6</f>
        <v>6372.5999999999995</v>
      </c>
      <c r="H107" s="15">
        <f t="shared" ref="H107:H111" si="61">G107*I107</f>
        <v>6372.5999999999995</v>
      </c>
      <c r="I107" s="16">
        <v>1</v>
      </c>
      <c r="J107" s="17" t="s">
        <v>37</v>
      </c>
      <c r="K107" s="13" t="s">
        <v>17</v>
      </c>
      <c r="L107" s="16"/>
    </row>
    <row r="108" spans="1:12" ht="21" customHeight="1" x14ac:dyDescent="0.25">
      <c r="A108" s="12" t="str">
        <f t="shared" si="59"/>
        <v>ЩР-С</v>
      </c>
      <c r="B108" s="13" t="s">
        <v>31</v>
      </c>
      <c r="C108" s="12"/>
      <c r="D108" s="14" t="s">
        <v>59</v>
      </c>
      <c r="E108" s="12" t="s">
        <v>60</v>
      </c>
      <c r="F108" s="13">
        <v>5934</v>
      </c>
      <c r="G108" s="15">
        <f t="shared" si="60"/>
        <v>3560.4</v>
      </c>
      <c r="H108" s="15">
        <f t="shared" si="61"/>
        <v>28483.200000000001</v>
      </c>
      <c r="I108" s="16">
        <v>8</v>
      </c>
      <c r="J108" s="17" t="s">
        <v>37</v>
      </c>
      <c r="K108" s="13" t="s">
        <v>17</v>
      </c>
      <c r="L108" s="16"/>
    </row>
    <row r="109" spans="1:12" ht="21" customHeight="1" x14ac:dyDescent="0.25">
      <c r="A109" s="12" t="str">
        <f t="shared" ref="A109" si="62">A108</f>
        <v>ЩР-С</v>
      </c>
      <c r="B109" s="13" t="s">
        <v>19</v>
      </c>
      <c r="C109" s="12"/>
      <c r="D109" s="14"/>
      <c r="E109" s="12" t="s">
        <v>109</v>
      </c>
      <c r="F109" s="13">
        <v>5934</v>
      </c>
      <c r="G109" s="15">
        <f t="shared" ref="G109" si="63">F109*0.6</f>
        <v>3560.4</v>
      </c>
      <c r="H109" s="15">
        <f t="shared" ref="H109" si="64">G109*I109</f>
        <v>3560.4</v>
      </c>
      <c r="I109" s="16">
        <v>1</v>
      </c>
      <c r="J109" s="17" t="s">
        <v>37</v>
      </c>
      <c r="K109" s="13" t="s">
        <v>38</v>
      </c>
      <c r="L109" s="16"/>
    </row>
    <row r="110" spans="1:12" ht="24" customHeight="1" x14ac:dyDescent="0.25">
      <c r="A110" s="12" t="str">
        <f>A108</f>
        <v>ЩР-С</v>
      </c>
      <c r="B110" s="12" t="s">
        <v>10</v>
      </c>
      <c r="C110" s="12"/>
      <c r="D110" s="18" t="s">
        <v>10</v>
      </c>
      <c r="E110" s="12" t="s">
        <v>10</v>
      </c>
      <c r="F110" s="12"/>
      <c r="G110" s="15">
        <f t="shared" si="60"/>
        <v>0</v>
      </c>
      <c r="H110" s="15">
        <f t="shared" si="61"/>
        <v>0</v>
      </c>
      <c r="I110" s="12"/>
      <c r="J110" s="12" t="s">
        <v>13</v>
      </c>
      <c r="K110" s="12" t="s">
        <v>10</v>
      </c>
      <c r="L110" s="12"/>
    </row>
    <row r="111" spans="1:12" ht="21" customHeight="1" x14ac:dyDescent="0.25">
      <c r="A111" s="12" t="str">
        <f t="shared" si="59"/>
        <v>ЩР-С</v>
      </c>
      <c r="B111" s="12" t="s">
        <v>11</v>
      </c>
      <c r="C111" s="12"/>
      <c r="D111" s="18" t="s">
        <v>11</v>
      </c>
      <c r="E111" s="12" t="s">
        <v>11</v>
      </c>
      <c r="F111" s="12">
        <f>I111/60</f>
        <v>0</v>
      </c>
      <c r="G111" s="15">
        <f t="shared" si="60"/>
        <v>0</v>
      </c>
      <c r="H111" s="15">
        <f t="shared" si="61"/>
        <v>0</v>
      </c>
      <c r="I111" s="12"/>
      <c r="J111" s="12" t="s">
        <v>13</v>
      </c>
      <c r="K111" s="12" t="s">
        <v>11</v>
      </c>
      <c r="L111" s="12"/>
    </row>
    <row r="112" spans="1:12" ht="30" customHeight="1" x14ac:dyDescent="0.25">
      <c r="A112" s="12" t="str">
        <f t="shared" si="59"/>
        <v>ЩР-С</v>
      </c>
      <c r="B112" s="19"/>
      <c r="C112" s="20"/>
      <c r="D112" s="20"/>
      <c r="E112" s="21"/>
      <c r="F112" s="23"/>
      <c r="G112" s="25"/>
      <c r="H112" s="24">
        <f>SUM(H103:H111)</f>
        <v>54285.599999999999</v>
      </c>
      <c r="I112" s="20"/>
      <c r="J112" s="22"/>
      <c r="K112" s="20"/>
      <c r="L112" s="20"/>
    </row>
    <row r="113" spans="1:12" ht="39.75" customHeight="1" x14ac:dyDescent="0.25">
      <c r="A113" s="5" t="str">
        <f>E113</f>
        <v>ЩР-В</v>
      </c>
      <c r="B113" s="6"/>
      <c r="C113" s="5"/>
      <c r="D113" s="7"/>
      <c r="E113" s="6" t="s">
        <v>110</v>
      </c>
      <c r="F113" s="8"/>
      <c r="G113" s="8"/>
      <c r="H113" s="9">
        <f>I113*H121</f>
        <v>14422.8</v>
      </c>
      <c r="I113" s="10">
        <v>1</v>
      </c>
      <c r="J113" s="11" t="s">
        <v>7</v>
      </c>
      <c r="K113" s="6" t="s">
        <v>9</v>
      </c>
      <c r="L113" s="10"/>
    </row>
    <row r="114" spans="1:12" ht="21" customHeight="1" x14ac:dyDescent="0.25">
      <c r="A114" s="12" t="str">
        <f>A113</f>
        <v>ЩР-В</v>
      </c>
      <c r="B114" s="13" t="s">
        <v>8</v>
      </c>
      <c r="C114" s="12"/>
      <c r="D114" s="14"/>
      <c r="E114" s="12" t="s">
        <v>66</v>
      </c>
      <c r="F114" s="13"/>
      <c r="G114" s="15">
        <f>F114</f>
        <v>0</v>
      </c>
      <c r="H114" s="15">
        <f>I114*G114</f>
        <v>0</v>
      </c>
      <c r="I114" s="16">
        <v>1</v>
      </c>
      <c r="J114" s="17" t="s">
        <v>13</v>
      </c>
      <c r="K114" s="13" t="s">
        <v>16</v>
      </c>
      <c r="L114" s="16"/>
    </row>
    <row r="115" spans="1:12" ht="21" customHeight="1" x14ac:dyDescent="0.25">
      <c r="A115" s="12" t="str">
        <f t="shared" ref="A115:A121" si="65">A114</f>
        <v>ЩР-В</v>
      </c>
      <c r="B115" s="13" t="s">
        <v>12</v>
      </c>
      <c r="C115" s="12"/>
      <c r="D115" s="14" t="s">
        <v>44</v>
      </c>
      <c r="E115" s="12" t="s">
        <v>42</v>
      </c>
      <c r="F115" s="13">
        <v>2606</v>
      </c>
      <c r="G115" s="15">
        <f>F115*0.6</f>
        <v>1563.6</v>
      </c>
      <c r="H115" s="15">
        <f>G115*I115</f>
        <v>1563.6</v>
      </c>
      <c r="I115" s="16">
        <v>1</v>
      </c>
      <c r="J115" s="17" t="s">
        <v>13</v>
      </c>
      <c r="K115" s="13" t="s">
        <v>17</v>
      </c>
      <c r="L115" s="16"/>
    </row>
    <row r="116" spans="1:12" ht="21" customHeight="1" x14ac:dyDescent="0.25">
      <c r="A116" s="12" t="str">
        <f t="shared" si="65"/>
        <v>ЩР-В</v>
      </c>
      <c r="B116" s="13" t="s">
        <v>12</v>
      </c>
      <c r="C116" s="12"/>
      <c r="D116" s="14" t="s">
        <v>22</v>
      </c>
      <c r="E116" s="12" t="s">
        <v>23</v>
      </c>
      <c r="F116" s="13">
        <v>783</v>
      </c>
      <c r="G116" s="15">
        <f>F116*0.6</f>
        <v>469.79999999999995</v>
      </c>
      <c r="H116" s="15">
        <f>G116*I116</f>
        <v>469.79999999999995</v>
      </c>
      <c r="I116" s="16">
        <v>1</v>
      </c>
      <c r="J116" s="17" t="s">
        <v>13</v>
      </c>
      <c r="K116" s="13" t="s">
        <v>17</v>
      </c>
      <c r="L116" s="16"/>
    </row>
    <row r="117" spans="1:12" ht="21" customHeight="1" x14ac:dyDescent="0.25">
      <c r="A117" s="12" t="str">
        <f t="shared" si="65"/>
        <v>ЩР-В</v>
      </c>
      <c r="B117" s="13" t="s">
        <v>12</v>
      </c>
      <c r="C117" s="12"/>
      <c r="D117" s="14" t="s">
        <v>24</v>
      </c>
      <c r="E117" s="12" t="s">
        <v>25</v>
      </c>
      <c r="F117" s="13">
        <v>975</v>
      </c>
      <c r="G117" s="15">
        <f t="shared" ref="G117:G120" si="66">F117*0.6</f>
        <v>585</v>
      </c>
      <c r="H117" s="15">
        <f t="shared" ref="H117:H120" si="67">G117*I117</f>
        <v>2925</v>
      </c>
      <c r="I117" s="16">
        <v>5</v>
      </c>
      <c r="J117" s="17" t="s">
        <v>37</v>
      </c>
      <c r="K117" s="13" t="s">
        <v>17</v>
      </c>
      <c r="L117" s="16"/>
    </row>
    <row r="118" spans="1:12" ht="21" customHeight="1" x14ac:dyDescent="0.25">
      <c r="A118" s="12" t="str">
        <f t="shared" si="65"/>
        <v>ЩР-В</v>
      </c>
      <c r="B118" s="13" t="s">
        <v>52</v>
      </c>
      <c r="C118" s="12"/>
      <c r="D118" s="14" t="s">
        <v>111</v>
      </c>
      <c r="E118" s="12" t="s">
        <v>112</v>
      </c>
      <c r="F118" s="13">
        <v>5258</v>
      </c>
      <c r="G118" s="15">
        <f>F118*0.6</f>
        <v>3154.7999999999997</v>
      </c>
      <c r="H118" s="15">
        <f>G118*I118</f>
        <v>9464.4</v>
      </c>
      <c r="I118" s="16">
        <v>3</v>
      </c>
      <c r="J118" s="17" t="s">
        <v>13</v>
      </c>
      <c r="K118" s="13" t="s">
        <v>17</v>
      </c>
      <c r="L118" s="16"/>
    </row>
    <row r="119" spans="1:12" ht="24" customHeight="1" x14ac:dyDescent="0.25">
      <c r="A119" s="12" t="str">
        <f t="shared" si="65"/>
        <v>ЩР-В</v>
      </c>
      <c r="B119" s="12" t="s">
        <v>10</v>
      </c>
      <c r="C119" s="12"/>
      <c r="D119" s="18" t="s">
        <v>10</v>
      </c>
      <c r="E119" s="12" t="s">
        <v>10</v>
      </c>
      <c r="F119" s="12"/>
      <c r="G119" s="15">
        <f t="shared" si="66"/>
        <v>0</v>
      </c>
      <c r="H119" s="15">
        <f t="shared" si="67"/>
        <v>0</v>
      </c>
      <c r="I119" s="12"/>
      <c r="J119" s="12" t="s">
        <v>13</v>
      </c>
      <c r="K119" s="12" t="s">
        <v>10</v>
      </c>
      <c r="L119" s="12"/>
    </row>
    <row r="120" spans="1:12" ht="21" customHeight="1" x14ac:dyDescent="0.25">
      <c r="A120" s="12" t="str">
        <f t="shared" si="65"/>
        <v>ЩР-В</v>
      </c>
      <c r="B120" s="12" t="s">
        <v>11</v>
      </c>
      <c r="C120" s="12"/>
      <c r="D120" s="18" t="s">
        <v>11</v>
      </c>
      <c r="E120" s="12" t="s">
        <v>11</v>
      </c>
      <c r="F120" s="12">
        <f>I120/60</f>
        <v>0</v>
      </c>
      <c r="G120" s="15">
        <f t="shared" si="66"/>
        <v>0</v>
      </c>
      <c r="H120" s="15">
        <f t="shared" si="67"/>
        <v>0</v>
      </c>
      <c r="I120" s="12"/>
      <c r="J120" s="12" t="s">
        <v>13</v>
      </c>
      <c r="K120" s="12" t="s">
        <v>11</v>
      </c>
      <c r="L120" s="12"/>
    </row>
    <row r="121" spans="1:12" ht="30" customHeight="1" x14ac:dyDescent="0.25">
      <c r="A121" s="12" t="str">
        <f t="shared" si="65"/>
        <v>ЩР-В</v>
      </c>
      <c r="B121" s="19"/>
      <c r="C121" s="20"/>
      <c r="D121" s="20"/>
      <c r="E121" s="21"/>
      <c r="F121" s="23"/>
      <c r="G121" s="25"/>
      <c r="H121" s="24">
        <f>SUM(H114:H120)</f>
        <v>14422.8</v>
      </c>
      <c r="I121" s="20"/>
      <c r="J121" s="22"/>
      <c r="K121" s="20"/>
      <c r="L121" s="20"/>
    </row>
  </sheetData>
  <autoFilter ref="A1:L121" xr:uid="{0E2C231C-0991-4FBE-BD8E-9CD4D9BF51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9CCF-204D-439F-B74A-2FF6727BF352}">
  <dimension ref="A1:L103"/>
  <sheetViews>
    <sheetView tabSelected="1" workbookViewId="0">
      <selection activeCell="H2" sqref="H2"/>
    </sheetView>
  </sheetViews>
  <sheetFormatPr defaultRowHeight="23.25" customHeight="1" x14ac:dyDescent="0.25"/>
  <cols>
    <col min="1" max="1" width="13.5703125" customWidth="1"/>
    <col min="5" max="5" width="45.140625" customWidth="1"/>
    <col min="8" max="8" width="21.7109375" customWidth="1"/>
  </cols>
  <sheetData>
    <row r="1" spans="1:12" ht="23.25" customHeight="1" x14ac:dyDescent="0.25">
      <c r="A1" s="1" t="s">
        <v>2</v>
      </c>
      <c r="B1" s="1" t="s">
        <v>0</v>
      </c>
      <c r="C1" s="1" t="s">
        <v>32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</row>
    <row r="2" spans="1:12" ht="23.25" customHeight="1" x14ac:dyDescent="0.25">
      <c r="A2" s="5" t="str">
        <f>E2</f>
        <v>ЯУО9601-Э474</v>
      </c>
      <c r="B2" s="6"/>
      <c r="C2" s="5"/>
      <c r="D2" s="7"/>
      <c r="E2" s="6" t="s">
        <v>45</v>
      </c>
      <c r="F2" s="8"/>
      <c r="G2" s="8"/>
      <c r="H2" s="9">
        <f ca="1">I2*H15</f>
        <v>78498.2</v>
      </c>
      <c r="I2" s="10">
        <v>1</v>
      </c>
      <c r="J2" s="11" t="s">
        <v>7</v>
      </c>
      <c r="K2" s="6" t="s">
        <v>9</v>
      </c>
    </row>
    <row r="3" spans="1:12" ht="23.25" customHeight="1" x14ac:dyDescent="0.25">
      <c r="A3" s="12" t="str">
        <f>A2</f>
        <v>ЯУО9601-Э474</v>
      </c>
      <c r="B3" s="13" t="s">
        <v>8</v>
      </c>
      <c r="C3" s="12"/>
      <c r="D3" s="14" t="s">
        <v>133</v>
      </c>
      <c r="E3" s="12" t="s">
        <v>134</v>
      </c>
      <c r="F3" s="13">
        <v>10620</v>
      </c>
      <c r="G3" s="15">
        <f>0.5*F3</f>
        <v>5310</v>
      </c>
      <c r="H3" s="15">
        <f>I3*G3</f>
        <v>5310</v>
      </c>
      <c r="I3" s="16">
        <v>1</v>
      </c>
      <c r="J3" s="17" t="s">
        <v>13</v>
      </c>
      <c r="K3" s="13" t="s">
        <v>16</v>
      </c>
    </row>
    <row r="4" spans="1:12" ht="23.25" customHeight="1" x14ac:dyDescent="0.25">
      <c r="A4" s="12" t="str">
        <f>A3</f>
        <v>ЯУО9601-Э474</v>
      </c>
      <c r="B4" s="13" t="s">
        <v>12</v>
      </c>
      <c r="C4" s="12"/>
      <c r="D4" s="14" t="s">
        <v>44</v>
      </c>
      <c r="E4" s="12" t="s">
        <v>42</v>
      </c>
      <c r="F4" s="13">
        <v>2606</v>
      </c>
      <c r="G4" s="15">
        <f>F4*0.6</f>
        <v>1563.6</v>
      </c>
      <c r="H4" s="15">
        <f>G4*I4</f>
        <v>1563.6</v>
      </c>
      <c r="I4" s="16">
        <v>1</v>
      </c>
      <c r="J4" s="17" t="s">
        <v>13</v>
      </c>
      <c r="K4" s="13" t="s">
        <v>17</v>
      </c>
    </row>
    <row r="5" spans="1:12" ht="23.25" customHeight="1" x14ac:dyDescent="0.25">
      <c r="A5" s="12" t="str">
        <f>A4</f>
        <v>ЯУО9601-Э474</v>
      </c>
      <c r="B5" s="13" t="s">
        <v>12</v>
      </c>
      <c r="C5" s="12"/>
      <c r="D5" s="14" t="s">
        <v>33</v>
      </c>
      <c r="E5" s="12" t="s">
        <v>34</v>
      </c>
      <c r="F5" s="13">
        <v>1086</v>
      </c>
      <c r="G5" s="15">
        <f>F5*0.6</f>
        <v>651.6</v>
      </c>
      <c r="H5" s="15">
        <f>G5*I5</f>
        <v>651.6</v>
      </c>
      <c r="I5" s="16">
        <v>1</v>
      </c>
      <c r="J5" s="17" t="s">
        <v>13</v>
      </c>
      <c r="K5" s="13" t="s">
        <v>17</v>
      </c>
    </row>
    <row r="6" spans="1:12" ht="23.25" customHeight="1" x14ac:dyDescent="0.25">
      <c r="A6" s="12" t="str">
        <f>A4</f>
        <v>ЯУО9601-Э474</v>
      </c>
      <c r="B6" s="13" t="s">
        <v>52</v>
      </c>
      <c r="C6" s="12"/>
      <c r="D6" s="14" t="s">
        <v>119</v>
      </c>
      <c r="E6" s="12" t="s">
        <v>120</v>
      </c>
      <c r="F6" s="13">
        <v>9149</v>
      </c>
      <c r="G6" s="15">
        <f>F6*0.6</f>
        <v>5489.4</v>
      </c>
      <c r="H6" s="15">
        <f>G6*I6</f>
        <v>10978.8</v>
      </c>
      <c r="I6" s="16">
        <v>2</v>
      </c>
      <c r="J6" s="17" t="s">
        <v>13</v>
      </c>
      <c r="K6" s="13" t="s">
        <v>17</v>
      </c>
    </row>
    <row r="7" spans="1:12" ht="23.25" customHeight="1" x14ac:dyDescent="0.25">
      <c r="A7" s="12" t="str">
        <f>A6</f>
        <v>ЯУО9601-Э474</v>
      </c>
      <c r="B7" s="13" t="s">
        <v>21</v>
      </c>
      <c r="C7" s="12"/>
      <c r="D7" s="14" t="s">
        <v>46</v>
      </c>
      <c r="E7" s="12" t="s">
        <v>47</v>
      </c>
      <c r="F7" s="13">
        <v>18123</v>
      </c>
      <c r="G7" s="15">
        <f>F7*0.6</f>
        <v>10873.8</v>
      </c>
      <c r="H7" s="15">
        <f>G7*I7</f>
        <v>10873.8</v>
      </c>
      <c r="I7" s="16">
        <v>1</v>
      </c>
      <c r="J7" s="17" t="s">
        <v>13</v>
      </c>
      <c r="K7" s="13" t="s">
        <v>17</v>
      </c>
      <c r="L7">
        <v>1</v>
      </c>
    </row>
    <row r="8" spans="1:12" ht="23.25" customHeight="1" x14ac:dyDescent="0.25">
      <c r="A8" s="12" t="str">
        <f>A7</f>
        <v>ЯУО9601-Э474</v>
      </c>
      <c r="B8" s="13" t="s">
        <v>53</v>
      </c>
      <c r="C8" s="12"/>
      <c r="D8" s="14" t="s">
        <v>48</v>
      </c>
      <c r="E8" s="12" t="s">
        <v>49</v>
      </c>
      <c r="F8" s="13">
        <v>2460</v>
      </c>
      <c r="G8" s="15">
        <f>F8*0.6</f>
        <v>1476</v>
      </c>
      <c r="H8" s="15">
        <f>G8*I8</f>
        <v>1476</v>
      </c>
      <c r="I8" s="16">
        <v>1</v>
      </c>
      <c r="J8" s="17" t="s">
        <v>13</v>
      </c>
      <c r="K8" s="13" t="s">
        <v>17</v>
      </c>
    </row>
    <row r="9" spans="1:12" ht="23.25" customHeight="1" x14ac:dyDescent="0.25">
      <c r="A9" s="12" t="str">
        <f>A8</f>
        <v>ЯУО9601-Э474</v>
      </c>
      <c r="B9" s="13" t="s">
        <v>54</v>
      </c>
      <c r="C9" s="12"/>
      <c r="D9" s="14" t="s">
        <v>50</v>
      </c>
      <c r="E9" s="12" t="s">
        <v>30</v>
      </c>
      <c r="F9" s="13">
        <v>18847</v>
      </c>
      <c r="G9" s="15">
        <f>F9*0.6</f>
        <v>11308.199999999999</v>
      </c>
      <c r="H9" s="15">
        <f>G9*I9</f>
        <v>11308.199999999999</v>
      </c>
      <c r="I9" s="16">
        <v>1</v>
      </c>
      <c r="J9" s="17" t="s">
        <v>13</v>
      </c>
      <c r="K9" s="13" t="s">
        <v>17</v>
      </c>
    </row>
    <row r="10" spans="1:12" ht="23.25" customHeight="1" x14ac:dyDescent="0.25">
      <c r="A10" s="12" t="str">
        <f>A9</f>
        <v>ЯУО9601-Э474</v>
      </c>
      <c r="B10" s="13" t="s">
        <v>94</v>
      </c>
      <c r="C10" s="12"/>
      <c r="D10" s="14" t="s">
        <v>92</v>
      </c>
      <c r="E10" s="12" t="s">
        <v>93</v>
      </c>
      <c r="F10" s="13">
        <v>9156</v>
      </c>
      <c r="G10" s="15">
        <f>F10*0.6</f>
        <v>5493.5999999999995</v>
      </c>
      <c r="H10" s="15">
        <f>G10*I10</f>
        <v>5493.5999999999995</v>
      </c>
      <c r="I10" s="16">
        <v>1</v>
      </c>
      <c r="J10" s="17" t="s">
        <v>13</v>
      </c>
      <c r="K10" s="13" t="s">
        <v>17</v>
      </c>
    </row>
    <row r="11" spans="1:12" ht="23.25" customHeight="1" x14ac:dyDescent="0.25">
      <c r="A11" s="12" t="str">
        <f>A10</f>
        <v>ЯУО9601-Э474</v>
      </c>
      <c r="B11" s="13" t="s">
        <v>97</v>
      </c>
      <c r="C11" s="12"/>
      <c r="D11" s="14" t="s">
        <v>95</v>
      </c>
      <c r="E11" s="12" t="s">
        <v>96</v>
      </c>
      <c r="F11" s="13">
        <v>571</v>
      </c>
      <c r="G11" s="15">
        <f>F11*0.6</f>
        <v>342.59999999999997</v>
      </c>
      <c r="H11" s="15">
        <f>G11*I11</f>
        <v>342.59999999999997</v>
      </c>
      <c r="I11" s="16">
        <v>1</v>
      </c>
      <c r="J11" s="17" t="s">
        <v>13</v>
      </c>
      <c r="K11" s="13" t="s">
        <v>17</v>
      </c>
    </row>
    <row r="12" spans="1:12" ht="23.25" customHeight="1" x14ac:dyDescent="0.25">
      <c r="A12" s="12" t="str">
        <f>A10</f>
        <v>ЯУО9601-Э474</v>
      </c>
      <c r="B12" s="13" t="s">
        <v>55</v>
      </c>
      <c r="C12" s="12"/>
      <c r="D12" s="14"/>
      <c r="E12" s="12" t="s">
        <v>51</v>
      </c>
      <c r="F12" s="13">
        <v>6500</v>
      </c>
      <c r="G12" s="15">
        <f>F12</f>
        <v>6500</v>
      </c>
      <c r="H12" s="15">
        <f>G12*I12</f>
        <v>6500</v>
      </c>
      <c r="I12" s="16">
        <v>1</v>
      </c>
      <c r="J12" s="17" t="s">
        <v>13</v>
      </c>
      <c r="K12" s="13" t="s">
        <v>38</v>
      </c>
    </row>
    <row r="13" spans="1:12" ht="23.25" customHeight="1" x14ac:dyDescent="0.25">
      <c r="A13" s="12" t="str">
        <f>A10</f>
        <v>ЯУО9601-Э474</v>
      </c>
      <c r="B13" s="12" t="s">
        <v>10</v>
      </c>
      <c r="C13" s="12"/>
      <c r="D13" s="18" t="s">
        <v>10</v>
      </c>
      <c r="E13" s="12" t="s">
        <v>10</v>
      </c>
      <c r="F13" s="12">
        <f ca="1">OFFSET(F13,1,2)</f>
        <v>12000</v>
      </c>
      <c r="G13" s="15">
        <f ca="1">F13</f>
        <v>12000</v>
      </c>
      <c r="H13" s="15">
        <f ca="1">G13*I13</f>
        <v>12000</v>
      </c>
      <c r="I13" s="12">
        <v>1</v>
      </c>
      <c r="J13" s="12" t="s">
        <v>13</v>
      </c>
      <c r="K13" s="12" t="s">
        <v>10</v>
      </c>
    </row>
    <row r="14" spans="1:12" ht="23.25" customHeight="1" x14ac:dyDescent="0.25">
      <c r="A14" s="12" t="str">
        <f>A13</f>
        <v>ЯУО9601-Э474</v>
      </c>
      <c r="B14" s="12" t="s">
        <v>11</v>
      </c>
      <c r="C14" s="12"/>
      <c r="D14" s="18" t="s">
        <v>11</v>
      </c>
      <c r="E14" s="12" t="s">
        <v>11</v>
      </c>
      <c r="F14" s="12">
        <v>2</v>
      </c>
      <c r="G14" s="15">
        <v>100</v>
      </c>
      <c r="H14" s="15">
        <f>G14*I14</f>
        <v>12000</v>
      </c>
      <c r="I14" s="12">
        <f>60*F14</f>
        <v>120</v>
      </c>
      <c r="J14" s="12" t="s">
        <v>13</v>
      </c>
      <c r="K14" s="12" t="s">
        <v>11</v>
      </c>
    </row>
    <row r="15" spans="1:12" ht="23.25" customHeight="1" x14ac:dyDescent="0.25">
      <c r="A15" s="12" t="str">
        <f>A14</f>
        <v>ЯУО9601-Э474</v>
      </c>
      <c r="B15" s="19"/>
      <c r="C15" s="20"/>
      <c r="D15" s="20"/>
      <c r="E15" s="21"/>
      <c r="F15" s="23"/>
      <c r="G15" s="25"/>
      <c r="H15" s="24">
        <f ca="1">SUM(H3:H14)</f>
        <v>78498.2</v>
      </c>
      <c r="I15" s="20"/>
      <c r="J15" s="22"/>
      <c r="K15" s="20"/>
    </row>
    <row r="16" spans="1:12" ht="23.25" customHeight="1" x14ac:dyDescent="0.25">
      <c r="A16" s="5" t="str">
        <f>E16</f>
        <v>ЩО-H1</v>
      </c>
      <c r="B16" s="6"/>
      <c r="C16" s="5"/>
      <c r="D16" s="7"/>
      <c r="E16" s="6" t="s">
        <v>115</v>
      </c>
      <c r="F16" s="8"/>
      <c r="G16" s="8"/>
      <c r="H16" s="8">
        <f ca="1">I16*H22</f>
        <v>29739.599999999999</v>
      </c>
      <c r="I16" s="10">
        <v>1</v>
      </c>
      <c r="J16" s="11" t="s">
        <v>7</v>
      </c>
      <c r="K16" s="6" t="s">
        <v>9</v>
      </c>
    </row>
    <row r="17" spans="1:11" ht="23.25" customHeight="1" x14ac:dyDescent="0.25">
      <c r="A17" s="12" t="str">
        <f>E16</f>
        <v>ЩО-H1</v>
      </c>
      <c r="B17" s="13" t="s">
        <v>8</v>
      </c>
      <c r="C17" s="12"/>
      <c r="D17" s="14" t="s">
        <v>135</v>
      </c>
      <c r="E17" s="12" t="s">
        <v>136</v>
      </c>
      <c r="F17" s="13">
        <v>14190</v>
      </c>
      <c r="G17" s="15">
        <f>0.5*F17</f>
        <v>7095</v>
      </c>
      <c r="H17" s="15">
        <f>G17*I17</f>
        <v>7095</v>
      </c>
      <c r="I17" s="16">
        <v>1</v>
      </c>
      <c r="J17" s="17" t="s">
        <v>37</v>
      </c>
      <c r="K17" s="13" t="s">
        <v>16</v>
      </c>
    </row>
    <row r="18" spans="1:11" ht="23.25" customHeight="1" x14ac:dyDescent="0.25">
      <c r="A18" s="12" t="str">
        <f>E16</f>
        <v>ЩО-H1</v>
      </c>
      <c r="B18" s="13" t="s">
        <v>12</v>
      </c>
      <c r="C18" s="12"/>
      <c r="D18" s="14" t="s">
        <v>26</v>
      </c>
      <c r="E18" s="12" t="s">
        <v>27</v>
      </c>
      <c r="F18" s="13">
        <v>2429</v>
      </c>
      <c r="G18" s="15">
        <f>F18*0.6</f>
        <v>1457.3999999999999</v>
      </c>
      <c r="H18" s="15">
        <f>G18*I18</f>
        <v>1457.3999999999999</v>
      </c>
      <c r="I18" s="16">
        <v>1</v>
      </c>
      <c r="J18" s="17" t="s">
        <v>37</v>
      </c>
      <c r="K18" s="13" t="s">
        <v>17</v>
      </c>
    </row>
    <row r="19" spans="1:11" ht="23.25" customHeight="1" x14ac:dyDescent="0.25">
      <c r="A19" s="12" t="str">
        <f>E16</f>
        <v>ЩО-H1</v>
      </c>
      <c r="B19" s="13" t="s">
        <v>31</v>
      </c>
      <c r="C19" s="12"/>
      <c r="D19" s="14" t="s">
        <v>121</v>
      </c>
      <c r="E19" s="12" t="s">
        <v>122</v>
      </c>
      <c r="F19" s="13">
        <v>5104</v>
      </c>
      <c r="G19" s="15">
        <f>F19*0.6</f>
        <v>3062.4</v>
      </c>
      <c r="H19" s="15">
        <f>G19*I19</f>
        <v>9187.2000000000007</v>
      </c>
      <c r="I19" s="16">
        <v>3</v>
      </c>
      <c r="J19" s="17" t="s">
        <v>37</v>
      </c>
      <c r="K19" s="13" t="s">
        <v>17</v>
      </c>
    </row>
    <row r="20" spans="1:11" ht="23.25" customHeight="1" x14ac:dyDescent="0.25">
      <c r="A20" s="12" t="str">
        <f>E16</f>
        <v>ЩО-H1</v>
      </c>
      <c r="B20" s="12" t="s">
        <v>10</v>
      </c>
      <c r="C20" s="12"/>
      <c r="D20" s="18" t="s">
        <v>10</v>
      </c>
      <c r="E20" s="12" t="s">
        <v>10</v>
      </c>
      <c r="F20" s="12">
        <f ca="1">OFFSET(F20,1,2)</f>
        <v>6000</v>
      </c>
      <c r="G20" s="15">
        <f ca="1">F20</f>
        <v>6000</v>
      </c>
      <c r="H20" s="15">
        <f ca="1">G20*I20</f>
        <v>6000</v>
      </c>
      <c r="I20" s="12">
        <v>1</v>
      </c>
      <c r="J20" s="12" t="s">
        <v>13</v>
      </c>
      <c r="K20" s="12" t="s">
        <v>10</v>
      </c>
    </row>
    <row r="21" spans="1:11" ht="23.25" customHeight="1" x14ac:dyDescent="0.25">
      <c r="A21" s="12" t="str">
        <f>E16</f>
        <v>ЩО-H1</v>
      </c>
      <c r="B21" s="12" t="s">
        <v>11</v>
      </c>
      <c r="C21" s="12"/>
      <c r="D21" s="18" t="s">
        <v>11</v>
      </c>
      <c r="E21" s="12" t="s">
        <v>11</v>
      </c>
      <c r="F21" s="12">
        <v>1</v>
      </c>
      <c r="G21" s="15">
        <v>100</v>
      </c>
      <c r="H21" s="15">
        <f>G21*I21</f>
        <v>6000</v>
      </c>
      <c r="I21" s="12">
        <f>60*F21</f>
        <v>60</v>
      </c>
      <c r="J21" s="12" t="s">
        <v>13</v>
      </c>
      <c r="K21" s="12" t="s">
        <v>11</v>
      </c>
    </row>
    <row r="22" spans="1:11" ht="23.25" customHeight="1" x14ac:dyDescent="0.25">
      <c r="A22" s="12" t="str">
        <f>A21</f>
        <v>ЩО-H1</v>
      </c>
      <c r="B22" s="19"/>
      <c r="C22" s="20"/>
      <c r="D22" s="20"/>
      <c r="E22" s="21"/>
      <c r="F22" s="23"/>
      <c r="G22" s="25"/>
      <c r="H22" s="24">
        <f ca="1">SUM(H17:H21)</f>
        <v>29739.599999999999</v>
      </c>
      <c r="I22" s="20"/>
      <c r="J22" s="22"/>
      <c r="K22" s="20"/>
    </row>
    <row r="23" spans="1:11" ht="23.25" customHeight="1" x14ac:dyDescent="0.25">
      <c r="A23" s="5" t="str">
        <f>E23</f>
        <v>ЩСВ-1</v>
      </c>
      <c r="B23" s="6"/>
      <c r="C23" s="5"/>
      <c r="D23" s="7"/>
      <c r="E23" s="6" t="s">
        <v>98</v>
      </c>
      <c r="F23" s="8"/>
      <c r="G23" s="8"/>
      <c r="H23" s="9">
        <f ca="1">I23*H29</f>
        <v>39463.399999999994</v>
      </c>
      <c r="I23" s="10">
        <v>1</v>
      </c>
      <c r="J23" s="11" t="s">
        <v>7</v>
      </c>
      <c r="K23" s="6" t="s">
        <v>9</v>
      </c>
    </row>
    <row r="24" spans="1:11" ht="23.25" customHeight="1" x14ac:dyDescent="0.25">
      <c r="A24" s="12" t="str">
        <f>A23</f>
        <v>ЩСВ-1</v>
      </c>
      <c r="B24" s="13" t="s">
        <v>8</v>
      </c>
      <c r="C24" s="12"/>
      <c r="D24" s="14" t="s">
        <v>137</v>
      </c>
      <c r="E24" s="12" t="s">
        <v>138</v>
      </c>
      <c r="F24" s="13">
        <v>16000</v>
      </c>
      <c r="G24" s="15">
        <f>0.5*F24</f>
        <v>8000</v>
      </c>
      <c r="H24" s="15">
        <f>I24*G24</f>
        <v>8000</v>
      </c>
      <c r="I24" s="16">
        <v>1</v>
      </c>
      <c r="J24" s="17" t="s">
        <v>13</v>
      </c>
      <c r="K24" s="13" t="s">
        <v>16</v>
      </c>
    </row>
    <row r="25" spans="1:11" ht="23.25" customHeight="1" x14ac:dyDescent="0.25">
      <c r="A25" s="12" t="str">
        <f>A24</f>
        <v>ЩСВ-1</v>
      </c>
      <c r="B25" s="13" t="s">
        <v>31</v>
      </c>
      <c r="C25" s="12"/>
      <c r="D25" s="14" t="s">
        <v>100</v>
      </c>
      <c r="E25" s="12" t="s">
        <v>101</v>
      </c>
      <c r="F25" s="13">
        <v>11813</v>
      </c>
      <c r="G25" s="15">
        <f>F25*0.6</f>
        <v>7087.8</v>
      </c>
      <c r="H25" s="15">
        <f>G25*I25</f>
        <v>7087.8</v>
      </c>
      <c r="I25" s="16">
        <v>1</v>
      </c>
      <c r="J25" s="17" t="s">
        <v>13</v>
      </c>
      <c r="K25" s="13" t="s">
        <v>17</v>
      </c>
    </row>
    <row r="26" spans="1:11" ht="23.25" customHeight="1" x14ac:dyDescent="0.25">
      <c r="A26" s="12" t="str">
        <f>A25</f>
        <v>ЩСВ-1</v>
      </c>
      <c r="B26" s="13" t="s">
        <v>12</v>
      </c>
      <c r="C26" s="12"/>
      <c r="D26" s="14" t="s">
        <v>63</v>
      </c>
      <c r="E26" s="12" t="s">
        <v>64</v>
      </c>
      <c r="F26" s="13">
        <v>1771</v>
      </c>
      <c r="G26" s="15">
        <f>F26*0.6</f>
        <v>1062.5999999999999</v>
      </c>
      <c r="H26" s="15">
        <f>G26*I26</f>
        <v>6375.5999999999995</v>
      </c>
      <c r="I26" s="16">
        <v>6</v>
      </c>
      <c r="J26" s="17" t="s">
        <v>13</v>
      </c>
      <c r="K26" s="13" t="s">
        <v>17</v>
      </c>
    </row>
    <row r="27" spans="1:11" ht="23.25" customHeight="1" x14ac:dyDescent="0.25">
      <c r="A27" s="12" t="str">
        <f>A26</f>
        <v>ЩСВ-1</v>
      </c>
      <c r="B27" s="12" t="s">
        <v>10</v>
      </c>
      <c r="C27" s="12"/>
      <c r="D27" s="18" t="s">
        <v>10</v>
      </c>
      <c r="E27" s="12" t="s">
        <v>10</v>
      </c>
      <c r="F27" s="12">
        <f ca="1">OFFSET(F27,1,2)</f>
        <v>9000</v>
      </c>
      <c r="G27" s="15">
        <f ca="1">F27</f>
        <v>9000</v>
      </c>
      <c r="H27" s="15">
        <f ca="1">G27*I27</f>
        <v>9000</v>
      </c>
      <c r="I27" s="12">
        <v>1</v>
      </c>
      <c r="J27" s="12" t="s">
        <v>13</v>
      </c>
      <c r="K27" s="12" t="s">
        <v>10</v>
      </c>
    </row>
    <row r="28" spans="1:11" ht="23.25" customHeight="1" x14ac:dyDescent="0.25">
      <c r="A28" s="12" t="str">
        <f>A27</f>
        <v>ЩСВ-1</v>
      </c>
      <c r="B28" s="12" t="s">
        <v>11</v>
      </c>
      <c r="C28" s="12"/>
      <c r="D28" s="18" t="s">
        <v>11</v>
      </c>
      <c r="E28" s="12" t="s">
        <v>11</v>
      </c>
      <c r="F28" s="12">
        <v>1.5</v>
      </c>
      <c r="G28" s="15">
        <v>100</v>
      </c>
      <c r="H28" s="15">
        <f>G28*I28</f>
        <v>9000</v>
      </c>
      <c r="I28" s="12">
        <f>60*F28</f>
        <v>90</v>
      </c>
      <c r="J28" s="12" t="s">
        <v>13</v>
      </c>
      <c r="K28" s="12" t="s">
        <v>11</v>
      </c>
    </row>
    <row r="29" spans="1:11" ht="23.25" customHeight="1" x14ac:dyDescent="0.25">
      <c r="A29" s="12" t="str">
        <f>A28</f>
        <v>ЩСВ-1</v>
      </c>
      <c r="B29" s="19"/>
      <c r="C29" s="20"/>
      <c r="D29" s="20"/>
      <c r="E29" s="21"/>
      <c r="F29" s="23"/>
      <c r="G29" s="25"/>
      <c r="H29" s="24">
        <f ca="1">SUM(H24:H28)</f>
        <v>39463.399999999994</v>
      </c>
      <c r="I29" s="20"/>
      <c r="J29" s="22"/>
      <c r="K29" s="20"/>
    </row>
    <row r="30" spans="1:11" ht="23.25" customHeight="1" x14ac:dyDescent="0.25">
      <c r="A30" s="5" t="str">
        <f>E30</f>
        <v>ЩР-Б</v>
      </c>
      <c r="B30" s="6"/>
      <c r="C30" s="5"/>
      <c r="D30" s="7"/>
      <c r="E30" s="6" t="s">
        <v>99</v>
      </c>
      <c r="F30" s="8"/>
      <c r="G30" s="8"/>
      <c r="H30" s="9">
        <f ca="1">I30*H37</f>
        <v>37408</v>
      </c>
      <c r="I30" s="10">
        <v>1</v>
      </c>
      <c r="J30" s="11" t="s">
        <v>7</v>
      </c>
      <c r="K30" s="6" t="s">
        <v>9</v>
      </c>
    </row>
    <row r="31" spans="1:11" ht="23.25" customHeight="1" x14ac:dyDescent="0.25">
      <c r="A31" s="12" t="str">
        <f>A30</f>
        <v>ЩР-Б</v>
      </c>
      <c r="B31" s="13" t="s">
        <v>8</v>
      </c>
      <c r="C31" s="12"/>
      <c r="D31" s="14" t="s">
        <v>139</v>
      </c>
      <c r="E31" s="12" t="s">
        <v>140</v>
      </c>
      <c r="F31" s="13">
        <v>18500</v>
      </c>
      <c r="G31" s="15">
        <f>0.5*F31</f>
        <v>9250</v>
      </c>
      <c r="H31" s="15">
        <f>I31*G31</f>
        <v>9250</v>
      </c>
      <c r="I31" s="16">
        <v>1</v>
      </c>
      <c r="J31" s="17" t="s">
        <v>13</v>
      </c>
      <c r="K31" s="13" t="s">
        <v>16</v>
      </c>
    </row>
    <row r="32" spans="1:11" ht="23.25" customHeight="1" x14ac:dyDescent="0.25">
      <c r="A32" s="12" t="str">
        <f t="shared" ref="A32:A37" si="0">A31</f>
        <v>ЩР-Б</v>
      </c>
      <c r="B32" s="13" t="s">
        <v>12</v>
      </c>
      <c r="C32" s="12"/>
      <c r="D32" s="14" t="s">
        <v>67</v>
      </c>
      <c r="E32" s="12" t="s">
        <v>68</v>
      </c>
      <c r="F32" s="13">
        <v>3172</v>
      </c>
      <c r="G32" s="15">
        <f>F32*0.6</f>
        <v>1903.1999999999998</v>
      </c>
      <c r="H32" s="15">
        <f>G32*I32</f>
        <v>1903.1999999999998</v>
      </c>
      <c r="I32" s="16">
        <v>1</v>
      </c>
      <c r="J32" s="17" t="s">
        <v>13</v>
      </c>
      <c r="K32" s="13" t="s">
        <v>17</v>
      </c>
    </row>
    <row r="33" spans="1:11" ht="23.25" customHeight="1" x14ac:dyDescent="0.25">
      <c r="A33" s="12" t="str">
        <f t="shared" si="0"/>
        <v>ЩР-Б</v>
      </c>
      <c r="B33" s="13" t="s">
        <v>12</v>
      </c>
      <c r="C33" s="12"/>
      <c r="D33" s="14" t="s">
        <v>63</v>
      </c>
      <c r="E33" s="12" t="s">
        <v>64</v>
      </c>
      <c r="F33" s="13">
        <v>1771</v>
      </c>
      <c r="G33" s="15">
        <f t="shared" ref="G33" si="1">F33*0.6</f>
        <v>1062.5999999999999</v>
      </c>
      <c r="H33" s="15">
        <f t="shared" ref="H33" si="2">G33*I33</f>
        <v>6375.5999999999995</v>
      </c>
      <c r="I33" s="16">
        <v>6</v>
      </c>
      <c r="J33" s="17" t="s">
        <v>13</v>
      </c>
      <c r="K33" s="13" t="s">
        <v>17</v>
      </c>
    </row>
    <row r="34" spans="1:11" ht="23.25" customHeight="1" x14ac:dyDescent="0.25">
      <c r="A34" s="12" t="str">
        <f t="shared" si="0"/>
        <v>ЩР-Б</v>
      </c>
      <c r="B34" s="13" t="s">
        <v>12</v>
      </c>
      <c r="C34" s="12"/>
      <c r="D34" s="14" t="s">
        <v>22</v>
      </c>
      <c r="E34" s="12" t="s">
        <v>23</v>
      </c>
      <c r="F34" s="13">
        <v>783</v>
      </c>
      <c r="G34" s="15">
        <f>F34*0.6</f>
        <v>469.79999999999995</v>
      </c>
      <c r="H34" s="15">
        <f>G34*I34</f>
        <v>1879.1999999999998</v>
      </c>
      <c r="I34" s="16">
        <v>4</v>
      </c>
      <c r="J34" s="17" t="s">
        <v>13</v>
      </c>
      <c r="K34" s="13" t="s">
        <v>17</v>
      </c>
    </row>
    <row r="35" spans="1:11" ht="23.25" customHeight="1" x14ac:dyDescent="0.25">
      <c r="A35" s="12" t="str">
        <f t="shared" si="0"/>
        <v>ЩР-Б</v>
      </c>
      <c r="B35" s="12" t="s">
        <v>10</v>
      </c>
      <c r="C35" s="12"/>
      <c r="D35" s="18" t="s">
        <v>10</v>
      </c>
      <c r="E35" s="12" t="s">
        <v>10</v>
      </c>
      <c r="F35" s="12">
        <f ca="1">OFFSET(F35,1,2)</f>
        <v>9000</v>
      </c>
      <c r="G35" s="15">
        <f ca="1">F35</f>
        <v>9000</v>
      </c>
      <c r="H35" s="15">
        <f t="shared" ref="H35:H36" ca="1" si="3">G35*I35</f>
        <v>9000</v>
      </c>
      <c r="I35" s="12">
        <v>1</v>
      </c>
      <c r="J35" s="12" t="s">
        <v>13</v>
      </c>
      <c r="K35" s="12" t="s">
        <v>10</v>
      </c>
    </row>
    <row r="36" spans="1:11" ht="23.25" customHeight="1" x14ac:dyDescent="0.25">
      <c r="A36" s="12" t="str">
        <f t="shared" si="0"/>
        <v>ЩР-Б</v>
      </c>
      <c r="B36" s="12" t="s">
        <v>11</v>
      </c>
      <c r="C36" s="12"/>
      <c r="D36" s="18" t="s">
        <v>11</v>
      </c>
      <c r="E36" s="12" t="s">
        <v>11</v>
      </c>
      <c r="F36" s="12">
        <v>1.5</v>
      </c>
      <c r="G36" s="15">
        <v>100</v>
      </c>
      <c r="H36" s="15">
        <f t="shared" si="3"/>
        <v>9000</v>
      </c>
      <c r="I36" s="12">
        <f>60*F36</f>
        <v>90</v>
      </c>
      <c r="J36" s="12" t="s">
        <v>13</v>
      </c>
      <c r="K36" s="12" t="s">
        <v>11</v>
      </c>
    </row>
    <row r="37" spans="1:11" ht="23.25" customHeight="1" x14ac:dyDescent="0.25">
      <c r="A37" s="12" t="str">
        <f t="shared" si="0"/>
        <v>ЩР-Б</v>
      </c>
      <c r="B37" s="19"/>
      <c r="C37" s="20"/>
      <c r="D37" s="20"/>
      <c r="E37" s="21"/>
      <c r="F37" s="23"/>
      <c r="G37" s="25"/>
      <c r="H37" s="24">
        <f ca="1">SUM(H31:H36)</f>
        <v>37408</v>
      </c>
      <c r="I37" s="20"/>
      <c r="J37" s="22"/>
      <c r="K37" s="20"/>
    </row>
    <row r="38" spans="1:11" ht="23.25" customHeight="1" x14ac:dyDescent="0.25">
      <c r="A38" s="5" t="str">
        <f>E38</f>
        <v>ЩР-1 - ЩР-5</v>
      </c>
      <c r="B38" s="6"/>
      <c r="C38" s="5"/>
      <c r="D38" s="7"/>
      <c r="E38" s="6" t="s">
        <v>65</v>
      </c>
      <c r="F38" s="8"/>
      <c r="G38" s="8"/>
      <c r="H38" s="9">
        <f ca="1">I38*H46</f>
        <v>618603</v>
      </c>
      <c r="I38" s="10">
        <v>5</v>
      </c>
      <c r="J38" s="11" t="s">
        <v>7</v>
      </c>
      <c r="K38" s="6" t="s">
        <v>9</v>
      </c>
    </row>
    <row r="39" spans="1:11" ht="23.25" customHeight="1" x14ac:dyDescent="0.25">
      <c r="A39" s="12" t="str">
        <f>A38</f>
        <v>ЩР-1 - ЩР-5</v>
      </c>
      <c r="B39" s="13" t="s">
        <v>8</v>
      </c>
      <c r="C39" s="12"/>
      <c r="D39" s="14" t="s">
        <v>129</v>
      </c>
      <c r="E39" s="12" t="s">
        <v>130</v>
      </c>
      <c r="F39" s="13">
        <v>17000</v>
      </c>
      <c r="G39" s="15">
        <f>0.5*F39</f>
        <v>8500</v>
      </c>
      <c r="H39" s="15">
        <f>I39*G39</f>
        <v>8500</v>
      </c>
      <c r="I39" s="16">
        <v>1</v>
      </c>
      <c r="J39" s="17" t="s">
        <v>13</v>
      </c>
      <c r="K39" s="13" t="s">
        <v>16</v>
      </c>
    </row>
    <row r="40" spans="1:11" ht="23.25" customHeight="1" x14ac:dyDescent="0.25">
      <c r="A40" s="12" t="str">
        <f t="shared" ref="A40:A46" si="4">A39</f>
        <v>ЩР-1 - ЩР-5</v>
      </c>
      <c r="B40" s="13" t="s">
        <v>12</v>
      </c>
      <c r="C40" s="12"/>
      <c r="D40" s="14" t="s">
        <v>44</v>
      </c>
      <c r="E40" s="12" t="s">
        <v>42</v>
      </c>
      <c r="F40" s="13">
        <v>2606</v>
      </c>
      <c r="G40" s="15">
        <f>F40*0.6</f>
        <v>1563.6</v>
      </c>
      <c r="H40" s="15">
        <f>G40*I40</f>
        <v>1563.6</v>
      </c>
      <c r="I40" s="16">
        <v>1</v>
      </c>
      <c r="J40" s="17" t="s">
        <v>13</v>
      </c>
      <c r="K40" s="13" t="s">
        <v>17</v>
      </c>
    </row>
    <row r="41" spans="1:11" ht="23.25" customHeight="1" x14ac:dyDescent="0.25">
      <c r="A41" s="12" t="str">
        <f t="shared" si="4"/>
        <v>ЩР-1 - ЩР-5</v>
      </c>
      <c r="B41" s="13" t="s">
        <v>12</v>
      </c>
      <c r="C41" s="12"/>
      <c r="D41" s="14" t="s">
        <v>22</v>
      </c>
      <c r="E41" s="12" t="s">
        <v>23</v>
      </c>
      <c r="F41" s="13">
        <v>783</v>
      </c>
      <c r="G41" s="15">
        <f>F41*0.6</f>
        <v>469.79999999999995</v>
      </c>
      <c r="H41" s="15">
        <f>G41*I41</f>
        <v>469.79999999999995</v>
      </c>
      <c r="I41" s="16">
        <v>1</v>
      </c>
      <c r="J41" s="17" t="s">
        <v>13</v>
      </c>
      <c r="K41" s="13" t="s">
        <v>17</v>
      </c>
    </row>
    <row r="42" spans="1:11" ht="23.25" customHeight="1" x14ac:dyDescent="0.25">
      <c r="A42" s="12" t="str">
        <f t="shared" si="4"/>
        <v>ЩР-1 - ЩР-5</v>
      </c>
      <c r="B42" s="13" t="s">
        <v>31</v>
      </c>
      <c r="C42" s="12"/>
      <c r="D42" s="14" t="s">
        <v>121</v>
      </c>
      <c r="E42" s="12" t="s">
        <v>122</v>
      </c>
      <c r="F42" s="13">
        <v>5104</v>
      </c>
      <c r="G42" s="15">
        <f t="shared" ref="G42" si="5">F42*0.6</f>
        <v>3062.4</v>
      </c>
      <c r="H42" s="15">
        <f t="shared" ref="H42" si="6">G42*I42</f>
        <v>9187.2000000000007</v>
      </c>
      <c r="I42" s="16">
        <v>3</v>
      </c>
      <c r="J42" s="17" t="s">
        <v>37</v>
      </c>
      <c r="K42" s="13" t="s">
        <v>17</v>
      </c>
    </row>
    <row r="43" spans="1:11" ht="23.25" customHeight="1" x14ac:dyDescent="0.25">
      <c r="A43" s="12" t="str">
        <f t="shared" si="4"/>
        <v>ЩР-1 - ЩР-5</v>
      </c>
      <c r="B43" s="13" t="s">
        <v>19</v>
      </c>
      <c r="C43" s="12"/>
      <c r="D43" s="14"/>
      <c r="E43" s="12" t="s">
        <v>102</v>
      </c>
      <c r="F43" s="13">
        <v>80000</v>
      </c>
      <c r="G43" s="15">
        <f>F43</f>
        <v>80000</v>
      </c>
      <c r="H43" s="15">
        <f>G43*I43</f>
        <v>80000</v>
      </c>
      <c r="I43" s="16">
        <v>1</v>
      </c>
      <c r="J43" s="17" t="s">
        <v>13</v>
      </c>
      <c r="K43" s="13" t="s">
        <v>38</v>
      </c>
    </row>
    <row r="44" spans="1:11" ht="23.25" customHeight="1" x14ac:dyDescent="0.25">
      <c r="A44" s="12" t="str">
        <f t="shared" si="4"/>
        <v>ЩР-1 - ЩР-5</v>
      </c>
      <c r="B44" s="12" t="s">
        <v>10</v>
      </c>
      <c r="C44" s="12"/>
      <c r="D44" s="18" t="s">
        <v>10</v>
      </c>
      <c r="E44" s="12" t="s">
        <v>10</v>
      </c>
      <c r="F44" s="12">
        <f ca="1">OFFSET(F44,1,2)</f>
        <v>12000</v>
      </c>
      <c r="G44" s="15">
        <f ca="1">F44</f>
        <v>12000</v>
      </c>
      <c r="H44" s="15">
        <f t="shared" ref="H44:H45" ca="1" si="7">G44*I44</f>
        <v>12000</v>
      </c>
      <c r="I44" s="12">
        <v>1</v>
      </c>
      <c r="J44" s="12" t="s">
        <v>13</v>
      </c>
      <c r="K44" s="12" t="s">
        <v>10</v>
      </c>
    </row>
    <row r="45" spans="1:11" ht="23.25" customHeight="1" x14ac:dyDescent="0.25">
      <c r="A45" s="12" t="str">
        <f t="shared" si="4"/>
        <v>ЩР-1 - ЩР-5</v>
      </c>
      <c r="B45" s="12" t="s">
        <v>11</v>
      </c>
      <c r="C45" s="12"/>
      <c r="D45" s="18" t="s">
        <v>11</v>
      </c>
      <c r="E45" s="12" t="s">
        <v>11</v>
      </c>
      <c r="F45" s="12">
        <v>2</v>
      </c>
      <c r="G45" s="15">
        <v>100</v>
      </c>
      <c r="H45" s="15">
        <f t="shared" si="7"/>
        <v>12000</v>
      </c>
      <c r="I45" s="12">
        <f>60*F45</f>
        <v>120</v>
      </c>
      <c r="J45" s="12" t="s">
        <v>13</v>
      </c>
      <c r="K45" s="12" t="s">
        <v>11</v>
      </c>
    </row>
    <row r="46" spans="1:11" ht="23.25" customHeight="1" x14ac:dyDescent="0.25">
      <c r="A46" s="12" t="str">
        <f t="shared" si="4"/>
        <v>ЩР-1 - ЩР-5</v>
      </c>
      <c r="B46" s="19"/>
      <c r="C46" s="20"/>
      <c r="D46" s="20"/>
      <c r="E46" s="21"/>
      <c r="F46" s="23"/>
      <c r="G46" s="25"/>
      <c r="H46" s="24">
        <f ca="1">SUM(H39:H45)</f>
        <v>123720.6</v>
      </c>
      <c r="I46" s="20"/>
      <c r="J46" s="22"/>
      <c r="K46" s="20"/>
    </row>
    <row r="47" spans="1:11" ht="23.25" customHeight="1" x14ac:dyDescent="0.25">
      <c r="A47" s="5" t="str">
        <f>E47</f>
        <v>ЩР-6</v>
      </c>
      <c r="B47" s="6"/>
      <c r="C47" s="5"/>
      <c r="D47" s="7"/>
      <c r="E47" s="6" t="s">
        <v>69</v>
      </c>
      <c r="F47" s="8"/>
      <c r="G47" s="8"/>
      <c r="H47" s="9">
        <f ca="1">I47*H55</f>
        <v>121021.8</v>
      </c>
      <c r="I47" s="10">
        <v>1</v>
      </c>
      <c r="J47" s="11" t="s">
        <v>7</v>
      </c>
      <c r="K47" s="6" t="s">
        <v>9</v>
      </c>
    </row>
    <row r="48" spans="1:11" ht="23.25" customHeight="1" x14ac:dyDescent="0.25">
      <c r="A48" s="12" t="str">
        <f>A47</f>
        <v>ЩР-6</v>
      </c>
      <c r="B48" s="13" t="s">
        <v>8</v>
      </c>
      <c r="C48" s="12"/>
      <c r="D48" s="14" t="s">
        <v>129</v>
      </c>
      <c r="E48" s="12" t="s">
        <v>130</v>
      </c>
      <c r="F48" s="13">
        <v>17000</v>
      </c>
      <c r="G48" s="15">
        <f>0.5*F48</f>
        <v>8500</v>
      </c>
      <c r="H48" s="15">
        <f>I48*G48</f>
        <v>8500</v>
      </c>
      <c r="I48" s="16">
        <v>1</v>
      </c>
      <c r="J48" s="17" t="s">
        <v>13</v>
      </c>
      <c r="K48" s="13" t="s">
        <v>16</v>
      </c>
    </row>
    <row r="49" spans="1:11" ht="23.25" customHeight="1" x14ac:dyDescent="0.25">
      <c r="A49" s="12" t="str">
        <f t="shared" ref="A49:A55" si="8">A48</f>
        <v>ЩР-6</v>
      </c>
      <c r="B49" s="13" t="s">
        <v>12</v>
      </c>
      <c r="C49" s="12"/>
      <c r="D49" s="14" t="s">
        <v>26</v>
      </c>
      <c r="E49" s="12" t="s">
        <v>27</v>
      </c>
      <c r="F49" s="13">
        <v>2429</v>
      </c>
      <c r="G49" s="15">
        <f>F49*0.6</f>
        <v>1457.3999999999999</v>
      </c>
      <c r="H49" s="15">
        <f>G49*I49</f>
        <v>1457.3999999999999</v>
      </c>
      <c r="I49" s="16">
        <v>1</v>
      </c>
      <c r="J49" s="17" t="s">
        <v>13</v>
      </c>
      <c r="K49" s="13" t="s">
        <v>17</v>
      </c>
    </row>
    <row r="50" spans="1:11" ht="23.25" customHeight="1" x14ac:dyDescent="0.25">
      <c r="A50" s="12" t="str">
        <f t="shared" si="8"/>
        <v>ЩР-6</v>
      </c>
      <c r="B50" s="13" t="s">
        <v>12</v>
      </c>
      <c r="C50" s="12"/>
      <c r="D50" s="14" t="s">
        <v>22</v>
      </c>
      <c r="E50" s="12" t="s">
        <v>23</v>
      </c>
      <c r="F50" s="13">
        <v>783</v>
      </c>
      <c r="G50" s="15">
        <f>F50*0.6</f>
        <v>469.79999999999995</v>
      </c>
      <c r="H50" s="15">
        <f>G50*I50</f>
        <v>939.59999999999991</v>
      </c>
      <c r="I50" s="16">
        <v>2</v>
      </c>
      <c r="J50" s="17" t="s">
        <v>13</v>
      </c>
      <c r="K50" s="13" t="s">
        <v>17</v>
      </c>
    </row>
    <row r="51" spans="1:11" ht="23.25" customHeight="1" x14ac:dyDescent="0.25">
      <c r="A51" s="12" t="str">
        <f t="shared" si="8"/>
        <v>ЩР-6</v>
      </c>
      <c r="B51" s="13" t="s">
        <v>31</v>
      </c>
      <c r="C51" s="12"/>
      <c r="D51" s="14" t="s">
        <v>121</v>
      </c>
      <c r="E51" s="12" t="s">
        <v>122</v>
      </c>
      <c r="F51" s="13">
        <v>5104</v>
      </c>
      <c r="G51" s="15">
        <f>F51*0.6</f>
        <v>3062.4</v>
      </c>
      <c r="H51" s="15">
        <f t="shared" ref="H51:H54" si="9">G51*I51</f>
        <v>6124.8</v>
      </c>
      <c r="I51" s="16">
        <v>2</v>
      </c>
      <c r="J51" s="17" t="s">
        <v>37</v>
      </c>
      <c r="K51" s="13" t="s">
        <v>17</v>
      </c>
    </row>
    <row r="52" spans="1:11" ht="23.25" customHeight="1" x14ac:dyDescent="0.25">
      <c r="A52" s="12" t="str">
        <f t="shared" si="8"/>
        <v>ЩР-6</v>
      </c>
      <c r="B52" s="13" t="s">
        <v>19</v>
      </c>
      <c r="C52" s="12"/>
      <c r="D52" s="14"/>
      <c r="E52" s="12" t="s">
        <v>102</v>
      </c>
      <c r="F52" s="13">
        <v>80000</v>
      </c>
      <c r="G52" s="15">
        <f>F52</f>
        <v>80000</v>
      </c>
      <c r="H52" s="15">
        <f>G52*I52</f>
        <v>80000</v>
      </c>
      <c r="I52" s="16">
        <v>1</v>
      </c>
      <c r="J52" s="17" t="s">
        <v>13</v>
      </c>
      <c r="K52" s="13" t="s">
        <v>38</v>
      </c>
    </row>
    <row r="53" spans="1:11" ht="23.25" customHeight="1" x14ac:dyDescent="0.25">
      <c r="A53" s="12" t="str">
        <f t="shared" si="8"/>
        <v>ЩР-6</v>
      </c>
      <c r="B53" s="12" t="s">
        <v>10</v>
      </c>
      <c r="C53" s="12"/>
      <c r="D53" s="18" t="s">
        <v>10</v>
      </c>
      <c r="E53" s="12" t="s">
        <v>10</v>
      </c>
      <c r="F53" s="12">
        <f ca="1">OFFSET(F53,1,2)</f>
        <v>12000</v>
      </c>
      <c r="G53" s="15">
        <f ca="1">F53</f>
        <v>12000</v>
      </c>
      <c r="H53" s="15">
        <f t="shared" ca="1" si="9"/>
        <v>12000</v>
      </c>
      <c r="I53" s="12">
        <v>1</v>
      </c>
      <c r="J53" s="12" t="s">
        <v>13</v>
      </c>
      <c r="K53" s="12" t="s">
        <v>10</v>
      </c>
    </row>
    <row r="54" spans="1:11" ht="23.25" customHeight="1" x14ac:dyDescent="0.25">
      <c r="A54" s="12" t="str">
        <f t="shared" si="8"/>
        <v>ЩР-6</v>
      </c>
      <c r="B54" s="12" t="s">
        <v>11</v>
      </c>
      <c r="C54" s="12"/>
      <c r="D54" s="18" t="s">
        <v>11</v>
      </c>
      <c r="E54" s="12" t="s">
        <v>11</v>
      </c>
      <c r="F54" s="12">
        <v>2</v>
      </c>
      <c r="G54" s="15">
        <v>100</v>
      </c>
      <c r="H54" s="15">
        <f t="shared" si="9"/>
        <v>12000</v>
      </c>
      <c r="I54" s="12">
        <f>60*F54</f>
        <v>120</v>
      </c>
      <c r="J54" s="12" t="s">
        <v>13</v>
      </c>
      <c r="K54" s="12" t="s">
        <v>11</v>
      </c>
    </row>
    <row r="55" spans="1:11" ht="23.25" customHeight="1" x14ac:dyDescent="0.25">
      <c r="A55" s="12" t="str">
        <f t="shared" si="8"/>
        <v>ЩР-6</v>
      </c>
      <c r="B55" s="19"/>
      <c r="C55" s="20"/>
      <c r="D55" s="20"/>
      <c r="E55" s="21"/>
      <c r="F55" s="23"/>
      <c r="G55" s="25"/>
      <c r="H55" s="24">
        <f ca="1">SUM(H48:H54)</f>
        <v>121021.8</v>
      </c>
      <c r="I55" s="20"/>
      <c r="J55" s="22"/>
      <c r="K55" s="20"/>
    </row>
    <row r="56" spans="1:11" ht="23.25" customHeight="1" x14ac:dyDescent="0.25">
      <c r="A56" s="5" t="str">
        <f>E56</f>
        <v>ЩР-Д</v>
      </c>
      <c r="B56" s="6"/>
      <c r="C56" s="5"/>
      <c r="D56" s="7"/>
      <c r="E56" s="6" t="s">
        <v>116</v>
      </c>
      <c r="F56" s="8"/>
      <c r="G56" s="8"/>
      <c r="H56" s="9">
        <f ca="1">I56*H62</f>
        <v>40592.199999999997</v>
      </c>
      <c r="I56" s="10">
        <v>1</v>
      </c>
      <c r="J56" s="11" t="s">
        <v>7</v>
      </c>
      <c r="K56" s="6" t="s">
        <v>9</v>
      </c>
    </row>
    <row r="57" spans="1:11" ht="23.25" customHeight="1" x14ac:dyDescent="0.25">
      <c r="A57" s="12" t="str">
        <f>A56</f>
        <v>ЩР-Д</v>
      </c>
      <c r="B57" s="13" t="s">
        <v>8</v>
      </c>
      <c r="C57" s="12"/>
      <c r="D57" s="14" t="s">
        <v>139</v>
      </c>
      <c r="E57" s="12" t="s">
        <v>140</v>
      </c>
      <c r="F57" s="13">
        <v>18500</v>
      </c>
      <c r="G57" s="15">
        <f>0.5*F57</f>
        <v>9250</v>
      </c>
      <c r="H57" s="15">
        <f>I57*G57</f>
        <v>9250</v>
      </c>
      <c r="I57" s="16">
        <v>1</v>
      </c>
      <c r="J57" s="17" t="s">
        <v>13</v>
      </c>
      <c r="K57" s="13" t="s">
        <v>16</v>
      </c>
    </row>
    <row r="58" spans="1:11" ht="23.25" customHeight="1" x14ac:dyDescent="0.25">
      <c r="A58" s="12" t="str">
        <f t="shared" ref="A58:A62" si="10">A57</f>
        <v>ЩР-Д</v>
      </c>
      <c r="B58" s="13" t="s">
        <v>12</v>
      </c>
      <c r="C58" s="12"/>
      <c r="D58" s="14" t="s">
        <v>44</v>
      </c>
      <c r="E58" s="12" t="s">
        <v>42</v>
      </c>
      <c r="F58" s="13">
        <v>2606</v>
      </c>
      <c r="G58" s="15">
        <f>F58*0.6</f>
        <v>1563.6</v>
      </c>
      <c r="H58" s="15">
        <f>G58*I58</f>
        <v>6254.4</v>
      </c>
      <c r="I58" s="16">
        <v>4</v>
      </c>
      <c r="J58" s="17" t="s">
        <v>13</v>
      </c>
      <c r="K58" s="13" t="s">
        <v>17</v>
      </c>
    </row>
    <row r="59" spans="1:11" ht="23.25" customHeight="1" x14ac:dyDescent="0.25">
      <c r="A59" s="12" t="str">
        <f t="shared" si="10"/>
        <v>ЩР-Д</v>
      </c>
      <c r="B59" s="13" t="s">
        <v>31</v>
      </c>
      <c r="C59" s="12"/>
      <c r="D59" s="14" t="s">
        <v>100</v>
      </c>
      <c r="E59" s="12" t="s">
        <v>101</v>
      </c>
      <c r="F59" s="13">
        <v>11813</v>
      </c>
      <c r="G59" s="15">
        <f>F59*0.6</f>
        <v>7087.8</v>
      </c>
      <c r="H59" s="15">
        <f t="shared" ref="H59:H61" si="11">G59*I59</f>
        <v>7087.8</v>
      </c>
      <c r="I59" s="16">
        <v>1</v>
      </c>
      <c r="J59" s="17" t="s">
        <v>37</v>
      </c>
      <c r="K59" s="13" t="s">
        <v>17</v>
      </c>
    </row>
    <row r="60" spans="1:11" ht="23.25" customHeight="1" x14ac:dyDescent="0.25">
      <c r="A60" s="12" t="str">
        <f t="shared" si="10"/>
        <v>ЩР-Д</v>
      </c>
      <c r="B60" s="12" t="s">
        <v>10</v>
      </c>
      <c r="C60" s="12"/>
      <c r="D60" s="18" t="s">
        <v>10</v>
      </c>
      <c r="E60" s="12" t="s">
        <v>10</v>
      </c>
      <c r="F60" s="12">
        <f ca="1">OFFSET(F60,1,2)</f>
        <v>9000</v>
      </c>
      <c r="G60" s="15">
        <f ca="1">F60</f>
        <v>9000</v>
      </c>
      <c r="H60" s="15">
        <f t="shared" ca="1" si="11"/>
        <v>9000</v>
      </c>
      <c r="I60" s="12">
        <v>1</v>
      </c>
      <c r="J60" s="12" t="s">
        <v>13</v>
      </c>
      <c r="K60" s="12" t="s">
        <v>10</v>
      </c>
    </row>
    <row r="61" spans="1:11" ht="23.25" customHeight="1" x14ac:dyDescent="0.25">
      <c r="A61" s="12" t="str">
        <f t="shared" si="10"/>
        <v>ЩР-Д</v>
      </c>
      <c r="B61" s="12" t="s">
        <v>11</v>
      </c>
      <c r="C61" s="12"/>
      <c r="D61" s="18" t="s">
        <v>11</v>
      </c>
      <c r="E61" s="12" t="s">
        <v>11</v>
      </c>
      <c r="F61" s="12">
        <v>1.5</v>
      </c>
      <c r="G61" s="15">
        <v>100</v>
      </c>
      <c r="H61" s="15">
        <f t="shared" si="11"/>
        <v>9000</v>
      </c>
      <c r="I61" s="12">
        <f>60*F61</f>
        <v>90</v>
      </c>
      <c r="J61" s="12" t="s">
        <v>13</v>
      </c>
      <c r="K61" s="12" t="s">
        <v>11</v>
      </c>
    </row>
    <row r="62" spans="1:11" ht="23.25" customHeight="1" x14ac:dyDescent="0.25">
      <c r="A62" s="12" t="str">
        <f t="shared" si="10"/>
        <v>ЩР-Д</v>
      </c>
      <c r="B62" s="19"/>
      <c r="C62" s="20"/>
      <c r="D62" s="20"/>
      <c r="E62" s="21"/>
      <c r="F62" s="23"/>
      <c r="G62" s="25"/>
      <c r="H62" s="24">
        <f ca="1">SUM(H57:H61)</f>
        <v>40592.199999999997</v>
      </c>
      <c r="I62" s="20"/>
      <c r="J62" s="22"/>
      <c r="K62" s="20"/>
    </row>
    <row r="63" spans="1:11" ht="23.25" customHeight="1" x14ac:dyDescent="0.25">
      <c r="A63" s="5" t="str">
        <f>E63</f>
        <v>ЩР-1.1 - ЩР-1.2</v>
      </c>
      <c r="B63" s="6"/>
      <c r="C63" s="5"/>
      <c r="D63" s="7"/>
      <c r="E63" s="6" t="s">
        <v>70</v>
      </c>
      <c r="F63" s="8"/>
      <c r="G63" s="8"/>
      <c r="H63" s="9">
        <f ca="1">I63*H71</f>
        <v>119573.6</v>
      </c>
      <c r="I63" s="10">
        <v>2</v>
      </c>
      <c r="J63" s="11" t="s">
        <v>7</v>
      </c>
      <c r="K63" s="6" t="s">
        <v>9</v>
      </c>
    </row>
    <row r="64" spans="1:11" ht="23.25" customHeight="1" x14ac:dyDescent="0.25">
      <c r="A64" s="12" t="str">
        <f>A63</f>
        <v>ЩР-1.1 - ЩР-1.2</v>
      </c>
      <c r="B64" s="13" t="s">
        <v>8</v>
      </c>
      <c r="C64" s="12"/>
      <c r="D64" s="14" t="s">
        <v>129</v>
      </c>
      <c r="E64" s="12" t="s">
        <v>130</v>
      </c>
      <c r="F64" s="13">
        <v>17000</v>
      </c>
      <c r="G64" s="15">
        <f>0.5*F64</f>
        <v>8500</v>
      </c>
      <c r="H64" s="15">
        <f>I64*G64</f>
        <v>8500</v>
      </c>
      <c r="I64" s="16">
        <v>1</v>
      </c>
      <c r="J64" s="17" t="s">
        <v>13</v>
      </c>
      <c r="K64" s="13" t="s">
        <v>16</v>
      </c>
    </row>
    <row r="65" spans="1:11" ht="23.25" customHeight="1" x14ac:dyDescent="0.25">
      <c r="A65" s="12" t="str">
        <f t="shared" ref="A65:A71" si="12">A64</f>
        <v>ЩР-1.1 - ЩР-1.2</v>
      </c>
      <c r="B65" s="13" t="s">
        <v>12</v>
      </c>
      <c r="C65" s="12"/>
      <c r="D65" s="14" t="s">
        <v>44</v>
      </c>
      <c r="E65" s="12" t="s">
        <v>42</v>
      </c>
      <c r="F65" s="13">
        <v>2606</v>
      </c>
      <c r="G65" s="15">
        <f>F65*0.6</f>
        <v>1563.6</v>
      </c>
      <c r="H65" s="15">
        <f>G65*I65</f>
        <v>1563.6</v>
      </c>
      <c r="I65" s="16">
        <v>1</v>
      </c>
      <c r="J65" s="17" t="s">
        <v>13</v>
      </c>
      <c r="K65" s="13" t="s">
        <v>17</v>
      </c>
    </row>
    <row r="66" spans="1:11" ht="23.25" customHeight="1" x14ac:dyDescent="0.25">
      <c r="A66" s="12" t="str">
        <f t="shared" si="12"/>
        <v>ЩР-1.1 - ЩР-1.2</v>
      </c>
      <c r="B66" s="13" t="s">
        <v>12</v>
      </c>
      <c r="C66" s="12"/>
      <c r="D66" s="14" t="s">
        <v>22</v>
      </c>
      <c r="E66" s="12" t="s">
        <v>23</v>
      </c>
      <c r="F66" s="13">
        <v>783</v>
      </c>
      <c r="G66" s="15">
        <f>F66*0.6</f>
        <v>469.79999999999995</v>
      </c>
      <c r="H66" s="15">
        <f>G66*I66</f>
        <v>939.59999999999991</v>
      </c>
      <c r="I66" s="16">
        <v>2</v>
      </c>
      <c r="J66" s="17" t="s">
        <v>13</v>
      </c>
      <c r="K66" s="13" t="s">
        <v>17</v>
      </c>
    </row>
    <row r="67" spans="1:11" ht="23.25" customHeight="1" x14ac:dyDescent="0.25">
      <c r="A67" s="12" t="str">
        <f t="shared" si="12"/>
        <v>ЩР-1.1 - ЩР-1.2</v>
      </c>
      <c r="B67" s="13" t="s">
        <v>52</v>
      </c>
      <c r="C67" s="12"/>
      <c r="D67" s="14" t="s">
        <v>117</v>
      </c>
      <c r="E67" s="12" t="s">
        <v>118</v>
      </c>
      <c r="F67" s="13">
        <v>5341</v>
      </c>
      <c r="G67" s="15">
        <f>F67*0.6</f>
        <v>3204.6</v>
      </c>
      <c r="H67" s="15">
        <f>G67*I67</f>
        <v>6409.2</v>
      </c>
      <c r="I67" s="16">
        <v>2</v>
      </c>
      <c r="J67" s="17" t="s">
        <v>13</v>
      </c>
      <c r="K67" s="13" t="s">
        <v>17</v>
      </c>
    </row>
    <row r="68" spans="1:11" ht="23.25" customHeight="1" x14ac:dyDescent="0.25">
      <c r="A68" s="12" t="str">
        <f t="shared" si="12"/>
        <v>ЩР-1.1 - ЩР-1.2</v>
      </c>
      <c r="B68" s="13" t="s">
        <v>31</v>
      </c>
      <c r="C68" s="12"/>
      <c r="D68" s="14" t="s">
        <v>121</v>
      </c>
      <c r="E68" s="12" t="s">
        <v>122</v>
      </c>
      <c r="F68" s="13">
        <v>5104</v>
      </c>
      <c r="G68" s="15">
        <f>F68*0.6</f>
        <v>3062.4</v>
      </c>
      <c r="H68" s="15">
        <f t="shared" ref="H68:H70" si="13">G68*I68</f>
        <v>18374.400000000001</v>
      </c>
      <c r="I68" s="16">
        <v>6</v>
      </c>
      <c r="J68" s="17" t="s">
        <v>37</v>
      </c>
      <c r="K68" s="13" t="s">
        <v>17</v>
      </c>
    </row>
    <row r="69" spans="1:11" ht="23.25" customHeight="1" x14ac:dyDescent="0.25">
      <c r="A69" s="12" t="str">
        <f t="shared" si="12"/>
        <v>ЩР-1.1 - ЩР-1.2</v>
      </c>
      <c r="B69" s="12" t="s">
        <v>10</v>
      </c>
      <c r="C69" s="12"/>
      <c r="D69" s="18" t="s">
        <v>10</v>
      </c>
      <c r="E69" s="12" t="s">
        <v>10</v>
      </c>
      <c r="F69" s="12">
        <f ca="1">OFFSET(F69,1,2)</f>
        <v>12000</v>
      </c>
      <c r="G69" s="15">
        <f ca="1">F69</f>
        <v>12000</v>
      </c>
      <c r="H69" s="15">
        <f t="shared" ca="1" si="13"/>
        <v>12000</v>
      </c>
      <c r="I69" s="12">
        <v>1</v>
      </c>
      <c r="J69" s="12" t="s">
        <v>13</v>
      </c>
      <c r="K69" s="12" t="s">
        <v>10</v>
      </c>
    </row>
    <row r="70" spans="1:11" ht="23.25" customHeight="1" x14ac:dyDescent="0.25">
      <c r="A70" s="12" t="str">
        <f t="shared" si="12"/>
        <v>ЩР-1.1 - ЩР-1.2</v>
      </c>
      <c r="B70" s="12" t="s">
        <v>11</v>
      </c>
      <c r="C70" s="12"/>
      <c r="D70" s="18" t="s">
        <v>11</v>
      </c>
      <c r="E70" s="12" t="s">
        <v>11</v>
      </c>
      <c r="F70" s="12">
        <v>2</v>
      </c>
      <c r="G70" s="15">
        <v>100</v>
      </c>
      <c r="H70" s="15">
        <f t="shared" si="13"/>
        <v>12000</v>
      </c>
      <c r="I70" s="12">
        <f>60*F70</f>
        <v>120</v>
      </c>
      <c r="J70" s="12" t="s">
        <v>13</v>
      </c>
      <c r="K70" s="12" t="s">
        <v>11</v>
      </c>
    </row>
    <row r="71" spans="1:11" ht="23.25" customHeight="1" x14ac:dyDescent="0.25">
      <c r="A71" s="12" t="str">
        <f t="shared" si="12"/>
        <v>ЩР-1.1 - ЩР-1.2</v>
      </c>
      <c r="B71" s="19"/>
      <c r="C71" s="20"/>
      <c r="D71" s="20"/>
      <c r="E71" s="21"/>
      <c r="F71" s="23"/>
      <c r="G71" s="25"/>
      <c r="H71" s="24">
        <f ca="1">SUM(H64:H70)</f>
        <v>59786.8</v>
      </c>
      <c r="I71" s="20"/>
      <c r="J71" s="22"/>
      <c r="K71" s="20"/>
    </row>
    <row r="72" spans="1:11" ht="23.25" customHeight="1" x14ac:dyDescent="0.25">
      <c r="A72" s="5" t="str">
        <f>E72</f>
        <v>ЩР-М</v>
      </c>
      <c r="B72" s="6"/>
      <c r="C72" s="5"/>
      <c r="D72" s="7"/>
      <c r="E72" s="6" t="s">
        <v>71</v>
      </c>
      <c r="F72" s="8"/>
      <c r="G72" s="8"/>
      <c r="H72" s="9">
        <f ca="1">I72*H82</f>
        <v>79764</v>
      </c>
      <c r="I72" s="10">
        <v>1</v>
      </c>
      <c r="J72" s="11" t="s">
        <v>7</v>
      </c>
      <c r="K72" s="6" t="s">
        <v>9</v>
      </c>
    </row>
    <row r="73" spans="1:11" ht="23.25" customHeight="1" x14ac:dyDescent="0.25">
      <c r="A73" s="12" t="str">
        <f>A72</f>
        <v>ЩР-М</v>
      </c>
      <c r="B73" s="13" t="s">
        <v>8</v>
      </c>
      <c r="C73" s="12"/>
      <c r="D73" s="14" t="s">
        <v>131</v>
      </c>
      <c r="E73" s="12" t="s">
        <v>132</v>
      </c>
      <c r="F73" s="13">
        <v>29490</v>
      </c>
      <c r="G73" s="15">
        <f>0.5*F73</f>
        <v>14745</v>
      </c>
      <c r="H73" s="15">
        <f>I73*G73</f>
        <v>14745</v>
      </c>
      <c r="I73" s="16">
        <v>1</v>
      </c>
      <c r="J73" s="17" t="s">
        <v>13</v>
      </c>
      <c r="K73" s="13" t="s">
        <v>16</v>
      </c>
    </row>
    <row r="74" spans="1:11" ht="23.25" customHeight="1" x14ac:dyDescent="0.25">
      <c r="A74" s="12" t="str">
        <f t="shared" ref="A74:A82" si="14">A73</f>
        <v>ЩР-М</v>
      </c>
      <c r="B74" s="13" t="s">
        <v>12</v>
      </c>
      <c r="C74" s="12"/>
      <c r="D74" s="14" t="s">
        <v>44</v>
      </c>
      <c r="E74" s="12" t="s">
        <v>42</v>
      </c>
      <c r="F74" s="13">
        <v>2606</v>
      </c>
      <c r="G74" s="15">
        <f>F74*0.6</f>
        <v>1563.6</v>
      </c>
      <c r="H74" s="15">
        <f>G74*I74</f>
        <v>1563.6</v>
      </c>
      <c r="I74" s="16">
        <v>1</v>
      </c>
      <c r="J74" s="17" t="s">
        <v>13</v>
      </c>
      <c r="K74" s="13" t="s">
        <v>17</v>
      </c>
    </row>
    <row r="75" spans="1:11" ht="23.25" customHeight="1" x14ac:dyDescent="0.25">
      <c r="A75" s="12" t="str">
        <f t="shared" si="14"/>
        <v>ЩР-М</v>
      </c>
      <c r="B75" s="13" t="s">
        <v>12</v>
      </c>
      <c r="C75" s="12"/>
      <c r="D75" s="14" t="s">
        <v>22</v>
      </c>
      <c r="E75" s="12" t="s">
        <v>23</v>
      </c>
      <c r="F75" s="13">
        <v>783</v>
      </c>
      <c r="G75" s="15">
        <f>F75*0.6</f>
        <v>469.79999999999995</v>
      </c>
      <c r="H75" s="15">
        <f>G75*I75</f>
        <v>939.59999999999991</v>
      </c>
      <c r="I75" s="16">
        <v>2</v>
      </c>
      <c r="J75" s="17" t="s">
        <v>13</v>
      </c>
      <c r="K75" s="13" t="s">
        <v>17</v>
      </c>
    </row>
    <row r="76" spans="1:11" ht="23.25" customHeight="1" x14ac:dyDescent="0.25">
      <c r="A76" s="12" t="str">
        <f t="shared" si="14"/>
        <v>ЩР-М</v>
      </c>
      <c r="B76" s="13" t="s">
        <v>52</v>
      </c>
      <c r="C76" s="12"/>
      <c r="D76" s="14" t="s">
        <v>117</v>
      </c>
      <c r="E76" s="12" t="s">
        <v>118</v>
      </c>
      <c r="F76" s="13">
        <v>5341</v>
      </c>
      <c r="G76" s="15">
        <f>F76*0.6</f>
        <v>3204.6</v>
      </c>
      <c r="H76" s="15">
        <f>G76*I76</f>
        <v>3204.6</v>
      </c>
      <c r="I76" s="16">
        <v>1</v>
      </c>
      <c r="J76" s="17" t="s">
        <v>13</v>
      </c>
      <c r="K76" s="13" t="s">
        <v>17</v>
      </c>
    </row>
    <row r="77" spans="1:11" ht="23.25" customHeight="1" x14ac:dyDescent="0.25">
      <c r="A77" s="12" t="str">
        <f t="shared" si="14"/>
        <v>ЩР-М</v>
      </c>
      <c r="B77" s="13" t="s">
        <v>52</v>
      </c>
      <c r="C77" s="12"/>
      <c r="D77" s="14" t="s">
        <v>119</v>
      </c>
      <c r="E77" s="12" t="s">
        <v>120</v>
      </c>
      <c r="F77" s="13">
        <v>9149</v>
      </c>
      <c r="G77" s="15">
        <f>F77*0.6</f>
        <v>5489.4</v>
      </c>
      <c r="H77" s="15">
        <f>G77*I77</f>
        <v>10978.8</v>
      </c>
      <c r="I77" s="16">
        <v>2</v>
      </c>
      <c r="J77" s="17" t="s">
        <v>13</v>
      </c>
      <c r="K77" s="13" t="s">
        <v>17</v>
      </c>
    </row>
    <row r="78" spans="1:11" ht="23.25" customHeight="1" x14ac:dyDescent="0.25">
      <c r="A78" s="12" t="str">
        <f>A76</f>
        <v>ЩР-М</v>
      </c>
      <c r="B78" s="13" t="s">
        <v>31</v>
      </c>
      <c r="C78" s="12"/>
      <c r="D78" s="14" t="s">
        <v>123</v>
      </c>
      <c r="E78" s="12" t="s">
        <v>124</v>
      </c>
      <c r="F78" s="13">
        <v>5069</v>
      </c>
      <c r="G78" s="15">
        <f>F78*0.6</f>
        <v>3041.4</v>
      </c>
      <c r="H78" s="15">
        <f t="shared" ref="H78:H81" si="15">G78*I78</f>
        <v>6082.8</v>
      </c>
      <c r="I78" s="16">
        <v>2</v>
      </c>
      <c r="J78" s="17" t="s">
        <v>37</v>
      </c>
      <c r="K78" s="13" t="s">
        <v>17</v>
      </c>
    </row>
    <row r="79" spans="1:11" ht="23.25" customHeight="1" x14ac:dyDescent="0.25">
      <c r="A79" s="12" t="str">
        <f>A77</f>
        <v>ЩР-М</v>
      </c>
      <c r="B79" s="13" t="s">
        <v>31</v>
      </c>
      <c r="C79" s="12"/>
      <c r="D79" s="14" t="s">
        <v>121</v>
      </c>
      <c r="E79" s="12" t="s">
        <v>122</v>
      </c>
      <c r="F79" s="13">
        <v>5104</v>
      </c>
      <c r="G79" s="15">
        <f>F79*0.6</f>
        <v>3062.4</v>
      </c>
      <c r="H79" s="15">
        <f t="shared" si="15"/>
        <v>12249.6</v>
      </c>
      <c r="I79" s="16">
        <v>4</v>
      </c>
      <c r="J79" s="17" t="s">
        <v>37</v>
      </c>
      <c r="K79" s="13" t="s">
        <v>17</v>
      </c>
    </row>
    <row r="80" spans="1:11" ht="23.25" customHeight="1" x14ac:dyDescent="0.25">
      <c r="A80" s="12" t="str">
        <f t="shared" si="14"/>
        <v>ЩР-М</v>
      </c>
      <c r="B80" s="12" t="s">
        <v>10</v>
      </c>
      <c r="C80" s="12"/>
      <c r="D80" s="18" t="s">
        <v>10</v>
      </c>
      <c r="E80" s="12" t="s">
        <v>10</v>
      </c>
      <c r="F80" s="12">
        <f ca="1">OFFSET(F80,1,2)</f>
        <v>15000</v>
      </c>
      <c r="G80" s="15">
        <f ca="1">F80</f>
        <v>15000</v>
      </c>
      <c r="H80" s="15">
        <f t="shared" ca="1" si="15"/>
        <v>15000</v>
      </c>
      <c r="I80" s="12">
        <v>1</v>
      </c>
      <c r="J80" s="12" t="s">
        <v>13</v>
      </c>
      <c r="K80" s="12" t="s">
        <v>10</v>
      </c>
    </row>
    <row r="81" spans="1:11" ht="23.25" customHeight="1" x14ac:dyDescent="0.25">
      <c r="A81" s="12" t="str">
        <f t="shared" si="14"/>
        <v>ЩР-М</v>
      </c>
      <c r="B81" s="12" t="s">
        <v>11</v>
      </c>
      <c r="C81" s="12"/>
      <c r="D81" s="18" t="s">
        <v>11</v>
      </c>
      <c r="E81" s="12" t="s">
        <v>11</v>
      </c>
      <c r="F81" s="12">
        <v>2.5</v>
      </c>
      <c r="G81" s="15">
        <v>100</v>
      </c>
      <c r="H81" s="15">
        <f t="shared" si="15"/>
        <v>15000</v>
      </c>
      <c r="I81" s="12">
        <f>60*F81</f>
        <v>150</v>
      </c>
      <c r="J81" s="12" t="s">
        <v>13</v>
      </c>
      <c r="K81" s="12" t="s">
        <v>11</v>
      </c>
    </row>
    <row r="82" spans="1:11" ht="23.25" customHeight="1" x14ac:dyDescent="0.25">
      <c r="A82" s="12" t="str">
        <f t="shared" si="14"/>
        <v>ЩР-М</v>
      </c>
      <c r="B82" s="19"/>
      <c r="C82" s="20"/>
      <c r="D82" s="20"/>
      <c r="E82" s="21"/>
      <c r="F82" s="23"/>
      <c r="G82" s="25"/>
      <c r="H82" s="24">
        <f ca="1">SUM(H73:H81)</f>
        <v>79764</v>
      </c>
      <c r="I82" s="20"/>
      <c r="J82" s="22"/>
      <c r="K82" s="20"/>
    </row>
    <row r="83" spans="1:11" ht="23.25" customHeight="1" x14ac:dyDescent="0.25">
      <c r="A83" s="5" t="str">
        <f>E83</f>
        <v>ЩР-С</v>
      </c>
      <c r="B83" s="6"/>
      <c r="C83" s="5"/>
      <c r="D83" s="7"/>
      <c r="E83" s="6" t="s">
        <v>103</v>
      </c>
      <c r="F83" s="8"/>
      <c r="G83" s="8"/>
      <c r="H83" s="9">
        <f ca="1">I83*H93</f>
        <v>95046.399999999994</v>
      </c>
      <c r="I83" s="10">
        <v>1</v>
      </c>
      <c r="J83" s="11" t="s">
        <v>7</v>
      </c>
      <c r="K83" s="6" t="s">
        <v>9</v>
      </c>
    </row>
    <row r="84" spans="1:11" ht="23.25" customHeight="1" x14ac:dyDescent="0.25">
      <c r="A84" s="12" t="str">
        <f>A83</f>
        <v>ЩР-С</v>
      </c>
      <c r="B84" s="13" t="s">
        <v>8</v>
      </c>
      <c r="C84" s="12"/>
      <c r="D84" s="14" t="s">
        <v>131</v>
      </c>
      <c r="E84" s="12" t="s">
        <v>132</v>
      </c>
      <c r="F84" s="13">
        <v>29490</v>
      </c>
      <c r="G84" s="15">
        <f>0.5*F84</f>
        <v>14745</v>
      </c>
      <c r="H84" s="15">
        <f>I84*G84</f>
        <v>14745</v>
      </c>
      <c r="I84" s="16">
        <v>1</v>
      </c>
      <c r="J84" s="17" t="s">
        <v>13</v>
      </c>
      <c r="K84" s="13" t="s">
        <v>16</v>
      </c>
    </row>
    <row r="85" spans="1:11" ht="23.25" customHeight="1" x14ac:dyDescent="0.25">
      <c r="A85" s="12" t="str">
        <f t="shared" ref="A85:A93" si="16">A84</f>
        <v>ЩР-С</v>
      </c>
      <c r="B85" s="13" t="s">
        <v>12</v>
      </c>
      <c r="C85" s="12"/>
      <c r="D85" s="14" t="s">
        <v>28</v>
      </c>
      <c r="E85" s="12" t="s">
        <v>29</v>
      </c>
      <c r="F85" s="13">
        <v>3641</v>
      </c>
      <c r="G85" s="15">
        <f>F85*0.6</f>
        <v>2184.6</v>
      </c>
      <c r="H85" s="15">
        <f>G85*I85</f>
        <v>2184.6</v>
      </c>
      <c r="I85" s="16">
        <v>1</v>
      </c>
      <c r="J85" s="17" t="s">
        <v>13</v>
      </c>
      <c r="K85" s="13" t="s">
        <v>17</v>
      </c>
    </row>
    <row r="86" spans="1:11" ht="23.25" customHeight="1" x14ac:dyDescent="0.25">
      <c r="A86" s="12" t="str">
        <f t="shared" si="16"/>
        <v>ЩР-С</v>
      </c>
      <c r="B86" s="13" t="s">
        <v>12</v>
      </c>
      <c r="C86" s="12"/>
      <c r="D86" s="14" t="s">
        <v>22</v>
      </c>
      <c r="E86" s="12" t="s">
        <v>23</v>
      </c>
      <c r="F86" s="13">
        <v>783</v>
      </c>
      <c r="G86" s="15">
        <f>F86*0.6</f>
        <v>469.79999999999995</v>
      </c>
      <c r="H86" s="15">
        <f>G86*I86</f>
        <v>939.59999999999991</v>
      </c>
      <c r="I86" s="16">
        <v>2</v>
      </c>
      <c r="J86" s="17" t="s">
        <v>13</v>
      </c>
      <c r="K86" s="13" t="s">
        <v>17</v>
      </c>
    </row>
    <row r="87" spans="1:11" ht="23.25" customHeight="1" x14ac:dyDescent="0.25">
      <c r="A87" s="12" t="str">
        <f t="shared" si="16"/>
        <v>ЩР-С</v>
      </c>
      <c r="B87" s="13" t="s">
        <v>31</v>
      </c>
      <c r="C87" s="12"/>
      <c r="D87" s="14" t="s">
        <v>127</v>
      </c>
      <c r="E87" s="12" t="s">
        <v>128</v>
      </c>
      <c r="F87" s="13">
        <v>8889</v>
      </c>
      <c r="G87" s="15">
        <f>F87*0.6</f>
        <v>5333.4</v>
      </c>
      <c r="H87" s="15">
        <f>G87*I87</f>
        <v>10666.8</v>
      </c>
      <c r="I87" s="16">
        <v>2</v>
      </c>
      <c r="J87" s="17" t="s">
        <v>13</v>
      </c>
      <c r="K87" s="13" t="s">
        <v>17</v>
      </c>
    </row>
    <row r="88" spans="1:11" ht="23.25" customHeight="1" x14ac:dyDescent="0.25">
      <c r="A88" s="12" t="str">
        <f t="shared" si="16"/>
        <v>ЩР-С</v>
      </c>
      <c r="B88" s="13" t="s">
        <v>31</v>
      </c>
      <c r="C88" s="12"/>
      <c r="D88" s="14" t="s">
        <v>125</v>
      </c>
      <c r="E88" s="12" t="s">
        <v>126</v>
      </c>
      <c r="F88" s="13">
        <v>8352</v>
      </c>
      <c r="G88" s="15">
        <f>F88*0.6</f>
        <v>5011.2</v>
      </c>
      <c r="H88" s="15">
        <f t="shared" ref="H88:H92" si="17">G88*I88</f>
        <v>5011.2</v>
      </c>
      <c r="I88" s="16">
        <v>1</v>
      </c>
      <c r="J88" s="17" t="s">
        <v>37</v>
      </c>
      <c r="K88" s="13" t="s">
        <v>17</v>
      </c>
    </row>
    <row r="89" spans="1:11" ht="23.25" customHeight="1" x14ac:dyDescent="0.25">
      <c r="A89" s="12" t="str">
        <f t="shared" si="16"/>
        <v>ЩР-С</v>
      </c>
      <c r="B89" s="13" t="s">
        <v>31</v>
      </c>
      <c r="C89" s="12"/>
      <c r="D89" s="14" t="s">
        <v>121</v>
      </c>
      <c r="E89" s="12" t="s">
        <v>122</v>
      </c>
      <c r="F89" s="13">
        <v>5104</v>
      </c>
      <c r="G89" s="15">
        <f>F89*0.6</f>
        <v>3062.4</v>
      </c>
      <c r="H89" s="15">
        <f t="shared" si="17"/>
        <v>24499.200000000001</v>
      </c>
      <c r="I89" s="16">
        <v>8</v>
      </c>
      <c r="J89" s="17" t="s">
        <v>37</v>
      </c>
      <c r="K89" s="13" t="s">
        <v>17</v>
      </c>
    </row>
    <row r="90" spans="1:11" ht="23.25" customHeight="1" x14ac:dyDescent="0.25">
      <c r="A90" s="12" t="str">
        <f t="shared" si="16"/>
        <v>ЩР-С</v>
      </c>
      <c r="B90" s="13" t="s">
        <v>19</v>
      </c>
      <c r="C90" s="12"/>
      <c r="D90" s="14"/>
      <c r="E90" s="12" t="s">
        <v>109</v>
      </c>
      <c r="F90" s="13">
        <v>7000</v>
      </c>
      <c r="G90" s="15">
        <f>F90</f>
        <v>7000</v>
      </c>
      <c r="H90" s="15">
        <f t="shared" si="17"/>
        <v>7000</v>
      </c>
      <c r="I90" s="16">
        <v>1</v>
      </c>
      <c r="J90" s="17" t="s">
        <v>37</v>
      </c>
      <c r="K90" s="13" t="s">
        <v>38</v>
      </c>
    </row>
    <row r="91" spans="1:11" ht="23.25" customHeight="1" x14ac:dyDescent="0.25">
      <c r="A91" s="12" t="str">
        <f>A89</f>
        <v>ЩР-С</v>
      </c>
      <c r="B91" s="12" t="s">
        <v>10</v>
      </c>
      <c r="C91" s="12"/>
      <c r="D91" s="18" t="s">
        <v>10</v>
      </c>
      <c r="E91" s="12" t="s">
        <v>10</v>
      </c>
      <c r="F91" s="12">
        <f ca="1">OFFSET(F91,1,2)</f>
        <v>15000</v>
      </c>
      <c r="G91" s="15">
        <f ca="1">F91</f>
        <v>15000</v>
      </c>
      <c r="H91" s="15">
        <f t="shared" ca="1" si="17"/>
        <v>15000</v>
      </c>
      <c r="I91" s="12">
        <v>1</v>
      </c>
      <c r="J91" s="12" t="s">
        <v>13</v>
      </c>
      <c r="K91" s="12" t="s">
        <v>10</v>
      </c>
    </row>
    <row r="92" spans="1:11" ht="23.25" customHeight="1" x14ac:dyDescent="0.25">
      <c r="A92" s="12" t="str">
        <f t="shared" si="16"/>
        <v>ЩР-С</v>
      </c>
      <c r="B92" s="12" t="s">
        <v>11</v>
      </c>
      <c r="C92" s="12"/>
      <c r="D92" s="18" t="s">
        <v>11</v>
      </c>
      <c r="E92" s="12" t="s">
        <v>11</v>
      </c>
      <c r="F92" s="12">
        <v>2.5</v>
      </c>
      <c r="G92" s="15">
        <v>100</v>
      </c>
      <c r="H92" s="15">
        <f t="shared" si="17"/>
        <v>15000</v>
      </c>
      <c r="I92" s="12">
        <f>60*F92</f>
        <v>150</v>
      </c>
      <c r="J92" s="12" t="s">
        <v>13</v>
      </c>
      <c r="K92" s="12" t="s">
        <v>11</v>
      </c>
    </row>
    <row r="93" spans="1:11" ht="23.25" customHeight="1" x14ac:dyDescent="0.25">
      <c r="A93" s="12" t="str">
        <f t="shared" si="16"/>
        <v>ЩР-С</v>
      </c>
      <c r="B93" s="19"/>
      <c r="C93" s="20"/>
      <c r="D93" s="20"/>
      <c r="E93" s="21"/>
      <c r="F93" s="23"/>
      <c r="G93" s="25"/>
      <c r="H93" s="24">
        <f ca="1">SUM(H84:H92)</f>
        <v>95046.399999999994</v>
      </c>
      <c r="I93" s="20"/>
      <c r="J93" s="22"/>
      <c r="K93" s="20"/>
    </row>
    <row r="94" spans="1:11" ht="23.25" customHeight="1" x14ac:dyDescent="0.25">
      <c r="A94" s="5" t="str">
        <f>E94</f>
        <v>ЩР-В</v>
      </c>
      <c r="B94" s="6"/>
      <c r="C94" s="5"/>
      <c r="D94" s="7"/>
      <c r="E94" s="6" t="s">
        <v>110</v>
      </c>
      <c r="F94" s="8"/>
      <c r="G94" s="8"/>
      <c r="H94" s="9">
        <f ca="1">I94*H102</f>
        <v>47072.2</v>
      </c>
      <c r="I94" s="10">
        <v>1</v>
      </c>
      <c r="J94" s="11" t="s">
        <v>7</v>
      </c>
      <c r="K94" s="6" t="s">
        <v>9</v>
      </c>
    </row>
    <row r="95" spans="1:11" ht="23.25" customHeight="1" x14ac:dyDescent="0.25">
      <c r="A95" s="12" t="str">
        <f>A94</f>
        <v>ЩР-В</v>
      </c>
      <c r="B95" s="13" t="s">
        <v>8</v>
      </c>
      <c r="C95" s="12"/>
      <c r="D95" s="14" t="s">
        <v>129</v>
      </c>
      <c r="E95" s="12" t="s">
        <v>130</v>
      </c>
      <c r="F95" s="13">
        <v>17000</v>
      </c>
      <c r="G95" s="15">
        <f>0.5*F95</f>
        <v>8500</v>
      </c>
      <c r="H95" s="15">
        <f>I95*G95</f>
        <v>8500</v>
      </c>
      <c r="I95" s="16">
        <v>1</v>
      </c>
      <c r="J95" s="17" t="s">
        <v>13</v>
      </c>
      <c r="K95" s="13" t="s">
        <v>16</v>
      </c>
    </row>
    <row r="96" spans="1:11" ht="23.25" customHeight="1" x14ac:dyDescent="0.25">
      <c r="A96" s="12" t="str">
        <f t="shared" ref="A96:A102" si="18">A95</f>
        <v>ЩР-В</v>
      </c>
      <c r="B96" s="13" t="s">
        <v>12</v>
      </c>
      <c r="C96" s="12"/>
      <c r="D96" s="14" t="s">
        <v>44</v>
      </c>
      <c r="E96" s="12" t="s">
        <v>42</v>
      </c>
      <c r="F96" s="13">
        <v>2606</v>
      </c>
      <c r="G96" s="15">
        <f>F96*0.6</f>
        <v>1563.6</v>
      </c>
      <c r="H96" s="15">
        <f>G96*I96</f>
        <v>1563.6</v>
      </c>
      <c r="I96" s="16">
        <v>1</v>
      </c>
      <c r="J96" s="17" t="s">
        <v>13</v>
      </c>
      <c r="K96" s="13" t="s">
        <v>17</v>
      </c>
    </row>
    <row r="97" spans="1:11" ht="23.25" customHeight="1" x14ac:dyDescent="0.25">
      <c r="A97" s="12" t="str">
        <f t="shared" si="18"/>
        <v>ЩР-В</v>
      </c>
      <c r="B97" s="13" t="s">
        <v>12</v>
      </c>
      <c r="C97" s="12"/>
      <c r="D97" s="14" t="s">
        <v>22</v>
      </c>
      <c r="E97" s="12" t="s">
        <v>23</v>
      </c>
      <c r="F97" s="13">
        <v>783</v>
      </c>
      <c r="G97" s="15">
        <f>F97*0.6</f>
        <v>469.79999999999995</v>
      </c>
      <c r="H97" s="15">
        <f>G97*I97</f>
        <v>469.79999999999995</v>
      </c>
      <c r="I97" s="16">
        <v>1</v>
      </c>
      <c r="J97" s="17" t="s">
        <v>13</v>
      </c>
      <c r="K97" s="13" t="s">
        <v>17</v>
      </c>
    </row>
    <row r="98" spans="1:11" ht="23.25" customHeight="1" x14ac:dyDescent="0.25">
      <c r="A98" s="12" t="str">
        <f t="shared" si="18"/>
        <v>ЩР-В</v>
      </c>
      <c r="B98" s="13" t="s">
        <v>12</v>
      </c>
      <c r="C98" s="12"/>
      <c r="D98" s="14" t="s">
        <v>24</v>
      </c>
      <c r="E98" s="12" t="s">
        <v>25</v>
      </c>
      <c r="F98" s="13">
        <v>975</v>
      </c>
      <c r="G98" s="15">
        <f>F98*0.6</f>
        <v>585</v>
      </c>
      <c r="H98" s="15">
        <f t="shared" ref="H98:H101" si="19">G98*I98</f>
        <v>2925</v>
      </c>
      <c r="I98" s="16">
        <v>5</v>
      </c>
      <c r="J98" s="17" t="s">
        <v>37</v>
      </c>
      <c r="K98" s="13" t="s">
        <v>17</v>
      </c>
    </row>
    <row r="99" spans="1:11" ht="23.25" customHeight="1" x14ac:dyDescent="0.25">
      <c r="A99" s="12" t="str">
        <f t="shared" si="18"/>
        <v>ЩР-В</v>
      </c>
      <c r="B99" s="13" t="s">
        <v>52</v>
      </c>
      <c r="C99" s="12"/>
      <c r="D99" s="14" t="s">
        <v>117</v>
      </c>
      <c r="E99" s="12" t="s">
        <v>118</v>
      </c>
      <c r="F99" s="13">
        <v>5341</v>
      </c>
      <c r="G99" s="15">
        <f>F99*0.6</f>
        <v>3204.6</v>
      </c>
      <c r="H99" s="15">
        <f>G99*I99</f>
        <v>9613.7999999999993</v>
      </c>
      <c r="I99" s="16">
        <v>3</v>
      </c>
      <c r="J99" s="17" t="s">
        <v>13</v>
      </c>
      <c r="K99" s="13" t="s">
        <v>17</v>
      </c>
    </row>
    <row r="100" spans="1:11" ht="23.25" customHeight="1" x14ac:dyDescent="0.25">
      <c r="A100" s="12" t="str">
        <f t="shared" si="18"/>
        <v>ЩР-В</v>
      </c>
      <c r="B100" s="12" t="s">
        <v>10</v>
      </c>
      <c r="C100" s="12"/>
      <c r="D100" s="18" t="s">
        <v>10</v>
      </c>
      <c r="E100" s="12" t="s">
        <v>10</v>
      </c>
      <c r="F100" s="12">
        <f ca="1">OFFSET(F100,1,2)</f>
        <v>12000</v>
      </c>
      <c r="G100" s="15">
        <f ca="1">F100</f>
        <v>12000</v>
      </c>
      <c r="H100" s="15">
        <f t="shared" ca="1" si="19"/>
        <v>12000</v>
      </c>
      <c r="I100" s="12">
        <v>1</v>
      </c>
      <c r="J100" s="12" t="s">
        <v>13</v>
      </c>
      <c r="K100" s="12" t="s">
        <v>10</v>
      </c>
    </row>
    <row r="101" spans="1:11" ht="23.25" customHeight="1" x14ac:dyDescent="0.25">
      <c r="A101" s="12" t="str">
        <f t="shared" si="18"/>
        <v>ЩР-В</v>
      </c>
      <c r="B101" s="12" t="s">
        <v>11</v>
      </c>
      <c r="C101" s="12"/>
      <c r="D101" s="18" t="s">
        <v>11</v>
      </c>
      <c r="E101" s="12" t="s">
        <v>11</v>
      </c>
      <c r="F101" s="12">
        <v>2</v>
      </c>
      <c r="G101" s="15">
        <v>100</v>
      </c>
      <c r="H101" s="15">
        <f t="shared" si="19"/>
        <v>12000</v>
      </c>
      <c r="I101" s="12">
        <f>60*F101</f>
        <v>120</v>
      </c>
      <c r="J101" s="12" t="s">
        <v>13</v>
      </c>
      <c r="K101" s="12" t="s">
        <v>11</v>
      </c>
    </row>
    <row r="102" spans="1:11" ht="23.25" customHeight="1" x14ac:dyDescent="0.25">
      <c r="A102" s="12" t="str">
        <f t="shared" si="18"/>
        <v>ЩР-В</v>
      </c>
      <c r="B102" s="19"/>
      <c r="C102" s="20"/>
      <c r="D102" s="20"/>
      <c r="E102" s="21"/>
      <c r="F102" s="23"/>
      <c r="G102" s="25"/>
      <c r="H102" s="24">
        <f ca="1">SUM(H95:H101)</f>
        <v>47072.2</v>
      </c>
      <c r="I102" s="20"/>
      <c r="J102" s="22"/>
      <c r="K102" s="20"/>
    </row>
    <row r="103" spans="1:11" ht="23.25" customHeight="1" x14ac:dyDescent="0.25">
      <c r="F103" s="12"/>
    </row>
  </sheetData>
  <autoFilter ref="A1:K102" xr:uid="{409F9CCF-204D-439F-B74A-2FF6727BF3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FAEF-3181-40FA-BA98-ABD813E8A700}">
  <dimension ref="A1:K7"/>
  <sheetViews>
    <sheetView workbookViewId="0">
      <selection sqref="A1:XFD7"/>
    </sheetView>
  </sheetViews>
  <sheetFormatPr defaultRowHeight="15" x14ac:dyDescent="0.25"/>
  <sheetData>
    <row r="1" spans="1:11" ht="23.25" customHeight="1" x14ac:dyDescent="0.25">
      <c r="A1" s="5" t="str">
        <f>E1</f>
        <v>ШНО</v>
      </c>
      <c r="B1" s="6"/>
      <c r="C1" s="5"/>
      <c r="D1" s="7"/>
      <c r="E1" s="6" t="s">
        <v>56</v>
      </c>
      <c r="F1" s="8"/>
      <c r="G1" s="8"/>
      <c r="H1" s="8">
        <f ca="1">I1*H7</f>
        <v>23403</v>
      </c>
      <c r="I1" s="10">
        <v>1</v>
      </c>
      <c r="J1" s="11" t="s">
        <v>7</v>
      </c>
      <c r="K1" s="6" t="s">
        <v>9</v>
      </c>
    </row>
    <row r="2" spans="1:11" ht="23.25" customHeight="1" x14ac:dyDescent="0.25">
      <c r="A2" s="12" t="str">
        <f>E1</f>
        <v>ШНО</v>
      </c>
      <c r="B2" s="13" t="s">
        <v>8</v>
      </c>
      <c r="C2" s="12"/>
      <c r="D2" s="14"/>
      <c r="E2" s="12"/>
      <c r="F2" s="13"/>
      <c r="G2" s="15">
        <f>F2*0.6</f>
        <v>0</v>
      </c>
      <c r="H2" s="15">
        <f>G2*I2</f>
        <v>0</v>
      </c>
      <c r="I2" s="16"/>
      <c r="J2" s="17" t="s">
        <v>37</v>
      </c>
      <c r="K2" s="13" t="s">
        <v>16</v>
      </c>
    </row>
    <row r="3" spans="1:11" ht="23.25" customHeight="1" x14ac:dyDescent="0.25">
      <c r="A3" s="12" t="str">
        <f>E1</f>
        <v>ШНО</v>
      </c>
      <c r="B3" s="13" t="s">
        <v>12</v>
      </c>
      <c r="C3" s="12"/>
      <c r="D3" s="14" t="s">
        <v>57</v>
      </c>
      <c r="E3" s="12" t="s">
        <v>58</v>
      </c>
      <c r="F3" s="13">
        <v>3401</v>
      </c>
      <c r="G3" s="15">
        <f>F3*0.6</f>
        <v>2040.6</v>
      </c>
      <c r="H3" s="15">
        <f>G3*I3</f>
        <v>2040.6</v>
      </c>
      <c r="I3" s="16">
        <v>1</v>
      </c>
      <c r="J3" s="17" t="s">
        <v>37</v>
      </c>
      <c r="K3" s="13" t="s">
        <v>17</v>
      </c>
    </row>
    <row r="4" spans="1:11" ht="23.25" customHeight="1" x14ac:dyDescent="0.25">
      <c r="A4" s="12" t="str">
        <f>E1</f>
        <v>ШНО</v>
      </c>
      <c r="B4" s="13" t="s">
        <v>31</v>
      </c>
      <c r="C4" s="12"/>
      <c r="D4" s="14" t="s">
        <v>59</v>
      </c>
      <c r="E4" s="12" t="s">
        <v>60</v>
      </c>
      <c r="F4" s="13">
        <v>5934</v>
      </c>
      <c r="G4" s="15">
        <f>F4*0.6</f>
        <v>3560.4</v>
      </c>
      <c r="H4" s="15">
        <f>G4*I4</f>
        <v>21362.400000000001</v>
      </c>
      <c r="I4" s="16">
        <v>6</v>
      </c>
      <c r="J4" s="17" t="s">
        <v>37</v>
      </c>
      <c r="K4" s="13" t="s">
        <v>17</v>
      </c>
    </row>
    <row r="5" spans="1:11" ht="23.25" customHeight="1" x14ac:dyDescent="0.25">
      <c r="A5" s="12" t="str">
        <f>E1</f>
        <v>ШНО</v>
      </c>
      <c r="B5" s="12" t="s">
        <v>10</v>
      </c>
      <c r="C5" s="12"/>
      <c r="D5" s="18" t="s">
        <v>10</v>
      </c>
      <c r="E5" s="12" t="s">
        <v>10</v>
      </c>
      <c r="F5" s="12">
        <f ca="1">OFFSET(F5,1,2)</f>
        <v>0</v>
      </c>
      <c r="G5" s="15">
        <f ca="1">F5</f>
        <v>0</v>
      </c>
      <c r="H5" s="15">
        <f ca="1">G5*I5</f>
        <v>0</v>
      </c>
      <c r="I5" s="12">
        <v>1</v>
      </c>
      <c r="J5" s="12" t="s">
        <v>13</v>
      </c>
      <c r="K5" s="12" t="s">
        <v>10</v>
      </c>
    </row>
    <row r="6" spans="1:11" ht="23.25" customHeight="1" x14ac:dyDescent="0.25">
      <c r="A6" s="12" t="str">
        <f>E1</f>
        <v>ШНО</v>
      </c>
      <c r="B6" s="12" t="s">
        <v>11</v>
      </c>
      <c r="C6" s="12"/>
      <c r="D6" s="18" t="s">
        <v>11</v>
      </c>
      <c r="E6" s="12" t="s">
        <v>11</v>
      </c>
      <c r="F6" s="12"/>
      <c r="G6" s="15">
        <v>100</v>
      </c>
      <c r="H6" s="15">
        <f>G6*I6</f>
        <v>0</v>
      </c>
      <c r="I6" s="12">
        <f>60*F6</f>
        <v>0</v>
      </c>
      <c r="J6" s="12" t="s">
        <v>13</v>
      </c>
      <c r="K6" s="12" t="s">
        <v>11</v>
      </c>
    </row>
    <row r="7" spans="1:11" ht="23.25" customHeight="1" x14ac:dyDescent="0.25">
      <c r="A7" s="12" t="str">
        <f>A6</f>
        <v>ШНО</v>
      </c>
      <c r="B7" s="19"/>
      <c r="C7" s="20"/>
      <c r="D7" s="20"/>
      <c r="E7" s="21"/>
      <c r="F7" s="23"/>
      <c r="G7" s="25"/>
      <c r="H7" s="24">
        <f ca="1">SUM(H2:H6)</f>
        <v>23403</v>
      </c>
      <c r="I7" s="20"/>
      <c r="J7" s="22"/>
      <c r="K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2026-06-10T10:49:51Z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