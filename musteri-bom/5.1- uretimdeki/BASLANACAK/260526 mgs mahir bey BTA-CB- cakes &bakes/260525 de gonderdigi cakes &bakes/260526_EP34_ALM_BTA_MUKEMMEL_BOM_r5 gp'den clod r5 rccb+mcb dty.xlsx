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26 mgs mahir bey BTA-CB-\"/>
    </mc:Choice>
  </mc:AlternateContent>
  <xr:revisionPtr revIDLastSave="0" documentId="13_ncr:1_{068A11F8-D993-4250-B335-89F0AFD6945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B-02_DCBP-N" sheetId="1" r:id="rId1"/>
  </sheets>
  <definedNames>
    <definedName name="_xlnm._FilterDatabase" localSheetId="0" hidden="1">'CB-02_DCBP-N'!$A$5:$K$37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1" l="1"/>
  <c r="G10" i="1"/>
  <c r="H36" i="1" l="1"/>
  <c r="G36" i="1" s="1"/>
  <c r="F35" i="1" s="1"/>
  <c r="G35" i="1" s="1"/>
  <c r="G34" i="1"/>
  <c r="G7" i="1"/>
  <c r="G11" i="1"/>
  <c r="F33" i="1" l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9" i="1"/>
  <c r="G9" i="1" s="1"/>
  <c r="F8" i="1"/>
  <c r="G8" i="1" s="1"/>
  <c r="G37" i="1" l="1"/>
</calcChain>
</file>

<file path=xl/sharedStrings.xml><?xml version="1.0" encoding="utf-8"?>
<sst xmlns="http://schemas.openxmlformats.org/spreadsheetml/2006/main" count="230" uniqueCount="102">
  <si>
    <t>EP34-ALM-BTA  |  CB-02_DCBP-N  |  ABB BOM r4  |  Kur: 547.47 KZT/EUR  |  EUR×0.33×1.3×Kur</t>
  </si>
  <si>
    <t>EUR/KZT Kuru →</t>
  </si>
  <si>
    <t>Teklif günü güncelle!</t>
  </si>
  <si>
    <t>FH202/FH204 A tipi RCCB + SH200 MCB kombinasyonu kullanıldı  |  Tüm RCBO kalemleri A tipi RCCB+MCB olarak değiştirildi</t>
  </si>
  <si>
    <t>Panel</t>
  </si>
  <si>
    <t>Malzeme Tipi</t>
  </si>
  <si>
    <t>ABB Artikül</t>
  </si>
  <si>
    <t>Ürün Adı</t>
  </si>
  <si>
    <t>Liste EUR</t>
  </si>
  <si>
    <t>KZT (birim)</t>
  </si>
  <si>
    <t>Toplam KZT</t>
  </si>
  <si>
    <t>Adet</t>
  </si>
  <si>
    <t>Birim</t>
  </si>
  <si>
    <t>Üretici</t>
  </si>
  <si>
    <t>Durum</t>
  </si>
  <si>
    <t>DCBP-N PANEL  (Cakes &amp; Bakes Network + UPS Panel)  —  EP34-ALM-BTA-CB-02</t>
  </si>
  <si>
    <t>DCBP-N PANEL</t>
  </si>
  <si>
    <t>korpus</t>
  </si>
  <si>
    <t>—</t>
  </si>
  <si>
    <t>ШТ.</t>
  </si>
  <si>
    <t>TEKSAN</t>
  </si>
  <si>
    <t>✅</t>
  </si>
  <si>
    <t>mccb</t>
  </si>
  <si>
    <t>1SDA066719R1</t>
  </si>
  <si>
    <t>A1C 125, TMF, In=100A, 25kA, 3P  MCCB</t>
  </si>
  <si>
    <t>ABB</t>
  </si>
  <si>
    <t>rascepitel</t>
  </si>
  <si>
    <t>1SDA066720R1</t>
  </si>
  <si>
    <t>SOR-C 220-240V AC  (acil açma bobini, A1C için)</t>
  </si>
  <si>
    <t>tt</t>
  </si>
  <si>
    <t>PYS</t>
  </si>
  <si>
    <t>✅ fiyat yok</t>
  </si>
  <si>
    <t>mcb</t>
  </si>
  <si>
    <t>2CDS211001R0064</t>
  </si>
  <si>
    <t>SH201-C2  1P C2A 6kA  (KS 1x2A yerine, ölçüm)</t>
  </si>
  <si>
    <t>✅ SH200</t>
  </si>
  <si>
    <t>2CDS213001R0024</t>
  </si>
  <si>
    <t>SH203-C2  3P C2A 6kA  (KS 3x2A yerine, ölçüm)</t>
  </si>
  <si>
    <t>energy_meter</t>
  </si>
  <si>
    <t>2CSG251141R4051</t>
  </si>
  <si>
    <t>M4M 20 Modbus  (X5 tipi enerji sayacı)</t>
  </si>
  <si>
    <t>rccb</t>
  </si>
  <si>
    <t>2CSF202102R1250</t>
  </si>
  <si>
    <t>FH202 A-25/0.03  RCCB 2P 25A 30mA A-tip  (2P C16 devreler için)</t>
  </si>
  <si>
    <t>✅ A-tip, CB-02 Net.18+UPS.29</t>
  </si>
  <si>
    <t>2CDS211001R0164</t>
  </si>
  <si>
    <t>SH201-C16  1P+N C16A 6kA  (FH202 ile kombinasyon)</t>
  </si>
  <si>
    <t>FH202 A-25/0.03  RCCB 2P 25A 30mA A-tip  (2P C25 devreler için)</t>
  </si>
  <si>
    <t>✅ A-tip</t>
  </si>
  <si>
    <t>2CDS211001R0254</t>
  </si>
  <si>
    <t>SH201-C25  1P C25A 6kA  (FH202 ile kombinasyon)</t>
  </si>
  <si>
    <t>2CSF204102R1250</t>
  </si>
  <si>
    <t>FH204 A-25/0.03  RCCB 4P 25A 30mA A-tip  (4P C25 devreler için)</t>
  </si>
  <si>
    <t>2CDS213001R0254</t>
  </si>
  <si>
    <t>SH203-C25  3P C25A 6kA  (FH204 ile kombinasyon)</t>
  </si>
  <si>
    <t>FH202 A-25/0.03  RCCB 2P 25A 30mA A-tip  (2P ayrı RCCB)</t>
  </si>
  <si>
    <t>FH204 A-25/0.03  RCCB 4P 25A 30mA A-tip  (4P ayrı RCCB)</t>
  </si>
  <si>
    <t>SH203-C25  3P C25A 6kA  (direkt devre)</t>
  </si>
  <si>
    <t>2CDS211001R0105</t>
  </si>
  <si>
    <t>SH201-B10  1P B10A 6kA  (Network B tipi)</t>
  </si>
  <si>
    <t>✅ SH200 PDF sayım</t>
  </si>
  <si>
    <t>2CDS211001R0065</t>
  </si>
  <si>
    <t>SH201-B6   1P B6A 6kA</t>
  </si>
  <si>
    <t>contactor</t>
  </si>
  <si>
    <t>1SBL237001R1300</t>
  </si>
  <si>
    <t>AF26-30-00  3P kontaktör 25A  (100-250V AC/DC)</t>
  </si>
  <si>
    <t>1SBL137001R1310</t>
  </si>
  <si>
    <t>AF09-30-10  3P kontaktör 9A   (100-250V AC/DC)</t>
  </si>
  <si>
    <t>pako</t>
  </si>
  <si>
    <t>1SCA104848R1001-B</t>
  </si>
  <si>
    <t>OT16FT3HY3ST1  Pako şalter 16A, 1-0</t>
  </si>
  <si>
    <t>button</t>
  </si>
  <si>
    <t>1SFA611520R1001</t>
  </si>
  <si>
    <t>MPET3-10R  Acil stop butonu</t>
  </si>
  <si>
    <t>1SFA611605R1100</t>
  </si>
  <si>
    <t>MCBH-00  Buton gövdesi</t>
  </si>
  <si>
    <t>1SFA611610R1010</t>
  </si>
  <si>
    <t>MCB-01  Kontak bloğu</t>
  </si>
  <si>
    <t>sinyal lamba</t>
  </si>
  <si>
    <t>1SFA611400R1002</t>
  </si>
  <si>
    <t>ML1-100G  Sinyal lambası (yeşil)</t>
  </si>
  <si>
    <t>opn/spd</t>
  </si>
  <si>
    <t>2CTB803973R1100</t>
  </si>
  <si>
    <t>OVR T2 3N 40-275  4P SPD Parafudr</t>
  </si>
  <si>
    <t>fire</t>
  </si>
  <si>
    <t>Pano içi yangın söndürme sistemi</t>
  </si>
  <si>
    <t>set</t>
  </si>
  <si>
    <t>⚠ tedarikçiye sor</t>
  </si>
  <si>
    <t>montaj malz</t>
  </si>
  <si>
    <t>Montaj malzemeleri</t>
  </si>
  <si>
    <t>teklif aşamasında</t>
  </si>
  <si>
    <t>montaj iş</t>
  </si>
  <si>
    <t>Montaj işçiliği</t>
  </si>
  <si>
    <t>PANEL TOPLAMI:</t>
  </si>
  <si>
    <t>YCFP7</t>
  </si>
  <si>
    <t>ITT20-3-05-0100</t>
  </si>
  <si>
    <t xml:space="preserve">             Трансформатор тока ТТИ-30  100/5А 5ВА 0,5S IEK E-PRO</t>
  </si>
  <si>
    <t>Pano gövdesi 120×200×450+10CM BAZA , serbest ayaklı, metal (TEKSAN)</t>
  </si>
  <si>
    <t>sayac</t>
  </si>
  <si>
    <t>IA</t>
  </si>
  <si>
    <t>ДАЛА СА4У-Э720 R TX OP П RS1 Д W  (3x220/380V 5-7,5A)</t>
  </si>
  <si>
    <t>saiman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</si>
</sst>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EUR&quot;"/>
    <numFmt numFmtId="165" formatCode="#,##0&quot; KZT&quot;"/>
  </numFmts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204"/>
    </font>
    <font>
      <b/>
      <sz val="9"/>
      <name val="Arial"/>
      <family val="2"/>
      <charset val="204"/>
    </font>
    <font>
      <b/>
      <sz val="11"/>
      <color rgb="FFCC0000"/>
      <name val="Arial"/>
      <family val="2"/>
      <charset val="204"/>
    </font>
    <font>
      <i/>
      <sz val="8"/>
      <color rgb="FF666666"/>
      <name val="Arial"/>
      <family val="2"/>
      <charset val="204"/>
    </font>
    <font>
      <i/>
      <sz val="8"/>
      <color rgb="FF884400"/>
      <name val="Arial"/>
      <family val="2"/>
      <charset val="204"/>
    </font>
    <font>
      <b/>
      <sz val="9"/>
      <color rgb="FFFFFFFF"/>
      <name val="Arial"/>
      <family val="2"/>
      <charset val="204"/>
    </font>
    <font>
      <sz val="9"/>
      <name val="Arial"/>
      <family val="2"/>
      <charset val="204"/>
    </font>
    <font>
      <sz val="9"/>
      <color rgb="FFCC0000"/>
      <name val="Arial"/>
      <family val="2"/>
      <charset val="204"/>
    </font>
    <font>
      <b/>
      <sz val="11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DDEEFF"/>
        <bgColor rgb="FFCCFFFF"/>
      </patternFill>
    </fill>
    <fill>
      <patternFill patternType="solid">
        <fgColor rgb="FFDDFFDD"/>
        <bgColor rgb="FFCCFFFF"/>
      </patternFill>
    </fill>
    <fill>
      <patternFill patternType="solid">
        <fgColor rgb="FFFFE0B2"/>
        <bgColor rgb="FFFFF3CD"/>
      </patternFill>
    </fill>
    <fill>
      <patternFill patternType="solid">
        <fgColor rgb="FFFFF3CD"/>
        <bgColor rgb="FFFFE0B2"/>
      </patternFill>
    </fill>
    <fill>
      <patternFill patternType="solid">
        <fgColor rgb="FFFFCCCC"/>
        <bgColor rgb="FFFFE0B2"/>
      </patternFill>
    </fill>
    <fill>
      <patternFill patternType="solid">
        <fgColor rgb="FFFFD700"/>
        <bgColor rgb="FFFFFF00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4" fontId="3" fillId="3" borderId="0" xfId="0" applyNumberFormat="1" applyFont="1" applyFill="1" applyAlignment="1">
      <alignment horizontal="center" vertical="center" wrapText="1"/>
    </xf>
    <xf numFmtId="0" fontId="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165" fontId="9" fillId="10" borderId="2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vertical="center" wrapText="1"/>
    </xf>
    <xf numFmtId="0" fontId="1" fillId="2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3CD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FFDD"/>
      <rgbColor rgb="FFFFE0B2"/>
      <rgbColor rgb="FF99CCFF"/>
      <rgbColor rgb="FFFF99CC"/>
      <rgbColor rgb="FFCC99FF"/>
      <rgbColor rgb="FFFFCCCC"/>
      <rgbColor rgb="FF2E75B6"/>
      <rgbColor rgb="FF33CCCC"/>
      <rgbColor rgb="FF99CC00"/>
      <rgbColor rgb="FFFFD7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8844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zoomScaleNormal="100" workbookViewId="0">
      <pane ySplit="5" topLeftCell="A14" activePane="bottomLeft" state="frozen"/>
      <selection pane="bottomLeft" activeCell="D8" sqref="D8"/>
    </sheetView>
  </sheetViews>
  <sheetFormatPr defaultColWidth="8.7109375" defaultRowHeight="15" x14ac:dyDescent="0.25"/>
  <cols>
    <col min="1" max="1" width="20" customWidth="1"/>
    <col min="2" max="2" width="14" customWidth="1"/>
    <col min="3" max="3" width="22" customWidth="1"/>
    <col min="4" max="4" width="69.42578125" customWidth="1"/>
    <col min="5" max="6" width="18" customWidth="1"/>
    <col min="7" max="7" width="20" customWidth="1"/>
    <col min="8" max="8" width="8" customWidth="1"/>
    <col min="9" max="9" width="7" customWidth="1"/>
    <col min="10" max="10" width="10" customWidth="1"/>
    <col min="11" max="11" width="22" customWidth="1"/>
  </cols>
  <sheetData>
    <row r="1" spans="1:11" ht="18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15.75" customHeight="1" x14ac:dyDescent="0.25">
      <c r="A2" s="1" t="s">
        <v>1</v>
      </c>
      <c r="B2" s="2">
        <v>550</v>
      </c>
      <c r="C2" s="3" t="s">
        <v>2</v>
      </c>
    </row>
    <row r="3" spans="1:11" ht="12.75" customHeight="1" x14ac:dyDescent="0.25">
      <c r="A3" s="21" t="s">
        <v>3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ht="3.75" customHeight="1" x14ac:dyDescent="0.25"/>
    <row r="5" spans="1:11" ht="27.75" customHeight="1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</row>
    <row r="6" spans="1:11" ht="21.75" customHeight="1" x14ac:dyDescent="0.25">
      <c r="A6" s="19" t="s">
        <v>15</v>
      </c>
      <c r="B6" s="19"/>
      <c r="C6" s="19"/>
      <c r="D6" s="19" t="s">
        <v>15</v>
      </c>
      <c r="E6" s="19"/>
      <c r="F6" s="19"/>
      <c r="G6" s="19"/>
      <c r="H6" s="19"/>
      <c r="I6" s="19"/>
      <c r="J6" s="19"/>
      <c r="K6" s="19"/>
    </row>
    <row r="7" spans="1:11" ht="15" customHeight="1" x14ac:dyDescent="0.25">
      <c r="A7" s="5" t="s">
        <v>16</v>
      </c>
      <c r="B7" s="5" t="s">
        <v>17</v>
      </c>
      <c r="C7" s="5"/>
      <c r="D7" s="5" t="s">
        <v>97</v>
      </c>
      <c r="E7" s="7" t="s">
        <v>18</v>
      </c>
      <c r="F7" s="7">
        <v>205000</v>
      </c>
      <c r="G7" s="11">
        <f>F7*H7</f>
        <v>205000</v>
      </c>
      <c r="H7" s="8">
        <v>1</v>
      </c>
      <c r="I7" s="6" t="s">
        <v>19</v>
      </c>
      <c r="J7" s="6" t="s">
        <v>20</v>
      </c>
      <c r="K7" s="5" t="s">
        <v>21</v>
      </c>
    </row>
    <row r="8" spans="1:11" ht="15" customHeight="1" x14ac:dyDescent="0.25">
      <c r="A8" s="5" t="s">
        <v>16</v>
      </c>
      <c r="B8" s="5" t="s">
        <v>22</v>
      </c>
      <c r="C8" s="5" t="s">
        <v>23</v>
      </c>
      <c r="D8" s="5" t="s">
        <v>24</v>
      </c>
      <c r="E8" s="9">
        <v>153.6</v>
      </c>
      <c r="F8" s="10">
        <f>E8*0.33*1.3*$B$2</f>
        <v>36241.920000000006</v>
      </c>
      <c r="G8" s="11">
        <f>F8*H8</f>
        <v>36241.920000000006</v>
      </c>
      <c r="H8" s="8">
        <v>1</v>
      </c>
      <c r="I8" s="6" t="s">
        <v>19</v>
      </c>
      <c r="J8" s="6" t="s">
        <v>25</v>
      </c>
      <c r="K8" s="5" t="s">
        <v>21</v>
      </c>
    </row>
    <row r="9" spans="1:11" ht="15" customHeight="1" x14ac:dyDescent="0.25">
      <c r="A9" s="5" t="s">
        <v>16</v>
      </c>
      <c r="B9" s="5" t="s">
        <v>26</v>
      </c>
      <c r="C9" s="5" t="s">
        <v>27</v>
      </c>
      <c r="D9" s="5" t="s">
        <v>28</v>
      </c>
      <c r="E9" s="9">
        <v>164.5</v>
      </c>
      <c r="F9" s="10">
        <f>E9*0.33*1.3*$B$2</f>
        <v>38813.775000000009</v>
      </c>
      <c r="G9" s="11">
        <f>F9*H9</f>
        <v>38813.775000000009</v>
      </c>
      <c r="H9" s="8">
        <v>1</v>
      </c>
      <c r="I9" s="6" t="s">
        <v>19</v>
      </c>
      <c r="J9" s="6" t="s">
        <v>25</v>
      </c>
      <c r="K9" s="5" t="s">
        <v>21</v>
      </c>
    </row>
    <row r="10" spans="1:11" ht="15" customHeight="1" x14ac:dyDescent="0.25">
      <c r="A10" s="5" t="s">
        <v>16</v>
      </c>
      <c r="B10" s="5" t="s">
        <v>98</v>
      </c>
      <c r="C10" s="5" t="s">
        <v>99</v>
      </c>
      <c r="D10" s="5" t="s">
        <v>100</v>
      </c>
      <c r="E10" s="7">
        <v>75000</v>
      </c>
      <c r="F10" s="7">
        <f>E10</f>
        <v>75000</v>
      </c>
      <c r="G10" s="11">
        <f>F10*H10</f>
        <v>75000</v>
      </c>
      <c r="H10" s="8">
        <v>1</v>
      </c>
      <c r="I10" s="6" t="s">
        <v>19</v>
      </c>
      <c r="J10" s="6" t="s">
        <v>101</v>
      </c>
      <c r="K10" s="5" t="s">
        <v>31</v>
      </c>
    </row>
    <row r="11" spans="1:11" ht="15" customHeight="1" x14ac:dyDescent="0.25">
      <c r="A11" s="5" t="s">
        <v>16</v>
      </c>
      <c r="B11" s="5" t="s">
        <v>29</v>
      </c>
      <c r="C11" s="5" t="s">
        <v>95</v>
      </c>
      <c r="D11" s="5" t="s">
        <v>96</v>
      </c>
      <c r="E11" s="7" t="s">
        <v>18</v>
      </c>
      <c r="F11" s="7">
        <v>6350</v>
      </c>
      <c r="G11" s="11">
        <f>F11*H11</f>
        <v>19050</v>
      </c>
      <c r="H11" s="8">
        <v>3</v>
      </c>
      <c r="I11" s="6" t="s">
        <v>19</v>
      </c>
      <c r="J11" s="6" t="s">
        <v>30</v>
      </c>
      <c r="K11" s="5" t="s">
        <v>31</v>
      </c>
    </row>
    <row r="12" spans="1:11" ht="15" customHeight="1" x14ac:dyDescent="0.25">
      <c r="A12" s="5" t="s">
        <v>16</v>
      </c>
      <c r="B12" s="5" t="s">
        <v>32</v>
      </c>
      <c r="C12" s="5" t="s">
        <v>33</v>
      </c>
      <c r="D12" s="5" t="s">
        <v>34</v>
      </c>
      <c r="E12" s="9">
        <v>9.7100000000000009</v>
      </c>
      <c r="F12" s="10">
        <f t="shared" ref="F12:F33" si="0">E12*0.33*1.3*$B$2</f>
        <v>2291.0745000000006</v>
      </c>
      <c r="G12" s="11">
        <f t="shared" ref="G12:G33" si="1">F12*H12</f>
        <v>6873.2235000000019</v>
      </c>
      <c r="H12" s="8">
        <v>3</v>
      </c>
      <c r="I12" s="6" t="s">
        <v>19</v>
      </c>
      <c r="J12" s="6" t="s">
        <v>25</v>
      </c>
      <c r="K12" s="5" t="s">
        <v>35</v>
      </c>
    </row>
    <row r="13" spans="1:11" ht="15" customHeight="1" x14ac:dyDescent="0.25">
      <c r="A13" s="5" t="s">
        <v>16</v>
      </c>
      <c r="B13" s="5" t="s">
        <v>32</v>
      </c>
      <c r="C13" s="5" t="s">
        <v>36</v>
      </c>
      <c r="D13" s="5" t="s">
        <v>37</v>
      </c>
      <c r="E13" s="9">
        <v>65.41</v>
      </c>
      <c r="F13" s="10">
        <f t="shared" si="0"/>
        <v>15433.4895</v>
      </c>
      <c r="G13" s="11">
        <f t="shared" si="1"/>
        <v>15433.4895</v>
      </c>
      <c r="H13" s="8">
        <v>1</v>
      </c>
      <c r="I13" s="6" t="s">
        <v>19</v>
      </c>
      <c r="J13" s="6" t="s">
        <v>25</v>
      </c>
      <c r="K13" s="5" t="s">
        <v>35</v>
      </c>
    </row>
    <row r="14" spans="1:11" ht="15" customHeight="1" x14ac:dyDescent="0.25">
      <c r="A14" s="5" t="s">
        <v>16</v>
      </c>
      <c r="B14" s="5" t="s">
        <v>38</v>
      </c>
      <c r="C14" s="5" t="s">
        <v>39</v>
      </c>
      <c r="D14" s="5" t="s">
        <v>40</v>
      </c>
      <c r="E14" s="9">
        <v>779.8</v>
      </c>
      <c r="F14" s="10">
        <f t="shared" si="0"/>
        <v>183993.81</v>
      </c>
      <c r="G14" s="11">
        <f t="shared" si="1"/>
        <v>183993.81</v>
      </c>
      <c r="H14" s="8">
        <v>1</v>
      </c>
      <c r="I14" s="6" t="s">
        <v>19</v>
      </c>
      <c r="J14" s="6" t="s">
        <v>25</v>
      </c>
      <c r="K14" s="5" t="s">
        <v>21</v>
      </c>
    </row>
    <row r="15" spans="1:11" ht="15" customHeight="1" x14ac:dyDescent="0.25">
      <c r="A15" s="5" t="s">
        <v>16</v>
      </c>
      <c r="B15" s="5" t="s">
        <v>41</v>
      </c>
      <c r="C15" s="5" t="s">
        <v>42</v>
      </c>
      <c r="D15" s="5" t="s">
        <v>43</v>
      </c>
      <c r="E15" s="9">
        <v>65.75</v>
      </c>
      <c r="F15" s="10">
        <f t="shared" si="0"/>
        <v>15513.712500000001</v>
      </c>
      <c r="G15" s="11">
        <f t="shared" si="1"/>
        <v>729144.48750000005</v>
      </c>
      <c r="H15" s="8">
        <v>47</v>
      </c>
      <c r="I15" s="6" t="s">
        <v>19</v>
      </c>
      <c r="J15" s="6" t="s">
        <v>25</v>
      </c>
      <c r="K15" s="5" t="s">
        <v>44</v>
      </c>
    </row>
    <row r="16" spans="1:11" ht="15" customHeight="1" x14ac:dyDescent="0.25">
      <c r="A16" s="5" t="s">
        <v>16</v>
      </c>
      <c r="B16" s="5" t="s">
        <v>32</v>
      </c>
      <c r="C16" s="5" t="s">
        <v>45</v>
      </c>
      <c r="D16" s="5" t="s">
        <v>46</v>
      </c>
      <c r="E16" s="9">
        <v>8.09</v>
      </c>
      <c r="F16" s="10">
        <f t="shared" si="0"/>
        <v>1908.8355000000001</v>
      </c>
      <c r="G16" s="11">
        <f t="shared" si="1"/>
        <v>89715.268500000006</v>
      </c>
      <c r="H16" s="8">
        <v>47</v>
      </c>
      <c r="I16" s="6" t="s">
        <v>19</v>
      </c>
      <c r="J16" s="6" t="s">
        <v>25</v>
      </c>
      <c r="K16" s="5" t="s">
        <v>35</v>
      </c>
    </row>
    <row r="17" spans="1:11" ht="15" customHeight="1" x14ac:dyDescent="0.25">
      <c r="A17" s="5" t="s">
        <v>16</v>
      </c>
      <c r="B17" s="5" t="s">
        <v>41</v>
      </c>
      <c r="C17" s="5" t="s">
        <v>42</v>
      </c>
      <c r="D17" s="5" t="s">
        <v>47</v>
      </c>
      <c r="E17" s="9">
        <v>65.75</v>
      </c>
      <c r="F17" s="10">
        <f t="shared" si="0"/>
        <v>15513.712500000001</v>
      </c>
      <c r="G17" s="11">
        <f t="shared" si="1"/>
        <v>62054.850000000006</v>
      </c>
      <c r="H17" s="8">
        <v>4</v>
      </c>
      <c r="I17" s="6" t="s">
        <v>19</v>
      </c>
      <c r="J17" s="6" t="s">
        <v>25</v>
      </c>
      <c r="K17" s="5" t="s">
        <v>48</v>
      </c>
    </row>
    <row r="18" spans="1:11" ht="15" customHeight="1" x14ac:dyDescent="0.25">
      <c r="A18" s="5" t="s">
        <v>16</v>
      </c>
      <c r="B18" s="5" t="s">
        <v>32</v>
      </c>
      <c r="C18" s="5" t="s">
        <v>49</v>
      </c>
      <c r="D18" s="5" t="s">
        <v>50</v>
      </c>
      <c r="E18" s="9">
        <v>8.09</v>
      </c>
      <c r="F18" s="10">
        <f t="shared" si="0"/>
        <v>1908.8355000000001</v>
      </c>
      <c r="G18" s="11">
        <f t="shared" si="1"/>
        <v>7635.3420000000006</v>
      </c>
      <c r="H18" s="8">
        <v>4</v>
      </c>
      <c r="I18" s="6" t="s">
        <v>19</v>
      </c>
      <c r="J18" s="6" t="s">
        <v>25</v>
      </c>
      <c r="K18" s="5" t="s">
        <v>35</v>
      </c>
    </row>
    <row r="19" spans="1:11" ht="15" customHeight="1" x14ac:dyDescent="0.25">
      <c r="A19" s="5" t="s">
        <v>16</v>
      </c>
      <c r="B19" s="5" t="s">
        <v>41</v>
      </c>
      <c r="C19" s="5" t="s">
        <v>51</v>
      </c>
      <c r="D19" s="5" t="s">
        <v>52</v>
      </c>
      <c r="E19" s="9">
        <v>85.43</v>
      </c>
      <c r="F19" s="10">
        <f t="shared" si="0"/>
        <v>20157.208500000004</v>
      </c>
      <c r="G19" s="11">
        <f t="shared" si="1"/>
        <v>40314.417000000009</v>
      </c>
      <c r="H19" s="8">
        <v>2</v>
      </c>
      <c r="I19" s="6" t="s">
        <v>19</v>
      </c>
      <c r="J19" s="6" t="s">
        <v>25</v>
      </c>
      <c r="K19" s="5" t="s">
        <v>48</v>
      </c>
    </row>
    <row r="20" spans="1:11" ht="15" customHeight="1" x14ac:dyDescent="0.25">
      <c r="A20" s="5" t="s">
        <v>16</v>
      </c>
      <c r="B20" s="5" t="s">
        <v>32</v>
      </c>
      <c r="C20" s="5" t="s">
        <v>53</v>
      </c>
      <c r="D20" s="5" t="s">
        <v>54</v>
      </c>
      <c r="E20" s="9">
        <v>36.42</v>
      </c>
      <c r="F20" s="10">
        <f t="shared" si="0"/>
        <v>8593.2990000000009</v>
      </c>
      <c r="G20" s="11">
        <f t="shared" si="1"/>
        <v>17186.598000000002</v>
      </c>
      <c r="H20" s="8">
        <v>2</v>
      </c>
      <c r="I20" s="6" t="s">
        <v>19</v>
      </c>
      <c r="J20" s="6" t="s">
        <v>25</v>
      </c>
      <c r="K20" s="5" t="s">
        <v>35</v>
      </c>
    </row>
    <row r="21" spans="1:11" ht="15" customHeight="1" x14ac:dyDescent="0.25">
      <c r="A21" s="5" t="s">
        <v>16</v>
      </c>
      <c r="B21" s="5" t="s">
        <v>41</v>
      </c>
      <c r="C21" s="5" t="s">
        <v>42</v>
      </c>
      <c r="D21" s="5" t="s">
        <v>55</v>
      </c>
      <c r="E21" s="9">
        <v>65.75</v>
      </c>
      <c r="F21" s="10">
        <f t="shared" si="0"/>
        <v>15513.712500000001</v>
      </c>
      <c r="G21" s="11">
        <f t="shared" si="1"/>
        <v>15513.712500000001</v>
      </c>
      <c r="H21" s="8">
        <v>1</v>
      </c>
      <c r="I21" s="6" t="s">
        <v>19</v>
      </c>
      <c r="J21" s="6" t="s">
        <v>25</v>
      </c>
      <c r="K21" s="5" t="s">
        <v>21</v>
      </c>
    </row>
    <row r="22" spans="1:11" ht="15" customHeight="1" x14ac:dyDescent="0.25">
      <c r="A22" s="5" t="s">
        <v>16</v>
      </c>
      <c r="B22" s="5" t="s">
        <v>41</v>
      </c>
      <c r="C22" s="5" t="s">
        <v>51</v>
      </c>
      <c r="D22" s="5" t="s">
        <v>56</v>
      </c>
      <c r="E22" s="9">
        <v>85.43</v>
      </c>
      <c r="F22" s="10">
        <f t="shared" si="0"/>
        <v>20157.208500000004</v>
      </c>
      <c r="G22" s="11">
        <f t="shared" si="1"/>
        <v>20157.208500000004</v>
      </c>
      <c r="H22" s="8">
        <v>1</v>
      </c>
      <c r="I22" s="6" t="s">
        <v>19</v>
      </c>
      <c r="J22" s="6" t="s">
        <v>25</v>
      </c>
      <c r="K22" s="5" t="s">
        <v>21</v>
      </c>
    </row>
    <row r="23" spans="1:11" ht="15" customHeight="1" x14ac:dyDescent="0.25">
      <c r="A23" s="5" t="s">
        <v>16</v>
      </c>
      <c r="B23" s="5" t="s">
        <v>32</v>
      </c>
      <c r="C23" s="5" t="s">
        <v>53</v>
      </c>
      <c r="D23" s="5" t="s">
        <v>57</v>
      </c>
      <c r="E23" s="9">
        <v>36.42</v>
      </c>
      <c r="F23" s="10">
        <f t="shared" si="0"/>
        <v>8593.2990000000009</v>
      </c>
      <c r="G23" s="11">
        <f t="shared" si="1"/>
        <v>17186.598000000002</v>
      </c>
      <c r="H23" s="8">
        <v>2</v>
      </c>
      <c r="I23" s="6" t="s">
        <v>19</v>
      </c>
      <c r="J23" s="6" t="s">
        <v>25</v>
      </c>
      <c r="K23" s="5" t="s">
        <v>35</v>
      </c>
    </row>
    <row r="24" spans="1:11" ht="15" customHeight="1" x14ac:dyDescent="0.25">
      <c r="A24" s="5" t="s">
        <v>16</v>
      </c>
      <c r="B24" s="5" t="s">
        <v>32</v>
      </c>
      <c r="C24" s="5" t="s">
        <v>58</v>
      </c>
      <c r="D24" s="5" t="s">
        <v>59</v>
      </c>
      <c r="E24" s="9">
        <v>7.36</v>
      </c>
      <c r="F24" s="10">
        <f t="shared" si="0"/>
        <v>1736.5920000000003</v>
      </c>
      <c r="G24" s="11">
        <f t="shared" si="1"/>
        <v>17365.920000000002</v>
      </c>
      <c r="H24" s="8">
        <v>10</v>
      </c>
      <c r="I24" s="6" t="s">
        <v>19</v>
      </c>
      <c r="J24" s="6" t="s">
        <v>25</v>
      </c>
      <c r="K24" s="5" t="s">
        <v>60</v>
      </c>
    </row>
    <row r="25" spans="1:11" ht="15" customHeight="1" x14ac:dyDescent="0.25">
      <c r="A25" s="5" t="s">
        <v>16</v>
      </c>
      <c r="B25" s="5" t="s">
        <v>32</v>
      </c>
      <c r="C25" s="5" t="s">
        <v>61</v>
      </c>
      <c r="D25" s="5" t="s">
        <v>62</v>
      </c>
      <c r="E25" s="9">
        <v>8.83</v>
      </c>
      <c r="F25" s="10">
        <f t="shared" si="0"/>
        <v>2083.4385000000002</v>
      </c>
      <c r="G25" s="11">
        <f t="shared" si="1"/>
        <v>2083.4385000000002</v>
      </c>
      <c r="H25" s="8">
        <v>1</v>
      </c>
      <c r="I25" s="6" t="s">
        <v>19</v>
      </c>
      <c r="J25" s="6" t="s">
        <v>25</v>
      </c>
      <c r="K25" s="5" t="s">
        <v>35</v>
      </c>
    </row>
    <row r="26" spans="1:11" ht="15" customHeight="1" x14ac:dyDescent="0.25">
      <c r="A26" s="5" t="s">
        <v>16</v>
      </c>
      <c r="B26" s="5" t="s">
        <v>63</v>
      </c>
      <c r="C26" s="5" t="s">
        <v>64</v>
      </c>
      <c r="D26" s="5" t="s">
        <v>65</v>
      </c>
      <c r="E26" s="9">
        <v>59.16</v>
      </c>
      <c r="F26" s="10">
        <f t="shared" si="0"/>
        <v>13958.802000000001</v>
      </c>
      <c r="G26" s="11">
        <f t="shared" si="1"/>
        <v>13958.802000000001</v>
      </c>
      <c r="H26" s="8">
        <v>1</v>
      </c>
      <c r="I26" s="6" t="s">
        <v>19</v>
      </c>
      <c r="J26" s="6" t="s">
        <v>25</v>
      </c>
      <c r="K26" s="5" t="s">
        <v>21</v>
      </c>
    </row>
    <row r="27" spans="1:11" ht="15" customHeight="1" x14ac:dyDescent="0.25">
      <c r="A27" s="5" t="s">
        <v>16</v>
      </c>
      <c r="B27" s="5" t="s">
        <v>63</v>
      </c>
      <c r="C27" s="5" t="s">
        <v>66</v>
      </c>
      <c r="D27" s="5" t="s">
        <v>67</v>
      </c>
      <c r="E27" s="9">
        <v>37.909999999999997</v>
      </c>
      <c r="F27" s="10">
        <f t="shared" si="0"/>
        <v>8944.8645000000015</v>
      </c>
      <c r="G27" s="11">
        <f t="shared" si="1"/>
        <v>80503.780500000008</v>
      </c>
      <c r="H27" s="8">
        <v>9</v>
      </c>
      <c r="I27" s="6" t="s">
        <v>19</v>
      </c>
      <c r="J27" s="6" t="s">
        <v>25</v>
      </c>
      <c r="K27" s="5" t="s">
        <v>21</v>
      </c>
    </row>
    <row r="28" spans="1:11" ht="15" customHeight="1" x14ac:dyDescent="0.25">
      <c r="A28" s="5" t="s">
        <v>16</v>
      </c>
      <c r="B28" s="5" t="s">
        <v>68</v>
      </c>
      <c r="C28" s="5" t="s">
        <v>69</v>
      </c>
      <c r="D28" s="5" t="s">
        <v>70</v>
      </c>
      <c r="E28" s="9">
        <v>36.090000000000003</v>
      </c>
      <c r="F28" s="10">
        <f t="shared" si="0"/>
        <v>8515.4355000000014</v>
      </c>
      <c r="G28" s="11">
        <f t="shared" si="1"/>
        <v>85154.35500000001</v>
      </c>
      <c r="H28" s="8">
        <v>10</v>
      </c>
      <c r="I28" s="6" t="s">
        <v>19</v>
      </c>
      <c r="J28" s="6" t="s">
        <v>25</v>
      </c>
      <c r="K28" s="5" t="s">
        <v>21</v>
      </c>
    </row>
    <row r="29" spans="1:11" ht="15" customHeight="1" x14ac:dyDescent="0.25">
      <c r="A29" s="5" t="s">
        <v>16</v>
      </c>
      <c r="B29" s="5" t="s">
        <v>71</v>
      </c>
      <c r="C29" s="5" t="s">
        <v>72</v>
      </c>
      <c r="D29" s="5" t="s">
        <v>73</v>
      </c>
      <c r="E29" s="9">
        <v>16.27</v>
      </c>
      <c r="F29" s="10">
        <f t="shared" si="0"/>
        <v>3838.9065000000005</v>
      </c>
      <c r="G29" s="11">
        <f t="shared" si="1"/>
        <v>3838.9065000000005</v>
      </c>
      <c r="H29" s="8">
        <v>1</v>
      </c>
      <c r="I29" s="6" t="s">
        <v>19</v>
      </c>
      <c r="J29" s="6" t="s">
        <v>25</v>
      </c>
      <c r="K29" s="5" t="s">
        <v>21</v>
      </c>
    </row>
    <row r="30" spans="1:11" ht="15" customHeight="1" x14ac:dyDescent="0.25">
      <c r="A30" s="5" t="s">
        <v>16</v>
      </c>
      <c r="B30" s="5" t="s">
        <v>71</v>
      </c>
      <c r="C30" s="5" t="s">
        <v>74</v>
      </c>
      <c r="D30" s="5" t="s">
        <v>75</v>
      </c>
      <c r="E30" s="9">
        <v>1.1399999999999999</v>
      </c>
      <c r="F30" s="10">
        <f t="shared" si="0"/>
        <v>268.983</v>
      </c>
      <c r="G30" s="11">
        <f t="shared" si="1"/>
        <v>268.983</v>
      </c>
      <c r="H30" s="8">
        <v>1</v>
      </c>
      <c r="I30" s="6" t="s">
        <v>19</v>
      </c>
      <c r="J30" s="6" t="s">
        <v>25</v>
      </c>
      <c r="K30" s="5" t="s">
        <v>21</v>
      </c>
    </row>
    <row r="31" spans="1:11" ht="15" customHeight="1" x14ac:dyDescent="0.25">
      <c r="A31" s="5" t="s">
        <v>16</v>
      </c>
      <c r="B31" s="5" t="s">
        <v>71</v>
      </c>
      <c r="C31" s="5" t="s">
        <v>76</v>
      </c>
      <c r="D31" s="5" t="s">
        <v>77</v>
      </c>
      <c r="E31" s="9">
        <v>4.5999999999999996</v>
      </c>
      <c r="F31" s="10">
        <f t="shared" si="0"/>
        <v>1085.3700000000001</v>
      </c>
      <c r="G31" s="11">
        <f t="shared" si="1"/>
        <v>1085.3700000000001</v>
      </c>
      <c r="H31" s="8">
        <v>1</v>
      </c>
      <c r="I31" s="6" t="s">
        <v>19</v>
      </c>
      <c r="J31" s="6" t="s">
        <v>25</v>
      </c>
      <c r="K31" s="5" t="s">
        <v>21</v>
      </c>
    </row>
    <row r="32" spans="1:11" ht="15" customHeight="1" x14ac:dyDescent="0.25">
      <c r="A32" s="5" t="s">
        <v>16</v>
      </c>
      <c r="B32" s="5" t="s">
        <v>78</v>
      </c>
      <c r="C32" s="5" t="s">
        <v>79</v>
      </c>
      <c r="D32" s="5" t="s">
        <v>80</v>
      </c>
      <c r="E32" s="9">
        <v>4.5999999999999996</v>
      </c>
      <c r="F32" s="10">
        <f t="shared" si="0"/>
        <v>1085.3700000000001</v>
      </c>
      <c r="G32" s="11">
        <f t="shared" si="1"/>
        <v>4341.4800000000005</v>
      </c>
      <c r="H32" s="8">
        <v>4</v>
      </c>
      <c r="I32" s="6" t="s">
        <v>19</v>
      </c>
      <c r="J32" s="6" t="s">
        <v>25</v>
      </c>
      <c r="K32" s="5" t="s">
        <v>21</v>
      </c>
    </row>
    <row r="33" spans="1:11" ht="15" customHeight="1" x14ac:dyDescent="0.25">
      <c r="A33" s="5" t="s">
        <v>16</v>
      </c>
      <c r="B33" s="5" t="s">
        <v>81</v>
      </c>
      <c r="C33" s="5" t="s">
        <v>82</v>
      </c>
      <c r="D33" s="5" t="s">
        <v>83</v>
      </c>
      <c r="E33" s="9">
        <v>361.2</v>
      </c>
      <c r="F33" s="10">
        <f t="shared" si="0"/>
        <v>85225.14</v>
      </c>
      <c r="G33" s="11">
        <f t="shared" si="1"/>
        <v>85225.14</v>
      </c>
      <c r="H33" s="8">
        <v>1</v>
      </c>
      <c r="I33" s="6" t="s">
        <v>19</v>
      </c>
      <c r="J33" s="6" t="s">
        <v>25</v>
      </c>
      <c r="K33" s="5" t="s">
        <v>21</v>
      </c>
    </row>
    <row r="34" spans="1:11" ht="15" customHeight="1" x14ac:dyDescent="0.25">
      <c r="A34" s="12" t="s">
        <v>16</v>
      </c>
      <c r="B34" s="12" t="s">
        <v>84</v>
      </c>
      <c r="C34" s="14" t="s">
        <v>94</v>
      </c>
      <c r="D34" s="12" t="s">
        <v>85</v>
      </c>
      <c r="E34" s="15" t="s">
        <v>18</v>
      </c>
      <c r="F34" s="7">
        <v>6500</v>
      </c>
      <c r="G34" s="7">
        <f>F34*H34</f>
        <v>6500</v>
      </c>
      <c r="H34" s="16">
        <v>1</v>
      </c>
      <c r="I34" s="13" t="s">
        <v>86</v>
      </c>
      <c r="J34" s="13" t="s">
        <v>18</v>
      </c>
      <c r="K34" s="12" t="s">
        <v>87</v>
      </c>
    </row>
    <row r="35" spans="1:11" ht="15" customHeight="1" x14ac:dyDescent="0.25">
      <c r="A35" s="5" t="s">
        <v>16</v>
      </c>
      <c r="B35" s="5" t="s">
        <v>88</v>
      </c>
      <c r="C35" s="5"/>
      <c r="D35" s="5" t="s">
        <v>89</v>
      </c>
      <c r="E35" s="7" t="s">
        <v>18</v>
      </c>
      <c r="F35" s="7">
        <f ca="1">OFFSET(F35,1,1)</f>
        <v>173400</v>
      </c>
      <c r="G35" s="7">
        <f ca="1">F35*H35</f>
        <v>173400</v>
      </c>
      <c r="H35" s="8">
        <v>1</v>
      </c>
      <c r="I35" s="6" t="s">
        <v>86</v>
      </c>
      <c r="J35" s="6" t="s">
        <v>18</v>
      </c>
      <c r="K35" s="5" t="s">
        <v>90</v>
      </c>
    </row>
    <row r="36" spans="1:11" ht="15" customHeight="1" x14ac:dyDescent="0.25">
      <c r="A36" s="5" t="s">
        <v>16</v>
      </c>
      <c r="B36" s="5" t="s">
        <v>91</v>
      </c>
      <c r="C36" s="5"/>
      <c r="D36" s="5" t="s">
        <v>92</v>
      </c>
      <c r="E36" s="7" t="s">
        <v>18</v>
      </c>
      <c r="F36" s="7">
        <v>17</v>
      </c>
      <c r="G36" s="7">
        <f>F36*H36</f>
        <v>173400</v>
      </c>
      <c r="H36" s="8">
        <f>600*F36</f>
        <v>10200</v>
      </c>
      <c r="I36" s="6" t="s">
        <v>86</v>
      </c>
      <c r="J36" s="6" t="s">
        <v>18</v>
      </c>
      <c r="K36" s="5" t="s">
        <v>90</v>
      </c>
    </row>
    <row r="37" spans="1:11" ht="19.5" customHeight="1" x14ac:dyDescent="0.25">
      <c r="F37" s="17" t="s">
        <v>93</v>
      </c>
      <c r="G37" s="18">
        <f ca="1">SUM(G7:G36)</f>
        <v>2226440.8755000001</v>
      </c>
    </row>
  </sheetData>
  <autoFilter ref="A5:K37" xr:uid="{00000000-0001-0000-0000-000000000000}"/>
  <mergeCells count="2">
    <mergeCell ref="A1:K1"/>
    <mergeCell ref="A3:K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CB-02_DCBP-N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2026-05-16T09:46:20Z</dcterms:created>
  <dcterms:modified xsi:type="dcterms:W3CDTF">2026-05-29T12:44:57Z</dcterms:modified>
  <dc:language>en-US</dc:language>
</cp:coreProperties>
</file>