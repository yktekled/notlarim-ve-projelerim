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729 aeroport runway kitchen\"/>
    </mc:Choice>
  </mc:AlternateContent>
  <xr:revisionPtr revIDLastSave="0" documentId="13_ncr:1_{D3D2B96B-F066-46CA-AB18-265BA630013B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5" i="1" l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<sst xmlns="http://schemas.openxmlformats.org/spreadsheetml/2006/main" count="75" uniqueCount="52">
  <si>
    <t>ROW</t>
  </si>
  <si>
    <t>Наименование1</t>
  </si>
  <si>
    <t>Тип</t>
  </si>
  <si>
    <t>Артикул</t>
  </si>
  <si>
    <t>Номенклатура</t>
  </si>
  <si>
    <t>Кол-во</t>
  </si>
  <si>
    <t>Ед.изм.</t>
  </si>
  <si>
    <t>Завод</t>
  </si>
  <si>
    <t>pano</t>
  </si>
  <si>
    <t>ЩС — ресторан «Coffee Room» / Runway Kitchen, Международный аэропорт Алматы</t>
  </si>
  <si>
    <t>комплект</t>
  </si>
  <si>
    <t>korpus</t>
  </si>
  <si>
    <t>шт.</t>
  </si>
  <si>
    <t>OTO</t>
  </si>
  <si>
    <t>2CDS253001R0404</t>
  </si>
  <si>
    <t>Автоматический выключатель S203-C40, 3P, 40A, хар-ка C, 6kA — вводной QF</t>
  </si>
  <si>
    <t>ABB</t>
  </si>
  <si>
    <t>2CDS251001R0104</t>
  </si>
  <si>
    <t>Автоматический выключатель S201-C10, 1P, 10A, хар-ка C, 6kA — 1QF, Гр-1 (освещение)</t>
  </si>
  <si>
    <t>DİF</t>
  </si>
  <si>
    <t>2CSR255080R1164</t>
  </si>
  <si>
    <t>Дифф. автомат (АВДТ) DS201 C16 AC30, 1P+N, 16A, 30mA, тип AC, 6kA — 2QF,3QF,5QF,6QF,8QF,9QF,10QF</t>
  </si>
  <si>
    <t>2CSR255080R1254</t>
  </si>
  <si>
    <t>Дифф. автомат (АВДТ) DS201 C25 AC30, 1P+N, 25A, 30mA, тип AC, 6kA — 7QF, Гр-7</t>
  </si>
  <si>
    <t>2CSR255080R1324</t>
  </si>
  <si>
    <t>Дифф. автомат (АВДТ) DS201 C32 AC30, 1P+N, 32A, 30mA, тип AC, 6kA — 4QF, Гр-4</t>
  </si>
  <si>
    <t>sayac</t>
  </si>
  <si>
    <t>CE308-S34.746.0G.OYUVLFZ</t>
  </si>
  <si>
    <t>Счетчик электрической энергии 3-фазный, прямого включения, СПОДЭС — WH</t>
  </si>
  <si>
    <t>Энергомера</t>
  </si>
  <si>
    <t>Klemens</t>
  </si>
  <si>
    <t>YNN10-69-12KD-K07</t>
  </si>
  <si>
    <t>Шина «N» нулевая ШНИ-6х9-12-К-С, 12 групп, в корпусном изоляторе на DIN-рейку</t>
  </si>
  <si>
    <t>IEK</t>
  </si>
  <si>
    <t>130200401_</t>
  </si>
  <si>
    <t>Шина «PE» земля ШНИ-6х9-12-К-З, 12 групп, в корпусном изоляторе на DIN-рейку</t>
  </si>
  <si>
    <t>UNIT</t>
  </si>
  <si>
    <t>montajный материал</t>
  </si>
  <si>
    <t>270300079_</t>
  </si>
  <si>
    <t>Кабель-канал перфорированный 25х40 мм</t>
  </si>
  <si>
    <t>м</t>
  </si>
  <si>
    <t>130200350_</t>
  </si>
  <si>
    <t>DIN-рейка 50 см (доп. ряд / запас)</t>
  </si>
  <si>
    <t>Монтажный материал (провод ПуГВ, наконечники, маркировка, крепёж, метизы)</t>
  </si>
  <si>
    <t>—</t>
  </si>
  <si>
    <t>montajная работа</t>
  </si>
  <si>
    <t>Сборка щита, монтаж, маркировка, испытание и приёмка</t>
  </si>
  <si>
    <t>мин.</t>
  </si>
  <si>
    <t>TEKLED ELECTRIC</t>
  </si>
  <si>
    <t>716-15020</t>
  </si>
  <si>
    <t>Щит ЩУРн-3/48 окошко (540х600х165) S/U 36 IP31(TS)</t>
  </si>
  <si>
    <t>KAZTEK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</si>
</sst>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9"/>
      <name val="Arial"/>
      <family val="2"/>
      <charset val="204"/>
    </font>
    <font>
      <sz val="9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D9D9D9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zoomScaleNormal="100" workbookViewId="0">
      <pane ySplit="1" topLeftCell="A2" activePane="bottomLeft" state="frozen"/>
      <selection pane="bottomLeft" activeCell="H4" sqref="H4"/>
    </sheetView>
  </sheetViews>
  <sheetFormatPr defaultColWidth="8.7109375" defaultRowHeight="15" x14ac:dyDescent="0.25"/>
  <cols>
    <col min="1" max="1" width="6" customWidth="1"/>
    <col min="2" max="2" width="89.28515625" customWidth="1"/>
    <col min="3" max="3" width="20" style="9" customWidth="1"/>
    <col min="4" max="4" width="24" customWidth="1"/>
    <col min="5" max="5" width="62" customWidth="1"/>
    <col min="6" max="6" width="9" style="9" customWidth="1"/>
    <col min="7" max="7" width="10" style="9" customWidth="1"/>
    <col min="8" max="8" width="30.85546875" style="9" customWidth="1"/>
  </cols>
  <sheetData>
    <row r="1" spans="1:8" ht="33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4" x14ac:dyDescent="0.25">
      <c r="A2" s="2">
        <v>1</v>
      </c>
      <c r="B2" s="3" t="str">
        <f>E2</f>
        <v>ЩС — ресторан «Coffee Room» / Runway Kitchen, Международный аэропорт Алматы</v>
      </c>
      <c r="C2" s="7" t="s">
        <v>8</v>
      </c>
      <c r="D2" s="2"/>
      <c r="E2" s="4" t="s">
        <v>9</v>
      </c>
      <c r="F2" s="7">
        <v>1</v>
      </c>
      <c r="G2" s="7" t="s">
        <v>10</v>
      </c>
      <c r="H2" s="7" t="s">
        <v>48</v>
      </c>
    </row>
    <row r="3" spans="1:8" x14ac:dyDescent="0.25">
      <c r="A3" s="5">
        <v>2</v>
      </c>
      <c r="B3" s="5" t="str">
        <f t="shared" ref="B3:B15" si="0">$E$2</f>
        <v>ЩС — ресторан «Coffee Room» / Runway Kitchen, Международный аэропорт Алматы</v>
      </c>
      <c r="C3" s="8" t="s">
        <v>11</v>
      </c>
      <c r="D3" s="5" t="s">
        <v>49</v>
      </c>
      <c r="E3" s="6" t="s">
        <v>50</v>
      </c>
      <c r="F3" s="8">
        <v>1</v>
      </c>
      <c r="G3" s="8" t="s">
        <v>12</v>
      </c>
      <c r="H3" s="8" t="s">
        <v>51</v>
      </c>
    </row>
    <row r="4" spans="1:8" ht="24" x14ac:dyDescent="0.25">
      <c r="A4" s="5">
        <v>3</v>
      </c>
      <c r="B4" s="5" t="str">
        <f t="shared" si="0"/>
        <v>ЩС — ресторан «Coffee Room» / Runway Kitchen, Международный аэропорт Алматы</v>
      </c>
      <c r="C4" s="8" t="s">
        <v>13</v>
      </c>
      <c r="D4" s="5" t="s">
        <v>14</v>
      </c>
      <c r="E4" s="6" t="s">
        <v>15</v>
      </c>
      <c r="F4" s="8">
        <v>1</v>
      </c>
      <c r="G4" s="8" t="s">
        <v>12</v>
      </c>
      <c r="H4" s="8" t="s">
        <v>16</v>
      </c>
    </row>
    <row r="5" spans="1:8" ht="24" x14ac:dyDescent="0.25">
      <c r="A5" s="5">
        <v>4</v>
      </c>
      <c r="B5" s="5" t="str">
        <f t="shared" si="0"/>
        <v>ЩС — ресторан «Coffee Room» / Runway Kitchen, Международный аэропорт Алматы</v>
      </c>
      <c r="C5" s="8" t="s">
        <v>13</v>
      </c>
      <c r="D5" s="5" t="s">
        <v>17</v>
      </c>
      <c r="E5" s="6" t="s">
        <v>18</v>
      </c>
      <c r="F5" s="8">
        <v>1</v>
      </c>
      <c r="G5" s="8" t="s">
        <v>12</v>
      </c>
      <c r="H5" s="8" t="s">
        <v>16</v>
      </c>
    </row>
    <row r="6" spans="1:8" ht="24" x14ac:dyDescent="0.25">
      <c r="A6" s="5">
        <v>5</v>
      </c>
      <c r="B6" s="5" t="str">
        <f t="shared" si="0"/>
        <v>ЩС — ресторан «Coffee Room» / Runway Kitchen, Международный аэропорт Алматы</v>
      </c>
      <c r="C6" s="8" t="s">
        <v>19</v>
      </c>
      <c r="D6" s="5" t="s">
        <v>20</v>
      </c>
      <c r="E6" s="6" t="s">
        <v>21</v>
      </c>
      <c r="F6" s="8">
        <v>6</v>
      </c>
      <c r="G6" s="8" t="s">
        <v>12</v>
      </c>
      <c r="H6" s="8" t="s">
        <v>16</v>
      </c>
    </row>
    <row r="7" spans="1:8" ht="24" x14ac:dyDescent="0.25">
      <c r="A7" s="5">
        <v>6</v>
      </c>
      <c r="B7" s="5" t="str">
        <f t="shared" si="0"/>
        <v>ЩС — ресторан «Coffee Room» / Runway Kitchen, Международный аэропорт Алматы</v>
      </c>
      <c r="C7" s="8" t="s">
        <v>19</v>
      </c>
      <c r="D7" s="5" t="s">
        <v>22</v>
      </c>
      <c r="E7" s="6" t="s">
        <v>23</v>
      </c>
      <c r="F7" s="8">
        <v>2</v>
      </c>
      <c r="G7" s="8" t="s">
        <v>12</v>
      </c>
      <c r="H7" s="8" t="s">
        <v>16</v>
      </c>
    </row>
    <row r="8" spans="1:8" ht="24" x14ac:dyDescent="0.25">
      <c r="A8" s="5">
        <v>7</v>
      </c>
      <c r="B8" s="5" t="str">
        <f t="shared" si="0"/>
        <v>ЩС — ресторан «Coffee Room» / Runway Kitchen, Международный аэропорт Алматы</v>
      </c>
      <c r="C8" s="8" t="s">
        <v>19</v>
      </c>
      <c r="D8" s="5" t="s">
        <v>24</v>
      </c>
      <c r="E8" s="6" t="s">
        <v>25</v>
      </c>
      <c r="F8" s="8">
        <v>1</v>
      </c>
      <c r="G8" s="8" t="s">
        <v>12</v>
      </c>
      <c r="H8" s="8" t="s">
        <v>16</v>
      </c>
    </row>
    <row r="9" spans="1:8" ht="24" x14ac:dyDescent="0.25">
      <c r="A9" s="5">
        <v>8</v>
      </c>
      <c r="B9" s="5" t="str">
        <f t="shared" si="0"/>
        <v>ЩС — ресторан «Coffee Room» / Runway Kitchen, Международный аэропорт Алматы</v>
      </c>
      <c r="C9" s="8" t="s">
        <v>26</v>
      </c>
      <c r="D9" s="5" t="s">
        <v>27</v>
      </c>
      <c r="E9" s="6" t="s">
        <v>28</v>
      </c>
      <c r="F9" s="8">
        <v>1</v>
      </c>
      <c r="G9" s="8" t="s">
        <v>12</v>
      </c>
      <c r="H9" s="8" t="s">
        <v>29</v>
      </c>
    </row>
    <row r="10" spans="1:8" ht="24" x14ac:dyDescent="0.25">
      <c r="A10" s="5">
        <v>9</v>
      </c>
      <c r="B10" s="5" t="str">
        <f t="shared" si="0"/>
        <v>ЩС — ресторан «Coffee Room» / Runway Kitchen, Международный аэропорт Алматы</v>
      </c>
      <c r="C10" s="8" t="s">
        <v>30</v>
      </c>
      <c r="D10" s="5" t="s">
        <v>31</v>
      </c>
      <c r="E10" s="6" t="s">
        <v>32</v>
      </c>
      <c r="F10" s="8">
        <v>1</v>
      </c>
      <c r="G10" s="8" t="s">
        <v>12</v>
      </c>
      <c r="H10" s="8" t="s">
        <v>33</v>
      </c>
    </row>
    <row r="11" spans="1:8" ht="24" x14ac:dyDescent="0.25">
      <c r="A11" s="5">
        <v>10</v>
      </c>
      <c r="B11" s="5" t="str">
        <f t="shared" si="0"/>
        <v>ЩС — ресторан «Coffee Room» / Runway Kitchen, Международный аэропорт Алматы</v>
      </c>
      <c r="C11" s="8" t="s">
        <v>30</v>
      </c>
      <c r="D11" s="5" t="s">
        <v>34</v>
      </c>
      <c r="E11" s="6" t="s">
        <v>35</v>
      </c>
      <c r="F11" s="8">
        <v>1</v>
      </c>
      <c r="G11" s="8" t="s">
        <v>12</v>
      </c>
      <c r="H11" s="8" t="s">
        <v>36</v>
      </c>
    </row>
    <row r="12" spans="1:8" x14ac:dyDescent="0.25">
      <c r="A12" s="5">
        <v>11</v>
      </c>
      <c r="B12" s="5" t="str">
        <f t="shared" si="0"/>
        <v>ЩС — ресторан «Coffee Room» / Runway Kitchen, Международный аэропорт Алматы</v>
      </c>
      <c r="C12" s="8" t="s">
        <v>37</v>
      </c>
      <c r="D12" s="5" t="s">
        <v>38</v>
      </c>
      <c r="E12" s="6" t="s">
        <v>39</v>
      </c>
      <c r="F12" s="8">
        <v>2</v>
      </c>
      <c r="G12" s="8" t="s">
        <v>40</v>
      </c>
      <c r="H12" s="8" t="s">
        <v>33</v>
      </c>
    </row>
    <row r="13" spans="1:8" x14ac:dyDescent="0.25">
      <c r="A13" s="5">
        <v>12</v>
      </c>
      <c r="B13" s="5" t="str">
        <f t="shared" si="0"/>
        <v>ЩС — ресторан «Coffee Room» / Runway Kitchen, Международный аэропорт Алматы</v>
      </c>
      <c r="C13" s="8" t="s">
        <v>37</v>
      </c>
      <c r="D13" s="5" t="s">
        <v>41</v>
      </c>
      <c r="E13" s="6" t="s">
        <v>42</v>
      </c>
      <c r="F13" s="8">
        <v>1</v>
      </c>
      <c r="G13" s="8" t="s">
        <v>12</v>
      </c>
      <c r="H13" s="8" t="s">
        <v>36</v>
      </c>
    </row>
    <row r="14" spans="1:8" ht="24" x14ac:dyDescent="0.25">
      <c r="A14" s="5">
        <v>13</v>
      </c>
      <c r="B14" s="5" t="str">
        <f t="shared" si="0"/>
        <v>ЩС — ресторан «Coffee Room» / Runway Kitchen, Международный аэропорт Алматы</v>
      </c>
      <c r="C14" s="8" t="s">
        <v>37</v>
      </c>
      <c r="D14" s="5"/>
      <c r="E14" s="6" t="s">
        <v>43</v>
      </c>
      <c r="F14" s="8">
        <v>1</v>
      </c>
      <c r="G14" s="8" t="s">
        <v>12</v>
      </c>
      <c r="H14" s="8" t="s">
        <v>44</v>
      </c>
    </row>
    <row r="15" spans="1:8" x14ac:dyDescent="0.25">
      <c r="A15" s="5">
        <v>14</v>
      </c>
      <c r="B15" s="5" t="str">
        <f t="shared" si="0"/>
        <v>ЩС — ресторан «Coffee Room» / Runway Kitchen, Международный аэропорт Алматы</v>
      </c>
      <c r="C15" s="8" t="s">
        <v>45</v>
      </c>
      <c r="D15" s="5"/>
      <c r="E15" s="6" t="s">
        <v>46</v>
      </c>
      <c r="F15" s="8" t="e">
        <f>#REF!</f>
        <v>#REF!</v>
      </c>
      <c r="G15" s="8" t="s">
        <v>47</v>
      </c>
      <c r="H15" s="8" t="s">
        <v>44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2026-08-03T09:51:33Z</dcterms:created>
  <dcterms:modified xsi:type="dcterms:W3CDTF">2026-08-05T06:22:26Z</dcterms:modified>
  <dc:language>en-US</dc:language>
</cp:coreProperties>
</file>