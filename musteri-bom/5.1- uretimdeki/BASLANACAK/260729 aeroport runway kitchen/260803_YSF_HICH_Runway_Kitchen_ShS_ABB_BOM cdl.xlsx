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9 aeroport runway kitchen\"/>
    </mc:Choice>
  </mc:AlternateContent>
  <xr:revisionPtr revIDLastSave="0" documentId="13_ncr:1_{B5CD6182-148C-4426-BFD5-C5B352AF37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G9" i="1" l="1"/>
  <c r="H9" i="1" s="1"/>
  <c r="B20" i="3"/>
  <c r="I15" i="1" s="1"/>
  <c r="B2" i="2"/>
  <c r="G15" i="1"/>
  <c r="B15" i="1"/>
  <c r="B14" i="1"/>
  <c r="G13" i="1"/>
  <c r="H13" i="1" s="1"/>
  <c r="B13" i="1"/>
  <c r="H12" i="1"/>
  <c r="G12" i="1"/>
  <c r="B12" i="1"/>
  <c r="G11" i="1"/>
  <c r="H11" i="1" s="1"/>
  <c r="B11" i="1"/>
  <c r="G10" i="1"/>
  <c r="H10" i="1" s="1"/>
  <c r="B10" i="1"/>
  <c r="B9" i="1"/>
  <c r="G8" i="1"/>
  <c r="H8" i="1" s="1"/>
  <c r="F8" i="1"/>
  <c r="B8" i="1"/>
  <c r="F7" i="1"/>
  <c r="G7" i="1" s="1"/>
  <c r="H7" i="1" s="1"/>
  <c r="B7" i="1"/>
  <c r="F6" i="1"/>
  <c r="G6" i="1" s="1"/>
  <c r="H6" i="1" s="1"/>
  <c r="B6" i="1"/>
  <c r="G5" i="1"/>
  <c r="H5" i="1" s="1"/>
  <c r="F5" i="1"/>
  <c r="B5" i="1"/>
  <c r="F4" i="1"/>
  <c r="G4" i="1" s="1"/>
  <c r="B4" i="1"/>
  <c r="H3" i="1"/>
  <c r="B3" i="1"/>
  <c r="B2" i="1"/>
  <c r="C4" i="2" l="1"/>
  <c r="C5" i="2" s="1"/>
  <c r="H4" i="1"/>
  <c r="C2" i="2" s="1"/>
  <c r="H15" i="1"/>
  <c r="E2" i="2" s="1"/>
  <c r="E3" i="2" s="1"/>
  <c r="F15" i="1"/>
  <c r="C3" i="2" l="1"/>
  <c r="G14" i="1"/>
  <c r="H14" i="1" s="1"/>
  <c r="D2" i="2" s="1"/>
  <c r="D3" i="2" s="1"/>
  <c r="H16" i="1" l="1"/>
  <c r="F2" i="2"/>
  <c r="F3" i="2" l="1"/>
  <c r="H2" i="2"/>
  <c r="H3" i="2" s="1"/>
</calcChain>
</file>

<file path=xl/sharedStrings.xml><?xml version="1.0" encoding="utf-8"?>
<sst xmlns="http://schemas.openxmlformats.org/spreadsheetml/2006/main" count="218" uniqueCount="151">
  <si>
    <t>ROW</t>
  </si>
  <si>
    <t>Наименование1</t>
  </si>
  <si>
    <t>Тип</t>
  </si>
  <si>
    <t>Артикул</t>
  </si>
  <si>
    <t>Номенклатура</t>
  </si>
  <si>
    <t>Цена EUR</t>
  </si>
  <si>
    <t>Цена нетто, KZT</t>
  </si>
  <si>
    <t>Сумма, KZT</t>
  </si>
  <si>
    <t>Кол-во</t>
  </si>
  <si>
    <t>Ед.изм.</t>
  </si>
  <si>
    <t>Завод</t>
  </si>
  <si>
    <t>Прайс-лист (исходная цена)</t>
  </si>
  <si>
    <t>Источник / дата прайса</t>
  </si>
  <si>
    <t>pano</t>
  </si>
  <si>
    <t>ЩС — ресторан «Coffee Room» / Runway Kitchen, Международный аэропорт Алматы</t>
  </si>
  <si>
    <t>комплект</t>
  </si>
  <si>
    <t>korpus</t>
  </si>
  <si>
    <t>шт.</t>
  </si>
  <si>
    <t>EKT 19.06.2025</t>
  </si>
  <si>
    <t>OTO</t>
  </si>
  <si>
    <t>2CDS253001R0404</t>
  </si>
  <si>
    <t>Автоматический выключатель S203-C40, 3P, 40A, хар-ка C, 6kA — вводной QF</t>
  </si>
  <si>
    <t>ABB</t>
  </si>
  <si>
    <t>ABB Kasım 2025</t>
  </si>
  <si>
    <t>2CDS251001R0104</t>
  </si>
  <si>
    <t>Автоматический выключатель S201-C10, 1P, 10A, хар-ка C, 6kA — 1QF, Гр-1 (освещение)</t>
  </si>
  <si>
    <t>DİF</t>
  </si>
  <si>
    <t>2CSR255080R1164</t>
  </si>
  <si>
    <t>Дифф. автомат (АВДТ) DS201 C16 AC30, 1P+N, 16A, 30mA, тип AC, 6kA — 2QF,3QF,5QF,6QF,8QF,9QF,10QF</t>
  </si>
  <si>
    <t>2CSR255080R1254</t>
  </si>
  <si>
    <t>Дифф. автомат (АВДТ) DS201 C25 AC30, 1P+N, 25A, 30mA, тип AC, 6kA — 7QF, Гр-7</t>
  </si>
  <si>
    <t>2CSR255080R1324</t>
  </si>
  <si>
    <t>Дифф. автомат (АВДТ) DS201 C32 AC30, 1P+N, 32A, 30mA, тип AC, 6kA — 4QF, Гр-4</t>
  </si>
  <si>
    <t>sayac</t>
  </si>
  <si>
    <t>CE308-S34.746.0G.OYUVLFZ</t>
  </si>
  <si>
    <t>Счетчик электрической энергии 3-фазный, прямого включения, СПОДЭС — WH</t>
  </si>
  <si>
    <t>Энергомера</t>
  </si>
  <si>
    <t>ПРАЙС ОТСУТСТВУЕТ</t>
  </si>
  <si>
    <t>Klemens</t>
  </si>
  <si>
    <t>YNN10-69-12KD-K07</t>
  </si>
  <si>
    <t>Шина «N» нулевая ШНИ-6х9-12-К-С, 12 групп, в корпусном изоляторе на DIN-рейку</t>
  </si>
  <si>
    <t>IEK</t>
  </si>
  <si>
    <t>130200401_</t>
  </si>
  <si>
    <t>Шина «PE» земля ШНИ-6х9-12-К-З, 12 групп, в корпусном изоляторе на DIN-рейку</t>
  </si>
  <si>
    <t>UNIT</t>
  </si>
  <si>
    <t>montajный материал</t>
  </si>
  <si>
    <t>270300079_</t>
  </si>
  <si>
    <t>Кабель-канал перфорированный 25х40 мм</t>
  </si>
  <si>
    <t>м</t>
  </si>
  <si>
    <t>130200350_</t>
  </si>
  <si>
    <t>DIN-рейка 50 см (доп. ряд / запас)</t>
  </si>
  <si>
    <t>Монтажный материал (провод ПуГВ, наконечники, маркировка, крепёж, метизы)</t>
  </si>
  <si>
    <t>компл.</t>
  </si>
  <si>
    <t>—</t>
  </si>
  <si>
    <t>montajная работа</t>
  </si>
  <si>
    <t>Сборка щита, монтаж, маркировка, испытание и приёмка</t>
  </si>
  <si>
    <t>мин.</t>
  </si>
  <si>
    <t>Toplam ЩС — Coffee Room / Runway Kitchen</t>
  </si>
  <si>
    <t>KZT</t>
  </si>
  <si>
    <t>KONTROL / KAPSAM DIŞI — pano toplamına DAHİL DEĞİLDİR (adetler gerçek)</t>
  </si>
  <si>
    <t>kablo</t>
  </si>
  <si>
    <t>Кабель NHXMH 3х1,5 мм² (Гр-1, освещение)</t>
  </si>
  <si>
    <t>VATAN</t>
  </si>
  <si>
    <t>Кабель NHXMH 3х2,5 мм² (Гр-2,3,5,8,9, Резерв)</t>
  </si>
  <si>
    <t>Кабель NHXMH 3х4 мм² (Гр-4,6,7)</t>
  </si>
  <si>
    <t>Кабель питающий NHXMH 5х6 мм² — ДЛИНА НЕ УКАЗАНА, КОНТРОЛЬ</t>
  </si>
  <si>
    <t>lamb</t>
  </si>
  <si>
    <t>Люстра Л1, 450х200</t>
  </si>
  <si>
    <t>Люстра Л2, 35х35х110</t>
  </si>
  <si>
    <t>Люстра Л3, 100х5</t>
  </si>
  <si>
    <t>opn</t>
  </si>
  <si>
    <t>Устройство защиты от импульсных перенапряжений (ОПН/SPD) — В ПРОЕКТЕ ОТСУТСТВУЕТ, КОНТРОЛЬ</t>
  </si>
  <si>
    <t>ABB OVR</t>
  </si>
  <si>
    <t>№</t>
  </si>
  <si>
    <t>Наименование щита</t>
  </si>
  <si>
    <t>Материалы, KZT</t>
  </si>
  <si>
    <t>Монтажный материал, KZT</t>
  </si>
  <si>
    <t>Работа, KZT</t>
  </si>
  <si>
    <t>Итого за щит, KZT</t>
  </si>
  <si>
    <t>Кол-во щитов</t>
  </si>
  <si>
    <t>Всего, KZT</t>
  </si>
  <si>
    <t>ИТОГО</t>
  </si>
  <si>
    <t>⚠ Позиций без цены (сумма НЕПОЛНАЯ)</t>
  </si>
  <si>
    <t>⚠ Статус суммы</t>
  </si>
  <si>
    <t>Parametre</t>
  </si>
  <si>
    <t>Değer</t>
  </si>
  <si>
    <t>Birim</t>
  </si>
  <si>
    <t>Açıklama / Kaynak</t>
  </si>
  <si>
    <t>FİYAT PARAMETRELERİ (sarı hücreler düzenlenebilir)</t>
  </si>
  <si>
    <t>EUR/KZT kuru</t>
  </si>
  <si>
    <t>KZT/EUR</t>
  </si>
  <si>
    <t>НБ РК 14.07.2026 — ⚠ BOM günündeki kur ile güncellenmeli</t>
  </si>
  <si>
    <t>ABB liste çarpanı</t>
  </si>
  <si>
    <t>Proje kuralı: liste EUR × 1.35 = F sütunu</t>
  </si>
  <si>
    <t>ABB net katsayısı (standart ürün)</t>
  </si>
  <si>
    <t>%70 iskonto. Ayarlanabilir/açık tip şalterlerde 0.23 kullanılır — bu projede yok</t>
  </si>
  <si>
    <t>EKT / IEK / UNIT katsayısı</t>
  </si>
  <si>
    <t>Yerel liste net fiyattır</t>
  </si>
  <si>
    <t>Montaj malzemesi oranı</t>
  </si>
  <si>
    <t>Malzeme ara toplamının %3'ü</t>
  </si>
  <si>
    <t>İşçilik birim fiyatı</t>
  </si>
  <si>
    <t>KZT/dk</t>
  </si>
  <si>
    <t>Sözleşme birim fiyatı</t>
  </si>
  <si>
    <t>İŞÇİLİK NORMLARI (dakika)</t>
  </si>
  <si>
    <t>OTO (MCB) 1P</t>
  </si>
  <si>
    <t>dk/adet</t>
  </si>
  <si>
    <t>OTO (MCB) 3P</t>
  </si>
  <si>
    <t>DİF / OTO 2P (1P+N)</t>
  </si>
  <si>
    <t>Sayaç (direkt bağlantı, trafosuz)</t>
  </si>
  <si>
    <t>Trafolu sayaç normu 90 dk</t>
  </si>
  <si>
    <t>Şina / klemens bloğu</t>
  </si>
  <si>
    <t>Kablo kanalı + DIN ray</t>
  </si>
  <si>
    <t>dk/m</t>
  </si>
  <si>
    <t>Korpus hazırlık — küçük pano</t>
  </si>
  <si>
    <t>dk</t>
  </si>
  <si>
    <t>Orta 45 dk / ayaklı 90 dk</t>
  </si>
  <si>
    <t>Test, etiketleme, kontrol çarpanı</t>
  </si>
  <si>
    <t>TOPLAM İŞÇİLİK</t>
  </si>
  <si>
    <t>Formül — elle değiştirilmez</t>
  </si>
  <si>
    <t>UYARILAR VE KONTROL NOTLARI</t>
  </si>
  <si>
    <t>⚠ ŞEMA–SPESİFİKASYON UYUŞMAZLIĞI</t>
  </si>
  <si>
    <t>Onaylı şemada (lист 2): 16A×7 (2,3,5,6,8,9,10QF), 25A×1 (7QF), 32A×1 (4QF). Spesifikasyonda: 16A×6, 25A×2, 32A×1. Toplam her iki kaynakta da 9 adet. ŞEMA ESAS ALINDI. Müşteri teyidi alınmalı.</t>
  </si>
  <si>
    <t>⚠ SAYAÇ FİYATI YOK</t>
  </si>
  <si>
    <t>CE308-S34.746.0G.OYUVLFZ (Энергомера, СПОДЭС) hiçbir fiyat listesinde yok. G sütunu boş bırakıldı — PANO TOPLAMI EKSİKTİR. Tedarikçiden fiyat alınıp G sütununa girilmeli.</t>
  </si>
  <si>
    <t>⚠ PARAFUDR (ОПН) YOK</t>
  </si>
  <si>
    <t>Şemadaki 'СПОДЭС/SPDS' ifadesi sayacın haberleşme protokolüdür, parafudr DEĞİLDİR. Projede ОПН bulunmuyor. Havalimanı tesisi için Tip 2 parafudr (ABB OVR T2) önerilir — müşteri onayı gerekli.</t>
  </si>
  <si>
    <t>⚠ MODÜL DOLULUĞU</t>
  </si>
  <si>
    <t>Kullanılan: 3(giriş)+7(sayaç)+1(OTO 1P)+18(9×DİF 2P) = 29 modül / 36 modül = %80,6. Boş kapasite %19,4 — hedef %20'nin hemen altında. ЩРН-45 (540×365×120, art. 251000283_) önerilir.</t>
  </si>
  <si>
    <t>⚠ KORPUS FİYAT FARKI</t>
  </si>
  <si>
    <t>EKT listesinde ЩРН-36 iki farklı sayfada farklı fiyatta: 'panolar' sekmesi 7 220 KZT, 'Лист1' 9 265 KZT. Yüksek olan (9 265) alındı. Tedarikçiden teyit edilmeli.</t>
  </si>
  <si>
    <t>⚠ FİYAT LİSTESİ YAŞLARI</t>
  </si>
  <si>
    <t>ABB Kasım 2025 (~9 ay) — KULLANILABİLİR. EKT 19.06.2025 (~13,5 ay) — UYARI, güncellenmeli. Klemsan (11.2022), ONKA (07.2022), EKF (02.2022) — YASAK, bu BOM'da kullanılmadı.</t>
  </si>
  <si>
    <t>⚠ DÖVİZ KURU</t>
  </si>
  <si>
    <t>545,58 KZT/EUR — 14.07.2026 НБ РК. Teklif gününde güncellenmeli (Kurallar!B3).</t>
  </si>
  <si>
    <t>MUADİL SEÇİMİ — ВА47-29 → ABB S200</t>
  </si>
  <si>
    <t>ВА47-29 (4,5 kA) yerine ABB S200 serisi (6 kA) seçildi — üst performans, GOST/IEC 60898 uyumlu.</t>
  </si>
  <si>
    <t>MUADİL SEÇİMİ — АД-12 → ABB DS201</t>
  </si>
  <si>
    <t>АД-12 tip AC diferansiyeldir. ABB DS201 ... AC30 (1P+N, 6 kA, 30 mA, tip AC) seçildi. Tip A istenirse: DS201 C16 A30 / C25 A30 / C32 A30 olarak değiştirilmeli.</t>
  </si>
  <si>
    <t>TARAK BARA KULLANILMADI</t>
  </si>
  <si>
    <t>Gruplar 3 faza dağıtıldığı ve cihazlar 1P+N olduğu için tarak bara (PS 2/..) uygun değil. Dağıtım ПуГВ iletken ile yapılır — montaj malzemesi kalemine dahildir.</t>
  </si>
  <si>
    <t>DIN RAY</t>
  </si>
  <si>
    <t>ЩРН-36 korpusu DIN ray ile birlikte gelir. Listeye 1 adet 50 cm yedek ray eklendi.</t>
  </si>
  <si>
    <t>KAPSAM DIŞI KALEMLER</t>
  </si>
  <si>
    <t>Kablolar (NHXMH) ve aydınlatma armatürleri (люстры) pano kapsamı dışındadır. BOM'da gerçek adetleriyle KONTROL bölümünde listelenmiştir, toplama dahil edilmemiştir.</t>
  </si>
  <si>
    <t>BESLEME KABLOSU</t>
  </si>
  <si>
    <t>Şemada NHXMH 5×6 mm² besleme kablosu var, uzunluk belirtilmemiş — KONTROL EDİLECEK.</t>
  </si>
  <si>
    <t>KAYNAK BELGELER</t>
  </si>
  <si>
    <t>4327_001 Согласованный проект аэропортом — лист 2 (принципиальная схема ЩС, onaylı revizyon) ve лист 1 (спецификация оборудования). Лист 1'deki eski revizyon şema kullanılmadı.</t>
  </si>
  <si>
    <t>716-15020</t>
  </si>
  <si>
    <t>Щит ЩУРн-3/48 окошко (540х600х165) S/U 36 IP31(TS)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</si>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</sst>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204"/>
    </font>
    <font>
      <sz val="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D9D9D9"/>
      </patternFill>
    </fill>
    <fill>
      <patternFill patternType="solid">
        <fgColor rgb="FFD9D9D9"/>
        <b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3" fontId="1" fillId="5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ColWidth="8.7109375" defaultRowHeight="15" x14ac:dyDescent="0.25"/>
  <cols>
    <col min="1" max="1" width="6" customWidth="1"/>
    <col min="2" max="2" width="26" customWidth="1"/>
    <col min="3" max="3" width="20" customWidth="1"/>
    <col min="4" max="4" width="24" customWidth="1"/>
    <col min="5" max="5" width="62" customWidth="1"/>
    <col min="6" max="6" width="11" customWidth="1"/>
    <col min="7" max="8" width="14" customWidth="1"/>
    <col min="9" max="9" width="9" style="31" customWidth="1"/>
    <col min="10" max="10" width="10" style="31" customWidth="1"/>
    <col min="11" max="11" width="12" style="31" customWidth="1"/>
    <col min="12" max="12" width="14" customWidth="1"/>
    <col min="13" max="13" width="18" customWidth="1"/>
  </cols>
  <sheetData>
    <row r="1" spans="1:1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x14ac:dyDescent="0.25">
      <c r="A2" s="2">
        <v>1</v>
      </c>
      <c r="B2" s="3" t="str">
        <f>E2</f>
        <v>ЩС — ресторан «Coffee Room» / Runway Kitchen, Международный аэропорт Алматы</v>
      </c>
      <c r="C2" s="2" t="s">
        <v>13</v>
      </c>
      <c r="D2" s="2"/>
      <c r="E2" s="4" t="s">
        <v>14</v>
      </c>
      <c r="F2" s="2"/>
      <c r="G2" s="2"/>
      <c r="H2" s="2"/>
      <c r="I2" s="26">
        <v>1</v>
      </c>
      <c r="J2" s="26" t="s">
        <v>15</v>
      </c>
      <c r="K2" s="26"/>
      <c r="L2" s="2"/>
      <c r="M2" s="2"/>
    </row>
    <row r="3" spans="1:13" x14ac:dyDescent="0.25">
      <c r="A3" s="5">
        <v>2</v>
      </c>
      <c r="B3" s="5" t="str">
        <f t="shared" ref="B3:B15" si="0">$E$2</f>
        <v>ЩС — ресторан «Coffee Room» / Runway Kitchen, Международный аэропорт Алматы</v>
      </c>
      <c r="C3" s="5" t="s">
        <v>16</v>
      </c>
      <c r="D3" s="5" t="s">
        <v>148</v>
      </c>
      <c r="E3" s="6" t="s">
        <v>149</v>
      </c>
      <c r="F3" s="7">
        <v>21735</v>
      </c>
      <c r="G3" s="8">
        <f>0.6*F3</f>
        <v>13041</v>
      </c>
      <c r="H3" s="8">
        <f t="shared" ref="H3:H13" si="1">IF(G3="","",ROUND(G3*I3,0))</f>
        <v>13041</v>
      </c>
      <c r="I3" s="27">
        <v>1</v>
      </c>
      <c r="J3" s="27" t="s">
        <v>17</v>
      </c>
      <c r="K3" s="27" t="s">
        <v>150</v>
      </c>
      <c r="L3" s="7">
        <v>9265</v>
      </c>
      <c r="M3" s="5" t="s">
        <v>18</v>
      </c>
    </row>
    <row r="4" spans="1:13" ht="24" x14ac:dyDescent="0.25">
      <c r="A4" s="5">
        <v>3</v>
      </c>
      <c r="B4" s="5" t="str">
        <f t="shared" si="0"/>
        <v>ЩС — ресторан «Coffee Room» / Runway Kitchen, Международный аэропорт Алматы</v>
      </c>
      <c r="C4" s="5" t="s">
        <v>19</v>
      </c>
      <c r="D4" s="5" t="s">
        <v>20</v>
      </c>
      <c r="E4" s="6" t="s">
        <v>21</v>
      </c>
      <c r="F4" s="7">
        <f>ROUND(L4*Kurallar!$B$4,2)</f>
        <v>85.08</v>
      </c>
      <c r="G4" s="8">
        <f>ROUND(F4*Kurallar!$B$5*Kurallar!$B$3,0)</f>
        <v>13925</v>
      </c>
      <c r="H4" s="8">
        <f t="shared" si="1"/>
        <v>13925</v>
      </c>
      <c r="I4" s="27">
        <v>1</v>
      </c>
      <c r="J4" s="27" t="s">
        <v>17</v>
      </c>
      <c r="K4" s="27" t="s">
        <v>22</v>
      </c>
      <c r="L4" s="7">
        <v>63.02</v>
      </c>
      <c r="M4" s="5" t="s">
        <v>23</v>
      </c>
    </row>
    <row r="5" spans="1:13" ht="24" x14ac:dyDescent="0.25">
      <c r="A5" s="5">
        <v>4</v>
      </c>
      <c r="B5" s="5" t="str">
        <f t="shared" si="0"/>
        <v>ЩС — ресторан «Coffee Room» / Runway Kitchen, Международный аэропорт Алматы</v>
      </c>
      <c r="C5" s="5" t="s">
        <v>19</v>
      </c>
      <c r="D5" s="5" t="s">
        <v>24</v>
      </c>
      <c r="E5" s="6" t="s">
        <v>25</v>
      </c>
      <c r="F5" s="7">
        <f>ROUND(L5*Kurallar!$B$4,2)</f>
        <v>14.54</v>
      </c>
      <c r="G5" s="8">
        <f>ROUND(F5*Kurallar!$B$5*Kurallar!$B$3,0)</f>
        <v>2380</v>
      </c>
      <c r="H5" s="8">
        <f t="shared" si="1"/>
        <v>2380</v>
      </c>
      <c r="I5" s="27">
        <v>1</v>
      </c>
      <c r="J5" s="27" t="s">
        <v>17</v>
      </c>
      <c r="K5" s="27" t="s">
        <v>22</v>
      </c>
      <c r="L5" s="7">
        <v>10.77</v>
      </c>
      <c r="M5" s="5" t="s">
        <v>23</v>
      </c>
    </row>
    <row r="6" spans="1:13" ht="24" x14ac:dyDescent="0.25">
      <c r="A6" s="5">
        <v>5</v>
      </c>
      <c r="B6" s="5" t="str">
        <f t="shared" si="0"/>
        <v>ЩС — ресторан «Coffee Room» / Runway Kitchen, Международный аэропорт Алматы</v>
      </c>
      <c r="C6" s="5" t="s">
        <v>26</v>
      </c>
      <c r="D6" s="5" t="s">
        <v>27</v>
      </c>
      <c r="E6" s="6" t="s">
        <v>28</v>
      </c>
      <c r="F6" s="7">
        <f>ROUND(L6*Kurallar!$B$4,2)</f>
        <v>118.3</v>
      </c>
      <c r="G6" s="8">
        <f>ROUND(F6*Kurallar!$B$5*Kurallar!$B$3,0)</f>
        <v>19363</v>
      </c>
      <c r="H6" s="8">
        <f t="shared" si="1"/>
        <v>116178</v>
      </c>
      <c r="I6" s="27">
        <v>6</v>
      </c>
      <c r="J6" s="27" t="s">
        <v>17</v>
      </c>
      <c r="K6" s="27" t="s">
        <v>22</v>
      </c>
      <c r="L6" s="7">
        <v>87.63</v>
      </c>
      <c r="M6" s="5" t="s">
        <v>23</v>
      </c>
    </row>
    <row r="7" spans="1:13" ht="24" x14ac:dyDescent="0.25">
      <c r="A7" s="5">
        <v>6</v>
      </c>
      <c r="B7" s="5" t="str">
        <f t="shared" si="0"/>
        <v>ЩС — ресторан «Coffee Room» / Runway Kitchen, Международный аэропорт Алматы</v>
      </c>
      <c r="C7" s="5" t="s">
        <v>26</v>
      </c>
      <c r="D7" s="5" t="s">
        <v>29</v>
      </c>
      <c r="E7" s="6" t="s">
        <v>30</v>
      </c>
      <c r="F7" s="7">
        <f>ROUND(L7*Kurallar!$B$4,2)</f>
        <v>118.3</v>
      </c>
      <c r="G7" s="8">
        <f>ROUND(F7*Kurallar!$B$5*Kurallar!$B$3,0)</f>
        <v>19363</v>
      </c>
      <c r="H7" s="8">
        <f t="shared" si="1"/>
        <v>38726</v>
      </c>
      <c r="I7" s="27">
        <v>2</v>
      </c>
      <c r="J7" s="27" t="s">
        <v>17</v>
      </c>
      <c r="K7" s="27" t="s">
        <v>22</v>
      </c>
      <c r="L7" s="7">
        <v>87.63</v>
      </c>
      <c r="M7" s="5" t="s">
        <v>23</v>
      </c>
    </row>
    <row r="8" spans="1:13" ht="24" x14ac:dyDescent="0.25">
      <c r="A8" s="5">
        <v>7</v>
      </c>
      <c r="B8" s="5" t="str">
        <f t="shared" si="0"/>
        <v>ЩС — ресторан «Coffee Room» / Runway Kitchen, Международный аэропорт Алматы</v>
      </c>
      <c r="C8" s="5" t="s">
        <v>26</v>
      </c>
      <c r="D8" s="5" t="s">
        <v>31</v>
      </c>
      <c r="E8" s="6" t="s">
        <v>32</v>
      </c>
      <c r="F8" s="7">
        <f>ROUND(L8*Kurallar!$B$4,2)</f>
        <v>130.47999999999999</v>
      </c>
      <c r="G8" s="8">
        <f>ROUND(F8*Kurallar!$B$5*Kurallar!$B$3,0)</f>
        <v>21356</v>
      </c>
      <c r="H8" s="8">
        <f t="shared" si="1"/>
        <v>21356</v>
      </c>
      <c r="I8" s="27">
        <v>1</v>
      </c>
      <c r="J8" s="27" t="s">
        <v>17</v>
      </c>
      <c r="K8" s="27" t="s">
        <v>22</v>
      </c>
      <c r="L8" s="7">
        <v>96.65</v>
      </c>
      <c r="M8" s="5" t="s">
        <v>23</v>
      </c>
    </row>
    <row r="9" spans="1:13" ht="24" x14ac:dyDescent="0.25">
      <c r="A9" s="5">
        <v>8</v>
      </c>
      <c r="B9" s="5" t="str">
        <f t="shared" si="0"/>
        <v>ЩС — ресторан «Coffee Room» / Runway Kitchen, Международный аэропорт Алматы</v>
      </c>
      <c r="C9" s="5" t="s">
        <v>33</v>
      </c>
      <c r="D9" s="5" t="s">
        <v>34</v>
      </c>
      <c r="E9" s="6" t="s">
        <v>35</v>
      </c>
      <c r="F9" s="7">
        <v>126000</v>
      </c>
      <c r="G9" s="9">
        <f>F9</f>
        <v>126000</v>
      </c>
      <c r="H9" s="8">
        <f t="shared" si="1"/>
        <v>126000</v>
      </c>
      <c r="I9" s="27">
        <v>1</v>
      </c>
      <c r="J9" s="27" t="s">
        <v>17</v>
      </c>
      <c r="K9" s="27" t="s">
        <v>36</v>
      </c>
      <c r="L9" s="7"/>
      <c r="M9" s="5" t="s">
        <v>37</v>
      </c>
    </row>
    <row r="10" spans="1:13" ht="24" x14ac:dyDescent="0.25">
      <c r="A10" s="5">
        <v>9</v>
      </c>
      <c r="B10" s="5" t="str">
        <f t="shared" si="0"/>
        <v>ЩС — ресторан «Coffee Room» / Runway Kitchen, Международный аэропорт Алматы</v>
      </c>
      <c r="C10" s="5" t="s">
        <v>38</v>
      </c>
      <c r="D10" s="5" t="s">
        <v>39</v>
      </c>
      <c r="E10" s="6" t="s">
        <v>40</v>
      </c>
      <c r="F10" s="7"/>
      <c r="G10" s="8">
        <f>ROUND(L10*Kurallar!$B$6,0)</f>
        <v>558</v>
      </c>
      <c r="H10" s="8">
        <f t="shared" si="1"/>
        <v>558</v>
      </c>
      <c r="I10" s="27">
        <v>1</v>
      </c>
      <c r="J10" s="27" t="s">
        <v>17</v>
      </c>
      <c r="K10" s="27" t="s">
        <v>41</v>
      </c>
      <c r="L10" s="7">
        <v>558</v>
      </c>
      <c r="M10" s="5" t="s">
        <v>18</v>
      </c>
    </row>
    <row r="11" spans="1:13" ht="24" x14ac:dyDescent="0.25">
      <c r="A11" s="5">
        <v>10</v>
      </c>
      <c r="B11" s="5" t="str">
        <f t="shared" si="0"/>
        <v>ЩС — ресторан «Coffee Room» / Runway Kitchen, Международный аэропорт Алматы</v>
      </c>
      <c r="C11" s="5" t="s">
        <v>38</v>
      </c>
      <c r="D11" s="5" t="s">
        <v>42</v>
      </c>
      <c r="E11" s="6" t="s">
        <v>43</v>
      </c>
      <c r="F11" s="7"/>
      <c r="G11" s="8">
        <f>ROUND(L11*Kurallar!$B$6,0)</f>
        <v>514</v>
      </c>
      <c r="H11" s="8">
        <f t="shared" si="1"/>
        <v>514</v>
      </c>
      <c r="I11" s="27">
        <v>1</v>
      </c>
      <c r="J11" s="27" t="s">
        <v>17</v>
      </c>
      <c r="K11" s="27" t="s">
        <v>44</v>
      </c>
      <c r="L11" s="7">
        <v>514</v>
      </c>
      <c r="M11" s="5" t="s">
        <v>18</v>
      </c>
    </row>
    <row r="12" spans="1:13" x14ac:dyDescent="0.25">
      <c r="A12" s="5">
        <v>11</v>
      </c>
      <c r="B12" s="5" t="str">
        <f t="shared" si="0"/>
        <v>ЩС — ресторан «Coffee Room» / Runway Kitchen, Международный аэропорт Алматы</v>
      </c>
      <c r="C12" s="5" t="s">
        <v>45</v>
      </c>
      <c r="D12" s="5" t="s">
        <v>46</v>
      </c>
      <c r="E12" s="6" t="s">
        <v>47</v>
      </c>
      <c r="F12" s="7"/>
      <c r="G12" s="8">
        <f>ROUND(L12*Kurallar!$B$6,0)</f>
        <v>1094</v>
      </c>
      <c r="H12" s="8">
        <f t="shared" si="1"/>
        <v>2188</v>
      </c>
      <c r="I12" s="27">
        <v>2</v>
      </c>
      <c r="J12" s="27" t="s">
        <v>48</v>
      </c>
      <c r="K12" s="27" t="s">
        <v>41</v>
      </c>
      <c r="L12" s="7">
        <v>1094</v>
      </c>
      <c r="M12" s="5" t="s">
        <v>18</v>
      </c>
    </row>
    <row r="13" spans="1:13" x14ac:dyDescent="0.25">
      <c r="A13" s="5">
        <v>12</v>
      </c>
      <c r="B13" s="5" t="str">
        <f t="shared" si="0"/>
        <v>ЩС — ресторан «Coffee Room» / Runway Kitchen, Международный аэропорт Алматы</v>
      </c>
      <c r="C13" s="5" t="s">
        <v>45</v>
      </c>
      <c r="D13" s="5" t="s">
        <v>49</v>
      </c>
      <c r="E13" s="6" t="s">
        <v>50</v>
      </c>
      <c r="F13" s="7"/>
      <c r="G13" s="8">
        <f>ROUND(L13*Kurallar!$B$6,0)</f>
        <v>296</v>
      </c>
      <c r="H13" s="8">
        <f t="shared" si="1"/>
        <v>296</v>
      </c>
      <c r="I13" s="27">
        <v>1</v>
      </c>
      <c r="J13" s="27" t="s">
        <v>17</v>
      </c>
      <c r="K13" s="27" t="s">
        <v>44</v>
      </c>
      <c r="L13" s="7">
        <v>296</v>
      </c>
      <c r="M13" s="5" t="s">
        <v>18</v>
      </c>
    </row>
    <row r="14" spans="1:13" ht="24" x14ac:dyDescent="0.25">
      <c r="A14" s="5">
        <v>13</v>
      </c>
      <c r="B14" s="5" t="str">
        <f t="shared" si="0"/>
        <v>ЩС — ресторан «Coffee Room» / Runway Kitchen, Международный аэропорт Алматы</v>
      </c>
      <c r="C14" s="5" t="s">
        <v>45</v>
      </c>
      <c r="D14" s="5"/>
      <c r="E14" s="6" t="s">
        <v>51</v>
      </c>
      <c r="F14" s="7"/>
      <c r="G14" s="8">
        <f>ROUND(SUM(H3:H13)*Kurallar!$B$7,0)</f>
        <v>10055</v>
      </c>
      <c r="H14" s="8">
        <f>ROUND(G14*I14,0)</f>
        <v>10055</v>
      </c>
      <c r="I14" s="27">
        <v>1</v>
      </c>
      <c r="J14" s="27" t="s">
        <v>52</v>
      </c>
      <c r="K14" s="27" t="s">
        <v>53</v>
      </c>
      <c r="L14" s="7"/>
      <c r="M14" s="5"/>
    </row>
    <row r="15" spans="1:13" x14ac:dyDescent="0.25">
      <c r="A15" s="5">
        <v>14</v>
      </c>
      <c r="B15" s="5" t="str">
        <f t="shared" si="0"/>
        <v>ЩС — ресторан «Coffee Room» / Runway Kitchen, Международный аэропорт Алматы</v>
      </c>
      <c r="C15" s="5" t="s">
        <v>54</v>
      </c>
      <c r="D15" s="5"/>
      <c r="E15" s="6" t="s">
        <v>55</v>
      </c>
      <c r="F15" s="7">
        <f>ROUND(I15/60,2)</f>
        <v>3.23</v>
      </c>
      <c r="G15" s="8">
        <f>Kurallar!$B$8</f>
        <v>100</v>
      </c>
      <c r="H15" s="8">
        <f>ROUND(G15*I15,0)</f>
        <v>19400</v>
      </c>
      <c r="I15" s="27">
        <f>Kurallar!$B$20</f>
        <v>194</v>
      </c>
      <c r="J15" s="27" t="s">
        <v>56</v>
      </c>
      <c r="K15" s="27" t="s">
        <v>53</v>
      </c>
      <c r="L15" s="7"/>
      <c r="M15" s="5"/>
    </row>
    <row r="16" spans="1:13" x14ac:dyDescent="0.25">
      <c r="A16" s="10"/>
      <c r="B16" s="10" t="s">
        <v>57</v>
      </c>
      <c r="C16" s="10"/>
      <c r="D16" s="10"/>
      <c r="E16" s="11"/>
      <c r="F16" s="10"/>
      <c r="G16" s="10"/>
      <c r="H16" s="12">
        <f>SUBTOTAL(9,H3:H15)</f>
        <v>364617</v>
      </c>
      <c r="I16" s="28"/>
      <c r="J16" s="28" t="s">
        <v>58</v>
      </c>
      <c r="K16" s="28"/>
      <c r="L16" s="10"/>
      <c r="M16" s="10"/>
    </row>
    <row r="17" spans="1:13" x14ac:dyDescent="0.25">
      <c r="A17" s="13"/>
      <c r="B17" s="13" t="s">
        <v>59</v>
      </c>
      <c r="C17" s="13"/>
      <c r="D17" s="13"/>
      <c r="E17" s="14"/>
      <c r="F17" s="13"/>
      <c r="G17" s="13"/>
      <c r="H17" s="13"/>
      <c r="I17" s="29"/>
      <c r="J17" s="29"/>
      <c r="K17" s="29"/>
      <c r="L17" s="13"/>
      <c r="M17" s="13"/>
    </row>
    <row r="18" spans="1:13" x14ac:dyDescent="0.25">
      <c r="A18" s="15">
        <v>1</v>
      </c>
      <c r="B18" s="15"/>
      <c r="C18" s="15" t="s">
        <v>60</v>
      </c>
      <c r="D18" s="15" t="s">
        <v>53</v>
      </c>
      <c r="E18" s="16" t="s">
        <v>61</v>
      </c>
      <c r="F18" s="15"/>
      <c r="G18" s="15"/>
      <c r="H18" s="15"/>
      <c r="I18" s="30">
        <v>20</v>
      </c>
      <c r="J18" s="30" t="s">
        <v>48</v>
      </c>
      <c r="K18" s="30" t="s">
        <v>62</v>
      </c>
      <c r="L18" s="15"/>
      <c r="M18" s="15"/>
    </row>
    <row r="19" spans="1:13" x14ac:dyDescent="0.25">
      <c r="A19" s="15">
        <v>2</v>
      </c>
      <c r="B19" s="15"/>
      <c r="C19" s="15" t="s">
        <v>60</v>
      </c>
      <c r="D19" s="15" t="s">
        <v>53</v>
      </c>
      <c r="E19" s="16" t="s">
        <v>63</v>
      </c>
      <c r="F19" s="15"/>
      <c r="G19" s="15"/>
      <c r="H19" s="15"/>
      <c r="I19" s="30">
        <v>70</v>
      </c>
      <c r="J19" s="30" t="s">
        <v>48</v>
      </c>
      <c r="K19" s="30" t="s">
        <v>62</v>
      </c>
      <c r="L19" s="15"/>
      <c r="M19" s="15"/>
    </row>
    <row r="20" spans="1:13" x14ac:dyDescent="0.25">
      <c r="A20" s="15">
        <v>3</v>
      </c>
      <c r="B20" s="15"/>
      <c r="C20" s="15" t="s">
        <v>60</v>
      </c>
      <c r="D20" s="15" t="s">
        <v>53</v>
      </c>
      <c r="E20" s="16" t="s">
        <v>64</v>
      </c>
      <c r="F20" s="15"/>
      <c r="G20" s="15"/>
      <c r="H20" s="15"/>
      <c r="I20" s="30">
        <v>32</v>
      </c>
      <c r="J20" s="30" t="s">
        <v>48</v>
      </c>
      <c r="K20" s="30" t="s">
        <v>62</v>
      </c>
      <c r="L20" s="15"/>
      <c r="M20" s="15"/>
    </row>
    <row r="21" spans="1:13" x14ac:dyDescent="0.25">
      <c r="A21" s="15">
        <v>4</v>
      </c>
      <c r="B21" s="15"/>
      <c r="C21" s="15" t="s">
        <v>60</v>
      </c>
      <c r="D21" s="15" t="s">
        <v>53</v>
      </c>
      <c r="E21" s="16" t="s">
        <v>65</v>
      </c>
      <c r="F21" s="15"/>
      <c r="G21" s="15"/>
      <c r="H21" s="15"/>
      <c r="I21" s="30">
        <v>0</v>
      </c>
      <c r="J21" s="30" t="s">
        <v>48</v>
      </c>
      <c r="K21" s="30" t="s">
        <v>62</v>
      </c>
      <c r="L21" s="15"/>
      <c r="M21" s="15"/>
    </row>
    <row r="22" spans="1:13" x14ac:dyDescent="0.25">
      <c r="A22" s="15">
        <v>5</v>
      </c>
      <c r="B22" s="15"/>
      <c r="C22" s="15" t="s">
        <v>66</v>
      </c>
      <c r="D22" s="15" t="s">
        <v>53</v>
      </c>
      <c r="E22" s="16" t="s">
        <v>67</v>
      </c>
      <c r="F22" s="15"/>
      <c r="G22" s="15"/>
      <c r="H22" s="15"/>
      <c r="I22" s="30">
        <v>1</v>
      </c>
      <c r="J22" s="30" t="s">
        <v>17</v>
      </c>
      <c r="K22" s="30" t="s">
        <v>53</v>
      </c>
      <c r="L22" s="15"/>
      <c r="M22" s="15"/>
    </row>
    <row r="23" spans="1:13" x14ac:dyDescent="0.25">
      <c r="A23" s="15">
        <v>6</v>
      </c>
      <c r="B23" s="15"/>
      <c r="C23" s="15" t="s">
        <v>66</v>
      </c>
      <c r="D23" s="15" t="s">
        <v>53</v>
      </c>
      <c r="E23" s="16" t="s">
        <v>68</v>
      </c>
      <c r="F23" s="15"/>
      <c r="G23" s="15"/>
      <c r="H23" s="15"/>
      <c r="I23" s="30">
        <v>2</v>
      </c>
      <c r="J23" s="30" t="s">
        <v>17</v>
      </c>
      <c r="K23" s="30" t="s">
        <v>53</v>
      </c>
      <c r="L23" s="15"/>
      <c r="M23" s="15"/>
    </row>
    <row r="24" spans="1:13" x14ac:dyDescent="0.25">
      <c r="A24" s="15">
        <v>7</v>
      </c>
      <c r="B24" s="15"/>
      <c r="C24" s="15" t="s">
        <v>66</v>
      </c>
      <c r="D24" s="15" t="s">
        <v>53</v>
      </c>
      <c r="E24" s="16" t="s">
        <v>69</v>
      </c>
      <c r="F24" s="15"/>
      <c r="G24" s="15"/>
      <c r="H24" s="15"/>
      <c r="I24" s="30">
        <v>2</v>
      </c>
      <c r="J24" s="30" t="s">
        <v>17</v>
      </c>
      <c r="K24" s="30" t="s">
        <v>53</v>
      </c>
      <c r="L24" s="15"/>
      <c r="M24" s="15"/>
    </row>
    <row r="25" spans="1:13" ht="24" x14ac:dyDescent="0.25">
      <c r="A25" s="15">
        <v>8</v>
      </c>
      <c r="B25" s="15"/>
      <c r="C25" s="15" t="s">
        <v>70</v>
      </c>
      <c r="D25" s="15" t="s">
        <v>53</v>
      </c>
      <c r="E25" s="16" t="s">
        <v>71</v>
      </c>
      <c r="F25" s="15"/>
      <c r="G25" s="15"/>
      <c r="H25" s="15"/>
      <c r="I25" s="30">
        <v>0</v>
      </c>
      <c r="J25" s="30" t="s">
        <v>17</v>
      </c>
      <c r="K25" s="30" t="s">
        <v>72</v>
      </c>
      <c r="L25" s="15"/>
      <c r="M25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/>
  </sheetViews>
  <sheetFormatPr defaultColWidth="8.7109375" defaultRowHeight="15" x14ac:dyDescent="0.25"/>
  <cols>
    <col min="1" max="1" width="6" customWidth="1"/>
    <col min="2" max="2" width="46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18" customWidth="1"/>
  </cols>
  <sheetData>
    <row r="1" spans="1:8" ht="33.75" customHeigh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x14ac:dyDescent="0.25">
      <c r="A2" s="17">
        <v>1</v>
      </c>
      <c r="B2" s="17" t="str">
        <f>BOM!$E$2</f>
        <v>ЩС — ресторан «Coffee Room» / Runway Kitchen, Международный аэропорт Алматы</v>
      </c>
      <c r="C2" s="18">
        <f>SUM(BOM!H3:H13)</f>
        <v>335162</v>
      </c>
      <c r="D2" s="18">
        <f>BOM!H14</f>
        <v>10055</v>
      </c>
      <c r="E2" s="18">
        <f>BOM!H15</f>
        <v>19400</v>
      </c>
      <c r="F2" s="18">
        <f>C2+D2+E2</f>
        <v>364617</v>
      </c>
      <c r="G2" s="17">
        <v>1</v>
      </c>
      <c r="H2" s="18">
        <f>ROUND(F2*G2,0)</f>
        <v>364617</v>
      </c>
    </row>
    <row r="3" spans="1:8" x14ac:dyDescent="0.25">
      <c r="A3" s="19"/>
      <c r="B3" s="19" t="s">
        <v>81</v>
      </c>
      <c r="C3" s="20">
        <f>SUM(C2:C2)</f>
        <v>335162</v>
      </c>
      <c r="D3" s="20">
        <f>SUM(D2:D2)</f>
        <v>10055</v>
      </c>
      <c r="E3" s="20">
        <f>SUM(E2:E2)</f>
        <v>19400</v>
      </c>
      <c r="F3" s="20">
        <f>SUM(F2:F2)</f>
        <v>364617</v>
      </c>
      <c r="G3" s="19"/>
      <c r="H3" s="20">
        <f>SUM(H2:H2)</f>
        <v>364617</v>
      </c>
    </row>
    <row r="4" spans="1:8" x14ac:dyDescent="0.25">
      <c r="A4" s="21"/>
      <c r="B4" s="21" t="s">
        <v>82</v>
      </c>
      <c r="C4" s="21">
        <f>COUNTBLANK(BOM!G3:G13)</f>
        <v>0</v>
      </c>
      <c r="D4" s="21"/>
      <c r="E4" s="21"/>
      <c r="F4" s="21"/>
      <c r="G4" s="21"/>
      <c r="H4" s="21"/>
    </row>
    <row r="5" spans="1:8" x14ac:dyDescent="0.25">
      <c r="A5" s="21"/>
      <c r="B5" s="21" t="s">
        <v>83</v>
      </c>
      <c r="C5" s="21" t="str">
        <f>IF(C4&gt;0,"НЕПОЛНАЯ — см. лист Kurallar","ПОЛНАЯ")</f>
        <v>ПОЛНАЯ</v>
      </c>
      <c r="D5" s="21"/>
      <c r="E5" s="21"/>
      <c r="F5" s="21"/>
      <c r="G5" s="21"/>
      <c r="H5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42" customWidth="1"/>
    <col min="2" max="2" width="14" customWidth="1"/>
    <col min="3" max="3" width="12" customWidth="1"/>
    <col min="4" max="4" width="95" customWidth="1"/>
  </cols>
  <sheetData>
    <row r="1" spans="1:4" x14ac:dyDescent="0.25">
      <c r="A1" s="22" t="s">
        <v>84</v>
      </c>
      <c r="B1" s="22" t="s">
        <v>85</v>
      </c>
      <c r="C1" s="22" t="s">
        <v>86</v>
      </c>
      <c r="D1" s="22" t="s">
        <v>87</v>
      </c>
    </row>
    <row r="2" spans="1:4" x14ac:dyDescent="0.25">
      <c r="A2" s="23" t="s">
        <v>88</v>
      </c>
      <c r="B2" s="23"/>
      <c r="C2" s="23"/>
      <c r="D2" s="24"/>
    </row>
    <row r="3" spans="1:4" x14ac:dyDescent="0.25">
      <c r="A3" s="5" t="s">
        <v>89</v>
      </c>
      <c r="B3" s="25">
        <v>545.58000000000004</v>
      </c>
      <c r="C3" s="5" t="s">
        <v>90</v>
      </c>
      <c r="D3" s="6" t="s">
        <v>91</v>
      </c>
    </row>
    <row r="4" spans="1:4" x14ac:dyDescent="0.25">
      <c r="A4" s="5" t="s">
        <v>92</v>
      </c>
      <c r="B4" s="25">
        <v>1.35</v>
      </c>
      <c r="C4" s="5" t="s">
        <v>53</v>
      </c>
      <c r="D4" s="6" t="s">
        <v>93</v>
      </c>
    </row>
    <row r="5" spans="1:4" x14ac:dyDescent="0.25">
      <c r="A5" s="5" t="s">
        <v>94</v>
      </c>
      <c r="B5" s="25">
        <v>0.3</v>
      </c>
      <c r="C5" s="5" t="s">
        <v>53</v>
      </c>
      <c r="D5" s="6" t="s">
        <v>95</v>
      </c>
    </row>
    <row r="6" spans="1:4" x14ac:dyDescent="0.25">
      <c r="A6" s="5" t="s">
        <v>96</v>
      </c>
      <c r="B6" s="25">
        <v>1</v>
      </c>
      <c r="C6" s="5" t="s">
        <v>53</v>
      </c>
      <c r="D6" s="6" t="s">
        <v>97</v>
      </c>
    </row>
    <row r="7" spans="1:4" x14ac:dyDescent="0.25">
      <c r="A7" s="5" t="s">
        <v>98</v>
      </c>
      <c r="B7" s="25">
        <v>0.03</v>
      </c>
      <c r="C7" s="5" t="s">
        <v>53</v>
      </c>
      <c r="D7" s="6" t="s">
        <v>99</v>
      </c>
    </row>
    <row r="8" spans="1:4" x14ac:dyDescent="0.25">
      <c r="A8" s="5" t="s">
        <v>100</v>
      </c>
      <c r="B8" s="25">
        <v>100</v>
      </c>
      <c r="C8" s="5" t="s">
        <v>101</v>
      </c>
      <c r="D8" s="6" t="s">
        <v>102</v>
      </c>
    </row>
    <row r="9" spans="1:4" x14ac:dyDescent="0.25">
      <c r="A9" s="23" t="s">
        <v>103</v>
      </c>
      <c r="B9" s="23"/>
      <c r="C9" s="23"/>
      <c r="D9" s="24"/>
    </row>
    <row r="10" spans="1:4" x14ac:dyDescent="0.25">
      <c r="A10" s="5" t="s">
        <v>104</v>
      </c>
      <c r="B10" s="25">
        <v>5</v>
      </c>
      <c r="C10" s="5" t="s">
        <v>105</v>
      </c>
      <c r="D10" s="6"/>
    </row>
    <row r="11" spans="1:4" x14ac:dyDescent="0.25">
      <c r="A11" s="5" t="s">
        <v>106</v>
      </c>
      <c r="B11" s="25">
        <v>8</v>
      </c>
      <c r="C11" s="5" t="s">
        <v>105</v>
      </c>
      <c r="D11" s="6"/>
    </row>
    <row r="12" spans="1:4" x14ac:dyDescent="0.25">
      <c r="A12" s="5" t="s">
        <v>107</v>
      </c>
      <c r="B12" s="25">
        <v>10</v>
      </c>
      <c r="C12" s="5" t="s">
        <v>105</v>
      </c>
      <c r="D12" s="6"/>
    </row>
    <row r="13" spans="1:4" x14ac:dyDescent="0.25">
      <c r="A13" s="5" t="s">
        <v>108</v>
      </c>
      <c r="B13" s="25">
        <v>30</v>
      </c>
      <c r="C13" s="5" t="s">
        <v>105</v>
      </c>
      <c r="D13" s="6" t="s">
        <v>109</v>
      </c>
    </row>
    <row r="14" spans="1:4" x14ac:dyDescent="0.25">
      <c r="A14" s="5" t="s">
        <v>110</v>
      </c>
      <c r="B14" s="25">
        <v>4</v>
      </c>
      <c r="C14" s="5" t="s">
        <v>105</v>
      </c>
      <c r="D14" s="6"/>
    </row>
    <row r="15" spans="1:4" x14ac:dyDescent="0.25">
      <c r="A15" s="5" t="s">
        <v>111</v>
      </c>
      <c r="B15" s="25">
        <v>5</v>
      </c>
      <c r="C15" s="5" t="s">
        <v>112</v>
      </c>
      <c r="D15" s="6"/>
    </row>
    <row r="16" spans="1:4" x14ac:dyDescent="0.25">
      <c r="A16" s="5" t="s">
        <v>113</v>
      </c>
      <c r="B16" s="25">
        <v>15</v>
      </c>
      <c r="C16" s="5" t="s">
        <v>114</v>
      </c>
      <c r="D16" s="6" t="s">
        <v>115</v>
      </c>
    </row>
    <row r="17" spans="1:4" x14ac:dyDescent="0.25">
      <c r="A17" s="5" t="s">
        <v>116</v>
      </c>
      <c r="B17" s="25">
        <v>1.1499999999999999</v>
      </c>
      <c r="C17" s="5" t="s">
        <v>53</v>
      </c>
      <c r="D17" s="6"/>
    </row>
    <row r="18" spans="1:4" x14ac:dyDescent="0.25">
      <c r="A18" s="5" t="s">
        <v>117</v>
      </c>
      <c r="B18" s="5"/>
      <c r="C18" s="5" t="s">
        <v>114</v>
      </c>
      <c r="D18" s="6" t="s">
        <v>118</v>
      </c>
    </row>
    <row r="19" spans="1:4" x14ac:dyDescent="0.25">
      <c r="A19" s="5"/>
      <c r="B19" s="5"/>
      <c r="C19" s="5"/>
      <c r="D19" s="6"/>
    </row>
    <row r="20" spans="1:4" x14ac:dyDescent="0.25">
      <c r="A20" s="5"/>
      <c r="B20" s="2">
        <f>ROUND((B11*BOM!I4 + B10*BOM!I5 + B12*(BOM!I6+BOM!I7+BOM!I8) + B13*BOM!I9 + B14*(BOM!I10+BOM!I11) + B15*(BOM!I12+0.5) + B16)*B17,0)</f>
        <v>194</v>
      </c>
      <c r="C20" s="5"/>
      <c r="D20" s="6"/>
    </row>
    <row r="21" spans="1:4" x14ac:dyDescent="0.25">
      <c r="A21" s="23" t="s">
        <v>119</v>
      </c>
      <c r="B21" s="23"/>
      <c r="C21" s="23"/>
      <c r="D21" s="24"/>
    </row>
    <row r="22" spans="1:4" ht="24" x14ac:dyDescent="0.25">
      <c r="A22" s="5" t="s">
        <v>120</v>
      </c>
      <c r="B22" s="5"/>
      <c r="C22" s="5"/>
      <c r="D22" s="6" t="s">
        <v>121</v>
      </c>
    </row>
    <row r="23" spans="1:4" ht="24" x14ac:dyDescent="0.25">
      <c r="A23" s="5" t="s">
        <v>122</v>
      </c>
      <c r="B23" s="5"/>
      <c r="C23" s="5"/>
      <c r="D23" s="6" t="s">
        <v>123</v>
      </c>
    </row>
    <row r="24" spans="1:4" ht="24" x14ac:dyDescent="0.25">
      <c r="A24" s="5" t="s">
        <v>124</v>
      </c>
      <c r="B24" s="5"/>
      <c r="C24" s="5"/>
      <c r="D24" s="6" t="s">
        <v>125</v>
      </c>
    </row>
    <row r="25" spans="1:4" ht="24" x14ac:dyDescent="0.25">
      <c r="A25" s="5" t="s">
        <v>126</v>
      </c>
      <c r="B25" s="5"/>
      <c r="C25" s="5"/>
      <c r="D25" s="6" t="s">
        <v>127</v>
      </c>
    </row>
    <row r="26" spans="1:4" ht="24" x14ac:dyDescent="0.25">
      <c r="A26" s="5" t="s">
        <v>128</v>
      </c>
      <c r="B26" s="5"/>
      <c r="C26" s="5"/>
      <c r="D26" s="6" t="s">
        <v>129</v>
      </c>
    </row>
    <row r="27" spans="1:4" ht="24" x14ac:dyDescent="0.25">
      <c r="A27" s="5" t="s">
        <v>130</v>
      </c>
      <c r="B27" s="5"/>
      <c r="C27" s="5"/>
      <c r="D27" s="6" t="s">
        <v>131</v>
      </c>
    </row>
    <row r="28" spans="1:4" x14ac:dyDescent="0.25">
      <c r="A28" s="5" t="s">
        <v>132</v>
      </c>
      <c r="B28" s="5"/>
      <c r="C28" s="5"/>
      <c r="D28" s="6" t="s">
        <v>133</v>
      </c>
    </row>
    <row r="29" spans="1:4" x14ac:dyDescent="0.25">
      <c r="A29" s="5" t="s">
        <v>134</v>
      </c>
      <c r="B29" s="5"/>
      <c r="C29" s="5"/>
      <c r="D29" s="6" t="s">
        <v>135</v>
      </c>
    </row>
    <row r="30" spans="1:4" ht="24" x14ac:dyDescent="0.25">
      <c r="A30" s="5" t="s">
        <v>136</v>
      </c>
      <c r="B30" s="5"/>
      <c r="C30" s="5"/>
      <c r="D30" s="6" t="s">
        <v>137</v>
      </c>
    </row>
    <row r="31" spans="1:4" ht="24" x14ac:dyDescent="0.25">
      <c r="A31" s="5" t="s">
        <v>138</v>
      </c>
      <c r="B31" s="5"/>
      <c r="C31" s="5"/>
      <c r="D31" s="6" t="s">
        <v>139</v>
      </c>
    </row>
    <row r="32" spans="1:4" x14ac:dyDescent="0.25">
      <c r="A32" s="5" t="s">
        <v>140</v>
      </c>
      <c r="B32" s="5"/>
      <c r="C32" s="5"/>
      <c r="D32" s="6" t="s">
        <v>141</v>
      </c>
    </row>
    <row r="33" spans="1:4" ht="24" x14ac:dyDescent="0.25">
      <c r="A33" s="5" t="s">
        <v>142</v>
      </c>
      <c r="B33" s="5"/>
      <c r="C33" s="5"/>
      <c r="D33" s="6" t="s">
        <v>143</v>
      </c>
    </row>
    <row r="34" spans="1:4" x14ac:dyDescent="0.25">
      <c r="A34" s="5" t="s">
        <v>144</v>
      </c>
      <c r="B34" s="5"/>
      <c r="C34" s="5"/>
      <c r="D34" s="6" t="s">
        <v>145</v>
      </c>
    </row>
    <row r="35" spans="1:4" ht="24" x14ac:dyDescent="0.25">
      <c r="A35" s="5" t="s">
        <v>146</v>
      </c>
      <c r="B35" s="5"/>
      <c r="C35" s="5"/>
      <c r="D35" s="6" t="s">
        <v>147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2026-08-03T09:51:33Z</dcterms:created>
  <dcterms:modified xsi:type="dcterms:W3CDTF">2026-08-04T09:17:16Z</dcterms:modified>
  <dc:language>en-US</dc:language>
</cp:coreProperties>
</file>