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04" tabRatio="500" activeTab="1"/>
  </bookViews>
  <sheets>
    <sheet name="Лист1" sheetId="2" r:id="rId1"/>
    <sheet name="fiyat calismasi burda" sheetId="1" r:id="rId2"/>
    <sheet name="Sayfa1" sheetId="3" r:id="rId3"/>
  </sheets>
  <definedNames>
    <definedName name="_xlnm._FilterDatabase" localSheetId="1" hidden="1">'fiyat calismasi burda'!$A$1:$K$27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H25" i="1" s="1"/>
  <c r="B25" i="1"/>
  <c r="G11" i="1"/>
  <c r="H11" i="1" s="1"/>
  <c r="G24" i="1"/>
  <c r="H24" i="1" s="1"/>
  <c r="G23" i="1"/>
  <c r="H23" i="1" s="1"/>
  <c r="B23" i="1"/>
  <c r="B24" i="1" s="1"/>
  <c r="G10" i="1"/>
  <c r="I27" i="1"/>
  <c r="G8" i="1"/>
  <c r="H8" i="1" s="1"/>
  <c r="G21" i="1"/>
  <c r="H21" i="1" s="1"/>
  <c r="B21" i="1"/>
  <c r="G19" i="1"/>
  <c r="H19" i="1" s="1"/>
  <c r="B19" i="1"/>
  <c r="G16" i="1"/>
  <c r="H16" i="1" s="1"/>
  <c r="B16" i="1"/>
  <c r="I13" i="1"/>
  <c r="G4" i="1"/>
  <c r="G7" i="1"/>
  <c r="H7" i="1" s="1"/>
  <c r="G6" i="1"/>
  <c r="G5" i="1"/>
  <c r="H5" i="1" s="1"/>
  <c r="G17" i="1" l="1"/>
  <c r="H17" i="1" s="1"/>
  <c r="G20" i="1" l="1"/>
  <c r="H20" i="1" s="1"/>
  <c r="G27" i="1"/>
  <c r="G22" i="1"/>
  <c r="H22" i="1" s="1"/>
  <c r="G15" i="1"/>
  <c r="H15" i="1" s="1"/>
  <c r="B14" i="1"/>
  <c r="B15" i="1" s="1"/>
  <c r="G9" i="1"/>
  <c r="H27" i="1" l="1"/>
  <c r="F26" i="1" s="1"/>
  <c r="G26" i="1" s="1"/>
  <c r="H26" i="1" s="1"/>
  <c r="B17" i="1"/>
  <c r="B18" i="1" s="1"/>
  <c r="B20" i="1" l="1"/>
  <c r="B22" i="1"/>
  <c r="B26" i="1" s="1"/>
  <c r="B27" i="1" s="1"/>
  <c r="G13" i="1" l="1"/>
  <c r="H9" i="1"/>
  <c r="H6" i="1"/>
  <c r="H4" i="1"/>
  <c r="G3" i="1"/>
  <c r="H3" i="1" s="1"/>
  <c r="B2" i="1"/>
  <c r="B3" i="1" s="1"/>
  <c r="B4" i="1" s="1"/>
  <c r="B5" i="1" s="1"/>
  <c r="B6" i="1" s="1"/>
  <c r="B7" i="1" s="1"/>
  <c r="B9" i="1" l="1"/>
  <c r="B10" i="1" s="1"/>
  <c r="B8" i="1"/>
  <c r="H13" i="1"/>
  <c r="F12" i="1" s="1"/>
  <c r="G12" i="1" s="1"/>
  <c r="H12" i="1" s="1"/>
  <c r="H10" i="1"/>
  <c r="B12" i="1" l="1"/>
  <c r="B13" i="1" s="1"/>
  <c r="B11" i="1"/>
  <c r="C5" i="3"/>
  <c r="G13" i="3"/>
  <c r="G12" i="3"/>
  <c r="G11" i="3"/>
  <c r="C12" i="3"/>
  <c r="C11" i="3"/>
  <c r="C7" i="3"/>
  <c r="C6" i="3"/>
  <c r="D4" i="3"/>
  <c r="C8" i="3"/>
</calcChain>
</file>

<file path=xl/sharedStrings.xml><?xml version="1.0" encoding="utf-8"?>
<sst xmlns="http://schemas.openxmlformats.org/spreadsheetml/2006/main" count="143" uniqueCount="54">
  <si>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</si>
  <si>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</si>
  <si>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</si>
  <si>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</si>
  <si>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</si>
  <si>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</si>
  <si>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</si>
  <si>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</si>
  <si>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</si>
  <si>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</si>
  <si>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</si>
  <si>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</si>
  <si>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</si>
  <si>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</si>
  <si>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</si>
  <si>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</si>
  <si>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oto</t>
  </si>
  <si>
    <t>BC1-3504-2413</t>
  </si>
  <si>
    <t>BY8-1402-2700</t>
  </si>
  <si>
    <t>BİRİM FİYAT</t>
  </si>
  <si>
    <t>MİKTAR</t>
  </si>
  <si>
    <t>BİRİM</t>
  </si>
  <si>
    <t>ADET</t>
  </si>
  <si>
    <t>TOPLAM</t>
  </si>
  <si>
    <t>pys</t>
  </si>
  <si>
    <t>Loobar</t>
  </si>
  <si>
    <t>SAYAÇ</t>
  </si>
  <si>
    <t>LP</t>
  </si>
  <si>
    <t>ДАЛА СА4-Э720 R TX IP P П RS1 Д W (3x220/380V 5-60A)</t>
  </si>
  <si>
    <t>saiman</t>
  </si>
  <si>
    <t>DİF</t>
  </si>
  <si>
    <t>ЩС</t>
  </si>
  <si>
    <t>Dağıtım Blok</t>
  </si>
  <si>
    <t>ABB</t>
  </si>
  <si>
    <t>2CSR255080R1254</t>
  </si>
  <si>
    <t>DS201 C25 AC30</t>
  </si>
  <si>
    <t>2CDS211001R0104</t>
  </si>
  <si>
    <t>SH 201-C 10</t>
  </si>
  <si>
    <t>2CSR255080R1164</t>
  </si>
  <si>
    <t>DS201 C16 AC30</t>
  </si>
  <si>
    <t>2CDS213001R0404</t>
  </si>
  <si>
    <t>SH 203-C 40</t>
  </si>
  <si>
    <t>2CSR255080R1324</t>
  </si>
  <si>
    <t>DS201 C32 AC30</t>
  </si>
  <si>
    <t>80A 8 Delikli</t>
  </si>
  <si>
    <t>800A 8 Delikli</t>
  </si>
  <si>
    <t>130301144_</t>
  </si>
  <si>
    <t xml:space="preserve">                ЗВИ   3 ПВХ (1,0-2,5мм ² 3А) 12 пар UNIT (10/1000)</t>
  </si>
  <si>
    <t>KLEMENS</t>
  </si>
  <si>
    <t>130301150_</t>
  </si>
  <si>
    <t xml:space="preserve">                ЗВИ  60 ПВХ (6-16мм ² 60А) 12 пар UNIT (10/200)</t>
  </si>
  <si>
    <t>130200354_</t>
  </si>
  <si>
    <t xml:space="preserve">                Шина "N" PEN "земля-ноль" 6х9мм  8/2 (крепеж по краям) UNIT (20/500)</t>
  </si>
  <si>
    <t>NÖTR-TOPRAK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</si>
</sst>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  <numFmt numFmtId="167" formatCode="_-[$₺-41F]* #,##0.00_-;\-[$₺-41F]* #,##0.00_-;_-[$₺-41F]* &quot;-&quot;??_-;_-@_-"/>
  </numFmts>
  <fonts count="14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20"/>
      <name val="Calibri"/>
      <family val="2"/>
      <charset val="204"/>
      <scheme val="minor"/>
    </font>
    <font>
      <b/>
      <sz val="16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0" fillId="4" borderId="0" xfId="0" applyFill="1"/>
    <xf numFmtId="0" fontId="7" fillId="4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 applyProtection="1">
      <alignment horizontal="center" vertical="center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10" fillId="5" borderId="1" xfId="1" applyNumberFormat="1" applyFont="1" applyFill="1" applyBorder="1" applyAlignment="1" applyProtection="1">
      <alignment horizontal="center" vertical="center" wrapText="1"/>
    </xf>
    <xf numFmtId="165" fontId="10" fillId="5" borderId="1" xfId="1" applyNumberFormat="1" applyFont="1" applyFill="1" applyBorder="1" applyAlignment="1" applyProtection="1">
      <alignment horizontal="center" vertical="center"/>
    </xf>
    <xf numFmtId="166" fontId="10" fillId="5" borderId="1" xfId="1" applyNumberFormat="1" applyFont="1" applyFill="1" applyBorder="1" applyAlignment="1" applyProtection="1">
      <alignment horizontal="center" vertical="center" wrapText="1"/>
    </xf>
    <xf numFmtId="0" fontId="10" fillId="5" borderId="1" xfId="1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" fontId="12" fillId="0" borderId="1" xfId="0" quotePrefix="1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 applyProtection="1">
      <alignment horizontal="center" vertical="center"/>
    </xf>
    <xf numFmtId="166" fontId="10" fillId="0" borderId="1" xfId="1" applyNumberFormat="1" applyFont="1" applyFill="1" applyBorder="1" applyAlignment="1" applyProtection="1">
      <alignment horizontal="center" vertical="center" wrapText="1"/>
    </xf>
    <xf numFmtId="0" fontId="10" fillId="0" borderId="1" xfId="1" applyNumberFormat="1" applyFont="1" applyFill="1" applyBorder="1" applyAlignment="1" applyProtection="1">
      <alignment horizontal="center" vertical="center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10" fillId="2" borderId="1" xfId="1" applyNumberFormat="1" applyFont="1" applyFill="1" applyBorder="1" applyAlignment="1" applyProtection="1">
      <alignment horizontal="right" vertical="center"/>
    </xf>
    <xf numFmtId="165" fontId="10" fillId="5" borderId="1" xfId="1" applyNumberFormat="1" applyFont="1" applyFill="1" applyBorder="1" applyAlignment="1" applyProtection="1">
      <alignment horizontal="right" vertical="center"/>
    </xf>
    <xf numFmtId="0" fontId="11" fillId="0" borderId="1" xfId="0" applyFont="1" applyFill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165" fontId="10" fillId="0" borderId="1" xfId="1" applyNumberFormat="1" applyFont="1" applyFill="1" applyBorder="1" applyAlignment="1" applyProtection="1">
      <alignment horizontal="right" vertical="center"/>
    </xf>
    <xf numFmtId="167" fontId="4" fillId="0" borderId="0" xfId="1" applyNumberFormat="1"/>
    <xf numFmtId="167" fontId="0" fillId="0" borderId="0" xfId="0" applyNumberFormat="1"/>
    <xf numFmtId="0" fontId="13" fillId="0" borderId="1" xfId="0" applyFont="1" applyFill="1" applyBorder="1" applyAlignment="1">
      <alignment horizontal="center" vertical="center" wrapText="1"/>
    </xf>
    <xf numFmtId="166" fontId="11" fillId="0" borderId="1" xfId="0" applyNumberFormat="1" applyFont="1" applyFill="1" applyBorder="1" applyAlignment="1">
      <alignment horizontal="right" vertical="center"/>
    </xf>
  </cellXfs>
  <cellStyles count="7">
    <cellStyle name="Normal" xfId="0" builtinId="0"/>
    <cellStyle name="Normal 2" xfId="4"/>
    <cellStyle name="Virgül" xfId="1" builtinId="3"/>
    <cellStyle name="Обычный 2" xfId="2"/>
    <cellStyle name="Обычный 2 2" xfId="3"/>
    <cellStyle name="Обычный 2 2 2" xfId="6"/>
    <cellStyle name="Обычный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="40" zoomScaleNormal="40" workbookViewId="0">
      <pane ySplit="1" topLeftCell="A2" activePane="bottomLeft" state="frozen"/>
      <selection pane="bottomLeft" activeCell="B24" sqref="B24"/>
    </sheetView>
  </sheetViews>
  <sheetFormatPr defaultColWidth="8.44140625" defaultRowHeight="21" x14ac:dyDescent="0.3"/>
  <cols>
    <col min="1" max="1" width="11.88671875" style="1" customWidth="1"/>
    <col min="2" max="2" width="58.88671875" style="1" customWidth="1"/>
    <col min="3" max="3" width="40.6640625" style="1" customWidth="1"/>
    <col min="4" max="4" width="48.77734375" style="2" bestFit="1" customWidth="1"/>
    <col min="5" max="5" width="133.44140625" style="2" bestFit="1" customWidth="1"/>
    <col min="6" max="6" width="23.21875" style="25" bestFit="1" customWidth="1"/>
    <col min="7" max="7" width="24.5546875" style="7" customWidth="1"/>
    <col min="8" max="8" width="24.6640625" style="1" customWidth="1"/>
    <col min="9" max="9" width="13" style="8" customWidth="1"/>
    <col min="10" max="10" width="23.109375" style="1" bestFit="1" customWidth="1"/>
    <col min="11" max="11" width="32.44140625" style="1" bestFit="1" customWidth="1"/>
    <col min="12" max="16384" width="8.44140625" style="1"/>
  </cols>
  <sheetData>
    <row r="1" spans="1:11" s="2" customFormat="1" ht="93" customHeight="1" x14ac:dyDescent="0.3">
      <c r="A1" s="3"/>
      <c r="B1" s="3" t="s">
        <v>2</v>
      </c>
      <c r="C1" s="3" t="s">
        <v>0</v>
      </c>
      <c r="D1" s="3" t="s">
        <v>1</v>
      </c>
      <c r="E1" s="3" t="s">
        <v>13</v>
      </c>
      <c r="F1" s="22" t="s">
        <v>3</v>
      </c>
      <c r="G1" s="4"/>
      <c r="H1" s="5" t="s">
        <v>6</v>
      </c>
      <c r="I1" s="6" t="s">
        <v>14</v>
      </c>
      <c r="J1" s="6" t="s">
        <v>4</v>
      </c>
      <c r="K1" s="6" t="s">
        <v>5</v>
      </c>
    </row>
    <row r="2" spans="1:11" s="2" customFormat="1" ht="39" customHeight="1" x14ac:dyDescent="0.3">
      <c r="A2" s="10"/>
      <c r="B2" s="9" t="str">
        <f>E2</f>
        <v>ЩС</v>
      </c>
      <c r="C2" s="10"/>
      <c r="D2" s="11"/>
      <c r="E2" s="10" t="s">
        <v>31</v>
      </c>
      <c r="F2" s="23"/>
      <c r="G2" s="12"/>
      <c r="H2" s="13"/>
      <c r="I2" s="14">
        <v>1</v>
      </c>
      <c r="J2" s="11" t="s">
        <v>7</v>
      </c>
      <c r="K2" s="10" t="s">
        <v>9</v>
      </c>
    </row>
    <row r="3" spans="1:11" s="2" customFormat="1" ht="39" customHeight="1" x14ac:dyDescent="0.3">
      <c r="A3" s="15">
        <v>1</v>
      </c>
      <c r="B3" s="15" t="str">
        <f>B2</f>
        <v>ЩС</v>
      </c>
      <c r="C3" s="16" t="s">
        <v>8</v>
      </c>
      <c r="D3" s="21"/>
      <c r="E3" s="17"/>
      <c r="F3" s="26">
        <v>152000</v>
      </c>
      <c r="G3" s="18">
        <f>F3*1</f>
        <v>152000</v>
      </c>
      <c r="H3" s="19">
        <f>G3*I3</f>
        <v>152000</v>
      </c>
      <c r="I3" s="20">
        <v>1</v>
      </c>
      <c r="J3" s="21" t="s">
        <v>12</v>
      </c>
      <c r="K3" s="16" t="s">
        <v>15</v>
      </c>
    </row>
    <row r="4" spans="1:11" s="2" customFormat="1" ht="39" customHeight="1" x14ac:dyDescent="0.3">
      <c r="A4" s="15">
        <v>2</v>
      </c>
      <c r="B4" s="15" t="str">
        <f t="shared" ref="B4" si="0">B3</f>
        <v>ЩС</v>
      </c>
      <c r="C4" s="16" t="s">
        <v>16</v>
      </c>
      <c r="D4" s="21" t="s">
        <v>40</v>
      </c>
      <c r="E4" s="17" t="s">
        <v>41</v>
      </c>
      <c r="F4" s="26">
        <v>49.28</v>
      </c>
      <c r="G4" s="18">
        <f>F4*0.28</f>
        <v>13.798400000000001</v>
      </c>
      <c r="H4" s="19">
        <f t="shared" ref="H4:H13" si="1">G4*I4</f>
        <v>13.798400000000001</v>
      </c>
      <c r="I4" s="20">
        <v>1</v>
      </c>
      <c r="J4" s="21" t="s">
        <v>12</v>
      </c>
      <c r="K4" s="16" t="s">
        <v>33</v>
      </c>
    </row>
    <row r="5" spans="1:11" s="2" customFormat="1" ht="39" customHeight="1" x14ac:dyDescent="0.3">
      <c r="A5" s="15">
        <v>3</v>
      </c>
      <c r="B5" s="15" t="str">
        <f>B4</f>
        <v>ЩС</v>
      </c>
      <c r="C5" s="16" t="s">
        <v>16</v>
      </c>
      <c r="D5" s="21" t="s">
        <v>36</v>
      </c>
      <c r="E5" s="17" t="s">
        <v>37</v>
      </c>
      <c r="F5" s="26">
        <v>8.41</v>
      </c>
      <c r="G5" s="18">
        <f>F5*0.28</f>
        <v>2.3548000000000004</v>
      </c>
      <c r="H5" s="19">
        <f t="shared" si="1"/>
        <v>2.3548000000000004</v>
      </c>
      <c r="I5" s="20">
        <v>1</v>
      </c>
      <c r="J5" s="21" t="s">
        <v>12</v>
      </c>
      <c r="K5" s="16" t="s">
        <v>33</v>
      </c>
    </row>
    <row r="6" spans="1:11" s="2" customFormat="1" ht="39" customHeight="1" x14ac:dyDescent="0.3">
      <c r="A6" s="15">
        <v>4</v>
      </c>
      <c r="B6" s="15" t="str">
        <f t="shared" ref="B6:B13" si="2">B5</f>
        <v>ЩС</v>
      </c>
      <c r="C6" s="16" t="s">
        <v>30</v>
      </c>
      <c r="D6" s="21" t="s">
        <v>38</v>
      </c>
      <c r="E6" s="17" t="s">
        <v>39</v>
      </c>
      <c r="F6" s="26">
        <v>92.01</v>
      </c>
      <c r="G6" s="18">
        <f>F6*0.28</f>
        <v>25.762800000000002</v>
      </c>
      <c r="H6" s="19">
        <f t="shared" si="1"/>
        <v>154.57680000000002</v>
      </c>
      <c r="I6" s="20">
        <v>6</v>
      </c>
      <c r="J6" s="21" t="s">
        <v>12</v>
      </c>
      <c r="K6" s="16" t="s">
        <v>33</v>
      </c>
    </row>
    <row r="7" spans="1:11" s="2" customFormat="1" ht="39" customHeight="1" x14ac:dyDescent="0.3">
      <c r="A7" s="15">
        <v>5</v>
      </c>
      <c r="B7" s="15" t="str">
        <f t="shared" si="2"/>
        <v>ЩС</v>
      </c>
      <c r="C7" s="16" t="s">
        <v>30</v>
      </c>
      <c r="D7" s="21" t="s">
        <v>34</v>
      </c>
      <c r="E7" s="17" t="s">
        <v>35</v>
      </c>
      <c r="F7" s="26">
        <v>92.01</v>
      </c>
      <c r="G7" s="18">
        <f t="shared" ref="G7" si="3">F7*0.6</f>
        <v>55.206000000000003</v>
      </c>
      <c r="H7" s="19">
        <f t="shared" si="1"/>
        <v>165.61799999999999</v>
      </c>
      <c r="I7" s="20">
        <v>3</v>
      </c>
      <c r="J7" s="21" t="s">
        <v>12</v>
      </c>
      <c r="K7" s="16" t="s">
        <v>33</v>
      </c>
    </row>
    <row r="8" spans="1:11" s="2" customFormat="1" ht="39" customHeight="1" x14ac:dyDescent="0.3">
      <c r="A8" s="15">
        <v>6</v>
      </c>
      <c r="B8" s="29" t="str">
        <f t="shared" si="2"/>
        <v>ЩС</v>
      </c>
      <c r="C8" s="16" t="s">
        <v>32</v>
      </c>
      <c r="D8" s="16" t="s">
        <v>25</v>
      </c>
      <c r="E8" s="17" t="s">
        <v>44</v>
      </c>
      <c r="F8" s="24">
        <v>0</v>
      </c>
      <c r="G8" s="18">
        <f>F8*1</f>
        <v>0</v>
      </c>
      <c r="H8" s="19">
        <f t="shared" si="1"/>
        <v>0</v>
      </c>
      <c r="I8" s="20">
        <v>1</v>
      </c>
      <c r="J8" s="21" t="s">
        <v>12</v>
      </c>
      <c r="K8" s="16" t="s">
        <v>24</v>
      </c>
    </row>
    <row r="9" spans="1:11" s="2" customFormat="1" ht="39" customHeight="1" x14ac:dyDescent="0.3">
      <c r="A9" s="15">
        <v>7</v>
      </c>
      <c r="B9" s="15" t="str">
        <f>B7</f>
        <v>ЩС</v>
      </c>
      <c r="C9" s="16" t="s">
        <v>48</v>
      </c>
      <c r="D9" s="16" t="s">
        <v>46</v>
      </c>
      <c r="E9" s="17" t="s">
        <v>47</v>
      </c>
      <c r="F9" s="24">
        <v>172</v>
      </c>
      <c r="G9" s="18">
        <f>F9*1</f>
        <v>172</v>
      </c>
      <c r="H9" s="19">
        <f t="shared" si="1"/>
        <v>3440</v>
      </c>
      <c r="I9" s="20">
        <v>20</v>
      </c>
      <c r="J9" s="21" t="s">
        <v>12</v>
      </c>
      <c r="K9" s="16" t="s">
        <v>24</v>
      </c>
    </row>
    <row r="10" spans="1:11" s="2" customFormat="1" ht="39" customHeight="1" x14ac:dyDescent="0.3">
      <c r="A10" s="15">
        <v>8</v>
      </c>
      <c r="B10" s="15" t="str">
        <f t="shared" si="2"/>
        <v>ЩС</v>
      </c>
      <c r="C10" s="16" t="s">
        <v>48</v>
      </c>
      <c r="D10" s="16" t="s">
        <v>49</v>
      </c>
      <c r="E10" s="17" t="s">
        <v>50</v>
      </c>
      <c r="F10" s="24">
        <v>863</v>
      </c>
      <c r="G10" s="18">
        <f>F10*1</f>
        <v>863</v>
      </c>
      <c r="H10" s="19">
        <f t="shared" si="1"/>
        <v>2589</v>
      </c>
      <c r="I10" s="20">
        <v>3</v>
      </c>
      <c r="J10" s="21" t="s">
        <v>12</v>
      </c>
      <c r="K10" s="16" t="s">
        <v>24</v>
      </c>
    </row>
    <row r="11" spans="1:11" s="2" customFormat="1" ht="39" customHeight="1" x14ac:dyDescent="0.3">
      <c r="A11" s="15">
        <v>9</v>
      </c>
      <c r="B11" s="15" t="str">
        <f t="shared" ref="B11" si="4">B10</f>
        <v>ЩС</v>
      </c>
      <c r="C11" s="16" t="s">
        <v>53</v>
      </c>
      <c r="D11" s="16" t="s">
        <v>51</v>
      </c>
      <c r="E11" s="17" t="s">
        <v>52</v>
      </c>
      <c r="F11" s="24">
        <v>303</v>
      </c>
      <c r="G11" s="18">
        <f>F11*1</f>
        <v>303</v>
      </c>
      <c r="H11" s="19">
        <f t="shared" ref="H11" si="5">G11*I11</f>
        <v>909</v>
      </c>
      <c r="I11" s="20">
        <v>3</v>
      </c>
      <c r="J11" s="21" t="s">
        <v>12</v>
      </c>
      <c r="K11" s="16" t="s">
        <v>24</v>
      </c>
    </row>
    <row r="12" spans="1:11" s="2" customFormat="1" ht="49.5" customHeight="1" x14ac:dyDescent="0.3">
      <c r="A12" s="15">
        <v>10</v>
      </c>
      <c r="B12" s="15" t="str">
        <f>B10</f>
        <v>ЩС</v>
      </c>
      <c r="C12" s="16" t="s">
        <v>10</v>
      </c>
      <c r="D12" s="16" t="s">
        <v>10</v>
      </c>
      <c r="E12" s="16" t="s">
        <v>10</v>
      </c>
      <c r="F12" s="30">
        <f>H13</f>
        <v>24000</v>
      </c>
      <c r="G12" s="18">
        <f>F12</f>
        <v>24000</v>
      </c>
      <c r="H12" s="19">
        <f t="shared" si="1"/>
        <v>24000</v>
      </c>
      <c r="I12" s="20">
        <v>1</v>
      </c>
      <c r="J12" s="21" t="s">
        <v>12</v>
      </c>
      <c r="K12" s="21" t="s">
        <v>10</v>
      </c>
    </row>
    <row r="13" spans="1:11" ht="54.75" customHeight="1" x14ac:dyDescent="0.3">
      <c r="A13" s="15">
        <v>11</v>
      </c>
      <c r="B13" s="15" t="str">
        <f t="shared" si="2"/>
        <v>ЩС</v>
      </c>
      <c r="C13" s="16" t="s">
        <v>11</v>
      </c>
      <c r="D13" s="16" t="s">
        <v>11</v>
      </c>
      <c r="E13" s="16" t="s">
        <v>11</v>
      </c>
      <c r="F13" s="24">
        <v>100</v>
      </c>
      <c r="G13" s="18">
        <f>F13</f>
        <v>100</v>
      </c>
      <c r="H13" s="19">
        <f t="shared" si="1"/>
        <v>24000</v>
      </c>
      <c r="I13" s="20">
        <f>60*4</f>
        <v>240</v>
      </c>
      <c r="J13" s="21" t="s">
        <v>12</v>
      </c>
      <c r="K13" s="21" t="s">
        <v>11</v>
      </c>
    </row>
    <row r="14" spans="1:11" s="2" customFormat="1" ht="39" customHeight="1" x14ac:dyDescent="0.3">
      <c r="A14" s="10"/>
      <c r="B14" s="9" t="str">
        <f>E14</f>
        <v>ЩС</v>
      </c>
      <c r="C14" s="10"/>
      <c r="D14" s="11"/>
      <c r="E14" s="10" t="s">
        <v>31</v>
      </c>
      <c r="F14" s="23"/>
      <c r="G14" s="12"/>
      <c r="H14" s="13"/>
      <c r="I14" s="14">
        <v>1</v>
      </c>
      <c r="J14" s="11" t="s">
        <v>7</v>
      </c>
      <c r="K14" s="10" t="s">
        <v>9</v>
      </c>
    </row>
    <row r="15" spans="1:11" s="2" customFormat="1" ht="39" customHeight="1" x14ac:dyDescent="0.3">
      <c r="A15" s="15">
        <v>1</v>
      </c>
      <c r="B15" s="15" t="str">
        <f>B14</f>
        <v>ЩС</v>
      </c>
      <c r="C15" s="16" t="s">
        <v>8</v>
      </c>
      <c r="D15" s="21"/>
      <c r="E15" s="17"/>
      <c r="F15" s="26">
        <v>152000</v>
      </c>
      <c r="G15" s="18">
        <f>F15*1</f>
        <v>152000</v>
      </c>
      <c r="H15" s="19">
        <f>G15*I15</f>
        <v>152000</v>
      </c>
      <c r="I15" s="20">
        <v>1</v>
      </c>
      <c r="J15" s="21" t="s">
        <v>12</v>
      </c>
      <c r="K15" s="16" t="s">
        <v>15</v>
      </c>
    </row>
    <row r="16" spans="1:11" s="2" customFormat="1" ht="39" customHeight="1" x14ac:dyDescent="0.3">
      <c r="A16" s="15">
        <v>2</v>
      </c>
      <c r="B16" s="15" t="str">
        <f t="shared" ref="B16" si="6">B15</f>
        <v>ЩС</v>
      </c>
      <c r="C16" s="16" t="s">
        <v>16</v>
      </c>
      <c r="D16" s="21" t="s">
        <v>40</v>
      </c>
      <c r="E16" s="17" t="s">
        <v>41</v>
      </c>
      <c r="F16" s="26">
        <v>49.28</v>
      </c>
      <c r="G16" s="18">
        <f>F16*0.28</f>
        <v>13.798400000000001</v>
      </c>
      <c r="H16" s="19">
        <f t="shared" ref="H16" si="7">G16*I16</f>
        <v>13.798400000000001</v>
      </c>
      <c r="I16" s="20">
        <v>1</v>
      </c>
      <c r="J16" s="21" t="s">
        <v>12</v>
      </c>
      <c r="K16" s="16" t="s">
        <v>33</v>
      </c>
    </row>
    <row r="17" spans="1:11" s="2" customFormat="1" ht="39" customHeight="1" x14ac:dyDescent="0.3">
      <c r="A17" s="15">
        <v>3</v>
      </c>
      <c r="B17" s="15" t="str">
        <f>B16</f>
        <v>ЩС</v>
      </c>
      <c r="C17" s="16" t="s">
        <v>16</v>
      </c>
      <c r="D17" s="21" t="s">
        <v>36</v>
      </c>
      <c r="E17" s="17" t="s">
        <v>37</v>
      </c>
      <c r="F17" s="26">
        <v>8.41</v>
      </c>
      <c r="G17" s="18">
        <f>F17*0.28</f>
        <v>2.3548000000000004</v>
      </c>
      <c r="H17" s="19">
        <f t="shared" ref="H17" si="8">G17*I17</f>
        <v>2.3548000000000004</v>
      </c>
      <c r="I17" s="20">
        <v>1</v>
      </c>
      <c r="J17" s="21" t="s">
        <v>12</v>
      </c>
      <c r="K17" s="16" t="s">
        <v>33</v>
      </c>
    </row>
    <row r="18" spans="1:11" s="2" customFormat="1" ht="39" customHeight="1" x14ac:dyDescent="0.3">
      <c r="A18" s="15">
        <v>4</v>
      </c>
      <c r="B18" s="15" t="str">
        <f>B17</f>
        <v>ЩС</v>
      </c>
      <c r="C18" s="16" t="s">
        <v>26</v>
      </c>
      <c r="D18" s="21" t="s">
        <v>27</v>
      </c>
      <c r="E18" s="17" t="s">
        <v>28</v>
      </c>
      <c r="F18" s="26">
        <v>97200</v>
      </c>
      <c r="G18" s="18">
        <v>97200</v>
      </c>
      <c r="H18" s="19">
        <v>97200</v>
      </c>
      <c r="I18" s="20">
        <v>1</v>
      </c>
      <c r="J18" s="21" t="s">
        <v>12</v>
      </c>
      <c r="K18" s="16" t="s">
        <v>29</v>
      </c>
    </row>
    <row r="19" spans="1:11" s="2" customFormat="1" ht="39" customHeight="1" x14ac:dyDescent="0.3">
      <c r="A19" s="15">
        <v>5</v>
      </c>
      <c r="B19" s="15" t="str">
        <f t="shared" ref="B19" si="9">B18</f>
        <v>ЩС</v>
      </c>
      <c r="C19" s="16" t="s">
        <v>30</v>
      </c>
      <c r="D19" s="21" t="s">
        <v>38</v>
      </c>
      <c r="E19" s="17" t="s">
        <v>39</v>
      </c>
      <c r="F19" s="26">
        <v>92.01</v>
      </c>
      <c r="G19" s="18">
        <f>F19*0.28</f>
        <v>25.762800000000002</v>
      </c>
      <c r="H19" s="19">
        <f t="shared" ref="H19" si="10">G19*I19</f>
        <v>154.57680000000002</v>
      </c>
      <c r="I19" s="20">
        <v>6</v>
      </c>
      <c r="J19" s="21" t="s">
        <v>12</v>
      </c>
      <c r="K19" s="16" t="s">
        <v>33</v>
      </c>
    </row>
    <row r="20" spans="1:11" s="2" customFormat="1" ht="39" customHeight="1" x14ac:dyDescent="0.3">
      <c r="A20" s="15">
        <v>6</v>
      </c>
      <c r="B20" s="15" t="str">
        <f t="shared" ref="B20" si="11">B18</f>
        <v>ЩС</v>
      </c>
      <c r="C20" s="16" t="s">
        <v>30</v>
      </c>
      <c r="D20" s="21" t="s">
        <v>42</v>
      </c>
      <c r="E20" s="17" t="s">
        <v>43</v>
      </c>
      <c r="F20" s="26">
        <v>101.5</v>
      </c>
      <c r="G20" s="18">
        <f t="shared" ref="G20:G21" si="12">F20*0.6</f>
        <v>60.9</v>
      </c>
      <c r="H20" s="19">
        <f t="shared" ref="H20:H21" si="13">G20*I20</f>
        <v>60.9</v>
      </c>
      <c r="I20" s="20">
        <v>1</v>
      </c>
      <c r="J20" s="21" t="s">
        <v>12</v>
      </c>
      <c r="K20" s="16" t="s">
        <v>33</v>
      </c>
    </row>
    <row r="21" spans="1:11" s="2" customFormat="1" ht="39" customHeight="1" x14ac:dyDescent="0.3">
      <c r="A21" s="15">
        <v>7</v>
      </c>
      <c r="B21" s="15" t="str">
        <f t="shared" ref="B21" si="14">B20</f>
        <v>ЩС</v>
      </c>
      <c r="C21" s="16" t="s">
        <v>30</v>
      </c>
      <c r="D21" s="21" t="s">
        <v>34</v>
      </c>
      <c r="E21" s="17" t="s">
        <v>35</v>
      </c>
      <c r="F21" s="26">
        <v>92.01</v>
      </c>
      <c r="G21" s="18">
        <f t="shared" si="12"/>
        <v>55.206000000000003</v>
      </c>
      <c r="H21" s="19">
        <f t="shared" si="13"/>
        <v>110.41200000000001</v>
      </c>
      <c r="I21" s="20">
        <v>2</v>
      </c>
      <c r="J21" s="21" t="s">
        <v>12</v>
      </c>
      <c r="K21" s="16" t="s">
        <v>33</v>
      </c>
    </row>
    <row r="22" spans="1:11" s="2" customFormat="1" ht="39" customHeight="1" x14ac:dyDescent="0.3">
      <c r="A22" s="15">
        <v>8</v>
      </c>
      <c r="B22" s="29" t="str">
        <f t="shared" ref="B22:B27" si="15">B21</f>
        <v>ЩС</v>
      </c>
      <c r="C22" s="16" t="s">
        <v>32</v>
      </c>
      <c r="D22" s="16" t="s">
        <v>25</v>
      </c>
      <c r="E22" s="17" t="s">
        <v>45</v>
      </c>
      <c r="F22" s="24">
        <v>0</v>
      </c>
      <c r="G22" s="18">
        <f>F22*1</f>
        <v>0</v>
      </c>
      <c r="H22" s="19">
        <f t="shared" ref="H22:H27" si="16">G22*I22</f>
        <v>0</v>
      </c>
      <c r="I22" s="20">
        <v>1</v>
      </c>
      <c r="J22" s="21" t="s">
        <v>12</v>
      </c>
      <c r="K22" s="16" t="s">
        <v>24</v>
      </c>
    </row>
    <row r="23" spans="1:11" s="2" customFormat="1" ht="39" customHeight="1" x14ac:dyDescent="0.3">
      <c r="A23" s="15">
        <v>9</v>
      </c>
      <c r="B23" s="15" t="str">
        <f>B21</f>
        <v>ЩС</v>
      </c>
      <c r="C23" s="16" t="s">
        <v>48</v>
      </c>
      <c r="D23" s="16" t="s">
        <v>46</v>
      </c>
      <c r="E23" s="17" t="s">
        <v>47</v>
      </c>
      <c r="F23" s="24">
        <v>172</v>
      </c>
      <c r="G23" s="18">
        <f>F23*1</f>
        <v>172</v>
      </c>
      <c r="H23" s="19">
        <f t="shared" si="16"/>
        <v>3440</v>
      </c>
      <c r="I23" s="20">
        <v>20</v>
      </c>
      <c r="J23" s="21" t="s">
        <v>12</v>
      </c>
      <c r="K23" s="16" t="s">
        <v>24</v>
      </c>
    </row>
    <row r="24" spans="1:11" s="2" customFormat="1" ht="39" customHeight="1" x14ac:dyDescent="0.3">
      <c r="A24" s="15">
        <v>10</v>
      </c>
      <c r="B24" s="15" t="str">
        <f t="shared" ref="B24:B25" si="17">B23</f>
        <v>ЩС</v>
      </c>
      <c r="C24" s="16" t="s">
        <v>48</v>
      </c>
      <c r="D24" s="16" t="s">
        <v>49</v>
      </c>
      <c r="E24" s="17" t="s">
        <v>50</v>
      </c>
      <c r="F24" s="24">
        <v>863</v>
      </c>
      <c r="G24" s="18">
        <f>F24*1</f>
        <v>863</v>
      </c>
      <c r="H24" s="19">
        <f t="shared" si="16"/>
        <v>2589</v>
      </c>
      <c r="I24" s="20">
        <v>3</v>
      </c>
      <c r="J24" s="21" t="s">
        <v>12</v>
      </c>
      <c r="K24" s="16" t="s">
        <v>24</v>
      </c>
    </row>
    <row r="25" spans="1:11" s="2" customFormat="1" ht="39" customHeight="1" x14ac:dyDescent="0.3">
      <c r="A25" s="15">
        <v>11</v>
      </c>
      <c r="B25" s="15" t="str">
        <f t="shared" si="17"/>
        <v>ЩС</v>
      </c>
      <c r="C25" s="16" t="s">
        <v>53</v>
      </c>
      <c r="D25" s="16" t="s">
        <v>51</v>
      </c>
      <c r="E25" s="17" t="s">
        <v>52</v>
      </c>
      <c r="F25" s="24">
        <v>303</v>
      </c>
      <c r="G25" s="18">
        <f>F25*1</f>
        <v>303</v>
      </c>
      <c r="H25" s="19">
        <f t="shared" si="16"/>
        <v>909</v>
      </c>
      <c r="I25" s="20">
        <v>3</v>
      </c>
      <c r="J25" s="21" t="s">
        <v>12</v>
      </c>
      <c r="K25" s="16" t="s">
        <v>24</v>
      </c>
    </row>
    <row r="26" spans="1:11" s="2" customFormat="1" ht="49.5" customHeight="1" x14ac:dyDescent="0.3">
      <c r="A26" s="15">
        <v>12</v>
      </c>
      <c r="B26" s="29" t="str">
        <f>B24</f>
        <v>ЩС</v>
      </c>
      <c r="C26" s="16" t="s">
        <v>10</v>
      </c>
      <c r="D26" s="16" t="s">
        <v>10</v>
      </c>
      <c r="E26" s="16" t="s">
        <v>10</v>
      </c>
      <c r="F26" s="30">
        <f>H27</f>
        <v>24000</v>
      </c>
      <c r="G26" s="18">
        <f>F26</f>
        <v>24000</v>
      </c>
      <c r="H26" s="19">
        <f t="shared" si="16"/>
        <v>24000</v>
      </c>
      <c r="I26" s="20">
        <v>1</v>
      </c>
      <c r="J26" s="21" t="s">
        <v>12</v>
      </c>
      <c r="K26" s="21" t="s">
        <v>10</v>
      </c>
    </row>
    <row r="27" spans="1:11" ht="54.75" customHeight="1" x14ac:dyDescent="0.3">
      <c r="A27" s="15">
        <v>13</v>
      </c>
      <c r="B27" s="29" t="str">
        <f t="shared" si="15"/>
        <v>ЩС</v>
      </c>
      <c r="C27" s="16" t="s">
        <v>11</v>
      </c>
      <c r="D27" s="16" t="s">
        <v>11</v>
      </c>
      <c r="E27" s="16" t="s">
        <v>11</v>
      </c>
      <c r="F27" s="24">
        <v>100</v>
      </c>
      <c r="G27" s="18">
        <f>F27</f>
        <v>100</v>
      </c>
      <c r="H27" s="19">
        <f t="shared" si="16"/>
        <v>24000</v>
      </c>
      <c r="I27" s="20">
        <f>60*4</f>
        <v>240</v>
      </c>
      <c r="J27" s="21" t="s">
        <v>12</v>
      </c>
      <c r="K27" s="21" t="s">
        <v>11</v>
      </c>
    </row>
  </sheetData>
  <autoFilter ref="A1:K27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3"/>
  <sheetViews>
    <sheetView workbookViewId="0">
      <selection activeCell="G16" sqref="G16"/>
    </sheetView>
  </sheetViews>
  <sheetFormatPr defaultRowHeight="14.4" x14ac:dyDescent="0.3"/>
  <cols>
    <col min="2" max="2" width="13.6640625" bestFit="1" customWidth="1"/>
    <col min="3" max="3" width="11" bestFit="1" customWidth="1"/>
    <col min="7" max="7" width="11.33203125" bestFit="1" customWidth="1"/>
  </cols>
  <sheetData>
    <row r="4" spans="2:7" x14ac:dyDescent="0.3">
      <c r="D4">
        <f>100-45</f>
        <v>55</v>
      </c>
    </row>
    <row r="5" spans="2:7" x14ac:dyDescent="0.3">
      <c r="B5" t="s">
        <v>17</v>
      </c>
      <c r="C5">
        <f>561*0.48</f>
        <v>269.27999999999997</v>
      </c>
    </row>
    <row r="6" spans="2:7" x14ac:dyDescent="0.3">
      <c r="B6" t="s">
        <v>17</v>
      </c>
      <c r="C6">
        <f>561*0.55</f>
        <v>308.55</v>
      </c>
    </row>
    <row r="7" spans="2:7" x14ac:dyDescent="0.3">
      <c r="B7" t="s">
        <v>18</v>
      </c>
      <c r="C7">
        <f>136*0.55</f>
        <v>74.800000000000011</v>
      </c>
    </row>
    <row r="8" spans="2:7" x14ac:dyDescent="0.3">
      <c r="B8" t="s">
        <v>18</v>
      </c>
      <c r="C8">
        <f>136*0.5</f>
        <v>68</v>
      </c>
    </row>
    <row r="10" spans="2:7" x14ac:dyDescent="0.3">
      <c r="C10" t="s">
        <v>19</v>
      </c>
      <c r="E10" t="s">
        <v>20</v>
      </c>
      <c r="F10" t="s">
        <v>21</v>
      </c>
      <c r="G10" t="s">
        <v>23</v>
      </c>
    </row>
    <row r="11" spans="2:7" x14ac:dyDescent="0.3">
      <c r="B11" t="s">
        <v>17</v>
      </c>
      <c r="C11" s="28">
        <f>561*0.55</f>
        <v>308.55</v>
      </c>
      <c r="E11">
        <v>36</v>
      </c>
      <c r="F11" t="s">
        <v>22</v>
      </c>
      <c r="G11" s="27">
        <f>E11*C11</f>
        <v>11107.800000000001</v>
      </c>
    </row>
    <row r="12" spans="2:7" x14ac:dyDescent="0.3">
      <c r="B12" t="s">
        <v>18</v>
      </c>
      <c r="C12" s="28">
        <f>136*0.55</f>
        <v>74.800000000000011</v>
      </c>
      <c r="E12">
        <v>36</v>
      </c>
      <c r="F12" t="s">
        <v>22</v>
      </c>
      <c r="G12" s="27">
        <f>E12*C12</f>
        <v>2692.8</v>
      </c>
    </row>
    <row r="13" spans="2:7" x14ac:dyDescent="0.3">
      <c r="G13" s="27">
        <f>SUM(G11:G12)</f>
        <v>13800.600000000002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Лист1</vt:lpstr>
      <vt:lpstr>fiyat calismasi burda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LENOVO</cp:lastModifiedBy>
  <cp:revision>3</cp:revision>
  <cp:lastPrinted>2026-07-24T08:51:39Z</cp:lastPrinted>
  <dcterms:created xsi:type="dcterms:W3CDTF">2015-06-05T18:19:34Z</dcterms:created>
  <dcterms:modified xsi:type="dcterms:W3CDTF">2026-07-31T20:17:40Z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