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429 baht poliklinik ypilan must 2. projesi\"/>
    </mc:Choice>
  </mc:AlternateContent>
  <xr:revisionPtr revIDLastSave="0" documentId="13_ncr:1_{9837D71F-24B4-41FB-92C7-4CE998429D2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1" sheetId="3" r:id="rId1"/>
    <sheet name="Sayfa1" sheetId="4" r:id="rId2"/>
  </sheets>
  <definedNames>
    <definedName name="_xlnm._FilterDatabase" localSheetId="0" hidden="1">'1'!$A$1:$L$1130</definedName>
    <definedName name="_xlnm._FilterDatabase" localSheetId="1" hidden="1">Sayfa1!$A$1:$J$163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2" i="4"/>
  <c r="H1112" i="3"/>
  <c r="H1096" i="3"/>
  <c r="H1084" i="3"/>
  <c r="H1082" i="3"/>
  <c r="H1080" i="3"/>
  <c r="H1004" i="3"/>
  <c r="H1002" i="3"/>
  <c r="H916" i="3"/>
  <c r="H914" i="3"/>
  <c r="H815" i="3"/>
  <c r="H813" i="3"/>
  <c r="H811" i="3"/>
  <c r="H809" i="3"/>
  <c r="H807" i="3"/>
  <c r="H805" i="3"/>
  <c r="H803" i="3"/>
  <c r="H590" i="3"/>
  <c r="H588" i="3"/>
  <c r="H586" i="3"/>
  <c r="H584" i="3"/>
  <c r="H582" i="3"/>
  <c r="H580" i="3"/>
  <c r="H578" i="3"/>
  <c r="H576" i="3"/>
  <c r="H542" i="3"/>
  <c r="H532" i="3"/>
  <c r="B541" i="3"/>
  <c r="B531" i="3"/>
  <c r="G1013" i="3"/>
  <c r="H1013" i="3" s="1"/>
  <c r="G925" i="3"/>
  <c r="H925" i="3" s="1"/>
  <c r="G828" i="3"/>
  <c r="H828" i="3" s="1"/>
  <c r="G641" i="3"/>
  <c r="H641" i="3" s="1"/>
  <c r="G37" i="3"/>
  <c r="H37" i="3" s="1"/>
  <c r="G9" i="3"/>
  <c r="H9" i="3" s="1"/>
  <c r="G933" i="3"/>
  <c r="H933" i="3" s="1"/>
  <c r="G825" i="3"/>
  <c r="H825" i="3" s="1"/>
  <c r="G649" i="3"/>
  <c r="H649" i="3" s="1"/>
  <c r="G1091" i="3"/>
  <c r="H1091" i="3" s="1"/>
  <c r="G1012" i="3"/>
  <c r="H1012" i="3" s="1"/>
  <c r="G1011" i="3"/>
  <c r="H1011" i="3" s="1"/>
  <c r="G1008" i="3"/>
  <c r="H1008" i="3" s="1"/>
  <c r="G924" i="3"/>
  <c r="H924" i="3" s="1"/>
  <c r="G923" i="3"/>
  <c r="H923" i="3" s="1"/>
  <c r="G920" i="3"/>
  <c r="H920" i="3" s="1"/>
  <c r="G823" i="3"/>
  <c r="H823" i="3" s="1"/>
  <c r="G820" i="3"/>
  <c r="H820" i="3" s="1"/>
  <c r="G818" i="3"/>
  <c r="H818" i="3" s="1"/>
  <c r="G640" i="3"/>
  <c r="H640" i="3" s="1"/>
  <c r="G637" i="3"/>
  <c r="H637" i="3" s="1"/>
  <c r="G636" i="3"/>
  <c r="H636" i="3" s="1"/>
  <c r="G36" i="3"/>
  <c r="H36" i="3" s="1"/>
  <c r="G34" i="3"/>
  <c r="H34" i="3" s="1"/>
  <c r="G26" i="3"/>
  <c r="H26" i="3" s="1"/>
  <c r="G25" i="3"/>
  <c r="H25" i="3" s="1"/>
  <c r="G7" i="3"/>
  <c r="H7" i="3" s="1"/>
  <c r="G1127" i="3"/>
  <c r="H1127" i="3" s="1"/>
  <c r="G1126" i="3"/>
  <c r="H1126" i="3" s="1"/>
  <c r="G1125" i="3"/>
  <c r="H1125" i="3" s="1"/>
  <c r="G1124" i="3"/>
  <c r="H1124" i="3" s="1"/>
  <c r="G1118" i="3"/>
  <c r="H1118" i="3" s="1"/>
  <c r="G1117" i="3"/>
  <c r="H1117" i="3" s="1"/>
  <c r="G1116" i="3"/>
  <c r="H1116" i="3" s="1"/>
  <c r="G1115" i="3"/>
  <c r="H1115" i="3" s="1"/>
  <c r="G1107" i="3"/>
  <c r="H1107" i="3" s="1"/>
  <c r="G1106" i="3"/>
  <c r="H1106" i="3" s="1"/>
  <c r="G1100" i="3"/>
  <c r="H1100" i="3" s="1"/>
  <c r="G1099" i="3"/>
  <c r="H1099" i="3" s="1"/>
  <c r="G1090" i="3"/>
  <c r="H1090" i="3" s="1"/>
  <c r="G1089" i="3"/>
  <c r="H1089" i="3" s="1"/>
  <c r="G1088" i="3"/>
  <c r="H1088" i="3" s="1"/>
  <c r="G1087" i="3"/>
  <c r="H1087" i="3" s="1"/>
  <c r="G1075" i="3"/>
  <c r="H1075" i="3" s="1"/>
  <c r="G1074" i="3"/>
  <c r="H1074" i="3" s="1"/>
  <c r="G1068" i="3"/>
  <c r="H1068" i="3" s="1"/>
  <c r="G1067" i="3"/>
  <c r="H1067" i="3" s="1"/>
  <c r="G1061" i="3"/>
  <c r="H1061" i="3" s="1"/>
  <c r="G1060" i="3"/>
  <c r="H1060" i="3" s="1"/>
  <c r="G1059" i="3"/>
  <c r="H1059" i="3" s="1"/>
  <c r="G1053" i="3"/>
  <c r="H1053" i="3" s="1"/>
  <c r="G1052" i="3"/>
  <c r="H1052" i="3" s="1"/>
  <c r="G1051" i="3"/>
  <c r="H1051" i="3" s="1"/>
  <c r="G1045" i="3"/>
  <c r="H1045" i="3" s="1"/>
  <c r="G1044" i="3"/>
  <c r="H1044" i="3" s="1"/>
  <c r="G1038" i="3"/>
  <c r="H1038" i="3" s="1"/>
  <c r="G1037" i="3"/>
  <c r="H1037" i="3" s="1"/>
  <c r="G1031" i="3"/>
  <c r="H1031" i="3" s="1"/>
  <c r="G1030" i="3"/>
  <c r="H1030" i="3" s="1"/>
  <c r="G1029" i="3"/>
  <c r="H1029" i="3" s="1"/>
  <c r="G1023" i="3"/>
  <c r="H1023" i="3" s="1"/>
  <c r="G1022" i="3"/>
  <c r="H1022" i="3" s="1"/>
  <c r="G1021" i="3"/>
  <c r="H1021" i="3" s="1"/>
  <c r="G1020" i="3"/>
  <c r="H1020" i="3" s="1"/>
  <c r="G1019" i="3"/>
  <c r="H1019" i="3" s="1"/>
  <c r="G1010" i="3"/>
  <c r="H1010" i="3" s="1"/>
  <c r="G1009" i="3"/>
  <c r="H1009" i="3" s="1"/>
  <c r="G1007" i="3"/>
  <c r="H1007" i="3" s="1"/>
  <c r="G997" i="3"/>
  <c r="H997" i="3" s="1"/>
  <c r="G996" i="3"/>
  <c r="H996" i="3" s="1"/>
  <c r="G995" i="3"/>
  <c r="H995" i="3" s="1"/>
  <c r="G989" i="3"/>
  <c r="H989" i="3" s="1"/>
  <c r="G988" i="3"/>
  <c r="H988" i="3" s="1"/>
  <c r="G982" i="3"/>
  <c r="H982" i="3" s="1"/>
  <c r="G981" i="3"/>
  <c r="H981" i="3" s="1"/>
  <c r="G975" i="3"/>
  <c r="H975" i="3" s="1"/>
  <c r="G974" i="3"/>
  <c r="H974" i="3" s="1"/>
  <c r="G968" i="3"/>
  <c r="H968" i="3" s="1"/>
  <c r="G967" i="3"/>
  <c r="H967" i="3" s="1"/>
  <c r="G966" i="3"/>
  <c r="H966" i="3" s="1"/>
  <c r="G965" i="3"/>
  <c r="H965" i="3" s="1"/>
  <c r="G959" i="3"/>
  <c r="H959" i="3" s="1"/>
  <c r="G958" i="3"/>
  <c r="H958" i="3" s="1"/>
  <c r="G952" i="3"/>
  <c r="H952" i="3" s="1"/>
  <c r="G951" i="3"/>
  <c r="H951" i="3" s="1"/>
  <c r="G945" i="3"/>
  <c r="H945" i="3" s="1"/>
  <c r="G944" i="3"/>
  <c r="H944" i="3" s="1"/>
  <c r="G943" i="3"/>
  <c r="H943" i="3" s="1"/>
  <c r="G937" i="3"/>
  <c r="H937" i="3" s="1"/>
  <c r="G936" i="3"/>
  <c r="H936" i="3" s="1"/>
  <c r="G935" i="3"/>
  <c r="H935" i="3" s="1"/>
  <c r="G934" i="3"/>
  <c r="H934" i="3" s="1"/>
  <c r="G932" i="3"/>
  <c r="H932" i="3" s="1"/>
  <c r="G931" i="3"/>
  <c r="H931" i="3" s="1"/>
  <c r="G922" i="3"/>
  <c r="H922" i="3" s="1"/>
  <c r="G921" i="3"/>
  <c r="H921" i="3" s="1"/>
  <c r="G919" i="3"/>
  <c r="H919" i="3" s="1"/>
  <c r="G909" i="3"/>
  <c r="H909" i="3" s="1"/>
  <c r="G908" i="3"/>
  <c r="H908" i="3" s="1"/>
  <c r="G902" i="3"/>
  <c r="H902" i="3" s="1"/>
  <c r="G901" i="3"/>
  <c r="H901" i="3" s="1"/>
  <c r="G900" i="3"/>
  <c r="H900" i="3" s="1"/>
  <c r="G894" i="3"/>
  <c r="H894" i="3" s="1"/>
  <c r="G893" i="3"/>
  <c r="H893" i="3" s="1"/>
  <c r="G887" i="3"/>
  <c r="H887" i="3" s="1"/>
  <c r="G886" i="3"/>
  <c r="H886" i="3" s="1"/>
  <c r="G880" i="3"/>
  <c r="H880" i="3" s="1"/>
  <c r="G879" i="3"/>
  <c r="H879" i="3" s="1"/>
  <c r="G873" i="3"/>
  <c r="H873" i="3" s="1"/>
  <c r="G872" i="3"/>
  <c r="H872" i="3" s="1"/>
  <c r="G866" i="3"/>
  <c r="H866" i="3" s="1"/>
  <c r="G865" i="3"/>
  <c r="H865" i="3" s="1"/>
  <c r="G859" i="3"/>
  <c r="H859" i="3" s="1"/>
  <c r="G858" i="3"/>
  <c r="H858" i="3" s="1"/>
  <c r="G857" i="3"/>
  <c r="H857" i="3" s="1"/>
  <c r="G851" i="3"/>
  <c r="H851" i="3" s="1"/>
  <c r="G850" i="3"/>
  <c r="H850" i="3" s="1"/>
  <c r="G844" i="3"/>
  <c r="H844" i="3" s="1"/>
  <c r="G843" i="3"/>
  <c r="H843" i="3" s="1"/>
  <c r="G842" i="3"/>
  <c r="H842" i="3" s="1"/>
  <c r="G836" i="3"/>
  <c r="H836" i="3" s="1"/>
  <c r="G835" i="3"/>
  <c r="H835" i="3" s="1"/>
  <c r="G834" i="3"/>
  <c r="H834" i="3" s="1"/>
  <c r="G827" i="3"/>
  <c r="H827" i="3" s="1"/>
  <c r="G826" i="3"/>
  <c r="H826" i="3" s="1"/>
  <c r="G824" i="3"/>
  <c r="H824" i="3" s="1"/>
  <c r="G822" i="3"/>
  <c r="H822" i="3" s="1"/>
  <c r="G821" i="3"/>
  <c r="H821" i="3" s="1"/>
  <c r="G819" i="3"/>
  <c r="H819" i="3" s="1"/>
  <c r="G798" i="3"/>
  <c r="H798" i="3" s="1"/>
  <c r="G797" i="3"/>
  <c r="H797" i="3" s="1"/>
  <c r="G791" i="3"/>
  <c r="H791" i="3" s="1"/>
  <c r="G790" i="3"/>
  <c r="H790" i="3" s="1"/>
  <c r="G784" i="3"/>
  <c r="H784" i="3" s="1"/>
  <c r="G783" i="3"/>
  <c r="H783" i="3" s="1"/>
  <c r="G777" i="3"/>
  <c r="H777" i="3" s="1"/>
  <c r="G776" i="3"/>
  <c r="H776" i="3" s="1"/>
  <c r="G770" i="3"/>
  <c r="H770" i="3" s="1"/>
  <c r="G769" i="3"/>
  <c r="H769" i="3" s="1"/>
  <c r="G768" i="3"/>
  <c r="H768" i="3" s="1"/>
  <c r="G762" i="3"/>
  <c r="H762" i="3" s="1"/>
  <c r="G761" i="3"/>
  <c r="H761" i="3" s="1"/>
  <c r="G760" i="3"/>
  <c r="H760" i="3" s="1"/>
  <c r="G754" i="3"/>
  <c r="H754" i="3" s="1"/>
  <c r="G753" i="3"/>
  <c r="H753" i="3" s="1"/>
  <c r="G747" i="3"/>
  <c r="H747" i="3" s="1"/>
  <c r="G746" i="3"/>
  <c r="H746" i="3" s="1"/>
  <c r="G745" i="3"/>
  <c r="H745" i="3" s="1"/>
  <c r="G739" i="3"/>
  <c r="H739" i="3" s="1"/>
  <c r="G738" i="3"/>
  <c r="H738" i="3" s="1"/>
  <c r="G732" i="3"/>
  <c r="H732" i="3" s="1"/>
  <c r="G731" i="3"/>
  <c r="H731" i="3" s="1"/>
  <c r="G725" i="3"/>
  <c r="H725" i="3" s="1"/>
  <c r="G724" i="3"/>
  <c r="H724" i="3" s="1"/>
  <c r="G718" i="3"/>
  <c r="H718" i="3" s="1"/>
  <c r="G717" i="3"/>
  <c r="H717" i="3" s="1"/>
  <c r="G716" i="3"/>
  <c r="H716" i="3" s="1"/>
  <c r="G710" i="3"/>
  <c r="H710" i="3" s="1"/>
  <c r="G709" i="3"/>
  <c r="H709" i="3" s="1"/>
  <c r="G703" i="3"/>
  <c r="H703" i="3" s="1"/>
  <c r="G702" i="3"/>
  <c r="H702" i="3" s="1"/>
  <c r="G696" i="3"/>
  <c r="H696" i="3" s="1"/>
  <c r="G695" i="3"/>
  <c r="H695" i="3" s="1"/>
  <c r="G689" i="3"/>
  <c r="H689" i="3" s="1"/>
  <c r="G688" i="3"/>
  <c r="H688" i="3" s="1"/>
  <c r="G682" i="3"/>
  <c r="H682" i="3" s="1"/>
  <c r="G681" i="3"/>
  <c r="H681" i="3" s="1"/>
  <c r="G680" i="3"/>
  <c r="H680" i="3" s="1"/>
  <c r="G674" i="3"/>
  <c r="H674" i="3" s="1"/>
  <c r="G673" i="3"/>
  <c r="H673" i="3" s="1"/>
  <c r="G672" i="3"/>
  <c r="H672" i="3" s="1"/>
  <c r="G666" i="3"/>
  <c r="H666" i="3" s="1"/>
  <c r="G665" i="3"/>
  <c r="H665" i="3" s="1"/>
  <c r="G659" i="3"/>
  <c r="H659" i="3" s="1"/>
  <c r="G658" i="3"/>
  <c r="H658" i="3" s="1"/>
  <c r="G657" i="3"/>
  <c r="H657" i="3" s="1"/>
  <c r="G651" i="3"/>
  <c r="H651" i="3" s="1"/>
  <c r="G650" i="3"/>
  <c r="H650" i="3" s="1"/>
  <c r="G648" i="3"/>
  <c r="H648" i="3" s="1"/>
  <c r="G647" i="3"/>
  <c r="H647" i="3" s="1"/>
  <c r="G639" i="3"/>
  <c r="H639" i="3" s="1"/>
  <c r="G638" i="3"/>
  <c r="H638" i="3" s="1"/>
  <c r="G635" i="3"/>
  <c r="H635" i="3" s="1"/>
  <c r="G629" i="3"/>
  <c r="H629" i="3" s="1"/>
  <c r="G628" i="3"/>
  <c r="H628" i="3" s="1"/>
  <c r="G622" i="3"/>
  <c r="H622" i="3" s="1"/>
  <c r="G621" i="3"/>
  <c r="H621" i="3" s="1"/>
  <c r="G615" i="3"/>
  <c r="H615" i="3" s="1"/>
  <c r="G614" i="3"/>
  <c r="H614" i="3" s="1"/>
  <c r="G608" i="3"/>
  <c r="H608" i="3" s="1"/>
  <c r="G607" i="3"/>
  <c r="H607" i="3" s="1"/>
  <c r="G601" i="3"/>
  <c r="H601" i="3" s="1"/>
  <c r="G600" i="3"/>
  <c r="H600" i="3" s="1"/>
  <c r="G594" i="3"/>
  <c r="H594" i="3" s="1"/>
  <c r="G593" i="3"/>
  <c r="H593" i="3" s="1"/>
  <c r="G571" i="3"/>
  <c r="H571" i="3" s="1"/>
  <c r="G570" i="3"/>
  <c r="H570" i="3" s="1"/>
  <c r="G569" i="3"/>
  <c r="H569" i="3" s="1"/>
  <c r="G563" i="3"/>
  <c r="H563" i="3" s="1"/>
  <c r="G562" i="3"/>
  <c r="H562" i="3" s="1"/>
  <c r="G561" i="3"/>
  <c r="H561" i="3" s="1"/>
  <c r="G555" i="3"/>
  <c r="H555" i="3" s="1"/>
  <c r="G554" i="3"/>
  <c r="H554" i="3" s="1"/>
  <c r="G553" i="3"/>
  <c r="H553" i="3" s="1"/>
  <c r="G547" i="3"/>
  <c r="H547" i="3" s="1"/>
  <c r="G546" i="3"/>
  <c r="H546" i="3" s="1"/>
  <c r="G545" i="3"/>
  <c r="H545" i="3" s="1"/>
  <c r="G537" i="3"/>
  <c r="H537" i="3" s="1"/>
  <c r="G536" i="3"/>
  <c r="H536" i="3" s="1"/>
  <c r="G535" i="3"/>
  <c r="H535" i="3" s="1"/>
  <c r="G527" i="3"/>
  <c r="H527" i="3" s="1"/>
  <c r="G526" i="3"/>
  <c r="H526" i="3" s="1"/>
  <c r="G520" i="3"/>
  <c r="H520" i="3" s="1"/>
  <c r="G519" i="3"/>
  <c r="H519" i="3" s="1"/>
  <c r="G513" i="3"/>
  <c r="H513" i="3" s="1"/>
  <c r="G512" i="3"/>
  <c r="H512" i="3" s="1"/>
  <c r="G506" i="3"/>
  <c r="H506" i="3" s="1"/>
  <c r="G505" i="3"/>
  <c r="H505" i="3" s="1"/>
  <c r="G499" i="3"/>
  <c r="H499" i="3" s="1"/>
  <c r="G498" i="3"/>
  <c r="H498" i="3" s="1"/>
  <c r="G497" i="3"/>
  <c r="H497" i="3" s="1"/>
  <c r="G491" i="3"/>
  <c r="H491" i="3" s="1"/>
  <c r="G490" i="3"/>
  <c r="H490" i="3" s="1"/>
  <c r="G484" i="3"/>
  <c r="H484" i="3" s="1"/>
  <c r="G483" i="3"/>
  <c r="H483" i="3" s="1"/>
  <c r="G477" i="3"/>
  <c r="H477" i="3" s="1"/>
  <c r="G476" i="3"/>
  <c r="H476" i="3" s="1"/>
  <c r="G470" i="3"/>
  <c r="H470" i="3" s="1"/>
  <c r="G469" i="3"/>
  <c r="H469" i="3" s="1"/>
  <c r="G463" i="3"/>
  <c r="H463" i="3" s="1"/>
  <c r="G462" i="3"/>
  <c r="H462" i="3" s="1"/>
  <c r="G456" i="3"/>
  <c r="H456" i="3" s="1"/>
  <c r="G455" i="3"/>
  <c r="H455" i="3" s="1"/>
  <c r="G454" i="3"/>
  <c r="H454" i="3" s="1"/>
  <c r="G448" i="3"/>
  <c r="H448" i="3" s="1"/>
  <c r="G447" i="3"/>
  <c r="H447" i="3" s="1"/>
  <c r="G441" i="3"/>
  <c r="H441" i="3" s="1"/>
  <c r="G440" i="3"/>
  <c r="H440" i="3" s="1"/>
  <c r="G434" i="3"/>
  <c r="H434" i="3" s="1"/>
  <c r="G433" i="3"/>
  <c r="H433" i="3" s="1"/>
  <c r="G427" i="3"/>
  <c r="H427" i="3" s="1"/>
  <c r="G426" i="3"/>
  <c r="H426" i="3" s="1"/>
  <c r="G420" i="3"/>
  <c r="H420" i="3" s="1"/>
  <c r="G419" i="3"/>
  <c r="H419" i="3" s="1"/>
  <c r="G418" i="3"/>
  <c r="H418" i="3" s="1"/>
  <c r="G412" i="3"/>
  <c r="H412" i="3" s="1"/>
  <c r="G411" i="3"/>
  <c r="H411" i="3" s="1"/>
  <c r="G405" i="3"/>
  <c r="H405" i="3" s="1"/>
  <c r="G404" i="3"/>
  <c r="H404" i="3" s="1"/>
  <c r="G403" i="3"/>
  <c r="H403" i="3" s="1"/>
  <c r="G397" i="3"/>
  <c r="H397" i="3" s="1"/>
  <c r="G396" i="3"/>
  <c r="H396" i="3" s="1"/>
  <c r="G390" i="3"/>
  <c r="H390" i="3" s="1"/>
  <c r="G389" i="3"/>
  <c r="H389" i="3" s="1"/>
  <c r="G383" i="3"/>
  <c r="H383" i="3" s="1"/>
  <c r="G382" i="3"/>
  <c r="H382" i="3" s="1"/>
  <c r="G376" i="3"/>
  <c r="H376" i="3" s="1"/>
  <c r="G375" i="3"/>
  <c r="H375" i="3" s="1"/>
  <c r="G369" i="3"/>
  <c r="H369" i="3" s="1"/>
  <c r="G368" i="3"/>
  <c r="H368" i="3" s="1"/>
  <c r="G367" i="3"/>
  <c r="H367" i="3" s="1"/>
  <c r="G361" i="3"/>
  <c r="H361" i="3" s="1"/>
  <c r="G360" i="3"/>
  <c r="H360" i="3" s="1"/>
  <c r="G354" i="3"/>
  <c r="H354" i="3" s="1"/>
  <c r="G353" i="3"/>
  <c r="H353" i="3" s="1"/>
  <c r="G347" i="3"/>
  <c r="H347" i="3" s="1"/>
  <c r="G346" i="3"/>
  <c r="H346" i="3" s="1"/>
  <c r="G340" i="3"/>
  <c r="H340" i="3" s="1"/>
  <c r="G339" i="3"/>
  <c r="H339" i="3" s="1"/>
  <c r="G333" i="3"/>
  <c r="H333" i="3" s="1"/>
  <c r="G332" i="3"/>
  <c r="H332" i="3" s="1"/>
  <c r="G331" i="3"/>
  <c r="H331" i="3" s="1"/>
  <c r="G325" i="3"/>
  <c r="H325" i="3" s="1"/>
  <c r="G324" i="3"/>
  <c r="H324" i="3" s="1"/>
  <c r="G323" i="3"/>
  <c r="H323" i="3" s="1"/>
  <c r="G317" i="3"/>
  <c r="H317" i="3" s="1"/>
  <c r="G316" i="3"/>
  <c r="H316" i="3" s="1"/>
  <c r="G315" i="3"/>
  <c r="H315" i="3" s="1"/>
  <c r="G309" i="3"/>
  <c r="H309" i="3" s="1"/>
  <c r="G308" i="3"/>
  <c r="H308" i="3" s="1"/>
  <c r="G302" i="3"/>
  <c r="H302" i="3" s="1"/>
  <c r="G301" i="3"/>
  <c r="H301" i="3" s="1"/>
  <c r="G300" i="3"/>
  <c r="H300" i="3" s="1"/>
  <c r="G294" i="3"/>
  <c r="H294" i="3" s="1"/>
  <c r="G293" i="3"/>
  <c r="H293" i="3" s="1"/>
  <c r="G292" i="3"/>
  <c r="H292" i="3" s="1"/>
  <c r="G286" i="3"/>
  <c r="H286" i="3" s="1"/>
  <c r="G285" i="3"/>
  <c r="H285" i="3" s="1"/>
  <c r="G279" i="3"/>
  <c r="H279" i="3" s="1"/>
  <c r="G278" i="3"/>
  <c r="H278" i="3" s="1"/>
  <c r="G277" i="3"/>
  <c r="H277" i="3" s="1"/>
  <c r="G271" i="3"/>
  <c r="H271" i="3" s="1"/>
  <c r="G270" i="3"/>
  <c r="H270" i="3" s="1"/>
  <c r="G263" i="3"/>
  <c r="H263" i="3" s="1"/>
  <c r="G262" i="3"/>
  <c r="H262" i="3" s="1"/>
  <c r="G256" i="3"/>
  <c r="H256" i="3" s="1"/>
  <c r="G255" i="3"/>
  <c r="H255" i="3" s="1"/>
  <c r="G254" i="3"/>
  <c r="H254" i="3" s="1"/>
  <c r="G253" i="3"/>
  <c r="H253" i="3" s="1"/>
  <c r="G252" i="3"/>
  <c r="H252" i="3" s="1"/>
  <c r="G246" i="3"/>
  <c r="H246" i="3" s="1"/>
  <c r="G245" i="3"/>
  <c r="H245" i="3" s="1"/>
  <c r="G244" i="3"/>
  <c r="H244" i="3" s="1"/>
  <c r="G243" i="3"/>
  <c r="H243" i="3" s="1"/>
  <c r="G237" i="3"/>
  <c r="H237" i="3" s="1"/>
  <c r="G236" i="3"/>
  <c r="H236" i="3" s="1"/>
  <c r="G230" i="3"/>
  <c r="H230" i="3" s="1"/>
  <c r="G229" i="3"/>
  <c r="H229" i="3" s="1"/>
  <c r="G223" i="3"/>
  <c r="H223" i="3" s="1"/>
  <c r="G222" i="3"/>
  <c r="H222" i="3" s="1"/>
  <c r="G215" i="3"/>
  <c r="H215" i="3" s="1"/>
  <c r="G214" i="3"/>
  <c r="H214" i="3" s="1"/>
  <c r="G207" i="3"/>
  <c r="H207" i="3" s="1"/>
  <c r="G206" i="3"/>
  <c r="H206" i="3" s="1"/>
  <c r="G200" i="3"/>
  <c r="H200" i="3" s="1"/>
  <c r="G199" i="3"/>
  <c r="H199" i="3" s="1"/>
  <c r="G193" i="3"/>
  <c r="H193" i="3" s="1"/>
  <c r="G192" i="3"/>
  <c r="H192" i="3" s="1"/>
  <c r="G186" i="3"/>
  <c r="H186" i="3" s="1"/>
  <c r="G185" i="3"/>
  <c r="H185" i="3" s="1"/>
  <c r="G179" i="3"/>
  <c r="H179" i="3" s="1"/>
  <c r="G178" i="3"/>
  <c r="H178" i="3" s="1"/>
  <c r="G177" i="3"/>
  <c r="H177" i="3" s="1"/>
  <c r="G171" i="3"/>
  <c r="H171" i="3" s="1"/>
  <c r="G170" i="3"/>
  <c r="H170" i="3" s="1"/>
  <c r="G169" i="3"/>
  <c r="H169" i="3" s="1"/>
  <c r="G161" i="3"/>
  <c r="H161" i="3" s="1"/>
  <c r="G160" i="3"/>
  <c r="H160" i="3" s="1"/>
  <c r="G159" i="3"/>
  <c r="H159" i="3" s="1"/>
  <c r="G153" i="3"/>
  <c r="H153" i="3" s="1"/>
  <c r="G152" i="3"/>
  <c r="H152" i="3" s="1"/>
  <c r="G151" i="3"/>
  <c r="H151" i="3" s="1"/>
  <c r="G145" i="3"/>
  <c r="H145" i="3" s="1"/>
  <c r="G144" i="3"/>
  <c r="H144" i="3" s="1"/>
  <c r="G143" i="3"/>
  <c r="H143" i="3" s="1"/>
  <c r="G137" i="3"/>
  <c r="H137" i="3" s="1"/>
  <c r="G136" i="3"/>
  <c r="H136" i="3" s="1"/>
  <c r="G135" i="3"/>
  <c r="H135" i="3" s="1"/>
  <c r="G129" i="3"/>
  <c r="H129" i="3" s="1"/>
  <c r="G128" i="3"/>
  <c r="H128" i="3" s="1"/>
  <c r="G127" i="3"/>
  <c r="H127" i="3" s="1"/>
  <c r="G121" i="3"/>
  <c r="H121" i="3" s="1"/>
  <c r="G120" i="3"/>
  <c r="H120" i="3" s="1"/>
  <c r="G119" i="3"/>
  <c r="H119" i="3" s="1"/>
  <c r="G113" i="3"/>
  <c r="H113" i="3" s="1"/>
  <c r="G112" i="3"/>
  <c r="H112" i="3" s="1"/>
  <c r="G111" i="3"/>
  <c r="H111" i="3" s="1"/>
  <c r="G105" i="3"/>
  <c r="H105" i="3" s="1"/>
  <c r="G104" i="3"/>
  <c r="H104" i="3" s="1"/>
  <c r="G103" i="3"/>
  <c r="H103" i="3" s="1"/>
  <c r="G97" i="3"/>
  <c r="H97" i="3" s="1"/>
  <c r="G96" i="3"/>
  <c r="H96" i="3" s="1"/>
  <c r="G95" i="3"/>
  <c r="H95" i="3" s="1"/>
  <c r="G89" i="3"/>
  <c r="H89" i="3" s="1"/>
  <c r="G88" i="3"/>
  <c r="H88" i="3" s="1"/>
  <c r="G87" i="3"/>
  <c r="H87" i="3" s="1"/>
  <c r="G81" i="3"/>
  <c r="H81" i="3" s="1"/>
  <c r="G80" i="3"/>
  <c r="H80" i="3" s="1"/>
  <c r="G79" i="3"/>
  <c r="H79" i="3" s="1"/>
  <c r="G73" i="3"/>
  <c r="H73" i="3" s="1"/>
  <c r="G72" i="3"/>
  <c r="H72" i="3" s="1"/>
  <c r="G71" i="3"/>
  <c r="H71" i="3" s="1"/>
  <c r="G65" i="3"/>
  <c r="H65" i="3" s="1"/>
  <c r="G64" i="3"/>
  <c r="H64" i="3" s="1"/>
  <c r="G63" i="3"/>
  <c r="H63" i="3" s="1"/>
  <c r="G57" i="3"/>
  <c r="H57" i="3" s="1"/>
  <c r="G56" i="3"/>
  <c r="H56" i="3" s="1"/>
  <c r="G55" i="3"/>
  <c r="H55" i="3" s="1"/>
  <c r="G49" i="3"/>
  <c r="H49" i="3" s="1"/>
  <c r="G48" i="3"/>
  <c r="H48" i="3" s="1"/>
  <c r="G42" i="3"/>
  <c r="H42" i="3" s="1"/>
  <c r="G41" i="3"/>
  <c r="H41" i="3" s="1"/>
  <c r="G40" i="3"/>
  <c r="H40" i="3" s="1"/>
  <c r="G39" i="3"/>
  <c r="H39" i="3" s="1"/>
  <c r="G38" i="3"/>
  <c r="H38" i="3" s="1"/>
  <c r="G35" i="3"/>
  <c r="H35" i="3" s="1"/>
  <c r="G33" i="3"/>
  <c r="H33" i="3" s="1"/>
  <c r="G24" i="3"/>
  <c r="H24" i="3" s="1"/>
  <c r="G23" i="3"/>
  <c r="H23" i="3" s="1"/>
  <c r="G22" i="3"/>
  <c r="H22" i="3" s="1"/>
  <c r="G21" i="3"/>
  <c r="H21" i="3" s="1"/>
  <c r="G20" i="3"/>
  <c r="H20" i="3" s="1"/>
  <c r="G13" i="3"/>
  <c r="H13" i="3" s="1"/>
  <c r="G12" i="3"/>
  <c r="H12" i="3" s="1"/>
  <c r="G11" i="3"/>
  <c r="H11" i="3" s="1"/>
  <c r="G10" i="3"/>
  <c r="H10" i="3" s="1"/>
  <c r="G8" i="3"/>
  <c r="H8" i="3" s="1"/>
  <c r="I1129" i="3"/>
  <c r="I1120" i="3"/>
  <c r="H1120" i="3" s="1"/>
  <c r="I1109" i="3"/>
  <c r="I1102" i="3"/>
  <c r="I1093" i="3"/>
  <c r="H1093" i="3" s="1"/>
  <c r="I1077" i="3"/>
  <c r="H1077" i="3" s="1"/>
  <c r="I1070" i="3"/>
  <c r="I1063" i="3"/>
  <c r="H1063" i="3" s="1"/>
  <c r="I1055" i="3"/>
  <c r="H1055" i="3" s="1"/>
  <c r="I1047" i="3"/>
  <c r="H1047" i="3" s="1"/>
  <c r="I1040" i="3"/>
  <c r="H1040" i="3" s="1"/>
  <c r="I1033" i="3"/>
  <c r="H1033" i="3" s="1"/>
  <c r="I1025" i="3"/>
  <c r="H1025" i="3" s="1"/>
  <c r="I1015" i="3"/>
  <c r="I999" i="3"/>
  <c r="I991" i="3"/>
  <c r="H991" i="3" s="1"/>
  <c r="I984" i="3"/>
  <c r="I977" i="3"/>
  <c r="H977" i="3" s="1"/>
  <c r="I970" i="3"/>
  <c r="H970" i="3" s="1"/>
  <c r="I961" i="3"/>
  <c r="H961" i="3" s="1"/>
  <c r="I954" i="3"/>
  <c r="H954" i="3" s="1"/>
  <c r="I947" i="3"/>
  <c r="H947" i="3" s="1"/>
  <c r="I939" i="3"/>
  <c r="H939" i="3" s="1"/>
  <c r="I927" i="3"/>
  <c r="H927" i="3" s="1"/>
  <c r="I911" i="3"/>
  <c r="H911" i="3" s="1"/>
  <c r="I904" i="3"/>
  <c r="H904" i="3" s="1"/>
  <c r="I896" i="3"/>
  <c r="H896" i="3" s="1"/>
  <c r="I889" i="3"/>
  <c r="H889" i="3" s="1"/>
  <c r="I882" i="3"/>
  <c r="H882" i="3" s="1"/>
  <c r="I875" i="3"/>
  <c r="H875" i="3" s="1"/>
  <c r="I868" i="3"/>
  <c r="H868" i="3" s="1"/>
  <c r="I861" i="3"/>
  <c r="H861" i="3" s="1"/>
  <c r="I853" i="3"/>
  <c r="H853" i="3" s="1"/>
  <c r="I846" i="3"/>
  <c r="H846" i="3" s="1"/>
  <c r="I838" i="3"/>
  <c r="H838" i="3" s="1"/>
  <c r="I830" i="3"/>
  <c r="H830" i="3" s="1"/>
  <c r="I800" i="3"/>
  <c r="H800" i="3" s="1"/>
  <c r="I793" i="3"/>
  <c r="H793" i="3" s="1"/>
  <c r="I786" i="3"/>
  <c r="H786" i="3" s="1"/>
  <c r="I779" i="3"/>
  <c r="H779" i="3" s="1"/>
  <c r="I772" i="3"/>
  <c r="H772" i="3" s="1"/>
  <c r="I764" i="3"/>
  <c r="H764" i="3" s="1"/>
  <c r="I756" i="3"/>
  <c r="H756" i="3" s="1"/>
  <c r="I749" i="3"/>
  <c r="H749" i="3" s="1"/>
  <c r="I741" i="3"/>
  <c r="H741" i="3" s="1"/>
  <c r="I734" i="3"/>
  <c r="H734" i="3" s="1"/>
  <c r="I727" i="3"/>
  <c r="H727" i="3" s="1"/>
  <c r="I720" i="3"/>
  <c r="H720" i="3" s="1"/>
  <c r="I712" i="3"/>
  <c r="H712" i="3" s="1"/>
  <c r="I705" i="3"/>
  <c r="H705" i="3" s="1"/>
  <c r="I698" i="3"/>
  <c r="H698" i="3" s="1"/>
  <c r="I691" i="3"/>
  <c r="H691" i="3" s="1"/>
  <c r="I684" i="3"/>
  <c r="H684" i="3" s="1"/>
  <c r="I676" i="3"/>
  <c r="H676" i="3" s="1"/>
  <c r="I668" i="3"/>
  <c r="H668" i="3" s="1"/>
  <c r="I661" i="3"/>
  <c r="H661" i="3" s="1"/>
  <c r="I653" i="3"/>
  <c r="H653" i="3" s="1"/>
  <c r="I643" i="3"/>
  <c r="H643" i="3" s="1"/>
  <c r="I631" i="3"/>
  <c r="H631" i="3" s="1"/>
  <c r="I624" i="3"/>
  <c r="H624" i="3" s="1"/>
  <c r="I617" i="3"/>
  <c r="H617" i="3" s="1"/>
  <c r="I610" i="3"/>
  <c r="H610" i="3" s="1"/>
  <c r="I603" i="3"/>
  <c r="H603" i="3" s="1"/>
  <c r="I596" i="3"/>
  <c r="H596" i="3" s="1"/>
  <c r="I573" i="3"/>
  <c r="H573" i="3" s="1"/>
  <c r="I565" i="3"/>
  <c r="H565" i="3" s="1"/>
  <c r="I557" i="3"/>
  <c r="H557" i="3" s="1"/>
  <c r="I549" i="3"/>
  <c r="H549" i="3" s="1"/>
  <c r="I539" i="3"/>
  <c r="H539" i="3" s="1"/>
  <c r="I529" i="3"/>
  <c r="H529" i="3" s="1"/>
  <c r="I522" i="3"/>
  <c r="H522" i="3" s="1"/>
  <c r="I515" i="3"/>
  <c r="H515" i="3" s="1"/>
  <c r="I508" i="3"/>
  <c r="H508" i="3" s="1"/>
  <c r="I501" i="3"/>
  <c r="H501" i="3" s="1"/>
  <c r="I493" i="3"/>
  <c r="H493" i="3" s="1"/>
  <c r="I486" i="3"/>
  <c r="H486" i="3" s="1"/>
  <c r="I479" i="3"/>
  <c r="H479" i="3" s="1"/>
  <c r="I472" i="3"/>
  <c r="H472" i="3" s="1"/>
  <c r="I465" i="3"/>
  <c r="H465" i="3" s="1"/>
  <c r="I458" i="3"/>
  <c r="H458" i="3" s="1"/>
  <c r="I450" i="3"/>
  <c r="H450" i="3" s="1"/>
  <c r="I443" i="3"/>
  <c r="H443" i="3" s="1"/>
  <c r="I436" i="3"/>
  <c r="H436" i="3" s="1"/>
  <c r="I429" i="3"/>
  <c r="H429" i="3" s="1"/>
  <c r="I422" i="3"/>
  <c r="H422" i="3" s="1"/>
  <c r="I414" i="3"/>
  <c r="H414" i="3" s="1"/>
  <c r="I407" i="3"/>
  <c r="H407" i="3" s="1"/>
  <c r="I399" i="3"/>
  <c r="H399" i="3" s="1"/>
  <c r="I392" i="3"/>
  <c r="H392" i="3" s="1"/>
  <c r="I385" i="3"/>
  <c r="H385" i="3" s="1"/>
  <c r="I378" i="3"/>
  <c r="H378" i="3" s="1"/>
  <c r="I371" i="3"/>
  <c r="H371" i="3" s="1"/>
  <c r="I363" i="3"/>
  <c r="H363" i="3" s="1"/>
  <c r="I356" i="3"/>
  <c r="H356" i="3" s="1"/>
  <c r="I349" i="3"/>
  <c r="H349" i="3" s="1"/>
  <c r="I342" i="3"/>
  <c r="H342" i="3" s="1"/>
  <c r="I335" i="3"/>
  <c r="H335" i="3" s="1"/>
  <c r="I327" i="3"/>
  <c r="H327" i="3" s="1"/>
  <c r="I319" i="3"/>
  <c r="H319" i="3" s="1"/>
  <c r="I311" i="3"/>
  <c r="H311" i="3" s="1"/>
  <c r="I304" i="3"/>
  <c r="H304" i="3" s="1"/>
  <c r="I296" i="3"/>
  <c r="H296" i="3" s="1"/>
  <c r="I288" i="3"/>
  <c r="H288" i="3" s="1"/>
  <c r="I281" i="3"/>
  <c r="H281" i="3" s="1"/>
  <c r="I273" i="3"/>
  <c r="H273" i="3" s="1"/>
  <c r="I266" i="3"/>
  <c r="H266" i="3" s="1"/>
  <c r="I265" i="3"/>
  <c r="H265" i="3" s="1"/>
  <c r="I258" i="3"/>
  <c r="H258" i="3" s="1"/>
  <c r="I248" i="3"/>
  <c r="H248" i="3" s="1"/>
  <c r="I239" i="3"/>
  <c r="H239" i="3" s="1"/>
  <c r="I232" i="3"/>
  <c r="H232" i="3" s="1"/>
  <c r="I225" i="3"/>
  <c r="H225" i="3" s="1"/>
  <c r="I218" i="3"/>
  <c r="H218" i="3" s="1"/>
  <c r="I217" i="3"/>
  <c r="H217" i="3" s="1"/>
  <c r="I210" i="3"/>
  <c r="H210" i="3" s="1"/>
  <c r="I209" i="3"/>
  <c r="H209" i="3" s="1"/>
  <c r="I202" i="3"/>
  <c r="H202" i="3" s="1"/>
  <c r="I195" i="3"/>
  <c r="H195" i="3" s="1"/>
  <c r="I188" i="3"/>
  <c r="H188" i="3" s="1"/>
  <c r="I181" i="3"/>
  <c r="H181" i="3" s="1"/>
  <c r="I173" i="3"/>
  <c r="H173" i="3" s="1"/>
  <c r="I165" i="3"/>
  <c r="H165" i="3" s="1"/>
  <c r="I163" i="3"/>
  <c r="H163" i="3" s="1"/>
  <c r="I155" i="3"/>
  <c r="H155" i="3" s="1"/>
  <c r="I147" i="3"/>
  <c r="H147" i="3" s="1"/>
  <c r="I139" i="3"/>
  <c r="H139" i="3" s="1"/>
  <c r="I131" i="3"/>
  <c r="H131" i="3" s="1"/>
  <c r="I123" i="3"/>
  <c r="H123" i="3" s="1"/>
  <c r="I115" i="3"/>
  <c r="H115" i="3" s="1"/>
  <c r="I107" i="3"/>
  <c r="H107" i="3" s="1"/>
  <c r="I99" i="3"/>
  <c r="H99" i="3" s="1"/>
  <c r="I91" i="3"/>
  <c r="H91" i="3" s="1"/>
  <c r="I83" i="3"/>
  <c r="H83" i="3" s="1"/>
  <c r="I75" i="3"/>
  <c r="H75" i="3" s="1"/>
  <c r="I67" i="3"/>
  <c r="H67" i="3" s="1"/>
  <c r="I59" i="3"/>
  <c r="H59" i="3" s="1"/>
  <c r="I51" i="3"/>
  <c r="H51" i="3" s="1"/>
  <c r="I44" i="3"/>
  <c r="I28" i="3"/>
  <c r="H28" i="3" s="1"/>
  <c r="I15" i="3"/>
  <c r="H15" i="3" s="1"/>
  <c r="B1122" i="3"/>
  <c r="B1123" i="3" s="1"/>
  <c r="B1124" i="3" s="1"/>
  <c r="B1125" i="3" s="1"/>
  <c r="B1126" i="3" s="1"/>
  <c r="B1127" i="3" s="1"/>
  <c r="B1128" i="3" s="1"/>
  <c r="B1129" i="3" s="1"/>
  <c r="B1113" i="3"/>
  <c r="B1114" i="3" s="1"/>
  <c r="B1115" i="3" s="1"/>
  <c r="B1116" i="3" s="1"/>
  <c r="B1117" i="3" s="1"/>
  <c r="B1118" i="3" s="1"/>
  <c r="B1119" i="3" s="1"/>
  <c r="B1120" i="3" s="1"/>
  <c r="B1111" i="3"/>
  <c r="B1104" i="3"/>
  <c r="B1105" i="3" s="1"/>
  <c r="B1106" i="3" s="1"/>
  <c r="B1107" i="3" s="1"/>
  <c r="B1108" i="3" s="1"/>
  <c r="B1109" i="3" s="1"/>
  <c r="B1097" i="3"/>
  <c r="B1098" i="3" s="1"/>
  <c r="B1099" i="3" s="1"/>
  <c r="B1100" i="3" s="1"/>
  <c r="B1101" i="3" s="1"/>
  <c r="B1102" i="3" s="1"/>
  <c r="B1095" i="3"/>
  <c r="B1085" i="3"/>
  <c r="B1086" i="3" s="1"/>
  <c r="B1087" i="3" s="1"/>
  <c r="B1088" i="3" s="1"/>
  <c r="B1089" i="3" s="1"/>
  <c r="B1090" i="3" s="1"/>
  <c r="B1091" i="3" s="1"/>
  <c r="B1092" i="3" s="1"/>
  <c r="B1093" i="3" s="1"/>
  <c r="B1083" i="3"/>
  <c r="B1081" i="3"/>
  <c r="B1079" i="3"/>
  <c r="B1072" i="3"/>
  <c r="B1073" i="3" s="1"/>
  <c r="B1074" i="3" s="1"/>
  <c r="B1075" i="3" s="1"/>
  <c r="B1076" i="3" s="1"/>
  <c r="B1077" i="3" s="1"/>
  <c r="B1065" i="3"/>
  <c r="B1066" i="3" s="1"/>
  <c r="B1067" i="3" s="1"/>
  <c r="B1068" i="3" s="1"/>
  <c r="B1069" i="3" s="1"/>
  <c r="B1070" i="3" s="1"/>
  <c r="B1057" i="3"/>
  <c r="B1058" i="3" s="1"/>
  <c r="B1059" i="3" s="1"/>
  <c r="B1060" i="3" s="1"/>
  <c r="B1061" i="3" s="1"/>
  <c r="B1062" i="3" s="1"/>
  <c r="B1063" i="3" s="1"/>
  <c r="B1049" i="3"/>
  <c r="B1050" i="3" s="1"/>
  <c r="B1051" i="3" s="1"/>
  <c r="B1052" i="3" s="1"/>
  <c r="B1053" i="3" s="1"/>
  <c r="B1054" i="3" s="1"/>
  <c r="B1055" i="3" s="1"/>
  <c r="B1042" i="3"/>
  <c r="B1043" i="3" s="1"/>
  <c r="B1044" i="3" s="1"/>
  <c r="B1045" i="3" s="1"/>
  <c r="B1046" i="3" s="1"/>
  <c r="B1047" i="3" s="1"/>
  <c r="B1035" i="3"/>
  <c r="B1036" i="3" s="1"/>
  <c r="B1037" i="3" s="1"/>
  <c r="B1038" i="3" s="1"/>
  <c r="B1039" i="3" s="1"/>
  <c r="B1040" i="3" s="1"/>
  <c r="B1027" i="3"/>
  <c r="B1028" i="3" s="1"/>
  <c r="B1029" i="3" s="1"/>
  <c r="B1030" i="3" s="1"/>
  <c r="B1031" i="3" s="1"/>
  <c r="B1032" i="3" s="1"/>
  <c r="B1033" i="3" s="1"/>
  <c r="B1017" i="3"/>
  <c r="B1018" i="3" s="1"/>
  <c r="B1019" i="3" s="1"/>
  <c r="B1020" i="3" s="1"/>
  <c r="B1021" i="3" s="1"/>
  <c r="B1022" i="3" s="1"/>
  <c r="B1023" i="3" s="1"/>
  <c r="B1024" i="3" s="1"/>
  <c r="B1025" i="3" s="1"/>
  <c r="B1005" i="3"/>
  <c r="B1006" i="3" s="1"/>
  <c r="B1007" i="3" s="1"/>
  <c r="B1008" i="3" s="1"/>
  <c r="B1009" i="3" s="1"/>
  <c r="B1010" i="3" s="1"/>
  <c r="B1011" i="3" s="1"/>
  <c r="B1012" i="3" s="1"/>
  <c r="B1013" i="3" s="1"/>
  <c r="B1014" i="3" s="1"/>
  <c r="B1015" i="3" s="1"/>
  <c r="B1003" i="3"/>
  <c r="B1001" i="3"/>
  <c r="B993" i="3"/>
  <c r="B994" i="3" s="1"/>
  <c r="B995" i="3" s="1"/>
  <c r="B996" i="3" s="1"/>
  <c r="B997" i="3" s="1"/>
  <c r="B998" i="3" s="1"/>
  <c r="B999" i="3" s="1"/>
  <c r="B986" i="3"/>
  <c r="B987" i="3" s="1"/>
  <c r="B988" i="3" s="1"/>
  <c r="B989" i="3" s="1"/>
  <c r="B990" i="3" s="1"/>
  <c r="B991" i="3" s="1"/>
  <c r="B979" i="3"/>
  <c r="B980" i="3" s="1"/>
  <c r="B981" i="3" s="1"/>
  <c r="B982" i="3" s="1"/>
  <c r="B983" i="3" s="1"/>
  <c r="B984" i="3" s="1"/>
  <c r="B972" i="3"/>
  <c r="B973" i="3" s="1"/>
  <c r="B974" i="3" s="1"/>
  <c r="B975" i="3" s="1"/>
  <c r="B976" i="3" s="1"/>
  <c r="B977" i="3" s="1"/>
  <c r="B963" i="3"/>
  <c r="B964" i="3" s="1"/>
  <c r="B965" i="3" s="1"/>
  <c r="B966" i="3" s="1"/>
  <c r="B967" i="3" s="1"/>
  <c r="B968" i="3" s="1"/>
  <c r="B969" i="3" s="1"/>
  <c r="B970" i="3" s="1"/>
  <c r="B956" i="3"/>
  <c r="B957" i="3" s="1"/>
  <c r="B958" i="3" s="1"/>
  <c r="B959" i="3" s="1"/>
  <c r="B960" i="3" s="1"/>
  <c r="B961" i="3" s="1"/>
  <c r="B949" i="3"/>
  <c r="B950" i="3" s="1"/>
  <c r="B951" i="3" s="1"/>
  <c r="B952" i="3" s="1"/>
  <c r="B953" i="3" s="1"/>
  <c r="B954" i="3" s="1"/>
  <c r="B941" i="3"/>
  <c r="B942" i="3" s="1"/>
  <c r="B943" i="3" s="1"/>
  <c r="B944" i="3" s="1"/>
  <c r="B945" i="3" s="1"/>
  <c r="B946" i="3" s="1"/>
  <c r="B947" i="3" s="1"/>
  <c r="B929" i="3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17" i="3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15" i="3"/>
  <c r="B913" i="3"/>
  <c r="B906" i="3"/>
  <c r="B907" i="3" s="1"/>
  <c r="B908" i="3" s="1"/>
  <c r="B909" i="3" s="1"/>
  <c r="B910" i="3" s="1"/>
  <c r="B911" i="3" s="1"/>
  <c r="B898" i="3"/>
  <c r="B899" i="3" s="1"/>
  <c r="B900" i="3" s="1"/>
  <c r="B901" i="3" s="1"/>
  <c r="B902" i="3" s="1"/>
  <c r="B903" i="3" s="1"/>
  <c r="B904" i="3" s="1"/>
  <c r="B891" i="3"/>
  <c r="B892" i="3" s="1"/>
  <c r="B893" i="3" s="1"/>
  <c r="B894" i="3" s="1"/>
  <c r="B895" i="3" s="1"/>
  <c r="B896" i="3" s="1"/>
  <c r="B884" i="3"/>
  <c r="B885" i="3" s="1"/>
  <c r="B886" i="3" s="1"/>
  <c r="B887" i="3" s="1"/>
  <c r="B888" i="3" s="1"/>
  <c r="B889" i="3" s="1"/>
  <c r="B877" i="3"/>
  <c r="B878" i="3" s="1"/>
  <c r="B879" i="3" s="1"/>
  <c r="B880" i="3" s="1"/>
  <c r="B881" i="3" s="1"/>
  <c r="B882" i="3" s="1"/>
  <c r="B870" i="3"/>
  <c r="B871" i="3" s="1"/>
  <c r="B872" i="3" s="1"/>
  <c r="B873" i="3" s="1"/>
  <c r="B874" i="3" s="1"/>
  <c r="B875" i="3" s="1"/>
  <c r="B863" i="3"/>
  <c r="B864" i="3" s="1"/>
  <c r="B865" i="3" s="1"/>
  <c r="B866" i="3" s="1"/>
  <c r="B867" i="3" s="1"/>
  <c r="B868" i="3" s="1"/>
  <c r="B855" i="3"/>
  <c r="B856" i="3" s="1"/>
  <c r="B857" i="3" s="1"/>
  <c r="B858" i="3" s="1"/>
  <c r="B859" i="3" s="1"/>
  <c r="B860" i="3" s="1"/>
  <c r="B861" i="3" s="1"/>
  <c r="B848" i="3"/>
  <c r="B849" i="3" s="1"/>
  <c r="B850" i="3" s="1"/>
  <c r="B851" i="3" s="1"/>
  <c r="B852" i="3" s="1"/>
  <c r="B853" i="3" s="1"/>
  <c r="B840" i="3"/>
  <c r="B841" i="3" s="1"/>
  <c r="B842" i="3" s="1"/>
  <c r="B843" i="3" s="1"/>
  <c r="B844" i="3" s="1"/>
  <c r="B845" i="3" s="1"/>
  <c r="B846" i="3" s="1"/>
  <c r="B832" i="3"/>
  <c r="B833" i="3" s="1"/>
  <c r="B834" i="3" s="1"/>
  <c r="B835" i="3" s="1"/>
  <c r="B836" i="3" s="1"/>
  <c r="B837" i="3" s="1"/>
  <c r="B838" i="3" s="1"/>
  <c r="B816" i="3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14" i="3"/>
  <c r="B812" i="3"/>
  <c r="B810" i="3"/>
  <c r="B808" i="3"/>
  <c r="B806" i="3"/>
  <c r="B804" i="3"/>
  <c r="B802" i="3"/>
  <c r="B795" i="3"/>
  <c r="B796" i="3" s="1"/>
  <c r="B797" i="3" s="1"/>
  <c r="B798" i="3" s="1"/>
  <c r="B799" i="3" s="1"/>
  <c r="B800" i="3" s="1"/>
  <c r="B788" i="3"/>
  <c r="B789" i="3" s="1"/>
  <c r="B790" i="3" s="1"/>
  <c r="B791" i="3" s="1"/>
  <c r="B792" i="3" s="1"/>
  <c r="B793" i="3" s="1"/>
  <c r="B781" i="3"/>
  <c r="B782" i="3" s="1"/>
  <c r="B783" i="3" s="1"/>
  <c r="B784" i="3" s="1"/>
  <c r="B785" i="3" s="1"/>
  <c r="B786" i="3" s="1"/>
  <c r="B774" i="3"/>
  <c r="B775" i="3" s="1"/>
  <c r="B776" i="3" s="1"/>
  <c r="B777" i="3" s="1"/>
  <c r="B778" i="3" s="1"/>
  <c r="B779" i="3" s="1"/>
  <c r="B766" i="3"/>
  <c r="B767" i="3" s="1"/>
  <c r="B768" i="3" s="1"/>
  <c r="B769" i="3" s="1"/>
  <c r="B770" i="3" s="1"/>
  <c r="B771" i="3" s="1"/>
  <c r="B772" i="3" s="1"/>
  <c r="B758" i="3"/>
  <c r="B759" i="3" s="1"/>
  <c r="B760" i="3" s="1"/>
  <c r="B761" i="3" s="1"/>
  <c r="B762" i="3" s="1"/>
  <c r="B763" i="3" s="1"/>
  <c r="B764" i="3" s="1"/>
  <c r="B751" i="3"/>
  <c r="B752" i="3" s="1"/>
  <c r="B753" i="3" s="1"/>
  <c r="B754" i="3" s="1"/>
  <c r="B755" i="3" s="1"/>
  <c r="B756" i="3" s="1"/>
  <c r="B743" i="3"/>
  <c r="B744" i="3" s="1"/>
  <c r="B745" i="3" s="1"/>
  <c r="B746" i="3" s="1"/>
  <c r="B747" i="3" s="1"/>
  <c r="B748" i="3" s="1"/>
  <c r="B749" i="3" s="1"/>
  <c r="B736" i="3"/>
  <c r="B737" i="3" s="1"/>
  <c r="B738" i="3" s="1"/>
  <c r="B739" i="3" s="1"/>
  <c r="B740" i="3" s="1"/>
  <c r="B741" i="3" s="1"/>
  <c r="B729" i="3"/>
  <c r="B730" i="3" s="1"/>
  <c r="B731" i="3" s="1"/>
  <c r="B732" i="3" s="1"/>
  <c r="B733" i="3" s="1"/>
  <c r="B734" i="3" s="1"/>
  <c r="B722" i="3"/>
  <c r="B723" i="3" s="1"/>
  <c r="B724" i="3" s="1"/>
  <c r="B725" i="3" s="1"/>
  <c r="B726" i="3" s="1"/>
  <c r="B727" i="3" s="1"/>
  <c r="B714" i="3"/>
  <c r="B715" i="3" s="1"/>
  <c r="B716" i="3" s="1"/>
  <c r="B717" i="3" s="1"/>
  <c r="B718" i="3" s="1"/>
  <c r="B719" i="3" s="1"/>
  <c r="B720" i="3" s="1"/>
  <c r="B707" i="3"/>
  <c r="B708" i="3" s="1"/>
  <c r="B709" i="3" s="1"/>
  <c r="B710" i="3" s="1"/>
  <c r="B711" i="3" s="1"/>
  <c r="B712" i="3" s="1"/>
  <c r="B700" i="3"/>
  <c r="B701" i="3" s="1"/>
  <c r="B702" i="3" s="1"/>
  <c r="B703" i="3" s="1"/>
  <c r="B704" i="3" s="1"/>
  <c r="B705" i="3" s="1"/>
  <c r="B693" i="3"/>
  <c r="B694" i="3" s="1"/>
  <c r="B695" i="3" s="1"/>
  <c r="B696" i="3" s="1"/>
  <c r="B697" i="3" s="1"/>
  <c r="B698" i="3" s="1"/>
  <c r="B686" i="3"/>
  <c r="B687" i="3" s="1"/>
  <c r="B688" i="3" s="1"/>
  <c r="B689" i="3" s="1"/>
  <c r="B690" i="3" s="1"/>
  <c r="B691" i="3" s="1"/>
  <c r="B678" i="3"/>
  <c r="B679" i="3" s="1"/>
  <c r="B680" i="3" s="1"/>
  <c r="B681" i="3" s="1"/>
  <c r="B682" i="3" s="1"/>
  <c r="B683" i="3" s="1"/>
  <c r="B684" i="3" s="1"/>
  <c r="B670" i="3"/>
  <c r="B671" i="3" s="1"/>
  <c r="B672" i="3" s="1"/>
  <c r="B673" i="3" s="1"/>
  <c r="B674" i="3" s="1"/>
  <c r="B675" i="3" s="1"/>
  <c r="B676" i="3" s="1"/>
  <c r="B663" i="3"/>
  <c r="B664" i="3" s="1"/>
  <c r="B665" i="3" s="1"/>
  <c r="B666" i="3" s="1"/>
  <c r="B667" i="3" s="1"/>
  <c r="B668" i="3" s="1"/>
  <c r="B655" i="3"/>
  <c r="B656" i="3" s="1"/>
  <c r="B657" i="3" s="1"/>
  <c r="B658" i="3" s="1"/>
  <c r="B659" i="3" s="1"/>
  <c r="B660" i="3" s="1"/>
  <c r="B661" i="3" s="1"/>
  <c r="B645" i="3"/>
  <c r="B646" i="3" s="1"/>
  <c r="B647" i="3" s="1"/>
  <c r="B648" i="3" s="1"/>
  <c r="B649" i="3" s="1"/>
  <c r="B650" i="3" s="1"/>
  <c r="B651" i="3" s="1"/>
  <c r="B652" i="3" s="1"/>
  <c r="B653" i="3" s="1"/>
  <c r="B633" i="3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26" i="3"/>
  <c r="B627" i="3" s="1"/>
  <c r="B628" i="3" s="1"/>
  <c r="B629" i="3" s="1"/>
  <c r="B630" i="3" s="1"/>
  <c r="B631" i="3" s="1"/>
  <c r="B619" i="3"/>
  <c r="B620" i="3" s="1"/>
  <c r="B621" i="3" s="1"/>
  <c r="B622" i="3" s="1"/>
  <c r="B623" i="3" s="1"/>
  <c r="B624" i="3" s="1"/>
  <c r="B612" i="3"/>
  <c r="B613" i="3" s="1"/>
  <c r="B614" i="3" s="1"/>
  <c r="B615" i="3" s="1"/>
  <c r="B616" i="3" s="1"/>
  <c r="B617" i="3" s="1"/>
  <c r="B605" i="3"/>
  <c r="B606" i="3" s="1"/>
  <c r="B607" i="3" s="1"/>
  <c r="B608" i="3" s="1"/>
  <c r="B609" i="3" s="1"/>
  <c r="B610" i="3" s="1"/>
  <c r="B598" i="3"/>
  <c r="B599" i="3" s="1"/>
  <c r="B600" i="3" s="1"/>
  <c r="B601" i="3" s="1"/>
  <c r="B602" i="3" s="1"/>
  <c r="B603" i="3" s="1"/>
  <c r="B591" i="3"/>
  <c r="B592" i="3" s="1"/>
  <c r="B593" i="3" s="1"/>
  <c r="B594" i="3" s="1"/>
  <c r="B595" i="3" s="1"/>
  <c r="B596" i="3" s="1"/>
  <c r="B589" i="3"/>
  <c r="B587" i="3"/>
  <c r="B585" i="3"/>
  <c r="B583" i="3"/>
  <c r="B581" i="3"/>
  <c r="B579" i="3"/>
  <c r="B577" i="3"/>
  <c r="B575" i="3"/>
  <c r="B567" i="3"/>
  <c r="B568" i="3" s="1"/>
  <c r="B569" i="3" s="1"/>
  <c r="B570" i="3" s="1"/>
  <c r="B571" i="3" s="1"/>
  <c r="B572" i="3" s="1"/>
  <c r="B573" i="3" s="1"/>
  <c r="B559" i="3"/>
  <c r="B560" i="3" s="1"/>
  <c r="B561" i="3" s="1"/>
  <c r="B562" i="3" s="1"/>
  <c r="B563" i="3" s="1"/>
  <c r="B564" i="3" s="1"/>
  <c r="B565" i="3" s="1"/>
  <c r="B551" i="3"/>
  <c r="B552" i="3" s="1"/>
  <c r="B553" i="3" s="1"/>
  <c r="B554" i="3" s="1"/>
  <c r="B555" i="3" s="1"/>
  <c r="B556" i="3" s="1"/>
  <c r="B557" i="3" s="1"/>
  <c r="B543" i="3"/>
  <c r="B544" i="3" s="1"/>
  <c r="B545" i="3" s="1"/>
  <c r="B546" i="3" s="1"/>
  <c r="B547" i="3" s="1"/>
  <c r="B548" i="3" s="1"/>
  <c r="B549" i="3" s="1"/>
  <c r="B533" i="3"/>
  <c r="B534" i="3" s="1"/>
  <c r="B535" i="3" s="1"/>
  <c r="B536" i="3" s="1"/>
  <c r="B537" i="3" s="1"/>
  <c r="B538" i="3" s="1"/>
  <c r="B539" i="3" s="1"/>
  <c r="B524" i="3"/>
  <c r="B525" i="3" s="1"/>
  <c r="B526" i="3" s="1"/>
  <c r="B527" i="3" s="1"/>
  <c r="B528" i="3" s="1"/>
  <c r="B529" i="3" s="1"/>
  <c r="B517" i="3"/>
  <c r="B518" i="3" s="1"/>
  <c r="B519" i="3" s="1"/>
  <c r="B520" i="3" s="1"/>
  <c r="B521" i="3" s="1"/>
  <c r="B522" i="3" s="1"/>
  <c r="B510" i="3"/>
  <c r="B511" i="3" s="1"/>
  <c r="B512" i="3" s="1"/>
  <c r="B513" i="3" s="1"/>
  <c r="B514" i="3" s="1"/>
  <c r="B515" i="3" s="1"/>
  <c r="B503" i="3"/>
  <c r="B504" i="3" s="1"/>
  <c r="B505" i="3" s="1"/>
  <c r="B506" i="3" s="1"/>
  <c r="B507" i="3" s="1"/>
  <c r="B508" i="3" s="1"/>
  <c r="B495" i="3"/>
  <c r="B496" i="3" s="1"/>
  <c r="B497" i="3" s="1"/>
  <c r="B498" i="3" s="1"/>
  <c r="B499" i="3" s="1"/>
  <c r="B500" i="3" s="1"/>
  <c r="B501" i="3" s="1"/>
  <c r="B488" i="3"/>
  <c r="B489" i="3" s="1"/>
  <c r="B490" i="3" s="1"/>
  <c r="B491" i="3" s="1"/>
  <c r="B492" i="3" s="1"/>
  <c r="B493" i="3" s="1"/>
  <c r="B481" i="3"/>
  <c r="B482" i="3" s="1"/>
  <c r="B483" i="3" s="1"/>
  <c r="B484" i="3" s="1"/>
  <c r="B485" i="3" s="1"/>
  <c r="B486" i="3" s="1"/>
  <c r="B474" i="3"/>
  <c r="B475" i="3" s="1"/>
  <c r="B476" i="3" s="1"/>
  <c r="B477" i="3" s="1"/>
  <c r="B478" i="3" s="1"/>
  <c r="B479" i="3" s="1"/>
  <c r="B467" i="3"/>
  <c r="B468" i="3" s="1"/>
  <c r="B469" i="3" s="1"/>
  <c r="B470" i="3" s="1"/>
  <c r="B471" i="3" s="1"/>
  <c r="B472" i="3" s="1"/>
  <c r="B460" i="3"/>
  <c r="B461" i="3" s="1"/>
  <c r="B462" i="3" s="1"/>
  <c r="B463" i="3" s="1"/>
  <c r="B464" i="3" s="1"/>
  <c r="B465" i="3" s="1"/>
  <c r="B452" i="3"/>
  <c r="B453" i="3" s="1"/>
  <c r="B454" i="3" s="1"/>
  <c r="B455" i="3" s="1"/>
  <c r="B456" i="3" s="1"/>
  <c r="B457" i="3" s="1"/>
  <c r="B458" i="3" s="1"/>
  <c r="B445" i="3"/>
  <c r="B446" i="3" s="1"/>
  <c r="B447" i="3" s="1"/>
  <c r="B448" i="3" s="1"/>
  <c r="B449" i="3" s="1"/>
  <c r="B450" i="3" s="1"/>
  <c r="B438" i="3"/>
  <c r="B439" i="3" s="1"/>
  <c r="B440" i="3" s="1"/>
  <c r="B441" i="3" s="1"/>
  <c r="B442" i="3" s="1"/>
  <c r="B443" i="3" s="1"/>
  <c r="B431" i="3"/>
  <c r="B432" i="3" s="1"/>
  <c r="B433" i="3" s="1"/>
  <c r="B434" i="3" s="1"/>
  <c r="B435" i="3" s="1"/>
  <c r="B436" i="3" s="1"/>
  <c r="B424" i="3"/>
  <c r="B425" i="3" s="1"/>
  <c r="B426" i="3" s="1"/>
  <c r="B427" i="3" s="1"/>
  <c r="B428" i="3" s="1"/>
  <c r="B429" i="3" s="1"/>
  <c r="B416" i="3"/>
  <c r="B417" i="3" s="1"/>
  <c r="B418" i="3" s="1"/>
  <c r="B419" i="3" s="1"/>
  <c r="B420" i="3" s="1"/>
  <c r="B421" i="3" s="1"/>
  <c r="B422" i="3" s="1"/>
  <c r="B409" i="3"/>
  <c r="B410" i="3" s="1"/>
  <c r="B411" i="3" s="1"/>
  <c r="B412" i="3" s="1"/>
  <c r="B413" i="3" s="1"/>
  <c r="B414" i="3" s="1"/>
  <c r="B401" i="3"/>
  <c r="B402" i="3" s="1"/>
  <c r="B403" i="3" s="1"/>
  <c r="B404" i="3" s="1"/>
  <c r="B405" i="3" s="1"/>
  <c r="B406" i="3" s="1"/>
  <c r="B407" i="3" s="1"/>
  <c r="B394" i="3"/>
  <c r="B395" i="3" s="1"/>
  <c r="B396" i="3" s="1"/>
  <c r="B397" i="3" s="1"/>
  <c r="B398" i="3" s="1"/>
  <c r="B399" i="3" s="1"/>
  <c r="B387" i="3"/>
  <c r="B388" i="3" s="1"/>
  <c r="B389" i="3" s="1"/>
  <c r="B390" i="3" s="1"/>
  <c r="B391" i="3" s="1"/>
  <c r="B392" i="3" s="1"/>
  <c r="B380" i="3"/>
  <c r="B381" i="3" s="1"/>
  <c r="B382" i="3" s="1"/>
  <c r="B383" i="3" s="1"/>
  <c r="B384" i="3" s="1"/>
  <c r="B385" i="3" s="1"/>
  <c r="B373" i="3"/>
  <c r="B374" i="3" s="1"/>
  <c r="B375" i="3" s="1"/>
  <c r="B376" i="3" s="1"/>
  <c r="B377" i="3" s="1"/>
  <c r="B378" i="3" s="1"/>
  <c r="B365" i="3"/>
  <c r="B366" i="3" s="1"/>
  <c r="B367" i="3" s="1"/>
  <c r="B368" i="3" s="1"/>
  <c r="B369" i="3" s="1"/>
  <c r="B370" i="3" s="1"/>
  <c r="B371" i="3" s="1"/>
  <c r="B358" i="3"/>
  <c r="B359" i="3" s="1"/>
  <c r="B360" i="3" s="1"/>
  <c r="B361" i="3" s="1"/>
  <c r="B362" i="3" s="1"/>
  <c r="B363" i="3" s="1"/>
  <c r="B351" i="3"/>
  <c r="B352" i="3" s="1"/>
  <c r="B353" i="3" s="1"/>
  <c r="B354" i="3" s="1"/>
  <c r="B355" i="3" s="1"/>
  <c r="B356" i="3" s="1"/>
  <c r="B344" i="3"/>
  <c r="B345" i="3" s="1"/>
  <c r="B346" i="3" s="1"/>
  <c r="B347" i="3" s="1"/>
  <c r="B348" i="3" s="1"/>
  <c r="B349" i="3" s="1"/>
  <c r="B337" i="3"/>
  <c r="B338" i="3" s="1"/>
  <c r="B339" i="3" s="1"/>
  <c r="B340" i="3" s="1"/>
  <c r="B341" i="3" s="1"/>
  <c r="B342" i="3" s="1"/>
  <c r="B329" i="3"/>
  <c r="B330" i="3" s="1"/>
  <c r="B331" i="3" s="1"/>
  <c r="B332" i="3" s="1"/>
  <c r="B333" i="3" s="1"/>
  <c r="B334" i="3" s="1"/>
  <c r="B335" i="3" s="1"/>
  <c r="B321" i="3"/>
  <c r="B322" i="3" s="1"/>
  <c r="B323" i="3" s="1"/>
  <c r="B324" i="3" s="1"/>
  <c r="B325" i="3" s="1"/>
  <c r="B326" i="3" s="1"/>
  <c r="B327" i="3" s="1"/>
  <c r="B313" i="3"/>
  <c r="B314" i="3" s="1"/>
  <c r="B315" i="3" s="1"/>
  <c r="B316" i="3" s="1"/>
  <c r="B317" i="3" s="1"/>
  <c r="B318" i="3" s="1"/>
  <c r="B319" i="3" s="1"/>
  <c r="B306" i="3"/>
  <c r="B307" i="3" s="1"/>
  <c r="B308" i="3" s="1"/>
  <c r="B309" i="3" s="1"/>
  <c r="B310" i="3" s="1"/>
  <c r="B311" i="3" s="1"/>
  <c r="B298" i="3"/>
  <c r="B299" i="3" s="1"/>
  <c r="B300" i="3" s="1"/>
  <c r="B301" i="3" s="1"/>
  <c r="B302" i="3" s="1"/>
  <c r="B303" i="3" s="1"/>
  <c r="B304" i="3" s="1"/>
  <c r="B290" i="3"/>
  <c r="B291" i="3" s="1"/>
  <c r="B292" i="3" s="1"/>
  <c r="B293" i="3" s="1"/>
  <c r="B294" i="3" s="1"/>
  <c r="B295" i="3" s="1"/>
  <c r="B296" i="3" s="1"/>
  <c r="B283" i="3"/>
  <c r="B284" i="3" s="1"/>
  <c r="B285" i="3" s="1"/>
  <c r="B286" i="3" s="1"/>
  <c r="B287" i="3" s="1"/>
  <c r="B288" i="3" s="1"/>
  <c r="B275" i="3"/>
  <c r="B276" i="3" s="1"/>
  <c r="B277" i="3" s="1"/>
  <c r="B278" i="3" s="1"/>
  <c r="B279" i="3" s="1"/>
  <c r="B280" i="3" s="1"/>
  <c r="B281" i="3" s="1"/>
  <c r="B268" i="3"/>
  <c r="B269" i="3" s="1"/>
  <c r="B270" i="3" s="1"/>
  <c r="B271" i="3" s="1"/>
  <c r="B272" i="3" s="1"/>
  <c r="B273" i="3" s="1"/>
  <c r="B260" i="3"/>
  <c r="B261" i="3" s="1"/>
  <c r="B262" i="3" s="1"/>
  <c r="B263" i="3" s="1"/>
  <c r="B264" i="3" s="1"/>
  <c r="B265" i="3" s="1"/>
  <c r="B266" i="3" s="1"/>
  <c r="B250" i="3"/>
  <c r="B251" i="3" s="1"/>
  <c r="B252" i="3" s="1"/>
  <c r="B253" i="3" s="1"/>
  <c r="B254" i="3" s="1"/>
  <c r="B255" i="3" s="1"/>
  <c r="B256" i="3" s="1"/>
  <c r="B257" i="3" s="1"/>
  <c r="B258" i="3" s="1"/>
  <c r="B241" i="3"/>
  <c r="B242" i="3" s="1"/>
  <c r="B243" i="3" s="1"/>
  <c r="B244" i="3" s="1"/>
  <c r="B245" i="3" s="1"/>
  <c r="B246" i="3" s="1"/>
  <c r="B247" i="3" s="1"/>
  <c r="B248" i="3" s="1"/>
  <c r="B234" i="3"/>
  <c r="B235" i="3" s="1"/>
  <c r="B236" i="3" s="1"/>
  <c r="B237" i="3" s="1"/>
  <c r="B238" i="3" s="1"/>
  <c r="B239" i="3" s="1"/>
  <c r="B227" i="3"/>
  <c r="B228" i="3" s="1"/>
  <c r="B229" i="3" s="1"/>
  <c r="B230" i="3" s="1"/>
  <c r="B231" i="3" s="1"/>
  <c r="B232" i="3" s="1"/>
  <c r="B220" i="3"/>
  <c r="B221" i="3" s="1"/>
  <c r="B222" i="3" s="1"/>
  <c r="B223" i="3" s="1"/>
  <c r="B224" i="3" s="1"/>
  <c r="B225" i="3" s="1"/>
  <c r="B212" i="3"/>
  <c r="B213" i="3" s="1"/>
  <c r="B214" i="3" s="1"/>
  <c r="B215" i="3" s="1"/>
  <c r="B216" i="3" s="1"/>
  <c r="B217" i="3" s="1"/>
  <c r="B218" i="3" s="1"/>
  <c r="B204" i="3"/>
  <c r="B205" i="3" s="1"/>
  <c r="B206" i="3" s="1"/>
  <c r="B207" i="3" s="1"/>
  <c r="B208" i="3" s="1"/>
  <c r="B209" i="3" s="1"/>
  <c r="B210" i="3" s="1"/>
  <c r="B197" i="3"/>
  <c r="B198" i="3" s="1"/>
  <c r="B199" i="3" s="1"/>
  <c r="B200" i="3" s="1"/>
  <c r="B201" i="3" s="1"/>
  <c r="B202" i="3" s="1"/>
  <c r="B190" i="3"/>
  <c r="B191" i="3" s="1"/>
  <c r="B192" i="3" s="1"/>
  <c r="B193" i="3" s="1"/>
  <c r="B194" i="3" s="1"/>
  <c r="B195" i="3" s="1"/>
  <c r="B183" i="3"/>
  <c r="B184" i="3" s="1"/>
  <c r="B185" i="3" s="1"/>
  <c r="B186" i="3" s="1"/>
  <c r="B187" i="3" s="1"/>
  <c r="B188" i="3" s="1"/>
  <c r="B175" i="3"/>
  <c r="B176" i="3" s="1"/>
  <c r="B177" i="3" s="1"/>
  <c r="B178" i="3" s="1"/>
  <c r="B179" i="3" s="1"/>
  <c r="B180" i="3" s="1"/>
  <c r="B181" i="3" s="1"/>
  <c r="B167" i="3"/>
  <c r="B168" i="3" s="1"/>
  <c r="B169" i="3" s="1"/>
  <c r="B170" i="3" s="1"/>
  <c r="B171" i="3" s="1"/>
  <c r="B172" i="3" s="1"/>
  <c r="B173" i="3" s="1"/>
  <c r="B157" i="3"/>
  <c r="B158" i="3" s="1"/>
  <c r="B159" i="3" s="1"/>
  <c r="B160" i="3" s="1"/>
  <c r="B161" i="3" s="1"/>
  <c r="B162" i="3" s="1"/>
  <c r="B163" i="3" s="1"/>
  <c r="B164" i="3" s="1"/>
  <c r="B165" i="3" s="1"/>
  <c r="B149" i="3"/>
  <c r="B150" i="3" s="1"/>
  <c r="B151" i="3" s="1"/>
  <c r="B152" i="3" s="1"/>
  <c r="B153" i="3" s="1"/>
  <c r="B154" i="3" s="1"/>
  <c r="B155" i="3" s="1"/>
  <c r="B141" i="3"/>
  <c r="B142" i="3" s="1"/>
  <c r="B143" i="3" s="1"/>
  <c r="B144" i="3" s="1"/>
  <c r="B145" i="3" s="1"/>
  <c r="B146" i="3" s="1"/>
  <c r="B147" i="3" s="1"/>
  <c r="B133" i="3"/>
  <c r="B134" i="3" s="1"/>
  <c r="B135" i="3" s="1"/>
  <c r="B136" i="3" s="1"/>
  <c r="B137" i="3" s="1"/>
  <c r="B138" i="3" s="1"/>
  <c r="B139" i="3" s="1"/>
  <c r="B125" i="3"/>
  <c r="B126" i="3" s="1"/>
  <c r="B127" i="3" s="1"/>
  <c r="B128" i="3" s="1"/>
  <c r="B129" i="3" s="1"/>
  <c r="B130" i="3" s="1"/>
  <c r="B131" i="3" s="1"/>
  <c r="B117" i="3"/>
  <c r="B118" i="3" s="1"/>
  <c r="B119" i="3" s="1"/>
  <c r="B120" i="3" s="1"/>
  <c r="B121" i="3" s="1"/>
  <c r="B122" i="3" s="1"/>
  <c r="B123" i="3" s="1"/>
  <c r="B109" i="3"/>
  <c r="B110" i="3" s="1"/>
  <c r="B111" i="3" s="1"/>
  <c r="B112" i="3" s="1"/>
  <c r="B113" i="3" s="1"/>
  <c r="B114" i="3" s="1"/>
  <c r="B115" i="3" s="1"/>
  <c r="B101" i="3"/>
  <c r="B102" i="3" s="1"/>
  <c r="B103" i="3" s="1"/>
  <c r="B104" i="3" s="1"/>
  <c r="B105" i="3" s="1"/>
  <c r="B106" i="3" s="1"/>
  <c r="B107" i="3" s="1"/>
  <c r="B93" i="3"/>
  <c r="B94" i="3" s="1"/>
  <c r="B95" i="3" s="1"/>
  <c r="B96" i="3" s="1"/>
  <c r="B97" i="3" s="1"/>
  <c r="B98" i="3" s="1"/>
  <c r="B99" i="3" s="1"/>
  <c r="B85" i="3"/>
  <c r="B86" i="3" s="1"/>
  <c r="B87" i="3" s="1"/>
  <c r="B88" i="3" s="1"/>
  <c r="B89" i="3" s="1"/>
  <c r="B90" i="3" s="1"/>
  <c r="B91" i="3" s="1"/>
  <c r="B77" i="3"/>
  <c r="B78" i="3" s="1"/>
  <c r="B79" i="3" s="1"/>
  <c r="B80" i="3" s="1"/>
  <c r="B81" i="3" s="1"/>
  <c r="B82" i="3" s="1"/>
  <c r="B83" i="3" s="1"/>
  <c r="B69" i="3"/>
  <c r="B70" i="3" s="1"/>
  <c r="B71" i="3" s="1"/>
  <c r="B72" i="3" s="1"/>
  <c r="B73" i="3" s="1"/>
  <c r="B74" i="3" s="1"/>
  <c r="B75" i="3" s="1"/>
  <c r="B61" i="3"/>
  <c r="B62" i="3" s="1"/>
  <c r="B63" i="3" s="1"/>
  <c r="B64" i="3" s="1"/>
  <c r="B65" i="3" s="1"/>
  <c r="B66" i="3" s="1"/>
  <c r="B67" i="3" s="1"/>
  <c r="B53" i="3"/>
  <c r="B54" i="3" s="1"/>
  <c r="B55" i="3" s="1"/>
  <c r="B56" i="3" s="1"/>
  <c r="B57" i="3" s="1"/>
  <c r="B58" i="3" s="1"/>
  <c r="B59" i="3" s="1"/>
  <c r="B46" i="3"/>
  <c r="B47" i="3" s="1"/>
  <c r="B48" i="3" s="1"/>
  <c r="B49" i="3" s="1"/>
  <c r="B50" i="3" s="1"/>
  <c r="B51" i="3" s="1"/>
  <c r="B30" i="3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17" i="3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G6" i="3"/>
  <c r="H6" i="3" s="1"/>
  <c r="G1123" i="3"/>
  <c r="H1123" i="3" s="1"/>
  <c r="G1114" i="3"/>
  <c r="H1114" i="3" s="1"/>
  <c r="G1105" i="3"/>
  <c r="H1105" i="3" s="1"/>
  <c r="G1098" i="3"/>
  <c r="H1098" i="3" s="1"/>
  <c r="G1086" i="3"/>
  <c r="H1086" i="3" s="1"/>
  <c r="G1073" i="3"/>
  <c r="H1073" i="3" s="1"/>
  <c r="G1066" i="3"/>
  <c r="H1066" i="3" s="1"/>
  <c r="G1058" i="3"/>
  <c r="H1058" i="3" s="1"/>
  <c r="G1050" i="3"/>
  <c r="H1050" i="3" s="1"/>
  <c r="G1043" i="3"/>
  <c r="H1043" i="3" s="1"/>
  <c r="G1036" i="3"/>
  <c r="H1036" i="3" s="1"/>
  <c r="G1028" i="3"/>
  <c r="H1028" i="3" s="1"/>
  <c r="G1018" i="3"/>
  <c r="H1018" i="3" s="1"/>
  <c r="G1006" i="3"/>
  <c r="H1006" i="3" s="1"/>
  <c r="G994" i="3"/>
  <c r="H994" i="3" s="1"/>
  <c r="G987" i="3"/>
  <c r="H987" i="3" s="1"/>
  <c r="G980" i="3"/>
  <c r="H980" i="3" s="1"/>
  <c r="G973" i="3"/>
  <c r="H973" i="3" s="1"/>
  <c r="G964" i="3"/>
  <c r="H964" i="3" s="1"/>
  <c r="G957" i="3"/>
  <c r="H957" i="3" s="1"/>
  <c r="G950" i="3"/>
  <c r="H950" i="3" s="1"/>
  <c r="G942" i="3"/>
  <c r="H942" i="3" s="1"/>
  <c r="G930" i="3"/>
  <c r="H930" i="3" s="1"/>
  <c r="G918" i="3"/>
  <c r="H918" i="3" s="1"/>
  <c r="G907" i="3"/>
  <c r="H907" i="3" s="1"/>
  <c r="G899" i="3"/>
  <c r="H899" i="3" s="1"/>
  <c r="G892" i="3"/>
  <c r="H892" i="3" s="1"/>
  <c r="G885" i="3"/>
  <c r="H885" i="3" s="1"/>
  <c r="G878" i="3"/>
  <c r="H878" i="3" s="1"/>
  <c r="G871" i="3"/>
  <c r="H871" i="3" s="1"/>
  <c r="G864" i="3"/>
  <c r="H864" i="3" s="1"/>
  <c r="G856" i="3"/>
  <c r="H856" i="3" s="1"/>
  <c r="G849" i="3"/>
  <c r="H849" i="3" s="1"/>
  <c r="G841" i="3"/>
  <c r="H841" i="3" s="1"/>
  <c r="G833" i="3"/>
  <c r="H833" i="3" s="1"/>
  <c r="G817" i="3"/>
  <c r="H817" i="3" s="1"/>
  <c r="G796" i="3"/>
  <c r="H796" i="3" s="1"/>
  <c r="G789" i="3"/>
  <c r="H789" i="3" s="1"/>
  <c r="G782" i="3"/>
  <c r="H782" i="3" s="1"/>
  <c r="G775" i="3"/>
  <c r="H775" i="3" s="1"/>
  <c r="G767" i="3"/>
  <c r="H767" i="3" s="1"/>
  <c r="G759" i="3"/>
  <c r="H759" i="3" s="1"/>
  <c r="G752" i="3"/>
  <c r="H752" i="3" s="1"/>
  <c r="G744" i="3"/>
  <c r="H744" i="3" s="1"/>
  <c r="G737" i="3"/>
  <c r="H737" i="3" s="1"/>
  <c r="G730" i="3"/>
  <c r="H730" i="3" s="1"/>
  <c r="G723" i="3"/>
  <c r="H723" i="3" s="1"/>
  <c r="G715" i="3"/>
  <c r="H715" i="3" s="1"/>
  <c r="G708" i="3"/>
  <c r="H708" i="3" s="1"/>
  <c r="G701" i="3"/>
  <c r="H701" i="3" s="1"/>
  <c r="G694" i="3"/>
  <c r="H694" i="3" s="1"/>
  <c r="G687" i="3"/>
  <c r="H687" i="3" s="1"/>
  <c r="G679" i="3"/>
  <c r="H679" i="3" s="1"/>
  <c r="G671" i="3"/>
  <c r="H671" i="3" s="1"/>
  <c r="G664" i="3"/>
  <c r="H664" i="3" s="1"/>
  <c r="G656" i="3"/>
  <c r="H656" i="3" s="1"/>
  <c r="G646" i="3"/>
  <c r="H646" i="3" s="1"/>
  <c r="G634" i="3"/>
  <c r="H634" i="3" s="1"/>
  <c r="G627" i="3"/>
  <c r="H627" i="3" s="1"/>
  <c r="G620" i="3"/>
  <c r="H620" i="3" s="1"/>
  <c r="G613" i="3"/>
  <c r="H613" i="3" s="1"/>
  <c r="G606" i="3"/>
  <c r="H606" i="3" s="1"/>
  <c r="G599" i="3"/>
  <c r="H599" i="3" s="1"/>
  <c r="G592" i="3"/>
  <c r="H592" i="3" s="1"/>
  <c r="G568" i="3"/>
  <c r="H568" i="3" s="1"/>
  <c r="G560" i="3"/>
  <c r="H560" i="3" s="1"/>
  <c r="G552" i="3"/>
  <c r="H552" i="3" s="1"/>
  <c r="G544" i="3"/>
  <c r="H544" i="3" s="1"/>
  <c r="G534" i="3"/>
  <c r="H534" i="3" s="1"/>
  <c r="G525" i="3"/>
  <c r="H525" i="3" s="1"/>
  <c r="G518" i="3"/>
  <c r="H518" i="3" s="1"/>
  <c r="G511" i="3"/>
  <c r="H511" i="3" s="1"/>
  <c r="G504" i="3"/>
  <c r="H504" i="3" s="1"/>
  <c r="G496" i="3"/>
  <c r="H496" i="3" s="1"/>
  <c r="G489" i="3"/>
  <c r="H489" i="3" s="1"/>
  <c r="G482" i="3"/>
  <c r="H482" i="3" s="1"/>
  <c r="G475" i="3"/>
  <c r="H475" i="3" s="1"/>
  <c r="G468" i="3"/>
  <c r="H468" i="3" s="1"/>
  <c r="G461" i="3"/>
  <c r="H461" i="3" s="1"/>
  <c r="G453" i="3"/>
  <c r="H453" i="3" s="1"/>
  <c r="G446" i="3"/>
  <c r="H446" i="3" s="1"/>
  <c r="G439" i="3"/>
  <c r="H439" i="3" s="1"/>
  <c r="G432" i="3"/>
  <c r="H432" i="3" s="1"/>
  <c r="G425" i="3"/>
  <c r="H425" i="3" s="1"/>
  <c r="G417" i="3"/>
  <c r="H417" i="3" s="1"/>
  <c r="G410" i="3"/>
  <c r="H410" i="3" s="1"/>
  <c r="G402" i="3"/>
  <c r="H402" i="3" s="1"/>
  <c r="G395" i="3"/>
  <c r="H395" i="3" s="1"/>
  <c r="G388" i="3"/>
  <c r="H388" i="3" s="1"/>
  <c r="G381" i="3"/>
  <c r="H381" i="3" s="1"/>
  <c r="G374" i="3"/>
  <c r="H374" i="3" s="1"/>
  <c r="G366" i="3"/>
  <c r="H366" i="3" s="1"/>
  <c r="G359" i="3"/>
  <c r="H359" i="3" s="1"/>
  <c r="G352" i="3"/>
  <c r="H352" i="3" s="1"/>
  <c r="G345" i="3"/>
  <c r="H345" i="3" s="1"/>
  <c r="G338" i="3"/>
  <c r="H338" i="3" s="1"/>
  <c r="G330" i="3"/>
  <c r="H330" i="3" s="1"/>
  <c r="G322" i="3"/>
  <c r="H322" i="3" s="1"/>
  <c r="G314" i="3"/>
  <c r="H314" i="3" s="1"/>
  <c r="G307" i="3"/>
  <c r="H307" i="3" s="1"/>
  <c r="G299" i="3"/>
  <c r="H299" i="3" s="1"/>
  <c r="G291" i="3"/>
  <c r="H291" i="3" s="1"/>
  <c r="G284" i="3"/>
  <c r="H284" i="3" s="1"/>
  <c r="G276" i="3"/>
  <c r="H276" i="3" s="1"/>
  <c r="G269" i="3"/>
  <c r="H269" i="3" s="1"/>
  <c r="G261" i="3"/>
  <c r="H261" i="3" s="1"/>
  <c r="G251" i="3"/>
  <c r="H251" i="3" s="1"/>
  <c r="G242" i="3"/>
  <c r="H242" i="3" s="1"/>
  <c r="G235" i="3"/>
  <c r="H235" i="3" s="1"/>
  <c r="G228" i="3"/>
  <c r="H228" i="3" s="1"/>
  <c r="G221" i="3"/>
  <c r="H221" i="3" s="1"/>
  <c r="G213" i="3"/>
  <c r="H213" i="3" s="1"/>
  <c r="G205" i="3"/>
  <c r="H205" i="3" s="1"/>
  <c r="G198" i="3"/>
  <c r="H198" i="3" s="1"/>
  <c r="G191" i="3"/>
  <c r="H191" i="3" s="1"/>
  <c r="G184" i="3"/>
  <c r="H184" i="3" s="1"/>
  <c r="G176" i="3"/>
  <c r="H176" i="3" s="1"/>
  <c r="G168" i="3"/>
  <c r="H168" i="3" s="1"/>
  <c r="G158" i="3"/>
  <c r="H158" i="3" s="1"/>
  <c r="G150" i="3"/>
  <c r="H150" i="3" s="1"/>
  <c r="G142" i="3"/>
  <c r="H142" i="3" s="1"/>
  <c r="G134" i="3"/>
  <c r="H134" i="3" s="1"/>
  <c r="G126" i="3"/>
  <c r="H126" i="3" s="1"/>
  <c r="G118" i="3"/>
  <c r="H118" i="3" s="1"/>
  <c r="G110" i="3"/>
  <c r="H110" i="3" s="1"/>
  <c r="G102" i="3"/>
  <c r="H102" i="3" s="1"/>
  <c r="G94" i="3"/>
  <c r="H94" i="3" s="1"/>
  <c r="G86" i="3"/>
  <c r="H86" i="3" s="1"/>
  <c r="G78" i="3"/>
  <c r="H78" i="3" s="1"/>
  <c r="G70" i="3"/>
  <c r="H70" i="3" s="1"/>
  <c r="G62" i="3"/>
  <c r="H62" i="3" s="1"/>
  <c r="G54" i="3"/>
  <c r="H54" i="3" s="1"/>
  <c r="G47" i="3"/>
  <c r="H47" i="3" s="1"/>
  <c r="G32" i="3"/>
  <c r="H32" i="3" s="1"/>
  <c r="G31" i="3"/>
  <c r="H31" i="3" s="1"/>
  <c r="G19" i="3"/>
  <c r="H19" i="3" s="1"/>
  <c r="G18" i="3"/>
  <c r="H18" i="3" s="1"/>
  <c r="G4" i="3"/>
  <c r="H4" i="3" s="1"/>
  <c r="G3" i="3"/>
  <c r="H3" i="3" s="1"/>
  <c r="L1123" i="3"/>
  <c r="L1124" i="3" s="1"/>
  <c r="L1125" i="3" s="1"/>
  <c r="L1126" i="3" s="1"/>
  <c r="L1128" i="3" s="1"/>
  <c r="L1129" i="3" s="1"/>
  <c r="L1114" i="3"/>
  <c r="L1115" i="3" s="1"/>
  <c r="L1116" i="3" s="1"/>
  <c r="L1117" i="3" s="1"/>
  <c r="L1119" i="3" s="1"/>
  <c r="L1120" i="3" s="1"/>
  <c r="L1105" i="3"/>
  <c r="L1106" i="3" s="1"/>
  <c r="L1107" i="3" s="1"/>
  <c r="L1108" i="3" s="1"/>
  <c r="L1109" i="3" s="1"/>
  <c r="L1098" i="3"/>
  <c r="L1099" i="3" s="1"/>
  <c r="L1100" i="3" s="1"/>
  <c r="L1101" i="3" s="1"/>
  <c r="L1102" i="3" s="1"/>
  <c r="H1015" i="3" l="1"/>
  <c r="F1014" i="3" s="1"/>
  <c r="G1014" i="3" s="1"/>
  <c r="H1014" i="3" s="1"/>
  <c r="H1016" i="3" s="1"/>
  <c r="F969" i="3"/>
  <c r="G969" i="3" s="1"/>
  <c r="H969" i="3" s="1"/>
  <c r="H971" i="3" s="1"/>
  <c r="F1119" i="3"/>
  <c r="G1119" i="3" s="1"/>
  <c r="H1119" i="3" s="1"/>
  <c r="H1121" i="3" s="1"/>
  <c r="H1102" i="3"/>
  <c r="F1101" i="3" s="1"/>
  <c r="G1101" i="3" s="1"/>
  <c r="H1101" i="3" s="1"/>
  <c r="H1103" i="3" s="1"/>
  <c r="F953" i="3"/>
  <c r="G953" i="3" s="1"/>
  <c r="H953" i="3" s="1"/>
  <c r="H955" i="3" s="1"/>
  <c r="F1092" i="3"/>
  <c r="G1092" i="3" s="1"/>
  <c r="H1092" i="3" s="1"/>
  <c r="H1094" i="3" s="1"/>
  <c r="F990" i="3"/>
  <c r="G990" i="3" s="1"/>
  <c r="H990" i="3" s="1"/>
  <c r="H992" i="3" s="1"/>
  <c r="F1032" i="3"/>
  <c r="G1032" i="3" s="1"/>
  <c r="H1032" i="3" s="1"/>
  <c r="H1034" i="3" s="1"/>
  <c r="H999" i="3"/>
  <c r="F998" i="3" s="1"/>
  <c r="G998" i="3" s="1"/>
  <c r="H998" i="3" s="1"/>
  <c r="H1000" i="3" s="1"/>
  <c r="F1054" i="3"/>
  <c r="G1054" i="3" s="1"/>
  <c r="H1054" i="3" s="1"/>
  <c r="H1056" i="3" s="1"/>
  <c r="F938" i="3"/>
  <c r="G938" i="3" s="1"/>
  <c r="H938" i="3" s="1"/>
  <c r="H940" i="3" s="1"/>
  <c r="H1070" i="3"/>
  <c r="F1069" i="3" s="1"/>
  <c r="G1069" i="3" s="1"/>
  <c r="H1069" i="3" s="1"/>
  <c r="H1071" i="3" s="1"/>
  <c r="H44" i="3"/>
  <c r="F43" i="3" s="1"/>
  <c r="G43" i="3" s="1"/>
  <c r="H43" i="3" s="1"/>
  <c r="H45" i="3" s="1"/>
  <c r="H984" i="3"/>
  <c r="F983" i="3" s="1"/>
  <c r="G983" i="3" s="1"/>
  <c r="H983" i="3" s="1"/>
  <c r="H985" i="3" s="1"/>
  <c r="H1109" i="3"/>
  <c r="F1108" i="3" s="1"/>
  <c r="G1108" i="3" s="1"/>
  <c r="H1108" i="3" s="1"/>
  <c r="H1110" i="3" s="1"/>
  <c r="H1129" i="3"/>
  <c r="F1128" i="3" s="1"/>
  <c r="G1128" i="3" s="1"/>
  <c r="H1128" i="3" s="1"/>
  <c r="H1130" i="3" s="1"/>
  <c r="F1024" i="3"/>
  <c r="G1024" i="3" s="1"/>
  <c r="H1024" i="3" s="1"/>
  <c r="H1026" i="3" s="1"/>
  <c r="F1039" i="3"/>
  <c r="G1039" i="3" s="1"/>
  <c r="H1039" i="3" s="1"/>
  <c r="H1041" i="3" s="1"/>
  <c r="F946" i="3"/>
  <c r="G946" i="3" s="1"/>
  <c r="H946" i="3" s="1"/>
  <c r="H948" i="3" s="1"/>
  <c r="F1046" i="3"/>
  <c r="G1046" i="3" s="1"/>
  <c r="H1046" i="3" s="1"/>
  <c r="H1048" i="3" s="1"/>
  <c r="F960" i="3"/>
  <c r="G960" i="3" s="1"/>
  <c r="H960" i="3" s="1"/>
  <c r="H962" i="3" s="1"/>
  <c r="F1062" i="3"/>
  <c r="G1062" i="3" s="1"/>
  <c r="H1062" i="3" s="1"/>
  <c r="H1064" i="3" s="1"/>
  <c r="F976" i="3"/>
  <c r="G976" i="3" s="1"/>
  <c r="H976" i="3" s="1"/>
  <c r="H978" i="3" s="1"/>
  <c r="F1076" i="3"/>
  <c r="G1076" i="3" s="1"/>
  <c r="H1076" i="3" s="1"/>
  <c r="H1078" i="3" s="1"/>
  <c r="L1127" i="3"/>
  <c r="L1118" i="3"/>
  <c r="F926" i="3" l="1"/>
  <c r="G926" i="3" s="1"/>
  <c r="H926" i="3" s="1"/>
  <c r="H928" i="3" s="1"/>
  <c r="F910" i="3"/>
  <c r="G910" i="3" s="1"/>
  <c r="H910" i="3" s="1"/>
  <c r="H912" i="3" s="1"/>
  <c r="F903" i="3"/>
  <c r="G903" i="3" s="1"/>
  <c r="H903" i="3" s="1"/>
  <c r="H905" i="3" s="1"/>
  <c r="F895" i="3"/>
  <c r="G895" i="3" s="1"/>
  <c r="H895" i="3" s="1"/>
  <c r="H897" i="3" s="1"/>
  <c r="F888" i="3"/>
  <c r="G888" i="3" s="1"/>
  <c r="H888" i="3" s="1"/>
  <c r="H890" i="3" s="1"/>
  <c r="F881" i="3"/>
  <c r="G881" i="3" s="1"/>
  <c r="H881" i="3" s="1"/>
  <c r="H883" i="3" s="1"/>
  <c r="F874" i="3"/>
  <c r="G874" i="3" s="1"/>
  <c r="H874" i="3" s="1"/>
  <c r="H876" i="3" s="1"/>
  <c r="F867" i="3"/>
  <c r="G867" i="3" s="1"/>
  <c r="H867" i="3" s="1"/>
  <c r="H869" i="3" s="1"/>
  <c r="F860" i="3"/>
  <c r="G860" i="3" s="1"/>
  <c r="H860" i="3" s="1"/>
  <c r="H862" i="3" s="1"/>
  <c r="F852" i="3"/>
  <c r="G852" i="3" s="1"/>
  <c r="H852" i="3" s="1"/>
  <c r="H854" i="3" s="1"/>
  <c r="F845" i="3"/>
  <c r="G845" i="3" s="1"/>
  <c r="H845" i="3" s="1"/>
  <c r="H847" i="3" s="1"/>
  <c r="F837" i="3"/>
  <c r="G837" i="3" s="1"/>
  <c r="H837" i="3" s="1"/>
  <c r="H839" i="3" s="1"/>
  <c r="F829" i="3"/>
  <c r="G829" i="3" s="1"/>
  <c r="H829" i="3" s="1"/>
  <c r="H831" i="3" s="1"/>
  <c r="F799" i="3"/>
  <c r="G799" i="3" s="1"/>
  <c r="H799" i="3" s="1"/>
  <c r="H801" i="3" s="1"/>
  <c r="F792" i="3"/>
  <c r="G792" i="3" s="1"/>
  <c r="H792" i="3" s="1"/>
  <c r="H794" i="3" s="1"/>
  <c r="F785" i="3"/>
  <c r="G785" i="3" s="1"/>
  <c r="H785" i="3" s="1"/>
  <c r="H787" i="3" s="1"/>
  <c r="F778" i="3"/>
  <c r="G778" i="3" s="1"/>
  <c r="H778" i="3" s="1"/>
  <c r="H780" i="3" s="1"/>
  <c r="F771" i="3"/>
  <c r="G771" i="3" s="1"/>
  <c r="H771" i="3" s="1"/>
  <c r="H773" i="3" s="1"/>
  <c r="F763" i="3"/>
  <c r="G763" i="3" s="1"/>
  <c r="H763" i="3" s="1"/>
  <c r="H765" i="3" s="1"/>
  <c r="F755" i="3"/>
  <c r="G755" i="3" s="1"/>
  <c r="H755" i="3" s="1"/>
  <c r="H757" i="3" s="1"/>
  <c r="F748" i="3"/>
  <c r="G748" i="3" s="1"/>
  <c r="H748" i="3" s="1"/>
  <c r="H750" i="3" s="1"/>
  <c r="F740" i="3"/>
  <c r="G740" i="3" s="1"/>
  <c r="H740" i="3" s="1"/>
  <c r="H742" i="3" s="1"/>
  <c r="F733" i="3"/>
  <c r="G733" i="3" s="1"/>
  <c r="H733" i="3" s="1"/>
  <c r="H735" i="3" s="1"/>
  <c r="F726" i="3"/>
  <c r="G726" i="3" s="1"/>
  <c r="H726" i="3" s="1"/>
  <c r="H728" i="3" s="1"/>
  <c r="F719" i="3"/>
  <c r="G719" i="3" s="1"/>
  <c r="H719" i="3" s="1"/>
  <c r="H721" i="3" s="1"/>
  <c r="F711" i="3"/>
  <c r="G711" i="3" s="1"/>
  <c r="H711" i="3" s="1"/>
  <c r="H713" i="3" s="1"/>
  <c r="F704" i="3"/>
  <c r="G704" i="3" s="1"/>
  <c r="H704" i="3" s="1"/>
  <c r="H706" i="3" s="1"/>
  <c r="F697" i="3"/>
  <c r="G697" i="3" s="1"/>
  <c r="H697" i="3" s="1"/>
  <c r="H699" i="3" s="1"/>
  <c r="F690" i="3"/>
  <c r="G690" i="3" s="1"/>
  <c r="H690" i="3" s="1"/>
  <c r="H692" i="3" s="1"/>
  <c r="F683" i="3"/>
  <c r="G683" i="3" s="1"/>
  <c r="H683" i="3" s="1"/>
  <c r="H685" i="3" s="1"/>
  <c r="F675" i="3"/>
  <c r="G675" i="3" s="1"/>
  <c r="H675" i="3" s="1"/>
  <c r="H677" i="3" s="1"/>
  <c r="F667" i="3"/>
  <c r="G667" i="3" s="1"/>
  <c r="H667" i="3" s="1"/>
  <c r="H669" i="3" s="1"/>
  <c r="F660" i="3"/>
  <c r="G660" i="3" s="1"/>
  <c r="H660" i="3" s="1"/>
  <c r="H662" i="3" s="1"/>
  <c r="F652" i="3"/>
  <c r="G652" i="3" s="1"/>
  <c r="H652" i="3" s="1"/>
  <c r="H654" i="3" s="1"/>
  <c r="F642" i="3"/>
  <c r="G642" i="3" s="1"/>
  <c r="H642" i="3" s="1"/>
  <c r="H644" i="3" s="1"/>
  <c r="F630" i="3"/>
  <c r="G630" i="3" s="1"/>
  <c r="H630" i="3" s="1"/>
  <c r="H632" i="3" s="1"/>
  <c r="F623" i="3"/>
  <c r="G623" i="3" s="1"/>
  <c r="H623" i="3" s="1"/>
  <c r="H625" i="3" s="1"/>
  <c r="F616" i="3"/>
  <c r="G616" i="3" s="1"/>
  <c r="H616" i="3" s="1"/>
  <c r="H618" i="3" s="1"/>
  <c r="F609" i="3"/>
  <c r="G609" i="3" s="1"/>
  <c r="H609" i="3" s="1"/>
  <c r="H611" i="3" s="1"/>
  <c r="F602" i="3"/>
  <c r="G602" i="3" s="1"/>
  <c r="H602" i="3" s="1"/>
  <c r="H604" i="3" s="1"/>
  <c r="F595" i="3"/>
  <c r="G595" i="3" s="1"/>
  <c r="H595" i="3" s="1"/>
  <c r="H597" i="3" s="1"/>
  <c r="F548" i="3"/>
  <c r="G548" i="3" s="1"/>
  <c r="H548" i="3" s="1"/>
  <c r="H550" i="3" s="1"/>
  <c r="F572" i="3"/>
  <c r="G572" i="3" s="1"/>
  <c r="H572" i="3" s="1"/>
  <c r="H574" i="3" s="1"/>
  <c r="F564" i="3"/>
  <c r="G564" i="3" s="1"/>
  <c r="H564" i="3" s="1"/>
  <c r="H566" i="3" s="1"/>
  <c r="F556" i="3"/>
  <c r="G556" i="3" s="1"/>
  <c r="H556" i="3" s="1"/>
  <c r="H558" i="3" s="1"/>
  <c r="F538" i="3"/>
  <c r="G538" i="3" s="1"/>
  <c r="H538" i="3" s="1"/>
  <c r="H540" i="3" s="1"/>
  <c r="F528" i="3"/>
  <c r="G528" i="3" s="1"/>
  <c r="H528" i="3" s="1"/>
  <c r="H530" i="3" s="1"/>
  <c r="F521" i="3"/>
  <c r="G521" i="3" s="1"/>
  <c r="H521" i="3" s="1"/>
  <c r="H523" i="3" s="1"/>
  <c r="F514" i="3"/>
  <c r="G514" i="3" s="1"/>
  <c r="H514" i="3" s="1"/>
  <c r="H516" i="3" s="1"/>
  <c r="F507" i="3"/>
  <c r="G507" i="3" s="1"/>
  <c r="H507" i="3" s="1"/>
  <c r="H509" i="3" s="1"/>
  <c r="F500" i="3"/>
  <c r="G500" i="3" s="1"/>
  <c r="H500" i="3" s="1"/>
  <c r="H502" i="3" s="1"/>
  <c r="F492" i="3"/>
  <c r="G492" i="3" s="1"/>
  <c r="H492" i="3" s="1"/>
  <c r="H494" i="3" s="1"/>
  <c r="F485" i="3"/>
  <c r="G485" i="3" s="1"/>
  <c r="H485" i="3" s="1"/>
  <c r="H487" i="3" s="1"/>
  <c r="F478" i="3"/>
  <c r="G478" i="3" s="1"/>
  <c r="H478" i="3" s="1"/>
  <c r="H480" i="3" s="1"/>
  <c r="F471" i="3"/>
  <c r="G471" i="3" s="1"/>
  <c r="H471" i="3" s="1"/>
  <c r="H473" i="3" s="1"/>
  <c r="F464" i="3"/>
  <c r="G464" i="3" s="1"/>
  <c r="H464" i="3" s="1"/>
  <c r="H466" i="3" s="1"/>
  <c r="F457" i="3"/>
  <c r="G457" i="3" s="1"/>
  <c r="H457" i="3" s="1"/>
  <c r="H459" i="3" s="1"/>
  <c r="F449" i="3"/>
  <c r="G449" i="3" s="1"/>
  <c r="H449" i="3" s="1"/>
  <c r="H451" i="3" s="1"/>
  <c r="F442" i="3"/>
  <c r="G442" i="3" s="1"/>
  <c r="H442" i="3" s="1"/>
  <c r="H444" i="3" s="1"/>
  <c r="F435" i="3"/>
  <c r="G435" i="3" s="1"/>
  <c r="H435" i="3" s="1"/>
  <c r="H437" i="3" s="1"/>
  <c r="F428" i="3"/>
  <c r="G428" i="3" s="1"/>
  <c r="H428" i="3" s="1"/>
  <c r="H430" i="3" s="1"/>
  <c r="F421" i="3"/>
  <c r="G421" i="3" s="1"/>
  <c r="H421" i="3" s="1"/>
  <c r="H423" i="3" s="1"/>
  <c r="F413" i="3"/>
  <c r="G413" i="3" s="1"/>
  <c r="H413" i="3" s="1"/>
  <c r="H415" i="3" s="1"/>
  <c r="F406" i="3"/>
  <c r="G406" i="3" s="1"/>
  <c r="H406" i="3" s="1"/>
  <c r="H408" i="3" s="1"/>
  <c r="F398" i="3"/>
  <c r="G398" i="3" s="1"/>
  <c r="H398" i="3" s="1"/>
  <c r="H400" i="3" s="1"/>
  <c r="F391" i="3"/>
  <c r="G391" i="3" s="1"/>
  <c r="H391" i="3" s="1"/>
  <c r="H393" i="3" s="1"/>
  <c r="F384" i="3"/>
  <c r="G384" i="3" s="1"/>
  <c r="H384" i="3" s="1"/>
  <c r="H386" i="3" s="1"/>
  <c r="F377" i="3"/>
  <c r="G377" i="3" s="1"/>
  <c r="H377" i="3" s="1"/>
  <c r="H379" i="3" s="1"/>
  <c r="F370" i="3"/>
  <c r="G370" i="3" s="1"/>
  <c r="H370" i="3" s="1"/>
  <c r="H372" i="3" s="1"/>
  <c r="F362" i="3"/>
  <c r="G362" i="3" s="1"/>
  <c r="H362" i="3" s="1"/>
  <c r="H364" i="3" s="1"/>
  <c r="F355" i="3"/>
  <c r="G355" i="3" s="1"/>
  <c r="H355" i="3" s="1"/>
  <c r="H357" i="3" s="1"/>
  <c r="F348" i="3"/>
  <c r="G348" i="3" s="1"/>
  <c r="H348" i="3" s="1"/>
  <c r="H350" i="3" s="1"/>
  <c r="F341" i="3"/>
  <c r="G341" i="3" s="1"/>
  <c r="H341" i="3" s="1"/>
  <c r="H343" i="3" s="1"/>
  <c r="F334" i="3"/>
  <c r="G334" i="3" s="1"/>
  <c r="H334" i="3" s="1"/>
  <c r="H336" i="3" s="1"/>
  <c r="F326" i="3"/>
  <c r="G326" i="3" s="1"/>
  <c r="H326" i="3" s="1"/>
  <c r="H328" i="3" s="1"/>
  <c r="F318" i="3"/>
  <c r="G318" i="3" s="1"/>
  <c r="H318" i="3" s="1"/>
  <c r="H320" i="3" s="1"/>
  <c r="F310" i="3"/>
  <c r="G310" i="3" s="1"/>
  <c r="H310" i="3" s="1"/>
  <c r="H312" i="3" s="1"/>
  <c r="F303" i="3"/>
  <c r="G303" i="3" s="1"/>
  <c r="H303" i="3" s="1"/>
  <c r="H305" i="3" s="1"/>
  <c r="F295" i="3"/>
  <c r="G295" i="3" s="1"/>
  <c r="H295" i="3" s="1"/>
  <c r="H297" i="3" s="1"/>
  <c r="F287" i="3"/>
  <c r="G287" i="3" s="1"/>
  <c r="H287" i="3" s="1"/>
  <c r="H289" i="3" s="1"/>
  <c r="F280" i="3"/>
  <c r="G280" i="3" s="1"/>
  <c r="H280" i="3" s="1"/>
  <c r="H282" i="3" s="1"/>
  <c r="F272" i="3"/>
  <c r="G272" i="3" s="1"/>
  <c r="H272" i="3" s="1"/>
  <c r="H274" i="3" s="1"/>
  <c r="F264" i="3"/>
  <c r="G264" i="3" s="1"/>
  <c r="H264" i="3" s="1"/>
  <c r="H267" i="3" s="1"/>
  <c r="F257" i="3"/>
  <c r="G257" i="3" s="1"/>
  <c r="H257" i="3" s="1"/>
  <c r="H259" i="3" s="1"/>
  <c r="F247" i="3"/>
  <c r="G247" i="3" s="1"/>
  <c r="H247" i="3" s="1"/>
  <c r="H249" i="3" s="1"/>
  <c r="F238" i="3"/>
  <c r="G238" i="3" s="1"/>
  <c r="H238" i="3" s="1"/>
  <c r="H240" i="3" s="1"/>
  <c r="F231" i="3"/>
  <c r="G231" i="3" s="1"/>
  <c r="H231" i="3" s="1"/>
  <c r="H233" i="3" s="1"/>
  <c r="F224" i="3"/>
  <c r="G224" i="3" s="1"/>
  <c r="H224" i="3" s="1"/>
  <c r="H226" i="3" s="1"/>
  <c r="F216" i="3"/>
  <c r="G216" i="3" s="1"/>
  <c r="H216" i="3" s="1"/>
  <c r="H219" i="3" s="1"/>
  <c r="F208" i="3"/>
  <c r="G208" i="3" s="1"/>
  <c r="H208" i="3" s="1"/>
  <c r="H211" i="3" s="1"/>
  <c r="F201" i="3"/>
  <c r="G201" i="3" s="1"/>
  <c r="H201" i="3" s="1"/>
  <c r="H203" i="3" s="1"/>
  <c r="F194" i="3"/>
  <c r="G194" i="3" s="1"/>
  <c r="H194" i="3" s="1"/>
  <c r="H196" i="3" s="1"/>
  <c r="F187" i="3"/>
  <c r="G187" i="3" s="1"/>
  <c r="H187" i="3" s="1"/>
  <c r="H189" i="3" s="1"/>
  <c r="F180" i="3"/>
  <c r="G180" i="3" s="1"/>
  <c r="H180" i="3" s="1"/>
  <c r="H182" i="3" s="1"/>
  <c r="F172" i="3"/>
  <c r="G172" i="3" s="1"/>
  <c r="H172" i="3" s="1"/>
  <c r="H174" i="3" s="1"/>
  <c r="F162" i="3"/>
  <c r="G162" i="3" s="1"/>
  <c r="H162" i="3" s="1"/>
  <c r="F154" i="3"/>
  <c r="G154" i="3" s="1"/>
  <c r="H154" i="3" s="1"/>
  <c r="H156" i="3" s="1"/>
  <c r="F146" i="3"/>
  <c r="G146" i="3" s="1"/>
  <c r="H146" i="3" s="1"/>
  <c r="H148" i="3" s="1"/>
  <c r="F138" i="3"/>
  <c r="G138" i="3" s="1"/>
  <c r="H138" i="3" s="1"/>
  <c r="H140" i="3" s="1"/>
  <c r="F130" i="3"/>
  <c r="G130" i="3" s="1"/>
  <c r="H130" i="3" s="1"/>
  <c r="H132" i="3" s="1"/>
  <c r="F122" i="3"/>
  <c r="G122" i="3" s="1"/>
  <c r="H122" i="3" s="1"/>
  <c r="H124" i="3" s="1"/>
  <c r="F114" i="3"/>
  <c r="G114" i="3" s="1"/>
  <c r="H114" i="3" s="1"/>
  <c r="H116" i="3" s="1"/>
  <c r="F106" i="3"/>
  <c r="G106" i="3" s="1"/>
  <c r="H106" i="3" s="1"/>
  <c r="H108" i="3" s="1"/>
  <c r="F98" i="3"/>
  <c r="G98" i="3" s="1"/>
  <c r="H98" i="3" s="1"/>
  <c r="H100" i="3" s="1"/>
  <c r="F90" i="3"/>
  <c r="G90" i="3" s="1"/>
  <c r="H90" i="3" s="1"/>
  <c r="H92" i="3" s="1"/>
  <c r="F74" i="3"/>
  <c r="G74" i="3" s="1"/>
  <c r="H74" i="3" s="1"/>
  <c r="H76" i="3" s="1"/>
  <c r="F66" i="3"/>
  <c r="G66" i="3" s="1"/>
  <c r="H66" i="3" s="1"/>
  <c r="H68" i="3" s="1"/>
  <c r="F58" i="3"/>
  <c r="G58" i="3" s="1"/>
  <c r="H58" i="3" s="1"/>
  <c r="H60" i="3" s="1"/>
  <c r="F50" i="3"/>
  <c r="G50" i="3" s="1"/>
  <c r="H50" i="3" s="1"/>
  <c r="H52" i="3" s="1"/>
  <c r="F27" i="3" l="1"/>
  <c r="G27" i="3" s="1"/>
  <c r="H27" i="3" s="1"/>
  <c r="H29" i="3" s="1"/>
  <c r="F14" i="3" l="1"/>
  <c r="G14" i="3" s="1"/>
  <c r="H14" i="3" s="1"/>
  <c r="F82" i="3"/>
  <c r="G82" i="3" s="1"/>
  <c r="H82" i="3" s="1"/>
  <c r="H84" i="3" s="1"/>
  <c r="F164" i="3"/>
  <c r="G164" i="3" s="1"/>
  <c r="H164" i="3" s="1"/>
  <c r="H166" i="3" s="1"/>
  <c r="G5" i="3"/>
  <c r="H5" i="3" s="1"/>
  <c r="H16" i="3" l="1"/>
  <c r="H1131" i="3" s="1"/>
</calcChain>
</file>

<file path=xl/sharedStrings.xml><?xml version="1.0" encoding="utf-8"?>
<sst xmlns="http://schemas.openxmlformats.org/spreadsheetml/2006/main" count="5917" uniqueCount="459">
  <si>
    <t>malzeme</t>
  </si>
  <si>
    <t>Артикул</t>
  </si>
  <si>
    <t>Наименование</t>
  </si>
  <si>
    <t>Цена,тг</t>
  </si>
  <si>
    <t>Ед.изм</t>
  </si>
  <si>
    <t>СУММ.</t>
  </si>
  <si>
    <t>комплект</t>
  </si>
  <si>
    <t>korpus</t>
  </si>
  <si>
    <t>монтажный материал</t>
  </si>
  <si>
    <t>монтажная работа</t>
  </si>
  <si>
    <t>oto</t>
  </si>
  <si>
    <t>шт.</t>
  </si>
  <si>
    <t>dif</t>
  </si>
  <si>
    <t>bh</t>
  </si>
  <si>
    <t>sayac</t>
  </si>
  <si>
    <t>tms</t>
  </si>
  <si>
    <t>lamb</t>
  </si>
  <si>
    <t>ats</t>
  </si>
  <si>
    <t>пятна</t>
  </si>
  <si>
    <t>количество</t>
  </si>
  <si>
    <t>Наименование1</t>
  </si>
  <si>
    <t>завод  из готовитель</t>
  </si>
  <si>
    <t>chint</t>
  </si>
  <si>
    <t>TEKSAN</t>
  </si>
  <si>
    <t>teksan f</t>
  </si>
  <si>
    <t xml:space="preserve">tekled </t>
  </si>
  <si>
    <t>pys</t>
  </si>
  <si>
    <t>sira no</t>
  </si>
  <si>
    <t>Авт. выкл. NXM-125S/3Р 80A 25кА ®</t>
  </si>
  <si>
    <t>tt</t>
  </si>
  <si>
    <t>Устройство автоматического ввода резерва NXZM-250S/3B 250A ®</t>
  </si>
  <si>
    <t>Альбом 34</t>
  </si>
  <si>
    <t>Авт. выкл. NXM-125S/3Р 63A 25кА ®</t>
  </si>
  <si>
    <t>Авт. выкл. NXM-125S/3Р 40A 25кА ®</t>
  </si>
  <si>
    <t>Авт. выкл. NXM-125S/3Р 32A 25кА ®</t>
  </si>
  <si>
    <t>ШАВР (Альбом 34)</t>
  </si>
  <si>
    <t>Устройство автоматического ввода резерва NXZM-250S/3B 200A (R)</t>
  </si>
  <si>
    <t>Авт. выкл. NXM-125S/3Р 50A 25кА ®</t>
  </si>
  <si>
    <t xml:space="preserve">              Трансформатор Т-0,66  250\5 (18)</t>
  </si>
  <si>
    <t xml:space="preserve">              Трансформатор Т-0,66  400\5 (18)</t>
  </si>
  <si>
    <t>Авт. выкл. NXM-125S/3Р 100A 25кА ®</t>
  </si>
  <si>
    <t>Авт. выкл. NXB-63S 1P 16А 4.5kA х-ка C ®</t>
  </si>
  <si>
    <t>Авт. выкл. NXB-63S 3P 25А 4.5kA х-ка C (R)</t>
  </si>
  <si>
    <t>Диф. авт. выкл. NXBLE-63Y 1P+N 16А 30mA электронный тип AС, х-ка С, 4.5kA (R)</t>
  </si>
  <si>
    <t>Авт. выкл. NXB-63S 3P 25А 4.5kA х-ка C ®</t>
  </si>
  <si>
    <t xml:space="preserve">ЩАО-1,ЩАО-3, ЩАО-7 (Альбом 34) </t>
  </si>
  <si>
    <t xml:space="preserve">ЩАО-2,ЩАО-8 (Альбом 34) </t>
  </si>
  <si>
    <t xml:space="preserve">ЩАО-4,ЩАО-9 (Альбом 34) </t>
  </si>
  <si>
    <t xml:space="preserve">ЩАО-5,ЩАО-6 (Альбом 34) </t>
  </si>
  <si>
    <t xml:space="preserve">ЩАО-10(Альбом 34) </t>
  </si>
  <si>
    <t xml:space="preserve">ЩАО-11(Альбом 34) </t>
  </si>
  <si>
    <t xml:space="preserve">ЩС-1, ЩС-3(Альбом 34) </t>
  </si>
  <si>
    <t xml:space="preserve">ЩС-2 (Альбом 34) </t>
  </si>
  <si>
    <t xml:space="preserve">ЩС-4 (Альбом 34) </t>
  </si>
  <si>
    <t>Авт. выкл. NXB-63S 3P 63А 4.5kA х-ка C ®</t>
  </si>
  <si>
    <t>Выключатель нагрузки NXHB-125 3P 80A (R)</t>
  </si>
  <si>
    <t>Авт. выкл. NXB-63S 3P 50А 4.5kA х-ка C ®</t>
  </si>
  <si>
    <t>Авт. выкл. NXB-63S 3P 10А 4.5kA х-ка C ®</t>
  </si>
  <si>
    <t>Авт. выкл. NXB-63S 3P 40А 4.5kA х-ка C ®</t>
  </si>
  <si>
    <t xml:space="preserve">ЩС-5 (Альбом 34) </t>
  </si>
  <si>
    <t xml:space="preserve">ЩС-6 (Альбом 34) </t>
  </si>
  <si>
    <t>Авт. выкл. NXB-63S 3P 32А 4.5kA х-ка C ®</t>
  </si>
  <si>
    <t xml:space="preserve">ЩС-7 (Альбом 34) </t>
  </si>
  <si>
    <t xml:space="preserve">ЩС-8 (Альбом 34) </t>
  </si>
  <si>
    <t>Авт. выкл. NXB-63S 3P 16А 4.5kA х-ка C (R)</t>
  </si>
  <si>
    <t xml:space="preserve">ЩС-9 (Альбом 34) </t>
  </si>
  <si>
    <t xml:space="preserve">ЩС-10 (Альбом 34) </t>
  </si>
  <si>
    <t xml:space="preserve">ЩС-11 (Альбом 34) </t>
  </si>
  <si>
    <t xml:space="preserve">ЩС-12 (Альбом 34) </t>
  </si>
  <si>
    <t xml:space="preserve">ЩС-13 (Альбом 34) </t>
  </si>
  <si>
    <t xml:space="preserve">ЩС-14 (Альбом 34) </t>
  </si>
  <si>
    <t xml:space="preserve">ЩС-15 (Альбом 34) </t>
  </si>
  <si>
    <t xml:space="preserve">ЩС-16 (Альбом 34) </t>
  </si>
  <si>
    <t xml:space="preserve">ЩС-17 (Альбом 34) </t>
  </si>
  <si>
    <t xml:space="preserve">ЩС-18 (Альбом 34) </t>
  </si>
  <si>
    <t xml:space="preserve">ЩС-19 (Альбом 34) </t>
  </si>
  <si>
    <t xml:space="preserve">ЩС-20 (Альбом 34) </t>
  </si>
  <si>
    <t>ЩРВ 54з-1 36 УХЛ3 IP31</t>
  </si>
  <si>
    <t xml:space="preserve">ЩС-21 (Альбом 34) </t>
  </si>
  <si>
    <t xml:space="preserve">ЩС-22, ЩС-25.1, ЩС-29.2 (Альбом 34) </t>
  </si>
  <si>
    <t xml:space="preserve">ЩС-23 (Альбом 34) </t>
  </si>
  <si>
    <t xml:space="preserve">ЩС-24 (Альбом 34) </t>
  </si>
  <si>
    <t xml:space="preserve">ЩС-25 (Альбом 34) </t>
  </si>
  <si>
    <t xml:space="preserve">ЩС-25.2, ЩС-26.1 (Альбом 34) </t>
  </si>
  <si>
    <t xml:space="preserve"> ЩС-26 (Альбом 34) </t>
  </si>
  <si>
    <t>ЩРВ 72з-1 36 УХЛ3 IP31</t>
  </si>
  <si>
    <t xml:space="preserve"> ЩС-27 (Альбом 34) </t>
  </si>
  <si>
    <t xml:space="preserve"> ЩС-28 (Альбом 34) </t>
  </si>
  <si>
    <t xml:space="preserve"> ЩС-29 (Альбом 34) </t>
  </si>
  <si>
    <t xml:space="preserve"> ЩС-29.1 (Альбом 34) </t>
  </si>
  <si>
    <t xml:space="preserve"> ЩС-30 (Альбом 34) </t>
  </si>
  <si>
    <t xml:space="preserve"> ЩС-31 (Альбом 34) </t>
  </si>
  <si>
    <t xml:space="preserve"> ЩС-32 (Альбом 34) </t>
  </si>
  <si>
    <t xml:space="preserve"> ЩС-33 (Альбом 34) </t>
  </si>
  <si>
    <t xml:space="preserve"> ЩС-34 (Альбом 34) </t>
  </si>
  <si>
    <t xml:space="preserve"> ЩС-35 (Альбом 34) </t>
  </si>
  <si>
    <t xml:space="preserve"> ЩС-36 (Альбом 34) </t>
  </si>
  <si>
    <t xml:space="preserve"> ЩС-37 (Альбом 34) </t>
  </si>
  <si>
    <t xml:space="preserve"> ЩС-38 (Альбом 34) </t>
  </si>
  <si>
    <t xml:space="preserve"> ЩС-39 (Альбом 34) </t>
  </si>
  <si>
    <t xml:space="preserve"> ЩС-40 (Альбом 34) </t>
  </si>
  <si>
    <t>Авт. выкл. NXB-63S 1P 32А 4.5kA х-ка C (R)</t>
  </si>
  <si>
    <t>Авт. выкл. NXB-63S 2P 32А 4.5kA х-ка C (R)</t>
  </si>
  <si>
    <t>Авт. выкл. NXB-63S 2P 25А 4.5kA х-ка C (R)</t>
  </si>
  <si>
    <t>Медицинский разделительный трансформатор ТРО-4000М</t>
  </si>
  <si>
    <t>Авт. выкл. NXB-63S 2P 16А 4.5kA х-ка C (R)</t>
  </si>
  <si>
    <t>Авт. выкл. NXB-63S 1P 16А 4.5kA х-ка C (R)</t>
  </si>
  <si>
    <t>Авт. выкл. NXB-63S 3P 32А 4.5kA х-ка C (R)</t>
  </si>
  <si>
    <t xml:space="preserve">              Трансформатор Т-0,66  200\5 (18)</t>
  </si>
  <si>
    <t xml:space="preserve">ЩО1 (Альбом 35) </t>
  </si>
  <si>
    <t>Альбом 35</t>
  </si>
  <si>
    <t>Авт. выкл. NXB-63S 1P 10А 4.5kA х-ка C (R)</t>
  </si>
  <si>
    <t xml:space="preserve">ЩО2 (Альбом 35) </t>
  </si>
  <si>
    <t xml:space="preserve">ЩО3 (Альбом 35) </t>
  </si>
  <si>
    <t xml:space="preserve">ЩАО1 (Альбом 35) </t>
  </si>
  <si>
    <t xml:space="preserve">ЩАО2 (Альбом 35) </t>
  </si>
  <si>
    <t xml:space="preserve">ЩАО3 (Альбом 35) </t>
  </si>
  <si>
    <t>Альбом 36</t>
  </si>
  <si>
    <t xml:space="preserve">              Трансформатор Т-0,66  150\5 (18)</t>
  </si>
  <si>
    <t>Авт. выкл. NXB-63S 1P 6А 4.5kA х-ка C ®</t>
  </si>
  <si>
    <t>rubilnik</t>
  </si>
  <si>
    <t>Плавкая вставка предохранителя RT36-00-160, габарит 00, 50А</t>
  </si>
  <si>
    <t>ppn</t>
  </si>
  <si>
    <t>Плавкая вставка предохранителя RT36-00-160, габарит 00, 40А</t>
  </si>
  <si>
    <t>Плавкая вставка предохранителя RT36-00-160, габарит 00, 32А</t>
  </si>
  <si>
    <t>Плавкая вставка предохранителя RT36-00-160, габарит 00, 25А</t>
  </si>
  <si>
    <t xml:space="preserve">ЩО1 (Альбом 36) </t>
  </si>
  <si>
    <t xml:space="preserve">ЩО2 (Альбом 36) </t>
  </si>
  <si>
    <t xml:space="preserve">ЩО3 (Альбом 36) </t>
  </si>
  <si>
    <t xml:space="preserve">ЩО4 (Альбом 36) </t>
  </si>
  <si>
    <t xml:space="preserve">ЩАО-1 (Альбом 36) </t>
  </si>
  <si>
    <t xml:space="preserve">ЩАО-2 (Альбом 36) </t>
  </si>
  <si>
    <t xml:space="preserve">ЩАО-3 (Альбом 36) </t>
  </si>
  <si>
    <t xml:space="preserve">ЩС1 (Альбом 36) </t>
  </si>
  <si>
    <t xml:space="preserve">ЩС2 (Альбом 36) </t>
  </si>
  <si>
    <t xml:space="preserve">ЩС3 (Альбом 36) </t>
  </si>
  <si>
    <t xml:space="preserve">ЩС4 (Альбом 36) </t>
  </si>
  <si>
    <t xml:space="preserve">ЩС5 (Альбом 36) </t>
  </si>
  <si>
    <t xml:space="preserve">ЩС6 (Альбом 36) </t>
  </si>
  <si>
    <t xml:space="preserve">ЩС7 (Альбом 36) </t>
  </si>
  <si>
    <t xml:space="preserve">ЩС8 (Альбом 36) </t>
  </si>
  <si>
    <t xml:space="preserve">ЩС9 (Альбом 36) </t>
  </si>
  <si>
    <t xml:space="preserve">ЩС10 (Альбом 36) </t>
  </si>
  <si>
    <t xml:space="preserve">ЩС11 (Альбом 36) </t>
  </si>
  <si>
    <t xml:space="preserve">ЩС12 (Альбом 36) </t>
  </si>
  <si>
    <t xml:space="preserve">ЩС13 (Альбом 36) </t>
  </si>
  <si>
    <t>Альбом 37</t>
  </si>
  <si>
    <t xml:space="preserve">              Трансформатор Т-0,66  100\5 (18)</t>
  </si>
  <si>
    <t>Плавкая вставка предохранителя RT36-00-160, габарит 00, 100А</t>
  </si>
  <si>
    <t>Плавкая вставка предохранителя RT36-00-160, габарит 00, 80А</t>
  </si>
  <si>
    <t xml:space="preserve">                    Рубильник ВР-32-31  В71250-100А на 2 направления (+6камер) UNIT (1/12)</t>
  </si>
  <si>
    <t>270100159_</t>
  </si>
  <si>
    <t xml:space="preserve">ЩО - 1 (Альбом 37) </t>
  </si>
  <si>
    <t xml:space="preserve">ЩО - 2 (Альбом 37) </t>
  </si>
  <si>
    <t xml:space="preserve">ЩАО - 1, ЩАО - 2 (Альбом 37) </t>
  </si>
  <si>
    <t xml:space="preserve">ЩС-1 (Альбом 37) </t>
  </si>
  <si>
    <t xml:space="preserve">ЩС-2 (Альбом 37) </t>
  </si>
  <si>
    <t xml:space="preserve">ЩС-3 (Альбом 37) </t>
  </si>
  <si>
    <t xml:space="preserve">ЩС-4 (Альбом 37) </t>
  </si>
  <si>
    <t xml:space="preserve">ЩС-5 (Альбом 37) </t>
  </si>
  <si>
    <t xml:space="preserve">ЩС-6 (Альбом 37) </t>
  </si>
  <si>
    <t xml:space="preserve">ЩС-7 (Альбом 37) </t>
  </si>
  <si>
    <t xml:space="preserve">ЩС-8 (Альбом 37) </t>
  </si>
  <si>
    <t>Альбом 39</t>
  </si>
  <si>
    <t>Плавкая вставка предохранителя RT36-1-250, габарит 1, 160А</t>
  </si>
  <si>
    <t xml:space="preserve">ЩО - 1 (Альбом 39) </t>
  </si>
  <si>
    <t xml:space="preserve">ЩАО - 1 (Альбом 39) </t>
  </si>
  <si>
    <t xml:space="preserve">ЩС - 1 (Альбом 39) </t>
  </si>
  <si>
    <t xml:space="preserve">ЩС - 2 (Альбом 39) </t>
  </si>
  <si>
    <t>Авт. выкл. NXB-63S 3P 16А 4.5kA х-ка C ®</t>
  </si>
  <si>
    <t xml:space="preserve">ЩС - 3 (Альбом 39) </t>
  </si>
  <si>
    <t>Авт. выкл. NXB-125 3P 80A 10кА х-ка C ®</t>
  </si>
  <si>
    <t xml:space="preserve">ЩС-4 (Альбом 39) </t>
  </si>
  <si>
    <t xml:space="preserve">ЩС-5 (Альбом 39) </t>
  </si>
  <si>
    <t xml:space="preserve">ЩС-6 (Альбом 39) </t>
  </si>
  <si>
    <t>Альбом 40</t>
  </si>
  <si>
    <t>Плавкая вставка предохранителя RT36-1-250, габарит 1, 200А</t>
  </si>
  <si>
    <t xml:space="preserve">                    Рубильник ВР-32-35  В71250-250А на 2 направления (+6камер) UNIT (1/8)</t>
  </si>
  <si>
    <t>270100160_</t>
  </si>
  <si>
    <t xml:space="preserve">ЩО - 1 (Альбом 40) </t>
  </si>
  <si>
    <t xml:space="preserve">ЩАО - 1 (Альбом 40) </t>
  </si>
  <si>
    <t>Выключатель нагрузки NXHB-125 3P 80A ®</t>
  </si>
  <si>
    <t xml:space="preserve">ЩС - 1, ЩС - 2, ЩС - 4 (Альбом 40) </t>
  </si>
  <si>
    <t xml:space="preserve">ЩС - 3, ЩС - 5 (Альбом 40) </t>
  </si>
  <si>
    <t xml:space="preserve">ЩС - 6 (Альбом 40) </t>
  </si>
  <si>
    <t>Выключатель нагрузки NXHB-125 3P 40A (R)</t>
  </si>
  <si>
    <t xml:space="preserve">ЩС-7 (Альбом 40) </t>
  </si>
  <si>
    <t xml:space="preserve">ЩС-8 (Альбом 40) </t>
  </si>
  <si>
    <t xml:space="preserve">ЩУРВ  (Альбом 41)  </t>
  </si>
  <si>
    <t>Альбом 41</t>
  </si>
  <si>
    <t>Альбом 42</t>
  </si>
  <si>
    <t>Альбом 43</t>
  </si>
  <si>
    <t>Альбом 44</t>
  </si>
  <si>
    <t xml:space="preserve">ЩМП  (Альбом 42)  </t>
  </si>
  <si>
    <t xml:space="preserve">ЩС (Альбом 43)  </t>
  </si>
  <si>
    <t xml:space="preserve">ЩУРВ(КПП-1) (Альбом 44) </t>
  </si>
  <si>
    <t xml:space="preserve">ЩУРВ(КПП-2) (Альбом 44) </t>
  </si>
  <si>
    <t xml:space="preserve">ВРУ-3 (Альбом 34) </t>
  </si>
  <si>
    <t xml:space="preserve">ЩО-1 (Альбом 34) </t>
  </si>
  <si>
    <t xml:space="preserve">ЩО-2 (Альбом 34) </t>
  </si>
  <si>
    <t xml:space="preserve">ЩО-3 (Альбом 34) </t>
  </si>
  <si>
    <t xml:space="preserve">ЩО-4 (Альбом 34) </t>
  </si>
  <si>
    <t xml:space="preserve">ЩО-5 (Альбом 34) </t>
  </si>
  <si>
    <t xml:space="preserve">ЩО-6 (Альбом 34) </t>
  </si>
  <si>
    <t xml:space="preserve">ЩО-7 (Альбом 34) </t>
  </si>
  <si>
    <t xml:space="preserve">ЩО-8 (Альбом 34) </t>
  </si>
  <si>
    <t xml:space="preserve">ЩО-9 (Альбом 34) </t>
  </si>
  <si>
    <t xml:space="preserve">ЩО-10 (Альбом 34) </t>
  </si>
  <si>
    <t xml:space="preserve">ЩО-11 (Альбом 34) </t>
  </si>
  <si>
    <t xml:space="preserve">ЩО-12 (Альбом 34) </t>
  </si>
  <si>
    <t xml:space="preserve">ЩО-13 (Альбом 34) </t>
  </si>
  <si>
    <t xml:space="preserve">ЩО-14 (Альбом 34) </t>
  </si>
  <si>
    <t xml:space="preserve">ЩО-15 (Альбом 34) </t>
  </si>
  <si>
    <t xml:space="preserve">ЩО-16 (Альбом 34) </t>
  </si>
  <si>
    <t xml:space="preserve">ЩО-17 (Альбом 34) </t>
  </si>
  <si>
    <t>ЩР-ТР-1, ЩР-ТР-2, ЩР-ТР-4, ЩР-ТР-5, ЩР-ТР-6,ЩР-ТР-7, ЩР-ТР-8, ЩР-ТР-9, ЩР-ТР-10, ЩР-ТР-11(Альбом 34)</t>
  </si>
  <si>
    <t>ЩР-ТР-3 (Альбом 34)</t>
  </si>
  <si>
    <t>ЩРС-КЧП-1 (Альбом 34)</t>
  </si>
  <si>
    <t>ЩРС-КЧП-2 (Альбом 34)</t>
  </si>
  <si>
    <t>ЩРС-КЧП-3 (Альбом 34)</t>
  </si>
  <si>
    <t>Плавкая вставка предохранителя RT36-0-160, габарит 0, 80А</t>
  </si>
  <si>
    <t>Устройство автоматического ввода резерва NXZM-400S/3B 400A ®?</t>
  </si>
  <si>
    <t>ШУ3-2-380(Альбом 34)</t>
  </si>
  <si>
    <t>Я511-2474 (Альбом 34)</t>
  </si>
  <si>
    <t>Я511-2974 (Альбом 34)</t>
  </si>
  <si>
    <t>Я511-2877 (Альбом 34)</t>
  </si>
  <si>
    <t>Я511-3077 (Альбом 34)</t>
  </si>
  <si>
    <t>Я511-2074 (Альбом 34)</t>
  </si>
  <si>
    <t>Я511-2274 (Альбом 34)</t>
  </si>
  <si>
    <t>Я511-2074 (Альбом 36)</t>
  </si>
  <si>
    <t>Я511-2274 (Альбом 36)</t>
  </si>
  <si>
    <t>Я511-2474 (Альбом 36)</t>
  </si>
  <si>
    <t>Я511-1874 (Альбом 36)</t>
  </si>
  <si>
    <t>Я511-2477 (Альбом 36)</t>
  </si>
  <si>
    <t>Я511-2277 (Альбом 36)</t>
  </si>
  <si>
    <t>ЯТП-0,25 (Альбом 36)</t>
  </si>
  <si>
    <t>ЯТП-0,25 (Альбом 34)</t>
  </si>
  <si>
    <t>ЯТП-0,25 (Альбом 37)</t>
  </si>
  <si>
    <t>Я511-2274 (Альбом 37)</t>
  </si>
  <si>
    <t>Я511-2074 (Альбом 39)</t>
  </si>
  <si>
    <t>Я511-2477 (Альбом 39)</t>
  </si>
  <si>
    <t>ЯТП-0,25 (Альбом 40)</t>
  </si>
  <si>
    <t>Я511-2074 (Альбом 40)</t>
  </si>
  <si>
    <t>Я511-2677 (Альбом 40)</t>
  </si>
  <si>
    <t>Я511-2077 (Альбом 41)</t>
  </si>
  <si>
    <t xml:space="preserve">ВРУ-1 (ВРУ1-18-80)  (Альбом 34)  </t>
  </si>
  <si>
    <t xml:space="preserve">ВРУ ('ВРУ1-11-10)  (Альбом 36)  </t>
  </si>
  <si>
    <t>Плавкая вставка предохранителя CHINT RT36-1-250, габарит 1, 100А (R)</t>
  </si>
  <si>
    <t>521367</t>
  </si>
  <si>
    <t>Держатель плавкой вставки RT36-1-250, габарит 1, 250А</t>
  </si>
  <si>
    <t>buson yuva</t>
  </si>
  <si>
    <t xml:space="preserve">ВРУ (ВРУ1-47-00(1 секция-2 секция))   (Альбом 36)  </t>
  </si>
  <si>
    <t xml:space="preserve">ВРУ  ('ВРУ1-21-10)(Альбом 37)  </t>
  </si>
  <si>
    <t xml:space="preserve">ВРУ ('ВРУ1-11-10) (Альбом 39)  </t>
  </si>
  <si>
    <t xml:space="preserve">ВРУ('ВРУ1-47-00 (1 и 2 секция))   (Альбом 39)  </t>
  </si>
  <si>
    <t xml:space="preserve">ВРУ 'ВРУ1-13-20)  (Альбом 40)  </t>
  </si>
  <si>
    <t>ВРУ('ВРУ1-47-00) (1 и 2 секция)   (Альбом 40)</t>
  </si>
  <si>
    <t>ЯТП-0,25-36(Альбом 43)</t>
  </si>
  <si>
    <t>521260</t>
  </si>
  <si>
    <t>Держатель плавкой вставки RT36-00-160, габарит 00, 160А</t>
  </si>
  <si>
    <t>521366</t>
  </si>
  <si>
    <t>Держатель плавкой вставки RT36-0-160, габарит 0, 160А</t>
  </si>
  <si>
    <t>719-15075</t>
  </si>
  <si>
    <t>Met.Korpus Pustoi 1800x800x450 10sm</t>
  </si>
  <si>
    <t>719-15425</t>
  </si>
  <si>
    <t>Мет.Корпус ЩМП-2 (500x400x220)  IP54</t>
  </si>
  <si>
    <t>719-15562</t>
  </si>
  <si>
    <t>Мет. Корпус ЩМП- 6 (1200х750х300) IP54</t>
  </si>
  <si>
    <t>713-15005</t>
  </si>
  <si>
    <t>Щит мет.ЩРв-12 б/о (319х277х120) S/A 36 IP 31 (TS)</t>
  </si>
  <si>
    <t>713-15007</t>
  </si>
  <si>
    <t>Щит ЩРв-1/18 б/о(277х450х120)S/A  IP31 (TS)</t>
  </si>
  <si>
    <t>713-15010</t>
  </si>
  <si>
    <t>Щит мет.ЩРв-24 б/о (320х405х120) S/A 36 IP 31 (TS)</t>
  </si>
  <si>
    <t>713-15030</t>
  </si>
  <si>
    <t>Мет. ЩРВ-36 (550x320x120)</t>
  </si>
  <si>
    <t>719-15925</t>
  </si>
  <si>
    <t>Щит ЩРв-48з-3 620х310х120мм)</t>
  </si>
  <si>
    <t>714-15005</t>
  </si>
  <si>
    <t>Щит мет.ЩРн-12 б/o (313х268х120)S/U 36 IP31 (TS)</t>
  </si>
  <si>
    <t>714-15007</t>
  </si>
  <si>
    <t>Щит мет.ЩРн-18 б/o (448х268х120)S/U 36 IP31 (TS)</t>
  </si>
  <si>
    <t>714-15010</t>
  </si>
  <si>
    <t>Щит мет.ЩРн-24 б/o (398х312х120)S/U 36 IP31 (TS)</t>
  </si>
  <si>
    <t>714-15015</t>
  </si>
  <si>
    <t>Щит мет.ЩРн-36 б/o (312х540х120)S/U 36 IP31 (TS)</t>
  </si>
  <si>
    <t>714-15040</t>
  </si>
  <si>
    <t>Мет. Корпус ЩРН- 48 (660x310x120) IP31  (TS)</t>
  </si>
  <si>
    <t>714-15105</t>
  </si>
  <si>
    <t>Щит ЩРн-54 (540x440x120) S/U  IP31</t>
  </si>
  <si>
    <t>715-15015</t>
  </si>
  <si>
    <t>Щит ЩУРв-3/12 окошко (320х553х165)S/A  IP31 (TS)</t>
  </si>
  <si>
    <t>IA</t>
  </si>
  <si>
    <t>ДАЛА СА4У-Э720 R TX OP П RS1 Д W  (3x220/380V 5-7,5A)</t>
  </si>
  <si>
    <t>IC</t>
  </si>
  <si>
    <t>ДАЛА СА4-Э720 R TX OP P П RS1 Д W (3x220/380V 5-60A)</t>
  </si>
  <si>
    <t xml:space="preserve">Toplam ВРУ-1 (ВРУ1-18-80)  (Альбом 34)  </t>
  </si>
  <si>
    <t>Toplam ШАВР (Альбом 34)</t>
  </si>
  <si>
    <t xml:space="preserve">Toplam ВРУ-3 (Альбом 34) </t>
  </si>
  <si>
    <t xml:space="preserve">Toplam ЩО-1 (Альбом 34) </t>
  </si>
  <si>
    <t xml:space="preserve">Toplam ЩО-2 (Альбом 34) </t>
  </si>
  <si>
    <t xml:space="preserve">Toplam ЩО-3 (Альбом 34) </t>
  </si>
  <si>
    <t xml:space="preserve">Toplam ЩО-4 (Альбом 34) </t>
  </si>
  <si>
    <t xml:space="preserve">Toplam ЩО-5 (Альбом 34) </t>
  </si>
  <si>
    <t xml:space="preserve">Toplam ЩО-6 (Альбом 34) </t>
  </si>
  <si>
    <t xml:space="preserve">Toplam ЩО-7 (Альбом 34) </t>
  </si>
  <si>
    <t xml:space="preserve">Toplam ЩО-8 (Альбом 34) </t>
  </si>
  <si>
    <t xml:space="preserve">Toplam ЩО-9 (Альбом 34) </t>
  </si>
  <si>
    <t xml:space="preserve">Toplam ЩО-10 (Альбом 34) </t>
  </si>
  <si>
    <t xml:space="preserve">Toplam ЩО-11 (Альбом 34) </t>
  </si>
  <si>
    <t xml:space="preserve">Toplam ЩО-12 (Альбом 34) </t>
  </si>
  <si>
    <t xml:space="preserve">Toplam ЩО-13 (Альбом 34) </t>
  </si>
  <si>
    <t xml:space="preserve">Toplam ЩО-14 (Альбом 34) </t>
  </si>
  <si>
    <t xml:space="preserve">Toplam ЩО-15 (Альбом 34) </t>
  </si>
  <si>
    <t xml:space="preserve">Toplam ЩО-16 (Альбом 34) </t>
  </si>
  <si>
    <t xml:space="preserve">Toplam ЩО-17 (Альбом 34) </t>
  </si>
  <si>
    <t xml:space="preserve">Toplam ЩАО-1,ЩАО-3, ЩАО-7 (Альбом 34) </t>
  </si>
  <si>
    <t xml:space="preserve">Toplam ЩАО-2,ЩАО-8 (Альбом 34) </t>
  </si>
  <si>
    <t xml:space="preserve">Toplam ЩАО-4,ЩАО-9 (Альбом 34) </t>
  </si>
  <si>
    <t xml:space="preserve">Toplam ЩАО-5,ЩАО-6 (Альбом 34) </t>
  </si>
  <si>
    <t xml:space="preserve">Toplam ЩАО-10(Альбом 34) </t>
  </si>
  <si>
    <t xml:space="preserve">Toplam ЩАО-11(Альбом 34) </t>
  </si>
  <si>
    <t xml:space="preserve">Toplam ЩС-1, ЩС-3(Альбом 34) </t>
  </si>
  <si>
    <t xml:space="preserve">Toplam ЩС-2 (Альбом 34) </t>
  </si>
  <si>
    <t xml:space="preserve">Toplam ЩС-4 (Альбом 34) </t>
  </si>
  <si>
    <t xml:space="preserve">Toplam ЩС-5 (Альбом 34) </t>
  </si>
  <si>
    <t xml:space="preserve">Toplam ЩС-6 (Альбом 34) </t>
  </si>
  <si>
    <t xml:space="preserve">Toplam ЩС-7 (Альбом 34) </t>
  </si>
  <si>
    <t xml:space="preserve">Toplam ЩС-8 (Альбом 34) </t>
  </si>
  <si>
    <t xml:space="preserve">Toplam ЩС-9 (Альбом 34) </t>
  </si>
  <si>
    <t xml:space="preserve">Toplam ЩС-10 (Альбом 34) </t>
  </si>
  <si>
    <t xml:space="preserve">Toplam ЩС-11 (Альбом 34) </t>
  </si>
  <si>
    <t xml:space="preserve">Toplam ЩС-12 (Альбом 34) </t>
  </si>
  <si>
    <t xml:space="preserve">Toplam ЩС-13 (Альбом 34) </t>
  </si>
  <si>
    <t xml:space="preserve">Toplam ЩС-14 (Альбом 34) </t>
  </si>
  <si>
    <t xml:space="preserve">Toplam ЩС-15 (Альбом 34) </t>
  </si>
  <si>
    <t xml:space="preserve">Toplam ЩС-16 (Альбом 34) </t>
  </si>
  <si>
    <t xml:space="preserve">Toplam ЩС-17 (Альбом 34) </t>
  </si>
  <si>
    <t xml:space="preserve">Toplam ЩС-18 (Альбом 34) </t>
  </si>
  <si>
    <t xml:space="preserve">Toplam ЩС-19 (Альбом 34) </t>
  </si>
  <si>
    <t xml:space="preserve">Toplam ЩС-20 (Альбом 34) </t>
  </si>
  <si>
    <t xml:space="preserve">Toplam ЩС-21 (Альбом 34) </t>
  </si>
  <si>
    <t xml:space="preserve">Toplam ЩС-22, ЩС-25.1, ЩС-29.2 (Альбом 34) </t>
  </si>
  <si>
    <t xml:space="preserve">Toplam ЩС-23 (Альбом 34) </t>
  </si>
  <si>
    <t xml:space="preserve">Toplam ЩС-24 (Альбом 34) </t>
  </si>
  <si>
    <t xml:space="preserve">Toplam ЩС-25 (Альбом 34) </t>
  </si>
  <si>
    <t xml:space="preserve">Toplam ЩС-25.2, ЩС-26.1 (Альбом 34) </t>
  </si>
  <si>
    <t xml:space="preserve">Toplam  ЩС-26 (Альбом 34) </t>
  </si>
  <si>
    <t xml:space="preserve">Toplam  ЩС-27 (Альбом 34) </t>
  </si>
  <si>
    <t xml:space="preserve">Toplam  ЩС-28 (Альбом 34) </t>
  </si>
  <si>
    <t xml:space="preserve">Toplam  ЩС-29 (Альбом 34) </t>
  </si>
  <si>
    <t xml:space="preserve">Toplam  ЩС-29.1 (Альбом 34) </t>
  </si>
  <si>
    <t xml:space="preserve">Toplam  ЩС-30 (Альбом 34) </t>
  </si>
  <si>
    <t xml:space="preserve">Toplam  ЩС-31 (Альбом 34) </t>
  </si>
  <si>
    <t xml:space="preserve">Toplam  ЩС-32 (Альбом 34) </t>
  </si>
  <si>
    <t xml:space="preserve">Toplam  ЩС-33 (Альбом 34) </t>
  </si>
  <si>
    <t xml:space="preserve">Toplam  ЩС-34 (Альбом 34) </t>
  </si>
  <si>
    <t xml:space="preserve">Toplam  ЩС-35 (Альбом 34) </t>
  </si>
  <si>
    <t xml:space="preserve">Toplam  ЩС-36 (Альбом 34) </t>
  </si>
  <si>
    <t xml:space="preserve">Toplam  ЩС-37 (Альбом 34) </t>
  </si>
  <si>
    <t xml:space="preserve">Toplam  ЩС-38 (Альбом 34) </t>
  </si>
  <si>
    <t xml:space="preserve">Toplam  ЩС-39 (Альбом 34) </t>
  </si>
  <si>
    <t xml:space="preserve">Toplam  ЩС-40 (Альбом 34) </t>
  </si>
  <si>
    <t>Toplam ЩР-ТР-1, ЩР-ТР-2, ЩР-ТР-4, ЩР-ТР-5, ЩР-ТР-6,ЩР-ТР-7, ЩР-ТР-8, ЩР-ТР-9, ЩР-ТР-10, ЩР-ТР-11(Альбом 34)</t>
  </si>
  <si>
    <t>Toplam ЩР-ТР-3 (Альбом 34)</t>
  </si>
  <si>
    <t>Toplam ЩРС-КЧП-1 (Альбом 34)</t>
  </si>
  <si>
    <t>Toplam ЩРС-КЧП-2 (Альбом 34)</t>
  </si>
  <si>
    <t>Toplam ЩРС-КЧП-3 (Альбом 34)</t>
  </si>
  <si>
    <t>Toplam ШУ3-2-380(Альбом 34)</t>
  </si>
  <si>
    <t>Toplam Я511-2074 (Альбом 34)</t>
  </si>
  <si>
    <t>Toplam Я511-2274 (Альбом 34)</t>
  </si>
  <si>
    <t>Toplam Я511-2474 (Альбом 34)</t>
  </si>
  <si>
    <t>Toplam Я511-2974 (Альбом 34)</t>
  </si>
  <si>
    <t>Toplam Я511-2877 (Альбом 34)</t>
  </si>
  <si>
    <t>Toplam Я511-3077 (Альбом 34)</t>
  </si>
  <si>
    <t>Toplam ЯТП-0,25 (Альбом 34)</t>
  </si>
  <si>
    <t xml:space="preserve">Toplam ЩО1 (Альбом 35) </t>
  </si>
  <si>
    <t xml:space="preserve">Toplam ЩО2 (Альбом 35) </t>
  </si>
  <si>
    <t xml:space="preserve">Toplam ЩО3 (Альбом 35) </t>
  </si>
  <si>
    <t xml:space="preserve">Toplam ЩАО1 (Альбом 35) </t>
  </si>
  <si>
    <t xml:space="preserve">Toplam ЩАО2 (Альбом 35) </t>
  </si>
  <si>
    <t xml:space="preserve">Toplam ЩАО3 (Альбом 35) </t>
  </si>
  <si>
    <t xml:space="preserve">Toplam ВРУ ('ВРУ1-11-10)  (Альбом 36)  </t>
  </si>
  <si>
    <t xml:space="preserve">Toplam ВРУ (ВРУ1-47-00(1 секция-2 секция))   (Альбом 36)  </t>
  </si>
  <si>
    <t xml:space="preserve">Toplam ЩО1 (Альбом 36) </t>
  </si>
  <si>
    <t xml:space="preserve">Toplam ЩО2 (Альбом 36) </t>
  </si>
  <si>
    <t xml:space="preserve">Toplam ЩО3 (Альбом 36) </t>
  </si>
  <si>
    <t xml:space="preserve">Toplam ЩО4 (Альбом 36) </t>
  </si>
  <si>
    <t xml:space="preserve">Toplam ЩАО-1 (Альбом 36) </t>
  </si>
  <si>
    <t xml:space="preserve">Toplam ЩАО-2 (Альбом 36) </t>
  </si>
  <si>
    <t xml:space="preserve">Toplam ЩАО-3 (Альбом 36) </t>
  </si>
  <si>
    <t xml:space="preserve">Toplam ЩС1 (Альбом 36) </t>
  </si>
  <si>
    <t xml:space="preserve">Toplam ЩС2 (Альбом 36) </t>
  </si>
  <si>
    <t xml:space="preserve">Toplam ЩС3 (Альбом 36) </t>
  </si>
  <si>
    <t xml:space="preserve">Toplam ЩС4 (Альбом 36) </t>
  </si>
  <si>
    <t xml:space="preserve">Toplam ЩС5 (Альбом 36) </t>
  </si>
  <si>
    <t xml:space="preserve">Toplam ЩС6 (Альбом 36) </t>
  </si>
  <si>
    <t xml:space="preserve">Toplam ЩС7 (Альбом 36) </t>
  </si>
  <si>
    <t xml:space="preserve">Toplam ЩС8 (Альбом 36) </t>
  </si>
  <si>
    <t xml:space="preserve">Toplam ЩС9 (Альбом 36) </t>
  </si>
  <si>
    <t xml:space="preserve">Toplam ЩС10 (Альбом 36) </t>
  </si>
  <si>
    <t xml:space="preserve">Toplam ЩС11 (Альбом 36) </t>
  </si>
  <si>
    <t xml:space="preserve">Toplam ЩС12 (Альбом 36) </t>
  </si>
  <si>
    <t xml:space="preserve">Toplam ЩС13 (Альбом 36) </t>
  </si>
  <si>
    <t>Toplam Я511-2074 (Альбом 36)</t>
  </si>
  <si>
    <t>Toplam Я511-2274 (Альбом 36)</t>
  </si>
  <si>
    <t>Toplam Я511-2474 (Альбом 36)</t>
  </si>
  <si>
    <t>Toplam Я511-1874 (Альбом 36)</t>
  </si>
  <si>
    <t>Toplam Я511-2477 (Альбом 36)</t>
  </si>
  <si>
    <t>Toplam Я511-2277 (Альбом 36)</t>
  </si>
  <si>
    <t>Toplam ЯТП-0,25 (Альбом 36)</t>
  </si>
  <si>
    <t xml:space="preserve">Toplam ВРУ  ('ВРУ1-21-10)(Альбом 37)  </t>
  </si>
  <si>
    <t xml:space="preserve">Toplam ЩО - 1 (Альбом 37) </t>
  </si>
  <si>
    <t xml:space="preserve">Toplam ЩО - 2 (Альбом 37) </t>
  </si>
  <si>
    <t xml:space="preserve">Toplam ЩАО - 1, ЩАО - 2 (Альбом 37) </t>
  </si>
  <si>
    <t xml:space="preserve">Toplam ЩС-1 (Альбом 37) </t>
  </si>
  <si>
    <t xml:space="preserve">Toplam ЩС-2 (Альбом 37) </t>
  </si>
  <si>
    <t xml:space="preserve">Toplam ЩС-3 (Альбом 37) </t>
  </si>
  <si>
    <t xml:space="preserve">Toplam ЩС-4 (Альбом 37) </t>
  </si>
  <si>
    <t xml:space="preserve">Toplam ЩС-5 (Альбом 37) </t>
  </si>
  <si>
    <t xml:space="preserve">Toplam ЩС-6 (Альбом 37) </t>
  </si>
  <si>
    <t xml:space="preserve">Toplam ЩС-7 (Альбом 37) </t>
  </si>
  <si>
    <t xml:space="preserve">Toplam ЩС-8 (Альбом 37) </t>
  </si>
  <si>
    <t>Toplam Я511-2274 (Альбом 37)</t>
  </si>
  <si>
    <t>Toplam ЯТП-0,25 (Альбом 37)</t>
  </si>
  <si>
    <t xml:space="preserve">Toplam ВРУ ('ВРУ1-11-10) (Альбом 39)  </t>
  </si>
  <si>
    <t xml:space="preserve">Toplam ВРУ('ВРУ1-47-00 (1 и 2 секция))   (Альбом 39)  </t>
  </si>
  <si>
    <t xml:space="preserve">Toplam ЩО - 1 (Альбом 39) </t>
  </si>
  <si>
    <t xml:space="preserve">Toplam ЩАО - 1 (Альбом 39) </t>
  </si>
  <si>
    <t xml:space="preserve">Toplam ЩС - 1 (Альбом 39) </t>
  </si>
  <si>
    <t xml:space="preserve">Toplam ЩС - 2 (Альбом 39) </t>
  </si>
  <si>
    <t xml:space="preserve">Toplam ЩС - 3 (Альбом 39) </t>
  </si>
  <si>
    <t xml:space="preserve">Toplam ЩС-4 (Альбом 39) </t>
  </si>
  <si>
    <t xml:space="preserve">Toplam ЩС-5 (Альбом 39) </t>
  </si>
  <si>
    <t xml:space="preserve">Toplam ЩС-6 (Альбом 39) </t>
  </si>
  <si>
    <t>Toplam Я511-2074 (Альбом 39)</t>
  </si>
  <si>
    <t>Toplam Я511-2477 (Альбом 39)</t>
  </si>
  <si>
    <t xml:space="preserve">Toplam ВРУ 'ВРУ1-13-20)  (Альбом 40)  </t>
  </si>
  <si>
    <t>Toplam ВРУ('ВРУ1-47-00) (1 и 2 секция)   (Альбом 40)</t>
  </si>
  <si>
    <t xml:space="preserve">Toplam ЩО - 1 (Альбом 40) </t>
  </si>
  <si>
    <t xml:space="preserve">Toplam ЩАО - 1 (Альбом 40) </t>
  </si>
  <si>
    <t xml:space="preserve">Toplam ЩС - 1, ЩС - 2, ЩС - 4 (Альбом 40) </t>
  </si>
  <si>
    <t xml:space="preserve">Toplam ЩС - 3, ЩС - 5 (Альбом 40) </t>
  </si>
  <si>
    <t xml:space="preserve">Toplam ЩС - 6 (Альбом 40) </t>
  </si>
  <si>
    <t xml:space="preserve">Toplam ЩС-7 (Альбом 40) </t>
  </si>
  <si>
    <t xml:space="preserve">Toplam ЩС-8 (Альбом 40) </t>
  </si>
  <si>
    <t>Toplam Я511-2074 (Альбом 40)</t>
  </si>
  <si>
    <t>Toplam Я511-2677 (Альбом 40)</t>
  </si>
  <si>
    <t>Toplam ЯТП-0,25 (Альбом 40)</t>
  </si>
  <si>
    <t xml:space="preserve">Toplam ЩУРВ  (Альбом 41)  </t>
  </si>
  <si>
    <t>Toplam Я511-2077 (Альбом 41)</t>
  </si>
  <si>
    <t xml:space="preserve">Toplam ЩМП  (Альбом 42)  </t>
  </si>
  <si>
    <t xml:space="preserve">Toplam ЩС (Альбом 43)  </t>
  </si>
  <si>
    <t>Toplam ЯТП-0,25-36(Альбом 43)</t>
  </si>
  <si>
    <t xml:space="preserve">Toplam ЩУРВ(КПП-1) (Альбом 44) </t>
  </si>
  <si>
    <t xml:space="preserve">Toplam ЩУРВ(КПП-2) (Альбом 44) </t>
  </si>
  <si>
    <t>Genel Toplam</t>
  </si>
  <si>
    <t>malz</t>
  </si>
  <si>
    <t>Toplam Медицинский разделительный трансформатор ТРО-4000М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</si>
</sst>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  <font>
      <b/>
      <sz val="9"/>
      <name val="Calibri"/>
      <family val="2"/>
      <charset val="204"/>
      <scheme val="minor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6" fillId="0" borderId="0"/>
  </cellStyleXfs>
  <cellXfs count="20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5" fontId="7" fillId="5" borderId="1" xfId="1" applyNumberFormat="1" applyFont="1" applyFill="1" applyBorder="1" applyAlignment="1" applyProtection="1">
      <alignment horizontal="center" vertical="center" wrapText="1"/>
    </xf>
    <xf numFmtId="0" fontId="7" fillId="5" borderId="1" xfId="1" applyNumberFormat="1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" fontId="9" fillId="0" borderId="1" xfId="0" quotePrefix="1" applyNumberFormat="1" applyFont="1" applyBorder="1" applyAlignment="1">
      <alignment horizontal="center" vertical="center"/>
    </xf>
    <xf numFmtId="165" fontId="11" fillId="3" borderId="1" xfId="1" applyNumberFormat="1" applyFont="1" applyFill="1" applyBorder="1" applyAlignment="1" applyProtection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3" fontId="7" fillId="5" borderId="1" xfId="1" applyNumberFormat="1" applyFont="1" applyFill="1" applyBorder="1" applyAlignment="1" applyProtection="1">
      <alignment horizontal="center" vertical="center"/>
    </xf>
    <xf numFmtId="0" fontId="7" fillId="5" borderId="1" xfId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3" fontId="10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</cellXfs>
  <cellStyles count="8">
    <cellStyle name="Normal" xfId="0" builtinId="0"/>
    <cellStyle name="Normal 10 2" xfId="7" xr:uid="{216CBB1D-21B2-4D7D-873C-FB1CE12D25A2}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C445-D28C-4E55-8149-96BA8DFBC99C}">
  <dimension ref="A1:N1131"/>
  <sheetViews>
    <sheetView tabSelected="1" zoomScaleNormal="100" workbookViewId="0">
      <pane ySplit="1" topLeftCell="A1060" activePane="bottomLeft" state="frozen"/>
      <selection pane="bottomLeft" activeCell="G1068" sqref="G1068"/>
    </sheetView>
  </sheetViews>
  <sheetFormatPr defaultRowHeight="30" customHeight="1" outlineLevelRow="2" x14ac:dyDescent="0.25"/>
  <cols>
    <col min="2" max="2" width="35.5703125" customWidth="1"/>
    <col min="5" max="5" width="77.28515625" customWidth="1"/>
    <col min="8" max="8" width="14.42578125" customWidth="1"/>
    <col min="11" max="13" width="14.42578125" customWidth="1"/>
    <col min="14" max="14" width="17" customWidth="1"/>
  </cols>
  <sheetData>
    <row r="1" spans="1:14" s="15" customFormat="1" ht="72" customHeight="1" x14ac:dyDescent="0.25">
      <c r="A1" s="1" t="s">
        <v>27</v>
      </c>
      <c r="B1" s="1" t="s">
        <v>20</v>
      </c>
      <c r="C1" s="1" t="s">
        <v>0</v>
      </c>
      <c r="D1" s="1" t="s">
        <v>1</v>
      </c>
      <c r="E1" s="1" t="s">
        <v>2</v>
      </c>
      <c r="F1" s="12" t="s">
        <v>3</v>
      </c>
      <c r="G1" s="12" t="s">
        <v>3</v>
      </c>
      <c r="H1" s="12" t="s">
        <v>5</v>
      </c>
      <c r="I1" s="2" t="s">
        <v>19</v>
      </c>
      <c r="J1" s="2" t="s">
        <v>4</v>
      </c>
      <c r="K1" s="2" t="s">
        <v>21</v>
      </c>
      <c r="L1" s="2" t="s">
        <v>18</v>
      </c>
      <c r="M1" s="12" t="s">
        <v>457</v>
      </c>
      <c r="N1" s="16"/>
    </row>
    <row r="2" spans="1:14" ht="30" customHeight="1" outlineLevel="2" x14ac:dyDescent="0.25">
      <c r="A2" s="3">
        <v>1</v>
      </c>
      <c r="B2" s="3" t="str">
        <f>E2</f>
        <v xml:space="preserve">ВРУ-1 (ВРУ1-18-80)  (Альбом 34)  </v>
      </c>
      <c r="C2" s="3"/>
      <c r="D2" s="14"/>
      <c r="E2" s="3" t="s">
        <v>245</v>
      </c>
      <c r="F2" s="13"/>
      <c r="G2" s="13"/>
      <c r="H2" s="13"/>
      <c r="I2" s="5">
        <v>1</v>
      </c>
      <c r="J2" s="4" t="s">
        <v>6</v>
      </c>
      <c r="K2" s="4" t="s">
        <v>23</v>
      </c>
      <c r="L2" s="4" t="s">
        <v>31</v>
      </c>
      <c r="M2" s="13"/>
      <c r="N2" s="17"/>
    </row>
    <row r="3" spans="1:14" ht="30" customHeight="1" outlineLevel="2" x14ac:dyDescent="0.25">
      <c r="A3" s="6">
        <v>2</v>
      </c>
      <c r="B3" s="6" t="str">
        <f t="shared" ref="B3:B15" si="0">B2</f>
        <v xml:space="preserve">ВРУ-1 (ВРУ1-18-80)  (Альбом 34)  </v>
      </c>
      <c r="C3" s="7" t="s">
        <v>7</v>
      </c>
      <c r="D3" s="7" t="s">
        <v>262</v>
      </c>
      <c r="E3" s="8" t="s">
        <v>263</v>
      </c>
      <c r="F3" s="18">
        <v>165000</v>
      </c>
      <c r="G3" s="18">
        <f>0.6*F3</f>
        <v>99000</v>
      </c>
      <c r="H3" s="18">
        <f>G3*I3</f>
        <v>99000</v>
      </c>
      <c r="I3" s="7">
        <v>1</v>
      </c>
      <c r="J3" s="9" t="s">
        <v>11</v>
      </c>
      <c r="K3" s="9" t="s">
        <v>24</v>
      </c>
      <c r="L3" s="9" t="s">
        <v>31</v>
      </c>
      <c r="M3" s="18">
        <v>99000</v>
      </c>
      <c r="N3" s="17"/>
    </row>
    <row r="4" spans="1:14" ht="30" customHeight="1" outlineLevel="2" x14ac:dyDescent="0.25">
      <c r="A4" s="6">
        <v>2</v>
      </c>
      <c r="B4" s="6" t="str">
        <f t="shared" si="0"/>
        <v xml:space="preserve">ВРУ-1 (ВРУ1-18-80)  (Альбом 34)  </v>
      </c>
      <c r="C4" s="7" t="s">
        <v>7</v>
      </c>
      <c r="D4" s="7" t="s">
        <v>262</v>
      </c>
      <c r="E4" s="8" t="s">
        <v>263</v>
      </c>
      <c r="F4" s="18">
        <v>165000</v>
      </c>
      <c r="G4" s="18">
        <f>0.6*F4</f>
        <v>99000</v>
      </c>
      <c r="H4" s="18">
        <f t="shared" ref="H4:H15" si="1">G4*I4</f>
        <v>99000</v>
      </c>
      <c r="I4" s="7">
        <v>1</v>
      </c>
      <c r="J4" s="9" t="s">
        <v>11</v>
      </c>
      <c r="K4" s="9" t="s">
        <v>24</v>
      </c>
      <c r="L4" s="9" t="s">
        <v>31</v>
      </c>
      <c r="M4" s="18">
        <v>99000</v>
      </c>
      <c r="N4" s="17"/>
    </row>
    <row r="5" spans="1:14" ht="30" customHeight="1" outlineLevel="2" x14ac:dyDescent="0.25">
      <c r="A5" s="6">
        <v>4</v>
      </c>
      <c r="B5" s="6" t="str">
        <f t="shared" si="0"/>
        <v xml:space="preserve">ВРУ-1 (ВРУ1-18-80)  (Альбом 34)  </v>
      </c>
      <c r="C5" s="7" t="s">
        <v>17</v>
      </c>
      <c r="D5" s="7">
        <v>256796</v>
      </c>
      <c r="E5" s="8" t="s">
        <v>30</v>
      </c>
      <c r="F5" s="18">
        <v>246865</v>
      </c>
      <c r="G5" s="18">
        <f t="shared" ref="G5:G13" si="2">F5*0.6</f>
        <v>148119</v>
      </c>
      <c r="H5" s="18">
        <f t="shared" si="1"/>
        <v>148119</v>
      </c>
      <c r="I5" s="7">
        <v>1</v>
      </c>
      <c r="J5" s="9" t="s">
        <v>11</v>
      </c>
      <c r="K5" s="9" t="s">
        <v>22</v>
      </c>
      <c r="L5" s="9" t="s">
        <v>31</v>
      </c>
      <c r="M5" s="18">
        <v>148119</v>
      </c>
      <c r="N5" s="17"/>
    </row>
    <row r="6" spans="1:14" ht="30" customHeight="1" outlineLevel="2" x14ac:dyDescent="0.25">
      <c r="A6" s="6">
        <v>5</v>
      </c>
      <c r="B6" s="6" t="str">
        <f t="shared" si="0"/>
        <v xml:space="preserve">ВРУ-1 (ВРУ1-18-80)  (Альбом 34)  </v>
      </c>
      <c r="C6" s="7" t="s">
        <v>29</v>
      </c>
      <c r="D6" s="7"/>
      <c r="E6" s="10" t="s">
        <v>38</v>
      </c>
      <c r="F6" s="18">
        <v>6000</v>
      </c>
      <c r="G6" s="18">
        <f>F6</f>
        <v>6000</v>
      </c>
      <c r="H6" s="18">
        <f t="shared" si="1"/>
        <v>18000</v>
      </c>
      <c r="I6" s="7">
        <v>3</v>
      </c>
      <c r="J6" s="9" t="s">
        <v>11</v>
      </c>
      <c r="K6" s="9" t="s">
        <v>26</v>
      </c>
      <c r="L6" s="9" t="s">
        <v>31</v>
      </c>
      <c r="M6" s="18">
        <v>18000</v>
      </c>
      <c r="N6" s="17"/>
    </row>
    <row r="7" spans="1:14" ht="30" customHeight="1" outlineLevel="2" x14ac:dyDescent="0.25">
      <c r="A7" s="6">
        <v>6</v>
      </c>
      <c r="B7" s="6" t="str">
        <f t="shared" si="0"/>
        <v xml:space="preserve">ВРУ-1 (ВРУ1-18-80)  (Альбом 34)  </v>
      </c>
      <c r="C7" s="7" t="s">
        <v>14</v>
      </c>
      <c r="D7" s="7" t="s">
        <v>292</v>
      </c>
      <c r="E7" s="8" t="s">
        <v>293</v>
      </c>
      <c r="F7" s="18">
        <v>80000</v>
      </c>
      <c r="G7" s="18">
        <f>F7</f>
        <v>80000</v>
      </c>
      <c r="H7" s="18">
        <f t="shared" si="1"/>
        <v>80000</v>
      </c>
      <c r="I7" s="7">
        <v>1</v>
      </c>
      <c r="J7" s="9" t="s">
        <v>11</v>
      </c>
      <c r="K7" s="9" t="s">
        <v>26</v>
      </c>
      <c r="L7" s="9" t="s">
        <v>31</v>
      </c>
      <c r="M7" s="18">
        <v>80000</v>
      </c>
      <c r="N7" s="17"/>
    </row>
    <row r="8" spans="1:14" ht="30" customHeight="1" outlineLevel="2" x14ac:dyDescent="0.25">
      <c r="A8" s="6">
        <v>4</v>
      </c>
      <c r="B8" s="6" t="str">
        <f t="shared" si="0"/>
        <v xml:space="preserve">ВРУ-1 (ВРУ1-18-80)  (Альбом 34)  </v>
      </c>
      <c r="C8" s="7" t="s">
        <v>10</v>
      </c>
      <c r="D8" s="7">
        <v>296708</v>
      </c>
      <c r="E8" s="8" t="s">
        <v>119</v>
      </c>
      <c r="F8" s="18">
        <v>975</v>
      </c>
      <c r="G8" s="18">
        <f t="shared" si="2"/>
        <v>585</v>
      </c>
      <c r="H8" s="18">
        <f t="shared" si="1"/>
        <v>1170</v>
      </c>
      <c r="I8" s="7">
        <v>2</v>
      </c>
      <c r="J8" s="9" t="s">
        <v>11</v>
      </c>
      <c r="K8" s="9" t="s">
        <v>22</v>
      </c>
      <c r="L8" s="9" t="s">
        <v>31</v>
      </c>
      <c r="M8" s="18">
        <v>1170</v>
      </c>
      <c r="N8" s="17"/>
    </row>
    <row r="9" spans="1:14" ht="30" customHeight="1" outlineLevel="2" x14ac:dyDescent="0.25">
      <c r="A9" s="6">
        <v>8</v>
      </c>
      <c r="B9" s="6" t="str">
        <f t="shared" si="0"/>
        <v xml:space="preserve">ВРУ-1 (ВРУ1-18-80)  (Альбом 34)  </v>
      </c>
      <c r="C9" s="8" t="s">
        <v>16</v>
      </c>
      <c r="D9" s="7"/>
      <c r="E9" s="8" t="s">
        <v>16</v>
      </c>
      <c r="F9" s="18">
        <v>1000</v>
      </c>
      <c r="G9" s="18">
        <f>F9</f>
        <v>1000</v>
      </c>
      <c r="H9" s="18">
        <f t="shared" si="1"/>
        <v>1000</v>
      </c>
      <c r="I9" s="7">
        <v>1</v>
      </c>
      <c r="J9" s="9" t="s">
        <v>11</v>
      </c>
      <c r="K9" s="9" t="s">
        <v>25</v>
      </c>
      <c r="L9" s="9" t="s">
        <v>31</v>
      </c>
      <c r="M9" s="18">
        <v>1000</v>
      </c>
      <c r="N9" s="17"/>
    </row>
    <row r="10" spans="1:14" ht="30" customHeight="1" outlineLevel="2" x14ac:dyDescent="0.25">
      <c r="A10" s="6">
        <v>15</v>
      </c>
      <c r="B10" s="6" t="str">
        <f t="shared" si="0"/>
        <v xml:space="preserve">ВРУ-1 (ВРУ1-18-80)  (Альбом 34)  </v>
      </c>
      <c r="C10" s="7" t="s">
        <v>15</v>
      </c>
      <c r="D10" s="7">
        <v>131361</v>
      </c>
      <c r="E10" s="8" t="s">
        <v>28</v>
      </c>
      <c r="F10" s="18">
        <v>19418</v>
      </c>
      <c r="G10" s="18">
        <f t="shared" si="2"/>
        <v>11650.8</v>
      </c>
      <c r="H10" s="18">
        <f t="shared" si="1"/>
        <v>11650.8</v>
      </c>
      <c r="I10" s="7">
        <v>1</v>
      </c>
      <c r="J10" s="9" t="s">
        <v>11</v>
      </c>
      <c r="K10" s="9" t="s">
        <v>22</v>
      </c>
      <c r="L10" s="9" t="s">
        <v>31</v>
      </c>
      <c r="M10" s="18">
        <v>11650.8</v>
      </c>
      <c r="N10" s="17"/>
    </row>
    <row r="11" spans="1:14" ht="30" customHeight="1" outlineLevel="2" x14ac:dyDescent="0.25">
      <c r="A11" s="6">
        <v>16</v>
      </c>
      <c r="B11" s="6" t="str">
        <f t="shared" si="0"/>
        <v xml:space="preserve">ВРУ-1 (ВРУ1-18-80)  (Альбом 34)  </v>
      </c>
      <c r="C11" s="7" t="s">
        <v>15</v>
      </c>
      <c r="D11" s="7">
        <v>131360</v>
      </c>
      <c r="E11" s="11" t="s">
        <v>32</v>
      </c>
      <c r="F11" s="18">
        <v>18263</v>
      </c>
      <c r="G11" s="18">
        <f t="shared" si="2"/>
        <v>10957.8</v>
      </c>
      <c r="H11" s="18">
        <f t="shared" si="1"/>
        <v>10957.8</v>
      </c>
      <c r="I11" s="7">
        <v>1</v>
      </c>
      <c r="J11" s="9" t="s">
        <v>11</v>
      </c>
      <c r="K11" s="9" t="s">
        <v>22</v>
      </c>
      <c r="L11" s="9" t="s">
        <v>31</v>
      </c>
      <c r="M11" s="18">
        <v>10957.8</v>
      </c>
      <c r="N11" s="17"/>
    </row>
    <row r="12" spans="1:14" ht="30" customHeight="1" outlineLevel="2" x14ac:dyDescent="0.25">
      <c r="A12" s="6">
        <v>17</v>
      </c>
      <c r="B12" s="6" t="str">
        <f t="shared" si="0"/>
        <v xml:space="preserve">ВРУ-1 (ВРУ1-18-80)  (Альбом 34)  </v>
      </c>
      <c r="C12" s="7" t="s">
        <v>15</v>
      </c>
      <c r="D12" s="7">
        <v>844301</v>
      </c>
      <c r="E12" s="8" t="s">
        <v>33</v>
      </c>
      <c r="F12" s="18">
        <v>20174</v>
      </c>
      <c r="G12" s="18">
        <f t="shared" si="2"/>
        <v>12104.4</v>
      </c>
      <c r="H12" s="18">
        <f t="shared" si="1"/>
        <v>72626.399999999994</v>
      </c>
      <c r="I12" s="7">
        <v>6</v>
      </c>
      <c r="J12" s="9" t="s">
        <v>11</v>
      </c>
      <c r="K12" s="9" t="s">
        <v>22</v>
      </c>
      <c r="L12" s="9" t="s">
        <v>31</v>
      </c>
      <c r="M12" s="18">
        <v>72626.399999999994</v>
      </c>
      <c r="N12" s="17"/>
    </row>
    <row r="13" spans="1:14" ht="30" customHeight="1" outlineLevel="2" x14ac:dyDescent="0.25">
      <c r="A13" s="6">
        <v>18</v>
      </c>
      <c r="B13" s="6" t="str">
        <f t="shared" si="0"/>
        <v xml:space="preserve">ВРУ-1 (ВРУ1-18-80)  (Альбом 34)  </v>
      </c>
      <c r="C13" s="7" t="s">
        <v>15</v>
      </c>
      <c r="D13" s="7">
        <v>844300</v>
      </c>
      <c r="E13" s="8" t="s">
        <v>34</v>
      </c>
      <c r="F13" s="18">
        <v>19700</v>
      </c>
      <c r="G13" s="18">
        <f t="shared" si="2"/>
        <v>11820</v>
      </c>
      <c r="H13" s="18">
        <f t="shared" si="1"/>
        <v>23640</v>
      </c>
      <c r="I13" s="7">
        <v>2</v>
      </c>
      <c r="J13" s="9" t="s">
        <v>11</v>
      </c>
      <c r="K13" s="9" t="s">
        <v>22</v>
      </c>
      <c r="L13" s="9" t="s">
        <v>31</v>
      </c>
      <c r="M13" s="18">
        <v>23640</v>
      </c>
      <c r="N13" s="17"/>
    </row>
    <row r="14" spans="1:14" ht="30" customHeight="1" outlineLevel="2" x14ac:dyDescent="0.25">
      <c r="A14" s="6">
        <v>9</v>
      </c>
      <c r="B14" s="6" t="str">
        <f t="shared" si="0"/>
        <v xml:space="preserve">ВРУ-1 (ВРУ1-18-80)  (Альбом 34)  </v>
      </c>
      <c r="C14" s="7" t="s">
        <v>8</v>
      </c>
      <c r="D14" s="7" t="s">
        <v>8</v>
      </c>
      <c r="E14" s="8" t="s">
        <v>8</v>
      </c>
      <c r="F14" s="18">
        <f ca="1">OFFSET(F14,1,2)</f>
        <v>150000</v>
      </c>
      <c r="G14" s="18">
        <f ca="1">F14</f>
        <v>150000</v>
      </c>
      <c r="H14" s="18">
        <f t="shared" ca="1" si="1"/>
        <v>150000</v>
      </c>
      <c r="I14" s="7">
        <v>1</v>
      </c>
      <c r="J14" s="9" t="s">
        <v>11</v>
      </c>
      <c r="K14" s="7" t="s">
        <v>8</v>
      </c>
      <c r="L14" s="7" t="s">
        <v>31</v>
      </c>
      <c r="M14" s="18">
        <v>150000</v>
      </c>
      <c r="N14" s="17"/>
    </row>
    <row r="15" spans="1:14" ht="30" customHeight="1" outlineLevel="2" x14ac:dyDescent="0.25">
      <c r="A15" s="6">
        <v>10</v>
      </c>
      <c r="B15" s="6" t="str">
        <f t="shared" si="0"/>
        <v xml:space="preserve">ВРУ-1 (ВРУ1-18-80)  (Альбом 34)  </v>
      </c>
      <c r="C15" s="7" t="s">
        <v>9</v>
      </c>
      <c r="D15" s="7" t="s">
        <v>9</v>
      </c>
      <c r="E15" s="8" t="s">
        <v>9</v>
      </c>
      <c r="F15" s="18">
        <v>25</v>
      </c>
      <c r="G15" s="18">
        <v>100</v>
      </c>
      <c r="H15" s="18">
        <f t="shared" si="1"/>
        <v>150000</v>
      </c>
      <c r="I15" s="7">
        <f>60*F15</f>
        <v>1500</v>
      </c>
      <c r="J15" s="9" t="s">
        <v>11</v>
      </c>
      <c r="K15" s="7" t="s">
        <v>9</v>
      </c>
      <c r="L15" s="7" t="s">
        <v>31</v>
      </c>
      <c r="M15" s="18">
        <v>150000</v>
      </c>
      <c r="N15" s="17"/>
    </row>
    <row r="16" spans="1:14" ht="30" customHeight="1" outlineLevel="1" x14ac:dyDescent="0.25">
      <c r="A16" s="6"/>
      <c r="B16" s="6" t="s">
        <v>296</v>
      </c>
      <c r="C16" s="7"/>
      <c r="D16" s="7"/>
      <c r="E16" s="8"/>
      <c r="F16" s="18"/>
      <c r="G16" s="18"/>
      <c r="H16" s="18">
        <f ca="1">SUBTOTAL(9,H2:H15)</f>
        <v>865164</v>
      </c>
      <c r="I16" s="7"/>
      <c r="J16" s="9"/>
      <c r="K16" s="7"/>
      <c r="L16" s="7"/>
      <c r="M16" s="18">
        <v>865164</v>
      </c>
      <c r="N16" s="17"/>
    </row>
    <row r="17" spans="1:14" ht="30" customHeight="1" outlineLevel="2" x14ac:dyDescent="0.25">
      <c r="A17" s="3">
        <v>13</v>
      </c>
      <c r="B17" s="3" t="str">
        <f>E17</f>
        <v>ШАВР (Альбом 34)</v>
      </c>
      <c r="C17" s="3"/>
      <c r="D17" s="14"/>
      <c r="E17" s="3" t="s">
        <v>35</v>
      </c>
      <c r="F17" s="13"/>
      <c r="G17" s="13"/>
      <c r="H17" s="13"/>
      <c r="I17" s="5">
        <v>1</v>
      </c>
      <c r="J17" s="4" t="s">
        <v>6</v>
      </c>
      <c r="K17" s="4" t="s">
        <v>23</v>
      </c>
      <c r="L17" s="4" t="s">
        <v>31</v>
      </c>
      <c r="M17" s="13"/>
      <c r="N17" s="17"/>
    </row>
    <row r="18" spans="1:14" ht="30" customHeight="1" outlineLevel="2" x14ac:dyDescent="0.25">
      <c r="A18" s="6">
        <v>14</v>
      </c>
      <c r="B18" s="6" t="str">
        <f t="shared" ref="B18:B28" si="3">B17</f>
        <v>ШАВР (Альбом 34)</v>
      </c>
      <c r="C18" s="7" t="s">
        <v>7</v>
      </c>
      <c r="D18" s="7" t="s">
        <v>262</v>
      </c>
      <c r="E18" s="8" t="s">
        <v>263</v>
      </c>
      <c r="F18" s="18">
        <v>165000</v>
      </c>
      <c r="G18" s="18">
        <f t="shared" ref="G18:G19" si="4">0.6*F18</f>
        <v>99000</v>
      </c>
      <c r="H18" s="18">
        <f t="shared" ref="H18:H28" si="5">G18*I18</f>
        <v>99000</v>
      </c>
      <c r="I18" s="7">
        <v>1</v>
      </c>
      <c r="J18" s="9" t="s">
        <v>11</v>
      </c>
      <c r="K18" s="9" t="s">
        <v>24</v>
      </c>
      <c r="L18" s="9" t="s">
        <v>31</v>
      </c>
      <c r="M18" s="18">
        <v>99000</v>
      </c>
      <c r="N18" s="17"/>
    </row>
    <row r="19" spans="1:14" ht="30" customHeight="1" outlineLevel="2" x14ac:dyDescent="0.25">
      <c r="A19" s="6">
        <v>14</v>
      </c>
      <c r="B19" s="6" t="str">
        <f t="shared" si="3"/>
        <v>ШАВР (Альбом 34)</v>
      </c>
      <c r="C19" s="7" t="s">
        <v>7</v>
      </c>
      <c r="D19" s="7" t="s">
        <v>262</v>
      </c>
      <c r="E19" s="8" t="s">
        <v>263</v>
      </c>
      <c r="F19" s="18">
        <v>165000</v>
      </c>
      <c r="G19" s="18">
        <f t="shared" si="4"/>
        <v>99000</v>
      </c>
      <c r="H19" s="18">
        <f t="shared" si="5"/>
        <v>99000</v>
      </c>
      <c r="I19" s="7">
        <v>1</v>
      </c>
      <c r="J19" s="9" t="s">
        <v>11</v>
      </c>
      <c r="K19" s="9" t="s">
        <v>24</v>
      </c>
      <c r="L19" s="9" t="s">
        <v>31</v>
      </c>
      <c r="M19" s="18">
        <v>99000</v>
      </c>
      <c r="N19" s="17"/>
    </row>
    <row r="20" spans="1:14" ht="30" customHeight="1" outlineLevel="2" x14ac:dyDescent="0.25">
      <c r="A20" s="6">
        <v>15</v>
      </c>
      <c r="B20" s="6" t="str">
        <f t="shared" si="3"/>
        <v>ШАВР (Альбом 34)</v>
      </c>
      <c r="C20" s="7" t="s">
        <v>17</v>
      </c>
      <c r="D20" s="7">
        <v>256798</v>
      </c>
      <c r="E20" s="8" t="s">
        <v>36</v>
      </c>
      <c r="F20" s="18">
        <v>246865</v>
      </c>
      <c r="G20" s="18">
        <f t="shared" ref="G20:G24" si="6">F20*0.6</f>
        <v>148119</v>
      </c>
      <c r="H20" s="18">
        <f t="shared" si="5"/>
        <v>296238</v>
      </c>
      <c r="I20" s="7">
        <v>2</v>
      </c>
      <c r="J20" s="9" t="s">
        <v>11</v>
      </c>
      <c r="K20" s="9" t="s">
        <v>22</v>
      </c>
      <c r="L20" s="9" t="s">
        <v>31</v>
      </c>
      <c r="M20" s="18">
        <v>296238</v>
      </c>
      <c r="N20" s="17"/>
    </row>
    <row r="21" spans="1:14" ht="30" customHeight="1" outlineLevel="2" x14ac:dyDescent="0.25">
      <c r="A21" s="6">
        <v>16</v>
      </c>
      <c r="B21" s="6" t="str">
        <f t="shared" si="3"/>
        <v>ШАВР (Альбом 34)</v>
      </c>
      <c r="C21" s="7" t="s">
        <v>15</v>
      </c>
      <c r="D21" s="7">
        <v>844302</v>
      </c>
      <c r="E21" s="11" t="s">
        <v>32</v>
      </c>
      <c r="F21" s="18">
        <v>18263</v>
      </c>
      <c r="G21" s="18">
        <f t="shared" si="6"/>
        <v>10957.8</v>
      </c>
      <c r="H21" s="18">
        <f t="shared" si="5"/>
        <v>10957.8</v>
      </c>
      <c r="I21" s="7">
        <v>1</v>
      </c>
      <c r="J21" s="9" t="s">
        <v>11</v>
      </c>
      <c r="K21" s="9" t="s">
        <v>22</v>
      </c>
      <c r="L21" s="9" t="s">
        <v>31</v>
      </c>
      <c r="M21" s="18">
        <v>10957.8</v>
      </c>
      <c r="N21" s="17"/>
    </row>
    <row r="22" spans="1:14" ht="30" customHeight="1" outlineLevel="2" x14ac:dyDescent="0.25">
      <c r="A22" s="6">
        <v>18</v>
      </c>
      <c r="B22" s="6" t="str">
        <f t="shared" si="3"/>
        <v>ШАВР (Альбом 34)</v>
      </c>
      <c r="C22" s="7" t="s">
        <v>15</v>
      </c>
      <c r="D22" s="7">
        <v>844300</v>
      </c>
      <c r="E22" s="8" t="s">
        <v>37</v>
      </c>
      <c r="F22" s="18">
        <v>19295</v>
      </c>
      <c r="G22" s="18">
        <f t="shared" si="6"/>
        <v>11577</v>
      </c>
      <c r="H22" s="18">
        <f t="shared" si="5"/>
        <v>23154</v>
      </c>
      <c r="I22" s="7">
        <v>2</v>
      </c>
      <c r="J22" s="9" t="s">
        <v>11</v>
      </c>
      <c r="K22" s="9" t="s">
        <v>22</v>
      </c>
      <c r="L22" s="9" t="s">
        <v>31</v>
      </c>
      <c r="M22" s="18">
        <v>23154</v>
      </c>
      <c r="N22" s="17"/>
    </row>
    <row r="23" spans="1:14" ht="30" customHeight="1" outlineLevel="2" x14ac:dyDescent="0.25">
      <c r="A23" s="6">
        <v>17</v>
      </c>
      <c r="B23" s="6" t="str">
        <f t="shared" si="3"/>
        <v>ШАВР (Альбом 34)</v>
      </c>
      <c r="C23" s="7" t="s">
        <v>15</v>
      </c>
      <c r="D23" s="7">
        <v>844301</v>
      </c>
      <c r="E23" s="8" t="s">
        <v>33</v>
      </c>
      <c r="F23" s="18">
        <v>20174</v>
      </c>
      <c r="G23" s="18">
        <f t="shared" si="6"/>
        <v>12104.4</v>
      </c>
      <c r="H23" s="18">
        <f t="shared" si="5"/>
        <v>36313.199999999997</v>
      </c>
      <c r="I23" s="7">
        <v>3</v>
      </c>
      <c r="J23" s="9" t="s">
        <v>11</v>
      </c>
      <c r="K23" s="9" t="s">
        <v>22</v>
      </c>
      <c r="L23" s="9" t="s">
        <v>31</v>
      </c>
      <c r="M23" s="18">
        <v>36313.199999999997</v>
      </c>
      <c r="N23" s="17"/>
    </row>
    <row r="24" spans="1:14" ht="30" customHeight="1" outlineLevel="2" x14ac:dyDescent="0.25">
      <c r="A24" s="6">
        <v>18</v>
      </c>
      <c r="B24" s="6" t="str">
        <f t="shared" si="3"/>
        <v>ШАВР (Альбом 34)</v>
      </c>
      <c r="C24" s="7" t="s">
        <v>15</v>
      </c>
      <c r="D24" s="7">
        <v>844300</v>
      </c>
      <c r="E24" s="8" t="s">
        <v>34</v>
      </c>
      <c r="F24" s="18">
        <v>19700</v>
      </c>
      <c r="G24" s="18">
        <f t="shared" si="6"/>
        <v>11820</v>
      </c>
      <c r="H24" s="18">
        <f t="shared" si="5"/>
        <v>35460</v>
      </c>
      <c r="I24" s="7">
        <v>3</v>
      </c>
      <c r="J24" s="9" t="s">
        <v>11</v>
      </c>
      <c r="K24" s="9" t="s">
        <v>22</v>
      </c>
      <c r="L24" s="9" t="s">
        <v>31</v>
      </c>
      <c r="M24" s="18">
        <v>35460</v>
      </c>
      <c r="N24" s="17"/>
    </row>
    <row r="25" spans="1:14" ht="30" customHeight="1" outlineLevel="2" x14ac:dyDescent="0.25">
      <c r="A25" s="6">
        <v>6</v>
      </c>
      <c r="B25" s="6" t="str">
        <f t="shared" si="3"/>
        <v>ШАВР (Альбом 34)</v>
      </c>
      <c r="C25" s="7" t="s">
        <v>14</v>
      </c>
      <c r="D25" s="7" t="s">
        <v>292</v>
      </c>
      <c r="E25" s="8" t="s">
        <v>293</v>
      </c>
      <c r="F25" s="18">
        <v>80000</v>
      </c>
      <c r="G25" s="18">
        <f t="shared" ref="G25:G26" si="7">F25</f>
        <v>80000</v>
      </c>
      <c r="H25" s="18">
        <f t="shared" si="5"/>
        <v>80000</v>
      </c>
      <c r="I25" s="7">
        <v>1</v>
      </c>
      <c r="J25" s="9" t="s">
        <v>11</v>
      </c>
      <c r="K25" s="9" t="s">
        <v>26</v>
      </c>
      <c r="L25" s="9" t="s">
        <v>31</v>
      </c>
      <c r="M25" s="18">
        <v>80000</v>
      </c>
      <c r="N25" s="17"/>
    </row>
    <row r="26" spans="1:14" ht="30" customHeight="1" outlineLevel="2" x14ac:dyDescent="0.25">
      <c r="A26" s="6">
        <v>5</v>
      </c>
      <c r="B26" s="6" t="str">
        <f t="shared" si="3"/>
        <v>ШАВР (Альбом 34)</v>
      </c>
      <c r="C26" s="7" t="s">
        <v>29</v>
      </c>
      <c r="D26" s="7"/>
      <c r="E26" s="10" t="s">
        <v>108</v>
      </c>
      <c r="F26" s="18">
        <v>6000</v>
      </c>
      <c r="G26" s="18">
        <f t="shared" si="7"/>
        <v>6000</v>
      </c>
      <c r="H26" s="18">
        <f t="shared" si="5"/>
        <v>18000</v>
      </c>
      <c r="I26" s="7">
        <v>3</v>
      </c>
      <c r="J26" s="9" t="s">
        <v>11</v>
      </c>
      <c r="K26" s="9" t="s">
        <v>26</v>
      </c>
      <c r="L26" s="9" t="s">
        <v>31</v>
      </c>
      <c r="M26" s="18">
        <v>18000</v>
      </c>
      <c r="N26" s="17"/>
    </row>
    <row r="27" spans="1:14" ht="30" customHeight="1" outlineLevel="2" x14ac:dyDescent="0.25">
      <c r="A27" s="6">
        <v>19</v>
      </c>
      <c r="B27" s="6" t="str">
        <f t="shared" si="3"/>
        <v>ШАВР (Альбом 34)</v>
      </c>
      <c r="C27" s="7" t="s">
        <v>8</v>
      </c>
      <c r="D27" s="7" t="s">
        <v>8</v>
      </c>
      <c r="E27" s="8" t="s">
        <v>8</v>
      </c>
      <c r="F27" s="18">
        <f ca="1">OFFSET(F27,1,2)</f>
        <v>168000</v>
      </c>
      <c r="G27" s="18">
        <f ca="1">F27</f>
        <v>168000</v>
      </c>
      <c r="H27" s="18">
        <f t="shared" ca="1" si="5"/>
        <v>168000</v>
      </c>
      <c r="I27" s="7">
        <v>1</v>
      </c>
      <c r="J27" s="9" t="s">
        <v>11</v>
      </c>
      <c r="K27" s="7" t="s">
        <v>8</v>
      </c>
      <c r="L27" s="7" t="s">
        <v>31</v>
      </c>
      <c r="M27" s="18">
        <v>168000</v>
      </c>
      <c r="N27" s="17"/>
    </row>
    <row r="28" spans="1:14" ht="30" customHeight="1" outlineLevel="2" x14ac:dyDescent="0.25">
      <c r="A28" s="6">
        <v>20</v>
      </c>
      <c r="B28" s="6" t="str">
        <f t="shared" si="3"/>
        <v>ШАВР (Альбом 34)</v>
      </c>
      <c r="C28" s="7" t="s">
        <v>9</v>
      </c>
      <c r="D28" s="7" t="s">
        <v>9</v>
      </c>
      <c r="E28" s="8" t="s">
        <v>9</v>
      </c>
      <c r="F28" s="18">
        <v>28</v>
      </c>
      <c r="G28" s="18">
        <v>100</v>
      </c>
      <c r="H28" s="18">
        <f t="shared" si="5"/>
        <v>168000</v>
      </c>
      <c r="I28" s="7">
        <f>60*F28</f>
        <v>1680</v>
      </c>
      <c r="J28" s="9" t="s">
        <v>11</v>
      </c>
      <c r="K28" s="7" t="s">
        <v>9</v>
      </c>
      <c r="L28" s="7" t="s">
        <v>31</v>
      </c>
      <c r="M28" s="18">
        <v>168000</v>
      </c>
      <c r="N28" s="17"/>
    </row>
    <row r="29" spans="1:14" ht="30" customHeight="1" outlineLevel="1" x14ac:dyDescent="0.25">
      <c r="A29" s="6"/>
      <c r="B29" s="6" t="s">
        <v>297</v>
      </c>
      <c r="C29" s="7"/>
      <c r="D29" s="7"/>
      <c r="E29" s="8"/>
      <c r="F29" s="18"/>
      <c r="G29" s="18"/>
      <c r="H29" s="18">
        <f ca="1">SUBTOTAL(9,H17:H28)</f>
        <v>1034123</v>
      </c>
      <c r="I29" s="7"/>
      <c r="J29" s="9"/>
      <c r="K29" s="7"/>
      <c r="L29" s="7"/>
      <c r="M29" s="18">
        <v>1034123</v>
      </c>
      <c r="N29" s="17"/>
    </row>
    <row r="30" spans="1:14" ht="30" customHeight="1" outlineLevel="2" x14ac:dyDescent="0.25">
      <c r="A30" s="3">
        <v>1</v>
      </c>
      <c r="B30" s="3" t="str">
        <f>E30</f>
        <v xml:space="preserve">ВРУ-3 (Альбом 34) </v>
      </c>
      <c r="C30" s="3"/>
      <c r="D30" s="14"/>
      <c r="E30" s="3" t="s">
        <v>197</v>
      </c>
      <c r="F30" s="13"/>
      <c r="G30" s="13"/>
      <c r="H30" s="13"/>
      <c r="I30" s="5">
        <v>1</v>
      </c>
      <c r="J30" s="4" t="s">
        <v>6</v>
      </c>
      <c r="K30" s="4" t="s">
        <v>23</v>
      </c>
      <c r="L30" s="4" t="s">
        <v>31</v>
      </c>
      <c r="M30" s="13"/>
      <c r="N30" s="17"/>
    </row>
    <row r="31" spans="1:14" ht="30" customHeight="1" outlineLevel="2" x14ac:dyDescent="0.25">
      <c r="A31" s="6">
        <v>2</v>
      </c>
      <c r="B31" s="6" t="str">
        <f t="shared" ref="B31:B44" si="8">B30</f>
        <v xml:space="preserve">ВРУ-3 (Альбом 34) </v>
      </c>
      <c r="C31" s="7" t="s">
        <v>7</v>
      </c>
      <c r="D31" s="7" t="s">
        <v>262</v>
      </c>
      <c r="E31" s="8" t="s">
        <v>263</v>
      </c>
      <c r="F31" s="18">
        <v>165000</v>
      </c>
      <c r="G31" s="18">
        <f t="shared" ref="G31:G32" si="9">0.6*F31</f>
        <v>99000</v>
      </c>
      <c r="H31" s="18">
        <f t="shared" ref="H31:H44" si="10">G31*I31</f>
        <v>99000</v>
      </c>
      <c r="I31" s="7">
        <v>1</v>
      </c>
      <c r="J31" s="9" t="s">
        <v>11</v>
      </c>
      <c r="K31" s="9" t="s">
        <v>24</v>
      </c>
      <c r="L31" s="9" t="s">
        <v>31</v>
      </c>
      <c r="M31" s="18">
        <v>99000</v>
      </c>
      <c r="N31" s="17"/>
    </row>
    <row r="32" spans="1:14" ht="30" customHeight="1" outlineLevel="2" x14ac:dyDescent="0.25">
      <c r="A32" s="6">
        <v>2</v>
      </c>
      <c r="B32" s="6" t="str">
        <f t="shared" si="8"/>
        <v xml:space="preserve">ВРУ-3 (Альбом 34) </v>
      </c>
      <c r="C32" s="7" t="s">
        <v>7</v>
      </c>
      <c r="D32" s="7" t="s">
        <v>262</v>
      </c>
      <c r="E32" s="8" t="s">
        <v>263</v>
      </c>
      <c r="F32" s="18">
        <v>165000</v>
      </c>
      <c r="G32" s="18">
        <f t="shared" si="9"/>
        <v>99000</v>
      </c>
      <c r="H32" s="18">
        <f t="shared" si="10"/>
        <v>99000</v>
      </c>
      <c r="I32" s="7">
        <v>1</v>
      </c>
      <c r="J32" s="9" t="s">
        <v>11</v>
      </c>
      <c r="K32" s="9" t="s">
        <v>24</v>
      </c>
      <c r="L32" s="9" t="s">
        <v>31</v>
      </c>
      <c r="M32" s="18">
        <v>99000</v>
      </c>
      <c r="N32" s="17"/>
    </row>
    <row r="33" spans="1:14" ht="30" customHeight="1" outlineLevel="2" x14ac:dyDescent="0.25">
      <c r="A33" s="6">
        <v>3</v>
      </c>
      <c r="B33" s="6" t="str">
        <f t="shared" si="8"/>
        <v xml:space="preserve">ВРУ-3 (Альбом 34) </v>
      </c>
      <c r="C33" s="7" t="s">
        <v>17</v>
      </c>
      <c r="D33" s="7">
        <v>256811</v>
      </c>
      <c r="E33" s="8" t="s">
        <v>221</v>
      </c>
      <c r="F33" s="18">
        <v>579699</v>
      </c>
      <c r="G33" s="18">
        <f t="shared" ref="G33" si="11">F33*0.6</f>
        <v>347819.39999999997</v>
      </c>
      <c r="H33" s="18">
        <f t="shared" si="10"/>
        <v>347819.39999999997</v>
      </c>
      <c r="I33" s="7">
        <v>1</v>
      </c>
      <c r="J33" s="9" t="s">
        <v>11</v>
      </c>
      <c r="K33" s="9" t="s">
        <v>22</v>
      </c>
      <c r="L33" s="9" t="s">
        <v>31</v>
      </c>
      <c r="M33" s="18">
        <v>347819.39999999997</v>
      </c>
      <c r="N33" s="17"/>
    </row>
    <row r="34" spans="1:14" ht="30" customHeight="1" outlineLevel="2" x14ac:dyDescent="0.25">
      <c r="A34" s="6">
        <v>5</v>
      </c>
      <c r="B34" s="6" t="str">
        <f t="shared" si="8"/>
        <v xml:space="preserve">ВРУ-3 (Альбом 34) </v>
      </c>
      <c r="C34" s="7" t="s">
        <v>29</v>
      </c>
      <c r="D34" s="7"/>
      <c r="E34" s="10" t="s">
        <v>39</v>
      </c>
      <c r="F34" s="18">
        <v>6000</v>
      </c>
      <c r="G34" s="18">
        <f>F34</f>
        <v>6000</v>
      </c>
      <c r="H34" s="18">
        <f t="shared" si="10"/>
        <v>18000</v>
      </c>
      <c r="I34" s="7">
        <v>3</v>
      </c>
      <c r="J34" s="9" t="s">
        <v>11</v>
      </c>
      <c r="K34" s="9" t="s">
        <v>26</v>
      </c>
      <c r="L34" s="9" t="s">
        <v>31</v>
      </c>
      <c r="M34" s="18">
        <v>18000</v>
      </c>
      <c r="N34" s="17"/>
    </row>
    <row r="35" spans="1:14" ht="30" customHeight="1" outlineLevel="2" x14ac:dyDescent="0.25">
      <c r="A35" s="6">
        <v>4</v>
      </c>
      <c r="B35" s="6" t="str">
        <f t="shared" si="8"/>
        <v xml:space="preserve">ВРУ-3 (Альбом 34) </v>
      </c>
      <c r="C35" s="7" t="s">
        <v>10</v>
      </c>
      <c r="D35" s="7">
        <v>296708</v>
      </c>
      <c r="E35" s="8" t="s">
        <v>119</v>
      </c>
      <c r="F35" s="18">
        <v>975</v>
      </c>
      <c r="G35" s="18">
        <f t="shared" ref="G35" si="12">F35*0.6</f>
        <v>585</v>
      </c>
      <c r="H35" s="18">
        <f t="shared" si="10"/>
        <v>1170</v>
      </c>
      <c r="I35" s="7">
        <v>2</v>
      </c>
      <c r="J35" s="9" t="s">
        <v>11</v>
      </c>
      <c r="K35" s="9" t="s">
        <v>22</v>
      </c>
      <c r="L35" s="9" t="s">
        <v>31</v>
      </c>
      <c r="M35" s="18">
        <v>1170</v>
      </c>
      <c r="N35" s="17"/>
    </row>
    <row r="36" spans="1:14" ht="30" customHeight="1" outlineLevel="2" x14ac:dyDescent="0.25">
      <c r="A36" s="6">
        <v>6</v>
      </c>
      <c r="B36" s="6" t="str">
        <f t="shared" si="8"/>
        <v xml:space="preserve">ВРУ-3 (Альбом 34) </v>
      </c>
      <c r="C36" s="7" t="s">
        <v>14</v>
      </c>
      <c r="D36" s="7" t="s">
        <v>292</v>
      </c>
      <c r="E36" s="8" t="s">
        <v>293</v>
      </c>
      <c r="F36" s="18">
        <v>80000</v>
      </c>
      <c r="G36" s="18">
        <f>F36</f>
        <v>80000</v>
      </c>
      <c r="H36" s="18">
        <f t="shared" si="10"/>
        <v>80000</v>
      </c>
      <c r="I36" s="7">
        <v>1</v>
      </c>
      <c r="J36" s="9" t="s">
        <v>11</v>
      </c>
      <c r="K36" s="9" t="s">
        <v>26</v>
      </c>
      <c r="L36" s="9" t="s">
        <v>31</v>
      </c>
      <c r="M36" s="18">
        <v>80000</v>
      </c>
      <c r="N36" s="17"/>
    </row>
    <row r="37" spans="1:14" ht="30" customHeight="1" outlineLevel="2" x14ac:dyDescent="0.25">
      <c r="A37" s="6">
        <v>8</v>
      </c>
      <c r="B37" s="6" t="str">
        <f t="shared" si="8"/>
        <v xml:space="preserve">ВРУ-3 (Альбом 34) </v>
      </c>
      <c r="C37" s="8" t="s">
        <v>16</v>
      </c>
      <c r="D37" s="7"/>
      <c r="E37" s="8" t="s">
        <v>16</v>
      </c>
      <c r="F37" s="18">
        <v>1000</v>
      </c>
      <c r="G37" s="18">
        <f>F37</f>
        <v>1000</v>
      </c>
      <c r="H37" s="18">
        <f t="shared" si="10"/>
        <v>1000</v>
      </c>
      <c r="I37" s="7">
        <v>1</v>
      </c>
      <c r="J37" s="9" t="s">
        <v>11</v>
      </c>
      <c r="K37" s="9" t="s">
        <v>25</v>
      </c>
      <c r="L37" s="9" t="s">
        <v>31</v>
      </c>
      <c r="M37" s="18">
        <v>1000</v>
      </c>
      <c r="N37" s="17"/>
    </row>
    <row r="38" spans="1:14" ht="30" customHeight="1" outlineLevel="2" x14ac:dyDescent="0.25">
      <c r="A38" s="6">
        <v>15</v>
      </c>
      <c r="B38" s="6" t="str">
        <f t="shared" si="8"/>
        <v xml:space="preserve">ВРУ-3 (Альбом 34) </v>
      </c>
      <c r="C38" s="7" t="s">
        <v>15</v>
      </c>
      <c r="D38" s="7">
        <v>131362</v>
      </c>
      <c r="E38" s="8" t="s">
        <v>40</v>
      </c>
      <c r="F38" s="18">
        <v>19443</v>
      </c>
      <c r="G38" s="18">
        <f t="shared" ref="G38:G42" si="13">F38*0.6</f>
        <v>11665.8</v>
      </c>
      <c r="H38" s="18">
        <f t="shared" si="10"/>
        <v>11665.8</v>
      </c>
      <c r="I38" s="7">
        <v>1</v>
      </c>
      <c r="J38" s="9" t="s">
        <v>11</v>
      </c>
      <c r="K38" s="9" t="s">
        <v>22</v>
      </c>
      <c r="L38" s="9" t="s">
        <v>31</v>
      </c>
      <c r="M38" s="18">
        <v>11665.8</v>
      </c>
      <c r="N38" s="17"/>
    </row>
    <row r="39" spans="1:14" ht="30" customHeight="1" outlineLevel="2" x14ac:dyDescent="0.25">
      <c r="A39" s="6">
        <v>16</v>
      </c>
      <c r="B39" s="6" t="str">
        <f t="shared" si="8"/>
        <v xml:space="preserve">ВРУ-3 (Альбом 34) </v>
      </c>
      <c r="C39" s="7" t="s">
        <v>15</v>
      </c>
      <c r="D39" s="7">
        <v>131360</v>
      </c>
      <c r="E39" s="11" t="s">
        <v>32</v>
      </c>
      <c r="F39" s="18">
        <v>18263</v>
      </c>
      <c r="G39" s="18">
        <f t="shared" si="13"/>
        <v>10957.8</v>
      </c>
      <c r="H39" s="18">
        <f t="shared" si="10"/>
        <v>21915.599999999999</v>
      </c>
      <c r="I39" s="7">
        <v>2</v>
      </c>
      <c r="J39" s="9" t="s">
        <v>11</v>
      </c>
      <c r="K39" s="9" t="s">
        <v>22</v>
      </c>
      <c r="L39" s="9" t="s">
        <v>31</v>
      </c>
      <c r="M39" s="18">
        <v>21915.599999999999</v>
      </c>
      <c r="N39" s="17"/>
    </row>
    <row r="40" spans="1:14" ht="30" customHeight="1" outlineLevel="2" x14ac:dyDescent="0.25">
      <c r="A40" s="6">
        <v>18</v>
      </c>
      <c r="B40" s="6" t="str">
        <f t="shared" si="8"/>
        <v xml:space="preserve">ВРУ-3 (Альбом 34) </v>
      </c>
      <c r="C40" s="7" t="s">
        <v>15</v>
      </c>
      <c r="D40" s="7">
        <v>844300</v>
      </c>
      <c r="E40" s="8" t="s">
        <v>37</v>
      </c>
      <c r="F40" s="18">
        <v>19295</v>
      </c>
      <c r="G40" s="18">
        <f t="shared" si="13"/>
        <v>11577</v>
      </c>
      <c r="H40" s="18">
        <f t="shared" si="10"/>
        <v>11577</v>
      </c>
      <c r="I40" s="7">
        <v>1</v>
      </c>
      <c r="J40" s="9" t="s">
        <v>11</v>
      </c>
      <c r="K40" s="9" t="s">
        <v>22</v>
      </c>
      <c r="L40" s="9" t="s">
        <v>31</v>
      </c>
      <c r="M40" s="18">
        <v>11577</v>
      </c>
      <c r="N40" s="17"/>
    </row>
    <row r="41" spans="1:14" ht="30" customHeight="1" outlineLevel="2" x14ac:dyDescent="0.25">
      <c r="A41" s="6">
        <v>17</v>
      </c>
      <c r="B41" s="6" t="str">
        <f t="shared" si="8"/>
        <v xml:space="preserve">ВРУ-3 (Альбом 34) </v>
      </c>
      <c r="C41" s="7" t="s">
        <v>15</v>
      </c>
      <c r="D41" s="7">
        <v>844301</v>
      </c>
      <c r="E41" s="8" t="s">
        <v>33</v>
      </c>
      <c r="F41" s="18">
        <v>20174</v>
      </c>
      <c r="G41" s="18">
        <f t="shared" si="13"/>
        <v>12104.4</v>
      </c>
      <c r="H41" s="18">
        <f t="shared" si="10"/>
        <v>36313.199999999997</v>
      </c>
      <c r="I41" s="7">
        <v>3</v>
      </c>
      <c r="J41" s="9" t="s">
        <v>11</v>
      </c>
      <c r="K41" s="9" t="s">
        <v>22</v>
      </c>
      <c r="L41" s="9" t="s">
        <v>31</v>
      </c>
      <c r="M41" s="18">
        <v>36313.199999999997</v>
      </c>
      <c r="N41" s="17"/>
    </row>
    <row r="42" spans="1:14" ht="30" customHeight="1" outlineLevel="2" x14ac:dyDescent="0.25">
      <c r="A42" s="6">
        <v>18</v>
      </c>
      <c r="B42" s="6" t="str">
        <f t="shared" si="8"/>
        <v xml:space="preserve">ВРУ-3 (Альбом 34) </v>
      </c>
      <c r="C42" s="7" t="s">
        <v>15</v>
      </c>
      <c r="D42" s="7">
        <v>844300</v>
      </c>
      <c r="E42" s="8" t="s">
        <v>34</v>
      </c>
      <c r="F42" s="18">
        <v>19700</v>
      </c>
      <c r="G42" s="18">
        <f t="shared" si="13"/>
        <v>11820</v>
      </c>
      <c r="H42" s="18">
        <f t="shared" si="10"/>
        <v>35460</v>
      </c>
      <c r="I42" s="7">
        <v>3</v>
      </c>
      <c r="J42" s="9" t="s">
        <v>11</v>
      </c>
      <c r="K42" s="9" t="s">
        <v>22</v>
      </c>
      <c r="L42" s="9" t="s">
        <v>31</v>
      </c>
      <c r="M42" s="18">
        <v>35460</v>
      </c>
      <c r="N42" s="17"/>
    </row>
    <row r="43" spans="1:14" ht="30" customHeight="1" outlineLevel="2" x14ac:dyDescent="0.25">
      <c r="A43" s="6">
        <v>9</v>
      </c>
      <c r="B43" s="6" t="str">
        <f t="shared" si="8"/>
        <v xml:space="preserve">ВРУ-3 (Альбом 34) </v>
      </c>
      <c r="C43" s="7" t="s">
        <v>8</v>
      </c>
      <c r="D43" s="7" t="s">
        <v>8</v>
      </c>
      <c r="E43" s="8" t="s">
        <v>8</v>
      </c>
      <c r="F43" s="18">
        <f ca="1">OFFSET(F43,1,2)</f>
        <v>168000</v>
      </c>
      <c r="G43" s="18">
        <f ca="1">F43</f>
        <v>168000</v>
      </c>
      <c r="H43" s="18">
        <f t="shared" ca="1" si="10"/>
        <v>168000</v>
      </c>
      <c r="I43" s="7">
        <v>1</v>
      </c>
      <c r="J43" s="9" t="s">
        <v>11</v>
      </c>
      <c r="K43" s="7" t="s">
        <v>8</v>
      </c>
      <c r="L43" s="7" t="s">
        <v>31</v>
      </c>
      <c r="M43" s="18">
        <v>168000</v>
      </c>
      <c r="N43" s="17"/>
    </row>
    <row r="44" spans="1:14" ht="30" customHeight="1" outlineLevel="2" x14ac:dyDescent="0.25">
      <c r="A44" s="6">
        <v>10</v>
      </c>
      <c r="B44" s="6" t="str">
        <f t="shared" si="8"/>
        <v xml:space="preserve">ВРУ-3 (Альбом 34) </v>
      </c>
      <c r="C44" s="7" t="s">
        <v>9</v>
      </c>
      <c r="D44" s="7" t="s">
        <v>9</v>
      </c>
      <c r="E44" s="8" t="s">
        <v>9</v>
      </c>
      <c r="F44" s="18">
        <v>28</v>
      </c>
      <c r="G44" s="18">
        <v>100</v>
      </c>
      <c r="H44" s="18">
        <f t="shared" si="10"/>
        <v>168000</v>
      </c>
      <c r="I44" s="7">
        <f>60*F44</f>
        <v>1680</v>
      </c>
      <c r="J44" s="9" t="s">
        <v>11</v>
      </c>
      <c r="K44" s="7" t="s">
        <v>9</v>
      </c>
      <c r="L44" s="7" t="s">
        <v>31</v>
      </c>
      <c r="M44" s="18">
        <v>168000</v>
      </c>
      <c r="N44" s="17"/>
    </row>
    <row r="45" spans="1:14" ht="30" customHeight="1" outlineLevel="1" x14ac:dyDescent="0.25">
      <c r="A45" s="6"/>
      <c r="B45" s="6" t="s">
        <v>298</v>
      </c>
      <c r="C45" s="7"/>
      <c r="D45" s="7"/>
      <c r="E45" s="8"/>
      <c r="F45" s="18"/>
      <c r="G45" s="18"/>
      <c r="H45" s="18">
        <f ca="1">SUBTOTAL(9,H30:H44)</f>
        <v>1098921</v>
      </c>
      <c r="I45" s="7"/>
      <c r="J45" s="9"/>
      <c r="K45" s="7"/>
      <c r="L45" s="7"/>
      <c r="M45" s="18">
        <v>1098921</v>
      </c>
      <c r="N45" s="17"/>
    </row>
    <row r="46" spans="1:14" ht="30" customHeight="1" outlineLevel="2" x14ac:dyDescent="0.25">
      <c r="A46" s="3">
        <v>13</v>
      </c>
      <c r="B46" s="3" t="str">
        <f>E46</f>
        <v xml:space="preserve">ЩО-1 (Альбом 34) </v>
      </c>
      <c r="C46" s="3"/>
      <c r="D46" s="14"/>
      <c r="E46" s="3" t="s">
        <v>198</v>
      </c>
      <c r="F46" s="13"/>
      <c r="G46" s="13"/>
      <c r="H46" s="13"/>
      <c r="I46" s="5">
        <v>1</v>
      </c>
      <c r="J46" s="4" t="s">
        <v>6</v>
      </c>
      <c r="K46" s="4" t="s">
        <v>23</v>
      </c>
      <c r="L46" s="4" t="s">
        <v>31</v>
      </c>
      <c r="M46" s="13"/>
      <c r="N46" s="17"/>
    </row>
    <row r="47" spans="1:14" ht="30" customHeight="1" outlineLevel="2" x14ac:dyDescent="0.25">
      <c r="A47" s="6">
        <v>14</v>
      </c>
      <c r="B47" s="6" t="str">
        <f t="shared" ref="B47:B51" si="14">B46</f>
        <v xml:space="preserve">ЩО-1 (Альбом 34) </v>
      </c>
      <c r="C47" s="7" t="s">
        <v>7</v>
      </c>
      <c r="D47" s="7" t="s">
        <v>270</v>
      </c>
      <c r="E47" s="8" t="s">
        <v>271</v>
      </c>
      <c r="F47" s="18">
        <v>16000</v>
      </c>
      <c r="G47" s="18">
        <f>0.6*F47</f>
        <v>9600</v>
      </c>
      <c r="H47" s="18">
        <f t="shared" ref="H47:H51" si="15">G47*I47</f>
        <v>9600</v>
      </c>
      <c r="I47" s="7">
        <v>1</v>
      </c>
      <c r="J47" s="9" t="s">
        <v>11</v>
      </c>
      <c r="K47" s="9" t="s">
        <v>24</v>
      </c>
      <c r="L47" s="9" t="s">
        <v>31</v>
      </c>
      <c r="M47" s="18">
        <v>9600</v>
      </c>
      <c r="N47" s="17"/>
    </row>
    <row r="48" spans="1:14" ht="30" customHeight="1" outlineLevel="2" x14ac:dyDescent="0.25">
      <c r="A48" s="6">
        <v>15</v>
      </c>
      <c r="B48" s="6" t="str">
        <f t="shared" si="14"/>
        <v xml:space="preserve">ЩО-1 (Альбом 34) </v>
      </c>
      <c r="C48" s="7" t="s">
        <v>10</v>
      </c>
      <c r="D48" s="7">
        <v>296829</v>
      </c>
      <c r="E48" s="8" t="s">
        <v>44</v>
      </c>
      <c r="F48" s="18">
        <v>2429</v>
      </c>
      <c r="G48" s="18">
        <f t="shared" ref="G48:G49" si="16">F48*0.6</f>
        <v>1457.3999999999999</v>
      </c>
      <c r="H48" s="18">
        <f t="shared" si="15"/>
        <v>1457.3999999999999</v>
      </c>
      <c r="I48" s="7">
        <v>1</v>
      </c>
      <c r="J48" s="9" t="s">
        <v>11</v>
      </c>
      <c r="K48" s="9" t="s">
        <v>22</v>
      </c>
      <c r="L48" s="9" t="s">
        <v>31</v>
      </c>
      <c r="M48" s="18">
        <v>1457.3999999999999</v>
      </c>
      <c r="N48" s="17"/>
    </row>
    <row r="49" spans="1:14" ht="30" customHeight="1" outlineLevel="2" x14ac:dyDescent="0.25">
      <c r="A49" s="6">
        <v>15</v>
      </c>
      <c r="B49" s="6" t="str">
        <f t="shared" si="14"/>
        <v xml:space="preserve">ЩО-1 (Альбом 34) </v>
      </c>
      <c r="C49" s="7" t="s">
        <v>10</v>
      </c>
      <c r="D49" s="7">
        <v>296710</v>
      </c>
      <c r="E49" s="8" t="s">
        <v>41</v>
      </c>
      <c r="F49" s="18">
        <v>783</v>
      </c>
      <c r="G49" s="18">
        <f t="shared" si="16"/>
        <v>469.79999999999995</v>
      </c>
      <c r="H49" s="18">
        <f t="shared" si="15"/>
        <v>4698</v>
      </c>
      <c r="I49" s="7">
        <v>10</v>
      </c>
      <c r="J49" s="9" t="s">
        <v>11</v>
      </c>
      <c r="K49" s="9" t="s">
        <v>22</v>
      </c>
      <c r="L49" s="9" t="s">
        <v>31</v>
      </c>
      <c r="M49" s="18">
        <v>4698</v>
      </c>
      <c r="N49" s="17"/>
    </row>
    <row r="50" spans="1:14" ht="30" customHeight="1" outlineLevel="2" x14ac:dyDescent="0.25">
      <c r="A50" s="6">
        <v>19</v>
      </c>
      <c r="B50" s="6" t="str">
        <f t="shared" si="14"/>
        <v xml:space="preserve">ЩО-1 (Альбом 34) </v>
      </c>
      <c r="C50" s="7" t="s">
        <v>8</v>
      </c>
      <c r="D50" s="7" t="s">
        <v>8</v>
      </c>
      <c r="E50" s="8" t="s">
        <v>8</v>
      </c>
      <c r="F50" s="18">
        <f ca="1">OFFSET(F50,1,2)</f>
        <v>9000</v>
      </c>
      <c r="G50" s="18">
        <f ca="1">F50</f>
        <v>9000</v>
      </c>
      <c r="H50" s="18">
        <f t="shared" ca="1" si="15"/>
        <v>9000</v>
      </c>
      <c r="I50" s="7">
        <v>1</v>
      </c>
      <c r="J50" s="9" t="s">
        <v>11</v>
      </c>
      <c r="K50" s="7" t="s">
        <v>8</v>
      </c>
      <c r="L50" s="7" t="s">
        <v>31</v>
      </c>
      <c r="M50" s="18">
        <v>9000</v>
      </c>
      <c r="N50" s="17"/>
    </row>
    <row r="51" spans="1:14" ht="30" customHeight="1" outlineLevel="2" x14ac:dyDescent="0.25">
      <c r="A51" s="6">
        <v>20</v>
      </c>
      <c r="B51" s="6" t="str">
        <f t="shared" si="14"/>
        <v xml:space="preserve">ЩО-1 (Альбом 34) </v>
      </c>
      <c r="C51" s="7" t="s">
        <v>9</v>
      </c>
      <c r="D51" s="7" t="s">
        <v>9</v>
      </c>
      <c r="E51" s="8" t="s">
        <v>9</v>
      </c>
      <c r="F51" s="18">
        <v>1.5</v>
      </c>
      <c r="G51" s="18">
        <v>100</v>
      </c>
      <c r="H51" s="18">
        <f t="shared" si="15"/>
        <v>9000</v>
      </c>
      <c r="I51" s="7">
        <f>60*F51</f>
        <v>90</v>
      </c>
      <c r="J51" s="9" t="s">
        <v>11</v>
      </c>
      <c r="K51" s="7" t="s">
        <v>9</v>
      </c>
      <c r="L51" s="7" t="s">
        <v>31</v>
      </c>
      <c r="M51" s="18">
        <v>9000</v>
      </c>
      <c r="N51" s="17"/>
    </row>
    <row r="52" spans="1:14" ht="30" customHeight="1" outlineLevel="1" x14ac:dyDescent="0.25">
      <c r="A52" s="6"/>
      <c r="B52" s="6" t="s">
        <v>299</v>
      </c>
      <c r="C52" s="7"/>
      <c r="D52" s="7"/>
      <c r="E52" s="8"/>
      <c r="F52" s="18"/>
      <c r="G52" s="18"/>
      <c r="H52" s="18">
        <f ca="1">SUBTOTAL(9,H46:H51)</f>
        <v>33755.4</v>
      </c>
      <c r="I52" s="7"/>
      <c r="J52" s="9"/>
      <c r="K52" s="7"/>
      <c r="L52" s="7"/>
      <c r="M52" s="18">
        <v>33755.4</v>
      </c>
      <c r="N52" s="17"/>
    </row>
    <row r="53" spans="1:14" ht="30" customHeight="1" outlineLevel="2" x14ac:dyDescent="0.25">
      <c r="A53" s="3">
        <v>13</v>
      </c>
      <c r="B53" s="3" t="str">
        <f>E53</f>
        <v xml:space="preserve">ЩО-2 (Альбом 34) </v>
      </c>
      <c r="C53" s="3"/>
      <c r="D53" s="14"/>
      <c r="E53" s="3" t="s">
        <v>199</v>
      </c>
      <c r="F53" s="13"/>
      <c r="G53" s="13"/>
      <c r="H53" s="13"/>
      <c r="I53" s="5">
        <v>1</v>
      </c>
      <c r="J53" s="4" t="s">
        <v>6</v>
      </c>
      <c r="K53" s="4" t="s">
        <v>23</v>
      </c>
      <c r="L53" s="4" t="s">
        <v>31</v>
      </c>
      <c r="M53" s="13"/>
      <c r="N53" s="17"/>
    </row>
    <row r="54" spans="1:14" ht="30" customHeight="1" outlineLevel="2" x14ac:dyDescent="0.25">
      <c r="A54" s="6">
        <v>14</v>
      </c>
      <c r="B54" s="6" t="str">
        <f t="shared" ref="B54:B59" si="17">B53</f>
        <v xml:space="preserve">ЩО-2 (Альбом 34) </v>
      </c>
      <c r="C54" s="7" t="s">
        <v>7</v>
      </c>
      <c r="D54" s="7" t="s">
        <v>274</v>
      </c>
      <c r="E54" s="8" t="s">
        <v>275</v>
      </c>
      <c r="F54" s="18">
        <v>20000</v>
      </c>
      <c r="G54" s="18">
        <f>0.6*F54</f>
        <v>12000</v>
      </c>
      <c r="H54" s="18">
        <f t="shared" ref="H54:H59" si="18">G54*I54</f>
        <v>12000</v>
      </c>
      <c r="I54" s="7">
        <v>1</v>
      </c>
      <c r="J54" s="9" t="s">
        <v>11</v>
      </c>
      <c r="K54" s="9" t="s">
        <v>24</v>
      </c>
      <c r="L54" s="9" t="s">
        <v>31</v>
      </c>
      <c r="M54" s="18">
        <v>12000</v>
      </c>
      <c r="N54" s="17"/>
    </row>
    <row r="55" spans="1:14" ht="30" customHeight="1" outlineLevel="2" x14ac:dyDescent="0.25">
      <c r="A55" s="6">
        <v>15</v>
      </c>
      <c r="B55" s="6" t="str">
        <f t="shared" si="17"/>
        <v xml:space="preserve">ЩО-2 (Альбом 34) </v>
      </c>
      <c r="C55" s="7" t="s">
        <v>10</v>
      </c>
      <c r="D55" s="7">
        <v>296829</v>
      </c>
      <c r="E55" s="8" t="s">
        <v>42</v>
      </c>
      <c r="F55" s="18">
        <v>2429</v>
      </c>
      <c r="G55" s="18">
        <f t="shared" ref="G55:G57" si="19">F55*0.6</f>
        <v>1457.3999999999999</v>
      </c>
      <c r="H55" s="18">
        <f t="shared" si="18"/>
        <v>1457.3999999999999</v>
      </c>
      <c r="I55" s="7">
        <v>1</v>
      </c>
      <c r="J55" s="9" t="s">
        <v>11</v>
      </c>
      <c r="K55" s="9" t="s">
        <v>22</v>
      </c>
      <c r="L55" s="9" t="s">
        <v>31</v>
      </c>
      <c r="M55" s="18">
        <v>1457.3999999999999</v>
      </c>
      <c r="N55" s="17"/>
    </row>
    <row r="56" spans="1:14" ht="30" customHeight="1" outlineLevel="2" x14ac:dyDescent="0.25">
      <c r="A56" s="6">
        <v>15</v>
      </c>
      <c r="B56" s="6" t="str">
        <f t="shared" si="17"/>
        <v xml:space="preserve">ЩО-2 (Альбом 34) </v>
      </c>
      <c r="C56" s="7" t="s">
        <v>10</v>
      </c>
      <c r="D56" s="7">
        <v>296710</v>
      </c>
      <c r="E56" s="8" t="s">
        <v>41</v>
      </c>
      <c r="F56" s="18">
        <v>783</v>
      </c>
      <c r="G56" s="18">
        <f t="shared" si="19"/>
        <v>469.79999999999995</v>
      </c>
      <c r="H56" s="18">
        <f t="shared" si="18"/>
        <v>6107.4</v>
      </c>
      <c r="I56" s="7">
        <v>13</v>
      </c>
      <c r="J56" s="9" t="s">
        <v>11</v>
      </c>
      <c r="K56" s="9" t="s">
        <v>22</v>
      </c>
      <c r="L56" s="9" t="s">
        <v>31</v>
      </c>
      <c r="M56" s="18">
        <v>6107.4</v>
      </c>
      <c r="N56" s="17"/>
    </row>
    <row r="57" spans="1:14" ht="30" customHeight="1" outlineLevel="2" x14ac:dyDescent="0.25">
      <c r="A57" s="6">
        <v>15</v>
      </c>
      <c r="B57" s="6" t="str">
        <f t="shared" si="17"/>
        <v xml:space="preserve">ЩО-2 (Альбом 34) </v>
      </c>
      <c r="C57" s="7" t="s">
        <v>12</v>
      </c>
      <c r="D57" s="7">
        <v>105542</v>
      </c>
      <c r="E57" s="8" t="s">
        <v>43</v>
      </c>
      <c r="F57" s="18">
        <v>5093</v>
      </c>
      <c r="G57" s="18">
        <f t="shared" si="19"/>
        <v>3055.7999999999997</v>
      </c>
      <c r="H57" s="18">
        <f t="shared" si="18"/>
        <v>15278.999999999998</v>
      </c>
      <c r="I57" s="7">
        <v>5</v>
      </c>
      <c r="J57" s="9" t="s">
        <v>11</v>
      </c>
      <c r="K57" s="9" t="s">
        <v>22</v>
      </c>
      <c r="L57" s="9" t="s">
        <v>31</v>
      </c>
      <c r="M57" s="18">
        <v>15278.999999999998</v>
      </c>
      <c r="N57" s="17"/>
    </row>
    <row r="58" spans="1:14" ht="30" customHeight="1" outlineLevel="2" x14ac:dyDescent="0.25">
      <c r="A58" s="6">
        <v>19</v>
      </c>
      <c r="B58" s="6" t="str">
        <f t="shared" si="17"/>
        <v xml:space="preserve">ЩО-2 (Альбом 34) </v>
      </c>
      <c r="C58" s="7" t="s">
        <v>8</v>
      </c>
      <c r="D58" s="7" t="s">
        <v>8</v>
      </c>
      <c r="E58" s="8" t="s">
        <v>8</v>
      </c>
      <c r="F58" s="18">
        <f ca="1">OFFSET(F58,1,2)</f>
        <v>12000</v>
      </c>
      <c r="G58" s="18">
        <f ca="1">F58</f>
        <v>12000</v>
      </c>
      <c r="H58" s="18">
        <f t="shared" ca="1" si="18"/>
        <v>12000</v>
      </c>
      <c r="I58" s="7">
        <v>1</v>
      </c>
      <c r="J58" s="9" t="s">
        <v>11</v>
      </c>
      <c r="K58" s="7" t="s">
        <v>8</v>
      </c>
      <c r="L58" s="7" t="s">
        <v>31</v>
      </c>
      <c r="M58" s="18">
        <v>12000</v>
      </c>
      <c r="N58" s="17"/>
    </row>
    <row r="59" spans="1:14" ht="30" customHeight="1" outlineLevel="2" x14ac:dyDescent="0.25">
      <c r="A59" s="6">
        <v>20</v>
      </c>
      <c r="B59" s="6" t="str">
        <f t="shared" si="17"/>
        <v xml:space="preserve">ЩО-2 (Альбом 34) </v>
      </c>
      <c r="C59" s="7" t="s">
        <v>9</v>
      </c>
      <c r="D59" s="7" t="s">
        <v>9</v>
      </c>
      <c r="E59" s="8" t="s">
        <v>9</v>
      </c>
      <c r="F59" s="18">
        <v>2</v>
      </c>
      <c r="G59" s="18">
        <v>100</v>
      </c>
      <c r="H59" s="18">
        <f t="shared" si="18"/>
        <v>12000</v>
      </c>
      <c r="I59" s="7">
        <f>60*F59</f>
        <v>120</v>
      </c>
      <c r="J59" s="9" t="s">
        <v>11</v>
      </c>
      <c r="K59" s="7" t="s">
        <v>9</v>
      </c>
      <c r="L59" s="7" t="s">
        <v>31</v>
      </c>
      <c r="M59" s="18">
        <v>12000</v>
      </c>
      <c r="N59" s="17"/>
    </row>
    <row r="60" spans="1:14" ht="30" customHeight="1" outlineLevel="1" x14ac:dyDescent="0.25">
      <c r="A60" s="6"/>
      <c r="B60" s="6" t="s">
        <v>300</v>
      </c>
      <c r="C60" s="7"/>
      <c r="D60" s="7"/>
      <c r="E60" s="8"/>
      <c r="F60" s="18"/>
      <c r="G60" s="18"/>
      <c r="H60" s="18">
        <f ca="1">SUBTOTAL(9,H53:H59)</f>
        <v>58843.799999999996</v>
      </c>
      <c r="I60" s="7"/>
      <c r="J60" s="9"/>
      <c r="K60" s="7"/>
      <c r="L60" s="7"/>
      <c r="M60" s="18">
        <v>58843.799999999996</v>
      </c>
      <c r="N60" s="17"/>
    </row>
    <row r="61" spans="1:14" ht="30" customHeight="1" outlineLevel="2" x14ac:dyDescent="0.25">
      <c r="A61" s="3">
        <v>13</v>
      </c>
      <c r="B61" s="3" t="str">
        <f>E61</f>
        <v xml:space="preserve">ЩО-3 (Альбом 34) </v>
      </c>
      <c r="C61" s="3"/>
      <c r="D61" s="14"/>
      <c r="E61" s="3" t="s">
        <v>200</v>
      </c>
      <c r="F61" s="13"/>
      <c r="G61" s="13"/>
      <c r="H61" s="13"/>
      <c r="I61" s="5">
        <v>1</v>
      </c>
      <c r="J61" s="4" t="s">
        <v>6</v>
      </c>
      <c r="K61" s="4" t="s">
        <v>23</v>
      </c>
      <c r="L61" s="4" t="s">
        <v>31</v>
      </c>
      <c r="M61" s="13"/>
      <c r="N61" s="17"/>
    </row>
    <row r="62" spans="1:14" ht="30" customHeight="1" outlineLevel="2" x14ac:dyDescent="0.25">
      <c r="A62" s="6">
        <v>14</v>
      </c>
      <c r="B62" s="6" t="str">
        <f t="shared" ref="B62:B67" si="20">B61</f>
        <v xml:space="preserve">ЩО-3 (Альбом 34) </v>
      </c>
      <c r="C62" s="7" t="s">
        <v>7</v>
      </c>
      <c r="D62" s="7" t="s">
        <v>274</v>
      </c>
      <c r="E62" s="8" t="s">
        <v>275</v>
      </c>
      <c r="F62" s="18">
        <v>20000</v>
      </c>
      <c r="G62" s="18">
        <f>0.6*F62</f>
        <v>12000</v>
      </c>
      <c r="H62" s="18">
        <f t="shared" ref="H62:H67" si="21">G62*I62</f>
        <v>12000</v>
      </c>
      <c r="I62" s="7">
        <v>1</v>
      </c>
      <c r="J62" s="9" t="s">
        <v>11</v>
      </c>
      <c r="K62" s="9" t="s">
        <v>24</v>
      </c>
      <c r="L62" s="9" t="s">
        <v>31</v>
      </c>
      <c r="M62" s="18">
        <v>12000</v>
      </c>
      <c r="N62" s="17"/>
    </row>
    <row r="63" spans="1:14" ht="30" customHeight="1" outlineLevel="2" x14ac:dyDescent="0.25">
      <c r="A63" s="6">
        <v>15</v>
      </c>
      <c r="B63" s="6" t="str">
        <f t="shared" si="20"/>
        <v xml:space="preserve">ЩО-3 (Альбом 34) </v>
      </c>
      <c r="C63" s="7" t="s">
        <v>10</v>
      </c>
      <c r="D63" s="7">
        <v>296829</v>
      </c>
      <c r="E63" s="8" t="s">
        <v>42</v>
      </c>
      <c r="F63" s="18">
        <v>2429</v>
      </c>
      <c r="G63" s="18">
        <f t="shared" ref="G63:G65" si="22">F63*0.6</f>
        <v>1457.3999999999999</v>
      </c>
      <c r="H63" s="18">
        <f t="shared" si="21"/>
        <v>1457.3999999999999</v>
      </c>
      <c r="I63" s="7">
        <v>1</v>
      </c>
      <c r="J63" s="9" t="s">
        <v>11</v>
      </c>
      <c r="K63" s="9" t="s">
        <v>22</v>
      </c>
      <c r="L63" s="9" t="s">
        <v>31</v>
      </c>
      <c r="M63" s="18">
        <v>1457.3999999999999</v>
      </c>
      <c r="N63" s="17"/>
    </row>
    <row r="64" spans="1:14" ht="30" customHeight="1" outlineLevel="2" x14ac:dyDescent="0.25">
      <c r="A64" s="6">
        <v>15</v>
      </c>
      <c r="B64" s="6" t="str">
        <f t="shared" si="20"/>
        <v xml:space="preserve">ЩО-3 (Альбом 34) </v>
      </c>
      <c r="C64" s="7" t="s">
        <v>10</v>
      </c>
      <c r="D64" s="7">
        <v>296710</v>
      </c>
      <c r="E64" s="8" t="s">
        <v>41</v>
      </c>
      <c r="F64" s="18">
        <v>783</v>
      </c>
      <c r="G64" s="18">
        <f t="shared" si="22"/>
        <v>469.79999999999995</v>
      </c>
      <c r="H64" s="18">
        <f t="shared" si="21"/>
        <v>4698</v>
      </c>
      <c r="I64" s="7">
        <v>10</v>
      </c>
      <c r="J64" s="9" t="s">
        <v>11</v>
      </c>
      <c r="K64" s="9" t="s">
        <v>22</v>
      </c>
      <c r="L64" s="9" t="s">
        <v>31</v>
      </c>
      <c r="M64" s="18">
        <v>4698</v>
      </c>
      <c r="N64" s="17"/>
    </row>
    <row r="65" spans="1:14" ht="30" customHeight="1" outlineLevel="2" x14ac:dyDescent="0.25">
      <c r="A65" s="6">
        <v>15</v>
      </c>
      <c r="B65" s="6" t="str">
        <f t="shared" si="20"/>
        <v xml:space="preserve">ЩО-3 (Альбом 34) </v>
      </c>
      <c r="C65" s="7" t="s">
        <v>12</v>
      </c>
      <c r="D65" s="7">
        <v>105542</v>
      </c>
      <c r="E65" s="8" t="s">
        <v>43</v>
      </c>
      <c r="F65" s="18">
        <v>5093</v>
      </c>
      <c r="G65" s="18">
        <f t="shared" si="22"/>
        <v>3055.7999999999997</v>
      </c>
      <c r="H65" s="18">
        <f t="shared" si="21"/>
        <v>18334.8</v>
      </c>
      <c r="I65" s="7">
        <v>6</v>
      </c>
      <c r="J65" s="9" t="s">
        <v>11</v>
      </c>
      <c r="K65" s="9" t="s">
        <v>22</v>
      </c>
      <c r="L65" s="9" t="s">
        <v>31</v>
      </c>
      <c r="M65" s="18">
        <v>18334.8</v>
      </c>
      <c r="N65" s="17"/>
    </row>
    <row r="66" spans="1:14" ht="30" customHeight="1" outlineLevel="2" x14ac:dyDescent="0.25">
      <c r="A66" s="6">
        <v>19</v>
      </c>
      <c r="B66" s="6" t="str">
        <f t="shared" si="20"/>
        <v xml:space="preserve">ЩО-3 (Альбом 34) </v>
      </c>
      <c r="C66" s="7" t="s">
        <v>8</v>
      </c>
      <c r="D66" s="7" t="s">
        <v>8</v>
      </c>
      <c r="E66" s="8" t="s">
        <v>8</v>
      </c>
      <c r="F66" s="18">
        <f ca="1">OFFSET(F66,1,2)</f>
        <v>12000</v>
      </c>
      <c r="G66" s="18">
        <f ca="1">F66</f>
        <v>12000</v>
      </c>
      <c r="H66" s="18">
        <f t="shared" ca="1" si="21"/>
        <v>12000</v>
      </c>
      <c r="I66" s="7">
        <v>1</v>
      </c>
      <c r="J66" s="9" t="s">
        <v>11</v>
      </c>
      <c r="K66" s="7" t="s">
        <v>8</v>
      </c>
      <c r="L66" s="7" t="s">
        <v>31</v>
      </c>
      <c r="M66" s="18">
        <v>12000</v>
      </c>
      <c r="N66" s="17"/>
    </row>
    <row r="67" spans="1:14" ht="30" customHeight="1" outlineLevel="2" x14ac:dyDescent="0.25">
      <c r="A67" s="6">
        <v>20</v>
      </c>
      <c r="B67" s="6" t="str">
        <f t="shared" si="20"/>
        <v xml:space="preserve">ЩО-3 (Альбом 34) </v>
      </c>
      <c r="C67" s="7" t="s">
        <v>9</v>
      </c>
      <c r="D67" s="7" t="s">
        <v>9</v>
      </c>
      <c r="E67" s="8" t="s">
        <v>9</v>
      </c>
      <c r="F67" s="18">
        <v>2</v>
      </c>
      <c r="G67" s="18">
        <v>100</v>
      </c>
      <c r="H67" s="18">
        <f t="shared" si="21"/>
        <v>12000</v>
      </c>
      <c r="I67" s="7">
        <f>60*F67</f>
        <v>120</v>
      </c>
      <c r="J67" s="9" t="s">
        <v>11</v>
      </c>
      <c r="K67" s="7" t="s">
        <v>9</v>
      </c>
      <c r="L67" s="7" t="s">
        <v>31</v>
      </c>
      <c r="M67" s="18">
        <v>12000</v>
      </c>
      <c r="N67" s="17"/>
    </row>
    <row r="68" spans="1:14" ht="30" customHeight="1" outlineLevel="1" x14ac:dyDescent="0.25">
      <c r="A68" s="6"/>
      <c r="B68" s="6" t="s">
        <v>301</v>
      </c>
      <c r="C68" s="7"/>
      <c r="D68" s="7"/>
      <c r="E68" s="8"/>
      <c r="F68" s="18"/>
      <c r="G68" s="18"/>
      <c r="H68" s="18">
        <f ca="1">SUBTOTAL(9,H61:H67)</f>
        <v>60490.2</v>
      </c>
      <c r="I68" s="7"/>
      <c r="J68" s="9"/>
      <c r="K68" s="7"/>
      <c r="L68" s="7"/>
      <c r="M68" s="18">
        <v>60490.2</v>
      </c>
      <c r="N68" s="17"/>
    </row>
    <row r="69" spans="1:14" ht="30" customHeight="1" outlineLevel="2" x14ac:dyDescent="0.25">
      <c r="A69" s="3">
        <v>13</v>
      </c>
      <c r="B69" s="3" t="str">
        <f>E69</f>
        <v xml:space="preserve">ЩО-4 (Альбом 34) </v>
      </c>
      <c r="C69" s="3"/>
      <c r="D69" s="14"/>
      <c r="E69" s="3" t="s">
        <v>201</v>
      </c>
      <c r="F69" s="13"/>
      <c r="G69" s="13"/>
      <c r="H69" s="13"/>
      <c r="I69" s="5">
        <v>1</v>
      </c>
      <c r="J69" s="4" t="s">
        <v>6</v>
      </c>
      <c r="K69" s="4" t="s">
        <v>23</v>
      </c>
      <c r="L69" s="4" t="s">
        <v>31</v>
      </c>
      <c r="M69" s="13"/>
      <c r="N69" s="17"/>
    </row>
    <row r="70" spans="1:14" ht="30" customHeight="1" outlineLevel="2" x14ac:dyDescent="0.25">
      <c r="A70" s="6">
        <v>14</v>
      </c>
      <c r="B70" s="6" t="str">
        <f t="shared" ref="B70:B75" si="23">B69</f>
        <v xml:space="preserve">ЩО-4 (Альбом 34) </v>
      </c>
      <c r="C70" s="7" t="s">
        <v>7</v>
      </c>
      <c r="D70" s="7" t="s">
        <v>272</v>
      </c>
      <c r="E70" s="8" t="s">
        <v>273</v>
      </c>
      <c r="F70" s="18">
        <v>17000</v>
      </c>
      <c r="G70" s="18">
        <f>0.6*F70</f>
        <v>10200</v>
      </c>
      <c r="H70" s="18">
        <f t="shared" ref="H70:H75" si="24">G70*I70</f>
        <v>10200</v>
      </c>
      <c r="I70" s="7">
        <v>1</v>
      </c>
      <c r="J70" s="9" t="s">
        <v>11</v>
      </c>
      <c r="K70" s="9" t="s">
        <v>24</v>
      </c>
      <c r="L70" s="9" t="s">
        <v>31</v>
      </c>
      <c r="M70" s="18">
        <v>10200</v>
      </c>
      <c r="N70" s="17"/>
    </row>
    <row r="71" spans="1:14" ht="30" customHeight="1" outlineLevel="2" x14ac:dyDescent="0.25">
      <c r="A71" s="6">
        <v>15</v>
      </c>
      <c r="B71" s="6" t="str">
        <f t="shared" si="23"/>
        <v xml:space="preserve">ЩО-4 (Альбом 34) </v>
      </c>
      <c r="C71" s="7" t="s">
        <v>10</v>
      </c>
      <c r="D71" s="7">
        <v>296829</v>
      </c>
      <c r="E71" s="8" t="s">
        <v>42</v>
      </c>
      <c r="F71" s="18">
        <v>2429</v>
      </c>
      <c r="G71" s="18">
        <f t="shared" ref="G71:G73" si="25">F71*0.6</f>
        <v>1457.3999999999999</v>
      </c>
      <c r="H71" s="18">
        <f t="shared" si="24"/>
        <v>1457.3999999999999</v>
      </c>
      <c r="I71" s="7">
        <v>1</v>
      </c>
      <c r="J71" s="9" t="s">
        <v>11</v>
      </c>
      <c r="K71" s="9" t="s">
        <v>22</v>
      </c>
      <c r="L71" s="9" t="s">
        <v>31</v>
      </c>
      <c r="M71" s="18">
        <v>1457.3999999999999</v>
      </c>
      <c r="N71" s="17"/>
    </row>
    <row r="72" spans="1:14" ht="30" customHeight="1" outlineLevel="2" x14ac:dyDescent="0.25">
      <c r="A72" s="6">
        <v>15</v>
      </c>
      <c r="B72" s="6" t="str">
        <f t="shared" si="23"/>
        <v xml:space="preserve">ЩО-4 (Альбом 34) </v>
      </c>
      <c r="C72" s="7" t="s">
        <v>10</v>
      </c>
      <c r="D72" s="7">
        <v>296710</v>
      </c>
      <c r="E72" s="8" t="s">
        <v>41</v>
      </c>
      <c r="F72" s="18">
        <v>783</v>
      </c>
      <c r="G72" s="18">
        <f t="shared" si="25"/>
        <v>469.79999999999995</v>
      </c>
      <c r="H72" s="18">
        <f t="shared" si="24"/>
        <v>2818.7999999999997</v>
      </c>
      <c r="I72" s="7">
        <v>6</v>
      </c>
      <c r="J72" s="9" t="s">
        <v>11</v>
      </c>
      <c r="K72" s="9" t="s">
        <v>22</v>
      </c>
      <c r="L72" s="9" t="s">
        <v>31</v>
      </c>
      <c r="M72" s="18">
        <v>2818.7999999999997</v>
      </c>
      <c r="N72" s="17"/>
    </row>
    <row r="73" spans="1:14" ht="30" customHeight="1" outlineLevel="2" x14ac:dyDescent="0.25">
      <c r="A73" s="6">
        <v>15</v>
      </c>
      <c r="B73" s="6" t="str">
        <f t="shared" si="23"/>
        <v xml:space="preserve">ЩО-4 (Альбом 34) </v>
      </c>
      <c r="C73" s="7" t="s">
        <v>12</v>
      </c>
      <c r="D73" s="7">
        <v>105542</v>
      </c>
      <c r="E73" s="8" t="s">
        <v>43</v>
      </c>
      <c r="F73" s="18">
        <v>5093</v>
      </c>
      <c r="G73" s="18">
        <f t="shared" si="25"/>
        <v>3055.7999999999997</v>
      </c>
      <c r="H73" s="18">
        <f t="shared" si="24"/>
        <v>9167.4</v>
      </c>
      <c r="I73" s="7">
        <v>3</v>
      </c>
      <c r="J73" s="9" t="s">
        <v>11</v>
      </c>
      <c r="K73" s="9" t="s">
        <v>22</v>
      </c>
      <c r="L73" s="9" t="s">
        <v>31</v>
      </c>
      <c r="M73" s="18">
        <v>9167.4</v>
      </c>
      <c r="N73" s="17"/>
    </row>
    <row r="74" spans="1:14" ht="30" customHeight="1" outlineLevel="2" x14ac:dyDescent="0.25">
      <c r="A74" s="6">
        <v>19</v>
      </c>
      <c r="B74" s="6" t="str">
        <f t="shared" si="23"/>
        <v xml:space="preserve">ЩО-4 (Альбом 34) </v>
      </c>
      <c r="C74" s="7" t="s">
        <v>8</v>
      </c>
      <c r="D74" s="7" t="s">
        <v>8</v>
      </c>
      <c r="E74" s="8" t="s">
        <v>8</v>
      </c>
      <c r="F74" s="18">
        <f ca="1">OFFSET(F74,1,2)</f>
        <v>9000</v>
      </c>
      <c r="G74" s="18">
        <f ca="1">F74</f>
        <v>9000</v>
      </c>
      <c r="H74" s="18">
        <f t="shared" ca="1" si="24"/>
        <v>9000</v>
      </c>
      <c r="I74" s="7">
        <v>1</v>
      </c>
      <c r="J74" s="9" t="s">
        <v>11</v>
      </c>
      <c r="K74" s="7" t="s">
        <v>8</v>
      </c>
      <c r="L74" s="7" t="s">
        <v>31</v>
      </c>
      <c r="M74" s="18">
        <v>9000</v>
      </c>
      <c r="N74" s="17"/>
    </row>
    <row r="75" spans="1:14" ht="30" customHeight="1" outlineLevel="2" x14ac:dyDescent="0.25">
      <c r="A75" s="6">
        <v>20</v>
      </c>
      <c r="B75" s="6" t="str">
        <f t="shared" si="23"/>
        <v xml:space="preserve">ЩО-4 (Альбом 34) </v>
      </c>
      <c r="C75" s="7" t="s">
        <v>9</v>
      </c>
      <c r="D75" s="7" t="s">
        <v>9</v>
      </c>
      <c r="E75" s="8" t="s">
        <v>9</v>
      </c>
      <c r="F75" s="18">
        <v>1.5</v>
      </c>
      <c r="G75" s="18">
        <v>100</v>
      </c>
      <c r="H75" s="18">
        <f t="shared" si="24"/>
        <v>9000</v>
      </c>
      <c r="I75" s="7">
        <f>60*F75</f>
        <v>90</v>
      </c>
      <c r="J75" s="9" t="s">
        <v>11</v>
      </c>
      <c r="K75" s="7" t="s">
        <v>9</v>
      </c>
      <c r="L75" s="7" t="s">
        <v>31</v>
      </c>
      <c r="M75" s="18">
        <v>9000</v>
      </c>
      <c r="N75" s="17"/>
    </row>
    <row r="76" spans="1:14" ht="30" customHeight="1" outlineLevel="1" x14ac:dyDescent="0.25">
      <c r="A76" s="6"/>
      <c r="B76" s="6" t="s">
        <v>302</v>
      </c>
      <c r="C76" s="7"/>
      <c r="D76" s="7"/>
      <c r="E76" s="8"/>
      <c r="F76" s="18"/>
      <c r="G76" s="18"/>
      <c r="H76" s="18">
        <f ca="1">SUBTOTAL(9,H69:H75)</f>
        <v>41643.599999999999</v>
      </c>
      <c r="I76" s="7"/>
      <c r="J76" s="9"/>
      <c r="K76" s="7"/>
      <c r="L76" s="7"/>
      <c r="M76" s="18">
        <v>41643.599999999999</v>
      </c>
      <c r="N76" s="17"/>
    </row>
    <row r="77" spans="1:14" ht="30" customHeight="1" outlineLevel="2" x14ac:dyDescent="0.25">
      <c r="A77" s="3">
        <v>13</v>
      </c>
      <c r="B77" s="3" t="str">
        <f>E77</f>
        <v xml:space="preserve">ЩО-5 (Альбом 34) </v>
      </c>
      <c r="C77" s="3"/>
      <c r="D77" s="14"/>
      <c r="E77" s="3" t="s">
        <v>202</v>
      </c>
      <c r="F77" s="13"/>
      <c r="G77" s="13"/>
      <c r="H77" s="13"/>
      <c r="I77" s="5">
        <v>1</v>
      </c>
      <c r="J77" s="4" t="s">
        <v>6</v>
      </c>
      <c r="K77" s="4" t="s">
        <v>23</v>
      </c>
      <c r="L77" s="4" t="s">
        <v>31</v>
      </c>
      <c r="M77" s="13"/>
      <c r="N77" s="17"/>
    </row>
    <row r="78" spans="1:14" ht="30" customHeight="1" outlineLevel="2" x14ac:dyDescent="0.25">
      <c r="A78" s="6">
        <v>14</v>
      </c>
      <c r="B78" s="6" t="str">
        <f t="shared" ref="B78:B83" si="26">B77</f>
        <v xml:space="preserve">ЩО-5 (Альбом 34) </v>
      </c>
      <c r="C78" s="7" t="s">
        <v>7</v>
      </c>
      <c r="D78" s="7" t="s">
        <v>270</v>
      </c>
      <c r="E78" s="8" t="s">
        <v>271</v>
      </c>
      <c r="F78" s="18">
        <v>16000</v>
      </c>
      <c r="G78" s="18">
        <f>0.6*F78</f>
        <v>9600</v>
      </c>
      <c r="H78" s="18">
        <f t="shared" ref="H78:H83" si="27">G78*I78</f>
        <v>9600</v>
      </c>
      <c r="I78" s="7">
        <v>1</v>
      </c>
      <c r="J78" s="9" t="s">
        <v>11</v>
      </c>
      <c r="K78" s="9" t="s">
        <v>24</v>
      </c>
      <c r="L78" s="9" t="s">
        <v>31</v>
      </c>
      <c r="M78" s="18">
        <v>9600</v>
      </c>
      <c r="N78" s="17"/>
    </row>
    <row r="79" spans="1:14" ht="30" customHeight="1" outlineLevel="2" x14ac:dyDescent="0.25">
      <c r="A79" s="6">
        <v>15</v>
      </c>
      <c r="B79" s="6" t="str">
        <f t="shared" si="26"/>
        <v xml:space="preserve">ЩО-5 (Альбом 34) </v>
      </c>
      <c r="C79" s="7" t="s">
        <v>10</v>
      </c>
      <c r="D79" s="7">
        <v>296829</v>
      </c>
      <c r="E79" s="8" t="s">
        <v>42</v>
      </c>
      <c r="F79" s="18">
        <v>2429</v>
      </c>
      <c r="G79" s="18">
        <f t="shared" ref="G79:G81" si="28">F79*0.6</f>
        <v>1457.3999999999999</v>
      </c>
      <c r="H79" s="18">
        <f t="shared" si="27"/>
        <v>1457.3999999999999</v>
      </c>
      <c r="I79" s="7">
        <v>1</v>
      </c>
      <c r="J79" s="9" t="s">
        <v>11</v>
      </c>
      <c r="K79" s="9" t="s">
        <v>22</v>
      </c>
      <c r="L79" s="9" t="s">
        <v>31</v>
      </c>
      <c r="M79" s="18">
        <v>1457.3999999999999</v>
      </c>
      <c r="N79" s="17"/>
    </row>
    <row r="80" spans="1:14" ht="30" customHeight="1" outlineLevel="2" x14ac:dyDescent="0.25">
      <c r="A80" s="6">
        <v>15</v>
      </c>
      <c r="B80" s="6" t="str">
        <f t="shared" si="26"/>
        <v xml:space="preserve">ЩО-5 (Альбом 34) </v>
      </c>
      <c r="C80" s="7" t="s">
        <v>10</v>
      </c>
      <c r="D80" s="7">
        <v>296710</v>
      </c>
      <c r="E80" s="8" t="s">
        <v>41</v>
      </c>
      <c r="F80" s="18">
        <v>783</v>
      </c>
      <c r="G80" s="18">
        <f t="shared" si="28"/>
        <v>469.79999999999995</v>
      </c>
      <c r="H80" s="18">
        <f t="shared" si="27"/>
        <v>3758.3999999999996</v>
      </c>
      <c r="I80" s="7">
        <v>8</v>
      </c>
      <c r="J80" s="9" t="s">
        <v>11</v>
      </c>
      <c r="K80" s="9" t="s">
        <v>22</v>
      </c>
      <c r="L80" s="9" t="s">
        <v>31</v>
      </c>
      <c r="M80" s="18">
        <v>3758.3999999999996</v>
      </c>
      <c r="N80" s="17"/>
    </row>
    <row r="81" spans="1:14" ht="30" customHeight="1" outlineLevel="2" x14ac:dyDescent="0.25">
      <c r="A81" s="6">
        <v>15</v>
      </c>
      <c r="B81" s="6" t="str">
        <f t="shared" si="26"/>
        <v xml:space="preserve">ЩО-5 (Альбом 34) </v>
      </c>
      <c r="C81" s="7" t="s">
        <v>12</v>
      </c>
      <c r="D81" s="7">
        <v>105542</v>
      </c>
      <c r="E81" s="8" t="s">
        <v>43</v>
      </c>
      <c r="F81" s="18">
        <v>5093</v>
      </c>
      <c r="G81" s="18">
        <f t="shared" si="28"/>
        <v>3055.7999999999997</v>
      </c>
      <c r="H81" s="18">
        <f t="shared" si="27"/>
        <v>6111.5999999999995</v>
      </c>
      <c r="I81" s="7">
        <v>2</v>
      </c>
      <c r="J81" s="9" t="s">
        <v>11</v>
      </c>
      <c r="K81" s="9" t="s">
        <v>22</v>
      </c>
      <c r="L81" s="9" t="s">
        <v>31</v>
      </c>
      <c r="M81" s="18">
        <v>6111.5999999999995</v>
      </c>
      <c r="N81" s="17"/>
    </row>
    <row r="82" spans="1:14" ht="30" customHeight="1" outlineLevel="2" x14ac:dyDescent="0.25">
      <c r="A82" s="6">
        <v>95</v>
      </c>
      <c r="B82" s="6" t="str">
        <f t="shared" si="26"/>
        <v xml:space="preserve">ЩО-5 (Альбом 34) </v>
      </c>
      <c r="C82" s="7" t="s">
        <v>8</v>
      </c>
      <c r="D82" s="7" t="s">
        <v>8</v>
      </c>
      <c r="E82" s="8" t="s">
        <v>8</v>
      </c>
      <c r="F82" s="18">
        <f ca="1">OFFSET(F82,1,2)</f>
        <v>9000</v>
      </c>
      <c r="G82" s="18">
        <f ca="1">F82</f>
        <v>9000</v>
      </c>
      <c r="H82" s="18">
        <f t="shared" ca="1" si="27"/>
        <v>9000</v>
      </c>
      <c r="I82" s="7">
        <v>1</v>
      </c>
      <c r="J82" s="9" t="s">
        <v>11</v>
      </c>
      <c r="K82" s="7" t="s">
        <v>8</v>
      </c>
      <c r="L82" s="7" t="s">
        <v>31</v>
      </c>
      <c r="M82" s="18">
        <v>9000</v>
      </c>
      <c r="N82" s="17"/>
    </row>
    <row r="83" spans="1:14" ht="30" customHeight="1" outlineLevel="2" x14ac:dyDescent="0.25">
      <c r="A83" s="6">
        <v>96</v>
      </c>
      <c r="B83" s="6" t="str">
        <f t="shared" si="26"/>
        <v xml:space="preserve">ЩО-5 (Альбом 34) </v>
      </c>
      <c r="C83" s="7" t="s">
        <v>9</v>
      </c>
      <c r="D83" s="7" t="s">
        <v>9</v>
      </c>
      <c r="E83" s="8" t="s">
        <v>9</v>
      </c>
      <c r="F83" s="18">
        <v>1.5</v>
      </c>
      <c r="G83" s="18">
        <v>100</v>
      </c>
      <c r="H83" s="18">
        <f t="shared" si="27"/>
        <v>9000</v>
      </c>
      <c r="I83" s="7">
        <f>60*F83</f>
        <v>90</v>
      </c>
      <c r="J83" s="9" t="s">
        <v>11</v>
      </c>
      <c r="K83" s="7" t="s">
        <v>9</v>
      </c>
      <c r="L83" s="7" t="s">
        <v>31</v>
      </c>
      <c r="M83" s="18">
        <v>9000</v>
      </c>
      <c r="N83" s="17"/>
    </row>
    <row r="84" spans="1:14" ht="30" customHeight="1" outlineLevel="1" x14ac:dyDescent="0.25">
      <c r="A84" s="6"/>
      <c r="B84" s="6" t="s">
        <v>303</v>
      </c>
      <c r="C84" s="7"/>
      <c r="D84" s="7"/>
      <c r="E84" s="8"/>
      <c r="F84" s="18"/>
      <c r="G84" s="18"/>
      <c r="H84" s="18">
        <f ca="1">SUBTOTAL(9,H77:H83)</f>
        <v>38927.399999999994</v>
      </c>
      <c r="I84" s="7"/>
      <c r="J84" s="9"/>
      <c r="K84" s="7"/>
      <c r="L84" s="7"/>
      <c r="M84" s="18">
        <v>38927.399999999994</v>
      </c>
      <c r="N84" s="17"/>
    </row>
    <row r="85" spans="1:14" ht="30" customHeight="1" outlineLevel="2" x14ac:dyDescent="0.25">
      <c r="A85" s="3">
        <v>13</v>
      </c>
      <c r="B85" s="3" t="str">
        <f>E85</f>
        <v xml:space="preserve">ЩО-6 (Альбом 34) </v>
      </c>
      <c r="C85" s="3"/>
      <c r="D85" s="14"/>
      <c r="E85" s="3" t="s">
        <v>203</v>
      </c>
      <c r="F85" s="13"/>
      <c r="G85" s="13"/>
      <c r="H85" s="13"/>
      <c r="I85" s="5">
        <v>1</v>
      </c>
      <c r="J85" s="4" t="s">
        <v>6</v>
      </c>
      <c r="K85" s="4" t="s">
        <v>23</v>
      </c>
      <c r="L85" s="4" t="s">
        <v>31</v>
      </c>
      <c r="M85" s="13"/>
      <c r="N85" s="17"/>
    </row>
    <row r="86" spans="1:14" ht="30" customHeight="1" outlineLevel="2" x14ac:dyDescent="0.25">
      <c r="A86" s="6">
        <v>14</v>
      </c>
      <c r="B86" s="6" t="str">
        <f t="shared" ref="B86:B91" si="29">B85</f>
        <v xml:space="preserve">ЩО-6 (Альбом 34) </v>
      </c>
      <c r="C86" s="7" t="s">
        <v>7</v>
      </c>
      <c r="D86" s="7" t="s">
        <v>274</v>
      </c>
      <c r="E86" s="8" t="s">
        <v>275</v>
      </c>
      <c r="F86" s="18">
        <v>20000</v>
      </c>
      <c r="G86" s="18">
        <f>0.6*F86</f>
        <v>12000</v>
      </c>
      <c r="H86" s="18">
        <f t="shared" ref="H86:H91" si="30">G86*I86</f>
        <v>12000</v>
      </c>
      <c r="I86" s="7">
        <v>1</v>
      </c>
      <c r="J86" s="9" t="s">
        <v>11</v>
      </c>
      <c r="K86" s="9" t="s">
        <v>24</v>
      </c>
      <c r="L86" s="9" t="s">
        <v>31</v>
      </c>
      <c r="M86" s="18">
        <v>12000</v>
      </c>
      <c r="N86" s="17"/>
    </row>
    <row r="87" spans="1:14" ht="30" customHeight="1" outlineLevel="2" x14ac:dyDescent="0.25">
      <c r="A87" s="6">
        <v>15</v>
      </c>
      <c r="B87" s="6" t="str">
        <f t="shared" si="29"/>
        <v xml:space="preserve">ЩО-6 (Альбом 34) </v>
      </c>
      <c r="C87" s="7" t="s">
        <v>10</v>
      </c>
      <c r="D87" s="7">
        <v>296829</v>
      </c>
      <c r="E87" s="8" t="s">
        <v>44</v>
      </c>
      <c r="F87" s="18">
        <v>2429</v>
      </c>
      <c r="G87" s="18">
        <f t="shared" ref="G87:G89" si="31">F87*0.6</f>
        <v>1457.3999999999999</v>
      </c>
      <c r="H87" s="18">
        <f t="shared" si="30"/>
        <v>1457.3999999999999</v>
      </c>
      <c r="I87" s="7">
        <v>1</v>
      </c>
      <c r="J87" s="9" t="s">
        <v>11</v>
      </c>
      <c r="K87" s="9" t="s">
        <v>22</v>
      </c>
      <c r="L87" s="9" t="s">
        <v>31</v>
      </c>
      <c r="M87" s="18">
        <v>1457.3999999999999</v>
      </c>
      <c r="N87" s="17"/>
    </row>
    <row r="88" spans="1:14" ht="30" customHeight="1" outlineLevel="2" x14ac:dyDescent="0.25">
      <c r="A88" s="6">
        <v>15</v>
      </c>
      <c r="B88" s="6" t="str">
        <f t="shared" si="29"/>
        <v xml:space="preserve">ЩО-6 (Альбом 34) </v>
      </c>
      <c r="C88" s="7" t="s">
        <v>10</v>
      </c>
      <c r="D88" s="7">
        <v>296710</v>
      </c>
      <c r="E88" s="8" t="s">
        <v>41</v>
      </c>
      <c r="F88" s="18">
        <v>783</v>
      </c>
      <c r="G88" s="18">
        <f t="shared" si="31"/>
        <v>469.79999999999995</v>
      </c>
      <c r="H88" s="18">
        <f t="shared" si="30"/>
        <v>5637.5999999999995</v>
      </c>
      <c r="I88" s="7">
        <v>12</v>
      </c>
      <c r="J88" s="9" t="s">
        <v>11</v>
      </c>
      <c r="K88" s="9" t="s">
        <v>22</v>
      </c>
      <c r="L88" s="9" t="s">
        <v>31</v>
      </c>
      <c r="M88" s="18">
        <v>5637.5999999999995</v>
      </c>
      <c r="N88" s="17"/>
    </row>
    <row r="89" spans="1:14" ht="30" customHeight="1" outlineLevel="2" x14ac:dyDescent="0.25">
      <c r="A89" s="6">
        <v>15</v>
      </c>
      <c r="B89" s="6" t="str">
        <f t="shared" si="29"/>
        <v xml:space="preserve">ЩО-6 (Альбом 34) </v>
      </c>
      <c r="C89" s="7" t="s">
        <v>12</v>
      </c>
      <c r="D89" s="7">
        <v>105542</v>
      </c>
      <c r="E89" s="8" t="s">
        <v>43</v>
      </c>
      <c r="F89" s="18">
        <v>5093</v>
      </c>
      <c r="G89" s="18">
        <f t="shared" si="31"/>
        <v>3055.7999999999997</v>
      </c>
      <c r="H89" s="18">
        <f t="shared" si="30"/>
        <v>15278.999999999998</v>
      </c>
      <c r="I89" s="7">
        <v>5</v>
      </c>
      <c r="J89" s="9" t="s">
        <v>11</v>
      </c>
      <c r="K89" s="9" t="s">
        <v>22</v>
      </c>
      <c r="L89" s="9" t="s">
        <v>31</v>
      </c>
      <c r="M89" s="18">
        <v>15278.999999999998</v>
      </c>
      <c r="N89" s="17"/>
    </row>
    <row r="90" spans="1:14" ht="30" customHeight="1" outlineLevel="2" x14ac:dyDescent="0.25">
      <c r="A90" s="6">
        <v>95</v>
      </c>
      <c r="B90" s="6" t="str">
        <f t="shared" si="29"/>
        <v xml:space="preserve">ЩО-6 (Альбом 34) </v>
      </c>
      <c r="C90" s="7" t="s">
        <v>8</v>
      </c>
      <c r="D90" s="7" t="s">
        <v>8</v>
      </c>
      <c r="E90" s="8" t="s">
        <v>8</v>
      </c>
      <c r="F90" s="18">
        <f ca="1">OFFSET(F90,1,2)</f>
        <v>12000</v>
      </c>
      <c r="G90" s="18">
        <f ca="1">F90</f>
        <v>12000</v>
      </c>
      <c r="H90" s="18">
        <f t="shared" ca="1" si="30"/>
        <v>12000</v>
      </c>
      <c r="I90" s="7">
        <v>1</v>
      </c>
      <c r="J90" s="9" t="s">
        <v>11</v>
      </c>
      <c r="K90" s="7" t="s">
        <v>8</v>
      </c>
      <c r="L90" s="7" t="s">
        <v>31</v>
      </c>
      <c r="M90" s="18">
        <v>12000</v>
      </c>
      <c r="N90" s="17"/>
    </row>
    <row r="91" spans="1:14" ht="30" customHeight="1" outlineLevel="2" x14ac:dyDescent="0.25">
      <c r="A91" s="6">
        <v>96</v>
      </c>
      <c r="B91" s="6" t="str">
        <f t="shared" si="29"/>
        <v xml:space="preserve">ЩО-6 (Альбом 34) </v>
      </c>
      <c r="C91" s="7" t="s">
        <v>9</v>
      </c>
      <c r="D91" s="7" t="s">
        <v>9</v>
      </c>
      <c r="E91" s="8" t="s">
        <v>9</v>
      </c>
      <c r="F91" s="18">
        <v>2</v>
      </c>
      <c r="G91" s="18">
        <v>100</v>
      </c>
      <c r="H91" s="18">
        <f t="shared" si="30"/>
        <v>12000</v>
      </c>
      <c r="I91" s="7">
        <f>60*F91</f>
        <v>120</v>
      </c>
      <c r="J91" s="9" t="s">
        <v>11</v>
      </c>
      <c r="K91" s="7" t="s">
        <v>9</v>
      </c>
      <c r="L91" s="7" t="s">
        <v>31</v>
      </c>
      <c r="M91" s="18">
        <v>12000</v>
      </c>
      <c r="N91" s="17"/>
    </row>
    <row r="92" spans="1:14" ht="30" customHeight="1" outlineLevel="1" x14ac:dyDescent="0.25">
      <c r="A92" s="6"/>
      <c r="B92" s="6" t="s">
        <v>304</v>
      </c>
      <c r="C92" s="7"/>
      <c r="D92" s="7"/>
      <c r="E92" s="8"/>
      <c r="F92" s="18"/>
      <c r="G92" s="18"/>
      <c r="H92" s="18">
        <f ca="1">SUBTOTAL(9,H85:H91)</f>
        <v>58374</v>
      </c>
      <c r="I92" s="7"/>
      <c r="J92" s="9"/>
      <c r="K92" s="7"/>
      <c r="L92" s="7"/>
      <c r="M92" s="18">
        <v>58374</v>
      </c>
      <c r="N92" s="17"/>
    </row>
    <row r="93" spans="1:14" ht="30" customHeight="1" outlineLevel="2" x14ac:dyDescent="0.25">
      <c r="A93" s="3">
        <v>13</v>
      </c>
      <c r="B93" s="3" t="str">
        <f>E93</f>
        <v xml:space="preserve">ЩО-7 (Альбом 34) </v>
      </c>
      <c r="C93" s="3"/>
      <c r="D93" s="14"/>
      <c r="E93" s="3" t="s">
        <v>204</v>
      </c>
      <c r="F93" s="13"/>
      <c r="G93" s="13"/>
      <c r="H93" s="13"/>
      <c r="I93" s="5">
        <v>1</v>
      </c>
      <c r="J93" s="4" t="s">
        <v>6</v>
      </c>
      <c r="K93" s="4" t="s">
        <v>23</v>
      </c>
      <c r="L93" s="4" t="s">
        <v>31</v>
      </c>
      <c r="M93" s="13"/>
      <c r="N93" s="17"/>
    </row>
    <row r="94" spans="1:14" ht="30" customHeight="1" outlineLevel="2" x14ac:dyDescent="0.25">
      <c r="A94" s="6">
        <v>14</v>
      </c>
      <c r="B94" s="6" t="str">
        <f t="shared" ref="B94:B99" si="32">B93</f>
        <v xml:space="preserve">ЩО-7 (Альбом 34) </v>
      </c>
      <c r="C94" s="7" t="s">
        <v>7</v>
      </c>
      <c r="D94" s="7" t="s">
        <v>274</v>
      </c>
      <c r="E94" s="8" t="s">
        <v>275</v>
      </c>
      <c r="F94" s="18">
        <v>20000</v>
      </c>
      <c r="G94" s="18">
        <f>0.6*F94</f>
        <v>12000</v>
      </c>
      <c r="H94" s="18">
        <f t="shared" ref="H94:H99" si="33">G94*I94</f>
        <v>12000</v>
      </c>
      <c r="I94" s="7">
        <v>1</v>
      </c>
      <c r="J94" s="9" t="s">
        <v>11</v>
      </c>
      <c r="K94" s="9" t="s">
        <v>24</v>
      </c>
      <c r="L94" s="9" t="s">
        <v>31</v>
      </c>
      <c r="M94" s="18">
        <v>12000</v>
      </c>
      <c r="N94" s="17"/>
    </row>
    <row r="95" spans="1:14" ht="30" customHeight="1" outlineLevel="2" x14ac:dyDescent="0.25">
      <c r="A95" s="6">
        <v>15</v>
      </c>
      <c r="B95" s="6" t="str">
        <f t="shared" si="32"/>
        <v xml:space="preserve">ЩО-7 (Альбом 34) </v>
      </c>
      <c r="C95" s="7" t="s">
        <v>10</v>
      </c>
      <c r="D95" s="7">
        <v>296829</v>
      </c>
      <c r="E95" s="8" t="s">
        <v>44</v>
      </c>
      <c r="F95" s="18">
        <v>2429</v>
      </c>
      <c r="G95" s="18">
        <f t="shared" ref="G95:G97" si="34">F95*0.6</f>
        <v>1457.3999999999999</v>
      </c>
      <c r="H95" s="18">
        <f t="shared" si="33"/>
        <v>1457.3999999999999</v>
      </c>
      <c r="I95" s="7">
        <v>1</v>
      </c>
      <c r="J95" s="9" t="s">
        <v>11</v>
      </c>
      <c r="K95" s="9" t="s">
        <v>22</v>
      </c>
      <c r="L95" s="9" t="s">
        <v>31</v>
      </c>
      <c r="M95" s="18">
        <v>1457.3999999999999</v>
      </c>
      <c r="N95" s="17"/>
    </row>
    <row r="96" spans="1:14" ht="30" customHeight="1" outlineLevel="2" x14ac:dyDescent="0.25">
      <c r="A96" s="6">
        <v>15</v>
      </c>
      <c r="B96" s="6" t="str">
        <f t="shared" si="32"/>
        <v xml:space="preserve">ЩО-7 (Альбом 34) </v>
      </c>
      <c r="C96" s="7" t="s">
        <v>10</v>
      </c>
      <c r="D96" s="7">
        <v>296710</v>
      </c>
      <c r="E96" s="8" t="s">
        <v>41</v>
      </c>
      <c r="F96" s="18">
        <v>783</v>
      </c>
      <c r="G96" s="18">
        <f t="shared" si="34"/>
        <v>469.79999999999995</v>
      </c>
      <c r="H96" s="18">
        <f t="shared" si="33"/>
        <v>3288.5999999999995</v>
      </c>
      <c r="I96" s="7">
        <v>7</v>
      </c>
      <c r="J96" s="9" t="s">
        <v>11</v>
      </c>
      <c r="K96" s="9" t="s">
        <v>22</v>
      </c>
      <c r="L96" s="9" t="s">
        <v>31</v>
      </c>
      <c r="M96" s="18">
        <v>3288.5999999999995</v>
      </c>
      <c r="N96" s="17"/>
    </row>
    <row r="97" spans="1:14" ht="30" customHeight="1" outlineLevel="2" x14ac:dyDescent="0.25">
      <c r="A97" s="6">
        <v>15</v>
      </c>
      <c r="B97" s="6" t="str">
        <f t="shared" si="32"/>
        <v xml:space="preserve">ЩО-7 (Альбом 34) </v>
      </c>
      <c r="C97" s="7" t="s">
        <v>12</v>
      </c>
      <c r="D97" s="7">
        <v>105542</v>
      </c>
      <c r="E97" s="8" t="s">
        <v>43</v>
      </c>
      <c r="F97" s="18">
        <v>5093</v>
      </c>
      <c r="G97" s="18">
        <f t="shared" si="34"/>
        <v>3055.7999999999997</v>
      </c>
      <c r="H97" s="18">
        <f t="shared" si="33"/>
        <v>15278.999999999998</v>
      </c>
      <c r="I97" s="7">
        <v>5</v>
      </c>
      <c r="J97" s="9" t="s">
        <v>11</v>
      </c>
      <c r="K97" s="9" t="s">
        <v>22</v>
      </c>
      <c r="L97" s="9" t="s">
        <v>31</v>
      </c>
      <c r="M97" s="18">
        <v>15278.999999999998</v>
      </c>
      <c r="N97" s="17"/>
    </row>
    <row r="98" spans="1:14" ht="30" customHeight="1" outlineLevel="2" x14ac:dyDescent="0.25">
      <c r="A98" s="6">
        <v>95</v>
      </c>
      <c r="B98" s="6" t="str">
        <f t="shared" si="32"/>
        <v xml:space="preserve">ЩО-7 (Альбом 34) </v>
      </c>
      <c r="C98" s="7" t="s">
        <v>8</v>
      </c>
      <c r="D98" s="7" t="s">
        <v>8</v>
      </c>
      <c r="E98" s="8" t="s">
        <v>8</v>
      </c>
      <c r="F98" s="18">
        <f ca="1">OFFSET(F98,1,2)</f>
        <v>12000</v>
      </c>
      <c r="G98" s="18">
        <f ca="1">F98</f>
        <v>12000</v>
      </c>
      <c r="H98" s="18">
        <f t="shared" ca="1" si="33"/>
        <v>12000</v>
      </c>
      <c r="I98" s="7">
        <v>1</v>
      </c>
      <c r="J98" s="9" t="s">
        <v>11</v>
      </c>
      <c r="K98" s="7" t="s">
        <v>8</v>
      </c>
      <c r="L98" s="7" t="s">
        <v>31</v>
      </c>
      <c r="M98" s="18">
        <v>12000</v>
      </c>
      <c r="N98" s="17"/>
    </row>
    <row r="99" spans="1:14" ht="30" customHeight="1" outlineLevel="2" x14ac:dyDescent="0.25">
      <c r="A99" s="6">
        <v>96</v>
      </c>
      <c r="B99" s="6" t="str">
        <f t="shared" si="32"/>
        <v xml:space="preserve">ЩО-7 (Альбом 34) </v>
      </c>
      <c r="C99" s="7" t="s">
        <v>9</v>
      </c>
      <c r="D99" s="7" t="s">
        <v>9</v>
      </c>
      <c r="E99" s="8" t="s">
        <v>9</v>
      </c>
      <c r="F99" s="18">
        <v>2</v>
      </c>
      <c r="G99" s="18">
        <v>100</v>
      </c>
      <c r="H99" s="18">
        <f t="shared" si="33"/>
        <v>12000</v>
      </c>
      <c r="I99" s="7">
        <f>60*F99</f>
        <v>120</v>
      </c>
      <c r="J99" s="9" t="s">
        <v>11</v>
      </c>
      <c r="K99" s="7" t="s">
        <v>9</v>
      </c>
      <c r="L99" s="7" t="s">
        <v>31</v>
      </c>
      <c r="M99" s="18">
        <v>12000</v>
      </c>
      <c r="N99" s="17"/>
    </row>
    <row r="100" spans="1:14" ht="30" customHeight="1" outlineLevel="1" x14ac:dyDescent="0.25">
      <c r="A100" s="6"/>
      <c r="B100" s="6" t="s">
        <v>305</v>
      </c>
      <c r="C100" s="7"/>
      <c r="D100" s="7"/>
      <c r="E100" s="8"/>
      <c r="F100" s="18"/>
      <c r="G100" s="18"/>
      <c r="H100" s="18">
        <f ca="1">SUBTOTAL(9,H93:H99)</f>
        <v>56025</v>
      </c>
      <c r="I100" s="7"/>
      <c r="J100" s="9"/>
      <c r="K100" s="7"/>
      <c r="L100" s="7"/>
      <c r="M100" s="18">
        <v>56025</v>
      </c>
      <c r="N100" s="17"/>
    </row>
    <row r="101" spans="1:14" ht="30" customHeight="1" outlineLevel="2" x14ac:dyDescent="0.25">
      <c r="A101" s="3">
        <v>13</v>
      </c>
      <c r="B101" s="3" t="str">
        <f>E101</f>
        <v xml:space="preserve">ЩО-8 (Альбом 34) </v>
      </c>
      <c r="C101" s="3"/>
      <c r="D101" s="14"/>
      <c r="E101" s="3" t="s">
        <v>205</v>
      </c>
      <c r="F101" s="13"/>
      <c r="G101" s="13"/>
      <c r="H101" s="13"/>
      <c r="I101" s="5">
        <v>1</v>
      </c>
      <c r="J101" s="4" t="s">
        <v>6</v>
      </c>
      <c r="K101" s="4" t="s">
        <v>23</v>
      </c>
      <c r="L101" s="4" t="s">
        <v>31</v>
      </c>
      <c r="M101" s="13"/>
      <c r="N101" s="17"/>
    </row>
    <row r="102" spans="1:14" ht="30" customHeight="1" outlineLevel="2" x14ac:dyDescent="0.25">
      <c r="A102" s="6">
        <v>14</v>
      </c>
      <c r="B102" s="6" t="str">
        <f t="shared" ref="B102:B107" si="35">B101</f>
        <v xml:space="preserve">ЩО-8 (Альбом 34) </v>
      </c>
      <c r="C102" s="7" t="s">
        <v>7</v>
      </c>
      <c r="D102" s="7" t="s">
        <v>274</v>
      </c>
      <c r="E102" s="8" t="s">
        <v>275</v>
      </c>
      <c r="F102" s="18">
        <v>20000</v>
      </c>
      <c r="G102" s="18">
        <f>0.6*F102</f>
        <v>12000</v>
      </c>
      <c r="H102" s="18">
        <f t="shared" ref="H102:H107" si="36">G102*I102</f>
        <v>12000</v>
      </c>
      <c r="I102" s="7">
        <v>1</v>
      </c>
      <c r="J102" s="9" t="s">
        <v>11</v>
      </c>
      <c r="K102" s="9" t="s">
        <v>24</v>
      </c>
      <c r="L102" s="9" t="s">
        <v>31</v>
      </c>
      <c r="M102" s="18">
        <v>12000</v>
      </c>
      <c r="N102" s="17"/>
    </row>
    <row r="103" spans="1:14" ht="30" customHeight="1" outlineLevel="2" x14ac:dyDescent="0.25">
      <c r="A103" s="6">
        <v>15</v>
      </c>
      <c r="B103" s="6" t="str">
        <f t="shared" si="35"/>
        <v xml:space="preserve">ЩО-8 (Альбом 34) </v>
      </c>
      <c r="C103" s="7" t="s">
        <v>10</v>
      </c>
      <c r="D103" s="7">
        <v>296829</v>
      </c>
      <c r="E103" s="8" t="s">
        <v>44</v>
      </c>
      <c r="F103" s="18">
        <v>2429</v>
      </c>
      <c r="G103" s="18">
        <f t="shared" ref="G103:G105" si="37">F103*0.6</f>
        <v>1457.3999999999999</v>
      </c>
      <c r="H103" s="18">
        <f t="shared" si="36"/>
        <v>1457.3999999999999</v>
      </c>
      <c r="I103" s="7">
        <v>1</v>
      </c>
      <c r="J103" s="9" t="s">
        <v>11</v>
      </c>
      <c r="K103" s="9" t="s">
        <v>22</v>
      </c>
      <c r="L103" s="9" t="s">
        <v>31</v>
      </c>
      <c r="M103" s="18">
        <v>1457.3999999999999</v>
      </c>
      <c r="N103" s="17"/>
    </row>
    <row r="104" spans="1:14" ht="30" customHeight="1" outlineLevel="2" x14ac:dyDescent="0.25">
      <c r="A104" s="6">
        <v>15</v>
      </c>
      <c r="B104" s="6" t="str">
        <f t="shared" si="35"/>
        <v xml:space="preserve">ЩО-8 (Альбом 34) </v>
      </c>
      <c r="C104" s="7" t="s">
        <v>10</v>
      </c>
      <c r="D104" s="7">
        <v>296710</v>
      </c>
      <c r="E104" s="8" t="s">
        <v>41</v>
      </c>
      <c r="F104" s="18">
        <v>783</v>
      </c>
      <c r="G104" s="18">
        <f t="shared" si="37"/>
        <v>469.79999999999995</v>
      </c>
      <c r="H104" s="18">
        <f t="shared" si="36"/>
        <v>3758.3999999999996</v>
      </c>
      <c r="I104" s="7">
        <v>8</v>
      </c>
      <c r="J104" s="9" t="s">
        <v>11</v>
      </c>
      <c r="K104" s="9" t="s">
        <v>22</v>
      </c>
      <c r="L104" s="9" t="s">
        <v>31</v>
      </c>
      <c r="M104" s="18">
        <v>3758.3999999999996</v>
      </c>
      <c r="N104" s="17"/>
    </row>
    <row r="105" spans="1:14" ht="30" customHeight="1" outlineLevel="2" x14ac:dyDescent="0.25">
      <c r="A105" s="6">
        <v>15</v>
      </c>
      <c r="B105" s="6" t="str">
        <f t="shared" si="35"/>
        <v xml:space="preserve">ЩО-8 (Альбом 34) </v>
      </c>
      <c r="C105" s="7" t="s">
        <v>12</v>
      </c>
      <c r="D105" s="7">
        <v>105542</v>
      </c>
      <c r="E105" s="8" t="s">
        <v>43</v>
      </c>
      <c r="F105" s="18">
        <v>5093</v>
      </c>
      <c r="G105" s="18">
        <f t="shared" si="37"/>
        <v>3055.7999999999997</v>
      </c>
      <c r="H105" s="18">
        <f t="shared" si="36"/>
        <v>12223.199999999999</v>
      </c>
      <c r="I105" s="7">
        <v>4</v>
      </c>
      <c r="J105" s="9" t="s">
        <v>11</v>
      </c>
      <c r="K105" s="9" t="s">
        <v>22</v>
      </c>
      <c r="L105" s="9" t="s">
        <v>31</v>
      </c>
      <c r="M105" s="18">
        <v>12223.199999999999</v>
      </c>
      <c r="N105" s="17"/>
    </row>
    <row r="106" spans="1:14" ht="30" customHeight="1" outlineLevel="2" x14ac:dyDescent="0.25">
      <c r="A106" s="6">
        <v>19</v>
      </c>
      <c r="B106" s="6" t="str">
        <f t="shared" si="35"/>
        <v xml:space="preserve">ЩО-8 (Альбом 34) </v>
      </c>
      <c r="C106" s="7" t="s">
        <v>8</v>
      </c>
      <c r="D106" s="7" t="s">
        <v>8</v>
      </c>
      <c r="E106" s="8" t="s">
        <v>8</v>
      </c>
      <c r="F106" s="18">
        <f ca="1">OFFSET(F106,1,2)</f>
        <v>12000</v>
      </c>
      <c r="G106" s="18">
        <f ca="1">F106</f>
        <v>12000</v>
      </c>
      <c r="H106" s="18">
        <f t="shared" ca="1" si="36"/>
        <v>12000</v>
      </c>
      <c r="I106" s="7">
        <v>1</v>
      </c>
      <c r="J106" s="9" t="s">
        <v>11</v>
      </c>
      <c r="K106" s="7" t="s">
        <v>8</v>
      </c>
      <c r="L106" s="7" t="s">
        <v>31</v>
      </c>
      <c r="M106" s="18">
        <v>12000</v>
      </c>
      <c r="N106" s="17"/>
    </row>
    <row r="107" spans="1:14" ht="30" customHeight="1" outlineLevel="2" x14ac:dyDescent="0.25">
      <c r="A107" s="6">
        <v>20</v>
      </c>
      <c r="B107" s="6" t="str">
        <f t="shared" si="35"/>
        <v xml:space="preserve">ЩО-8 (Альбом 34) </v>
      </c>
      <c r="C107" s="7" t="s">
        <v>9</v>
      </c>
      <c r="D107" s="7" t="s">
        <v>9</v>
      </c>
      <c r="E107" s="8" t="s">
        <v>9</v>
      </c>
      <c r="F107" s="18">
        <v>2</v>
      </c>
      <c r="G107" s="18">
        <v>100</v>
      </c>
      <c r="H107" s="18">
        <f t="shared" si="36"/>
        <v>12000</v>
      </c>
      <c r="I107" s="7">
        <f>60*F107</f>
        <v>120</v>
      </c>
      <c r="J107" s="9" t="s">
        <v>11</v>
      </c>
      <c r="K107" s="7" t="s">
        <v>9</v>
      </c>
      <c r="L107" s="7" t="s">
        <v>31</v>
      </c>
      <c r="M107" s="18">
        <v>12000</v>
      </c>
      <c r="N107" s="17"/>
    </row>
    <row r="108" spans="1:14" ht="30" customHeight="1" outlineLevel="1" x14ac:dyDescent="0.25">
      <c r="A108" s="6"/>
      <c r="B108" s="6" t="s">
        <v>306</v>
      </c>
      <c r="C108" s="7"/>
      <c r="D108" s="7"/>
      <c r="E108" s="8"/>
      <c r="F108" s="18"/>
      <c r="G108" s="18"/>
      <c r="H108" s="18">
        <f ca="1">SUBTOTAL(9,H101:H107)</f>
        <v>53439</v>
      </c>
      <c r="I108" s="7"/>
      <c r="J108" s="9"/>
      <c r="K108" s="7"/>
      <c r="L108" s="7"/>
      <c r="M108" s="18">
        <v>53439</v>
      </c>
      <c r="N108" s="17"/>
    </row>
    <row r="109" spans="1:14" ht="30" customHeight="1" outlineLevel="2" x14ac:dyDescent="0.25">
      <c r="A109" s="3">
        <v>13</v>
      </c>
      <c r="B109" s="3" t="str">
        <f>E109</f>
        <v xml:space="preserve">ЩО-9 (Альбом 34) </v>
      </c>
      <c r="C109" s="3"/>
      <c r="D109" s="14"/>
      <c r="E109" s="3" t="s">
        <v>206</v>
      </c>
      <c r="F109" s="13"/>
      <c r="G109" s="13"/>
      <c r="H109" s="13"/>
      <c r="I109" s="5">
        <v>1</v>
      </c>
      <c r="J109" s="4" t="s">
        <v>6</v>
      </c>
      <c r="K109" s="4" t="s">
        <v>23</v>
      </c>
      <c r="L109" s="4" t="s">
        <v>31</v>
      </c>
      <c r="M109" s="13"/>
      <c r="N109" s="17"/>
    </row>
    <row r="110" spans="1:14" ht="30" customHeight="1" outlineLevel="2" x14ac:dyDescent="0.25">
      <c r="A110" s="6">
        <v>14</v>
      </c>
      <c r="B110" s="6" t="str">
        <f t="shared" ref="B110:B115" si="38">B109</f>
        <v xml:space="preserve">ЩО-9 (Альбом 34) </v>
      </c>
      <c r="C110" s="7" t="s">
        <v>7</v>
      </c>
      <c r="D110" s="7" t="s">
        <v>274</v>
      </c>
      <c r="E110" s="8" t="s">
        <v>275</v>
      </c>
      <c r="F110" s="18">
        <v>20000</v>
      </c>
      <c r="G110" s="18">
        <f>0.6*F110</f>
        <v>12000</v>
      </c>
      <c r="H110" s="18">
        <f t="shared" ref="H110:H115" si="39">G110*I110</f>
        <v>12000</v>
      </c>
      <c r="I110" s="7">
        <v>1</v>
      </c>
      <c r="J110" s="9" t="s">
        <v>11</v>
      </c>
      <c r="K110" s="9" t="s">
        <v>24</v>
      </c>
      <c r="L110" s="9" t="s">
        <v>31</v>
      </c>
      <c r="M110" s="18">
        <v>12000</v>
      </c>
      <c r="N110" s="17"/>
    </row>
    <row r="111" spans="1:14" ht="30" customHeight="1" outlineLevel="2" x14ac:dyDescent="0.25">
      <c r="A111" s="6">
        <v>15</v>
      </c>
      <c r="B111" s="6" t="str">
        <f t="shared" si="38"/>
        <v xml:space="preserve">ЩО-9 (Альбом 34) </v>
      </c>
      <c r="C111" s="7" t="s">
        <v>10</v>
      </c>
      <c r="D111" s="7">
        <v>296829</v>
      </c>
      <c r="E111" s="8" t="s">
        <v>44</v>
      </c>
      <c r="F111" s="18">
        <v>2429</v>
      </c>
      <c r="G111" s="18">
        <f t="shared" ref="G111:G113" si="40">F111*0.6</f>
        <v>1457.3999999999999</v>
      </c>
      <c r="H111" s="18">
        <f t="shared" si="39"/>
        <v>1457.3999999999999</v>
      </c>
      <c r="I111" s="7">
        <v>1</v>
      </c>
      <c r="J111" s="9" t="s">
        <v>11</v>
      </c>
      <c r="K111" s="9" t="s">
        <v>22</v>
      </c>
      <c r="L111" s="9" t="s">
        <v>31</v>
      </c>
      <c r="M111" s="18">
        <v>1457.3999999999999</v>
      </c>
      <c r="N111" s="17"/>
    </row>
    <row r="112" spans="1:14" ht="30" customHeight="1" outlineLevel="2" x14ac:dyDescent="0.25">
      <c r="A112" s="6">
        <v>15</v>
      </c>
      <c r="B112" s="6" t="str">
        <f t="shared" si="38"/>
        <v xml:space="preserve">ЩО-9 (Альбом 34) </v>
      </c>
      <c r="C112" s="7" t="s">
        <v>10</v>
      </c>
      <c r="D112" s="7">
        <v>296710</v>
      </c>
      <c r="E112" s="8" t="s">
        <v>41</v>
      </c>
      <c r="F112" s="18">
        <v>783</v>
      </c>
      <c r="G112" s="18">
        <f t="shared" si="40"/>
        <v>469.79999999999995</v>
      </c>
      <c r="H112" s="18">
        <f t="shared" si="39"/>
        <v>5167.7999999999993</v>
      </c>
      <c r="I112" s="7">
        <v>11</v>
      </c>
      <c r="J112" s="9" t="s">
        <v>11</v>
      </c>
      <c r="K112" s="9" t="s">
        <v>22</v>
      </c>
      <c r="L112" s="9" t="s">
        <v>31</v>
      </c>
      <c r="M112" s="18">
        <v>5167.7999999999993</v>
      </c>
      <c r="N112" s="17"/>
    </row>
    <row r="113" spans="1:14" ht="30" customHeight="1" outlineLevel="2" x14ac:dyDescent="0.25">
      <c r="A113" s="6">
        <v>15</v>
      </c>
      <c r="B113" s="6" t="str">
        <f t="shared" si="38"/>
        <v xml:space="preserve">ЩО-9 (Альбом 34) </v>
      </c>
      <c r="C113" s="7" t="s">
        <v>12</v>
      </c>
      <c r="D113" s="7">
        <v>105542</v>
      </c>
      <c r="E113" s="8" t="s">
        <v>43</v>
      </c>
      <c r="F113" s="18">
        <v>5093</v>
      </c>
      <c r="G113" s="18">
        <f t="shared" si="40"/>
        <v>3055.7999999999997</v>
      </c>
      <c r="H113" s="18">
        <f t="shared" si="39"/>
        <v>15278.999999999998</v>
      </c>
      <c r="I113" s="7">
        <v>5</v>
      </c>
      <c r="J113" s="9" t="s">
        <v>11</v>
      </c>
      <c r="K113" s="9" t="s">
        <v>22</v>
      </c>
      <c r="L113" s="9" t="s">
        <v>31</v>
      </c>
      <c r="M113" s="18">
        <v>15278.999999999998</v>
      </c>
      <c r="N113" s="17"/>
    </row>
    <row r="114" spans="1:14" ht="30" customHeight="1" outlineLevel="2" x14ac:dyDescent="0.25">
      <c r="A114" s="6">
        <v>19</v>
      </c>
      <c r="B114" s="6" t="str">
        <f t="shared" si="38"/>
        <v xml:space="preserve">ЩО-9 (Альбом 34) </v>
      </c>
      <c r="C114" s="7" t="s">
        <v>8</v>
      </c>
      <c r="D114" s="7" t="s">
        <v>8</v>
      </c>
      <c r="E114" s="8" t="s">
        <v>8</v>
      </c>
      <c r="F114" s="18">
        <f ca="1">OFFSET(F114,1,2)</f>
        <v>12000</v>
      </c>
      <c r="G114" s="18">
        <f ca="1">F114</f>
        <v>12000</v>
      </c>
      <c r="H114" s="18">
        <f t="shared" ca="1" si="39"/>
        <v>12000</v>
      </c>
      <c r="I114" s="7">
        <v>1</v>
      </c>
      <c r="J114" s="9" t="s">
        <v>11</v>
      </c>
      <c r="K114" s="7" t="s">
        <v>8</v>
      </c>
      <c r="L114" s="7" t="s">
        <v>31</v>
      </c>
      <c r="M114" s="18">
        <v>12000</v>
      </c>
      <c r="N114" s="17"/>
    </row>
    <row r="115" spans="1:14" ht="30" customHeight="1" outlineLevel="2" x14ac:dyDescent="0.25">
      <c r="A115" s="6">
        <v>20</v>
      </c>
      <c r="B115" s="6" t="str">
        <f t="shared" si="38"/>
        <v xml:space="preserve">ЩО-9 (Альбом 34) </v>
      </c>
      <c r="C115" s="7" t="s">
        <v>9</v>
      </c>
      <c r="D115" s="7" t="s">
        <v>9</v>
      </c>
      <c r="E115" s="8" t="s">
        <v>9</v>
      </c>
      <c r="F115" s="18">
        <v>2</v>
      </c>
      <c r="G115" s="18">
        <v>100</v>
      </c>
      <c r="H115" s="18">
        <f t="shared" si="39"/>
        <v>12000</v>
      </c>
      <c r="I115" s="7">
        <f>60*F115</f>
        <v>120</v>
      </c>
      <c r="J115" s="9" t="s">
        <v>11</v>
      </c>
      <c r="K115" s="7" t="s">
        <v>9</v>
      </c>
      <c r="L115" s="7" t="s">
        <v>31</v>
      </c>
      <c r="M115" s="18">
        <v>12000</v>
      </c>
      <c r="N115" s="17"/>
    </row>
    <row r="116" spans="1:14" ht="30" customHeight="1" outlineLevel="1" x14ac:dyDescent="0.25">
      <c r="A116" s="6"/>
      <c r="B116" s="6" t="s">
        <v>307</v>
      </c>
      <c r="C116" s="7"/>
      <c r="D116" s="7"/>
      <c r="E116" s="8"/>
      <c r="F116" s="18"/>
      <c r="G116" s="18"/>
      <c r="H116" s="18">
        <f ca="1">SUBTOTAL(9,H109:H115)</f>
        <v>57904.2</v>
      </c>
      <c r="I116" s="7"/>
      <c r="J116" s="9"/>
      <c r="K116" s="7"/>
      <c r="L116" s="7"/>
      <c r="M116" s="18">
        <v>57904.2</v>
      </c>
      <c r="N116" s="17"/>
    </row>
    <row r="117" spans="1:14" ht="30" customHeight="1" outlineLevel="2" x14ac:dyDescent="0.25">
      <c r="A117" s="3">
        <v>13</v>
      </c>
      <c r="B117" s="3" t="str">
        <f>E117</f>
        <v xml:space="preserve">ЩО-10 (Альбом 34) </v>
      </c>
      <c r="C117" s="3"/>
      <c r="D117" s="14"/>
      <c r="E117" s="3" t="s">
        <v>207</v>
      </c>
      <c r="F117" s="13"/>
      <c r="G117" s="13"/>
      <c r="H117" s="13"/>
      <c r="I117" s="5">
        <v>1</v>
      </c>
      <c r="J117" s="4" t="s">
        <v>6</v>
      </c>
      <c r="K117" s="4" t="s">
        <v>23</v>
      </c>
      <c r="L117" s="4" t="s">
        <v>31</v>
      </c>
      <c r="M117" s="13"/>
      <c r="N117" s="17"/>
    </row>
    <row r="118" spans="1:14" ht="30" customHeight="1" outlineLevel="2" x14ac:dyDescent="0.25">
      <c r="A118" s="6">
        <v>14</v>
      </c>
      <c r="B118" s="6" t="str">
        <f t="shared" ref="B118:B123" si="41">B117</f>
        <v xml:space="preserve">ЩО-10 (Альбом 34) </v>
      </c>
      <c r="C118" s="7" t="s">
        <v>7</v>
      </c>
      <c r="D118" s="7" t="s">
        <v>274</v>
      </c>
      <c r="E118" s="8" t="s">
        <v>275</v>
      </c>
      <c r="F118" s="18">
        <v>20000</v>
      </c>
      <c r="G118" s="18">
        <f>0.6*F118</f>
        <v>12000</v>
      </c>
      <c r="H118" s="18">
        <f t="shared" ref="H118:H123" si="42">G118*I118</f>
        <v>12000</v>
      </c>
      <c r="I118" s="7">
        <v>1</v>
      </c>
      <c r="J118" s="9" t="s">
        <v>11</v>
      </c>
      <c r="K118" s="9" t="s">
        <v>24</v>
      </c>
      <c r="L118" s="9" t="s">
        <v>31</v>
      </c>
      <c r="M118" s="18">
        <v>12000</v>
      </c>
      <c r="N118" s="17"/>
    </row>
    <row r="119" spans="1:14" ht="30" customHeight="1" outlineLevel="2" x14ac:dyDescent="0.25">
      <c r="A119" s="6">
        <v>15</v>
      </c>
      <c r="B119" s="6" t="str">
        <f t="shared" si="41"/>
        <v xml:space="preserve">ЩО-10 (Альбом 34) </v>
      </c>
      <c r="C119" s="7" t="s">
        <v>10</v>
      </c>
      <c r="D119" s="7">
        <v>296829</v>
      </c>
      <c r="E119" s="8" t="s">
        <v>44</v>
      </c>
      <c r="F119" s="18">
        <v>2429</v>
      </c>
      <c r="G119" s="18">
        <f t="shared" ref="G119:G121" si="43">F119*0.6</f>
        <v>1457.3999999999999</v>
      </c>
      <c r="H119" s="18">
        <f t="shared" si="42"/>
        <v>1457.3999999999999</v>
      </c>
      <c r="I119" s="7">
        <v>1</v>
      </c>
      <c r="J119" s="9" t="s">
        <v>11</v>
      </c>
      <c r="K119" s="9" t="s">
        <v>22</v>
      </c>
      <c r="L119" s="9" t="s">
        <v>31</v>
      </c>
      <c r="M119" s="18">
        <v>1457.3999999999999</v>
      </c>
      <c r="N119" s="17"/>
    </row>
    <row r="120" spans="1:14" ht="30" customHeight="1" outlineLevel="2" x14ac:dyDescent="0.25">
      <c r="A120" s="6">
        <v>15</v>
      </c>
      <c r="B120" s="6" t="str">
        <f t="shared" si="41"/>
        <v xml:space="preserve">ЩО-10 (Альбом 34) </v>
      </c>
      <c r="C120" s="7" t="s">
        <v>10</v>
      </c>
      <c r="D120" s="7">
        <v>296710</v>
      </c>
      <c r="E120" s="8" t="s">
        <v>41</v>
      </c>
      <c r="F120" s="18">
        <v>783</v>
      </c>
      <c r="G120" s="18">
        <f t="shared" si="43"/>
        <v>469.79999999999995</v>
      </c>
      <c r="H120" s="18">
        <f t="shared" si="42"/>
        <v>4228.2</v>
      </c>
      <c r="I120" s="7">
        <v>9</v>
      </c>
      <c r="J120" s="9" t="s">
        <v>11</v>
      </c>
      <c r="K120" s="9" t="s">
        <v>22</v>
      </c>
      <c r="L120" s="9" t="s">
        <v>31</v>
      </c>
      <c r="M120" s="18">
        <v>4228.2</v>
      </c>
      <c r="N120" s="17"/>
    </row>
    <row r="121" spans="1:14" ht="30" customHeight="1" outlineLevel="2" x14ac:dyDescent="0.25">
      <c r="A121" s="6">
        <v>15</v>
      </c>
      <c r="B121" s="6" t="str">
        <f t="shared" si="41"/>
        <v xml:space="preserve">ЩО-10 (Альбом 34) </v>
      </c>
      <c r="C121" s="7" t="s">
        <v>12</v>
      </c>
      <c r="D121" s="7">
        <v>105542</v>
      </c>
      <c r="E121" s="8" t="s">
        <v>43</v>
      </c>
      <c r="F121" s="18">
        <v>5093</v>
      </c>
      <c r="G121" s="18">
        <f t="shared" si="43"/>
        <v>3055.7999999999997</v>
      </c>
      <c r="H121" s="18">
        <f t="shared" si="42"/>
        <v>12223.199999999999</v>
      </c>
      <c r="I121" s="7">
        <v>4</v>
      </c>
      <c r="J121" s="9" t="s">
        <v>11</v>
      </c>
      <c r="K121" s="9" t="s">
        <v>22</v>
      </c>
      <c r="L121" s="9" t="s">
        <v>31</v>
      </c>
      <c r="M121" s="18">
        <v>12223.199999999999</v>
      </c>
      <c r="N121" s="17"/>
    </row>
    <row r="122" spans="1:14" ht="30" customHeight="1" outlineLevel="2" x14ac:dyDescent="0.25">
      <c r="A122" s="6">
        <v>19</v>
      </c>
      <c r="B122" s="6" t="str">
        <f t="shared" si="41"/>
        <v xml:space="preserve">ЩО-10 (Альбом 34) </v>
      </c>
      <c r="C122" s="7" t="s">
        <v>8</v>
      </c>
      <c r="D122" s="7" t="s">
        <v>8</v>
      </c>
      <c r="E122" s="8" t="s">
        <v>8</v>
      </c>
      <c r="F122" s="18">
        <f ca="1">OFFSET(F122,1,2)</f>
        <v>12000</v>
      </c>
      <c r="G122" s="18">
        <f ca="1">F122</f>
        <v>12000</v>
      </c>
      <c r="H122" s="18">
        <f t="shared" ca="1" si="42"/>
        <v>12000</v>
      </c>
      <c r="I122" s="7">
        <v>1</v>
      </c>
      <c r="J122" s="9" t="s">
        <v>11</v>
      </c>
      <c r="K122" s="7" t="s">
        <v>8</v>
      </c>
      <c r="L122" s="7" t="s">
        <v>31</v>
      </c>
      <c r="M122" s="18">
        <v>12000</v>
      </c>
      <c r="N122" s="17"/>
    </row>
    <row r="123" spans="1:14" ht="30" customHeight="1" outlineLevel="2" x14ac:dyDescent="0.25">
      <c r="A123" s="6">
        <v>20</v>
      </c>
      <c r="B123" s="6" t="str">
        <f t="shared" si="41"/>
        <v xml:space="preserve">ЩО-10 (Альбом 34) </v>
      </c>
      <c r="C123" s="7" t="s">
        <v>9</v>
      </c>
      <c r="D123" s="7" t="s">
        <v>9</v>
      </c>
      <c r="E123" s="8" t="s">
        <v>9</v>
      </c>
      <c r="F123" s="18">
        <v>2</v>
      </c>
      <c r="G123" s="18">
        <v>100</v>
      </c>
      <c r="H123" s="18">
        <f t="shared" si="42"/>
        <v>12000</v>
      </c>
      <c r="I123" s="7">
        <f>60*F123</f>
        <v>120</v>
      </c>
      <c r="J123" s="9" t="s">
        <v>11</v>
      </c>
      <c r="K123" s="7" t="s">
        <v>9</v>
      </c>
      <c r="L123" s="7" t="s">
        <v>31</v>
      </c>
      <c r="M123" s="18">
        <v>12000</v>
      </c>
      <c r="N123" s="17"/>
    </row>
    <row r="124" spans="1:14" ht="30" customHeight="1" outlineLevel="1" x14ac:dyDescent="0.25">
      <c r="A124" s="6"/>
      <c r="B124" s="6" t="s">
        <v>308</v>
      </c>
      <c r="C124" s="7"/>
      <c r="D124" s="7"/>
      <c r="E124" s="8"/>
      <c r="F124" s="18"/>
      <c r="G124" s="18"/>
      <c r="H124" s="18">
        <f ca="1">SUBTOTAL(9,H117:H123)</f>
        <v>53908.799999999996</v>
      </c>
      <c r="I124" s="7"/>
      <c r="J124" s="9"/>
      <c r="K124" s="7"/>
      <c r="L124" s="7"/>
      <c r="M124" s="18">
        <v>53908.799999999996</v>
      </c>
      <c r="N124" s="17"/>
    </row>
    <row r="125" spans="1:14" ht="30" customHeight="1" outlineLevel="2" x14ac:dyDescent="0.25">
      <c r="A125" s="3">
        <v>13</v>
      </c>
      <c r="B125" s="3" t="str">
        <f>E125</f>
        <v xml:space="preserve">ЩО-11 (Альбом 34) </v>
      </c>
      <c r="C125" s="3"/>
      <c r="D125" s="14"/>
      <c r="E125" s="3" t="s">
        <v>208</v>
      </c>
      <c r="F125" s="13"/>
      <c r="G125" s="13"/>
      <c r="H125" s="13"/>
      <c r="I125" s="5">
        <v>1</v>
      </c>
      <c r="J125" s="4" t="s">
        <v>6</v>
      </c>
      <c r="K125" s="4" t="s">
        <v>23</v>
      </c>
      <c r="L125" s="4" t="s">
        <v>31</v>
      </c>
      <c r="M125" s="13"/>
      <c r="N125" s="17"/>
    </row>
    <row r="126" spans="1:14" ht="30" customHeight="1" outlineLevel="2" x14ac:dyDescent="0.25">
      <c r="A126" s="6">
        <v>14</v>
      </c>
      <c r="B126" s="6" t="str">
        <f t="shared" ref="B126:B131" si="44">B125</f>
        <v xml:space="preserve">ЩО-11 (Альбом 34) </v>
      </c>
      <c r="C126" s="7" t="s">
        <v>7</v>
      </c>
      <c r="D126" s="7" t="s">
        <v>274</v>
      </c>
      <c r="E126" s="8" t="s">
        <v>275</v>
      </c>
      <c r="F126" s="18">
        <v>20000</v>
      </c>
      <c r="G126" s="18">
        <f>0.6*F126</f>
        <v>12000</v>
      </c>
      <c r="H126" s="18">
        <f t="shared" ref="H126:H131" si="45">G126*I126</f>
        <v>12000</v>
      </c>
      <c r="I126" s="7">
        <v>1</v>
      </c>
      <c r="J126" s="9" t="s">
        <v>11</v>
      </c>
      <c r="K126" s="9" t="s">
        <v>24</v>
      </c>
      <c r="L126" s="9" t="s">
        <v>31</v>
      </c>
      <c r="M126" s="18">
        <v>12000</v>
      </c>
      <c r="N126" s="17"/>
    </row>
    <row r="127" spans="1:14" ht="30" customHeight="1" outlineLevel="2" x14ac:dyDescent="0.25">
      <c r="A127" s="6">
        <v>15</v>
      </c>
      <c r="B127" s="6" t="str">
        <f t="shared" si="44"/>
        <v xml:space="preserve">ЩО-11 (Альбом 34) </v>
      </c>
      <c r="C127" s="7" t="s">
        <v>10</v>
      </c>
      <c r="D127" s="7">
        <v>296829</v>
      </c>
      <c r="E127" s="8" t="s">
        <v>44</v>
      </c>
      <c r="F127" s="18">
        <v>2429</v>
      </c>
      <c r="G127" s="18">
        <f t="shared" ref="G127:G129" si="46">F127*0.6</f>
        <v>1457.3999999999999</v>
      </c>
      <c r="H127" s="18">
        <f t="shared" si="45"/>
        <v>1457.3999999999999</v>
      </c>
      <c r="I127" s="7">
        <v>1</v>
      </c>
      <c r="J127" s="9" t="s">
        <v>11</v>
      </c>
      <c r="K127" s="9" t="s">
        <v>22</v>
      </c>
      <c r="L127" s="9" t="s">
        <v>31</v>
      </c>
      <c r="M127" s="18">
        <v>1457.3999999999999</v>
      </c>
      <c r="N127" s="17"/>
    </row>
    <row r="128" spans="1:14" ht="30" customHeight="1" outlineLevel="2" x14ac:dyDescent="0.25">
      <c r="A128" s="6">
        <v>15</v>
      </c>
      <c r="B128" s="6" t="str">
        <f t="shared" si="44"/>
        <v xml:space="preserve">ЩО-11 (Альбом 34) </v>
      </c>
      <c r="C128" s="7" t="s">
        <v>10</v>
      </c>
      <c r="D128" s="7">
        <v>296710</v>
      </c>
      <c r="E128" s="8" t="s">
        <v>41</v>
      </c>
      <c r="F128" s="18">
        <v>783</v>
      </c>
      <c r="G128" s="18">
        <f t="shared" si="46"/>
        <v>469.79999999999995</v>
      </c>
      <c r="H128" s="18">
        <f t="shared" si="45"/>
        <v>5167.7999999999993</v>
      </c>
      <c r="I128" s="7">
        <v>11</v>
      </c>
      <c r="J128" s="9" t="s">
        <v>11</v>
      </c>
      <c r="K128" s="9" t="s">
        <v>22</v>
      </c>
      <c r="L128" s="9" t="s">
        <v>31</v>
      </c>
      <c r="M128" s="18">
        <v>5167.7999999999993</v>
      </c>
      <c r="N128" s="17"/>
    </row>
    <row r="129" spans="1:14" ht="30" customHeight="1" outlineLevel="2" x14ac:dyDescent="0.25">
      <c r="A129" s="6">
        <v>15</v>
      </c>
      <c r="B129" s="6" t="str">
        <f t="shared" si="44"/>
        <v xml:space="preserve">ЩО-11 (Альбом 34) </v>
      </c>
      <c r="C129" s="7" t="s">
        <v>12</v>
      </c>
      <c r="D129" s="7">
        <v>105542</v>
      </c>
      <c r="E129" s="8" t="s">
        <v>43</v>
      </c>
      <c r="F129" s="18">
        <v>5093</v>
      </c>
      <c r="G129" s="18">
        <f t="shared" si="46"/>
        <v>3055.7999999999997</v>
      </c>
      <c r="H129" s="18">
        <f t="shared" si="45"/>
        <v>12223.199999999999</v>
      </c>
      <c r="I129" s="7">
        <v>4</v>
      </c>
      <c r="J129" s="9" t="s">
        <v>11</v>
      </c>
      <c r="K129" s="9" t="s">
        <v>22</v>
      </c>
      <c r="L129" s="9" t="s">
        <v>31</v>
      </c>
      <c r="M129" s="18">
        <v>12223.199999999999</v>
      </c>
      <c r="N129" s="17"/>
    </row>
    <row r="130" spans="1:14" ht="30" customHeight="1" outlineLevel="2" x14ac:dyDescent="0.25">
      <c r="A130" s="6">
        <v>19</v>
      </c>
      <c r="B130" s="6" t="str">
        <f t="shared" si="44"/>
        <v xml:space="preserve">ЩО-11 (Альбом 34) </v>
      </c>
      <c r="C130" s="7" t="s">
        <v>8</v>
      </c>
      <c r="D130" s="7" t="s">
        <v>8</v>
      </c>
      <c r="E130" s="8" t="s">
        <v>8</v>
      </c>
      <c r="F130" s="18">
        <f ca="1">OFFSET(F130,1,2)</f>
        <v>12000</v>
      </c>
      <c r="G130" s="18">
        <f ca="1">F130</f>
        <v>12000</v>
      </c>
      <c r="H130" s="18">
        <f t="shared" ca="1" si="45"/>
        <v>12000</v>
      </c>
      <c r="I130" s="7">
        <v>1</v>
      </c>
      <c r="J130" s="9" t="s">
        <v>11</v>
      </c>
      <c r="K130" s="7" t="s">
        <v>8</v>
      </c>
      <c r="L130" s="7" t="s">
        <v>31</v>
      </c>
      <c r="M130" s="18">
        <v>12000</v>
      </c>
      <c r="N130" s="17"/>
    </row>
    <row r="131" spans="1:14" ht="30" customHeight="1" outlineLevel="2" x14ac:dyDescent="0.25">
      <c r="A131" s="6">
        <v>20</v>
      </c>
      <c r="B131" s="6" t="str">
        <f t="shared" si="44"/>
        <v xml:space="preserve">ЩО-11 (Альбом 34) </v>
      </c>
      <c r="C131" s="7" t="s">
        <v>9</v>
      </c>
      <c r="D131" s="7" t="s">
        <v>9</v>
      </c>
      <c r="E131" s="8" t="s">
        <v>9</v>
      </c>
      <c r="F131" s="18">
        <v>2</v>
      </c>
      <c r="G131" s="18">
        <v>100</v>
      </c>
      <c r="H131" s="18">
        <f t="shared" si="45"/>
        <v>12000</v>
      </c>
      <c r="I131" s="7">
        <f>60*F131</f>
        <v>120</v>
      </c>
      <c r="J131" s="9" t="s">
        <v>11</v>
      </c>
      <c r="K131" s="7" t="s">
        <v>9</v>
      </c>
      <c r="L131" s="7" t="s">
        <v>31</v>
      </c>
      <c r="M131" s="18">
        <v>12000</v>
      </c>
      <c r="N131" s="17"/>
    </row>
    <row r="132" spans="1:14" ht="30" customHeight="1" outlineLevel="1" x14ac:dyDescent="0.25">
      <c r="A132" s="6"/>
      <c r="B132" s="6" t="s">
        <v>309</v>
      </c>
      <c r="C132" s="7"/>
      <c r="D132" s="7"/>
      <c r="E132" s="8"/>
      <c r="F132" s="18"/>
      <c r="G132" s="18"/>
      <c r="H132" s="18">
        <f ca="1">SUBTOTAL(9,H125:H131)</f>
        <v>54848.399999999994</v>
      </c>
      <c r="I132" s="7"/>
      <c r="J132" s="9"/>
      <c r="K132" s="7"/>
      <c r="L132" s="7"/>
      <c r="M132" s="18">
        <v>54848.399999999994</v>
      </c>
      <c r="N132" s="17"/>
    </row>
    <row r="133" spans="1:14" ht="30" customHeight="1" outlineLevel="2" x14ac:dyDescent="0.25">
      <c r="A133" s="3">
        <v>13</v>
      </c>
      <c r="B133" s="3" t="str">
        <f>E133</f>
        <v xml:space="preserve">ЩО-12 (Альбом 34) </v>
      </c>
      <c r="C133" s="3"/>
      <c r="D133" s="14"/>
      <c r="E133" s="3" t="s">
        <v>209</v>
      </c>
      <c r="F133" s="13"/>
      <c r="G133" s="13"/>
      <c r="H133" s="13"/>
      <c r="I133" s="5">
        <v>1</v>
      </c>
      <c r="J133" s="4" t="s">
        <v>6</v>
      </c>
      <c r="K133" s="4" t="s">
        <v>23</v>
      </c>
      <c r="L133" s="4" t="s">
        <v>31</v>
      </c>
      <c r="M133" s="13"/>
      <c r="N133" s="17"/>
    </row>
    <row r="134" spans="1:14" ht="30" customHeight="1" outlineLevel="2" x14ac:dyDescent="0.25">
      <c r="A134" s="6">
        <v>14</v>
      </c>
      <c r="B134" s="6" t="str">
        <f t="shared" ref="B134:B139" si="47">B133</f>
        <v xml:space="preserve">ЩО-12 (Альбом 34) </v>
      </c>
      <c r="C134" s="7" t="s">
        <v>7</v>
      </c>
      <c r="D134" s="7" t="s">
        <v>274</v>
      </c>
      <c r="E134" s="8" t="s">
        <v>275</v>
      </c>
      <c r="F134" s="18">
        <v>20000</v>
      </c>
      <c r="G134" s="18">
        <f>0.6*F134</f>
        <v>12000</v>
      </c>
      <c r="H134" s="18">
        <f t="shared" ref="H134:H139" si="48">G134*I134</f>
        <v>12000</v>
      </c>
      <c r="I134" s="7">
        <v>1</v>
      </c>
      <c r="J134" s="9" t="s">
        <v>11</v>
      </c>
      <c r="K134" s="9" t="s">
        <v>24</v>
      </c>
      <c r="L134" s="9" t="s">
        <v>31</v>
      </c>
      <c r="M134" s="18">
        <v>12000</v>
      </c>
      <c r="N134" s="17"/>
    </row>
    <row r="135" spans="1:14" ht="30" customHeight="1" outlineLevel="2" x14ac:dyDescent="0.25">
      <c r="A135" s="6">
        <v>15</v>
      </c>
      <c r="B135" s="6" t="str">
        <f t="shared" si="47"/>
        <v xml:space="preserve">ЩО-12 (Альбом 34) </v>
      </c>
      <c r="C135" s="7" t="s">
        <v>10</v>
      </c>
      <c r="D135" s="7">
        <v>296829</v>
      </c>
      <c r="E135" s="8" t="s">
        <v>44</v>
      </c>
      <c r="F135" s="18">
        <v>2429</v>
      </c>
      <c r="G135" s="18">
        <f t="shared" ref="G135:G137" si="49">F135*0.6</f>
        <v>1457.3999999999999</v>
      </c>
      <c r="H135" s="18">
        <f t="shared" si="48"/>
        <v>1457.3999999999999</v>
      </c>
      <c r="I135" s="7">
        <v>1</v>
      </c>
      <c r="J135" s="9" t="s">
        <v>11</v>
      </c>
      <c r="K135" s="9" t="s">
        <v>22</v>
      </c>
      <c r="L135" s="9" t="s">
        <v>31</v>
      </c>
      <c r="M135" s="18">
        <v>1457.3999999999999</v>
      </c>
      <c r="N135" s="17"/>
    </row>
    <row r="136" spans="1:14" ht="30" customHeight="1" outlineLevel="2" x14ac:dyDescent="0.25">
      <c r="A136" s="6">
        <v>15</v>
      </c>
      <c r="B136" s="6" t="str">
        <f t="shared" si="47"/>
        <v xml:space="preserve">ЩО-12 (Альбом 34) </v>
      </c>
      <c r="C136" s="7" t="s">
        <v>10</v>
      </c>
      <c r="D136" s="7">
        <v>296710</v>
      </c>
      <c r="E136" s="8" t="s">
        <v>41</v>
      </c>
      <c r="F136" s="18">
        <v>783</v>
      </c>
      <c r="G136" s="18">
        <f t="shared" si="49"/>
        <v>469.79999999999995</v>
      </c>
      <c r="H136" s="18">
        <f t="shared" si="48"/>
        <v>5167.7999999999993</v>
      </c>
      <c r="I136" s="7">
        <v>11</v>
      </c>
      <c r="J136" s="9" t="s">
        <v>11</v>
      </c>
      <c r="K136" s="9" t="s">
        <v>22</v>
      </c>
      <c r="L136" s="9" t="s">
        <v>31</v>
      </c>
      <c r="M136" s="18">
        <v>5167.7999999999993</v>
      </c>
      <c r="N136" s="17"/>
    </row>
    <row r="137" spans="1:14" ht="30" customHeight="1" outlineLevel="2" x14ac:dyDescent="0.25">
      <c r="A137" s="6">
        <v>15</v>
      </c>
      <c r="B137" s="6" t="str">
        <f t="shared" si="47"/>
        <v xml:space="preserve">ЩО-12 (Альбом 34) </v>
      </c>
      <c r="C137" s="7" t="s">
        <v>12</v>
      </c>
      <c r="D137" s="7">
        <v>105542</v>
      </c>
      <c r="E137" s="8" t="s">
        <v>43</v>
      </c>
      <c r="F137" s="18">
        <v>5093</v>
      </c>
      <c r="G137" s="18">
        <f t="shared" si="49"/>
        <v>3055.7999999999997</v>
      </c>
      <c r="H137" s="18">
        <f t="shared" si="48"/>
        <v>15278.999999999998</v>
      </c>
      <c r="I137" s="7">
        <v>5</v>
      </c>
      <c r="J137" s="9" t="s">
        <v>11</v>
      </c>
      <c r="K137" s="9" t="s">
        <v>22</v>
      </c>
      <c r="L137" s="9" t="s">
        <v>31</v>
      </c>
      <c r="M137" s="18">
        <v>15278.999999999998</v>
      </c>
      <c r="N137" s="17"/>
    </row>
    <row r="138" spans="1:14" ht="30" customHeight="1" outlineLevel="2" x14ac:dyDescent="0.25">
      <c r="A138" s="6">
        <v>19</v>
      </c>
      <c r="B138" s="6" t="str">
        <f t="shared" si="47"/>
        <v xml:space="preserve">ЩО-12 (Альбом 34) </v>
      </c>
      <c r="C138" s="7" t="s">
        <v>8</v>
      </c>
      <c r="D138" s="7" t="s">
        <v>8</v>
      </c>
      <c r="E138" s="8" t="s">
        <v>8</v>
      </c>
      <c r="F138" s="18">
        <f ca="1">OFFSET(F138,1,2)</f>
        <v>12000</v>
      </c>
      <c r="G138" s="18">
        <f ca="1">F138</f>
        <v>12000</v>
      </c>
      <c r="H138" s="18">
        <f t="shared" ca="1" si="48"/>
        <v>12000</v>
      </c>
      <c r="I138" s="7">
        <v>1</v>
      </c>
      <c r="J138" s="9" t="s">
        <v>11</v>
      </c>
      <c r="K138" s="7" t="s">
        <v>8</v>
      </c>
      <c r="L138" s="7" t="s">
        <v>31</v>
      </c>
      <c r="M138" s="18">
        <v>12000</v>
      </c>
      <c r="N138" s="17"/>
    </row>
    <row r="139" spans="1:14" ht="30" customHeight="1" outlineLevel="2" x14ac:dyDescent="0.25">
      <c r="A139" s="6">
        <v>20</v>
      </c>
      <c r="B139" s="6" t="str">
        <f t="shared" si="47"/>
        <v xml:space="preserve">ЩО-12 (Альбом 34) </v>
      </c>
      <c r="C139" s="7" t="s">
        <v>9</v>
      </c>
      <c r="D139" s="7" t="s">
        <v>9</v>
      </c>
      <c r="E139" s="8" t="s">
        <v>9</v>
      </c>
      <c r="F139" s="18">
        <v>2</v>
      </c>
      <c r="G139" s="18">
        <v>100</v>
      </c>
      <c r="H139" s="18">
        <f t="shared" si="48"/>
        <v>12000</v>
      </c>
      <c r="I139" s="7">
        <f>60*F139</f>
        <v>120</v>
      </c>
      <c r="J139" s="9" t="s">
        <v>11</v>
      </c>
      <c r="K139" s="7" t="s">
        <v>9</v>
      </c>
      <c r="L139" s="7" t="s">
        <v>31</v>
      </c>
      <c r="M139" s="18">
        <v>12000</v>
      </c>
      <c r="N139" s="17"/>
    </row>
    <row r="140" spans="1:14" ht="30" customHeight="1" outlineLevel="1" x14ac:dyDescent="0.25">
      <c r="A140" s="6"/>
      <c r="B140" s="6" t="s">
        <v>310</v>
      </c>
      <c r="C140" s="7"/>
      <c r="D140" s="7"/>
      <c r="E140" s="8"/>
      <c r="F140" s="18"/>
      <c r="G140" s="18"/>
      <c r="H140" s="18">
        <f ca="1">SUBTOTAL(9,H133:H139)</f>
        <v>57904.2</v>
      </c>
      <c r="I140" s="7"/>
      <c r="J140" s="9"/>
      <c r="K140" s="7"/>
      <c r="L140" s="7"/>
      <c r="M140" s="18">
        <v>57904.2</v>
      </c>
      <c r="N140" s="17"/>
    </row>
    <row r="141" spans="1:14" ht="30" customHeight="1" outlineLevel="2" x14ac:dyDescent="0.25">
      <c r="A141" s="3">
        <v>13</v>
      </c>
      <c r="B141" s="3" t="str">
        <f>E141</f>
        <v xml:space="preserve">ЩО-13 (Альбом 34) </v>
      </c>
      <c r="C141" s="3"/>
      <c r="D141" s="14"/>
      <c r="E141" s="3" t="s">
        <v>210</v>
      </c>
      <c r="F141" s="13"/>
      <c r="G141" s="13"/>
      <c r="H141" s="13"/>
      <c r="I141" s="5">
        <v>1</v>
      </c>
      <c r="J141" s="4" t="s">
        <v>6</v>
      </c>
      <c r="K141" s="4" t="s">
        <v>23</v>
      </c>
      <c r="L141" s="4" t="s">
        <v>31</v>
      </c>
      <c r="M141" s="13"/>
      <c r="N141" s="17"/>
    </row>
    <row r="142" spans="1:14" ht="30" customHeight="1" outlineLevel="2" x14ac:dyDescent="0.25">
      <c r="A142" s="6">
        <v>14</v>
      </c>
      <c r="B142" s="6" t="str">
        <f t="shared" ref="B142:B147" si="50">B141</f>
        <v xml:space="preserve">ЩО-13 (Альбом 34) </v>
      </c>
      <c r="C142" s="7" t="s">
        <v>7</v>
      </c>
      <c r="D142" s="7" t="s">
        <v>274</v>
      </c>
      <c r="E142" s="8" t="s">
        <v>275</v>
      </c>
      <c r="F142" s="18">
        <v>20000</v>
      </c>
      <c r="G142" s="18">
        <f>0.6*F142</f>
        <v>12000</v>
      </c>
      <c r="H142" s="18">
        <f t="shared" ref="H142:H147" si="51">G142*I142</f>
        <v>12000</v>
      </c>
      <c r="I142" s="7">
        <v>1</v>
      </c>
      <c r="J142" s="9" t="s">
        <v>11</v>
      </c>
      <c r="K142" s="9" t="s">
        <v>24</v>
      </c>
      <c r="L142" s="9" t="s">
        <v>31</v>
      </c>
      <c r="M142" s="18">
        <v>12000</v>
      </c>
      <c r="N142" s="17"/>
    </row>
    <row r="143" spans="1:14" ht="30" customHeight="1" outlineLevel="2" x14ac:dyDescent="0.25">
      <c r="A143" s="6">
        <v>15</v>
      </c>
      <c r="B143" s="6" t="str">
        <f t="shared" si="50"/>
        <v xml:space="preserve">ЩО-13 (Альбом 34) </v>
      </c>
      <c r="C143" s="7" t="s">
        <v>10</v>
      </c>
      <c r="D143" s="7">
        <v>296829</v>
      </c>
      <c r="E143" s="8" t="s">
        <v>44</v>
      </c>
      <c r="F143" s="18">
        <v>2429</v>
      </c>
      <c r="G143" s="18">
        <f t="shared" ref="G143:G145" si="52">F143*0.6</f>
        <v>1457.3999999999999</v>
      </c>
      <c r="H143" s="18">
        <f t="shared" si="51"/>
        <v>1457.3999999999999</v>
      </c>
      <c r="I143" s="7">
        <v>1</v>
      </c>
      <c r="J143" s="9" t="s">
        <v>11</v>
      </c>
      <c r="K143" s="9" t="s">
        <v>22</v>
      </c>
      <c r="L143" s="9" t="s">
        <v>31</v>
      </c>
      <c r="M143" s="18">
        <v>1457.3999999999999</v>
      </c>
      <c r="N143" s="17"/>
    </row>
    <row r="144" spans="1:14" ht="30" customHeight="1" outlineLevel="2" x14ac:dyDescent="0.25">
      <c r="A144" s="6">
        <v>15</v>
      </c>
      <c r="B144" s="6" t="str">
        <f t="shared" si="50"/>
        <v xml:space="preserve">ЩО-13 (Альбом 34) </v>
      </c>
      <c r="C144" s="7" t="s">
        <v>10</v>
      </c>
      <c r="D144" s="7">
        <v>296710</v>
      </c>
      <c r="E144" s="8" t="s">
        <v>41</v>
      </c>
      <c r="F144" s="18">
        <v>783</v>
      </c>
      <c r="G144" s="18">
        <f t="shared" si="52"/>
        <v>469.79999999999995</v>
      </c>
      <c r="H144" s="18">
        <f t="shared" si="51"/>
        <v>5167.7999999999993</v>
      </c>
      <c r="I144" s="7">
        <v>11</v>
      </c>
      <c r="J144" s="9" t="s">
        <v>11</v>
      </c>
      <c r="K144" s="9" t="s">
        <v>22</v>
      </c>
      <c r="L144" s="9" t="s">
        <v>31</v>
      </c>
      <c r="M144" s="18">
        <v>5167.7999999999993</v>
      </c>
      <c r="N144" s="17"/>
    </row>
    <row r="145" spans="1:14" ht="30" customHeight="1" outlineLevel="2" x14ac:dyDescent="0.25">
      <c r="A145" s="6">
        <v>15</v>
      </c>
      <c r="B145" s="6" t="str">
        <f t="shared" si="50"/>
        <v xml:space="preserve">ЩО-13 (Альбом 34) </v>
      </c>
      <c r="C145" s="7" t="s">
        <v>12</v>
      </c>
      <c r="D145" s="7">
        <v>105542</v>
      </c>
      <c r="E145" s="8" t="s">
        <v>43</v>
      </c>
      <c r="F145" s="18">
        <v>5093</v>
      </c>
      <c r="G145" s="18">
        <f t="shared" si="52"/>
        <v>3055.7999999999997</v>
      </c>
      <c r="H145" s="18">
        <f t="shared" si="51"/>
        <v>15278.999999999998</v>
      </c>
      <c r="I145" s="7">
        <v>5</v>
      </c>
      <c r="J145" s="9" t="s">
        <v>11</v>
      </c>
      <c r="K145" s="9" t="s">
        <v>22</v>
      </c>
      <c r="L145" s="9" t="s">
        <v>31</v>
      </c>
      <c r="M145" s="18">
        <v>15278.999999999998</v>
      </c>
      <c r="N145" s="17"/>
    </row>
    <row r="146" spans="1:14" ht="30" customHeight="1" outlineLevel="2" x14ac:dyDescent="0.25">
      <c r="A146" s="6">
        <v>19</v>
      </c>
      <c r="B146" s="6" t="str">
        <f t="shared" si="50"/>
        <v xml:space="preserve">ЩО-13 (Альбом 34) </v>
      </c>
      <c r="C146" s="7" t="s">
        <v>8</v>
      </c>
      <c r="D146" s="7" t="s">
        <v>8</v>
      </c>
      <c r="E146" s="8" t="s">
        <v>8</v>
      </c>
      <c r="F146" s="18">
        <f ca="1">OFFSET(F146,1,2)</f>
        <v>12000</v>
      </c>
      <c r="G146" s="18">
        <f ca="1">F146</f>
        <v>12000</v>
      </c>
      <c r="H146" s="18">
        <f t="shared" ca="1" si="51"/>
        <v>12000</v>
      </c>
      <c r="I146" s="7">
        <v>1</v>
      </c>
      <c r="J146" s="9" t="s">
        <v>11</v>
      </c>
      <c r="K146" s="7" t="s">
        <v>8</v>
      </c>
      <c r="L146" s="7" t="s">
        <v>31</v>
      </c>
      <c r="M146" s="18">
        <v>12000</v>
      </c>
      <c r="N146" s="17"/>
    </row>
    <row r="147" spans="1:14" ht="30" customHeight="1" outlineLevel="2" x14ac:dyDescent="0.25">
      <c r="A147" s="6">
        <v>20</v>
      </c>
      <c r="B147" s="6" t="str">
        <f t="shared" si="50"/>
        <v xml:space="preserve">ЩО-13 (Альбом 34) </v>
      </c>
      <c r="C147" s="7" t="s">
        <v>9</v>
      </c>
      <c r="D147" s="7" t="s">
        <v>9</v>
      </c>
      <c r="E147" s="8" t="s">
        <v>9</v>
      </c>
      <c r="F147" s="18">
        <v>2</v>
      </c>
      <c r="G147" s="18">
        <v>100</v>
      </c>
      <c r="H147" s="18">
        <f t="shared" si="51"/>
        <v>12000</v>
      </c>
      <c r="I147" s="7">
        <f>60*F147</f>
        <v>120</v>
      </c>
      <c r="J147" s="9" t="s">
        <v>11</v>
      </c>
      <c r="K147" s="7" t="s">
        <v>9</v>
      </c>
      <c r="L147" s="7" t="s">
        <v>31</v>
      </c>
      <c r="M147" s="18">
        <v>12000</v>
      </c>
      <c r="N147" s="17"/>
    </row>
    <row r="148" spans="1:14" ht="30" customHeight="1" outlineLevel="1" x14ac:dyDescent="0.25">
      <c r="A148" s="6"/>
      <c r="B148" s="6" t="s">
        <v>311</v>
      </c>
      <c r="C148" s="7"/>
      <c r="D148" s="7"/>
      <c r="E148" s="8"/>
      <c r="F148" s="18"/>
      <c r="G148" s="18"/>
      <c r="H148" s="18">
        <f ca="1">SUBTOTAL(9,H141:H147)</f>
        <v>57904.2</v>
      </c>
      <c r="I148" s="7"/>
      <c r="J148" s="9"/>
      <c r="K148" s="7"/>
      <c r="L148" s="7"/>
      <c r="M148" s="18">
        <v>57904.2</v>
      </c>
      <c r="N148" s="17"/>
    </row>
    <row r="149" spans="1:14" ht="30" customHeight="1" outlineLevel="2" x14ac:dyDescent="0.25">
      <c r="A149" s="3">
        <v>13</v>
      </c>
      <c r="B149" s="3" t="str">
        <f>E149</f>
        <v xml:space="preserve">ЩО-14 (Альбом 34) </v>
      </c>
      <c r="C149" s="3"/>
      <c r="D149" s="14"/>
      <c r="E149" s="3" t="s">
        <v>211</v>
      </c>
      <c r="F149" s="13"/>
      <c r="G149" s="13"/>
      <c r="H149" s="13"/>
      <c r="I149" s="5">
        <v>1</v>
      </c>
      <c r="J149" s="4" t="s">
        <v>6</v>
      </c>
      <c r="K149" s="4" t="s">
        <v>23</v>
      </c>
      <c r="L149" s="4" t="s">
        <v>31</v>
      </c>
      <c r="M149" s="13"/>
      <c r="N149" s="17"/>
    </row>
    <row r="150" spans="1:14" ht="30" customHeight="1" outlineLevel="2" x14ac:dyDescent="0.25">
      <c r="A150" s="6">
        <v>14</v>
      </c>
      <c r="B150" s="6" t="str">
        <f t="shared" ref="B150:B155" si="53">B149</f>
        <v xml:space="preserve">ЩО-14 (Альбом 34) </v>
      </c>
      <c r="C150" s="7" t="s">
        <v>7</v>
      </c>
      <c r="D150" s="7" t="s">
        <v>268</v>
      </c>
      <c r="E150" s="8" t="s">
        <v>269</v>
      </c>
      <c r="F150" s="18">
        <v>10500</v>
      </c>
      <c r="G150" s="18">
        <f>0.6*F150</f>
        <v>6300</v>
      </c>
      <c r="H150" s="18">
        <f t="shared" ref="H150:H155" si="54">G150*I150</f>
        <v>6300</v>
      </c>
      <c r="I150" s="7">
        <v>1</v>
      </c>
      <c r="J150" s="9" t="s">
        <v>11</v>
      </c>
      <c r="K150" s="9" t="s">
        <v>24</v>
      </c>
      <c r="L150" s="9" t="s">
        <v>31</v>
      </c>
      <c r="M150" s="18">
        <v>6300</v>
      </c>
      <c r="N150" s="17"/>
    </row>
    <row r="151" spans="1:14" ht="30" customHeight="1" outlineLevel="2" x14ac:dyDescent="0.25">
      <c r="A151" s="6">
        <v>15</v>
      </c>
      <c r="B151" s="6" t="str">
        <f t="shared" si="53"/>
        <v xml:space="preserve">ЩО-14 (Альбом 34) </v>
      </c>
      <c r="C151" s="7" t="s">
        <v>10</v>
      </c>
      <c r="D151" s="7">
        <v>296829</v>
      </c>
      <c r="E151" s="8" t="s">
        <v>44</v>
      </c>
      <c r="F151" s="18">
        <v>2429</v>
      </c>
      <c r="G151" s="18">
        <f t="shared" ref="G151:G153" si="55">F151*0.6</f>
        <v>1457.3999999999999</v>
      </c>
      <c r="H151" s="18">
        <f t="shared" si="54"/>
        <v>1457.3999999999999</v>
      </c>
      <c r="I151" s="7">
        <v>1</v>
      </c>
      <c r="J151" s="9" t="s">
        <v>11</v>
      </c>
      <c r="K151" s="9" t="s">
        <v>22</v>
      </c>
      <c r="L151" s="9" t="s">
        <v>31</v>
      </c>
      <c r="M151" s="18">
        <v>1457.3999999999999</v>
      </c>
      <c r="N151" s="17"/>
    </row>
    <row r="152" spans="1:14" ht="30" customHeight="1" outlineLevel="2" x14ac:dyDescent="0.25">
      <c r="A152" s="6">
        <v>15</v>
      </c>
      <c r="B152" s="6" t="str">
        <f t="shared" si="53"/>
        <v xml:space="preserve">ЩО-14 (Альбом 34) </v>
      </c>
      <c r="C152" s="7" t="s">
        <v>10</v>
      </c>
      <c r="D152" s="7">
        <v>296710</v>
      </c>
      <c r="E152" s="8" t="s">
        <v>41</v>
      </c>
      <c r="F152" s="18">
        <v>783</v>
      </c>
      <c r="G152" s="18">
        <f t="shared" si="55"/>
        <v>469.79999999999995</v>
      </c>
      <c r="H152" s="18">
        <f t="shared" si="54"/>
        <v>1409.3999999999999</v>
      </c>
      <c r="I152" s="7">
        <v>3</v>
      </c>
      <c r="J152" s="9" t="s">
        <v>11</v>
      </c>
      <c r="K152" s="9" t="s">
        <v>22</v>
      </c>
      <c r="L152" s="9" t="s">
        <v>31</v>
      </c>
      <c r="M152" s="18">
        <v>1409.3999999999999</v>
      </c>
      <c r="N152" s="17"/>
    </row>
    <row r="153" spans="1:14" ht="30" customHeight="1" outlineLevel="2" x14ac:dyDescent="0.25">
      <c r="A153" s="6">
        <v>15</v>
      </c>
      <c r="B153" s="6" t="str">
        <f t="shared" si="53"/>
        <v xml:space="preserve">ЩО-14 (Альбом 34) </v>
      </c>
      <c r="C153" s="7" t="s">
        <v>12</v>
      </c>
      <c r="D153" s="7">
        <v>105542</v>
      </c>
      <c r="E153" s="8" t="s">
        <v>43</v>
      </c>
      <c r="F153" s="18">
        <v>5093</v>
      </c>
      <c r="G153" s="18">
        <f t="shared" si="55"/>
        <v>3055.7999999999997</v>
      </c>
      <c r="H153" s="18">
        <f t="shared" si="54"/>
        <v>3055.7999999999997</v>
      </c>
      <c r="I153" s="7">
        <v>1</v>
      </c>
      <c r="J153" s="9" t="s">
        <v>11</v>
      </c>
      <c r="K153" s="9" t="s">
        <v>22</v>
      </c>
      <c r="L153" s="9" t="s">
        <v>31</v>
      </c>
      <c r="M153" s="18">
        <v>3055.7999999999997</v>
      </c>
      <c r="N153" s="17"/>
    </row>
    <row r="154" spans="1:14" ht="30" customHeight="1" outlineLevel="2" x14ac:dyDescent="0.25">
      <c r="A154" s="6">
        <v>19</v>
      </c>
      <c r="B154" s="6" t="str">
        <f t="shared" si="53"/>
        <v xml:space="preserve">ЩО-14 (Альбом 34) </v>
      </c>
      <c r="C154" s="7" t="s">
        <v>8</v>
      </c>
      <c r="D154" s="7" t="s">
        <v>8</v>
      </c>
      <c r="E154" s="8" t="s">
        <v>8</v>
      </c>
      <c r="F154" s="18">
        <f ca="1">OFFSET(F154,1,2)</f>
        <v>6000</v>
      </c>
      <c r="G154" s="18">
        <f ca="1">F154</f>
        <v>6000</v>
      </c>
      <c r="H154" s="18">
        <f t="shared" ca="1" si="54"/>
        <v>6000</v>
      </c>
      <c r="I154" s="7">
        <v>1</v>
      </c>
      <c r="J154" s="9" t="s">
        <v>11</v>
      </c>
      <c r="K154" s="7" t="s">
        <v>8</v>
      </c>
      <c r="L154" s="7" t="s">
        <v>31</v>
      </c>
      <c r="M154" s="18">
        <v>6000</v>
      </c>
      <c r="N154" s="17"/>
    </row>
    <row r="155" spans="1:14" ht="30" customHeight="1" outlineLevel="2" x14ac:dyDescent="0.25">
      <c r="A155" s="6">
        <v>20</v>
      </c>
      <c r="B155" s="6" t="str">
        <f t="shared" si="53"/>
        <v xml:space="preserve">ЩО-14 (Альбом 34) </v>
      </c>
      <c r="C155" s="7" t="s">
        <v>9</v>
      </c>
      <c r="D155" s="7" t="s">
        <v>9</v>
      </c>
      <c r="E155" s="8" t="s">
        <v>9</v>
      </c>
      <c r="F155" s="18">
        <v>1</v>
      </c>
      <c r="G155" s="18">
        <v>100</v>
      </c>
      <c r="H155" s="18">
        <f t="shared" si="54"/>
        <v>6000</v>
      </c>
      <c r="I155" s="7">
        <f>60*F155</f>
        <v>60</v>
      </c>
      <c r="J155" s="9" t="s">
        <v>11</v>
      </c>
      <c r="K155" s="7" t="s">
        <v>9</v>
      </c>
      <c r="L155" s="7" t="s">
        <v>31</v>
      </c>
      <c r="M155" s="18">
        <v>6000</v>
      </c>
      <c r="N155" s="17"/>
    </row>
    <row r="156" spans="1:14" ht="30" customHeight="1" outlineLevel="1" x14ac:dyDescent="0.25">
      <c r="A156" s="6"/>
      <c r="B156" s="6" t="s">
        <v>312</v>
      </c>
      <c r="C156" s="7"/>
      <c r="D156" s="7"/>
      <c r="E156" s="8"/>
      <c r="F156" s="18"/>
      <c r="G156" s="18"/>
      <c r="H156" s="18">
        <f ca="1">SUBTOTAL(9,H149:H155)</f>
        <v>24222.6</v>
      </c>
      <c r="I156" s="7"/>
      <c r="J156" s="9"/>
      <c r="K156" s="7"/>
      <c r="L156" s="7"/>
      <c r="M156" s="18">
        <v>24222.6</v>
      </c>
      <c r="N156" s="17"/>
    </row>
    <row r="157" spans="1:14" ht="30" customHeight="1" outlineLevel="2" x14ac:dyDescent="0.25">
      <c r="A157" s="3">
        <v>13</v>
      </c>
      <c r="B157" s="3" t="str">
        <f>E157</f>
        <v xml:space="preserve">ЩО-15 (Альбом 34) </v>
      </c>
      <c r="C157" s="3"/>
      <c r="D157" s="14"/>
      <c r="E157" s="3" t="s">
        <v>212</v>
      </c>
      <c r="F157" s="13"/>
      <c r="G157" s="13"/>
      <c r="H157" s="13"/>
      <c r="I157" s="5">
        <v>1</v>
      </c>
      <c r="J157" s="4" t="s">
        <v>6</v>
      </c>
      <c r="K157" s="4" t="s">
        <v>23</v>
      </c>
      <c r="L157" s="4" t="s">
        <v>31</v>
      </c>
      <c r="M157" s="13"/>
      <c r="N157" s="17"/>
    </row>
    <row r="158" spans="1:14" ht="30" customHeight="1" outlineLevel="2" x14ac:dyDescent="0.25">
      <c r="A158" s="6">
        <v>14</v>
      </c>
      <c r="B158" s="6" t="str">
        <f t="shared" ref="B158:B165" si="56">B157</f>
        <v xml:space="preserve">ЩО-15 (Альбом 34) </v>
      </c>
      <c r="C158" s="7" t="s">
        <v>7</v>
      </c>
      <c r="D158" s="7" t="s">
        <v>274</v>
      </c>
      <c r="E158" s="8" t="s">
        <v>275</v>
      </c>
      <c r="F158" s="18">
        <v>20000</v>
      </c>
      <c r="G158" s="18">
        <f>0.6*F158</f>
        <v>12000</v>
      </c>
      <c r="H158" s="18">
        <f t="shared" ref="H158:H165" si="57">G158*I158</f>
        <v>12000</v>
      </c>
      <c r="I158" s="7">
        <v>1</v>
      </c>
      <c r="J158" s="9" t="s">
        <v>11</v>
      </c>
      <c r="K158" s="9" t="s">
        <v>24</v>
      </c>
      <c r="L158" s="9" t="s">
        <v>31</v>
      </c>
      <c r="M158" s="18">
        <v>12000</v>
      </c>
      <c r="N158" s="17"/>
    </row>
    <row r="159" spans="1:14" ht="30" customHeight="1" outlineLevel="2" x14ac:dyDescent="0.25">
      <c r="A159" s="6">
        <v>15</v>
      </c>
      <c r="B159" s="6" t="str">
        <f t="shared" si="56"/>
        <v xml:space="preserve">ЩО-15 (Альбом 34) </v>
      </c>
      <c r="C159" s="7" t="s">
        <v>10</v>
      </c>
      <c r="D159" s="7">
        <v>296829</v>
      </c>
      <c r="E159" s="8" t="s">
        <v>44</v>
      </c>
      <c r="F159" s="18">
        <v>2429</v>
      </c>
      <c r="G159" s="18">
        <f t="shared" ref="G159:G161" si="58">F159*0.6</f>
        <v>1457.3999999999999</v>
      </c>
      <c r="H159" s="18">
        <f t="shared" si="57"/>
        <v>1457.3999999999999</v>
      </c>
      <c r="I159" s="7">
        <v>1</v>
      </c>
      <c r="J159" s="9" t="s">
        <v>11</v>
      </c>
      <c r="K159" s="9" t="s">
        <v>22</v>
      </c>
      <c r="L159" s="9" t="s">
        <v>31</v>
      </c>
      <c r="M159" s="18">
        <v>1457.3999999999999</v>
      </c>
      <c r="N159" s="17"/>
    </row>
    <row r="160" spans="1:14" ht="30" customHeight="1" outlineLevel="2" x14ac:dyDescent="0.25">
      <c r="A160" s="6">
        <v>15</v>
      </c>
      <c r="B160" s="6" t="str">
        <f t="shared" si="56"/>
        <v xml:space="preserve">ЩО-15 (Альбом 34) </v>
      </c>
      <c r="C160" s="7" t="s">
        <v>10</v>
      </c>
      <c r="D160" s="7">
        <v>296710</v>
      </c>
      <c r="E160" s="8" t="s">
        <v>41</v>
      </c>
      <c r="F160" s="18">
        <v>783</v>
      </c>
      <c r="G160" s="18">
        <f t="shared" si="58"/>
        <v>469.79999999999995</v>
      </c>
      <c r="H160" s="18">
        <f t="shared" si="57"/>
        <v>5167.7999999999993</v>
      </c>
      <c r="I160" s="7">
        <v>11</v>
      </c>
      <c r="J160" s="9" t="s">
        <v>11</v>
      </c>
      <c r="K160" s="9" t="s">
        <v>22</v>
      </c>
      <c r="L160" s="9" t="s">
        <v>31</v>
      </c>
      <c r="M160" s="18">
        <v>5167.7999999999993</v>
      </c>
      <c r="N160" s="17"/>
    </row>
    <row r="161" spans="1:14" ht="30" customHeight="1" outlineLevel="2" x14ac:dyDescent="0.25">
      <c r="A161" s="6">
        <v>15</v>
      </c>
      <c r="B161" s="6" t="str">
        <f t="shared" si="56"/>
        <v xml:space="preserve">ЩО-15 (Альбом 34) </v>
      </c>
      <c r="C161" s="7" t="s">
        <v>12</v>
      </c>
      <c r="D161" s="7">
        <v>105542</v>
      </c>
      <c r="E161" s="8" t="s">
        <v>43</v>
      </c>
      <c r="F161" s="18">
        <v>5093</v>
      </c>
      <c r="G161" s="18">
        <f t="shared" si="58"/>
        <v>3055.7999999999997</v>
      </c>
      <c r="H161" s="18">
        <f t="shared" si="57"/>
        <v>15278.999999999998</v>
      </c>
      <c r="I161" s="7">
        <v>5</v>
      </c>
      <c r="J161" s="9" t="s">
        <v>11</v>
      </c>
      <c r="K161" s="9" t="s">
        <v>22</v>
      </c>
      <c r="L161" s="9" t="s">
        <v>31</v>
      </c>
      <c r="M161" s="18">
        <v>15278.999999999998</v>
      </c>
      <c r="N161" s="17"/>
    </row>
    <row r="162" spans="1:14" ht="30" customHeight="1" outlineLevel="2" x14ac:dyDescent="0.25">
      <c r="A162" s="6">
        <v>19</v>
      </c>
      <c r="B162" s="6" t="str">
        <f t="shared" si="56"/>
        <v xml:space="preserve">ЩО-15 (Альбом 34) </v>
      </c>
      <c r="C162" s="7" t="s">
        <v>8</v>
      </c>
      <c r="D162" s="7" t="s">
        <v>8</v>
      </c>
      <c r="E162" s="8" t="s">
        <v>8</v>
      </c>
      <c r="F162" s="18">
        <f ca="1">OFFSET(F162,1,2)</f>
        <v>6000</v>
      </c>
      <c r="G162" s="18">
        <f ca="1">F162</f>
        <v>6000</v>
      </c>
      <c r="H162" s="18">
        <f t="shared" ca="1" si="57"/>
        <v>6000</v>
      </c>
      <c r="I162" s="7">
        <v>1</v>
      </c>
      <c r="J162" s="9" t="s">
        <v>11</v>
      </c>
      <c r="K162" s="7" t="s">
        <v>8</v>
      </c>
      <c r="L162" s="7" t="s">
        <v>31</v>
      </c>
      <c r="M162" s="18">
        <v>6000</v>
      </c>
      <c r="N162" s="17"/>
    </row>
    <row r="163" spans="1:14" ht="30" customHeight="1" outlineLevel="2" x14ac:dyDescent="0.25">
      <c r="A163" s="6">
        <v>20</v>
      </c>
      <c r="B163" s="6" t="str">
        <f t="shared" si="56"/>
        <v xml:space="preserve">ЩО-15 (Альбом 34) </v>
      </c>
      <c r="C163" s="7" t="s">
        <v>9</v>
      </c>
      <c r="D163" s="7" t="s">
        <v>9</v>
      </c>
      <c r="E163" s="8" t="s">
        <v>9</v>
      </c>
      <c r="F163" s="18">
        <v>1</v>
      </c>
      <c r="G163" s="18">
        <v>100</v>
      </c>
      <c r="H163" s="18">
        <f t="shared" si="57"/>
        <v>6000</v>
      </c>
      <c r="I163" s="7">
        <f>60*F163</f>
        <v>60</v>
      </c>
      <c r="J163" s="9" t="s">
        <v>11</v>
      </c>
      <c r="K163" s="7" t="s">
        <v>9</v>
      </c>
      <c r="L163" s="7" t="s">
        <v>31</v>
      </c>
      <c r="M163" s="18">
        <v>6000</v>
      </c>
      <c r="N163" s="17"/>
    </row>
    <row r="164" spans="1:14" ht="30" customHeight="1" outlineLevel="2" x14ac:dyDescent="0.25">
      <c r="A164" s="6">
        <v>173</v>
      </c>
      <c r="B164" s="6" t="str">
        <f t="shared" si="56"/>
        <v xml:space="preserve">ЩО-15 (Альбом 34) </v>
      </c>
      <c r="C164" s="7" t="s">
        <v>8</v>
      </c>
      <c r="D164" s="7" t="s">
        <v>8</v>
      </c>
      <c r="E164" s="8" t="s">
        <v>8</v>
      </c>
      <c r="F164" s="18">
        <f ca="1">OFFSET(F164,1,2)</f>
        <v>12000</v>
      </c>
      <c r="G164" s="18">
        <f ca="1">F164</f>
        <v>12000</v>
      </c>
      <c r="H164" s="18">
        <f t="shared" ca="1" si="57"/>
        <v>12000</v>
      </c>
      <c r="I164" s="7">
        <v>1</v>
      </c>
      <c r="J164" s="9" t="s">
        <v>11</v>
      </c>
      <c r="K164" s="7" t="s">
        <v>8</v>
      </c>
      <c r="L164" s="7" t="s">
        <v>31</v>
      </c>
      <c r="M164" s="18">
        <v>12000</v>
      </c>
      <c r="N164" s="17"/>
    </row>
    <row r="165" spans="1:14" ht="30" customHeight="1" outlineLevel="2" x14ac:dyDescent="0.25">
      <c r="A165" s="6">
        <v>174</v>
      </c>
      <c r="B165" s="6" t="str">
        <f t="shared" si="56"/>
        <v xml:space="preserve">ЩО-15 (Альбом 34) </v>
      </c>
      <c r="C165" s="7" t="s">
        <v>9</v>
      </c>
      <c r="D165" s="7" t="s">
        <v>9</v>
      </c>
      <c r="E165" s="8" t="s">
        <v>9</v>
      </c>
      <c r="F165" s="18">
        <v>2</v>
      </c>
      <c r="G165" s="18">
        <v>100</v>
      </c>
      <c r="H165" s="18">
        <f t="shared" si="57"/>
        <v>12000</v>
      </c>
      <c r="I165" s="7">
        <f>60*F165</f>
        <v>120</v>
      </c>
      <c r="J165" s="9" t="s">
        <v>11</v>
      </c>
      <c r="K165" s="7" t="s">
        <v>9</v>
      </c>
      <c r="L165" s="7" t="s">
        <v>31</v>
      </c>
      <c r="M165" s="18">
        <v>12000</v>
      </c>
      <c r="N165" s="17"/>
    </row>
    <row r="166" spans="1:14" ht="30" customHeight="1" outlineLevel="1" x14ac:dyDescent="0.25">
      <c r="A166" s="6"/>
      <c r="B166" s="6" t="s">
        <v>313</v>
      </c>
      <c r="C166" s="7"/>
      <c r="D166" s="7"/>
      <c r="E166" s="8"/>
      <c r="F166" s="18"/>
      <c r="G166" s="18"/>
      <c r="H166" s="18">
        <f ca="1">SUBTOTAL(9,H157:H165)</f>
        <v>69904.2</v>
      </c>
      <c r="I166" s="7"/>
      <c r="J166" s="9"/>
      <c r="K166" s="7"/>
      <c r="L166" s="7"/>
      <c r="M166" s="18">
        <v>69904.2</v>
      </c>
      <c r="N166" s="17"/>
    </row>
    <row r="167" spans="1:14" ht="30" customHeight="1" outlineLevel="2" x14ac:dyDescent="0.25">
      <c r="A167" s="3">
        <v>13</v>
      </c>
      <c r="B167" s="3" t="str">
        <f>E167</f>
        <v xml:space="preserve">ЩО-16 (Альбом 34) </v>
      </c>
      <c r="C167" s="3"/>
      <c r="D167" s="14"/>
      <c r="E167" s="3" t="s">
        <v>213</v>
      </c>
      <c r="F167" s="13"/>
      <c r="G167" s="13"/>
      <c r="H167" s="13"/>
      <c r="I167" s="5">
        <v>1</v>
      </c>
      <c r="J167" s="4" t="s">
        <v>6</v>
      </c>
      <c r="K167" s="4" t="s">
        <v>23</v>
      </c>
      <c r="L167" s="4" t="s">
        <v>31</v>
      </c>
      <c r="M167" s="13"/>
      <c r="N167" s="17"/>
    </row>
    <row r="168" spans="1:14" ht="30" customHeight="1" outlineLevel="2" x14ac:dyDescent="0.25">
      <c r="A168" s="6">
        <v>14</v>
      </c>
      <c r="B168" s="6" t="str">
        <f t="shared" ref="B168:B173" si="59">B167</f>
        <v xml:space="preserve">ЩО-16 (Альбом 34) </v>
      </c>
      <c r="C168" s="7" t="s">
        <v>7</v>
      </c>
      <c r="D168" s="7" t="s">
        <v>274</v>
      </c>
      <c r="E168" s="8" t="s">
        <v>275</v>
      </c>
      <c r="F168" s="18">
        <v>20000</v>
      </c>
      <c r="G168" s="18">
        <f>0.6*F168</f>
        <v>12000</v>
      </c>
      <c r="H168" s="18">
        <f t="shared" ref="H168:H173" si="60">G168*I168</f>
        <v>12000</v>
      </c>
      <c r="I168" s="7">
        <v>1</v>
      </c>
      <c r="J168" s="9" t="s">
        <v>11</v>
      </c>
      <c r="K168" s="9" t="s">
        <v>24</v>
      </c>
      <c r="L168" s="9" t="s">
        <v>31</v>
      </c>
      <c r="M168" s="18">
        <v>12000</v>
      </c>
      <c r="N168" s="17"/>
    </row>
    <row r="169" spans="1:14" ht="30" customHeight="1" outlineLevel="2" x14ac:dyDescent="0.25">
      <c r="A169" s="6">
        <v>15</v>
      </c>
      <c r="B169" s="6" t="str">
        <f t="shared" si="59"/>
        <v xml:space="preserve">ЩО-16 (Альбом 34) </v>
      </c>
      <c r="C169" s="7" t="s">
        <v>10</v>
      </c>
      <c r="D169" s="7">
        <v>296829</v>
      </c>
      <c r="E169" s="8" t="s">
        <v>44</v>
      </c>
      <c r="F169" s="18">
        <v>2429</v>
      </c>
      <c r="G169" s="18">
        <f t="shared" ref="G169:G171" si="61">F169*0.6</f>
        <v>1457.3999999999999</v>
      </c>
      <c r="H169" s="18">
        <f t="shared" si="60"/>
        <v>1457.3999999999999</v>
      </c>
      <c r="I169" s="7">
        <v>1</v>
      </c>
      <c r="J169" s="9" t="s">
        <v>11</v>
      </c>
      <c r="K169" s="9" t="s">
        <v>22</v>
      </c>
      <c r="L169" s="9" t="s">
        <v>31</v>
      </c>
      <c r="M169" s="18">
        <v>1457.3999999999999</v>
      </c>
      <c r="N169" s="17"/>
    </row>
    <row r="170" spans="1:14" ht="30" customHeight="1" outlineLevel="2" x14ac:dyDescent="0.25">
      <c r="A170" s="6">
        <v>15</v>
      </c>
      <c r="B170" s="6" t="str">
        <f t="shared" si="59"/>
        <v xml:space="preserve">ЩО-16 (Альбом 34) </v>
      </c>
      <c r="C170" s="7" t="s">
        <v>10</v>
      </c>
      <c r="D170" s="7">
        <v>296710</v>
      </c>
      <c r="E170" s="8" t="s">
        <v>41</v>
      </c>
      <c r="F170" s="18">
        <v>783</v>
      </c>
      <c r="G170" s="18">
        <f t="shared" si="61"/>
        <v>469.79999999999995</v>
      </c>
      <c r="H170" s="18">
        <f t="shared" si="60"/>
        <v>4698</v>
      </c>
      <c r="I170" s="7">
        <v>10</v>
      </c>
      <c r="J170" s="9" t="s">
        <v>11</v>
      </c>
      <c r="K170" s="9" t="s">
        <v>22</v>
      </c>
      <c r="L170" s="9" t="s">
        <v>31</v>
      </c>
      <c r="M170" s="18">
        <v>4698</v>
      </c>
      <c r="N170" s="17"/>
    </row>
    <row r="171" spans="1:14" ht="30" customHeight="1" outlineLevel="2" x14ac:dyDescent="0.25">
      <c r="A171" s="6">
        <v>15</v>
      </c>
      <c r="B171" s="6" t="str">
        <f t="shared" si="59"/>
        <v xml:space="preserve">ЩО-16 (Альбом 34) </v>
      </c>
      <c r="C171" s="7" t="s">
        <v>12</v>
      </c>
      <c r="D171" s="7">
        <v>105542</v>
      </c>
      <c r="E171" s="8" t="s">
        <v>43</v>
      </c>
      <c r="F171" s="18">
        <v>5093</v>
      </c>
      <c r="G171" s="18">
        <f t="shared" si="61"/>
        <v>3055.7999999999997</v>
      </c>
      <c r="H171" s="18">
        <f t="shared" si="60"/>
        <v>12223.199999999999</v>
      </c>
      <c r="I171" s="7">
        <v>4</v>
      </c>
      <c r="J171" s="9" t="s">
        <v>11</v>
      </c>
      <c r="K171" s="9" t="s">
        <v>22</v>
      </c>
      <c r="L171" s="9" t="s">
        <v>31</v>
      </c>
      <c r="M171" s="18">
        <v>12223.199999999999</v>
      </c>
      <c r="N171" s="17"/>
    </row>
    <row r="172" spans="1:14" ht="30" customHeight="1" outlineLevel="2" x14ac:dyDescent="0.25">
      <c r="A172" s="6">
        <v>19</v>
      </c>
      <c r="B172" s="6" t="str">
        <f t="shared" si="59"/>
        <v xml:space="preserve">ЩО-16 (Альбом 34) </v>
      </c>
      <c r="C172" s="7" t="s">
        <v>8</v>
      </c>
      <c r="D172" s="7" t="s">
        <v>8</v>
      </c>
      <c r="E172" s="8" t="s">
        <v>8</v>
      </c>
      <c r="F172" s="18">
        <f ca="1">OFFSET(F172,1,2)</f>
        <v>12000</v>
      </c>
      <c r="G172" s="18">
        <f ca="1">F172</f>
        <v>12000</v>
      </c>
      <c r="H172" s="18">
        <f t="shared" ca="1" si="60"/>
        <v>12000</v>
      </c>
      <c r="I172" s="7">
        <v>1</v>
      </c>
      <c r="J172" s="9" t="s">
        <v>11</v>
      </c>
      <c r="K172" s="7" t="s">
        <v>8</v>
      </c>
      <c r="L172" s="7" t="s">
        <v>31</v>
      </c>
      <c r="M172" s="18">
        <v>12000</v>
      </c>
      <c r="N172" s="17"/>
    </row>
    <row r="173" spans="1:14" ht="30" customHeight="1" outlineLevel="2" x14ac:dyDescent="0.25">
      <c r="A173" s="6">
        <v>20</v>
      </c>
      <c r="B173" s="6" t="str">
        <f t="shared" si="59"/>
        <v xml:space="preserve">ЩО-16 (Альбом 34) </v>
      </c>
      <c r="C173" s="7" t="s">
        <v>9</v>
      </c>
      <c r="D173" s="7" t="s">
        <v>9</v>
      </c>
      <c r="E173" s="8" t="s">
        <v>9</v>
      </c>
      <c r="F173" s="18">
        <v>2</v>
      </c>
      <c r="G173" s="18">
        <v>100</v>
      </c>
      <c r="H173" s="18">
        <f t="shared" si="60"/>
        <v>12000</v>
      </c>
      <c r="I173" s="7">
        <f>60*F173</f>
        <v>120</v>
      </c>
      <c r="J173" s="9" t="s">
        <v>11</v>
      </c>
      <c r="K173" s="7" t="s">
        <v>9</v>
      </c>
      <c r="L173" s="7" t="s">
        <v>31</v>
      </c>
      <c r="M173" s="18">
        <v>12000</v>
      </c>
      <c r="N173" s="17"/>
    </row>
    <row r="174" spans="1:14" ht="30" customHeight="1" outlineLevel="1" x14ac:dyDescent="0.25">
      <c r="A174" s="6"/>
      <c r="B174" s="6" t="s">
        <v>314</v>
      </c>
      <c r="C174" s="7"/>
      <c r="D174" s="7"/>
      <c r="E174" s="8"/>
      <c r="F174" s="18"/>
      <c r="G174" s="18"/>
      <c r="H174" s="18">
        <f ca="1">SUBTOTAL(9,H167:H173)</f>
        <v>54378.6</v>
      </c>
      <c r="I174" s="7"/>
      <c r="J174" s="9"/>
      <c r="K174" s="7"/>
      <c r="L174" s="7"/>
      <c r="M174" s="18">
        <v>54378.6</v>
      </c>
      <c r="N174" s="17"/>
    </row>
    <row r="175" spans="1:14" ht="30" customHeight="1" outlineLevel="2" x14ac:dyDescent="0.25">
      <c r="A175" s="3">
        <v>13</v>
      </c>
      <c r="B175" s="3" t="str">
        <f>E175</f>
        <v xml:space="preserve">ЩО-17 (Альбом 34) </v>
      </c>
      <c r="C175" s="3"/>
      <c r="D175" s="14"/>
      <c r="E175" s="3" t="s">
        <v>214</v>
      </c>
      <c r="F175" s="13"/>
      <c r="G175" s="13"/>
      <c r="H175" s="13"/>
      <c r="I175" s="5">
        <v>1</v>
      </c>
      <c r="J175" s="4" t="s">
        <v>6</v>
      </c>
      <c r="K175" s="4" t="s">
        <v>23</v>
      </c>
      <c r="L175" s="4" t="s">
        <v>31</v>
      </c>
      <c r="M175" s="13"/>
      <c r="N175" s="17"/>
    </row>
    <row r="176" spans="1:14" ht="30" customHeight="1" outlineLevel="2" x14ac:dyDescent="0.25">
      <c r="A176" s="6">
        <v>14</v>
      </c>
      <c r="B176" s="6" t="str">
        <f t="shared" ref="B176:B181" si="62">B175</f>
        <v xml:space="preserve">ЩО-17 (Альбом 34) </v>
      </c>
      <c r="C176" s="7" t="s">
        <v>7</v>
      </c>
      <c r="D176" s="7" t="s">
        <v>274</v>
      </c>
      <c r="E176" s="8" t="s">
        <v>275</v>
      </c>
      <c r="F176" s="18">
        <v>20000</v>
      </c>
      <c r="G176" s="18">
        <f>0.6*F176</f>
        <v>12000</v>
      </c>
      <c r="H176" s="18">
        <f t="shared" ref="H176:H181" si="63">G176*I176</f>
        <v>12000</v>
      </c>
      <c r="I176" s="7">
        <v>1</v>
      </c>
      <c r="J176" s="9" t="s">
        <v>11</v>
      </c>
      <c r="K176" s="9" t="s">
        <v>24</v>
      </c>
      <c r="L176" s="9" t="s">
        <v>31</v>
      </c>
      <c r="M176" s="18">
        <v>12000</v>
      </c>
      <c r="N176" s="17"/>
    </row>
    <row r="177" spans="1:14" ht="30" customHeight="1" outlineLevel="2" x14ac:dyDescent="0.25">
      <c r="A177" s="6">
        <v>15</v>
      </c>
      <c r="B177" s="6" t="str">
        <f t="shared" si="62"/>
        <v xml:space="preserve">ЩО-17 (Альбом 34) </v>
      </c>
      <c r="C177" s="7" t="s">
        <v>10</v>
      </c>
      <c r="D177" s="7">
        <v>296829</v>
      </c>
      <c r="E177" s="8" t="s">
        <v>44</v>
      </c>
      <c r="F177" s="18">
        <v>2429</v>
      </c>
      <c r="G177" s="18">
        <f t="shared" ref="G177:G179" si="64">F177*0.6</f>
        <v>1457.3999999999999</v>
      </c>
      <c r="H177" s="18">
        <f t="shared" si="63"/>
        <v>1457.3999999999999</v>
      </c>
      <c r="I177" s="7">
        <v>1</v>
      </c>
      <c r="J177" s="9" t="s">
        <v>11</v>
      </c>
      <c r="K177" s="9" t="s">
        <v>22</v>
      </c>
      <c r="L177" s="9" t="s">
        <v>31</v>
      </c>
      <c r="M177" s="18">
        <v>1457.3999999999999</v>
      </c>
      <c r="N177" s="17"/>
    </row>
    <row r="178" spans="1:14" ht="30" customHeight="1" outlineLevel="2" x14ac:dyDescent="0.25">
      <c r="A178" s="6">
        <v>15</v>
      </c>
      <c r="B178" s="6" t="str">
        <f t="shared" si="62"/>
        <v xml:space="preserve">ЩО-17 (Альбом 34) </v>
      </c>
      <c r="C178" s="7" t="s">
        <v>10</v>
      </c>
      <c r="D178" s="7">
        <v>296710</v>
      </c>
      <c r="E178" s="8" t="s">
        <v>41</v>
      </c>
      <c r="F178" s="18">
        <v>783</v>
      </c>
      <c r="G178" s="18">
        <f t="shared" si="64"/>
        <v>469.79999999999995</v>
      </c>
      <c r="H178" s="18">
        <f t="shared" si="63"/>
        <v>4698</v>
      </c>
      <c r="I178" s="7">
        <v>10</v>
      </c>
      <c r="J178" s="9" t="s">
        <v>11</v>
      </c>
      <c r="K178" s="9" t="s">
        <v>22</v>
      </c>
      <c r="L178" s="9" t="s">
        <v>31</v>
      </c>
      <c r="M178" s="18">
        <v>4698</v>
      </c>
      <c r="N178" s="17"/>
    </row>
    <row r="179" spans="1:14" ht="30" customHeight="1" outlineLevel="2" x14ac:dyDescent="0.25">
      <c r="A179" s="6">
        <v>15</v>
      </c>
      <c r="B179" s="6" t="str">
        <f t="shared" si="62"/>
        <v xml:space="preserve">ЩО-17 (Альбом 34) </v>
      </c>
      <c r="C179" s="7" t="s">
        <v>12</v>
      </c>
      <c r="D179" s="7">
        <v>105542</v>
      </c>
      <c r="E179" s="8" t="s">
        <v>43</v>
      </c>
      <c r="F179" s="18">
        <v>5093</v>
      </c>
      <c r="G179" s="18">
        <f t="shared" si="64"/>
        <v>3055.7999999999997</v>
      </c>
      <c r="H179" s="18">
        <f t="shared" si="63"/>
        <v>15278.999999999998</v>
      </c>
      <c r="I179" s="7">
        <v>5</v>
      </c>
      <c r="J179" s="9" t="s">
        <v>11</v>
      </c>
      <c r="K179" s="9" t="s">
        <v>22</v>
      </c>
      <c r="L179" s="9" t="s">
        <v>31</v>
      </c>
      <c r="M179" s="18">
        <v>15278.999999999998</v>
      </c>
      <c r="N179" s="17"/>
    </row>
    <row r="180" spans="1:14" ht="30" customHeight="1" outlineLevel="2" x14ac:dyDescent="0.25">
      <c r="A180" s="6">
        <v>19</v>
      </c>
      <c r="B180" s="6" t="str">
        <f t="shared" si="62"/>
        <v xml:space="preserve">ЩО-17 (Альбом 34) </v>
      </c>
      <c r="C180" s="7" t="s">
        <v>8</v>
      </c>
      <c r="D180" s="7" t="s">
        <v>8</v>
      </c>
      <c r="E180" s="8" t="s">
        <v>8</v>
      </c>
      <c r="F180" s="18">
        <f ca="1">OFFSET(F180,1,2)</f>
        <v>12000</v>
      </c>
      <c r="G180" s="18">
        <f ca="1">F180</f>
        <v>12000</v>
      </c>
      <c r="H180" s="18">
        <f t="shared" ca="1" si="63"/>
        <v>12000</v>
      </c>
      <c r="I180" s="7">
        <v>1</v>
      </c>
      <c r="J180" s="9" t="s">
        <v>11</v>
      </c>
      <c r="K180" s="7" t="s">
        <v>8</v>
      </c>
      <c r="L180" s="7" t="s">
        <v>31</v>
      </c>
      <c r="M180" s="18">
        <v>12000</v>
      </c>
      <c r="N180" s="17"/>
    </row>
    <row r="181" spans="1:14" ht="30" customHeight="1" outlineLevel="2" x14ac:dyDescent="0.25">
      <c r="A181" s="6">
        <v>20</v>
      </c>
      <c r="B181" s="6" t="str">
        <f t="shared" si="62"/>
        <v xml:space="preserve">ЩО-17 (Альбом 34) </v>
      </c>
      <c r="C181" s="7" t="s">
        <v>9</v>
      </c>
      <c r="D181" s="7" t="s">
        <v>9</v>
      </c>
      <c r="E181" s="8" t="s">
        <v>9</v>
      </c>
      <c r="F181" s="18">
        <v>2</v>
      </c>
      <c r="G181" s="18">
        <v>100</v>
      </c>
      <c r="H181" s="18">
        <f t="shared" si="63"/>
        <v>12000</v>
      </c>
      <c r="I181" s="7">
        <f>60*F181</f>
        <v>120</v>
      </c>
      <c r="J181" s="9" t="s">
        <v>11</v>
      </c>
      <c r="K181" s="7" t="s">
        <v>9</v>
      </c>
      <c r="L181" s="7" t="s">
        <v>31</v>
      </c>
      <c r="M181" s="18">
        <v>12000</v>
      </c>
      <c r="N181" s="17"/>
    </row>
    <row r="182" spans="1:14" ht="30" customHeight="1" outlineLevel="1" x14ac:dyDescent="0.25">
      <c r="A182" s="6"/>
      <c r="B182" s="6" t="s">
        <v>315</v>
      </c>
      <c r="C182" s="7"/>
      <c r="D182" s="7"/>
      <c r="E182" s="8"/>
      <c r="F182" s="18"/>
      <c r="G182" s="18"/>
      <c r="H182" s="18">
        <f ca="1">SUBTOTAL(9,H175:H181)</f>
        <v>57434.400000000001</v>
      </c>
      <c r="I182" s="7"/>
      <c r="J182" s="9"/>
      <c r="K182" s="7"/>
      <c r="L182" s="7"/>
      <c r="M182" s="18">
        <v>57434.400000000001</v>
      </c>
      <c r="N182" s="17"/>
    </row>
    <row r="183" spans="1:14" ht="30" customHeight="1" outlineLevel="2" x14ac:dyDescent="0.25">
      <c r="A183" s="3">
        <v>13</v>
      </c>
      <c r="B183" s="3" t="str">
        <f>E183</f>
        <v xml:space="preserve">ЩАО-1,ЩАО-3, ЩАО-7 (Альбом 34) </v>
      </c>
      <c r="C183" s="3"/>
      <c r="D183" s="14"/>
      <c r="E183" s="3" t="s">
        <v>45</v>
      </c>
      <c r="F183" s="13"/>
      <c r="G183" s="13"/>
      <c r="H183" s="13"/>
      <c r="I183" s="5">
        <v>3</v>
      </c>
      <c r="J183" s="4" t="s">
        <v>6</v>
      </c>
      <c r="K183" s="4" t="s">
        <v>23</v>
      </c>
      <c r="L183" s="4" t="s">
        <v>31</v>
      </c>
      <c r="M183" s="13"/>
      <c r="N183" s="17"/>
    </row>
    <row r="184" spans="1:14" ht="30" customHeight="1" outlineLevel="2" x14ac:dyDescent="0.25">
      <c r="A184" s="6">
        <v>14</v>
      </c>
      <c r="B184" s="6" t="str">
        <f t="shared" ref="B184:B188" si="65">B183</f>
        <v xml:space="preserve">ЩАО-1,ЩАО-3, ЩАО-7 (Альбом 34) </v>
      </c>
      <c r="C184" s="7" t="s">
        <v>7</v>
      </c>
      <c r="D184" s="7" t="s">
        <v>268</v>
      </c>
      <c r="E184" s="8" t="s">
        <v>269</v>
      </c>
      <c r="F184" s="18">
        <v>10500</v>
      </c>
      <c r="G184" s="18">
        <f>0.6*F184</f>
        <v>6300</v>
      </c>
      <c r="H184" s="18">
        <f t="shared" ref="H184:H188" si="66">G184*I184</f>
        <v>6300</v>
      </c>
      <c r="I184" s="7">
        <v>1</v>
      </c>
      <c r="J184" s="9" t="s">
        <v>11</v>
      </c>
      <c r="K184" s="9" t="s">
        <v>24</v>
      </c>
      <c r="L184" s="9" t="s">
        <v>31</v>
      </c>
      <c r="M184" s="18">
        <v>6300</v>
      </c>
      <c r="N184" s="17"/>
    </row>
    <row r="185" spans="1:14" ht="30" customHeight="1" outlineLevel="2" x14ac:dyDescent="0.25">
      <c r="A185" s="6">
        <v>15</v>
      </c>
      <c r="B185" s="6" t="str">
        <f t="shared" si="65"/>
        <v xml:space="preserve">ЩАО-1,ЩАО-3, ЩАО-7 (Альбом 34) </v>
      </c>
      <c r="C185" s="7" t="s">
        <v>10</v>
      </c>
      <c r="D185" s="7">
        <v>296829</v>
      </c>
      <c r="E185" s="8" t="s">
        <v>44</v>
      </c>
      <c r="F185" s="18">
        <v>2429</v>
      </c>
      <c r="G185" s="18">
        <f t="shared" ref="G185:G186" si="67">F185*0.6</f>
        <v>1457.3999999999999</v>
      </c>
      <c r="H185" s="18">
        <f t="shared" si="66"/>
        <v>1457.3999999999999</v>
      </c>
      <c r="I185" s="7">
        <v>1</v>
      </c>
      <c r="J185" s="9" t="s">
        <v>11</v>
      </c>
      <c r="K185" s="9" t="s">
        <v>22</v>
      </c>
      <c r="L185" s="9" t="s">
        <v>31</v>
      </c>
      <c r="M185" s="18">
        <v>1457.3999999999999</v>
      </c>
      <c r="N185" s="17"/>
    </row>
    <row r="186" spans="1:14" ht="30" customHeight="1" outlineLevel="2" x14ac:dyDescent="0.25">
      <c r="A186" s="6">
        <v>15</v>
      </c>
      <c r="B186" s="6" t="str">
        <f t="shared" si="65"/>
        <v xml:space="preserve">ЩАО-1,ЩАО-3, ЩАО-7 (Альбом 34) </v>
      </c>
      <c r="C186" s="7" t="s">
        <v>10</v>
      </c>
      <c r="D186" s="7">
        <v>296710</v>
      </c>
      <c r="E186" s="8" t="s">
        <v>41</v>
      </c>
      <c r="F186" s="18">
        <v>783</v>
      </c>
      <c r="G186" s="18">
        <f t="shared" si="67"/>
        <v>469.79999999999995</v>
      </c>
      <c r="H186" s="18">
        <f t="shared" si="66"/>
        <v>1879.1999999999998</v>
      </c>
      <c r="I186" s="7">
        <v>4</v>
      </c>
      <c r="J186" s="9" t="s">
        <v>11</v>
      </c>
      <c r="K186" s="9" t="s">
        <v>22</v>
      </c>
      <c r="L186" s="9" t="s">
        <v>31</v>
      </c>
      <c r="M186" s="18">
        <v>1879.1999999999998</v>
      </c>
      <c r="N186" s="17"/>
    </row>
    <row r="187" spans="1:14" ht="30" customHeight="1" outlineLevel="2" x14ac:dyDescent="0.25">
      <c r="A187" s="6">
        <v>19</v>
      </c>
      <c r="B187" s="6" t="str">
        <f t="shared" si="65"/>
        <v xml:space="preserve">ЩАО-1,ЩАО-3, ЩАО-7 (Альбом 34) </v>
      </c>
      <c r="C187" s="7" t="s">
        <v>8</v>
      </c>
      <c r="D187" s="7" t="s">
        <v>8</v>
      </c>
      <c r="E187" s="8" t="s">
        <v>8</v>
      </c>
      <c r="F187" s="18">
        <f ca="1">OFFSET(F187,1,2)</f>
        <v>6000</v>
      </c>
      <c r="G187" s="18">
        <f ca="1">F187</f>
        <v>6000</v>
      </c>
      <c r="H187" s="18">
        <f t="shared" ca="1" si="66"/>
        <v>6000</v>
      </c>
      <c r="I187" s="7">
        <v>1</v>
      </c>
      <c r="J187" s="9" t="s">
        <v>11</v>
      </c>
      <c r="K187" s="7" t="s">
        <v>8</v>
      </c>
      <c r="L187" s="7" t="s">
        <v>31</v>
      </c>
      <c r="M187" s="18">
        <v>6000</v>
      </c>
      <c r="N187" s="17"/>
    </row>
    <row r="188" spans="1:14" ht="30" customHeight="1" outlineLevel="2" x14ac:dyDescent="0.25">
      <c r="A188" s="6">
        <v>20</v>
      </c>
      <c r="B188" s="6" t="str">
        <f t="shared" si="65"/>
        <v xml:space="preserve">ЩАО-1,ЩАО-3, ЩАО-7 (Альбом 34) </v>
      </c>
      <c r="C188" s="7" t="s">
        <v>9</v>
      </c>
      <c r="D188" s="7" t="s">
        <v>9</v>
      </c>
      <c r="E188" s="8" t="s">
        <v>9</v>
      </c>
      <c r="F188" s="18">
        <v>1</v>
      </c>
      <c r="G188" s="18">
        <v>100</v>
      </c>
      <c r="H188" s="18">
        <f t="shared" si="66"/>
        <v>6000</v>
      </c>
      <c r="I188" s="7">
        <f>60*F188</f>
        <v>60</v>
      </c>
      <c r="J188" s="9" t="s">
        <v>11</v>
      </c>
      <c r="K188" s="7" t="s">
        <v>9</v>
      </c>
      <c r="L188" s="7" t="s">
        <v>31</v>
      </c>
      <c r="M188" s="18">
        <v>6000</v>
      </c>
      <c r="N188" s="17"/>
    </row>
    <row r="189" spans="1:14" ht="30" customHeight="1" outlineLevel="1" x14ac:dyDescent="0.25">
      <c r="A189" s="6"/>
      <c r="B189" s="6" t="s">
        <v>316</v>
      </c>
      <c r="C189" s="7"/>
      <c r="D189" s="7"/>
      <c r="E189" s="8"/>
      <c r="F189" s="18"/>
      <c r="G189" s="18"/>
      <c r="H189" s="18">
        <f ca="1">SUBTOTAL(9,H183:H188)</f>
        <v>21636.6</v>
      </c>
      <c r="I189" s="7"/>
      <c r="J189" s="9"/>
      <c r="K189" s="7"/>
      <c r="L189" s="7"/>
      <c r="M189" s="18">
        <v>21636.6</v>
      </c>
      <c r="N189" s="17"/>
    </row>
    <row r="190" spans="1:14" ht="30" customHeight="1" outlineLevel="2" x14ac:dyDescent="0.25">
      <c r="A190" s="3">
        <v>13</v>
      </c>
      <c r="B190" s="3" t="str">
        <f>E190</f>
        <v xml:space="preserve">ЩАО-2,ЩАО-8 (Альбом 34) </v>
      </c>
      <c r="C190" s="3"/>
      <c r="D190" s="14"/>
      <c r="E190" s="3" t="s">
        <v>46</v>
      </c>
      <c r="F190" s="13"/>
      <c r="G190" s="13"/>
      <c r="H190" s="13"/>
      <c r="I190" s="5">
        <v>2</v>
      </c>
      <c r="J190" s="4" t="s">
        <v>6</v>
      </c>
      <c r="K190" s="4" t="s">
        <v>23</v>
      </c>
      <c r="L190" s="4" t="s">
        <v>31</v>
      </c>
      <c r="M190" s="13"/>
      <c r="N190" s="17"/>
    </row>
    <row r="191" spans="1:14" ht="30" customHeight="1" outlineLevel="2" x14ac:dyDescent="0.25">
      <c r="A191" s="6">
        <v>14</v>
      </c>
      <c r="B191" s="6" t="str">
        <f t="shared" ref="B191:B195" si="68">B190</f>
        <v xml:space="preserve">ЩАО-2,ЩАО-8 (Альбом 34) </v>
      </c>
      <c r="C191" s="7" t="s">
        <v>7</v>
      </c>
      <c r="D191" s="7" t="s">
        <v>268</v>
      </c>
      <c r="E191" s="8" t="s">
        <v>269</v>
      </c>
      <c r="F191" s="18">
        <v>10500</v>
      </c>
      <c r="G191" s="18">
        <f>0.6*F191</f>
        <v>6300</v>
      </c>
      <c r="H191" s="18">
        <f t="shared" ref="H191:H195" si="69">G191*I191</f>
        <v>6300</v>
      </c>
      <c r="I191" s="7">
        <v>1</v>
      </c>
      <c r="J191" s="9" t="s">
        <v>11</v>
      </c>
      <c r="K191" s="9" t="s">
        <v>24</v>
      </c>
      <c r="L191" s="9" t="s">
        <v>31</v>
      </c>
      <c r="M191" s="18">
        <v>6300</v>
      </c>
      <c r="N191" s="17"/>
    </row>
    <row r="192" spans="1:14" ht="30" customHeight="1" outlineLevel="2" x14ac:dyDescent="0.25">
      <c r="A192" s="6">
        <v>15</v>
      </c>
      <c r="B192" s="6" t="str">
        <f t="shared" si="68"/>
        <v xml:space="preserve">ЩАО-2,ЩАО-8 (Альбом 34) </v>
      </c>
      <c r="C192" s="7" t="s">
        <v>10</v>
      </c>
      <c r="D192" s="7">
        <v>296829</v>
      </c>
      <c r="E192" s="8" t="s">
        <v>44</v>
      </c>
      <c r="F192" s="18">
        <v>2429</v>
      </c>
      <c r="G192" s="18">
        <f t="shared" ref="G192:G193" si="70">F192*0.6</f>
        <v>1457.3999999999999</v>
      </c>
      <c r="H192" s="18">
        <f t="shared" si="69"/>
        <v>1457.3999999999999</v>
      </c>
      <c r="I192" s="7">
        <v>1</v>
      </c>
      <c r="J192" s="9" t="s">
        <v>11</v>
      </c>
      <c r="K192" s="9" t="s">
        <v>22</v>
      </c>
      <c r="L192" s="9" t="s">
        <v>31</v>
      </c>
      <c r="M192" s="18">
        <v>1457.3999999999999</v>
      </c>
      <c r="N192" s="17"/>
    </row>
    <row r="193" spans="1:14" ht="30" customHeight="1" outlineLevel="2" x14ac:dyDescent="0.25">
      <c r="A193" s="6">
        <v>15</v>
      </c>
      <c r="B193" s="6" t="str">
        <f t="shared" si="68"/>
        <v xml:space="preserve">ЩАО-2,ЩАО-8 (Альбом 34) </v>
      </c>
      <c r="C193" s="7" t="s">
        <v>10</v>
      </c>
      <c r="D193" s="7">
        <v>296710</v>
      </c>
      <c r="E193" s="8" t="s">
        <v>41</v>
      </c>
      <c r="F193" s="18">
        <v>783</v>
      </c>
      <c r="G193" s="18">
        <f t="shared" si="70"/>
        <v>469.79999999999995</v>
      </c>
      <c r="H193" s="18">
        <f t="shared" si="69"/>
        <v>3288.5999999999995</v>
      </c>
      <c r="I193" s="7">
        <v>7</v>
      </c>
      <c r="J193" s="9" t="s">
        <v>11</v>
      </c>
      <c r="K193" s="9" t="s">
        <v>22</v>
      </c>
      <c r="L193" s="9" t="s">
        <v>31</v>
      </c>
      <c r="M193" s="18">
        <v>3288.5999999999995</v>
      </c>
      <c r="N193" s="17"/>
    </row>
    <row r="194" spans="1:14" ht="30" customHeight="1" outlineLevel="2" x14ac:dyDescent="0.25">
      <c r="A194" s="6">
        <v>19</v>
      </c>
      <c r="B194" s="6" t="str">
        <f t="shared" si="68"/>
        <v xml:space="preserve">ЩАО-2,ЩАО-8 (Альбом 34) </v>
      </c>
      <c r="C194" s="7" t="s">
        <v>8</v>
      </c>
      <c r="D194" s="7" t="s">
        <v>8</v>
      </c>
      <c r="E194" s="8" t="s">
        <v>8</v>
      </c>
      <c r="F194" s="18">
        <f ca="1">OFFSET(F194,1,2)</f>
        <v>6000</v>
      </c>
      <c r="G194" s="18">
        <f ca="1">F194</f>
        <v>6000</v>
      </c>
      <c r="H194" s="18">
        <f t="shared" ca="1" si="69"/>
        <v>6000</v>
      </c>
      <c r="I194" s="7">
        <v>1</v>
      </c>
      <c r="J194" s="9" t="s">
        <v>11</v>
      </c>
      <c r="K194" s="7" t="s">
        <v>8</v>
      </c>
      <c r="L194" s="7" t="s">
        <v>31</v>
      </c>
      <c r="M194" s="18">
        <v>6000</v>
      </c>
      <c r="N194" s="17"/>
    </row>
    <row r="195" spans="1:14" ht="30" customHeight="1" outlineLevel="2" x14ac:dyDescent="0.25">
      <c r="A195" s="6">
        <v>20</v>
      </c>
      <c r="B195" s="6" t="str">
        <f t="shared" si="68"/>
        <v xml:space="preserve">ЩАО-2,ЩАО-8 (Альбом 34) </v>
      </c>
      <c r="C195" s="7" t="s">
        <v>9</v>
      </c>
      <c r="D195" s="7" t="s">
        <v>9</v>
      </c>
      <c r="E195" s="8" t="s">
        <v>9</v>
      </c>
      <c r="F195" s="18">
        <v>1</v>
      </c>
      <c r="G195" s="18">
        <v>100</v>
      </c>
      <c r="H195" s="18">
        <f t="shared" si="69"/>
        <v>6000</v>
      </c>
      <c r="I195" s="7">
        <f>60*F195</f>
        <v>60</v>
      </c>
      <c r="J195" s="9" t="s">
        <v>11</v>
      </c>
      <c r="K195" s="7" t="s">
        <v>9</v>
      </c>
      <c r="L195" s="7" t="s">
        <v>31</v>
      </c>
      <c r="M195" s="18">
        <v>6000</v>
      </c>
      <c r="N195" s="17"/>
    </row>
    <row r="196" spans="1:14" ht="30" customHeight="1" outlineLevel="1" x14ac:dyDescent="0.25">
      <c r="A196" s="6"/>
      <c r="B196" s="6" t="s">
        <v>317</v>
      </c>
      <c r="C196" s="7"/>
      <c r="D196" s="7"/>
      <c r="E196" s="8"/>
      <c r="F196" s="18"/>
      <c r="G196" s="18"/>
      <c r="H196" s="18">
        <f ca="1">SUBTOTAL(9,H190:H195)</f>
        <v>23046</v>
      </c>
      <c r="I196" s="7"/>
      <c r="J196" s="9"/>
      <c r="K196" s="7"/>
      <c r="L196" s="7"/>
      <c r="M196" s="18">
        <v>23046</v>
      </c>
      <c r="N196" s="17"/>
    </row>
    <row r="197" spans="1:14" ht="30" customHeight="1" outlineLevel="2" x14ac:dyDescent="0.25">
      <c r="A197" s="3">
        <v>13</v>
      </c>
      <c r="B197" s="3" t="str">
        <f>E197</f>
        <v xml:space="preserve">ЩАО-4,ЩАО-9 (Альбом 34) </v>
      </c>
      <c r="C197" s="3"/>
      <c r="D197" s="14"/>
      <c r="E197" s="3" t="s">
        <v>47</v>
      </c>
      <c r="F197" s="13"/>
      <c r="G197" s="13"/>
      <c r="H197" s="13"/>
      <c r="I197" s="5">
        <v>2</v>
      </c>
      <c r="J197" s="4" t="s">
        <v>6</v>
      </c>
      <c r="K197" s="4" t="s">
        <v>23</v>
      </c>
      <c r="L197" s="4" t="s">
        <v>31</v>
      </c>
      <c r="M197" s="13"/>
      <c r="N197" s="17"/>
    </row>
    <row r="198" spans="1:14" ht="30" customHeight="1" outlineLevel="2" x14ac:dyDescent="0.25">
      <c r="A198" s="6">
        <v>14</v>
      </c>
      <c r="B198" s="6" t="str">
        <f t="shared" ref="B198:B202" si="71">B197</f>
        <v xml:space="preserve">ЩАО-4,ЩАО-9 (Альбом 34) </v>
      </c>
      <c r="C198" s="7" t="s">
        <v>7</v>
      </c>
      <c r="D198" s="7" t="s">
        <v>268</v>
      </c>
      <c r="E198" s="8" t="s">
        <v>269</v>
      </c>
      <c r="F198" s="18">
        <v>10500</v>
      </c>
      <c r="G198" s="18">
        <f>0.6*F198</f>
        <v>6300</v>
      </c>
      <c r="H198" s="18">
        <f t="shared" ref="H198:H202" si="72">G198*I198</f>
        <v>6300</v>
      </c>
      <c r="I198" s="7">
        <v>1</v>
      </c>
      <c r="J198" s="9" t="s">
        <v>11</v>
      </c>
      <c r="K198" s="9" t="s">
        <v>24</v>
      </c>
      <c r="L198" s="9" t="s">
        <v>31</v>
      </c>
      <c r="M198" s="18">
        <v>6300</v>
      </c>
      <c r="N198" s="17"/>
    </row>
    <row r="199" spans="1:14" ht="30" customHeight="1" outlineLevel="2" x14ac:dyDescent="0.25">
      <c r="A199" s="6">
        <v>15</v>
      </c>
      <c r="B199" s="6" t="str">
        <f t="shared" si="71"/>
        <v xml:space="preserve">ЩАО-4,ЩАО-9 (Альбом 34) </v>
      </c>
      <c r="C199" s="7" t="s">
        <v>10</v>
      </c>
      <c r="D199" s="7">
        <v>296829</v>
      </c>
      <c r="E199" s="8" t="s">
        <v>44</v>
      </c>
      <c r="F199" s="18">
        <v>2429</v>
      </c>
      <c r="G199" s="18">
        <f t="shared" ref="G199:G200" si="73">F199*0.6</f>
        <v>1457.3999999999999</v>
      </c>
      <c r="H199" s="18">
        <f t="shared" si="72"/>
        <v>1457.3999999999999</v>
      </c>
      <c r="I199" s="7">
        <v>1</v>
      </c>
      <c r="J199" s="9" t="s">
        <v>11</v>
      </c>
      <c r="K199" s="9" t="s">
        <v>22</v>
      </c>
      <c r="L199" s="9" t="s">
        <v>31</v>
      </c>
      <c r="M199" s="18">
        <v>1457.3999999999999</v>
      </c>
      <c r="N199" s="17"/>
    </row>
    <row r="200" spans="1:14" ht="30" customHeight="1" outlineLevel="2" x14ac:dyDescent="0.25">
      <c r="A200" s="6">
        <v>15</v>
      </c>
      <c r="B200" s="6" t="str">
        <f t="shared" si="71"/>
        <v xml:space="preserve">ЩАО-4,ЩАО-9 (Альбом 34) </v>
      </c>
      <c r="C200" s="7" t="s">
        <v>10</v>
      </c>
      <c r="D200" s="7">
        <v>296710</v>
      </c>
      <c r="E200" s="8" t="s">
        <v>41</v>
      </c>
      <c r="F200" s="18">
        <v>783</v>
      </c>
      <c r="G200" s="18">
        <f t="shared" si="73"/>
        <v>469.79999999999995</v>
      </c>
      <c r="H200" s="18">
        <f t="shared" si="72"/>
        <v>1409.3999999999999</v>
      </c>
      <c r="I200" s="7">
        <v>3</v>
      </c>
      <c r="J200" s="9" t="s">
        <v>11</v>
      </c>
      <c r="K200" s="9" t="s">
        <v>22</v>
      </c>
      <c r="L200" s="9" t="s">
        <v>31</v>
      </c>
      <c r="M200" s="18">
        <v>1409.3999999999999</v>
      </c>
      <c r="N200" s="17"/>
    </row>
    <row r="201" spans="1:14" ht="30" customHeight="1" outlineLevel="2" x14ac:dyDescent="0.25">
      <c r="A201" s="6">
        <v>19</v>
      </c>
      <c r="B201" s="6" t="str">
        <f t="shared" si="71"/>
        <v xml:space="preserve">ЩАО-4,ЩАО-9 (Альбом 34) </v>
      </c>
      <c r="C201" s="7" t="s">
        <v>8</v>
      </c>
      <c r="D201" s="7" t="s">
        <v>8</v>
      </c>
      <c r="E201" s="8" t="s">
        <v>8</v>
      </c>
      <c r="F201" s="18">
        <f ca="1">OFFSET(F201,1,2)</f>
        <v>6000</v>
      </c>
      <c r="G201" s="18">
        <f ca="1">F201</f>
        <v>6000</v>
      </c>
      <c r="H201" s="18">
        <f t="shared" ca="1" si="72"/>
        <v>6000</v>
      </c>
      <c r="I201" s="7">
        <v>1</v>
      </c>
      <c r="J201" s="9" t="s">
        <v>11</v>
      </c>
      <c r="K201" s="7" t="s">
        <v>8</v>
      </c>
      <c r="L201" s="7" t="s">
        <v>31</v>
      </c>
      <c r="M201" s="18">
        <v>6000</v>
      </c>
      <c r="N201" s="17"/>
    </row>
    <row r="202" spans="1:14" ht="30" customHeight="1" outlineLevel="2" x14ac:dyDescent="0.25">
      <c r="A202" s="6">
        <v>20</v>
      </c>
      <c r="B202" s="6" t="str">
        <f t="shared" si="71"/>
        <v xml:space="preserve">ЩАО-4,ЩАО-9 (Альбом 34) </v>
      </c>
      <c r="C202" s="7" t="s">
        <v>9</v>
      </c>
      <c r="D202" s="7" t="s">
        <v>9</v>
      </c>
      <c r="E202" s="8" t="s">
        <v>9</v>
      </c>
      <c r="F202" s="18">
        <v>1</v>
      </c>
      <c r="G202" s="18">
        <v>100</v>
      </c>
      <c r="H202" s="18">
        <f t="shared" si="72"/>
        <v>6000</v>
      </c>
      <c r="I202" s="7">
        <f>60*F202</f>
        <v>60</v>
      </c>
      <c r="J202" s="9" t="s">
        <v>11</v>
      </c>
      <c r="K202" s="7" t="s">
        <v>9</v>
      </c>
      <c r="L202" s="7" t="s">
        <v>31</v>
      </c>
      <c r="M202" s="18">
        <v>6000</v>
      </c>
      <c r="N202" s="17"/>
    </row>
    <row r="203" spans="1:14" ht="30" customHeight="1" outlineLevel="1" x14ac:dyDescent="0.25">
      <c r="A203" s="6"/>
      <c r="B203" s="6" t="s">
        <v>318</v>
      </c>
      <c r="C203" s="7"/>
      <c r="D203" s="7"/>
      <c r="E203" s="8"/>
      <c r="F203" s="18"/>
      <c r="G203" s="18"/>
      <c r="H203" s="18">
        <f ca="1">SUBTOTAL(9,H197:H202)</f>
        <v>21166.799999999999</v>
      </c>
      <c r="I203" s="7"/>
      <c r="J203" s="9"/>
      <c r="K203" s="7"/>
      <c r="L203" s="7"/>
      <c r="M203" s="18">
        <v>21166.799999999999</v>
      </c>
      <c r="N203" s="17"/>
    </row>
    <row r="204" spans="1:14" ht="30" customHeight="1" outlineLevel="2" x14ac:dyDescent="0.25">
      <c r="A204" s="3">
        <v>13</v>
      </c>
      <c r="B204" s="3" t="str">
        <f>E204</f>
        <v xml:space="preserve">ЩАО-5,ЩАО-6 (Альбом 34) </v>
      </c>
      <c r="C204" s="3"/>
      <c r="D204" s="14"/>
      <c r="E204" s="3" t="s">
        <v>48</v>
      </c>
      <c r="F204" s="13"/>
      <c r="G204" s="13"/>
      <c r="H204" s="13"/>
      <c r="I204" s="5">
        <v>2</v>
      </c>
      <c r="J204" s="4" t="s">
        <v>6</v>
      </c>
      <c r="K204" s="4" t="s">
        <v>23</v>
      </c>
      <c r="L204" s="4" t="s">
        <v>31</v>
      </c>
      <c r="M204" s="13"/>
      <c r="N204" s="17"/>
    </row>
    <row r="205" spans="1:14" ht="30" customHeight="1" outlineLevel="2" x14ac:dyDescent="0.25">
      <c r="A205" s="6">
        <v>14</v>
      </c>
      <c r="B205" s="6" t="str">
        <f t="shared" ref="B205:B210" si="74">B204</f>
        <v xml:space="preserve">ЩАО-5,ЩАО-6 (Альбом 34) </v>
      </c>
      <c r="C205" s="7" t="s">
        <v>7</v>
      </c>
      <c r="D205" s="7" t="s">
        <v>268</v>
      </c>
      <c r="E205" s="8" t="s">
        <v>269</v>
      </c>
      <c r="F205" s="18">
        <v>10500</v>
      </c>
      <c r="G205" s="18">
        <f>0.6*F205</f>
        <v>6300</v>
      </c>
      <c r="H205" s="18">
        <f t="shared" ref="H205:H210" si="75">G205*I205</f>
        <v>6300</v>
      </c>
      <c r="I205" s="7">
        <v>1</v>
      </c>
      <c r="J205" s="9" t="s">
        <v>11</v>
      </c>
      <c r="K205" s="9" t="s">
        <v>24</v>
      </c>
      <c r="L205" s="9" t="s">
        <v>31</v>
      </c>
      <c r="M205" s="18">
        <v>6300</v>
      </c>
      <c r="N205" s="17"/>
    </row>
    <row r="206" spans="1:14" ht="30" customHeight="1" outlineLevel="2" x14ac:dyDescent="0.25">
      <c r="A206" s="6">
        <v>15</v>
      </c>
      <c r="B206" s="6" t="str">
        <f t="shared" si="74"/>
        <v xml:space="preserve">ЩАО-5,ЩАО-6 (Альбом 34) </v>
      </c>
      <c r="C206" s="7" t="s">
        <v>10</v>
      </c>
      <c r="D206" s="7">
        <v>296829</v>
      </c>
      <c r="E206" s="8" t="s">
        <v>44</v>
      </c>
      <c r="F206" s="18">
        <v>2429</v>
      </c>
      <c r="G206" s="18">
        <f t="shared" ref="G206:G207" si="76">F206*0.6</f>
        <v>1457.3999999999999</v>
      </c>
      <c r="H206" s="18">
        <f t="shared" si="75"/>
        <v>1457.3999999999999</v>
      </c>
      <c r="I206" s="7">
        <v>1</v>
      </c>
      <c r="J206" s="9" t="s">
        <v>11</v>
      </c>
      <c r="K206" s="9" t="s">
        <v>22</v>
      </c>
      <c r="L206" s="9" t="s">
        <v>31</v>
      </c>
      <c r="M206" s="18">
        <v>1457.3999999999999</v>
      </c>
      <c r="N206" s="17"/>
    </row>
    <row r="207" spans="1:14" ht="30" customHeight="1" outlineLevel="2" x14ac:dyDescent="0.25">
      <c r="A207" s="6">
        <v>15</v>
      </c>
      <c r="B207" s="6" t="str">
        <f t="shared" si="74"/>
        <v xml:space="preserve">ЩАО-5,ЩАО-6 (Альбом 34) </v>
      </c>
      <c r="C207" s="7" t="s">
        <v>10</v>
      </c>
      <c r="D207" s="7">
        <v>296710</v>
      </c>
      <c r="E207" s="8" t="s">
        <v>41</v>
      </c>
      <c r="F207" s="18">
        <v>783</v>
      </c>
      <c r="G207" s="18">
        <f t="shared" si="76"/>
        <v>469.79999999999995</v>
      </c>
      <c r="H207" s="18">
        <f t="shared" si="75"/>
        <v>2818.7999999999997</v>
      </c>
      <c r="I207" s="7">
        <v>6</v>
      </c>
      <c r="J207" s="9" t="s">
        <v>11</v>
      </c>
      <c r="K207" s="9" t="s">
        <v>22</v>
      </c>
      <c r="L207" s="9" t="s">
        <v>31</v>
      </c>
      <c r="M207" s="18">
        <v>2818.7999999999997</v>
      </c>
      <c r="N207" s="17"/>
    </row>
    <row r="208" spans="1:14" ht="30" customHeight="1" outlineLevel="2" x14ac:dyDescent="0.25">
      <c r="A208" s="6">
        <v>19</v>
      </c>
      <c r="B208" s="6" t="str">
        <f t="shared" si="74"/>
        <v xml:space="preserve">ЩАО-5,ЩАО-6 (Альбом 34) </v>
      </c>
      <c r="C208" s="7" t="s">
        <v>8</v>
      </c>
      <c r="D208" s="7" t="s">
        <v>8</v>
      </c>
      <c r="E208" s="8" t="s">
        <v>8</v>
      </c>
      <c r="F208" s="18">
        <f ca="1">OFFSET(F208,1,2)</f>
        <v>6000</v>
      </c>
      <c r="G208" s="18">
        <f ca="1">F208</f>
        <v>6000</v>
      </c>
      <c r="H208" s="18">
        <f t="shared" ca="1" si="75"/>
        <v>6000</v>
      </c>
      <c r="I208" s="7">
        <v>1</v>
      </c>
      <c r="J208" s="9" t="s">
        <v>11</v>
      </c>
      <c r="K208" s="7" t="s">
        <v>8</v>
      </c>
      <c r="L208" s="7" t="s">
        <v>31</v>
      </c>
      <c r="M208" s="18">
        <v>6000</v>
      </c>
      <c r="N208" s="17"/>
    </row>
    <row r="209" spans="1:14" ht="30" customHeight="1" outlineLevel="2" x14ac:dyDescent="0.25">
      <c r="A209" s="6">
        <v>20</v>
      </c>
      <c r="B209" s="6" t="str">
        <f t="shared" si="74"/>
        <v xml:space="preserve">ЩАО-5,ЩАО-6 (Альбом 34) </v>
      </c>
      <c r="C209" s="7" t="s">
        <v>9</v>
      </c>
      <c r="D209" s="7" t="s">
        <v>9</v>
      </c>
      <c r="E209" s="8" t="s">
        <v>9</v>
      </c>
      <c r="F209" s="18">
        <v>1</v>
      </c>
      <c r="G209" s="18">
        <v>100</v>
      </c>
      <c r="H209" s="18">
        <f t="shared" si="75"/>
        <v>6000</v>
      </c>
      <c r="I209" s="7">
        <f t="shared" ref="I209:I210" si="77">60*F209</f>
        <v>60</v>
      </c>
      <c r="J209" s="9" t="s">
        <v>11</v>
      </c>
      <c r="K209" s="7" t="s">
        <v>9</v>
      </c>
      <c r="L209" s="7" t="s">
        <v>31</v>
      </c>
      <c r="M209" s="18">
        <v>6000</v>
      </c>
      <c r="N209" s="17"/>
    </row>
    <row r="210" spans="1:14" ht="30" customHeight="1" outlineLevel="2" x14ac:dyDescent="0.25">
      <c r="A210" s="6">
        <v>215</v>
      </c>
      <c r="B210" s="6" t="str">
        <f t="shared" si="74"/>
        <v xml:space="preserve">ЩАО-5,ЩАО-6 (Альбом 34) </v>
      </c>
      <c r="C210" s="7" t="s">
        <v>9</v>
      </c>
      <c r="D210" s="7" t="s">
        <v>9</v>
      </c>
      <c r="E210" s="8" t="s">
        <v>9</v>
      </c>
      <c r="F210" s="18">
        <v>1</v>
      </c>
      <c r="G210" s="18">
        <v>100</v>
      </c>
      <c r="H210" s="18">
        <f t="shared" si="75"/>
        <v>6000</v>
      </c>
      <c r="I210" s="7">
        <f t="shared" si="77"/>
        <v>60</v>
      </c>
      <c r="J210" s="9" t="s">
        <v>11</v>
      </c>
      <c r="K210" s="7" t="s">
        <v>9</v>
      </c>
      <c r="L210" s="7" t="s">
        <v>31</v>
      </c>
      <c r="M210" s="18">
        <v>6000</v>
      </c>
      <c r="N210" s="17"/>
    </row>
    <row r="211" spans="1:14" ht="30" customHeight="1" outlineLevel="1" x14ac:dyDescent="0.25">
      <c r="A211" s="6"/>
      <c r="B211" s="6" t="s">
        <v>319</v>
      </c>
      <c r="C211" s="7"/>
      <c r="D211" s="7"/>
      <c r="E211" s="8"/>
      <c r="F211" s="18"/>
      <c r="G211" s="18"/>
      <c r="H211" s="18">
        <f ca="1">SUBTOTAL(9,H204:H210)</f>
        <v>28576.199999999997</v>
      </c>
      <c r="I211" s="7"/>
      <c r="J211" s="9"/>
      <c r="K211" s="7"/>
      <c r="L211" s="7"/>
      <c r="M211" s="18">
        <v>28576.199999999997</v>
      </c>
      <c r="N211" s="17"/>
    </row>
    <row r="212" spans="1:14" ht="30" customHeight="1" outlineLevel="2" x14ac:dyDescent="0.25">
      <c r="A212" s="3">
        <v>13</v>
      </c>
      <c r="B212" s="3" t="str">
        <f>E212</f>
        <v xml:space="preserve">ЩАО-10(Альбом 34) </v>
      </c>
      <c r="C212" s="3"/>
      <c r="D212" s="14"/>
      <c r="E212" s="3" t="s">
        <v>49</v>
      </c>
      <c r="F212" s="13"/>
      <c r="G212" s="13"/>
      <c r="H212" s="13"/>
      <c r="I212" s="5">
        <v>1</v>
      </c>
      <c r="J212" s="4" t="s">
        <v>6</v>
      </c>
      <c r="K212" s="4" t="s">
        <v>23</v>
      </c>
      <c r="L212" s="4" t="s">
        <v>31</v>
      </c>
      <c r="M212" s="13"/>
      <c r="N212" s="17"/>
    </row>
    <row r="213" spans="1:14" ht="30" customHeight="1" outlineLevel="2" x14ac:dyDescent="0.25">
      <c r="A213" s="6">
        <v>14</v>
      </c>
      <c r="B213" s="6" t="str">
        <f t="shared" ref="B213:B218" si="78">B212</f>
        <v xml:space="preserve">ЩАО-10(Альбом 34) </v>
      </c>
      <c r="C213" s="7" t="s">
        <v>7</v>
      </c>
      <c r="D213" s="7" t="s">
        <v>268</v>
      </c>
      <c r="E213" s="8" t="s">
        <v>269</v>
      </c>
      <c r="F213" s="18">
        <v>10500</v>
      </c>
      <c r="G213" s="18">
        <f>0.6*F213</f>
        <v>6300</v>
      </c>
      <c r="H213" s="18">
        <f t="shared" ref="H213:H218" si="79">G213*I213</f>
        <v>6300</v>
      </c>
      <c r="I213" s="7">
        <v>1</v>
      </c>
      <c r="J213" s="9" t="s">
        <v>11</v>
      </c>
      <c r="K213" s="9" t="s">
        <v>24</v>
      </c>
      <c r="L213" s="9" t="s">
        <v>31</v>
      </c>
      <c r="M213" s="18">
        <v>6300</v>
      </c>
      <c r="N213" s="17"/>
    </row>
    <row r="214" spans="1:14" ht="30" customHeight="1" outlineLevel="2" x14ac:dyDescent="0.25">
      <c r="A214" s="6">
        <v>15</v>
      </c>
      <c r="B214" s="6" t="str">
        <f t="shared" si="78"/>
        <v xml:space="preserve">ЩАО-10(Альбом 34) </v>
      </c>
      <c r="C214" s="7" t="s">
        <v>10</v>
      </c>
      <c r="D214" s="7">
        <v>296829</v>
      </c>
      <c r="E214" s="8" t="s">
        <v>44</v>
      </c>
      <c r="F214" s="18">
        <v>2429</v>
      </c>
      <c r="G214" s="18">
        <f t="shared" ref="G214:G215" si="80">F214*0.6</f>
        <v>1457.3999999999999</v>
      </c>
      <c r="H214" s="18">
        <f t="shared" si="79"/>
        <v>1457.3999999999999</v>
      </c>
      <c r="I214" s="7">
        <v>1</v>
      </c>
      <c r="J214" s="9" t="s">
        <v>11</v>
      </c>
      <c r="K214" s="9" t="s">
        <v>22</v>
      </c>
      <c r="L214" s="9" t="s">
        <v>31</v>
      </c>
      <c r="M214" s="18">
        <v>1457.3999999999999</v>
      </c>
      <c r="N214" s="17"/>
    </row>
    <row r="215" spans="1:14" ht="30" customHeight="1" outlineLevel="2" x14ac:dyDescent="0.25">
      <c r="A215" s="6">
        <v>15</v>
      </c>
      <c r="B215" s="6" t="str">
        <f t="shared" si="78"/>
        <v xml:space="preserve">ЩАО-10(Альбом 34) </v>
      </c>
      <c r="C215" s="7" t="s">
        <v>10</v>
      </c>
      <c r="D215" s="7">
        <v>296710</v>
      </c>
      <c r="E215" s="8" t="s">
        <v>41</v>
      </c>
      <c r="F215" s="18">
        <v>783</v>
      </c>
      <c r="G215" s="18">
        <f t="shared" si="80"/>
        <v>469.79999999999995</v>
      </c>
      <c r="H215" s="18">
        <f t="shared" si="79"/>
        <v>3758.3999999999996</v>
      </c>
      <c r="I215" s="7">
        <v>8</v>
      </c>
      <c r="J215" s="9" t="s">
        <v>11</v>
      </c>
      <c r="K215" s="9" t="s">
        <v>22</v>
      </c>
      <c r="L215" s="9" t="s">
        <v>31</v>
      </c>
      <c r="M215" s="18">
        <v>3758.3999999999996</v>
      </c>
      <c r="N215" s="17"/>
    </row>
    <row r="216" spans="1:14" ht="30" customHeight="1" outlineLevel="2" x14ac:dyDescent="0.25">
      <c r="A216" s="6">
        <v>19</v>
      </c>
      <c r="B216" s="6" t="str">
        <f t="shared" si="78"/>
        <v xml:space="preserve">ЩАО-10(Альбом 34) </v>
      </c>
      <c r="C216" s="7" t="s">
        <v>8</v>
      </c>
      <c r="D216" s="7" t="s">
        <v>8</v>
      </c>
      <c r="E216" s="8" t="s">
        <v>8</v>
      </c>
      <c r="F216" s="18">
        <f ca="1">OFFSET(F216,1,2)</f>
        <v>6000</v>
      </c>
      <c r="G216" s="18">
        <f ca="1">F216</f>
        <v>6000</v>
      </c>
      <c r="H216" s="18">
        <f t="shared" ca="1" si="79"/>
        <v>6000</v>
      </c>
      <c r="I216" s="7">
        <v>1</v>
      </c>
      <c r="J216" s="9" t="s">
        <v>11</v>
      </c>
      <c r="K216" s="7" t="s">
        <v>8</v>
      </c>
      <c r="L216" s="7" t="s">
        <v>31</v>
      </c>
      <c r="M216" s="18">
        <v>6000</v>
      </c>
      <c r="N216" s="17"/>
    </row>
    <row r="217" spans="1:14" ht="30" customHeight="1" outlineLevel="2" x14ac:dyDescent="0.25">
      <c r="A217" s="6">
        <v>20</v>
      </c>
      <c r="B217" s="6" t="str">
        <f t="shared" si="78"/>
        <v xml:space="preserve">ЩАО-10(Альбом 34) </v>
      </c>
      <c r="C217" s="7" t="s">
        <v>9</v>
      </c>
      <c r="D217" s="7" t="s">
        <v>9</v>
      </c>
      <c r="E217" s="8" t="s">
        <v>9</v>
      </c>
      <c r="F217" s="18">
        <v>1</v>
      </c>
      <c r="G217" s="18">
        <v>100</v>
      </c>
      <c r="H217" s="18">
        <f t="shared" si="79"/>
        <v>6000</v>
      </c>
      <c r="I217" s="7">
        <f t="shared" ref="I217:I218" si="81">60*F217</f>
        <v>60</v>
      </c>
      <c r="J217" s="9" t="s">
        <v>11</v>
      </c>
      <c r="K217" s="7" t="s">
        <v>9</v>
      </c>
      <c r="L217" s="7" t="s">
        <v>31</v>
      </c>
      <c r="M217" s="18">
        <v>6000</v>
      </c>
      <c r="N217" s="17"/>
    </row>
    <row r="218" spans="1:14" ht="30" customHeight="1" outlineLevel="2" x14ac:dyDescent="0.25">
      <c r="A218" s="6">
        <v>215</v>
      </c>
      <c r="B218" s="6" t="str">
        <f t="shared" si="78"/>
        <v xml:space="preserve">ЩАО-10(Альбом 34) </v>
      </c>
      <c r="C218" s="7" t="s">
        <v>9</v>
      </c>
      <c r="D218" s="7" t="s">
        <v>9</v>
      </c>
      <c r="E218" s="8" t="s">
        <v>9</v>
      </c>
      <c r="F218" s="18">
        <v>1</v>
      </c>
      <c r="G218" s="18">
        <v>100</v>
      </c>
      <c r="H218" s="18">
        <f t="shared" si="79"/>
        <v>6000</v>
      </c>
      <c r="I218" s="7">
        <f t="shared" si="81"/>
        <v>60</v>
      </c>
      <c r="J218" s="9" t="s">
        <v>11</v>
      </c>
      <c r="K218" s="7" t="s">
        <v>9</v>
      </c>
      <c r="L218" s="7" t="s">
        <v>31</v>
      </c>
      <c r="M218" s="18">
        <v>6000</v>
      </c>
      <c r="N218" s="17"/>
    </row>
    <row r="219" spans="1:14" ht="30" customHeight="1" outlineLevel="1" x14ac:dyDescent="0.25">
      <c r="A219" s="6"/>
      <c r="B219" s="6" t="s">
        <v>320</v>
      </c>
      <c r="C219" s="7"/>
      <c r="D219" s="7"/>
      <c r="E219" s="8"/>
      <c r="F219" s="18"/>
      <c r="G219" s="18"/>
      <c r="H219" s="18">
        <f ca="1">SUBTOTAL(9,H212:H218)</f>
        <v>29515.8</v>
      </c>
      <c r="I219" s="7"/>
      <c r="J219" s="9"/>
      <c r="K219" s="7"/>
      <c r="L219" s="7"/>
      <c r="M219" s="18">
        <v>29515.8</v>
      </c>
      <c r="N219" s="17"/>
    </row>
    <row r="220" spans="1:14" ht="30" customHeight="1" outlineLevel="2" x14ac:dyDescent="0.25">
      <c r="A220" s="3">
        <v>13</v>
      </c>
      <c r="B220" s="3" t="str">
        <f>E220</f>
        <v xml:space="preserve">ЩАО-11(Альбом 34) </v>
      </c>
      <c r="C220" s="3"/>
      <c r="D220" s="14"/>
      <c r="E220" s="3" t="s">
        <v>50</v>
      </c>
      <c r="F220" s="13"/>
      <c r="G220" s="13"/>
      <c r="H220" s="13"/>
      <c r="I220" s="5">
        <v>1</v>
      </c>
      <c r="J220" s="4" t="s">
        <v>6</v>
      </c>
      <c r="K220" s="4" t="s">
        <v>23</v>
      </c>
      <c r="L220" s="4" t="s">
        <v>31</v>
      </c>
      <c r="M220" s="13"/>
      <c r="N220" s="17"/>
    </row>
    <row r="221" spans="1:14" ht="30" customHeight="1" outlineLevel="2" x14ac:dyDescent="0.25">
      <c r="A221" s="6">
        <v>14</v>
      </c>
      <c r="B221" s="6" t="str">
        <f t="shared" ref="B221:B225" si="82">B220</f>
        <v xml:space="preserve">ЩАО-11(Альбом 34) </v>
      </c>
      <c r="C221" s="7" t="s">
        <v>7</v>
      </c>
      <c r="D221" s="7" t="s">
        <v>270</v>
      </c>
      <c r="E221" s="8" t="s">
        <v>271</v>
      </c>
      <c r="F221" s="18">
        <v>16000</v>
      </c>
      <c r="G221" s="18">
        <f>0.6*F221</f>
        <v>9600</v>
      </c>
      <c r="H221" s="18">
        <f t="shared" ref="H221:H225" si="83">G221*I221</f>
        <v>9600</v>
      </c>
      <c r="I221" s="7">
        <v>1</v>
      </c>
      <c r="J221" s="9" t="s">
        <v>11</v>
      </c>
      <c r="K221" s="9" t="s">
        <v>24</v>
      </c>
      <c r="L221" s="9" t="s">
        <v>31</v>
      </c>
      <c r="M221" s="18">
        <v>9600</v>
      </c>
      <c r="N221" s="17"/>
    </row>
    <row r="222" spans="1:14" ht="30" customHeight="1" outlineLevel="2" x14ac:dyDescent="0.25">
      <c r="A222" s="6">
        <v>15</v>
      </c>
      <c r="B222" s="6" t="str">
        <f t="shared" si="82"/>
        <v xml:space="preserve">ЩАО-11(Альбом 34) </v>
      </c>
      <c r="C222" s="7" t="s">
        <v>10</v>
      </c>
      <c r="D222" s="7">
        <v>296829</v>
      </c>
      <c r="E222" s="8" t="s">
        <v>44</v>
      </c>
      <c r="F222" s="18">
        <v>2429</v>
      </c>
      <c r="G222" s="18">
        <f t="shared" ref="G222:G223" si="84">F222*0.6</f>
        <v>1457.3999999999999</v>
      </c>
      <c r="H222" s="18">
        <f t="shared" si="83"/>
        <v>1457.3999999999999</v>
      </c>
      <c r="I222" s="7">
        <v>1</v>
      </c>
      <c r="J222" s="9" t="s">
        <v>11</v>
      </c>
      <c r="K222" s="9" t="s">
        <v>22</v>
      </c>
      <c r="L222" s="9" t="s">
        <v>31</v>
      </c>
      <c r="M222" s="18">
        <v>1457.3999999999999</v>
      </c>
      <c r="N222" s="17"/>
    </row>
    <row r="223" spans="1:14" ht="30" customHeight="1" outlineLevel="2" x14ac:dyDescent="0.25">
      <c r="A223" s="6">
        <v>15</v>
      </c>
      <c r="B223" s="6" t="str">
        <f t="shared" si="82"/>
        <v xml:space="preserve">ЩАО-11(Альбом 34) </v>
      </c>
      <c r="C223" s="7" t="s">
        <v>10</v>
      </c>
      <c r="D223" s="7">
        <v>296710</v>
      </c>
      <c r="E223" s="8" t="s">
        <v>41</v>
      </c>
      <c r="F223" s="18">
        <v>783</v>
      </c>
      <c r="G223" s="18">
        <f t="shared" si="84"/>
        <v>469.79999999999995</v>
      </c>
      <c r="H223" s="18">
        <f t="shared" si="83"/>
        <v>4698</v>
      </c>
      <c r="I223" s="7">
        <v>10</v>
      </c>
      <c r="J223" s="9" t="s">
        <v>11</v>
      </c>
      <c r="K223" s="9" t="s">
        <v>22</v>
      </c>
      <c r="L223" s="9" t="s">
        <v>31</v>
      </c>
      <c r="M223" s="18">
        <v>4698</v>
      </c>
      <c r="N223" s="17"/>
    </row>
    <row r="224" spans="1:14" ht="30" customHeight="1" outlineLevel="2" x14ac:dyDescent="0.25">
      <c r="A224" s="6">
        <v>19</v>
      </c>
      <c r="B224" s="6" t="str">
        <f t="shared" si="82"/>
        <v xml:space="preserve">ЩАО-11(Альбом 34) </v>
      </c>
      <c r="C224" s="7" t="s">
        <v>8</v>
      </c>
      <c r="D224" s="7" t="s">
        <v>8</v>
      </c>
      <c r="E224" s="8" t="s">
        <v>8</v>
      </c>
      <c r="F224" s="18">
        <f ca="1">OFFSET(F224,1,2)</f>
        <v>9000</v>
      </c>
      <c r="G224" s="18">
        <f ca="1">F224</f>
        <v>9000</v>
      </c>
      <c r="H224" s="18">
        <f t="shared" ca="1" si="83"/>
        <v>9000</v>
      </c>
      <c r="I224" s="7">
        <v>1</v>
      </c>
      <c r="J224" s="9" t="s">
        <v>11</v>
      </c>
      <c r="K224" s="7" t="s">
        <v>8</v>
      </c>
      <c r="L224" s="7" t="s">
        <v>31</v>
      </c>
      <c r="M224" s="18">
        <v>9000</v>
      </c>
      <c r="N224" s="17"/>
    </row>
    <row r="225" spans="1:14" ht="30" customHeight="1" outlineLevel="2" x14ac:dyDescent="0.25">
      <c r="A225" s="6">
        <v>20</v>
      </c>
      <c r="B225" s="6" t="str">
        <f t="shared" si="82"/>
        <v xml:space="preserve">ЩАО-11(Альбом 34) </v>
      </c>
      <c r="C225" s="7" t="s">
        <v>9</v>
      </c>
      <c r="D225" s="7" t="s">
        <v>9</v>
      </c>
      <c r="E225" s="8" t="s">
        <v>9</v>
      </c>
      <c r="F225" s="18">
        <v>1.5</v>
      </c>
      <c r="G225" s="18">
        <v>100</v>
      </c>
      <c r="H225" s="18">
        <f t="shared" si="83"/>
        <v>9000</v>
      </c>
      <c r="I225" s="7">
        <f>60*F225</f>
        <v>90</v>
      </c>
      <c r="J225" s="9" t="s">
        <v>11</v>
      </c>
      <c r="K225" s="7" t="s">
        <v>9</v>
      </c>
      <c r="L225" s="7" t="s">
        <v>31</v>
      </c>
      <c r="M225" s="18">
        <v>9000</v>
      </c>
      <c r="N225" s="17"/>
    </row>
    <row r="226" spans="1:14" ht="30" customHeight="1" outlineLevel="1" x14ac:dyDescent="0.25">
      <c r="A226" s="6"/>
      <c r="B226" s="6" t="s">
        <v>321</v>
      </c>
      <c r="C226" s="7"/>
      <c r="D226" s="7"/>
      <c r="E226" s="8"/>
      <c r="F226" s="18"/>
      <c r="G226" s="18"/>
      <c r="H226" s="18">
        <f ca="1">SUBTOTAL(9,H220:H225)</f>
        <v>33755.4</v>
      </c>
      <c r="I226" s="7"/>
      <c r="J226" s="9"/>
      <c r="K226" s="7"/>
      <c r="L226" s="7"/>
      <c r="M226" s="18">
        <v>33755.4</v>
      </c>
      <c r="N226" s="17"/>
    </row>
    <row r="227" spans="1:14" ht="30" customHeight="1" outlineLevel="2" x14ac:dyDescent="0.25">
      <c r="A227" s="3">
        <v>13</v>
      </c>
      <c r="B227" s="3" t="str">
        <f>E227</f>
        <v xml:space="preserve">ЩС-1, ЩС-3(Альбом 34) </v>
      </c>
      <c r="C227" s="3"/>
      <c r="D227" s="14"/>
      <c r="E227" s="3" t="s">
        <v>51</v>
      </c>
      <c r="F227" s="13"/>
      <c r="G227" s="13"/>
      <c r="H227" s="13"/>
      <c r="I227" s="5">
        <v>1</v>
      </c>
      <c r="J227" s="4" t="s">
        <v>6</v>
      </c>
      <c r="K227" s="4" t="s">
        <v>23</v>
      </c>
      <c r="L227" s="4" t="s">
        <v>31</v>
      </c>
      <c r="M227" s="13"/>
      <c r="N227" s="17"/>
    </row>
    <row r="228" spans="1:14" ht="30" customHeight="1" outlineLevel="2" x14ac:dyDescent="0.25">
      <c r="A228" s="6">
        <v>14</v>
      </c>
      <c r="B228" s="6" t="str">
        <f t="shared" ref="B228:B232" si="85">B227</f>
        <v xml:space="preserve">ЩС-1, ЩС-3(Альбом 34) </v>
      </c>
      <c r="C228" s="7" t="s">
        <v>7</v>
      </c>
      <c r="D228" s="7" t="s">
        <v>274</v>
      </c>
      <c r="E228" s="8" t="s">
        <v>275</v>
      </c>
      <c r="F228" s="18">
        <v>20000</v>
      </c>
      <c r="G228" s="18">
        <f>0.6*F228</f>
        <v>12000</v>
      </c>
      <c r="H228" s="18">
        <f t="shared" ref="H228:H232" si="86">G228*I228</f>
        <v>12000</v>
      </c>
      <c r="I228" s="7">
        <v>1</v>
      </c>
      <c r="J228" s="9" t="s">
        <v>11</v>
      </c>
      <c r="K228" s="9" t="s">
        <v>24</v>
      </c>
      <c r="L228" s="9" t="s">
        <v>31</v>
      </c>
      <c r="M228" s="18">
        <v>12000</v>
      </c>
      <c r="N228" s="17"/>
    </row>
    <row r="229" spans="1:14" ht="30" customHeight="1" outlineLevel="2" x14ac:dyDescent="0.25">
      <c r="A229" s="6">
        <v>15</v>
      </c>
      <c r="B229" s="6" t="str">
        <f t="shared" si="85"/>
        <v xml:space="preserve">ЩС-1, ЩС-3(Альбом 34) </v>
      </c>
      <c r="C229" s="7" t="s">
        <v>10</v>
      </c>
      <c r="D229" s="7">
        <v>296829</v>
      </c>
      <c r="E229" s="8" t="s">
        <v>44</v>
      </c>
      <c r="F229" s="18">
        <v>2429</v>
      </c>
      <c r="G229" s="18">
        <f t="shared" ref="G229:G230" si="87">F229*0.6</f>
        <v>1457.3999999999999</v>
      </c>
      <c r="H229" s="18">
        <f t="shared" si="86"/>
        <v>1457.3999999999999</v>
      </c>
      <c r="I229" s="7">
        <v>1</v>
      </c>
      <c r="J229" s="9" t="s">
        <v>11</v>
      </c>
      <c r="K229" s="9" t="s">
        <v>22</v>
      </c>
      <c r="L229" s="9" t="s">
        <v>31</v>
      </c>
      <c r="M229" s="18">
        <v>1457.3999999999999</v>
      </c>
      <c r="N229" s="17"/>
    </row>
    <row r="230" spans="1:14" ht="30" customHeight="1" outlineLevel="2" x14ac:dyDescent="0.25">
      <c r="A230" s="6">
        <v>15</v>
      </c>
      <c r="B230" s="6" t="str">
        <f t="shared" si="85"/>
        <v xml:space="preserve">ЩС-1, ЩС-3(Альбом 34) </v>
      </c>
      <c r="C230" s="7" t="s">
        <v>12</v>
      </c>
      <c r="D230" s="7">
        <v>105542</v>
      </c>
      <c r="E230" s="8" t="s">
        <v>43</v>
      </c>
      <c r="F230" s="18">
        <v>5093</v>
      </c>
      <c r="G230" s="18">
        <f t="shared" si="87"/>
        <v>3055.7999999999997</v>
      </c>
      <c r="H230" s="18">
        <f t="shared" si="86"/>
        <v>21390.6</v>
      </c>
      <c r="I230" s="7">
        <v>7</v>
      </c>
      <c r="J230" s="9" t="s">
        <v>11</v>
      </c>
      <c r="K230" s="9" t="s">
        <v>22</v>
      </c>
      <c r="L230" s="9" t="s">
        <v>31</v>
      </c>
      <c r="M230" s="18">
        <v>21390.6</v>
      </c>
      <c r="N230" s="17"/>
    </row>
    <row r="231" spans="1:14" ht="30" customHeight="1" outlineLevel="2" x14ac:dyDescent="0.25">
      <c r="A231" s="6">
        <v>19</v>
      </c>
      <c r="B231" s="6" t="str">
        <f t="shared" si="85"/>
        <v xml:space="preserve">ЩС-1, ЩС-3(Альбом 34) </v>
      </c>
      <c r="C231" s="7" t="s">
        <v>8</v>
      </c>
      <c r="D231" s="7" t="s">
        <v>8</v>
      </c>
      <c r="E231" s="8" t="s">
        <v>8</v>
      </c>
      <c r="F231" s="18">
        <f ca="1">OFFSET(F231,1,2)</f>
        <v>12000</v>
      </c>
      <c r="G231" s="18">
        <f ca="1">F231</f>
        <v>12000</v>
      </c>
      <c r="H231" s="18">
        <f t="shared" ca="1" si="86"/>
        <v>12000</v>
      </c>
      <c r="I231" s="7">
        <v>1</v>
      </c>
      <c r="J231" s="9" t="s">
        <v>11</v>
      </c>
      <c r="K231" s="7" t="s">
        <v>8</v>
      </c>
      <c r="L231" s="7" t="s">
        <v>31</v>
      </c>
      <c r="M231" s="18">
        <v>12000</v>
      </c>
      <c r="N231" s="17"/>
    </row>
    <row r="232" spans="1:14" ht="30" customHeight="1" outlineLevel="2" x14ac:dyDescent="0.25">
      <c r="A232" s="6">
        <v>20</v>
      </c>
      <c r="B232" s="6" t="str">
        <f t="shared" si="85"/>
        <v xml:space="preserve">ЩС-1, ЩС-3(Альбом 34) </v>
      </c>
      <c r="C232" s="7" t="s">
        <v>9</v>
      </c>
      <c r="D232" s="7" t="s">
        <v>9</v>
      </c>
      <c r="E232" s="8" t="s">
        <v>9</v>
      </c>
      <c r="F232" s="18">
        <v>2</v>
      </c>
      <c r="G232" s="18">
        <v>100</v>
      </c>
      <c r="H232" s="18">
        <f t="shared" si="86"/>
        <v>12000</v>
      </c>
      <c r="I232" s="7">
        <f>60*F232</f>
        <v>120</v>
      </c>
      <c r="J232" s="9" t="s">
        <v>11</v>
      </c>
      <c r="K232" s="7" t="s">
        <v>9</v>
      </c>
      <c r="L232" s="7" t="s">
        <v>31</v>
      </c>
      <c r="M232" s="18">
        <v>12000</v>
      </c>
      <c r="N232" s="17"/>
    </row>
    <row r="233" spans="1:14" ht="30" customHeight="1" outlineLevel="1" x14ac:dyDescent="0.25">
      <c r="A233" s="6"/>
      <c r="B233" s="6" t="s">
        <v>322</v>
      </c>
      <c r="C233" s="7"/>
      <c r="D233" s="7"/>
      <c r="E233" s="8"/>
      <c r="F233" s="18"/>
      <c r="G233" s="18"/>
      <c r="H233" s="18">
        <f ca="1">SUBTOTAL(9,H227:H232)</f>
        <v>58848</v>
      </c>
      <c r="I233" s="7"/>
      <c r="J233" s="9"/>
      <c r="K233" s="7"/>
      <c r="L233" s="7"/>
      <c r="M233" s="18">
        <v>58848</v>
      </c>
      <c r="N233" s="17"/>
    </row>
    <row r="234" spans="1:14" ht="30" customHeight="1" outlineLevel="2" x14ac:dyDescent="0.25">
      <c r="A234" s="3">
        <v>13</v>
      </c>
      <c r="B234" s="3" t="str">
        <f>E234</f>
        <v xml:space="preserve">ЩС-2 (Альбом 34) </v>
      </c>
      <c r="C234" s="3"/>
      <c r="D234" s="14"/>
      <c r="E234" s="3" t="s">
        <v>52</v>
      </c>
      <c r="F234" s="13"/>
      <c r="G234" s="13"/>
      <c r="H234" s="13"/>
      <c r="I234" s="5">
        <v>1</v>
      </c>
      <c r="J234" s="4" t="s">
        <v>6</v>
      </c>
      <c r="K234" s="4" t="s">
        <v>23</v>
      </c>
      <c r="L234" s="4" t="s">
        <v>31</v>
      </c>
      <c r="M234" s="13"/>
      <c r="N234" s="17"/>
    </row>
    <row r="235" spans="1:14" ht="30" customHeight="1" outlineLevel="2" x14ac:dyDescent="0.25">
      <c r="A235" s="6">
        <v>14</v>
      </c>
      <c r="B235" s="6" t="str">
        <f t="shared" ref="B235:B239" si="88">B234</f>
        <v xml:space="preserve">ЩС-2 (Альбом 34) </v>
      </c>
      <c r="C235" s="7" t="s">
        <v>7</v>
      </c>
      <c r="D235" s="7" t="s">
        <v>274</v>
      </c>
      <c r="E235" s="8" t="s">
        <v>275</v>
      </c>
      <c r="F235" s="18">
        <v>20000</v>
      </c>
      <c r="G235" s="18">
        <f>0.6*F235</f>
        <v>12000</v>
      </c>
      <c r="H235" s="18">
        <f t="shared" ref="H235:H239" si="89">G235*I235</f>
        <v>12000</v>
      </c>
      <c r="I235" s="7">
        <v>1</v>
      </c>
      <c r="J235" s="9" t="s">
        <v>11</v>
      </c>
      <c r="K235" s="9" t="s">
        <v>24</v>
      </c>
      <c r="L235" s="9" t="s">
        <v>31</v>
      </c>
      <c r="M235" s="18">
        <v>12000</v>
      </c>
      <c r="N235" s="17"/>
    </row>
    <row r="236" spans="1:14" ht="30" customHeight="1" outlineLevel="2" x14ac:dyDescent="0.25">
      <c r="A236" s="6">
        <v>15</v>
      </c>
      <c r="B236" s="6" t="str">
        <f t="shared" si="88"/>
        <v xml:space="preserve">ЩС-2 (Альбом 34) </v>
      </c>
      <c r="C236" s="7" t="s">
        <v>10</v>
      </c>
      <c r="D236" s="7">
        <v>296829</v>
      </c>
      <c r="E236" s="8" t="s">
        <v>44</v>
      </c>
      <c r="F236" s="18">
        <v>2429</v>
      </c>
      <c r="G236" s="18">
        <f t="shared" ref="G236:G237" si="90">F236*0.6</f>
        <v>1457.3999999999999</v>
      </c>
      <c r="H236" s="18">
        <f t="shared" si="89"/>
        <v>1457.3999999999999</v>
      </c>
      <c r="I236" s="7">
        <v>1</v>
      </c>
      <c r="J236" s="9" t="s">
        <v>11</v>
      </c>
      <c r="K236" s="9" t="s">
        <v>22</v>
      </c>
      <c r="L236" s="9" t="s">
        <v>31</v>
      </c>
      <c r="M236" s="18">
        <v>1457.3999999999999</v>
      </c>
      <c r="N236" s="17"/>
    </row>
    <row r="237" spans="1:14" ht="30" customHeight="1" outlineLevel="2" x14ac:dyDescent="0.25">
      <c r="A237" s="6">
        <v>15</v>
      </c>
      <c r="B237" s="6" t="str">
        <f t="shared" si="88"/>
        <v xml:space="preserve">ЩС-2 (Альбом 34) </v>
      </c>
      <c r="C237" s="7" t="s">
        <v>12</v>
      </c>
      <c r="D237" s="7">
        <v>105542</v>
      </c>
      <c r="E237" s="8" t="s">
        <v>43</v>
      </c>
      <c r="F237" s="18">
        <v>5093</v>
      </c>
      <c r="G237" s="18">
        <f t="shared" si="90"/>
        <v>3055.7999999999997</v>
      </c>
      <c r="H237" s="18">
        <f t="shared" si="89"/>
        <v>27502.199999999997</v>
      </c>
      <c r="I237" s="7">
        <v>9</v>
      </c>
      <c r="J237" s="9" t="s">
        <v>11</v>
      </c>
      <c r="K237" s="9" t="s">
        <v>22</v>
      </c>
      <c r="L237" s="9" t="s">
        <v>31</v>
      </c>
      <c r="M237" s="18">
        <v>27502.199999999997</v>
      </c>
      <c r="N237" s="17"/>
    </row>
    <row r="238" spans="1:14" ht="30" customHeight="1" outlineLevel="2" x14ac:dyDescent="0.25">
      <c r="A238" s="6">
        <v>19</v>
      </c>
      <c r="B238" s="6" t="str">
        <f t="shared" si="88"/>
        <v xml:space="preserve">ЩС-2 (Альбом 34) </v>
      </c>
      <c r="C238" s="7" t="s">
        <v>8</v>
      </c>
      <c r="D238" s="7" t="s">
        <v>8</v>
      </c>
      <c r="E238" s="8" t="s">
        <v>8</v>
      </c>
      <c r="F238" s="18">
        <f ca="1">OFFSET(F238,1,2)</f>
        <v>12000</v>
      </c>
      <c r="G238" s="18">
        <f ca="1">F238</f>
        <v>12000</v>
      </c>
      <c r="H238" s="18">
        <f t="shared" ca="1" si="89"/>
        <v>12000</v>
      </c>
      <c r="I238" s="7">
        <v>1</v>
      </c>
      <c r="J238" s="9" t="s">
        <v>11</v>
      </c>
      <c r="K238" s="7" t="s">
        <v>8</v>
      </c>
      <c r="L238" s="7" t="s">
        <v>31</v>
      </c>
      <c r="M238" s="18">
        <v>12000</v>
      </c>
      <c r="N238" s="17"/>
    </row>
    <row r="239" spans="1:14" ht="30" customHeight="1" outlineLevel="2" x14ac:dyDescent="0.25">
      <c r="A239" s="6">
        <v>20</v>
      </c>
      <c r="B239" s="6" t="str">
        <f t="shared" si="88"/>
        <v xml:space="preserve">ЩС-2 (Альбом 34) </v>
      </c>
      <c r="C239" s="7" t="s">
        <v>9</v>
      </c>
      <c r="D239" s="7" t="s">
        <v>9</v>
      </c>
      <c r="E239" s="8" t="s">
        <v>9</v>
      </c>
      <c r="F239" s="18">
        <v>2</v>
      </c>
      <c r="G239" s="18">
        <v>100</v>
      </c>
      <c r="H239" s="18">
        <f t="shared" si="89"/>
        <v>12000</v>
      </c>
      <c r="I239" s="7">
        <f>60*F239</f>
        <v>120</v>
      </c>
      <c r="J239" s="9" t="s">
        <v>11</v>
      </c>
      <c r="K239" s="7" t="s">
        <v>9</v>
      </c>
      <c r="L239" s="7" t="s">
        <v>31</v>
      </c>
      <c r="M239" s="18">
        <v>12000</v>
      </c>
      <c r="N239" s="17"/>
    </row>
    <row r="240" spans="1:14" ht="30" customHeight="1" outlineLevel="1" x14ac:dyDescent="0.25">
      <c r="A240" s="6"/>
      <c r="B240" s="6" t="s">
        <v>323</v>
      </c>
      <c r="C240" s="7"/>
      <c r="D240" s="7"/>
      <c r="E240" s="8"/>
      <c r="F240" s="18"/>
      <c r="G240" s="18"/>
      <c r="H240" s="18">
        <f ca="1">SUBTOTAL(9,H234:H239)</f>
        <v>64959.6</v>
      </c>
      <c r="I240" s="7"/>
      <c r="J240" s="9"/>
      <c r="K240" s="7"/>
      <c r="L240" s="7"/>
      <c r="M240" s="18">
        <v>64959.6</v>
      </c>
      <c r="N240" s="17"/>
    </row>
    <row r="241" spans="1:14" ht="30" customHeight="1" outlineLevel="2" x14ac:dyDescent="0.25">
      <c r="A241" s="3">
        <v>13</v>
      </c>
      <c r="B241" s="3" t="str">
        <f>E241</f>
        <v xml:space="preserve">ЩС-4 (Альбом 34) </v>
      </c>
      <c r="C241" s="3"/>
      <c r="D241" s="14"/>
      <c r="E241" s="3" t="s">
        <v>53</v>
      </c>
      <c r="F241" s="13"/>
      <c r="G241" s="13"/>
      <c r="H241" s="13"/>
      <c r="I241" s="5">
        <v>1</v>
      </c>
      <c r="J241" s="4" t="s">
        <v>6</v>
      </c>
      <c r="K241" s="4" t="s">
        <v>23</v>
      </c>
      <c r="L241" s="4" t="s">
        <v>31</v>
      </c>
      <c r="M241" s="13"/>
      <c r="N241" s="17"/>
    </row>
    <row r="242" spans="1:14" ht="30" customHeight="1" outlineLevel="2" x14ac:dyDescent="0.25">
      <c r="A242" s="6">
        <v>14</v>
      </c>
      <c r="B242" s="6" t="str">
        <f t="shared" ref="B242:B248" si="91">B241</f>
        <v xml:space="preserve">ЩС-4 (Альбом 34) </v>
      </c>
      <c r="C242" s="7" t="s">
        <v>7</v>
      </c>
      <c r="D242" s="7" t="s">
        <v>270</v>
      </c>
      <c r="E242" s="8" t="s">
        <v>271</v>
      </c>
      <c r="F242" s="18">
        <v>16000</v>
      </c>
      <c r="G242" s="18">
        <f>0.6*F242</f>
        <v>9600</v>
      </c>
      <c r="H242" s="18">
        <f t="shared" ref="H242:H248" si="92">G242*I242</f>
        <v>9600</v>
      </c>
      <c r="I242" s="7">
        <v>1</v>
      </c>
      <c r="J242" s="9" t="s">
        <v>11</v>
      </c>
      <c r="K242" s="9" t="s">
        <v>24</v>
      </c>
      <c r="L242" s="9" t="s">
        <v>31</v>
      </c>
      <c r="M242" s="18">
        <v>9600</v>
      </c>
      <c r="N242" s="17"/>
    </row>
    <row r="243" spans="1:14" ht="30" customHeight="1" outlineLevel="2" x14ac:dyDescent="0.25">
      <c r="A243" s="6">
        <v>15</v>
      </c>
      <c r="B243" s="6" t="str">
        <f t="shared" si="91"/>
        <v xml:space="preserve">ЩС-4 (Альбом 34) </v>
      </c>
      <c r="C243" s="7" t="s">
        <v>13</v>
      </c>
      <c r="D243" s="7">
        <v>193184</v>
      </c>
      <c r="E243" s="8" t="s">
        <v>55</v>
      </c>
      <c r="F243" s="18">
        <v>4439</v>
      </c>
      <c r="G243" s="18">
        <f t="shared" ref="G243:G246" si="93">F243*0.6</f>
        <v>2663.4</v>
      </c>
      <c r="H243" s="18">
        <f t="shared" si="92"/>
        <v>2663.4</v>
      </c>
      <c r="I243" s="7">
        <v>1</v>
      </c>
      <c r="J243" s="9" t="s">
        <v>11</v>
      </c>
      <c r="K243" s="9" t="s">
        <v>22</v>
      </c>
      <c r="L243" s="9" t="s">
        <v>31</v>
      </c>
      <c r="M243" s="18">
        <v>2663.4</v>
      </c>
      <c r="N243" s="17"/>
    </row>
    <row r="244" spans="1:14" ht="30" customHeight="1" outlineLevel="2" x14ac:dyDescent="0.25">
      <c r="A244" s="6">
        <v>15</v>
      </c>
      <c r="B244" s="6" t="str">
        <f t="shared" si="91"/>
        <v xml:space="preserve">ЩС-4 (Альбом 34) </v>
      </c>
      <c r="C244" s="7" t="s">
        <v>10</v>
      </c>
      <c r="D244" s="7">
        <v>296833</v>
      </c>
      <c r="E244" s="8" t="s">
        <v>54</v>
      </c>
      <c r="F244" s="18">
        <v>3641</v>
      </c>
      <c r="G244" s="18">
        <f t="shared" si="93"/>
        <v>2184.6</v>
      </c>
      <c r="H244" s="18">
        <f t="shared" si="92"/>
        <v>2184.6</v>
      </c>
      <c r="I244" s="7">
        <v>1</v>
      </c>
      <c r="J244" s="9" t="s">
        <v>11</v>
      </c>
      <c r="K244" s="9" t="s">
        <v>22</v>
      </c>
      <c r="L244" s="9" t="s">
        <v>31</v>
      </c>
      <c r="M244" s="18">
        <v>2184.6</v>
      </c>
      <c r="N244" s="17"/>
    </row>
    <row r="245" spans="1:14" ht="30" customHeight="1" outlineLevel="2" x14ac:dyDescent="0.25">
      <c r="A245" s="6">
        <v>15</v>
      </c>
      <c r="B245" s="6" t="str">
        <f t="shared" si="91"/>
        <v xml:space="preserve">ЩС-4 (Альбом 34) </v>
      </c>
      <c r="C245" s="7" t="s">
        <v>10</v>
      </c>
      <c r="D245" s="7">
        <v>296829</v>
      </c>
      <c r="E245" s="8" t="s">
        <v>44</v>
      </c>
      <c r="F245" s="18">
        <v>2429</v>
      </c>
      <c r="G245" s="18">
        <f t="shared" si="93"/>
        <v>1457.3999999999999</v>
      </c>
      <c r="H245" s="18">
        <f t="shared" si="92"/>
        <v>1457.3999999999999</v>
      </c>
      <c r="I245" s="7">
        <v>1</v>
      </c>
      <c r="J245" s="9" t="s">
        <v>11</v>
      </c>
      <c r="K245" s="9" t="s">
        <v>22</v>
      </c>
      <c r="L245" s="9" t="s">
        <v>31</v>
      </c>
      <c r="M245" s="18">
        <v>1457.3999999999999</v>
      </c>
      <c r="N245" s="17"/>
    </row>
    <row r="246" spans="1:14" ht="30" customHeight="1" outlineLevel="2" x14ac:dyDescent="0.25">
      <c r="A246" s="6">
        <v>15</v>
      </c>
      <c r="B246" s="6" t="str">
        <f t="shared" si="91"/>
        <v xml:space="preserve">ЩС-4 (Альбом 34) </v>
      </c>
      <c r="C246" s="7" t="s">
        <v>12</v>
      </c>
      <c r="D246" s="7">
        <v>105542</v>
      </c>
      <c r="E246" s="8" t="s">
        <v>43</v>
      </c>
      <c r="F246" s="18">
        <v>5093</v>
      </c>
      <c r="G246" s="18">
        <f t="shared" si="93"/>
        <v>3055.7999999999997</v>
      </c>
      <c r="H246" s="18">
        <f t="shared" si="92"/>
        <v>6111.5999999999995</v>
      </c>
      <c r="I246" s="7">
        <v>2</v>
      </c>
      <c r="J246" s="9" t="s">
        <v>11</v>
      </c>
      <c r="K246" s="9" t="s">
        <v>22</v>
      </c>
      <c r="L246" s="9" t="s">
        <v>31</v>
      </c>
      <c r="M246" s="18">
        <v>6111.5999999999995</v>
      </c>
      <c r="N246" s="17"/>
    </row>
    <row r="247" spans="1:14" ht="30" customHeight="1" outlineLevel="2" x14ac:dyDescent="0.25">
      <c r="A247" s="6">
        <v>19</v>
      </c>
      <c r="B247" s="6" t="str">
        <f t="shared" si="91"/>
        <v xml:space="preserve">ЩС-4 (Альбом 34) </v>
      </c>
      <c r="C247" s="7" t="s">
        <v>8</v>
      </c>
      <c r="D247" s="7" t="s">
        <v>8</v>
      </c>
      <c r="E247" s="8" t="s">
        <v>8</v>
      </c>
      <c r="F247" s="18">
        <f ca="1">OFFSET(F247,1,2)</f>
        <v>9000</v>
      </c>
      <c r="G247" s="18">
        <f ca="1">F247</f>
        <v>9000</v>
      </c>
      <c r="H247" s="18">
        <f t="shared" ca="1" si="92"/>
        <v>9000</v>
      </c>
      <c r="I247" s="7">
        <v>1</v>
      </c>
      <c r="J247" s="9" t="s">
        <v>11</v>
      </c>
      <c r="K247" s="7" t="s">
        <v>8</v>
      </c>
      <c r="L247" s="7" t="s">
        <v>31</v>
      </c>
      <c r="M247" s="18">
        <v>9000</v>
      </c>
      <c r="N247" s="17"/>
    </row>
    <row r="248" spans="1:14" ht="30" customHeight="1" outlineLevel="2" x14ac:dyDescent="0.25">
      <c r="A248" s="6">
        <v>20</v>
      </c>
      <c r="B248" s="6" t="str">
        <f t="shared" si="91"/>
        <v xml:space="preserve">ЩС-4 (Альбом 34) </v>
      </c>
      <c r="C248" s="7" t="s">
        <v>9</v>
      </c>
      <c r="D248" s="7" t="s">
        <v>9</v>
      </c>
      <c r="E248" s="8" t="s">
        <v>9</v>
      </c>
      <c r="F248" s="18">
        <v>1.5</v>
      </c>
      <c r="G248" s="18">
        <v>100</v>
      </c>
      <c r="H248" s="18">
        <f t="shared" si="92"/>
        <v>9000</v>
      </c>
      <c r="I248" s="7">
        <f>60*F248</f>
        <v>90</v>
      </c>
      <c r="J248" s="9" t="s">
        <v>11</v>
      </c>
      <c r="K248" s="7" t="s">
        <v>9</v>
      </c>
      <c r="L248" s="7" t="s">
        <v>31</v>
      </c>
      <c r="M248" s="18">
        <v>9000</v>
      </c>
      <c r="N248" s="17"/>
    </row>
    <row r="249" spans="1:14" ht="30" customHeight="1" outlineLevel="1" x14ac:dyDescent="0.25">
      <c r="A249" s="6"/>
      <c r="B249" s="6" t="s">
        <v>324</v>
      </c>
      <c r="C249" s="7"/>
      <c r="D249" s="7"/>
      <c r="E249" s="8"/>
      <c r="F249" s="18"/>
      <c r="G249" s="18"/>
      <c r="H249" s="18">
        <f ca="1">SUBTOTAL(9,H241:H248)</f>
        <v>40017</v>
      </c>
      <c r="I249" s="7"/>
      <c r="J249" s="9"/>
      <c r="K249" s="7"/>
      <c r="L249" s="7"/>
      <c r="M249" s="18">
        <v>40017</v>
      </c>
      <c r="N249" s="17"/>
    </row>
    <row r="250" spans="1:14" ht="30" customHeight="1" outlineLevel="2" x14ac:dyDescent="0.25">
      <c r="A250" s="3">
        <v>13</v>
      </c>
      <c r="B250" s="3" t="str">
        <f>E250</f>
        <v xml:space="preserve">ЩС-5 (Альбом 34) </v>
      </c>
      <c r="C250" s="3"/>
      <c r="D250" s="14"/>
      <c r="E250" s="3" t="s">
        <v>59</v>
      </c>
      <c r="F250" s="13"/>
      <c r="G250" s="13"/>
      <c r="H250" s="13"/>
      <c r="I250" s="5">
        <v>1</v>
      </c>
      <c r="J250" s="4" t="s">
        <v>6</v>
      </c>
      <c r="K250" s="4" t="s">
        <v>23</v>
      </c>
      <c r="L250" s="4" t="s">
        <v>31</v>
      </c>
      <c r="M250" s="13"/>
      <c r="N250" s="17"/>
    </row>
    <row r="251" spans="1:14" ht="30" customHeight="1" outlineLevel="2" x14ac:dyDescent="0.25">
      <c r="A251" s="6">
        <v>14</v>
      </c>
      <c r="B251" s="6" t="str">
        <f t="shared" ref="B251:B258" si="94">B250</f>
        <v xml:space="preserve">ЩС-5 (Альбом 34) </v>
      </c>
      <c r="C251" s="7" t="s">
        <v>7</v>
      </c>
      <c r="D251" s="7" t="s">
        <v>270</v>
      </c>
      <c r="E251" s="8" t="s">
        <v>271</v>
      </c>
      <c r="F251" s="18">
        <v>16000</v>
      </c>
      <c r="G251" s="18">
        <f>0.6*F251</f>
        <v>9600</v>
      </c>
      <c r="H251" s="18">
        <f t="shared" ref="H251:H258" si="95">G251*I251</f>
        <v>9600</v>
      </c>
      <c r="I251" s="7">
        <v>1</v>
      </c>
      <c r="J251" s="9" t="s">
        <v>11</v>
      </c>
      <c r="K251" s="9" t="s">
        <v>24</v>
      </c>
      <c r="L251" s="9" t="s">
        <v>31</v>
      </c>
      <c r="M251" s="18">
        <v>9600</v>
      </c>
      <c r="N251" s="17"/>
    </row>
    <row r="252" spans="1:14" ht="30" customHeight="1" outlineLevel="2" x14ac:dyDescent="0.25">
      <c r="A252" s="6">
        <v>15</v>
      </c>
      <c r="B252" s="6" t="str">
        <f t="shared" si="94"/>
        <v xml:space="preserve">ЩС-5 (Альбом 34) </v>
      </c>
      <c r="C252" s="7" t="s">
        <v>10</v>
      </c>
      <c r="D252" s="7">
        <v>296832</v>
      </c>
      <c r="E252" s="8" t="s">
        <v>56</v>
      </c>
      <c r="F252" s="18">
        <v>3172</v>
      </c>
      <c r="G252" s="18">
        <f t="shared" ref="G252:G256" si="96">F252*0.6</f>
        <v>1903.1999999999998</v>
      </c>
      <c r="H252" s="18">
        <f t="shared" si="95"/>
        <v>1903.1999999999998</v>
      </c>
      <c r="I252" s="7">
        <v>1</v>
      </c>
      <c r="J252" s="9" t="s">
        <v>11</v>
      </c>
      <c r="K252" s="9" t="s">
        <v>22</v>
      </c>
      <c r="L252" s="9" t="s">
        <v>31</v>
      </c>
      <c r="M252" s="18">
        <v>1903.1999999999998</v>
      </c>
      <c r="N252" s="17"/>
    </row>
    <row r="253" spans="1:14" ht="30" customHeight="1" outlineLevel="2" x14ac:dyDescent="0.25">
      <c r="A253" s="6">
        <v>15</v>
      </c>
      <c r="B253" s="6" t="str">
        <f t="shared" si="94"/>
        <v xml:space="preserve">ЩС-5 (Альбом 34) </v>
      </c>
      <c r="C253" s="7" t="s">
        <v>10</v>
      </c>
      <c r="D253" s="7">
        <v>296831</v>
      </c>
      <c r="E253" s="8" t="s">
        <v>58</v>
      </c>
      <c r="F253" s="18">
        <v>2807</v>
      </c>
      <c r="G253" s="18">
        <f t="shared" si="96"/>
        <v>1684.2</v>
      </c>
      <c r="H253" s="18">
        <f t="shared" si="95"/>
        <v>1684.2</v>
      </c>
      <c r="I253" s="7">
        <v>1</v>
      </c>
      <c r="J253" s="9" t="s">
        <v>11</v>
      </c>
      <c r="K253" s="9" t="s">
        <v>22</v>
      </c>
      <c r="L253" s="9" t="s">
        <v>31</v>
      </c>
      <c r="M253" s="18">
        <v>1684.2</v>
      </c>
      <c r="N253" s="17"/>
    </row>
    <row r="254" spans="1:14" ht="30" customHeight="1" outlineLevel="2" x14ac:dyDescent="0.25">
      <c r="A254" s="6">
        <v>15</v>
      </c>
      <c r="B254" s="6" t="str">
        <f t="shared" si="94"/>
        <v xml:space="preserve">ЩС-5 (Альбом 34) </v>
      </c>
      <c r="C254" s="7" t="s">
        <v>10</v>
      </c>
      <c r="D254" s="7">
        <v>296829</v>
      </c>
      <c r="E254" s="8" t="s">
        <v>44</v>
      </c>
      <c r="F254" s="18">
        <v>2429</v>
      </c>
      <c r="G254" s="18">
        <f t="shared" si="96"/>
        <v>1457.3999999999999</v>
      </c>
      <c r="H254" s="18">
        <f t="shared" si="95"/>
        <v>1457.3999999999999</v>
      </c>
      <c r="I254" s="7">
        <v>1</v>
      </c>
      <c r="J254" s="9" t="s">
        <v>11</v>
      </c>
      <c r="K254" s="9" t="s">
        <v>22</v>
      </c>
      <c r="L254" s="9" t="s">
        <v>31</v>
      </c>
      <c r="M254" s="18">
        <v>1457.3999999999999</v>
      </c>
      <c r="N254" s="17"/>
    </row>
    <row r="255" spans="1:14" ht="30" customHeight="1" outlineLevel="2" x14ac:dyDescent="0.25">
      <c r="A255" s="6">
        <v>15</v>
      </c>
      <c r="B255" s="6" t="str">
        <f t="shared" si="94"/>
        <v xml:space="preserve">ЩС-5 (Альбом 34) </v>
      </c>
      <c r="C255" s="7" t="s">
        <v>10</v>
      </c>
      <c r="D255" s="7">
        <v>296826</v>
      </c>
      <c r="E255" s="8" t="s">
        <v>57</v>
      </c>
      <c r="F255" s="18">
        <v>2447</v>
      </c>
      <c r="G255" s="18">
        <f t="shared" si="96"/>
        <v>1468.2</v>
      </c>
      <c r="H255" s="18">
        <f t="shared" si="95"/>
        <v>5872.8</v>
      </c>
      <c r="I255" s="7">
        <v>4</v>
      </c>
      <c r="J255" s="9" t="s">
        <v>11</v>
      </c>
      <c r="K255" s="9" t="s">
        <v>22</v>
      </c>
      <c r="L255" s="9" t="s">
        <v>31</v>
      </c>
      <c r="M255" s="18">
        <v>5872.8</v>
      </c>
      <c r="N255" s="17"/>
    </row>
    <row r="256" spans="1:14" ht="30" customHeight="1" outlineLevel="2" x14ac:dyDescent="0.25">
      <c r="A256" s="6">
        <v>15</v>
      </c>
      <c r="B256" s="6" t="str">
        <f t="shared" si="94"/>
        <v xml:space="preserve">ЩС-5 (Альбом 34) </v>
      </c>
      <c r="C256" s="7" t="s">
        <v>12</v>
      </c>
      <c r="D256" s="7">
        <v>105542</v>
      </c>
      <c r="E256" s="8" t="s">
        <v>43</v>
      </c>
      <c r="F256" s="18">
        <v>5093</v>
      </c>
      <c r="G256" s="18">
        <f t="shared" si="96"/>
        <v>3055.7999999999997</v>
      </c>
      <c r="H256" s="18">
        <f t="shared" si="95"/>
        <v>3055.7999999999997</v>
      </c>
      <c r="I256" s="7">
        <v>1</v>
      </c>
      <c r="J256" s="9" t="s">
        <v>11</v>
      </c>
      <c r="K256" s="9" t="s">
        <v>22</v>
      </c>
      <c r="L256" s="9" t="s">
        <v>31</v>
      </c>
      <c r="M256" s="18">
        <v>3055.7999999999997</v>
      </c>
      <c r="N256" s="17"/>
    </row>
    <row r="257" spans="1:14" ht="30" customHeight="1" outlineLevel="2" x14ac:dyDescent="0.25">
      <c r="A257" s="6">
        <v>19</v>
      </c>
      <c r="B257" s="6" t="str">
        <f t="shared" si="94"/>
        <v xml:space="preserve">ЩС-5 (Альбом 34) </v>
      </c>
      <c r="C257" s="7" t="s">
        <v>8</v>
      </c>
      <c r="D257" s="7" t="s">
        <v>8</v>
      </c>
      <c r="E257" s="8" t="s">
        <v>8</v>
      </c>
      <c r="F257" s="18">
        <f ca="1">OFFSET(F257,1,2)</f>
        <v>9000</v>
      </c>
      <c r="G257" s="18">
        <f ca="1">F257</f>
        <v>9000</v>
      </c>
      <c r="H257" s="18">
        <f t="shared" ca="1" si="95"/>
        <v>9000</v>
      </c>
      <c r="I257" s="7">
        <v>1</v>
      </c>
      <c r="J257" s="9" t="s">
        <v>11</v>
      </c>
      <c r="K257" s="7" t="s">
        <v>8</v>
      </c>
      <c r="L257" s="7" t="s">
        <v>31</v>
      </c>
      <c r="M257" s="18">
        <v>9000</v>
      </c>
      <c r="N257" s="17"/>
    </row>
    <row r="258" spans="1:14" ht="30" customHeight="1" outlineLevel="2" x14ac:dyDescent="0.25">
      <c r="A258" s="6">
        <v>20</v>
      </c>
      <c r="B258" s="6" t="str">
        <f t="shared" si="94"/>
        <v xml:space="preserve">ЩС-5 (Альбом 34) </v>
      </c>
      <c r="C258" s="7" t="s">
        <v>9</v>
      </c>
      <c r="D258" s="7" t="s">
        <v>9</v>
      </c>
      <c r="E258" s="8" t="s">
        <v>9</v>
      </c>
      <c r="F258" s="18">
        <v>1.5</v>
      </c>
      <c r="G258" s="18">
        <v>100</v>
      </c>
      <c r="H258" s="18">
        <f t="shared" si="95"/>
        <v>9000</v>
      </c>
      <c r="I258" s="7">
        <f>60*F258</f>
        <v>90</v>
      </c>
      <c r="J258" s="9" t="s">
        <v>11</v>
      </c>
      <c r="K258" s="7" t="s">
        <v>9</v>
      </c>
      <c r="L258" s="7" t="s">
        <v>31</v>
      </c>
      <c r="M258" s="18">
        <v>9000</v>
      </c>
      <c r="N258" s="17"/>
    </row>
    <row r="259" spans="1:14" ht="30" customHeight="1" outlineLevel="1" x14ac:dyDescent="0.25">
      <c r="A259" s="6"/>
      <c r="B259" s="6" t="s">
        <v>325</v>
      </c>
      <c r="C259" s="7"/>
      <c r="D259" s="7"/>
      <c r="E259" s="8"/>
      <c r="F259" s="18"/>
      <c r="G259" s="18"/>
      <c r="H259" s="18">
        <f ca="1">SUBTOTAL(9,H250:H258)</f>
        <v>41573.4</v>
      </c>
      <c r="I259" s="7"/>
      <c r="J259" s="9"/>
      <c r="K259" s="7"/>
      <c r="L259" s="7"/>
      <c r="M259" s="18">
        <v>41573.4</v>
      </c>
      <c r="N259" s="17"/>
    </row>
    <row r="260" spans="1:14" ht="30" customHeight="1" outlineLevel="2" x14ac:dyDescent="0.25">
      <c r="A260" s="3">
        <v>13</v>
      </c>
      <c r="B260" s="3" t="str">
        <f>E260</f>
        <v xml:space="preserve">ЩС-6 (Альбом 34) </v>
      </c>
      <c r="C260" s="3"/>
      <c r="D260" s="14"/>
      <c r="E260" s="3" t="s">
        <v>60</v>
      </c>
      <c r="F260" s="13"/>
      <c r="G260" s="13"/>
      <c r="H260" s="13"/>
      <c r="I260" s="5">
        <v>1</v>
      </c>
      <c r="J260" s="4" t="s">
        <v>6</v>
      </c>
      <c r="K260" s="4" t="s">
        <v>23</v>
      </c>
      <c r="L260" s="4" t="s">
        <v>31</v>
      </c>
      <c r="M260" s="13"/>
      <c r="N260" s="17"/>
    </row>
    <row r="261" spans="1:14" ht="30" customHeight="1" outlineLevel="2" x14ac:dyDescent="0.25">
      <c r="A261" s="6">
        <v>14</v>
      </c>
      <c r="B261" s="6" t="str">
        <f t="shared" ref="B261:B266" si="97">B260</f>
        <v xml:space="preserve">ЩС-6 (Альбом 34) </v>
      </c>
      <c r="C261" s="7" t="s">
        <v>7</v>
      </c>
      <c r="D261" s="7" t="s">
        <v>268</v>
      </c>
      <c r="E261" s="8" t="s">
        <v>269</v>
      </c>
      <c r="F261" s="18">
        <v>10500</v>
      </c>
      <c r="G261" s="18">
        <f>0.6*F261</f>
        <v>6300</v>
      </c>
      <c r="H261" s="18">
        <f t="shared" ref="H261:H266" si="98">G261*I261</f>
        <v>6300</v>
      </c>
      <c r="I261" s="7">
        <v>1</v>
      </c>
      <c r="J261" s="9" t="s">
        <v>11</v>
      </c>
      <c r="K261" s="9" t="s">
        <v>24</v>
      </c>
      <c r="L261" s="9" t="s">
        <v>31</v>
      </c>
      <c r="M261" s="18">
        <v>6300</v>
      </c>
      <c r="N261" s="17"/>
    </row>
    <row r="262" spans="1:14" ht="30" customHeight="1" outlineLevel="2" x14ac:dyDescent="0.25">
      <c r="A262" s="6">
        <v>15</v>
      </c>
      <c r="B262" s="6" t="str">
        <f t="shared" si="97"/>
        <v xml:space="preserve">ЩС-6 (Альбом 34) </v>
      </c>
      <c r="C262" s="7" t="s">
        <v>10</v>
      </c>
      <c r="D262" s="7">
        <v>296831</v>
      </c>
      <c r="E262" s="8" t="s">
        <v>58</v>
      </c>
      <c r="F262" s="18">
        <v>2807</v>
      </c>
      <c r="G262" s="18">
        <f t="shared" ref="G262:G263" si="99">F262*0.6</f>
        <v>1684.2</v>
      </c>
      <c r="H262" s="18">
        <f t="shared" si="98"/>
        <v>1684.2</v>
      </c>
      <c r="I262" s="7">
        <v>1</v>
      </c>
      <c r="J262" s="9" t="s">
        <v>11</v>
      </c>
      <c r="K262" s="9" t="s">
        <v>22</v>
      </c>
      <c r="L262" s="9" t="s">
        <v>31</v>
      </c>
      <c r="M262" s="18">
        <v>1684.2</v>
      </c>
      <c r="N262" s="17"/>
    </row>
    <row r="263" spans="1:14" ht="30" customHeight="1" outlineLevel="2" x14ac:dyDescent="0.25">
      <c r="A263" s="6">
        <v>15</v>
      </c>
      <c r="B263" s="6" t="str">
        <f t="shared" si="97"/>
        <v xml:space="preserve">ЩС-6 (Альбом 34) </v>
      </c>
      <c r="C263" s="7" t="s">
        <v>10</v>
      </c>
      <c r="D263" s="7">
        <v>296830</v>
      </c>
      <c r="E263" s="8" t="s">
        <v>61</v>
      </c>
      <c r="F263" s="18">
        <v>2606</v>
      </c>
      <c r="G263" s="18">
        <f t="shared" si="99"/>
        <v>1563.6</v>
      </c>
      <c r="H263" s="18">
        <f t="shared" si="98"/>
        <v>3127.2</v>
      </c>
      <c r="I263" s="7">
        <v>2</v>
      </c>
      <c r="J263" s="9" t="s">
        <v>11</v>
      </c>
      <c r="K263" s="9" t="s">
        <v>22</v>
      </c>
      <c r="L263" s="9" t="s">
        <v>31</v>
      </c>
      <c r="M263" s="18">
        <v>3127.2</v>
      </c>
      <c r="N263" s="17"/>
    </row>
    <row r="264" spans="1:14" ht="30" customHeight="1" outlineLevel="2" x14ac:dyDescent="0.25">
      <c r="A264" s="6">
        <v>19</v>
      </c>
      <c r="B264" s="6" t="str">
        <f t="shared" si="97"/>
        <v xml:space="preserve">ЩС-6 (Альбом 34) </v>
      </c>
      <c r="C264" s="7" t="s">
        <v>8</v>
      </c>
      <c r="D264" s="7" t="s">
        <v>8</v>
      </c>
      <c r="E264" s="8" t="s">
        <v>8</v>
      </c>
      <c r="F264" s="18">
        <f ca="1">OFFSET(F264,1,2)</f>
        <v>9000</v>
      </c>
      <c r="G264" s="18">
        <f ca="1">F264</f>
        <v>9000</v>
      </c>
      <c r="H264" s="18">
        <f t="shared" ca="1" si="98"/>
        <v>9000</v>
      </c>
      <c r="I264" s="7">
        <v>1</v>
      </c>
      <c r="J264" s="9" t="s">
        <v>11</v>
      </c>
      <c r="K264" s="7" t="s">
        <v>8</v>
      </c>
      <c r="L264" s="7" t="s">
        <v>31</v>
      </c>
      <c r="M264" s="18">
        <v>9000</v>
      </c>
      <c r="N264" s="17"/>
    </row>
    <row r="265" spans="1:14" ht="30" customHeight="1" outlineLevel="2" x14ac:dyDescent="0.25">
      <c r="A265" s="6">
        <v>20</v>
      </c>
      <c r="B265" s="6" t="str">
        <f t="shared" si="97"/>
        <v xml:space="preserve">ЩС-6 (Альбом 34) </v>
      </c>
      <c r="C265" s="7" t="s">
        <v>9</v>
      </c>
      <c r="D265" s="7" t="s">
        <v>9</v>
      </c>
      <c r="E265" s="8" t="s">
        <v>9</v>
      </c>
      <c r="F265" s="18">
        <v>1.5</v>
      </c>
      <c r="G265" s="18">
        <v>100</v>
      </c>
      <c r="H265" s="18">
        <f t="shared" si="98"/>
        <v>9000</v>
      </c>
      <c r="I265" s="7">
        <f t="shared" ref="I265:I266" si="100">60*F265</f>
        <v>90</v>
      </c>
      <c r="J265" s="9" t="s">
        <v>11</v>
      </c>
      <c r="K265" s="7" t="s">
        <v>9</v>
      </c>
      <c r="L265" s="7" t="s">
        <v>31</v>
      </c>
      <c r="M265" s="18">
        <v>9000</v>
      </c>
      <c r="N265" s="17"/>
    </row>
    <row r="266" spans="1:14" ht="30" customHeight="1" outlineLevel="2" x14ac:dyDescent="0.25">
      <c r="A266" s="6">
        <v>283</v>
      </c>
      <c r="B266" s="6" t="str">
        <f t="shared" si="97"/>
        <v xml:space="preserve">ЩС-6 (Альбом 34) </v>
      </c>
      <c r="C266" s="7" t="s">
        <v>9</v>
      </c>
      <c r="D266" s="7" t="s">
        <v>9</v>
      </c>
      <c r="E266" s="8" t="s">
        <v>9</v>
      </c>
      <c r="F266" s="18">
        <v>1</v>
      </c>
      <c r="G266" s="18">
        <v>100</v>
      </c>
      <c r="H266" s="18">
        <f t="shared" si="98"/>
        <v>6000</v>
      </c>
      <c r="I266" s="7">
        <f t="shared" si="100"/>
        <v>60</v>
      </c>
      <c r="J266" s="9" t="s">
        <v>11</v>
      </c>
      <c r="K266" s="7" t="s">
        <v>9</v>
      </c>
      <c r="L266" s="7" t="s">
        <v>31</v>
      </c>
      <c r="M266" s="18">
        <v>6000</v>
      </c>
      <c r="N266" s="17"/>
    </row>
    <row r="267" spans="1:14" ht="30" customHeight="1" outlineLevel="1" x14ac:dyDescent="0.25">
      <c r="A267" s="6"/>
      <c r="B267" s="6" t="s">
        <v>326</v>
      </c>
      <c r="C267" s="7"/>
      <c r="D267" s="7"/>
      <c r="E267" s="8"/>
      <c r="F267" s="18"/>
      <c r="G267" s="18"/>
      <c r="H267" s="18">
        <f ca="1">SUBTOTAL(9,H260:H266)</f>
        <v>35111.4</v>
      </c>
      <c r="I267" s="7"/>
      <c r="J267" s="9"/>
      <c r="K267" s="7"/>
      <c r="L267" s="7"/>
      <c r="M267" s="18">
        <v>35111.4</v>
      </c>
      <c r="N267" s="17"/>
    </row>
    <row r="268" spans="1:14" ht="30" customHeight="1" outlineLevel="2" x14ac:dyDescent="0.25">
      <c r="A268" s="3">
        <v>13</v>
      </c>
      <c r="B268" s="3" t="str">
        <f>E268</f>
        <v xml:space="preserve">ЩС-7 (Альбом 34) </v>
      </c>
      <c r="C268" s="3"/>
      <c r="D268" s="14"/>
      <c r="E268" s="3" t="s">
        <v>62</v>
      </c>
      <c r="F268" s="13"/>
      <c r="G268" s="13"/>
      <c r="H268" s="13"/>
      <c r="I268" s="5">
        <v>1</v>
      </c>
      <c r="J268" s="4" t="s">
        <v>6</v>
      </c>
      <c r="K268" s="4" t="s">
        <v>23</v>
      </c>
      <c r="L268" s="4" t="s">
        <v>31</v>
      </c>
      <c r="M268" s="13"/>
      <c r="N268" s="17"/>
    </row>
    <row r="269" spans="1:14" ht="30" customHeight="1" outlineLevel="2" x14ac:dyDescent="0.25">
      <c r="A269" s="6">
        <v>14</v>
      </c>
      <c r="B269" s="6" t="str">
        <f t="shared" ref="B269:B273" si="101">B268</f>
        <v xml:space="preserve">ЩС-7 (Альбом 34) </v>
      </c>
      <c r="C269" s="7" t="s">
        <v>7</v>
      </c>
      <c r="D269" s="7" t="s">
        <v>274</v>
      </c>
      <c r="E269" s="8" t="s">
        <v>275</v>
      </c>
      <c r="F269" s="18">
        <v>20000</v>
      </c>
      <c r="G269" s="18">
        <f>0.6*F269</f>
        <v>12000</v>
      </c>
      <c r="H269" s="18">
        <f t="shared" ref="H269:H273" si="102">G269*I269</f>
        <v>12000</v>
      </c>
      <c r="I269" s="7">
        <v>1</v>
      </c>
      <c r="J269" s="9" t="s">
        <v>11</v>
      </c>
      <c r="K269" s="9" t="s">
        <v>24</v>
      </c>
      <c r="L269" s="9" t="s">
        <v>31</v>
      </c>
      <c r="M269" s="18">
        <v>12000</v>
      </c>
      <c r="N269" s="17"/>
    </row>
    <row r="270" spans="1:14" ht="30" customHeight="1" outlineLevel="2" x14ac:dyDescent="0.25">
      <c r="A270" s="6">
        <v>15</v>
      </c>
      <c r="B270" s="6" t="str">
        <f t="shared" si="101"/>
        <v xml:space="preserve">ЩС-7 (Альбом 34) </v>
      </c>
      <c r="C270" s="7" t="s">
        <v>10</v>
      </c>
      <c r="D270" s="7">
        <v>296829</v>
      </c>
      <c r="E270" s="8" t="s">
        <v>44</v>
      </c>
      <c r="F270" s="18">
        <v>2429</v>
      </c>
      <c r="G270" s="18">
        <f t="shared" ref="G270:G271" si="103">F270*0.6</f>
        <v>1457.3999999999999</v>
      </c>
      <c r="H270" s="18">
        <f t="shared" si="102"/>
        <v>1457.3999999999999</v>
      </c>
      <c r="I270" s="7">
        <v>1</v>
      </c>
      <c r="J270" s="9" t="s">
        <v>11</v>
      </c>
      <c r="K270" s="9" t="s">
        <v>22</v>
      </c>
      <c r="L270" s="9" t="s">
        <v>31</v>
      </c>
      <c r="M270" s="18">
        <v>1457.3999999999999</v>
      </c>
      <c r="N270" s="17"/>
    </row>
    <row r="271" spans="1:14" ht="30" customHeight="1" outlineLevel="2" x14ac:dyDescent="0.25">
      <c r="A271" s="6">
        <v>15</v>
      </c>
      <c r="B271" s="6" t="str">
        <f t="shared" si="101"/>
        <v xml:space="preserve">ЩС-7 (Альбом 34) </v>
      </c>
      <c r="C271" s="7" t="s">
        <v>12</v>
      </c>
      <c r="D271" s="7">
        <v>105542</v>
      </c>
      <c r="E271" s="8" t="s">
        <v>43</v>
      </c>
      <c r="F271" s="18">
        <v>5093</v>
      </c>
      <c r="G271" s="18">
        <f t="shared" si="103"/>
        <v>3055.7999999999997</v>
      </c>
      <c r="H271" s="18">
        <f t="shared" si="102"/>
        <v>18334.8</v>
      </c>
      <c r="I271" s="7">
        <v>6</v>
      </c>
      <c r="J271" s="9" t="s">
        <v>11</v>
      </c>
      <c r="K271" s="9" t="s">
        <v>22</v>
      </c>
      <c r="L271" s="9" t="s">
        <v>31</v>
      </c>
      <c r="M271" s="18">
        <v>18334.8</v>
      </c>
      <c r="N271" s="17"/>
    </row>
    <row r="272" spans="1:14" ht="30" customHeight="1" outlineLevel="2" x14ac:dyDescent="0.25">
      <c r="A272" s="6">
        <v>19</v>
      </c>
      <c r="B272" s="6" t="str">
        <f t="shared" si="101"/>
        <v xml:space="preserve">ЩС-7 (Альбом 34) </v>
      </c>
      <c r="C272" s="7" t="s">
        <v>8</v>
      </c>
      <c r="D272" s="7" t="s">
        <v>8</v>
      </c>
      <c r="E272" s="8" t="s">
        <v>8</v>
      </c>
      <c r="F272" s="18">
        <f ca="1">OFFSET(F272,1,2)</f>
        <v>12000</v>
      </c>
      <c r="G272" s="18">
        <f ca="1">F272</f>
        <v>12000</v>
      </c>
      <c r="H272" s="18">
        <f t="shared" ca="1" si="102"/>
        <v>12000</v>
      </c>
      <c r="I272" s="7">
        <v>1</v>
      </c>
      <c r="J272" s="9" t="s">
        <v>11</v>
      </c>
      <c r="K272" s="7" t="s">
        <v>8</v>
      </c>
      <c r="L272" s="7" t="s">
        <v>31</v>
      </c>
      <c r="M272" s="18">
        <v>12000</v>
      </c>
      <c r="N272" s="17"/>
    </row>
    <row r="273" spans="1:14" ht="30" customHeight="1" outlineLevel="2" x14ac:dyDescent="0.25">
      <c r="A273" s="6">
        <v>20</v>
      </c>
      <c r="B273" s="6" t="str">
        <f t="shared" si="101"/>
        <v xml:space="preserve">ЩС-7 (Альбом 34) </v>
      </c>
      <c r="C273" s="7" t="s">
        <v>9</v>
      </c>
      <c r="D273" s="7" t="s">
        <v>9</v>
      </c>
      <c r="E273" s="8" t="s">
        <v>9</v>
      </c>
      <c r="F273" s="18">
        <v>2</v>
      </c>
      <c r="G273" s="18">
        <v>100</v>
      </c>
      <c r="H273" s="18">
        <f t="shared" si="102"/>
        <v>12000</v>
      </c>
      <c r="I273" s="7">
        <f>60*F273</f>
        <v>120</v>
      </c>
      <c r="J273" s="9" t="s">
        <v>11</v>
      </c>
      <c r="K273" s="7" t="s">
        <v>9</v>
      </c>
      <c r="L273" s="7" t="s">
        <v>31</v>
      </c>
      <c r="M273" s="18">
        <v>12000</v>
      </c>
      <c r="N273" s="17"/>
    </row>
    <row r="274" spans="1:14" ht="30" customHeight="1" outlineLevel="1" x14ac:dyDescent="0.25">
      <c r="A274" s="6"/>
      <c r="B274" s="6" t="s">
        <v>327</v>
      </c>
      <c r="C274" s="7"/>
      <c r="D274" s="7"/>
      <c r="E274" s="8"/>
      <c r="F274" s="18"/>
      <c r="G274" s="18"/>
      <c r="H274" s="18">
        <f ca="1">SUBTOTAL(9,H268:H273)</f>
        <v>55792.2</v>
      </c>
      <c r="I274" s="7"/>
      <c r="J274" s="9"/>
      <c r="K274" s="7"/>
      <c r="L274" s="7"/>
      <c r="M274" s="18">
        <v>55792.2</v>
      </c>
      <c r="N274" s="17"/>
    </row>
    <row r="275" spans="1:14" ht="30" customHeight="1" outlineLevel="2" x14ac:dyDescent="0.25">
      <c r="A275" s="3">
        <v>13</v>
      </c>
      <c r="B275" s="3" t="str">
        <f>E275</f>
        <v xml:space="preserve">ЩС-8 (Альбом 34) </v>
      </c>
      <c r="C275" s="3"/>
      <c r="D275" s="14"/>
      <c r="E275" s="3" t="s">
        <v>63</v>
      </c>
      <c r="F275" s="13"/>
      <c r="G275" s="13"/>
      <c r="H275" s="13"/>
      <c r="I275" s="5">
        <v>1</v>
      </c>
      <c r="J275" s="4" t="s">
        <v>6</v>
      </c>
      <c r="K275" s="4" t="s">
        <v>23</v>
      </c>
      <c r="L275" s="4" t="s">
        <v>31</v>
      </c>
      <c r="M275" s="13"/>
      <c r="N275" s="17"/>
    </row>
    <row r="276" spans="1:14" ht="30" customHeight="1" outlineLevel="2" x14ac:dyDescent="0.25">
      <c r="A276" s="6">
        <v>14</v>
      </c>
      <c r="B276" s="6" t="str">
        <f t="shared" ref="B276:B281" si="104">B275</f>
        <v xml:space="preserve">ЩС-8 (Альбом 34) </v>
      </c>
      <c r="C276" s="7" t="s">
        <v>7</v>
      </c>
      <c r="D276" s="7" t="s">
        <v>276</v>
      </c>
      <c r="E276" s="17" t="s">
        <v>277</v>
      </c>
      <c r="F276" s="18">
        <v>22500</v>
      </c>
      <c r="G276" s="18">
        <f>0.6*F276</f>
        <v>13500</v>
      </c>
      <c r="H276" s="18">
        <f t="shared" ref="H276:H281" si="105">G276*I276</f>
        <v>13500</v>
      </c>
      <c r="I276" s="7">
        <v>1</v>
      </c>
      <c r="J276" s="9" t="s">
        <v>11</v>
      </c>
      <c r="K276" s="9" t="s">
        <v>24</v>
      </c>
      <c r="L276" s="9" t="s">
        <v>31</v>
      </c>
      <c r="M276" s="18">
        <v>13500</v>
      </c>
      <c r="N276" s="17"/>
    </row>
    <row r="277" spans="1:14" ht="30" customHeight="1" outlineLevel="2" x14ac:dyDescent="0.25">
      <c r="A277" s="6">
        <v>15</v>
      </c>
      <c r="B277" s="6" t="str">
        <f t="shared" si="104"/>
        <v xml:space="preserve">ЩС-8 (Альбом 34) </v>
      </c>
      <c r="C277" s="7" t="s">
        <v>10</v>
      </c>
      <c r="D277" s="7">
        <v>296829</v>
      </c>
      <c r="E277" s="8" t="s">
        <v>44</v>
      </c>
      <c r="F277" s="18">
        <v>2429</v>
      </c>
      <c r="G277" s="18">
        <f t="shared" ref="G277:G279" si="106">F277*0.6</f>
        <v>1457.3999999999999</v>
      </c>
      <c r="H277" s="18">
        <f t="shared" si="105"/>
        <v>1457.3999999999999</v>
      </c>
      <c r="I277" s="7">
        <v>1</v>
      </c>
      <c r="J277" s="9" t="s">
        <v>11</v>
      </c>
      <c r="K277" s="9" t="s">
        <v>22</v>
      </c>
      <c r="L277" s="9" t="s">
        <v>31</v>
      </c>
      <c r="M277" s="18">
        <v>1457.3999999999999</v>
      </c>
      <c r="N277" s="17"/>
    </row>
    <row r="278" spans="1:14" ht="30" customHeight="1" outlineLevel="2" x14ac:dyDescent="0.25">
      <c r="A278" s="6">
        <v>15</v>
      </c>
      <c r="B278" s="6" t="str">
        <f t="shared" si="104"/>
        <v xml:space="preserve">ЩС-8 (Альбом 34) </v>
      </c>
      <c r="C278" s="7" t="s">
        <v>10</v>
      </c>
      <c r="D278" s="7">
        <v>296827</v>
      </c>
      <c r="E278" s="8" t="s">
        <v>64</v>
      </c>
      <c r="F278" s="18">
        <v>2337</v>
      </c>
      <c r="G278" s="18">
        <f t="shared" si="106"/>
        <v>1402.2</v>
      </c>
      <c r="H278" s="18">
        <f t="shared" si="105"/>
        <v>4206.6000000000004</v>
      </c>
      <c r="I278" s="7">
        <v>3</v>
      </c>
      <c r="J278" s="9" t="s">
        <v>11</v>
      </c>
      <c r="K278" s="9" t="s">
        <v>22</v>
      </c>
      <c r="L278" s="9" t="s">
        <v>31</v>
      </c>
      <c r="M278" s="18">
        <v>4206.6000000000004</v>
      </c>
      <c r="N278" s="17"/>
    </row>
    <row r="279" spans="1:14" ht="30" customHeight="1" outlineLevel="2" x14ac:dyDescent="0.25">
      <c r="A279" s="6">
        <v>15</v>
      </c>
      <c r="B279" s="6" t="str">
        <f t="shared" si="104"/>
        <v xml:space="preserve">ЩС-8 (Альбом 34) </v>
      </c>
      <c r="C279" s="7" t="s">
        <v>12</v>
      </c>
      <c r="D279" s="7">
        <v>105542</v>
      </c>
      <c r="E279" s="8" t="s">
        <v>43</v>
      </c>
      <c r="F279" s="18">
        <v>5093</v>
      </c>
      <c r="G279" s="18">
        <f t="shared" si="106"/>
        <v>3055.7999999999997</v>
      </c>
      <c r="H279" s="18">
        <f t="shared" si="105"/>
        <v>24446.399999999998</v>
      </c>
      <c r="I279" s="7">
        <v>8</v>
      </c>
      <c r="J279" s="9" t="s">
        <v>11</v>
      </c>
      <c r="K279" s="9" t="s">
        <v>22</v>
      </c>
      <c r="L279" s="9" t="s">
        <v>31</v>
      </c>
      <c r="M279" s="18">
        <v>24446.399999999998</v>
      </c>
      <c r="N279" s="17"/>
    </row>
    <row r="280" spans="1:14" ht="30" customHeight="1" outlineLevel="2" x14ac:dyDescent="0.25">
      <c r="A280" s="6">
        <v>19</v>
      </c>
      <c r="B280" s="6" t="str">
        <f t="shared" si="104"/>
        <v xml:space="preserve">ЩС-8 (Альбом 34) </v>
      </c>
      <c r="C280" s="7" t="s">
        <v>8</v>
      </c>
      <c r="D280" s="7" t="s">
        <v>8</v>
      </c>
      <c r="E280" s="8" t="s">
        <v>8</v>
      </c>
      <c r="F280" s="18">
        <f ca="1">OFFSET(F280,1,2)</f>
        <v>15000</v>
      </c>
      <c r="G280" s="18">
        <f ca="1">F280</f>
        <v>15000</v>
      </c>
      <c r="H280" s="18">
        <f t="shared" ca="1" si="105"/>
        <v>15000</v>
      </c>
      <c r="I280" s="7">
        <v>1</v>
      </c>
      <c r="J280" s="9" t="s">
        <v>11</v>
      </c>
      <c r="K280" s="7" t="s">
        <v>8</v>
      </c>
      <c r="L280" s="7" t="s">
        <v>31</v>
      </c>
      <c r="M280" s="18">
        <v>15000</v>
      </c>
      <c r="N280" s="17"/>
    </row>
    <row r="281" spans="1:14" ht="30" customHeight="1" outlineLevel="2" x14ac:dyDescent="0.25">
      <c r="A281" s="6">
        <v>20</v>
      </c>
      <c r="B281" s="6" t="str">
        <f t="shared" si="104"/>
        <v xml:space="preserve">ЩС-8 (Альбом 34) </v>
      </c>
      <c r="C281" s="7" t="s">
        <v>9</v>
      </c>
      <c r="D281" s="7" t="s">
        <v>9</v>
      </c>
      <c r="E281" s="8" t="s">
        <v>9</v>
      </c>
      <c r="F281" s="18">
        <v>2.5</v>
      </c>
      <c r="G281" s="18">
        <v>100</v>
      </c>
      <c r="H281" s="18">
        <f t="shared" si="105"/>
        <v>15000</v>
      </c>
      <c r="I281" s="7">
        <f>60*F281</f>
        <v>150</v>
      </c>
      <c r="J281" s="9" t="s">
        <v>11</v>
      </c>
      <c r="K281" s="7" t="s">
        <v>9</v>
      </c>
      <c r="L281" s="7" t="s">
        <v>31</v>
      </c>
      <c r="M281" s="18">
        <v>15000</v>
      </c>
      <c r="N281" s="17"/>
    </row>
    <row r="282" spans="1:14" ht="30" customHeight="1" outlineLevel="1" x14ac:dyDescent="0.25">
      <c r="A282" s="6"/>
      <c r="B282" s="6" t="s">
        <v>328</v>
      </c>
      <c r="C282" s="7"/>
      <c r="D282" s="7"/>
      <c r="E282" s="8"/>
      <c r="F282" s="18"/>
      <c r="G282" s="18"/>
      <c r="H282" s="18">
        <f ca="1">SUBTOTAL(9,H275:H281)</f>
        <v>73610.399999999994</v>
      </c>
      <c r="I282" s="7"/>
      <c r="J282" s="9"/>
      <c r="K282" s="7"/>
      <c r="L282" s="7"/>
      <c r="M282" s="18">
        <v>73610.399999999994</v>
      </c>
      <c r="N282" s="17"/>
    </row>
    <row r="283" spans="1:14" ht="30" customHeight="1" outlineLevel="2" x14ac:dyDescent="0.25">
      <c r="A283" s="3">
        <v>13</v>
      </c>
      <c r="B283" s="3" t="str">
        <f>E283</f>
        <v xml:space="preserve">ЩС-9 (Альбом 34) </v>
      </c>
      <c r="C283" s="3"/>
      <c r="D283" s="14"/>
      <c r="E283" s="3" t="s">
        <v>65</v>
      </c>
      <c r="F283" s="13"/>
      <c r="G283" s="13"/>
      <c r="H283" s="13"/>
      <c r="I283" s="5">
        <v>1</v>
      </c>
      <c r="J283" s="4" t="s">
        <v>6</v>
      </c>
      <c r="K283" s="4" t="s">
        <v>23</v>
      </c>
      <c r="L283" s="4" t="s">
        <v>31</v>
      </c>
      <c r="M283" s="13"/>
      <c r="N283" s="17"/>
    </row>
    <row r="284" spans="1:14" ht="30" customHeight="1" outlineLevel="2" x14ac:dyDescent="0.25">
      <c r="A284" s="6">
        <v>14</v>
      </c>
      <c r="B284" s="6" t="str">
        <f t="shared" ref="B284:B288" si="107">B283</f>
        <v xml:space="preserve">ЩС-9 (Альбом 34) </v>
      </c>
      <c r="C284" s="7" t="s">
        <v>7</v>
      </c>
      <c r="D284" s="7" t="s">
        <v>270</v>
      </c>
      <c r="E284" s="8" t="s">
        <v>271</v>
      </c>
      <c r="F284" s="18">
        <v>16000</v>
      </c>
      <c r="G284" s="18">
        <f>0.6*F284</f>
        <v>9600</v>
      </c>
      <c r="H284" s="18">
        <f t="shared" ref="H284:H288" si="108">G284*I284</f>
        <v>9600</v>
      </c>
      <c r="I284" s="7">
        <v>1</v>
      </c>
      <c r="J284" s="9" t="s">
        <v>11</v>
      </c>
      <c r="K284" s="9" t="s">
        <v>24</v>
      </c>
      <c r="L284" s="9" t="s">
        <v>31</v>
      </c>
      <c r="M284" s="18">
        <v>9600</v>
      </c>
      <c r="N284" s="17"/>
    </row>
    <row r="285" spans="1:14" ht="30" customHeight="1" outlineLevel="2" x14ac:dyDescent="0.25">
      <c r="A285" s="6">
        <v>15</v>
      </c>
      <c r="B285" s="6" t="str">
        <f t="shared" si="107"/>
        <v xml:space="preserve">ЩС-9 (Альбом 34) </v>
      </c>
      <c r="C285" s="7" t="s">
        <v>10</v>
      </c>
      <c r="D285" s="7">
        <v>296829</v>
      </c>
      <c r="E285" s="8" t="s">
        <v>44</v>
      </c>
      <c r="F285" s="18">
        <v>2429</v>
      </c>
      <c r="G285" s="18">
        <f t="shared" ref="G285:G286" si="109">F285*0.6</f>
        <v>1457.3999999999999</v>
      </c>
      <c r="H285" s="18">
        <f t="shared" si="108"/>
        <v>1457.3999999999999</v>
      </c>
      <c r="I285" s="7">
        <v>1</v>
      </c>
      <c r="J285" s="9" t="s">
        <v>11</v>
      </c>
      <c r="K285" s="9" t="s">
        <v>22</v>
      </c>
      <c r="L285" s="9" t="s">
        <v>31</v>
      </c>
      <c r="M285" s="18">
        <v>1457.3999999999999</v>
      </c>
      <c r="N285" s="17"/>
    </row>
    <row r="286" spans="1:14" ht="30" customHeight="1" outlineLevel="2" x14ac:dyDescent="0.25">
      <c r="A286" s="6">
        <v>15</v>
      </c>
      <c r="B286" s="6" t="str">
        <f t="shared" si="107"/>
        <v xml:space="preserve">ЩС-9 (Альбом 34) </v>
      </c>
      <c r="C286" s="7" t="s">
        <v>12</v>
      </c>
      <c r="D286" s="7">
        <v>105542</v>
      </c>
      <c r="E286" s="8" t="s">
        <v>43</v>
      </c>
      <c r="F286" s="18">
        <v>5093</v>
      </c>
      <c r="G286" s="18">
        <f t="shared" si="109"/>
        <v>3055.7999999999997</v>
      </c>
      <c r="H286" s="18">
        <f t="shared" si="108"/>
        <v>12223.199999999999</v>
      </c>
      <c r="I286" s="7">
        <v>4</v>
      </c>
      <c r="J286" s="9" t="s">
        <v>11</v>
      </c>
      <c r="K286" s="9" t="s">
        <v>22</v>
      </c>
      <c r="L286" s="9" t="s">
        <v>31</v>
      </c>
      <c r="M286" s="18">
        <v>12223.199999999999</v>
      </c>
      <c r="N286" s="17"/>
    </row>
    <row r="287" spans="1:14" ht="30" customHeight="1" outlineLevel="2" x14ac:dyDescent="0.25">
      <c r="A287" s="6">
        <v>19</v>
      </c>
      <c r="B287" s="6" t="str">
        <f t="shared" si="107"/>
        <v xml:space="preserve">ЩС-9 (Альбом 34) </v>
      </c>
      <c r="C287" s="7" t="s">
        <v>8</v>
      </c>
      <c r="D287" s="7" t="s">
        <v>8</v>
      </c>
      <c r="E287" s="8" t="s">
        <v>8</v>
      </c>
      <c r="F287" s="18">
        <f ca="1">OFFSET(F287,1,2)</f>
        <v>9000</v>
      </c>
      <c r="G287" s="18">
        <f ca="1">F287</f>
        <v>9000</v>
      </c>
      <c r="H287" s="18">
        <f t="shared" ca="1" si="108"/>
        <v>9000</v>
      </c>
      <c r="I287" s="7">
        <v>1</v>
      </c>
      <c r="J287" s="9" t="s">
        <v>11</v>
      </c>
      <c r="K287" s="7" t="s">
        <v>8</v>
      </c>
      <c r="L287" s="7" t="s">
        <v>31</v>
      </c>
      <c r="M287" s="18">
        <v>9000</v>
      </c>
      <c r="N287" s="17"/>
    </row>
    <row r="288" spans="1:14" ht="30" customHeight="1" outlineLevel="2" x14ac:dyDescent="0.25">
      <c r="A288" s="6">
        <v>20</v>
      </c>
      <c r="B288" s="6" t="str">
        <f t="shared" si="107"/>
        <v xml:space="preserve">ЩС-9 (Альбом 34) </v>
      </c>
      <c r="C288" s="7" t="s">
        <v>9</v>
      </c>
      <c r="D288" s="7" t="s">
        <v>9</v>
      </c>
      <c r="E288" s="8" t="s">
        <v>9</v>
      </c>
      <c r="F288" s="18">
        <v>1.5</v>
      </c>
      <c r="G288" s="18">
        <v>100</v>
      </c>
      <c r="H288" s="18">
        <f t="shared" si="108"/>
        <v>9000</v>
      </c>
      <c r="I288" s="7">
        <f>60*F288</f>
        <v>90</v>
      </c>
      <c r="J288" s="9" t="s">
        <v>11</v>
      </c>
      <c r="K288" s="7" t="s">
        <v>9</v>
      </c>
      <c r="L288" s="7" t="s">
        <v>31</v>
      </c>
      <c r="M288" s="18">
        <v>9000</v>
      </c>
      <c r="N288" s="17"/>
    </row>
    <row r="289" spans="1:14" ht="30" customHeight="1" outlineLevel="1" x14ac:dyDescent="0.25">
      <c r="A289" s="6"/>
      <c r="B289" s="6" t="s">
        <v>329</v>
      </c>
      <c r="C289" s="7"/>
      <c r="D289" s="7"/>
      <c r="E289" s="8"/>
      <c r="F289" s="18"/>
      <c r="G289" s="18"/>
      <c r="H289" s="18">
        <f ca="1">SUBTOTAL(9,H283:H288)</f>
        <v>41280.6</v>
      </c>
      <c r="I289" s="7"/>
      <c r="J289" s="9"/>
      <c r="K289" s="7"/>
      <c r="L289" s="7"/>
      <c r="M289" s="18">
        <v>41280.6</v>
      </c>
      <c r="N289" s="17"/>
    </row>
    <row r="290" spans="1:14" ht="30" customHeight="1" outlineLevel="2" x14ac:dyDescent="0.25">
      <c r="A290" s="3">
        <v>13</v>
      </c>
      <c r="B290" s="3" t="str">
        <f>E290</f>
        <v xml:space="preserve">ЩС-10 (Альбом 34) </v>
      </c>
      <c r="C290" s="3"/>
      <c r="D290" s="14"/>
      <c r="E290" s="3" t="s">
        <v>66</v>
      </c>
      <c r="F290" s="13"/>
      <c r="G290" s="13"/>
      <c r="H290" s="13"/>
      <c r="I290" s="5">
        <v>1</v>
      </c>
      <c r="J290" s="4" t="s">
        <v>6</v>
      </c>
      <c r="K290" s="4" t="s">
        <v>23</v>
      </c>
      <c r="L290" s="4" t="s">
        <v>31</v>
      </c>
      <c r="M290" s="13"/>
      <c r="N290" s="17"/>
    </row>
    <row r="291" spans="1:14" ht="30" customHeight="1" outlineLevel="2" x14ac:dyDescent="0.25">
      <c r="A291" s="6">
        <v>14</v>
      </c>
      <c r="B291" s="6" t="str">
        <f t="shared" ref="B291:B296" si="110">B290</f>
        <v xml:space="preserve">ЩС-10 (Альбом 34) </v>
      </c>
      <c r="C291" s="7" t="s">
        <v>7</v>
      </c>
      <c r="D291" s="7" t="s">
        <v>272</v>
      </c>
      <c r="E291" s="8" t="s">
        <v>273</v>
      </c>
      <c r="F291" s="18">
        <v>17000</v>
      </c>
      <c r="G291" s="18">
        <f>0.6*F291</f>
        <v>10200</v>
      </c>
      <c r="H291" s="18">
        <f t="shared" ref="H291:H296" si="111">G291*I291</f>
        <v>10200</v>
      </c>
      <c r="I291" s="7">
        <v>1</v>
      </c>
      <c r="J291" s="9" t="s">
        <v>11</v>
      </c>
      <c r="K291" s="9" t="s">
        <v>24</v>
      </c>
      <c r="L291" s="9" t="s">
        <v>31</v>
      </c>
      <c r="M291" s="18">
        <v>10200</v>
      </c>
      <c r="N291" s="17"/>
    </row>
    <row r="292" spans="1:14" ht="30" customHeight="1" outlineLevel="2" x14ac:dyDescent="0.25">
      <c r="A292" s="6">
        <v>15</v>
      </c>
      <c r="B292" s="6" t="str">
        <f t="shared" si="110"/>
        <v xml:space="preserve">ЩС-10 (Альбом 34) </v>
      </c>
      <c r="C292" s="7" t="s">
        <v>10</v>
      </c>
      <c r="D292" s="7">
        <v>296829</v>
      </c>
      <c r="E292" s="8" t="s">
        <v>44</v>
      </c>
      <c r="F292" s="18">
        <v>2429</v>
      </c>
      <c r="G292" s="18">
        <f t="shared" ref="G292:G294" si="112">F292*0.6</f>
        <v>1457.3999999999999</v>
      </c>
      <c r="H292" s="18">
        <f t="shared" si="111"/>
        <v>1457.3999999999999</v>
      </c>
      <c r="I292" s="7">
        <v>1</v>
      </c>
      <c r="J292" s="9" t="s">
        <v>11</v>
      </c>
      <c r="K292" s="9" t="s">
        <v>22</v>
      </c>
      <c r="L292" s="9" t="s">
        <v>31</v>
      </c>
      <c r="M292" s="18">
        <v>1457.3999999999999</v>
      </c>
      <c r="N292" s="17"/>
    </row>
    <row r="293" spans="1:14" ht="30" customHeight="1" outlineLevel="2" x14ac:dyDescent="0.25">
      <c r="A293" s="6">
        <v>15</v>
      </c>
      <c r="B293" s="6" t="str">
        <f t="shared" si="110"/>
        <v xml:space="preserve">ЩС-10 (Альбом 34) </v>
      </c>
      <c r="C293" s="7" t="s">
        <v>10</v>
      </c>
      <c r="D293" s="7">
        <v>296827</v>
      </c>
      <c r="E293" s="8" t="s">
        <v>64</v>
      </c>
      <c r="F293" s="18">
        <v>2337</v>
      </c>
      <c r="G293" s="18">
        <f t="shared" si="112"/>
        <v>1402.2</v>
      </c>
      <c r="H293" s="18">
        <f t="shared" si="111"/>
        <v>2804.4</v>
      </c>
      <c r="I293" s="7">
        <v>2</v>
      </c>
      <c r="J293" s="9" t="s">
        <v>11</v>
      </c>
      <c r="K293" s="9" t="s">
        <v>22</v>
      </c>
      <c r="L293" s="9" t="s">
        <v>31</v>
      </c>
      <c r="M293" s="18">
        <v>2804.4</v>
      </c>
      <c r="N293" s="17"/>
    </row>
    <row r="294" spans="1:14" ht="30" customHeight="1" outlineLevel="2" x14ac:dyDescent="0.25">
      <c r="A294" s="6">
        <v>15</v>
      </c>
      <c r="B294" s="6" t="str">
        <f t="shared" si="110"/>
        <v xml:space="preserve">ЩС-10 (Альбом 34) </v>
      </c>
      <c r="C294" s="7" t="s">
        <v>12</v>
      </c>
      <c r="D294" s="7">
        <v>105542</v>
      </c>
      <c r="E294" s="8" t="s">
        <v>43</v>
      </c>
      <c r="F294" s="18">
        <v>5093</v>
      </c>
      <c r="G294" s="18">
        <f t="shared" si="112"/>
        <v>3055.7999999999997</v>
      </c>
      <c r="H294" s="18">
        <f t="shared" si="111"/>
        <v>9167.4</v>
      </c>
      <c r="I294" s="7">
        <v>3</v>
      </c>
      <c r="J294" s="9" t="s">
        <v>11</v>
      </c>
      <c r="K294" s="9" t="s">
        <v>22</v>
      </c>
      <c r="L294" s="9" t="s">
        <v>31</v>
      </c>
      <c r="M294" s="18">
        <v>9167.4</v>
      </c>
      <c r="N294" s="17"/>
    </row>
    <row r="295" spans="1:14" ht="30" customHeight="1" outlineLevel="2" x14ac:dyDescent="0.25">
      <c r="A295" s="6">
        <v>19</v>
      </c>
      <c r="B295" s="6" t="str">
        <f t="shared" si="110"/>
        <v xml:space="preserve">ЩС-10 (Альбом 34) </v>
      </c>
      <c r="C295" s="7" t="s">
        <v>8</v>
      </c>
      <c r="D295" s="7" t="s">
        <v>8</v>
      </c>
      <c r="E295" s="8" t="s">
        <v>8</v>
      </c>
      <c r="F295" s="18">
        <f ca="1">OFFSET(F295,1,2)</f>
        <v>9000</v>
      </c>
      <c r="G295" s="18">
        <f ca="1">F295</f>
        <v>9000</v>
      </c>
      <c r="H295" s="18">
        <f t="shared" ca="1" si="111"/>
        <v>9000</v>
      </c>
      <c r="I295" s="7">
        <v>1</v>
      </c>
      <c r="J295" s="9" t="s">
        <v>11</v>
      </c>
      <c r="K295" s="7" t="s">
        <v>8</v>
      </c>
      <c r="L295" s="7" t="s">
        <v>31</v>
      </c>
      <c r="M295" s="18">
        <v>9000</v>
      </c>
      <c r="N295" s="17"/>
    </row>
    <row r="296" spans="1:14" ht="30" customHeight="1" outlineLevel="2" x14ac:dyDescent="0.25">
      <c r="A296" s="6">
        <v>20</v>
      </c>
      <c r="B296" s="6" t="str">
        <f t="shared" si="110"/>
        <v xml:space="preserve">ЩС-10 (Альбом 34) </v>
      </c>
      <c r="C296" s="7" t="s">
        <v>9</v>
      </c>
      <c r="D296" s="7" t="s">
        <v>9</v>
      </c>
      <c r="E296" s="8" t="s">
        <v>9</v>
      </c>
      <c r="F296" s="18">
        <v>1.5</v>
      </c>
      <c r="G296" s="18">
        <v>100</v>
      </c>
      <c r="H296" s="18">
        <f t="shared" si="111"/>
        <v>9000</v>
      </c>
      <c r="I296" s="7">
        <f>60*F296</f>
        <v>90</v>
      </c>
      <c r="J296" s="9" t="s">
        <v>11</v>
      </c>
      <c r="K296" s="7" t="s">
        <v>9</v>
      </c>
      <c r="L296" s="7" t="s">
        <v>31</v>
      </c>
      <c r="M296" s="18">
        <v>9000</v>
      </c>
      <c r="N296" s="17"/>
    </row>
    <row r="297" spans="1:14" ht="30" customHeight="1" outlineLevel="1" x14ac:dyDescent="0.25">
      <c r="A297" s="6"/>
      <c r="B297" s="6" t="s">
        <v>330</v>
      </c>
      <c r="C297" s="7"/>
      <c r="D297" s="7"/>
      <c r="E297" s="8"/>
      <c r="F297" s="18"/>
      <c r="G297" s="18"/>
      <c r="H297" s="18">
        <f ca="1">SUBTOTAL(9,H290:H296)</f>
        <v>41629.199999999997</v>
      </c>
      <c r="I297" s="7"/>
      <c r="J297" s="9"/>
      <c r="K297" s="7"/>
      <c r="L297" s="7"/>
      <c r="M297" s="18">
        <v>41629.199999999997</v>
      </c>
      <c r="N297" s="17"/>
    </row>
    <row r="298" spans="1:14" ht="30" customHeight="1" outlineLevel="2" x14ac:dyDescent="0.25">
      <c r="A298" s="3">
        <v>13</v>
      </c>
      <c r="B298" s="3" t="str">
        <f>E298</f>
        <v xml:space="preserve">ЩС-11 (Альбом 34) </v>
      </c>
      <c r="C298" s="3"/>
      <c r="D298" s="14"/>
      <c r="E298" s="3" t="s">
        <v>67</v>
      </c>
      <c r="F298" s="13"/>
      <c r="G298" s="13"/>
      <c r="H298" s="13"/>
      <c r="I298" s="5">
        <v>1</v>
      </c>
      <c r="J298" s="4" t="s">
        <v>6</v>
      </c>
      <c r="K298" s="4" t="s">
        <v>23</v>
      </c>
      <c r="L298" s="4" t="s">
        <v>31</v>
      </c>
      <c r="M298" s="13"/>
      <c r="N298" s="17"/>
    </row>
    <row r="299" spans="1:14" ht="30" customHeight="1" outlineLevel="2" x14ac:dyDescent="0.25">
      <c r="A299" s="6">
        <v>14</v>
      </c>
      <c r="B299" s="6" t="str">
        <f t="shared" ref="B299:B304" si="113">B298</f>
        <v xml:space="preserve">ЩС-11 (Альбом 34) </v>
      </c>
      <c r="C299" s="7" t="s">
        <v>7</v>
      </c>
      <c r="D299" s="7" t="s">
        <v>274</v>
      </c>
      <c r="E299" s="8" t="s">
        <v>275</v>
      </c>
      <c r="F299" s="18">
        <v>20000</v>
      </c>
      <c r="G299" s="18">
        <f>0.6*F299</f>
        <v>12000</v>
      </c>
      <c r="H299" s="18">
        <f t="shared" ref="H299:H304" si="114">G299*I299</f>
        <v>12000</v>
      </c>
      <c r="I299" s="7">
        <v>1</v>
      </c>
      <c r="J299" s="9" t="s">
        <v>11</v>
      </c>
      <c r="K299" s="9" t="s">
        <v>24</v>
      </c>
      <c r="L299" s="9" t="s">
        <v>31</v>
      </c>
      <c r="M299" s="18">
        <v>12000</v>
      </c>
      <c r="N299" s="17"/>
    </row>
    <row r="300" spans="1:14" ht="30" customHeight="1" outlineLevel="2" x14ac:dyDescent="0.25">
      <c r="A300" s="6">
        <v>15</v>
      </c>
      <c r="B300" s="6" t="str">
        <f t="shared" si="113"/>
        <v xml:space="preserve">ЩС-11 (Альбом 34) </v>
      </c>
      <c r="C300" s="7" t="s">
        <v>10</v>
      </c>
      <c r="D300" s="7">
        <v>296829</v>
      </c>
      <c r="E300" s="8" t="s">
        <v>44</v>
      </c>
      <c r="F300" s="18">
        <v>2429</v>
      </c>
      <c r="G300" s="18">
        <f t="shared" ref="G300:G302" si="115">F300*0.6</f>
        <v>1457.3999999999999</v>
      </c>
      <c r="H300" s="18">
        <f t="shared" si="114"/>
        <v>1457.3999999999999</v>
      </c>
      <c r="I300" s="7">
        <v>1</v>
      </c>
      <c r="J300" s="9" t="s">
        <v>11</v>
      </c>
      <c r="K300" s="9" t="s">
        <v>22</v>
      </c>
      <c r="L300" s="9" t="s">
        <v>31</v>
      </c>
      <c r="M300" s="18">
        <v>1457.3999999999999</v>
      </c>
      <c r="N300" s="17"/>
    </row>
    <row r="301" spans="1:14" ht="30" customHeight="1" outlineLevel="2" x14ac:dyDescent="0.25">
      <c r="A301" s="6">
        <v>15</v>
      </c>
      <c r="B301" s="6" t="str">
        <f t="shared" si="113"/>
        <v xml:space="preserve">ЩС-11 (Альбом 34) </v>
      </c>
      <c r="C301" s="7" t="s">
        <v>10</v>
      </c>
      <c r="D301" s="7">
        <v>296827</v>
      </c>
      <c r="E301" s="8" t="s">
        <v>64</v>
      </c>
      <c r="F301" s="18">
        <v>2337</v>
      </c>
      <c r="G301" s="18">
        <f t="shared" si="115"/>
        <v>1402.2</v>
      </c>
      <c r="H301" s="18">
        <f t="shared" si="114"/>
        <v>4206.6000000000004</v>
      </c>
      <c r="I301" s="7">
        <v>3</v>
      </c>
      <c r="J301" s="9" t="s">
        <v>11</v>
      </c>
      <c r="K301" s="9" t="s">
        <v>22</v>
      </c>
      <c r="L301" s="9" t="s">
        <v>31</v>
      </c>
      <c r="M301" s="18">
        <v>4206.6000000000004</v>
      </c>
      <c r="N301" s="17"/>
    </row>
    <row r="302" spans="1:14" ht="30" customHeight="1" outlineLevel="2" x14ac:dyDescent="0.25">
      <c r="A302" s="6">
        <v>15</v>
      </c>
      <c r="B302" s="6" t="str">
        <f t="shared" si="113"/>
        <v xml:space="preserve">ЩС-11 (Альбом 34) </v>
      </c>
      <c r="C302" s="7" t="s">
        <v>12</v>
      </c>
      <c r="D302" s="7">
        <v>105542</v>
      </c>
      <c r="E302" s="8" t="s">
        <v>43</v>
      </c>
      <c r="F302" s="18">
        <v>5093</v>
      </c>
      <c r="G302" s="18">
        <f t="shared" si="115"/>
        <v>3055.7999999999997</v>
      </c>
      <c r="H302" s="18">
        <f t="shared" si="114"/>
        <v>18334.8</v>
      </c>
      <c r="I302" s="7">
        <v>6</v>
      </c>
      <c r="J302" s="9" t="s">
        <v>11</v>
      </c>
      <c r="K302" s="9" t="s">
        <v>22</v>
      </c>
      <c r="L302" s="9" t="s">
        <v>31</v>
      </c>
      <c r="M302" s="18">
        <v>18334.8</v>
      </c>
      <c r="N302" s="17"/>
    </row>
    <row r="303" spans="1:14" ht="30" customHeight="1" outlineLevel="2" x14ac:dyDescent="0.25">
      <c r="A303" s="6">
        <v>19</v>
      </c>
      <c r="B303" s="6" t="str">
        <f t="shared" si="113"/>
        <v xml:space="preserve">ЩС-11 (Альбом 34) </v>
      </c>
      <c r="C303" s="7" t="s">
        <v>8</v>
      </c>
      <c r="D303" s="7" t="s">
        <v>8</v>
      </c>
      <c r="E303" s="8" t="s">
        <v>8</v>
      </c>
      <c r="F303" s="18">
        <f ca="1">OFFSET(F303,1,2)</f>
        <v>12000</v>
      </c>
      <c r="G303" s="18">
        <f ca="1">F303</f>
        <v>12000</v>
      </c>
      <c r="H303" s="18">
        <f t="shared" ca="1" si="114"/>
        <v>12000</v>
      </c>
      <c r="I303" s="7">
        <v>1</v>
      </c>
      <c r="J303" s="9" t="s">
        <v>11</v>
      </c>
      <c r="K303" s="7" t="s">
        <v>8</v>
      </c>
      <c r="L303" s="7" t="s">
        <v>31</v>
      </c>
      <c r="M303" s="18">
        <v>12000</v>
      </c>
      <c r="N303" s="17"/>
    </row>
    <row r="304" spans="1:14" ht="30" customHeight="1" outlineLevel="2" x14ac:dyDescent="0.25">
      <c r="A304" s="6">
        <v>20</v>
      </c>
      <c r="B304" s="6" t="str">
        <f t="shared" si="113"/>
        <v xml:space="preserve">ЩС-11 (Альбом 34) </v>
      </c>
      <c r="C304" s="7" t="s">
        <v>9</v>
      </c>
      <c r="D304" s="7" t="s">
        <v>9</v>
      </c>
      <c r="E304" s="8" t="s">
        <v>9</v>
      </c>
      <c r="F304" s="18">
        <v>2</v>
      </c>
      <c r="G304" s="18">
        <v>100</v>
      </c>
      <c r="H304" s="18">
        <f t="shared" si="114"/>
        <v>12000</v>
      </c>
      <c r="I304" s="7">
        <f>60*F304</f>
        <v>120</v>
      </c>
      <c r="J304" s="9" t="s">
        <v>11</v>
      </c>
      <c r="K304" s="7" t="s">
        <v>9</v>
      </c>
      <c r="L304" s="7" t="s">
        <v>31</v>
      </c>
      <c r="M304" s="18">
        <v>12000</v>
      </c>
      <c r="N304" s="17"/>
    </row>
    <row r="305" spans="1:14" ht="30" customHeight="1" outlineLevel="1" x14ac:dyDescent="0.25">
      <c r="A305" s="6"/>
      <c r="B305" s="6" t="s">
        <v>331</v>
      </c>
      <c r="C305" s="7"/>
      <c r="D305" s="7"/>
      <c r="E305" s="8"/>
      <c r="F305" s="18"/>
      <c r="G305" s="18"/>
      <c r="H305" s="18">
        <f ca="1">SUBTOTAL(9,H298:H304)</f>
        <v>59998.8</v>
      </c>
      <c r="I305" s="7"/>
      <c r="J305" s="9"/>
      <c r="K305" s="7"/>
      <c r="L305" s="7"/>
      <c r="M305" s="18">
        <v>59998.8</v>
      </c>
      <c r="N305" s="17"/>
    </row>
    <row r="306" spans="1:14" ht="30" customHeight="1" outlineLevel="2" x14ac:dyDescent="0.25">
      <c r="A306" s="3">
        <v>13</v>
      </c>
      <c r="B306" s="3" t="str">
        <f>E306</f>
        <v xml:space="preserve">ЩС-12 (Альбом 34) </v>
      </c>
      <c r="C306" s="3"/>
      <c r="D306" s="14"/>
      <c r="E306" s="3" t="s">
        <v>68</v>
      </c>
      <c r="F306" s="13"/>
      <c r="G306" s="13"/>
      <c r="H306" s="13"/>
      <c r="I306" s="5">
        <v>1</v>
      </c>
      <c r="J306" s="4" t="s">
        <v>6</v>
      </c>
      <c r="K306" s="4" t="s">
        <v>23</v>
      </c>
      <c r="L306" s="4" t="s">
        <v>31</v>
      </c>
      <c r="M306" s="13"/>
      <c r="N306" s="17"/>
    </row>
    <row r="307" spans="1:14" ht="30" customHeight="1" outlineLevel="2" x14ac:dyDescent="0.25">
      <c r="A307" s="6">
        <v>14</v>
      </c>
      <c r="B307" s="6" t="str">
        <f t="shared" ref="B307:B311" si="116">B306</f>
        <v xml:space="preserve">ЩС-12 (Альбом 34) </v>
      </c>
      <c r="C307" s="7" t="s">
        <v>7</v>
      </c>
      <c r="D307" s="7" t="s">
        <v>272</v>
      </c>
      <c r="E307" s="8" t="s">
        <v>273</v>
      </c>
      <c r="F307" s="18">
        <v>17000</v>
      </c>
      <c r="G307" s="18">
        <f>0.6*F307</f>
        <v>10200</v>
      </c>
      <c r="H307" s="18">
        <f t="shared" ref="H307:H311" si="117">G307*I307</f>
        <v>10200</v>
      </c>
      <c r="I307" s="7">
        <v>1</v>
      </c>
      <c r="J307" s="9" t="s">
        <v>11</v>
      </c>
      <c r="K307" s="9" t="s">
        <v>24</v>
      </c>
      <c r="L307" s="9" t="s">
        <v>31</v>
      </c>
      <c r="M307" s="18">
        <v>10200</v>
      </c>
      <c r="N307" s="17"/>
    </row>
    <row r="308" spans="1:14" ht="30" customHeight="1" outlineLevel="2" x14ac:dyDescent="0.25">
      <c r="A308" s="6">
        <v>15</v>
      </c>
      <c r="B308" s="6" t="str">
        <f t="shared" si="116"/>
        <v xml:space="preserve">ЩС-12 (Альбом 34) </v>
      </c>
      <c r="C308" s="7" t="s">
        <v>10</v>
      </c>
      <c r="D308" s="7">
        <v>296829</v>
      </c>
      <c r="E308" s="8" t="s">
        <v>44</v>
      </c>
      <c r="F308" s="18">
        <v>2429</v>
      </c>
      <c r="G308" s="18">
        <f t="shared" ref="G308:G309" si="118">F308*0.6</f>
        <v>1457.3999999999999</v>
      </c>
      <c r="H308" s="18">
        <f t="shared" si="117"/>
        <v>1457.3999999999999</v>
      </c>
      <c r="I308" s="7">
        <v>1</v>
      </c>
      <c r="J308" s="9" t="s">
        <v>11</v>
      </c>
      <c r="K308" s="9" t="s">
        <v>22</v>
      </c>
      <c r="L308" s="9" t="s">
        <v>31</v>
      </c>
      <c r="M308" s="18">
        <v>1457.3999999999999</v>
      </c>
      <c r="N308" s="17"/>
    </row>
    <row r="309" spans="1:14" ht="30" customHeight="1" outlineLevel="2" x14ac:dyDescent="0.25">
      <c r="A309" s="6">
        <v>15</v>
      </c>
      <c r="B309" s="6" t="str">
        <f t="shared" si="116"/>
        <v xml:space="preserve">ЩС-12 (Альбом 34) </v>
      </c>
      <c r="C309" s="7" t="s">
        <v>12</v>
      </c>
      <c r="D309" s="7">
        <v>105542</v>
      </c>
      <c r="E309" s="8" t="s">
        <v>43</v>
      </c>
      <c r="F309" s="18">
        <v>5093</v>
      </c>
      <c r="G309" s="18">
        <f t="shared" si="118"/>
        <v>3055.7999999999997</v>
      </c>
      <c r="H309" s="18">
        <f t="shared" si="117"/>
        <v>18334.8</v>
      </c>
      <c r="I309" s="7">
        <v>6</v>
      </c>
      <c r="J309" s="9" t="s">
        <v>11</v>
      </c>
      <c r="K309" s="9" t="s">
        <v>22</v>
      </c>
      <c r="L309" s="9" t="s">
        <v>31</v>
      </c>
      <c r="M309" s="18">
        <v>18334.8</v>
      </c>
      <c r="N309" s="17"/>
    </row>
    <row r="310" spans="1:14" ht="30" customHeight="1" outlineLevel="2" x14ac:dyDescent="0.25">
      <c r="A310" s="6">
        <v>19</v>
      </c>
      <c r="B310" s="6" t="str">
        <f t="shared" si="116"/>
        <v xml:space="preserve">ЩС-12 (Альбом 34) </v>
      </c>
      <c r="C310" s="7" t="s">
        <v>8</v>
      </c>
      <c r="D310" s="7" t="s">
        <v>8</v>
      </c>
      <c r="E310" s="8" t="s">
        <v>8</v>
      </c>
      <c r="F310" s="18">
        <f ca="1">OFFSET(F310,1,2)</f>
        <v>9000</v>
      </c>
      <c r="G310" s="18">
        <f ca="1">F310</f>
        <v>9000</v>
      </c>
      <c r="H310" s="18">
        <f t="shared" ca="1" si="117"/>
        <v>9000</v>
      </c>
      <c r="I310" s="7">
        <v>1</v>
      </c>
      <c r="J310" s="9" t="s">
        <v>11</v>
      </c>
      <c r="K310" s="7" t="s">
        <v>8</v>
      </c>
      <c r="L310" s="7" t="s">
        <v>31</v>
      </c>
      <c r="M310" s="18">
        <v>9000</v>
      </c>
      <c r="N310" s="17"/>
    </row>
    <row r="311" spans="1:14" ht="30" customHeight="1" outlineLevel="2" x14ac:dyDescent="0.25">
      <c r="A311" s="6">
        <v>20</v>
      </c>
      <c r="B311" s="6" t="str">
        <f t="shared" si="116"/>
        <v xml:space="preserve">ЩС-12 (Альбом 34) </v>
      </c>
      <c r="C311" s="7" t="s">
        <v>9</v>
      </c>
      <c r="D311" s="7" t="s">
        <v>9</v>
      </c>
      <c r="E311" s="8" t="s">
        <v>9</v>
      </c>
      <c r="F311" s="18">
        <v>1.5</v>
      </c>
      <c r="G311" s="18">
        <v>100</v>
      </c>
      <c r="H311" s="18">
        <f t="shared" si="117"/>
        <v>9000</v>
      </c>
      <c r="I311" s="7">
        <f>60*F311</f>
        <v>90</v>
      </c>
      <c r="J311" s="9" t="s">
        <v>11</v>
      </c>
      <c r="K311" s="7" t="s">
        <v>9</v>
      </c>
      <c r="L311" s="7" t="s">
        <v>31</v>
      </c>
      <c r="M311" s="18">
        <v>9000</v>
      </c>
      <c r="N311" s="17"/>
    </row>
    <row r="312" spans="1:14" ht="30" customHeight="1" outlineLevel="1" x14ac:dyDescent="0.25">
      <c r="A312" s="6"/>
      <c r="B312" s="6" t="s">
        <v>332</v>
      </c>
      <c r="C312" s="7"/>
      <c r="D312" s="7"/>
      <c r="E312" s="8"/>
      <c r="F312" s="18"/>
      <c r="G312" s="18"/>
      <c r="H312" s="18">
        <f ca="1">SUBTOTAL(9,H306:H311)</f>
        <v>47992.2</v>
      </c>
      <c r="I312" s="7"/>
      <c r="J312" s="9"/>
      <c r="K312" s="7"/>
      <c r="L312" s="7"/>
      <c r="M312" s="18">
        <v>47992.2</v>
      </c>
      <c r="N312" s="17"/>
    </row>
    <row r="313" spans="1:14" ht="30" customHeight="1" outlineLevel="2" x14ac:dyDescent="0.25">
      <c r="A313" s="3">
        <v>13</v>
      </c>
      <c r="B313" s="3" t="str">
        <f>E313</f>
        <v xml:space="preserve">ЩС-13 (Альбом 34) </v>
      </c>
      <c r="C313" s="3"/>
      <c r="D313" s="14"/>
      <c r="E313" s="3" t="s">
        <v>69</v>
      </c>
      <c r="F313" s="13"/>
      <c r="G313" s="13"/>
      <c r="H313" s="13"/>
      <c r="I313" s="5">
        <v>1</v>
      </c>
      <c r="J313" s="4" t="s">
        <v>6</v>
      </c>
      <c r="K313" s="4" t="s">
        <v>23</v>
      </c>
      <c r="L313" s="4" t="s">
        <v>31</v>
      </c>
      <c r="M313" s="13"/>
      <c r="N313" s="17"/>
    </row>
    <row r="314" spans="1:14" ht="30" customHeight="1" outlineLevel="2" x14ac:dyDescent="0.25">
      <c r="A314" s="6">
        <v>14</v>
      </c>
      <c r="B314" s="6" t="str">
        <f t="shared" ref="B314:B319" si="119">B313</f>
        <v xml:space="preserve">ЩС-13 (Альбом 34) </v>
      </c>
      <c r="C314" s="7" t="s">
        <v>7</v>
      </c>
      <c r="D314" s="7" t="s">
        <v>274</v>
      </c>
      <c r="E314" s="8" t="s">
        <v>275</v>
      </c>
      <c r="F314" s="18">
        <v>20000</v>
      </c>
      <c r="G314" s="18">
        <f>0.6*F314</f>
        <v>12000</v>
      </c>
      <c r="H314" s="18">
        <f t="shared" ref="H314:H319" si="120">G314*I314</f>
        <v>12000</v>
      </c>
      <c r="I314" s="7">
        <v>1</v>
      </c>
      <c r="J314" s="9" t="s">
        <v>11</v>
      </c>
      <c r="K314" s="9" t="s">
        <v>24</v>
      </c>
      <c r="L314" s="9" t="s">
        <v>31</v>
      </c>
      <c r="M314" s="18">
        <v>12000</v>
      </c>
      <c r="N314" s="17"/>
    </row>
    <row r="315" spans="1:14" ht="30" customHeight="1" outlineLevel="2" x14ac:dyDescent="0.25">
      <c r="A315" s="6">
        <v>15</v>
      </c>
      <c r="B315" s="6" t="str">
        <f t="shared" si="119"/>
        <v xml:space="preserve">ЩС-13 (Альбом 34) </v>
      </c>
      <c r="C315" s="7" t="s">
        <v>10</v>
      </c>
      <c r="D315" s="7">
        <v>296829</v>
      </c>
      <c r="E315" s="8" t="s">
        <v>44</v>
      </c>
      <c r="F315" s="18">
        <v>2429</v>
      </c>
      <c r="G315" s="18">
        <f t="shared" ref="G315:G317" si="121">F315*0.6</f>
        <v>1457.3999999999999</v>
      </c>
      <c r="H315" s="18">
        <f t="shared" si="120"/>
        <v>1457.3999999999999</v>
      </c>
      <c r="I315" s="7">
        <v>1</v>
      </c>
      <c r="J315" s="9" t="s">
        <v>11</v>
      </c>
      <c r="K315" s="9" t="s">
        <v>22</v>
      </c>
      <c r="L315" s="9" t="s">
        <v>31</v>
      </c>
      <c r="M315" s="18">
        <v>1457.3999999999999</v>
      </c>
      <c r="N315" s="17"/>
    </row>
    <row r="316" spans="1:14" ht="30" customHeight="1" outlineLevel="2" x14ac:dyDescent="0.25">
      <c r="A316" s="6">
        <v>15</v>
      </c>
      <c r="B316" s="6" t="str">
        <f t="shared" si="119"/>
        <v xml:space="preserve">ЩС-13 (Альбом 34) </v>
      </c>
      <c r="C316" s="7" t="s">
        <v>10</v>
      </c>
      <c r="D316" s="7">
        <v>296827</v>
      </c>
      <c r="E316" s="8" t="s">
        <v>64</v>
      </c>
      <c r="F316" s="18">
        <v>2337</v>
      </c>
      <c r="G316" s="18">
        <f t="shared" si="121"/>
        <v>1402.2</v>
      </c>
      <c r="H316" s="18">
        <f t="shared" si="120"/>
        <v>2804.4</v>
      </c>
      <c r="I316" s="7">
        <v>2</v>
      </c>
      <c r="J316" s="9" t="s">
        <v>11</v>
      </c>
      <c r="K316" s="9" t="s">
        <v>22</v>
      </c>
      <c r="L316" s="9" t="s">
        <v>31</v>
      </c>
      <c r="M316" s="18">
        <v>2804.4</v>
      </c>
      <c r="N316" s="17"/>
    </row>
    <row r="317" spans="1:14" ht="30" customHeight="1" outlineLevel="2" x14ac:dyDescent="0.25">
      <c r="A317" s="6">
        <v>15</v>
      </c>
      <c r="B317" s="6" t="str">
        <f t="shared" si="119"/>
        <v xml:space="preserve">ЩС-13 (Альбом 34) </v>
      </c>
      <c r="C317" s="7" t="s">
        <v>10</v>
      </c>
      <c r="D317" s="7">
        <v>296826</v>
      </c>
      <c r="E317" s="8" t="s">
        <v>57</v>
      </c>
      <c r="F317" s="18">
        <v>2447</v>
      </c>
      <c r="G317" s="18">
        <f t="shared" si="121"/>
        <v>1468.2</v>
      </c>
      <c r="H317" s="18">
        <f t="shared" si="120"/>
        <v>8809.2000000000007</v>
      </c>
      <c r="I317" s="7">
        <v>6</v>
      </c>
      <c r="J317" s="9" t="s">
        <v>11</v>
      </c>
      <c r="K317" s="9" t="s">
        <v>22</v>
      </c>
      <c r="L317" s="9" t="s">
        <v>31</v>
      </c>
      <c r="M317" s="18">
        <v>8809.2000000000007</v>
      </c>
      <c r="N317" s="17"/>
    </row>
    <row r="318" spans="1:14" ht="30" customHeight="1" outlineLevel="2" x14ac:dyDescent="0.25">
      <c r="A318" s="6">
        <v>19</v>
      </c>
      <c r="B318" s="6" t="str">
        <f t="shared" si="119"/>
        <v xml:space="preserve">ЩС-13 (Альбом 34) </v>
      </c>
      <c r="C318" s="7" t="s">
        <v>8</v>
      </c>
      <c r="D318" s="7" t="s">
        <v>8</v>
      </c>
      <c r="E318" s="8" t="s">
        <v>8</v>
      </c>
      <c r="F318" s="18">
        <f ca="1">OFFSET(F318,1,2)</f>
        <v>12000</v>
      </c>
      <c r="G318" s="18">
        <f ca="1">F318</f>
        <v>12000</v>
      </c>
      <c r="H318" s="18">
        <f t="shared" ca="1" si="120"/>
        <v>12000</v>
      </c>
      <c r="I318" s="7">
        <v>1</v>
      </c>
      <c r="J318" s="9" t="s">
        <v>11</v>
      </c>
      <c r="K318" s="7" t="s">
        <v>8</v>
      </c>
      <c r="L318" s="7" t="s">
        <v>31</v>
      </c>
      <c r="M318" s="18">
        <v>12000</v>
      </c>
      <c r="N318" s="17"/>
    </row>
    <row r="319" spans="1:14" ht="30" customHeight="1" outlineLevel="2" x14ac:dyDescent="0.25">
      <c r="A319" s="6">
        <v>20</v>
      </c>
      <c r="B319" s="6" t="str">
        <f t="shared" si="119"/>
        <v xml:space="preserve">ЩС-13 (Альбом 34) </v>
      </c>
      <c r="C319" s="7" t="s">
        <v>9</v>
      </c>
      <c r="D319" s="7" t="s">
        <v>9</v>
      </c>
      <c r="E319" s="8" t="s">
        <v>9</v>
      </c>
      <c r="F319" s="18">
        <v>2</v>
      </c>
      <c r="G319" s="18">
        <v>100</v>
      </c>
      <c r="H319" s="18">
        <f t="shared" si="120"/>
        <v>12000</v>
      </c>
      <c r="I319" s="7">
        <f>60*F319</f>
        <v>120</v>
      </c>
      <c r="J319" s="9" t="s">
        <v>11</v>
      </c>
      <c r="K319" s="7" t="s">
        <v>9</v>
      </c>
      <c r="L319" s="7" t="s">
        <v>31</v>
      </c>
      <c r="M319" s="18">
        <v>12000</v>
      </c>
      <c r="N319" s="17"/>
    </row>
    <row r="320" spans="1:14" ht="30" customHeight="1" outlineLevel="1" x14ac:dyDescent="0.25">
      <c r="A320" s="6"/>
      <c r="B320" s="6" t="s">
        <v>333</v>
      </c>
      <c r="C320" s="7"/>
      <c r="D320" s="7"/>
      <c r="E320" s="8"/>
      <c r="F320" s="18"/>
      <c r="G320" s="18"/>
      <c r="H320" s="18">
        <f ca="1">SUBTOTAL(9,H313:H319)</f>
        <v>49071</v>
      </c>
      <c r="I320" s="7"/>
      <c r="J320" s="9"/>
      <c r="K320" s="7"/>
      <c r="L320" s="7"/>
      <c r="M320" s="18">
        <v>49071</v>
      </c>
      <c r="N320" s="17"/>
    </row>
    <row r="321" spans="1:14" ht="30" customHeight="1" outlineLevel="2" x14ac:dyDescent="0.25">
      <c r="A321" s="3">
        <v>13</v>
      </c>
      <c r="B321" s="3" t="str">
        <f>E321</f>
        <v xml:space="preserve">ЩС-14 (Альбом 34) </v>
      </c>
      <c r="C321" s="3"/>
      <c r="D321" s="14"/>
      <c r="E321" s="3" t="s">
        <v>70</v>
      </c>
      <c r="F321" s="13"/>
      <c r="G321" s="13"/>
      <c r="H321" s="13"/>
      <c r="I321" s="5">
        <v>1</v>
      </c>
      <c r="J321" s="4" t="s">
        <v>6</v>
      </c>
      <c r="K321" s="4" t="s">
        <v>23</v>
      </c>
      <c r="L321" s="4" t="s">
        <v>31</v>
      </c>
      <c r="M321" s="13"/>
      <c r="N321" s="17"/>
    </row>
    <row r="322" spans="1:14" ht="30" customHeight="1" outlineLevel="2" x14ac:dyDescent="0.25">
      <c r="A322" s="6">
        <v>14</v>
      </c>
      <c r="B322" s="6" t="str">
        <f t="shared" ref="B322:B327" si="122">B321</f>
        <v xml:space="preserve">ЩС-14 (Альбом 34) </v>
      </c>
      <c r="C322" s="7" t="s">
        <v>7</v>
      </c>
      <c r="D322" s="7" t="s">
        <v>272</v>
      </c>
      <c r="E322" s="8" t="s">
        <v>273</v>
      </c>
      <c r="F322" s="18">
        <v>17000</v>
      </c>
      <c r="G322" s="18">
        <f>0.6*F322</f>
        <v>10200</v>
      </c>
      <c r="H322" s="18">
        <f t="shared" ref="H322:H327" si="123">G322*I322</f>
        <v>10200</v>
      </c>
      <c r="I322" s="7">
        <v>1</v>
      </c>
      <c r="J322" s="9" t="s">
        <v>11</v>
      </c>
      <c r="K322" s="9" t="s">
        <v>24</v>
      </c>
      <c r="L322" s="9" t="s">
        <v>31</v>
      </c>
      <c r="M322" s="18">
        <v>10200</v>
      </c>
      <c r="N322" s="17"/>
    </row>
    <row r="323" spans="1:14" ht="30" customHeight="1" outlineLevel="2" x14ac:dyDescent="0.25">
      <c r="A323" s="6">
        <v>15</v>
      </c>
      <c r="B323" s="6" t="str">
        <f t="shared" si="122"/>
        <v xml:space="preserve">ЩС-14 (Альбом 34) </v>
      </c>
      <c r="C323" s="7" t="s">
        <v>10</v>
      </c>
      <c r="D323" s="7">
        <v>296829</v>
      </c>
      <c r="E323" s="8" t="s">
        <v>44</v>
      </c>
      <c r="F323" s="18">
        <v>2429</v>
      </c>
      <c r="G323" s="18">
        <f t="shared" ref="G323:G325" si="124">F323*0.6</f>
        <v>1457.3999999999999</v>
      </c>
      <c r="H323" s="18">
        <f t="shared" si="123"/>
        <v>1457.3999999999999</v>
      </c>
      <c r="I323" s="7">
        <v>1</v>
      </c>
      <c r="J323" s="9" t="s">
        <v>11</v>
      </c>
      <c r="K323" s="9" t="s">
        <v>22</v>
      </c>
      <c r="L323" s="9" t="s">
        <v>31</v>
      </c>
      <c r="M323" s="18">
        <v>1457.3999999999999</v>
      </c>
      <c r="N323" s="17"/>
    </row>
    <row r="324" spans="1:14" ht="30" customHeight="1" outlineLevel="2" x14ac:dyDescent="0.25">
      <c r="A324" s="6">
        <v>15</v>
      </c>
      <c r="B324" s="6" t="str">
        <f t="shared" si="122"/>
        <v xml:space="preserve">ЩС-14 (Альбом 34) </v>
      </c>
      <c r="C324" s="7" t="s">
        <v>10</v>
      </c>
      <c r="D324" s="7">
        <v>296827</v>
      </c>
      <c r="E324" s="8" t="s">
        <v>64</v>
      </c>
      <c r="F324" s="18">
        <v>2337</v>
      </c>
      <c r="G324" s="18">
        <f t="shared" si="124"/>
        <v>1402.2</v>
      </c>
      <c r="H324" s="18">
        <f t="shared" si="123"/>
        <v>2804.4</v>
      </c>
      <c r="I324" s="7">
        <v>2</v>
      </c>
      <c r="J324" s="9" t="s">
        <v>11</v>
      </c>
      <c r="K324" s="9" t="s">
        <v>22</v>
      </c>
      <c r="L324" s="9" t="s">
        <v>31</v>
      </c>
      <c r="M324" s="18">
        <v>2804.4</v>
      </c>
      <c r="N324" s="17"/>
    </row>
    <row r="325" spans="1:14" ht="30" customHeight="1" outlineLevel="2" x14ac:dyDescent="0.25">
      <c r="A325" s="6">
        <v>15</v>
      </c>
      <c r="B325" s="6" t="str">
        <f t="shared" si="122"/>
        <v xml:space="preserve">ЩС-14 (Альбом 34) </v>
      </c>
      <c r="C325" s="7" t="s">
        <v>12</v>
      </c>
      <c r="D325" s="7">
        <v>105542</v>
      </c>
      <c r="E325" s="8" t="s">
        <v>43</v>
      </c>
      <c r="F325" s="18">
        <v>5093</v>
      </c>
      <c r="G325" s="18">
        <f t="shared" si="124"/>
        <v>3055.7999999999997</v>
      </c>
      <c r="H325" s="18">
        <f t="shared" si="123"/>
        <v>9167.4</v>
      </c>
      <c r="I325" s="7">
        <v>3</v>
      </c>
      <c r="J325" s="9" t="s">
        <v>11</v>
      </c>
      <c r="K325" s="9" t="s">
        <v>22</v>
      </c>
      <c r="L325" s="9" t="s">
        <v>31</v>
      </c>
      <c r="M325" s="18">
        <v>9167.4</v>
      </c>
      <c r="N325" s="17"/>
    </row>
    <row r="326" spans="1:14" ht="30" customHeight="1" outlineLevel="2" x14ac:dyDescent="0.25">
      <c r="A326" s="6">
        <v>19</v>
      </c>
      <c r="B326" s="6" t="str">
        <f t="shared" si="122"/>
        <v xml:space="preserve">ЩС-14 (Альбом 34) </v>
      </c>
      <c r="C326" s="7" t="s">
        <v>8</v>
      </c>
      <c r="D326" s="7" t="s">
        <v>8</v>
      </c>
      <c r="E326" s="8" t="s">
        <v>8</v>
      </c>
      <c r="F326" s="18">
        <f ca="1">OFFSET(F326,1,2)</f>
        <v>9000</v>
      </c>
      <c r="G326" s="18">
        <f ca="1">F326</f>
        <v>9000</v>
      </c>
      <c r="H326" s="18">
        <f t="shared" ca="1" si="123"/>
        <v>9000</v>
      </c>
      <c r="I326" s="7">
        <v>1</v>
      </c>
      <c r="J326" s="9" t="s">
        <v>11</v>
      </c>
      <c r="K326" s="7" t="s">
        <v>8</v>
      </c>
      <c r="L326" s="7" t="s">
        <v>31</v>
      </c>
      <c r="M326" s="18">
        <v>9000</v>
      </c>
      <c r="N326" s="17"/>
    </row>
    <row r="327" spans="1:14" ht="30" customHeight="1" outlineLevel="2" x14ac:dyDescent="0.25">
      <c r="A327" s="6">
        <v>20</v>
      </c>
      <c r="B327" s="6" t="str">
        <f t="shared" si="122"/>
        <v xml:space="preserve">ЩС-14 (Альбом 34) </v>
      </c>
      <c r="C327" s="7" t="s">
        <v>9</v>
      </c>
      <c r="D327" s="7" t="s">
        <v>9</v>
      </c>
      <c r="E327" s="8" t="s">
        <v>9</v>
      </c>
      <c r="F327" s="18">
        <v>1.5</v>
      </c>
      <c r="G327" s="18">
        <v>100</v>
      </c>
      <c r="H327" s="18">
        <f t="shared" si="123"/>
        <v>9000</v>
      </c>
      <c r="I327" s="7">
        <f>60*F327</f>
        <v>90</v>
      </c>
      <c r="J327" s="9" t="s">
        <v>11</v>
      </c>
      <c r="K327" s="7" t="s">
        <v>9</v>
      </c>
      <c r="L327" s="7" t="s">
        <v>31</v>
      </c>
      <c r="M327" s="18">
        <v>9000</v>
      </c>
      <c r="N327" s="17"/>
    </row>
    <row r="328" spans="1:14" ht="30" customHeight="1" outlineLevel="1" x14ac:dyDescent="0.25">
      <c r="A328" s="6"/>
      <c r="B328" s="6" t="s">
        <v>334</v>
      </c>
      <c r="C328" s="7"/>
      <c r="D328" s="7"/>
      <c r="E328" s="8"/>
      <c r="F328" s="18"/>
      <c r="G328" s="18"/>
      <c r="H328" s="18">
        <f ca="1">SUBTOTAL(9,H321:H327)</f>
        <v>41629.199999999997</v>
      </c>
      <c r="I328" s="7"/>
      <c r="J328" s="9"/>
      <c r="K328" s="7"/>
      <c r="L328" s="7"/>
      <c r="M328" s="18">
        <v>41629.199999999997</v>
      </c>
      <c r="N328" s="17"/>
    </row>
    <row r="329" spans="1:14" ht="30" customHeight="1" outlineLevel="2" x14ac:dyDescent="0.25">
      <c r="A329" s="3">
        <v>13</v>
      </c>
      <c r="B329" s="3" t="str">
        <f>E329</f>
        <v xml:space="preserve">ЩС-15 (Альбом 34) </v>
      </c>
      <c r="C329" s="3"/>
      <c r="D329" s="14"/>
      <c r="E329" s="3" t="s">
        <v>71</v>
      </c>
      <c r="F329" s="13"/>
      <c r="G329" s="13"/>
      <c r="H329" s="13"/>
      <c r="I329" s="5">
        <v>1</v>
      </c>
      <c r="J329" s="4" t="s">
        <v>6</v>
      </c>
      <c r="K329" s="4" t="s">
        <v>23</v>
      </c>
      <c r="L329" s="4" t="s">
        <v>31</v>
      </c>
      <c r="M329" s="13"/>
      <c r="N329" s="17"/>
    </row>
    <row r="330" spans="1:14" ht="30" customHeight="1" outlineLevel="2" x14ac:dyDescent="0.25">
      <c r="A330" s="6">
        <v>14</v>
      </c>
      <c r="B330" s="6" t="str">
        <f t="shared" ref="B330:B335" si="125">B329</f>
        <v xml:space="preserve">ЩС-15 (Альбом 34) </v>
      </c>
      <c r="C330" s="7" t="s">
        <v>7</v>
      </c>
      <c r="D330" s="7" t="s">
        <v>276</v>
      </c>
      <c r="E330" s="17" t="s">
        <v>277</v>
      </c>
      <c r="F330" s="18">
        <v>22500</v>
      </c>
      <c r="G330" s="18">
        <f>0.6*F330</f>
        <v>13500</v>
      </c>
      <c r="H330" s="18">
        <f t="shared" ref="H330:H335" si="126">G330*I330</f>
        <v>13500</v>
      </c>
      <c r="I330" s="7">
        <v>1</v>
      </c>
      <c r="J330" s="9" t="s">
        <v>11</v>
      </c>
      <c r="K330" s="9" t="s">
        <v>24</v>
      </c>
      <c r="L330" s="9" t="s">
        <v>31</v>
      </c>
      <c r="M330" s="18">
        <v>13500</v>
      </c>
      <c r="N330" s="17"/>
    </row>
    <row r="331" spans="1:14" ht="30" customHeight="1" outlineLevel="2" x14ac:dyDescent="0.25">
      <c r="A331" s="6">
        <v>15</v>
      </c>
      <c r="B331" s="6" t="str">
        <f t="shared" si="125"/>
        <v xml:space="preserve">ЩС-15 (Альбом 34) </v>
      </c>
      <c r="C331" s="7" t="s">
        <v>10</v>
      </c>
      <c r="D331" s="7">
        <v>296829</v>
      </c>
      <c r="E331" s="8" t="s">
        <v>44</v>
      </c>
      <c r="F331" s="18">
        <v>2429</v>
      </c>
      <c r="G331" s="18">
        <f t="shared" ref="G331:G333" si="127">F331*0.6</f>
        <v>1457.3999999999999</v>
      </c>
      <c r="H331" s="18">
        <f t="shared" si="126"/>
        <v>1457.3999999999999</v>
      </c>
      <c r="I331" s="7">
        <v>1</v>
      </c>
      <c r="J331" s="9" t="s">
        <v>11</v>
      </c>
      <c r="K331" s="9" t="s">
        <v>22</v>
      </c>
      <c r="L331" s="9" t="s">
        <v>31</v>
      </c>
      <c r="M331" s="18">
        <v>1457.3999999999999</v>
      </c>
      <c r="N331" s="17"/>
    </row>
    <row r="332" spans="1:14" ht="30" customHeight="1" outlineLevel="2" x14ac:dyDescent="0.25">
      <c r="A332" s="6">
        <v>15</v>
      </c>
      <c r="B332" s="6" t="str">
        <f t="shared" si="125"/>
        <v xml:space="preserve">ЩС-15 (Альбом 34) </v>
      </c>
      <c r="C332" s="7" t="s">
        <v>10</v>
      </c>
      <c r="D332" s="7">
        <v>296827</v>
      </c>
      <c r="E332" s="8" t="s">
        <v>64</v>
      </c>
      <c r="F332" s="18">
        <v>2337</v>
      </c>
      <c r="G332" s="18">
        <f t="shared" si="127"/>
        <v>1402.2</v>
      </c>
      <c r="H332" s="18">
        <f t="shared" si="126"/>
        <v>4206.6000000000004</v>
      </c>
      <c r="I332" s="7">
        <v>3</v>
      </c>
      <c r="J332" s="9" t="s">
        <v>11</v>
      </c>
      <c r="K332" s="9" t="s">
        <v>22</v>
      </c>
      <c r="L332" s="9" t="s">
        <v>31</v>
      </c>
      <c r="M332" s="18">
        <v>4206.6000000000004</v>
      </c>
      <c r="N332" s="17"/>
    </row>
    <row r="333" spans="1:14" ht="30" customHeight="1" outlineLevel="2" x14ac:dyDescent="0.25">
      <c r="A333" s="6">
        <v>15</v>
      </c>
      <c r="B333" s="6" t="str">
        <f t="shared" si="125"/>
        <v xml:space="preserve">ЩС-15 (Альбом 34) </v>
      </c>
      <c r="C333" s="7" t="s">
        <v>12</v>
      </c>
      <c r="D333" s="7">
        <v>105542</v>
      </c>
      <c r="E333" s="8" t="s">
        <v>43</v>
      </c>
      <c r="F333" s="18">
        <v>5093</v>
      </c>
      <c r="G333" s="18">
        <f t="shared" si="127"/>
        <v>3055.7999999999997</v>
      </c>
      <c r="H333" s="18">
        <f t="shared" si="126"/>
        <v>21390.6</v>
      </c>
      <c r="I333" s="7">
        <v>7</v>
      </c>
      <c r="J333" s="9" t="s">
        <v>11</v>
      </c>
      <c r="K333" s="9" t="s">
        <v>22</v>
      </c>
      <c r="L333" s="9" t="s">
        <v>31</v>
      </c>
      <c r="M333" s="18">
        <v>21390.6</v>
      </c>
      <c r="N333" s="17"/>
    </row>
    <row r="334" spans="1:14" ht="30" customHeight="1" outlineLevel="2" x14ac:dyDescent="0.25">
      <c r="A334" s="6">
        <v>19</v>
      </c>
      <c r="B334" s="6" t="str">
        <f t="shared" si="125"/>
        <v xml:space="preserve">ЩС-15 (Альбом 34) </v>
      </c>
      <c r="C334" s="7" t="s">
        <v>8</v>
      </c>
      <c r="D334" s="7" t="s">
        <v>8</v>
      </c>
      <c r="E334" s="8" t="s">
        <v>8</v>
      </c>
      <c r="F334" s="18">
        <f ca="1">OFFSET(F334,1,2)</f>
        <v>15000</v>
      </c>
      <c r="G334" s="18">
        <f ca="1">F334</f>
        <v>15000</v>
      </c>
      <c r="H334" s="18">
        <f t="shared" ca="1" si="126"/>
        <v>15000</v>
      </c>
      <c r="I334" s="7">
        <v>1</v>
      </c>
      <c r="J334" s="9" t="s">
        <v>11</v>
      </c>
      <c r="K334" s="7" t="s">
        <v>8</v>
      </c>
      <c r="L334" s="7" t="s">
        <v>31</v>
      </c>
      <c r="M334" s="18">
        <v>15000</v>
      </c>
      <c r="N334" s="17"/>
    </row>
    <row r="335" spans="1:14" ht="30" customHeight="1" outlineLevel="2" x14ac:dyDescent="0.25">
      <c r="A335" s="6">
        <v>20</v>
      </c>
      <c r="B335" s="6" t="str">
        <f t="shared" si="125"/>
        <v xml:space="preserve">ЩС-15 (Альбом 34) </v>
      </c>
      <c r="C335" s="7" t="s">
        <v>9</v>
      </c>
      <c r="D335" s="7" t="s">
        <v>9</v>
      </c>
      <c r="E335" s="8" t="s">
        <v>9</v>
      </c>
      <c r="F335" s="18">
        <v>2.5</v>
      </c>
      <c r="G335" s="18">
        <v>100</v>
      </c>
      <c r="H335" s="18">
        <f t="shared" si="126"/>
        <v>15000</v>
      </c>
      <c r="I335" s="7">
        <f>60*F335</f>
        <v>150</v>
      </c>
      <c r="J335" s="9" t="s">
        <v>11</v>
      </c>
      <c r="K335" s="7" t="s">
        <v>9</v>
      </c>
      <c r="L335" s="7" t="s">
        <v>31</v>
      </c>
      <c r="M335" s="18">
        <v>15000</v>
      </c>
      <c r="N335" s="17"/>
    </row>
    <row r="336" spans="1:14" ht="30" customHeight="1" outlineLevel="1" x14ac:dyDescent="0.25">
      <c r="A336" s="6"/>
      <c r="B336" s="6" t="s">
        <v>335</v>
      </c>
      <c r="C336" s="7"/>
      <c r="D336" s="7"/>
      <c r="E336" s="8"/>
      <c r="F336" s="18"/>
      <c r="G336" s="18"/>
      <c r="H336" s="18">
        <f ca="1">SUBTOTAL(9,H329:H335)</f>
        <v>70554.600000000006</v>
      </c>
      <c r="I336" s="7"/>
      <c r="J336" s="9"/>
      <c r="K336" s="7"/>
      <c r="L336" s="7"/>
      <c r="M336" s="18">
        <v>70554.600000000006</v>
      </c>
      <c r="N336" s="17"/>
    </row>
    <row r="337" spans="1:14" ht="30" customHeight="1" outlineLevel="2" x14ac:dyDescent="0.25">
      <c r="A337" s="3">
        <v>13</v>
      </c>
      <c r="B337" s="3" t="str">
        <f>E337</f>
        <v xml:space="preserve">ЩС-16 (Альбом 34) </v>
      </c>
      <c r="C337" s="3"/>
      <c r="D337" s="14"/>
      <c r="E337" s="3" t="s">
        <v>72</v>
      </c>
      <c r="F337" s="13"/>
      <c r="G337" s="13"/>
      <c r="H337" s="13"/>
      <c r="I337" s="5">
        <v>1</v>
      </c>
      <c r="J337" s="4" t="s">
        <v>6</v>
      </c>
      <c r="K337" s="4" t="s">
        <v>23</v>
      </c>
      <c r="L337" s="4" t="s">
        <v>31</v>
      </c>
      <c r="M337" s="13"/>
      <c r="N337" s="17"/>
    </row>
    <row r="338" spans="1:14" ht="30" customHeight="1" outlineLevel="2" x14ac:dyDescent="0.25">
      <c r="A338" s="6">
        <v>14</v>
      </c>
      <c r="B338" s="6" t="str">
        <f t="shared" ref="B338:B342" si="128">B337</f>
        <v xml:space="preserve">ЩС-16 (Альбом 34) </v>
      </c>
      <c r="C338" s="7" t="s">
        <v>7</v>
      </c>
      <c r="D338" s="7" t="s">
        <v>274</v>
      </c>
      <c r="E338" s="8" t="s">
        <v>275</v>
      </c>
      <c r="F338" s="18">
        <v>20000</v>
      </c>
      <c r="G338" s="18">
        <f>0.6*F338</f>
        <v>12000</v>
      </c>
      <c r="H338" s="18">
        <f t="shared" ref="H338:H342" si="129">G338*I338</f>
        <v>12000</v>
      </c>
      <c r="I338" s="7">
        <v>1</v>
      </c>
      <c r="J338" s="9" t="s">
        <v>11</v>
      </c>
      <c r="K338" s="9" t="s">
        <v>24</v>
      </c>
      <c r="L338" s="9" t="s">
        <v>31</v>
      </c>
      <c r="M338" s="18">
        <v>12000</v>
      </c>
      <c r="N338" s="17"/>
    </row>
    <row r="339" spans="1:14" ht="30" customHeight="1" outlineLevel="2" x14ac:dyDescent="0.25">
      <c r="A339" s="6">
        <v>15</v>
      </c>
      <c r="B339" s="6" t="str">
        <f t="shared" si="128"/>
        <v xml:space="preserve">ЩС-16 (Альбом 34) </v>
      </c>
      <c r="C339" s="7" t="s">
        <v>10</v>
      </c>
      <c r="D339" s="7">
        <v>296829</v>
      </c>
      <c r="E339" s="8" t="s">
        <v>44</v>
      </c>
      <c r="F339" s="18">
        <v>2429</v>
      </c>
      <c r="G339" s="18">
        <f t="shared" ref="G339:G340" si="130">F339*0.6</f>
        <v>1457.3999999999999</v>
      </c>
      <c r="H339" s="18">
        <f t="shared" si="129"/>
        <v>1457.3999999999999</v>
      </c>
      <c r="I339" s="7">
        <v>1</v>
      </c>
      <c r="J339" s="9" t="s">
        <v>11</v>
      </c>
      <c r="K339" s="9" t="s">
        <v>22</v>
      </c>
      <c r="L339" s="9" t="s">
        <v>31</v>
      </c>
      <c r="M339" s="18">
        <v>1457.3999999999999</v>
      </c>
      <c r="N339" s="17"/>
    </row>
    <row r="340" spans="1:14" ht="30" customHeight="1" outlineLevel="2" x14ac:dyDescent="0.25">
      <c r="A340" s="6">
        <v>15</v>
      </c>
      <c r="B340" s="6" t="str">
        <f t="shared" si="128"/>
        <v xml:space="preserve">ЩС-16 (Альбом 34) </v>
      </c>
      <c r="C340" s="7" t="s">
        <v>12</v>
      </c>
      <c r="D340" s="7">
        <v>105542</v>
      </c>
      <c r="E340" s="8" t="s">
        <v>43</v>
      </c>
      <c r="F340" s="18">
        <v>5093</v>
      </c>
      <c r="G340" s="18">
        <f t="shared" si="130"/>
        <v>3055.7999999999997</v>
      </c>
      <c r="H340" s="18">
        <f t="shared" si="129"/>
        <v>27502.199999999997</v>
      </c>
      <c r="I340" s="7">
        <v>9</v>
      </c>
      <c r="J340" s="9" t="s">
        <v>11</v>
      </c>
      <c r="K340" s="9" t="s">
        <v>22</v>
      </c>
      <c r="L340" s="9" t="s">
        <v>31</v>
      </c>
      <c r="M340" s="18">
        <v>27502.199999999997</v>
      </c>
      <c r="N340" s="17"/>
    </row>
    <row r="341" spans="1:14" ht="30" customHeight="1" outlineLevel="2" x14ac:dyDescent="0.25">
      <c r="A341" s="6">
        <v>19</v>
      </c>
      <c r="B341" s="6" t="str">
        <f t="shared" si="128"/>
        <v xml:space="preserve">ЩС-16 (Альбом 34) </v>
      </c>
      <c r="C341" s="7" t="s">
        <v>8</v>
      </c>
      <c r="D341" s="7" t="s">
        <v>8</v>
      </c>
      <c r="E341" s="8" t="s">
        <v>8</v>
      </c>
      <c r="F341" s="18">
        <f ca="1">OFFSET(F341,1,2)</f>
        <v>12000</v>
      </c>
      <c r="G341" s="18">
        <f ca="1">F341</f>
        <v>12000</v>
      </c>
      <c r="H341" s="18">
        <f t="shared" ca="1" si="129"/>
        <v>12000</v>
      </c>
      <c r="I341" s="7">
        <v>1</v>
      </c>
      <c r="J341" s="9" t="s">
        <v>11</v>
      </c>
      <c r="K341" s="7" t="s">
        <v>8</v>
      </c>
      <c r="L341" s="7" t="s">
        <v>31</v>
      </c>
      <c r="M341" s="18">
        <v>12000</v>
      </c>
      <c r="N341" s="17"/>
    </row>
    <row r="342" spans="1:14" ht="30" customHeight="1" outlineLevel="2" x14ac:dyDescent="0.25">
      <c r="A342" s="6">
        <v>20</v>
      </c>
      <c r="B342" s="6" t="str">
        <f t="shared" si="128"/>
        <v xml:space="preserve">ЩС-16 (Альбом 34) </v>
      </c>
      <c r="C342" s="7" t="s">
        <v>9</v>
      </c>
      <c r="D342" s="7" t="s">
        <v>9</v>
      </c>
      <c r="E342" s="8" t="s">
        <v>9</v>
      </c>
      <c r="F342" s="18">
        <v>2</v>
      </c>
      <c r="G342" s="18">
        <v>100</v>
      </c>
      <c r="H342" s="18">
        <f t="shared" si="129"/>
        <v>12000</v>
      </c>
      <c r="I342" s="7">
        <f>60*F342</f>
        <v>120</v>
      </c>
      <c r="J342" s="9" t="s">
        <v>11</v>
      </c>
      <c r="K342" s="7" t="s">
        <v>9</v>
      </c>
      <c r="L342" s="7" t="s">
        <v>31</v>
      </c>
      <c r="M342" s="18">
        <v>12000</v>
      </c>
      <c r="N342" s="17"/>
    </row>
    <row r="343" spans="1:14" ht="30" customHeight="1" outlineLevel="1" x14ac:dyDescent="0.25">
      <c r="A343" s="6"/>
      <c r="B343" s="6" t="s">
        <v>336</v>
      </c>
      <c r="C343" s="7"/>
      <c r="D343" s="7"/>
      <c r="E343" s="8"/>
      <c r="F343" s="18"/>
      <c r="G343" s="18"/>
      <c r="H343" s="18">
        <f ca="1">SUBTOTAL(9,H337:H342)</f>
        <v>64959.6</v>
      </c>
      <c r="I343" s="7"/>
      <c r="J343" s="9"/>
      <c r="K343" s="7"/>
      <c r="L343" s="7"/>
      <c r="M343" s="18">
        <v>64959.6</v>
      </c>
      <c r="N343" s="17"/>
    </row>
    <row r="344" spans="1:14" ht="30" customHeight="1" outlineLevel="2" x14ac:dyDescent="0.25">
      <c r="A344" s="3">
        <v>13</v>
      </c>
      <c r="B344" s="3" t="str">
        <f>E344</f>
        <v xml:space="preserve">ЩС-17 (Альбом 34) </v>
      </c>
      <c r="C344" s="3"/>
      <c r="D344" s="14"/>
      <c r="E344" s="3" t="s">
        <v>73</v>
      </c>
      <c r="F344" s="13"/>
      <c r="G344" s="13"/>
      <c r="H344" s="13"/>
      <c r="I344" s="5">
        <v>1</v>
      </c>
      <c r="J344" s="4" t="s">
        <v>6</v>
      </c>
      <c r="K344" s="4" t="s">
        <v>23</v>
      </c>
      <c r="L344" s="4" t="s">
        <v>31</v>
      </c>
      <c r="M344" s="13"/>
      <c r="N344" s="17"/>
    </row>
    <row r="345" spans="1:14" ht="30" customHeight="1" outlineLevel="2" x14ac:dyDescent="0.25">
      <c r="A345" s="6">
        <v>14</v>
      </c>
      <c r="B345" s="6" t="str">
        <f t="shared" ref="B345:B349" si="131">B344</f>
        <v xml:space="preserve">ЩС-17 (Альбом 34) </v>
      </c>
      <c r="C345" s="7" t="s">
        <v>7</v>
      </c>
      <c r="D345" s="7" t="s">
        <v>268</v>
      </c>
      <c r="E345" s="8" t="s">
        <v>269</v>
      </c>
      <c r="F345" s="18">
        <v>10500</v>
      </c>
      <c r="G345" s="18">
        <f>0.6*F345</f>
        <v>6300</v>
      </c>
      <c r="H345" s="18">
        <f t="shared" ref="H345:H349" si="132">G345*I345</f>
        <v>6300</v>
      </c>
      <c r="I345" s="7">
        <v>1</v>
      </c>
      <c r="J345" s="9" t="s">
        <v>11</v>
      </c>
      <c r="K345" s="9" t="s">
        <v>24</v>
      </c>
      <c r="L345" s="9" t="s">
        <v>31</v>
      </c>
      <c r="M345" s="18">
        <v>6300</v>
      </c>
      <c r="N345" s="17"/>
    </row>
    <row r="346" spans="1:14" ht="30" customHeight="1" outlineLevel="2" x14ac:dyDescent="0.25">
      <c r="A346" s="6">
        <v>15</v>
      </c>
      <c r="B346" s="6" t="str">
        <f t="shared" si="131"/>
        <v xml:space="preserve">ЩС-17 (Альбом 34) </v>
      </c>
      <c r="C346" s="7" t="s">
        <v>10</v>
      </c>
      <c r="D346" s="7">
        <v>296832</v>
      </c>
      <c r="E346" s="8" t="s">
        <v>56</v>
      </c>
      <c r="F346" s="18">
        <v>3172</v>
      </c>
      <c r="G346" s="18">
        <f t="shared" ref="G346:G347" si="133">F346*0.6</f>
        <v>1903.1999999999998</v>
      </c>
      <c r="H346" s="18">
        <f t="shared" si="132"/>
        <v>1903.1999999999998</v>
      </c>
      <c r="I346" s="7">
        <v>1</v>
      </c>
      <c r="J346" s="9" t="s">
        <v>11</v>
      </c>
      <c r="K346" s="9" t="s">
        <v>22</v>
      </c>
      <c r="L346" s="9" t="s">
        <v>31</v>
      </c>
      <c r="M346" s="18">
        <v>1903.1999999999998</v>
      </c>
      <c r="N346" s="17"/>
    </row>
    <row r="347" spans="1:14" ht="30" customHeight="1" outlineLevel="2" x14ac:dyDescent="0.25">
      <c r="A347" s="6">
        <v>15</v>
      </c>
      <c r="B347" s="6" t="str">
        <f t="shared" si="131"/>
        <v xml:space="preserve">ЩС-17 (Альбом 34) </v>
      </c>
      <c r="C347" s="7" t="s">
        <v>10</v>
      </c>
      <c r="D347" s="7">
        <v>296831</v>
      </c>
      <c r="E347" s="8" t="s">
        <v>58</v>
      </c>
      <c r="F347" s="18">
        <v>2807</v>
      </c>
      <c r="G347" s="18">
        <f t="shared" si="133"/>
        <v>1684.2</v>
      </c>
      <c r="H347" s="18">
        <f t="shared" si="132"/>
        <v>3368.4</v>
      </c>
      <c r="I347" s="7">
        <v>2</v>
      </c>
      <c r="J347" s="9" t="s">
        <v>11</v>
      </c>
      <c r="K347" s="9" t="s">
        <v>22</v>
      </c>
      <c r="L347" s="9" t="s">
        <v>31</v>
      </c>
      <c r="M347" s="18">
        <v>3368.4</v>
      </c>
      <c r="N347" s="17"/>
    </row>
    <row r="348" spans="1:14" ht="30" customHeight="1" outlineLevel="2" x14ac:dyDescent="0.25">
      <c r="A348" s="6">
        <v>19</v>
      </c>
      <c r="B348" s="6" t="str">
        <f t="shared" si="131"/>
        <v xml:space="preserve">ЩС-17 (Альбом 34) </v>
      </c>
      <c r="C348" s="7" t="s">
        <v>8</v>
      </c>
      <c r="D348" s="7" t="s">
        <v>8</v>
      </c>
      <c r="E348" s="8" t="s">
        <v>8</v>
      </c>
      <c r="F348" s="18">
        <f ca="1">OFFSET(F348,1,2)</f>
        <v>6000</v>
      </c>
      <c r="G348" s="18">
        <f ca="1">F348</f>
        <v>6000</v>
      </c>
      <c r="H348" s="18">
        <f t="shared" ca="1" si="132"/>
        <v>6000</v>
      </c>
      <c r="I348" s="7">
        <v>1</v>
      </c>
      <c r="J348" s="9" t="s">
        <v>11</v>
      </c>
      <c r="K348" s="7" t="s">
        <v>8</v>
      </c>
      <c r="L348" s="7" t="s">
        <v>31</v>
      </c>
      <c r="M348" s="18">
        <v>6000</v>
      </c>
      <c r="N348" s="17"/>
    </row>
    <row r="349" spans="1:14" ht="30" customHeight="1" outlineLevel="2" x14ac:dyDescent="0.25">
      <c r="A349" s="6">
        <v>20</v>
      </c>
      <c r="B349" s="6" t="str">
        <f t="shared" si="131"/>
        <v xml:space="preserve">ЩС-17 (Альбом 34) </v>
      </c>
      <c r="C349" s="7" t="s">
        <v>9</v>
      </c>
      <c r="D349" s="7" t="s">
        <v>9</v>
      </c>
      <c r="E349" s="8" t="s">
        <v>9</v>
      </c>
      <c r="F349" s="18">
        <v>1</v>
      </c>
      <c r="G349" s="18">
        <v>100</v>
      </c>
      <c r="H349" s="18">
        <f t="shared" si="132"/>
        <v>6000</v>
      </c>
      <c r="I349" s="7">
        <f>60*F349</f>
        <v>60</v>
      </c>
      <c r="J349" s="9" t="s">
        <v>11</v>
      </c>
      <c r="K349" s="7" t="s">
        <v>9</v>
      </c>
      <c r="L349" s="7" t="s">
        <v>31</v>
      </c>
      <c r="M349" s="18">
        <v>6000</v>
      </c>
      <c r="N349" s="17"/>
    </row>
    <row r="350" spans="1:14" ht="30" customHeight="1" outlineLevel="1" x14ac:dyDescent="0.25">
      <c r="A350" s="6"/>
      <c r="B350" s="6" t="s">
        <v>337</v>
      </c>
      <c r="C350" s="7"/>
      <c r="D350" s="7"/>
      <c r="E350" s="8"/>
      <c r="F350" s="18"/>
      <c r="G350" s="18"/>
      <c r="H350" s="18">
        <f ca="1">SUBTOTAL(9,H344:H349)</f>
        <v>23571.599999999999</v>
      </c>
      <c r="I350" s="7"/>
      <c r="J350" s="9"/>
      <c r="K350" s="7"/>
      <c r="L350" s="7"/>
      <c r="M350" s="18">
        <v>23571.599999999999</v>
      </c>
      <c r="N350" s="17"/>
    </row>
    <row r="351" spans="1:14" ht="30" customHeight="1" outlineLevel="2" x14ac:dyDescent="0.25">
      <c r="A351" s="3">
        <v>13</v>
      </c>
      <c r="B351" s="3" t="str">
        <f>E351</f>
        <v xml:space="preserve">ЩС-18 (Альбом 34) </v>
      </c>
      <c r="C351" s="3"/>
      <c r="D351" s="14"/>
      <c r="E351" s="3" t="s">
        <v>74</v>
      </c>
      <c r="F351" s="13"/>
      <c r="G351" s="13"/>
      <c r="H351" s="13"/>
      <c r="I351" s="5">
        <v>1</v>
      </c>
      <c r="J351" s="4" t="s">
        <v>6</v>
      </c>
      <c r="K351" s="4" t="s">
        <v>23</v>
      </c>
      <c r="L351" s="4" t="s">
        <v>31</v>
      </c>
      <c r="M351" s="13"/>
      <c r="N351" s="17"/>
    </row>
    <row r="352" spans="1:14" ht="30" customHeight="1" outlineLevel="2" x14ac:dyDescent="0.25">
      <c r="A352" s="6">
        <v>14</v>
      </c>
      <c r="B352" s="6" t="str">
        <f t="shared" ref="B352:B356" si="134">B351</f>
        <v xml:space="preserve">ЩС-18 (Альбом 34) </v>
      </c>
      <c r="C352" s="7" t="s">
        <v>7</v>
      </c>
      <c r="D352" s="7" t="s">
        <v>268</v>
      </c>
      <c r="E352" s="8" t="s">
        <v>269</v>
      </c>
      <c r="F352" s="18">
        <v>10500</v>
      </c>
      <c r="G352" s="18">
        <f>0.6*F352</f>
        <v>6300</v>
      </c>
      <c r="H352" s="18">
        <f t="shared" ref="H352:H356" si="135">G352*I352</f>
        <v>6300</v>
      </c>
      <c r="I352" s="7">
        <v>1</v>
      </c>
      <c r="J352" s="9" t="s">
        <v>11</v>
      </c>
      <c r="K352" s="9" t="s">
        <v>24</v>
      </c>
      <c r="L352" s="9" t="s">
        <v>31</v>
      </c>
      <c r="M352" s="18">
        <v>6300</v>
      </c>
      <c r="N352" s="17"/>
    </row>
    <row r="353" spans="1:14" ht="30" customHeight="1" outlineLevel="2" x14ac:dyDescent="0.25">
      <c r="A353" s="6">
        <v>15</v>
      </c>
      <c r="B353" s="6" t="str">
        <f t="shared" si="134"/>
        <v xml:space="preserve">ЩС-18 (Альбом 34) </v>
      </c>
      <c r="C353" s="7" t="s">
        <v>10</v>
      </c>
      <c r="D353" s="7">
        <v>296832</v>
      </c>
      <c r="E353" s="8" t="s">
        <v>56</v>
      </c>
      <c r="F353" s="18">
        <v>3172</v>
      </c>
      <c r="G353" s="18">
        <f t="shared" ref="G353:G354" si="136">F353*0.6</f>
        <v>1903.1999999999998</v>
      </c>
      <c r="H353" s="18">
        <f t="shared" si="135"/>
        <v>1903.1999999999998</v>
      </c>
      <c r="I353" s="7">
        <v>1</v>
      </c>
      <c r="J353" s="9" t="s">
        <v>11</v>
      </c>
      <c r="K353" s="9" t="s">
        <v>22</v>
      </c>
      <c r="L353" s="9" t="s">
        <v>31</v>
      </c>
      <c r="M353" s="18">
        <v>1903.1999999999998</v>
      </c>
      <c r="N353" s="17"/>
    </row>
    <row r="354" spans="1:14" ht="30" customHeight="1" outlineLevel="2" x14ac:dyDescent="0.25">
      <c r="A354" s="6">
        <v>15</v>
      </c>
      <c r="B354" s="6" t="str">
        <f t="shared" si="134"/>
        <v xml:space="preserve">ЩС-18 (Альбом 34) </v>
      </c>
      <c r="C354" s="7" t="s">
        <v>10</v>
      </c>
      <c r="D354" s="7">
        <v>296831</v>
      </c>
      <c r="E354" s="8" t="s">
        <v>58</v>
      </c>
      <c r="F354" s="18">
        <v>2807</v>
      </c>
      <c r="G354" s="18">
        <f t="shared" si="136"/>
        <v>1684.2</v>
      </c>
      <c r="H354" s="18">
        <f t="shared" si="135"/>
        <v>1684.2</v>
      </c>
      <c r="I354" s="7">
        <v>1</v>
      </c>
      <c r="J354" s="9" t="s">
        <v>11</v>
      </c>
      <c r="K354" s="9" t="s">
        <v>22</v>
      </c>
      <c r="L354" s="9" t="s">
        <v>31</v>
      </c>
      <c r="M354" s="18">
        <v>1684.2</v>
      </c>
      <c r="N354" s="17"/>
    </row>
    <row r="355" spans="1:14" ht="30" customHeight="1" outlineLevel="2" x14ac:dyDescent="0.25">
      <c r="A355" s="6">
        <v>19</v>
      </c>
      <c r="B355" s="6" t="str">
        <f t="shared" si="134"/>
        <v xml:space="preserve">ЩС-18 (Альбом 34) </v>
      </c>
      <c r="C355" s="7" t="s">
        <v>8</v>
      </c>
      <c r="D355" s="7" t="s">
        <v>8</v>
      </c>
      <c r="E355" s="8" t="s">
        <v>8</v>
      </c>
      <c r="F355" s="18">
        <f ca="1">OFFSET(F355,1,2)</f>
        <v>6000</v>
      </c>
      <c r="G355" s="18">
        <f ca="1">F355</f>
        <v>6000</v>
      </c>
      <c r="H355" s="18">
        <f t="shared" ca="1" si="135"/>
        <v>6000</v>
      </c>
      <c r="I355" s="7">
        <v>1</v>
      </c>
      <c r="J355" s="9" t="s">
        <v>11</v>
      </c>
      <c r="K355" s="7" t="s">
        <v>8</v>
      </c>
      <c r="L355" s="7" t="s">
        <v>31</v>
      </c>
      <c r="M355" s="18">
        <v>6000</v>
      </c>
      <c r="N355" s="17"/>
    </row>
    <row r="356" spans="1:14" ht="30" customHeight="1" outlineLevel="2" x14ac:dyDescent="0.25">
      <c r="A356" s="6">
        <v>20</v>
      </c>
      <c r="B356" s="6" t="str">
        <f t="shared" si="134"/>
        <v xml:space="preserve">ЩС-18 (Альбом 34) </v>
      </c>
      <c r="C356" s="7" t="s">
        <v>9</v>
      </c>
      <c r="D356" s="7" t="s">
        <v>9</v>
      </c>
      <c r="E356" s="8" t="s">
        <v>9</v>
      </c>
      <c r="F356" s="18">
        <v>1</v>
      </c>
      <c r="G356" s="18">
        <v>100</v>
      </c>
      <c r="H356" s="18">
        <f t="shared" si="135"/>
        <v>6000</v>
      </c>
      <c r="I356" s="7">
        <f>60*F356</f>
        <v>60</v>
      </c>
      <c r="J356" s="9" t="s">
        <v>11</v>
      </c>
      <c r="K356" s="7" t="s">
        <v>9</v>
      </c>
      <c r="L356" s="7" t="s">
        <v>31</v>
      </c>
      <c r="M356" s="18">
        <v>6000</v>
      </c>
      <c r="N356" s="17"/>
    </row>
    <row r="357" spans="1:14" ht="30" customHeight="1" outlineLevel="1" x14ac:dyDescent="0.25">
      <c r="A357" s="6"/>
      <c r="B357" s="6" t="s">
        <v>338</v>
      </c>
      <c r="C357" s="7"/>
      <c r="D357" s="7"/>
      <c r="E357" s="8"/>
      <c r="F357" s="18"/>
      <c r="G357" s="18"/>
      <c r="H357" s="18">
        <f ca="1">SUBTOTAL(9,H351:H356)</f>
        <v>21887.4</v>
      </c>
      <c r="I357" s="7"/>
      <c r="J357" s="9"/>
      <c r="K357" s="7"/>
      <c r="L357" s="7"/>
      <c r="M357" s="18">
        <v>21887.4</v>
      </c>
      <c r="N357" s="17"/>
    </row>
    <row r="358" spans="1:14" ht="30" customHeight="1" outlineLevel="2" x14ac:dyDescent="0.25">
      <c r="A358" s="3">
        <v>13</v>
      </c>
      <c r="B358" s="3" t="str">
        <f>E358</f>
        <v xml:space="preserve">ЩС-19 (Альбом 34) </v>
      </c>
      <c r="C358" s="3"/>
      <c r="D358" s="14"/>
      <c r="E358" s="3" t="s">
        <v>75</v>
      </c>
      <c r="F358" s="13"/>
      <c r="G358" s="13"/>
      <c r="H358" s="13"/>
      <c r="I358" s="5">
        <v>1</v>
      </c>
      <c r="J358" s="4" t="s">
        <v>6</v>
      </c>
      <c r="K358" s="4" t="s">
        <v>23</v>
      </c>
      <c r="L358" s="4" t="s">
        <v>31</v>
      </c>
      <c r="M358" s="13"/>
      <c r="N358" s="17"/>
    </row>
    <row r="359" spans="1:14" ht="30" customHeight="1" outlineLevel="2" x14ac:dyDescent="0.25">
      <c r="A359" s="6">
        <v>14</v>
      </c>
      <c r="B359" s="6" t="str">
        <f t="shared" ref="B359:B363" si="137">B358</f>
        <v xml:space="preserve">ЩС-19 (Альбом 34) </v>
      </c>
      <c r="C359" s="7" t="s">
        <v>7</v>
      </c>
      <c r="D359" s="7" t="s">
        <v>274</v>
      </c>
      <c r="E359" s="8" t="s">
        <v>275</v>
      </c>
      <c r="F359" s="18">
        <v>20000</v>
      </c>
      <c r="G359" s="18">
        <f>0.6*F359</f>
        <v>12000</v>
      </c>
      <c r="H359" s="18">
        <f t="shared" ref="H359:H363" si="138">G359*I359</f>
        <v>12000</v>
      </c>
      <c r="I359" s="7">
        <v>1</v>
      </c>
      <c r="J359" s="9" t="s">
        <v>11</v>
      </c>
      <c r="K359" s="9" t="s">
        <v>24</v>
      </c>
      <c r="L359" s="9" t="s">
        <v>31</v>
      </c>
      <c r="M359" s="18">
        <v>12000</v>
      </c>
      <c r="N359" s="17"/>
    </row>
    <row r="360" spans="1:14" ht="30" customHeight="1" outlineLevel="2" x14ac:dyDescent="0.25">
      <c r="A360" s="6">
        <v>15</v>
      </c>
      <c r="B360" s="6" t="str">
        <f t="shared" si="137"/>
        <v xml:space="preserve">ЩС-19 (Альбом 34) </v>
      </c>
      <c r="C360" s="7" t="s">
        <v>10</v>
      </c>
      <c r="D360" s="7">
        <v>296829</v>
      </c>
      <c r="E360" s="8" t="s">
        <v>44</v>
      </c>
      <c r="F360" s="18">
        <v>2429</v>
      </c>
      <c r="G360" s="18">
        <f t="shared" ref="G360:G361" si="139">F360*0.6</f>
        <v>1457.3999999999999</v>
      </c>
      <c r="H360" s="18">
        <f t="shared" si="138"/>
        <v>1457.3999999999999</v>
      </c>
      <c r="I360" s="7">
        <v>1</v>
      </c>
      <c r="J360" s="9" t="s">
        <v>11</v>
      </c>
      <c r="K360" s="9" t="s">
        <v>22</v>
      </c>
      <c r="L360" s="9" t="s">
        <v>31</v>
      </c>
      <c r="M360" s="18">
        <v>1457.3999999999999</v>
      </c>
      <c r="N360" s="17"/>
    </row>
    <row r="361" spans="1:14" ht="30" customHeight="1" outlineLevel="2" x14ac:dyDescent="0.25">
      <c r="A361" s="6">
        <v>15</v>
      </c>
      <c r="B361" s="6" t="str">
        <f t="shared" si="137"/>
        <v xml:space="preserve">ЩС-19 (Альбом 34) </v>
      </c>
      <c r="C361" s="7" t="s">
        <v>12</v>
      </c>
      <c r="D361" s="7">
        <v>105542</v>
      </c>
      <c r="E361" s="8" t="s">
        <v>43</v>
      </c>
      <c r="F361" s="18">
        <v>5093</v>
      </c>
      <c r="G361" s="18">
        <f t="shared" si="139"/>
        <v>3055.7999999999997</v>
      </c>
      <c r="H361" s="18">
        <f t="shared" si="138"/>
        <v>24446.399999999998</v>
      </c>
      <c r="I361" s="7">
        <v>8</v>
      </c>
      <c r="J361" s="9" t="s">
        <v>11</v>
      </c>
      <c r="K361" s="9" t="s">
        <v>22</v>
      </c>
      <c r="L361" s="9" t="s">
        <v>31</v>
      </c>
      <c r="M361" s="18">
        <v>24446.399999999998</v>
      </c>
      <c r="N361" s="17"/>
    </row>
    <row r="362" spans="1:14" ht="30" customHeight="1" outlineLevel="2" x14ac:dyDescent="0.25">
      <c r="A362" s="6">
        <v>19</v>
      </c>
      <c r="B362" s="6" t="str">
        <f t="shared" si="137"/>
        <v xml:space="preserve">ЩС-19 (Альбом 34) </v>
      </c>
      <c r="C362" s="7" t="s">
        <v>8</v>
      </c>
      <c r="D362" s="7" t="s">
        <v>8</v>
      </c>
      <c r="E362" s="8" t="s">
        <v>8</v>
      </c>
      <c r="F362" s="18">
        <f ca="1">OFFSET(F362,1,2)</f>
        <v>12000</v>
      </c>
      <c r="G362" s="18">
        <f ca="1">F362</f>
        <v>12000</v>
      </c>
      <c r="H362" s="18">
        <f t="shared" ca="1" si="138"/>
        <v>12000</v>
      </c>
      <c r="I362" s="7">
        <v>1</v>
      </c>
      <c r="J362" s="9" t="s">
        <v>11</v>
      </c>
      <c r="K362" s="7" t="s">
        <v>8</v>
      </c>
      <c r="L362" s="7" t="s">
        <v>31</v>
      </c>
      <c r="M362" s="18">
        <v>12000</v>
      </c>
      <c r="N362" s="17"/>
    </row>
    <row r="363" spans="1:14" ht="30" customHeight="1" outlineLevel="2" x14ac:dyDescent="0.25">
      <c r="A363" s="6">
        <v>20</v>
      </c>
      <c r="B363" s="6" t="str">
        <f t="shared" si="137"/>
        <v xml:space="preserve">ЩС-19 (Альбом 34) </v>
      </c>
      <c r="C363" s="7" t="s">
        <v>9</v>
      </c>
      <c r="D363" s="7" t="s">
        <v>9</v>
      </c>
      <c r="E363" s="8" t="s">
        <v>9</v>
      </c>
      <c r="F363" s="18">
        <v>2</v>
      </c>
      <c r="G363" s="18">
        <v>100</v>
      </c>
      <c r="H363" s="18">
        <f t="shared" si="138"/>
        <v>12000</v>
      </c>
      <c r="I363" s="7">
        <f>60*F363</f>
        <v>120</v>
      </c>
      <c r="J363" s="9" t="s">
        <v>11</v>
      </c>
      <c r="K363" s="7" t="s">
        <v>9</v>
      </c>
      <c r="L363" s="7" t="s">
        <v>31</v>
      </c>
      <c r="M363" s="18">
        <v>12000</v>
      </c>
      <c r="N363" s="17"/>
    </row>
    <row r="364" spans="1:14" ht="30" customHeight="1" outlineLevel="1" x14ac:dyDescent="0.25">
      <c r="A364" s="6"/>
      <c r="B364" s="6" t="s">
        <v>339</v>
      </c>
      <c r="C364" s="7"/>
      <c r="D364" s="7"/>
      <c r="E364" s="8"/>
      <c r="F364" s="18"/>
      <c r="G364" s="18"/>
      <c r="H364" s="18">
        <f ca="1">SUBTOTAL(9,H358:H363)</f>
        <v>61903.799999999996</v>
      </c>
      <c r="I364" s="7"/>
      <c r="J364" s="9"/>
      <c r="K364" s="7"/>
      <c r="L364" s="7"/>
      <c r="M364" s="18">
        <v>61903.799999999996</v>
      </c>
      <c r="N364" s="17"/>
    </row>
    <row r="365" spans="1:14" ht="30" customHeight="1" outlineLevel="2" x14ac:dyDescent="0.25">
      <c r="A365" s="3">
        <v>13</v>
      </c>
      <c r="B365" s="3" t="str">
        <f>E365</f>
        <v xml:space="preserve">ЩС-20 (Альбом 34) </v>
      </c>
      <c r="C365" s="3"/>
      <c r="D365" s="14"/>
      <c r="E365" s="3" t="s">
        <v>76</v>
      </c>
      <c r="F365" s="13"/>
      <c r="G365" s="13"/>
      <c r="H365" s="13"/>
      <c r="I365" s="5">
        <v>1</v>
      </c>
      <c r="J365" s="4" t="s">
        <v>6</v>
      </c>
      <c r="K365" s="4" t="s">
        <v>23</v>
      </c>
      <c r="L365" s="4" t="s">
        <v>31</v>
      </c>
      <c r="M365" s="13"/>
      <c r="N365" s="17"/>
    </row>
    <row r="366" spans="1:14" ht="30" customHeight="1" outlineLevel="2" x14ac:dyDescent="0.25">
      <c r="A366" s="6">
        <v>14</v>
      </c>
      <c r="B366" s="6" t="str">
        <f t="shared" ref="B366:B371" si="140">B365</f>
        <v xml:space="preserve">ЩС-20 (Альбом 34) </v>
      </c>
      <c r="C366" s="7" t="s">
        <v>7</v>
      </c>
      <c r="D366" s="7"/>
      <c r="E366" s="19" t="s">
        <v>77</v>
      </c>
      <c r="F366" s="18">
        <v>24000</v>
      </c>
      <c r="G366" s="18">
        <f>0.6*F366</f>
        <v>14400</v>
      </c>
      <c r="H366" s="18">
        <f t="shared" ref="H366:H371" si="141">G366*I366</f>
        <v>14400</v>
      </c>
      <c r="I366" s="7">
        <v>1</v>
      </c>
      <c r="J366" s="9" t="s">
        <v>11</v>
      </c>
      <c r="K366" s="9" t="s">
        <v>24</v>
      </c>
      <c r="L366" s="9" t="s">
        <v>31</v>
      </c>
      <c r="M366" s="18">
        <v>14400</v>
      </c>
      <c r="N366" s="17"/>
    </row>
    <row r="367" spans="1:14" ht="30" customHeight="1" outlineLevel="2" x14ac:dyDescent="0.25">
      <c r="A367" s="6">
        <v>15</v>
      </c>
      <c r="B367" s="6" t="str">
        <f t="shared" si="140"/>
        <v xml:space="preserve">ЩС-20 (Альбом 34) </v>
      </c>
      <c r="C367" s="7" t="s">
        <v>10</v>
      </c>
      <c r="D367" s="7">
        <v>296829</v>
      </c>
      <c r="E367" s="8" t="s">
        <v>44</v>
      </c>
      <c r="F367" s="18">
        <v>2429</v>
      </c>
      <c r="G367" s="18">
        <f t="shared" ref="G367:G369" si="142">F367*0.6</f>
        <v>1457.3999999999999</v>
      </c>
      <c r="H367" s="18">
        <f t="shared" si="141"/>
        <v>1457.3999999999999</v>
      </c>
      <c r="I367" s="7">
        <v>1</v>
      </c>
      <c r="J367" s="9" t="s">
        <v>11</v>
      </c>
      <c r="K367" s="9" t="s">
        <v>22</v>
      </c>
      <c r="L367" s="9" t="s">
        <v>31</v>
      </c>
      <c r="M367" s="18">
        <v>1457.3999999999999</v>
      </c>
      <c r="N367" s="17"/>
    </row>
    <row r="368" spans="1:14" ht="30" customHeight="1" outlineLevel="2" x14ac:dyDescent="0.25">
      <c r="A368" s="6">
        <v>15</v>
      </c>
      <c r="B368" s="6" t="str">
        <f t="shared" si="140"/>
        <v xml:space="preserve">ЩС-20 (Альбом 34) </v>
      </c>
      <c r="C368" s="7" t="s">
        <v>10</v>
      </c>
      <c r="D368" s="7">
        <v>296827</v>
      </c>
      <c r="E368" s="8" t="s">
        <v>64</v>
      </c>
      <c r="F368" s="18">
        <v>2337</v>
      </c>
      <c r="G368" s="18">
        <f t="shared" si="142"/>
        <v>1402.2</v>
      </c>
      <c r="H368" s="18">
        <f t="shared" si="141"/>
        <v>4206.6000000000004</v>
      </c>
      <c r="I368" s="7">
        <v>3</v>
      </c>
      <c r="J368" s="9" t="s">
        <v>11</v>
      </c>
      <c r="K368" s="9" t="s">
        <v>22</v>
      </c>
      <c r="L368" s="9" t="s">
        <v>31</v>
      </c>
      <c r="M368" s="18">
        <v>4206.6000000000004</v>
      </c>
      <c r="N368" s="17"/>
    </row>
    <row r="369" spans="1:14" ht="30" customHeight="1" outlineLevel="2" x14ac:dyDescent="0.25">
      <c r="A369" s="6">
        <v>15</v>
      </c>
      <c r="B369" s="6" t="str">
        <f t="shared" si="140"/>
        <v xml:space="preserve">ЩС-20 (Альбом 34) </v>
      </c>
      <c r="C369" s="7" t="s">
        <v>12</v>
      </c>
      <c r="D369" s="7">
        <v>105542</v>
      </c>
      <c r="E369" s="8" t="s">
        <v>43</v>
      </c>
      <c r="F369" s="18">
        <v>5093</v>
      </c>
      <c r="G369" s="18">
        <f t="shared" si="142"/>
        <v>3055.7999999999997</v>
      </c>
      <c r="H369" s="18">
        <f t="shared" si="141"/>
        <v>33613.799999999996</v>
      </c>
      <c r="I369" s="7">
        <v>11</v>
      </c>
      <c r="J369" s="9" t="s">
        <v>11</v>
      </c>
      <c r="K369" s="9" t="s">
        <v>22</v>
      </c>
      <c r="L369" s="9" t="s">
        <v>31</v>
      </c>
      <c r="M369" s="18">
        <v>33613.799999999996</v>
      </c>
      <c r="N369" s="17"/>
    </row>
    <row r="370" spans="1:14" ht="30" customHeight="1" outlineLevel="2" x14ac:dyDescent="0.25">
      <c r="A370" s="6">
        <v>19</v>
      </c>
      <c r="B370" s="6" t="str">
        <f t="shared" si="140"/>
        <v xml:space="preserve">ЩС-20 (Альбом 34) </v>
      </c>
      <c r="C370" s="7" t="s">
        <v>8</v>
      </c>
      <c r="D370" s="7" t="s">
        <v>8</v>
      </c>
      <c r="E370" s="8" t="s">
        <v>8</v>
      </c>
      <c r="F370" s="18">
        <f ca="1">OFFSET(F370,1,2)</f>
        <v>18000</v>
      </c>
      <c r="G370" s="18">
        <f ca="1">F370</f>
        <v>18000</v>
      </c>
      <c r="H370" s="18">
        <f t="shared" ca="1" si="141"/>
        <v>18000</v>
      </c>
      <c r="I370" s="7">
        <v>1</v>
      </c>
      <c r="J370" s="9" t="s">
        <v>11</v>
      </c>
      <c r="K370" s="7" t="s">
        <v>8</v>
      </c>
      <c r="L370" s="7" t="s">
        <v>31</v>
      </c>
      <c r="M370" s="18">
        <v>18000</v>
      </c>
      <c r="N370" s="17"/>
    </row>
    <row r="371" spans="1:14" ht="30" customHeight="1" outlineLevel="2" x14ac:dyDescent="0.25">
      <c r="A371" s="6">
        <v>20</v>
      </c>
      <c r="B371" s="6" t="str">
        <f t="shared" si="140"/>
        <v xml:space="preserve">ЩС-20 (Альбом 34) </v>
      </c>
      <c r="C371" s="7" t="s">
        <v>9</v>
      </c>
      <c r="D371" s="7" t="s">
        <v>9</v>
      </c>
      <c r="E371" s="8" t="s">
        <v>9</v>
      </c>
      <c r="F371" s="18">
        <v>3</v>
      </c>
      <c r="G371" s="18">
        <v>100</v>
      </c>
      <c r="H371" s="18">
        <f t="shared" si="141"/>
        <v>18000</v>
      </c>
      <c r="I371" s="7">
        <f>60*F371</f>
        <v>180</v>
      </c>
      <c r="J371" s="9" t="s">
        <v>11</v>
      </c>
      <c r="K371" s="7" t="s">
        <v>9</v>
      </c>
      <c r="L371" s="7" t="s">
        <v>31</v>
      </c>
      <c r="M371" s="18">
        <v>18000</v>
      </c>
      <c r="N371" s="17"/>
    </row>
    <row r="372" spans="1:14" ht="30" customHeight="1" outlineLevel="1" x14ac:dyDescent="0.25">
      <c r="A372" s="6"/>
      <c r="B372" s="6" t="s">
        <v>340</v>
      </c>
      <c r="C372" s="7"/>
      <c r="D372" s="7"/>
      <c r="E372" s="8"/>
      <c r="F372" s="18"/>
      <c r="G372" s="18"/>
      <c r="H372" s="18">
        <f ca="1">SUBTOTAL(9,H365:H371)</f>
        <v>89677.799999999988</v>
      </c>
      <c r="I372" s="7"/>
      <c r="J372" s="9"/>
      <c r="K372" s="7"/>
      <c r="L372" s="7"/>
      <c r="M372" s="18">
        <v>89677.799999999988</v>
      </c>
      <c r="N372" s="17"/>
    </row>
    <row r="373" spans="1:14" ht="30" customHeight="1" outlineLevel="2" x14ac:dyDescent="0.25">
      <c r="A373" s="3">
        <v>13</v>
      </c>
      <c r="B373" s="3" t="str">
        <f>E373</f>
        <v xml:space="preserve">ЩС-21 (Альбом 34) </v>
      </c>
      <c r="C373" s="3"/>
      <c r="D373" s="14"/>
      <c r="E373" s="3" t="s">
        <v>78</v>
      </c>
      <c r="F373" s="13"/>
      <c r="G373" s="13"/>
      <c r="H373" s="13"/>
      <c r="I373" s="5">
        <v>1</v>
      </c>
      <c r="J373" s="4" t="s">
        <v>6</v>
      </c>
      <c r="K373" s="4" t="s">
        <v>23</v>
      </c>
      <c r="L373" s="4" t="s">
        <v>31</v>
      </c>
      <c r="M373" s="13"/>
      <c r="N373" s="17"/>
    </row>
    <row r="374" spans="1:14" ht="30" customHeight="1" outlineLevel="2" x14ac:dyDescent="0.25">
      <c r="A374" s="6">
        <v>14</v>
      </c>
      <c r="B374" s="6" t="str">
        <f t="shared" ref="B374:B378" si="143">B373</f>
        <v xml:space="preserve">ЩС-21 (Альбом 34) </v>
      </c>
      <c r="C374" s="7" t="s">
        <v>7</v>
      </c>
      <c r="D374" s="7" t="s">
        <v>268</v>
      </c>
      <c r="E374" s="8" t="s">
        <v>269</v>
      </c>
      <c r="F374" s="18">
        <v>10500</v>
      </c>
      <c r="G374" s="18">
        <f>0.6*F374</f>
        <v>6300</v>
      </c>
      <c r="H374" s="18">
        <f t="shared" ref="H374:H378" si="144">G374*I374</f>
        <v>6300</v>
      </c>
      <c r="I374" s="7">
        <v>1</v>
      </c>
      <c r="J374" s="9" t="s">
        <v>11</v>
      </c>
      <c r="K374" s="9" t="s">
        <v>24</v>
      </c>
      <c r="L374" s="9" t="s">
        <v>31</v>
      </c>
      <c r="M374" s="18">
        <v>6300</v>
      </c>
      <c r="N374" s="17"/>
    </row>
    <row r="375" spans="1:14" ht="30" customHeight="1" outlineLevel="2" x14ac:dyDescent="0.25">
      <c r="A375" s="6">
        <v>15</v>
      </c>
      <c r="B375" s="6" t="str">
        <f t="shared" si="143"/>
        <v xml:space="preserve">ЩС-21 (Альбом 34) </v>
      </c>
      <c r="C375" s="7" t="s">
        <v>10</v>
      </c>
      <c r="D375" s="7">
        <v>296829</v>
      </c>
      <c r="E375" s="8" t="s">
        <v>44</v>
      </c>
      <c r="F375" s="18">
        <v>2429</v>
      </c>
      <c r="G375" s="18">
        <f t="shared" ref="G375:G376" si="145">F375*0.6</f>
        <v>1457.3999999999999</v>
      </c>
      <c r="H375" s="18">
        <f t="shared" si="144"/>
        <v>1457.3999999999999</v>
      </c>
      <c r="I375" s="7">
        <v>1</v>
      </c>
      <c r="J375" s="9" t="s">
        <v>11</v>
      </c>
      <c r="K375" s="9" t="s">
        <v>22</v>
      </c>
      <c r="L375" s="9" t="s">
        <v>31</v>
      </c>
      <c r="M375" s="18">
        <v>1457.3999999999999</v>
      </c>
      <c r="N375" s="17"/>
    </row>
    <row r="376" spans="1:14" ht="30" customHeight="1" outlineLevel="2" x14ac:dyDescent="0.25">
      <c r="A376" s="6">
        <v>15</v>
      </c>
      <c r="B376" s="6" t="str">
        <f t="shared" si="143"/>
        <v xml:space="preserve">ЩС-21 (Альбом 34) </v>
      </c>
      <c r="C376" s="7" t="s">
        <v>12</v>
      </c>
      <c r="D376" s="7">
        <v>105542</v>
      </c>
      <c r="E376" s="8" t="s">
        <v>43</v>
      </c>
      <c r="F376" s="18">
        <v>5093</v>
      </c>
      <c r="G376" s="18">
        <f t="shared" si="145"/>
        <v>3055.7999999999997</v>
      </c>
      <c r="H376" s="18">
        <f t="shared" si="144"/>
        <v>3055.7999999999997</v>
      </c>
      <c r="I376" s="7">
        <v>1</v>
      </c>
      <c r="J376" s="9" t="s">
        <v>11</v>
      </c>
      <c r="K376" s="9" t="s">
        <v>22</v>
      </c>
      <c r="L376" s="9" t="s">
        <v>31</v>
      </c>
      <c r="M376" s="18">
        <v>3055.7999999999997</v>
      </c>
      <c r="N376" s="17"/>
    </row>
    <row r="377" spans="1:14" ht="30" customHeight="1" outlineLevel="2" x14ac:dyDescent="0.25">
      <c r="A377" s="6">
        <v>19</v>
      </c>
      <c r="B377" s="6" t="str">
        <f t="shared" si="143"/>
        <v xml:space="preserve">ЩС-21 (Альбом 34) </v>
      </c>
      <c r="C377" s="7" t="s">
        <v>8</v>
      </c>
      <c r="D377" s="7" t="s">
        <v>8</v>
      </c>
      <c r="E377" s="8" t="s">
        <v>8</v>
      </c>
      <c r="F377" s="18">
        <f ca="1">OFFSET(F377,1,2)</f>
        <v>6000</v>
      </c>
      <c r="G377" s="18">
        <f ca="1">F377</f>
        <v>6000</v>
      </c>
      <c r="H377" s="18">
        <f t="shared" ca="1" si="144"/>
        <v>6000</v>
      </c>
      <c r="I377" s="7">
        <v>1</v>
      </c>
      <c r="J377" s="9" t="s">
        <v>11</v>
      </c>
      <c r="K377" s="7" t="s">
        <v>8</v>
      </c>
      <c r="L377" s="7" t="s">
        <v>31</v>
      </c>
      <c r="M377" s="18">
        <v>6000</v>
      </c>
      <c r="N377" s="17"/>
    </row>
    <row r="378" spans="1:14" ht="30" customHeight="1" outlineLevel="2" x14ac:dyDescent="0.25">
      <c r="A378" s="6">
        <v>20</v>
      </c>
      <c r="B378" s="6" t="str">
        <f t="shared" si="143"/>
        <v xml:space="preserve">ЩС-21 (Альбом 34) </v>
      </c>
      <c r="C378" s="7" t="s">
        <v>9</v>
      </c>
      <c r="D378" s="7" t="s">
        <v>9</v>
      </c>
      <c r="E378" s="8" t="s">
        <v>9</v>
      </c>
      <c r="F378" s="18">
        <v>1</v>
      </c>
      <c r="G378" s="18">
        <v>100</v>
      </c>
      <c r="H378" s="18">
        <f t="shared" si="144"/>
        <v>6000</v>
      </c>
      <c r="I378" s="7">
        <f>60*F378</f>
        <v>60</v>
      </c>
      <c r="J378" s="9" t="s">
        <v>11</v>
      </c>
      <c r="K378" s="7" t="s">
        <v>9</v>
      </c>
      <c r="L378" s="7" t="s">
        <v>31</v>
      </c>
      <c r="M378" s="18">
        <v>6000</v>
      </c>
      <c r="N378" s="17"/>
    </row>
    <row r="379" spans="1:14" ht="30" customHeight="1" outlineLevel="1" x14ac:dyDescent="0.25">
      <c r="A379" s="6"/>
      <c r="B379" s="6" t="s">
        <v>341</v>
      </c>
      <c r="C379" s="7"/>
      <c r="D379" s="7"/>
      <c r="E379" s="8"/>
      <c r="F379" s="18"/>
      <c r="G379" s="18"/>
      <c r="H379" s="18">
        <f ca="1">SUBTOTAL(9,H373:H378)</f>
        <v>22813.199999999997</v>
      </c>
      <c r="I379" s="7"/>
      <c r="J379" s="9"/>
      <c r="K379" s="7"/>
      <c r="L379" s="7"/>
      <c r="M379" s="18">
        <v>22813.199999999997</v>
      </c>
      <c r="N379" s="17"/>
    </row>
    <row r="380" spans="1:14" ht="30" customHeight="1" outlineLevel="2" x14ac:dyDescent="0.25">
      <c r="A380" s="3">
        <v>13</v>
      </c>
      <c r="B380" s="3" t="str">
        <f>E380</f>
        <v xml:space="preserve">ЩС-22, ЩС-25.1, ЩС-29.2 (Альбом 34) </v>
      </c>
      <c r="C380" s="3"/>
      <c r="D380" s="14"/>
      <c r="E380" s="3" t="s">
        <v>79</v>
      </c>
      <c r="F380" s="13"/>
      <c r="G380" s="13"/>
      <c r="H380" s="13"/>
      <c r="I380" s="5">
        <v>3</v>
      </c>
      <c r="J380" s="4" t="s">
        <v>6</v>
      </c>
      <c r="K380" s="4" t="s">
        <v>23</v>
      </c>
      <c r="L380" s="4" t="s">
        <v>31</v>
      </c>
      <c r="M380" s="13"/>
      <c r="N380" s="17"/>
    </row>
    <row r="381" spans="1:14" ht="30" customHeight="1" outlineLevel="2" x14ac:dyDescent="0.25">
      <c r="A381" s="6">
        <v>14</v>
      </c>
      <c r="B381" s="6" t="str">
        <f t="shared" ref="B381:B385" si="146">B380</f>
        <v xml:space="preserve">ЩС-22, ЩС-25.1, ЩС-29.2 (Альбом 34) </v>
      </c>
      <c r="C381" s="7" t="s">
        <v>7</v>
      </c>
      <c r="D381" s="7" t="s">
        <v>276</v>
      </c>
      <c r="E381" s="17" t="s">
        <v>277</v>
      </c>
      <c r="F381" s="18">
        <v>22500</v>
      </c>
      <c r="G381" s="18">
        <f>0.6*F381</f>
        <v>13500</v>
      </c>
      <c r="H381" s="18">
        <f t="shared" ref="H381:H385" si="147">G381*I381</f>
        <v>13500</v>
      </c>
      <c r="I381" s="7">
        <v>1</v>
      </c>
      <c r="J381" s="9" t="s">
        <v>11</v>
      </c>
      <c r="K381" s="9" t="s">
        <v>24</v>
      </c>
      <c r="L381" s="9" t="s">
        <v>31</v>
      </c>
      <c r="M381" s="18">
        <v>13500</v>
      </c>
      <c r="N381" s="17"/>
    </row>
    <row r="382" spans="1:14" ht="30" customHeight="1" outlineLevel="2" x14ac:dyDescent="0.25">
      <c r="A382" s="6">
        <v>15</v>
      </c>
      <c r="B382" s="6" t="str">
        <f t="shared" si="146"/>
        <v xml:space="preserve">ЩС-22, ЩС-25.1, ЩС-29.2 (Альбом 34) </v>
      </c>
      <c r="C382" s="7" t="s">
        <v>10</v>
      </c>
      <c r="D382" s="7">
        <v>296829</v>
      </c>
      <c r="E382" s="8" t="s">
        <v>44</v>
      </c>
      <c r="F382" s="18">
        <v>2429</v>
      </c>
      <c r="G382" s="18">
        <f t="shared" ref="G382:G383" si="148">F382*0.6</f>
        <v>1457.3999999999999</v>
      </c>
      <c r="H382" s="18">
        <f t="shared" si="147"/>
        <v>1457.3999999999999</v>
      </c>
      <c r="I382" s="7">
        <v>1</v>
      </c>
      <c r="J382" s="9" t="s">
        <v>11</v>
      </c>
      <c r="K382" s="9" t="s">
        <v>22</v>
      </c>
      <c r="L382" s="9" t="s">
        <v>31</v>
      </c>
      <c r="M382" s="18">
        <v>1457.3999999999999</v>
      </c>
      <c r="N382" s="17"/>
    </row>
    <row r="383" spans="1:14" ht="30" customHeight="1" outlineLevel="2" x14ac:dyDescent="0.25">
      <c r="A383" s="6">
        <v>15</v>
      </c>
      <c r="B383" s="6" t="str">
        <f t="shared" si="146"/>
        <v xml:space="preserve">ЩС-22, ЩС-25.1, ЩС-29.2 (Альбом 34) </v>
      </c>
      <c r="C383" s="7" t="s">
        <v>12</v>
      </c>
      <c r="D383" s="7">
        <v>105542</v>
      </c>
      <c r="E383" s="8" t="s">
        <v>43</v>
      </c>
      <c r="F383" s="18">
        <v>5093</v>
      </c>
      <c r="G383" s="18">
        <f t="shared" si="148"/>
        <v>3055.7999999999997</v>
      </c>
      <c r="H383" s="18">
        <f t="shared" si="147"/>
        <v>33613.799999999996</v>
      </c>
      <c r="I383" s="7">
        <v>11</v>
      </c>
      <c r="J383" s="9" t="s">
        <v>11</v>
      </c>
      <c r="K383" s="9" t="s">
        <v>22</v>
      </c>
      <c r="L383" s="9" t="s">
        <v>31</v>
      </c>
      <c r="M383" s="18">
        <v>33613.799999999996</v>
      </c>
      <c r="N383" s="17"/>
    </row>
    <row r="384" spans="1:14" ht="30" customHeight="1" outlineLevel="2" x14ac:dyDescent="0.25">
      <c r="A384" s="6">
        <v>19</v>
      </c>
      <c r="B384" s="6" t="str">
        <f t="shared" si="146"/>
        <v xml:space="preserve">ЩС-22, ЩС-25.1, ЩС-29.2 (Альбом 34) </v>
      </c>
      <c r="C384" s="7" t="s">
        <v>8</v>
      </c>
      <c r="D384" s="7" t="s">
        <v>8</v>
      </c>
      <c r="E384" s="8" t="s">
        <v>8</v>
      </c>
      <c r="F384" s="18">
        <f ca="1">OFFSET(F384,1,2)</f>
        <v>15000</v>
      </c>
      <c r="G384" s="18">
        <f ca="1">F384</f>
        <v>15000</v>
      </c>
      <c r="H384" s="18">
        <f t="shared" ca="1" si="147"/>
        <v>15000</v>
      </c>
      <c r="I384" s="7">
        <v>1</v>
      </c>
      <c r="J384" s="9" t="s">
        <v>11</v>
      </c>
      <c r="K384" s="7" t="s">
        <v>8</v>
      </c>
      <c r="L384" s="7" t="s">
        <v>31</v>
      </c>
      <c r="M384" s="18">
        <v>15000</v>
      </c>
      <c r="N384" s="17"/>
    </row>
    <row r="385" spans="1:14" ht="30" customHeight="1" outlineLevel="2" x14ac:dyDescent="0.25">
      <c r="A385" s="6">
        <v>20</v>
      </c>
      <c r="B385" s="6" t="str">
        <f t="shared" si="146"/>
        <v xml:space="preserve">ЩС-22, ЩС-25.1, ЩС-29.2 (Альбом 34) </v>
      </c>
      <c r="C385" s="7" t="s">
        <v>9</v>
      </c>
      <c r="D385" s="7" t="s">
        <v>9</v>
      </c>
      <c r="E385" s="8" t="s">
        <v>9</v>
      </c>
      <c r="F385" s="18">
        <v>2.5</v>
      </c>
      <c r="G385" s="18">
        <v>100</v>
      </c>
      <c r="H385" s="18">
        <f t="shared" si="147"/>
        <v>15000</v>
      </c>
      <c r="I385" s="7">
        <f>60*F385</f>
        <v>150</v>
      </c>
      <c r="J385" s="9" t="s">
        <v>11</v>
      </c>
      <c r="K385" s="7" t="s">
        <v>9</v>
      </c>
      <c r="L385" s="7" t="s">
        <v>31</v>
      </c>
      <c r="M385" s="18">
        <v>15000</v>
      </c>
      <c r="N385" s="17"/>
    </row>
    <row r="386" spans="1:14" ht="30" customHeight="1" outlineLevel="1" x14ac:dyDescent="0.25">
      <c r="A386" s="6"/>
      <c r="B386" s="6" t="s">
        <v>342</v>
      </c>
      <c r="C386" s="7"/>
      <c r="D386" s="7"/>
      <c r="E386" s="8"/>
      <c r="F386" s="18"/>
      <c r="G386" s="18"/>
      <c r="H386" s="18">
        <f ca="1">SUBTOTAL(9,H380:H385)</f>
        <v>78571.199999999997</v>
      </c>
      <c r="I386" s="7"/>
      <c r="J386" s="9"/>
      <c r="K386" s="7"/>
      <c r="L386" s="7"/>
      <c r="M386" s="18">
        <v>78571.199999999997</v>
      </c>
      <c r="N386" s="17"/>
    </row>
    <row r="387" spans="1:14" ht="30" customHeight="1" outlineLevel="2" x14ac:dyDescent="0.25">
      <c r="A387" s="3">
        <v>13</v>
      </c>
      <c r="B387" s="3" t="str">
        <f>E387</f>
        <v xml:space="preserve">ЩС-23 (Альбом 34) </v>
      </c>
      <c r="C387" s="3"/>
      <c r="D387" s="14"/>
      <c r="E387" s="3" t="s">
        <v>80</v>
      </c>
      <c r="F387" s="13"/>
      <c r="G387" s="13"/>
      <c r="H387" s="13"/>
      <c r="I387" s="5">
        <v>1</v>
      </c>
      <c r="J387" s="4" t="s">
        <v>6</v>
      </c>
      <c r="K387" s="4" t="s">
        <v>23</v>
      </c>
      <c r="L387" s="4" t="s">
        <v>31</v>
      </c>
      <c r="M387" s="13"/>
      <c r="N387" s="17"/>
    </row>
    <row r="388" spans="1:14" ht="30" customHeight="1" outlineLevel="2" x14ac:dyDescent="0.25">
      <c r="A388" s="6">
        <v>14</v>
      </c>
      <c r="B388" s="6" t="str">
        <f t="shared" ref="B388:B392" si="149">B387</f>
        <v xml:space="preserve">ЩС-23 (Альбом 34) </v>
      </c>
      <c r="C388" s="7" t="s">
        <v>7</v>
      </c>
      <c r="D388" s="7" t="s">
        <v>270</v>
      </c>
      <c r="E388" s="8" t="s">
        <v>271</v>
      </c>
      <c r="F388" s="18">
        <v>16000</v>
      </c>
      <c r="G388" s="18">
        <f>0.6*F388</f>
        <v>9600</v>
      </c>
      <c r="H388" s="18">
        <f t="shared" ref="H388:H392" si="150">G388*I388</f>
        <v>9600</v>
      </c>
      <c r="I388" s="7">
        <v>1</v>
      </c>
      <c r="J388" s="9" t="s">
        <v>11</v>
      </c>
      <c r="K388" s="9" t="s">
        <v>24</v>
      </c>
      <c r="L388" s="9" t="s">
        <v>31</v>
      </c>
      <c r="M388" s="18">
        <v>9600</v>
      </c>
      <c r="N388" s="17"/>
    </row>
    <row r="389" spans="1:14" ht="30" customHeight="1" outlineLevel="2" x14ac:dyDescent="0.25">
      <c r="A389" s="6">
        <v>15</v>
      </c>
      <c r="B389" s="6" t="str">
        <f t="shared" si="149"/>
        <v xml:space="preserve">ЩС-23 (Альбом 34) </v>
      </c>
      <c r="C389" s="7" t="s">
        <v>10</v>
      </c>
      <c r="D389" s="7">
        <v>296829</v>
      </c>
      <c r="E389" s="8" t="s">
        <v>44</v>
      </c>
      <c r="F389" s="18">
        <v>2429</v>
      </c>
      <c r="G389" s="18">
        <f t="shared" ref="G389:G390" si="151">F389*0.6</f>
        <v>1457.3999999999999</v>
      </c>
      <c r="H389" s="18">
        <f t="shared" si="150"/>
        <v>1457.3999999999999</v>
      </c>
      <c r="I389" s="7">
        <v>1</v>
      </c>
      <c r="J389" s="9" t="s">
        <v>11</v>
      </c>
      <c r="K389" s="9" t="s">
        <v>22</v>
      </c>
      <c r="L389" s="9" t="s">
        <v>31</v>
      </c>
      <c r="M389" s="18">
        <v>1457.3999999999999</v>
      </c>
      <c r="N389" s="17"/>
    </row>
    <row r="390" spans="1:14" ht="30" customHeight="1" outlineLevel="2" x14ac:dyDescent="0.25">
      <c r="A390" s="6">
        <v>15</v>
      </c>
      <c r="B390" s="6" t="str">
        <f t="shared" si="149"/>
        <v xml:space="preserve">ЩС-23 (Альбом 34) </v>
      </c>
      <c r="C390" s="7" t="s">
        <v>12</v>
      </c>
      <c r="D390" s="7">
        <v>105542</v>
      </c>
      <c r="E390" s="8" t="s">
        <v>43</v>
      </c>
      <c r="F390" s="18">
        <v>5093</v>
      </c>
      <c r="G390" s="18">
        <f t="shared" si="151"/>
        <v>3055.7999999999997</v>
      </c>
      <c r="H390" s="18">
        <f t="shared" si="150"/>
        <v>9167.4</v>
      </c>
      <c r="I390" s="7">
        <v>3</v>
      </c>
      <c r="J390" s="9" t="s">
        <v>11</v>
      </c>
      <c r="K390" s="9" t="s">
        <v>22</v>
      </c>
      <c r="L390" s="9" t="s">
        <v>31</v>
      </c>
      <c r="M390" s="18">
        <v>9167.4</v>
      </c>
      <c r="N390" s="17"/>
    </row>
    <row r="391" spans="1:14" ht="30" customHeight="1" outlineLevel="2" x14ac:dyDescent="0.25">
      <c r="A391" s="6">
        <v>19</v>
      </c>
      <c r="B391" s="6" t="str">
        <f t="shared" si="149"/>
        <v xml:space="preserve">ЩС-23 (Альбом 34) </v>
      </c>
      <c r="C391" s="7" t="s">
        <v>8</v>
      </c>
      <c r="D391" s="7" t="s">
        <v>8</v>
      </c>
      <c r="E391" s="8" t="s">
        <v>8</v>
      </c>
      <c r="F391" s="18">
        <f ca="1">OFFSET(F391,1,2)</f>
        <v>9000</v>
      </c>
      <c r="G391" s="18">
        <f ca="1">F391</f>
        <v>9000</v>
      </c>
      <c r="H391" s="18">
        <f t="shared" ca="1" si="150"/>
        <v>9000</v>
      </c>
      <c r="I391" s="7">
        <v>1</v>
      </c>
      <c r="J391" s="9" t="s">
        <v>11</v>
      </c>
      <c r="K391" s="7" t="s">
        <v>8</v>
      </c>
      <c r="L391" s="7" t="s">
        <v>31</v>
      </c>
      <c r="M391" s="18">
        <v>9000</v>
      </c>
      <c r="N391" s="17"/>
    </row>
    <row r="392" spans="1:14" ht="30" customHeight="1" outlineLevel="2" x14ac:dyDescent="0.25">
      <c r="A392" s="6">
        <v>20</v>
      </c>
      <c r="B392" s="6" t="str">
        <f t="shared" si="149"/>
        <v xml:space="preserve">ЩС-23 (Альбом 34) </v>
      </c>
      <c r="C392" s="7" t="s">
        <v>9</v>
      </c>
      <c r="D392" s="7" t="s">
        <v>9</v>
      </c>
      <c r="E392" s="8" t="s">
        <v>9</v>
      </c>
      <c r="F392" s="18">
        <v>1.5</v>
      </c>
      <c r="G392" s="18">
        <v>100</v>
      </c>
      <c r="H392" s="18">
        <f t="shared" si="150"/>
        <v>9000</v>
      </c>
      <c r="I392" s="7">
        <f>60*F392</f>
        <v>90</v>
      </c>
      <c r="J392" s="9" t="s">
        <v>11</v>
      </c>
      <c r="K392" s="7" t="s">
        <v>9</v>
      </c>
      <c r="L392" s="7" t="s">
        <v>31</v>
      </c>
      <c r="M392" s="18">
        <v>9000</v>
      </c>
      <c r="N392" s="17"/>
    </row>
    <row r="393" spans="1:14" ht="30" customHeight="1" outlineLevel="1" x14ac:dyDescent="0.25">
      <c r="A393" s="6"/>
      <c r="B393" s="6" t="s">
        <v>343</v>
      </c>
      <c r="C393" s="7"/>
      <c r="D393" s="7"/>
      <c r="E393" s="8"/>
      <c r="F393" s="18"/>
      <c r="G393" s="18"/>
      <c r="H393" s="18">
        <f ca="1">SUBTOTAL(9,H387:H392)</f>
        <v>38224.800000000003</v>
      </c>
      <c r="I393" s="7"/>
      <c r="J393" s="9"/>
      <c r="K393" s="7"/>
      <c r="L393" s="7"/>
      <c r="M393" s="18">
        <v>38224.800000000003</v>
      </c>
      <c r="N393" s="17"/>
    </row>
    <row r="394" spans="1:14" ht="30" customHeight="1" outlineLevel="2" x14ac:dyDescent="0.25">
      <c r="A394" s="3">
        <v>13</v>
      </c>
      <c r="B394" s="3" t="str">
        <f>E394</f>
        <v xml:space="preserve">ЩС-24 (Альбом 34) </v>
      </c>
      <c r="C394" s="3"/>
      <c r="D394" s="14"/>
      <c r="E394" s="3" t="s">
        <v>81</v>
      </c>
      <c r="F394" s="13"/>
      <c r="G394" s="13"/>
      <c r="H394" s="13"/>
      <c r="I394" s="5">
        <v>1</v>
      </c>
      <c r="J394" s="4" t="s">
        <v>6</v>
      </c>
      <c r="K394" s="4" t="s">
        <v>23</v>
      </c>
      <c r="L394" s="4" t="s">
        <v>31</v>
      </c>
      <c r="M394" s="13"/>
      <c r="N394" s="17"/>
    </row>
    <row r="395" spans="1:14" ht="30" customHeight="1" outlineLevel="2" x14ac:dyDescent="0.25">
      <c r="A395" s="6">
        <v>14</v>
      </c>
      <c r="B395" s="6" t="str">
        <f t="shared" ref="B395:B399" si="152">B394</f>
        <v xml:space="preserve">ЩС-24 (Альбом 34) </v>
      </c>
      <c r="C395" s="7" t="s">
        <v>7</v>
      </c>
      <c r="D395" s="7" t="s">
        <v>276</v>
      </c>
      <c r="E395" s="17" t="s">
        <v>277</v>
      </c>
      <c r="F395" s="18">
        <v>22500</v>
      </c>
      <c r="G395" s="18">
        <f>0.6*F395</f>
        <v>13500</v>
      </c>
      <c r="H395" s="18">
        <f t="shared" ref="H395:H399" si="153">G395*I395</f>
        <v>13500</v>
      </c>
      <c r="I395" s="7">
        <v>1</v>
      </c>
      <c r="J395" s="9" t="s">
        <v>11</v>
      </c>
      <c r="K395" s="9" t="s">
        <v>24</v>
      </c>
      <c r="L395" s="9" t="s">
        <v>31</v>
      </c>
      <c r="M395" s="18">
        <v>13500</v>
      </c>
      <c r="N395" s="17"/>
    </row>
    <row r="396" spans="1:14" ht="30" customHeight="1" outlineLevel="2" x14ac:dyDescent="0.25">
      <c r="A396" s="6">
        <v>15</v>
      </c>
      <c r="B396" s="6" t="str">
        <f t="shared" si="152"/>
        <v xml:space="preserve">ЩС-24 (Альбом 34) </v>
      </c>
      <c r="C396" s="7" t="s">
        <v>10</v>
      </c>
      <c r="D396" s="7">
        <v>296829</v>
      </c>
      <c r="E396" s="8" t="s">
        <v>44</v>
      </c>
      <c r="F396" s="18">
        <v>2429</v>
      </c>
      <c r="G396" s="18">
        <f t="shared" ref="G396:G397" si="154">F396*0.6</f>
        <v>1457.3999999999999</v>
      </c>
      <c r="H396" s="18">
        <f t="shared" si="153"/>
        <v>1457.3999999999999</v>
      </c>
      <c r="I396" s="7">
        <v>1</v>
      </c>
      <c r="J396" s="9" t="s">
        <v>11</v>
      </c>
      <c r="K396" s="9" t="s">
        <v>22</v>
      </c>
      <c r="L396" s="9" t="s">
        <v>31</v>
      </c>
      <c r="M396" s="18">
        <v>1457.3999999999999</v>
      </c>
      <c r="N396" s="17"/>
    </row>
    <row r="397" spans="1:14" ht="30" customHeight="1" outlineLevel="2" x14ac:dyDescent="0.25">
      <c r="A397" s="6">
        <v>15</v>
      </c>
      <c r="B397" s="6" t="str">
        <f t="shared" si="152"/>
        <v xml:space="preserve">ЩС-24 (Альбом 34) </v>
      </c>
      <c r="C397" s="7" t="s">
        <v>12</v>
      </c>
      <c r="D397" s="7">
        <v>105542</v>
      </c>
      <c r="E397" s="8" t="s">
        <v>43</v>
      </c>
      <c r="F397" s="18">
        <v>5093</v>
      </c>
      <c r="G397" s="18">
        <f t="shared" si="154"/>
        <v>3055.7999999999997</v>
      </c>
      <c r="H397" s="18">
        <f t="shared" si="153"/>
        <v>36669.599999999999</v>
      </c>
      <c r="I397" s="7">
        <v>12</v>
      </c>
      <c r="J397" s="9" t="s">
        <v>11</v>
      </c>
      <c r="K397" s="9" t="s">
        <v>22</v>
      </c>
      <c r="L397" s="9" t="s">
        <v>31</v>
      </c>
      <c r="M397" s="18">
        <v>36669.599999999999</v>
      </c>
      <c r="N397" s="17"/>
    </row>
    <row r="398" spans="1:14" ht="30" customHeight="1" outlineLevel="2" x14ac:dyDescent="0.25">
      <c r="A398" s="6">
        <v>19</v>
      </c>
      <c r="B398" s="6" t="str">
        <f t="shared" si="152"/>
        <v xml:space="preserve">ЩС-24 (Альбом 34) </v>
      </c>
      <c r="C398" s="7" t="s">
        <v>8</v>
      </c>
      <c r="D398" s="7" t="s">
        <v>8</v>
      </c>
      <c r="E398" s="8" t="s">
        <v>8</v>
      </c>
      <c r="F398" s="18">
        <f ca="1">OFFSET(F398,1,2)</f>
        <v>15000</v>
      </c>
      <c r="G398" s="18">
        <f ca="1">F398</f>
        <v>15000</v>
      </c>
      <c r="H398" s="18">
        <f t="shared" ca="1" si="153"/>
        <v>15000</v>
      </c>
      <c r="I398" s="7">
        <v>1</v>
      </c>
      <c r="J398" s="9" t="s">
        <v>11</v>
      </c>
      <c r="K398" s="7" t="s">
        <v>8</v>
      </c>
      <c r="L398" s="7" t="s">
        <v>31</v>
      </c>
      <c r="M398" s="18">
        <v>15000</v>
      </c>
      <c r="N398" s="17"/>
    </row>
    <row r="399" spans="1:14" ht="30" customHeight="1" outlineLevel="2" x14ac:dyDescent="0.25">
      <c r="A399" s="6">
        <v>20</v>
      </c>
      <c r="B399" s="6" t="str">
        <f t="shared" si="152"/>
        <v xml:space="preserve">ЩС-24 (Альбом 34) </v>
      </c>
      <c r="C399" s="7" t="s">
        <v>9</v>
      </c>
      <c r="D399" s="7" t="s">
        <v>9</v>
      </c>
      <c r="E399" s="8" t="s">
        <v>9</v>
      </c>
      <c r="F399" s="18">
        <v>2.5</v>
      </c>
      <c r="G399" s="18">
        <v>100</v>
      </c>
      <c r="H399" s="18">
        <f t="shared" si="153"/>
        <v>15000</v>
      </c>
      <c r="I399" s="7">
        <f>60*F399</f>
        <v>150</v>
      </c>
      <c r="J399" s="9" t="s">
        <v>11</v>
      </c>
      <c r="K399" s="7" t="s">
        <v>9</v>
      </c>
      <c r="L399" s="7" t="s">
        <v>31</v>
      </c>
      <c r="M399" s="18">
        <v>15000</v>
      </c>
      <c r="N399" s="17"/>
    </row>
    <row r="400" spans="1:14" ht="30" customHeight="1" outlineLevel="1" x14ac:dyDescent="0.25">
      <c r="A400" s="6"/>
      <c r="B400" s="6" t="s">
        <v>344</v>
      </c>
      <c r="C400" s="7"/>
      <c r="D400" s="7"/>
      <c r="E400" s="8"/>
      <c r="F400" s="18"/>
      <c r="G400" s="18"/>
      <c r="H400" s="18">
        <f ca="1">SUBTOTAL(9,H394:H399)</f>
        <v>81627</v>
      </c>
      <c r="I400" s="7"/>
      <c r="J400" s="9"/>
      <c r="K400" s="7"/>
      <c r="L400" s="7"/>
      <c r="M400" s="18">
        <v>81627</v>
      </c>
      <c r="N400" s="17"/>
    </row>
    <row r="401" spans="1:14" ht="30" customHeight="1" outlineLevel="2" x14ac:dyDescent="0.25">
      <c r="A401" s="3">
        <v>13</v>
      </c>
      <c r="B401" s="3" t="str">
        <f>E401</f>
        <v xml:space="preserve">ЩС-25 (Альбом 34) </v>
      </c>
      <c r="C401" s="3"/>
      <c r="D401" s="14"/>
      <c r="E401" s="3" t="s">
        <v>82</v>
      </c>
      <c r="F401" s="13"/>
      <c r="G401" s="13"/>
      <c r="H401" s="13"/>
      <c r="I401" s="5">
        <v>1</v>
      </c>
      <c r="J401" s="4" t="s">
        <v>6</v>
      </c>
      <c r="K401" s="4" t="s">
        <v>23</v>
      </c>
      <c r="L401" s="4" t="s">
        <v>31</v>
      </c>
      <c r="M401" s="13"/>
      <c r="N401" s="17"/>
    </row>
    <row r="402" spans="1:14" ht="30" customHeight="1" outlineLevel="2" x14ac:dyDescent="0.25">
      <c r="A402" s="6">
        <v>14</v>
      </c>
      <c r="B402" s="6" t="str">
        <f t="shared" ref="B402:B407" si="155">B401</f>
        <v xml:space="preserve">ЩС-25 (Альбом 34) </v>
      </c>
      <c r="C402" s="7" t="s">
        <v>7</v>
      </c>
      <c r="D402" s="7"/>
      <c r="E402" s="19" t="s">
        <v>77</v>
      </c>
      <c r="F402" s="18">
        <v>24000</v>
      </c>
      <c r="G402" s="18">
        <f>0.6*F402</f>
        <v>14400</v>
      </c>
      <c r="H402" s="18">
        <f t="shared" ref="H402:H407" si="156">G402*I402</f>
        <v>14400</v>
      </c>
      <c r="I402" s="7">
        <v>1</v>
      </c>
      <c r="J402" s="9" t="s">
        <v>11</v>
      </c>
      <c r="K402" s="9" t="s">
        <v>24</v>
      </c>
      <c r="L402" s="9" t="s">
        <v>31</v>
      </c>
      <c r="M402" s="18">
        <v>14400</v>
      </c>
      <c r="N402" s="17"/>
    </row>
    <row r="403" spans="1:14" ht="30" customHeight="1" outlineLevel="2" x14ac:dyDescent="0.25">
      <c r="A403" s="6">
        <v>15</v>
      </c>
      <c r="B403" s="6" t="str">
        <f t="shared" si="155"/>
        <v xml:space="preserve">ЩС-25 (Альбом 34) </v>
      </c>
      <c r="C403" s="7" t="s">
        <v>10</v>
      </c>
      <c r="D403" s="7">
        <v>296829</v>
      </c>
      <c r="E403" s="8" t="s">
        <v>44</v>
      </c>
      <c r="F403" s="18">
        <v>2429</v>
      </c>
      <c r="G403" s="18">
        <f t="shared" ref="G403:G405" si="157">F403*0.6</f>
        <v>1457.3999999999999</v>
      </c>
      <c r="H403" s="18">
        <f t="shared" si="156"/>
        <v>1457.3999999999999</v>
      </c>
      <c r="I403" s="7">
        <v>1</v>
      </c>
      <c r="J403" s="9" t="s">
        <v>11</v>
      </c>
      <c r="K403" s="9" t="s">
        <v>22</v>
      </c>
      <c r="L403" s="9" t="s">
        <v>31</v>
      </c>
      <c r="M403" s="18">
        <v>1457.3999999999999</v>
      </c>
      <c r="N403" s="17"/>
    </row>
    <row r="404" spans="1:14" ht="30" customHeight="1" outlineLevel="2" x14ac:dyDescent="0.25">
      <c r="A404" s="6">
        <v>15</v>
      </c>
      <c r="B404" s="6" t="str">
        <f t="shared" si="155"/>
        <v xml:space="preserve">ЩС-25 (Альбом 34) </v>
      </c>
      <c r="C404" s="7" t="s">
        <v>10</v>
      </c>
      <c r="D404" s="7">
        <v>296827</v>
      </c>
      <c r="E404" s="8" t="s">
        <v>64</v>
      </c>
      <c r="F404" s="18">
        <v>2337</v>
      </c>
      <c r="G404" s="18">
        <f t="shared" si="157"/>
        <v>1402.2</v>
      </c>
      <c r="H404" s="18">
        <f t="shared" si="156"/>
        <v>8413.2000000000007</v>
      </c>
      <c r="I404" s="7">
        <v>6</v>
      </c>
      <c r="J404" s="9" t="s">
        <v>11</v>
      </c>
      <c r="K404" s="9" t="s">
        <v>22</v>
      </c>
      <c r="L404" s="9" t="s">
        <v>31</v>
      </c>
      <c r="M404" s="18">
        <v>8413.2000000000007</v>
      </c>
      <c r="N404" s="17"/>
    </row>
    <row r="405" spans="1:14" ht="30" customHeight="1" outlineLevel="2" x14ac:dyDescent="0.25">
      <c r="A405" s="6">
        <v>15</v>
      </c>
      <c r="B405" s="6" t="str">
        <f t="shared" si="155"/>
        <v xml:space="preserve">ЩС-25 (Альбом 34) </v>
      </c>
      <c r="C405" s="7" t="s">
        <v>12</v>
      </c>
      <c r="D405" s="7">
        <v>105542</v>
      </c>
      <c r="E405" s="8" t="s">
        <v>43</v>
      </c>
      <c r="F405" s="18">
        <v>5093</v>
      </c>
      <c r="G405" s="18">
        <f t="shared" si="157"/>
        <v>3055.7999999999997</v>
      </c>
      <c r="H405" s="18">
        <f t="shared" si="156"/>
        <v>24446.399999999998</v>
      </c>
      <c r="I405" s="7">
        <v>8</v>
      </c>
      <c r="J405" s="9" t="s">
        <v>11</v>
      </c>
      <c r="K405" s="9" t="s">
        <v>22</v>
      </c>
      <c r="L405" s="9" t="s">
        <v>31</v>
      </c>
      <c r="M405" s="18">
        <v>24446.399999999998</v>
      </c>
      <c r="N405" s="17"/>
    </row>
    <row r="406" spans="1:14" ht="30" customHeight="1" outlineLevel="2" x14ac:dyDescent="0.25">
      <c r="A406" s="6">
        <v>19</v>
      </c>
      <c r="B406" s="6" t="str">
        <f t="shared" si="155"/>
        <v xml:space="preserve">ЩС-25 (Альбом 34) </v>
      </c>
      <c r="C406" s="7" t="s">
        <v>8</v>
      </c>
      <c r="D406" s="7" t="s">
        <v>8</v>
      </c>
      <c r="E406" s="8" t="s">
        <v>8</v>
      </c>
      <c r="F406" s="18">
        <f ca="1">OFFSET(F406,1,2)</f>
        <v>18000</v>
      </c>
      <c r="G406" s="18">
        <f ca="1">F406</f>
        <v>18000</v>
      </c>
      <c r="H406" s="18">
        <f t="shared" ca="1" si="156"/>
        <v>18000</v>
      </c>
      <c r="I406" s="7">
        <v>1</v>
      </c>
      <c r="J406" s="9" t="s">
        <v>11</v>
      </c>
      <c r="K406" s="7" t="s">
        <v>8</v>
      </c>
      <c r="L406" s="7" t="s">
        <v>31</v>
      </c>
      <c r="M406" s="18">
        <v>18000</v>
      </c>
      <c r="N406" s="17"/>
    </row>
    <row r="407" spans="1:14" ht="30" customHeight="1" outlineLevel="2" x14ac:dyDescent="0.25">
      <c r="A407" s="6">
        <v>20</v>
      </c>
      <c r="B407" s="6" t="str">
        <f t="shared" si="155"/>
        <v xml:space="preserve">ЩС-25 (Альбом 34) </v>
      </c>
      <c r="C407" s="7" t="s">
        <v>9</v>
      </c>
      <c r="D407" s="7" t="s">
        <v>9</v>
      </c>
      <c r="E407" s="8" t="s">
        <v>9</v>
      </c>
      <c r="F407" s="18">
        <v>3</v>
      </c>
      <c r="G407" s="18">
        <v>100</v>
      </c>
      <c r="H407" s="18">
        <f t="shared" si="156"/>
        <v>18000</v>
      </c>
      <c r="I407" s="7">
        <f>60*F407</f>
        <v>180</v>
      </c>
      <c r="J407" s="9" t="s">
        <v>11</v>
      </c>
      <c r="K407" s="7" t="s">
        <v>9</v>
      </c>
      <c r="L407" s="7" t="s">
        <v>31</v>
      </c>
      <c r="M407" s="18">
        <v>18000</v>
      </c>
      <c r="N407" s="17"/>
    </row>
    <row r="408" spans="1:14" ht="30" customHeight="1" outlineLevel="1" x14ac:dyDescent="0.25">
      <c r="A408" s="6"/>
      <c r="B408" s="6" t="s">
        <v>345</v>
      </c>
      <c r="C408" s="7"/>
      <c r="D408" s="7"/>
      <c r="E408" s="8"/>
      <c r="F408" s="18"/>
      <c r="G408" s="18"/>
      <c r="H408" s="18">
        <f ca="1">SUBTOTAL(9,H401:H407)</f>
        <v>84717</v>
      </c>
      <c r="I408" s="7"/>
      <c r="J408" s="9"/>
      <c r="K408" s="7"/>
      <c r="L408" s="7"/>
      <c r="M408" s="18">
        <v>84717</v>
      </c>
      <c r="N408" s="17"/>
    </row>
    <row r="409" spans="1:14" ht="30" customHeight="1" outlineLevel="2" x14ac:dyDescent="0.25">
      <c r="A409" s="3">
        <v>13</v>
      </c>
      <c r="B409" s="3" t="str">
        <f>E409</f>
        <v xml:space="preserve">ЩС-25.2, ЩС-26.1 (Альбом 34) </v>
      </c>
      <c r="C409" s="3"/>
      <c r="D409" s="14"/>
      <c r="E409" s="3" t="s">
        <v>83</v>
      </c>
      <c r="F409" s="13"/>
      <c r="G409" s="13"/>
      <c r="H409" s="13"/>
      <c r="I409" s="5">
        <v>2</v>
      </c>
      <c r="J409" s="4" t="s">
        <v>6</v>
      </c>
      <c r="K409" s="4" t="s">
        <v>23</v>
      </c>
      <c r="L409" s="4" t="s">
        <v>31</v>
      </c>
      <c r="M409" s="13"/>
      <c r="N409" s="17"/>
    </row>
    <row r="410" spans="1:14" ht="30" customHeight="1" outlineLevel="2" x14ac:dyDescent="0.25">
      <c r="A410" s="6">
        <v>14</v>
      </c>
      <c r="B410" s="6" t="str">
        <f t="shared" ref="B410:B414" si="158">B409</f>
        <v xml:space="preserve">ЩС-25.2, ЩС-26.1 (Альбом 34) </v>
      </c>
      <c r="C410" s="7" t="s">
        <v>7</v>
      </c>
      <c r="D410" s="7" t="s">
        <v>274</v>
      </c>
      <c r="E410" s="8" t="s">
        <v>275</v>
      </c>
      <c r="F410" s="18">
        <v>20000</v>
      </c>
      <c r="G410" s="18">
        <f>0.6*F410</f>
        <v>12000</v>
      </c>
      <c r="H410" s="18">
        <f t="shared" ref="H410:H414" si="159">G410*I410</f>
        <v>12000</v>
      </c>
      <c r="I410" s="7">
        <v>1</v>
      </c>
      <c r="J410" s="9" t="s">
        <v>11</v>
      </c>
      <c r="K410" s="9" t="s">
        <v>24</v>
      </c>
      <c r="L410" s="9" t="s">
        <v>31</v>
      </c>
      <c r="M410" s="18">
        <v>12000</v>
      </c>
      <c r="N410" s="17"/>
    </row>
    <row r="411" spans="1:14" ht="30" customHeight="1" outlineLevel="2" x14ac:dyDescent="0.25">
      <c r="A411" s="6">
        <v>15</v>
      </c>
      <c r="B411" s="6" t="str">
        <f t="shared" si="158"/>
        <v xml:space="preserve">ЩС-25.2, ЩС-26.1 (Альбом 34) </v>
      </c>
      <c r="C411" s="7" t="s">
        <v>10</v>
      </c>
      <c r="D411" s="7">
        <v>296829</v>
      </c>
      <c r="E411" s="8" t="s">
        <v>44</v>
      </c>
      <c r="F411" s="18">
        <v>2429</v>
      </c>
      <c r="G411" s="18">
        <f t="shared" ref="G411:G412" si="160">F411*0.6</f>
        <v>1457.3999999999999</v>
      </c>
      <c r="H411" s="18">
        <f t="shared" si="159"/>
        <v>1457.3999999999999</v>
      </c>
      <c r="I411" s="7">
        <v>1</v>
      </c>
      <c r="J411" s="9" t="s">
        <v>11</v>
      </c>
      <c r="K411" s="9" t="s">
        <v>22</v>
      </c>
      <c r="L411" s="9" t="s">
        <v>31</v>
      </c>
      <c r="M411" s="18">
        <v>1457.3999999999999</v>
      </c>
      <c r="N411" s="17"/>
    </row>
    <row r="412" spans="1:14" ht="30" customHeight="1" outlineLevel="2" x14ac:dyDescent="0.25">
      <c r="A412" s="6">
        <v>15</v>
      </c>
      <c r="B412" s="6" t="str">
        <f t="shared" si="158"/>
        <v xml:space="preserve">ЩС-25.2, ЩС-26.1 (Альбом 34) </v>
      </c>
      <c r="C412" s="7" t="s">
        <v>12</v>
      </c>
      <c r="D412" s="7">
        <v>105542</v>
      </c>
      <c r="E412" s="8" t="s">
        <v>43</v>
      </c>
      <c r="F412" s="18">
        <v>5093</v>
      </c>
      <c r="G412" s="18">
        <f t="shared" si="160"/>
        <v>3055.7999999999997</v>
      </c>
      <c r="H412" s="18">
        <f t="shared" si="159"/>
        <v>21390.6</v>
      </c>
      <c r="I412" s="7">
        <v>7</v>
      </c>
      <c r="J412" s="9" t="s">
        <v>11</v>
      </c>
      <c r="K412" s="9" t="s">
        <v>22</v>
      </c>
      <c r="L412" s="9" t="s">
        <v>31</v>
      </c>
      <c r="M412" s="18">
        <v>21390.6</v>
      </c>
      <c r="N412" s="17"/>
    </row>
    <row r="413" spans="1:14" ht="30" customHeight="1" outlineLevel="2" x14ac:dyDescent="0.25">
      <c r="A413" s="6">
        <v>19</v>
      </c>
      <c r="B413" s="6" t="str">
        <f t="shared" si="158"/>
        <v xml:space="preserve">ЩС-25.2, ЩС-26.1 (Альбом 34) </v>
      </c>
      <c r="C413" s="7" t="s">
        <v>8</v>
      </c>
      <c r="D413" s="7" t="s">
        <v>8</v>
      </c>
      <c r="E413" s="8" t="s">
        <v>8</v>
      </c>
      <c r="F413" s="18">
        <f ca="1">OFFSET(F413,1,2)</f>
        <v>12000</v>
      </c>
      <c r="G413" s="18">
        <f ca="1">F413</f>
        <v>12000</v>
      </c>
      <c r="H413" s="18">
        <f t="shared" ca="1" si="159"/>
        <v>12000</v>
      </c>
      <c r="I413" s="7">
        <v>1</v>
      </c>
      <c r="J413" s="9" t="s">
        <v>11</v>
      </c>
      <c r="K413" s="7" t="s">
        <v>8</v>
      </c>
      <c r="L413" s="7" t="s">
        <v>31</v>
      </c>
      <c r="M413" s="18">
        <v>12000</v>
      </c>
      <c r="N413" s="17"/>
    </row>
    <row r="414" spans="1:14" ht="30" customHeight="1" outlineLevel="2" x14ac:dyDescent="0.25">
      <c r="A414" s="6">
        <v>20</v>
      </c>
      <c r="B414" s="6" t="str">
        <f t="shared" si="158"/>
        <v xml:space="preserve">ЩС-25.2, ЩС-26.1 (Альбом 34) </v>
      </c>
      <c r="C414" s="7" t="s">
        <v>9</v>
      </c>
      <c r="D414" s="7" t="s">
        <v>9</v>
      </c>
      <c r="E414" s="8" t="s">
        <v>9</v>
      </c>
      <c r="F414" s="18">
        <v>2</v>
      </c>
      <c r="G414" s="18">
        <v>100</v>
      </c>
      <c r="H414" s="18">
        <f t="shared" si="159"/>
        <v>12000</v>
      </c>
      <c r="I414" s="7">
        <f>60*F414</f>
        <v>120</v>
      </c>
      <c r="J414" s="9" t="s">
        <v>11</v>
      </c>
      <c r="K414" s="7" t="s">
        <v>9</v>
      </c>
      <c r="L414" s="7" t="s">
        <v>31</v>
      </c>
      <c r="M414" s="18">
        <v>12000</v>
      </c>
      <c r="N414" s="17"/>
    </row>
    <row r="415" spans="1:14" ht="30" customHeight="1" outlineLevel="1" x14ac:dyDescent="0.25">
      <c r="A415" s="6"/>
      <c r="B415" s="6" t="s">
        <v>346</v>
      </c>
      <c r="C415" s="7"/>
      <c r="D415" s="7"/>
      <c r="E415" s="8"/>
      <c r="F415" s="18"/>
      <c r="G415" s="18"/>
      <c r="H415" s="18">
        <f ca="1">SUBTOTAL(9,H409:H414)</f>
        <v>58848</v>
      </c>
      <c r="I415" s="7"/>
      <c r="J415" s="9"/>
      <c r="K415" s="7"/>
      <c r="L415" s="7"/>
      <c r="M415" s="18">
        <v>58848</v>
      </c>
      <c r="N415" s="17"/>
    </row>
    <row r="416" spans="1:14" ht="30" customHeight="1" outlineLevel="2" x14ac:dyDescent="0.25">
      <c r="A416" s="3">
        <v>13</v>
      </c>
      <c r="B416" s="3" t="str">
        <f>E416</f>
        <v xml:space="preserve"> ЩС-26 (Альбом 34) </v>
      </c>
      <c r="C416" s="3"/>
      <c r="D416" s="14"/>
      <c r="E416" s="3" t="s">
        <v>84</v>
      </c>
      <c r="F416" s="13"/>
      <c r="G416" s="13"/>
      <c r="H416" s="13"/>
      <c r="I416" s="5">
        <v>1</v>
      </c>
      <c r="J416" s="4" t="s">
        <v>6</v>
      </c>
      <c r="K416" s="4" t="s">
        <v>23</v>
      </c>
      <c r="L416" s="4" t="s">
        <v>31</v>
      </c>
      <c r="M416" s="13"/>
      <c r="N416" s="17"/>
    </row>
    <row r="417" spans="1:14" ht="30" customHeight="1" outlineLevel="2" x14ac:dyDescent="0.25">
      <c r="A417" s="6">
        <v>14</v>
      </c>
      <c r="B417" s="6" t="str">
        <f t="shared" ref="B417:B422" si="161">B416</f>
        <v xml:space="preserve"> ЩС-26 (Альбом 34) </v>
      </c>
      <c r="C417" s="7" t="s">
        <v>7</v>
      </c>
      <c r="D417" s="7"/>
      <c r="E417" s="19" t="s">
        <v>85</v>
      </c>
      <c r="F417" s="18">
        <v>25500</v>
      </c>
      <c r="G417" s="18">
        <f>0.6*F417</f>
        <v>15300</v>
      </c>
      <c r="H417" s="18">
        <f t="shared" ref="H417:H422" si="162">G417*I417</f>
        <v>15300</v>
      </c>
      <c r="I417" s="7">
        <v>1</v>
      </c>
      <c r="J417" s="9" t="s">
        <v>11</v>
      </c>
      <c r="K417" s="9" t="s">
        <v>24</v>
      </c>
      <c r="L417" s="9" t="s">
        <v>31</v>
      </c>
      <c r="M417" s="18">
        <v>15300</v>
      </c>
      <c r="N417" s="17"/>
    </row>
    <row r="418" spans="1:14" ht="30" customHeight="1" outlineLevel="2" x14ac:dyDescent="0.25">
      <c r="A418" s="6">
        <v>15</v>
      </c>
      <c r="B418" s="6" t="str">
        <f t="shared" si="161"/>
        <v xml:space="preserve"> ЩС-26 (Альбом 34) </v>
      </c>
      <c r="C418" s="7" t="s">
        <v>10</v>
      </c>
      <c r="D418" s="7">
        <v>296829</v>
      </c>
      <c r="E418" s="8" t="s">
        <v>44</v>
      </c>
      <c r="F418" s="18">
        <v>2429</v>
      </c>
      <c r="G418" s="18">
        <f t="shared" ref="G418:G420" si="163">F418*0.6</f>
        <v>1457.3999999999999</v>
      </c>
      <c r="H418" s="18">
        <f t="shared" si="162"/>
        <v>1457.3999999999999</v>
      </c>
      <c r="I418" s="7">
        <v>1</v>
      </c>
      <c r="J418" s="9" t="s">
        <v>11</v>
      </c>
      <c r="K418" s="9" t="s">
        <v>22</v>
      </c>
      <c r="L418" s="9" t="s">
        <v>31</v>
      </c>
      <c r="M418" s="18">
        <v>1457.3999999999999</v>
      </c>
      <c r="N418" s="17"/>
    </row>
    <row r="419" spans="1:14" ht="30" customHeight="1" outlineLevel="2" x14ac:dyDescent="0.25">
      <c r="A419" s="6">
        <v>15</v>
      </c>
      <c r="B419" s="6" t="str">
        <f t="shared" si="161"/>
        <v xml:space="preserve"> ЩС-26 (Альбом 34) </v>
      </c>
      <c r="C419" s="7" t="s">
        <v>10</v>
      </c>
      <c r="D419" s="7">
        <v>296827</v>
      </c>
      <c r="E419" s="8" t="s">
        <v>64</v>
      </c>
      <c r="F419" s="18">
        <v>2337</v>
      </c>
      <c r="G419" s="18">
        <f t="shared" si="163"/>
        <v>1402.2</v>
      </c>
      <c r="H419" s="18">
        <f t="shared" si="162"/>
        <v>7011</v>
      </c>
      <c r="I419" s="7">
        <v>5</v>
      </c>
      <c r="J419" s="9" t="s">
        <v>11</v>
      </c>
      <c r="K419" s="9" t="s">
        <v>22</v>
      </c>
      <c r="L419" s="9" t="s">
        <v>31</v>
      </c>
      <c r="M419" s="18">
        <v>7011</v>
      </c>
      <c r="N419" s="17"/>
    </row>
    <row r="420" spans="1:14" ht="30" customHeight="1" outlineLevel="2" x14ac:dyDescent="0.25">
      <c r="A420" s="6">
        <v>15</v>
      </c>
      <c r="B420" s="6" t="str">
        <f t="shared" si="161"/>
        <v xml:space="preserve"> ЩС-26 (Альбом 34) </v>
      </c>
      <c r="C420" s="7" t="s">
        <v>12</v>
      </c>
      <c r="D420" s="7">
        <v>105542</v>
      </c>
      <c r="E420" s="8" t="s">
        <v>43</v>
      </c>
      <c r="F420" s="18">
        <v>5093</v>
      </c>
      <c r="G420" s="18">
        <f t="shared" si="163"/>
        <v>3055.7999999999997</v>
      </c>
      <c r="H420" s="18">
        <f t="shared" si="162"/>
        <v>30557.999999999996</v>
      </c>
      <c r="I420" s="7">
        <v>10</v>
      </c>
      <c r="J420" s="9" t="s">
        <v>11</v>
      </c>
      <c r="K420" s="9" t="s">
        <v>22</v>
      </c>
      <c r="L420" s="9" t="s">
        <v>31</v>
      </c>
      <c r="M420" s="18">
        <v>30557.999999999996</v>
      </c>
      <c r="N420" s="17"/>
    </row>
    <row r="421" spans="1:14" ht="30" customHeight="1" outlineLevel="2" x14ac:dyDescent="0.25">
      <c r="A421" s="6">
        <v>19</v>
      </c>
      <c r="B421" s="6" t="str">
        <f t="shared" si="161"/>
        <v xml:space="preserve"> ЩС-26 (Альбом 34) </v>
      </c>
      <c r="C421" s="7" t="s">
        <v>8</v>
      </c>
      <c r="D421" s="7" t="s">
        <v>8</v>
      </c>
      <c r="E421" s="8" t="s">
        <v>8</v>
      </c>
      <c r="F421" s="18">
        <f ca="1">OFFSET(F421,1,2)</f>
        <v>18000</v>
      </c>
      <c r="G421" s="18">
        <f ca="1">F421</f>
        <v>18000</v>
      </c>
      <c r="H421" s="18">
        <f t="shared" ca="1" si="162"/>
        <v>18000</v>
      </c>
      <c r="I421" s="7">
        <v>1</v>
      </c>
      <c r="J421" s="9" t="s">
        <v>11</v>
      </c>
      <c r="K421" s="7" t="s">
        <v>8</v>
      </c>
      <c r="L421" s="7" t="s">
        <v>31</v>
      </c>
      <c r="M421" s="18">
        <v>18000</v>
      </c>
      <c r="N421" s="17"/>
    </row>
    <row r="422" spans="1:14" ht="30" customHeight="1" outlineLevel="2" x14ac:dyDescent="0.25">
      <c r="A422" s="6">
        <v>20</v>
      </c>
      <c r="B422" s="6" t="str">
        <f t="shared" si="161"/>
        <v xml:space="preserve"> ЩС-26 (Альбом 34) </v>
      </c>
      <c r="C422" s="7" t="s">
        <v>9</v>
      </c>
      <c r="D422" s="7" t="s">
        <v>9</v>
      </c>
      <c r="E422" s="8" t="s">
        <v>9</v>
      </c>
      <c r="F422" s="18">
        <v>3</v>
      </c>
      <c r="G422" s="18">
        <v>100</v>
      </c>
      <c r="H422" s="18">
        <f t="shared" si="162"/>
        <v>18000</v>
      </c>
      <c r="I422" s="7">
        <f>60*F422</f>
        <v>180</v>
      </c>
      <c r="J422" s="9" t="s">
        <v>11</v>
      </c>
      <c r="K422" s="7" t="s">
        <v>9</v>
      </c>
      <c r="L422" s="7" t="s">
        <v>31</v>
      </c>
      <c r="M422" s="18">
        <v>18000</v>
      </c>
      <c r="N422" s="17"/>
    </row>
    <row r="423" spans="1:14" ht="30" customHeight="1" outlineLevel="1" x14ac:dyDescent="0.25">
      <c r="A423" s="6"/>
      <c r="B423" s="6" t="s">
        <v>347</v>
      </c>
      <c r="C423" s="7"/>
      <c r="D423" s="7"/>
      <c r="E423" s="8"/>
      <c r="F423" s="18"/>
      <c r="G423" s="18"/>
      <c r="H423" s="18">
        <f ca="1">SUBTOTAL(9,H416:H422)</f>
        <v>90326.399999999994</v>
      </c>
      <c r="I423" s="7"/>
      <c r="J423" s="9"/>
      <c r="K423" s="7"/>
      <c r="L423" s="7"/>
      <c r="M423" s="18">
        <v>90326.399999999994</v>
      </c>
      <c r="N423" s="17"/>
    </row>
    <row r="424" spans="1:14" ht="30" customHeight="1" outlineLevel="2" x14ac:dyDescent="0.25">
      <c r="A424" s="3">
        <v>13</v>
      </c>
      <c r="B424" s="3" t="str">
        <f>E424</f>
        <v xml:space="preserve"> ЩС-27 (Альбом 34) </v>
      </c>
      <c r="C424" s="3"/>
      <c r="D424" s="14"/>
      <c r="E424" s="3" t="s">
        <v>86</v>
      </c>
      <c r="F424" s="13"/>
      <c r="G424" s="13"/>
      <c r="H424" s="13"/>
      <c r="I424" s="5">
        <v>1</v>
      </c>
      <c r="J424" s="4" t="s">
        <v>6</v>
      </c>
      <c r="K424" s="4" t="s">
        <v>23</v>
      </c>
      <c r="L424" s="4" t="s">
        <v>31</v>
      </c>
      <c r="M424" s="13"/>
      <c r="N424" s="17"/>
    </row>
    <row r="425" spans="1:14" ht="30" customHeight="1" outlineLevel="2" x14ac:dyDescent="0.25">
      <c r="A425" s="6">
        <v>14</v>
      </c>
      <c r="B425" s="6" t="str">
        <f t="shared" ref="B425:B429" si="164">B424</f>
        <v xml:space="preserve"> ЩС-27 (Альбом 34) </v>
      </c>
      <c r="C425" s="7" t="s">
        <v>7</v>
      </c>
      <c r="D425" s="7" t="s">
        <v>276</v>
      </c>
      <c r="E425" s="17" t="s">
        <v>277</v>
      </c>
      <c r="F425" s="18">
        <v>22500</v>
      </c>
      <c r="G425" s="18">
        <f>0.6*F425</f>
        <v>13500</v>
      </c>
      <c r="H425" s="18">
        <f t="shared" ref="H425:H429" si="165">G425*I425</f>
        <v>13500</v>
      </c>
      <c r="I425" s="7">
        <v>1</v>
      </c>
      <c r="J425" s="9" t="s">
        <v>11</v>
      </c>
      <c r="K425" s="9" t="s">
        <v>24</v>
      </c>
      <c r="L425" s="9" t="s">
        <v>31</v>
      </c>
      <c r="M425" s="18">
        <v>13500</v>
      </c>
      <c r="N425" s="17"/>
    </row>
    <row r="426" spans="1:14" ht="30" customHeight="1" outlineLevel="2" x14ac:dyDescent="0.25">
      <c r="A426" s="6">
        <v>15</v>
      </c>
      <c r="B426" s="6" t="str">
        <f t="shared" si="164"/>
        <v xml:space="preserve"> ЩС-27 (Альбом 34) </v>
      </c>
      <c r="C426" s="7" t="s">
        <v>10</v>
      </c>
      <c r="D426" s="7">
        <v>296829</v>
      </c>
      <c r="E426" s="8" t="s">
        <v>44</v>
      </c>
      <c r="F426" s="18">
        <v>2429</v>
      </c>
      <c r="G426" s="18">
        <f t="shared" ref="G426:G427" si="166">F426*0.6</f>
        <v>1457.3999999999999</v>
      </c>
      <c r="H426" s="18">
        <f t="shared" si="165"/>
        <v>1457.3999999999999</v>
      </c>
      <c r="I426" s="7">
        <v>1</v>
      </c>
      <c r="J426" s="9" t="s">
        <v>11</v>
      </c>
      <c r="K426" s="9" t="s">
        <v>22</v>
      </c>
      <c r="L426" s="9" t="s">
        <v>31</v>
      </c>
      <c r="M426" s="18">
        <v>1457.3999999999999</v>
      </c>
      <c r="N426" s="17"/>
    </row>
    <row r="427" spans="1:14" ht="30" customHeight="1" outlineLevel="2" x14ac:dyDescent="0.25">
      <c r="A427" s="6">
        <v>15</v>
      </c>
      <c r="B427" s="6" t="str">
        <f t="shared" si="164"/>
        <v xml:space="preserve"> ЩС-27 (Альбом 34) </v>
      </c>
      <c r="C427" s="7" t="s">
        <v>12</v>
      </c>
      <c r="D427" s="7">
        <v>105542</v>
      </c>
      <c r="E427" s="8" t="s">
        <v>43</v>
      </c>
      <c r="F427" s="18">
        <v>5093</v>
      </c>
      <c r="G427" s="18">
        <f t="shared" si="166"/>
        <v>3055.7999999999997</v>
      </c>
      <c r="H427" s="18">
        <f t="shared" si="165"/>
        <v>30557.999999999996</v>
      </c>
      <c r="I427" s="7">
        <v>10</v>
      </c>
      <c r="J427" s="9" t="s">
        <v>11</v>
      </c>
      <c r="K427" s="9" t="s">
        <v>22</v>
      </c>
      <c r="L427" s="9" t="s">
        <v>31</v>
      </c>
      <c r="M427" s="18">
        <v>30557.999999999996</v>
      </c>
      <c r="N427" s="17"/>
    </row>
    <row r="428" spans="1:14" ht="30" customHeight="1" outlineLevel="2" x14ac:dyDescent="0.25">
      <c r="A428" s="6">
        <v>19</v>
      </c>
      <c r="B428" s="6" t="str">
        <f t="shared" si="164"/>
        <v xml:space="preserve"> ЩС-27 (Альбом 34) </v>
      </c>
      <c r="C428" s="7" t="s">
        <v>8</v>
      </c>
      <c r="D428" s="7" t="s">
        <v>8</v>
      </c>
      <c r="E428" s="8" t="s">
        <v>8</v>
      </c>
      <c r="F428" s="18">
        <f ca="1">OFFSET(F428,1,2)</f>
        <v>15000</v>
      </c>
      <c r="G428" s="18">
        <f ca="1">F428</f>
        <v>15000</v>
      </c>
      <c r="H428" s="18">
        <f t="shared" ca="1" si="165"/>
        <v>15000</v>
      </c>
      <c r="I428" s="7">
        <v>1</v>
      </c>
      <c r="J428" s="9" t="s">
        <v>11</v>
      </c>
      <c r="K428" s="7" t="s">
        <v>8</v>
      </c>
      <c r="L428" s="7" t="s">
        <v>31</v>
      </c>
      <c r="M428" s="18">
        <v>15000</v>
      </c>
      <c r="N428" s="17"/>
    </row>
    <row r="429" spans="1:14" ht="30" customHeight="1" outlineLevel="2" x14ac:dyDescent="0.25">
      <c r="A429" s="6">
        <v>20</v>
      </c>
      <c r="B429" s="6" t="str">
        <f t="shared" si="164"/>
        <v xml:space="preserve"> ЩС-27 (Альбом 34) </v>
      </c>
      <c r="C429" s="7" t="s">
        <v>9</v>
      </c>
      <c r="D429" s="7" t="s">
        <v>9</v>
      </c>
      <c r="E429" s="8" t="s">
        <v>9</v>
      </c>
      <c r="F429" s="18">
        <v>2.5</v>
      </c>
      <c r="G429" s="18">
        <v>100</v>
      </c>
      <c r="H429" s="18">
        <f t="shared" si="165"/>
        <v>15000</v>
      </c>
      <c r="I429" s="7">
        <f>60*F429</f>
        <v>150</v>
      </c>
      <c r="J429" s="9" t="s">
        <v>11</v>
      </c>
      <c r="K429" s="7" t="s">
        <v>9</v>
      </c>
      <c r="L429" s="7" t="s">
        <v>31</v>
      </c>
      <c r="M429" s="18">
        <v>15000</v>
      </c>
      <c r="N429" s="17"/>
    </row>
    <row r="430" spans="1:14" ht="30" customHeight="1" outlineLevel="1" x14ac:dyDescent="0.25">
      <c r="A430" s="6"/>
      <c r="B430" s="6" t="s">
        <v>348</v>
      </c>
      <c r="C430" s="7"/>
      <c r="D430" s="7"/>
      <c r="E430" s="8"/>
      <c r="F430" s="18"/>
      <c r="G430" s="18"/>
      <c r="H430" s="18">
        <f ca="1">SUBTOTAL(9,H424:H429)</f>
        <v>75515.399999999994</v>
      </c>
      <c r="I430" s="7"/>
      <c r="J430" s="9"/>
      <c r="K430" s="7"/>
      <c r="L430" s="7"/>
      <c r="M430" s="18">
        <v>75515.399999999994</v>
      </c>
      <c r="N430" s="17"/>
    </row>
    <row r="431" spans="1:14" ht="30" customHeight="1" outlineLevel="2" x14ac:dyDescent="0.25">
      <c r="A431" s="3">
        <v>13</v>
      </c>
      <c r="B431" s="3" t="str">
        <f>E431</f>
        <v xml:space="preserve"> ЩС-28 (Альбом 34) </v>
      </c>
      <c r="C431" s="3"/>
      <c r="D431" s="14"/>
      <c r="E431" s="3" t="s">
        <v>87</v>
      </c>
      <c r="F431" s="13"/>
      <c r="G431" s="13"/>
      <c r="H431" s="13"/>
      <c r="I431" s="5">
        <v>1</v>
      </c>
      <c r="J431" s="4" t="s">
        <v>6</v>
      </c>
      <c r="K431" s="4" t="s">
        <v>23</v>
      </c>
      <c r="L431" s="4" t="s">
        <v>31</v>
      </c>
      <c r="M431" s="13"/>
      <c r="N431" s="17"/>
    </row>
    <row r="432" spans="1:14" ht="30" customHeight="1" outlineLevel="2" x14ac:dyDescent="0.25">
      <c r="A432" s="6">
        <v>14</v>
      </c>
      <c r="B432" s="6" t="str">
        <f t="shared" ref="B432:B436" si="167">B431</f>
        <v xml:space="preserve"> ЩС-28 (Альбом 34) </v>
      </c>
      <c r="C432" s="7" t="s">
        <v>7</v>
      </c>
      <c r="D432" s="7" t="s">
        <v>272</v>
      </c>
      <c r="E432" s="8" t="s">
        <v>273</v>
      </c>
      <c r="F432" s="18">
        <v>17000</v>
      </c>
      <c r="G432" s="18">
        <f>0.6*F432</f>
        <v>10200</v>
      </c>
      <c r="H432" s="18">
        <f t="shared" ref="H432:H436" si="168">G432*I432</f>
        <v>10200</v>
      </c>
      <c r="I432" s="7">
        <v>1</v>
      </c>
      <c r="J432" s="9" t="s">
        <v>11</v>
      </c>
      <c r="K432" s="9" t="s">
        <v>24</v>
      </c>
      <c r="L432" s="9" t="s">
        <v>31</v>
      </c>
      <c r="M432" s="18">
        <v>10200</v>
      </c>
      <c r="N432" s="17"/>
    </row>
    <row r="433" spans="1:14" ht="30" customHeight="1" outlineLevel="2" x14ac:dyDescent="0.25">
      <c r="A433" s="6">
        <v>15</v>
      </c>
      <c r="B433" s="6" t="str">
        <f t="shared" si="167"/>
        <v xml:space="preserve"> ЩС-28 (Альбом 34) </v>
      </c>
      <c r="C433" s="7" t="s">
        <v>10</v>
      </c>
      <c r="D433" s="7">
        <v>296829</v>
      </c>
      <c r="E433" s="8" t="s">
        <v>44</v>
      </c>
      <c r="F433" s="18">
        <v>2429</v>
      </c>
      <c r="G433" s="18">
        <f t="shared" ref="G433:G434" si="169">F433*0.6</f>
        <v>1457.3999999999999</v>
      </c>
      <c r="H433" s="18">
        <f t="shared" si="168"/>
        <v>1457.3999999999999</v>
      </c>
      <c r="I433" s="7">
        <v>1</v>
      </c>
      <c r="J433" s="9" t="s">
        <v>11</v>
      </c>
      <c r="K433" s="9" t="s">
        <v>22</v>
      </c>
      <c r="L433" s="9" t="s">
        <v>31</v>
      </c>
      <c r="M433" s="18">
        <v>1457.3999999999999</v>
      </c>
      <c r="N433" s="17"/>
    </row>
    <row r="434" spans="1:14" ht="30" customHeight="1" outlineLevel="2" x14ac:dyDescent="0.25">
      <c r="A434" s="6">
        <v>15</v>
      </c>
      <c r="B434" s="6" t="str">
        <f t="shared" si="167"/>
        <v xml:space="preserve"> ЩС-28 (Альбом 34) </v>
      </c>
      <c r="C434" s="7" t="s">
        <v>12</v>
      </c>
      <c r="D434" s="7">
        <v>105542</v>
      </c>
      <c r="E434" s="8" t="s">
        <v>43</v>
      </c>
      <c r="F434" s="18">
        <v>5093</v>
      </c>
      <c r="G434" s="18">
        <f t="shared" si="169"/>
        <v>3055.7999999999997</v>
      </c>
      <c r="H434" s="18">
        <f t="shared" si="168"/>
        <v>15278.999999999998</v>
      </c>
      <c r="I434" s="7">
        <v>5</v>
      </c>
      <c r="J434" s="9" t="s">
        <v>11</v>
      </c>
      <c r="K434" s="9" t="s">
        <v>22</v>
      </c>
      <c r="L434" s="9" t="s">
        <v>31</v>
      </c>
      <c r="M434" s="18">
        <v>15278.999999999998</v>
      </c>
      <c r="N434" s="17"/>
    </row>
    <row r="435" spans="1:14" ht="30" customHeight="1" outlineLevel="2" x14ac:dyDescent="0.25">
      <c r="A435" s="6">
        <v>19</v>
      </c>
      <c r="B435" s="6" t="str">
        <f t="shared" si="167"/>
        <v xml:space="preserve"> ЩС-28 (Альбом 34) </v>
      </c>
      <c r="C435" s="7" t="s">
        <v>8</v>
      </c>
      <c r="D435" s="7" t="s">
        <v>8</v>
      </c>
      <c r="E435" s="8" t="s">
        <v>8</v>
      </c>
      <c r="F435" s="18">
        <f ca="1">OFFSET(F435,1,2)</f>
        <v>9000</v>
      </c>
      <c r="G435" s="18">
        <f ca="1">F435</f>
        <v>9000</v>
      </c>
      <c r="H435" s="18">
        <f t="shared" ca="1" si="168"/>
        <v>9000</v>
      </c>
      <c r="I435" s="7">
        <v>1</v>
      </c>
      <c r="J435" s="9" t="s">
        <v>11</v>
      </c>
      <c r="K435" s="7" t="s">
        <v>8</v>
      </c>
      <c r="L435" s="7" t="s">
        <v>31</v>
      </c>
      <c r="M435" s="18">
        <v>9000</v>
      </c>
      <c r="N435" s="17"/>
    </row>
    <row r="436" spans="1:14" ht="30" customHeight="1" outlineLevel="2" x14ac:dyDescent="0.25">
      <c r="A436" s="6">
        <v>20</v>
      </c>
      <c r="B436" s="6" t="str">
        <f t="shared" si="167"/>
        <v xml:space="preserve"> ЩС-28 (Альбом 34) </v>
      </c>
      <c r="C436" s="7" t="s">
        <v>9</v>
      </c>
      <c r="D436" s="7" t="s">
        <v>9</v>
      </c>
      <c r="E436" s="8" t="s">
        <v>9</v>
      </c>
      <c r="F436" s="18">
        <v>1.5</v>
      </c>
      <c r="G436" s="18">
        <v>100</v>
      </c>
      <c r="H436" s="18">
        <f t="shared" si="168"/>
        <v>9000</v>
      </c>
      <c r="I436" s="7">
        <f>60*F436</f>
        <v>90</v>
      </c>
      <c r="J436" s="9" t="s">
        <v>11</v>
      </c>
      <c r="K436" s="7" t="s">
        <v>9</v>
      </c>
      <c r="L436" s="7" t="s">
        <v>31</v>
      </c>
      <c r="M436" s="18">
        <v>9000</v>
      </c>
      <c r="N436" s="17"/>
    </row>
    <row r="437" spans="1:14" ht="30" customHeight="1" outlineLevel="1" x14ac:dyDescent="0.25">
      <c r="A437" s="6"/>
      <c r="B437" s="6" t="s">
        <v>349</v>
      </c>
      <c r="C437" s="7"/>
      <c r="D437" s="7"/>
      <c r="E437" s="8"/>
      <c r="F437" s="18"/>
      <c r="G437" s="18"/>
      <c r="H437" s="18">
        <f ca="1">SUBTOTAL(9,H431:H436)</f>
        <v>44936.399999999994</v>
      </c>
      <c r="I437" s="7"/>
      <c r="J437" s="9"/>
      <c r="K437" s="7"/>
      <c r="L437" s="7"/>
      <c r="M437" s="18">
        <v>44936.399999999994</v>
      </c>
      <c r="N437" s="17"/>
    </row>
    <row r="438" spans="1:14" ht="30" customHeight="1" outlineLevel="2" x14ac:dyDescent="0.25">
      <c r="A438" s="3">
        <v>13</v>
      </c>
      <c r="B438" s="3" t="str">
        <f>E438</f>
        <v xml:space="preserve"> ЩС-29 (Альбом 34) </v>
      </c>
      <c r="C438" s="3"/>
      <c r="D438" s="14"/>
      <c r="E438" s="3" t="s">
        <v>88</v>
      </c>
      <c r="F438" s="13"/>
      <c r="G438" s="13"/>
      <c r="H438" s="13"/>
      <c r="I438" s="5">
        <v>1</v>
      </c>
      <c r="J438" s="4" t="s">
        <v>6</v>
      </c>
      <c r="K438" s="4" t="s">
        <v>23</v>
      </c>
      <c r="L438" s="4" t="s">
        <v>31</v>
      </c>
      <c r="M438" s="13"/>
      <c r="N438" s="17"/>
    </row>
    <row r="439" spans="1:14" ht="30" customHeight="1" outlineLevel="2" x14ac:dyDescent="0.25">
      <c r="A439" s="6">
        <v>14</v>
      </c>
      <c r="B439" s="6" t="str">
        <f t="shared" ref="B439:B443" si="170">B438</f>
        <v xml:space="preserve"> ЩС-29 (Альбом 34) </v>
      </c>
      <c r="C439" s="7" t="s">
        <v>7</v>
      </c>
      <c r="D439" s="7" t="s">
        <v>276</v>
      </c>
      <c r="E439" s="17" t="s">
        <v>277</v>
      </c>
      <c r="F439" s="18">
        <v>22500</v>
      </c>
      <c r="G439" s="18">
        <f>0.6*F439</f>
        <v>13500</v>
      </c>
      <c r="H439" s="18">
        <f t="shared" ref="H439:H443" si="171">G439*I439</f>
        <v>13500</v>
      </c>
      <c r="I439" s="7">
        <v>1</v>
      </c>
      <c r="J439" s="9" t="s">
        <v>11</v>
      </c>
      <c r="K439" s="9" t="s">
        <v>24</v>
      </c>
      <c r="L439" s="9" t="s">
        <v>31</v>
      </c>
      <c r="M439" s="18">
        <v>13500</v>
      </c>
      <c r="N439" s="17"/>
    </row>
    <row r="440" spans="1:14" ht="30" customHeight="1" outlineLevel="2" x14ac:dyDescent="0.25">
      <c r="A440" s="6">
        <v>15</v>
      </c>
      <c r="B440" s="6" t="str">
        <f t="shared" si="170"/>
        <v xml:space="preserve"> ЩС-29 (Альбом 34) </v>
      </c>
      <c r="C440" s="7" t="s">
        <v>10</v>
      </c>
      <c r="D440" s="7">
        <v>296829</v>
      </c>
      <c r="E440" s="8" t="s">
        <v>44</v>
      </c>
      <c r="F440" s="18">
        <v>2429</v>
      </c>
      <c r="G440" s="18">
        <f t="shared" ref="G440:G441" si="172">F440*0.6</f>
        <v>1457.3999999999999</v>
      </c>
      <c r="H440" s="18">
        <f t="shared" si="171"/>
        <v>1457.3999999999999</v>
      </c>
      <c r="I440" s="7">
        <v>1</v>
      </c>
      <c r="J440" s="9" t="s">
        <v>11</v>
      </c>
      <c r="K440" s="9" t="s">
        <v>22</v>
      </c>
      <c r="L440" s="9" t="s">
        <v>31</v>
      </c>
      <c r="M440" s="18">
        <v>1457.3999999999999</v>
      </c>
      <c r="N440" s="17"/>
    </row>
    <row r="441" spans="1:14" ht="30" customHeight="1" outlineLevel="2" x14ac:dyDescent="0.25">
      <c r="A441" s="6">
        <v>15</v>
      </c>
      <c r="B441" s="6" t="str">
        <f t="shared" si="170"/>
        <v xml:space="preserve"> ЩС-29 (Альбом 34) </v>
      </c>
      <c r="C441" s="7" t="s">
        <v>12</v>
      </c>
      <c r="D441" s="7">
        <v>105542</v>
      </c>
      <c r="E441" s="8" t="s">
        <v>43</v>
      </c>
      <c r="F441" s="18">
        <v>5093</v>
      </c>
      <c r="G441" s="18">
        <f t="shared" si="172"/>
        <v>3055.7999999999997</v>
      </c>
      <c r="H441" s="18">
        <f t="shared" si="171"/>
        <v>36669.599999999999</v>
      </c>
      <c r="I441" s="7">
        <v>12</v>
      </c>
      <c r="J441" s="9" t="s">
        <v>11</v>
      </c>
      <c r="K441" s="9" t="s">
        <v>22</v>
      </c>
      <c r="L441" s="9" t="s">
        <v>31</v>
      </c>
      <c r="M441" s="18">
        <v>36669.599999999999</v>
      </c>
      <c r="N441" s="17"/>
    </row>
    <row r="442" spans="1:14" ht="30" customHeight="1" outlineLevel="2" x14ac:dyDescent="0.25">
      <c r="A442" s="6">
        <v>19</v>
      </c>
      <c r="B442" s="6" t="str">
        <f t="shared" si="170"/>
        <v xml:space="preserve"> ЩС-29 (Альбом 34) </v>
      </c>
      <c r="C442" s="7" t="s">
        <v>8</v>
      </c>
      <c r="D442" s="7" t="s">
        <v>8</v>
      </c>
      <c r="E442" s="8" t="s">
        <v>8</v>
      </c>
      <c r="F442" s="18">
        <f ca="1">OFFSET(F442,1,2)</f>
        <v>15000</v>
      </c>
      <c r="G442" s="18">
        <f ca="1">F442</f>
        <v>15000</v>
      </c>
      <c r="H442" s="18">
        <f t="shared" ca="1" si="171"/>
        <v>15000</v>
      </c>
      <c r="I442" s="7">
        <v>1</v>
      </c>
      <c r="J442" s="9" t="s">
        <v>11</v>
      </c>
      <c r="K442" s="7" t="s">
        <v>8</v>
      </c>
      <c r="L442" s="7" t="s">
        <v>31</v>
      </c>
      <c r="M442" s="18">
        <v>15000</v>
      </c>
      <c r="N442" s="17"/>
    </row>
    <row r="443" spans="1:14" ht="30" customHeight="1" outlineLevel="2" x14ac:dyDescent="0.25">
      <c r="A443" s="6">
        <v>20</v>
      </c>
      <c r="B443" s="6" t="str">
        <f t="shared" si="170"/>
        <v xml:space="preserve"> ЩС-29 (Альбом 34) </v>
      </c>
      <c r="C443" s="7" t="s">
        <v>9</v>
      </c>
      <c r="D443" s="7" t="s">
        <v>9</v>
      </c>
      <c r="E443" s="8" t="s">
        <v>9</v>
      </c>
      <c r="F443" s="18">
        <v>2.5</v>
      </c>
      <c r="G443" s="18">
        <v>100</v>
      </c>
      <c r="H443" s="18">
        <f t="shared" si="171"/>
        <v>15000</v>
      </c>
      <c r="I443" s="7">
        <f>60*F443</f>
        <v>150</v>
      </c>
      <c r="J443" s="9" t="s">
        <v>11</v>
      </c>
      <c r="K443" s="7" t="s">
        <v>9</v>
      </c>
      <c r="L443" s="7" t="s">
        <v>31</v>
      </c>
      <c r="M443" s="18">
        <v>15000</v>
      </c>
      <c r="N443" s="17"/>
    </row>
    <row r="444" spans="1:14" ht="30" customHeight="1" outlineLevel="1" x14ac:dyDescent="0.25">
      <c r="A444" s="6"/>
      <c r="B444" s="6" t="s">
        <v>350</v>
      </c>
      <c r="C444" s="7"/>
      <c r="D444" s="7"/>
      <c r="E444" s="8"/>
      <c r="F444" s="18"/>
      <c r="G444" s="18"/>
      <c r="H444" s="18">
        <f ca="1">SUBTOTAL(9,H438:H443)</f>
        <v>81627</v>
      </c>
      <c r="I444" s="7"/>
      <c r="J444" s="9"/>
      <c r="K444" s="7"/>
      <c r="L444" s="7"/>
      <c r="M444" s="18">
        <v>81627</v>
      </c>
      <c r="N444" s="17"/>
    </row>
    <row r="445" spans="1:14" ht="30" customHeight="1" outlineLevel="2" x14ac:dyDescent="0.25">
      <c r="A445" s="3">
        <v>13</v>
      </c>
      <c r="B445" s="3" t="str">
        <f>E445</f>
        <v xml:space="preserve"> ЩС-29.1 (Альбом 34) </v>
      </c>
      <c r="C445" s="3"/>
      <c r="D445" s="14"/>
      <c r="E445" s="3" t="s">
        <v>89</v>
      </c>
      <c r="F445" s="13"/>
      <c r="G445" s="13"/>
      <c r="H445" s="13"/>
      <c r="I445" s="5">
        <v>1</v>
      </c>
      <c r="J445" s="4" t="s">
        <v>6</v>
      </c>
      <c r="K445" s="4" t="s">
        <v>23</v>
      </c>
      <c r="L445" s="4" t="s">
        <v>31</v>
      </c>
      <c r="M445" s="13"/>
      <c r="N445" s="17"/>
    </row>
    <row r="446" spans="1:14" ht="30" customHeight="1" outlineLevel="2" x14ac:dyDescent="0.25">
      <c r="A446" s="6">
        <v>14</v>
      </c>
      <c r="B446" s="6" t="str">
        <f t="shared" ref="B446:B450" si="173">B445</f>
        <v xml:space="preserve"> ЩС-29.1 (Альбом 34) </v>
      </c>
      <c r="C446" s="7" t="s">
        <v>7</v>
      </c>
      <c r="D446" s="7" t="s">
        <v>274</v>
      </c>
      <c r="E446" s="8" t="s">
        <v>275</v>
      </c>
      <c r="F446" s="18">
        <v>20000</v>
      </c>
      <c r="G446" s="18">
        <f>0.6*F446</f>
        <v>12000</v>
      </c>
      <c r="H446" s="18">
        <f t="shared" ref="H446:H450" si="174">G446*I446</f>
        <v>12000</v>
      </c>
      <c r="I446" s="7">
        <v>1</v>
      </c>
      <c r="J446" s="9" t="s">
        <v>11</v>
      </c>
      <c r="K446" s="9" t="s">
        <v>24</v>
      </c>
      <c r="L446" s="9" t="s">
        <v>31</v>
      </c>
      <c r="M446" s="18">
        <v>12000</v>
      </c>
      <c r="N446" s="17"/>
    </row>
    <row r="447" spans="1:14" ht="30" customHeight="1" outlineLevel="2" x14ac:dyDescent="0.25">
      <c r="A447" s="6">
        <v>15</v>
      </c>
      <c r="B447" s="6" t="str">
        <f t="shared" si="173"/>
        <v xml:space="preserve"> ЩС-29.1 (Альбом 34) </v>
      </c>
      <c r="C447" s="7" t="s">
        <v>10</v>
      </c>
      <c r="D447" s="7">
        <v>296829</v>
      </c>
      <c r="E447" s="8" t="s">
        <v>44</v>
      </c>
      <c r="F447" s="18">
        <v>2429</v>
      </c>
      <c r="G447" s="18">
        <f t="shared" ref="G447:G448" si="175">F447*0.6</f>
        <v>1457.3999999999999</v>
      </c>
      <c r="H447" s="18">
        <f t="shared" si="174"/>
        <v>1457.3999999999999</v>
      </c>
      <c r="I447" s="7">
        <v>1</v>
      </c>
      <c r="J447" s="9" t="s">
        <v>11</v>
      </c>
      <c r="K447" s="9" t="s">
        <v>22</v>
      </c>
      <c r="L447" s="9" t="s">
        <v>31</v>
      </c>
      <c r="M447" s="18">
        <v>1457.3999999999999</v>
      </c>
      <c r="N447" s="17"/>
    </row>
    <row r="448" spans="1:14" ht="30" customHeight="1" outlineLevel="2" x14ac:dyDescent="0.25">
      <c r="A448" s="6">
        <v>15</v>
      </c>
      <c r="B448" s="6" t="str">
        <f t="shared" si="173"/>
        <v xml:space="preserve"> ЩС-29.1 (Альбом 34) </v>
      </c>
      <c r="C448" s="7" t="s">
        <v>12</v>
      </c>
      <c r="D448" s="7">
        <v>105542</v>
      </c>
      <c r="E448" s="8" t="s">
        <v>43</v>
      </c>
      <c r="F448" s="18">
        <v>5093</v>
      </c>
      <c r="G448" s="18">
        <f t="shared" si="175"/>
        <v>3055.7999999999997</v>
      </c>
      <c r="H448" s="18">
        <f t="shared" si="174"/>
        <v>27502.199999999997</v>
      </c>
      <c r="I448" s="7">
        <v>9</v>
      </c>
      <c r="J448" s="9" t="s">
        <v>11</v>
      </c>
      <c r="K448" s="9" t="s">
        <v>22</v>
      </c>
      <c r="L448" s="9" t="s">
        <v>31</v>
      </c>
      <c r="M448" s="18">
        <v>27502.199999999997</v>
      </c>
      <c r="N448" s="17"/>
    </row>
    <row r="449" spans="1:14" ht="30" customHeight="1" outlineLevel="2" x14ac:dyDescent="0.25">
      <c r="A449" s="6">
        <v>19</v>
      </c>
      <c r="B449" s="6" t="str">
        <f t="shared" si="173"/>
        <v xml:space="preserve"> ЩС-29.1 (Альбом 34) </v>
      </c>
      <c r="C449" s="7" t="s">
        <v>8</v>
      </c>
      <c r="D449" s="7" t="s">
        <v>8</v>
      </c>
      <c r="E449" s="8" t="s">
        <v>8</v>
      </c>
      <c r="F449" s="18">
        <f ca="1">OFFSET(F449,1,2)</f>
        <v>12000</v>
      </c>
      <c r="G449" s="18">
        <f ca="1">F449</f>
        <v>12000</v>
      </c>
      <c r="H449" s="18">
        <f t="shared" ca="1" si="174"/>
        <v>12000</v>
      </c>
      <c r="I449" s="7">
        <v>1</v>
      </c>
      <c r="J449" s="9" t="s">
        <v>11</v>
      </c>
      <c r="K449" s="7" t="s">
        <v>8</v>
      </c>
      <c r="L449" s="7" t="s">
        <v>31</v>
      </c>
      <c r="M449" s="18">
        <v>12000</v>
      </c>
      <c r="N449" s="17"/>
    </row>
    <row r="450" spans="1:14" ht="30" customHeight="1" outlineLevel="2" x14ac:dyDescent="0.25">
      <c r="A450" s="6">
        <v>20</v>
      </c>
      <c r="B450" s="6" t="str">
        <f t="shared" si="173"/>
        <v xml:space="preserve"> ЩС-29.1 (Альбом 34) </v>
      </c>
      <c r="C450" s="7" t="s">
        <v>9</v>
      </c>
      <c r="D450" s="7" t="s">
        <v>9</v>
      </c>
      <c r="E450" s="8" t="s">
        <v>9</v>
      </c>
      <c r="F450" s="18">
        <v>2</v>
      </c>
      <c r="G450" s="18">
        <v>100</v>
      </c>
      <c r="H450" s="18">
        <f t="shared" si="174"/>
        <v>12000</v>
      </c>
      <c r="I450" s="7">
        <f>60*F450</f>
        <v>120</v>
      </c>
      <c r="J450" s="9" t="s">
        <v>11</v>
      </c>
      <c r="K450" s="7" t="s">
        <v>9</v>
      </c>
      <c r="L450" s="7" t="s">
        <v>31</v>
      </c>
      <c r="M450" s="18">
        <v>12000</v>
      </c>
      <c r="N450" s="17"/>
    </row>
    <row r="451" spans="1:14" ht="30" customHeight="1" outlineLevel="1" x14ac:dyDescent="0.25">
      <c r="A451" s="6"/>
      <c r="B451" s="6" t="s">
        <v>351</v>
      </c>
      <c r="C451" s="7"/>
      <c r="D451" s="7"/>
      <c r="E451" s="8"/>
      <c r="F451" s="18"/>
      <c r="G451" s="18"/>
      <c r="H451" s="18">
        <f ca="1">SUBTOTAL(9,H445:H450)</f>
        <v>64959.6</v>
      </c>
      <c r="I451" s="7"/>
      <c r="J451" s="9"/>
      <c r="K451" s="7"/>
      <c r="L451" s="7"/>
      <c r="M451" s="18">
        <v>64959.6</v>
      </c>
      <c r="N451" s="17"/>
    </row>
    <row r="452" spans="1:14" ht="30" customHeight="1" outlineLevel="2" x14ac:dyDescent="0.25">
      <c r="A452" s="3">
        <v>13</v>
      </c>
      <c r="B452" s="3" t="str">
        <f>E452</f>
        <v xml:space="preserve"> ЩС-30 (Альбом 34) </v>
      </c>
      <c r="C452" s="3"/>
      <c r="D452" s="14"/>
      <c r="E452" s="3" t="s">
        <v>90</v>
      </c>
      <c r="F452" s="13"/>
      <c r="G452" s="13"/>
      <c r="H452" s="13"/>
      <c r="I452" s="5">
        <v>1</v>
      </c>
      <c r="J452" s="4" t="s">
        <v>6</v>
      </c>
      <c r="K452" s="4" t="s">
        <v>23</v>
      </c>
      <c r="L452" s="4" t="s">
        <v>31</v>
      </c>
      <c r="M452" s="13"/>
      <c r="N452" s="17"/>
    </row>
    <row r="453" spans="1:14" ht="30" customHeight="1" outlineLevel="2" x14ac:dyDescent="0.25">
      <c r="A453" s="6">
        <v>14</v>
      </c>
      <c r="B453" s="6" t="str">
        <f t="shared" ref="B453:B458" si="176">B452</f>
        <v xml:space="preserve"> ЩС-30 (Альбом 34) </v>
      </c>
      <c r="C453" s="7" t="s">
        <v>7</v>
      </c>
      <c r="D453" s="7"/>
      <c r="E453" s="19" t="s">
        <v>85</v>
      </c>
      <c r="F453" s="18">
        <v>25500</v>
      </c>
      <c r="G453" s="18">
        <f>0.6*F453</f>
        <v>15300</v>
      </c>
      <c r="H453" s="18">
        <f t="shared" ref="H453:H458" si="177">G453*I453</f>
        <v>15300</v>
      </c>
      <c r="I453" s="7">
        <v>1</v>
      </c>
      <c r="J453" s="9" t="s">
        <v>11</v>
      </c>
      <c r="K453" s="9" t="s">
        <v>24</v>
      </c>
      <c r="L453" s="9" t="s">
        <v>31</v>
      </c>
      <c r="M453" s="18">
        <v>15300</v>
      </c>
      <c r="N453" s="17"/>
    </row>
    <row r="454" spans="1:14" ht="30" customHeight="1" outlineLevel="2" x14ac:dyDescent="0.25">
      <c r="A454" s="6">
        <v>15</v>
      </c>
      <c r="B454" s="6" t="str">
        <f t="shared" si="176"/>
        <v xml:space="preserve"> ЩС-30 (Альбом 34) </v>
      </c>
      <c r="C454" s="7" t="s">
        <v>10</v>
      </c>
      <c r="D454" s="7">
        <v>296829</v>
      </c>
      <c r="E454" s="8" t="s">
        <v>44</v>
      </c>
      <c r="F454" s="18">
        <v>2429</v>
      </c>
      <c r="G454" s="18">
        <f t="shared" ref="G454:G456" si="178">F454*0.6</f>
        <v>1457.3999999999999</v>
      </c>
      <c r="H454" s="18">
        <f t="shared" si="177"/>
        <v>1457.3999999999999</v>
      </c>
      <c r="I454" s="7">
        <v>1</v>
      </c>
      <c r="J454" s="9" t="s">
        <v>11</v>
      </c>
      <c r="K454" s="9" t="s">
        <v>22</v>
      </c>
      <c r="L454" s="9" t="s">
        <v>31</v>
      </c>
      <c r="M454" s="18">
        <v>1457.3999999999999</v>
      </c>
      <c r="N454" s="17"/>
    </row>
    <row r="455" spans="1:14" ht="30" customHeight="1" outlineLevel="2" x14ac:dyDescent="0.25">
      <c r="A455" s="6">
        <v>15</v>
      </c>
      <c r="B455" s="6" t="str">
        <f t="shared" si="176"/>
        <v xml:space="preserve"> ЩС-30 (Альбом 34) </v>
      </c>
      <c r="C455" s="7" t="s">
        <v>10</v>
      </c>
      <c r="D455" s="7">
        <v>296827</v>
      </c>
      <c r="E455" s="8" t="s">
        <v>64</v>
      </c>
      <c r="F455" s="18">
        <v>2337</v>
      </c>
      <c r="G455" s="18">
        <f t="shared" si="178"/>
        <v>1402.2</v>
      </c>
      <c r="H455" s="18">
        <f t="shared" si="177"/>
        <v>7011</v>
      </c>
      <c r="I455" s="7">
        <v>5</v>
      </c>
      <c r="J455" s="9" t="s">
        <v>11</v>
      </c>
      <c r="K455" s="9" t="s">
        <v>22</v>
      </c>
      <c r="L455" s="9" t="s">
        <v>31</v>
      </c>
      <c r="M455" s="18">
        <v>7011</v>
      </c>
      <c r="N455" s="17"/>
    </row>
    <row r="456" spans="1:14" ht="30" customHeight="1" outlineLevel="2" x14ac:dyDescent="0.25">
      <c r="A456" s="6">
        <v>15</v>
      </c>
      <c r="B456" s="6" t="str">
        <f t="shared" si="176"/>
        <v xml:space="preserve"> ЩС-30 (Альбом 34) </v>
      </c>
      <c r="C456" s="7" t="s">
        <v>12</v>
      </c>
      <c r="D456" s="7">
        <v>105542</v>
      </c>
      <c r="E456" s="8" t="s">
        <v>43</v>
      </c>
      <c r="F456" s="18">
        <v>5093</v>
      </c>
      <c r="G456" s="18">
        <f t="shared" si="178"/>
        <v>3055.7999999999997</v>
      </c>
      <c r="H456" s="18">
        <f t="shared" si="177"/>
        <v>33613.799999999996</v>
      </c>
      <c r="I456" s="7">
        <v>11</v>
      </c>
      <c r="J456" s="9" t="s">
        <v>11</v>
      </c>
      <c r="K456" s="9" t="s">
        <v>22</v>
      </c>
      <c r="L456" s="9" t="s">
        <v>31</v>
      </c>
      <c r="M456" s="18">
        <v>33613.799999999996</v>
      </c>
      <c r="N456" s="17"/>
    </row>
    <row r="457" spans="1:14" ht="30" customHeight="1" outlineLevel="2" x14ac:dyDescent="0.25">
      <c r="A457" s="6">
        <v>19</v>
      </c>
      <c r="B457" s="6" t="str">
        <f t="shared" si="176"/>
        <v xml:space="preserve"> ЩС-30 (Альбом 34) </v>
      </c>
      <c r="C457" s="7" t="s">
        <v>8</v>
      </c>
      <c r="D457" s="7" t="s">
        <v>8</v>
      </c>
      <c r="E457" s="8" t="s">
        <v>8</v>
      </c>
      <c r="F457" s="18">
        <f ca="1">OFFSET(F457,1,2)</f>
        <v>18000</v>
      </c>
      <c r="G457" s="18">
        <f ca="1">F457</f>
        <v>18000</v>
      </c>
      <c r="H457" s="18">
        <f t="shared" ca="1" si="177"/>
        <v>18000</v>
      </c>
      <c r="I457" s="7">
        <v>1</v>
      </c>
      <c r="J457" s="9" t="s">
        <v>11</v>
      </c>
      <c r="K457" s="7" t="s">
        <v>8</v>
      </c>
      <c r="L457" s="7" t="s">
        <v>31</v>
      </c>
      <c r="M457" s="18">
        <v>18000</v>
      </c>
      <c r="N457" s="17"/>
    </row>
    <row r="458" spans="1:14" ht="30" customHeight="1" outlineLevel="2" x14ac:dyDescent="0.25">
      <c r="A458" s="6">
        <v>20</v>
      </c>
      <c r="B458" s="6" t="str">
        <f t="shared" si="176"/>
        <v xml:space="preserve"> ЩС-30 (Альбом 34) </v>
      </c>
      <c r="C458" s="7" t="s">
        <v>9</v>
      </c>
      <c r="D458" s="7" t="s">
        <v>9</v>
      </c>
      <c r="E458" s="8" t="s">
        <v>9</v>
      </c>
      <c r="F458" s="18">
        <v>3</v>
      </c>
      <c r="G458" s="18">
        <v>100</v>
      </c>
      <c r="H458" s="18">
        <f t="shared" si="177"/>
        <v>18000</v>
      </c>
      <c r="I458" s="7">
        <f>60*F458</f>
        <v>180</v>
      </c>
      <c r="J458" s="9" t="s">
        <v>11</v>
      </c>
      <c r="K458" s="7" t="s">
        <v>9</v>
      </c>
      <c r="L458" s="7" t="s">
        <v>31</v>
      </c>
      <c r="M458" s="18">
        <v>18000</v>
      </c>
      <c r="N458" s="17"/>
    </row>
    <row r="459" spans="1:14" ht="30" customHeight="1" outlineLevel="1" x14ac:dyDescent="0.25">
      <c r="A459" s="6"/>
      <c r="B459" s="6" t="s">
        <v>352</v>
      </c>
      <c r="C459" s="7"/>
      <c r="D459" s="7"/>
      <c r="E459" s="8"/>
      <c r="F459" s="18"/>
      <c r="G459" s="18"/>
      <c r="H459" s="18">
        <f ca="1">SUBTOTAL(9,H452:H458)</f>
        <v>93382.2</v>
      </c>
      <c r="I459" s="7"/>
      <c r="J459" s="9"/>
      <c r="K459" s="7"/>
      <c r="L459" s="7"/>
      <c r="M459" s="18">
        <v>93382.2</v>
      </c>
      <c r="N459" s="17"/>
    </row>
    <row r="460" spans="1:14" ht="30" customHeight="1" outlineLevel="2" x14ac:dyDescent="0.25">
      <c r="A460" s="3">
        <v>13</v>
      </c>
      <c r="B460" s="3" t="str">
        <f>E460</f>
        <v xml:space="preserve"> ЩС-31 (Альбом 34) </v>
      </c>
      <c r="C460" s="3"/>
      <c r="D460" s="14"/>
      <c r="E460" s="3" t="s">
        <v>91</v>
      </c>
      <c r="F460" s="13"/>
      <c r="G460" s="13"/>
      <c r="H460" s="13"/>
      <c r="I460" s="5">
        <v>1</v>
      </c>
      <c r="J460" s="4" t="s">
        <v>6</v>
      </c>
      <c r="K460" s="4" t="s">
        <v>23</v>
      </c>
      <c r="L460" s="4" t="s">
        <v>31</v>
      </c>
      <c r="M460" s="13"/>
      <c r="N460" s="17"/>
    </row>
    <row r="461" spans="1:14" ht="30" customHeight="1" outlineLevel="2" x14ac:dyDescent="0.25">
      <c r="A461" s="6">
        <v>14</v>
      </c>
      <c r="B461" s="6" t="str">
        <f t="shared" ref="B461:B465" si="179">B460</f>
        <v xml:space="preserve"> ЩС-31 (Альбом 34) </v>
      </c>
      <c r="C461" s="7" t="s">
        <v>7</v>
      </c>
      <c r="D461" s="7" t="s">
        <v>270</v>
      </c>
      <c r="E461" s="8" t="s">
        <v>271</v>
      </c>
      <c r="F461" s="18">
        <v>16000</v>
      </c>
      <c r="G461" s="18">
        <f>0.6*F461</f>
        <v>9600</v>
      </c>
      <c r="H461" s="18">
        <f t="shared" ref="H461:H465" si="180">G461*I461</f>
        <v>9600</v>
      </c>
      <c r="I461" s="7">
        <v>1</v>
      </c>
      <c r="J461" s="9" t="s">
        <v>11</v>
      </c>
      <c r="K461" s="9" t="s">
        <v>24</v>
      </c>
      <c r="L461" s="9" t="s">
        <v>31</v>
      </c>
      <c r="M461" s="18">
        <v>9600</v>
      </c>
      <c r="N461" s="17"/>
    </row>
    <row r="462" spans="1:14" ht="30" customHeight="1" outlineLevel="2" x14ac:dyDescent="0.25">
      <c r="A462" s="6">
        <v>15</v>
      </c>
      <c r="B462" s="6" t="str">
        <f t="shared" si="179"/>
        <v xml:space="preserve"> ЩС-31 (Альбом 34) </v>
      </c>
      <c r="C462" s="7" t="s">
        <v>10</v>
      </c>
      <c r="D462" s="7">
        <v>296829</v>
      </c>
      <c r="E462" s="8" t="s">
        <v>44</v>
      </c>
      <c r="F462" s="18">
        <v>2429</v>
      </c>
      <c r="G462" s="18">
        <f t="shared" ref="G462:G463" si="181">F462*0.6</f>
        <v>1457.3999999999999</v>
      </c>
      <c r="H462" s="18">
        <f t="shared" si="180"/>
        <v>1457.3999999999999</v>
      </c>
      <c r="I462" s="7">
        <v>1</v>
      </c>
      <c r="J462" s="9" t="s">
        <v>11</v>
      </c>
      <c r="K462" s="9" t="s">
        <v>22</v>
      </c>
      <c r="L462" s="9" t="s">
        <v>31</v>
      </c>
      <c r="M462" s="18">
        <v>1457.3999999999999</v>
      </c>
      <c r="N462" s="17"/>
    </row>
    <row r="463" spans="1:14" ht="30" customHeight="1" outlineLevel="2" x14ac:dyDescent="0.25">
      <c r="A463" s="6">
        <v>15</v>
      </c>
      <c r="B463" s="6" t="str">
        <f t="shared" si="179"/>
        <v xml:space="preserve"> ЩС-31 (Альбом 34) </v>
      </c>
      <c r="C463" s="7" t="s">
        <v>10</v>
      </c>
      <c r="D463" s="7">
        <v>296827</v>
      </c>
      <c r="E463" s="8" t="s">
        <v>64</v>
      </c>
      <c r="F463" s="18">
        <v>2337</v>
      </c>
      <c r="G463" s="18">
        <f t="shared" si="181"/>
        <v>1402.2</v>
      </c>
      <c r="H463" s="18">
        <f t="shared" si="180"/>
        <v>5608.8</v>
      </c>
      <c r="I463" s="7">
        <v>4</v>
      </c>
      <c r="J463" s="9" t="s">
        <v>11</v>
      </c>
      <c r="K463" s="9" t="s">
        <v>22</v>
      </c>
      <c r="L463" s="9" t="s">
        <v>31</v>
      </c>
      <c r="M463" s="18">
        <v>5608.8</v>
      </c>
      <c r="N463" s="17"/>
    </row>
    <row r="464" spans="1:14" ht="30" customHeight="1" outlineLevel="2" x14ac:dyDescent="0.25">
      <c r="A464" s="6">
        <v>19</v>
      </c>
      <c r="B464" s="6" t="str">
        <f t="shared" si="179"/>
        <v xml:space="preserve"> ЩС-31 (Альбом 34) </v>
      </c>
      <c r="C464" s="7" t="s">
        <v>8</v>
      </c>
      <c r="D464" s="7" t="s">
        <v>8</v>
      </c>
      <c r="E464" s="8" t="s">
        <v>8</v>
      </c>
      <c r="F464" s="18">
        <f ca="1">OFFSET(F464,1,2)</f>
        <v>9000</v>
      </c>
      <c r="G464" s="18">
        <f ca="1">F464</f>
        <v>9000</v>
      </c>
      <c r="H464" s="18">
        <f t="shared" ca="1" si="180"/>
        <v>9000</v>
      </c>
      <c r="I464" s="7">
        <v>1</v>
      </c>
      <c r="J464" s="9" t="s">
        <v>11</v>
      </c>
      <c r="K464" s="7" t="s">
        <v>8</v>
      </c>
      <c r="L464" s="7" t="s">
        <v>31</v>
      </c>
      <c r="M464" s="18">
        <v>9000</v>
      </c>
      <c r="N464" s="17"/>
    </row>
    <row r="465" spans="1:14" ht="30" customHeight="1" outlineLevel="2" x14ac:dyDescent="0.25">
      <c r="A465" s="6">
        <v>20</v>
      </c>
      <c r="B465" s="6" t="str">
        <f t="shared" si="179"/>
        <v xml:space="preserve"> ЩС-31 (Альбом 34) </v>
      </c>
      <c r="C465" s="7" t="s">
        <v>9</v>
      </c>
      <c r="D465" s="7" t="s">
        <v>9</v>
      </c>
      <c r="E465" s="8" t="s">
        <v>9</v>
      </c>
      <c r="F465" s="18">
        <v>1.5</v>
      </c>
      <c r="G465" s="18">
        <v>100</v>
      </c>
      <c r="H465" s="18">
        <f t="shared" si="180"/>
        <v>9000</v>
      </c>
      <c r="I465" s="7">
        <f>60*F465</f>
        <v>90</v>
      </c>
      <c r="J465" s="9" t="s">
        <v>11</v>
      </c>
      <c r="K465" s="7" t="s">
        <v>9</v>
      </c>
      <c r="L465" s="7" t="s">
        <v>31</v>
      </c>
      <c r="M465" s="18">
        <v>9000</v>
      </c>
      <c r="N465" s="17"/>
    </row>
    <row r="466" spans="1:14" ht="30" customHeight="1" outlineLevel="1" x14ac:dyDescent="0.25">
      <c r="A466" s="6"/>
      <c r="B466" s="6" t="s">
        <v>353</v>
      </c>
      <c r="C466" s="7"/>
      <c r="D466" s="7"/>
      <c r="E466" s="8"/>
      <c r="F466" s="18"/>
      <c r="G466" s="18"/>
      <c r="H466" s="18">
        <f ca="1">SUBTOTAL(9,H460:H465)</f>
        <v>34666.199999999997</v>
      </c>
      <c r="I466" s="7"/>
      <c r="J466" s="9"/>
      <c r="K466" s="7"/>
      <c r="L466" s="7"/>
      <c r="M466" s="18">
        <v>34666.199999999997</v>
      </c>
      <c r="N466" s="17"/>
    </row>
    <row r="467" spans="1:14" ht="30" customHeight="1" outlineLevel="2" x14ac:dyDescent="0.25">
      <c r="A467" s="3">
        <v>13</v>
      </c>
      <c r="B467" s="3" t="str">
        <f>E467</f>
        <v xml:space="preserve"> ЩС-32 (Альбом 34) </v>
      </c>
      <c r="C467" s="3"/>
      <c r="D467" s="14"/>
      <c r="E467" s="3" t="s">
        <v>92</v>
      </c>
      <c r="F467" s="13"/>
      <c r="G467" s="13"/>
      <c r="H467" s="13"/>
      <c r="I467" s="5">
        <v>1</v>
      </c>
      <c r="J467" s="4" t="s">
        <v>6</v>
      </c>
      <c r="K467" s="4" t="s">
        <v>23</v>
      </c>
      <c r="L467" s="4" t="s">
        <v>31</v>
      </c>
      <c r="M467" s="13"/>
      <c r="N467" s="17"/>
    </row>
    <row r="468" spans="1:14" ht="30" customHeight="1" outlineLevel="2" x14ac:dyDescent="0.25">
      <c r="A468" s="6">
        <v>14</v>
      </c>
      <c r="B468" s="6" t="str">
        <f t="shared" ref="B468:B472" si="182">B467</f>
        <v xml:space="preserve"> ЩС-32 (Альбом 34) </v>
      </c>
      <c r="C468" s="7" t="s">
        <v>7</v>
      </c>
      <c r="D468" s="7" t="s">
        <v>270</v>
      </c>
      <c r="E468" s="8" t="s">
        <v>271</v>
      </c>
      <c r="F468" s="18">
        <v>16000</v>
      </c>
      <c r="G468" s="18">
        <f>0.6*F468</f>
        <v>9600</v>
      </c>
      <c r="H468" s="18">
        <f t="shared" ref="H468:H472" si="183">G468*I468</f>
        <v>9600</v>
      </c>
      <c r="I468" s="7">
        <v>1</v>
      </c>
      <c r="J468" s="9" t="s">
        <v>11</v>
      </c>
      <c r="K468" s="9" t="s">
        <v>24</v>
      </c>
      <c r="L468" s="9" t="s">
        <v>31</v>
      </c>
      <c r="M468" s="18">
        <v>9600</v>
      </c>
      <c r="N468" s="17"/>
    </row>
    <row r="469" spans="1:14" ht="30" customHeight="1" outlineLevel="2" x14ac:dyDescent="0.25">
      <c r="A469" s="6">
        <v>15</v>
      </c>
      <c r="B469" s="6" t="str">
        <f t="shared" si="182"/>
        <v xml:space="preserve"> ЩС-32 (Альбом 34) </v>
      </c>
      <c r="C469" s="7" t="s">
        <v>10</v>
      </c>
      <c r="D469" s="7">
        <v>296829</v>
      </c>
      <c r="E469" s="8" t="s">
        <v>44</v>
      </c>
      <c r="F469" s="18">
        <v>2429</v>
      </c>
      <c r="G469" s="18">
        <f t="shared" ref="G469:G470" si="184">F469*0.6</f>
        <v>1457.3999999999999</v>
      </c>
      <c r="H469" s="18">
        <f t="shared" si="183"/>
        <v>1457.3999999999999</v>
      </c>
      <c r="I469" s="7">
        <v>1</v>
      </c>
      <c r="J469" s="9" t="s">
        <v>11</v>
      </c>
      <c r="K469" s="9" t="s">
        <v>22</v>
      </c>
      <c r="L469" s="9" t="s">
        <v>31</v>
      </c>
      <c r="M469" s="18">
        <v>1457.3999999999999</v>
      </c>
      <c r="N469" s="17"/>
    </row>
    <row r="470" spans="1:14" ht="30" customHeight="1" outlineLevel="2" x14ac:dyDescent="0.25">
      <c r="A470" s="6">
        <v>15</v>
      </c>
      <c r="B470" s="6" t="str">
        <f t="shared" si="182"/>
        <v xml:space="preserve"> ЩС-32 (Альбом 34) </v>
      </c>
      <c r="C470" s="7" t="s">
        <v>10</v>
      </c>
      <c r="D470" s="7">
        <v>296827</v>
      </c>
      <c r="E470" s="8" t="s">
        <v>64</v>
      </c>
      <c r="F470" s="18">
        <v>2337</v>
      </c>
      <c r="G470" s="18">
        <f t="shared" si="184"/>
        <v>1402.2</v>
      </c>
      <c r="H470" s="18">
        <f t="shared" si="183"/>
        <v>7011</v>
      </c>
      <c r="I470" s="7">
        <v>5</v>
      </c>
      <c r="J470" s="9" t="s">
        <v>11</v>
      </c>
      <c r="K470" s="9" t="s">
        <v>22</v>
      </c>
      <c r="L470" s="9" t="s">
        <v>31</v>
      </c>
      <c r="M470" s="18">
        <v>7011</v>
      </c>
      <c r="N470" s="17"/>
    </row>
    <row r="471" spans="1:14" ht="30" customHeight="1" outlineLevel="2" x14ac:dyDescent="0.25">
      <c r="A471" s="6">
        <v>19</v>
      </c>
      <c r="B471" s="6" t="str">
        <f t="shared" si="182"/>
        <v xml:space="preserve"> ЩС-32 (Альбом 34) </v>
      </c>
      <c r="C471" s="7" t="s">
        <v>8</v>
      </c>
      <c r="D471" s="7" t="s">
        <v>8</v>
      </c>
      <c r="E471" s="8" t="s">
        <v>8</v>
      </c>
      <c r="F471" s="18">
        <f ca="1">OFFSET(F471,1,2)</f>
        <v>9000</v>
      </c>
      <c r="G471" s="18">
        <f ca="1">F471</f>
        <v>9000</v>
      </c>
      <c r="H471" s="18">
        <f t="shared" ca="1" si="183"/>
        <v>9000</v>
      </c>
      <c r="I471" s="7">
        <v>1</v>
      </c>
      <c r="J471" s="9" t="s">
        <v>11</v>
      </c>
      <c r="K471" s="7" t="s">
        <v>8</v>
      </c>
      <c r="L471" s="7" t="s">
        <v>31</v>
      </c>
      <c r="M471" s="18">
        <v>9000</v>
      </c>
      <c r="N471" s="17"/>
    </row>
    <row r="472" spans="1:14" ht="30" customHeight="1" outlineLevel="2" x14ac:dyDescent="0.25">
      <c r="A472" s="6">
        <v>20</v>
      </c>
      <c r="B472" s="6" t="str">
        <f t="shared" si="182"/>
        <v xml:space="preserve"> ЩС-32 (Альбом 34) </v>
      </c>
      <c r="C472" s="7" t="s">
        <v>9</v>
      </c>
      <c r="D472" s="7" t="s">
        <v>9</v>
      </c>
      <c r="E472" s="8" t="s">
        <v>9</v>
      </c>
      <c r="F472" s="18">
        <v>1.5</v>
      </c>
      <c r="G472" s="18">
        <v>100</v>
      </c>
      <c r="H472" s="18">
        <f t="shared" si="183"/>
        <v>9000</v>
      </c>
      <c r="I472" s="7">
        <f>60*F472</f>
        <v>90</v>
      </c>
      <c r="J472" s="9" t="s">
        <v>11</v>
      </c>
      <c r="K472" s="7" t="s">
        <v>9</v>
      </c>
      <c r="L472" s="7" t="s">
        <v>31</v>
      </c>
      <c r="M472" s="18">
        <v>9000</v>
      </c>
      <c r="N472" s="17"/>
    </row>
    <row r="473" spans="1:14" ht="30" customHeight="1" outlineLevel="1" x14ac:dyDescent="0.25">
      <c r="A473" s="6"/>
      <c r="B473" s="6" t="s">
        <v>354</v>
      </c>
      <c r="C473" s="7"/>
      <c r="D473" s="7"/>
      <c r="E473" s="8"/>
      <c r="F473" s="18"/>
      <c r="G473" s="18"/>
      <c r="H473" s="18">
        <f ca="1">SUBTOTAL(9,H467:H472)</f>
        <v>36068.400000000001</v>
      </c>
      <c r="I473" s="7"/>
      <c r="J473" s="9"/>
      <c r="K473" s="7"/>
      <c r="L473" s="7"/>
      <c r="M473" s="18">
        <v>36068.400000000001</v>
      </c>
      <c r="N473" s="17"/>
    </row>
    <row r="474" spans="1:14" ht="30" customHeight="1" outlineLevel="2" x14ac:dyDescent="0.25">
      <c r="A474" s="3">
        <v>13</v>
      </c>
      <c r="B474" s="3" t="str">
        <f>E474</f>
        <v xml:space="preserve"> ЩС-33 (Альбом 34) </v>
      </c>
      <c r="C474" s="3"/>
      <c r="D474" s="14"/>
      <c r="E474" s="3" t="s">
        <v>93</v>
      </c>
      <c r="F474" s="13"/>
      <c r="G474" s="13"/>
      <c r="H474" s="13"/>
      <c r="I474" s="5">
        <v>1</v>
      </c>
      <c r="J474" s="4" t="s">
        <v>6</v>
      </c>
      <c r="K474" s="4" t="s">
        <v>23</v>
      </c>
      <c r="L474" s="4" t="s">
        <v>31</v>
      </c>
      <c r="M474" s="13"/>
      <c r="N474" s="17"/>
    </row>
    <row r="475" spans="1:14" ht="30" customHeight="1" outlineLevel="2" x14ac:dyDescent="0.25">
      <c r="A475" s="6">
        <v>14</v>
      </c>
      <c r="B475" s="6" t="str">
        <f t="shared" ref="B475:B479" si="185">B474</f>
        <v xml:space="preserve"> ЩС-33 (Альбом 34) </v>
      </c>
      <c r="C475" s="7" t="s">
        <v>7</v>
      </c>
      <c r="D475" s="7" t="s">
        <v>270</v>
      </c>
      <c r="E475" s="8" t="s">
        <v>271</v>
      </c>
      <c r="F475" s="18">
        <v>16000</v>
      </c>
      <c r="G475" s="18">
        <f>0.6*F475</f>
        <v>9600</v>
      </c>
      <c r="H475" s="18">
        <f t="shared" ref="H475:H479" si="186">G475*I475</f>
        <v>9600</v>
      </c>
      <c r="I475" s="7">
        <v>1</v>
      </c>
      <c r="J475" s="9" t="s">
        <v>11</v>
      </c>
      <c r="K475" s="9" t="s">
        <v>24</v>
      </c>
      <c r="L475" s="9" t="s">
        <v>31</v>
      </c>
      <c r="M475" s="18">
        <v>9600</v>
      </c>
      <c r="N475" s="17"/>
    </row>
    <row r="476" spans="1:14" ht="30" customHeight="1" outlineLevel="2" x14ac:dyDescent="0.25">
      <c r="A476" s="6">
        <v>15</v>
      </c>
      <c r="B476" s="6" t="str">
        <f t="shared" si="185"/>
        <v xml:space="preserve"> ЩС-33 (Альбом 34) </v>
      </c>
      <c r="C476" s="7" t="s">
        <v>10</v>
      </c>
      <c r="D476" s="7">
        <v>296829</v>
      </c>
      <c r="E476" s="8" t="s">
        <v>44</v>
      </c>
      <c r="F476" s="18">
        <v>2429</v>
      </c>
      <c r="G476" s="18">
        <f t="shared" ref="G476:G477" si="187">F476*0.6</f>
        <v>1457.3999999999999</v>
      </c>
      <c r="H476" s="18">
        <f t="shared" si="186"/>
        <v>1457.3999999999999</v>
      </c>
      <c r="I476" s="7">
        <v>1</v>
      </c>
      <c r="J476" s="9" t="s">
        <v>11</v>
      </c>
      <c r="K476" s="9" t="s">
        <v>22</v>
      </c>
      <c r="L476" s="9" t="s">
        <v>31</v>
      </c>
      <c r="M476" s="18">
        <v>1457.3999999999999</v>
      </c>
      <c r="N476" s="17"/>
    </row>
    <row r="477" spans="1:14" ht="30" customHeight="1" outlineLevel="2" x14ac:dyDescent="0.25">
      <c r="A477" s="6">
        <v>15</v>
      </c>
      <c r="B477" s="6" t="str">
        <f t="shared" si="185"/>
        <v xml:space="preserve"> ЩС-33 (Альбом 34) </v>
      </c>
      <c r="C477" s="7" t="s">
        <v>10</v>
      </c>
      <c r="D477" s="7">
        <v>296827</v>
      </c>
      <c r="E477" s="8" t="s">
        <v>64</v>
      </c>
      <c r="F477" s="18">
        <v>2337</v>
      </c>
      <c r="G477" s="18">
        <f t="shared" si="187"/>
        <v>1402.2</v>
      </c>
      <c r="H477" s="18">
        <f t="shared" si="186"/>
        <v>5608.8</v>
      </c>
      <c r="I477" s="7">
        <v>4</v>
      </c>
      <c r="J477" s="9" t="s">
        <v>11</v>
      </c>
      <c r="K477" s="9" t="s">
        <v>22</v>
      </c>
      <c r="L477" s="9" t="s">
        <v>31</v>
      </c>
      <c r="M477" s="18">
        <v>5608.8</v>
      </c>
      <c r="N477" s="17"/>
    </row>
    <row r="478" spans="1:14" ht="30" customHeight="1" outlineLevel="2" x14ac:dyDescent="0.25">
      <c r="A478" s="6">
        <v>19</v>
      </c>
      <c r="B478" s="6" t="str">
        <f t="shared" si="185"/>
        <v xml:space="preserve"> ЩС-33 (Альбом 34) </v>
      </c>
      <c r="C478" s="7" t="s">
        <v>8</v>
      </c>
      <c r="D478" s="7" t="s">
        <v>8</v>
      </c>
      <c r="E478" s="8" t="s">
        <v>8</v>
      </c>
      <c r="F478" s="18">
        <f ca="1">OFFSET(F478,1,2)</f>
        <v>9000</v>
      </c>
      <c r="G478" s="18">
        <f ca="1">F478</f>
        <v>9000</v>
      </c>
      <c r="H478" s="18">
        <f t="shared" ca="1" si="186"/>
        <v>9000</v>
      </c>
      <c r="I478" s="7">
        <v>1</v>
      </c>
      <c r="J478" s="9" t="s">
        <v>11</v>
      </c>
      <c r="K478" s="7" t="s">
        <v>8</v>
      </c>
      <c r="L478" s="7" t="s">
        <v>31</v>
      </c>
      <c r="M478" s="18">
        <v>9000</v>
      </c>
      <c r="N478" s="17"/>
    </row>
    <row r="479" spans="1:14" ht="30" customHeight="1" outlineLevel="2" x14ac:dyDescent="0.25">
      <c r="A479" s="6">
        <v>20</v>
      </c>
      <c r="B479" s="6" t="str">
        <f t="shared" si="185"/>
        <v xml:space="preserve"> ЩС-33 (Альбом 34) </v>
      </c>
      <c r="C479" s="7" t="s">
        <v>9</v>
      </c>
      <c r="D479" s="7" t="s">
        <v>9</v>
      </c>
      <c r="E479" s="8" t="s">
        <v>9</v>
      </c>
      <c r="F479" s="18">
        <v>1.5</v>
      </c>
      <c r="G479" s="18">
        <v>100</v>
      </c>
      <c r="H479" s="18">
        <f t="shared" si="186"/>
        <v>9000</v>
      </c>
      <c r="I479" s="7">
        <f>60*F479</f>
        <v>90</v>
      </c>
      <c r="J479" s="9" t="s">
        <v>11</v>
      </c>
      <c r="K479" s="7" t="s">
        <v>9</v>
      </c>
      <c r="L479" s="7" t="s">
        <v>31</v>
      </c>
      <c r="M479" s="18">
        <v>9000</v>
      </c>
      <c r="N479" s="17"/>
    </row>
    <row r="480" spans="1:14" ht="30" customHeight="1" outlineLevel="1" x14ac:dyDescent="0.25">
      <c r="A480" s="6"/>
      <c r="B480" s="6" t="s">
        <v>355</v>
      </c>
      <c r="C480" s="7"/>
      <c r="D480" s="7"/>
      <c r="E480" s="8"/>
      <c r="F480" s="18"/>
      <c r="G480" s="18"/>
      <c r="H480" s="18">
        <f ca="1">SUBTOTAL(9,H474:H479)</f>
        <v>34666.199999999997</v>
      </c>
      <c r="I480" s="7"/>
      <c r="J480" s="9"/>
      <c r="K480" s="7"/>
      <c r="L480" s="7"/>
      <c r="M480" s="18">
        <v>34666.199999999997</v>
      </c>
      <c r="N480" s="17"/>
    </row>
    <row r="481" spans="1:14" ht="30" customHeight="1" outlineLevel="2" x14ac:dyDescent="0.25">
      <c r="A481" s="3">
        <v>13</v>
      </c>
      <c r="B481" s="3" t="str">
        <f>E481</f>
        <v xml:space="preserve"> ЩС-34 (Альбом 34) </v>
      </c>
      <c r="C481" s="3"/>
      <c r="D481" s="14"/>
      <c r="E481" s="3" t="s">
        <v>94</v>
      </c>
      <c r="F481" s="13"/>
      <c r="G481" s="13"/>
      <c r="H481" s="13"/>
      <c r="I481" s="5">
        <v>1</v>
      </c>
      <c r="J481" s="4" t="s">
        <v>6</v>
      </c>
      <c r="K481" s="4" t="s">
        <v>23</v>
      </c>
      <c r="L481" s="4" t="s">
        <v>31</v>
      </c>
      <c r="M481" s="13"/>
      <c r="N481" s="17"/>
    </row>
    <row r="482" spans="1:14" ht="30" customHeight="1" outlineLevel="2" x14ac:dyDescent="0.25">
      <c r="A482" s="6">
        <v>14</v>
      </c>
      <c r="B482" s="6" t="str">
        <f t="shared" ref="B482:B486" si="188">B481</f>
        <v xml:space="preserve"> ЩС-34 (Альбом 34) </v>
      </c>
      <c r="C482" s="7" t="s">
        <v>7</v>
      </c>
      <c r="D482" s="7" t="s">
        <v>274</v>
      </c>
      <c r="E482" s="8" t="s">
        <v>275</v>
      </c>
      <c r="F482" s="18">
        <v>20000</v>
      </c>
      <c r="G482" s="18">
        <f>0.6*F482</f>
        <v>12000</v>
      </c>
      <c r="H482" s="18">
        <f t="shared" ref="H482:H486" si="189">G482*I482</f>
        <v>12000</v>
      </c>
      <c r="I482" s="7">
        <v>1</v>
      </c>
      <c r="J482" s="9" t="s">
        <v>11</v>
      </c>
      <c r="K482" s="9" t="s">
        <v>24</v>
      </c>
      <c r="L482" s="9" t="s">
        <v>31</v>
      </c>
      <c r="M482" s="18">
        <v>12000</v>
      </c>
      <c r="N482" s="17"/>
    </row>
    <row r="483" spans="1:14" ht="30" customHeight="1" outlineLevel="2" x14ac:dyDescent="0.25">
      <c r="A483" s="6">
        <v>15</v>
      </c>
      <c r="B483" s="6" t="str">
        <f t="shared" si="188"/>
        <v xml:space="preserve"> ЩС-34 (Альбом 34) </v>
      </c>
      <c r="C483" s="7" t="s">
        <v>10</v>
      </c>
      <c r="D483" s="7">
        <v>296829</v>
      </c>
      <c r="E483" s="8" t="s">
        <v>44</v>
      </c>
      <c r="F483" s="18">
        <v>2429</v>
      </c>
      <c r="G483" s="18">
        <f t="shared" ref="G483:G484" si="190">F483*0.6</f>
        <v>1457.3999999999999</v>
      </c>
      <c r="H483" s="18">
        <f t="shared" si="189"/>
        <v>1457.3999999999999</v>
      </c>
      <c r="I483" s="7">
        <v>1</v>
      </c>
      <c r="J483" s="9" t="s">
        <v>11</v>
      </c>
      <c r="K483" s="9" t="s">
        <v>22</v>
      </c>
      <c r="L483" s="9" t="s">
        <v>31</v>
      </c>
      <c r="M483" s="18">
        <v>1457.3999999999999</v>
      </c>
      <c r="N483" s="17"/>
    </row>
    <row r="484" spans="1:14" ht="30" customHeight="1" outlineLevel="2" x14ac:dyDescent="0.25">
      <c r="A484" s="6">
        <v>15</v>
      </c>
      <c r="B484" s="6" t="str">
        <f t="shared" si="188"/>
        <v xml:space="preserve"> ЩС-34 (Альбом 34) </v>
      </c>
      <c r="C484" s="7" t="s">
        <v>10</v>
      </c>
      <c r="D484" s="7">
        <v>296827</v>
      </c>
      <c r="E484" s="8" t="s">
        <v>64</v>
      </c>
      <c r="F484" s="18">
        <v>2337</v>
      </c>
      <c r="G484" s="18">
        <f t="shared" si="190"/>
        <v>1402.2</v>
      </c>
      <c r="H484" s="18">
        <f t="shared" si="189"/>
        <v>11217.6</v>
      </c>
      <c r="I484" s="7">
        <v>8</v>
      </c>
      <c r="J484" s="9" t="s">
        <v>11</v>
      </c>
      <c r="K484" s="9" t="s">
        <v>22</v>
      </c>
      <c r="L484" s="9" t="s">
        <v>31</v>
      </c>
      <c r="M484" s="18">
        <v>11217.6</v>
      </c>
      <c r="N484" s="17"/>
    </row>
    <row r="485" spans="1:14" ht="30" customHeight="1" outlineLevel="2" x14ac:dyDescent="0.25">
      <c r="A485" s="6">
        <v>19</v>
      </c>
      <c r="B485" s="6" t="str">
        <f t="shared" si="188"/>
        <v xml:space="preserve"> ЩС-34 (Альбом 34) </v>
      </c>
      <c r="C485" s="7" t="s">
        <v>8</v>
      </c>
      <c r="D485" s="7" t="s">
        <v>8</v>
      </c>
      <c r="E485" s="8" t="s">
        <v>8</v>
      </c>
      <c r="F485" s="18">
        <f ca="1">OFFSET(F485,1,2)</f>
        <v>12000</v>
      </c>
      <c r="G485" s="18">
        <f ca="1">F485</f>
        <v>12000</v>
      </c>
      <c r="H485" s="18">
        <f t="shared" ca="1" si="189"/>
        <v>12000</v>
      </c>
      <c r="I485" s="7">
        <v>1</v>
      </c>
      <c r="J485" s="9" t="s">
        <v>11</v>
      </c>
      <c r="K485" s="7" t="s">
        <v>8</v>
      </c>
      <c r="L485" s="7" t="s">
        <v>31</v>
      </c>
      <c r="M485" s="18">
        <v>12000</v>
      </c>
      <c r="N485" s="17"/>
    </row>
    <row r="486" spans="1:14" ht="30" customHeight="1" outlineLevel="2" x14ac:dyDescent="0.25">
      <c r="A486" s="6">
        <v>20</v>
      </c>
      <c r="B486" s="6" t="str">
        <f t="shared" si="188"/>
        <v xml:space="preserve"> ЩС-34 (Альбом 34) </v>
      </c>
      <c r="C486" s="7" t="s">
        <v>9</v>
      </c>
      <c r="D486" s="7" t="s">
        <v>9</v>
      </c>
      <c r="E486" s="8" t="s">
        <v>9</v>
      </c>
      <c r="F486" s="18">
        <v>2</v>
      </c>
      <c r="G486" s="18">
        <v>100</v>
      </c>
      <c r="H486" s="18">
        <f t="shared" si="189"/>
        <v>12000</v>
      </c>
      <c r="I486" s="7">
        <f>60*F486</f>
        <v>120</v>
      </c>
      <c r="J486" s="9" t="s">
        <v>11</v>
      </c>
      <c r="K486" s="7" t="s">
        <v>9</v>
      </c>
      <c r="L486" s="7" t="s">
        <v>31</v>
      </c>
      <c r="M486" s="18">
        <v>12000</v>
      </c>
      <c r="N486" s="17"/>
    </row>
    <row r="487" spans="1:14" ht="30" customHeight="1" outlineLevel="1" x14ac:dyDescent="0.25">
      <c r="A487" s="6"/>
      <c r="B487" s="6" t="s">
        <v>356</v>
      </c>
      <c r="C487" s="7"/>
      <c r="D487" s="7"/>
      <c r="E487" s="8"/>
      <c r="F487" s="18"/>
      <c r="G487" s="18"/>
      <c r="H487" s="18">
        <f ca="1">SUBTOTAL(9,H481:H486)</f>
        <v>48675</v>
      </c>
      <c r="I487" s="7"/>
      <c r="J487" s="9"/>
      <c r="K487" s="7"/>
      <c r="L487" s="7"/>
      <c r="M487" s="18">
        <v>48675</v>
      </c>
      <c r="N487" s="17"/>
    </row>
    <row r="488" spans="1:14" ht="30" customHeight="1" outlineLevel="2" x14ac:dyDescent="0.25">
      <c r="A488" s="3">
        <v>13</v>
      </c>
      <c r="B488" s="3" t="str">
        <f>E488</f>
        <v xml:space="preserve"> ЩС-35 (Альбом 34) </v>
      </c>
      <c r="C488" s="3"/>
      <c r="D488" s="14"/>
      <c r="E488" s="3" t="s">
        <v>95</v>
      </c>
      <c r="F488" s="13"/>
      <c r="G488" s="13"/>
      <c r="H488" s="13"/>
      <c r="I488" s="5">
        <v>1</v>
      </c>
      <c r="J488" s="4" t="s">
        <v>6</v>
      </c>
      <c r="K488" s="4" t="s">
        <v>23</v>
      </c>
      <c r="L488" s="4" t="s">
        <v>31</v>
      </c>
      <c r="M488" s="13"/>
      <c r="N488" s="17"/>
    </row>
    <row r="489" spans="1:14" ht="30" customHeight="1" outlineLevel="2" x14ac:dyDescent="0.25">
      <c r="A489" s="6">
        <v>14</v>
      </c>
      <c r="B489" s="6" t="str">
        <f t="shared" ref="B489:B493" si="191">B488</f>
        <v xml:space="preserve"> ЩС-35 (Альбом 34) </v>
      </c>
      <c r="C489" s="7" t="s">
        <v>7</v>
      </c>
      <c r="D489" s="7" t="s">
        <v>274</v>
      </c>
      <c r="E489" s="8" t="s">
        <v>275</v>
      </c>
      <c r="F489" s="18">
        <v>20000</v>
      </c>
      <c r="G489" s="18">
        <f>0.6*F489</f>
        <v>12000</v>
      </c>
      <c r="H489" s="18">
        <f t="shared" ref="H489:H493" si="192">G489*I489</f>
        <v>12000</v>
      </c>
      <c r="I489" s="7">
        <v>1</v>
      </c>
      <c r="J489" s="9" t="s">
        <v>11</v>
      </c>
      <c r="K489" s="9" t="s">
        <v>24</v>
      </c>
      <c r="L489" s="9" t="s">
        <v>31</v>
      </c>
      <c r="M489" s="18">
        <v>12000</v>
      </c>
      <c r="N489" s="17"/>
    </row>
    <row r="490" spans="1:14" ht="30" customHeight="1" outlineLevel="2" x14ac:dyDescent="0.25">
      <c r="A490" s="6">
        <v>15</v>
      </c>
      <c r="B490" s="6" t="str">
        <f t="shared" si="191"/>
        <v xml:space="preserve"> ЩС-35 (Альбом 34) </v>
      </c>
      <c r="C490" s="7" t="s">
        <v>10</v>
      </c>
      <c r="D490" s="7">
        <v>296829</v>
      </c>
      <c r="E490" s="8" t="s">
        <v>44</v>
      </c>
      <c r="F490" s="18">
        <v>2429</v>
      </c>
      <c r="G490" s="18">
        <f t="shared" ref="G490:G491" si="193">F490*0.6</f>
        <v>1457.3999999999999</v>
      </c>
      <c r="H490" s="18">
        <f t="shared" si="192"/>
        <v>1457.3999999999999</v>
      </c>
      <c r="I490" s="7">
        <v>1</v>
      </c>
      <c r="J490" s="9" t="s">
        <v>11</v>
      </c>
      <c r="K490" s="9" t="s">
        <v>22</v>
      </c>
      <c r="L490" s="9" t="s">
        <v>31</v>
      </c>
      <c r="M490" s="18">
        <v>1457.3999999999999</v>
      </c>
      <c r="N490" s="17"/>
    </row>
    <row r="491" spans="1:14" ht="30" customHeight="1" outlineLevel="2" x14ac:dyDescent="0.25">
      <c r="A491" s="6">
        <v>15</v>
      </c>
      <c r="B491" s="6" t="str">
        <f t="shared" si="191"/>
        <v xml:space="preserve"> ЩС-35 (Альбом 34) </v>
      </c>
      <c r="C491" s="7" t="s">
        <v>10</v>
      </c>
      <c r="D491" s="7">
        <v>296827</v>
      </c>
      <c r="E491" s="8" t="s">
        <v>64</v>
      </c>
      <c r="F491" s="18">
        <v>2337</v>
      </c>
      <c r="G491" s="18">
        <f t="shared" si="193"/>
        <v>1402.2</v>
      </c>
      <c r="H491" s="18">
        <f t="shared" si="192"/>
        <v>11217.6</v>
      </c>
      <c r="I491" s="7">
        <v>8</v>
      </c>
      <c r="J491" s="9" t="s">
        <v>11</v>
      </c>
      <c r="K491" s="9" t="s">
        <v>22</v>
      </c>
      <c r="L491" s="9" t="s">
        <v>31</v>
      </c>
      <c r="M491" s="18">
        <v>11217.6</v>
      </c>
      <c r="N491" s="17"/>
    </row>
    <row r="492" spans="1:14" ht="30" customHeight="1" outlineLevel="2" x14ac:dyDescent="0.25">
      <c r="A492" s="6">
        <v>19</v>
      </c>
      <c r="B492" s="6" t="str">
        <f t="shared" si="191"/>
        <v xml:space="preserve"> ЩС-35 (Альбом 34) </v>
      </c>
      <c r="C492" s="7" t="s">
        <v>8</v>
      </c>
      <c r="D492" s="7" t="s">
        <v>8</v>
      </c>
      <c r="E492" s="8" t="s">
        <v>8</v>
      </c>
      <c r="F492" s="18">
        <f ca="1">OFFSET(F492,1,2)</f>
        <v>12000</v>
      </c>
      <c r="G492" s="18">
        <f ca="1">F492</f>
        <v>12000</v>
      </c>
      <c r="H492" s="18">
        <f t="shared" ca="1" si="192"/>
        <v>12000</v>
      </c>
      <c r="I492" s="7">
        <v>1</v>
      </c>
      <c r="J492" s="9" t="s">
        <v>11</v>
      </c>
      <c r="K492" s="7" t="s">
        <v>8</v>
      </c>
      <c r="L492" s="7" t="s">
        <v>31</v>
      </c>
      <c r="M492" s="18">
        <v>12000</v>
      </c>
      <c r="N492" s="17"/>
    </row>
    <row r="493" spans="1:14" ht="30" customHeight="1" outlineLevel="2" x14ac:dyDescent="0.25">
      <c r="A493" s="6">
        <v>20</v>
      </c>
      <c r="B493" s="6" t="str">
        <f t="shared" si="191"/>
        <v xml:space="preserve"> ЩС-35 (Альбом 34) </v>
      </c>
      <c r="C493" s="7" t="s">
        <v>9</v>
      </c>
      <c r="D493" s="7" t="s">
        <v>9</v>
      </c>
      <c r="E493" s="8" t="s">
        <v>9</v>
      </c>
      <c r="F493" s="18">
        <v>2</v>
      </c>
      <c r="G493" s="18">
        <v>100</v>
      </c>
      <c r="H493" s="18">
        <f t="shared" si="192"/>
        <v>12000</v>
      </c>
      <c r="I493" s="7">
        <f>60*F493</f>
        <v>120</v>
      </c>
      <c r="J493" s="9" t="s">
        <v>11</v>
      </c>
      <c r="K493" s="7" t="s">
        <v>9</v>
      </c>
      <c r="L493" s="7" t="s">
        <v>31</v>
      </c>
      <c r="M493" s="18">
        <v>12000</v>
      </c>
      <c r="N493" s="17"/>
    </row>
    <row r="494" spans="1:14" ht="30" customHeight="1" outlineLevel="1" x14ac:dyDescent="0.25">
      <c r="A494" s="6"/>
      <c r="B494" s="6" t="s">
        <v>357</v>
      </c>
      <c r="C494" s="7"/>
      <c r="D494" s="7"/>
      <c r="E494" s="8"/>
      <c r="F494" s="18"/>
      <c r="G494" s="18"/>
      <c r="H494" s="18">
        <f ca="1">SUBTOTAL(9,H488:H493)</f>
        <v>48675</v>
      </c>
      <c r="I494" s="7"/>
      <c r="J494" s="9"/>
      <c r="K494" s="7"/>
      <c r="L494" s="7"/>
      <c r="M494" s="18">
        <v>48675</v>
      </c>
      <c r="N494" s="17"/>
    </row>
    <row r="495" spans="1:14" ht="30" customHeight="1" outlineLevel="2" x14ac:dyDescent="0.25">
      <c r="A495" s="3">
        <v>13</v>
      </c>
      <c r="B495" s="3" t="str">
        <f>E495</f>
        <v xml:space="preserve"> ЩС-36 (Альбом 34) </v>
      </c>
      <c r="C495" s="3"/>
      <c r="D495" s="14"/>
      <c r="E495" s="3" t="s">
        <v>96</v>
      </c>
      <c r="F495" s="13"/>
      <c r="G495" s="13"/>
      <c r="H495" s="13"/>
      <c r="I495" s="5">
        <v>1</v>
      </c>
      <c r="J495" s="4" t="s">
        <v>6</v>
      </c>
      <c r="K495" s="4" t="s">
        <v>23</v>
      </c>
      <c r="L495" s="4" t="s">
        <v>31</v>
      </c>
      <c r="M495" s="13"/>
      <c r="N495" s="17"/>
    </row>
    <row r="496" spans="1:14" ht="30" customHeight="1" outlineLevel="2" x14ac:dyDescent="0.25">
      <c r="A496" s="6">
        <v>14</v>
      </c>
      <c r="B496" s="6" t="str">
        <f t="shared" ref="B496:B501" si="194">B495</f>
        <v xml:space="preserve"> ЩС-36 (Альбом 34) </v>
      </c>
      <c r="C496" s="7" t="s">
        <v>7</v>
      </c>
      <c r="D496" s="7" t="s">
        <v>270</v>
      </c>
      <c r="E496" s="8" t="s">
        <v>271</v>
      </c>
      <c r="F496" s="18">
        <v>16000</v>
      </c>
      <c r="G496" s="18">
        <f>0.6*F496</f>
        <v>9600</v>
      </c>
      <c r="H496" s="18">
        <f t="shared" ref="H496:H501" si="195">G496*I496</f>
        <v>9600</v>
      </c>
      <c r="I496" s="7">
        <v>1</v>
      </c>
      <c r="J496" s="9" t="s">
        <v>11</v>
      </c>
      <c r="K496" s="9" t="s">
        <v>24</v>
      </c>
      <c r="L496" s="9" t="s">
        <v>31</v>
      </c>
      <c r="M496" s="18">
        <v>9600</v>
      </c>
      <c r="N496" s="17"/>
    </row>
    <row r="497" spans="1:14" ht="30" customHeight="1" outlineLevel="2" x14ac:dyDescent="0.25">
      <c r="A497" s="6">
        <v>15</v>
      </c>
      <c r="B497" s="6" t="str">
        <f t="shared" si="194"/>
        <v xml:space="preserve"> ЩС-36 (Альбом 34) </v>
      </c>
      <c r="C497" s="7" t="s">
        <v>10</v>
      </c>
      <c r="D497" s="7">
        <v>296830</v>
      </c>
      <c r="E497" s="8" t="s">
        <v>61</v>
      </c>
      <c r="F497" s="18">
        <v>2606</v>
      </c>
      <c r="G497" s="18">
        <f t="shared" ref="G497:G499" si="196">F497*0.6</f>
        <v>1563.6</v>
      </c>
      <c r="H497" s="18">
        <f t="shared" si="195"/>
        <v>1563.6</v>
      </c>
      <c r="I497" s="7">
        <v>1</v>
      </c>
      <c r="J497" s="9" t="s">
        <v>11</v>
      </c>
      <c r="K497" s="9" t="s">
        <v>22</v>
      </c>
      <c r="L497" s="9" t="s">
        <v>31</v>
      </c>
      <c r="M497" s="18">
        <v>1563.6</v>
      </c>
      <c r="N497" s="17"/>
    </row>
    <row r="498" spans="1:14" ht="30" customHeight="1" outlineLevel="2" x14ac:dyDescent="0.25">
      <c r="A498" s="6">
        <v>15</v>
      </c>
      <c r="B498" s="6" t="str">
        <f t="shared" si="194"/>
        <v xml:space="preserve"> ЩС-36 (Альбом 34) </v>
      </c>
      <c r="C498" s="7" t="s">
        <v>10</v>
      </c>
      <c r="D498" s="7">
        <v>296829</v>
      </c>
      <c r="E498" s="8" t="s">
        <v>44</v>
      </c>
      <c r="F498" s="18">
        <v>2429</v>
      </c>
      <c r="G498" s="18">
        <f t="shared" si="196"/>
        <v>1457.3999999999999</v>
      </c>
      <c r="H498" s="18">
        <f t="shared" si="195"/>
        <v>1457.3999999999999</v>
      </c>
      <c r="I498" s="7">
        <v>1</v>
      </c>
      <c r="J498" s="9" t="s">
        <v>11</v>
      </c>
      <c r="K498" s="9" t="s">
        <v>22</v>
      </c>
      <c r="L498" s="9" t="s">
        <v>31</v>
      </c>
      <c r="M498" s="18">
        <v>1457.3999999999999</v>
      </c>
      <c r="N498" s="17"/>
    </row>
    <row r="499" spans="1:14" ht="30" customHeight="1" outlineLevel="2" x14ac:dyDescent="0.25">
      <c r="A499" s="6">
        <v>15</v>
      </c>
      <c r="B499" s="6" t="str">
        <f t="shared" si="194"/>
        <v xml:space="preserve"> ЩС-36 (Альбом 34) </v>
      </c>
      <c r="C499" s="7" t="s">
        <v>10</v>
      </c>
      <c r="D499" s="7">
        <v>296827</v>
      </c>
      <c r="E499" s="8" t="s">
        <v>64</v>
      </c>
      <c r="F499" s="18">
        <v>2337</v>
      </c>
      <c r="G499" s="18">
        <f t="shared" si="196"/>
        <v>1402.2</v>
      </c>
      <c r="H499" s="18">
        <f t="shared" si="195"/>
        <v>7011</v>
      </c>
      <c r="I499" s="7">
        <v>5</v>
      </c>
      <c r="J499" s="9" t="s">
        <v>11</v>
      </c>
      <c r="K499" s="9" t="s">
        <v>22</v>
      </c>
      <c r="L499" s="9" t="s">
        <v>31</v>
      </c>
      <c r="M499" s="18">
        <v>7011</v>
      </c>
      <c r="N499" s="17"/>
    </row>
    <row r="500" spans="1:14" ht="30" customHeight="1" outlineLevel="2" x14ac:dyDescent="0.25">
      <c r="A500" s="6">
        <v>19</v>
      </c>
      <c r="B500" s="6" t="str">
        <f t="shared" si="194"/>
        <v xml:space="preserve"> ЩС-36 (Альбом 34) </v>
      </c>
      <c r="C500" s="7" t="s">
        <v>8</v>
      </c>
      <c r="D500" s="7" t="s">
        <v>8</v>
      </c>
      <c r="E500" s="8" t="s">
        <v>8</v>
      </c>
      <c r="F500" s="18">
        <f ca="1">OFFSET(F500,1,2)</f>
        <v>9000</v>
      </c>
      <c r="G500" s="18">
        <f ca="1">F500</f>
        <v>9000</v>
      </c>
      <c r="H500" s="18">
        <f t="shared" ca="1" si="195"/>
        <v>9000</v>
      </c>
      <c r="I500" s="7">
        <v>1</v>
      </c>
      <c r="J500" s="9" t="s">
        <v>11</v>
      </c>
      <c r="K500" s="7" t="s">
        <v>8</v>
      </c>
      <c r="L500" s="7" t="s">
        <v>31</v>
      </c>
      <c r="M500" s="18">
        <v>9000</v>
      </c>
      <c r="N500" s="17"/>
    </row>
    <row r="501" spans="1:14" ht="30" customHeight="1" outlineLevel="2" x14ac:dyDescent="0.25">
      <c r="A501" s="6">
        <v>20</v>
      </c>
      <c r="B501" s="6" t="str">
        <f t="shared" si="194"/>
        <v xml:space="preserve"> ЩС-36 (Альбом 34) </v>
      </c>
      <c r="C501" s="7" t="s">
        <v>9</v>
      </c>
      <c r="D501" s="7" t="s">
        <v>9</v>
      </c>
      <c r="E501" s="8" t="s">
        <v>9</v>
      </c>
      <c r="F501" s="18">
        <v>1.5</v>
      </c>
      <c r="G501" s="18">
        <v>100</v>
      </c>
      <c r="H501" s="18">
        <f t="shared" si="195"/>
        <v>9000</v>
      </c>
      <c r="I501" s="7">
        <f>60*F501</f>
        <v>90</v>
      </c>
      <c r="J501" s="9" t="s">
        <v>11</v>
      </c>
      <c r="K501" s="7" t="s">
        <v>9</v>
      </c>
      <c r="L501" s="7" t="s">
        <v>31</v>
      </c>
      <c r="M501" s="18">
        <v>9000</v>
      </c>
      <c r="N501" s="17"/>
    </row>
    <row r="502" spans="1:14" ht="30" customHeight="1" outlineLevel="1" x14ac:dyDescent="0.25">
      <c r="A502" s="6"/>
      <c r="B502" s="6" t="s">
        <v>358</v>
      </c>
      <c r="C502" s="7"/>
      <c r="D502" s="7"/>
      <c r="E502" s="8"/>
      <c r="F502" s="18"/>
      <c r="G502" s="18"/>
      <c r="H502" s="18">
        <f ca="1">SUBTOTAL(9,H495:H501)</f>
        <v>37632</v>
      </c>
      <c r="I502" s="7"/>
      <c r="J502" s="9"/>
      <c r="K502" s="7"/>
      <c r="L502" s="7"/>
      <c r="M502" s="18">
        <v>37632</v>
      </c>
      <c r="N502" s="17"/>
    </row>
    <row r="503" spans="1:14" ht="30" customHeight="1" outlineLevel="2" x14ac:dyDescent="0.25">
      <c r="A503" s="3">
        <v>13</v>
      </c>
      <c r="B503" s="3" t="str">
        <f>E503</f>
        <v xml:space="preserve"> ЩС-37 (Альбом 34) </v>
      </c>
      <c r="C503" s="3"/>
      <c r="D503" s="14"/>
      <c r="E503" s="3" t="s">
        <v>97</v>
      </c>
      <c r="F503" s="13"/>
      <c r="G503" s="13"/>
      <c r="H503" s="13"/>
      <c r="I503" s="5">
        <v>1</v>
      </c>
      <c r="J503" s="4" t="s">
        <v>6</v>
      </c>
      <c r="K503" s="4" t="s">
        <v>23</v>
      </c>
      <c r="L503" s="4" t="s">
        <v>31</v>
      </c>
      <c r="M503" s="13"/>
      <c r="N503" s="17"/>
    </row>
    <row r="504" spans="1:14" ht="30" customHeight="1" outlineLevel="2" x14ac:dyDescent="0.25">
      <c r="A504" s="6">
        <v>14</v>
      </c>
      <c r="B504" s="6" t="str">
        <f t="shared" ref="B504:B508" si="197">B503</f>
        <v xml:space="preserve"> ЩС-37 (Альбом 34) </v>
      </c>
      <c r="C504" s="7" t="s">
        <v>7</v>
      </c>
      <c r="D504" s="7" t="s">
        <v>268</v>
      </c>
      <c r="E504" s="8" t="s">
        <v>269</v>
      </c>
      <c r="F504" s="18">
        <v>10500</v>
      </c>
      <c r="G504" s="18">
        <f>0.6*F504</f>
        <v>6300</v>
      </c>
      <c r="H504" s="18">
        <f t="shared" ref="H504:H508" si="198">G504*I504</f>
        <v>6300</v>
      </c>
      <c r="I504" s="7">
        <v>1</v>
      </c>
      <c r="J504" s="9" t="s">
        <v>11</v>
      </c>
      <c r="K504" s="9" t="s">
        <v>24</v>
      </c>
      <c r="L504" s="9" t="s">
        <v>31</v>
      </c>
      <c r="M504" s="18">
        <v>6300</v>
      </c>
      <c r="N504" s="17"/>
    </row>
    <row r="505" spans="1:14" ht="30" customHeight="1" outlineLevel="2" x14ac:dyDescent="0.25">
      <c r="A505" s="6">
        <v>15</v>
      </c>
      <c r="B505" s="6" t="str">
        <f t="shared" si="197"/>
        <v xml:space="preserve"> ЩС-37 (Альбом 34) </v>
      </c>
      <c r="C505" s="7" t="s">
        <v>10</v>
      </c>
      <c r="D505" s="7">
        <v>296829</v>
      </c>
      <c r="E505" s="8" t="s">
        <v>44</v>
      </c>
      <c r="F505" s="18">
        <v>2429</v>
      </c>
      <c r="G505" s="18">
        <f t="shared" ref="G505:G506" si="199">F505*0.6</f>
        <v>1457.3999999999999</v>
      </c>
      <c r="H505" s="18">
        <f t="shared" si="198"/>
        <v>1457.3999999999999</v>
      </c>
      <c r="I505" s="7">
        <v>1</v>
      </c>
      <c r="J505" s="9" t="s">
        <v>11</v>
      </c>
      <c r="K505" s="9" t="s">
        <v>22</v>
      </c>
      <c r="L505" s="9" t="s">
        <v>31</v>
      </c>
      <c r="M505" s="18">
        <v>1457.3999999999999</v>
      </c>
      <c r="N505" s="17"/>
    </row>
    <row r="506" spans="1:14" ht="30" customHeight="1" outlineLevel="2" x14ac:dyDescent="0.25">
      <c r="A506" s="6">
        <v>15</v>
      </c>
      <c r="B506" s="6" t="str">
        <f t="shared" si="197"/>
        <v xml:space="preserve"> ЩС-37 (Альбом 34) </v>
      </c>
      <c r="C506" s="7" t="s">
        <v>10</v>
      </c>
      <c r="D506" s="7">
        <v>296827</v>
      </c>
      <c r="E506" s="8" t="s">
        <v>64</v>
      </c>
      <c r="F506" s="18">
        <v>2337</v>
      </c>
      <c r="G506" s="18">
        <f t="shared" si="199"/>
        <v>1402.2</v>
      </c>
      <c r="H506" s="18">
        <f t="shared" si="198"/>
        <v>4206.6000000000004</v>
      </c>
      <c r="I506" s="7">
        <v>3</v>
      </c>
      <c r="J506" s="9" t="s">
        <v>11</v>
      </c>
      <c r="K506" s="9" t="s">
        <v>22</v>
      </c>
      <c r="L506" s="9" t="s">
        <v>31</v>
      </c>
      <c r="M506" s="18">
        <v>4206.6000000000004</v>
      </c>
      <c r="N506" s="17"/>
    </row>
    <row r="507" spans="1:14" ht="30" customHeight="1" outlineLevel="2" x14ac:dyDescent="0.25">
      <c r="A507" s="6">
        <v>19</v>
      </c>
      <c r="B507" s="6" t="str">
        <f t="shared" si="197"/>
        <v xml:space="preserve"> ЩС-37 (Альбом 34) </v>
      </c>
      <c r="C507" s="7" t="s">
        <v>8</v>
      </c>
      <c r="D507" s="7" t="s">
        <v>8</v>
      </c>
      <c r="E507" s="8" t="s">
        <v>8</v>
      </c>
      <c r="F507" s="18">
        <f ca="1">OFFSET(F507,1,2)</f>
        <v>6000</v>
      </c>
      <c r="G507" s="18">
        <f ca="1">F507</f>
        <v>6000</v>
      </c>
      <c r="H507" s="18">
        <f t="shared" ca="1" si="198"/>
        <v>6000</v>
      </c>
      <c r="I507" s="7">
        <v>1</v>
      </c>
      <c r="J507" s="9" t="s">
        <v>11</v>
      </c>
      <c r="K507" s="7" t="s">
        <v>8</v>
      </c>
      <c r="L507" s="7" t="s">
        <v>31</v>
      </c>
      <c r="M507" s="18">
        <v>6000</v>
      </c>
      <c r="N507" s="17"/>
    </row>
    <row r="508" spans="1:14" ht="30" customHeight="1" outlineLevel="2" x14ac:dyDescent="0.25">
      <c r="A508" s="6">
        <v>20</v>
      </c>
      <c r="B508" s="6" t="str">
        <f t="shared" si="197"/>
        <v xml:space="preserve"> ЩС-37 (Альбом 34) </v>
      </c>
      <c r="C508" s="7" t="s">
        <v>9</v>
      </c>
      <c r="D508" s="7" t="s">
        <v>9</v>
      </c>
      <c r="E508" s="8" t="s">
        <v>9</v>
      </c>
      <c r="F508" s="18">
        <v>1</v>
      </c>
      <c r="G508" s="18">
        <v>100</v>
      </c>
      <c r="H508" s="18">
        <f t="shared" si="198"/>
        <v>6000</v>
      </c>
      <c r="I508" s="7">
        <f>60*F508</f>
        <v>60</v>
      </c>
      <c r="J508" s="9" t="s">
        <v>11</v>
      </c>
      <c r="K508" s="7" t="s">
        <v>9</v>
      </c>
      <c r="L508" s="7" t="s">
        <v>31</v>
      </c>
      <c r="M508" s="18">
        <v>6000</v>
      </c>
      <c r="N508" s="17"/>
    </row>
    <row r="509" spans="1:14" ht="30" customHeight="1" outlineLevel="1" x14ac:dyDescent="0.25">
      <c r="A509" s="6"/>
      <c r="B509" s="6" t="s">
        <v>359</v>
      </c>
      <c r="C509" s="7"/>
      <c r="D509" s="7"/>
      <c r="E509" s="8"/>
      <c r="F509" s="18"/>
      <c r="G509" s="18"/>
      <c r="H509" s="18">
        <f ca="1">SUBTOTAL(9,H503:H508)</f>
        <v>23964</v>
      </c>
      <c r="I509" s="7"/>
      <c r="J509" s="9"/>
      <c r="K509" s="7"/>
      <c r="L509" s="7"/>
      <c r="M509" s="18">
        <v>23964</v>
      </c>
      <c r="N509" s="17"/>
    </row>
    <row r="510" spans="1:14" ht="30" customHeight="1" outlineLevel="2" x14ac:dyDescent="0.25">
      <c r="A510" s="3">
        <v>13</v>
      </c>
      <c r="B510" s="3" t="str">
        <f>E510</f>
        <v xml:space="preserve"> ЩС-38 (Альбом 34) </v>
      </c>
      <c r="C510" s="3"/>
      <c r="D510" s="14"/>
      <c r="E510" s="3" t="s">
        <v>98</v>
      </c>
      <c r="F510" s="13"/>
      <c r="G510" s="13"/>
      <c r="H510" s="13"/>
      <c r="I510" s="5">
        <v>1</v>
      </c>
      <c r="J510" s="4" t="s">
        <v>6</v>
      </c>
      <c r="K510" s="4" t="s">
        <v>23</v>
      </c>
      <c r="L510" s="4" t="s">
        <v>31</v>
      </c>
      <c r="M510" s="13"/>
      <c r="N510" s="17"/>
    </row>
    <row r="511" spans="1:14" ht="30" customHeight="1" outlineLevel="2" x14ac:dyDescent="0.25">
      <c r="A511" s="6">
        <v>14</v>
      </c>
      <c r="B511" s="6" t="str">
        <f t="shared" ref="B511:B515" si="200">B510</f>
        <v xml:space="preserve"> ЩС-38 (Альбом 34) </v>
      </c>
      <c r="C511" s="7" t="s">
        <v>7</v>
      </c>
      <c r="D511" s="7" t="s">
        <v>268</v>
      </c>
      <c r="E511" s="8" t="s">
        <v>269</v>
      </c>
      <c r="F511" s="18">
        <v>10500</v>
      </c>
      <c r="G511" s="18">
        <f>0.6*F511</f>
        <v>6300</v>
      </c>
      <c r="H511" s="18">
        <f t="shared" ref="H511:H515" si="201">G511*I511</f>
        <v>6300</v>
      </c>
      <c r="I511" s="7">
        <v>1</v>
      </c>
      <c r="J511" s="9" t="s">
        <v>11</v>
      </c>
      <c r="K511" s="9" t="s">
        <v>24</v>
      </c>
      <c r="L511" s="9" t="s">
        <v>31</v>
      </c>
      <c r="M511" s="18">
        <v>6300</v>
      </c>
      <c r="N511" s="17"/>
    </row>
    <row r="512" spans="1:14" ht="30" customHeight="1" outlineLevel="2" x14ac:dyDescent="0.25">
      <c r="A512" s="6">
        <v>15</v>
      </c>
      <c r="B512" s="6" t="str">
        <f t="shared" si="200"/>
        <v xml:space="preserve"> ЩС-38 (Альбом 34) </v>
      </c>
      <c r="C512" s="7" t="s">
        <v>10</v>
      </c>
      <c r="D512" s="7">
        <v>296832</v>
      </c>
      <c r="E512" s="8" t="s">
        <v>56</v>
      </c>
      <c r="F512" s="18">
        <v>3172</v>
      </c>
      <c r="G512" s="18">
        <f t="shared" ref="G512:G513" si="202">F512*0.6</f>
        <v>1903.1999999999998</v>
      </c>
      <c r="H512" s="18">
        <f t="shared" si="201"/>
        <v>1903.1999999999998</v>
      </c>
      <c r="I512" s="7">
        <v>1</v>
      </c>
      <c r="J512" s="9" t="s">
        <v>11</v>
      </c>
      <c r="K512" s="9" t="s">
        <v>22</v>
      </c>
      <c r="L512" s="9" t="s">
        <v>31</v>
      </c>
      <c r="M512" s="18">
        <v>1903.1999999999998</v>
      </c>
      <c r="N512" s="17"/>
    </row>
    <row r="513" spans="1:14" ht="30" customHeight="1" outlineLevel="2" x14ac:dyDescent="0.25">
      <c r="A513" s="6">
        <v>15</v>
      </c>
      <c r="B513" s="6" t="str">
        <f t="shared" si="200"/>
        <v xml:space="preserve"> ЩС-38 (Альбом 34) </v>
      </c>
      <c r="C513" s="7" t="s">
        <v>10</v>
      </c>
      <c r="D513" s="7">
        <v>296829</v>
      </c>
      <c r="E513" s="8" t="s">
        <v>44</v>
      </c>
      <c r="F513" s="18">
        <v>2429</v>
      </c>
      <c r="G513" s="18">
        <f t="shared" si="202"/>
        <v>1457.3999999999999</v>
      </c>
      <c r="H513" s="18">
        <f t="shared" si="201"/>
        <v>4372.2</v>
      </c>
      <c r="I513" s="7">
        <v>3</v>
      </c>
      <c r="J513" s="9" t="s">
        <v>11</v>
      </c>
      <c r="K513" s="9" t="s">
        <v>22</v>
      </c>
      <c r="L513" s="9" t="s">
        <v>31</v>
      </c>
      <c r="M513" s="18">
        <v>4372.2</v>
      </c>
      <c r="N513" s="17"/>
    </row>
    <row r="514" spans="1:14" ht="30" customHeight="1" outlineLevel="2" x14ac:dyDescent="0.25">
      <c r="A514" s="6">
        <v>19</v>
      </c>
      <c r="B514" s="6" t="str">
        <f t="shared" si="200"/>
        <v xml:space="preserve"> ЩС-38 (Альбом 34) </v>
      </c>
      <c r="C514" s="7" t="s">
        <v>8</v>
      </c>
      <c r="D514" s="7" t="s">
        <v>8</v>
      </c>
      <c r="E514" s="8" t="s">
        <v>8</v>
      </c>
      <c r="F514" s="18">
        <f ca="1">OFFSET(F514,1,2)</f>
        <v>6000</v>
      </c>
      <c r="G514" s="18">
        <f ca="1">F514</f>
        <v>6000</v>
      </c>
      <c r="H514" s="18">
        <f t="shared" ca="1" si="201"/>
        <v>6000</v>
      </c>
      <c r="I514" s="7">
        <v>1</v>
      </c>
      <c r="J514" s="9" t="s">
        <v>11</v>
      </c>
      <c r="K514" s="7" t="s">
        <v>8</v>
      </c>
      <c r="L514" s="7" t="s">
        <v>31</v>
      </c>
      <c r="M514" s="18">
        <v>6000</v>
      </c>
      <c r="N514" s="17"/>
    </row>
    <row r="515" spans="1:14" ht="30" customHeight="1" outlineLevel="2" x14ac:dyDescent="0.25">
      <c r="A515" s="6">
        <v>20</v>
      </c>
      <c r="B515" s="6" t="str">
        <f t="shared" si="200"/>
        <v xml:space="preserve"> ЩС-38 (Альбом 34) </v>
      </c>
      <c r="C515" s="7" t="s">
        <v>9</v>
      </c>
      <c r="D515" s="7" t="s">
        <v>9</v>
      </c>
      <c r="E515" s="8" t="s">
        <v>9</v>
      </c>
      <c r="F515" s="18">
        <v>1</v>
      </c>
      <c r="G515" s="18">
        <v>100</v>
      </c>
      <c r="H515" s="18">
        <f t="shared" si="201"/>
        <v>6000</v>
      </c>
      <c r="I515" s="7">
        <f>60*F515</f>
        <v>60</v>
      </c>
      <c r="J515" s="9" t="s">
        <v>11</v>
      </c>
      <c r="K515" s="7" t="s">
        <v>9</v>
      </c>
      <c r="L515" s="7" t="s">
        <v>31</v>
      </c>
      <c r="M515" s="18">
        <v>6000</v>
      </c>
      <c r="N515" s="17"/>
    </row>
    <row r="516" spans="1:14" ht="30" customHeight="1" outlineLevel="1" x14ac:dyDescent="0.25">
      <c r="A516" s="6"/>
      <c r="B516" s="6" t="s">
        <v>360</v>
      </c>
      <c r="C516" s="7"/>
      <c r="D516" s="7"/>
      <c r="E516" s="8"/>
      <c r="F516" s="18"/>
      <c r="G516" s="18"/>
      <c r="H516" s="18">
        <f ca="1">SUBTOTAL(9,H510:H515)</f>
        <v>24575.4</v>
      </c>
      <c r="I516" s="7"/>
      <c r="J516" s="9"/>
      <c r="K516" s="7"/>
      <c r="L516" s="7"/>
      <c r="M516" s="18">
        <v>24575.4</v>
      </c>
      <c r="N516" s="17"/>
    </row>
    <row r="517" spans="1:14" ht="30" customHeight="1" outlineLevel="2" x14ac:dyDescent="0.25">
      <c r="A517" s="3">
        <v>13</v>
      </c>
      <c r="B517" s="3" t="str">
        <f>E517</f>
        <v xml:space="preserve"> ЩС-39 (Альбом 34) </v>
      </c>
      <c r="C517" s="3"/>
      <c r="D517" s="14"/>
      <c r="E517" s="3" t="s">
        <v>99</v>
      </c>
      <c r="F517" s="13"/>
      <c r="G517" s="13"/>
      <c r="H517" s="13"/>
      <c r="I517" s="5">
        <v>1</v>
      </c>
      <c r="J517" s="4" t="s">
        <v>6</v>
      </c>
      <c r="K517" s="4" t="s">
        <v>23</v>
      </c>
      <c r="L517" s="4" t="s">
        <v>31</v>
      </c>
      <c r="M517" s="13"/>
      <c r="N517" s="17"/>
    </row>
    <row r="518" spans="1:14" ht="30" customHeight="1" outlineLevel="2" x14ac:dyDescent="0.25">
      <c r="A518" s="6">
        <v>14</v>
      </c>
      <c r="B518" s="6" t="str">
        <f t="shared" ref="B518:B522" si="203">B517</f>
        <v xml:space="preserve"> ЩС-39 (Альбом 34) </v>
      </c>
      <c r="C518" s="7" t="s">
        <v>7</v>
      </c>
      <c r="D518" s="7" t="s">
        <v>270</v>
      </c>
      <c r="E518" s="8" t="s">
        <v>271</v>
      </c>
      <c r="F518" s="18">
        <v>16000</v>
      </c>
      <c r="G518" s="18">
        <f>0.6*F518</f>
        <v>9600</v>
      </c>
      <c r="H518" s="18">
        <f t="shared" ref="H518:H522" si="204">G518*I518</f>
        <v>9600</v>
      </c>
      <c r="I518" s="7">
        <v>1</v>
      </c>
      <c r="J518" s="9" t="s">
        <v>11</v>
      </c>
      <c r="K518" s="9" t="s">
        <v>24</v>
      </c>
      <c r="L518" s="9" t="s">
        <v>31</v>
      </c>
      <c r="M518" s="18">
        <v>9600</v>
      </c>
      <c r="N518" s="17"/>
    </row>
    <row r="519" spans="1:14" ht="30" customHeight="1" outlineLevel="2" x14ac:dyDescent="0.25">
      <c r="A519" s="6">
        <v>15</v>
      </c>
      <c r="B519" s="6" t="str">
        <f t="shared" si="203"/>
        <v xml:space="preserve"> ЩС-39 (Альбом 34) </v>
      </c>
      <c r="C519" s="7" t="s">
        <v>10</v>
      </c>
      <c r="D519" s="7">
        <v>296829</v>
      </c>
      <c r="E519" s="8" t="s">
        <v>44</v>
      </c>
      <c r="F519" s="18">
        <v>2429</v>
      </c>
      <c r="G519" s="18">
        <f t="shared" ref="G519:G520" si="205">F519*0.6</f>
        <v>1457.3999999999999</v>
      </c>
      <c r="H519" s="18">
        <f t="shared" si="204"/>
        <v>1457.3999999999999</v>
      </c>
      <c r="I519" s="7">
        <v>1</v>
      </c>
      <c r="J519" s="9" t="s">
        <v>11</v>
      </c>
      <c r="K519" s="9" t="s">
        <v>22</v>
      </c>
      <c r="L519" s="9" t="s">
        <v>31</v>
      </c>
      <c r="M519" s="18">
        <v>1457.3999999999999</v>
      </c>
      <c r="N519" s="17"/>
    </row>
    <row r="520" spans="1:14" ht="30" customHeight="1" outlineLevel="2" x14ac:dyDescent="0.25">
      <c r="A520" s="6">
        <v>15</v>
      </c>
      <c r="B520" s="6" t="str">
        <f t="shared" si="203"/>
        <v xml:space="preserve"> ЩС-39 (Альбом 34) </v>
      </c>
      <c r="C520" s="7" t="s">
        <v>10</v>
      </c>
      <c r="D520" s="7">
        <v>296827</v>
      </c>
      <c r="E520" s="8" t="s">
        <v>64</v>
      </c>
      <c r="F520" s="18">
        <v>2337</v>
      </c>
      <c r="G520" s="18">
        <f t="shared" si="205"/>
        <v>1402.2</v>
      </c>
      <c r="H520" s="18">
        <f t="shared" si="204"/>
        <v>7011</v>
      </c>
      <c r="I520" s="7">
        <v>5</v>
      </c>
      <c r="J520" s="9" t="s">
        <v>11</v>
      </c>
      <c r="K520" s="9" t="s">
        <v>22</v>
      </c>
      <c r="L520" s="9" t="s">
        <v>31</v>
      </c>
      <c r="M520" s="18">
        <v>7011</v>
      </c>
      <c r="N520" s="17"/>
    </row>
    <row r="521" spans="1:14" ht="30" customHeight="1" outlineLevel="2" x14ac:dyDescent="0.25">
      <c r="A521" s="6">
        <v>19</v>
      </c>
      <c r="B521" s="6" t="str">
        <f t="shared" si="203"/>
        <v xml:space="preserve"> ЩС-39 (Альбом 34) </v>
      </c>
      <c r="C521" s="7" t="s">
        <v>8</v>
      </c>
      <c r="D521" s="7" t="s">
        <v>8</v>
      </c>
      <c r="E521" s="8" t="s">
        <v>8</v>
      </c>
      <c r="F521" s="18">
        <f ca="1">OFFSET(F521,1,2)</f>
        <v>9000</v>
      </c>
      <c r="G521" s="18">
        <f ca="1">F521</f>
        <v>9000</v>
      </c>
      <c r="H521" s="18">
        <f t="shared" ca="1" si="204"/>
        <v>9000</v>
      </c>
      <c r="I521" s="7">
        <v>1</v>
      </c>
      <c r="J521" s="9" t="s">
        <v>11</v>
      </c>
      <c r="K521" s="7" t="s">
        <v>8</v>
      </c>
      <c r="L521" s="7" t="s">
        <v>31</v>
      </c>
      <c r="M521" s="18">
        <v>9000</v>
      </c>
      <c r="N521" s="17"/>
    </row>
    <row r="522" spans="1:14" ht="30" customHeight="1" outlineLevel="2" x14ac:dyDescent="0.25">
      <c r="A522" s="6">
        <v>20</v>
      </c>
      <c r="B522" s="6" t="str">
        <f t="shared" si="203"/>
        <v xml:space="preserve"> ЩС-39 (Альбом 34) </v>
      </c>
      <c r="C522" s="7" t="s">
        <v>9</v>
      </c>
      <c r="D522" s="7" t="s">
        <v>9</v>
      </c>
      <c r="E522" s="8" t="s">
        <v>9</v>
      </c>
      <c r="F522" s="18">
        <v>1.5</v>
      </c>
      <c r="G522" s="18">
        <v>100</v>
      </c>
      <c r="H522" s="18">
        <f t="shared" si="204"/>
        <v>9000</v>
      </c>
      <c r="I522" s="7">
        <f>60*F522</f>
        <v>90</v>
      </c>
      <c r="J522" s="9" t="s">
        <v>11</v>
      </c>
      <c r="K522" s="7" t="s">
        <v>9</v>
      </c>
      <c r="L522" s="7" t="s">
        <v>31</v>
      </c>
      <c r="M522" s="18">
        <v>9000</v>
      </c>
      <c r="N522" s="17"/>
    </row>
    <row r="523" spans="1:14" ht="30" customHeight="1" outlineLevel="1" x14ac:dyDescent="0.25">
      <c r="A523" s="6"/>
      <c r="B523" s="6" t="s">
        <v>361</v>
      </c>
      <c r="C523" s="7"/>
      <c r="D523" s="7"/>
      <c r="E523" s="8"/>
      <c r="F523" s="18"/>
      <c r="G523" s="18"/>
      <c r="H523" s="18">
        <f ca="1">SUBTOTAL(9,H517:H522)</f>
        <v>36068.400000000001</v>
      </c>
      <c r="I523" s="7"/>
      <c r="J523" s="9"/>
      <c r="K523" s="7"/>
      <c r="L523" s="7"/>
      <c r="M523" s="18">
        <v>36068.400000000001</v>
      </c>
      <c r="N523" s="17"/>
    </row>
    <row r="524" spans="1:14" ht="30" customHeight="1" outlineLevel="2" x14ac:dyDescent="0.25">
      <c r="A524" s="3">
        <v>13</v>
      </c>
      <c r="B524" s="3" t="str">
        <f>E524</f>
        <v xml:space="preserve"> ЩС-40 (Альбом 34) </v>
      </c>
      <c r="C524" s="3"/>
      <c r="D524" s="14"/>
      <c r="E524" s="3" t="s">
        <v>100</v>
      </c>
      <c r="F524" s="13"/>
      <c r="G524" s="13"/>
      <c r="H524" s="13"/>
      <c r="I524" s="5">
        <v>1</v>
      </c>
      <c r="J524" s="4" t="s">
        <v>6</v>
      </c>
      <c r="K524" s="4" t="s">
        <v>23</v>
      </c>
      <c r="L524" s="4" t="s">
        <v>31</v>
      </c>
      <c r="M524" s="13"/>
      <c r="N524" s="17"/>
    </row>
    <row r="525" spans="1:14" ht="30" customHeight="1" outlineLevel="2" x14ac:dyDescent="0.25">
      <c r="A525" s="6">
        <v>14</v>
      </c>
      <c r="B525" s="6" t="str">
        <f t="shared" ref="B525:B529" si="206">B524</f>
        <v xml:space="preserve"> ЩС-40 (Альбом 34) </v>
      </c>
      <c r="C525" s="7" t="s">
        <v>7</v>
      </c>
      <c r="D525" s="7" t="s">
        <v>268</v>
      </c>
      <c r="E525" s="8" t="s">
        <v>269</v>
      </c>
      <c r="F525" s="18">
        <v>10500</v>
      </c>
      <c r="G525" s="18">
        <f>0.6*F525</f>
        <v>6300</v>
      </c>
      <c r="H525" s="18">
        <f t="shared" ref="H525:H529" si="207">G525*I525</f>
        <v>6300</v>
      </c>
      <c r="I525" s="7">
        <v>1</v>
      </c>
      <c r="J525" s="9" t="s">
        <v>11</v>
      </c>
      <c r="K525" s="9" t="s">
        <v>24</v>
      </c>
      <c r="L525" s="9" t="s">
        <v>31</v>
      </c>
      <c r="M525" s="18">
        <v>6300</v>
      </c>
      <c r="N525" s="17"/>
    </row>
    <row r="526" spans="1:14" ht="30" customHeight="1" outlineLevel="2" x14ac:dyDescent="0.25">
      <c r="A526" s="6">
        <v>15</v>
      </c>
      <c r="B526" s="6" t="str">
        <f t="shared" si="206"/>
        <v xml:space="preserve"> ЩС-40 (Альбом 34) </v>
      </c>
      <c r="C526" s="7" t="s">
        <v>10</v>
      </c>
      <c r="D526" s="7">
        <v>296829</v>
      </c>
      <c r="E526" s="8" t="s">
        <v>44</v>
      </c>
      <c r="F526" s="18">
        <v>2429</v>
      </c>
      <c r="G526" s="18">
        <f t="shared" ref="G526:G527" si="208">F526*0.6</f>
        <v>1457.3999999999999</v>
      </c>
      <c r="H526" s="18">
        <f t="shared" si="207"/>
        <v>1457.3999999999999</v>
      </c>
      <c r="I526" s="7">
        <v>1</v>
      </c>
      <c r="J526" s="9" t="s">
        <v>11</v>
      </c>
      <c r="K526" s="9" t="s">
        <v>22</v>
      </c>
      <c r="L526" s="9" t="s">
        <v>31</v>
      </c>
      <c r="M526" s="18">
        <v>1457.3999999999999</v>
      </c>
      <c r="N526" s="17"/>
    </row>
    <row r="527" spans="1:14" ht="30" customHeight="1" outlineLevel="2" x14ac:dyDescent="0.25">
      <c r="A527" s="6">
        <v>15</v>
      </c>
      <c r="B527" s="6" t="str">
        <f t="shared" si="206"/>
        <v xml:space="preserve"> ЩС-40 (Альбом 34) </v>
      </c>
      <c r="C527" s="7" t="s">
        <v>10</v>
      </c>
      <c r="D527" s="7">
        <v>296827</v>
      </c>
      <c r="E527" s="8" t="s">
        <v>64</v>
      </c>
      <c r="F527" s="18">
        <v>2337</v>
      </c>
      <c r="G527" s="18">
        <f t="shared" si="208"/>
        <v>1402.2</v>
      </c>
      <c r="H527" s="18">
        <f t="shared" si="207"/>
        <v>1402.2</v>
      </c>
      <c r="I527" s="7">
        <v>1</v>
      </c>
      <c r="J527" s="9" t="s">
        <v>11</v>
      </c>
      <c r="K527" s="9" t="s">
        <v>22</v>
      </c>
      <c r="L527" s="9" t="s">
        <v>31</v>
      </c>
      <c r="M527" s="18">
        <v>1402.2</v>
      </c>
      <c r="N527" s="17"/>
    </row>
    <row r="528" spans="1:14" ht="30" customHeight="1" outlineLevel="2" x14ac:dyDescent="0.25">
      <c r="A528" s="6">
        <v>19</v>
      </c>
      <c r="B528" s="6" t="str">
        <f t="shared" si="206"/>
        <v xml:space="preserve"> ЩС-40 (Альбом 34) </v>
      </c>
      <c r="C528" s="7" t="s">
        <v>8</v>
      </c>
      <c r="D528" s="7" t="s">
        <v>8</v>
      </c>
      <c r="E528" s="8" t="s">
        <v>8</v>
      </c>
      <c r="F528" s="18">
        <f ca="1">OFFSET(F528,1,2)</f>
        <v>6000</v>
      </c>
      <c r="G528" s="18">
        <f ca="1">F528</f>
        <v>6000</v>
      </c>
      <c r="H528" s="18">
        <f t="shared" ca="1" si="207"/>
        <v>6000</v>
      </c>
      <c r="I528" s="7">
        <v>1</v>
      </c>
      <c r="J528" s="9" t="s">
        <v>11</v>
      </c>
      <c r="K528" s="7" t="s">
        <v>8</v>
      </c>
      <c r="L528" s="7" t="s">
        <v>31</v>
      </c>
      <c r="M528" s="18">
        <v>6000</v>
      </c>
      <c r="N528" s="17"/>
    </row>
    <row r="529" spans="1:14" ht="30" customHeight="1" outlineLevel="2" x14ac:dyDescent="0.25">
      <c r="A529" s="6">
        <v>20</v>
      </c>
      <c r="B529" s="6" t="str">
        <f t="shared" si="206"/>
        <v xml:space="preserve"> ЩС-40 (Альбом 34) </v>
      </c>
      <c r="C529" s="7" t="s">
        <v>9</v>
      </c>
      <c r="D529" s="7" t="s">
        <v>9</v>
      </c>
      <c r="E529" s="8" t="s">
        <v>9</v>
      </c>
      <c r="F529" s="18">
        <v>1</v>
      </c>
      <c r="G529" s="18">
        <v>100</v>
      </c>
      <c r="H529" s="18">
        <f t="shared" si="207"/>
        <v>6000</v>
      </c>
      <c r="I529" s="7">
        <f>60*F529</f>
        <v>60</v>
      </c>
      <c r="J529" s="9" t="s">
        <v>11</v>
      </c>
      <c r="K529" s="7" t="s">
        <v>9</v>
      </c>
      <c r="L529" s="7" t="s">
        <v>31</v>
      </c>
      <c r="M529" s="18">
        <v>6000</v>
      </c>
      <c r="N529" s="17"/>
    </row>
    <row r="530" spans="1:14" ht="30" customHeight="1" outlineLevel="1" x14ac:dyDescent="0.25">
      <c r="A530" s="6"/>
      <c r="B530" s="6" t="s">
        <v>362</v>
      </c>
      <c r="C530" s="7"/>
      <c r="D530" s="7"/>
      <c r="E530" s="8"/>
      <c r="F530" s="18"/>
      <c r="G530" s="18"/>
      <c r="H530" s="18">
        <f ca="1">SUBTOTAL(9,H524:H529)</f>
        <v>21159.599999999999</v>
      </c>
      <c r="I530" s="7"/>
      <c r="J530" s="9"/>
      <c r="K530" s="7"/>
      <c r="L530" s="7"/>
      <c r="M530" s="18">
        <v>21159.599999999999</v>
      </c>
      <c r="N530" s="17"/>
    </row>
    <row r="531" spans="1:14" ht="30" customHeight="1" outlineLevel="2" x14ac:dyDescent="0.25">
      <c r="A531" s="3">
        <v>13</v>
      </c>
      <c r="B531" s="3" t="str">
        <f>E531</f>
        <v>Медицинский разделительный трансформатор ТРО-4000М</v>
      </c>
      <c r="C531" s="3"/>
      <c r="D531" s="14"/>
      <c r="E531" s="3" t="s">
        <v>104</v>
      </c>
      <c r="F531" s="13"/>
      <c r="G531" s="13"/>
      <c r="H531" s="13"/>
      <c r="I531" s="5">
        <v>10</v>
      </c>
      <c r="J531" s="4" t="s">
        <v>6</v>
      </c>
      <c r="K531" s="4" t="s">
        <v>23</v>
      </c>
      <c r="L531" s="4" t="s">
        <v>31</v>
      </c>
      <c r="M531" s="13"/>
      <c r="N531" s="17"/>
    </row>
    <row r="532" spans="1:14" ht="30" customHeight="1" outlineLevel="1" x14ac:dyDescent="0.25">
      <c r="A532" s="3"/>
      <c r="B532" s="3" t="s">
        <v>458</v>
      </c>
      <c r="C532" s="3"/>
      <c r="D532" s="14"/>
      <c r="E532" s="3"/>
      <c r="F532" s="13"/>
      <c r="G532" s="13"/>
      <c r="H532" s="13">
        <f>SUBTOTAL(9,H531:H531)</f>
        <v>0</v>
      </c>
      <c r="I532" s="5"/>
      <c r="J532" s="4"/>
      <c r="K532" s="4"/>
      <c r="L532" s="4"/>
      <c r="M532" s="13">
        <v>0</v>
      </c>
      <c r="N532" s="17"/>
    </row>
    <row r="533" spans="1:14" ht="30" customHeight="1" outlineLevel="2" x14ac:dyDescent="0.25">
      <c r="A533" s="3">
        <v>13</v>
      </c>
      <c r="B533" s="3" t="str">
        <f>E533</f>
        <v>ЩР-ТР-1, ЩР-ТР-2, ЩР-ТР-4, ЩР-ТР-5, ЩР-ТР-6,ЩР-ТР-7, ЩР-ТР-8, ЩР-ТР-9, ЩР-ТР-10, ЩР-ТР-11(Альбом 34)</v>
      </c>
      <c r="C533" s="3"/>
      <c r="D533" s="14"/>
      <c r="E533" s="3" t="s">
        <v>215</v>
      </c>
      <c r="F533" s="13"/>
      <c r="G533" s="13"/>
      <c r="H533" s="13"/>
      <c r="I533" s="5">
        <v>10</v>
      </c>
      <c r="J533" s="4" t="s">
        <v>6</v>
      </c>
      <c r="K533" s="4" t="s">
        <v>23</v>
      </c>
      <c r="L533" s="4" t="s">
        <v>31</v>
      </c>
      <c r="M533" s="13"/>
      <c r="N533" s="17"/>
    </row>
    <row r="534" spans="1:14" ht="30" customHeight="1" outlineLevel="2" x14ac:dyDescent="0.25">
      <c r="A534" s="6">
        <v>14</v>
      </c>
      <c r="B534" s="6" t="str">
        <f t="shared" ref="B534:B539" si="209">B533</f>
        <v>ЩР-ТР-1, ЩР-ТР-2, ЩР-ТР-4, ЩР-ТР-5, ЩР-ТР-6,ЩР-ТР-7, ЩР-ТР-8, ЩР-ТР-9, ЩР-ТР-10, ЩР-ТР-11(Альбом 34)</v>
      </c>
      <c r="C534" s="7" t="s">
        <v>7</v>
      </c>
      <c r="D534" s="7" t="s">
        <v>264</v>
      </c>
      <c r="E534" s="19" t="s">
        <v>265</v>
      </c>
      <c r="F534" s="18">
        <v>17500</v>
      </c>
      <c r="G534" s="18">
        <f>0.6*F534</f>
        <v>10500</v>
      </c>
      <c r="H534" s="18">
        <f t="shared" ref="H534:H539" si="210">G534*I534</f>
        <v>10500</v>
      </c>
      <c r="I534" s="7">
        <v>1</v>
      </c>
      <c r="J534" s="9" t="s">
        <v>11</v>
      </c>
      <c r="K534" s="9" t="s">
        <v>24</v>
      </c>
      <c r="L534" s="9" t="s">
        <v>31</v>
      </c>
      <c r="M534" s="18">
        <v>10500</v>
      </c>
      <c r="N534" s="17"/>
    </row>
    <row r="535" spans="1:14" ht="30" customHeight="1" outlineLevel="2" x14ac:dyDescent="0.25">
      <c r="A535" s="6">
        <v>15</v>
      </c>
      <c r="B535" s="6" t="str">
        <f t="shared" si="209"/>
        <v>ЩР-ТР-1, ЩР-ТР-2, ЩР-ТР-4, ЩР-ТР-5, ЩР-ТР-6,ЩР-ТР-7, ЩР-ТР-8, ЩР-ТР-9, ЩР-ТР-10, ЩР-ТР-11(Альбом 34)</v>
      </c>
      <c r="C535" s="7" t="s">
        <v>10</v>
      </c>
      <c r="D535" s="7">
        <v>296713</v>
      </c>
      <c r="E535" s="8" t="s">
        <v>101</v>
      </c>
      <c r="F535" s="18">
        <v>902</v>
      </c>
      <c r="G535" s="18">
        <f t="shared" ref="G535:G537" si="211">F535*0.6</f>
        <v>541.19999999999993</v>
      </c>
      <c r="H535" s="18">
        <f t="shared" si="210"/>
        <v>541.19999999999993</v>
      </c>
      <c r="I535" s="7">
        <v>1</v>
      </c>
      <c r="J535" s="9" t="s">
        <v>11</v>
      </c>
      <c r="K535" s="9" t="s">
        <v>22</v>
      </c>
      <c r="L535" s="9" t="s">
        <v>31</v>
      </c>
      <c r="M535" s="18">
        <v>541.19999999999993</v>
      </c>
      <c r="N535" s="17"/>
    </row>
    <row r="536" spans="1:14" ht="30" customHeight="1" outlineLevel="2" x14ac:dyDescent="0.25">
      <c r="A536" s="6">
        <v>15</v>
      </c>
      <c r="B536" s="6" t="str">
        <f t="shared" si="209"/>
        <v>ЩР-ТР-1, ЩР-ТР-2, ЩР-ТР-4, ЩР-ТР-5, ЩР-ТР-6,ЩР-ТР-7, ЩР-ТР-8, ЩР-ТР-9, ЩР-ТР-10, ЩР-ТР-11(Альбом 34)</v>
      </c>
      <c r="C536" s="7" t="s">
        <v>10</v>
      </c>
      <c r="D536" s="7">
        <v>296791</v>
      </c>
      <c r="E536" s="8" t="s">
        <v>102</v>
      </c>
      <c r="F536" s="18">
        <v>1771</v>
      </c>
      <c r="G536" s="18">
        <f t="shared" si="211"/>
        <v>1062.5999999999999</v>
      </c>
      <c r="H536" s="18">
        <f t="shared" si="210"/>
        <v>1062.5999999999999</v>
      </c>
      <c r="I536" s="7">
        <v>1</v>
      </c>
      <c r="J536" s="9" t="s">
        <v>11</v>
      </c>
      <c r="K536" s="9" t="s">
        <v>22</v>
      </c>
      <c r="L536" s="9" t="s">
        <v>31</v>
      </c>
      <c r="M536" s="18">
        <v>1062.5999999999999</v>
      </c>
      <c r="N536" s="17"/>
    </row>
    <row r="537" spans="1:14" ht="30" customHeight="1" outlineLevel="2" x14ac:dyDescent="0.25">
      <c r="A537" s="6">
        <v>15</v>
      </c>
      <c r="B537" s="6" t="str">
        <f t="shared" si="209"/>
        <v>ЩР-ТР-1, ЩР-ТР-2, ЩР-ТР-4, ЩР-ТР-5, ЩР-ТР-6,ЩР-ТР-7, ЩР-ТР-8, ЩР-ТР-9, ЩР-ТР-10, ЩР-ТР-11(Альбом 34)</v>
      </c>
      <c r="C537" s="7" t="s">
        <v>10</v>
      </c>
      <c r="D537" s="7">
        <v>296790</v>
      </c>
      <c r="E537" s="8" t="s">
        <v>103</v>
      </c>
      <c r="F537" s="18">
        <v>1656</v>
      </c>
      <c r="G537" s="18">
        <f t="shared" si="211"/>
        <v>993.59999999999991</v>
      </c>
      <c r="H537" s="18">
        <f t="shared" si="210"/>
        <v>1987.1999999999998</v>
      </c>
      <c r="I537" s="7">
        <v>2</v>
      </c>
      <c r="J537" s="9" t="s">
        <v>11</v>
      </c>
      <c r="K537" s="9" t="s">
        <v>22</v>
      </c>
      <c r="L537" s="9" t="s">
        <v>31</v>
      </c>
      <c r="M537" s="18">
        <v>1987.1999999999998</v>
      </c>
      <c r="N537" s="17"/>
    </row>
    <row r="538" spans="1:14" ht="30" customHeight="1" outlineLevel="2" x14ac:dyDescent="0.25">
      <c r="A538" s="6">
        <v>19</v>
      </c>
      <c r="B538" s="6" t="str">
        <f t="shared" si="209"/>
        <v>ЩР-ТР-1, ЩР-ТР-2, ЩР-ТР-4, ЩР-ТР-5, ЩР-ТР-6,ЩР-ТР-7, ЩР-ТР-8, ЩР-ТР-9, ЩР-ТР-10, ЩР-ТР-11(Альбом 34)</v>
      </c>
      <c r="C538" s="7" t="s">
        <v>8</v>
      </c>
      <c r="D538" s="7" t="s">
        <v>8</v>
      </c>
      <c r="E538" s="8" t="s">
        <v>8</v>
      </c>
      <c r="F538" s="18">
        <f ca="1">OFFSET(F538,1,2)</f>
        <v>9000</v>
      </c>
      <c r="G538" s="18">
        <f ca="1">F538</f>
        <v>9000</v>
      </c>
      <c r="H538" s="18">
        <f t="shared" ca="1" si="210"/>
        <v>9000</v>
      </c>
      <c r="I538" s="7">
        <v>1</v>
      </c>
      <c r="J538" s="9" t="s">
        <v>11</v>
      </c>
      <c r="K538" s="7" t="s">
        <v>8</v>
      </c>
      <c r="L538" s="7" t="s">
        <v>31</v>
      </c>
      <c r="M538" s="18">
        <v>9000</v>
      </c>
      <c r="N538" s="17"/>
    </row>
    <row r="539" spans="1:14" ht="30" customHeight="1" outlineLevel="2" x14ac:dyDescent="0.25">
      <c r="A539" s="6">
        <v>20</v>
      </c>
      <c r="B539" s="6" t="str">
        <f t="shared" si="209"/>
        <v>ЩР-ТР-1, ЩР-ТР-2, ЩР-ТР-4, ЩР-ТР-5, ЩР-ТР-6,ЩР-ТР-7, ЩР-ТР-8, ЩР-ТР-9, ЩР-ТР-10, ЩР-ТР-11(Альбом 34)</v>
      </c>
      <c r="C539" s="7" t="s">
        <v>9</v>
      </c>
      <c r="D539" s="7" t="s">
        <v>9</v>
      </c>
      <c r="E539" s="8" t="s">
        <v>9</v>
      </c>
      <c r="F539" s="18">
        <v>1.5</v>
      </c>
      <c r="G539" s="18">
        <v>100</v>
      </c>
      <c r="H539" s="18">
        <f t="shared" si="210"/>
        <v>9000</v>
      </c>
      <c r="I539" s="7">
        <f>60*F539</f>
        <v>90</v>
      </c>
      <c r="J539" s="9" t="s">
        <v>11</v>
      </c>
      <c r="K539" s="7" t="s">
        <v>9</v>
      </c>
      <c r="L539" s="7" t="s">
        <v>31</v>
      </c>
      <c r="M539" s="18">
        <v>9000</v>
      </c>
      <c r="N539" s="17"/>
    </row>
    <row r="540" spans="1:14" ht="30" customHeight="1" outlineLevel="1" x14ac:dyDescent="0.25">
      <c r="A540" s="6"/>
      <c r="B540" s="6" t="s">
        <v>363</v>
      </c>
      <c r="C540" s="7"/>
      <c r="D540" s="7"/>
      <c r="E540" s="8"/>
      <c r="F540" s="18"/>
      <c r="G540" s="18"/>
      <c r="H540" s="18">
        <f ca="1">SUBTOTAL(9,H533:H539)</f>
        <v>32091</v>
      </c>
      <c r="I540" s="7"/>
      <c r="J540" s="9"/>
      <c r="K540" s="7"/>
      <c r="L540" s="7"/>
      <c r="M540" s="18">
        <v>32091</v>
      </c>
      <c r="N540" s="17"/>
    </row>
    <row r="541" spans="1:14" ht="30" customHeight="1" outlineLevel="2" x14ac:dyDescent="0.25">
      <c r="A541" s="3">
        <v>13</v>
      </c>
      <c r="B541" s="3" t="str">
        <f>E541</f>
        <v>Медицинский разделительный трансформатор ТРО-4000М</v>
      </c>
      <c r="C541" s="3"/>
      <c r="D541" s="14"/>
      <c r="E541" s="3" t="s">
        <v>104</v>
      </c>
      <c r="F541" s="13"/>
      <c r="G541" s="13"/>
      <c r="H541" s="13"/>
      <c r="I541" s="5">
        <v>1</v>
      </c>
      <c r="J541" s="4" t="s">
        <v>6</v>
      </c>
      <c r="K541" s="4" t="s">
        <v>23</v>
      </c>
      <c r="L541" s="4" t="s">
        <v>31</v>
      </c>
      <c r="M541" s="13"/>
      <c r="N541" s="17"/>
    </row>
    <row r="542" spans="1:14" ht="30" customHeight="1" outlineLevel="1" x14ac:dyDescent="0.25">
      <c r="A542" s="3"/>
      <c r="B542" s="3" t="s">
        <v>458</v>
      </c>
      <c r="C542" s="3"/>
      <c r="D542" s="14"/>
      <c r="E542" s="3"/>
      <c r="F542" s="13"/>
      <c r="G542" s="13"/>
      <c r="H542" s="13">
        <f>SUBTOTAL(9,H541:H541)</f>
        <v>0</v>
      </c>
      <c r="I542" s="5"/>
      <c r="J542" s="4"/>
      <c r="K542" s="4"/>
      <c r="L542" s="4"/>
      <c r="M542" s="13">
        <v>0</v>
      </c>
      <c r="N542" s="17"/>
    </row>
    <row r="543" spans="1:14" ht="30" customHeight="1" outlineLevel="2" x14ac:dyDescent="0.25">
      <c r="A543" s="3">
        <v>13</v>
      </c>
      <c r="B543" s="3" t="str">
        <f>E543</f>
        <v>ЩР-ТР-3 (Альбом 34)</v>
      </c>
      <c r="C543" s="3"/>
      <c r="D543" s="14"/>
      <c r="E543" s="3" t="s">
        <v>216</v>
      </c>
      <c r="F543" s="13"/>
      <c r="G543" s="13"/>
      <c r="H543" s="13"/>
      <c r="I543" s="5">
        <v>1</v>
      </c>
      <c r="J543" s="4" t="s">
        <v>6</v>
      </c>
      <c r="K543" s="4" t="s">
        <v>23</v>
      </c>
      <c r="L543" s="4" t="s">
        <v>31</v>
      </c>
      <c r="M543" s="13"/>
      <c r="N543" s="17"/>
    </row>
    <row r="544" spans="1:14" ht="30" customHeight="1" outlineLevel="2" x14ac:dyDescent="0.25">
      <c r="A544" s="6">
        <v>14</v>
      </c>
      <c r="B544" s="6" t="str">
        <f t="shared" ref="B544:B549" si="212">B543</f>
        <v>ЩР-ТР-3 (Альбом 34)</v>
      </c>
      <c r="C544" s="7" t="s">
        <v>7</v>
      </c>
      <c r="D544" s="7" t="s">
        <v>264</v>
      </c>
      <c r="E544" s="19" t="s">
        <v>265</v>
      </c>
      <c r="F544" s="18">
        <v>17500</v>
      </c>
      <c r="G544" s="18">
        <f>0.6*F544</f>
        <v>10500</v>
      </c>
      <c r="H544" s="18">
        <f t="shared" ref="H544:H549" si="213">G544*I544</f>
        <v>10500</v>
      </c>
      <c r="I544" s="7">
        <v>1</v>
      </c>
      <c r="J544" s="9" t="s">
        <v>11</v>
      </c>
      <c r="K544" s="9" t="s">
        <v>24</v>
      </c>
      <c r="L544" s="9" t="s">
        <v>31</v>
      </c>
      <c r="M544" s="18">
        <v>10500</v>
      </c>
      <c r="N544" s="17"/>
    </row>
    <row r="545" spans="1:14" ht="30" customHeight="1" outlineLevel="2" x14ac:dyDescent="0.25">
      <c r="A545" s="6">
        <v>15</v>
      </c>
      <c r="B545" s="6" t="str">
        <f t="shared" si="212"/>
        <v>ЩР-ТР-3 (Альбом 34)</v>
      </c>
      <c r="C545" s="7" t="s">
        <v>10</v>
      </c>
      <c r="D545" s="7">
        <v>296713</v>
      </c>
      <c r="E545" s="8" t="s">
        <v>101</v>
      </c>
      <c r="F545" s="18">
        <v>902</v>
      </c>
      <c r="G545" s="18">
        <f t="shared" ref="G545:G547" si="214">F545*0.6</f>
        <v>541.19999999999993</v>
      </c>
      <c r="H545" s="18">
        <f t="shared" si="213"/>
        <v>541.19999999999993</v>
      </c>
      <c r="I545" s="7">
        <v>1</v>
      </c>
      <c r="J545" s="9" t="s">
        <v>11</v>
      </c>
      <c r="K545" s="9" t="s">
        <v>22</v>
      </c>
      <c r="L545" s="9" t="s">
        <v>31</v>
      </c>
      <c r="M545" s="18">
        <v>541.19999999999993</v>
      </c>
      <c r="N545" s="17"/>
    </row>
    <row r="546" spans="1:14" ht="30" customHeight="1" outlineLevel="2" x14ac:dyDescent="0.25">
      <c r="A546" s="6">
        <v>15</v>
      </c>
      <c r="B546" s="6" t="str">
        <f t="shared" si="212"/>
        <v>ЩР-ТР-3 (Альбом 34)</v>
      </c>
      <c r="C546" s="7" t="s">
        <v>10</v>
      </c>
      <c r="D546" s="7">
        <v>296791</v>
      </c>
      <c r="E546" s="8" t="s">
        <v>102</v>
      </c>
      <c r="F546" s="18">
        <v>1771</v>
      </c>
      <c r="G546" s="18">
        <f t="shared" si="214"/>
        <v>1062.5999999999999</v>
      </c>
      <c r="H546" s="18">
        <f t="shared" si="213"/>
        <v>1062.5999999999999</v>
      </c>
      <c r="I546" s="7">
        <v>1</v>
      </c>
      <c r="J546" s="9" t="s">
        <v>11</v>
      </c>
      <c r="K546" s="9" t="s">
        <v>22</v>
      </c>
      <c r="L546" s="9" t="s">
        <v>31</v>
      </c>
      <c r="M546" s="18">
        <v>1062.5999999999999</v>
      </c>
      <c r="N546" s="17"/>
    </row>
    <row r="547" spans="1:14" ht="30" customHeight="1" outlineLevel="2" x14ac:dyDescent="0.25">
      <c r="A547" s="6">
        <v>15</v>
      </c>
      <c r="B547" s="6" t="str">
        <f t="shared" si="212"/>
        <v>ЩР-ТР-3 (Альбом 34)</v>
      </c>
      <c r="C547" s="7" t="s">
        <v>10</v>
      </c>
      <c r="D547" s="7">
        <v>296790</v>
      </c>
      <c r="E547" s="8" t="s">
        <v>103</v>
      </c>
      <c r="F547" s="18">
        <v>1656</v>
      </c>
      <c r="G547" s="18">
        <f t="shared" si="214"/>
        <v>993.59999999999991</v>
      </c>
      <c r="H547" s="18">
        <f t="shared" si="213"/>
        <v>3974.3999999999996</v>
      </c>
      <c r="I547" s="7">
        <v>4</v>
      </c>
      <c r="J547" s="9" t="s">
        <v>11</v>
      </c>
      <c r="K547" s="9" t="s">
        <v>22</v>
      </c>
      <c r="L547" s="9" t="s">
        <v>31</v>
      </c>
      <c r="M547" s="18">
        <v>3974.3999999999996</v>
      </c>
      <c r="N547" s="17"/>
    </row>
    <row r="548" spans="1:14" ht="30" customHeight="1" outlineLevel="2" x14ac:dyDescent="0.25">
      <c r="A548" s="6">
        <v>19</v>
      </c>
      <c r="B548" s="6" t="str">
        <f t="shared" si="212"/>
        <v>ЩР-ТР-3 (Альбом 34)</v>
      </c>
      <c r="C548" s="7" t="s">
        <v>8</v>
      </c>
      <c r="D548" s="7" t="s">
        <v>8</v>
      </c>
      <c r="E548" s="8" t="s">
        <v>8</v>
      </c>
      <c r="F548" s="18">
        <f ca="1">OFFSET(F548,1,2)</f>
        <v>9000</v>
      </c>
      <c r="G548" s="18">
        <f ca="1">F548</f>
        <v>9000</v>
      </c>
      <c r="H548" s="18">
        <f t="shared" ca="1" si="213"/>
        <v>9000</v>
      </c>
      <c r="I548" s="7">
        <v>1</v>
      </c>
      <c r="J548" s="9" t="s">
        <v>11</v>
      </c>
      <c r="K548" s="7" t="s">
        <v>8</v>
      </c>
      <c r="L548" s="7" t="s">
        <v>31</v>
      </c>
      <c r="M548" s="18">
        <v>9000</v>
      </c>
      <c r="N548" s="17"/>
    </row>
    <row r="549" spans="1:14" ht="30" customHeight="1" outlineLevel="2" x14ac:dyDescent="0.25">
      <c r="A549" s="6">
        <v>20</v>
      </c>
      <c r="B549" s="6" t="str">
        <f t="shared" si="212"/>
        <v>ЩР-ТР-3 (Альбом 34)</v>
      </c>
      <c r="C549" s="7" t="s">
        <v>9</v>
      </c>
      <c r="D549" s="7" t="s">
        <v>9</v>
      </c>
      <c r="E549" s="8" t="s">
        <v>9</v>
      </c>
      <c r="F549" s="18">
        <v>1.5</v>
      </c>
      <c r="G549" s="18">
        <v>100</v>
      </c>
      <c r="H549" s="18">
        <f t="shared" si="213"/>
        <v>9000</v>
      </c>
      <c r="I549" s="7">
        <f>60*F549</f>
        <v>90</v>
      </c>
      <c r="J549" s="9" t="s">
        <v>11</v>
      </c>
      <c r="K549" s="7" t="s">
        <v>9</v>
      </c>
      <c r="L549" s="7" t="s">
        <v>31</v>
      </c>
      <c r="M549" s="18">
        <v>9000</v>
      </c>
      <c r="N549" s="17"/>
    </row>
    <row r="550" spans="1:14" ht="30" customHeight="1" outlineLevel="1" x14ac:dyDescent="0.25">
      <c r="A550" s="6"/>
      <c r="B550" s="6" t="s">
        <v>364</v>
      </c>
      <c r="C550" s="7"/>
      <c r="D550" s="7"/>
      <c r="E550" s="8"/>
      <c r="F550" s="18"/>
      <c r="G550" s="18"/>
      <c r="H550" s="18">
        <f ca="1">SUBTOTAL(9,H543:H549)</f>
        <v>34078.199999999997</v>
      </c>
      <c r="I550" s="7"/>
      <c r="J550" s="9"/>
      <c r="K550" s="7"/>
      <c r="L550" s="7"/>
      <c r="M550" s="18">
        <v>34078.199999999997</v>
      </c>
      <c r="N550" s="17"/>
    </row>
    <row r="551" spans="1:14" ht="30" customHeight="1" outlineLevel="2" x14ac:dyDescent="0.25">
      <c r="A551" s="3">
        <v>13</v>
      </c>
      <c r="B551" s="3" t="str">
        <f>E551</f>
        <v>ЩРС-КЧП-1 (Альбом 34)</v>
      </c>
      <c r="C551" s="3"/>
      <c r="D551" s="14"/>
      <c r="E551" s="3" t="s">
        <v>217</v>
      </c>
      <c r="F551" s="13"/>
      <c r="G551" s="13"/>
      <c r="H551" s="13"/>
      <c r="I551" s="5">
        <v>1</v>
      </c>
      <c r="J551" s="4" t="s">
        <v>6</v>
      </c>
      <c r="K551" s="4" t="s">
        <v>23</v>
      </c>
      <c r="L551" s="4" t="s">
        <v>31</v>
      </c>
      <c r="M551" s="13"/>
      <c r="N551" s="17"/>
    </row>
    <row r="552" spans="1:14" ht="30" customHeight="1" outlineLevel="2" x14ac:dyDescent="0.25">
      <c r="A552" s="6">
        <v>14</v>
      </c>
      <c r="B552" s="6" t="str">
        <f t="shared" ref="B552:B557" si="215">B551</f>
        <v>ЩРС-КЧП-1 (Альбом 34)</v>
      </c>
      <c r="C552" s="7" t="s">
        <v>7</v>
      </c>
      <c r="D552" s="7" t="s">
        <v>264</v>
      </c>
      <c r="E552" s="19" t="s">
        <v>265</v>
      </c>
      <c r="F552" s="18">
        <v>17500</v>
      </c>
      <c r="G552" s="18">
        <f>0.6*F552</f>
        <v>10500</v>
      </c>
      <c r="H552" s="18">
        <f t="shared" ref="H552:H557" si="216">G552*I552</f>
        <v>10500</v>
      </c>
      <c r="I552" s="7">
        <v>1</v>
      </c>
      <c r="J552" s="9" t="s">
        <v>11</v>
      </c>
      <c r="K552" s="9" t="s">
        <v>24</v>
      </c>
      <c r="L552" s="9" t="s">
        <v>31</v>
      </c>
      <c r="M552" s="18">
        <v>10500</v>
      </c>
      <c r="N552" s="17"/>
    </row>
    <row r="553" spans="1:14" ht="30" customHeight="1" outlineLevel="2" x14ac:dyDescent="0.25">
      <c r="A553" s="6">
        <v>15</v>
      </c>
      <c r="B553" s="6" t="str">
        <f t="shared" si="215"/>
        <v>ЩРС-КЧП-1 (Альбом 34)</v>
      </c>
      <c r="C553" s="7" t="s">
        <v>10</v>
      </c>
      <c r="D553" s="7">
        <v>296829</v>
      </c>
      <c r="E553" s="8" t="s">
        <v>44</v>
      </c>
      <c r="F553" s="18">
        <v>2429</v>
      </c>
      <c r="G553" s="18">
        <f t="shared" ref="G553:G555" si="217">F553*0.6</f>
        <v>1457.3999999999999</v>
      </c>
      <c r="H553" s="18">
        <f t="shared" si="216"/>
        <v>1457.3999999999999</v>
      </c>
      <c r="I553" s="7">
        <v>1</v>
      </c>
      <c r="J553" s="9" t="s">
        <v>11</v>
      </c>
      <c r="K553" s="9" t="s">
        <v>22</v>
      </c>
      <c r="L553" s="9" t="s">
        <v>31</v>
      </c>
      <c r="M553" s="18">
        <v>1457.3999999999999</v>
      </c>
      <c r="N553" s="17"/>
    </row>
    <row r="554" spans="1:14" ht="30" customHeight="1" outlineLevel="2" x14ac:dyDescent="0.25">
      <c r="A554" s="6">
        <v>15</v>
      </c>
      <c r="B554" s="6" t="str">
        <f t="shared" si="215"/>
        <v>ЩРС-КЧП-1 (Альбом 34)</v>
      </c>
      <c r="C554" s="7" t="s">
        <v>10</v>
      </c>
      <c r="D554" s="7">
        <v>296827</v>
      </c>
      <c r="E554" s="8" t="s">
        <v>64</v>
      </c>
      <c r="F554" s="18">
        <v>2337</v>
      </c>
      <c r="G554" s="18">
        <f t="shared" si="217"/>
        <v>1402.2</v>
      </c>
      <c r="H554" s="18">
        <f t="shared" si="216"/>
        <v>2804.4</v>
      </c>
      <c r="I554" s="7">
        <v>2</v>
      </c>
      <c r="J554" s="9" t="s">
        <v>11</v>
      </c>
      <c r="K554" s="9" t="s">
        <v>22</v>
      </c>
      <c r="L554" s="9" t="s">
        <v>31</v>
      </c>
      <c r="M554" s="18">
        <v>2804.4</v>
      </c>
      <c r="N554" s="17"/>
    </row>
    <row r="555" spans="1:14" ht="30" customHeight="1" outlineLevel="2" x14ac:dyDescent="0.25">
      <c r="A555" s="6">
        <v>15</v>
      </c>
      <c r="B555" s="6" t="str">
        <f t="shared" si="215"/>
        <v>ЩРС-КЧП-1 (Альбом 34)</v>
      </c>
      <c r="C555" s="7" t="s">
        <v>10</v>
      </c>
      <c r="D555" s="7">
        <v>296788</v>
      </c>
      <c r="E555" s="8" t="s">
        <v>105</v>
      </c>
      <c r="F555" s="18">
        <v>1589</v>
      </c>
      <c r="G555" s="18">
        <f t="shared" si="217"/>
        <v>953.4</v>
      </c>
      <c r="H555" s="18">
        <f t="shared" si="216"/>
        <v>3813.6</v>
      </c>
      <c r="I555" s="7">
        <v>4</v>
      </c>
      <c r="J555" s="9" t="s">
        <v>11</v>
      </c>
      <c r="K555" s="9" t="s">
        <v>22</v>
      </c>
      <c r="L555" s="9" t="s">
        <v>31</v>
      </c>
      <c r="M555" s="18">
        <v>3813.6</v>
      </c>
      <c r="N555" s="17"/>
    </row>
    <row r="556" spans="1:14" ht="30" customHeight="1" outlineLevel="2" x14ac:dyDescent="0.25">
      <c r="A556" s="6">
        <v>19</v>
      </c>
      <c r="B556" s="6" t="str">
        <f t="shared" si="215"/>
        <v>ЩРС-КЧП-1 (Альбом 34)</v>
      </c>
      <c r="C556" s="7" t="s">
        <v>8</v>
      </c>
      <c r="D556" s="7" t="s">
        <v>8</v>
      </c>
      <c r="E556" s="8" t="s">
        <v>8</v>
      </c>
      <c r="F556" s="18">
        <f ca="1">OFFSET(F556,1,2)</f>
        <v>9000</v>
      </c>
      <c r="G556" s="18">
        <f ca="1">F556</f>
        <v>9000</v>
      </c>
      <c r="H556" s="18">
        <f t="shared" ca="1" si="216"/>
        <v>9000</v>
      </c>
      <c r="I556" s="7">
        <v>1</v>
      </c>
      <c r="J556" s="9" t="s">
        <v>11</v>
      </c>
      <c r="K556" s="7" t="s">
        <v>8</v>
      </c>
      <c r="L556" s="7" t="s">
        <v>31</v>
      </c>
      <c r="M556" s="18">
        <v>9000</v>
      </c>
      <c r="N556" s="17"/>
    </row>
    <row r="557" spans="1:14" ht="30" customHeight="1" outlineLevel="2" x14ac:dyDescent="0.25">
      <c r="A557" s="6">
        <v>20</v>
      </c>
      <c r="B557" s="6" t="str">
        <f t="shared" si="215"/>
        <v>ЩРС-КЧП-1 (Альбом 34)</v>
      </c>
      <c r="C557" s="7" t="s">
        <v>9</v>
      </c>
      <c r="D557" s="7" t="s">
        <v>9</v>
      </c>
      <c r="E557" s="8" t="s">
        <v>9</v>
      </c>
      <c r="F557" s="18">
        <v>1.5</v>
      </c>
      <c r="G557" s="18">
        <v>100</v>
      </c>
      <c r="H557" s="18">
        <f t="shared" si="216"/>
        <v>9000</v>
      </c>
      <c r="I557" s="7">
        <f>60*F557</f>
        <v>90</v>
      </c>
      <c r="J557" s="9" t="s">
        <v>11</v>
      </c>
      <c r="K557" s="7" t="s">
        <v>9</v>
      </c>
      <c r="L557" s="7" t="s">
        <v>31</v>
      </c>
      <c r="M557" s="18">
        <v>9000</v>
      </c>
      <c r="N557" s="17"/>
    </row>
    <row r="558" spans="1:14" ht="30" customHeight="1" outlineLevel="1" x14ac:dyDescent="0.25">
      <c r="A558" s="6"/>
      <c r="B558" s="6" t="s">
        <v>365</v>
      </c>
      <c r="C558" s="7"/>
      <c r="D558" s="7"/>
      <c r="E558" s="8"/>
      <c r="F558" s="18"/>
      <c r="G558" s="18"/>
      <c r="H558" s="18">
        <f ca="1">SUBTOTAL(9,H551:H557)</f>
        <v>36575.399999999994</v>
      </c>
      <c r="I558" s="7"/>
      <c r="J558" s="9"/>
      <c r="K558" s="7"/>
      <c r="L558" s="7"/>
      <c r="M558" s="18">
        <v>36575.399999999994</v>
      </c>
      <c r="N558" s="17"/>
    </row>
    <row r="559" spans="1:14" ht="30" customHeight="1" outlineLevel="2" x14ac:dyDescent="0.25">
      <c r="A559" s="3">
        <v>13</v>
      </c>
      <c r="B559" s="3" t="str">
        <f>E559</f>
        <v>ЩРС-КЧП-2 (Альбом 34)</v>
      </c>
      <c r="C559" s="3"/>
      <c r="D559" s="14"/>
      <c r="E559" s="3" t="s">
        <v>218</v>
      </c>
      <c r="F559" s="13"/>
      <c r="G559" s="13"/>
      <c r="H559" s="13"/>
      <c r="I559" s="5">
        <v>1</v>
      </c>
      <c r="J559" s="4" t="s">
        <v>6</v>
      </c>
      <c r="K559" s="4" t="s">
        <v>23</v>
      </c>
      <c r="L559" s="4" t="s">
        <v>31</v>
      </c>
      <c r="M559" s="13"/>
      <c r="N559" s="17"/>
    </row>
    <row r="560" spans="1:14" ht="30" customHeight="1" outlineLevel="2" x14ac:dyDescent="0.25">
      <c r="A560" s="6">
        <v>14</v>
      </c>
      <c r="B560" s="6" t="str">
        <f t="shared" ref="B560:B565" si="218">B559</f>
        <v>ЩРС-КЧП-2 (Альбом 34)</v>
      </c>
      <c r="C560" s="7" t="s">
        <v>7</v>
      </c>
      <c r="D560" s="7" t="s">
        <v>264</v>
      </c>
      <c r="E560" s="19" t="s">
        <v>265</v>
      </c>
      <c r="F560" s="18">
        <v>17500</v>
      </c>
      <c r="G560" s="18">
        <f>0.6*F560</f>
        <v>10500</v>
      </c>
      <c r="H560" s="18">
        <f t="shared" ref="H560:H565" si="219">G560*I560</f>
        <v>10500</v>
      </c>
      <c r="I560" s="7">
        <v>1</v>
      </c>
      <c r="J560" s="9" t="s">
        <v>11</v>
      </c>
      <c r="K560" s="9" t="s">
        <v>24</v>
      </c>
      <c r="L560" s="9" t="s">
        <v>31</v>
      </c>
      <c r="M560" s="18">
        <v>10500</v>
      </c>
      <c r="N560" s="17"/>
    </row>
    <row r="561" spans="1:14" ht="30" customHeight="1" outlineLevel="2" x14ac:dyDescent="0.25">
      <c r="A561" s="6">
        <v>15</v>
      </c>
      <c r="B561" s="6" t="str">
        <f t="shared" si="218"/>
        <v>ЩРС-КЧП-2 (Альбом 34)</v>
      </c>
      <c r="C561" s="7" t="s">
        <v>10</v>
      </c>
      <c r="D561" s="7">
        <v>296830</v>
      </c>
      <c r="E561" s="8" t="s">
        <v>107</v>
      </c>
      <c r="F561" s="18">
        <v>2606</v>
      </c>
      <c r="G561" s="18">
        <f t="shared" ref="G561:G563" si="220">F561*0.6</f>
        <v>1563.6</v>
      </c>
      <c r="H561" s="18">
        <f t="shared" si="219"/>
        <v>1563.6</v>
      </c>
      <c r="I561" s="7">
        <v>1</v>
      </c>
      <c r="J561" s="9" t="s">
        <v>11</v>
      </c>
      <c r="K561" s="9" t="s">
        <v>22</v>
      </c>
      <c r="L561" s="9" t="s">
        <v>31</v>
      </c>
      <c r="M561" s="18">
        <v>1563.6</v>
      </c>
      <c r="N561" s="17"/>
    </row>
    <row r="562" spans="1:14" ht="30" customHeight="1" outlineLevel="2" x14ac:dyDescent="0.25">
      <c r="A562" s="6">
        <v>15</v>
      </c>
      <c r="B562" s="6" t="str">
        <f t="shared" si="218"/>
        <v>ЩРС-КЧП-2 (Альбом 34)</v>
      </c>
      <c r="C562" s="7" t="s">
        <v>10</v>
      </c>
      <c r="D562" s="7">
        <v>296827</v>
      </c>
      <c r="E562" s="8" t="s">
        <v>64</v>
      </c>
      <c r="F562" s="18">
        <v>2337</v>
      </c>
      <c r="G562" s="18">
        <f t="shared" si="220"/>
        <v>1402.2</v>
      </c>
      <c r="H562" s="18">
        <f t="shared" si="219"/>
        <v>4206.6000000000004</v>
      </c>
      <c r="I562" s="7">
        <v>3</v>
      </c>
      <c r="J562" s="9" t="s">
        <v>11</v>
      </c>
      <c r="K562" s="9" t="s">
        <v>22</v>
      </c>
      <c r="L562" s="9" t="s">
        <v>31</v>
      </c>
      <c r="M562" s="18">
        <v>4206.6000000000004</v>
      </c>
      <c r="N562" s="17"/>
    </row>
    <row r="563" spans="1:14" ht="30" customHeight="1" outlineLevel="2" x14ac:dyDescent="0.25">
      <c r="A563" s="6">
        <v>15</v>
      </c>
      <c r="B563" s="6" t="str">
        <f t="shared" si="218"/>
        <v>ЩРС-КЧП-2 (Альбом 34)</v>
      </c>
      <c r="C563" s="7" t="s">
        <v>10</v>
      </c>
      <c r="D563" s="7">
        <v>296710</v>
      </c>
      <c r="E563" s="8" t="s">
        <v>106</v>
      </c>
      <c r="F563" s="18">
        <v>783</v>
      </c>
      <c r="G563" s="18">
        <f t="shared" si="220"/>
        <v>469.79999999999995</v>
      </c>
      <c r="H563" s="18">
        <f t="shared" si="219"/>
        <v>939.59999999999991</v>
      </c>
      <c r="I563" s="7">
        <v>2</v>
      </c>
      <c r="J563" s="9" t="s">
        <v>11</v>
      </c>
      <c r="K563" s="9" t="s">
        <v>22</v>
      </c>
      <c r="L563" s="9" t="s">
        <v>31</v>
      </c>
      <c r="M563" s="18">
        <v>939.59999999999991</v>
      </c>
      <c r="N563" s="17"/>
    </row>
    <row r="564" spans="1:14" ht="30" customHeight="1" outlineLevel="2" x14ac:dyDescent="0.25">
      <c r="A564" s="6">
        <v>19</v>
      </c>
      <c r="B564" s="6" t="str">
        <f t="shared" si="218"/>
        <v>ЩРС-КЧП-2 (Альбом 34)</v>
      </c>
      <c r="C564" s="7" t="s">
        <v>8</v>
      </c>
      <c r="D564" s="7" t="s">
        <v>8</v>
      </c>
      <c r="E564" s="8" t="s">
        <v>8</v>
      </c>
      <c r="F564" s="18">
        <f ca="1">OFFSET(F564,1,2)</f>
        <v>9000</v>
      </c>
      <c r="G564" s="18">
        <f ca="1">F564</f>
        <v>9000</v>
      </c>
      <c r="H564" s="18">
        <f t="shared" ca="1" si="219"/>
        <v>9000</v>
      </c>
      <c r="I564" s="7">
        <v>1</v>
      </c>
      <c r="J564" s="9" t="s">
        <v>11</v>
      </c>
      <c r="K564" s="7" t="s">
        <v>8</v>
      </c>
      <c r="L564" s="7" t="s">
        <v>31</v>
      </c>
      <c r="M564" s="18">
        <v>9000</v>
      </c>
      <c r="N564" s="17"/>
    </row>
    <row r="565" spans="1:14" ht="30" customHeight="1" outlineLevel="2" x14ac:dyDescent="0.25">
      <c r="A565" s="6">
        <v>20</v>
      </c>
      <c r="B565" s="6" t="str">
        <f t="shared" si="218"/>
        <v>ЩРС-КЧП-2 (Альбом 34)</v>
      </c>
      <c r="C565" s="7" t="s">
        <v>9</v>
      </c>
      <c r="D565" s="7" t="s">
        <v>9</v>
      </c>
      <c r="E565" s="8" t="s">
        <v>9</v>
      </c>
      <c r="F565" s="18">
        <v>1.5</v>
      </c>
      <c r="G565" s="18">
        <v>100</v>
      </c>
      <c r="H565" s="18">
        <f t="shared" si="219"/>
        <v>9000</v>
      </c>
      <c r="I565" s="7">
        <f>60*F565</f>
        <v>90</v>
      </c>
      <c r="J565" s="9" t="s">
        <v>11</v>
      </c>
      <c r="K565" s="7" t="s">
        <v>9</v>
      </c>
      <c r="L565" s="7" t="s">
        <v>31</v>
      </c>
      <c r="M565" s="18">
        <v>9000</v>
      </c>
      <c r="N565" s="17"/>
    </row>
    <row r="566" spans="1:14" ht="30" customHeight="1" outlineLevel="1" x14ac:dyDescent="0.25">
      <c r="A566" s="6"/>
      <c r="B566" s="6" t="s">
        <v>366</v>
      </c>
      <c r="C566" s="7"/>
      <c r="D566" s="7"/>
      <c r="E566" s="8"/>
      <c r="F566" s="18"/>
      <c r="G566" s="18"/>
      <c r="H566" s="18">
        <f ca="1">SUBTOTAL(9,H559:H565)</f>
        <v>35209.800000000003</v>
      </c>
      <c r="I566" s="7"/>
      <c r="J566" s="9"/>
      <c r="K566" s="7"/>
      <c r="L566" s="7"/>
      <c r="M566" s="18">
        <v>35209.800000000003</v>
      </c>
      <c r="N566" s="17"/>
    </row>
    <row r="567" spans="1:14" ht="30" customHeight="1" outlineLevel="2" x14ac:dyDescent="0.25">
      <c r="A567" s="3">
        <v>13</v>
      </c>
      <c r="B567" s="3" t="str">
        <f>E567</f>
        <v>ЩРС-КЧП-3 (Альбом 34)</v>
      </c>
      <c r="C567" s="3"/>
      <c r="D567" s="14"/>
      <c r="E567" s="3" t="s">
        <v>219</v>
      </c>
      <c r="F567" s="13"/>
      <c r="G567" s="13"/>
      <c r="H567" s="13"/>
      <c r="I567" s="5">
        <v>1</v>
      </c>
      <c r="J567" s="4" t="s">
        <v>6</v>
      </c>
      <c r="K567" s="4" t="s">
        <v>23</v>
      </c>
      <c r="L567" s="4" t="s">
        <v>31</v>
      </c>
      <c r="M567" s="13"/>
      <c r="N567" s="17"/>
    </row>
    <row r="568" spans="1:14" ht="30" customHeight="1" outlineLevel="2" x14ac:dyDescent="0.25">
      <c r="A568" s="6">
        <v>14</v>
      </c>
      <c r="B568" s="6" t="str">
        <f t="shared" ref="B568:B573" si="221">B567</f>
        <v>ЩРС-КЧП-3 (Альбом 34)</v>
      </c>
      <c r="C568" s="7" t="s">
        <v>7</v>
      </c>
      <c r="D568" s="7" t="s">
        <v>264</v>
      </c>
      <c r="E568" s="19" t="s">
        <v>265</v>
      </c>
      <c r="F568" s="18">
        <v>17500</v>
      </c>
      <c r="G568" s="18">
        <f>0.6*F568</f>
        <v>10500</v>
      </c>
      <c r="H568" s="18">
        <f t="shared" ref="H568:H573" si="222">G568*I568</f>
        <v>10500</v>
      </c>
      <c r="I568" s="7">
        <v>1</v>
      </c>
      <c r="J568" s="9" t="s">
        <v>11</v>
      </c>
      <c r="K568" s="9" t="s">
        <v>24</v>
      </c>
      <c r="L568" s="9" t="s">
        <v>31</v>
      </c>
      <c r="M568" s="18">
        <v>10500</v>
      </c>
      <c r="N568" s="17"/>
    </row>
    <row r="569" spans="1:14" ht="30" customHeight="1" outlineLevel="2" x14ac:dyDescent="0.25">
      <c r="A569" s="6">
        <v>15</v>
      </c>
      <c r="B569" s="6" t="str">
        <f t="shared" si="221"/>
        <v>ЩРС-КЧП-3 (Альбом 34)</v>
      </c>
      <c r="C569" s="7" t="s">
        <v>10</v>
      </c>
      <c r="D569" s="7">
        <v>296830</v>
      </c>
      <c r="E569" s="8" t="s">
        <v>107</v>
      </c>
      <c r="F569" s="18">
        <v>2606</v>
      </c>
      <c r="G569" s="18">
        <f t="shared" ref="G569:G571" si="223">F569*0.6</f>
        <v>1563.6</v>
      </c>
      <c r="H569" s="18">
        <f t="shared" si="222"/>
        <v>1563.6</v>
      </c>
      <c r="I569" s="7">
        <v>1</v>
      </c>
      <c r="J569" s="9" t="s">
        <v>11</v>
      </c>
      <c r="K569" s="9" t="s">
        <v>22</v>
      </c>
      <c r="L569" s="9" t="s">
        <v>31</v>
      </c>
      <c r="M569" s="18">
        <v>1563.6</v>
      </c>
      <c r="N569" s="17"/>
    </row>
    <row r="570" spans="1:14" ht="30" customHeight="1" outlineLevel="2" x14ac:dyDescent="0.25">
      <c r="A570" s="6">
        <v>15</v>
      </c>
      <c r="B570" s="6" t="str">
        <f t="shared" si="221"/>
        <v>ЩРС-КЧП-3 (Альбом 34)</v>
      </c>
      <c r="C570" s="7" t="s">
        <v>10</v>
      </c>
      <c r="D570" s="7">
        <v>296827</v>
      </c>
      <c r="E570" s="8" t="s">
        <v>64</v>
      </c>
      <c r="F570" s="18">
        <v>2337</v>
      </c>
      <c r="G570" s="18">
        <f t="shared" si="223"/>
        <v>1402.2</v>
      </c>
      <c r="H570" s="18">
        <f t="shared" si="222"/>
        <v>2804.4</v>
      </c>
      <c r="I570" s="7">
        <v>2</v>
      </c>
      <c r="J570" s="9" t="s">
        <v>11</v>
      </c>
      <c r="K570" s="9" t="s">
        <v>22</v>
      </c>
      <c r="L570" s="9" t="s">
        <v>31</v>
      </c>
      <c r="M570" s="18">
        <v>2804.4</v>
      </c>
      <c r="N570" s="17"/>
    </row>
    <row r="571" spans="1:14" ht="30" customHeight="1" outlineLevel="2" x14ac:dyDescent="0.25">
      <c r="A571" s="6">
        <v>15</v>
      </c>
      <c r="B571" s="6" t="str">
        <f t="shared" si="221"/>
        <v>ЩРС-КЧП-3 (Альбом 34)</v>
      </c>
      <c r="C571" s="7" t="s">
        <v>10</v>
      </c>
      <c r="D571" s="7">
        <v>296788</v>
      </c>
      <c r="E571" s="8" t="s">
        <v>105</v>
      </c>
      <c r="F571" s="18">
        <v>1589</v>
      </c>
      <c r="G571" s="18">
        <f t="shared" si="223"/>
        <v>953.4</v>
      </c>
      <c r="H571" s="18">
        <f t="shared" si="222"/>
        <v>3813.6</v>
      </c>
      <c r="I571" s="7">
        <v>4</v>
      </c>
      <c r="J571" s="9" t="s">
        <v>11</v>
      </c>
      <c r="K571" s="9" t="s">
        <v>22</v>
      </c>
      <c r="L571" s="9" t="s">
        <v>31</v>
      </c>
      <c r="M571" s="18">
        <v>3813.6</v>
      </c>
      <c r="N571" s="17"/>
    </row>
    <row r="572" spans="1:14" ht="30" customHeight="1" outlineLevel="2" x14ac:dyDescent="0.25">
      <c r="A572" s="6">
        <v>19</v>
      </c>
      <c r="B572" s="6" t="str">
        <f t="shared" si="221"/>
        <v>ЩРС-КЧП-3 (Альбом 34)</v>
      </c>
      <c r="C572" s="7" t="s">
        <v>8</v>
      </c>
      <c r="D572" s="7" t="s">
        <v>8</v>
      </c>
      <c r="E572" s="8" t="s">
        <v>8</v>
      </c>
      <c r="F572" s="18">
        <f ca="1">OFFSET(F572,1,2)</f>
        <v>9000</v>
      </c>
      <c r="G572" s="18">
        <f ca="1">F572</f>
        <v>9000</v>
      </c>
      <c r="H572" s="18">
        <f t="shared" ca="1" si="222"/>
        <v>9000</v>
      </c>
      <c r="I572" s="7">
        <v>1</v>
      </c>
      <c r="J572" s="9" t="s">
        <v>11</v>
      </c>
      <c r="K572" s="7" t="s">
        <v>8</v>
      </c>
      <c r="L572" s="7" t="s">
        <v>31</v>
      </c>
      <c r="M572" s="18">
        <v>9000</v>
      </c>
      <c r="N572" s="17"/>
    </row>
    <row r="573" spans="1:14" ht="30" customHeight="1" outlineLevel="2" x14ac:dyDescent="0.25">
      <c r="A573" s="6">
        <v>20</v>
      </c>
      <c r="B573" s="6" t="str">
        <f t="shared" si="221"/>
        <v>ЩРС-КЧП-3 (Альбом 34)</v>
      </c>
      <c r="C573" s="7" t="s">
        <v>9</v>
      </c>
      <c r="D573" s="7" t="s">
        <v>9</v>
      </c>
      <c r="E573" s="8" t="s">
        <v>9</v>
      </c>
      <c r="F573" s="18">
        <v>1.5</v>
      </c>
      <c r="G573" s="18">
        <v>100</v>
      </c>
      <c r="H573" s="18">
        <f t="shared" si="222"/>
        <v>9000</v>
      </c>
      <c r="I573" s="7">
        <f>60*F573</f>
        <v>90</v>
      </c>
      <c r="J573" s="9" t="s">
        <v>11</v>
      </c>
      <c r="K573" s="7" t="s">
        <v>9</v>
      </c>
      <c r="L573" s="7" t="s">
        <v>31</v>
      </c>
      <c r="M573" s="18">
        <v>9000</v>
      </c>
      <c r="N573" s="17"/>
    </row>
    <row r="574" spans="1:14" ht="30" customHeight="1" outlineLevel="1" x14ac:dyDescent="0.25">
      <c r="A574" s="6"/>
      <c r="B574" s="6" t="s">
        <v>367</v>
      </c>
      <c r="C574" s="7"/>
      <c r="D574" s="7"/>
      <c r="E574" s="8"/>
      <c r="F574" s="18"/>
      <c r="G574" s="18"/>
      <c r="H574" s="18">
        <f ca="1">SUBTOTAL(9,H567:H573)</f>
        <v>36681.599999999999</v>
      </c>
      <c r="I574" s="7"/>
      <c r="J574" s="9"/>
      <c r="K574" s="7"/>
      <c r="L574" s="7"/>
      <c r="M574" s="18">
        <v>36681.599999999999</v>
      </c>
      <c r="N574" s="17"/>
    </row>
    <row r="575" spans="1:14" ht="30" customHeight="1" outlineLevel="2" x14ac:dyDescent="0.25">
      <c r="A575" s="3">
        <v>13</v>
      </c>
      <c r="B575" s="3" t="str">
        <f t="shared" ref="B575:B591" si="224">E575</f>
        <v>ШУ3-2-380(Альбом 34)</v>
      </c>
      <c r="C575" s="3"/>
      <c r="D575" s="14"/>
      <c r="E575" s="3" t="s">
        <v>222</v>
      </c>
      <c r="F575" s="13"/>
      <c r="G575" s="13"/>
      <c r="H575" s="13"/>
      <c r="I575" s="5">
        <v>1</v>
      </c>
      <c r="J575" s="4" t="s">
        <v>6</v>
      </c>
      <c r="K575" s="4" t="s">
        <v>23</v>
      </c>
      <c r="L575" s="4" t="s">
        <v>31</v>
      </c>
      <c r="M575" s="13"/>
      <c r="N575" s="17">
        <v>300000</v>
      </c>
    </row>
    <row r="576" spans="1:14" ht="30" customHeight="1" outlineLevel="1" x14ac:dyDescent="0.25">
      <c r="A576" s="3"/>
      <c r="B576" s="3" t="s">
        <v>368</v>
      </c>
      <c r="C576" s="3"/>
      <c r="D576" s="14"/>
      <c r="E576" s="3"/>
      <c r="F576" s="13"/>
      <c r="G576" s="13"/>
      <c r="H576" s="13">
        <f>SUBTOTAL(9,H575:H575)</f>
        <v>0</v>
      </c>
      <c r="I576" s="5"/>
      <c r="J576" s="4"/>
      <c r="K576" s="4"/>
      <c r="L576" s="4"/>
      <c r="M576" s="13">
        <v>0</v>
      </c>
      <c r="N576" s="17"/>
    </row>
    <row r="577" spans="1:14" ht="30" customHeight="1" outlineLevel="2" x14ac:dyDescent="0.25">
      <c r="A577" s="3">
        <v>13</v>
      </c>
      <c r="B577" s="3" t="str">
        <f t="shared" si="224"/>
        <v>Я511-2074 (Альбом 34)</v>
      </c>
      <c r="C577" s="3"/>
      <c r="D577" s="14"/>
      <c r="E577" s="3" t="s">
        <v>227</v>
      </c>
      <c r="F577" s="13"/>
      <c r="G577" s="13"/>
      <c r="H577" s="13"/>
      <c r="I577" s="5">
        <v>12</v>
      </c>
      <c r="J577" s="4" t="s">
        <v>6</v>
      </c>
      <c r="K577" s="4" t="s">
        <v>23</v>
      </c>
      <c r="L577" s="4" t="s">
        <v>31</v>
      </c>
      <c r="M577" s="13"/>
      <c r="N577" s="17"/>
    </row>
    <row r="578" spans="1:14" ht="30" customHeight="1" outlineLevel="1" x14ac:dyDescent="0.25">
      <c r="A578" s="3"/>
      <c r="B578" s="3" t="s">
        <v>369</v>
      </c>
      <c r="C578" s="3"/>
      <c r="D578" s="14"/>
      <c r="E578" s="3"/>
      <c r="F578" s="13"/>
      <c r="G578" s="13"/>
      <c r="H578" s="13">
        <f>SUBTOTAL(9,H577:H577)</f>
        <v>0</v>
      </c>
      <c r="I578" s="5"/>
      <c r="J578" s="4"/>
      <c r="K578" s="4"/>
      <c r="L578" s="4"/>
      <c r="M578" s="13">
        <v>0</v>
      </c>
      <c r="N578" s="17"/>
    </row>
    <row r="579" spans="1:14" ht="30" customHeight="1" outlineLevel="2" x14ac:dyDescent="0.25">
      <c r="A579" s="3">
        <v>13</v>
      </c>
      <c r="B579" s="3" t="str">
        <f t="shared" si="224"/>
        <v>Я511-2274 (Альбом 34)</v>
      </c>
      <c r="C579" s="3"/>
      <c r="D579" s="14"/>
      <c r="E579" s="3" t="s">
        <v>228</v>
      </c>
      <c r="F579" s="13"/>
      <c r="G579" s="13"/>
      <c r="H579" s="13"/>
      <c r="I579" s="5">
        <v>7</v>
      </c>
      <c r="J579" s="4" t="s">
        <v>6</v>
      </c>
      <c r="K579" s="4" t="s">
        <v>23</v>
      </c>
      <c r="L579" s="4" t="s">
        <v>31</v>
      </c>
      <c r="M579" s="13"/>
      <c r="N579" s="17"/>
    </row>
    <row r="580" spans="1:14" ht="30" customHeight="1" outlineLevel="1" x14ac:dyDescent="0.25">
      <c r="A580" s="3"/>
      <c r="B580" s="3" t="s">
        <v>370</v>
      </c>
      <c r="C580" s="3"/>
      <c r="D580" s="14"/>
      <c r="E580" s="3"/>
      <c r="F580" s="13"/>
      <c r="G580" s="13"/>
      <c r="H580" s="13">
        <f>SUBTOTAL(9,H579:H579)</f>
        <v>0</v>
      </c>
      <c r="I580" s="5"/>
      <c r="J580" s="4"/>
      <c r="K580" s="4"/>
      <c r="L580" s="4"/>
      <c r="M580" s="13">
        <v>0</v>
      </c>
      <c r="N580" s="17"/>
    </row>
    <row r="581" spans="1:14" ht="30" customHeight="1" outlineLevel="2" x14ac:dyDescent="0.25">
      <c r="A581" s="3">
        <v>13</v>
      </c>
      <c r="B581" s="3" t="str">
        <f t="shared" si="224"/>
        <v>Я511-2474 (Альбом 34)</v>
      </c>
      <c r="C581" s="3"/>
      <c r="D581" s="14"/>
      <c r="E581" s="3" t="s">
        <v>223</v>
      </c>
      <c r="F581" s="13"/>
      <c r="G581" s="13"/>
      <c r="H581" s="13"/>
      <c r="I581" s="5">
        <v>6</v>
      </c>
      <c r="J581" s="4" t="s">
        <v>6</v>
      </c>
      <c r="K581" s="4" t="s">
        <v>23</v>
      </c>
      <c r="L581" s="4" t="s">
        <v>31</v>
      </c>
      <c r="M581" s="13"/>
      <c r="N581" s="17"/>
    </row>
    <row r="582" spans="1:14" ht="30" customHeight="1" outlineLevel="1" x14ac:dyDescent="0.25">
      <c r="A582" s="3"/>
      <c r="B582" s="3" t="s">
        <v>371</v>
      </c>
      <c r="C582" s="3"/>
      <c r="D582" s="14"/>
      <c r="E582" s="3"/>
      <c r="F582" s="13"/>
      <c r="G582" s="13"/>
      <c r="H582" s="13">
        <f>SUBTOTAL(9,H581:H581)</f>
        <v>0</v>
      </c>
      <c r="I582" s="5"/>
      <c r="J582" s="4"/>
      <c r="K582" s="4"/>
      <c r="L582" s="4"/>
      <c r="M582" s="13">
        <v>0</v>
      </c>
      <c r="N582" s="17"/>
    </row>
    <row r="583" spans="1:14" ht="30" customHeight="1" outlineLevel="2" x14ac:dyDescent="0.25">
      <c r="A583" s="3">
        <v>13</v>
      </c>
      <c r="B583" s="3" t="str">
        <f t="shared" si="224"/>
        <v>Я511-2974 (Альбом 34)</v>
      </c>
      <c r="C583" s="3"/>
      <c r="D583" s="14"/>
      <c r="E583" s="3" t="s">
        <v>224</v>
      </c>
      <c r="F583" s="13"/>
      <c r="G583" s="13"/>
      <c r="H583" s="13"/>
      <c r="I583" s="5">
        <v>1</v>
      </c>
      <c r="J583" s="4" t="s">
        <v>6</v>
      </c>
      <c r="K583" s="4" t="s">
        <v>23</v>
      </c>
      <c r="L583" s="4" t="s">
        <v>31</v>
      </c>
      <c r="M583" s="13"/>
      <c r="N583" s="17"/>
    </row>
    <row r="584" spans="1:14" ht="30" customHeight="1" outlineLevel="1" x14ac:dyDescent="0.25">
      <c r="A584" s="3"/>
      <c r="B584" s="3" t="s">
        <v>372</v>
      </c>
      <c r="C584" s="3"/>
      <c r="D584" s="14"/>
      <c r="E584" s="3"/>
      <c r="F584" s="13"/>
      <c r="G584" s="13"/>
      <c r="H584" s="13">
        <f>SUBTOTAL(9,H583:H583)</f>
        <v>0</v>
      </c>
      <c r="I584" s="5"/>
      <c r="J584" s="4"/>
      <c r="K584" s="4"/>
      <c r="L584" s="4"/>
      <c r="M584" s="13">
        <v>0</v>
      </c>
      <c r="N584" s="17"/>
    </row>
    <row r="585" spans="1:14" ht="30" customHeight="1" outlineLevel="2" x14ac:dyDescent="0.25">
      <c r="A585" s="3">
        <v>13</v>
      </c>
      <c r="B585" s="3" t="str">
        <f t="shared" si="224"/>
        <v>Я511-2877 (Альбом 34)</v>
      </c>
      <c r="C585" s="3"/>
      <c r="D585" s="14"/>
      <c r="E585" s="3" t="s">
        <v>225</v>
      </c>
      <c r="F585" s="13"/>
      <c r="G585" s="13"/>
      <c r="H585" s="13"/>
      <c r="I585" s="5">
        <v>1</v>
      </c>
      <c r="J585" s="4" t="s">
        <v>6</v>
      </c>
      <c r="K585" s="4" t="s">
        <v>23</v>
      </c>
      <c r="L585" s="4" t="s">
        <v>31</v>
      </c>
      <c r="M585" s="13"/>
      <c r="N585" s="17"/>
    </row>
    <row r="586" spans="1:14" ht="30" customHeight="1" outlineLevel="1" x14ac:dyDescent="0.25">
      <c r="A586" s="3"/>
      <c r="B586" s="3" t="s">
        <v>373</v>
      </c>
      <c r="C586" s="3"/>
      <c r="D586" s="14"/>
      <c r="E586" s="3"/>
      <c r="F586" s="13"/>
      <c r="G586" s="13"/>
      <c r="H586" s="13">
        <f>SUBTOTAL(9,H585:H585)</f>
        <v>0</v>
      </c>
      <c r="I586" s="5"/>
      <c r="J586" s="4"/>
      <c r="K586" s="4"/>
      <c r="L586" s="4"/>
      <c r="M586" s="13">
        <v>0</v>
      </c>
      <c r="N586" s="17"/>
    </row>
    <row r="587" spans="1:14" ht="30" customHeight="1" outlineLevel="2" x14ac:dyDescent="0.25">
      <c r="A587" s="3">
        <v>13</v>
      </c>
      <c r="B587" s="3" t="str">
        <f t="shared" si="224"/>
        <v>Я511-3077 (Альбом 34)</v>
      </c>
      <c r="C587" s="3"/>
      <c r="D587" s="14"/>
      <c r="E587" s="3" t="s">
        <v>226</v>
      </c>
      <c r="F587" s="13"/>
      <c r="G587" s="13"/>
      <c r="H587" s="13"/>
      <c r="I587" s="5">
        <v>4</v>
      </c>
      <c r="J587" s="4" t="s">
        <v>6</v>
      </c>
      <c r="K587" s="4" t="s">
        <v>23</v>
      </c>
      <c r="L587" s="4" t="s">
        <v>31</v>
      </c>
      <c r="M587" s="13"/>
      <c r="N587" s="17"/>
    </row>
    <row r="588" spans="1:14" ht="30" customHeight="1" outlineLevel="1" x14ac:dyDescent="0.25">
      <c r="A588" s="3"/>
      <c r="B588" s="3" t="s">
        <v>374</v>
      </c>
      <c r="C588" s="3"/>
      <c r="D588" s="14"/>
      <c r="E588" s="3"/>
      <c r="F588" s="13"/>
      <c r="G588" s="13"/>
      <c r="H588" s="13">
        <f>SUBTOTAL(9,H587:H587)</f>
        <v>0</v>
      </c>
      <c r="I588" s="5"/>
      <c r="J588" s="4"/>
      <c r="K588" s="4"/>
      <c r="L588" s="4"/>
      <c r="M588" s="13">
        <v>0</v>
      </c>
      <c r="N588" s="17"/>
    </row>
    <row r="589" spans="1:14" ht="30" customHeight="1" outlineLevel="2" x14ac:dyDescent="0.25">
      <c r="A589" s="3">
        <v>13</v>
      </c>
      <c r="B589" s="3" t="str">
        <f t="shared" si="224"/>
        <v>ЯТП-0,25 (Альбом 34)</v>
      </c>
      <c r="C589" s="3"/>
      <c r="D589" s="14"/>
      <c r="E589" s="3" t="s">
        <v>236</v>
      </c>
      <c r="F589" s="13"/>
      <c r="G589" s="13"/>
      <c r="H589" s="13"/>
      <c r="I589" s="5">
        <v>4</v>
      </c>
      <c r="J589" s="4" t="s">
        <v>6</v>
      </c>
      <c r="K589" s="4" t="s">
        <v>23</v>
      </c>
      <c r="L589" s="4" t="s">
        <v>31</v>
      </c>
      <c r="M589" s="13"/>
      <c r="N589" s="17"/>
    </row>
    <row r="590" spans="1:14" ht="30" customHeight="1" outlineLevel="1" x14ac:dyDescent="0.25">
      <c r="A590" s="3"/>
      <c r="B590" s="3" t="s">
        <v>375</v>
      </c>
      <c r="C590" s="3"/>
      <c r="D590" s="14"/>
      <c r="E590" s="3"/>
      <c r="F590" s="13"/>
      <c r="G590" s="13"/>
      <c r="H590" s="13">
        <f>SUBTOTAL(9,H589:H589)</f>
        <v>0</v>
      </c>
      <c r="I590" s="5"/>
      <c r="J590" s="4"/>
      <c r="K590" s="4"/>
      <c r="L590" s="4"/>
      <c r="M590" s="13">
        <v>0</v>
      </c>
      <c r="N590" s="17"/>
    </row>
    <row r="591" spans="1:14" ht="30" customHeight="1" outlineLevel="2" x14ac:dyDescent="0.25">
      <c r="A591" s="3">
        <v>13</v>
      </c>
      <c r="B591" s="3" t="str">
        <f t="shared" si="224"/>
        <v xml:space="preserve">ЩО1 (Альбом 35) </v>
      </c>
      <c r="C591" s="3"/>
      <c r="D591" s="14"/>
      <c r="E591" s="3" t="s">
        <v>109</v>
      </c>
      <c r="F591" s="13"/>
      <c r="G591" s="13"/>
      <c r="H591" s="13"/>
      <c r="I591" s="5">
        <v>1</v>
      </c>
      <c r="J591" s="4" t="s">
        <v>6</v>
      </c>
      <c r="K591" s="4" t="s">
        <v>23</v>
      </c>
      <c r="L591" s="4" t="s">
        <v>110</v>
      </c>
      <c r="M591" s="13"/>
      <c r="N591" s="17"/>
    </row>
    <row r="592" spans="1:14" ht="30" customHeight="1" outlineLevel="2" x14ac:dyDescent="0.25">
      <c r="A592" s="6">
        <v>14</v>
      </c>
      <c r="B592" s="6" t="str">
        <f t="shared" ref="B592:B596" si="225">B591</f>
        <v xml:space="preserve">ЩО1 (Альбом 35) </v>
      </c>
      <c r="C592" s="7" t="s">
        <v>7</v>
      </c>
      <c r="D592" s="7" t="s">
        <v>274</v>
      </c>
      <c r="E592" s="8" t="s">
        <v>275</v>
      </c>
      <c r="F592" s="18">
        <v>20000</v>
      </c>
      <c r="G592" s="18">
        <f>0.6*F592</f>
        <v>12000</v>
      </c>
      <c r="H592" s="18">
        <f t="shared" ref="H592:H596" si="226">G592*I592</f>
        <v>12000</v>
      </c>
      <c r="I592" s="7">
        <v>1</v>
      </c>
      <c r="J592" s="9" t="s">
        <v>11</v>
      </c>
      <c r="K592" s="9" t="s">
        <v>24</v>
      </c>
      <c r="L592" s="9" t="s">
        <v>110</v>
      </c>
      <c r="M592" s="18">
        <v>12000</v>
      </c>
      <c r="N592" s="17"/>
    </row>
    <row r="593" spans="1:14" ht="30" customHeight="1" outlineLevel="2" x14ac:dyDescent="0.25">
      <c r="A593" s="6">
        <v>15</v>
      </c>
      <c r="B593" s="6" t="str">
        <f t="shared" si="225"/>
        <v xml:space="preserve">ЩО1 (Альбом 35) </v>
      </c>
      <c r="C593" s="7" t="s">
        <v>10</v>
      </c>
      <c r="D593" s="7">
        <v>296827</v>
      </c>
      <c r="E593" s="8" t="s">
        <v>64</v>
      </c>
      <c r="F593" s="18">
        <v>2337</v>
      </c>
      <c r="G593" s="18">
        <f t="shared" ref="G593:G594" si="227">F593*0.6</f>
        <v>1402.2</v>
      </c>
      <c r="H593" s="18">
        <f t="shared" si="226"/>
        <v>1402.2</v>
      </c>
      <c r="I593" s="7">
        <v>1</v>
      </c>
      <c r="J593" s="9" t="s">
        <v>11</v>
      </c>
      <c r="K593" s="9" t="s">
        <v>22</v>
      </c>
      <c r="L593" s="9" t="s">
        <v>110</v>
      </c>
      <c r="M593" s="18">
        <v>1402.2</v>
      </c>
      <c r="N593" s="17"/>
    </row>
    <row r="594" spans="1:14" ht="30" customHeight="1" outlineLevel="2" x14ac:dyDescent="0.25">
      <c r="A594" s="6">
        <v>15</v>
      </c>
      <c r="B594" s="6" t="str">
        <f t="shared" si="225"/>
        <v xml:space="preserve">ЩО1 (Альбом 35) </v>
      </c>
      <c r="C594" s="7" t="s">
        <v>10</v>
      </c>
      <c r="D594" s="7">
        <v>296709</v>
      </c>
      <c r="E594" s="8" t="s">
        <v>111</v>
      </c>
      <c r="F594" s="18">
        <v>783</v>
      </c>
      <c r="G594" s="18">
        <f t="shared" si="227"/>
        <v>469.79999999999995</v>
      </c>
      <c r="H594" s="18">
        <f t="shared" si="226"/>
        <v>4228.2</v>
      </c>
      <c r="I594" s="7">
        <v>9</v>
      </c>
      <c r="J594" s="9" t="s">
        <v>11</v>
      </c>
      <c r="K594" s="9" t="s">
        <v>22</v>
      </c>
      <c r="L594" s="9" t="s">
        <v>110</v>
      </c>
      <c r="M594" s="18">
        <v>4228.2</v>
      </c>
      <c r="N594" s="17"/>
    </row>
    <row r="595" spans="1:14" ht="30" customHeight="1" outlineLevel="2" x14ac:dyDescent="0.25">
      <c r="A595" s="6">
        <v>19</v>
      </c>
      <c r="B595" s="6" t="str">
        <f t="shared" si="225"/>
        <v xml:space="preserve">ЩО1 (Альбом 35) </v>
      </c>
      <c r="C595" s="7" t="s">
        <v>8</v>
      </c>
      <c r="D595" s="7" t="s">
        <v>8</v>
      </c>
      <c r="E595" s="8" t="s">
        <v>8</v>
      </c>
      <c r="F595" s="18">
        <f ca="1">OFFSET(F595,1,2)</f>
        <v>12000</v>
      </c>
      <c r="G595" s="18">
        <f ca="1">F595</f>
        <v>12000</v>
      </c>
      <c r="H595" s="18">
        <f t="shared" ca="1" si="226"/>
        <v>12000</v>
      </c>
      <c r="I595" s="7">
        <v>1</v>
      </c>
      <c r="J595" s="9" t="s">
        <v>11</v>
      </c>
      <c r="K595" s="7" t="s">
        <v>8</v>
      </c>
      <c r="L595" s="7" t="s">
        <v>110</v>
      </c>
      <c r="M595" s="18">
        <v>12000</v>
      </c>
      <c r="N595" s="17"/>
    </row>
    <row r="596" spans="1:14" ht="30" customHeight="1" outlineLevel="2" x14ac:dyDescent="0.25">
      <c r="A596" s="6">
        <v>20</v>
      </c>
      <c r="B596" s="6" t="str">
        <f t="shared" si="225"/>
        <v xml:space="preserve">ЩО1 (Альбом 35) </v>
      </c>
      <c r="C596" s="7" t="s">
        <v>9</v>
      </c>
      <c r="D596" s="7" t="s">
        <v>9</v>
      </c>
      <c r="E596" s="8" t="s">
        <v>9</v>
      </c>
      <c r="F596" s="18">
        <v>2</v>
      </c>
      <c r="G596" s="18">
        <v>100</v>
      </c>
      <c r="H596" s="18">
        <f t="shared" si="226"/>
        <v>12000</v>
      </c>
      <c r="I596" s="7">
        <f>60*F596</f>
        <v>120</v>
      </c>
      <c r="J596" s="9" t="s">
        <v>11</v>
      </c>
      <c r="K596" s="7" t="s">
        <v>9</v>
      </c>
      <c r="L596" s="7" t="s">
        <v>110</v>
      </c>
      <c r="M596" s="18">
        <v>12000</v>
      </c>
      <c r="N596" s="17"/>
    </row>
    <row r="597" spans="1:14" ht="30" customHeight="1" outlineLevel="1" x14ac:dyDescent="0.25">
      <c r="A597" s="6"/>
      <c r="B597" s="6" t="s">
        <v>376</v>
      </c>
      <c r="C597" s="7"/>
      <c r="D597" s="7"/>
      <c r="E597" s="8"/>
      <c r="F597" s="18"/>
      <c r="G597" s="18"/>
      <c r="H597" s="18">
        <f ca="1">SUBTOTAL(9,H591:H596)</f>
        <v>41630.400000000001</v>
      </c>
      <c r="I597" s="7"/>
      <c r="J597" s="9"/>
      <c r="K597" s="7"/>
      <c r="L597" s="7"/>
      <c r="M597" s="18">
        <v>41630.400000000001</v>
      </c>
      <c r="N597" s="17"/>
    </row>
    <row r="598" spans="1:14" ht="30" customHeight="1" outlineLevel="2" x14ac:dyDescent="0.25">
      <c r="A598" s="3">
        <v>13</v>
      </c>
      <c r="B598" s="3" t="str">
        <f>E598</f>
        <v xml:space="preserve">ЩО2 (Альбом 35) </v>
      </c>
      <c r="C598" s="3"/>
      <c r="D598" s="14"/>
      <c r="E598" s="3" t="s">
        <v>112</v>
      </c>
      <c r="F598" s="13"/>
      <c r="G598" s="13"/>
      <c r="H598" s="13"/>
      <c r="I598" s="5">
        <v>1</v>
      </c>
      <c r="J598" s="4" t="s">
        <v>6</v>
      </c>
      <c r="K598" s="4" t="s">
        <v>23</v>
      </c>
      <c r="L598" s="4" t="s">
        <v>110</v>
      </c>
      <c r="M598" s="13"/>
      <c r="N598" s="17"/>
    </row>
    <row r="599" spans="1:14" ht="30" customHeight="1" outlineLevel="2" x14ac:dyDescent="0.25">
      <c r="A599" s="6">
        <v>14</v>
      </c>
      <c r="B599" s="6" t="str">
        <f t="shared" ref="B599:B603" si="228">B598</f>
        <v xml:space="preserve">ЩО2 (Альбом 35) </v>
      </c>
      <c r="C599" s="7" t="s">
        <v>7</v>
      </c>
      <c r="D599" s="7" t="s">
        <v>274</v>
      </c>
      <c r="E599" s="8" t="s">
        <v>275</v>
      </c>
      <c r="F599" s="18">
        <v>20000</v>
      </c>
      <c r="G599" s="18">
        <f>0.6*F599</f>
        <v>12000</v>
      </c>
      <c r="H599" s="18">
        <f t="shared" ref="H599:H603" si="229">G599*I599</f>
        <v>12000</v>
      </c>
      <c r="I599" s="7">
        <v>1</v>
      </c>
      <c r="J599" s="9" t="s">
        <v>11</v>
      </c>
      <c r="K599" s="9" t="s">
        <v>24</v>
      </c>
      <c r="L599" s="9" t="s">
        <v>110</v>
      </c>
      <c r="M599" s="18">
        <v>12000</v>
      </c>
      <c r="N599" s="17"/>
    </row>
    <row r="600" spans="1:14" ht="30" customHeight="1" outlineLevel="2" x14ac:dyDescent="0.25">
      <c r="A600" s="6">
        <v>15</v>
      </c>
      <c r="B600" s="6" t="str">
        <f t="shared" si="228"/>
        <v xml:space="preserve">ЩО2 (Альбом 35) </v>
      </c>
      <c r="C600" s="7" t="s">
        <v>10</v>
      </c>
      <c r="D600" s="7">
        <v>296827</v>
      </c>
      <c r="E600" s="8" t="s">
        <v>64</v>
      </c>
      <c r="F600" s="18">
        <v>2337</v>
      </c>
      <c r="G600" s="18">
        <f t="shared" ref="G600:G601" si="230">F600*0.6</f>
        <v>1402.2</v>
      </c>
      <c r="H600" s="18">
        <f t="shared" si="229"/>
        <v>1402.2</v>
      </c>
      <c r="I600" s="7">
        <v>1</v>
      </c>
      <c r="J600" s="9" t="s">
        <v>11</v>
      </c>
      <c r="K600" s="9" t="s">
        <v>22</v>
      </c>
      <c r="L600" s="9" t="s">
        <v>110</v>
      </c>
      <c r="M600" s="18">
        <v>1402.2</v>
      </c>
      <c r="N600" s="17"/>
    </row>
    <row r="601" spans="1:14" ht="30" customHeight="1" outlineLevel="2" x14ac:dyDescent="0.25">
      <c r="A601" s="6">
        <v>15</v>
      </c>
      <c r="B601" s="6" t="str">
        <f t="shared" si="228"/>
        <v xml:space="preserve">ЩО2 (Альбом 35) </v>
      </c>
      <c r="C601" s="7" t="s">
        <v>10</v>
      </c>
      <c r="D601" s="7">
        <v>296709</v>
      </c>
      <c r="E601" s="8" t="s">
        <v>111</v>
      </c>
      <c r="F601" s="18">
        <v>783</v>
      </c>
      <c r="G601" s="18">
        <f t="shared" si="230"/>
        <v>469.79999999999995</v>
      </c>
      <c r="H601" s="18">
        <f t="shared" si="229"/>
        <v>6107.4</v>
      </c>
      <c r="I601" s="7">
        <v>13</v>
      </c>
      <c r="J601" s="9" t="s">
        <v>11</v>
      </c>
      <c r="K601" s="9" t="s">
        <v>22</v>
      </c>
      <c r="L601" s="9" t="s">
        <v>110</v>
      </c>
      <c r="M601" s="18">
        <v>6107.4</v>
      </c>
      <c r="N601" s="17"/>
    </row>
    <row r="602" spans="1:14" ht="30" customHeight="1" outlineLevel="2" x14ac:dyDescent="0.25">
      <c r="A602" s="6">
        <v>19</v>
      </c>
      <c r="B602" s="6" t="str">
        <f t="shared" si="228"/>
        <v xml:space="preserve">ЩО2 (Альбом 35) </v>
      </c>
      <c r="C602" s="7" t="s">
        <v>8</v>
      </c>
      <c r="D602" s="7" t="s">
        <v>8</v>
      </c>
      <c r="E602" s="8" t="s">
        <v>8</v>
      </c>
      <c r="F602" s="18">
        <f ca="1">OFFSET(F602,1,2)</f>
        <v>12000</v>
      </c>
      <c r="G602" s="18">
        <f ca="1">F602</f>
        <v>12000</v>
      </c>
      <c r="H602" s="18">
        <f t="shared" ca="1" si="229"/>
        <v>12000</v>
      </c>
      <c r="I602" s="7">
        <v>1</v>
      </c>
      <c r="J602" s="9" t="s">
        <v>11</v>
      </c>
      <c r="K602" s="7" t="s">
        <v>8</v>
      </c>
      <c r="L602" s="7" t="s">
        <v>110</v>
      </c>
      <c r="M602" s="18">
        <v>12000</v>
      </c>
      <c r="N602" s="17"/>
    </row>
    <row r="603" spans="1:14" ht="30" customHeight="1" outlineLevel="2" x14ac:dyDescent="0.25">
      <c r="A603" s="6">
        <v>20</v>
      </c>
      <c r="B603" s="6" t="str">
        <f t="shared" si="228"/>
        <v xml:space="preserve">ЩО2 (Альбом 35) </v>
      </c>
      <c r="C603" s="7" t="s">
        <v>9</v>
      </c>
      <c r="D603" s="7" t="s">
        <v>9</v>
      </c>
      <c r="E603" s="8" t="s">
        <v>9</v>
      </c>
      <c r="F603" s="18">
        <v>2</v>
      </c>
      <c r="G603" s="18">
        <v>100</v>
      </c>
      <c r="H603" s="18">
        <f t="shared" si="229"/>
        <v>12000</v>
      </c>
      <c r="I603" s="7">
        <f>60*F603</f>
        <v>120</v>
      </c>
      <c r="J603" s="9" t="s">
        <v>11</v>
      </c>
      <c r="K603" s="7" t="s">
        <v>9</v>
      </c>
      <c r="L603" s="7" t="s">
        <v>110</v>
      </c>
      <c r="M603" s="18">
        <v>12000</v>
      </c>
      <c r="N603" s="17"/>
    </row>
    <row r="604" spans="1:14" ht="30" customHeight="1" outlineLevel="1" x14ac:dyDescent="0.25">
      <c r="A604" s="6"/>
      <c r="B604" s="6" t="s">
        <v>377</v>
      </c>
      <c r="C604" s="7"/>
      <c r="D604" s="7"/>
      <c r="E604" s="8"/>
      <c r="F604" s="18"/>
      <c r="G604" s="18"/>
      <c r="H604" s="18">
        <f ca="1">SUBTOTAL(9,H598:H603)</f>
        <v>43509.599999999999</v>
      </c>
      <c r="I604" s="7"/>
      <c r="J604" s="9"/>
      <c r="K604" s="7"/>
      <c r="L604" s="7"/>
      <c r="M604" s="18">
        <v>43509.599999999999</v>
      </c>
      <c r="N604" s="17"/>
    </row>
    <row r="605" spans="1:14" ht="30" customHeight="1" outlineLevel="2" x14ac:dyDescent="0.25">
      <c r="A605" s="3">
        <v>13</v>
      </c>
      <c r="B605" s="3" t="str">
        <f>E605</f>
        <v xml:space="preserve">ЩО3 (Альбом 35) </v>
      </c>
      <c r="C605" s="3"/>
      <c r="D605" s="14"/>
      <c r="E605" s="3" t="s">
        <v>113</v>
      </c>
      <c r="F605" s="13"/>
      <c r="G605" s="13"/>
      <c r="H605" s="13"/>
      <c r="I605" s="5">
        <v>1</v>
      </c>
      <c r="J605" s="4" t="s">
        <v>6</v>
      </c>
      <c r="K605" s="4" t="s">
        <v>23</v>
      </c>
      <c r="L605" s="4" t="s">
        <v>110</v>
      </c>
      <c r="M605" s="13"/>
      <c r="N605" s="17"/>
    </row>
    <row r="606" spans="1:14" ht="30" customHeight="1" outlineLevel="2" x14ac:dyDescent="0.25">
      <c r="A606" s="6">
        <v>14</v>
      </c>
      <c r="B606" s="6" t="str">
        <f t="shared" ref="B606:B610" si="231">B605</f>
        <v xml:space="preserve">ЩО3 (Альбом 35) </v>
      </c>
      <c r="C606" s="7" t="s">
        <v>7</v>
      </c>
      <c r="D606" s="7" t="s">
        <v>274</v>
      </c>
      <c r="E606" s="8" t="s">
        <v>275</v>
      </c>
      <c r="F606" s="18">
        <v>20000</v>
      </c>
      <c r="G606" s="18">
        <f>0.6*F606</f>
        <v>12000</v>
      </c>
      <c r="H606" s="18">
        <f t="shared" ref="H606:H610" si="232">G606*I606</f>
        <v>12000</v>
      </c>
      <c r="I606" s="7">
        <v>1</v>
      </c>
      <c r="J606" s="9" t="s">
        <v>11</v>
      </c>
      <c r="K606" s="9" t="s">
        <v>24</v>
      </c>
      <c r="L606" s="9" t="s">
        <v>110</v>
      </c>
      <c r="M606" s="18">
        <v>12000</v>
      </c>
      <c r="N606" s="17"/>
    </row>
    <row r="607" spans="1:14" ht="30" customHeight="1" outlineLevel="2" x14ac:dyDescent="0.25">
      <c r="A607" s="6">
        <v>15</v>
      </c>
      <c r="B607" s="6" t="str">
        <f t="shared" si="231"/>
        <v xml:space="preserve">ЩО3 (Альбом 35) </v>
      </c>
      <c r="C607" s="7" t="s">
        <v>10</v>
      </c>
      <c r="D607" s="7">
        <v>296827</v>
      </c>
      <c r="E607" s="8" t="s">
        <v>64</v>
      </c>
      <c r="F607" s="18">
        <v>2337</v>
      </c>
      <c r="G607" s="18">
        <f t="shared" ref="G607:G608" si="233">F607*0.6</f>
        <v>1402.2</v>
      </c>
      <c r="H607" s="18">
        <f t="shared" si="232"/>
        <v>1402.2</v>
      </c>
      <c r="I607" s="7">
        <v>1</v>
      </c>
      <c r="J607" s="9" t="s">
        <v>11</v>
      </c>
      <c r="K607" s="9" t="s">
        <v>22</v>
      </c>
      <c r="L607" s="9" t="s">
        <v>110</v>
      </c>
      <c r="M607" s="18">
        <v>1402.2</v>
      </c>
      <c r="N607" s="17"/>
    </row>
    <row r="608" spans="1:14" ht="30" customHeight="1" outlineLevel="2" x14ac:dyDescent="0.25">
      <c r="A608" s="6">
        <v>15</v>
      </c>
      <c r="B608" s="6" t="str">
        <f t="shared" si="231"/>
        <v xml:space="preserve">ЩО3 (Альбом 35) </v>
      </c>
      <c r="C608" s="7" t="s">
        <v>10</v>
      </c>
      <c r="D608" s="7">
        <v>296709</v>
      </c>
      <c r="E608" s="8" t="s">
        <v>111</v>
      </c>
      <c r="F608" s="18">
        <v>783</v>
      </c>
      <c r="G608" s="18">
        <f t="shared" si="233"/>
        <v>469.79999999999995</v>
      </c>
      <c r="H608" s="18">
        <f t="shared" si="232"/>
        <v>5637.5999999999995</v>
      </c>
      <c r="I608" s="7">
        <v>12</v>
      </c>
      <c r="J608" s="9" t="s">
        <v>11</v>
      </c>
      <c r="K608" s="9" t="s">
        <v>22</v>
      </c>
      <c r="L608" s="9" t="s">
        <v>110</v>
      </c>
      <c r="M608" s="18">
        <v>5637.5999999999995</v>
      </c>
      <c r="N608" s="17"/>
    </row>
    <row r="609" spans="1:14" ht="30" customHeight="1" outlineLevel="2" x14ac:dyDescent="0.25">
      <c r="A609" s="6">
        <v>19</v>
      </c>
      <c r="B609" s="6" t="str">
        <f t="shared" si="231"/>
        <v xml:space="preserve">ЩО3 (Альбом 35) </v>
      </c>
      <c r="C609" s="7" t="s">
        <v>8</v>
      </c>
      <c r="D609" s="7" t="s">
        <v>8</v>
      </c>
      <c r="E609" s="8" t="s">
        <v>8</v>
      </c>
      <c r="F609" s="18">
        <f ca="1">OFFSET(F609,1,2)</f>
        <v>12000</v>
      </c>
      <c r="G609" s="18">
        <f ca="1">F609</f>
        <v>12000</v>
      </c>
      <c r="H609" s="18">
        <f t="shared" ca="1" si="232"/>
        <v>12000</v>
      </c>
      <c r="I609" s="7">
        <v>1</v>
      </c>
      <c r="J609" s="9" t="s">
        <v>11</v>
      </c>
      <c r="K609" s="7" t="s">
        <v>8</v>
      </c>
      <c r="L609" s="7" t="s">
        <v>110</v>
      </c>
      <c r="M609" s="18">
        <v>12000</v>
      </c>
      <c r="N609" s="17"/>
    </row>
    <row r="610" spans="1:14" ht="30" customHeight="1" outlineLevel="2" x14ac:dyDescent="0.25">
      <c r="A610" s="6">
        <v>20</v>
      </c>
      <c r="B610" s="6" t="str">
        <f t="shared" si="231"/>
        <v xml:space="preserve">ЩО3 (Альбом 35) </v>
      </c>
      <c r="C610" s="7" t="s">
        <v>9</v>
      </c>
      <c r="D610" s="7" t="s">
        <v>9</v>
      </c>
      <c r="E610" s="8" t="s">
        <v>9</v>
      </c>
      <c r="F610" s="18">
        <v>2</v>
      </c>
      <c r="G610" s="18">
        <v>100</v>
      </c>
      <c r="H610" s="18">
        <f t="shared" si="232"/>
        <v>12000</v>
      </c>
      <c r="I610" s="7">
        <f>60*F610</f>
        <v>120</v>
      </c>
      <c r="J610" s="9" t="s">
        <v>11</v>
      </c>
      <c r="K610" s="7" t="s">
        <v>9</v>
      </c>
      <c r="L610" s="7" t="s">
        <v>110</v>
      </c>
      <c r="M610" s="18">
        <v>12000</v>
      </c>
      <c r="N610" s="17"/>
    </row>
    <row r="611" spans="1:14" ht="30" customHeight="1" outlineLevel="1" x14ac:dyDescent="0.25">
      <c r="A611" s="6"/>
      <c r="B611" s="6" t="s">
        <v>378</v>
      </c>
      <c r="C611" s="7"/>
      <c r="D611" s="7"/>
      <c r="E611" s="8"/>
      <c r="F611" s="18"/>
      <c r="G611" s="18"/>
      <c r="H611" s="18">
        <f ca="1">SUBTOTAL(9,H605:H610)</f>
        <v>43039.8</v>
      </c>
      <c r="I611" s="7"/>
      <c r="J611" s="9"/>
      <c r="K611" s="7"/>
      <c r="L611" s="7"/>
      <c r="M611" s="18">
        <v>43039.8</v>
      </c>
      <c r="N611" s="17"/>
    </row>
    <row r="612" spans="1:14" ht="30" customHeight="1" outlineLevel="2" x14ac:dyDescent="0.25">
      <c r="A612" s="3">
        <v>13</v>
      </c>
      <c r="B612" s="3" t="str">
        <f>E612</f>
        <v xml:space="preserve">ЩАО1 (Альбом 35) </v>
      </c>
      <c r="C612" s="3"/>
      <c r="D612" s="14"/>
      <c r="E612" s="3" t="s">
        <v>114</v>
      </c>
      <c r="F612" s="13"/>
      <c r="G612" s="13"/>
      <c r="H612" s="13"/>
      <c r="I612" s="5">
        <v>1</v>
      </c>
      <c r="J612" s="4" t="s">
        <v>6</v>
      </c>
      <c r="K612" s="4" t="s">
        <v>23</v>
      </c>
      <c r="L612" s="4" t="s">
        <v>110</v>
      </c>
      <c r="M612" s="13"/>
      <c r="N612" s="17"/>
    </row>
    <row r="613" spans="1:14" ht="30" customHeight="1" outlineLevel="2" x14ac:dyDescent="0.25">
      <c r="A613" s="6">
        <v>14</v>
      </c>
      <c r="B613" s="6" t="str">
        <f t="shared" ref="B613:B617" si="234">B612</f>
        <v xml:space="preserve">ЩАО1 (Альбом 35) </v>
      </c>
      <c r="C613" s="7" t="s">
        <v>7</v>
      </c>
      <c r="D613" s="7" t="s">
        <v>274</v>
      </c>
      <c r="E613" s="8" t="s">
        <v>275</v>
      </c>
      <c r="F613" s="18">
        <v>20000</v>
      </c>
      <c r="G613" s="18">
        <f>0.6*F613</f>
        <v>12000</v>
      </c>
      <c r="H613" s="18">
        <f t="shared" ref="H613:H617" si="235">G613*I613</f>
        <v>12000</v>
      </c>
      <c r="I613" s="7">
        <v>1</v>
      </c>
      <c r="J613" s="9" t="s">
        <v>11</v>
      </c>
      <c r="K613" s="9" t="s">
        <v>24</v>
      </c>
      <c r="L613" s="9" t="s">
        <v>110</v>
      </c>
      <c r="M613" s="18">
        <v>12000</v>
      </c>
      <c r="N613" s="17"/>
    </row>
    <row r="614" spans="1:14" ht="30" customHeight="1" outlineLevel="2" x14ac:dyDescent="0.25">
      <c r="A614" s="6">
        <v>15</v>
      </c>
      <c r="B614" s="6" t="str">
        <f t="shared" si="234"/>
        <v xml:space="preserve">ЩАО1 (Альбом 35) </v>
      </c>
      <c r="C614" s="7" t="s">
        <v>10</v>
      </c>
      <c r="D614" s="7">
        <v>296827</v>
      </c>
      <c r="E614" s="8" t="s">
        <v>64</v>
      </c>
      <c r="F614" s="18">
        <v>2337</v>
      </c>
      <c r="G614" s="18">
        <f t="shared" ref="G614:G615" si="236">F614*0.6</f>
        <v>1402.2</v>
      </c>
      <c r="H614" s="18">
        <f t="shared" si="235"/>
        <v>1402.2</v>
      </c>
      <c r="I614" s="7">
        <v>1</v>
      </c>
      <c r="J614" s="9" t="s">
        <v>11</v>
      </c>
      <c r="K614" s="9" t="s">
        <v>22</v>
      </c>
      <c r="L614" s="9" t="s">
        <v>110</v>
      </c>
      <c r="M614" s="18">
        <v>1402.2</v>
      </c>
      <c r="N614" s="17"/>
    </row>
    <row r="615" spans="1:14" ht="30" customHeight="1" outlineLevel="2" x14ac:dyDescent="0.25">
      <c r="A615" s="6">
        <v>15</v>
      </c>
      <c r="B615" s="6" t="str">
        <f t="shared" si="234"/>
        <v xml:space="preserve">ЩАО1 (Альбом 35) </v>
      </c>
      <c r="C615" s="7" t="s">
        <v>10</v>
      </c>
      <c r="D615" s="7">
        <v>296709</v>
      </c>
      <c r="E615" s="8" t="s">
        <v>111</v>
      </c>
      <c r="F615" s="18">
        <v>783</v>
      </c>
      <c r="G615" s="18">
        <f t="shared" si="236"/>
        <v>469.79999999999995</v>
      </c>
      <c r="H615" s="18">
        <f t="shared" si="235"/>
        <v>3758.3999999999996</v>
      </c>
      <c r="I615" s="7">
        <v>8</v>
      </c>
      <c r="J615" s="9" t="s">
        <v>11</v>
      </c>
      <c r="K615" s="9" t="s">
        <v>22</v>
      </c>
      <c r="L615" s="9" t="s">
        <v>110</v>
      </c>
      <c r="M615" s="18">
        <v>3758.3999999999996</v>
      </c>
      <c r="N615" s="17"/>
    </row>
    <row r="616" spans="1:14" ht="30" customHeight="1" outlineLevel="2" x14ac:dyDescent="0.25">
      <c r="A616" s="6">
        <v>19</v>
      </c>
      <c r="B616" s="6" t="str">
        <f t="shared" si="234"/>
        <v xml:space="preserve">ЩАО1 (Альбом 35) </v>
      </c>
      <c r="C616" s="7" t="s">
        <v>8</v>
      </c>
      <c r="D616" s="7" t="s">
        <v>8</v>
      </c>
      <c r="E616" s="8" t="s">
        <v>8</v>
      </c>
      <c r="F616" s="18">
        <f ca="1">OFFSET(F616,1,2)</f>
        <v>12000</v>
      </c>
      <c r="G616" s="18">
        <f ca="1">F616</f>
        <v>12000</v>
      </c>
      <c r="H616" s="18">
        <f t="shared" ca="1" si="235"/>
        <v>12000</v>
      </c>
      <c r="I616" s="7">
        <v>1</v>
      </c>
      <c r="J616" s="9" t="s">
        <v>11</v>
      </c>
      <c r="K616" s="7" t="s">
        <v>8</v>
      </c>
      <c r="L616" s="7" t="s">
        <v>110</v>
      </c>
      <c r="M616" s="18">
        <v>12000</v>
      </c>
      <c r="N616" s="17"/>
    </row>
    <row r="617" spans="1:14" ht="30" customHeight="1" outlineLevel="2" x14ac:dyDescent="0.25">
      <c r="A617" s="6">
        <v>20</v>
      </c>
      <c r="B617" s="6" t="str">
        <f t="shared" si="234"/>
        <v xml:space="preserve">ЩАО1 (Альбом 35) </v>
      </c>
      <c r="C617" s="7" t="s">
        <v>9</v>
      </c>
      <c r="D617" s="7" t="s">
        <v>9</v>
      </c>
      <c r="E617" s="8" t="s">
        <v>9</v>
      </c>
      <c r="F617" s="18">
        <v>2</v>
      </c>
      <c r="G617" s="18">
        <v>100</v>
      </c>
      <c r="H617" s="18">
        <f t="shared" si="235"/>
        <v>12000</v>
      </c>
      <c r="I617" s="7">
        <f>60*F617</f>
        <v>120</v>
      </c>
      <c r="J617" s="9" t="s">
        <v>11</v>
      </c>
      <c r="K617" s="7" t="s">
        <v>9</v>
      </c>
      <c r="L617" s="7" t="s">
        <v>110</v>
      </c>
      <c r="M617" s="18">
        <v>12000</v>
      </c>
      <c r="N617" s="17"/>
    </row>
    <row r="618" spans="1:14" ht="30" customHeight="1" outlineLevel="1" x14ac:dyDescent="0.25">
      <c r="A618" s="6"/>
      <c r="B618" s="6" t="s">
        <v>379</v>
      </c>
      <c r="C618" s="7"/>
      <c r="D618" s="7"/>
      <c r="E618" s="8"/>
      <c r="F618" s="18"/>
      <c r="G618" s="18"/>
      <c r="H618" s="18">
        <f ca="1">SUBTOTAL(9,H612:H617)</f>
        <v>41160.6</v>
      </c>
      <c r="I618" s="7"/>
      <c r="J618" s="9"/>
      <c r="K618" s="7"/>
      <c r="L618" s="7"/>
      <c r="M618" s="18">
        <v>41160.6</v>
      </c>
      <c r="N618" s="17"/>
    </row>
    <row r="619" spans="1:14" ht="30" customHeight="1" outlineLevel="2" x14ac:dyDescent="0.25">
      <c r="A619" s="3">
        <v>13</v>
      </c>
      <c r="B619" s="3" t="str">
        <f>E619</f>
        <v xml:space="preserve">ЩАО2 (Альбом 35) </v>
      </c>
      <c r="C619" s="3"/>
      <c r="D619" s="14"/>
      <c r="E619" s="3" t="s">
        <v>115</v>
      </c>
      <c r="F619" s="13"/>
      <c r="G619" s="13"/>
      <c r="H619" s="13"/>
      <c r="I619" s="5">
        <v>1</v>
      </c>
      <c r="J619" s="4" t="s">
        <v>6</v>
      </c>
      <c r="K619" s="4" t="s">
        <v>23</v>
      </c>
      <c r="L619" s="4" t="s">
        <v>110</v>
      </c>
      <c r="M619" s="13"/>
      <c r="N619" s="17"/>
    </row>
    <row r="620" spans="1:14" ht="30" customHeight="1" outlineLevel="2" x14ac:dyDescent="0.25">
      <c r="A620" s="6">
        <v>14</v>
      </c>
      <c r="B620" s="6" t="str">
        <f t="shared" ref="B620:B624" si="237">B619</f>
        <v xml:space="preserve">ЩАО2 (Альбом 35) </v>
      </c>
      <c r="C620" s="7" t="s">
        <v>7</v>
      </c>
      <c r="D620" s="7" t="s">
        <v>274</v>
      </c>
      <c r="E620" s="8" t="s">
        <v>275</v>
      </c>
      <c r="F620" s="18">
        <v>20000</v>
      </c>
      <c r="G620" s="18">
        <f>0.6*F620</f>
        <v>12000</v>
      </c>
      <c r="H620" s="18">
        <f t="shared" ref="H620:H624" si="238">G620*I620</f>
        <v>12000</v>
      </c>
      <c r="I620" s="7">
        <v>1</v>
      </c>
      <c r="J620" s="9" t="s">
        <v>11</v>
      </c>
      <c r="K620" s="9" t="s">
        <v>24</v>
      </c>
      <c r="L620" s="9" t="s">
        <v>110</v>
      </c>
      <c r="M620" s="18">
        <v>12000</v>
      </c>
      <c r="N620" s="17"/>
    </row>
    <row r="621" spans="1:14" ht="30" customHeight="1" outlineLevel="2" x14ac:dyDescent="0.25">
      <c r="A621" s="6">
        <v>15</v>
      </c>
      <c r="B621" s="6" t="str">
        <f t="shared" si="237"/>
        <v xml:space="preserve">ЩАО2 (Альбом 35) </v>
      </c>
      <c r="C621" s="7" t="s">
        <v>10</v>
      </c>
      <c r="D621" s="7">
        <v>296827</v>
      </c>
      <c r="E621" s="8" t="s">
        <v>64</v>
      </c>
      <c r="F621" s="18">
        <v>2337</v>
      </c>
      <c r="G621" s="18">
        <f t="shared" ref="G621:G622" si="239">F621*0.6</f>
        <v>1402.2</v>
      </c>
      <c r="H621" s="18">
        <f t="shared" si="238"/>
        <v>1402.2</v>
      </c>
      <c r="I621" s="7">
        <v>1</v>
      </c>
      <c r="J621" s="9" t="s">
        <v>11</v>
      </c>
      <c r="K621" s="9" t="s">
        <v>22</v>
      </c>
      <c r="L621" s="9" t="s">
        <v>110</v>
      </c>
      <c r="M621" s="18">
        <v>1402.2</v>
      </c>
      <c r="N621" s="17"/>
    </row>
    <row r="622" spans="1:14" ht="30" customHeight="1" outlineLevel="2" x14ac:dyDescent="0.25">
      <c r="A622" s="6">
        <v>15</v>
      </c>
      <c r="B622" s="6" t="str">
        <f t="shared" si="237"/>
        <v xml:space="preserve">ЩАО2 (Альбом 35) </v>
      </c>
      <c r="C622" s="7" t="s">
        <v>10</v>
      </c>
      <c r="D622" s="7">
        <v>296709</v>
      </c>
      <c r="E622" s="8" t="s">
        <v>111</v>
      </c>
      <c r="F622" s="18">
        <v>783</v>
      </c>
      <c r="G622" s="18">
        <f t="shared" si="239"/>
        <v>469.79999999999995</v>
      </c>
      <c r="H622" s="18">
        <f t="shared" si="238"/>
        <v>6107.4</v>
      </c>
      <c r="I622" s="7">
        <v>13</v>
      </c>
      <c r="J622" s="9" t="s">
        <v>11</v>
      </c>
      <c r="K622" s="9" t="s">
        <v>22</v>
      </c>
      <c r="L622" s="9" t="s">
        <v>110</v>
      </c>
      <c r="M622" s="18">
        <v>6107.4</v>
      </c>
      <c r="N622" s="17"/>
    </row>
    <row r="623" spans="1:14" ht="30" customHeight="1" outlineLevel="2" x14ac:dyDescent="0.25">
      <c r="A623" s="6">
        <v>19</v>
      </c>
      <c r="B623" s="6" t="str">
        <f t="shared" si="237"/>
        <v xml:space="preserve">ЩАО2 (Альбом 35) </v>
      </c>
      <c r="C623" s="7" t="s">
        <v>8</v>
      </c>
      <c r="D623" s="7" t="s">
        <v>8</v>
      </c>
      <c r="E623" s="8" t="s">
        <v>8</v>
      </c>
      <c r="F623" s="18">
        <f ca="1">OFFSET(F623,1,2)</f>
        <v>12000</v>
      </c>
      <c r="G623" s="18">
        <f ca="1">F623</f>
        <v>12000</v>
      </c>
      <c r="H623" s="18">
        <f t="shared" ca="1" si="238"/>
        <v>12000</v>
      </c>
      <c r="I623" s="7">
        <v>1</v>
      </c>
      <c r="J623" s="9" t="s">
        <v>11</v>
      </c>
      <c r="K623" s="7" t="s">
        <v>8</v>
      </c>
      <c r="L623" s="7" t="s">
        <v>110</v>
      </c>
      <c r="M623" s="18">
        <v>12000</v>
      </c>
      <c r="N623" s="17"/>
    </row>
    <row r="624" spans="1:14" ht="30.75" customHeight="1" outlineLevel="2" x14ac:dyDescent="0.25">
      <c r="A624" s="6">
        <v>20</v>
      </c>
      <c r="B624" s="6" t="str">
        <f t="shared" si="237"/>
        <v xml:space="preserve">ЩАО2 (Альбом 35) </v>
      </c>
      <c r="C624" s="7" t="s">
        <v>9</v>
      </c>
      <c r="D624" s="7" t="s">
        <v>9</v>
      </c>
      <c r="E624" s="8" t="s">
        <v>9</v>
      </c>
      <c r="F624" s="18">
        <v>2</v>
      </c>
      <c r="G624" s="18">
        <v>100</v>
      </c>
      <c r="H624" s="18">
        <f t="shared" si="238"/>
        <v>12000</v>
      </c>
      <c r="I624" s="7">
        <f>60*F624</f>
        <v>120</v>
      </c>
      <c r="J624" s="9" t="s">
        <v>11</v>
      </c>
      <c r="K624" s="7" t="s">
        <v>9</v>
      </c>
      <c r="L624" s="7" t="s">
        <v>110</v>
      </c>
      <c r="M624" s="18">
        <v>12000</v>
      </c>
      <c r="N624" s="17"/>
    </row>
    <row r="625" spans="1:14" ht="30.75" customHeight="1" outlineLevel="1" x14ac:dyDescent="0.25">
      <c r="A625" s="6"/>
      <c r="B625" s="6" t="s">
        <v>380</v>
      </c>
      <c r="C625" s="7"/>
      <c r="D625" s="7"/>
      <c r="E625" s="8"/>
      <c r="F625" s="18"/>
      <c r="G625" s="18"/>
      <c r="H625" s="18">
        <f ca="1">SUBTOTAL(9,H619:H624)</f>
        <v>43509.599999999999</v>
      </c>
      <c r="I625" s="7"/>
      <c r="J625" s="9"/>
      <c r="K625" s="7"/>
      <c r="L625" s="7"/>
      <c r="M625" s="18">
        <v>43509.599999999999</v>
      </c>
      <c r="N625" s="17"/>
    </row>
    <row r="626" spans="1:14" ht="30" customHeight="1" outlineLevel="2" x14ac:dyDescent="0.25">
      <c r="A626" s="3">
        <v>13</v>
      </c>
      <c r="B626" s="3" t="str">
        <f>E626</f>
        <v xml:space="preserve">ЩАО3 (Альбом 35) </v>
      </c>
      <c r="C626" s="3"/>
      <c r="D626" s="14"/>
      <c r="E626" s="3" t="s">
        <v>116</v>
      </c>
      <c r="F626" s="13"/>
      <c r="G626" s="13"/>
      <c r="H626" s="13"/>
      <c r="I626" s="5">
        <v>1</v>
      </c>
      <c r="J626" s="4" t="s">
        <v>6</v>
      </c>
      <c r="K626" s="4" t="s">
        <v>23</v>
      </c>
      <c r="L626" s="4" t="s">
        <v>110</v>
      </c>
      <c r="M626" s="13"/>
      <c r="N626" s="17"/>
    </row>
    <row r="627" spans="1:14" ht="30" customHeight="1" outlineLevel="2" x14ac:dyDescent="0.25">
      <c r="A627" s="6">
        <v>14</v>
      </c>
      <c r="B627" s="6" t="str">
        <f t="shared" ref="B627:B631" si="240">B626</f>
        <v xml:space="preserve">ЩАО3 (Альбом 35) </v>
      </c>
      <c r="C627" s="7" t="s">
        <v>7</v>
      </c>
      <c r="D627" s="7" t="s">
        <v>274</v>
      </c>
      <c r="E627" s="8" t="s">
        <v>275</v>
      </c>
      <c r="F627" s="18">
        <v>20000</v>
      </c>
      <c r="G627" s="18">
        <f>0.6*F627</f>
        <v>12000</v>
      </c>
      <c r="H627" s="18">
        <f t="shared" ref="H627:H631" si="241">G627*I627</f>
        <v>12000</v>
      </c>
      <c r="I627" s="7">
        <v>1</v>
      </c>
      <c r="J627" s="9" t="s">
        <v>11</v>
      </c>
      <c r="K627" s="9" t="s">
        <v>24</v>
      </c>
      <c r="L627" s="9" t="s">
        <v>110</v>
      </c>
      <c r="M627" s="18">
        <v>12000</v>
      </c>
      <c r="N627" s="17"/>
    </row>
    <row r="628" spans="1:14" ht="30" customHeight="1" outlineLevel="2" x14ac:dyDescent="0.25">
      <c r="A628" s="6">
        <v>15</v>
      </c>
      <c r="B628" s="6" t="str">
        <f t="shared" si="240"/>
        <v xml:space="preserve">ЩАО3 (Альбом 35) </v>
      </c>
      <c r="C628" s="7" t="s">
        <v>10</v>
      </c>
      <c r="D628" s="7">
        <v>296827</v>
      </c>
      <c r="E628" s="8" t="s">
        <v>64</v>
      </c>
      <c r="F628" s="18">
        <v>2337</v>
      </c>
      <c r="G628" s="18">
        <f t="shared" ref="G628:G629" si="242">F628*0.6</f>
        <v>1402.2</v>
      </c>
      <c r="H628" s="18">
        <f t="shared" si="241"/>
        <v>1402.2</v>
      </c>
      <c r="I628" s="7">
        <v>1</v>
      </c>
      <c r="J628" s="9" t="s">
        <v>11</v>
      </c>
      <c r="K628" s="9" t="s">
        <v>22</v>
      </c>
      <c r="L628" s="9" t="s">
        <v>110</v>
      </c>
      <c r="M628" s="18">
        <v>1402.2</v>
      </c>
      <c r="N628" s="17"/>
    </row>
    <row r="629" spans="1:14" ht="30" customHeight="1" outlineLevel="2" x14ac:dyDescent="0.25">
      <c r="A629" s="6">
        <v>15</v>
      </c>
      <c r="B629" s="6" t="str">
        <f t="shared" si="240"/>
        <v xml:space="preserve">ЩАО3 (Альбом 35) </v>
      </c>
      <c r="C629" s="7" t="s">
        <v>10</v>
      </c>
      <c r="D629" s="7">
        <v>296709</v>
      </c>
      <c r="E629" s="8" t="s">
        <v>111</v>
      </c>
      <c r="F629" s="18">
        <v>783</v>
      </c>
      <c r="G629" s="18">
        <f t="shared" si="242"/>
        <v>469.79999999999995</v>
      </c>
      <c r="H629" s="18">
        <f t="shared" si="241"/>
        <v>5637.5999999999995</v>
      </c>
      <c r="I629" s="7">
        <v>12</v>
      </c>
      <c r="J629" s="9" t="s">
        <v>11</v>
      </c>
      <c r="K629" s="9" t="s">
        <v>22</v>
      </c>
      <c r="L629" s="9" t="s">
        <v>110</v>
      </c>
      <c r="M629" s="18">
        <v>5637.5999999999995</v>
      </c>
      <c r="N629" s="17"/>
    </row>
    <row r="630" spans="1:14" ht="30" customHeight="1" outlineLevel="2" x14ac:dyDescent="0.25">
      <c r="A630" s="6">
        <v>19</v>
      </c>
      <c r="B630" s="6" t="str">
        <f t="shared" si="240"/>
        <v xml:space="preserve">ЩАО3 (Альбом 35) </v>
      </c>
      <c r="C630" s="7" t="s">
        <v>8</v>
      </c>
      <c r="D630" s="7" t="s">
        <v>8</v>
      </c>
      <c r="E630" s="8" t="s">
        <v>8</v>
      </c>
      <c r="F630" s="18">
        <f ca="1">OFFSET(F630,1,2)</f>
        <v>12000</v>
      </c>
      <c r="G630" s="18">
        <f ca="1">F630</f>
        <v>12000</v>
      </c>
      <c r="H630" s="18">
        <f t="shared" ca="1" si="241"/>
        <v>12000</v>
      </c>
      <c r="I630" s="7">
        <v>1</v>
      </c>
      <c r="J630" s="9" t="s">
        <v>11</v>
      </c>
      <c r="K630" s="7" t="s">
        <v>8</v>
      </c>
      <c r="L630" s="7" t="s">
        <v>110</v>
      </c>
      <c r="M630" s="18">
        <v>12000</v>
      </c>
      <c r="N630" s="17"/>
    </row>
    <row r="631" spans="1:14" ht="30" customHeight="1" outlineLevel="2" x14ac:dyDescent="0.25">
      <c r="A631" s="6">
        <v>20</v>
      </c>
      <c r="B631" s="6" t="str">
        <f t="shared" si="240"/>
        <v xml:space="preserve">ЩАО3 (Альбом 35) </v>
      </c>
      <c r="C631" s="7" t="s">
        <v>9</v>
      </c>
      <c r="D631" s="7" t="s">
        <v>9</v>
      </c>
      <c r="E631" s="8" t="s">
        <v>9</v>
      </c>
      <c r="F631" s="18">
        <v>2</v>
      </c>
      <c r="G631" s="18">
        <v>100</v>
      </c>
      <c r="H631" s="18">
        <f t="shared" si="241"/>
        <v>12000</v>
      </c>
      <c r="I631" s="7">
        <f>60*F631</f>
        <v>120</v>
      </c>
      <c r="J631" s="9" t="s">
        <v>11</v>
      </c>
      <c r="K631" s="7" t="s">
        <v>9</v>
      </c>
      <c r="L631" s="7" t="s">
        <v>110</v>
      </c>
      <c r="M631" s="18">
        <v>12000</v>
      </c>
      <c r="N631" s="17"/>
    </row>
    <row r="632" spans="1:14" ht="30" customHeight="1" outlineLevel="1" x14ac:dyDescent="0.25">
      <c r="A632" s="6"/>
      <c r="B632" s="6" t="s">
        <v>381</v>
      </c>
      <c r="C632" s="7"/>
      <c r="D632" s="7"/>
      <c r="E632" s="8"/>
      <c r="F632" s="18"/>
      <c r="G632" s="18"/>
      <c r="H632" s="18">
        <f ca="1">SUBTOTAL(9,H626:H631)</f>
        <v>43039.8</v>
      </c>
      <c r="I632" s="7"/>
      <c r="J632" s="9"/>
      <c r="K632" s="7"/>
      <c r="L632" s="7"/>
      <c r="M632" s="18">
        <v>43039.8</v>
      </c>
      <c r="N632" s="17"/>
    </row>
    <row r="633" spans="1:14" ht="30" customHeight="1" outlineLevel="2" x14ac:dyDescent="0.25">
      <c r="A633" s="3">
        <v>1</v>
      </c>
      <c r="B633" s="3" t="str">
        <f>E633</f>
        <v xml:space="preserve">ВРУ ('ВРУ1-11-10)  (Альбом 36)  </v>
      </c>
      <c r="C633" s="3"/>
      <c r="D633" s="14"/>
      <c r="E633" s="3" t="s">
        <v>246</v>
      </c>
      <c r="F633" s="13"/>
      <c r="G633" s="13"/>
      <c r="H633" s="13"/>
      <c r="I633" s="5">
        <v>1</v>
      </c>
      <c r="J633" s="4" t="s">
        <v>6</v>
      </c>
      <c r="K633" s="4" t="s">
        <v>23</v>
      </c>
      <c r="L633" s="4" t="s">
        <v>117</v>
      </c>
      <c r="M633" s="13"/>
      <c r="N633" s="17"/>
    </row>
    <row r="634" spans="1:14" ht="30" customHeight="1" outlineLevel="2" x14ac:dyDescent="0.25">
      <c r="A634" s="6">
        <v>2</v>
      </c>
      <c r="B634" s="6" t="str">
        <f t="shared" ref="B634:B643" si="243">B633</f>
        <v xml:space="preserve">ВРУ ('ВРУ1-11-10)  (Альбом 36)  </v>
      </c>
      <c r="C634" s="7" t="s">
        <v>7</v>
      </c>
      <c r="D634" s="7" t="s">
        <v>262</v>
      </c>
      <c r="E634" s="8" t="s">
        <v>263</v>
      </c>
      <c r="F634" s="18">
        <v>165000</v>
      </c>
      <c r="G634" s="18">
        <f>0.6*F634</f>
        <v>99000</v>
      </c>
      <c r="H634" s="18">
        <f t="shared" ref="H634:H643" si="244">G634*I634</f>
        <v>99000</v>
      </c>
      <c r="I634" s="7">
        <v>1</v>
      </c>
      <c r="J634" s="9" t="s">
        <v>11</v>
      </c>
      <c r="K634" s="9" t="s">
        <v>24</v>
      </c>
      <c r="L634" s="9" t="s">
        <v>117</v>
      </c>
      <c r="M634" s="18">
        <v>99000</v>
      </c>
      <c r="N634" s="17"/>
    </row>
    <row r="635" spans="1:14" ht="30" customHeight="1" outlineLevel="2" x14ac:dyDescent="0.25">
      <c r="A635" s="6">
        <v>4</v>
      </c>
      <c r="B635" s="6" t="str">
        <f t="shared" si="243"/>
        <v xml:space="preserve">ВРУ ('ВРУ1-11-10)  (Альбом 36)  </v>
      </c>
      <c r="C635" s="7" t="s">
        <v>10</v>
      </c>
      <c r="D635" s="7">
        <v>296708</v>
      </c>
      <c r="E635" s="8" t="s">
        <v>119</v>
      </c>
      <c r="F635" s="18">
        <v>975</v>
      </c>
      <c r="G635" s="18">
        <f t="shared" ref="G635" si="245">F635*0.6</f>
        <v>585</v>
      </c>
      <c r="H635" s="18">
        <f t="shared" si="244"/>
        <v>1170</v>
      </c>
      <c r="I635" s="7">
        <v>2</v>
      </c>
      <c r="J635" s="9" t="s">
        <v>11</v>
      </c>
      <c r="K635" s="9" t="s">
        <v>22</v>
      </c>
      <c r="L635" s="9" t="s">
        <v>117</v>
      </c>
      <c r="M635" s="18">
        <v>1170</v>
      </c>
      <c r="N635" s="17"/>
    </row>
    <row r="636" spans="1:14" ht="30" customHeight="1" outlineLevel="2" x14ac:dyDescent="0.25">
      <c r="A636" s="6">
        <v>5</v>
      </c>
      <c r="B636" s="6" t="str">
        <f t="shared" si="243"/>
        <v xml:space="preserve">ВРУ ('ВРУ1-11-10)  (Альбом 36)  </v>
      </c>
      <c r="C636" s="7" t="s">
        <v>29</v>
      </c>
      <c r="D636" s="7"/>
      <c r="E636" s="10" t="s">
        <v>118</v>
      </c>
      <c r="F636" s="18">
        <v>6000</v>
      </c>
      <c r="G636" s="18">
        <f t="shared" ref="G636:G637" si="246">F636</f>
        <v>6000</v>
      </c>
      <c r="H636" s="18">
        <f t="shared" si="244"/>
        <v>36000</v>
      </c>
      <c r="I636" s="7">
        <v>6</v>
      </c>
      <c r="J636" s="9" t="s">
        <v>11</v>
      </c>
      <c r="K636" s="9" t="s">
        <v>26</v>
      </c>
      <c r="L636" s="9" t="s">
        <v>117</v>
      </c>
      <c r="M636" s="18">
        <v>36000</v>
      </c>
      <c r="N636" s="17"/>
    </row>
    <row r="637" spans="1:14" ht="30" customHeight="1" outlineLevel="2" x14ac:dyDescent="0.25">
      <c r="A637" s="6">
        <v>6</v>
      </c>
      <c r="B637" s="6" t="str">
        <f t="shared" si="243"/>
        <v xml:space="preserve">ВРУ ('ВРУ1-11-10)  (Альбом 36)  </v>
      </c>
      <c r="C637" s="7" t="s">
        <v>120</v>
      </c>
      <c r="D637" s="7" t="s">
        <v>151</v>
      </c>
      <c r="E637" s="8" t="s">
        <v>150</v>
      </c>
      <c r="F637" s="18">
        <v>11674</v>
      </c>
      <c r="G637" s="18">
        <f t="shared" si="246"/>
        <v>11674</v>
      </c>
      <c r="H637" s="18">
        <f t="shared" si="244"/>
        <v>23348</v>
      </c>
      <c r="I637" s="7">
        <v>2</v>
      </c>
      <c r="J637" s="9" t="s">
        <v>11</v>
      </c>
      <c r="K637" s="9" t="s">
        <v>26</v>
      </c>
      <c r="L637" s="9" t="s">
        <v>117</v>
      </c>
      <c r="M637" s="18">
        <v>23348</v>
      </c>
      <c r="N637" s="17"/>
    </row>
    <row r="638" spans="1:14" ht="30" customHeight="1" outlineLevel="2" x14ac:dyDescent="0.25">
      <c r="A638" s="6">
        <v>6</v>
      </c>
      <c r="B638" s="6" t="str">
        <f t="shared" si="243"/>
        <v xml:space="preserve">ВРУ ('ВРУ1-11-10)  (Альбом 36)  </v>
      </c>
      <c r="C638" s="7" t="s">
        <v>250</v>
      </c>
      <c r="D638" s="7" t="s">
        <v>248</v>
      </c>
      <c r="E638" s="8" t="s">
        <v>249</v>
      </c>
      <c r="F638" s="18">
        <v>4750</v>
      </c>
      <c r="G638" s="18">
        <f t="shared" ref="G638:G639" si="247">F638*0.6</f>
        <v>2850</v>
      </c>
      <c r="H638" s="18">
        <f t="shared" si="244"/>
        <v>17100</v>
      </c>
      <c r="I638" s="7">
        <v>6</v>
      </c>
      <c r="J638" s="9" t="s">
        <v>11</v>
      </c>
      <c r="K638" s="9" t="s">
        <v>22</v>
      </c>
      <c r="L638" s="9" t="s">
        <v>117</v>
      </c>
      <c r="M638" s="18">
        <v>17100</v>
      </c>
      <c r="N638" s="17"/>
    </row>
    <row r="639" spans="1:14" ht="30" customHeight="1" outlineLevel="2" x14ac:dyDescent="0.25">
      <c r="A639" s="6">
        <v>6</v>
      </c>
      <c r="B639" s="6" t="str">
        <f t="shared" si="243"/>
        <v xml:space="preserve">ВРУ ('ВРУ1-11-10)  (Альбом 36)  </v>
      </c>
      <c r="C639" s="7" t="s">
        <v>122</v>
      </c>
      <c r="D639" s="7">
        <v>521520</v>
      </c>
      <c r="E639" s="8" t="s">
        <v>247</v>
      </c>
      <c r="F639" s="18">
        <v>3265</v>
      </c>
      <c r="G639" s="18">
        <f t="shared" si="247"/>
        <v>1959</v>
      </c>
      <c r="H639" s="18">
        <f t="shared" si="244"/>
        <v>11754</v>
      </c>
      <c r="I639" s="7">
        <v>6</v>
      </c>
      <c r="J639" s="9" t="s">
        <v>11</v>
      </c>
      <c r="K639" s="9" t="s">
        <v>22</v>
      </c>
      <c r="L639" s="9" t="s">
        <v>117</v>
      </c>
      <c r="M639" s="18">
        <v>11754</v>
      </c>
      <c r="N639" s="17"/>
    </row>
    <row r="640" spans="1:14" ht="30" customHeight="1" outlineLevel="2" x14ac:dyDescent="0.25">
      <c r="A640" s="6">
        <v>6</v>
      </c>
      <c r="B640" s="6" t="str">
        <f t="shared" si="243"/>
        <v xml:space="preserve">ВРУ ('ВРУ1-11-10)  (Альбом 36)  </v>
      </c>
      <c r="C640" s="7" t="s">
        <v>14</v>
      </c>
      <c r="D640" s="7" t="s">
        <v>292</v>
      </c>
      <c r="E640" s="8" t="s">
        <v>293</v>
      </c>
      <c r="F640" s="18">
        <v>80000</v>
      </c>
      <c r="G640" s="18">
        <f>F640</f>
        <v>80000</v>
      </c>
      <c r="H640" s="18">
        <f t="shared" si="244"/>
        <v>160000</v>
      </c>
      <c r="I640" s="7">
        <v>2</v>
      </c>
      <c r="J640" s="9" t="s">
        <v>11</v>
      </c>
      <c r="K640" s="9" t="s">
        <v>26</v>
      </c>
      <c r="L640" s="9" t="s">
        <v>117</v>
      </c>
      <c r="M640" s="18">
        <v>160000</v>
      </c>
      <c r="N640" s="17"/>
    </row>
    <row r="641" spans="1:14" ht="30" customHeight="1" outlineLevel="2" x14ac:dyDescent="0.25">
      <c r="A641" s="6">
        <v>8</v>
      </c>
      <c r="B641" s="6" t="str">
        <f t="shared" si="243"/>
        <v xml:space="preserve">ВРУ ('ВРУ1-11-10)  (Альбом 36)  </v>
      </c>
      <c r="C641" s="8" t="s">
        <v>16</v>
      </c>
      <c r="D641" s="7"/>
      <c r="E641" s="8" t="s">
        <v>16</v>
      </c>
      <c r="F641" s="18">
        <v>1000</v>
      </c>
      <c r="G641" s="18">
        <f>F641</f>
        <v>1000</v>
      </c>
      <c r="H641" s="18">
        <f t="shared" si="244"/>
        <v>1000</v>
      </c>
      <c r="I641" s="7">
        <v>1</v>
      </c>
      <c r="J641" s="9" t="s">
        <v>11</v>
      </c>
      <c r="K641" s="9" t="s">
        <v>25</v>
      </c>
      <c r="L641" s="9" t="s">
        <v>117</v>
      </c>
      <c r="M641" s="18">
        <v>1000</v>
      </c>
      <c r="N641" s="17"/>
    </row>
    <row r="642" spans="1:14" ht="30" customHeight="1" outlineLevel="2" x14ac:dyDescent="0.25">
      <c r="A642" s="6">
        <v>9</v>
      </c>
      <c r="B642" s="6" t="str">
        <f t="shared" si="243"/>
        <v xml:space="preserve">ВРУ ('ВРУ1-11-10)  (Альбом 36)  </v>
      </c>
      <c r="C642" s="7" t="s">
        <v>8</v>
      </c>
      <c r="D642" s="7" t="s">
        <v>8</v>
      </c>
      <c r="E642" s="8" t="s">
        <v>8</v>
      </c>
      <c r="F642" s="18">
        <f ca="1">OFFSET(F642,1,2)</f>
        <v>60000</v>
      </c>
      <c r="G642" s="18">
        <f ca="1">F642</f>
        <v>60000</v>
      </c>
      <c r="H642" s="18">
        <f t="shared" ca="1" si="244"/>
        <v>60000</v>
      </c>
      <c r="I642" s="7">
        <v>1</v>
      </c>
      <c r="J642" s="9" t="s">
        <v>11</v>
      </c>
      <c r="K642" s="7" t="s">
        <v>8</v>
      </c>
      <c r="L642" s="7" t="s">
        <v>117</v>
      </c>
      <c r="M642" s="18">
        <v>60000</v>
      </c>
      <c r="N642" s="17"/>
    </row>
    <row r="643" spans="1:14" ht="30" customHeight="1" outlineLevel="2" x14ac:dyDescent="0.25">
      <c r="A643" s="6">
        <v>10</v>
      </c>
      <c r="B643" s="6" t="str">
        <f t="shared" si="243"/>
        <v xml:space="preserve">ВРУ ('ВРУ1-11-10)  (Альбом 36)  </v>
      </c>
      <c r="C643" s="7" t="s">
        <v>9</v>
      </c>
      <c r="D643" s="7" t="s">
        <v>9</v>
      </c>
      <c r="E643" s="8" t="s">
        <v>9</v>
      </c>
      <c r="F643" s="18">
        <v>10</v>
      </c>
      <c r="G643" s="18">
        <v>100</v>
      </c>
      <c r="H643" s="18">
        <f t="shared" si="244"/>
        <v>60000</v>
      </c>
      <c r="I643" s="7">
        <f>60*F643</f>
        <v>600</v>
      </c>
      <c r="J643" s="9" t="s">
        <v>11</v>
      </c>
      <c r="K643" s="7" t="s">
        <v>9</v>
      </c>
      <c r="L643" s="7" t="s">
        <v>117</v>
      </c>
      <c r="M643" s="18">
        <v>60000</v>
      </c>
      <c r="N643" s="17"/>
    </row>
    <row r="644" spans="1:14" ht="30" customHeight="1" outlineLevel="1" x14ac:dyDescent="0.25">
      <c r="A644" s="6"/>
      <c r="B644" s="6" t="s">
        <v>382</v>
      </c>
      <c r="C644" s="7"/>
      <c r="D644" s="7"/>
      <c r="E644" s="8"/>
      <c r="F644" s="18"/>
      <c r="G644" s="18"/>
      <c r="H644" s="18">
        <f ca="1">SUBTOTAL(9,H633:H643)</f>
        <v>469372</v>
      </c>
      <c r="I644" s="7"/>
      <c r="J644" s="9"/>
      <c r="K644" s="7"/>
      <c r="L644" s="7"/>
      <c r="M644" s="18">
        <v>469372</v>
      </c>
      <c r="N644" s="17"/>
    </row>
    <row r="645" spans="1:14" ht="30" customHeight="1" outlineLevel="2" x14ac:dyDescent="0.25">
      <c r="A645" s="3">
        <v>1</v>
      </c>
      <c r="B645" s="3" t="str">
        <f>E645</f>
        <v xml:space="preserve">ВРУ (ВРУ1-47-00(1 секция-2 секция))   (Альбом 36)  </v>
      </c>
      <c r="C645" s="3"/>
      <c r="D645" s="14"/>
      <c r="E645" s="3" t="s">
        <v>251</v>
      </c>
      <c r="F645" s="13"/>
      <c r="G645" s="13"/>
      <c r="H645" s="13"/>
      <c r="I645" s="5">
        <v>1</v>
      </c>
      <c r="J645" s="4" t="s">
        <v>6</v>
      </c>
      <c r="K645" s="4" t="s">
        <v>23</v>
      </c>
      <c r="L645" s="4" t="s">
        <v>117</v>
      </c>
      <c r="M645" s="13"/>
      <c r="N645" s="17"/>
    </row>
    <row r="646" spans="1:14" ht="30" customHeight="1" outlineLevel="2" x14ac:dyDescent="0.25">
      <c r="A646" s="6">
        <v>2</v>
      </c>
      <c r="B646" s="6" t="str">
        <f t="shared" ref="B646:B653" si="248">B645</f>
        <v xml:space="preserve">ВРУ (ВРУ1-47-00(1 секция-2 секция))   (Альбом 36)  </v>
      </c>
      <c r="C646" s="7" t="s">
        <v>7</v>
      </c>
      <c r="D646" s="7" t="s">
        <v>262</v>
      </c>
      <c r="E646" s="8" t="s">
        <v>263</v>
      </c>
      <c r="F646" s="18">
        <v>165000</v>
      </c>
      <c r="G646" s="18">
        <f>0.6*F646</f>
        <v>99000</v>
      </c>
      <c r="H646" s="18">
        <f t="shared" ref="H646:H653" si="249">G646*I646</f>
        <v>99000</v>
      </c>
      <c r="I646" s="7">
        <v>1</v>
      </c>
      <c r="J646" s="9" t="s">
        <v>11</v>
      </c>
      <c r="K646" s="9" t="s">
        <v>24</v>
      </c>
      <c r="L646" s="9" t="s">
        <v>117</v>
      </c>
      <c r="M646" s="18">
        <v>99000</v>
      </c>
      <c r="N646" s="17"/>
    </row>
    <row r="647" spans="1:14" ht="30" customHeight="1" outlineLevel="2" x14ac:dyDescent="0.25">
      <c r="A647" s="6">
        <v>4</v>
      </c>
      <c r="B647" s="6" t="str">
        <f t="shared" si="248"/>
        <v xml:space="preserve">ВРУ (ВРУ1-47-00(1 секция-2 секция))   (Альбом 36)  </v>
      </c>
      <c r="C647" s="7" t="s">
        <v>122</v>
      </c>
      <c r="D647" s="7">
        <v>521345</v>
      </c>
      <c r="E647" s="8" t="s">
        <v>121</v>
      </c>
      <c r="F647" s="18">
        <v>1525</v>
      </c>
      <c r="G647" s="18">
        <f t="shared" ref="G647:G648" si="250">F647*0.6</f>
        <v>915</v>
      </c>
      <c r="H647" s="18">
        <f t="shared" si="249"/>
        <v>2745</v>
      </c>
      <c r="I647" s="7">
        <v>3</v>
      </c>
      <c r="J647" s="9" t="s">
        <v>11</v>
      </c>
      <c r="K647" s="9" t="s">
        <v>22</v>
      </c>
      <c r="L647" s="9" t="s">
        <v>117</v>
      </c>
      <c r="M647" s="18">
        <v>2745</v>
      </c>
      <c r="N647" s="17"/>
    </row>
    <row r="648" spans="1:14" ht="30" customHeight="1" outlineLevel="2" x14ac:dyDescent="0.25">
      <c r="A648" s="6">
        <v>5</v>
      </c>
      <c r="B648" s="6" t="str">
        <f t="shared" si="248"/>
        <v xml:space="preserve">ВРУ (ВРУ1-47-00(1 секция-2 секция))   (Альбом 36)  </v>
      </c>
      <c r="C648" s="7" t="s">
        <v>122</v>
      </c>
      <c r="D648" s="7">
        <v>521344</v>
      </c>
      <c r="E648" s="10" t="s">
        <v>123</v>
      </c>
      <c r="F648" s="18">
        <v>1525</v>
      </c>
      <c r="G648" s="18">
        <f t="shared" si="250"/>
        <v>915</v>
      </c>
      <c r="H648" s="18">
        <f t="shared" si="249"/>
        <v>5490</v>
      </c>
      <c r="I648" s="7">
        <v>6</v>
      </c>
      <c r="J648" s="9" t="s">
        <v>11</v>
      </c>
      <c r="K648" s="9" t="s">
        <v>22</v>
      </c>
      <c r="L648" s="9" t="s">
        <v>117</v>
      </c>
      <c r="M648" s="18">
        <v>5490</v>
      </c>
      <c r="N648" s="17"/>
    </row>
    <row r="649" spans="1:14" ht="30" customHeight="1" outlineLevel="2" x14ac:dyDescent="0.25">
      <c r="A649" s="6">
        <v>6</v>
      </c>
      <c r="B649" s="6" t="str">
        <f t="shared" si="248"/>
        <v xml:space="preserve">ВРУ (ВРУ1-47-00(1 секция-2 секция))   (Альбом 36)  </v>
      </c>
      <c r="C649" s="7" t="s">
        <v>122</v>
      </c>
      <c r="D649" s="7">
        <v>521341</v>
      </c>
      <c r="E649" s="8" t="s">
        <v>124</v>
      </c>
      <c r="F649" s="18">
        <v>1510</v>
      </c>
      <c r="G649" s="18">
        <f>0.6*F649</f>
        <v>906</v>
      </c>
      <c r="H649" s="18">
        <f t="shared" si="249"/>
        <v>16308</v>
      </c>
      <c r="I649" s="7">
        <v>18</v>
      </c>
      <c r="J649" s="9" t="s">
        <v>11</v>
      </c>
      <c r="K649" s="9" t="s">
        <v>22</v>
      </c>
      <c r="L649" s="9" t="s">
        <v>117</v>
      </c>
      <c r="M649" s="18">
        <v>16308</v>
      </c>
      <c r="N649" s="17"/>
    </row>
    <row r="650" spans="1:14" ht="30" customHeight="1" outlineLevel="2" x14ac:dyDescent="0.25">
      <c r="A650" s="6">
        <v>6</v>
      </c>
      <c r="B650" s="6" t="str">
        <f t="shared" si="248"/>
        <v xml:space="preserve">ВРУ (ВРУ1-47-00(1 секция-2 секция))   (Альбом 36)  </v>
      </c>
      <c r="C650" s="7" t="s">
        <v>122</v>
      </c>
      <c r="D650" s="7">
        <v>521340</v>
      </c>
      <c r="E650" s="8" t="s">
        <v>125</v>
      </c>
      <c r="F650" s="18">
        <v>1510</v>
      </c>
      <c r="G650" s="18">
        <f t="shared" ref="G650:G651" si="251">F650*0.6</f>
        <v>906</v>
      </c>
      <c r="H650" s="18">
        <f t="shared" si="249"/>
        <v>2718</v>
      </c>
      <c r="I650" s="7">
        <v>3</v>
      </c>
      <c r="J650" s="9" t="s">
        <v>11</v>
      </c>
      <c r="K650" s="9" t="s">
        <v>22</v>
      </c>
      <c r="L650" s="9" t="s">
        <v>117</v>
      </c>
      <c r="M650" s="18">
        <v>2718</v>
      </c>
      <c r="N650" s="17"/>
    </row>
    <row r="651" spans="1:14" ht="30" customHeight="1" outlineLevel="2" x14ac:dyDescent="0.25">
      <c r="A651" s="6">
        <v>5</v>
      </c>
      <c r="B651" s="6" t="str">
        <f t="shared" si="248"/>
        <v xml:space="preserve">ВРУ (ВРУ1-47-00(1 секция-2 секция))   (Альбом 36)  </v>
      </c>
      <c r="C651" s="7" t="s">
        <v>250</v>
      </c>
      <c r="D651" s="7" t="s">
        <v>258</v>
      </c>
      <c r="E651" s="10" t="s">
        <v>259</v>
      </c>
      <c r="F651" s="18">
        <v>2038</v>
      </c>
      <c r="G651" s="18">
        <f t="shared" si="251"/>
        <v>1222.8</v>
      </c>
      <c r="H651" s="18">
        <f t="shared" si="249"/>
        <v>36684</v>
      </c>
      <c r="I651" s="7">
        <v>30</v>
      </c>
      <c r="J651" s="9" t="s">
        <v>11</v>
      </c>
      <c r="K651" s="9" t="s">
        <v>22</v>
      </c>
      <c r="L651" s="9" t="s">
        <v>117</v>
      </c>
      <c r="M651" s="18">
        <v>36684</v>
      </c>
      <c r="N651" s="17"/>
    </row>
    <row r="652" spans="1:14" ht="30" customHeight="1" outlineLevel="2" x14ac:dyDescent="0.25">
      <c r="A652" s="6">
        <v>9</v>
      </c>
      <c r="B652" s="6" t="str">
        <f t="shared" si="248"/>
        <v xml:space="preserve">ВРУ (ВРУ1-47-00(1 секция-2 секция))   (Альбом 36)  </v>
      </c>
      <c r="C652" s="7" t="s">
        <v>8</v>
      </c>
      <c r="D652" s="7" t="s">
        <v>8</v>
      </c>
      <c r="E652" s="8" t="s">
        <v>8</v>
      </c>
      <c r="F652" s="18">
        <f ca="1">OFFSET(F652,1,2)</f>
        <v>48000</v>
      </c>
      <c r="G652" s="18">
        <f ca="1">F652</f>
        <v>48000</v>
      </c>
      <c r="H652" s="18">
        <f t="shared" ca="1" si="249"/>
        <v>48000</v>
      </c>
      <c r="I652" s="7">
        <v>1</v>
      </c>
      <c r="J652" s="9" t="s">
        <v>11</v>
      </c>
      <c r="K652" s="7" t="s">
        <v>8</v>
      </c>
      <c r="L652" s="7" t="s">
        <v>117</v>
      </c>
      <c r="M652" s="18">
        <v>48000</v>
      </c>
      <c r="N652" s="17"/>
    </row>
    <row r="653" spans="1:14" ht="30" customHeight="1" outlineLevel="2" x14ac:dyDescent="0.25">
      <c r="A653" s="6">
        <v>10</v>
      </c>
      <c r="B653" s="6" t="str">
        <f t="shared" si="248"/>
        <v xml:space="preserve">ВРУ (ВРУ1-47-00(1 секция-2 секция))   (Альбом 36)  </v>
      </c>
      <c r="C653" s="7" t="s">
        <v>9</v>
      </c>
      <c r="D653" s="7" t="s">
        <v>9</v>
      </c>
      <c r="E653" s="8" t="s">
        <v>9</v>
      </c>
      <c r="F653" s="18">
        <v>8</v>
      </c>
      <c r="G653" s="18">
        <v>100</v>
      </c>
      <c r="H653" s="18">
        <f t="shared" si="249"/>
        <v>48000</v>
      </c>
      <c r="I653" s="7">
        <f>60*F653</f>
        <v>480</v>
      </c>
      <c r="J653" s="9" t="s">
        <v>11</v>
      </c>
      <c r="K653" s="7" t="s">
        <v>9</v>
      </c>
      <c r="L653" s="7" t="s">
        <v>117</v>
      </c>
      <c r="M653" s="18">
        <v>48000</v>
      </c>
      <c r="N653" s="17"/>
    </row>
    <row r="654" spans="1:14" ht="30" customHeight="1" outlineLevel="1" x14ac:dyDescent="0.25">
      <c r="A654" s="6"/>
      <c r="B654" s="6" t="s">
        <v>383</v>
      </c>
      <c r="C654" s="7"/>
      <c r="D654" s="7"/>
      <c r="E654" s="8"/>
      <c r="F654" s="18"/>
      <c r="G654" s="18"/>
      <c r="H654" s="18">
        <f ca="1">SUBTOTAL(9,H645:H653)</f>
        <v>258945</v>
      </c>
      <c r="I654" s="7"/>
      <c r="J654" s="9"/>
      <c r="K654" s="7"/>
      <c r="L654" s="7"/>
      <c r="M654" s="18">
        <v>258945</v>
      </c>
      <c r="N654" s="17"/>
    </row>
    <row r="655" spans="1:14" ht="30" customHeight="1" outlineLevel="2" x14ac:dyDescent="0.25">
      <c r="A655" s="3">
        <v>13</v>
      </c>
      <c r="B655" s="3" t="str">
        <f>E655</f>
        <v xml:space="preserve">ЩО1 (Альбом 36) </v>
      </c>
      <c r="C655" s="3"/>
      <c r="D655" s="14"/>
      <c r="E655" s="3" t="s">
        <v>126</v>
      </c>
      <c r="F655" s="13"/>
      <c r="G655" s="13"/>
      <c r="H655" s="13"/>
      <c r="I655" s="5">
        <v>1</v>
      </c>
      <c r="J655" s="4" t="s">
        <v>6</v>
      </c>
      <c r="K655" s="4" t="s">
        <v>23</v>
      </c>
      <c r="L655" s="4" t="s">
        <v>117</v>
      </c>
      <c r="M655" s="13"/>
      <c r="N655" s="17"/>
    </row>
    <row r="656" spans="1:14" ht="30" customHeight="1" outlineLevel="2" x14ac:dyDescent="0.25">
      <c r="A656" s="6">
        <v>14</v>
      </c>
      <c r="B656" s="6" t="str">
        <f t="shared" ref="B656:B661" si="252">B655</f>
        <v xml:space="preserve">ЩО1 (Альбом 36) </v>
      </c>
      <c r="C656" s="7" t="s">
        <v>7</v>
      </c>
      <c r="D656" s="7" t="s">
        <v>272</v>
      </c>
      <c r="E656" s="8" t="s">
        <v>273</v>
      </c>
      <c r="F656" s="18">
        <v>17000</v>
      </c>
      <c r="G656" s="18">
        <f>0.6*F656</f>
        <v>10200</v>
      </c>
      <c r="H656" s="18">
        <f t="shared" ref="H656:H661" si="253">G656*I656</f>
        <v>10200</v>
      </c>
      <c r="I656" s="7">
        <v>1</v>
      </c>
      <c r="J656" s="9" t="s">
        <v>11</v>
      </c>
      <c r="K656" s="9" t="s">
        <v>24</v>
      </c>
      <c r="L656" s="9" t="s">
        <v>117</v>
      </c>
      <c r="M656" s="18">
        <v>10200</v>
      </c>
      <c r="N656" s="17"/>
    </row>
    <row r="657" spans="1:14" ht="30" customHeight="1" outlineLevel="2" x14ac:dyDescent="0.25">
      <c r="A657" s="6">
        <v>15</v>
      </c>
      <c r="B657" s="6" t="str">
        <f t="shared" si="252"/>
        <v xml:space="preserve">ЩО1 (Альбом 36) </v>
      </c>
      <c r="C657" s="7" t="s">
        <v>10</v>
      </c>
      <c r="D657" s="7">
        <v>296829</v>
      </c>
      <c r="E657" s="8" t="s">
        <v>44</v>
      </c>
      <c r="F657" s="18">
        <v>2429</v>
      </c>
      <c r="G657" s="18">
        <f t="shared" ref="G657:G659" si="254">F657*0.6</f>
        <v>1457.3999999999999</v>
      </c>
      <c r="H657" s="18">
        <f t="shared" si="253"/>
        <v>1457.3999999999999</v>
      </c>
      <c r="I657" s="7">
        <v>1</v>
      </c>
      <c r="J657" s="9" t="s">
        <v>11</v>
      </c>
      <c r="K657" s="9" t="s">
        <v>22</v>
      </c>
      <c r="L657" s="9" t="s">
        <v>117</v>
      </c>
      <c r="M657" s="18">
        <v>1457.3999999999999</v>
      </c>
      <c r="N657" s="17"/>
    </row>
    <row r="658" spans="1:14" ht="30" customHeight="1" outlineLevel="2" x14ac:dyDescent="0.25">
      <c r="A658" s="6">
        <v>15</v>
      </c>
      <c r="B658" s="6" t="str">
        <f t="shared" si="252"/>
        <v xml:space="preserve">ЩО1 (Альбом 36) </v>
      </c>
      <c r="C658" s="7" t="s">
        <v>10</v>
      </c>
      <c r="D658" s="7">
        <v>296710</v>
      </c>
      <c r="E658" s="8" t="s">
        <v>41</v>
      </c>
      <c r="F658" s="18">
        <v>783</v>
      </c>
      <c r="G658" s="18">
        <f t="shared" si="254"/>
        <v>469.79999999999995</v>
      </c>
      <c r="H658" s="18">
        <f t="shared" si="253"/>
        <v>3288.5999999999995</v>
      </c>
      <c r="I658" s="7">
        <v>7</v>
      </c>
      <c r="J658" s="9" t="s">
        <v>11</v>
      </c>
      <c r="K658" s="9" t="s">
        <v>22</v>
      </c>
      <c r="L658" s="9" t="s">
        <v>117</v>
      </c>
      <c r="M658" s="18">
        <v>3288.5999999999995</v>
      </c>
      <c r="N658" s="17"/>
    </row>
    <row r="659" spans="1:14" ht="30" customHeight="1" outlineLevel="2" x14ac:dyDescent="0.25">
      <c r="A659" s="6">
        <v>15</v>
      </c>
      <c r="B659" s="6" t="str">
        <f t="shared" si="252"/>
        <v xml:space="preserve">ЩО1 (Альбом 36) </v>
      </c>
      <c r="C659" s="7" t="s">
        <v>12</v>
      </c>
      <c r="D659" s="7">
        <v>105542</v>
      </c>
      <c r="E659" s="8" t="s">
        <v>43</v>
      </c>
      <c r="F659" s="18">
        <v>5093</v>
      </c>
      <c r="G659" s="18">
        <f t="shared" si="254"/>
        <v>3055.7999999999997</v>
      </c>
      <c r="H659" s="18">
        <f t="shared" si="253"/>
        <v>9167.4</v>
      </c>
      <c r="I659" s="7">
        <v>3</v>
      </c>
      <c r="J659" s="9" t="s">
        <v>11</v>
      </c>
      <c r="K659" s="9" t="s">
        <v>22</v>
      </c>
      <c r="L659" s="9" t="s">
        <v>117</v>
      </c>
      <c r="M659" s="18">
        <v>9167.4</v>
      </c>
      <c r="N659" s="17"/>
    </row>
    <row r="660" spans="1:14" ht="28.5" customHeight="1" outlineLevel="2" x14ac:dyDescent="0.25">
      <c r="A660" s="6">
        <v>19</v>
      </c>
      <c r="B660" s="6" t="str">
        <f t="shared" si="252"/>
        <v xml:space="preserve">ЩО1 (Альбом 36) </v>
      </c>
      <c r="C660" s="7" t="s">
        <v>8</v>
      </c>
      <c r="D660" s="7" t="s">
        <v>8</v>
      </c>
      <c r="E660" s="8" t="s">
        <v>8</v>
      </c>
      <c r="F660" s="18">
        <f ca="1">OFFSET(F660,1,2)</f>
        <v>9000</v>
      </c>
      <c r="G660" s="18">
        <f ca="1">F660</f>
        <v>9000</v>
      </c>
      <c r="H660" s="18">
        <f t="shared" ca="1" si="253"/>
        <v>9000</v>
      </c>
      <c r="I660" s="7">
        <v>1</v>
      </c>
      <c r="J660" s="9" t="s">
        <v>11</v>
      </c>
      <c r="K660" s="7" t="s">
        <v>8</v>
      </c>
      <c r="L660" s="7" t="s">
        <v>117</v>
      </c>
      <c r="M660" s="18">
        <v>9000</v>
      </c>
      <c r="N660" s="17"/>
    </row>
    <row r="661" spans="1:14" ht="30" customHeight="1" outlineLevel="2" x14ac:dyDescent="0.25">
      <c r="A661" s="6">
        <v>20</v>
      </c>
      <c r="B661" s="6" t="str">
        <f t="shared" si="252"/>
        <v xml:space="preserve">ЩО1 (Альбом 36) </v>
      </c>
      <c r="C661" s="7" t="s">
        <v>9</v>
      </c>
      <c r="D661" s="7" t="s">
        <v>9</v>
      </c>
      <c r="E661" s="8" t="s">
        <v>9</v>
      </c>
      <c r="F661" s="18">
        <v>1.5</v>
      </c>
      <c r="G661" s="18">
        <v>100</v>
      </c>
      <c r="H661" s="18">
        <f t="shared" si="253"/>
        <v>9000</v>
      </c>
      <c r="I661" s="7">
        <f>60*F661</f>
        <v>90</v>
      </c>
      <c r="J661" s="9" t="s">
        <v>11</v>
      </c>
      <c r="K661" s="7" t="s">
        <v>9</v>
      </c>
      <c r="L661" s="7" t="s">
        <v>117</v>
      </c>
      <c r="M661" s="18">
        <v>9000</v>
      </c>
      <c r="N661" s="17"/>
    </row>
    <row r="662" spans="1:14" ht="30" customHeight="1" outlineLevel="1" x14ac:dyDescent="0.25">
      <c r="A662" s="6"/>
      <c r="B662" s="6" t="s">
        <v>384</v>
      </c>
      <c r="C662" s="7"/>
      <c r="D662" s="7"/>
      <c r="E662" s="8"/>
      <c r="F662" s="18"/>
      <c r="G662" s="18"/>
      <c r="H662" s="18">
        <f ca="1">SUBTOTAL(9,H655:H661)</f>
        <v>42113.4</v>
      </c>
      <c r="I662" s="7"/>
      <c r="J662" s="9"/>
      <c r="K662" s="7"/>
      <c r="L662" s="7"/>
      <c r="M662" s="18">
        <v>42113.4</v>
      </c>
      <c r="N662" s="17"/>
    </row>
    <row r="663" spans="1:14" ht="30" customHeight="1" outlineLevel="2" x14ac:dyDescent="0.25">
      <c r="A663" s="3">
        <v>13</v>
      </c>
      <c r="B663" s="3" t="str">
        <f>E663</f>
        <v xml:space="preserve">ЩО2 (Альбом 36) </v>
      </c>
      <c r="C663" s="3"/>
      <c r="D663" s="14"/>
      <c r="E663" s="3" t="s">
        <v>127</v>
      </c>
      <c r="F663" s="13"/>
      <c r="G663" s="13"/>
      <c r="H663" s="13"/>
      <c r="I663" s="5">
        <v>1</v>
      </c>
      <c r="J663" s="4" t="s">
        <v>6</v>
      </c>
      <c r="K663" s="4" t="s">
        <v>23</v>
      </c>
      <c r="L663" s="4" t="s">
        <v>117</v>
      </c>
      <c r="M663" s="13"/>
      <c r="N663" s="17"/>
    </row>
    <row r="664" spans="1:14" ht="30" customHeight="1" outlineLevel="2" x14ac:dyDescent="0.25">
      <c r="A664" s="6">
        <v>14</v>
      </c>
      <c r="B664" s="6" t="str">
        <f t="shared" ref="B664:B668" si="255">B663</f>
        <v xml:space="preserve">ЩО2 (Альбом 36) </v>
      </c>
      <c r="C664" s="7" t="s">
        <v>7</v>
      </c>
      <c r="D664" s="7" t="s">
        <v>268</v>
      </c>
      <c r="E664" s="8" t="s">
        <v>269</v>
      </c>
      <c r="F664" s="18">
        <v>10500</v>
      </c>
      <c r="G664" s="18">
        <f>0.6*F664</f>
        <v>6300</v>
      </c>
      <c r="H664" s="18">
        <f t="shared" ref="H664:H668" si="256">G664*I664</f>
        <v>6300</v>
      </c>
      <c r="I664" s="7">
        <v>1</v>
      </c>
      <c r="J664" s="9" t="s">
        <v>11</v>
      </c>
      <c r="K664" s="9" t="s">
        <v>24</v>
      </c>
      <c r="L664" s="9" t="s">
        <v>117</v>
      </c>
      <c r="M664" s="18">
        <v>6300</v>
      </c>
      <c r="N664" s="17"/>
    </row>
    <row r="665" spans="1:14" ht="30" customHeight="1" outlineLevel="2" x14ac:dyDescent="0.25">
      <c r="A665" s="6">
        <v>15</v>
      </c>
      <c r="B665" s="6" t="str">
        <f t="shared" si="255"/>
        <v xml:space="preserve">ЩО2 (Альбом 36) </v>
      </c>
      <c r="C665" s="7" t="s">
        <v>10</v>
      </c>
      <c r="D665" s="7">
        <v>296829</v>
      </c>
      <c r="E665" s="8" t="s">
        <v>44</v>
      </c>
      <c r="F665" s="18">
        <v>2429</v>
      </c>
      <c r="G665" s="18">
        <f t="shared" ref="G665:G666" si="257">F665*0.6</f>
        <v>1457.3999999999999</v>
      </c>
      <c r="H665" s="18">
        <f t="shared" si="256"/>
        <v>1457.3999999999999</v>
      </c>
      <c r="I665" s="7">
        <v>1</v>
      </c>
      <c r="J665" s="9" t="s">
        <v>11</v>
      </c>
      <c r="K665" s="9" t="s">
        <v>22</v>
      </c>
      <c r="L665" s="9" t="s">
        <v>117</v>
      </c>
      <c r="M665" s="18">
        <v>1457.3999999999999</v>
      </c>
      <c r="N665" s="17"/>
    </row>
    <row r="666" spans="1:14" ht="30" customHeight="1" outlineLevel="2" x14ac:dyDescent="0.25">
      <c r="A666" s="6">
        <v>15</v>
      </c>
      <c r="B666" s="6" t="str">
        <f t="shared" si="255"/>
        <v xml:space="preserve">ЩО2 (Альбом 36) </v>
      </c>
      <c r="C666" s="7" t="s">
        <v>10</v>
      </c>
      <c r="D666" s="7">
        <v>296710</v>
      </c>
      <c r="E666" s="8" t="s">
        <v>41</v>
      </c>
      <c r="F666" s="18">
        <v>783</v>
      </c>
      <c r="G666" s="18">
        <f t="shared" si="257"/>
        <v>469.79999999999995</v>
      </c>
      <c r="H666" s="18">
        <f t="shared" si="256"/>
        <v>3288.5999999999995</v>
      </c>
      <c r="I666" s="7">
        <v>7</v>
      </c>
      <c r="J666" s="9" t="s">
        <v>11</v>
      </c>
      <c r="K666" s="9" t="s">
        <v>22</v>
      </c>
      <c r="L666" s="9" t="s">
        <v>117</v>
      </c>
      <c r="M666" s="18">
        <v>3288.5999999999995</v>
      </c>
      <c r="N666" s="17"/>
    </row>
    <row r="667" spans="1:14" ht="28.5" customHeight="1" outlineLevel="2" x14ac:dyDescent="0.25">
      <c r="A667" s="6">
        <v>19</v>
      </c>
      <c r="B667" s="6" t="str">
        <f t="shared" si="255"/>
        <v xml:space="preserve">ЩО2 (Альбом 36) </v>
      </c>
      <c r="C667" s="7" t="s">
        <v>8</v>
      </c>
      <c r="D667" s="7" t="s">
        <v>8</v>
      </c>
      <c r="E667" s="8" t="s">
        <v>8</v>
      </c>
      <c r="F667" s="18">
        <f ca="1">OFFSET(F667,1,2)</f>
        <v>6000</v>
      </c>
      <c r="G667" s="18">
        <f ca="1">F667</f>
        <v>6000</v>
      </c>
      <c r="H667" s="18">
        <f t="shared" ca="1" si="256"/>
        <v>6000</v>
      </c>
      <c r="I667" s="7">
        <v>1</v>
      </c>
      <c r="J667" s="9" t="s">
        <v>11</v>
      </c>
      <c r="K667" s="7" t="s">
        <v>8</v>
      </c>
      <c r="L667" s="7" t="s">
        <v>117</v>
      </c>
      <c r="M667" s="18">
        <v>6000</v>
      </c>
      <c r="N667" s="17"/>
    </row>
    <row r="668" spans="1:14" ht="30" customHeight="1" outlineLevel="2" x14ac:dyDescent="0.25">
      <c r="A668" s="6">
        <v>20</v>
      </c>
      <c r="B668" s="6" t="str">
        <f t="shared" si="255"/>
        <v xml:space="preserve">ЩО2 (Альбом 36) </v>
      </c>
      <c r="C668" s="7" t="s">
        <v>9</v>
      </c>
      <c r="D668" s="7" t="s">
        <v>9</v>
      </c>
      <c r="E668" s="8" t="s">
        <v>9</v>
      </c>
      <c r="F668" s="18">
        <v>1</v>
      </c>
      <c r="G668" s="18">
        <v>100</v>
      </c>
      <c r="H668" s="18">
        <f t="shared" si="256"/>
        <v>6000</v>
      </c>
      <c r="I668" s="7">
        <f>60*F668</f>
        <v>60</v>
      </c>
      <c r="J668" s="9" t="s">
        <v>11</v>
      </c>
      <c r="K668" s="7" t="s">
        <v>9</v>
      </c>
      <c r="L668" s="7" t="s">
        <v>117</v>
      </c>
      <c r="M668" s="18">
        <v>6000</v>
      </c>
      <c r="N668" s="17"/>
    </row>
    <row r="669" spans="1:14" ht="30" customHeight="1" outlineLevel="1" x14ac:dyDescent="0.25">
      <c r="A669" s="6"/>
      <c r="B669" s="6" t="s">
        <v>385</v>
      </c>
      <c r="C669" s="7"/>
      <c r="D669" s="7"/>
      <c r="E669" s="8"/>
      <c r="F669" s="18"/>
      <c r="G669" s="18"/>
      <c r="H669" s="18">
        <f ca="1">SUBTOTAL(9,H663:H668)</f>
        <v>23046</v>
      </c>
      <c r="I669" s="7"/>
      <c r="J669" s="9"/>
      <c r="K669" s="7"/>
      <c r="L669" s="7"/>
      <c r="M669" s="18">
        <v>23046</v>
      </c>
      <c r="N669" s="17"/>
    </row>
    <row r="670" spans="1:14" ht="30" customHeight="1" outlineLevel="2" x14ac:dyDescent="0.25">
      <c r="A670" s="3">
        <v>13</v>
      </c>
      <c r="B670" s="3" t="str">
        <f>E670</f>
        <v xml:space="preserve">ЩО3 (Альбом 36) </v>
      </c>
      <c r="C670" s="3"/>
      <c r="D670" s="14"/>
      <c r="E670" s="3" t="s">
        <v>128</v>
      </c>
      <c r="F670" s="13"/>
      <c r="G670" s="13"/>
      <c r="H670" s="13"/>
      <c r="I670" s="5">
        <v>1</v>
      </c>
      <c r="J670" s="4" t="s">
        <v>6</v>
      </c>
      <c r="K670" s="4" t="s">
        <v>23</v>
      </c>
      <c r="L670" s="4" t="s">
        <v>117</v>
      </c>
      <c r="M670" s="13"/>
      <c r="N670" s="17"/>
    </row>
    <row r="671" spans="1:14" ht="30" customHeight="1" outlineLevel="2" x14ac:dyDescent="0.25">
      <c r="A671" s="6">
        <v>14</v>
      </c>
      <c r="B671" s="6" t="str">
        <f t="shared" ref="B671:B676" si="258">B670</f>
        <v xml:space="preserve">ЩО3 (Альбом 36) </v>
      </c>
      <c r="C671" s="7" t="s">
        <v>7</v>
      </c>
      <c r="D671" s="7" t="s">
        <v>274</v>
      </c>
      <c r="E671" s="8" t="s">
        <v>275</v>
      </c>
      <c r="F671" s="18">
        <v>20000</v>
      </c>
      <c r="G671" s="18">
        <f>0.6*F671</f>
        <v>12000</v>
      </c>
      <c r="H671" s="18">
        <f t="shared" ref="H671:H676" si="259">G671*I671</f>
        <v>12000</v>
      </c>
      <c r="I671" s="7">
        <v>1</v>
      </c>
      <c r="J671" s="9" t="s">
        <v>11</v>
      </c>
      <c r="K671" s="9" t="s">
        <v>24</v>
      </c>
      <c r="L671" s="9" t="s">
        <v>117</v>
      </c>
      <c r="M671" s="18">
        <v>12000</v>
      </c>
      <c r="N671" s="17"/>
    </row>
    <row r="672" spans="1:14" ht="30" customHeight="1" outlineLevel="2" x14ac:dyDescent="0.25">
      <c r="A672" s="6">
        <v>15</v>
      </c>
      <c r="B672" s="6" t="str">
        <f t="shared" si="258"/>
        <v xml:space="preserve">ЩО3 (Альбом 36) </v>
      </c>
      <c r="C672" s="7" t="s">
        <v>10</v>
      </c>
      <c r="D672" s="7">
        <v>296829</v>
      </c>
      <c r="E672" s="8" t="s">
        <v>44</v>
      </c>
      <c r="F672" s="18">
        <v>2429</v>
      </c>
      <c r="G672" s="18">
        <f t="shared" ref="G672:G674" si="260">F672*0.6</f>
        <v>1457.3999999999999</v>
      </c>
      <c r="H672" s="18">
        <f t="shared" si="259"/>
        <v>1457.3999999999999</v>
      </c>
      <c r="I672" s="7">
        <v>1</v>
      </c>
      <c r="J672" s="9" t="s">
        <v>11</v>
      </c>
      <c r="K672" s="9" t="s">
        <v>22</v>
      </c>
      <c r="L672" s="9" t="s">
        <v>117</v>
      </c>
      <c r="M672" s="18">
        <v>1457.3999999999999</v>
      </c>
      <c r="N672" s="17"/>
    </row>
    <row r="673" spans="1:14" ht="30" customHeight="1" outlineLevel="2" x14ac:dyDescent="0.25">
      <c r="A673" s="6">
        <v>15</v>
      </c>
      <c r="B673" s="6" t="str">
        <f t="shared" si="258"/>
        <v xml:space="preserve">ЩО3 (Альбом 36) </v>
      </c>
      <c r="C673" s="7" t="s">
        <v>10</v>
      </c>
      <c r="D673" s="7">
        <v>296710</v>
      </c>
      <c r="E673" s="8" t="s">
        <v>41</v>
      </c>
      <c r="F673" s="18">
        <v>783</v>
      </c>
      <c r="G673" s="18">
        <f t="shared" si="260"/>
        <v>469.79999999999995</v>
      </c>
      <c r="H673" s="18">
        <f t="shared" si="259"/>
        <v>4698</v>
      </c>
      <c r="I673" s="7">
        <v>10</v>
      </c>
      <c r="J673" s="9" t="s">
        <v>11</v>
      </c>
      <c r="K673" s="9" t="s">
        <v>22</v>
      </c>
      <c r="L673" s="9" t="s">
        <v>117</v>
      </c>
      <c r="M673" s="18">
        <v>4698</v>
      </c>
      <c r="N673" s="17"/>
    </row>
    <row r="674" spans="1:14" ht="30" customHeight="1" outlineLevel="2" x14ac:dyDescent="0.25">
      <c r="A674" s="6">
        <v>15</v>
      </c>
      <c r="B674" s="6" t="str">
        <f t="shared" si="258"/>
        <v xml:space="preserve">ЩО3 (Альбом 36) </v>
      </c>
      <c r="C674" s="7" t="s">
        <v>12</v>
      </c>
      <c r="D674" s="7">
        <v>105542</v>
      </c>
      <c r="E674" s="8" t="s">
        <v>43</v>
      </c>
      <c r="F674" s="18">
        <v>5093</v>
      </c>
      <c r="G674" s="18">
        <f t="shared" si="260"/>
        <v>3055.7999999999997</v>
      </c>
      <c r="H674" s="18">
        <f t="shared" si="259"/>
        <v>12223.199999999999</v>
      </c>
      <c r="I674" s="7">
        <v>4</v>
      </c>
      <c r="J674" s="9" t="s">
        <v>11</v>
      </c>
      <c r="K674" s="9" t="s">
        <v>22</v>
      </c>
      <c r="L674" s="9" t="s">
        <v>117</v>
      </c>
      <c r="M674" s="18">
        <v>12223.199999999999</v>
      </c>
      <c r="N674" s="17"/>
    </row>
    <row r="675" spans="1:14" ht="28.5" customHeight="1" outlineLevel="2" x14ac:dyDescent="0.25">
      <c r="A675" s="6">
        <v>19</v>
      </c>
      <c r="B675" s="6" t="str">
        <f t="shared" si="258"/>
        <v xml:space="preserve">ЩО3 (Альбом 36) </v>
      </c>
      <c r="C675" s="7" t="s">
        <v>8</v>
      </c>
      <c r="D675" s="7" t="s">
        <v>8</v>
      </c>
      <c r="E675" s="8" t="s">
        <v>8</v>
      </c>
      <c r="F675" s="18">
        <f ca="1">OFFSET(F675,1,2)</f>
        <v>12000</v>
      </c>
      <c r="G675" s="18">
        <f ca="1">F675</f>
        <v>12000</v>
      </c>
      <c r="H675" s="18">
        <f t="shared" ca="1" si="259"/>
        <v>12000</v>
      </c>
      <c r="I675" s="7">
        <v>1</v>
      </c>
      <c r="J675" s="9" t="s">
        <v>11</v>
      </c>
      <c r="K675" s="7" t="s">
        <v>8</v>
      </c>
      <c r="L675" s="7" t="s">
        <v>117</v>
      </c>
      <c r="M675" s="18">
        <v>12000</v>
      </c>
      <c r="N675" s="17"/>
    </row>
    <row r="676" spans="1:14" ht="30" customHeight="1" outlineLevel="2" x14ac:dyDescent="0.25">
      <c r="A676" s="6">
        <v>20</v>
      </c>
      <c r="B676" s="6" t="str">
        <f t="shared" si="258"/>
        <v xml:space="preserve">ЩО3 (Альбом 36) </v>
      </c>
      <c r="C676" s="7" t="s">
        <v>9</v>
      </c>
      <c r="D676" s="7" t="s">
        <v>9</v>
      </c>
      <c r="E676" s="8" t="s">
        <v>9</v>
      </c>
      <c r="F676" s="18">
        <v>2</v>
      </c>
      <c r="G676" s="18">
        <v>100</v>
      </c>
      <c r="H676" s="18">
        <f t="shared" si="259"/>
        <v>12000</v>
      </c>
      <c r="I676" s="7">
        <f>60*F676</f>
        <v>120</v>
      </c>
      <c r="J676" s="9" t="s">
        <v>11</v>
      </c>
      <c r="K676" s="7" t="s">
        <v>9</v>
      </c>
      <c r="L676" s="7" t="s">
        <v>117</v>
      </c>
      <c r="M676" s="18">
        <v>12000</v>
      </c>
      <c r="N676" s="17"/>
    </row>
    <row r="677" spans="1:14" ht="30" customHeight="1" outlineLevel="1" x14ac:dyDescent="0.25">
      <c r="A677" s="6"/>
      <c r="B677" s="6" t="s">
        <v>386</v>
      </c>
      <c r="C677" s="7"/>
      <c r="D677" s="7"/>
      <c r="E677" s="8"/>
      <c r="F677" s="18"/>
      <c r="G677" s="18"/>
      <c r="H677" s="18">
        <f ca="1">SUBTOTAL(9,H670:H676)</f>
        <v>54378.6</v>
      </c>
      <c r="I677" s="7"/>
      <c r="J677" s="9"/>
      <c r="K677" s="7"/>
      <c r="L677" s="7"/>
      <c r="M677" s="18">
        <v>54378.6</v>
      </c>
      <c r="N677" s="17"/>
    </row>
    <row r="678" spans="1:14" ht="30" customHeight="1" outlineLevel="2" x14ac:dyDescent="0.25">
      <c r="A678" s="3">
        <v>13</v>
      </c>
      <c r="B678" s="3" t="str">
        <f>E678</f>
        <v xml:space="preserve">ЩО4 (Альбом 36) </v>
      </c>
      <c r="C678" s="3"/>
      <c r="D678" s="14"/>
      <c r="E678" s="3" t="s">
        <v>129</v>
      </c>
      <c r="F678" s="13"/>
      <c r="G678" s="13"/>
      <c r="H678" s="13"/>
      <c r="I678" s="5">
        <v>1</v>
      </c>
      <c r="J678" s="4" t="s">
        <v>6</v>
      </c>
      <c r="K678" s="4" t="s">
        <v>23</v>
      </c>
      <c r="L678" s="4" t="s">
        <v>117</v>
      </c>
      <c r="M678" s="13"/>
      <c r="N678" s="17"/>
    </row>
    <row r="679" spans="1:14" ht="30" customHeight="1" outlineLevel="2" x14ac:dyDescent="0.25">
      <c r="A679" s="6">
        <v>14</v>
      </c>
      <c r="B679" s="6" t="str">
        <f t="shared" ref="B679:B684" si="261">B678</f>
        <v xml:space="preserve">ЩО4 (Альбом 36) </v>
      </c>
      <c r="C679" s="7" t="s">
        <v>7</v>
      </c>
      <c r="D679" s="7" t="s">
        <v>270</v>
      </c>
      <c r="E679" s="8" t="s">
        <v>271</v>
      </c>
      <c r="F679" s="18">
        <v>16000</v>
      </c>
      <c r="G679" s="18">
        <f>0.6*F679</f>
        <v>9600</v>
      </c>
      <c r="H679" s="18">
        <f t="shared" ref="H679:H684" si="262">G679*I679</f>
        <v>9600</v>
      </c>
      <c r="I679" s="7">
        <v>1</v>
      </c>
      <c r="J679" s="9" t="s">
        <v>11</v>
      </c>
      <c r="K679" s="9" t="s">
        <v>24</v>
      </c>
      <c r="L679" s="9" t="s">
        <v>117</v>
      </c>
      <c r="M679" s="18">
        <v>9600</v>
      </c>
      <c r="N679" s="17"/>
    </row>
    <row r="680" spans="1:14" ht="30" customHeight="1" outlineLevel="2" x14ac:dyDescent="0.25">
      <c r="A680" s="6">
        <v>15</v>
      </c>
      <c r="B680" s="6" t="str">
        <f t="shared" si="261"/>
        <v xml:space="preserve">ЩО4 (Альбом 36) </v>
      </c>
      <c r="C680" s="7" t="s">
        <v>10</v>
      </c>
      <c r="D680" s="7">
        <v>296829</v>
      </c>
      <c r="E680" s="8" t="s">
        <v>44</v>
      </c>
      <c r="F680" s="18">
        <v>2429</v>
      </c>
      <c r="G680" s="18">
        <f t="shared" ref="G680:G682" si="263">F680*0.6</f>
        <v>1457.3999999999999</v>
      </c>
      <c r="H680" s="18">
        <f t="shared" si="262"/>
        <v>1457.3999999999999</v>
      </c>
      <c r="I680" s="7">
        <v>1</v>
      </c>
      <c r="J680" s="9" t="s">
        <v>11</v>
      </c>
      <c r="K680" s="9" t="s">
        <v>22</v>
      </c>
      <c r="L680" s="9" t="s">
        <v>117</v>
      </c>
      <c r="M680" s="18">
        <v>1457.3999999999999</v>
      </c>
      <c r="N680" s="17"/>
    </row>
    <row r="681" spans="1:14" ht="30" customHeight="1" outlineLevel="2" x14ac:dyDescent="0.25">
      <c r="A681" s="6">
        <v>15</v>
      </c>
      <c r="B681" s="6" t="str">
        <f t="shared" si="261"/>
        <v xml:space="preserve">ЩО4 (Альбом 36) </v>
      </c>
      <c r="C681" s="7" t="s">
        <v>10</v>
      </c>
      <c r="D681" s="7">
        <v>296710</v>
      </c>
      <c r="E681" s="8" t="s">
        <v>41</v>
      </c>
      <c r="F681" s="18">
        <v>783</v>
      </c>
      <c r="G681" s="18">
        <f t="shared" si="263"/>
        <v>469.79999999999995</v>
      </c>
      <c r="H681" s="18">
        <f t="shared" si="262"/>
        <v>2349</v>
      </c>
      <c r="I681" s="7">
        <v>5</v>
      </c>
      <c r="J681" s="9" t="s">
        <v>11</v>
      </c>
      <c r="K681" s="9" t="s">
        <v>22</v>
      </c>
      <c r="L681" s="9" t="s">
        <v>117</v>
      </c>
      <c r="M681" s="18">
        <v>2349</v>
      </c>
      <c r="N681" s="17"/>
    </row>
    <row r="682" spans="1:14" ht="30" customHeight="1" outlineLevel="2" x14ac:dyDescent="0.25">
      <c r="A682" s="6">
        <v>15</v>
      </c>
      <c r="B682" s="6" t="str">
        <f t="shared" si="261"/>
        <v xml:space="preserve">ЩО4 (Альбом 36) </v>
      </c>
      <c r="C682" s="7" t="s">
        <v>12</v>
      </c>
      <c r="D682" s="7">
        <v>105542</v>
      </c>
      <c r="E682" s="8" t="s">
        <v>43</v>
      </c>
      <c r="F682" s="18">
        <v>5093</v>
      </c>
      <c r="G682" s="18">
        <f t="shared" si="263"/>
        <v>3055.7999999999997</v>
      </c>
      <c r="H682" s="18">
        <f t="shared" si="262"/>
        <v>6111.5999999999995</v>
      </c>
      <c r="I682" s="7">
        <v>2</v>
      </c>
      <c r="J682" s="9" t="s">
        <v>11</v>
      </c>
      <c r="K682" s="9" t="s">
        <v>22</v>
      </c>
      <c r="L682" s="9" t="s">
        <v>117</v>
      </c>
      <c r="M682" s="18">
        <v>6111.5999999999995</v>
      </c>
      <c r="N682" s="17"/>
    </row>
    <row r="683" spans="1:14" ht="28.5" customHeight="1" outlineLevel="2" x14ac:dyDescent="0.25">
      <c r="A683" s="6">
        <v>19</v>
      </c>
      <c r="B683" s="6" t="str">
        <f t="shared" si="261"/>
        <v xml:space="preserve">ЩО4 (Альбом 36) </v>
      </c>
      <c r="C683" s="7" t="s">
        <v>8</v>
      </c>
      <c r="D683" s="7" t="s">
        <v>8</v>
      </c>
      <c r="E683" s="8" t="s">
        <v>8</v>
      </c>
      <c r="F683" s="18">
        <f ca="1">OFFSET(F683,1,2)</f>
        <v>9000</v>
      </c>
      <c r="G683" s="18">
        <f ca="1">F683</f>
        <v>9000</v>
      </c>
      <c r="H683" s="18">
        <f t="shared" ca="1" si="262"/>
        <v>9000</v>
      </c>
      <c r="I683" s="7">
        <v>1</v>
      </c>
      <c r="J683" s="9" t="s">
        <v>11</v>
      </c>
      <c r="K683" s="7" t="s">
        <v>8</v>
      </c>
      <c r="L683" s="7" t="s">
        <v>117</v>
      </c>
      <c r="M683" s="18">
        <v>9000</v>
      </c>
      <c r="N683" s="17"/>
    </row>
    <row r="684" spans="1:14" ht="30" customHeight="1" outlineLevel="2" x14ac:dyDescent="0.25">
      <c r="A684" s="6">
        <v>20</v>
      </c>
      <c r="B684" s="6" t="str">
        <f t="shared" si="261"/>
        <v xml:space="preserve">ЩО4 (Альбом 36) </v>
      </c>
      <c r="C684" s="7" t="s">
        <v>9</v>
      </c>
      <c r="D684" s="7" t="s">
        <v>9</v>
      </c>
      <c r="E684" s="8" t="s">
        <v>9</v>
      </c>
      <c r="F684" s="18">
        <v>1.5</v>
      </c>
      <c r="G684" s="18">
        <v>100</v>
      </c>
      <c r="H684" s="18">
        <f t="shared" si="262"/>
        <v>9000</v>
      </c>
      <c r="I684" s="7">
        <f>60*F684</f>
        <v>90</v>
      </c>
      <c r="J684" s="9" t="s">
        <v>11</v>
      </c>
      <c r="K684" s="7" t="s">
        <v>9</v>
      </c>
      <c r="L684" s="7" t="s">
        <v>117</v>
      </c>
      <c r="M684" s="18">
        <v>9000</v>
      </c>
      <c r="N684" s="17"/>
    </row>
    <row r="685" spans="1:14" ht="30" customHeight="1" outlineLevel="1" x14ac:dyDescent="0.25">
      <c r="A685" s="6"/>
      <c r="B685" s="6" t="s">
        <v>387</v>
      </c>
      <c r="C685" s="7"/>
      <c r="D685" s="7"/>
      <c r="E685" s="8"/>
      <c r="F685" s="18"/>
      <c r="G685" s="18"/>
      <c r="H685" s="18">
        <f ca="1">SUBTOTAL(9,H678:H684)</f>
        <v>37518</v>
      </c>
      <c r="I685" s="7"/>
      <c r="J685" s="9"/>
      <c r="K685" s="7"/>
      <c r="L685" s="7"/>
      <c r="M685" s="18">
        <v>37518</v>
      </c>
      <c r="N685" s="17"/>
    </row>
    <row r="686" spans="1:14" ht="30" customHeight="1" outlineLevel="2" x14ac:dyDescent="0.25">
      <c r="A686" s="3">
        <v>13</v>
      </c>
      <c r="B686" s="3" t="str">
        <f>E686</f>
        <v xml:space="preserve">ЩАО-1 (Альбом 36) </v>
      </c>
      <c r="C686" s="3"/>
      <c r="D686" s="14"/>
      <c r="E686" s="3" t="s">
        <v>130</v>
      </c>
      <c r="F686" s="13"/>
      <c r="G686" s="13"/>
      <c r="H686" s="13"/>
      <c r="I686" s="5">
        <v>1</v>
      </c>
      <c r="J686" s="4" t="s">
        <v>6</v>
      </c>
      <c r="K686" s="4" t="s">
        <v>23</v>
      </c>
      <c r="L686" s="4" t="s">
        <v>117</v>
      </c>
      <c r="M686" s="13"/>
      <c r="N686" s="17"/>
    </row>
    <row r="687" spans="1:14" ht="30" customHeight="1" outlineLevel="2" x14ac:dyDescent="0.25">
      <c r="A687" s="6">
        <v>14</v>
      </c>
      <c r="B687" s="6" t="str">
        <f t="shared" ref="B687:B691" si="264">B686</f>
        <v xml:space="preserve">ЩАО-1 (Альбом 36) </v>
      </c>
      <c r="C687" s="7" t="s">
        <v>7</v>
      </c>
      <c r="D687" s="7" t="s">
        <v>268</v>
      </c>
      <c r="E687" s="8" t="s">
        <v>269</v>
      </c>
      <c r="F687" s="18">
        <v>10500</v>
      </c>
      <c r="G687" s="18">
        <f>0.6*F687</f>
        <v>6300</v>
      </c>
      <c r="H687" s="18">
        <f t="shared" ref="H687:H691" si="265">G687*I687</f>
        <v>6300</v>
      </c>
      <c r="I687" s="7">
        <v>1</v>
      </c>
      <c r="J687" s="9" t="s">
        <v>11</v>
      </c>
      <c r="K687" s="9" t="s">
        <v>24</v>
      </c>
      <c r="L687" s="9" t="s">
        <v>117</v>
      </c>
      <c r="M687" s="18">
        <v>6300</v>
      </c>
      <c r="N687" s="17"/>
    </row>
    <row r="688" spans="1:14" ht="30" customHeight="1" outlineLevel="2" x14ac:dyDescent="0.25">
      <c r="A688" s="6">
        <v>15</v>
      </c>
      <c r="B688" s="6" t="str">
        <f t="shared" si="264"/>
        <v xml:space="preserve">ЩАО-1 (Альбом 36) </v>
      </c>
      <c r="C688" s="7" t="s">
        <v>10</v>
      </c>
      <c r="D688" s="7">
        <v>296829</v>
      </c>
      <c r="E688" s="8" t="s">
        <v>44</v>
      </c>
      <c r="F688" s="18">
        <v>2429</v>
      </c>
      <c r="G688" s="18">
        <f t="shared" ref="G688:G689" si="266">F688*0.6</f>
        <v>1457.3999999999999</v>
      </c>
      <c r="H688" s="18">
        <f t="shared" si="265"/>
        <v>1457.3999999999999</v>
      </c>
      <c r="I688" s="7">
        <v>1</v>
      </c>
      <c r="J688" s="9" t="s">
        <v>11</v>
      </c>
      <c r="K688" s="9" t="s">
        <v>22</v>
      </c>
      <c r="L688" s="9" t="s">
        <v>117</v>
      </c>
      <c r="M688" s="18">
        <v>1457.3999999999999</v>
      </c>
      <c r="N688" s="17"/>
    </row>
    <row r="689" spans="1:14" ht="30" customHeight="1" outlineLevel="2" x14ac:dyDescent="0.25">
      <c r="A689" s="6">
        <v>15</v>
      </c>
      <c r="B689" s="6" t="str">
        <f t="shared" si="264"/>
        <v xml:space="preserve">ЩАО-1 (Альбом 36) </v>
      </c>
      <c r="C689" s="7" t="s">
        <v>10</v>
      </c>
      <c r="D689" s="7">
        <v>296710</v>
      </c>
      <c r="E689" s="8" t="s">
        <v>41</v>
      </c>
      <c r="F689" s="18">
        <v>783</v>
      </c>
      <c r="G689" s="18">
        <f t="shared" si="266"/>
        <v>469.79999999999995</v>
      </c>
      <c r="H689" s="18">
        <f t="shared" si="265"/>
        <v>1879.1999999999998</v>
      </c>
      <c r="I689" s="7">
        <v>4</v>
      </c>
      <c r="J689" s="9" t="s">
        <v>11</v>
      </c>
      <c r="K689" s="9" t="s">
        <v>22</v>
      </c>
      <c r="L689" s="9" t="s">
        <v>117</v>
      </c>
      <c r="M689" s="18">
        <v>1879.1999999999998</v>
      </c>
      <c r="N689" s="17"/>
    </row>
    <row r="690" spans="1:14" ht="28.5" customHeight="1" outlineLevel="2" x14ac:dyDescent="0.25">
      <c r="A690" s="6">
        <v>19</v>
      </c>
      <c r="B690" s="6" t="str">
        <f t="shared" si="264"/>
        <v xml:space="preserve">ЩАО-1 (Альбом 36) </v>
      </c>
      <c r="C690" s="7" t="s">
        <v>8</v>
      </c>
      <c r="D690" s="7" t="s">
        <v>8</v>
      </c>
      <c r="E690" s="8" t="s">
        <v>8</v>
      </c>
      <c r="F690" s="18">
        <f ca="1">OFFSET(F690,1,2)</f>
        <v>6000</v>
      </c>
      <c r="G690" s="18">
        <f ca="1">F690</f>
        <v>6000</v>
      </c>
      <c r="H690" s="18">
        <f t="shared" ca="1" si="265"/>
        <v>6000</v>
      </c>
      <c r="I690" s="7">
        <v>1</v>
      </c>
      <c r="J690" s="9" t="s">
        <v>11</v>
      </c>
      <c r="K690" s="7" t="s">
        <v>8</v>
      </c>
      <c r="L690" s="7" t="s">
        <v>117</v>
      </c>
      <c r="M690" s="18">
        <v>6000</v>
      </c>
      <c r="N690" s="17"/>
    </row>
    <row r="691" spans="1:14" ht="30" customHeight="1" outlineLevel="2" x14ac:dyDescent="0.25">
      <c r="A691" s="6">
        <v>20</v>
      </c>
      <c r="B691" s="6" t="str">
        <f t="shared" si="264"/>
        <v xml:space="preserve">ЩАО-1 (Альбом 36) </v>
      </c>
      <c r="C691" s="7" t="s">
        <v>9</v>
      </c>
      <c r="D691" s="7" t="s">
        <v>9</v>
      </c>
      <c r="E691" s="8" t="s">
        <v>9</v>
      </c>
      <c r="F691" s="18">
        <v>1</v>
      </c>
      <c r="G691" s="18">
        <v>100</v>
      </c>
      <c r="H691" s="18">
        <f t="shared" si="265"/>
        <v>6000</v>
      </c>
      <c r="I691" s="7">
        <f>60*F691</f>
        <v>60</v>
      </c>
      <c r="J691" s="9" t="s">
        <v>11</v>
      </c>
      <c r="K691" s="7" t="s">
        <v>9</v>
      </c>
      <c r="L691" s="7" t="s">
        <v>117</v>
      </c>
      <c r="M691" s="18">
        <v>6000</v>
      </c>
      <c r="N691" s="17"/>
    </row>
    <row r="692" spans="1:14" ht="30" customHeight="1" outlineLevel="1" x14ac:dyDescent="0.25">
      <c r="A692" s="6"/>
      <c r="B692" s="6" t="s">
        <v>388</v>
      </c>
      <c r="C692" s="7"/>
      <c r="D692" s="7"/>
      <c r="E692" s="8"/>
      <c r="F692" s="18"/>
      <c r="G692" s="18"/>
      <c r="H692" s="18">
        <f ca="1">SUBTOTAL(9,H686:H691)</f>
        <v>21636.6</v>
      </c>
      <c r="I692" s="7"/>
      <c r="J692" s="9"/>
      <c r="K692" s="7"/>
      <c r="L692" s="7"/>
      <c r="M692" s="18">
        <v>21636.6</v>
      </c>
      <c r="N692" s="17"/>
    </row>
    <row r="693" spans="1:14" ht="30" customHeight="1" outlineLevel="2" x14ac:dyDescent="0.25">
      <c r="A693" s="3">
        <v>13</v>
      </c>
      <c r="B693" s="3" t="str">
        <f>E693</f>
        <v xml:space="preserve">ЩАО-2 (Альбом 36) </v>
      </c>
      <c r="C693" s="3"/>
      <c r="D693" s="14"/>
      <c r="E693" s="3" t="s">
        <v>131</v>
      </c>
      <c r="F693" s="13"/>
      <c r="G693" s="13"/>
      <c r="H693" s="13"/>
      <c r="I693" s="5">
        <v>1</v>
      </c>
      <c r="J693" s="4" t="s">
        <v>6</v>
      </c>
      <c r="K693" s="4" t="s">
        <v>23</v>
      </c>
      <c r="L693" s="4" t="s">
        <v>117</v>
      </c>
      <c r="M693" s="13"/>
      <c r="N693" s="17"/>
    </row>
    <row r="694" spans="1:14" ht="30" customHeight="1" outlineLevel="2" x14ac:dyDescent="0.25">
      <c r="A694" s="6">
        <v>14</v>
      </c>
      <c r="B694" s="6" t="str">
        <f t="shared" ref="B694:B698" si="267">B693</f>
        <v xml:space="preserve">ЩАО-2 (Альбом 36) </v>
      </c>
      <c r="C694" s="7" t="s">
        <v>7</v>
      </c>
      <c r="D694" s="7" t="s">
        <v>268</v>
      </c>
      <c r="E694" s="8" t="s">
        <v>269</v>
      </c>
      <c r="F694" s="18">
        <v>10500</v>
      </c>
      <c r="G694" s="18">
        <f>0.6*F694</f>
        <v>6300</v>
      </c>
      <c r="H694" s="18">
        <f t="shared" ref="H694:H698" si="268">G694*I694</f>
        <v>6300</v>
      </c>
      <c r="I694" s="7">
        <v>1</v>
      </c>
      <c r="J694" s="9" t="s">
        <v>11</v>
      </c>
      <c r="K694" s="9" t="s">
        <v>24</v>
      </c>
      <c r="L694" s="9" t="s">
        <v>117</v>
      </c>
      <c r="M694" s="18">
        <v>6300</v>
      </c>
      <c r="N694" s="17"/>
    </row>
    <row r="695" spans="1:14" ht="30" customHeight="1" outlineLevel="2" x14ac:dyDescent="0.25">
      <c r="A695" s="6">
        <v>15</v>
      </c>
      <c r="B695" s="6" t="str">
        <f t="shared" si="267"/>
        <v xml:space="preserve">ЩАО-2 (Альбом 36) </v>
      </c>
      <c r="C695" s="7" t="s">
        <v>10</v>
      </c>
      <c r="D695" s="7">
        <v>296829</v>
      </c>
      <c r="E695" s="8" t="s">
        <v>44</v>
      </c>
      <c r="F695" s="18">
        <v>2429</v>
      </c>
      <c r="G695" s="18">
        <f t="shared" ref="G695:G696" si="269">F695*0.6</f>
        <v>1457.3999999999999</v>
      </c>
      <c r="H695" s="18">
        <f t="shared" si="268"/>
        <v>1457.3999999999999</v>
      </c>
      <c r="I695" s="7">
        <v>1</v>
      </c>
      <c r="J695" s="9" t="s">
        <v>11</v>
      </c>
      <c r="K695" s="9" t="s">
        <v>22</v>
      </c>
      <c r="L695" s="9" t="s">
        <v>117</v>
      </c>
      <c r="M695" s="18">
        <v>1457.3999999999999</v>
      </c>
      <c r="N695" s="17"/>
    </row>
    <row r="696" spans="1:14" ht="30" customHeight="1" outlineLevel="2" x14ac:dyDescent="0.25">
      <c r="A696" s="6">
        <v>15</v>
      </c>
      <c r="B696" s="6" t="str">
        <f t="shared" si="267"/>
        <v xml:space="preserve">ЩАО-2 (Альбом 36) </v>
      </c>
      <c r="C696" s="7" t="s">
        <v>10</v>
      </c>
      <c r="D696" s="7">
        <v>296710</v>
      </c>
      <c r="E696" s="8" t="s">
        <v>41</v>
      </c>
      <c r="F696" s="18">
        <v>783</v>
      </c>
      <c r="G696" s="18">
        <f t="shared" si="269"/>
        <v>469.79999999999995</v>
      </c>
      <c r="H696" s="18">
        <f t="shared" si="268"/>
        <v>3288.5999999999995</v>
      </c>
      <c r="I696" s="7">
        <v>7</v>
      </c>
      <c r="J696" s="9" t="s">
        <v>11</v>
      </c>
      <c r="K696" s="9" t="s">
        <v>22</v>
      </c>
      <c r="L696" s="9" t="s">
        <v>117</v>
      </c>
      <c r="M696" s="18">
        <v>3288.5999999999995</v>
      </c>
      <c r="N696" s="17"/>
    </row>
    <row r="697" spans="1:14" ht="28.5" customHeight="1" outlineLevel="2" x14ac:dyDescent="0.25">
      <c r="A697" s="6">
        <v>19</v>
      </c>
      <c r="B697" s="6" t="str">
        <f t="shared" si="267"/>
        <v xml:space="preserve">ЩАО-2 (Альбом 36) </v>
      </c>
      <c r="C697" s="7" t="s">
        <v>8</v>
      </c>
      <c r="D697" s="7" t="s">
        <v>8</v>
      </c>
      <c r="E697" s="8" t="s">
        <v>8</v>
      </c>
      <c r="F697" s="18">
        <f ca="1">OFFSET(F697,1,2)</f>
        <v>6000</v>
      </c>
      <c r="G697" s="18">
        <f ca="1">F697</f>
        <v>6000</v>
      </c>
      <c r="H697" s="18">
        <f t="shared" ca="1" si="268"/>
        <v>6000</v>
      </c>
      <c r="I697" s="7">
        <v>1</v>
      </c>
      <c r="J697" s="9" t="s">
        <v>11</v>
      </c>
      <c r="K697" s="7" t="s">
        <v>8</v>
      </c>
      <c r="L697" s="7" t="s">
        <v>117</v>
      </c>
      <c r="M697" s="18">
        <v>6000</v>
      </c>
      <c r="N697" s="17"/>
    </row>
    <row r="698" spans="1:14" ht="30" customHeight="1" outlineLevel="2" x14ac:dyDescent="0.25">
      <c r="A698" s="6">
        <v>20</v>
      </c>
      <c r="B698" s="6" t="str">
        <f t="shared" si="267"/>
        <v xml:space="preserve">ЩАО-2 (Альбом 36) </v>
      </c>
      <c r="C698" s="7" t="s">
        <v>9</v>
      </c>
      <c r="D698" s="7" t="s">
        <v>9</v>
      </c>
      <c r="E698" s="8" t="s">
        <v>9</v>
      </c>
      <c r="F698" s="18">
        <v>1</v>
      </c>
      <c r="G698" s="18">
        <v>100</v>
      </c>
      <c r="H698" s="18">
        <f t="shared" si="268"/>
        <v>6000</v>
      </c>
      <c r="I698" s="7">
        <f>60*F698</f>
        <v>60</v>
      </c>
      <c r="J698" s="9" t="s">
        <v>11</v>
      </c>
      <c r="K698" s="7" t="s">
        <v>9</v>
      </c>
      <c r="L698" s="7" t="s">
        <v>117</v>
      </c>
      <c r="M698" s="18">
        <v>6000</v>
      </c>
      <c r="N698" s="17"/>
    </row>
    <row r="699" spans="1:14" ht="30" customHeight="1" outlineLevel="1" x14ac:dyDescent="0.25">
      <c r="A699" s="6"/>
      <c r="B699" s="6" t="s">
        <v>389</v>
      </c>
      <c r="C699" s="7"/>
      <c r="D699" s="7"/>
      <c r="E699" s="8"/>
      <c r="F699" s="18"/>
      <c r="G699" s="18"/>
      <c r="H699" s="18">
        <f ca="1">SUBTOTAL(9,H693:H698)</f>
        <v>23046</v>
      </c>
      <c r="I699" s="7"/>
      <c r="J699" s="9"/>
      <c r="K699" s="7"/>
      <c r="L699" s="7"/>
      <c r="M699" s="18">
        <v>23046</v>
      </c>
      <c r="N699" s="17"/>
    </row>
    <row r="700" spans="1:14" ht="30" customHeight="1" outlineLevel="2" x14ac:dyDescent="0.25">
      <c r="A700" s="3">
        <v>13</v>
      </c>
      <c r="B700" s="3" t="str">
        <f>E700</f>
        <v xml:space="preserve">ЩАО-3 (Альбом 36) </v>
      </c>
      <c r="C700" s="3"/>
      <c r="D700" s="14"/>
      <c r="E700" s="3" t="s">
        <v>132</v>
      </c>
      <c r="F700" s="13"/>
      <c r="G700" s="13"/>
      <c r="H700" s="13"/>
      <c r="I700" s="5">
        <v>1</v>
      </c>
      <c r="J700" s="4" t="s">
        <v>6</v>
      </c>
      <c r="K700" s="4" t="s">
        <v>23</v>
      </c>
      <c r="L700" s="4" t="s">
        <v>117</v>
      </c>
      <c r="M700" s="13"/>
      <c r="N700" s="17"/>
    </row>
    <row r="701" spans="1:14" ht="30" customHeight="1" outlineLevel="2" x14ac:dyDescent="0.25">
      <c r="A701" s="6">
        <v>14</v>
      </c>
      <c r="B701" s="6" t="str">
        <f t="shared" ref="B701:B705" si="270">B700</f>
        <v xml:space="preserve">ЩАО-3 (Альбом 36) </v>
      </c>
      <c r="C701" s="7" t="s">
        <v>7</v>
      </c>
      <c r="D701" s="7" t="s">
        <v>268</v>
      </c>
      <c r="E701" s="8" t="s">
        <v>269</v>
      </c>
      <c r="F701" s="18">
        <v>10500</v>
      </c>
      <c r="G701" s="18">
        <f>0.6*F701</f>
        <v>6300</v>
      </c>
      <c r="H701" s="18">
        <f t="shared" ref="H701:H705" si="271">G701*I701</f>
        <v>6300</v>
      </c>
      <c r="I701" s="7">
        <v>1</v>
      </c>
      <c r="J701" s="9" t="s">
        <v>11</v>
      </c>
      <c r="K701" s="9" t="s">
        <v>24</v>
      </c>
      <c r="L701" s="9" t="s">
        <v>117</v>
      </c>
      <c r="M701" s="18">
        <v>6300</v>
      </c>
      <c r="N701" s="17"/>
    </row>
    <row r="702" spans="1:14" ht="30" customHeight="1" outlineLevel="2" x14ac:dyDescent="0.25">
      <c r="A702" s="6">
        <v>15</v>
      </c>
      <c r="B702" s="6" t="str">
        <f t="shared" si="270"/>
        <v xml:space="preserve">ЩАО-3 (Альбом 36) </v>
      </c>
      <c r="C702" s="7" t="s">
        <v>10</v>
      </c>
      <c r="D702" s="7">
        <v>296829</v>
      </c>
      <c r="E702" s="8" t="s">
        <v>44</v>
      </c>
      <c r="F702" s="18">
        <v>2429</v>
      </c>
      <c r="G702" s="18">
        <f t="shared" ref="G702:G703" si="272">F702*0.6</f>
        <v>1457.3999999999999</v>
      </c>
      <c r="H702" s="18">
        <f t="shared" si="271"/>
        <v>1457.3999999999999</v>
      </c>
      <c r="I702" s="7">
        <v>1</v>
      </c>
      <c r="J702" s="9" t="s">
        <v>11</v>
      </c>
      <c r="K702" s="9" t="s">
        <v>22</v>
      </c>
      <c r="L702" s="9" t="s">
        <v>117</v>
      </c>
      <c r="M702" s="18">
        <v>1457.3999999999999</v>
      </c>
      <c r="N702" s="17"/>
    </row>
    <row r="703" spans="1:14" ht="30" customHeight="1" outlineLevel="2" x14ac:dyDescent="0.25">
      <c r="A703" s="6">
        <v>15</v>
      </c>
      <c r="B703" s="6" t="str">
        <f t="shared" si="270"/>
        <v xml:space="preserve">ЩАО-3 (Альбом 36) </v>
      </c>
      <c r="C703" s="7" t="s">
        <v>10</v>
      </c>
      <c r="D703" s="7">
        <v>296710</v>
      </c>
      <c r="E703" s="8" t="s">
        <v>41</v>
      </c>
      <c r="F703" s="18">
        <v>783</v>
      </c>
      <c r="G703" s="18">
        <f t="shared" si="272"/>
        <v>469.79999999999995</v>
      </c>
      <c r="H703" s="18">
        <f t="shared" si="271"/>
        <v>1879.1999999999998</v>
      </c>
      <c r="I703" s="7">
        <v>4</v>
      </c>
      <c r="J703" s="9" t="s">
        <v>11</v>
      </c>
      <c r="K703" s="9" t="s">
        <v>22</v>
      </c>
      <c r="L703" s="9" t="s">
        <v>117</v>
      </c>
      <c r="M703" s="18">
        <v>1879.1999999999998</v>
      </c>
      <c r="N703" s="17"/>
    </row>
    <row r="704" spans="1:14" ht="28.5" customHeight="1" outlineLevel="2" x14ac:dyDescent="0.25">
      <c r="A704" s="6">
        <v>19</v>
      </c>
      <c r="B704" s="6" t="str">
        <f t="shared" si="270"/>
        <v xml:space="preserve">ЩАО-3 (Альбом 36) </v>
      </c>
      <c r="C704" s="7" t="s">
        <v>8</v>
      </c>
      <c r="D704" s="7" t="s">
        <v>8</v>
      </c>
      <c r="E704" s="8" t="s">
        <v>8</v>
      </c>
      <c r="F704" s="18">
        <f ca="1">OFFSET(F704,1,2)</f>
        <v>6000</v>
      </c>
      <c r="G704" s="18">
        <f ca="1">F704</f>
        <v>6000</v>
      </c>
      <c r="H704" s="18">
        <f t="shared" ca="1" si="271"/>
        <v>6000</v>
      </c>
      <c r="I704" s="7">
        <v>1</v>
      </c>
      <c r="J704" s="9" t="s">
        <v>11</v>
      </c>
      <c r="K704" s="7" t="s">
        <v>8</v>
      </c>
      <c r="L704" s="7" t="s">
        <v>117</v>
      </c>
      <c r="M704" s="18">
        <v>6000</v>
      </c>
      <c r="N704" s="17"/>
    </row>
    <row r="705" spans="1:14" ht="30" customHeight="1" outlineLevel="2" x14ac:dyDescent="0.25">
      <c r="A705" s="6">
        <v>20</v>
      </c>
      <c r="B705" s="6" t="str">
        <f t="shared" si="270"/>
        <v xml:space="preserve">ЩАО-3 (Альбом 36) </v>
      </c>
      <c r="C705" s="7" t="s">
        <v>9</v>
      </c>
      <c r="D705" s="7" t="s">
        <v>9</v>
      </c>
      <c r="E705" s="8" t="s">
        <v>9</v>
      </c>
      <c r="F705" s="18">
        <v>1</v>
      </c>
      <c r="G705" s="18">
        <v>100</v>
      </c>
      <c r="H705" s="18">
        <f t="shared" si="271"/>
        <v>6000</v>
      </c>
      <c r="I705" s="7">
        <f>60*F705</f>
        <v>60</v>
      </c>
      <c r="J705" s="9" t="s">
        <v>11</v>
      </c>
      <c r="K705" s="7" t="s">
        <v>9</v>
      </c>
      <c r="L705" s="7" t="s">
        <v>117</v>
      </c>
      <c r="M705" s="18">
        <v>6000</v>
      </c>
      <c r="N705" s="17"/>
    </row>
    <row r="706" spans="1:14" ht="30" customHeight="1" outlineLevel="1" x14ac:dyDescent="0.25">
      <c r="A706" s="6"/>
      <c r="B706" s="6" t="s">
        <v>390</v>
      </c>
      <c r="C706" s="7"/>
      <c r="D706" s="7"/>
      <c r="E706" s="8"/>
      <c r="F706" s="18"/>
      <c r="G706" s="18"/>
      <c r="H706" s="18">
        <f ca="1">SUBTOTAL(9,H700:H705)</f>
        <v>21636.6</v>
      </c>
      <c r="I706" s="7"/>
      <c r="J706" s="9"/>
      <c r="K706" s="7"/>
      <c r="L706" s="7"/>
      <c r="M706" s="18">
        <v>21636.6</v>
      </c>
      <c r="N706" s="17"/>
    </row>
    <row r="707" spans="1:14" ht="30" customHeight="1" outlineLevel="2" x14ac:dyDescent="0.25">
      <c r="A707" s="3">
        <v>13</v>
      </c>
      <c r="B707" s="3" t="str">
        <f>E707</f>
        <v xml:space="preserve">ЩС1 (Альбом 36) </v>
      </c>
      <c r="C707" s="3"/>
      <c r="D707" s="14"/>
      <c r="E707" s="3" t="s">
        <v>133</v>
      </c>
      <c r="F707" s="13"/>
      <c r="G707" s="13"/>
      <c r="H707" s="13"/>
      <c r="I707" s="5">
        <v>1</v>
      </c>
      <c r="J707" s="4" t="s">
        <v>6</v>
      </c>
      <c r="K707" s="4" t="s">
        <v>23</v>
      </c>
      <c r="L707" s="4" t="s">
        <v>117</v>
      </c>
      <c r="M707" s="13"/>
      <c r="N707" s="17"/>
    </row>
    <row r="708" spans="1:14" ht="30" customHeight="1" outlineLevel="2" x14ac:dyDescent="0.25">
      <c r="A708" s="6">
        <v>14</v>
      </c>
      <c r="B708" s="6" t="str">
        <f t="shared" ref="B708:B712" si="273">B707</f>
        <v xml:space="preserve">ЩС1 (Альбом 36) </v>
      </c>
      <c r="C708" s="7" t="s">
        <v>7</v>
      </c>
      <c r="D708" s="7" t="s">
        <v>276</v>
      </c>
      <c r="E708" s="17" t="s">
        <v>277</v>
      </c>
      <c r="F708" s="18">
        <v>22500</v>
      </c>
      <c r="G708" s="18">
        <f>0.6*F708</f>
        <v>13500</v>
      </c>
      <c r="H708" s="18">
        <f t="shared" ref="H708:H712" si="274">G708*I708</f>
        <v>13500</v>
      </c>
      <c r="I708" s="7">
        <v>1</v>
      </c>
      <c r="J708" s="9" t="s">
        <v>11</v>
      </c>
      <c r="K708" s="9" t="s">
        <v>24</v>
      </c>
      <c r="L708" s="9" t="s">
        <v>117</v>
      </c>
      <c r="M708" s="18">
        <v>13500</v>
      </c>
      <c r="N708" s="17"/>
    </row>
    <row r="709" spans="1:14" ht="30" customHeight="1" outlineLevel="2" x14ac:dyDescent="0.25">
      <c r="A709" s="6">
        <v>15</v>
      </c>
      <c r="B709" s="6" t="str">
        <f t="shared" si="273"/>
        <v xml:space="preserve">ЩС1 (Альбом 36) </v>
      </c>
      <c r="C709" s="7" t="s">
        <v>10</v>
      </c>
      <c r="D709" s="7">
        <v>296829</v>
      </c>
      <c r="E709" s="8" t="s">
        <v>44</v>
      </c>
      <c r="F709" s="18">
        <v>2429</v>
      </c>
      <c r="G709" s="18">
        <f t="shared" ref="G709:G710" si="275">F709*0.6</f>
        <v>1457.3999999999999</v>
      </c>
      <c r="H709" s="18">
        <f t="shared" si="274"/>
        <v>1457.3999999999999</v>
      </c>
      <c r="I709" s="7">
        <v>1</v>
      </c>
      <c r="J709" s="9" t="s">
        <v>11</v>
      </c>
      <c r="K709" s="9" t="s">
        <v>22</v>
      </c>
      <c r="L709" s="9" t="s">
        <v>117</v>
      </c>
      <c r="M709" s="18">
        <v>1457.3999999999999</v>
      </c>
      <c r="N709" s="17"/>
    </row>
    <row r="710" spans="1:14" ht="30" customHeight="1" outlineLevel="2" x14ac:dyDescent="0.25">
      <c r="A710" s="6">
        <v>15</v>
      </c>
      <c r="B710" s="6" t="str">
        <f t="shared" si="273"/>
        <v xml:space="preserve">ЩС1 (Альбом 36) </v>
      </c>
      <c r="C710" s="7" t="s">
        <v>12</v>
      </c>
      <c r="D710" s="7">
        <v>105542</v>
      </c>
      <c r="E710" s="8" t="s">
        <v>43</v>
      </c>
      <c r="F710" s="18">
        <v>5093</v>
      </c>
      <c r="G710" s="18">
        <f t="shared" si="275"/>
        <v>3055.7999999999997</v>
      </c>
      <c r="H710" s="18">
        <f t="shared" si="274"/>
        <v>30557.999999999996</v>
      </c>
      <c r="I710" s="7">
        <v>10</v>
      </c>
      <c r="J710" s="9" t="s">
        <v>11</v>
      </c>
      <c r="K710" s="9" t="s">
        <v>22</v>
      </c>
      <c r="L710" s="9" t="s">
        <v>117</v>
      </c>
      <c r="M710" s="18">
        <v>30557.999999999996</v>
      </c>
      <c r="N710" s="17"/>
    </row>
    <row r="711" spans="1:14" ht="28.5" customHeight="1" outlineLevel="2" x14ac:dyDescent="0.25">
      <c r="A711" s="6">
        <v>19</v>
      </c>
      <c r="B711" s="6" t="str">
        <f t="shared" si="273"/>
        <v xml:space="preserve">ЩС1 (Альбом 36) </v>
      </c>
      <c r="C711" s="7" t="s">
        <v>8</v>
      </c>
      <c r="D711" s="7" t="s">
        <v>8</v>
      </c>
      <c r="E711" s="8" t="s">
        <v>8</v>
      </c>
      <c r="F711" s="18">
        <f ca="1">OFFSET(F711,1,2)</f>
        <v>15000</v>
      </c>
      <c r="G711" s="18">
        <f ca="1">F711</f>
        <v>15000</v>
      </c>
      <c r="H711" s="18">
        <f t="shared" ca="1" si="274"/>
        <v>15000</v>
      </c>
      <c r="I711" s="7">
        <v>1</v>
      </c>
      <c r="J711" s="9" t="s">
        <v>11</v>
      </c>
      <c r="K711" s="7" t="s">
        <v>8</v>
      </c>
      <c r="L711" s="7" t="s">
        <v>117</v>
      </c>
      <c r="M711" s="18">
        <v>15000</v>
      </c>
      <c r="N711" s="17"/>
    </row>
    <row r="712" spans="1:14" ht="30" customHeight="1" outlineLevel="2" x14ac:dyDescent="0.25">
      <c r="A712" s="6">
        <v>20</v>
      </c>
      <c r="B712" s="6" t="str">
        <f t="shared" si="273"/>
        <v xml:space="preserve">ЩС1 (Альбом 36) </v>
      </c>
      <c r="C712" s="7" t="s">
        <v>9</v>
      </c>
      <c r="D712" s="7" t="s">
        <v>9</v>
      </c>
      <c r="E712" s="8" t="s">
        <v>9</v>
      </c>
      <c r="F712" s="18">
        <v>2.5</v>
      </c>
      <c r="G712" s="18">
        <v>100</v>
      </c>
      <c r="H712" s="18">
        <f t="shared" si="274"/>
        <v>15000</v>
      </c>
      <c r="I712" s="7">
        <f>60*F712</f>
        <v>150</v>
      </c>
      <c r="J712" s="9" t="s">
        <v>11</v>
      </c>
      <c r="K712" s="7" t="s">
        <v>9</v>
      </c>
      <c r="L712" s="7" t="s">
        <v>117</v>
      </c>
      <c r="M712" s="18">
        <v>15000</v>
      </c>
      <c r="N712" s="17"/>
    </row>
    <row r="713" spans="1:14" ht="30" customHeight="1" outlineLevel="1" x14ac:dyDescent="0.25">
      <c r="A713" s="6"/>
      <c r="B713" s="6" t="s">
        <v>391</v>
      </c>
      <c r="C713" s="7"/>
      <c r="D713" s="7"/>
      <c r="E713" s="8"/>
      <c r="F713" s="18"/>
      <c r="G713" s="18"/>
      <c r="H713" s="18">
        <f ca="1">SUBTOTAL(9,H707:H712)</f>
        <v>75515.399999999994</v>
      </c>
      <c r="I713" s="7"/>
      <c r="J713" s="9"/>
      <c r="K713" s="7"/>
      <c r="L713" s="7"/>
      <c r="M713" s="18">
        <v>75515.399999999994</v>
      </c>
      <c r="N713" s="17"/>
    </row>
    <row r="714" spans="1:14" ht="30" customHeight="1" outlineLevel="2" x14ac:dyDescent="0.25">
      <c r="A714" s="3">
        <v>13</v>
      </c>
      <c r="B714" s="3" t="str">
        <f>E714</f>
        <v xml:space="preserve">ЩС2 (Альбом 36) </v>
      </c>
      <c r="C714" s="3"/>
      <c r="D714" s="14"/>
      <c r="E714" s="3" t="s">
        <v>134</v>
      </c>
      <c r="F714" s="13"/>
      <c r="G714" s="13"/>
      <c r="H714" s="13"/>
      <c r="I714" s="5">
        <v>1</v>
      </c>
      <c r="J714" s="4" t="s">
        <v>6</v>
      </c>
      <c r="K714" s="4" t="s">
        <v>23</v>
      </c>
      <c r="L714" s="4" t="s">
        <v>117</v>
      </c>
      <c r="M714" s="13"/>
      <c r="N714" s="17"/>
    </row>
    <row r="715" spans="1:14" ht="30" customHeight="1" outlineLevel="2" x14ac:dyDescent="0.25">
      <c r="A715" s="6">
        <v>14</v>
      </c>
      <c r="B715" s="6" t="str">
        <f t="shared" ref="B715:B720" si="276">B714</f>
        <v xml:space="preserve">ЩС2 (Альбом 36) </v>
      </c>
      <c r="C715" s="7" t="s">
        <v>7</v>
      </c>
      <c r="D715" s="7" t="s">
        <v>274</v>
      </c>
      <c r="E715" s="8" t="s">
        <v>275</v>
      </c>
      <c r="F715" s="18">
        <v>20000</v>
      </c>
      <c r="G715" s="18">
        <f>0.6*F715</f>
        <v>12000</v>
      </c>
      <c r="H715" s="18">
        <f t="shared" ref="H715:H720" si="277">G715*I715</f>
        <v>12000</v>
      </c>
      <c r="I715" s="7">
        <v>1</v>
      </c>
      <c r="J715" s="9" t="s">
        <v>11</v>
      </c>
      <c r="K715" s="9" t="s">
        <v>24</v>
      </c>
      <c r="L715" s="9" t="s">
        <v>117</v>
      </c>
      <c r="M715" s="18">
        <v>12000</v>
      </c>
      <c r="N715" s="17"/>
    </row>
    <row r="716" spans="1:14" ht="30" customHeight="1" outlineLevel="2" x14ac:dyDescent="0.25">
      <c r="A716" s="6">
        <v>15</v>
      </c>
      <c r="B716" s="6" t="str">
        <f t="shared" si="276"/>
        <v xml:space="preserve">ЩС2 (Альбом 36) </v>
      </c>
      <c r="C716" s="7" t="s">
        <v>10</v>
      </c>
      <c r="D716" s="7">
        <v>296829</v>
      </c>
      <c r="E716" s="8" t="s">
        <v>44</v>
      </c>
      <c r="F716" s="18">
        <v>2429</v>
      </c>
      <c r="G716" s="18">
        <f t="shared" ref="G716:G718" si="278">F716*0.6</f>
        <v>1457.3999999999999</v>
      </c>
      <c r="H716" s="18">
        <f t="shared" si="277"/>
        <v>1457.3999999999999</v>
      </c>
      <c r="I716" s="7">
        <v>1</v>
      </c>
      <c r="J716" s="9" t="s">
        <v>11</v>
      </c>
      <c r="K716" s="9" t="s">
        <v>22</v>
      </c>
      <c r="L716" s="9" t="s">
        <v>117</v>
      </c>
      <c r="M716" s="18">
        <v>1457.3999999999999</v>
      </c>
      <c r="N716" s="17"/>
    </row>
    <row r="717" spans="1:14" ht="30" customHeight="1" outlineLevel="2" x14ac:dyDescent="0.25">
      <c r="A717" s="6">
        <v>15</v>
      </c>
      <c r="B717" s="6" t="str">
        <f t="shared" si="276"/>
        <v xml:space="preserve">ЩС2 (Альбом 36) </v>
      </c>
      <c r="C717" s="7" t="s">
        <v>10</v>
      </c>
      <c r="D717" s="7">
        <v>296827</v>
      </c>
      <c r="E717" s="8" t="s">
        <v>64</v>
      </c>
      <c r="F717" s="18">
        <v>2337</v>
      </c>
      <c r="G717" s="18">
        <f t="shared" si="278"/>
        <v>1402.2</v>
      </c>
      <c r="H717" s="18">
        <f t="shared" si="277"/>
        <v>1402.2</v>
      </c>
      <c r="I717" s="7">
        <v>1</v>
      </c>
      <c r="J717" s="9" t="s">
        <v>11</v>
      </c>
      <c r="K717" s="9" t="s">
        <v>22</v>
      </c>
      <c r="L717" s="9" t="s">
        <v>117</v>
      </c>
      <c r="M717" s="18">
        <v>1402.2</v>
      </c>
      <c r="N717" s="17"/>
    </row>
    <row r="718" spans="1:14" ht="30" customHeight="1" outlineLevel="2" x14ac:dyDescent="0.25">
      <c r="A718" s="6">
        <v>15</v>
      </c>
      <c r="B718" s="6" t="str">
        <f t="shared" si="276"/>
        <v xml:space="preserve">ЩС2 (Альбом 36) </v>
      </c>
      <c r="C718" s="7" t="s">
        <v>12</v>
      </c>
      <c r="D718" s="7">
        <v>105542</v>
      </c>
      <c r="E718" s="8" t="s">
        <v>43</v>
      </c>
      <c r="F718" s="18">
        <v>5093</v>
      </c>
      <c r="G718" s="18">
        <f t="shared" si="278"/>
        <v>3055.7999999999997</v>
      </c>
      <c r="H718" s="18">
        <f t="shared" si="277"/>
        <v>18334.8</v>
      </c>
      <c r="I718" s="7">
        <v>6</v>
      </c>
      <c r="J718" s="9" t="s">
        <v>11</v>
      </c>
      <c r="K718" s="9" t="s">
        <v>22</v>
      </c>
      <c r="L718" s="9" t="s">
        <v>117</v>
      </c>
      <c r="M718" s="18">
        <v>18334.8</v>
      </c>
      <c r="N718" s="17"/>
    </row>
    <row r="719" spans="1:14" ht="28.5" customHeight="1" outlineLevel="2" x14ac:dyDescent="0.25">
      <c r="A719" s="6">
        <v>19</v>
      </c>
      <c r="B719" s="6" t="str">
        <f t="shared" si="276"/>
        <v xml:space="preserve">ЩС2 (Альбом 36) </v>
      </c>
      <c r="C719" s="7" t="s">
        <v>8</v>
      </c>
      <c r="D719" s="7" t="s">
        <v>8</v>
      </c>
      <c r="E719" s="8" t="s">
        <v>8</v>
      </c>
      <c r="F719" s="18">
        <f ca="1">OFFSET(F719,1,2)</f>
        <v>12000</v>
      </c>
      <c r="G719" s="18">
        <f ca="1">F719</f>
        <v>12000</v>
      </c>
      <c r="H719" s="18">
        <f t="shared" ca="1" si="277"/>
        <v>12000</v>
      </c>
      <c r="I719" s="7">
        <v>1</v>
      </c>
      <c r="J719" s="9" t="s">
        <v>11</v>
      </c>
      <c r="K719" s="7" t="s">
        <v>8</v>
      </c>
      <c r="L719" s="7" t="s">
        <v>117</v>
      </c>
      <c r="M719" s="18">
        <v>12000</v>
      </c>
      <c r="N719" s="17"/>
    </row>
    <row r="720" spans="1:14" ht="30" customHeight="1" outlineLevel="2" x14ac:dyDescent="0.25">
      <c r="A720" s="6">
        <v>20</v>
      </c>
      <c r="B720" s="6" t="str">
        <f t="shared" si="276"/>
        <v xml:space="preserve">ЩС2 (Альбом 36) </v>
      </c>
      <c r="C720" s="7" t="s">
        <v>9</v>
      </c>
      <c r="D720" s="7" t="s">
        <v>9</v>
      </c>
      <c r="E720" s="8" t="s">
        <v>9</v>
      </c>
      <c r="F720" s="18">
        <v>2</v>
      </c>
      <c r="G720" s="18">
        <v>100</v>
      </c>
      <c r="H720" s="18">
        <f t="shared" si="277"/>
        <v>12000</v>
      </c>
      <c r="I720" s="7">
        <f>60*F720</f>
        <v>120</v>
      </c>
      <c r="J720" s="9" t="s">
        <v>11</v>
      </c>
      <c r="K720" s="7" t="s">
        <v>9</v>
      </c>
      <c r="L720" s="7" t="s">
        <v>117</v>
      </c>
      <c r="M720" s="18">
        <v>12000</v>
      </c>
      <c r="N720" s="17"/>
    </row>
    <row r="721" spans="1:14" ht="30" customHeight="1" outlineLevel="1" x14ac:dyDescent="0.25">
      <c r="A721" s="6"/>
      <c r="B721" s="6" t="s">
        <v>392</v>
      </c>
      <c r="C721" s="7"/>
      <c r="D721" s="7"/>
      <c r="E721" s="8"/>
      <c r="F721" s="18"/>
      <c r="G721" s="18"/>
      <c r="H721" s="18">
        <f ca="1">SUBTOTAL(9,H714:H720)</f>
        <v>57194.400000000001</v>
      </c>
      <c r="I721" s="7"/>
      <c r="J721" s="9"/>
      <c r="K721" s="7"/>
      <c r="L721" s="7"/>
      <c r="M721" s="18">
        <v>57194.400000000001</v>
      </c>
      <c r="N721" s="17"/>
    </row>
    <row r="722" spans="1:14" ht="30" customHeight="1" outlineLevel="2" x14ac:dyDescent="0.25">
      <c r="A722" s="3">
        <v>13</v>
      </c>
      <c r="B722" s="3" t="str">
        <f>E722</f>
        <v xml:space="preserve">ЩС3 (Альбом 36) </v>
      </c>
      <c r="C722" s="3"/>
      <c r="D722" s="14"/>
      <c r="E722" s="3" t="s">
        <v>135</v>
      </c>
      <c r="F722" s="13"/>
      <c r="G722" s="13"/>
      <c r="H722" s="13"/>
      <c r="I722" s="5">
        <v>1</v>
      </c>
      <c r="J722" s="4" t="s">
        <v>6</v>
      </c>
      <c r="K722" s="4" t="s">
        <v>23</v>
      </c>
      <c r="L722" s="4" t="s">
        <v>117</v>
      </c>
      <c r="M722" s="13"/>
      <c r="N722" s="17"/>
    </row>
    <row r="723" spans="1:14" ht="30" customHeight="1" outlineLevel="2" x14ac:dyDescent="0.25">
      <c r="A723" s="6">
        <v>14</v>
      </c>
      <c r="B723" s="6" t="str">
        <f t="shared" ref="B723:B727" si="279">B722</f>
        <v xml:space="preserve">ЩС3 (Альбом 36) </v>
      </c>
      <c r="C723" s="7" t="s">
        <v>7</v>
      </c>
      <c r="D723" s="7" t="s">
        <v>272</v>
      </c>
      <c r="E723" s="8" t="s">
        <v>273</v>
      </c>
      <c r="F723" s="18">
        <v>17000</v>
      </c>
      <c r="G723" s="18">
        <f>0.6*F723</f>
        <v>10200</v>
      </c>
      <c r="H723" s="18">
        <f t="shared" ref="H723:H727" si="280">G723*I723</f>
        <v>10200</v>
      </c>
      <c r="I723" s="7">
        <v>1</v>
      </c>
      <c r="J723" s="9" t="s">
        <v>11</v>
      </c>
      <c r="K723" s="9" t="s">
        <v>24</v>
      </c>
      <c r="L723" s="9" t="s">
        <v>117</v>
      </c>
      <c r="M723" s="18">
        <v>10200</v>
      </c>
      <c r="N723" s="17"/>
    </row>
    <row r="724" spans="1:14" ht="30" customHeight="1" outlineLevel="2" x14ac:dyDescent="0.25">
      <c r="A724" s="6">
        <v>15</v>
      </c>
      <c r="B724" s="6" t="str">
        <f t="shared" si="279"/>
        <v xml:space="preserve">ЩС3 (Альбом 36) </v>
      </c>
      <c r="C724" s="7" t="s">
        <v>10</v>
      </c>
      <c r="D724" s="7">
        <v>296829</v>
      </c>
      <c r="E724" s="8" t="s">
        <v>44</v>
      </c>
      <c r="F724" s="18">
        <v>2429</v>
      </c>
      <c r="G724" s="18">
        <f t="shared" ref="G724:G725" si="281">F724*0.6</f>
        <v>1457.3999999999999</v>
      </c>
      <c r="H724" s="18">
        <f t="shared" si="280"/>
        <v>1457.3999999999999</v>
      </c>
      <c r="I724" s="7">
        <v>1</v>
      </c>
      <c r="J724" s="9" t="s">
        <v>11</v>
      </c>
      <c r="K724" s="9" t="s">
        <v>22</v>
      </c>
      <c r="L724" s="9" t="s">
        <v>117</v>
      </c>
      <c r="M724" s="18">
        <v>1457.3999999999999</v>
      </c>
      <c r="N724" s="17"/>
    </row>
    <row r="725" spans="1:14" ht="30" customHeight="1" outlineLevel="2" x14ac:dyDescent="0.25">
      <c r="A725" s="6">
        <v>15</v>
      </c>
      <c r="B725" s="6" t="str">
        <f t="shared" si="279"/>
        <v xml:space="preserve">ЩС3 (Альбом 36) </v>
      </c>
      <c r="C725" s="7" t="s">
        <v>12</v>
      </c>
      <c r="D725" s="7">
        <v>105542</v>
      </c>
      <c r="E725" s="8" t="s">
        <v>43</v>
      </c>
      <c r="F725" s="18">
        <v>5093</v>
      </c>
      <c r="G725" s="18">
        <f t="shared" si="281"/>
        <v>3055.7999999999997</v>
      </c>
      <c r="H725" s="18">
        <f t="shared" si="280"/>
        <v>18334.8</v>
      </c>
      <c r="I725" s="7">
        <v>6</v>
      </c>
      <c r="J725" s="9" t="s">
        <v>11</v>
      </c>
      <c r="K725" s="9" t="s">
        <v>22</v>
      </c>
      <c r="L725" s="9" t="s">
        <v>117</v>
      </c>
      <c r="M725" s="18">
        <v>18334.8</v>
      </c>
      <c r="N725" s="17"/>
    </row>
    <row r="726" spans="1:14" ht="28.5" customHeight="1" outlineLevel="2" x14ac:dyDescent="0.25">
      <c r="A726" s="6">
        <v>19</v>
      </c>
      <c r="B726" s="6" t="str">
        <f t="shared" si="279"/>
        <v xml:space="preserve">ЩС3 (Альбом 36) </v>
      </c>
      <c r="C726" s="7" t="s">
        <v>8</v>
      </c>
      <c r="D726" s="7" t="s">
        <v>8</v>
      </c>
      <c r="E726" s="8" t="s">
        <v>8</v>
      </c>
      <c r="F726" s="18">
        <f ca="1">OFFSET(F726,1,2)</f>
        <v>9000</v>
      </c>
      <c r="G726" s="18">
        <f ca="1">F726</f>
        <v>9000</v>
      </c>
      <c r="H726" s="18">
        <f t="shared" ca="1" si="280"/>
        <v>9000</v>
      </c>
      <c r="I726" s="7">
        <v>1</v>
      </c>
      <c r="J726" s="9" t="s">
        <v>11</v>
      </c>
      <c r="K726" s="7" t="s">
        <v>8</v>
      </c>
      <c r="L726" s="7" t="s">
        <v>117</v>
      </c>
      <c r="M726" s="18">
        <v>9000</v>
      </c>
      <c r="N726" s="17"/>
    </row>
    <row r="727" spans="1:14" ht="30" customHeight="1" outlineLevel="2" x14ac:dyDescent="0.25">
      <c r="A727" s="6">
        <v>20</v>
      </c>
      <c r="B727" s="6" t="str">
        <f t="shared" si="279"/>
        <v xml:space="preserve">ЩС3 (Альбом 36) </v>
      </c>
      <c r="C727" s="7" t="s">
        <v>9</v>
      </c>
      <c r="D727" s="7" t="s">
        <v>9</v>
      </c>
      <c r="E727" s="8" t="s">
        <v>9</v>
      </c>
      <c r="F727" s="18">
        <v>1.5</v>
      </c>
      <c r="G727" s="18">
        <v>100</v>
      </c>
      <c r="H727" s="18">
        <f t="shared" si="280"/>
        <v>9000</v>
      </c>
      <c r="I727" s="7">
        <f>60*F727</f>
        <v>90</v>
      </c>
      <c r="J727" s="9" t="s">
        <v>11</v>
      </c>
      <c r="K727" s="7" t="s">
        <v>9</v>
      </c>
      <c r="L727" s="7" t="s">
        <v>117</v>
      </c>
      <c r="M727" s="18">
        <v>9000</v>
      </c>
      <c r="N727" s="17"/>
    </row>
    <row r="728" spans="1:14" ht="30" customHeight="1" outlineLevel="1" x14ac:dyDescent="0.25">
      <c r="A728" s="6"/>
      <c r="B728" s="6" t="s">
        <v>393</v>
      </c>
      <c r="C728" s="7"/>
      <c r="D728" s="7"/>
      <c r="E728" s="8"/>
      <c r="F728" s="18"/>
      <c r="G728" s="18"/>
      <c r="H728" s="18">
        <f ca="1">SUBTOTAL(9,H722:H727)</f>
        <v>47992.2</v>
      </c>
      <c r="I728" s="7"/>
      <c r="J728" s="9"/>
      <c r="K728" s="7"/>
      <c r="L728" s="7"/>
      <c r="M728" s="18">
        <v>47992.2</v>
      </c>
      <c r="N728" s="17"/>
    </row>
    <row r="729" spans="1:14" ht="30" customHeight="1" outlineLevel="2" x14ac:dyDescent="0.25">
      <c r="A729" s="3">
        <v>13</v>
      </c>
      <c r="B729" s="3" t="str">
        <f>E729</f>
        <v xml:space="preserve">ЩС4 (Альбом 36) </v>
      </c>
      <c r="C729" s="3"/>
      <c r="D729" s="14"/>
      <c r="E729" s="3" t="s">
        <v>136</v>
      </c>
      <c r="F729" s="13"/>
      <c r="G729" s="13"/>
      <c r="H729" s="13"/>
      <c r="I729" s="5">
        <v>1</v>
      </c>
      <c r="J729" s="4" t="s">
        <v>6</v>
      </c>
      <c r="K729" s="4" t="s">
        <v>23</v>
      </c>
      <c r="L729" s="4" t="s">
        <v>117</v>
      </c>
      <c r="M729" s="13"/>
      <c r="N729" s="17"/>
    </row>
    <row r="730" spans="1:14" ht="30" customHeight="1" outlineLevel="2" x14ac:dyDescent="0.25">
      <c r="A730" s="6">
        <v>14</v>
      </c>
      <c r="B730" s="6" t="str">
        <f t="shared" ref="B730:B734" si="282">B729</f>
        <v xml:space="preserve">ЩС4 (Альбом 36) </v>
      </c>
      <c r="C730" s="7" t="s">
        <v>7</v>
      </c>
      <c r="D730" s="7" t="s">
        <v>274</v>
      </c>
      <c r="E730" s="8" t="s">
        <v>275</v>
      </c>
      <c r="F730" s="18">
        <v>20000</v>
      </c>
      <c r="G730" s="18">
        <f>0.6*F730</f>
        <v>12000</v>
      </c>
      <c r="H730" s="18">
        <f t="shared" ref="H730:H734" si="283">G730*I730</f>
        <v>12000</v>
      </c>
      <c r="I730" s="7">
        <v>1</v>
      </c>
      <c r="J730" s="9" t="s">
        <v>11</v>
      </c>
      <c r="K730" s="9" t="s">
        <v>24</v>
      </c>
      <c r="L730" s="9" t="s">
        <v>117</v>
      </c>
      <c r="M730" s="18">
        <v>12000</v>
      </c>
      <c r="N730" s="17"/>
    </row>
    <row r="731" spans="1:14" ht="30" customHeight="1" outlineLevel="2" x14ac:dyDescent="0.25">
      <c r="A731" s="6">
        <v>15</v>
      </c>
      <c r="B731" s="6" t="str">
        <f t="shared" si="282"/>
        <v xml:space="preserve">ЩС4 (Альбом 36) </v>
      </c>
      <c r="C731" s="7" t="s">
        <v>10</v>
      </c>
      <c r="D731" s="7">
        <v>296829</v>
      </c>
      <c r="E731" s="8" t="s">
        <v>44</v>
      </c>
      <c r="F731" s="18">
        <v>2429</v>
      </c>
      <c r="G731" s="18">
        <f t="shared" ref="G731:G732" si="284">F731*0.6</f>
        <v>1457.3999999999999</v>
      </c>
      <c r="H731" s="18">
        <f t="shared" si="283"/>
        <v>1457.3999999999999</v>
      </c>
      <c r="I731" s="7">
        <v>1</v>
      </c>
      <c r="J731" s="9" t="s">
        <v>11</v>
      </c>
      <c r="K731" s="9" t="s">
        <v>22</v>
      </c>
      <c r="L731" s="9" t="s">
        <v>117</v>
      </c>
      <c r="M731" s="18">
        <v>1457.3999999999999</v>
      </c>
      <c r="N731" s="17"/>
    </row>
    <row r="732" spans="1:14" ht="30" customHeight="1" outlineLevel="2" x14ac:dyDescent="0.25">
      <c r="A732" s="6">
        <v>15</v>
      </c>
      <c r="B732" s="6" t="str">
        <f t="shared" si="282"/>
        <v xml:space="preserve">ЩС4 (Альбом 36) </v>
      </c>
      <c r="C732" s="7" t="s">
        <v>12</v>
      </c>
      <c r="D732" s="7">
        <v>105542</v>
      </c>
      <c r="E732" s="8" t="s">
        <v>43</v>
      </c>
      <c r="F732" s="18">
        <v>5093</v>
      </c>
      <c r="G732" s="18">
        <f t="shared" si="284"/>
        <v>3055.7999999999997</v>
      </c>
      <c r="H732" s="18">
        <f t="shared" si="283"/>
        <v>24446.399999999998</v>
      </c>
      <c r="I732" s="7">
        <v>8</v>
      </c>
      <c r="J732" s="9" t="s">
        <v>11</v>
      </c>
      <c r="K732" s="9" t="s">
        <v>22</v>
      </c>
      <c r="L732" s="9" t="s">
        <v>117</v>
      </c>
      <c r="M732" s="18">
        <v>24446.399999999998</v>
      </c>
      <c r="N732" s="17"/>
    </row>
    <row r="733" spans="1:14" ht="28.5" customHeight="1" outlineLevel="2" x14ac:dyDescent="0.25">
      <c r="A733" s="6">
        <v>19</v>
      </c>
      <c r="B733" s="6" t="str">
        <f t="shared" si="282"/>
        <v xml:space="preserve">ЩС4 (Альбом 36) </v>
      </c>
      <c r="C733" s="7" t="s">
        <v>8</v>
      </c>
      <c r="D733" s="7" t="s">
        <v>8</v>
      </c>
      <c r="E733" s="8" t="s">
        <v>8</v>
      </c>
      <c r="F733" s="18">
        <f ca="1">OFFSET(F733,1,2)</f>
        <v>12000</v>
      </c>
      <c r="G733" s="18">
        <f ca="1">F733</f>
        <v>12000</v>
      </c>
      <c r="H733" s="18">
        <f t="shared" ca="1" si="283"/>
        <v>12000</v>
      </c>
      <c r="I733" s="7">
        <v>1</v>
      </c>
      <c r="J733" s="9" t="s">
        <v>11</v>
      </c>
      <c r="K733" s="7" t="s">
        <v>8</v>
      </c>
      <c r="L733" s="7" t="s">
        <v>117</v>
      </c>
      <c r="M733" s="18">
        <v>12000</v>
      </c>
      <c r="N733" s="17"/>
    </row>
    <row r="734" spans="1:14" ht="30" customHeight="1" outlineLevel="2" x14ac:dyDescent="0.25">
      <c r="A734" s="6">
        <v>20</v>
      </c>
      <c r="B734" s="6" t="str">
        <f t="shared" si="282"/>
        <v xml:space="preserve">ЩС4 (Альбом 36) </v>
      </c>
      <c r="C734" s="7" t="s">
        <v>9</v>
      </c>
      <c r="D734" s="7" t="s">
        <v>9</v>
      </c>
      <c r="E734" s="8" t="s">
        <v>9</v>
      </c>
      <c r="F734" s="18">
        <v>2</v>
      </c>
      <c r="G734" s="18">
        <v>100</v>
      </c>
      <c r="H734" s="18">
        <f t="shared" si="283"/>
        <v>12000</v>
      </c>
      <c r="I734" s="7">
        <f>60*F734</f>
        <v>120</v>
      </c>
      <c r="J734" s="9" t="s">
        <v>11</v>
      </c>
      <c r="K734" s="7" t="s">
        <v>9</v>
      </c>
      <c r="L734" s="7" t="s">
        <v>117</v>
      </c>
      <c r="M734" s="18">
        <v>12000</v>
      </c>
      <c r="N734" s="17"/>
    </row>
    <row r="735" spans="1:14" ht="30" customHeight="1" outlineLevel="1" x14ac:dyDescent="0.25">
      <c r="A735" s="6"/>
      <c r="B735" s="6" t="s">
        <v>394</v>
      </c>
      <c r="C735" s="7"/>
      <c r="D735" s="7"/>
      <c r="E735" s="8"/>
      <c r="F735" s="18"/>
      <c r="G735" s="18"/>
      <c r="H735" s="18">
        <f ca="1">SUBTOTAL(9,H729:H734)</f>
        <v>61903.799999999996</v>
      </c>
      <c r="I735" s="7"/>
      <c r="J735" s="9"/>
      <c r="K735" s="7"/>
      <c r="L735" s="7"/>
      <c r="M735" s="18">
        <v>61903.799999999996</v>
      </c>
      <c r="N735" s="17"/>
    </row>
    <row r="736" spans="1:14" ht="30" customHeight="1" outlineLevel="2" x14ac:dyDescent="0.25">
      <c r="A736" s="3">
        <v>13</v>
      </c>
      <c r="B736" s="3" t="str">
        <f>E736</f>
        <v xml:space="preserve">ЩС5 (Альбом 36) </v>
      </c>
      <c r="C736" s="3"/>
      <c r="D736" s="14"/>
      <c r="E736" s="3" t="s">
        <v>137</v>
      </c>
      <c r="F736" s="13"/>
      <c r="G736" s="13"/>
      <c r="H736" s="13"/>
      <c r="I736" s="5">
        <v>1</v>
      </c>
      <c r="J736" s="4" t="s">
        <v>6</v>
      </c>
      <c r="K736" s="4" t="s">
        <v>23</v>
      </c>
      <c r="L736" s="4" t="s">
        <v>117</v>
      </c>
      <c r="M736" s="13"/>
      <c r="N736" s="17"/>
    </row>
    <row r="737" spans="1:14" ht="30" customHeight="1" outlineLevel="2" x14ac:dyDescent="0.25">
      <c r="A737" s="6">
        <v>14</v>
      </c>
      <c r="B737" s="6" t="str">
        <f t="shared" ref="B737:B741" si="285">B736</f>
        <v xml:space="preserve">ЩС5 (Альбом 36) </v>
      </c>
      <c r="C737" s="7" t="s">
        <v>7</v>
      </c>
      <c r="D737" s="7" t="s">
        <v>272</v>
      </c>
      <c r="E737" s="8" t="s">
        <v>273</v>
      </c>
      <c r="F737" s="18">
        <v>17000</v>
      </c>
      <c r="G737" s="18">
        <f>0.6*F737</f>
        <v>10200</v>
      </c>
      <c r="H737" s="18">
        <f t="shared" ref="H737:H741" si="286">G737*I737</f>
        <v>10200</v>
      </c>
      <c r="I737" s="7">
        <v>1</v>
      </c>
      <c r="J737" s="9" t="s">
        <v>11</v>
      </c>
      <c r="K737" s="9" t="s">
        <v>24</v>
      </c>
      <c r="L737" s="9" t="s">
        <v>117</v>
      </c>
      <c r="M737" s="18">
        <v>10200</v>
      </c>
      <c r="N737" s="17"/>
    </row>
    <row r="738" spans="1:14" ht="30" customHeight="1" outlineLevel="2" x14ac:dyDescent="0.25">
      <c r="A738" s="6">
        <v>15</v>
      </c>
      <c r="B738" s="6" t="str">
        <f t="shared" si="285"/>
        <v xml:space="preserve">ЩС5 (Альбом 36) </v>
      </c>
      <c r="C738" s="7" t="s">
        <v>10</v>
      </c>
      <c r="D738" s="7">
        <v>296829</v>
      </c>
      <c r="E738" s="8" t="s">
        <v>44</v>
      </c>
      <c r="F738" s="18">
        <v>2429</v>
      </c>
      <c r="G738" s="18">
        <f t="shared" ref="G738:G739" si="287">F738*0.6</f>
        <v>1457.3999999999999</v>
      </c>
      <c r="H738" s="18">
        <f t="shared" si="286"/>
        <v>1457.3999999999999</v>
      </c>
      <c r="I738" s="7">
        <v>1</v>
      </c>
      <c r="J738" s="9" t="s">
        <v>11</v>
      </c>
      <c r="K738" s="9" t="s">
        <v>22</v>
      </c>
      <c r="L738" s="9" t="s">
        <v>117</v>
      </c>
      <c r="M738" s="18">
        <v>1457.3999999999999</v>
      </c>
      <c r="N738" s="17"/>
    </row>
    <row r="739" spans="1:14" ht="30" customHeight="1" outlineLevel="2" x14ac:dyDescent="0.25">
      <c r="A739" s="6">
        <v>15</v>
      </c>
      <c r="B739" s="6" t="str">
        <f t="shared" si="285"/>
        <v xml:space="preserve">ЩС5 (Альбом 36) </v>
      </c>
      <c r="C739" s="7" t="s">
        <v>12</v>
      </c>
      <c r="D739" s="7">
        <v>105542</v>
      </c>
      <c r="E739" s="8" t="s">
        <v>43</v>
      </c>
      <c r="F739" s="18">
        <v>5093</v>
      </c>
      <c r="G739" s="18">
        <f t="shared" si="287"/>
        <v>3055.7999999999997</v>
      </c>
      <c r="H739" s="18">
        <f t="shared" si="286"/>
        <v>15278.999999999998</v>
      </c>
      <c r="I739" s="7">
        <v>5</v>
      </c>
      <c r="J739" s="9" t="s">
        <v>11</v>
      </c>
      <c r="K739" s="9" t="s">
        <v>22</v>
      </c>
      <c r="L739" s="9" t="s">
        <v>117</v>
      </c>
      <c r="M739" s="18">
        <v>15278.999999999998</v>
      </c>
      <c r="N739" s="17"/>
    </row>
    <row r="740" spans="1:14" ht="28.5" customHeight="1" outlineLevel="2" x14ac:dyDescent="0.25">
      <c r="A740" s="6">
        <v>19</v>
      </c>
      <c r="B740" s="6" t="str">
        <f t="shared" si="285"/>
        <v xml:space="preserve">ЩС5 (Альбом 36) </v>
      </c>
      <c r="C740" s="7" t="s">
        <v>8</v>
      </c>
      <c r="D740" s="7" t="s">
        <v>8</v>
      </c>
      <c r="E740" s="8" t="s">
        <v>8</v>
      </c>
      <c r="F740" s="18">
        <f ca="1">OFFSET(F740,1,2)</f>
        <v>9000</v>
      </c>
      <c r="G740" s="18">
        <f ca="1">F740</f>
        <v>9000</v>
      </c>
      <c r="H740" s="18">
        <f t="shared" ca="1" si="286"/>
        <v>9000</v>
      </c>
      <c r="I740" s="7">
        <v>1</v>
      </c>
      <c r="J740" s="9" t="s">
        <v>11</v>
      </c>
      <c r="K740" s="7" t="s">
        <v>8</v>
      </c>
      <c r="L740" s="7" t="s">
        <v>117</v>
      </c>
      <c r="M740" s="18">
        <v>9000</v>
      </c>
      <c r="N740" s="17"/>
    </row>
    <row r="741" spans="1:14" ht="30" customHeight="1" outlineLevel="2" x14ac:dyDescent="0.25">
      <c r="A741" s="6">
        <v>20</v>
      </c>
      <c r="B741" s="6" t="str">
        <f t="shared" si="285"/>
        <v xml:space="preserve">ЩС5 (Альбом 36) </v>
      </c>
      <c r="C741" s="7" t="s">
        <v>9</v>
      </c>
      <c r="D741" s="7" t="s">
        <v>9</v>
      </c>
      <c r="E741" s="8" t="s">
        <v>9</v>
      </c>
      <c r="F741" s="18">
        <v>1.5</v>
      </c>
      <c r="G741" s="18">
        <v>100</v>
      </c>
      <c r="H741" s="18">
        <f t="shared" si="286"/>
        <v>9000</v>
      </c>
      <c r="I741" s="7">
        <f>60*F741</f>
        <v>90</v>
      </c>
      <c r="J741" s="9" t="s">
        <v>11</v>
      </c>
      <c r="K741" s="7" t="s">
        <v>9</v>
      </c>
      <c r="L741" s="7" t="s">
        <v>117</v>
      </c>
      <c r="M741" s="18">
        <v>9000</v>
      </c>
      <c r="N741" s="17"/>
    </row>
    <row r="742" spans="1:14" ht="30" customHeight="1" outlineLevel="1" x14ac:dyDescent="0.25">
      <c r="A742" s="6"/>
      <c r="B742" s="6" t="s">
        <v>395</v>
      </c>
      <c r="C742" s="7"/>
      <c r="D742" s="7"/>
      <c r="E742" s="8"/>
      <c r="F742" s="18"/>
      <c r="G742" s="18"/>
      <c r="H742" s="18">
        <f ca="1">SUBTOTAL(9,H736:H741)</f>
        <v>44936.399999999994</v>
      </c>
      <c r="I742" s="7"/>
      <c r="J742" s="9"/>
      <c r="K742" s="7"/>
      <c r="L742" s="7"/>
      <c r="M742" s="18">
        <v>44936.399999999994</v>
      </c>
      <c r="N742" s="17"/>
    </row>
    <row r="743" spans="1:14" ht="30" customHeight="1" outlineLevel="2" x14ac:dyDescent="0.25">
      <c r="A743" s="3">
        <v>13</v>
      </c>
      <c r="B743" s="3" t="str">
        <f>E743</f>
        <v xml:space="preserve">ЩС6 (Альбом 36) </v>
      </c>
      <c r="C743" s="3"/>
      <c r="D743" s="14"/>
      <c r="E743" s="3" t="s">
        <v>138</v>
      </c>
      <c r="F743" s="13"/>
      <c r="G743" s="13"/>
      <c r="H743" s="13"/>
      <c r="I743" s="5">
        <v>1</v>
      </c>
      <c r="J743" s="4" t="s">
        <v>6</v>
      </c>
      <c r="K743" s="4" t="s">
        <v>23</v>
      </c>
      <c r="L743" s="4" t="s">
        <v>117</v>
      </c>
      <c r="M743" s="13"/>
      <c r="N743" s="17"/>
    </row>
    <row r="744" spans="1:14" ht="30" customHeight="1" outlineLevel="2" x14ac:dyDescent="0.25">
      <c r="A744" s="6">
        <v>14</v>
      </c>
      <c r="B744" s="6" t="str">
        <f t="shared" ref="B744:B749" si="288">B743</f>
        <v xml:space="preserve">ЩС6 (Альбом 36) </v>
      </c>
      <c r="C744" s="7" t="s">
        <v>7</v>
      </c>
      <c r="D744" s="7" t="s">
        <v>274</v>
      </c>
      <c r="E744" s="8" t="s">
        <v>275</v>
      </c>
      <c r="F744" s="18">
        <v>20000</v>
      </c>
      <c r="G744" s="18">
        <f>0.6*F744</f>
        <v>12000</v>
      </c>
      <c r="H744" s="18">
        <f t="shared" ref="H744:H749" si="289">G744*I744</f>
        <v>12000</v>
      </c>
      <c r="I744" s="7">
        <v>1</v>
      </c>
      <c r="J744" s="9" t="s">
        <v>11</v>
      </c>
      <c r="K744" s="9" t="s">
        <v>24</v>
      </c>
      <c r="L744" s="9" t="s">
        <v>117</v>
      </c>
      <c r="M744" s="18">
        <v>12000</v>
      </c>
      <c r="N744" s="17"/>
    </row>
    <row r="745" spans="1:14" ht="30" customHeight="1" outlineLevel="2" x14ac:dyDescent="0.25">
      <c r="A745" s="6">
        <v>15</v>
      </c>
      <c r="B745" s="6" t="str">
        <f t="shared" si="288"/>
        <v xml:space="preserve">ЩС6 (Альбом 36) </v>
      </c>
      <c r="C745" s="7" t="s">
        <v>10</v>
      </c>
      <c r="D745" s="7">
        <v>296829</v>
      </c>
      <c r="E745" s="8" t="s">
        <v>44</v>
      </c>
      <c r="F745" s="18">
        <v>2429</v>
      </c>
      <c r="G745" s="18">
        <f t="shared" ref="G745:G747" si="290">F745*0.6</f>
        <v>1457.3999999999999</v>
      </c>
      <c r="H745" s="18">
        <f t="shared" si="289"/>
        <v>1457.3999999999999</v>
      </c>
      <c r="I745" s="7">
        <v>1</v>
      </c>
      <c r="J745" s="9" t="s">
        <v>11</v>
      </c>
      <c r="K745" s="9" t="s">
        <v>22</v>
      </c>
      <c r="L745" s="9" t="s">
        <v>117</v>
      </c>
      <c r="M745" s="18">
        <v>1457.3999999999999</v>
      </c>
      <c r="N745" s="17"/>
    </row>
    <row r="746" spans="1:14" ht="30" customHeight="1" outlineLevel="2" x14ac:dyDescent="0.25">
      <c r="A746" s="6">
        <v>15</v>
      </c>
      <c r="B746" s="6" t="str">
        <f t="shared" si="288"/>
        <v xml:space="preserve">ЩС6 (Альбом 36) </v>
      </c>
      <c r="C746" s="7" t="s">
        <v>10</v>
      </c>
      <c r="D746" s="7">
        <v>296827</v>
      </c>
      <c r="E746" s="8" t="s">
        <v>64</v>
      </c>
      <c r="F746" s="18">
        <v>2337</v>
      </c>
      <c r="G746" s="18">
        <f t="shared" si="290"/>
        <v>1402.2</v>
      </c>
      <c r="H746" s="18">
        <f t="shared" si="289"/>
        <v>2804.4</v>
      </c>
      <c r="I746" s="7">
        <v>2</v>
      </c>
      <c r="J746" s="9" t="s">
        <v>11</v>
      </c>
      <c r="K746" s="9" t="s">
        <v>22</v>
      </c>
      <c r="L746" s="9" t="s">
        <v>117</v>
      </c>
      <c r="M746" s="18">
        <v>2804.4</v>
      </c>
      <c r="N746" s="17"/>
    </row>
    <row r="747" spans="1:14" ht="30" customHeight="1" outlineLevel="2" x14ac:dyDescent="0.25">
      <c r="A747" s="6">
        <v>15</v>
      </c>
      <c r="B747" s="6" t="str">
        <f t="shared" si="288"/>
        <v xml:space="preserve">ЩС6 (Альбом 36) </v>
      </c>
      <c r="C747" s="7" t="s">
        <v>12</v>
      </c>
      <c r="D747" s="7">
        <v>105542</v>
      </c>
      <c r="E747" s="8" t="s">
        <v>43</v>
      </c>
      <c r="F747" s="18">
        <v>5093</v>
      </c>
      <c r="G747" s="18">
        <f t="shared" si="290"/>
        <v>3055.7999999999997</v>
      </c>
      <c r="H747" s="18">
        <f t="shared" si="289"/>
        <v>21390.6</v>
      </c>
      <c r="I747" s="7">
        <v>7</v>
      </c>
      <c r="J747" s="9" t="s">
        <v>11</v>
      </c>
      <c r="K747" s="9" t="s">
        <v>22</v>
      </c>
      <c r="L747" s="9" t="s">
        <v>117</v>
      </c>
      <c r="M747" s="18">
        <v>21390.6</v>
      </c>
      <c r="N747" s="17"/>
    </row>
    <row r="748" spans="1:14" ht="28.5" customHeight="1" outlineLevel="2" x14ac:dyDescent="0.25">
      <c r="A748" s="6">
        <v>19</v>
      </c>
      <c r="B748" s="6" t="str">
        <f t="shared" si="288"/>
        <v xml:space="preserve">ЩС6 (Альбом 36) </v>
      </c>
      <c r="C748" s="7" t="s">
        <v>8</v>
      </c>
      <c r="D748" s="7" t="s">
        <v>8</v>
      </c>
      <c r="E748" s="8" t="s">
        <v>8</v>
      </c>
      <c r="F748" s="18">
        <f ca="1">OFFSET(F748,1,2)</f>
        <v>12000</v>
      </c>
      <c r="G748" s="18">
        <f ca="1">F748</f>
        <v>12000</v>
      </c>
      <c r="H748" s="18">
        <f t="shared" ca="1" si="289"/>
        <v>12000</v>
      </c>
      <c r="I748" s="7">
        <v>1</v>
      </c>
      <c r="J748" s="9" t="s">
        <v>11</v>
      </c>
      <c r="K748" s="7" t="s">
        <v>8</v>
      </c>
      <c r="L748" s="7" t="s">
        <v>117</v>
      </c>
      <c r="M748" s="18">
        <v>12000</v>
      </c>
      <c r="N748" s="17"/>
    </row>
    <row r="749" spans="1:14" ht="30" customHeight="1" outlineLevel="2" x14ac:dyDescent="0.25">
      <c r="A749" s="6">
        <v>20</v>
      </c>
      <c r="B749" s="6" t="str">
        <f t="shared" si="288"/>
        <v xml:space="preserve">ЩС6 (Альбом 36) </v>
      </c>
      <c r="C749" s="7" t="s">
        <v>9</v>
      </c>
      <c r="D749" s="7" t="s">
        <v>9</v>
      </c>
      <c r="E749" s="8" t="s">
        <v>9</v>
      </c>
      <c r="F749" s="18">
        <v>2</v>
      </c>
      <c r="G749" s="18">
        <v>100</v>
      </c>
      <c r="H749" s="18">
        <f t="shared" si="289"/>
        <v>12000</v>
      </c>
      <c r="I749" s="7">
        <f>60*F749</f>
        <v>120</v>
      </c>
      <c r="J749" s="9" t="s">
        <v>11</v>
      </c>
      <c r="K749" s="7" t="s">
        <v>9</v>
      </c>
      <c r="L749" s="7" t="s">
        <v>117</v>
      </c>
      <c r="M749" s="18">
        <v>12000</v>
      </c>
      <c r="N749" s="17"/>
    </row>
    <row r="750" spans="1:14" ht="30" customHeight="1" outlineLevel="1" x14ac:dyDescent="0.25">
      <c r="A750" s="6"/>
      <c r="B750" s="6" t="s">
        <v>396</v>
      </c>
      <c r="C750" s="7"/>
      <c r="D750" s="7"/>
      <c r="E750" s="8"/>
      <c r="F750" s="18"/>
      <c r="G750" s="18"/>
      <c r="H750" s="18">
        <f ca="1">SUBTOTAL(9,H743:H749)</f>
        <v>61652.399999999994</v>
      </c>
      <c r="I750" s="7"/>
      <c r="J750" s="9"/>
      <c r="K750" s="7"/>
      <c r="L750" s="7"/>
      <c r="M750" s="18">
        <v>61652.399999999994</v>
      </c>
      <c r="N750" s="17"/>
    </row>
    <row r="751" spans="1:14" ht="30" customHeight="1" outlineLevel="2" x14ac:dyDescent="0.25">
      <c r="A751" s="3">
        <v>13</v>
      </c>
      <c r="B751" s="3" t="str">
        <f>E751</f>
        <v xml:space="preserve">ЩС7 (Альбом 36) </v>
      </c>
      <c r="C751" s="3"/>
      <c r="D751" s="14"/>
      <c r="E751" s="3" t="s">
        <v>139</v>
      </c>
      <c r="F751" s="13"/>
      <c r="G751" s="13"/>
      <c r="H751" s="13"/>
      <c r="I751" s="5">
        <v>1</v>
      </c>
      <c r="J751" s="4" t="s">
        <v>6</v>
      </c>
      <c r="K751" s="4" t="s">
        <v>23</v>
      </c>
      <c r="L751" s="4" t="s">
        <v>117</v>
      </c>
      <c r="M751" s="13"/>
      <c r="N751" s="17"/>
    </row>
    <row r="752" spans="1:14" ht="30" customHeight="1" outlineLevel="2" x14ac:dyDescent="0.25">
      <c r="A752" s="6">
        <v>14</v>
      </c>
      <c r="B752" s="6" t="str">
        <f t="shared" ref="B752:B756" si="291">B751</f>
        <v xml:space="preserve">ЩС7 (Альбом 36) </v>
      </c>
      <c r="C752" s="7" t="s">
        <v>7</v>
      </c>
      <c r="D752" s="7" t="s">
        <v>274</v>
      </c>
      <c r="E752" s="8" t="s">
        <v>275</v>
      </c>
      <c r="F752" s="18">
        <v>20000</v>
      </c>
      <c r="G752" s="18">
        <f>0.6*F752</f>
        <v>12000</v>
      </c>
      <c r="H752" s="18">
        <f t="shared" ref="H752:H756" si="292">G752*I752</f>
        <v>12000</v>
      </c>
      <c r="I752" s="7">
        <v>1</v>
      </c>
      <c r="J752" s="9" t="s">
        <v>11</v>
      </c>
      <c r="K752" s="9" t="s">
        <v>24</v>
      </c>
      <c r="L752" s="9" t="s">
        <v>117</v>
      </c>
      <c r="M752" s="18">
        <v>12000</v>
      </c>
      <c r="N752" s="17"/>
    </row>
    <row r="753" spans="1:14" ht="30" customHeight="1" outlineLevel="2" x14ac:dyDescent="0.25">
      <c r="A753" s="6">
        <v>15</v>
      </c>
      <c r="B753" s="6" t="str">
        <f t="shared" si="291"/>
        <v xml:space="preserve">ЩС7 (Альбом 36) </v>
      </c>
      <c r="C753" s="7" t="s">
        <v>10</v>
      </c>
      <c r="D753" s="7">
        <v>296829</v>
      </c>
      <c r="E753" s="8" t="s">
        <v>44</v>
      </c>
      <c r="F753" s="18">
        <v>2429</v>
      </c>
      <c r="G753" s="18">
        <f t="shared" ref="G753:G754" si="293">F753*0.6</f>
        <v>1457.3999999999999</v>
      </c>
      <c r="H753" s="18">
        <f t="shared" si="292"/>
        <v>1457.3999999999999</v>
      </c>
      <c r="I753" s="7">
        <v>1</v>
      </c>
      <c r="J753" s="9" t="s">
        <v>11</v>
      </c>
      <c r="K753" s="9" t="s">
        <v>22</v>
      </c>
      <c r="L753" s="9" t="s">
        <v>117</v>
      </c>
      <c r="M753" s="18">
        <v>1457.3999999999999</v>
      </c>
      <c r="N753" s="17"/>
    </row>
    <row r="754" spans="1:14" ht="30" customHeight="1" outlineLevel="2" x14ac:dyDescent="0.25">
      <c r="A754" s="6">
        <v>15</v>
      </c>
      <c r="B754" s="6" t="str">
        <f t="shared" si="291"/>
        <v xml:space="preserve">ЩС7 (Альбом 36) </v>
      </c>
      <c r="C754" s="7" t="s">
        <v>12</v>
      </c>
      <c r="D754" s="7">
        <v>105542</v>
      </c>
      <c r="E754" s="8" t="s">
        <v>43</v>
      </c>
      <c r="F754" s="18">
        <v>5093</v>
      </c>
      <c r="G754" s="18">
        <f t="shared" si="293"/>
        <v>3055.7999999999997</v>
      </c>
      <c r="H754" s="18">
        <f t="shared" si="292"/>
        <v>24446.399999999998</v>
      </c>
      <c r="I754" s="7">
        <v>8</v>
      </c>
      <c r="J754" s="9" t="s">
        <v>11</v>
      </c>
      <c r="K754" s="9" t="s">
        <v>22</v>
      </c>
      <c r="L754" s="9" t="s">
        <v>117</v>
      </c>
      <c r="M754" s="18">
        <v>24446.399999999998</v>
      </c>
      <c r="N754" s="17"/>
    </row>
    <row r="755" spans="1:14" ht="28.5" customHeight="1" outlineLevel="2" x14ac:dyDescent="0.25">
      <c r="A755" s="6">
        <v>19</v>
      </c>
      <c r="B755" s="6" t="str">
        <f t="shared" si="291"/>
        <v xml:space="preserve">ЩС7 (Альбом 36) </v>
      </c>
      <c r="C755" s="7" t="s">
        <v>8</v>
      </c>
      <c r="D755" s="7" t="s">
        <v>8</v>
      </c>
      <c r="E755" s="8" t="s">
        <v>8</v>
      </c>
      <c r="F755" s="18">
        <f ca="1">OFFSET(F755,1,2)</f>
        <v>12000</v>
      </c>
      <c r="G755" s="18">
        <f ca="1">F755</f>
        <v>12000</v>
      </c>
      <c r="H755" s="18">
        <f t="shared" ca="1" si="292"/>
        <v>12000</v>
      </c>
      <c r="I755" s="7">
        <v>1</v>
      </c>
      <c r="J755" s="9" t="s">
        <v>11</v>
      </c>
      <c r="K755" s="7" t="s">
        <v>8</v>
      </c>
      <c r="L755" s="7" t="s">
        <v>117</v>
      </c>
      <c r="M755" s="18">
        <v>12000</v>
      </c>
      <c r="N755" s="17"/>
    </row>
    <row r="756" spans="1:14" ht="30" customHeight="1" outlineLevel="2" x14ac:dyDescent="0.25">
      <c r="A756" s="6">
        <v>20</v>
      </c>
      <c r="B756" s="6" t="str">
        <f t="shared" si="291"/>
        <v xml:space="preserve">ЩС7 (Альбом 36) </v>
      </c>
      <c r="C756" s="7" t="s">
        <v>9</v>
      </c>
      <c r="D756" s="7" t="s">
        <v>9</v>
      </c>
      <c r="E756" s="8" t="s">
        <v>9</v>
      </c>
      <c r="F756" s="18">
        <v>2</v>
      </c>
      <c r="G756" s="18">
        <v>100</v>
      </c>
      <c r="H756" s="18">
        <f t="shared" si="292"/>
        <v>12000</v>
      </c>
      <c r="I756" s="7">
        <f>60*F756</f>
        <v>120</v>
      </c>
      <c r="J756" s="9" t="s">
        <v>11</v>
      </c>
      <c r="K756" s="7" t="s">
        <v>9</v>
      </c>
      <c r="L756" s="7" t="s">
        <v>117</v>
      </c>
      <c r="M756" s="18">
        <v>12000</v>
      </c>
      <c r="N756" s="17"/>
    </row>
    <row r="757" spans="1:14" ht="30" customHeight="1" outlineLevel="1" x14ac:dyDescent="0.25">
      <c r="A757" s="6"/>
      <c r="B757" s="6" t="s">
        <v>397</v>
      </c>
      <c r="C757" s="7"/>
      <c r="D757" s="7"/>
      <c r="E757" s="8"/>
      <c r="F757" s="18"/>
      <c r="G757" s="18"/>
      <c r="H757" s="18">
        <f ca="1">SUBTOTAL(9,H751:H756)</f>
        <v>61903.799999999996</v>
      </c>
      <c r="I757" s="7"/>
      <c r="J757" s="9"/>
      <c r="K757" s="7"/>
      <c r="L757" s="7"/>
      <c r="M757" s="18">
        <v>61903.799999999996</v>
      </c>
      <c r="N757" s="17"/>
    </row>
    <row r="758" spans="1:14" ht="30" customHeight="1" outlineLevel="2" x14ac:dyDescent="0.25">
      <c r="A758" s="3">
        <v>13</v>
      </c>
      <c r="B758" s="3" t="str">
        <f>E758</f>
        <v xml:space="preserve">ЩС8 (Альбом 36) </v>
      </c>
      <c r="C758" s="3"/>
      <c r="D758" s="14"/>
      <c r="E758" s="3" t="s">
        <v>140</v>
      </c>
      <c r="F758" s="13"/>
      <c r="G758" s="13"/>
      <c r="H758" s="13"/>
      <c r="I758" s="5">
        <v>1</v>
      </c>
      <c r="J758" s="4" t="s">
        <v>6</v>
      </c>
      <c r="K758" s="4" t="s">
        <v>23</v>
      </c>
      <c r="L758" s="4" t="s">
        <v>117</v>
      </c>
      <c r="M758" s="13"/>
      <c r="N758" s="17"/>
    </row>
    <row r="759" spans="1:14" ht="30" customHeight="1" outlineLevel="2" x14ac:dyDescent="0.25">
      <c r="A759" s="6">
        <v>14</v>
      </c>
      <c r="B759" s="6" t="str">
        <f t="shared" ref="B759:B764" si="294">B758</f>
        <v xml:space="preserve">ЩС8 (Альбом 36) </v>
      </c>
      <c r="C759" s="7" t="s">
        <v>7</v>
      </c>
      <c r="D759" s="7" t="s">
        <v>274</v>
      </c>
      <c r="E759" s="8" t="s">
        <v>275</v>
      </c>
      <c r="F759" s="18">
        <v>20000</v>
      </c>
      <c r="G759" s="18">
        <f>0.6*F759</f>
        <v>12000</v>
      </c>
      <c r="H759" s="18">
        <f t="shared" ref="H759:H764" si="295">G759*I759</f>
        <v>12000</v>
      </c>
      <c r="I759" s="7">
        <v>1</v>
      </c>
      <c r="J759" s="9" t="s">
        <v>11</v>
      </c>
      <c r="K759" s="9" t="s">
        <v>24</v>
      </c>
      <c r="L759" s="9" t="s">
        <v>117</v>
      </c>
      <c r="M759" s="18">
        <v>12000</v>
      </c>
      <c r="N759" s="17"/>
    </row>
    <row r="760" spans="1:14" ht="30" customHeight="1" outlineLevel="2" x14ac:dyDescent="0.25">
      <c r="A760" s="6">
        <v>15</v>
      </c>
      <c r="B760" s="6" t="str">
        <f t="shared" si="294"/>
        <v xml:space="preserve">ЩС8 (Альбом 36) </v>
      </c>
      <c r="C760" s="7" t="s">
        <v>10</v>
      </c>
      <c r="D760" s="7">
        <v>296829</v>
      </c>
      <c r="E760" s="8" t="s">
        <v>44</v>
      </c>
      <c r="F760" s="18">
        <v>2429</v>
      </c>
      <c r="G760" s="18">
        <f t="shared" ref="G760:G762" si="296">F760*0.6</f>
        <v>1457.3999999999999</v>
      </c>
      <c r="H760" s="18">
        <f t="shared" si="295"/>
        <v>1457.3999999999999</v>
      </c>
      <c r="I760" s="7">
        <v>1</v>
      </c>
      <c r="J760" s="9" t="s">
        <v>11</v>
      </c>
      <c r="K760" s="9" t="s">
        <v>22</v>
      </c>
      <c r="L760" s="9" t="s">
        <v>117</v>
      </c>
      <c r="M760" s="18">
        <v>1457.3999999999999</v>
      </c>
      <c r="N760" s="17"/>
    </row>
    <row r="761" spans="1:14" ht="30" customHeight="1" outlineLevel="2" x14ac:dyDescent="0.25">
      <c r="A761" s="6">
        <v>15</v>
      </c>
      <c r="B761" s="6" t="str">
        <f t="shared" si="294"/>
        <v xml:space="preserve">ЩС8 (Альбом 36) </v>
      </c>
      <c r="C761" s="7" t="s">
        <v>10</v>
      </c>
      <c r="D761" s="7">
        <v>296827</v>
      </c>
      <c r="E761" s="8" t="s">
        <v>64</v>
      </c>
      <c r="F761" s="18">
        <v>2337</v>
      </c>
      <c r="G761" s="18">
        <f t="shared" si="296"/>
        <v>1402.2</v>
      </c>
      <c r="H761" s="18">
        <f t="shared" si="295"/>
        <v>1402.2</v>
      </c>
      <c r="I761" s="7">
        <v>1</v>
      </c>
      <c r="J761" s="9" t="s">
        <v>11</v>
      </c>
      <c r="K761" s="9" t="s">
        <v>22</v>
      </c>
      <c r="L761" s="9" t="s">
        <v>117</v>
      </c>
      <c r="M761" s="18">
        <v>1402.2</v>
      </c>
      <c r="N761" s="17"/>
    </row>
    <row r="762" spans="1:14" ht="30" customHeight="1" outlineLevel="2" x14ac:dyDescent="0.25">
      <c r="A762" s="6">
        <v>15</v>
      </c>
      <c r="B762" s="6" t="str">
        <f t="shared" si="294"/>
        <v xml:space="preserve">ЩС8 (Альбом 36) </v>
      </c>
      <c r="C762" s="7" t="s">
        <v>12</v>
      </c>
      <c r="D762" s="7">
        <v>105542</v>
      </c>
      <c r="E762" s="8" t="s">
        <v>43</v>
      </c>
      <c r="F762" s="18">
        <v>5093</v>
      </c>
      <c r="G762" s="18">
        <f t="shared" si="296"/>
        <v>3055.7999999999997</v>
      </c>
      <c r="H762" s="18">
        <f t="shared" si="295"/>
        <v>24446.399999999998</v>
      </c>
      <c r="I762" s="7">
        <v>8</v>
      </c>
      <c r="J762" s="9" t="s">
        <v>11</v>
      </c>
      <c r="K762" s="9" t="s">
        <v>22</v>
      </c>
      <c r="L762" s="9" t="s">
        <v>117</v>
      </c>
      <c r="M762" s="18">
        <v>24446.399999999998</v>
      </c>
      <c r="N762" s="17"/>
    </row>
    <row r="763" spans="1:14" ht="28.5" customHeight="1" outlineLevel="2" x14ac:dyDescent="0.25">
      <c r="A763" s="6">
        <v>19</v>
      </c>
      <c r="B763" s="6" t="str">
        <f t="shared" si="294"/>
        <v xml:space="preserve">ЩС8 (Альбом 36) </v>
      </c>
      <c r="C763" s="7" t="s">
        <v>8</v>
      </c>
      <c r="D763" s="7" t="s">
        <v>8</v>
      </c>
      <c r="E763" s="8" t="s">
        <v>8</v>
      </c>
      <c r="F763" s="18">
        <f ca="1">OFFSET(F763,1,2)</f>
        <v>12000</v>
      </c>
      <c r="G763" s="18">
        <f ca="1">F763</f>
        <v>12000</v>
      </c>
      <c r="H763" s="18">
        <f t="shared" ca="1" si="295"/>
        <v>12000</v>
      </c>
      <c r="I763" s="7">
        <v>1</v>
      </c>
      <c r="J763" s="9" t="s">
        <v>11</v>
      </c>
      <c r="K763" s="7" t="s">
        <v>8</v>
      </c>
      <c r="L763" s="7" t="s">
        <v>117</v>
      </c>
      <c r="M763" s="18">
        <v>12000</v>
      </c>
      <c r="N763" s="17"/>
    </row>
    <row r="764" spans="1:14" ht="30" customHeight="1" outlineLevel="2" x14ac:dyDescent="0.25">
      <c r="A764" s="6">
        <v>20</v>
      </c>
      <c r="B764" s="6" t="str">
        <f t="shared" si="294"/>
        <v xml:space="preserve">ЩС8 (Альбом 36) </v>
      </c>
      <c r="C764" s="7" t="s">
        <v>9</v>
      </c>
      <c r="D764" s="7" t="s">
        <v>9</v>
      </c>
      <c r="E764" s="8" t="s">
        <v>9</v>
      </c>
      <c r="F764" s="18">
        <v>2</v>
      </c>
      <c r="G764" s="18">
        <v>100</v>
      </c>
      <c r="H764" s="18">
        <f t="shared" si="295"/>
        <v>12000</v>
      </c>
      <c r="I764" s="7">
        <f>60*F764</f>
        <v>120</v>
      </c>
      <c r="J764" s="9" t="s">
        <v>11</v>
      </c>
      <c r="K764" s="7" t="s">
        <v>9</v>
      </c>
      <c r="L764" s="7" t="s">
        <v>117</v>
      </c>
      <c r="M764" s="18">
        <v>12000</v>
      </c>
      <c r="N764" s="17"/>
    </row>
    <row r="765" spans="1:14" ht="30" customHeight="1" outlineLevel="1" x14ac:dyDescent="0.25">
      <c r="A765" s="6"/>
      <c r="B765" s="6" t="s">
        <v>398</v>
      </c>
      <c r="C765" s="7"/>
      <c r="D765" s="7"/>
      <c r="E765" s="8"/>
      <c r="F765" s="18"/>
      <c r="G765" s="18"/>
      <c r="H765" s="18">
        <f ca="1">SUBTOTAL(9,H758:H764)</f>
        <v>63306</v>
      </c>
      <c r="I765" s="7"/>
      <c r="J765" s="9"/>
      <c r="K765" s="7"/>
      <c r="L765" s="7"/>
      <c r="M765" s="18">
        <v>63306</v>
      </c>
      <c r="N765" s="17"/>
    </row>
    <row r="766" spans="1:14" ht="30" customHeight="1" outlineLevel="2" x14ac:dyDescent="0.25">
      <c r="A766" s="3">
        <v>13</v>
      </c>
      <c r="B766" s="3" t="str">
        <f>E766</f>
        <v xml:space="preserve">ЩС9 (Альбом 36) </v>
      </c>
      <c r="C766" s="3"/>
      <c r="D766" s="14"/>
      <c r="E766" s="3" t="s">
        <v>141</v>
      </c>
      <c r="F766" s="13"/>
      <c r="G766" s="13"/>
      <c r="H766" s="13"/>
      <c r="I766" s="5">
        <v>1</v>
      </c>
      <c r="J766" s="4" t="s">
        <v>6</v>
      </c>
      <c r="K766" s="4" t="s">
        <v>23</v>
      </c>
      <c r="L766" s="4" t="s">
        <v>117</v>
      </c>
      <c r="M766" s="13"/>
      <c r="N766" s="17"/>
    </row>
    <row r="767" spans="1:14" ht="30" customHeight="1" outlineLevel="2" x14ac:dyDescent="0.25">
      <c r="A767" s="6">
        <v>14</v>
      </c>
      <c r="B767" s="6" t="str">
        <f t="shared" ref="B767:B772" si="297">B766</f>
        <v xml:space="preserve">ЩС9 (Альбом 36) </v>
      </c>
      <c r="C767" s="7" t="s">
        <v>7</v>
      </c>
      <c r="D767" s="7" t="s">
        <v>276</v>
      </c>
      <c r="E767" s="17" t="s">
        <v>277</v>
      </c>
      <c r="F767" s="18">
        <v>22500</v>
      </c>
      <c r="G767" s="18">
        <f>0.6*F767</f>
        <v>13500</v>
      </c>
      <c r="H767" s="18">
        <f t="shared" ref="H767:H772" si="298">G767*I767</f>
        <v>13500</v>
      </c>
      <c r="I767" s="7">
        <v>1</v>
      </c>
      <c r="J767" s="9" t="s">
        <v>11</v>
      </c>
      <c r="K767" s="9" t="s">
        <v>24</v>
      </c>
      <c r="L767" s="9" t="s">
        <v>117</v>
      </c>
      <c r="M767" s="18">
        <v>13500</v>
      </c>
      <c r="N767" s="17"/>
    </row>
    <row r="768" spans="1:14" ht="30" customHeight="1" outlineLevel="2" x14ac:dyDescent="0.25">
      <c r="A768" s="6">
        <v>15</v>
      </c>
      <c r="B768" s="6" t="str">
        <f t="shared" si="297"/>
        <v xml:space="preserve">ЩС9 (Альбом 36) </v>
      </c>
      <c r="C768" s="7" t="s">
        <v>10</v>
      </c>
      <c r="D768" s="7">
        <v>296829</v>
      </c>
      <c r="E768" s="8" t="s">
        <v>44</v>
      </c>
      <c r="F768" s="18">
        <v>2429</v>
      </c>
      <c r="G768" s="18">
        <f t="shared" ref="G768:G770" si="299">F768*0.6</f>
        <v>1457.3999999999999</v>
      </c>
      <c r="H768" s="18">
        <f t="shared" si="298"/>
        <v>1457.3999999999999</v>
      </c>
      <c r="I768" s="7">
        <v>1</v>
      </c>
      <c r="J768" s="9" t="s">
        <v>11</v>
      </c>
      <c r="K768" s="9" t="s">
        <v>22</v>
      </c>
      <c r="L768" s="9" t="s">
        <v>117</v>
      </c>
      <c r="M768" s="18">
        <v>1457.3999999999999</v>
      </c>
      <c r="N768" s="17"/>
    </row>
    <row r="769" spans="1:14" ht="30" customHeight="1" outlineLevel="2" x14ac:dyDescent="0.25">
      <c r="A769" s="6">
        <v>15</v>
      </c>
      <c r="B769" s="6" t="str">
        <f t="shared" si="297"/>
        <v xml:space="preserve">ЩС9 (Альбом 36) </v>
      </c>
      <c r="C769" s="7" t="s">
        <v>10</v>
      </c>
      <c r="D769" s="7">
        <v>296827</v>
      </c>
      <c r="E769" s="8" t="s">
        <v>64</v>
      </c>
      <c r="F769" s="18">
        <v>2337</v>
      </c>
      <c r="G769" s="18">
        <f t="shared" si="299"/>
        <v>1402.2</v>
      </c>
      <c r="H769" s="18">
        <f t="shared" si="298"/>
        <v>2804.4</v>
      </c>
      <c r="I769" s="7">
        <v>2</v>
      </c>
      <c r="J769" s="9" t="s">
        <v>11</v>
      </c>
      <c r="K769" s="9" t="s">
        <v>22</v>
      </c>
      <c r="L769" s="9" t="s">
        <v>117</v>
      </c>
      <c r="M769" s="18">
        <v>2804.4</v>
      </c>
      <c r="N769" s="17"/>
    </row>
    <row r="770" spans="1:14" ht="30" customHeight="1" outlineLevel="2" x14ac:dyDescent="0.25">
      <c r="A770" s="6">
        <v>15</v>
      </c>
      <c r="B770" s="6" t="str">
        <f t="shared" si="297"/>
        <v xml:space="preserve">ЩС9 (Альбом 36) </v>
      </c>
      <c r="C770" s="7" t="s">
        <v>12</v>
      </c>
      <c r="D770" s="7">
        <v>105542</v>
      </c>
      <c r="E770" s="8" t="s">
        <v>43</v>
      </c>
      <c r="F770" s="18">
        <v>5093</v>
      </c>
      <c r="G770" s="18">
        <f t="shared" si="299"/>
        <v>3055.7999999999997</v>
      </c>
      <c r="H770" s="18">
        <f t="shared" si="298"/>
        <v>27502.199999999997</v>
      </c>
      <c r="I770" s="7">
        <v>9</v>
      </c>
      <c r="J770" s="9" t="s">
        <v>11</v>
      </c>
      <c r="K770" s="9" t="s">
        <v>22</v>
      </c>
      <c r="L770" s="9" t="s">
        <v>117</v>
      </c>
      <c r="M770" s="18">
        <v>27502.199999999997</v>
      </c>
      <c r="N770" s="17"/>
    </row>
    <row r="771" spans="1:14" ht="28.5" customHeight="1" outlineLevel="2" x14ac:dyDescent="0.25">
      <c r="A771" s="6">
        <v>19</v>
      </c>
      <c r="B771" s="6" t="str">
        <f t="shared" si="297"/>
        <v xml:space="preserve">ЩС9 (Альбом 36) </v>
      </c>
      <c r="C771" s="7" t="s">
        <v>8</v>
      </c>
      <c r="D771" s="7" t="s">
        <v>8</v>
      </c>
      <c r="E771" s="8" t="s">
        <v>8</v>
      </c>
      <c r="F771" s="18">
        <f ca="1">OFFSET(F771,1,2)</f>
        <v>15000</v>
      </c>
      <c r="G771" s="18">
        <f ca="1">F771</f>
        <v>15000</v>
      </c>
      <c r="H771" s="18">
        <f t="shared" ca="1" si="298"/>
        <v>15000</v>
      </c>
      <c r="I771" s="7">
        <v>1</v>
      </c>
      <c r="J771" s="9" t="s">
        <v>11</v>
      </c>
      <c r="K771" s="7" t="s">
        <v>8</v>
      </c>
      <c r="L771" s="7" t="s">
        <v>117</v>
      </c>
      <c r="M771" s="18">
        <v>15000</v>
      </c>
      <c r="N771" s="17"/>
    </row>
    <row r="772" spans="1:14" ht="30" customHeight="1" outlineLevel="2" x14ac:dyDescent="0.25">
      <c r="A772" s="6">
        <v>20</v>
      </c>
      <c r="B772" s="6" t="str">
        <f t="shared" si="297"/>
        <v xml:space="preserve">ЩС9 (Альбом 36) </v>
      </c>
      <c r="C772" s="7" t="s">
        <v>9</v>
      </c>
      <c r="D772" s="7" t="s">
        <v>9</v>
      </c>
      <c r="E772" s="8" t="s">
        <v>9</v>
      </c>
      <c r="F772" s="18">
        <v>2.5</v>
      </c>
      <c r="G772" s="18">
        <v>100</v>
      </c>
      <c r="H772" s="18">
        <f t="shared" si="298"/>
        <v>15000</v>
      </c>
      <c r="I772" s="7">
        <f>60*F772</f>
        <v>150</v>
      </c>
      <c r="J772" s="9" t="s">
        <v>11</v>
      </c>
      <c r="K772" s="7" t="s">
        <v>9</v>
      </c>
      <c r="L772" s="7" t="s">
        <v>117</v>
      </c>
      <c r="M772" s="18">
        <v>15000</v>
      </c>
      <c r="N772" s="17"/>
    </row>
    <row r="773" spans="1:14" ht="30" customHeight="1" outlineLevel="1" x14ac:dyDescent="0.25">
      <c r="A773" s="6"/>
      <c r="B773" s="6" t="s">
        <v>399</v>
      </c>
      <c r="C773" s="7"/>
      <c r="D773" s="7"/>
      <c r="E773" s="8"/>
      <c r="F773" s="18"/>
      <c r="G773" s="18"/>
      <c r="H773" s="18">
        <f ca="1">SUBTOTAL(9,H766:H772)</f>
        <v>75264</v>
      </c>
      <c r="I773" s="7"/>
      <c r="J773" s="9"/>
      <c r="K773" s="7"/>
      <c r="L773" s="7"/>
      <c r="M773" s="18">
        <v>75264</v>
      </c>
      <c r="N773" s="17"/>
    </row>
    <row r="774" spans="1:14" ht="30" customHeight="1" outlineLevel="2" x14ac:dyDescent="0.25">
      <c r="A774" s="3">
        <v>13</v>
      </c>
      <c r="B774" s="3" t="str">
        <f>E774</f>
        <v xml:space="preserve">ЩС10 (Альбом 36) </v>
      </c>
      <c r="C774" s="3"/>
      <c r="D774" s="14"/>
      <c r="E774" s="3" t="s">
        <v>142</v>
      </c>
      <c r="F774" s="13"/>
      <c r="G774" s="13"/>
      <c r="H774" s="13"/>
      <c r="I774" s="5">
        <v>1</v>
      </c>
      <c r="J774" s="4" t="s">
        <v>6</v>
      </c>
      <c r="K774" s="4" t="s">
        <v>23</v>
      </c>
      <c r="L774" s="4" t="s">
        <v>117</v>
      </c>
      <c r="M774" s="13"/>
      <c r="N774" s="17"/>
    </row>
    <row r="775" spans="1:14" ht="30" customHeight="1" outlineLevel="2" x14ac:dyDescent="0.25">
      <c r="A775" s="6">
        <v>14</v>
      </c>
      <c r="B775" s="6" t="str">
        <f t="shared" ref="B775:B779" si="300">B774</f>
        <v xml:space="preserve">ЩС10 (Альбом 36) </v>
      </c>
      <c r="C775" s="7" t="s">
        <v>7</v>
      </c>
      <c r="D775" s="7" t="s">
        <v>272</v>
      </c>
      <c r="E775" s="8" t="s">
        <v>273</v>
      </c>
      <c r="F775" s="18">
        <v>17000</v>
      </c>
      <c r="G775" s="18">
        <f>0.6*F775</f>
        <v>10200</v>
      </c>
      <c r="H775" s="18">
        <f t="shared" ref="H775:H779" si="301">G775*I775</f>
        <v>10200</v>
      </c>
      <c r="I775" s="7">
        <v>1</v>
      </c>
      <c r="J775" s="9" t="s">
        <v>11</v>
      </c>
      <c r="K775" s="9" t="s">
        <v>24</v>
      </c>
      <c r="L775" s="9" t="s">
        <v>117</v>
      </c>
      <c r="M775" s="18">
        <v>10200</v>
      </c>
      <c r="N775" s="17"/>
    </row>
    <row r="776" spans="1:14" ht="30" customHeight="1" outlineLevel="2" x14ac:dyDescent="0.25">
      <c r="A776" s="6">
        <v>15</v>
      </c>
      <c r="B776" s="6" t="str">
        <f t="shared" si="300"/>
        <v xml:space="preserve">ЩС10 (Альбом 36) </v>
      </c>
      <c r="C776" s="7" t="s">
        <v>10</v>
      </c>
      <c r="D776" s="7">
        <v>296829</v>
      </c>
      <c r="E776" s="8" t="s">
        <v>44</v>
      </c>
      <c r="F776" s="18">
        <v>2429</v>
      </c>
      <c r="G776" s="18">
        <f t="shared" ref="G776:G777" si="302">F776*0.6</f>
        <v>1457.3999999999999</v>
      </c>
      <c r="H776" s="18">
        <f t="shared" si="301"/>
        <v>1457.3999999999999</v>
      </c>
      <c r="I776" s="7">
        <v>1</v>
      </c>
      <c r="J776" s="9" t="s">
        <v>11</v>
      </c>
      <c r="K776" s="9" t="s">
        <v>22</v>
      </c>
      <c r="L776" s="9" t="s">
        <v>117</v>
      </c>
      <c r="M776" s="18">
        <v>1457.3999999999999</v>
      </c>
      <c r="N776" s="17"/>
    </row>
    <row r="777" spans="1:14" ht="30" customHeight="1" outlineLevel="2" x14ac:dyDescent="0.25">
      <c r="A777" s="6">
        <v>15</v>
      </c>
      <c r="B777" s="6" t="str">
        <f t="shared" si="300"/>
        <v xml:space="preserve">ЩС10 (Альбом 36) </v>
      </c>
      <c r="C777" s="7" t="s">
        <v>12</v>
      </c>
      <c r="D777" s="7">
        <v>105542</v>
      </c>
      <c r="E777" s="8" t="s">
        <v>43</v>
      </c>
      <c r="F777" s="18">
        <v>5093</v>
      </c>
      <c r="G777" s="18">
        <f t="shared" si="302"/>
        <v>3055.7999999999997</v>
      </c>
      <c r="H777" s="18">
        <f t="shared" si="301"/>
        <v>18334.8</v>
      </c>
      <c r="I777" s="7">
        <v>6</v>
      </c>
      <c r="J777" s="9" t="s">
        <v>11</v>
      </c>
      <c r="K777" s="9" t="s">
        <v>22</v>
      </c>
      <c r="L777" s="9" t="s">
        <v>117</v>
      </c>
      <c r="M777" s="18">
        <v>18334.8</v>
      </c>
      <c r="N777" s="17"/>
    </row>
    <row r="778" spans="1:14" ht="28.5" customHeight="1" outlineLevel="2" x14ac:dyDescent="0.25">
      <c r="A778" s="6">
        <v>19</v>
      </c>
      <c r="B778" s="6" t="str">
        <f t="shared" si="300"/>
        <v xml:space="preserve">ЩС10 (Альбом 36) </v>
      </c>
      <c r="C778" s="7" t="s">
        <v>8</v>
      </c>
      <c r="D778" s="7" t="s">
        <v>8</v>
      </c>
      <c r="E778" s="8" t="s">
        <v>8</v>
      </c>
      <c r="F778" s="18">
        <f ca="1">OFFSET(F778,1,2)</f>
        <v>9000</v>
      </c>
      <c r="G778" s="18">
        <f ca="1">F778</f>
        <v>9000</v>
      </c>
      <c r="H778" s="18">
        <f t="shared" ca="1" si="301"/>
        <v>9000</v>
      </c>
      <c r="I778" s="7">
        <v>1</v>
      </c>
      <c r="J778" s="9" t="s">
        <v>11</v>
      </c>
      <c r="K778" s="7" t="s">
        <v>8</v>
      </c>
      <c r="L778" s="7" t="s">
        <v>117</v>
      </c>
      <c r="M778" s="18">
        <v>9000</v>
      </c>
      <c r="N778" s="17"/>
    </row>
    <row r="779" spans="1:14" ht="30" customHeight="1" outlineLevel="2" x14ac:dyDescent="0.25">
      <c r="A779" s="6">
        <v>20</v>
      </c>
      <c r="B779" s="6" t="str">
        <f t="shared" si="300"/>
        <v xml:space="preserve">ЩС10 (Альбом 36) </v>
      </c>
      <c r="C779" s="7" t="s">
        <v>9</v>
      </c>
      <c r="D779" s="7" t="s">
        <v>9</v>
      </c>
      <c r="E779" s="8" t="s">
        <v>9</v>
      </c>
      <c r="F779" s="18">
        <v>1.5</v>
      </c>
      <c r="G779" s="18">
        <v>100</v>
      </c>
      <c r="H779" s="18">
        <f t="shared" si="301"/>
        <v>9000</v>
      </c>
      <c r="I779" s="7">
        <f>60*F779</f>
        <v>90</v>
      </c>
      <c r="J779" s="9" t="s">
        <v>11</v>
      </c>
      <c r="K779" s="7" t="s">
        <v>9</v>
      </c>
      <c r="L779" s="7" t="s">
        <v>117</v>
      </c>
      <c r="M779" s="18">
        <v>9000</v>
      </c>
      <c r="N779" s="17"/>
    </row>
    <row r="780" spans="1:14" ht="30" customHeight="1" outlineLevel="1" x14ac:dyDescent="0.25">
      <c r="A780" s="6"/>
      <c r="B780" s="6" t="s">
        <v>400</v>
      </c>
      <c r="C780" s="7"/>
      <c r="D780" s="7"/>
      <c r="E780" s="8"/>
      <c r="F780" s="18"/>
      <c r="G780" s="18"/>
      <c r="H780" s="18">
        <f ca="1">SUBTOTAL(9,H774:H779)</f>
        <v>47992.2</v>
      </c>
      <c r="I780" s="7"/>
      <c r="J780" s="9"/>
      <c r="K780" s="7"/>
      <c r="L780" s="7"/>
      <c r="M780" s="18">
        <v>47992.2</v>
      </c>
      <c r="N780" s="17"/>
    </row>
    <row r="781" spans="1:14" ht="30" customHeight="1" outlineLevel="2" x14ac:dyDescent="0.25">
      <c r="A781" s="3">
        <v>13</v>
      </c>
      <c r="B781" s="3" t="str">
        <f>E781</f>
        <v xml:space="preserve">ЩС11 (Альбом 36) </v>
      </c>
      <c r="C781" s="3"/>
      <c r="D781" s="14"/>
      <c r="E781" s="3" t="s">
        <v>143</v>
      </c>
      <c r="F781" s="13"/>
      <c r="G781" s="13"/>
      <c r="H781" s="13"/>
      <c r="I781" s="5">
        <v>1</v>
      </c>
      <c r="J781" s="4" t="s">
        <v>6</v>
      </c>
      <c r="K781" s="4" t="s">
        <v>23</v>
      </c>
      <c r="L781" s="4" t="s">
        <v>117</v>
      </c>
      <c r="M781" s="13"/>
      <c r="N781" s="17"/>
    </row>
    <row r="782" spans="1:14" ht="30" customHeight="1" outlineLevel="2" x14ac:dyDescent="0.25">
      <c r="A782" s="6">
        <v>14</v>
      </c>
      <c r="B782" s="6" t="str">
        <f t="shared" ref="B782:B786" si="303">B781</f>
        <v xml:space="preserve">ЩС11 (Альбом 36) </v>
      </c>
      <c r="C782" s="7" t="s">
        <v>7</v>
      </c>
      <c r="D782" s="7" t="s">
        <v>274</v>
      </c>
      <c r="E782" s="8" t="s">
        <v>275</v>
      </c>
      <c r="F782" s="18">
        <v>20000</v>
      </c>
      <c r="G782" s="18">
        <f>0.6*F782</f>
        <v>12000</v>
      </c>
      <c r="H782" s="18">
        <f t="shared" ref="H782:H786" si="304">G782*I782</f>
        <v>12000</v>
      </c>
      <c r="I782" s="7">
        <v>1</v>
      </c>
      <c r="J782" s="9" t="s">
        <v>11</v>
      </c>
      <c r="K782" s="9" t="s">
        <v>24</v>
      </c>
      <c r="L782" s="9" t="s">
        <v>117</v>
      </c>
      <c r="M782" s="18">
        <v>12000</v>
      </c>
      <c r="N782" s="17"/>
    </row>
    <row r="783" spans="1:14" ht="30" customHeight="1" outlineLevel="2" x14ac:dyDescent="0.25">
      <c r="A783" s="6">
        <v>15</v>
      </c>
      <c r="B783" s="6" t="str">
        <f t="shared" si="303"/>
        <v xml:space="preserve">ЩС11 (Альбом 36) </v>
      </c>
      <c r="C783" s="7" t="s">
        <v>10</v>
      </c>
      <c r="D783" s="7">
        <v>296829</v>
      </c>
      <c r="E783" s="8" t="s">
        <v>44</v>
      </c>
      <c r="F783" s="18">
        <v>2429</v>
      </c>
      <c r="G783" s="18">
        <f t="shared" ref="G783:G784" si="305">F783*0.6</f>
        <v>1457.3999999999999</v>
      </c>
      <c r="H783" s="18">
        <f t="shared" si="304"/>
        <v>1457.3999999999999</v>
      </c>
      <c r="I783" s="7">
        <v>1</v>
      </c>
      <c r="J783" s="9" t="s">
        <v>11</v>
      </c>
      <c r="K783" s="9" t="s">
        <v>22</v>
      </c>
      <c r="L783" s="9" t="s">
        <v>117</v>
      </c>
      <c r="M783" s="18">
        <v>1457.3999999999999</v>
      </c>
      <c r="N783" s="17"/>
    </row>
    <row r="784" spans="1:14" ht="30" customHeight="1" outlineLevel="2" x14ac:dyDescent="0.25">
      <c r="A784" s="6">
        <v>15</v>
      </c>
      <c r="B784" s="6" t="str">
        <f t="shared" si="303"/>
        <v xml:space="preserve">ЩС11 (Альбом 36) </v>
      </c>
      <c r="C784" s="7" t="s">
        <v>12</v>
      </c>
      <c r="D784" s="7">
        <v>105542</v>
      </c>
      <c r="E784" s="8" t="s">
        <v>43</v>
      </c>
      <c r="F784" s="18">
        <v>5093</v>
      </c>
      <c r="G784" s="18">
        <f t="shared" si="305"/>
        <v>3055.7999999999997</v>
      </c>
      <c r="H784" s="18">
        <f t="shared" si="304"/>
        <v>27502.199999999997</v>
      </c>
      <c r="I784" s="7">
        <v>9</v>
      </c>
      <c r="J784" s="9" t="s">
        <v>11</v>
      </c>
      <c r="K784" s="9" t="s">
        <v>22</v>
      </c>
      <c r="L784" s="9" t="s">
        <v>117</v>
      </c>
      <c r="M784" s="18">
        <v>27502.199999999997</v>
      </c>
      <c r="N784" s="17"/>
    </row>
    <row r="785" spans="1:14" ht="28.5" customHeight="1" outlineLevel="2" x14ac:dyDescent="0.25">
      <c r="A785" s="6">
        <v>19</v>
      </c>
      <c r="B785" s="6" t="str">
        <f t="shared" si="303"/>
        <v xml:space="preserve">ЩС11 (Альбом 36) </v>
      </c>
      <c r="C785" s="7" t="s">
        <v>8</v>
      </c>
      <c r="D785" s="7" t="s">
        <v>8</v>
      </c>
      <c r="E785" s="8" t="s">
        <v>8</v>
      </c>
      <c r="F785" s="18">
        <f ca="1">OFFSET(F785,1,2)</f>
        <v>12000</v>
      </c>
      <c r="G785" s="18">
        <f ca="1">F785</f>
        <v>12000</v>
      </c>
      <c r="H785" s="18">
        <f t="shared" ca="1" si="304"/>
        <v>12000</v>
      </c>
      <c r="I785" s="7">
        <v>1</v>
      </c>
      <c r="J785" s="9" t="s">
        <v>11</v>
      </c>
      <c r="K785" s="7" t="s">
        <v>8</v>
      </c>
      <c r="L785" s="7" t="s">
        <v>117</v>
      </c>
      <c r="M785" s="18">
        <v>12000</v>
      </c>
      <c r="N785" s="17"/>
    </row>
    <row r="786" spans="1:14" ht="30" customHeight="1" outlineLevel="2" x14ac:dyDescent="0.25">
      <c r="A786" s="6">
        <v>20</v>
      </c>
      <c r="B786" s="6" t="str">
        <f t="shared" si="303"/>
        <v xml:space="preserve">ЩС11 (Альбом 36) </v>
      </c>
      <c r="C786" s="7" t="s">
        <v>9</v>
      </c>
      <c r="D786" s="7" t="s">
        <v>9</v>
      </c>
      <c r="E786" s="8" t="s">
        <v>9</v>
      </c>
      <c r="F786" s="18">
        <v>2</v>
      </c>
      <c r="G786" s="18">
        <v>100</v>
      </c>
      <c r="H786" s="18">
        <f t="shared" si="304"/>
        <v>12000</v>
      </c>
      <c r="I786" s="7">
        <f>60*F786</f>
        <v>120</v>
      </c>
      <c r="J786" s="9" t="s">
        <v>11</v>
      </c>
      <c r="K786" s="7" t="s">
        <v>9</v>
      </c>
      <c r="L786" s="7" t="s">
        <v>117</v>
      </c>
      <c r="M786" s="18">
        <v>12000</v>
      </c>
      <c r="N786" s="17"/>
    </row>
    <row r="787" spans="1:14" ht="30" customHeight="1" outlineLevel="1" x14ac:dyDescent="0.25">
      <c r="A787" s="6"/>
      <c r="B787" s="6" t="s">
        <v>401</v>
      </c>
      <c r="C787" s="7"/>
      <c r="D787" s="7"/>
      <c r="E787" s="8"/>
      <c r="F787" s="18"/>
      <c r="G787" s="18"/>
      <c r="H787" s="18">
        <f ca="1">SUBTOTAL(9,H781:H786)</f>
        <v>64959.6</v>
      </c>
      <c r="I787" s="7"/>
      <c r="J787" s="9"/>
      <c r="K787" s="7"/>
      <c r="L787" s="7"/>
      <c r="M787" s="18">
        <v>64959.6</v>
      </c>
      <c r="N787" s="17"/>
    </row>
    <row r="788" spans="1:14" ht="30" customHeight="1" outlineLevel="2" x14ac:dyDescent="0.25">
      <c r="A788" s="3">
        <v>13</v>
      </c>
      <c r="B788" s="3" t="str">
        <f>E788</f>
        <v xml:space="preserve">ЩС12 (Альбом 36) </v>
      </c>
      <c r="C788" s="3"/>
      <c r="D788" s="14"/>
      <c r="E788" s="3" t="s">
        <v>144</v>
      </c>
      <c r="F788" s="13"/>
      <c r="G788" s="13"/>
      <c r="H788" s="13"/>
      <c r="I788" s="5">
        <v>1</v>
      </c>
      <c r="J788" s="4" t="s">
        <v>6</v>
      </c>
      <c r="K788" s="4" t="s">
        <v>23</v>
      </c>
      <c r="L788" s="4" t="s">
        <v>117</v>
      </c>
      <c r="M788" s="13"/>
      <c r="N788" s="17"/>
    </row>
    <row r="789" spans="1:14" ht="30" customHeight="1" outlineLevel="2" x14ac:dyDescent="0.25">
      <c r="A789" s="6">
        <v>14</v>
      </c>
      <c r="B789" s="6" t="str">
        <f t="shared" ref="B789:B793" si="306">B788</f>
        <v xml:space="preserve">ЩС12 (Альбом 36) </v>
      </c>
      <c r="C789" s="7" t="s">
        <v>7</v>
      </c>
      <c r="D789" s="7" t="s">
        <v>274</v>
      </c>
      <c r="E789" s="8" t="s">
        <v>275</v>
      </c>
      <c r="F789" s="18">
        <v>20000</v>
      </c>
      <c r="G789" s="18">
        <f>0.6*F789</f>
        <v>12000</v>
      </c>
      <c r="H789" s="18">
        <f t="shared" ref="H789:H793" si="307">G789*I789</f>
        <v>12000</v>
      </c>
      <c r="I789" s="7">
        <v>1</v>
      </c>
      <c r="J789" s="9" t="s">
        <v>11</v>
      </c>
      <c r="K789" s="9" t="s">
        <v>24</v>
      </c>
      <c r="L789" s="9" t="s">
        <v>117</v>
      </c>
      <c r="M789" s="18">
        <v>12000</v>
      </c>
      <c r="N789" s="17"/>
    </row>
    <row r="790" spans="1:14" ht="30" customHeight="1" outlineLevel="2" x14ac:dyDescent="0.25">
      <c r="A790" s="6">
        <v>15</v>
      </c>
      <c r="B790" s="6" t="str">
        <f t="shared" si="306"/>
        <v xml:space="preserve">ЩС12 (Альбом 36) </v>
      </c>
      <c r="C790" s="7" t="s">
        <v>10</v>
      </c>
      <c r="D790" s="7">
        <v>296829</v>
      </c>
      <c r="E790" s="8" t="s">
        <v>44</v>
      </c>
      <c r="F790" s="18">
        <v>2429</v>
      </c>
      <c r="G790" s="18">
        <f t="shared" ref="G790:G791" si="308">F790*0.6</f>
        <v>1457.3999999999999</v>
      </c>
      <c r="H790" s="18">
        <f t="shared" si="307"/>
        <v>1457.3999999999999</v>
      </c>
      <c r="I790" s="7">
        <v>1</v>
      </c>
      <c r="J790" s="9" t="s">
        <v>11</v>
      </c>
      <c r="K790" s="9" t="s">
        <v>22</v>
      </c>
      <c r="L790" s="9" t="s">
        <v>117</v>
      </c>
      <c r="M790" s="18">
        <v>1457.3999999999999</v>
      </c>
      <c r="N790" s="17"/>
    </row>
    <row r="791" spans="1:14" ht="30" customHeight="1" outlineLevel="2" x14ac:dyDescent="0.25">
      <c r="A791" s="6">
        <v>15</v>
      </c>
      <c r="B791" s="6" t="str">
        <f t="shared" si="306"/>
        <v xml:space="preserve">ЩС12 (Альбом 36) </v>
      </c>
      <c r="C791" s="7" t="s">
        <v>10</v>
      </c>
      <c r="D791" s="7">
        <v>296827</v>
      </c>
      <c r="E791" s="8" t="s">
        <v>64</v>
      </c>
      <c r="F791" s="18">
        <v>2337</v>
      </c>
      <c r="G791" s="18">
        <f t="shared" si="308"/>
        <v>1402.2</v>
      </c>
      <c r="H791" s="18">
        <f t="shared" si="307"/>
        <v>9815.4</v>
      </c>
      <c r="I791" s="7">
        <v>7</v>
      </c>
      <c r="J791" s="9" t="s">
        <v>11</v>
      </c>
      <c r="K791" s="9" t="s">
        <v>22</v>
      </c>
      <c r="L791" s="9" t="s">
        <v>117</v>
      </c>
      <c r="M791" s="18">
        <v>9815.4</v>
      </c>
      <c r="N791" s="17"/>
    </row>
    <row r="792" spans="1:14" ht="28.5" customHeight="1" outlineLevel="2" x14ac:dyDescent="0.25">
      <c r="A792" s="6">
        <v>19</v>
      </c>
      <c r="B792" s="6" t="str">
        <f t="shared" si="306"/>
        <v xml:space="preserve">ЩС12 (Альбом 36) </v>
      </c>
      <c r="C792" s="7" t="s">
        <v>8</v>
      </c>
      <c r="D792" s="7" t="s">
        <v>8</v>
      </c>
      <c r="E792" s="8" t="s">
        <v>8</v>
      </c>
      <c r="F792" s="18">
        <f ca="1">OFFSET(F792,1,2)</f>
        <v>12000</v>
      </c>
      <c r="G792" s="18">
        <f ca="1">F792</f>
        <v>12000</v>
      </c>
      <c r="H792" s="18">
        <f t="shared" ca="1" si="307"/>
        <v>12000</v>
      </c>
      <c r="I792" s="7">
        <v>1</v>
      </c>
      <c r="J792" s="9" t="s">
        <v>11</v>
      </c>
      <c r="K792" s="7" t="s">
        <v>8</v>
      </c>
      <c r="L792" s="7" t="s">
        <v>117</v>
      </c>
      <c r="M792" s="18">
        <v>12000</v>
      </c>
      <c r="N792" s="17"/>
    </row>
    <row r="793" spans="1:14" ht="30" customHeight="1" outlineLevel="2" x14ac:dyDescent="0.25">
      <c r="A793" s="6">
        <v>20</v>
      </c>
      <c r="B793" s="6" t="str">
        <f t="shared" si="306"/>
        <v xml:space="preserve">ЩС12 (Альбом 36) </v>
      </c>
      <c r="C793" s="7" t="s">
        <v>9</v>
      </c>
      <c r="D793" s="7" t="s">
        <v>9</v>
      </c>
      <c r="E793" s="8" t="s">
        <v>9</v>
      </c>
      <c r="F793" s="18">
        <v>2</v>
      </c>
      <c r="G793" s="18">
        <v>100</v>
      </c>
      <c r="H793" s="18">
        <f t="shared" si="307"/>
        <v>12000</v>
      </c>
      <c r="I793" s="7">
        <f>60*F793</f>
        <v>120</v>
      </c>
      <c r="J793" s="9" t="s">
        <v>11</v>
      </c>
      <c r="K793" s="7" t="s">
        <v>9</v>
      </c>
      <c r="L793" s="7" t="s">
        <v>117</v>
      </c>
      <c r="M793" s="18">
        <v>12000</v>
      </c>
      <c r="N793" s="17"/>
    </row>
    <row r="794" spans="1:14" ht="30" customHeight="1" outlineLevel="1" x14ac:dyDescent="0.25">
      <c r="A794" s="6"/>
      <c r="B794" s="6" t="s">
        <v>402</v>
      </c>
      <c r="C794" s="7"/>
      <c r="D794" s="7"/>
      <c r="E794" s="8"/>
      <c r="F794" s="18"/>
      <c r="G794" s="18"/>
      <c r="H794" s="18">
        <f ca="1">SUBTOTAL(9,H788:H793)</f>
        <v>47272.800000000003</v>
      </c>
      <c r="I794" s="7"/>
      <c r="J794" s="9"/>
      <c r="K794" s="7"/>
      <c r="L794" s="7"/>
      <c r="M794" s="18">
        <v>47272.800000000003</v>
      </c>
      <c r="N794" s="17"/>
    </row>
    <row r="795" spans="1:14" ht="30" customHeight="1" outlineLevel="2" x14ac:dyDescent="0.25">
      <c r="A795" s="3">
        <v>13</v>
      </c>
      <c r="B795" s="3" t="str">
        <f>E795</f>
        <v xml:space="preserve">ЩС13 (Альбом 36) </v>
      </c>
      <c r="C795" s="3"/>
      <c r="D795" s="14"/>
      <c r="E795" s="3" t="s">
        <v>145</v>
      </c>
      <c r="F795" s="13"/>
      <c r="G795" s="13"/>
      <c r="H795" s="13"/>
      <c r="I795" s="5">
        <v>1</v>
      </c>
      <c r="J795" s="4" t="s">
        <v>6</v>
      </c>
      <c r="K795" s="4" t="s">
        <v>23</v>
      </c>
      <c r="L795" s="4" t="s">
        <v>117</v>
      </c>
      <c r="M795" s="13"/>
      <c r="N795" s="17"/>
    </row>
    <row r="796" spans="1:14" ht="30" customHeight="1" outlineLevel="2" x14ac:dyDescent="0.25">
      <c r="A796" s="6">
        <v>14</v>
      </c>
      <c r="B796" s="6" t="str">
        <f t="shared" ref="B796:B800" si="309">B795</f>
        <v xml:space="preserve">ЩС13 (Альбом 36) </v>
      </c>
      <c r="C796" s="7" t="s">
        <v>7</v>
      </c>
      <c r="D796" s="7" t="s">
        <v>268</v>
      </c>
      <c r="E796" s="8" t="s">
        <v>269</v>
      </c>
      <c r="F796" s="18">
        <v>10500</v>
      </c>
      <c r="G796" s="18">
        <f>0.6*F796</f>
        <v>6300</v>
      </c>
      <c r="H796" s="18">
        <f t="shared" ref="H796:H800" si="310">G796*I796</f>
        <v>6300</v>
      </c>
      <c r="I796" s="7">
        <v>1</v>
      </c>
      <c r="J796" s="9" t="s">
        <v>11</v>
      </c>
      <c r="K796" s="9" t="s">
        <v>24</v>
      </c>
      <c r="L796" s="9" t="s">
        <v>117</v>
      </c>
      <c r="M796" s="18">
        <v>6300</v>
      </c>
      <c r="N796" s="17"/>
    </row>
    <row r="797" spans="1:14" ht="30" customHeight="1" outlineLevel="2" x14ac:dyDescent="0.25">
      <c r="A797" s="6">
        <v>15</v>
      </c>
      <c r="B797" s="6" t="str">
        <f t="shared" si="309"/>
        <v xml:space="preserve">ЩС13 (Альбом 36) </v>
      </c>
      <c r="C797" s="7" t="s">
        <v>10</v>
      </c>
      <c r="D797" s="7">
        <v>296829</v>
      </c>
      <c r="E797" s="8" t="s">
        <v>44</v>
      </c>
      <c r="F797" s="18">
        <v>2429</v>
      </c>
      <c r="G797" s="18">
        <f t="shared" ref="G797:G798" si="311">F797*0.6</f>
        <v>1457.3999999999999</v>
      </c>
      <c r="H797" s="18">
        <f t="shared" si="310"/>
        <v>1457.3999999999999</v>
      </c>
      <c r="I797" s="7">
        <v>1</v>
      </c>
      <c r="J797" s="9" t="s">
        <v>11</v>
      </c>
      <c r="K797" s="9" t="s">
        <v>22</v>
      </c>
      <c r="L797" s="9" t="s">
        <v>117</v>
      </c>
      <c r="M797" s="18">
        <v>1457.3999999999999</v>
      </c>
      <c r="N797" s="17"/>
    </row>
    <row r="798" spans="1:14" ht="30" customHeight="1" outlineLevel="2" x14ac:dyDescent="0.25">
      <c r="A798" s="6">
        <v>15</v>
      </c>
      <c r="B798" s="6" t="str">
        <f t="shared" si="309"/>
        <v xml:space="preserve">ЩС13 (Альбом 36) </v>
      </c>
      <c r="C798" s="7" t="s">
        <v>10</v>
      </c>
      <c r="D798" s="7">
        <v>296827</v>
      </c>
      <c r="E798" s="8" t="s">
        <v>64</v>
      </c>
      <c r="F798" s="18">
        <v>2337</v>
      </c>
      <c r="G798" s="18">
        <f t="shared" si="311"/>
        <v>1402.2</v>
      </c>
      <c r="H798" s="18">
        <f t="shared" si="310"/>
        <v>1402.2</v>
      </c>
      <c r="I798" s="7">
        <v>1</v>
      </c>
      <c r="J798" s="9" t="s">
        <v>11</v>
      </c>
      <c r="K798" s="9" t="s">
        <v>22</v>
      </c>
      <c r="L798" s="9" t="s">
        <v>117</v>
      </c>
      <c r="M798" s="18">
        <v>1402.2</v>
      </c>
      <c r="N798" s="17"/>
    </row>
    <row r="799" spans="1:14" ht="28.5" customHeight="1" outlineLevel="2" x14ac:dyDescent="0.25">
      <c r="A799" s="6">
        <v>19</v>
      </c>
      <c r="B799" s="6" t="str">
        <f t="shared" si="309"/>
        <v xml:space="preserve">ЩС13 (Альбом 36) </v>
      </c>
      <c r="C799" s="7" t="s">
        <v>8</v>
      </c>
      <c r="D799" s="7" t="s">
        <v>8</v>
      </c>
      <c r="E799" s="8" t="s">
        <v>8</v>
      </c>
      <c r="F799" s="18">
        <f ca="1">OFFSET(F799,1,2)</f>
        <v>6000</v>
      </c>
      <c r="G799" s="18">
        <f ca="1">F799</f>
        <v>6000</v>
      </c>
      <c r="H799" s="18">
        <f t="shared" ca="1" si="310"/>
        <v>6000</v>
      </c>
      <c r="I799" s="7">
        <v>1</v>
      </c>
      <c r="J799" s="9" t="s">
        <v>11</v>
      </c>
      <c r="K799" s="7" t="s">
        <v>8</v>
      </c>
      <c r="L799" s="7" t="s">
        <v>117</v>
      </c>
      <c r="M799" s="18">
        <v>6000</v>
      </c>
      <c r="N799" s="17"/>
    </row>
    <row r="800" spans="1:14" ht="30" customHeight="1" outlineLevel="2" x14ac:dyDescent="0.25">
      <c r="A800" s="6">
        <v>20</v>
      </c>
      <c r="B800" s="6" t="str">
        <f t="shared" si="309"/>
        <v xml:space="preserve">ЩС13 (Альбом 36) </v>
      </c>
      <c r="C800" s="7" t="s">
        <v>9</v>
      </c>
      <c r="D800" s="7" t="s">
        <v>9</v>
      </c>
      <c r="E800" s="8" t="s">
        <v>9</v>
      </c>
      <c r="F800" s="18">
        <v>1</v>
      </c>
      <c r="G800" s="18">
        <v>100</v>
      </c>
      <c r="H800" s="18">
        <f t="shared" si="310"/>
        <v>6000</v>
      </c>
      <c r="I800" s="7">
        <f>60*F800</f>
        <v>60</v>
      </c>
      <c r="J800" s="9" t="s">
        <v>11</v>
      </c>
      <c r="K800" s="7" t="s">
        <v>9</v>
      </c>
      <c r="L800" s="7" t="s">
        <v>117</v>
      </c>
      <c r="M800" s="18">
        <v>6000</v>
      </c>
      <c r="N800" s="17"/>
    </row>
    <row r="801" spans="1:14" ht="30" customHeight="1" outlineLevel="1" x14ac:dyDescent="0.25">
      <c r="A801" s="6"/>
      <c r="B801" s="6" t="s">
        <v>403</v>
      </c>
      <c r="C801" s="7"/>
      <c r="D801" s="7"/>
      <c r="E801" s="8"/>
      <c r="F801" s="18"/>
      <c r="G801" s="18"/>
      <c r="H801" s="18">
        <f ca="1">SUBTOTAL(9,H795:H800)</f>
        <v>21159.599999999999</v>
      </c>
      <c r="I801" s="7"/>
      <c r="J801" s="9"/>
      <c r="K801" s="7"/>
      <c r="L801" s="7"/>
      <c r="M801" s="18">
        <v>21159.599999999999</v>
      </c>
      <c r="N801" s="17"/>
    </row>
    <row r="802" spans="1:14" ht="30" customHeight="1" outlineLevel="2" x14ac:dyDescent="0.25">
      <c r="A802" s="3">
        <v>13</v>
      </c>
      <c r="B802" s="3" t="str">
        <f t="shared" ref="B802:B816" si="312">E802</f>
        <v>Я511-2074 (Альбом 36)</v>
      </c>
      <c r="C802" s="3"/>
      <c r="D802" s="14"/>
      <c r="E802" s="3" t="s">
        <v>229</v>
      </c>
      <c r="F802" s="13"/>
      <c r="G802" s="13"/>
      <c r="H802" s="13"/>
      <c r="I802" s="5">
        <v>2</v>
      </c>
      <c r="J802" s="4" t="s">
        <v>6</v>
      </c>
      <c r="K802" s="4" t="s">
        <v>23</v>
      </c>
      <c r="L802" s="4" t="s">
        <v>117</v>
      </c>
      <c r="M802" s="13"/>
      <c r="N802" s="17"/>
    </row>
    <row r="803" spans="1:14" ht="30" customHeight="1" outlineLevel="1" x14ac:dyDescent="0.25">
      <c r="A803" s="3"/>
      <c r="B803" s="3" t="s">
        <v>404</v>
      </c>
      <c r="C803" s="3"/>
      <c r="D803" s="14"/>
      <c r="E803" s="3"/>
      <c r="F803" s="13"/>
      <c r="G803" s="13"/>
      <c r="H803" s="13">
        <f>SUBTOTAL(9,H802:H802)</f>
        <v>0</v>
      </c>
      <c r="I803" s="5"/>
      <c r="J803" s="4"/>
      <c r="K803" s="4"/>
      <c r="L803" s="4"/>
      <c r="M803" s="13">
        <v>0</v>
      </c>
      <c r="N803" s="17"/>
    </row>
    <row r="804" spans="1:14" ht="30" customHeight="1" outlineLevel="2" x14ac:dyDescent="0.25">
      <c r="A804" s="3">
        <v>13</v>
      </c>
      <c r="B804" s="3" t="str">
        <f t="shared" si="312"/>
        <v>Я511-2274 (Альбом 36)</v>
      </c>
      <c r="C804" s="3"/>
      <c r="D804" s="14"/>
      <c r="E804" s="3" t="s">
        <v>230</v>
      </c>
      <c r="F804" s="13"/>
      <c r="G804" s="13"/>
      <c r="H804" s="13"/>
      <c r="I804" s="5">
        <v>2</v>
      </c>
      <c r="J804" s="4" t="s">
        <v>6</v>
      </c>
      <c r="K804" s="4" t="s">
        <v>23</v>
      </c>
      <c r="L804" s="4" t="s">
        <v>117</v>
      </c>
      <c r="M804" s="13"/>
      <c r="N804" s="17"/>
    </row>
    <row r="805" spans="1:14" ht="30" customHeight="1" outlineLevel="1" x14ac:dyDescent="0.25">
      <c r="A805" s="3"/>
      <c r="B805" s="3" t="s">
        <v>405</v>
      </c>
      <c r="C805" s="3"/>
      <c r="D805" s="14"/>
      <c r="E805" s="3"/>
      <c r="F805" s="13"/>
      <c r="G805" s="13"/>
      <c r="H805" s="13">
        <f>SUBTOTAL(9,H804:H804)</f>
        <v>0</v>
      </c>
      <c r="I805" s="5"/>
      <c r="J805" s="4"/>
      <c r="K805" s="4"/>
      <c r="L805" s="4"/>
      <c r="M805" s="13">
        <v>0</v>
      </c>
      <c r="N805" s="17"/>
    </row>
    <row r="806" spans="1:14" ht="30" customHeight="1" outlineLevel="2" x14ac:dyDescent="0.25">
      <c r="A806" s="3">
        <v>13</v>
      </c>
      <c r="B806" s="3" t="str">
        <f t="shared" si="312"/>
        <v>Я511-2474 (Альбом 36)</v>
      </c>
      <c r="C806" s="3"/>
      <c r="D806" s="14"/>
      <c r="E806" s="3" t="s">
        <v>231</v>
      </c>
      <c r="F806" s="13"/>
      <c r="G806" s="13"/>
      <c r="H806" s="13"/>
      <c r="I806" s="5">
        <v>1</v>
      </c>
      <c r="J806" s="4" t="s">
        <v>6</v>
      </c>
      <c r="K806" s="4" t="s">
        <v>23</v>
      </c>
      <c r="L806" s="4" t="s">
        <v>117</v>
      </c>
      <c r="M806" s="13"/>
      <c r="N806" s="17"/>
    </row>
    <row r="807" spans="1:14" ht="30" customHeight="1" outlineLevel="1" x14ac:dyDescent="0.25">
      <c r="A807" s="3"/>
      <c r="B807" s="3" t="s">
        <v>406</v>
      </c>
      <c r="C807" s="3"/>
      <c r="D807" s="14"/>
      <c r="E807" s="3"/>
      <c r="F807" s="13"/>
      <c r="G807" s="13"/>
      <c r="H807" s="13">
        <f>SUBTOTAL(9,H806:H806)</f>
        <v>0</v>
      </c>
      <c r="I807" s="5"/>
      <c r="J807" s="4"/>
      <c r="K807" s="4"/>
      <c r="L807" s="4"/>
      <c r="M807" s="13">
        <v>0</v>
      </c>
      <c r="N807" s="17"/>
    </row>
    <row r="808" spans="1:14" ht="30" customHeight="1" outlineLevel="2" x14ac:dyDescent="0.25">
      <c r="A808" s="3">
        <v>13</v>
      </c>
      <c r="B808" s="3" t="str">
        <f t="shared" si="312"/>
        <v>Я511-1874 (Альбом 36)</v>
      </c>
      <c r="C808" s="3"/>
      <c r="D808" s="14"/>
      <c r="E808" s="3" t="s">
        <v>232</v>
      </c>
      <c r="F808" s="13"/>
      <c r="G808" s="13"/>
      <c r="H808" s="13"/>
      <c r="I808" s="5">
        <v>1</v>
      </c>
      <c r="J808" s="4" t="s">
        <v>6</v>
      </c>
      <c r="K808" s="4" t="s">
        <v>23</v>
      </c>
      <c r="L808" s="4" t="s">
        <v>117</v>
      </c>
      <c r="M808" s="13"/>
      <c r="N808" s="17"/>
    </row>
    <row r="809" spans="1:14" ht="30" customHeight="1" outlineLevel="1" x14ac:dyDescent="0.25">
      <c r="A809" s="3"/>
      <c r="B809" s="3" t="s">
        <v>407</v>
      </c>
      <c r="C809" s="3"/>
      <c r="D809" s="14"/>
      <c r="E809" s="3"/>
      <c r="F809" s="13"/>
      <c r="G809" s="13"/>
      <c r="H809" s="13">
        <f>SUBTOTAL(9,H808:H808)</f>
        <v>0</v>
      </c>
      <c r="I809" s="5"/>
      <c r="J809" s="4"/>
      <c r="K809" s="4"/>
      <c r="L809" s="4"/>
      <c r="M809" s="13">
        <v>0</v>
      </c>
      <c r="N809" s="17"/>
    </row>
    <row r="810" spans="1:14" ht="30" customHeight="1" outlineLevel="2" x14ac:dyDescent="0.25">
      <c r="A810" s="3">
        <v>13</v>
      </c>
      <c r="B810" s="3" t="str">
        <f t="shared" si="312"/>
        <v>Я511-2477 (Альбом 36)</v>
      </c>
      <c r="C810" s="3"/>
      <c r="D810" s="14"/>
      <c r="E810" s="3" t="s">
        <v>233</v>
      </c>
      <c r="F810" s="13"/>
      <c r="G810" s="13"/>
      <c r="H810" s="13"/>
      <c r="I810" s="5">
        <v>1</v>
      </c>
      <c r="J810" s="4" t="s">
        <v>6</v>
      </c>
      <c r="K810" s="4" t="s">
        <v>23</v>
      </c>
      <c r="L810" s="4" t="s">
        <v>117</v>
      </c>
      <c r="M810" s="13"/>
      <c r="N810" s="17"/>
    </row>
    <row r="811" spans="1:14" ht="30" customHeight="1" outlineLevel="1" x14ac:dyDescent="0.25">
      <c r="A811" s="3"/>
      <c r="B811" s="3" t="s">
        <v>408</v>
      </c>
      <c r="C811" s="3"/>
      <c r="D811" s="14"/>
      <c r="E811" s="3"/>
      <c r="F811" s="13"/>
      <c r="G811" s="13"/>
      <c r="H811" s="13">
        <f>SUBTOTAL(9,H810:H810)</f>
        <v>0</v>
      </c>
      <c r="I811" s="5"/>
      <c r="J811" s="4"/>
      <c r="K811" s="4"/>
      <c r="L811" s="4"/>
      <c r="M811" s="13">
        <v>0</v>
      </c>
      <c r="N811" s="17"/>
    </row>
    <row r="812" spans="1:14" ht="30" customHeight="1" outlineLevel="2" x14ac:dyDescent="0.25">
      <c r="A812" s="3">
        <v>13</v>
      </c>
      <c r="B812" s="3" t="str">
        <f t="shared" si="312"/>
        <v>Я511-2277 (Альбом 36)</v>
      </c>
      <c r="C812" s="3"/>
      <c r="D812" s="14"/>
      <c r="E812" s="3" t="s">
        <v>234</v>
      </c>
      <c r="F812" s="13"/>
      <c r="G812" s="13"/>
      <c r="H812" s="13"/>
      <c r="I812" s="5">
        <v>4</v>
      </c>
      <c r="J812" s="4" t="s">
        <v>6</v>
      </c>
      <c r="K812" s="4" t="s">
        <v>23</v>
      </c>
      <c r="L812" s="4" t="s">
        <v>117</v>
      </c>
      <c r="M812" s="13"/>
      <c r="N812" s="17"/>
    </row>
    <row r="813" spans="1:14" ht="30" customHeight="1" outlineLevel="1" x14ac:dyDescent="0.25">
      <c r="A813" s="3"/>
      <c r="B813" s="3" t="s">
        <v>409</v>
      </c>
      <c r="C813" s="3"/>
      <c r="D813" s="14"/>
      <c r="E813" s="3"/>
      <c r="F813" s="13"/>
      <c r="G813" s="13"/>
      <c r="H813" s="13">
        <f>SUBTOTAL(9,H812:H812)</f>
        <v>0</v>
      </c>
      <c r="I813" s="5"/>
      <c r="J813" s="4"/>
      <c r="K813" s="4"/>
      <c r="L813" s="4"/>
      <c r="M813" s="13">
        <v>0</v>
      </c>
      <c r="N813" s="17"/>
    </row>
    <row r="814" spans="1:14" ht="30" customHeight="1" outlineLevel="2" x14ac:dyDescent="0.25">
      <c r="A814" s="3">
        <v>13</v>
      </c>
      <c r="B814" s="3" t="str">
        <f t="shared" si="312"/>
        <v>ЯТП-0,25 (Альбом 36)</v>
      </c>
      <c r="C814" s="3"/>
      <c r="D814" s="14"/>
      <c r="E814" s="3" t="s">
        <v>235</v>
      </c>
      <c r="F814" s="13"/>
      <c r="G814" s="13"/>
      <c r="H814" s="13"/>
      <c r="I814" s="5">
        <v>2</v>
      </c>
      <c r="J814" s="4" t="s">
        <v>6</v>
      </c>
      <c r="K814" s="4" t="s">
        <v>23</v>
      </c>
      <c r="L814" s="4" t="s">
        <v>117</v>
      </c>
      <c r="M814" s="13"/>
      <c r="N814" s="17"/>
    </row>
    <row r="815" spans="1:14" ht="30" customHeight="1" outlineLevel="1" x14ac:dyDescent="0.25">
      <c r="A815" s="3"/>
      <c r="B815" s="3" t="s">
        <v>410</v>
      </c>
      <c r="C815" s="3"/>
      <c r="D815" s="14"/>
      <c r="E815" s="3"/>
      <c r="F815" s="13"/>
      <c r="G815" s="13"/>
      <c r="H815" s="13">
        <f>SUBTOTAL(9,H814:H814)</f>
        <v>0</v>
      </c>
      <c r="I815" s="5"/>
      <c r="J815" s="4"/>
      <c r="K815" s="4"/>
      <c r="L815" s="4"/>
      <c r="M815" s="13">
        <v>0</v>
      </c>
      <c r="N815" s="17"/>
    </row>
    <row r="816" spans="1:14" ht="30" customHeight="1" outlineLevel="2" x14ac:dyDescent="0.25">
      <c r="A816" s="3">
        <v>1</v>
      </c>
      <c r="B816" s="3" t="str">
        <f t="shared" si="312"/>
        <v xml:space="preserve">ВРУ  ('ВРУ1-21-10)(Альбом 37)  </v>
      </c>
      <c r="C816" s="3"/>
      <c r="D816" s="14"/>
      <c r="E816" s="3" t="s">
        <v>252</v>
      </c>
      <c r="F816" s="13"/>
      <c r="G816" s="13"/>
      <c r="H816" s="13"/>
      <c r="I816" s="5">
        <v>1</v>
      </c>
      <c r="J816" s="4" t="s">
        <v>6</v>
      </c>
      <c r="K816" s="4" t="s">
        <v>23</v>
      </c>
      <c r="L816" s="4" t="s">
        <v>146</v>
      </c>
      <c r="M816" s="13"/>
      <c r="N816" s="17"/>
    </row>
    <row r="817" spans="1:14" ht="30" customHeight="1" outlineLevel="2" x14ac:dyDescent="0.25">
      <c r="A817" s="6">
        <v>2</v>
      </c>
      <c r="B817" s="6" t="str">
        <f t="shared" ref="B817:B830" si="313">B816</f>
        <v xml:space="preserve">ВРУ  ('ВРУ1-21-10)(Альбом 37)  </v>
      </c>
      <c r="C817" s="7" t="s">
        <v>7</v>
      </c>
      <c r="D817" s="7" t="s">
        <v>262</v>
      </c>
      <c r="E817" s="8" t="s">
        <v>263</v>
      </c>
      <c r="F817" s="18">
        <v>165000</v>
      </c>
      <c r="G817" s="18">
        <f>0.6*F817</f>
        <v>99000</v>
      </c>
      <c r="H817" s="18">
        <f t="shared" ref="H817:H830" si="314">G817*I817</f>
        <v>99000</v>
      </c>
      <c r="I817" s="7">
        <v>1</v>
      </c>
      <c r="J817" s="9" t="s">
        <v>11</v>
      </c>
      <c r="K817" s="9" t="s">
        <v>24</v>
      </c>
      <c r="L817" s="9" t="s">
        <v>146</v>
      </c>
      <c r="M817" s="18">
        <v>99000</v>
      </c>
      <c r="N817" s="17"/>
    </row>
    <row r="818" spans="1:14" ht="30" customHeight="1" outlineLevel="2" x14ac:dyDescent="0.25">
      <c r="A818" s="6">
        <v>4</v>
      </c>
      <c r="B818" s="6" t="str">
        <f t="shared" si="313"/>
        <v xml:space="preserve">ВРУ  ('ВРУ1-21-10)(Альбом 37)  </v>
      </c>
      <c r="C818" s="7" t="s">
        <v>120</v>
      </c>
      <c r="D818" s="7" t="s">
        <v>151</v>
      </c>
      <c r="E818" s="8" t="s">
        <v>150</v>
      </c>
      <c r="F818" s="18">
        <v>11674</v>
      </c>
      <c r="G818" s="18">
        <f>F818</f>
        <v>11674</v>
      </c>
      <c r="H818" s="18">
        <f t="shared" si="314"/>
        <v>11674</v>
      </c>
      <c r="I818" s="7">
        <v>1</v>
      </c>
      <c r="J818" s="9" t="s">
        <v>11</v>
      </c>
      <c r="K818" s="9" t="s">
        <v>26</v>
      </c>
      <c r="L818" s="9" t="s">
        <v>146</v>
      </c>
      <c r="M818" s="18">
        <v>11674</v>
      </c>
      <c r="N818" s="17"/>
    </row>
    <row r="819" spans="1:14" ht="30" customHeight="1" outlineLevel="2" x14ac:dyDescent="0.25">
      <c r="A819" s="6">
        <v>4</v>
      </c>
      <c r="B819" s="6" t="str">
        <f t="shared" si="313"/>
        <v xml:space="preserve">ВРУ  ('ВРУ1-21-10)(Альбом 37)  </v>
      </c>
      <c r="C819" s="7" t="s">
        <v>10</v>
      </c>
      <c r="D819" s="7">
        <v>296708</v>
      </c>
      <c r="E819" s="8" t="s">
        <v>119</v>
      </c>
      <c r="F819" s="18">
        <v>975</v>
      </c>
      <c r="G819" s="18">
        <f t="shared" ref="G819" si="315">F819*0.6</f>
        <v>585</v>
      </c>
      <c r="H819" s="18">
        <f t="shared" si="314"/>
        <v>1170</v>
      </c>
      <c r="I819" s="7">
        <v>2</v>
      </c>
      <c r="J819" s="9" t="s">
        <v>11</v>
      </c>
      <c r="K819" s="9" t="s">
        <v>22</v>
      </c>
      <c r="L819" s="9" t="s">
        <v>146</v>
      </c>
      <c r="M819" s="18">
        <v>1170</v>
      </c>
      <c r="N819" s="17"/>
    </row>
    <row r="820" spans="1:14" ht="30" customHeight="1" outlineLevel="2" x14ac:dyDescent="0.25">
      <c r="A820" s="6">
        <v>5</v>
      </c>
      <c r="B820" s="6" t="str">
        <f t="shared" si="313"/>
        <v xml:space="preserve">ВРУ  ('ВРУ1-21-10)(Альбом 37)  </v>
      </c>
      <c r="C820" s="7" t="s">
        <v>29</v>
      </c>
      <c r="D820" s="7"/>
      <c r="E820" s="10" t="s">
        <v>147</v>
      </c>
      <c r="F820" s="18">
        <v>6000</v>
      </c>
      <c r="G820" s="18">
        <f>F820</f>
        <v>6000</v>
      </c>
      <c r="H820" s="18">
        <f t="shared" si="314"/>
        <v>18000</v>
      </c>
      <c r="I820" s="7">
        <v>3</v>
      </c>
      <c r="J820" s="9" t="s">
        <v>11</v>
      </c>
      <c r="K820" s="9" t="s">
        <v>26</v>
      </c>
      <c r="L820" s="9" t="s">
        <v>146</v>
      </c>
      <c r="M820" s="18">
        <v>18000</v>
      </c>
      <c r="N820" s="17"/>
    </row>
    <row r="821" spans="1:14" ht="30" customHeight="1" outlineLevel="2" x14ac:dyDescent="0.25">
      <c r="A821" s="6">
        <v>6</v>
      </c>
      <c r="B821" s="6" t="str">
        <f t="shared" si="313"/>
        <v xml:space="preserve">ВРУ  ('ВРУ1-21-10)(Альбом 37)  </v>
      </c>
      <c r="C821" s="7" t="s">
        <v>250</v>
      </c>
      <c r="D821" s="7" t="s">
        <v>260</v>
      </c>
      <c r="E821" s="8" t="s">
        <v>261</v>
      </c>
      <c r="F821" s="18">
        <v>3100</v>
      </c>
      <c r="G821" s="18">
        <f t="shared" ref="G821:G822" si="316">F821*0.6</f>
        <v>1860</v>
      </c>
      <c r="H821" s="18">
        <f t="shared" si="314"/>
        <v>5580</v>
      </c>
      <c r="I821" s="7">
        <v>3</v>
      </c>
      <c r="J821" s="9" t="s">
        <v>11</v>
      </c>
      <c r="K821" s="9" t="s">
        <v>22</v>
      </c>
      <c r="L821" s="9" t="s">
        <v>146</v>
      </c>
      <c r="M821" s="18">
        <v>5580</v>
      </c>
      <c r="N821" s="17"/>
    </row>
    <row r="822" spans="1:14" ht="30" customHeight="1" outlineLevel="2" x14ac:dyDescent="0.25">
      <c r="A822" s="6">
        <v>6</v>
      </c>
      <c r="B822" s="6" t="str">
        <f t="shared" si="313"/>
        <v xml:space="preserve">ВРУ  ('ВРУ1-21-10)(Альбом 37)  </v>
      </c>
      <c r="C822" s="7" t="s">
        <v>122</v>
      </c>
      <c r="D822" s="7">
        <v>521229</v>
      </c>
      <c r="E822" s="8" t="s">
        <v>220</v>
      </c>
      <c r="F822" s="18">
        <v>2189</v>
      </c>
      <c r="G822" s="18">
        <f t="shared" si="316"/>
        <v>1313.3999999999999</v>
      </c>
      <c r="H822" s="18">
        <f t="shared" si="314"/>
        <v>3940.2</v>
      </c>
      <c r="I822" s="7">
        <v>3</v>
      </c>
      <c r="J822" s="9" t="s">
        <v>11</v>
      </c>
      <c r="K822" s="9" t="s">
        <v>22</v>
      </c>
      <c r="L822" s="9" t="s">
        <v>146</v>
      </c>
      <c r="M822" s="18">
        <v>3940.2</v>
      </c>
      <c r="N822" s="17"/>
    </row>
    <row r="823" spans="1:14" ht="30" customHeight="1" outlineLevel="2" x14ac:dyDescent="0.25">
      <c r="A823" s="6">
        <v>6</v>
      </c>
      <c r="B823" s="6" t="str">
        <f t="shared" si="313"/>
        <v xml:space="preserve">ВРУ  ('ВРУ1-21-10)(Альбом 37)  </v>
      </c>
      <c r="C823" s="7" t="s">
        <v>14</v>
      </c>
      <c r="D823" s="7" t="s">
        <v>292</v>
      </c>
      <c r="E823" s="8" t="s">
        <v>293</v>
      </c>
      <c r="F823" s="18">
        <v>80000</v>
      </c>
      <c r="G823" s="18">
        <f>F823</f>
        <v>80000</v>
      </c>
      <c r="H823" s="18">
        <f t="shared" si="314"/>
        <v>80000</v>
      </c>
      <c r="I823" s="7">
        <v>1</v>
      </c>
      <c r="J823" s="9" t="s">
        <v>11</v>
      </c>
      <c r="K823" s="9" t="s">
        <v>26</v>
      </c>
      <c r="L823" s="9" t="s">
        <v>146</v>
      </c>
      <c r="M823" s="18">
        <v>80000</v>
      </c>
      <c r="N823" s="17"/>
    </row>
    <row r="824" spans="1:14" ht="30" customHeight="1" outlineLevel="2" x14ac:dyDescent="0.25">
      <c r="A824" s="6">
        <v>5</v>
      </c>
      <c r="B824" s="6" t="str">
        <f t="shared" si="313"/>
        <v xml:space="preserve">ВРУ  ('ВРУ1-21-10)(Альбом 37)  </v>
      </c>
      <c r="C824" s="7" t="s">
        <v>122</v>
      </c>
      <c r="D824" s="7">
        <v>521344</v>
      </c>
      <c r="E824" s="10" t="s">
        <v>123</v>
      </c>
      <c r="F824" s="18">
        <v>1525</v>
      </c>
      <c r="G824" s="18">
        <f t="shared" ref="G824:G827" si="317">F824*0.6</f>
        <v>915</v>
      </c>
      <c r="H824" s="18">
        <f t="shared" si="314"/>
        <v>5490</v>
      </c>
      <c r="I824" s="7">
        <v>6</v>
      </c>
      <c r="J824" s="9" t="s">
        <v>11</v>
      </c>
      <c r="K824" s="9" t="s">
        <v>22</v>
      </c>
      <c r="L824" s="9" t="s">
        <v>146</v>
      </c>
      <c r="M824" s="18">
        <v>5490</v>
      </c>
      <c r="N824" s="17"/>
    </row>
    <row r="825" spans="1:14" ht="30" customHeight="1" outlineLevel="2" x14ac:dyDescent="0.25">
      <c r="A825" s="6">
        <v>6</v>
      </c>
      <c r="B825" s="6" t="str">
        <f t="shared" si="313"/>
        <v xml:space="preserve">ВРУ  ('ВРУ1-21-10)(Альбом 37)  </v>
      </c>
      <c r="C825" s="7" t="s">
        <v>122</v>
      </c>
      <c r="D825" s="7">
        <v>521341</v>
      </c>
      <c r="E825" s="8" t="s">
        <v>124</v>
      </c>
      <c r="F825" s="18">
        <v>1510</v>
      </c>
      <c r="G825" s="18">
        <f>0.6*F825</f>
        <v>906</v>
      </c>
      <c r="H825" s="18">
        <f t="shared" si="314"/>
        <v>8154</v>
      </c>
      <c r="I825" s="7">
        <v>9</v>
      </c>
      <c r="J825" s="9" t="s">
        <v>11</v>
      </c>
      <c r="K825" s="9" t="s">
        <v>22</v>
      </c>
      <c r="L825" s="9" t="s">
        <v>146</v>
      </c>
      <c r="M825" s="18">
        <v>8154</v>
      </c>
      <c r="N825" s="17"/>
    </row>
    <row r="826" spans="1:14" ht="30" customHeight="1" outlineLevel="2" x14ac:dyDescent="0.25">
      <c r="A826" s="6">
        <v>6</v>
      </c>
      <c r="B826" s="6" t="str">
        <f t="shared" si="313"/>
        <v xml:space="preserve">ВРУ  ('ВРУ1-21-10)(Альбом 37)  </v>
      </c>
      <c r="C826" s="7" t="s">
        <v>122</v>
      </c>
      <c r="D826" s="7">
        <v>521340</v>
      </c>
      <c r="E826" s="8" t="s">
        <v>125</v>
      </c>
      <c r="F826" s="18">
        <v>1510</v>
      </c>
      <c r="G826" s="18">
        <f t="shared" si="317"/>
        <v>906</v>
      </c>
      <c r="H826" s="18">
        <f t="shared" si="314"/>
        <v>2718</v>
      </c>
      <c r="I826" s="7">
        <v>3</v>
      </c>
      <c r="J826" s="9" t="s">
        <v>11</v>
      </c>
      <c r="K826" s="9" t="s">
        <v>22</v>
      </c>
      <c r="L826" s="9" t="s">
        <v>146</v>
      </c>
      <c r="M826" s="18">
        <v>2718</v>
      </c>
      <c r="N826" s="17"/>
    </row>
    <row r="827" spans="1:14" ht="30" customHeight="1" outlineLevel="2" x14ac:dyDescent="0.25">
      <c r="A827" s="6">
        <v>6</v>
      </c>
      <c r="B827" s="6" t="str">
        <f t="shared" si="313"/>
        <v xml:space="preserve">ВРУ  ('ВРУ1-21-10)(Альбом 37)  </v>
      </c>
      <c r="C827" s="7" t="s">
        <v>250</v>
      </c>
      <c r="D827" s="7" t="s">
        <v>258</v>
      </c>
      <c r="E827" s="10" t="s">
        <v>259</v>
      </c>
      <c r="F827" s="18">
        <v>2038</v>
      </c>
      <c r="G827" s="18">
        <f t="shared" si="317"/>
        <v>1222.8</v>
      </c>
      <c r="H827" s="18">
        <f t="shared" si="314"/>
        <v>22010.399999999998</v>
      </c>
      <c r="I827" s="7">
        <v>18</v>
      </c>
      <c r="J827" s="9" t="s">
        <v>11</v>
      </c>
      <c r="K827" s="9" t="s">
        <v>22</v>
      </c>
      <c r="L827" s="9" t="s">
        <v>146</v>
      </c>
      <c r="M827" s="18">
        <v>22010.399999999998</v>
      </c>
      <c r="N827" s="17"/>
    </row>
    <row r="828" spans="1:14" ht="30" customHeight="1" outlineLevel="2" x14ac:dyDescent="0.25">
      <c r="A828" s="6">
        <v>8</v>
      </c>
      <c r="B828" s="6" t="str">
        <f t="shared" si="313"/>
        <v xml:space="preserve">ВРУ  ('ВРУ1-21-10)(Альбом 37)  </v>
      </c>
      <c r="C828" s="8" t="s">
        <v>16</v>
      </c>
      <c r="D828" s="7"/>
      <c r="E828" s="8" t="s">
        <v>16</v>
      </c>
      <c r="F828" s="18">
        <v>1000</v>
      </c>
      <c r="G828" s="18">
        <f>F828</f>
        <v>1000</v>
      </c>
      <c r="H828" s="18">
        <f t="shared" si="314"/>
        <v>1000</v>
      </c>
      <c r="I828" s="7">
        <v>1</v>
      </c>
      <c r="J828" s="9" t="s">
        <v>11</v>
      </c>
      <c r="K828" s="9" t="s">
        <v>25</v>
      </c>
      <c r="L828" s="9" t="s">
        <v>146</v>
      </c>
      <c r="M828" s="18">
        <v>1000</v>
      </c>
      <c r="N828" s="17"/>
    </row>
    <row r="829" spans="1:14" ht="30" customHeight="1" outlineLevel="2" x14ac:dyDescent="0.25">
      <c r="A829" s="6">
        <v>9</v>
      </c>
      <c r="B829" s="6" t="str">
        <f t="shared" si="313"/>
        <v xml:space="preserve">ВРУ  ('ВРУ1-21-10)(Альбом 37)  </v>
      </c>
      <c r="C829" s="7" t="s">
        <v>8</v>
      </c>
      <c r="D829" s="7" t="s">
        <v>8</v>
      </c>
      <c r="E829" s="8" t="s">
        <v>8</v>
      </c>
      <c r="F829" s="18">
        <f ca="1">OFFSET(F829,1,2)</f>
        <v>60000</v>
      </c>
      <c r="G829" s="18">
        <f ca="1">F829</f>
        <v>60000</v>
      </c>
      <c r="H829" s="18">
        <f t="shared" ca="1" si="314"/>
        <v>60000</v>
      </c>
      <c r="I829" s="7">
        <v>1</v>
      </c>
      <c r="J829" s="9" t="s">
        <v>11</v>
      </c>
      <c r="K829" s="7" t="s">
        <v>8</v>
      </c>
      <c r="L829" s="7" t="s">
        <v>146</v>
      </c>
      <c r="M829" s="18">
        <v>60000</v>
      </c>
      <c r="N829" s="17"/>
    </row>
    <row r="830" spans="1:14" ht="30" customHeight="1" outlineLevel="2" x14ac:dyDescent="0.25">
      <c r="A830" s="6">
        <v>10</v>
      </c>
      <c r="B830" s="6" t="str">
        <f t="shared" si="313"/>
        <v xml:space="preserve">ВРУ  ('ВРУ1-21-10)(Альбом 37)  </v>
      </c>
      <c r="C830" s="7" t="s">
        <v>9</v>
      </c>
      <c r="D830" s="7" t="s">
        <v>9</v>
      </c>
      <c r="E830" s="8" t="s">
        <v>9</v>
      </c>
      <c r="F830" s="18">
        <v>10</v>
      </c>
      <c r="G830" s="18">
        <v>100</v>
      </c>
      <c r="H830" s="18">
        <f t="shared" si="314"/>
        <v>60000</v>
      </c>
      <c r="I830" s="7">
        <f>60*F830</f>
        <v>600</v>
      </c>
      <c r="J830" s="9" t="s">
        <v>11</v>
      </c>
      <c r="K830" s="7" t="s">
        <v>9</v>
      </c>
      <c r="L830" s="7" t="s">
        <v>146</v>
      </c>
      <c r="M830" s="18">
        <v>60000</v>
      </c>
      <c r="N830" s="17"/>
    </row>
    <row r="831" spans="1:14" ht="30" customHeight="1" outlineLevel="1" x14ac:dyDescent="0.25">
      <c r="A831" s="6"/>
      <c r="B831" s="6" t="s">
        <v>411</v>
      </c>
      <c r="C831" s="7"/>
      <c r="D831" s="7"/>
      <c r="E831" s="8"/>
      <c r="F831" s="18"/>
      <c r="G831" s="18"/>
      <c r="H831" s="18">
        <f ca="1">SUBTOTAL(9,H816:H830)</f>
        <v>378736.6</v>
      </c>
      <c r="I831" s="7"/>
      <c r="J831" s="9"/>
      <c r="K831" s="7"/>
      <c r="L831" s="7"/>
      <c r="M831" s="18">
        <v>378736.6</v>
      </c>
      <c r="N831" s="17"/>
    </row>
    <row r="832" spans="1:14" ht="30" customHeight="1" outlineLevel="2" x14ac:dyDescent="0.25">
      <c r="A832" s="3">
        <v>13</v>
      </c>
      <c r="B832" s="3" t="str">
        <f>E832</f>
        <v xml:space="preserve">ЩО - 1 (Альбом 37) </v>
      </c>
      <c r="C832" s="3"/>
      <c r="D832" s="14"/>
      <c r="E832" s="3" t="s">
        <v>152</v>
      </c>
      <c r="F832" s="13"/>
      <c r="G832" s="13"/>
      <c r="H832" s="13"/>
      <c r="I832" s="5">
        <v>1</v>
      </c>
      <c r="J832" s="4" t="s">
        <v>6</v>
      </c>
      <c r="K832" s="4" t="s">
        <v>23</v>
      </c>
      <c r="L832" s="4" t="s">
        <v>146</v>
      </c>
      <c r="M832" s="13"/>
      <c r="N832" s="17"/>
    </row>
    <row r="833" spans="1:14" ht="30" customHeight="1" outlineLevel="2" x14ac:dyDescent="0.25">
      <c r="A833" s="6">
        <v>14</v>
      </c>
      <c r="B833" s="6" t="str">
        <f t="shared" ref="B833:B838" si="318">B832</f>
        <v xml:space="preserve">ЩО - 1 (Альбом 37) </v>
      </c>
      <c r="C833" s="7" t="s">
        <v>7</v>
      </c>
      <c r="D833" s="7" t="s">
        <v>284</v>
      </c>
      <c r="E833" s="8" t="s">
        <v>285</v>
      </c>
      <c r="F833" s="18">
        <v>20000</v>
      </c>
      <c r="G833" s="18">
        <f>0.6*F833</f>
        <v>12000</v>
      </c>
      <c r="H833" s="18">
        <f t="shared" ref="H833:H838" si="319">G833*I833</f>
        <v>12000</v>
      </c>
      <c r="I833" s="7">
        <v>1</v>
      </c>
      <c r="J833" s="9" t="s">
        <v>11</v>
      </c>
      <c r="K833" s="9" t="s">
        <v>24</v>
      </c>
      <c r="L833" s="9" t="s">
        <v>146</v>
      </c>
      <c r="M833" s="18">
        <v>12000</v>
      </c>
      <c r="N833" s="17"/>
    </row>
    <row r="834" spans="1:14" ht="30" customHeight="1" outlineLevel="2" x14ac:dyDescent="0.25">
      <c r="A834" s="6">
        <v>15</v>
      </c>
      <c r="B834" s="6" t="str">
        <f t="shared" si="318"/>
        <v xml:space="preserve">ЩО - 1 (Альбом 37) </v>
      </c>
      <c r="C834" s="7" t="s">
        <v>10</v>
      </c>
      <c r="D834" s="7">
        <v>296829</v>
      </c>
      <c r="E834" s="8" t="s">
        <v>44</v>
      </c>
      <c r="F834" s="18">
        <v>2429</v>
      </c>
      <c r="G834" s="18">
        <f t="shared" ref="G834:G836" si="320">F834*0.6</f>
        <v>1457.3999999999999</v>
      </c>
      <c r="H834" s="18">
        <f t="shared" si="319"/>
        <v>1457.3999999999999</v>
      </c>
      <c r="I834" s="7">
        <v>1</v>
      </c>
      <c r="J834" s="9" t="s">
        <v>11</v>
      </c>
      <c r="K834" s="9" t="s">
        <v>22</v>
      </c>
      <c r="L834" s="9" t="s">
        <v>146</v>
      </c>
      <c r="M834" s="18">
        <v>1457.3999999999999</v>
      </c>
      <c r="N834" s="17"/>
    </row>
    <row r="835" spans="1:14" ht="30" customHeight="1" outlineLevel="2" x14ac:dyDescent="0.25">
      <c r="A835" s="6">
        <v>15</v>
      </c>
      <c r="B835" s="6" t="str">
        <f t="shared" si="318"/>
        <v xml:space="preserve">ЩО - 1 (Альбом 37) </v>
      </c>
      <c r="C835" s="7" t="s">
        <v>10</v>
      </c>
      <c r="D835" s="7">
        <v>296710</v>
      </c>
      <c r="E835" s="8" t="s">
        <v>41</v>
      </c>
      <c r="F835" s="18">
        <v>783</v>
      </c>
      <c r="G835" s="18">
        <f t="shared" si="320"/>
        <v>469.79999999999995</v>
      </c>
      <c r="H835" s="18">
        <f t="shared" si="319"/>
        <v>5167.7999999999993</v>
      </c>
      <c r="I835" s="7">
        <v>11</v>
      </c>
      <c r="J835" s="9" t="s">
        <v>11</v>
      </c>
      <c r="K835" s="9" t="s">
        <v>22</v>
      </c>
      <c r="L835" s="9" t="s">
        <v>146</v>
      </c>
      <c r="M835" s="18">
        <v>5167.7999999999993</v>
      </c>
      <c r="N835" s="17"/>
    </row>
    <row r="836" spans="1:14" ht="30" customHeight="1" outlineLevel="2" x14ac:dyDescent="0.25">
      <c r="A836" s="6">
        <v>15</v>
      </c>
      <c r="B836" s="6" t="str">
        <f t="shared" si="318"/>
        <v xml:space="preserve">ЩО - 1 (Альбом 37) </v>
      </c>
      <c r="C836" s="7" t="s">
        <v>12</v>
      </c>
      <c r="D836" s="7">
        <v>105542</v>
      </c>
      <c r="E836" s="8" t="s">
        <v>43</v>
      </c>
      <c r="F836" s="18">
        <v>5093</v>
      </c>
      <c r="G836" s="18">
        <f t="shared" si="320"/>
        <v>3055.7999999999997</v>
      </c>
      <c r="H836" s="18">
        <f t="shared" si="319"/>
        <v>9167.4</v>
      </c>
      <c r="I836" s="7">
        <v>3</v>
      </c>
      <c r="J836" s="9" t="s">
        <v>11</v>
      </c>
      <c r="K836" s="9" t="s">
        <v>22</v>
      </c>
      <c r="L836" s="9" t="s">
        <v>146</v>
      </c>
      <c r="M836" s="18">
        <v>9167.4</v>
      </c>
      <c r="N836" s="17"/>
    </row>
    <row r="837" spans="1:14" ht="28.5" customHeight="1" outlineLevel="2" x14ac:dyDescent="0.25">
      <c r="A837" s="6">
        <v>19</v>
      </c>
      <c r="B837" s="6" t="str">
        <f t="shared" si="318"/>
        <v xml:space="preserve">ЩО - 1 (Альбом 37) </v>
      </c>
      <c r="C837" s="7" t="s">
        <v>8</v>
      </c>
      <c r="D837" s="7" t="s">
        <v>8</v>
      </c>
      <c r="E837" s="8" t="s">
        <v>8</v>
      </c>
      <c r="F837" s="18">
        <f ca="1">OFFSET(F837,1,2)</f>
        <v>12000</v>
      </c>
      <c r="G837" s="18">
        <f ca="1">F837</f>
        <v>12000</v>
      </c>
      <c r="H837" s="18">
        <f t="shared" ca="1" si="319"/>
        <v>12000</v>
      </c>
      <c r="I837" s="7">
        <v>1</v>
      </c>
      <c r="J837" s="9" t="s">
        <v>11</v>
      </c>
      <c r="K837" s="7" t="s">
        <v>8</v>
      </c>
      <c r="L837" s="7" t="s">
        <v>146</v>
      </c>
      <c r="M837" s="18">
        <v>12000</v>
      </c>
      <c r="N837" s="17"/>
    </row>
    <row r="838" spans="1:14" ht="30" customHeight="1" outlineLevel="2" x14ac:dyDescent="0.25">
      <c r="A838" s="6">
        <v>20</v>
      </c>
      <c r="B838" s="6" t="str">
        <f t="shared" si="318"/>
        <v xml:space="preserve">ЩО - 1 (Альбом 37) </v>
      </c>
      <c r="C838" s="7" t="s">
        <v>9</v>
      </c>
      <c r="D838" s="7" t="s">
        <v>9</v>
      </c>
      <c r="E838" s="8" t="s">
        <v>9</v>
      </c>
      <c r="F838" s="18">
        <v>2</v>
      </c>
      <c r="G838" s="18">
        <v>100</v>
      </c>
      <c r="H838" s="18">
        <f t="shared" si="319"/>
        <v>12000</v>
      </c>
      <c r="I838" s="7">
        <f>60*F838</f>
        <v>120</v>
      </c>
      <c r="J838" s="9" t="s">
        <v>11</v>
      </c>
      <c r="K838" s="7" t="s">
        <v>9</v>
      </c>
      <c r="L838" s="7" t="s">
        <v>146</v>
      </c>
      <c r="M838" s="18">
        <v>12000</v>
      </c>
      <c r="N838" s="17"/>
    </row>
    <row r="839" spans="1:14" ht="30" customHeight="1" outlineLevel="1" x14ac:dyDescent="0.25">
      <c r="A839" s="6"/>
      <c r="B839" s="6" t="s">
        <v>412</v>
      </c>
      <c r="C839" s="7"/>
      <c r="D839" s="7"/>
      <c r="E839" s="8"/>
      <c r="F839" s="18"/>
      <c r="G839" s="18"/>
      <c r="H839" s="18">
        <f ca="1">SUBTOTAL(9,H832:H838)</f>
        <v>51792.6</v>
      </c>
      <c r="I839" s="7"/>
      <c r="J839" s="9"/>
      <c r="K839" s="7"/>
      <c r="L839" s="7"/>
      <c r="M839" s="18">
        <v>51792.6</v>
      </c>
      <c r="N839" s="17"/>
    </row>
    <row r="840" spans="1:14" ht="30" customHeight="1" outlineLevel="2" x14ac:dyDescent="0.25">
      <c r="A840" s="3">
        <v>13</v>
      </c>
      <c r="B840" s="3" t="str">
        <f>E840</f>
        <v xml:space="preserve">ЩО - 2 (Альбом 37) </v>
      </c>
      <c r="C840" s="3"/>
      <c r="D840" s="14"/>
      <c r="E840" s="3" t="s">
        <v>153</v>
      </c>
      <c r="F840" s="13"/>
      <c r="G840" s="13"/>
      <c r="H840" s="13"/>
      <c r="I840" s="5">
        <v>1</v>
      </c>
      <c r="J840" s="4" t="s">
        <v>6</v>
      </c>
      <c r="K840" s="4" t="s">
        <v>23</v>
      </c>
      <c r="L840" s="4" t="s">
        <v>146</v>
      </c>
      <c r="M840" s="13"/>
      <c r="N840" s="17"/>
    </row>
    <row r="841" spans="1:14" ht="30" customHeight="1" outlineLevel="2" x14ac:dyDescent="0.25">
      <c r="A841" s="6">
        <v>14</v>
      </c>
      <c r="B841" s="6" t="str">
        <f t="shared" ref="B841:B846" si="321">B840</f>
        <v xml:space="preserve">ЩО - 2 (Альбом 37) </v>
      </c>
      <c r="C841" s="7" t="s">
        <v>7</v>
      </c>
      <c r="D841" s="7" t="s">
        <v>284</v>
      </c>
      <c r="E841" s="8" t="s">
        <v>285</v>
      </c>
      <c r="F841" s="18">
        <v>20000</v>
      </c>
      <c r="G841" s="18">
        <f>0.6*F841</f>
        <v>12000</v>
      </c>
      <c r="H841" s="18">
        <f t="shared" ref="H841:H846" si="322">G841*I841</f>
        <v>12000</v>
      </c>
      <c r="I841" s="7">
        <v>1</v>
      </c>
      <c r="J841" s="9" t="s">
        <v>11</v>
      </c>
      <c r="K841" s="9" t="s">
        <v>24</v>
      </c>
      <c r="L841" s="9" t="s">
        <v>146</v>
      </c>
      <c r="M841" s="18">
        <v>12000</v>
      </c>
      <c r="N841" s="17"/>
    </row>
    <row r="842" spans="1:14" ht="30" customHeight="1" outlineLevel="2" x14ac:dyDescent="0.25">
      <c r="A842" s="6">
        <v>15</v>
      </c>
      <c r="B842" s="6" t="str">
        <f t="shared" si="321"/>
        <v xml:space="preserve">ЩО - 2 (Альбом 37) </v>
      </c>
      <c r="C842" s="7" t="s">
        <v>10</v>
      </c>
      <c r="D842" s="7">
        <v>296829</v>
      </c>
      <c r="E842" s="8" t="s">
        <v>44</v>
      </c>
      <c r="F842" s="18">
        <v>2429</v>
      </c>
      <c r="G842" s="18">
        <f t="shared" ref="G842:G844" si="323">F842*0.6</f>
        <v>1457.3999999999999</v>
      </c>
      <c r="H842" s="18">
        <f t="shared" si="322"/>
        <v>1457.3999999999999</v>
      </c>
      <c r="I842" s="7">
        <v>1</v>
      </c>
      <c r="J842" s="9" t="s">
        <v>11</v>
      </c>
      <c r="K842" s="9" t="s">
        <v>22</v>
      </c>
      <c r="L842" s="9" t="s">
        <v>146</v>
      </c>
      <c r="M842" s="18">
        <v>1457.3999999999999</v>
      </c>
      <c r="N842" s="17"/>
    </row>
    <row r="843" spans="1:14" ht="30" customHeight="1" outlineLevel="2" x14ac:dyDescent="0.25">
      <c r="A843" s="6">
        <v>15</v>
      </c>
      <c r="B843" s="6" t="str">
        <f t="shared" si="321"/>
        <v xml:space="preserve">ЩО - 2 (Альбом 37) </v>
      </c>
      <c r="C843" s="7" t="s">
        <v>10</v>
      </c>
      <c r="D843" s="7">
        <v>296710</v>
      </c>
      <c r="E843" s="8" t="s">
        <v>41</v>
      </c>
      <c r="F843" s="18">
        <v>783</v>
      </c>
      <c r="G843" s="18">
        <f t="shared" si="323"/>
        <v>469.79999999999995</v>
      </c>
      <c r="H843" s="18">
        <f t="shared" si="322"/>
        <v>5637.5999999999995</v>
      </c>
      <c r="I843" s="7">
        <v>12</v>
      </c>
      <c r="J843" s="9" t="s">
        <v>11</v>
      </c>
      <c r="K843" s="9" t="s">
        <v>22</v>
      </c>
      <c r="L843" s="9" t="s">
        <v>146</v>
      </c>
      <c r="M843" s="18">
        <v>5637.5999999999995</v>
      </c>
      <c r="N843" s="17"/>
    </row>
    <row r="844" spans="1:14" ht="30" customHeight="1" outlineLevel="2" x14ac:dyDescent="0.25">
      <c r="A844" s="6">
        <v>15</v>
      </c>
      <c r="B844" s="6" t="str">
        <f t="shared" si="321"/>
        <v xml:space="preserve">ЩО - 2 (Альбом 37) </v>
      </c>
      <c r="C844" s="7" t="s">
        <v>12</v>
      </c>
      <c r="D844" s="7">
        <v>105542</v>
      </c>
      <c r="E844" s="8" t="s">
        <v>43</v>
      </c>
      <c r="F844" s="18">
        <v>5093</v>
      </c>
      <c r="G844" s="18">
        <f t="shared" si="323"/>
        <v>3055.7999999999997</v>
      </c>
      <c r="H844" s="18">
        <f t="shared" si="322"/>
        <v>12223.199999999999</v>
      </c>
      <c r="I844" s="7">
        <v>4</v>
      </c>
      <c r="J844" s="9" t="s">
        <v>11</v>
      </c>
      <c r="K844" s="9" t="s">
        <v>22</v>
      </c>
      <c r="L844" s="9" t="s">
        <v>146</v>
      </c>
      <c r="M844" s="18">
        <v>12223.199999999999</v>
      </c>
      <c r="N844" s="17"/>
    </row>
    <row r="845" spans="1:14" ht="28.5" customHeight="1" outlineLevel="2" x14ac:dyDescent="0.25">
      <c r="A845" s="6">
        <v>19</v>
      </c>
      <c r="B845" s="6" t="str">
        <f t="shared" si="321"/>
        <v xml:space="preserve">ЩО - 2 (Альбом 37) </v>
      </c>
      <c r="C845" s="7" t="s">
        <v>8</v>
      </c>
      <c r="D845" s="7" t="s">
        <v>8</v>
      </c>
      <c r="E845" s="8" t="s">
        <v>8</v>
      </c>
      <c r="F845" s="18">
        <f ca="1">OFFSET(F845,1,2)</f>
        <v>12000</v>
      </c>
      <c r="G845" s="18">
        <f ca="1">F845</f>
        <v>12000</v>
      </c>
      <c r="H845" s="18">
        <f t="shared" ca="1" si="322"/>
        <v>12000</v>
      </c>
      <c r="I845" s="7">
        <v>1</v>
      </c>
      <c r="J845" s="9" t="s">
        <v>11</v>
      </c>
      <c r="K845" s="7" t="s">
        <v>8</v>
      </c>
      <c r="L845" s="7" t="s">
        <v>146</v>
      </c>
      <c r="M845" s="18">
        <v>12000</v>
      </c>
      <c r="N845" s="17"/>
    </row>
    <row r="846" spans="1:14" ht="30" customHeight="1" outlineLevel="2" x14ac:dyDescent="0.25">
      <c r="A846" s="6">
        <v>20</v>
      </c>
      <c r="B846" s="6" t="str">
        <f t="shared" si="321"/>
        <v xml:space="preserve">ЩО - 2 (Альбом 37) </v>
      </c>
      <c r="C846" s="7" t="s">
        <v>9</v>
      </c>
      <c r="D846" s="7" t="s">
        <v>9</v>
      </c>
      <c r="E846" s="8" t="s">
        <v>9</v>
      </c>
      <c r="F846" s="18">
        <v>2</v>
      </c>
      <c r="G846" s="18">
        <v>100</v>
      </c>
      <c r="H846" s="18">
        <f t="shared" si="322"/>
        <v>12000</v>
      </c>
      <c r="I846" s="7">
        <f>60*F846</f>
        <v>120</v>
      </c>
      <c r="J846" s="9" t="s">
        <v>11</v>
      </c>
      <c r="K846" s="7" t="s">
        <v>9</v>
      </c>
      <c r="L846" s="7" t="s">
        <v>146</v>
      </c>
      <c r="M846" s="18">
        <v>12000</v>
      </c>
      <c r="N846" s="17"/>
    </row>
    <row r="847" spans="1:14" ht="30" customHeight="1" outlineLevel="1" x14ac:dyDescent="0.25">
      <c r="A847" s="6"/>
      <c r="B847" s="6" t="s">
        <v>413</v>
      </c>
      <c r="C847" s="7"/>
      <c r="D847" s="7"/>
      <c r="E847" s="8"/>
      <c r="F847" s="18"/>
      <c r="G847" s="18"/>
      <c r="H847" s="18">
        <f ca="1">SUBTOTAL(9,H840:H846)</f>
        <v>55318.2</v>
      </c>
      <c r="I847" s="7"/>
      <c r="J847" s="9"/>
      <c r="K847" s="7"/>
      <c r="L847" s="7"/>
      <c r="M847" s="18">
        <v>55318.2</v>
      </c>
      <c r="N847" s="17"/>
    </row>
    <row r="848" spans="1:14" ht="30" customHeight="1" outlineLevel="2" x14ac:dyDescent="0.25">
      <c r="A848" s="3">
        <v>13</v>
      </c>
      <c r="B848" s="3" t="str">
        <f>E848</f>
        <v xml:space="preserve">ЩАО - 1, ЩАО - 2 (Альбом 37) </v>
      </c>
      <c r="C848" s="3"/>
      <c r="D848" s="14"/>
      <c r="E848" s="3" t="s">
        <v>154</v>
      </c>
      <c r="F848" s="13"/>
      <c r="G848" s="13"/>
      <c r="H848" s="13"/>
      <c r="I848" s="5">
        <v>2</v>
      </c>
      <c r="J848" s="4" t="s">
        <v>6</v>
      </c>
      <c r="K848" s="4" t="s">
        <v>23</v>
      </c>
      <c r="L848" s="4" t="s">
        <v>146</v>
      </c>
      <c r="M848" s="13"/>
      <c r="N848" s="17"/>
    </row>
    <row r="849" spans="1:14" ht="30" customHeight="1" outlineLevel="2" x14ac:dyDescent="0.25">
      <c r="A849" s="6">
        <v>14</v>
      </c>
      <c r="B849" s="6" t="str">
        <f t="shared" ref="B849:B853" si="324">B848</f>
        <v xml:space="preserve">ЩАО - 1, ЩАО - 2 (Альбом 37) </v>
      </c>
      <c r="C849" s="7" t="s">
        <v>7</v>
      </c>
      <c r="D849" s="7" t="s">
        <v>278</v>
      </c>
      <c r="E849" s="8" t="s">
        <v>279</v>
      </c>
      <c r="F849" s="18">
        <v>10500</v>
      </c>
      <c r="G849" s="18">
        <f>0.6*F849</f>
        <v>6300</v>
      </c>
      <c r="H849" s="18">
        <f t="shared" ref="H849:H853" si="325">G849*I849</f>
        <v>6300</v>
      </c>
      <c r="I849" s="7">
        <v>1</v>
      </c>
      <c r="J849" s="9" t="s">
        <v>11</v>
      </c>
      <c r="K849" s="9" t="s">
        <v>24</v>
      </c>
      <c r="L849" s="9" t="s">
        <v>146</v>
      </c>
      <c r="M849" s="18">
        <v>6300</v>
      </c>
      <c r="N849" s="17"/>
    </row>
    <row r="850" spans="1:14" ht="30" customHeight="1" outlineLevel="2" x14ac:dyDescent="0.25">
      <c r="A850" s="6">
        <v>15</v>
      </c>
      <c r="B850" s="6" t="str">
        <f t="shared" si="324"/>
        <v xml:space="preserve">ЩАО - 1, ЩАО - 2 (Альбом 37) </v>
      </c>
      <c r="C850" s="7" t="s">
        <v>10</v>
      </c>
      <c r="D850" s="7">
        <v>296829</v>
      </c>
      <c r="E850" s="8" t="s">
        <v>44</v>
      </c>
      <c r="F850" s="18">
        <v>2429</v>
      </c>
      <c r="G850" s="18">
        <f t="shared" ref="G850:G851" si="326">F850*0.6</f>
        <v>1457.3999999999999</v>
      </c>
      <c r="H850" s="18">
        <f t="shared" si="325"/>
        <v>1457.3999999999999</v>
      </c>
      <c r="I850" s="7">
        <v>1</v>
      </c>
      <c r="J850" s="9" t="s">
        <v>11</v>
      </c>
      <c r="K850" s="9" t="s">
        <v>22</v>
      </c>
      <c r="L850" s="9" t="s">
        <v>146</v>
      </c>
      <c r="M850" s="18">
        <v>1457.3999999999999</v>
      </c>
      <c r="N850" s="17"/>
    </row>
    <row r="851" spans="1:14" ht="30" customHeight="1" outlineLevel="2" x14ac:dyDescent="0.25">
      <c r="A851" s="6">
        <v>15</v>
      </c>
      <c r="B851" s="6" t="str">
        <f t="shared" si="324"/>
        <v xml:space="preserve">ЩАО - 1, ЩАО - 2 (Альбом 37) </v>
      </c>
      <c r="C851" s="7" t="s">
        <v>10</v>
      </c>
      <c r="D851" s="7">
        <v>296710</v>
      </c>
      <c r="E851" s="8" t="s">
        <v>41</v>
      </c>
      <c r="F851" s="18">
        <v>783</v>
      </c>
      <c r="G851" s="18">
        <f t="shared" si="326"/>
        <v>469.79999999999995</v>
      </c>
      <c r="H851" s="18">
        <f t="shared" si="325"/>
        <v>1879.1999999999998</v>
      </c>
      <c r="I851" s="7">
        <v>4</v>
      </c>
      <c r="J851" s="9" t="s">
        <v>11</v>
      </c>
      <c r="K851" s="9" t="s">
        <v>22</v>
      </c>
      <c r="L851" s="9" t="s">
        <v>146</v>
      </c>
      <c r="M851" s="18">
        <v>1879.1999999999998</v>
      </c>
      <c r="N851" s="17"/>
    </row>
    <row r="852" spans="1:14" ht="28.5" customHeight="1" outlineLevel="2" x14ac:dyDescent="0.25">
      <c r="A852" s="6">
        <v>19</v>
      </c>
      <c r="B852" s="6" t="str">
        <f t="shared" si="324"/>
        <v xml:space="preserve">ЩАО - 1, ЩАО - 2 (Альбом 37) </v>
      </c>
      <c r="C852" s="7" t="s">
        <v>8</v>
      </c>
      <c r="D852" s="7" t="s">
        <v>8</v>
      </c>
      <c r="E852" s="8" t="s">
        <v>8</v>
      </c>
      <c r="F852" s="18">
        <f ca="1">OFFSET(F852,1,2)</f>
        <v>6000</v>
      </c>
      <c r="G852" s="18">
        <f ca="1">F852</f>
        <v>6000</v>
      </c>
      <c r="H852" s="18">
        <f t="shared" ca="1" si="325"/>
        <v>6000</v>
      </c>
      <c r="I852" s="7">
        <v>1</v>
      </c>
      <c r="J852" s="9" t="s">
        <v>11</v>
      </c>
      <c r="K852" s="7" t="s">
        <v>8</v>
      </c>
      <c r="L852" s="7" t="s">
        <v>146</v>
      </c>
      <c r="M852" s="18">
        <v>6000</v>
      </c>
      <c r="N852" s="17"/>
    </row>
    <row r="853" spans="1:14" ht="30" customHeight="1" outlineLevel="2" x14ac:dyDescent="0.25">
      <c r="A853" s="6">
        <v>20</v>
      </c>
      <c r="B853" s="6" t="str">
        <f t="shared" si="324"/>
        <v xml:space="preserve">ЩАО - 1, ЩАО - 2 (Альбом 37) </v>
      </c>
      <c r="C853" s="7" t="s">
        <v>9</v>
      </c>
      <c r="D853" s="7" t="s">
        <v>9</v>
      </c>
      <c r="E853" s="8" t="s">
        <v>9</v>
      </c>
      <c r="F853" s="18">
        <v>1</v>
      </c>
      <c r="G853" s="18">
        <v>100</v>
      </c>
      <c r="H853" s="18">
        <f t="shared" si="325"/>
        <v>6000</v>
      </c>
      <c r="I853" s="7">
        <f>60*F853</f>
        <v>60</v>
      </c>
      <c r="J853" s="9" t="s">
        <v>11</v>
      </c>
      <c r="K853" s="7" t="s">
        <v>9</v>
      </c>
      <c r="L853" s="7" t="s">
        <v>146</v>
      </c>
      <c r="M853" s="18">
        <v>6000</v>
      </c>
      <c r="N853" s="17"/>
    </row>
    <row r="854" spans="1:14" ht="30" customHeight="1" outlineLevel="1" x14ac:dyDescent="0.25">
      <c r="A854" s="6"/>
      <c r="B854" s="6" t="s">
        <v>414</v>
      </c>
      <c r="C854" s="7"/>
      <c r="D854" s="7"/>
      <c r="E854" s="8"/>
      <c r="F854" s="18"/>
      <c r="G854" s="18"/>
      <c r="H854" s="18">
        <f ca="1">SUBTOTAL(9,H848:H853)</f>
        <v>21636.6</v>
      </c>
      <c r="I854" s="7"/>
      <c r="J854" s="9"/>
      <c r="K854" s="7"/>
      <c r="L854" s="7"/>
      <c r="M854" s="18">
        <v>21636.6</v>
      </c>
      <c r="N854" s="17"/>
    </row>
    <row r="855" spans="1:14" ht="30" customHeight="1" outlineLevel="2" x14ac:dyDescent="0.25">
      <c r="A855" s="3">
        <v>13</v>
      </c>
      <c r="B855" s="3" t="str">
        <f>E855</f>
        <v xml:space="preserve">ЩС-1 (Альбом 37) </v>
      </c>
      <c r="C855" s="3"/>
      <c r="D855" s="14"/>
      <c r="E855" s="3" t="s">
        <v>155</v>
      </c>
      <c r="F855" s="13"/>
      <c r="G855" s="13"/>
      <c r="H855" s="13"/>
      <c r="I855" s="5">
        <v>1</v>
      </c>
      <c r="J855" s="4" t="s">
        <v>6</v>
      </c>
      <c r="K855" s="4" t="s">
        <v>23</v>
      </c>
      <c r="L855" s="4" t="s">
        <v>146</v>
      </c>
      <c r="M855" s="13"/>
      <c r="N855" s="17"/>
    </row>
    <row r="856" spans="1:14" ht="30" customHeight="1" outlineLevel="2" x14ac:dyDescent="0.25">
      <c r="A856" s="6">
        <v>14</v>
      </c>
      <c r="B856" s="6" t="str">
        <f t="shared" ref="B856:B861" si="327">B855</f>
        <v xml:space="preserve">ЩС-1 (Альбом 37) </v>
      </c>
      <c r="C856" s="7" t="s">
        <v>7</v>
      </c>
      <c r="D856" s="7" t="s">
        <v>286</v>
      </c>
      <c r="E856" s="8" t="s">
        <v>287</v>
      </c>
      <c r="F856" s="18">
        <v>24000</v>
      </c>
      <c r="G856" s="18">
        <f>0.6*F856</f>
        <v>14400</v>
      </c>
      <c r="H856" s="18">
        <f t="shared" ref="H856:H861" si="328">G856*I856</f>
        <v>14400</v>
      </c>
      <c r="I856" s="7">
        <v>1</v>
      </c>
      <c r="J856" s="9" t="s">
        <v>11</v>
      </c>
      <c r="K856" s="9" t="s">
        <v>24</v>
      </c>
      <c r="L856" s="9" t="s">
        <v>146</v>
      </c>
      <c r="M856" s="18">
        <v>14400</v>
      </c>
      <c r="N856" s="17"/>
    </row>
    <row r="857" spans="1:14" ht="30" customHeight="1" outlineLevel="2" x14ac:dyDescent="0.25">
      <c r="A857" s="6">
        <v>15</v>
      </c>
      <c r="B857" s="6" t="str">
        <f t="shared" si="327"/>
        <v xml:space="preserve">ЩС-1 (Альбом 37) </v>
      </c>
      <c r="C857" s="7" t="s">
        <v>10</v>
      </c>
      <c r="D857" s="7">
        <v>296829</v>
      </c>
      <c r="E857" s="8" t="s">
        <v>44</v>
      </c>
      <c r="F857" s="18">
        <v>2429</v>
      </c>
      <c r="G857" s="18">
        <f t="shared" ref="G857:G859" si="329">F857*0.6</f>
        <v>1457.3999999999999</v>
      </c>
      <c r="H857" s="18">
        <f t="shared" si="328"/>
        <v>1457.3999999999999</v>
      </c>
      <c r="I857" s="7">
        <v>1</v>
      </c>
      <c r="J857" s="9" t="s">
        <v>11</v>
      </c>
      <c r="K857" s="9" t="s">
        <v>22</v>
      </c>
      <c r="L857" s="9" t="s">
        <v>146</v>
      </c>
      <c r="M857" s="18">
        <v>1457.3999999999999</v>
      </c>
      <c r="N857" s="17"/>
    </row>
    <row r="858" spans="1:14" ht="30" customHeight="1" outlineLevel="2" x14ac:dyDescent="0.25">
      <c r="A858" s="6">
        <v>15</v>
      </c>
      <c r="B858" s="6" t="str">
        <f t="shared" si="327"/>
        <v xml:space="preserve">ЩС-1 (Альбом 37) </v>
      </c>
      <c r="C858" s="7" t="s">
        <v>10</v>
      </c>
      <c r="D858" s="7">
        <v>296827</v>
      </c>
      <c r="E858" s="8" t="s">
        <v>64</v>
      </c>
      <c r="F858" s="18">
        <v>2337</v>
      </c>
      <c r="G858" s="18">
        <f t="shared" si="329"/>
        <v>1402.2</v>
      </c>
      <c r="H858" s="18">
        <f t="shared" si="328"/>
        <v>2804.4</v>
      </c>
      <c r="I858" s="7">
        <v>2</v>
      </c>
      <c r="J858" s="9" t="s">
        <v>11</v>
      </c>
      <c r="K858" s="9" t="s">
        <v>22</v>
      </c>
      <c r="L858" s="9" t="s">
        <v>146</v>
      </c>
      <c r="M858" s="18">
        <v>2804.4</v>
      </c>
      <c r="N858" s="17"/>
    </row>
    <row r="859" spans="1:14" ht="30" customHeight="1" outlineLevel="2" x14ac:dyDescent="0.25">
      <c r="A859" s="6">
        <v>15</v>
      </c>
      <c r="B859" s="6" t="str">
        <f t="shared" si="327"/>
        <v xml:space="preserve">ЩС-1 (Альбом 37) </v>
      </c>
      <c r="C859" s="7" t="s">
        <v>12</v>
      </c>
      <c r="D859" s="7">
        <v>105542</v>
      </c>
      <c r="E859" s="8" t="s">
        <v>43</v>
      </c>
      <c r="F859" s="18">
        <v>5093</v>
      </c>
      <c r="G859" s="18">
        <f t="shared" si="329"/>
        <v>3055.7999999999997</v>
      </c>
      <c r="H859" s="18">
        <f t="shared" si="328"/>
        <v>24446.399999999998</v>
      </c>
      <c r="I859" s="7">
        <v>8</v>
      </c>
      <c r="J859" s="9" t="s">
        <v>11</v>
      </c>
      <c r="K859" s="9" t="s">
        <v>22</v>
      </c>
      <c r="L859" s="9" t="s">
        <v>146</v>
      </c>
      <c r="M859" s="18">
        <v>24446.399999999998</v>
      </c>
      <c r="N859" s="17"/>
    </row>
    <row r="860" spans="1:14" ht="28.5" customHeight="1" outlineLevel="2" x14ac:dyDescent="0.25">
      <c r="A860" s="6">
        <v>19</v>
      </c>
      <c r="B860" s="6" t="str">
        <f t="shared" si="327"/>
        <v xml:space="preserve">ЩС-1 (Альбом 37) </v>
      </c>
      <c r="C860" s="7" t="s">
        <v>8</v>
      </c>
      <c r="D860" s="7" t="s">
        <v>8</v>
      </c>
      <c r="E860" s="8" t="s">
        <v>8</v>
      </c>
      <c r="F860" s="18">
        <f ca="1">OFFSET(F860,1,2)</f>
        <v>15000</v>
      </c>
      <c r="G860" s="18">
        <f ca="1">F860</f>
        <v>15000</v>
      </c>
      <c r="H860" s="18">
        <f t="shared" ca="1" si="328"/>
        <v>15000</v>
      </c>
      <c r="I860" s="7">
        <v>1</v>
      </c>
      <c r="J860" s="9" t="s">
        <v>11</v>
      </c>
      <c r="K860" s="7" t="s">
        <v>8</v>
      </c>
      <c r="L860" s="7" t="s">
        <v>146</v>
      </c>
      <c r="M860" s="18">
        <v>15000</v>
      </c>
      <c r="N860" s="17"/>
    </row>
    <row r="861" spans="1:14" ht="30" customHeight="1" outlineLevel="2" x14ac:dyDescent="0.25">
      <c r="A861" s="6">
        <v>20</v>
      </c>
      <c r="B861" s="6" t="str">
        <f t="shared" si="327"/>
        <v xml:space="preserve">ЩС-1 (Альбом 37) </v>
      </c>
      <c r="C861" s="7" t="s">
        <v>9</v>
      </c>
      <c r="D861" s="7" t="s">
        <v>9</v>
      </c>
      <c r="E861" s="8" t="s">
        <v>9</v>
      </c>
      <c r="F861" s="18">
        <v>2.5</v>
      </c>
      <c r="G861" s="18">
        <v>100</v>
      </c>
      <c r="H861" s="18">
        <f t="shared" si="328"/>
        <v>15000</v>
      </c>
      <c r="I861" s="7">
        <f>60*F861</f>
        <v>150</v>
      </c>
      <c r="J861" s="9" t="s">
        <v>11</v>
      </c>
      <c r="K861" s="7" t="s">
        <v>9</v>
      </c>
      <c r="L861" s="7" t="s">
        <v>146</v>
      </c>
      <c r="M861" s="18">
        <v>15000</v>
      </c>
      <c r="N861" s="17"/>
    </row>
    <row r="862" spans="1:14" ht="30" customHeight="1" outlineLevel="1" x14ac:dyDescent="0.25">
      <c r="A862" s="6"/>
      <c r="B862" s="6" t="s">
        <v>415</v>
      </c>
      <c r="C862" s="7"/>
      <c r="D862" s="7"/>
      <c r="E862" s="8"/>
      <c r="F862" s="18"/>
      <c r="G862" s="18"/>
      <c r="H862" s="18">
        <f ca="1">SUBTOTAL(9,H855:H861)</f>
        <v>73108.2</v>
      </c>
      <c r="I862" s="7"/>
      <c r="J862" s="9"/>
      <c r="K862" s="7"/>
      <c r="L862" s="7"/>
      <c r="M862" s="18">
        <v>73108.2</v>
      </c>
      <c r="N862" s="17"/>
    </row>
    <row r="863" spans="1:14" ht="30" customHeight="1" outlineLevel="2" x14ac:dyDescent="0.25">
      <c r="A863" s="3">
        <v>13</v>
      </c>
      <c r="B863" s="3" t="str">
        <f>E863</f>
        <v xml:space="preserve">ЩС-2 (Альбом 37) </v>
      </c>
      <c r="C863" s="3"/>
      <c r="D863" s="14"/>
      <c r="E863" s="3" t="s">
        <v>156</v>
      </c>
      <c r="F863" s="13"/>
      <c r="G863" s="13"/>
      <c r="H863" s="13"/>
      <c r="I863" s="5">
        <v>1</v>
      </c>
      <c r="J863" s="4" t="s">
        <v>6</v>
      </c>
      <c r="K863" s="4" t="s">
        <v>23</v>
      </c>
      <c r="L863" s="4" t="s">
        <v>146</v>
      </c>
      <c r="M863" s="13"/>
      <c r="N863" s="17"/>
    </row>
    <row r="864" spans="1:14" ht="30" customHeight="1" outlineLevel="2" x14ac:dyDescent="0.25">
      <c r="A864" s="6">
        <v>14</v>
      </c>
      <c r="B864" s="6" t="str">
        <f t="shared" ref="B864:B868" si="330">B863</f>
        <v xml:space="preserve">ЩС-2 (Альбом 37) </v>
      </c>
      <c r="C864" s="7" t="s">
        <v>7</v>
      </c>
      <c r="D864" s="7" t="s">
        <v>286</v>
      </c>
      <c r="E864" s="8" t="s">
        <v>287</v>
      </c>
      <c r="F864" s="18">
        <v>24000</v>
      </c>
      <c r="G864" s="18">
        <f>0.6*F864</f>
        <v>14400</v>
      </c>
      <c r="H864" s="18">
        <f t="shared" ref="H864:H868" si="331">G864*I864</f>
        <v>14400</v>
      </c>
      <c r="I864" s="7">
        <v>1</v>
      </c>
      <c r="J864" s="9" t="s">
        <v>11</v>
      </c>
      <c r="K864" s="9" t="s">
        <v>24</v>
      </c>
      <c r="L864" s="9" t="s">
        <v>146</v>
      </c>
      <c r="M864" s="18">
        <v>14400</v>
      </c>
      <c r="N864" s="17"/>
    </row>
    <row r="865" spans="1:14" ht="30" customHeight="1" outlineLevel="2" x14ac:dyDescent="0.25">
      <c r="A865" s="6">
        <v>15</v>
      </c>
      <c r="B865" s="6" t="str">
        <f t="shared" si="330"/>
        <v xml:space="preserve">ЩС-2 (Альбом 37) </v>
      </c>
      <c r="C865" s="7" t="s">
        <v>10</v>
      </c>
      <c r="D865" s="7">
        <v>296829</v>
      </c>
      <c r="E865" s="8" t="s">
        <v>44</v>
      </c>
      <c r="F865" s="18">
        <v>2429</v>
      </c>
      <c r="G865" s="18">
        <f t="shared" ref="G865:G866" si="332">F865*0.6</f>
        <v>1457.3999999999999</v>
      </c>
      <c r="H865" s="18">
        <f t="shared" si="331"/>
        <v>1457.3999999999999</v>
      </c>
      <c r="I865" s="7">
        <v>1</v>
      </c>
      <c r="J865" s="9" t="s">
        <v>11</v>
      </c>
      <c r="K865" s="9" t="s">
        <v>22</v>
      </c>
      <c r="L865" s="9" t="s">
        <v>146</v>
      </c>
      <c r="M865" s="18">
        <v>1457.3999999999999</v>
      </c>
      <c r="N865" s="17"/>
    </row>
    <row r="866" spans="1:14" ht="30" customHeight="1" outlineLevel="2" x14ac:dyDescent="0.25">
      <c r="A866" s="6">
        <v>15</v>
      </c>
      <c r="B866" s="6" t="str">
        <f t="shared" si="330"/>
        <v xml:space="preserve">ЩС-2 (Альбом 37) </v>
      </c>
      <c r="C866" s="7" t="s">
        <v>12</v>
      </c>
      <c r="D866" s="7">
        <v>105542</v>
      </c>
      <c r="E866" s="8" t="s">
        <v>43</v>
      </c>
      <c r="F866" s="18">
        <v>5093</v>
      </c>
      <c r="G866" s="18">
        <f t="shared" si="332"/>
        <v>3055.7999999999997</v>
      </c>
      <c r="H866" s="18">
        <f t="shared" si="331"/>
        <v>33613.799999999996</v>
      </c>
      <c r="I866" s="7">
        <v>11</v>
      </c>
      <c r="J866" s="9" t="s">
        <v>11</v>
      </c>
      <c r="K866" s="9" t="s">
        <v>22</v>
      </c>
      <c r="L866" s="9" t="s">
        <v>146</v>
      </c>
      <c r="M866" s="18">
        <v>33613.799999999996</v>
      </c>
      <c r="N866" s="17"/>
    </row>
    <row r="867" spans="1:14" ht="28.5" customHeight="1" outlineLevel="2" x14ac:dyDescent="0.25">
      <c r="A867" s="6">
        <v>19</v>
      </c>
      <c r="B867" s="6" t="str">
        <f t="shared" si="330"/>
        <v xml:space="preserve">ЩС-2 (Альбом 37) </v>
      </c>
      <c r="C867" s="7" t="s">
        <v>8</v>
      </c>
      <c r="D867" s="7" t="s">
        <v>8</v>
      </c>
      <c r="E867" s="8" t="s">
        <v>8</v>
      </c>
      <c r="F867" s="18">
        <f ca="1">OFFSET(F867,1,2)</f>
        <v>15000</v>
      </c>
      <c r="G867" s="18">
        <f ca="1">F867</f>
        <v>15000</v>
      </c>
      <c r="H867" s="18">
        <f t="shared" ca="1" si="331"/>
        <v>15000</v>
      </c>
      <c r="I867" s="7">
        <v>1</v>
      </c>
      <c r="J867" s="9" t="s">
        <v>11</v>
      </c>
      <c r="K867" s="7" t="s">
        <v>8</v>
      </c>
      <c r="L867" s="7" t="s">
        <v>146</v>
      </c>
      <c r="M867" s="18">
        <v>15000</v>
      </c>
      <c r="N867" s="17"/>
    </row>
    <row r="868" spans="1:14" ht="30" customHeight="1" outlineLevel="2" x14ac:dyDescent="0.25">
      <c r="A868" s="6">
        <v>20</v>
      </c>
      <c r="B868" s="6" t="str">
        <f t="shared" si="330"/>
        <v xml:space="preserve">ЩС-2 (Альбом 37) </v>
      </c>
      <c r="C868" s="7" t="s">
        <v>9</v>
      </c>
      <c r="D868" s="7" t="s">
        <v>9</v>
      </c>
      <c r="E868" s="8" t="s">
        <v>9</v>
      </c>
      <c r="F868" s="18">
        <v>2.5</v>
      </c>
      <c r="G868" s="18">
        <v>100</v>
      </c>
      <c r="H868" s="18">
        <f t="shared" si="331"/>
        <v>15000</v>
      </c>
      <c r="I868" s="7">
        <f>60*F868</f>
        <v>150</v>
      </c>
      <c r="J868" s="9" t="s">
        <v>11</v>
      </c>
      <c r="K868" s="7" t="s">
        <v>9</v>
      </c>
      <c r="L868" s="7" t="s">
        <v>146</v>
      </c>
      <c r="M868" s="18">
        <v>15000</v>
      </c>
      <c r="N868" s="17"/>
    </row>
    <row r="869" spans="1:14" ht="30" customHeight="1" outlineLevel="1" x14ac:dyDescent="0.25">
      <c r="A869" s="6"/>
      <c r="B869" s="6" t="s">
        <v>416</v>
      </c>
      <c r="C869" s="7"/>
      <c r="D869" s="7"/>
      <c r="E869" s="8"/>
      <c r="F869" s="18"/>
      <c r="G869" s="18"/>
      <c r="H869" s="18">
        <f ca="1">SUBTOTAL(9,H863:H868)</f>
        <v>79471.199999999997</v>
      </c>
      <c r="I869" s="7"/>
      <c r="J869" s="9"/>
      <c r="K869" s="7"/>
      <c r="L869" s="7"/>
      <c r="M869" s="18">
        <v>79471.199999999997</v>
      </c>
      <c r="N869" s="17"/>
    </row>
    <row r="870" spans="1:14" ht="30" customHeight="1" outlineLevel="2" x14ac:dyDescent="0.25">
      <c r="A870" s="3">
        <v>13</v>
      </c>
      <c r="B870" s="3" t="str">
        <f>E870</f>
        <v xml:space="preserve">ЩС-3 (Альбом 37) </v>
      </c>
      <c r="C870" s="3"/>
      <c r="D870" s="14"/>
      <c r="E870" s="3" t="s">
        <v>157</v>
      </c>
      <c r="F870" s="13"/>
      <c r="G870" s="13"/>
      <c r="H870" s="13"/>
      <c r="I870" s="5">
        <v>1</v>
      </c>
      <c r="J870" s="4" t="s">
        <v>6</v>
      </c>
      <c r="K870" s="4" t="s">
        <v>23</v>
      </c>
      <c r="L870" s="4" t="s">
        <v>146</v>
      </c>
      <c r="M870" s="13"/>
      <c r="N870" s="17"/>
    </row>
    <row r="871" spans="1:14" ht="30" customHeight="1" outlineLevel="2" x14ac:dyDescent="0.25">
      <c r="A871" s="6">
        <v>14</v>
      </c>
      <c r="B871" s="6" t="str">
        <f t="shared" ref="B871:B875" si="333">B870</f>
        <v xml:space="preserve">ЩС-3 (Альбом 37) </v>
      </c>
      <c r="C871" s="7" t="s">
        <v>7</v>
      </c>
      <c r="D871" s="7" t="s">
        <v>278</v>
      </c>
      <c r="E871" s="8" t="s">
        <v>279</v>
      </c>
      <c r="F871" s="18">
        <v>10500</v>
      </c>
      <c r="G871" s="18">
        <f>0.6*F871</f>
        <v>6300</v>
      </c>
      <c r="H871" s="18">
        <f t="shared" ref="H871:H875" si="334">G871*I871</f>
        <v>6300</v>
      </c>
      <c r="I871" s="7">
        <v>1</v>
      </c>
      <c r="J871" s="9" t="s">
        <v>11</v>
      </c>
      <c r="K871" s="9" t="s">
        <v>24</v>
      </c>
      <c r="L871" s="9" t="s">
        <v>146</v>
      </c>
      <c r="M871" s="18">
        <v>6300</v>
      </c>
      <c r="N871" s="17"/>
    </row>
    <row r="872" spans="1:14" ht="30" customHeight="1" outlineLevel="2" x14ac:dyDescent="0.25">
      <c r="A872" s="6">
        <v>15</v>
      </c>
      <c r="B872" s="6" t="str">
        <f t="shared" si="333"/>
        <v xml:space="preserve">ЩС-3 (Альбом 37) </v>
      </c>
      <c r="C872" s="7" t="s">
        <v>10</v>
      </c>
      <c r="D872" s="7">
        <v>296829</v>
      </c>
      <c r="E872" s="8" t="s">
        <v>44</v>
      </c>
      <c r="F872" s="18">
        <v>2429</v>
      </c>
      <c r="G872" s="18">
        <f t="shared" ref="G872:G873" si="335">F872*0.6</f>
        <v>1457.3999999999999</v>
      </c>
      <c r="H872" s="18">
        <f t="shared" si="334"/>
        <v>1457.3999999999999</v>
      </c>
      <c r="I872" s="7">
        <v>1</v>
      </c>
      <c r="J872" s="9" t="s">
        <v>11</v>
      </c>
      <c r="K872" s="9" t="s">
        <v>22</v>
      </c>
      <c r="L872" s="9" t="s">
        <v>146</v>
      </c>
      <c r="M872" s="18">
        <v>1457.3999999999999</v>
      </c>
      <c r="N872" s="17"/>
    </row>
    <row r="873" spans="1:14" ht="30" customHeight="1" outlineLevel="2" x14ac:dyDescent="0.25">
      <c r="A873" s="6">
        <v>15</v>
      </c>
      <c r="B873" s="6" t="str">
        <f t="shared" si="333"/>
        <v xml:space="preserve">ЩС-3 (Альбом 37) </v>
      </c>
      <c r="C873" s="7" t="s">
        <v>12</v>
      </c>
      <c r="D873" s="7">
        <v>105542</v>
      </c>
      <c r="E873" s="8" t="s">
        <v>43</v>
      </c>
      <c r="F873" s="18">
        <v>5093</v>
      </c>
      <c r="G873" s="18">
        <f t="shared" si="335"/>
        <v>3055.7999999999997</v>
      </c>
      <c r="H873" s="18">
        <f t="shared" si="334"/>
        <v>6111.5999999999995</v>
      </c>
      <c r="I873" s="7">
        <v>2</v>
      </c>
      <c r="J873" s="9" t="s">
        <v>11</v>
      </c>
      <c r="K873" s="9" t="s">
        <v>22</v>
      </c>
      <c r="L873" s="9" t="s">
        <v>146</v>
      </c>
      <c r="M873" s="18">
        <v>6111.5999999999995</v>
      </c>
      <c r="N873" s="17"/>
    </row>
    <row r="874" spans="1:14" ht="28.5" customHeight="1" outlineLevel="2" x14ac:dyDescent="0.25">
      <c r="A874" s="6">
        <v>19</v>
      </c>
      <c r="B874" s="6" t="str">
        <f t="shared" si="333"/>
        <v xml:space="preserve">ЩС-3 (Альбом 37) </v>
      </c>
      <c r="C874" s="7" t="s">
        <v>8</v>
      </c>
      <c r="D874" s="7" t="s">
        <v>8</v>
      </c>
      <c r="E874" s="8" t="s">
        <v>8</v>
      </c>
      <c r="F874" s="18">
        <f ca="1">OFFSET(F874,1,2)</f>
        <v>6000</v>
      </c>
      <c r="G874" s="18">
        <f ca="1">F874</f>
        <v>6000</v>
      </c>
      <c r="H874" s="18">
        <f t="shared" ca="1" si="334"/>
        <v>6000</v>
      </c>
      <c r="I874" s="7">
        <v>1</v>
      </c>
      <c r="J874" s="9" t="s">
        <v>11</v>
      </c>
      <c r="K874" s="7" t="s">
        <v>8</v>
      </c>
      <c r="L874" s="7" t="s">
        <v>146</v>
      </c>
      <c r="M874" s="18">
        <v>6000</v>
      </c>
      <c r="N874" s="17"/>
    </row>
    <row r="875" spans="1:14" ht="30" customHeight="1" outlineLevel="2" x14ac:dyDescent="0.25">
      <c r="A875" s="6">
        <v>20</v>
      </c>
      <c r="B875" s="6" t="str">
        <f t="shared" si="333"/>
        <v xml:space="preserve">ЩС-3 (Альбом 37) </v>
      </c>
      <c r="C875" s="7" t="s">
        <v>9</v>
      </c>
      <c r="D875" s="7" t="s">
        <v>9</v>
      </c>
      <c r="E875" s="8" t="s">
        <v>9</v>
      </c>
      <c r="F875" s="18">
        <v>1</v>
      </c>
      <c r="G875" s="18">
        <v>100</v>
      </c>
      <c r="H875" s="18">
        <f t="shared" si="334"/>
        <v>6000</v>
      </c>
      <c r="I875" s="7">
        <f>60*F875</f>
        <v>60</v>
      </c>
      <c r="J875" s="9" t="s">
        <v>11</v>
      </c>
      <c r="K875" s="7" t="s">
        <v>9</v>
      </c>
      <c r="L875" s="7" t="s">
        <v>146</v>
      </c>
      <c r="M875" s="18">
        <v>6000</v>
      </c>
      <c r="N875" s="17"/>
    </row>
    <row r="876" spans="1:14" ht="30" customHeight="1" outlineLevel="1" x14ac:dyDescent="0.25">
      <c r="A876" s="6"/>
      <c r="B876" s="6" t="s">
        <v>417</v>
      </c>
      <c r="C876" s="7"/>
      <c r="D876" s="7"/>
      <c r="E876" s="8"/>
      <c r="F876" s="18"/>
      <c r="G876" s="18"/>
      <c r="H876" s="18">
        <f ca="1">SUBTOTAL(9,H870:H875)</f>
        <v>25869</v>
      </c>
      <c r="I876" s="7"/>
      <c r="J876" s="9"/>
      <c r="K876" s="7"/>
      <c r="L876" s="7"/>
      <c r="M876" s="18">
        <v>25869</v>
      </c>
      <c r="N876" s="17"/>
    </row>
    <row r="877" spans="1:14" ht="30" customHeight="1" outlineLevel="2" x14ac:dyDescent="0.25">
      <c r="A877" s="3">
        <v>13</v>
      </c>
      <c r="B877" s="3" t="str">
        <f>E877</f>
        <v xml:space="preserve">ЩС-4 (Альбом 37) </v>
      </c>
      <c r="C877" s="3"/>
      <c r="D877" s="14"/>
      <c r="E877" s="3" t="s">
        <v>158</v>
      </c>
      <c r="F877" s="13"/>
      <c r="G877" s="13"/>
      <c r="H877" s="13"/>
      <c r="I877" s="5">
        <v>1</v>
      </c>
      <c r="J877" s="4" t="s">
        <v>6</v>
      </c>
      <c r="K877" s="4" t="s">
        <v>23</v>
      </c>
      <c r="L877" s="4" t="s">
        <v>146</v>
      </c>
      <c r="M877" s="13"/>
      <c r="N877" s="17"/>
    </row>
    <row r="878" spans="1:14" ht="30" customHeight="1" outlineLevel="2" x14ac:dyDescent="0.25">
      <c r="A878" s="6">
        <v>14</v>
      </c>
      <c r="B878" s="6" t="str">
        <f t="shared" ref="B878:B882" si="336">B877</f>
        <v xml:space="preserve">ЩС-4 (Альбом 37) </v>
      </c>
      <c r="C878" s="7" t="s">
        <v>7</v>
      </c>
      <c r="D878" s="7" t="s">
        <v>286</v>
      </c>
      <c r="E878" s="8" t="s">
        <v>287</v>
      </c>
      <c r="F878" s="18">
        <v>24000</v>
      </c>
      <c r="G878" s="18">
        <f>0.6*F878</f>
        <v>14400</v>
      </c>
      <c r="H878" s="18">
        <f t="shared" ref="H878:H882" si="337">G878*I878</f>
        <v>14400</v>
      </c>
      <c r="I878" s="7">
        <v>1</v>
      </c>
      <c r="J878" s="9" t="s">
        <v>11</v>
      </c>
      <c r="K878" s="9" t="s">
        <v>24</v>
      </c>
      <c r="L878" s="9" t="s">
        <v>146</v>
      </c>
      <c r="M878" s="18">
        <v>14400</v>
      </c>
      <c r="N878" s="17"/>
    </row>
    <row r="879" spans="1:14" ht="30" customHeight="1" outlineLevel="2" x14ac:dyDescent="0.25">
      <c r="A879" s="6">
        <v>15</v>
      </c>
      <c r="B879" s="6" t="str">
        <f t="shared" si="336"/>
        <v xml:space="preserve">ЩС-4 (Альбом 37) </v>
      </c>
      <c r="C879" s="7" t="s">
        <v>10</v>
      </c>
      <c r="D879" s="7">
        <v>296829</v>
      </c>
      <c r="E879" s="8" t="s">
        <v>44</v>
      </c>
      <c r="F879" s="18">
        <v>2429</v>
      </c>
      <c r="G879" s="18">
        <f t="shared" ref="G879:G880" si="338">F879*0.6</f>
        <v>1457.3999999999999</v>
      </c>
      <c r="H879" s="18">
        <f t="shared" si="337"/>
        <v>1457.3999999999999</v>
      </c>
      <c r="I879" s="7">
        <v>1</v>
      </c>
      <c r="J879" s="9" t="s">
        <v>11</v>
      </c>
      <c r="K879" s="9" t="s">
        <v>22</v>
      </c>
      <c r="L879" s="9" t="s">
        <v>146</v>
      </c>
      <c r="M879" s="18">
        <v>1457.3999999999999</v>
      </c>
      <c r="N879" s="17"/>
    </row>
    <row r="880" spans="1:14" ht="30" customHeight="1" outlineLevel="2" x14ac:dyDescent="0.25">
      <c r="A880" s="6">
        <v>15</v>
      </c>
      <c r="B880" s="6" t="str">
        <f t="shared" si="336"/>
        <v xml:space="preserve">ЩС-4 (Альбом 37) </v>
      </c>
      <c r="C880" s="7" t="s">
        <v>12</v>
      </c>
      <c r="D880" s="7">
        <v>105542</v>
      </c>
      <c r="E880" s="8" t="s">
        <v>43</v>
      </c>
      <c r="F880" s="18">
        <v>5093</v>
      </c>
      <c r="G880" s="18">
        <f t="shared" si="338"/>
        <v>3055.7999999999997</v>
      </c>
      <c r="H880" s="18">
        <f t="shared" si="337"/>
        <v>30557.999999999996</v>
      </c>
      <c r="I880" s="7">
        <v>10</v>
      </c>
      <c r="J880" s="9" t="s">
        <v>11</v>
      </c>
      <c r="K880" s="9" t="s">
        <v>22</v>
      </c>
      <c r="L880" s="9" t="s">
        <v>146</v>
      </c>
      <c r="M880" s="18">
        <v>30557.999999999996</v>
      </c>
      <c r="N880" s="17"/>
    </row>
    <row r="881" spans="1:14" ht="28.5" customHeight="1" outlineLevel="2" x14ac:dyDescent="0.25">
      <c r="A881" s="6">
        <v>19</v>
      </c>
      <c r="B881" s="6" t="str">
        <f t="shared" si="336"/>
        <v xml:space="preserve">ЩС-4 (Альбом 37) </v>
      </c>
      <c r="C881" s="7" t="s">
        <v>8</v>
      </c>
      <c r="D881" s="7" t="s">
        <v>8</v>
      </c>
      <c r="E881" s="8" t="s">
        <v>8</v>
      </c>
      <c r="F881" s="18">
        <f ca="1">OFFSET(F881,1,2)</f>
        <v>15000</v>
      </c>
      <c r="G881" s="18">
        <f ca="1">F881</f>
        <v>15000</v>
      </c>
      <c r="H881" s="18">
        <f t="shared" ca="1" si="337"/>
        <v>15000</v>
      </c>
      <c r="I881" s="7">
        <v>1</v>
      </c>
      <c r="J881" s="9" t="s">
        <v>11</v>
      </c>
      <c r="K881" s="7" t="s">
        <v>8</v>
      </c>
      <c r="L881" s="7" t="s">
        <v>146</v>
      </c>
      <c r="M881" s="18">
        <v>15000</v>
      </c>
      <c r="N881" s="17"/>
    </row>
    <row r="882" spans="1:14" ht="30" customHeight="1" outlineLevel="2" x14ac:dyDescent="0.25">
      <c r="A882" s="6">
        <v>20</v>
      </c>
      <c r="B882" s="6" t="str">
        <f t="shared" si="336"/>
        <v xml:space="preserve">ЩС-4 (Альбом 37) </v>
      </c>
      <c r="C882" s="7" t="s">
        <v>9</v>
      </c>
      <c r="D882" s="7" t="s">
        <v>9</v>
      </c>
      <c r="E882" s="8" t="s">
        <v>9</v>
      </c>
      <c r="F882" s="18">
        <v>2.5</v>
      </c>
      <c r="G882" s="18">
        <v>100</v>
      </c>
      <c r="H882" s="18">
        <f t="shared" si="337"/>
        <v>15000</v>
      </c>
      <c r="I882" s="7">
        <f>60*F882</f>
        <v>150</v>
      </c>
      <c r="J882" s="9" t="s">
        <v>11</v>
      </c>
      <c r="K882" s="7" t="s">
        <v>9</v>
      </c>
      <c r="L882" s="7" t="s">
        <v>146</v>
      </c>
      <c r="M882" s="18">
        <v>15000</v>
      </c>
      <c r="N882" s="17"/>
    </row>
    <row r="883" spans="1:14" ht="30" customHeight="1" outlineLevel="1" x14ac:dyDescent="0.25">
      <c r="A883" s="6"/>
      <c r="B883" s="6" t="s">
        <v>418</v>
      </c>
      <c r="C883" s="7"/>
      <c r="D883" s="7"/>
      <c r="E883" s="8"/>
      <c r="F883" s="18"/>
      <c r="G883" s="18"/>
      <c r="H883" s="18">
        <f ca="1">SUBTOTAL(9,H877:H882)</f>
        <v>76415.399999999994</v>
      </c>
      <c r="I883" s="7"/>
      <c r="J883" s="9"/>
      <c r="K883" s="7"/>
      <c r="L883" s="7"/>
      <c r="M883" s="18">
        <v>76415.399999999994</v>
      </c>
      <c r="N883" s="17"/>
    </row>
    <row r="884" spans="1:14" ht="30" customHeight="1" outlineLevel="2" x14ac:dyDescent="0.25">
      <c r="A884" s="3">
        <v>13</v>
      </c>
      <c r="B884" s="3" t="str">
        <f>E884</f>
        <v xml:space="preserve">ЩС-5 (Альбом 37) </v>
      </c>
      <c r="C884" s="3"/>
      <c r="D884" s="14"/>
      <c r="E884" s="3" t="s">
        <v>159</v>
      </c>
      <c r="F884" s="13"/>
      <c r="G884" s="13"/>
      <c r="H884" s="13"/>
      <c r="I884" s="5">
        <v>1</v>
      </c>
      <c r="J884" s="4" t="s">
        <v>6</v>
      </c>
      <c r="K884" s="4" t="s">
        <v>23</v>
      </c>
      <c r="L884" s="4" t="s">
        <v>146</v>
      </c>
      <c r="M884" s="13"/>
      <c r="N884" s="17"/>
    </row>
    <row r="885" spans="1:14" ht="30" customHeight="1" outlineLevel="2" x14ac:dyDescent="0.25">
      <c r="A885" s="6">
        <v>14</v>
      </c>
      <c r="B885" s="6" t="str">
        <f t="shared" ref="B885:B889" si="339">B884</f>
        <v xml:space="preserve">ЩС-5 (Альбом 37) </v>
      </c>
      <c r="C885" s="7" t="s">
        <v>7</v>
      </c>
      <c r="D885" s="7" t="s">
        <v>284</v>
      </c>
      <c r="E885" s="8" t="s">
        <v>285</v>
      </c>
      <c r="F885" s="18">
        <v>20000</v>
      </c>
      <c r="G885" s="18">
        <f>0.6*F885</f>
        <v>12000</v>
      </c>
      <c r="H885" s="18">
        <f t="shared" ref="H885:H889" si="340">G885*I885</f>
        <v>12000</v>
      </c>
      <c r="I885" s="7">
        <v>1</v>
      </c>
      <c r="J885" s="9" t="s">
        <v>11</v>
      </c>
      <c r="K885" s="9" t="s">
        <v>24</v>
      </c>
      <c r="L885" s="9" t="s">
        <v>146</v>
      </c>
      <c r="M885" s="18">
        <v>12000</v>
      </c>
      <c r="N885" s="17"/>
    </row>
    <row r="886" spans="1:14" ht="30" customHeight="1" outlineLevel="2" x14ac:dyDescent="0.25">
      <c r="A886" s="6">
        <v>15</v>
      </c>
      <c r="B886" s="6" t="str">
        <f t="shared" si="339"/>
        <v xml:space="preserve">ЩС-5 (Альбом 37) </v>
      </c>
      <c r="C886" s="7" t="s">
        <v>10</v>
      </c>
      <c r="D886" s="7">
        <v>296829</v>
      </c>
      <c r="E886" s="8" t="s">
        <v>44</v>
      </c>
      <c r="F886" s="18">
        <v>2429</v>
      </c>
      <c r="G886" s="18">
        <f t="shared" ref="G886:G887" si="341">F886*0.6</f>
        <v>1457.3999999999999</v>
      </c>
      <c r="H886" s="18">
        <f t="shared" si="340"/>
        <v>1457.3999999999999</v>
      </c>
      <c r="I886" s="7">
        <v>1</v>
      </c>
      <c r="J886" s="9" t="s">
        <v>11</v>
      </c>
      <c r="K886" s="9" t="s">
        <v>22</v>
      </c>
      <c r="L886" s="9" t="s">
        <v>146</v>
      </c>
      <c r="M886" s="18">
        <v>1457.3999999999999</v>
      </c>
      <c r="N886" s="17"/>
    </row>
    <row r="887" spans="1:14" ht="30" customHeight="1" outlineLevel="2" x14ac:dyDescent="0.25">
      <c r="A887" s="6">
        <v>15</v>
      </c>
      <c r="B887" s="6" t="str">
        <f t="shared" si="339"/>
        <v xml:space="preserve">ЩС-5 (Альбом 37) </v>
      </c>
      <c r="C887" s="7" t="s">
        <v>12</v>
      </c>
      <c r="D887" s="7">
        <v>105542</v>
      </c>
      <c r="E887" s="8" t="s">
        <v>43</v>
      </c>
      <c r="F887" s="18">
        <v>5093</v>
      </c>
      <c r="G887" s="18">
        <f t="shared" si="341"/>
        <v>3055.7999999999997</v>
      </c>
      <c r="H887" s="18">
        <f t="shared" si="340"/>
        <v>27502.199999999997</v>
      </c>
      <c r="I887" s="7">
        <v>9</v>
      </c>
      <c r="J887" s="9" t="s">
        <v>11</v>
      </c>
      <c r="K887" s="9" t="s">
        <v>22</v>
      </c>
      <c r="L887" s="9" t="s">
        <v>146</v>
      </c>
      <c r="M887" s="18">
        <v>27502.199999999997</v>
      </c>
      <c r="N887" s="17"/>
    </row>
    <row r="888" spans="1:14" ht="28.5" customHeight="1" outlineLevel="2" x14ac:dyDescent="0.25">
      <c r="A888" s="6">
        <v>19</v>
      </c>
      <c r="B888" s="6" t="str">
        <f t="shared" si="339"/>
        <v xml:space="preserve">ЩС-5 (Альбом 37) </v>
      </c>
      <c r="C888" s="7" t="s">
        <v>8</v>
      </c>
      <c r="D888" s="7" t="s">
        <v>8</v>
      </c>
      <c r="E888" s="8" t="s">
        <v>8</v>
      </c>
      <c r="F888" s="18">
        <f ca="1">OFFSET(F888,1,2)</f>
        <v>12000</v>
      </c>
      <c r="G888" s="18">
        <f ca="1">F888</f>
        <v>12000</v>
      </c>
      <c r="H888" s="18">
        <f t="shared" ca="1" si="340"/>
        <v>12000</v>
      </c>
      <c r="I888" s="7">
        <v>1</v>
      </c>
      <c r="J888" s="9" t="s">
        <v>11</v>
      </c>
      <c r="K888" s="7" t="s">
        <v>8</v>
      </c>
      <c r="L888" s="7" t="s">
        <v>146</v>
      </c>
      <c r="M888" s="18">
        <v>12000</v>
      </c>
      <c r="N888" s="17"/>
    </row>
    <row r="889" spans="1:14" ht="30" customHeight="1" outlineLevel="2" x14ac:dyDescent="0.25">
      <c r="A889" s="6">
        <v>20</v>
      </c>
      <c r="B889" s="6" t="str">
        <f t="shared" si="339"/>
        <v xml:space="preserve">ЩС-5 (Альбом 37) </v>
      </c>
      <c r="C889" s="7" t="s">
        <v>9</v>
      </c>
      <c r="D889" s="7" t="s">
        <v>9</v>
      </c>
      <c r="E889" s="8" t="s">
        <v>9</v>
      </c>
      <c r="F889" s="18">
        <v>2</v>
      </c>
      <c r="G889" s="18">
        <v>100</v>
      </c>
      <c r="H889" s="18">
        <f t="shared" si="340"/>
        <v>12000</v>
      </c>
      <c r="I889" s="7">
        <f>60*F889</f>
        <v>120</v>
      </c>
      <c r="J889" s="9" t="s">
        <v>11</v>
      </c>
      <c r="K889" s="7" t="s">
        <v>9</v>
      </c>
      <c r="L889" s="7" t="s">
        <v>146</v>
      </c>
      <c r="M889" s="18">
        <v>12000</v>
      </c>
      <c r="N889" s="17"/>
    </row>
    <row r="890" spans="1:14" ht="30" customHeight="1" outlineLevel="1" x14ac:dyDescent="0.25">
      <c r="A890" s="6"/>
      <c r="B890" s="6" t="s">
        <v>419</v>
      </c>
      <c r="C890" s="7"/>
      <c r="D890" s="7"/>
      <c r="E890" s="8"/>
      <c r="F890" s="18"/>
      <c r="G890" s="18"/>
      <c r="H890" s="18">
        <f ca="1">SUBTOTAL(9,H884:H889)</f>
        <v>64959.6</v>
      </c>
      <c r="I890" s="7"/>
      <c r="J890" s="9"/>
      <c r="K890" s="7"/>
      <c r="L890" s="7"/>
      <c r="M890" s="18">
        <v>64959.6</v>
      </c>
      <c r="N890" s="17"/>
    </row>
    <row r="891" spans="1:14" ht="30" customHeight="1" outlineLevel="2" x14ac:dyDescent="0.25">
      <c r="A891" s="3">
        <v>13</v>
      </c>
      <c r="B891" s="3" t="str">
        <f>E891</f>
        <v xml:space="preserve">ЩС-6 (Альбом 37) </v>
      </c>
      <c r="C891" s="3"/>
      <c r="D891" s="14"/>
      <c r="E891" s="3" t="s">
        <v>160</v>
      </c>
      <c r="F891" s="13"/>
      <c r="G891" s="13"/>
      <c r="H891" s="13"/>
      <c r="I891" s="5">
        <v>1</v>
      </c>
      <c r="J891" s="4" t="s">
        <v>6</v>
      </c>
      <c r="K891" s="4" t="s">
        <v>23</v>
      </c>
      <c r="L891" s="4" t="s">
        <v>146</v>
      </c>
      <c r="M891" s="13"/>
      <c r="N891" s="17"/>
    </row>
    <row r="892" spans="1:14" ht="30" customHeight="1" outlineLevel="2" x14ac:dyDescent="0.25">
      <c r="A892" s="6">
        <v>14</v>
      </c>
      <c r="B892" s="6" t="str">
        <f t="shared" ref="B892:B896" si="342">B891</f>
        <v xml:space="preserve">ЩС-6 (Альбом 37) </v>
      </c>
      <c r="C892" s="7" t="s">
        <v>7</v>
      </c>
      <c r="D892" s="7" t="s">
        <v>278</v>
      </c>
      <c r="E892" s="8" t="s">
        <v>279</v>
      </c>
      <c r="F892" s="18">
        <v>10500</v>
      </c>
      <c r="G892" s="18">
        <f>0.6*F892</f>
        <v>6300</v>
      </c>
      <c r="H892" s="18">
        <f t="shared" ref="H892:H896" si="343">G892*I892</f>
        <v>6300</v>
      </c>
      <c r="I892" s="7">
        <v>1</v>
      </c>
      <c r="J892" s="9" t="s">
        <v>11</v>
      </c>
      <c r="K892" s="9" t="s">
        <v>24</v>
      </c>
      <c r="L892" s="9" t="s">
        <v>146</v>
      </c>
      <c r="M892" s="18">
        <v>6300</v>
      </c>
      <c r="N892" s="17"/>
    </row>
    <row r="893" spans="1:14" ht="30" customHeight="1" outlineLevel="2" x14ac:dyDescent="0.25">
      <c r="A893" s="6">
        <v>15</v>
      </c>
      <c r="B893" s="6" t="str">
        <f t="shared" si="342"/>
        <v xml:space="preserve">ЩС-6 (Альбом 37) </v>
      </c>
      <c r="C893" s="7" t="s">
        <v>10</v>
      </c>
      <c r="D893" s="7">
        <v>296829</v>
      </c>
      <c r="E893" s="8" t="s">
        <v>44</v>
      </c>
      <c r="F893" s="18">
        <v>2429</v>
      </c>
      <c r="G893" s="18">
        <f t="shared" ref="G893:G894" si="344">F893*0.6</f>
        <v>1457.3999999999999</v>
      </c>
      <c r="H893" s="18">
        <f t="shared" si="343"/>
        <v>1457.3999999999999</v>
      </c>
      <c r="I893" s="7">
        <v>1</v>
      </c>
      <c r="J893" s="9" t="s">
        <v>11</v>
      </c>
      <c r="K893" s="9" t="s">
        <v>22</v>
      </c>
      <c r="L893" s="9" t="s">
        <v>146</v>
      </c>
      <c r="M893" s="18">
        <v>1457.3999999999999</v>
      </c>
      <c r="N893" s="17"/>
    </row>
    <row r="894" spans="1:14" ht="30" customHeight="1" outlineLevel="2" x14ac:dyDescent="0.25">
      <c r="A894" s="6">
        <v>15</v>
      </c>
      <c r="B894" s="6" t="str">
        <f t="shared" si="342"/>
        <v xml:space="preserve">ЩС-6 (Альбом 37) </v>
      </c>
      <c r="C894" s="7" t="s">
        <v>12</v>
      </c>
      <c r="D894" s="7">
        <v>105542</v>
      </c>
      <c r="E894" s="8" t="s">
        <v>43</v>
      </c>
      <c r="F894" s="18">
        <v>5093</v>
      </c>
      <c r="G894" s="18">
        <f t="shared" si="344"/>
        <v>3055.7999999999997</v>
      </c>
      <c r="H894" s="18">
        <f t="shared" si="343"/>
        <v>3055.7999999999997</v>
      </c>
      <c r="I894" s="7">
        <v>1</v>
      </c>
      <c r="J894" s="9" t="s">
        <v>11</v>
      </c>
      <c r="K894" s="9" t="s">
        <v>22</v>
      </c>
      <c r="L894" s="9" t="s">
        <v>146</v>
      </c>
      <c r="M894" s="18">
        <v>3055.7999999999997</v>
      </c>
      <c r="N894" s="17"/>
    </row>
    <row r="895" spans="1:14" ht="28.5" customHeight="1" outlineLevel="2" x14ac:dyDescent="0.25">
      <c r="A895" s="6">
        <v>19</v>
      </c>
      <c r="B895" s="6" t="str">
        <f t="shared" si="342"/>
        <v xml:space="preserve">ЩС-6 (Альбом 37) </v>
      </c>
      <c r="C895" s="7" t="s">
        <v>8</v>
      </c>
      <c r="D895" s="7" t="s">
        <v>8</v>
      </c>
      <c r="E895" s="8" t="s">
        <v>8</v>
      </c>
      <c r="F895" s="18">
        <f ca="1">OFFSET(F895,1,2)</f>
        <v>6000</v>
      </c>
      <c r="G895" s="18">
        <f ca="1">F895</f>
        <v>6000</v>
      </c>
      <c r="H895" s="18">
        <f t="shared" ca="1" si="343"/>
        <v>6000</v>
      </c>
      <c r="I895" s="7">
        <v>1</v>
      </c>
      <c r="J895" s="9" t="s">
        <v>11</v>
      </c>
      <c r="K895" s="7" t="s">
        <v>8</v>
      </c>
      <c r="L895" s="7" t="s">
        <v>146</v>
      </c>
      <c r="M895" s="18">
        <v>6000</v>
      </c>
      <c r="N895" s="17"/>
    </row>
    <row r="896" spans="1:14" ht="30" customHeight="1" outlineLevel="2" x14ac:dyDescent="0.25">
      <c r="A896" s="6">
        <v>20</v>
      </c>
      <c r="B896" s="6" t="str">
        <f t="shared" si="342"/>
        <v xml:space="preserve">ЩС-6 (Альбом 37) </v>
      </c>
      <c r="C896" s="7" t="s">
        <v>9</v>
      </c>
      <c r="D896" s="7" t="s">
        <v>9</v>
      </c>
      <c r="E896" s="8" t="s">
        <v>9</v>
      </c>
      <c r="F896" s="18">
        <v>1</v>
      </c>
      <c r="G896" s="18">
        <v>100</v>
      </c>
      <c r="H896" s="18">
        <f t="shared" si="343"/>
        <v>6000</v>
      </c>
      <c r="I896" s="7">
        <f>60*F896</f>
        <v>60</v>
      </c>
      <c r="J896" s="9" t="s">
        <v>11</v>
      </c>
      <c r="K896" s="7" t="s">
        <v>9</v>
      </c>
      <c r="L896" s="7" t="s">
        <v>146</v>
      </c>
      <c r="M896" s="18">
        <v>6000</v>
      </c>
      <c r="N896" s="17"/>
    </row>
    <row r="897" spans="1:14" ht="30" customHeight="1" outlineLevel="1" x14ac:dyDescent="0.25">
      <c r="A897" s="6"/>
      <c r="B897" s="6" t="s">
        <v>420</v>
      </c>
      <c r="C897" s="7"/>
      <c r="D897" s="7"/>
      <c r="E897" s="8"/>
      <c r="F897" s="18"/>
      <c r="G897" s="18"/>
      <c r="H897" s="18">
        <f ca="1">SUBTOTAL(9,H891:H896)</f>
        <v>22813.199999999997</v>
      </c>
      <c r="I897" s="7"/>
      <c r="J897" s="9"/>
      <c r="K897" s="7"/>
      <c r="L897" s="7"/>
      <c r="M897" s="18">
        <v>22813.199999999997</v>
      </c>
      <c r="N897" s="17"/>
    </row>
    <row r="898" spans="1:14" ht="30" customHeight="1" outlineLevel="2" x14ac:dyDescent="0.25">
      <c r="A898" s="3">
        <v>13</v>
      </c>
      <c r="B898" s="3" t="str">
        <f>E898</f>
        <v xml:space="preserve">ЩС-7 (Альбом 37) </v>
      </c>
      <c r="C898" s="3"/>
      <c r="D898" s="14"/>
      <c r="E898" s="3" t="s">
        <v>161</v>
      </c>
      <c r="F898" s="13"/>
      <c r="G898" s="13"/>
      <c r="H898" s="13"/>
      <c r="I898" s="5">
        <v>1</v>
      </c>
      <c r="J898" s="4" t="s">
        <v>6</v>
      </c>
      <c r="K898" s="4" t="s">
        <v>23</v>
      </c>
      <c r="L898" s="4" t="s">
        <v>146</v>
      </c>
      <c r="M898" s="13"/>
      <c r="N898" s="17"/>
    </row>
    <row r="899" spans="1:14" ht="30" customHeight="1" outlineLevel="2" x14ac:dyDescent="0.25">
      <c r="A899" s="6">
        <v>14</v>
      </c>
      <c r="B899" s="6" t="str">
        <f t="shared" ref="B899:B904" si="345">B898</f>
        <v xml:space="preserve">ЩС-7 (Альбом 37) </v>
      </c>
      <c r="C899" s="7" t="s">
        <v>7</v>
      </c>
      <c r="D899" s="7" t="s">
        <v>280</v>
      </c>
      <c r="E899" s="8" t="s">
        <v>281</v>
      </c>
      <c r="F899" s="18">
        <v>16000</v>
      </c>
      <c r="G899" s="18">
        <f>0.6*F899</f>
        <v>9600</v>
      </c>
      <c r="H899" s="18">
        <f t="shared" ref="H899:H904" si="346">G899*I899</f>
        <v>9600</v>
      </c>
      <c r="I899" s="7">
        <v>1</v>
      </c>
      <c r="J899" s="9" t="s">
        <v>11</v>
      </c>
      <c r="K899" s="9" t="s">
        <v>24</v>
      </c>
      <c r="L899" s="9" t="s">
        <v>146</v>
      </c>
      <c r="M899" s="18">
        <v>9600</v>
      </c>
      <c r="N899" s="17"/>
    </row>
    <row r="900" spans="1:14" ht="30" customHeight="1" outlineLevel="2" x14ac:dyDescent="0.25">
      <c r="A900" s="6">
        <v>15</v>
      </c>
      <c r="B900" s="6" t="str">
        <f t="shared" si="345"/>
        <v xml:space="preserve">ЩС-7 (Альбом 37) </v>
      </c>
      <c r="C900" s="7" t="s">
        <v>10</v>
      </c>
      <c r="D900" s="7">
        <v>296829</v>
      </c>
      <c r="E900" s="8" t="s">
        <v>44</v>
      </c>
      <c r="F900" s="18">
        <v>2429</v>
      </c>
      <c r="G900" s="18">
        <f t="shared" ref="G900:G902" si="347">F900*0.6</f>
        <v>1457.3999999999999</v>
      </c>
      <c r="H900" s="18">
        <f t="shared" si="346"/>
        <v>1457.3999999999999</v>
      </c>
      <c r="I900" s="7">
        <v>1</v>
      </c>
      <c r="J900" s="9" t="s">
        <v>11</v>
      </c>
      <c r="K900" s="9" t="s">
        <v>22</v>
      </c>
      <c r="L900" s="9" t="s">
        <v>146</v>
      </c>
      <c r="M900" s="18">
        <v>1457.3999999999999</v>
      </c>
      <c r="N900" s="17"/>
    </row>
    <row r="901" spans="1:14" ht="30" customHeight="1" outlineLevel="2" x14ac:dyDescent="0.25">
      <c r="A901" s="6">
        <v>15</v>
      </c>
      <c r="B901" s="6" t="str">
        <f t="shared" si="345"/>
        <v xml:space="preserve">ЩС-7 (Альбом 37) </v>
      </c>
      <c r="C901" s="7" t="s">
        <v>10</v>
      </c>
      <c r="D901" s="7">
        <v>296827</v>
      </c>
      <c r="E901" s="8" t="s">
        <v>64</v>
      </c>
      <c r="F901" s="18">
        <v>2337</v>
      </c>
      <c r="G901" s="18">
        <f t="shared" si="347"/>
        <v>1402.2</v>
      </c>
      <c r="H901" s="18">
        <f t="shared" si="346"/>
        <v>2804.4</v>
      </c>
      <c r="I901" s="7">
        <v>2</v>
      </c>
      <c r="J901" s="9" t="s">
        <v>11</v>
      </c>
      <c r="K901" s="9" t="s">
        <v>22</v>
      </c>
      <c r="L901" s="9" t="s">
        <v>146</v>
      </c>
      <c r="M901" s="18">
        <v>2804.4</v>
      </c>
      <c r="N901" s="17"/>
    </row>
    <row r="902" spans="1:14" ht="30" customHeight="1" outlineLevel="2" x14ac:dyDescent="0.25">
      <c r="A902" s="6">
        <v>15</v>
      </c>
      <c r="B902" s="6" t="str">
        <f t="shared" si="345"/>
        <v xml:space="preserve">ЩС-7 (Альбом 37) </v>
      </c>
      <c r="C902" s="7" t="s">
        <v>12</v>
      </c>
      <c r="D902" s="7">
        <v>105542</v>
      </c>
      <c r="E902" s="8" t="s">
        <v>43</v>
      </c>
      <c r="F902" s="18">
        <v>5093</v>
      </c>
      <c r="G902" s="18">
        <f t="shared" si="347"/>
        <v>3055.7999999999997</v>
      </c>
      <c r="H902" s="18">
        <f t="shared" si="346"/>
        <v>6111.5999999999995</v>
      </c>
      <c r="I902" s="7">
        <v>2</v>
      </c>
      <c r="J902" s="9" t="s">
        <v>11</v>
      </c>
      <c r="K902" s="9" t="s">
        <v>22</v>
      </c>
      <c r="L902" s="9" t="s">
        <v>146</v>
      </c>
      <c r="M902" s="18">
        <v>6111.5999999999995</v>
      </c>
      <c r="N902" s="17"/>
    </row>
    <row r="903" spans="1:14" ht="28.5" customHeight="1" outlineLevel="2" x14ac:dyDescent="0.25">
      <c r="A903" s="6">
        <v>19</v>
      </c>
      <c r="B903" s="6" t="str">
        <f t="shared" si="345"/>
        <v xml:space="preserve">ЩС-7 (Альбом 37) </v>
      </c>
      <c r="C903" s="7" t="s">
        <v>8</v>
      </c>
      <c r="D903" s="7" t="s">
        <v>8</v>
      </c>
      <c r="E903" s="8" t="s">
        <v>8</v>
      </c>
      <c r="F903" s="18">
        <f ca="1">OFFSET(F903,1,2)</f>
        <v>9000</v>
      </c>
      <c r="G903" s="18">
        <f ca="1">F903</f>
        <v>9000</v>
      </c>
      <c r="H903" s="18">
        <f t="shared" ca="1" si="346"/>
        <v>9000</v>
      </c>
      <c r="I903" s="7">
        <v>1</v>
      </c>
      <c r="J903" s="9" t="s">
        <v>11</v>
      </c>
      <c r="K903" s="7" t="s">
        <v>8</v>
      </c>
      <c r="L903" s="7" t="s">
        <v>146</v>
      </c>
      <c r="M903" s="18">
        <v>9000</v>
      </c>
      <c r="N903" s="17"/>
    </row>
    <row r="904" spans="1:14" ht="30" customHeight="1" outlineLevel="2" x14ac:dyDescent="0.25">
      <c r="A904" s="6">
        <v>20</v>
      </c>
      <c r="B904" s="6" t="str">
        <f t="shared" si="345"/>
        <v xml:space="preserve">ЩС-7 (Альбом 37) </v>
      </c>
      <c r="C904" s="7" t="s">
        <v>9</v>
      </c>
      <c r="D904" s="7" t="s">
        <v>9</v>
      </c>
      <c r="E904" s="8" t="s">
        <v>9</v>
      </c>
      <c r="F904" s="18">
        <v>1.5</v>
      </c>
      <c r="G904" s="18">
        <v>100</v>
      </c>
      <c r="H904" s="18">
        <f t="shared" si="346"/>
        <v>9000</v>
      </c>
      <c r="I904" s="7">
        <f>60*F904</f>
        <v>90</v>
      </c>
      <c r="J904" s="9" t="s">
        <v>11</v>
      </c>
      <c r="K904" s="7" t="s">
        <v>9</v>
      </c>
      <c r="L904" s="7" t="s">
        <v>146</v>
      </c>
      <c r="M904" s="18">
        <v>9000</v>
      </c>
      <c r="N904" s="17"/>
    </row>
    <row r="905" spans="1:14" ht="30" customHeight="1" outlineLevel="1" x14ac:dyDescent="0.25">
      <c r="A905" s="6"/>
      <c r="B905" s="6" t="s">
        <v>421</v>
      </c>
      <c r="C905" s="7"/>
      <c r="D905" s="7"/>
      <c r="E905" s="8"/>
      <c r="F905" s="18"/>
      <c r="G905" s="18"/>
      <c r="H905" s="18">
        <f ca="1">SUBTOTAL(9,H898:H904)</f>
        <v>37973.399999999994</v>
      </c>
      <c r="I905" s="7"/>
      <c r="J905" s="9"/>
      <c r="K905" s="7"/>
      <c r="L905" s="7"/>
      <c r="M905" s="18">
        <v>37973.399999999994</v>
      </c>
      <c r="N905" s="17"/>
    </row>
    <row r="906" spans="1:14" ht="30" customHeight="1" outlineLevel="2" x14ac:dyDescent="0.25">
      <c r="A906" s="3">
        <v>13</v>
      </c>
      <c r="B906" s="3" t="str">
        <f>E906</f>
        <v xml:space="preserve">ЩС-8 (Альбом 37) </v>
      </c>
      <c r="C906" s="3"/>
      <c r="D906" s="14"/>
      <c r="E906" s="3" t="s">
        <v>162</v>
      </c>
      <c r="F906" s="13"/>
      <c r="G906" s="13"/>
      <c r="H906" s="13"/>
      <c r="I906" s="5">
        <v>1</v>
      </c>
      <c r="J906" s="4" t="s">
        <v>6</v>
      </c>
      <c r="K906" s="4" t="s">
        <v>23</v>
      </c>
      <c r="L906" s="4" t="s">
        <v>146</v>
      </c>
      <c r="M906" s="13"/>
      <c r="N906" s="17"/>
    </row>
    <row r="907" spans="1:14" ht="30" customHeight="1" outlineLevel="2" x14ac:dyDescent="0.25">
      <c r="A907" s="6">
        <v>14</v>
      </c>
      <c r="B907" s="6" t="str">
        <f t="shared" ref="B907:B911" si="348">B906</f>
        <v xml:space="preserve">ЩС-8 (Альбом 37) </v>
      </c>
      <c r="C907" s="7" t="s">
        <v>7</v>
      </c>
      <c r="D907" s="7" t="s">
        <v>280</v>
      </c>
      <c r="E907" s="8" t="s">
        <v>281</v>
      </c>
      <c r="F907" s="18">
        <v>16000</v>
      </c>
      <c r="G907" s="18">
        <f>0.6*F907</f>
        <v>9600</v>
      </c>
      <c r="H907" s="18">
        <f t="shared" ref="H907:H911" si="349">G907*I907</f>
        <v>9600</v>
      </c>
      <c r="I907" s="7">
        <v>1</v>
      </c>
      <c r="J907" s="9" t="s">
        <v>11</v>
      </c>
      <c r="K907" s="9" t="s">
        <v>24</v>
      </c>
      <c r="L907" s="9" t="s">
        <v>146</v>
      </c>
      <c r="M907" s="18">
        <v>9600</v>
      </c>
      <c r="N907" s="17"/>
    </row>
    <row r="908" spans="1:14" ht="30" customHeight="1" outlineLevel="2" x14ac:dyDescent="0.25">
      <c r="A908" s="6">
        <v>15</v>
      </c>
      <c r="B908" s="6" t="str">
        <f t="shared" si="348"/>
        <v xml:space="preserve">ЩС-8 (Альбом 37) </v>
      </c>
      <c r="C908" s="7" t="s">
        <v>10</v>
      </c>
      <c r="D908" s="7">
        <v>296829</v>
      </c>
      <c r="E908" s="8" t="s">
        <v>44</v>
      </c>
      <c r="F908" s="18">
        <v>2429</v>
      </c>
      <c r="G908" s="18">
        <f t="shared" ref="G908:G909" si="350">F908*0.6</f>
        <v>1457.3999999999999</v>
      </c>
      <c r="H908" s="18">
        <f t="shared" si="349"/>
        <v>1457.3999999999999</v>
      </c>
      <c r="I908" s="7">
        <v>1</v>
      </c>
      <c r="J908" s="9" t="s">
        <v>11</v>
      </c>
      <c r="K908" s="9" t="s">
        <v>22</v>
      </c>
      <c r="L908" s="9" t="s">
        <v>146</v>
      </c>
      <c r="M908" s="18">
        <v>1457.3999999999999</v>
      </c>
      <c r="N908" s="17"/>
    </row>
    <row r="909" spans="1:14" ht="30" customHeight="1" outlineLevel="2" x14ac:dyDescent="0.25">
      <c r="A909" s="6">
        <v>15</v>
      </c>
      <c r="B909" s="6" t="str">
        <f t="shared" si="348"/>
        <v xml:space="preserve">ЩС-8 (Альбом 37) </v>
      </c>
      <c r="C909" s="7" t="s">
        <v>10</v>
      </c>
      <c r="D909" s="7">
        <v>296827</v>
      </c>
      <c r="E909" s="8" t="s">
        <v>64</v>
      </c>
      <c r="F909" s="18">
        <v>2337</v>
      </c>
      <c r="G909" s="18">
        <f t="shared" si="350"/>
        <v>1402.2</v>
      </c>
      <c r="H909" s="18">
        <f t="shared" si="349"/>
        <v>5608.8</v>
      </c>
      <c r="I909" s="7">
        <v>4</v>
      </c>
      <c r="J909" s="9" t="s">
        <v>11</v>
      </c>
      <c r="K909" s="9" t="s">
        <v>22</v>
      </c>
      <c r="L909" s="9" t="s">
        <v>146</v>
      </c>
      <c r="M909" s="18">
        <v>5608.8</v>
      </c>
      <c r="N909" s="17"/>
    </row>
    <row r="910" spans="1:14" ht="28.5" customHeight="1" outlineLevel="2" x14ac:dyDescent="0.25">
      <c r="A910" s="6">
        <v>19</v>
      </c>
      <c r="B910" s="6" t="str">
        <f t="shared" si="348"/>
        <v xml:space="preserve">ЩС-8 (Альбом 37) </v>
      </c>
      <c r="C910" s="7" t="s">
        <v>8</v>
      </c>
      <c r="D910" s="7" t="s">
        <v>8</v>
      </c>
      <c r="E910" s="8" t="s">
        <v>8</v>
      </c>
      <c r="F910" s="18">
        <f ca="1">OFFSET(F910,1,2)</f>
        <v>9000</v>
      </c>
      <c r="G910" s="18">
        <f ca="1">F910</f>
        <v>9000</v>
      </c>
      <c r="H910" s="18">
        <f t="shared" ca="1" si="349"/>
        <v>9000</v>
      </c>
      <c r="I910" s="7">
        <v>1</v>
      </c>
      <c r="J910" s="9" t="s">
        <v>11</v>
      </c>
      <c r="K910" s="7" t="s">
        <v>8</v>
      </c>
      <c r="L910" s="7" t="s">
        <v>146</v>
      </c>
      <c r="M910" s="18">
        <v>9000</v>
      </c>
      <c r="N910" s="17"/>
    </row>
    <row r="911" spans="1:14" ht="30" customHeight="1" outlineLevel="2" x14ac:dyDescent="0.25">
      <c r="A911" s="6">
        <v>20</v>
      </c>
      <c r="B911" s="6" t="str">
        <f t="shared" si="348"/>
        <v xml:space="preserve">ЩС-8 (Альбом 37) </v>
      </c>
      <c r="C911" s="7" t="s">
        <v>9</v>
      </c>
      <c r="D911" s="7" t="s">
        <v>9</v>
      </c>
      <c r="E911" s="8" t="s">
        <v>9</v>
      </c>
      <c r="F911" s="18">
        <v>1.5</v>
      </c>
      <c r="G911" s="18">
        <v>100</v>
      </c>
      <c r="H911" s="18">
        <f t="shared" si="349"/>
        <v>9000</v>
      </c>
      <c r="I911" s="7">
        <f>60*F911</f>
        <v>90</v>
      </c>
      <c r="J911" s="9" t="s">
        <v>11</v>
      </c>
      <c r="K911" s="7" t="s">
        <v>9</v>
      </c>
      <c r="L911" s="7" t="s">
        <v>146</v>
      </c>
      <c r="M911" s="18">
        <v>9000</v>
      </c>
      <c r="N911" s="17"/>
    </row>
    <row r="912" spans="1:14" ht="30" customHeight="1" outlineLevel="1" x14ac:dyDescent="0.25">
      <c r="A912" s="6"/>
      <c r="B912" s="6" t="s">
        <v>422</v>
      </c>
      <c r="C912" s="7"/>
      <c r="D912" s="7"/>
      <c r="E912" s="8"/>
      <c r="F912" s="18"/>
      <c r="G912" s="18"/>
      <c r="H912" s="18">
        <f ca="1">SUBTOTAL(9,H906:H911)</f>
        <v>34666.199999999997</v>
      </c>
      <c r="I912" s="7"/>
      <c r="J912" s="9"/>
      <c r="K912" s="7"/>
      <c r="L912" s="7"/>
      <c r="M912" s="18">
        <v>34666.199999999997</v>
      </c>
      <c r="N912" s="17"/>
    </row>
    <row r="913" spans="1:14" ht="30" customHeight="1" outlineLevel="2" x14ac:dyDescent="0.25">
      <c r="A913" s="3">
        <v>13</v>
      </c>
      <c r="B913" s="3" t="str">
        <f t="shared" ref="B913:B917" si="351">E913</f>
        <v>Я511-2274 (Альбом 37)</v>
      </c>
      <c r="C913" s="3"/>
      <c r="D913" s="14"/>
      <c r="E913" s="3" t="s">
        <v>238</v>
      </c>
      <c r="F913" s="13"/>
      <c r="G913" s="13"/>
      <c r="H913" s="13"/>
      <c r="I913" s="5">
        <v>4</v>
      </c>
      <c r="J913" s="4" t="s">
        <v>6</v>
      </c>
      <c r="K913" s="4" t="s">
        <v>23</v>
      </c>
      <c r="L913" s="4" t="s">
        <v>146</v>
      </c>
      <c r="M913" s="13"/>
      <c r="N913" s="17"/>
    </row>
    <row r="914" spans="1:14" ht="30" customHeight="1" outlineLevel="1" x14ac:dyDescent="0.25">
      <c r="A914" s="3"/>
      <c r="B914" s="3" t="s">
        <v>423</v>
      </c>
      <c r="C914" s="3"/>
      <c r="D914" s="14"/>
      <c r="E914" s="3"/>
      <c r="F914" s="13"/>
      <c r="G914" s="13"/>
      <c r="H914" s="13">
        <f>SUBTOTAL(9,H913:H913)</f>
        <v>0</v>
      </c>
      <c r="I914" s="5"/>
      <c r="J914" s="4"/>
      <c r="K914" s="4"/>
      <c r="L914" s="4"/>
      <c r="M914" s="13">
        <v>0</v>
      </c>
      <c r="N914" s="17"/>
    </row>
    <row r="915" spans="1:14" ht="30" customHeight="1" outlineLevel="2" x14ac:dyDescent="0.25">
      <c r="A915" s="3">
        <v>13</v>
      </c>
      <c r="B915" s="3" t="str">
        <f t="shared" si="351"/>
        <v>ЯТП-0,25 (Альбом 37)</v>
      </c>
      <c r="C915" s="3"/>
      <c r="D915" s="14"/>
      <c r="E915" s="3" t="s">
        <v>237</v>
      </c>
      <c r="F915" s="13"/>
      <c r="G915" s="13"/>
      <c r="H915" s="13"/>
      <c r="I915" s="5">
        <v>3</v>
      </c>
      <c r="J915" s="4" t="s">
        <v>6</v>
      </c>
      <c r="K915" s="4" t="s">
        <v>23</v>
      </c>
      <c r="L915" s="4" t="s">
        <v>146</v>
      </c>
      <c r="M915" s="13"/>
      <c r="N915" s="17"/>
    </row>
    <row r="916" spans="1:14" ht="30" customHeight="1" outlineLevel="1" x14ac:dyDescent="0.25">
      <c r="A916" s="3"/>
      <c r="B916" s="3" t="s">
        <v>424</v>
      </c>
      <c r="C916" s="3"/>
      <c r="D916" s="14"/>
      <c r="E916" s="3"/>
      <c r="F916" s="13"/>
      <c r="G916" s="13"/>
      <c r="H916" s="13">
        <f>SUBTOTAL(9,H915:H915)</f>
        <v>0</v>
      </c>
      <c r="I916" s="5"/>
      <c r="J916" s="4"/>
      <c r="K916" s="4"/>
      <c r="L916" s="4"/>
      <c r="M916" s="13">
        <v>0</v>
      </c>
      <c r="N916" s="17"/>
    </row>
    <row r="917" spans="1:14" ht="30" customHeight="1" outlineLevel="2" x14ac:dyDescent="0.25">
      <c r="A917" s="3">
        <v>1</v>
      </c>
      <c r="B917" s="3" t="str">
        <f t="shared" si="351"/>
        <v xml:space="preserve">ВРУ ('ВРУ1-11-10) (Альбом 39)  </v>
      </c>
      <c r="C917" s="3"/>
      <c r="D917" s="14"/>
      <c r="E917" s="3" t="s">
        <v>253</v>
      </c>
      <c r="F917" s="13"/>
      <c r="G917" s="13"/>
      <c r="H917" s="13"/>
      <c r="I917" s="5">
        <v>1</v>
      </c>
      <c r="J917" s="4" t="s">
        <v>6</v>
      </c>
      <c r="K917" s="4" t="s">
        <v>23</v>
      </c>
      <c r="L917" s="4" t="s">
        <v>163</v>
      </c>
      <c r="M917" s="13"/>
      <c r="N917" s="17"/>
    </row>
    <row r="918" spans="1:14" ht="30" customHeight="1" outlineLevel="2" x14ac:dyDescent="0.25">
      <c r="A918" s="6">
        <v>2</v>
      </c>
      <c r="B918" s="6" t="str">
        <f t="shared" ref="B918:B927" si="352">B917</f>
        <v xml:space="preserve">ВРУ ('ВРУ1-11-10) (Альбом 39)  </v>
      </c>
      <c r="C918" s="7" t="s">
        <v>7</v>
      </c>
      <c r="D918" s="7" t="s">
        <v>262</v>
      </c>
      <c r="E918" s="8" t="s">
        <v>263</v>
      </c>
      <c r="F918" s="18">
        <v>165000</v>
      </c>
      <c r="G918" s="18">
        <f>0.6*F918</f>
        <v>99000</v>
      </c>
      <c r="H918" s="18">
        <f t="shared" ref="H918:H927" si="353">G918*I918</f>
        <v>99000</v>
      </c>
      <c r="I918" s="7">
        <v>1</v>
      </c>
      <c r="J918" s="9" t="s">
        <v>11</v>
      </c>
      <c r="K918" s="9" t="s">
        <v>24</v>
      </c>
      <c r="L918" s="9" t="s">
        <v>163</v>
      </c>
      <c r="M918" s="18">
        <v>99000</v>
      </c>
      <c r="N918" s="17"/>
    </row>
    <row r="919" spans="1:14" ht="30" customHeight="1" outlineLevel="2" x14ac:dyDescent="0.25">
      <c r="A919" s="6">
        <v>4</v>
      </c>
      <c r="B919" s="6" t="str">
        <f t="shared" si="352"/>
        <v xml:space="preserve">ВРУ ('ВРУ1-11-10) (Альбом 39)  </v>
      </c>
      <c r="C919" s="7" t="s">
        <v>10</v>
      </c>
      <c r="D919" s="7">
        <v>296708</v>
      </c>
      <c r="E919" s="8" t="s">
        <v>119</v>
      </c>
      <c r="F919" s="18">
        <v>975</v>
      </c>
      <c r="G919" s="18">
        <f t="shared" ref="G919" si="354">F919*0.6</f>
        <v>585</v>
      </c>
      <c r="H919" s="18">
        <f t="shared" si="353"/>
        <v>1170</v>
      </c>
      <c r="I919" s="7">
        <v>2</v>
      </c>
      <c r="J919" s="9" t="s">
        <v>11</v>
      </c>
      <c r="K919" s="9" t="s">
        <v>22</v>
      </c>
      <c r="L919" s="9" t="s">
        <v>163</v>
      </c>
      <c r="M919" s="18">
        <v>1170</v>
      </c>
      <c r="N919" s="17"/>
    </row>
    <row r="920" spans="1:14" ht="30" customHeight="1" outlineLevel="2" x14ac:dyDescent="0.25">
      <c r="A920" s="6">
        <v>5</v>
      </c>
      <c r="B920" s="6" t="str">
        <f t="shared" si="352"/>
        <v xml:space="preserve">ВРУ ('ВРУ1-11-10) (Альбом 39)  </v>
      </c>
      <c r="C920" s="7" t="s">
        <v>29</v>
      </c>
      <c r="D920" s="7"/>
      <c r="E920" s="10" t="s">
        <v>108</v>
      </c>
      <c r="F920" s="18">
        <v>6000</v>
      </c>
      <c r="G920" s="18">
        <f>F920</f>
        <v>6000</v>
      </c>
      <c r="H920" s="18">
        <f t="shared" si="353"/>
        <v>36000</v>
      </c>
      <c r="I920" s="7">
        <v>6</v>
      </c>
      <c r="J920" s="9" t="s">
        <v>11</v>
      </c>
      <c r="K920" s="9" t="s">
        <v>26</v>
      </c>
      <c r="L920" s="9" t="s">
        <v>163</v>
      </c>
      <c r="M920" s="18">
        <v>36000</v>
      </c>
      <c r="N920" s="17"/>
    </row>
    <row r="921" spans="1:14" ht="30" customHeight="1" outlineLevel="2" x14ac:dyDescent="0.25">
      <c r="A921" s="6">
        <v>6</v>
      </c>
      <c r="B921" s="6" t="str">
        <f t="shared" si="352"/>
        <v xml:space="preserve">ВРУ ('ВРУ1-11-10) (Альбом 39)  </v>
      </c>
      <c r="C921" s="7" t="s">
        <v>250</v>
      </c>
      <c r="D921" s="7" t="s">
        <v>248</v>
      </c>
      <c r="E921" s="8" t="s">
        <v>249</v>
      </c>
      <c r="F921" s="18">
        <v>4750</v>
      </c>
      <c r="G921" s="18">
        <f t="shared" ref="G921:G922" si="355">F921*0.6</f>
        <v>2850</v>
      </c>
      <c r="H921" s="18">
        <f t="shared" si="353"/>
        <v>17100</v>
      </c>
      <c r="I921" s="7">
        <v>6</v>
      </c>
      <c r="J921" s="9" t="s">
        <v>11</v>
      </c>
      <c r="K921" s="9" t="s">
        <v>22</v>
      </c>
      <c r="L921" s="9" t="s">
        <v>163</v>
      </c>
      <c r="M921" s="18">
        <v>17100</v>
      </c>
      <c r="N921" s="17"/>
    </row>
    <row r="922" spans="1:14" ht="30" customHeight="1" outlineLevel="2" x14ac:dyDescent="0.25">
      <c r="A922" s="6">
        <v>6</v>
      </c>
      <c r="B922" s="6" t="str">
        <f t="shared" si="352"/>
        <v xml:space="preserve">ВРУ ('ВРУ1-11-10) (Альбом 39)  </v>
      </c>
      <c r="C922" s="7" t="s">
        <v>122</v>
      </c>
      <c r="D922" s="7">
        <v>521187</v>
      </c>
      <c r="E922" s="8" t="s">
        <v>164</v>
      </c>
      <c r="F922" s="18">
        <v>3288</v>
      </c>
      <c r="G922" s="18">
        <f t="shared" si="355"/>
        <v>1972.8</v>
      </c>
      <c r="H922" s="18">
        <f t="shared" si="353"/>
        <v>11836.8</v>
      </c>
      <c r="I922" s="7">
        <v>6</v>
      </c>
      <c r="J922" s="9" t="s">
        <v>11</v>
      </c>
      <c r="K922" s="9" t="s">
        <v>22</v>
      </c>
      <c r="L922" s="9" t="s">
        <v>163</v>
      </c>
      <c r="M922" s="18">
        <v>11836.8</v>
      </c>
      <c r="N922" s="17"/>
    </row>
    <row r="923" spans="1:14" ht="30" customHeight="1" outlineLevel="2" x14ac:dyDescent="0.25">
      <c r="A923" s="6">
        <v>6</v>
      </c>
      <c r="B923" s="6" t="str">
        <f t="shared" si="352"/>
        <v xml:space="preserve">ВРУ ('ВРУ1-11-10) (Альбом 39)  </v>
      </c>
      <c r="C923" s="7" t="s">
        <v>120</v>
      </c>
      <c r="D923" s="7" t="s">
        <v>178</v>
      </c>
      <c r="E923" s="8" t="s">
        <v>177</v>
      </c>
      <c r="F923" s="18">
        <v>17175</v>
      </c>
      <c r="G923" s="18">
        <f t="shared" ref="G923:G924" si="356">F923</f>
        <v>17175</v>
      </c>
      <c r="H923" s="18">
        <f t="shared" si="353"/>
        <v>34350</v>
      </c>
      <c r="I923" s="7">
        <v>2</v>
      </c>
      <c r="J923" s="9" t="s">
        <v>11</v>
      </c>
      <c r="K923" s="9" t="s">
        <v>26</v>
      </c>
      <c r="L923" s="9" t="s">
        <v>163</v>
      </c>
      <c r="M923" s="18">
        <v>34350</v>
      </c>
      <c r="N923" s="17"/>
    </row>
    <row r="924" spans="1:14" ht="30" customHeight="1" outlineLevel="2" x14ac:dyDescent="0.25">
      <c r="A924" s="6">
        <v>6</v>
      </c>
      <c r="B924" s="6" t="str">
        <f t="shared" si="352"/>
        <v xml:space="preserve">ВРУ ('ВРУ1-11-10) (Альбом 39)  </v>
      </c>
      <c r="C924" s="7" t="s">
        <v>14</v>
      </c>
      <c r="D924" s="7" t="s">
        <v>292</v>
      </c>
      <c r="E924" s="8" t="s">
        <v>293</v>
      </c>
      <c r="F924" s="18">
        <v>80000</v>
      </c>
      <c r="G924" s="18">
        <f t="shared" si="356"/>
        <v>80000</v>
      </c>
      <c r="H924" s="18">
        <f t="shared" si="353"/>
        <v>160000</v>
      </c>
      <c r="I924" s="7">
        <v>2</v>
      </c>
      <c r="J924" s="9" t="s">
        <v>11</v>
      </c>
      <c r="K924" s="9" t="s">
        <v>26</v>
      </c>
      <c r="L924" s="9" t="s">
        <v>163</v>
      </c>
      <c r="M924" s="18">
        <v>160000</v>
      </c>
      <c r="N924" s="17"/>
    </row>
    <row r="925" spans="1:14" ht="30" customHeight="1" outlineLevel="2" x14ac:dyDescent="0.25">
      <c r="A925" s="6">
        <v>8</v>
      </c>
      <c r="B925" s="6" t="str">
        <f t="shared" si="352"/>
        <v xml:space="preserve">ВРУ ('ВРУ1-11-10) (Альбом 39)  </v>
      </c>
      <c r="C925" s="8" t="s">
        <v>16</v>
      </c>
      <c r="D925" s="7"/>
      <c r="E925" s="8" t="s">
        <v>16</v>
      </c>
      <c r="F925" s="18">
        <v>1000</v>
      </c>
      <c r="G925" s="18">
        <f>F925</f>
        <v>1000</v>
      </c>
      <c r="H925" s="18">
        <f t="shared" si="353"/>
        <v>1000</v>
      </c>
      <c r="I925" s="7">
        <v>1</v>
      </c>
      <c r="J925" s="9" t="s">
        <v>11</v>
      </c>
      <c r="K925" s="9" t="s">
        <v>25</v>
      </c>
      <c r="L925" s="9" t="s">
        <v>163</v>
      </c>
      <c r="M925" s="18">
        <v>1000</v>
      </c>
      <c r="N925" s="17"/>
    </row>
    <row r="926" spans="1:14" ht="30" customHeight="1" outlineLevel="2" x14ac:dyDescent="0.25">
      <c r="A926" s="6">
        <v>9</v>
      </c>
      <c r="B926" s="6" t="str">
        <f t="shared" si="352"/>
        <v xml:space="preserve">ВРУ ('ВРУ1-11-10) (Альбом 39)  </v>
      </c>
      <c r="C926" s="7" t="s">
        <v>8</v>
      </c>
      <c r="D926" s="7" t="s">
        <v>8</v>
      </c>
      <c r="E926" s="8" t="s">
        <v>8</v>
      </c>
      <c r="F926" s="18">
        <f ca="1">OFFSET(F926,1,2)</f>
        <v>60000</v>
      </c>
      <c r="G926" s="18">
        <f ca="1">F926</f>
        <v>60000</v>
      </c>
      <c r="H926" s="18">
        <f t="shared" ca="1" si="353"/>
        <v>60000</v>
      </c>
      <c r="I926" s="7">
        <v>1</v>
      </c>
      <c r="J926" s="9" t="s">
        <v>11</v>
      </c>
      <c r="K926" s="7" t="s">
        <v>8</v>
      </c>
      <c r="L926" s="7" t="s">
        <v>163</v>
      </c>
      <c r="M926" s="18">
        <v>60000</v>
      </c>
      <c r="N926" s="17"/>
    </row>
    <row r="927" spans="1:14" ht="30" customHeight="1" outlineLevel="2" x14ac:dyDescent="0.25">
      <c r="A927" s="6">
        <v>10</v>
      </c>
      <c r="B927" s="6" t="str">
        <f t="shared" si="352"/>
        <v xml:space="preserve">ВРУ ('ВРУ1-11-10) (Альбом 39)  </v>
      </c>
      <c r="C927" s="7" t="s">
        <v>9</v>
      </c>
      <c r="D927" s="7" t="s">
        <v>9</v>
      </c>
      <c r="E927" s="8" t="s">
        <v>9</v>
      </c>
      <c r="F927" s="18">
        <v>10</v>
      </c>
      <c r="G927" s="18">
        <v>100</v>
      </c>
      <c r="H927" s="18">
        <f t="shared" si="353"/>
        <v>60000</v>
      </c>
      <c r="I927" s="7">
        <f>60*F927</f>
        <v>600</v>
      </c>
      <c r="J927" s="9" t="s">
        <v>11</v>
      </c>
      <c r="K927" s="7" t="s">
        <v>9</v>
      </c>
      <c r="L927" s="7" t="s">
        <v>163</v>
      </c>
      <c r="M927" s="18">
        <v>60000</v>
      </c>
      <c r="N927" s="17"/>
    </row>
    <row r="928" spans="1:14" ht="30" customHeight="1" outlineLevel="1" x14ac:dyDescent="0.25">
      <c r="A928" s="6"/>
      <c r="B928" s="6" t="s">
        <v>425</v>
      </c>
      <c r="C928" s="7"/>
      <c r="D928" s="7"/>
      <c r="E928" s="8"/>
      <c r="F928" s="18"/>
      <c r="G928" s="18"/>
      <c r="H928" s="18">
        <f ca="1">SUBTOTAL(9,H917:H927)</f>
        <v>480456.8</v>
      </c>
      <c r="I928" s="7"/>
      <c r="J928" s="9"/>
      <c r="K928" s="7"/>
      <c r="L928" s="7"/>
      <c r="M928" s="18">
        <v>480456.8</v>
      </c>
      <c r="N928" s="17"/>
    </row>
    <row r="929" spans="1:14" ht="30" customHeight="1" outlineLevel="2" x14ac:dyDescent="0.25">
      <c r="A929" s="3">
        <v>1</v>
      </c>
      <c r="B929" s="3" t="str">
        <f>E929</f>
        <v xml:space="preserve">ВРУ('ВРУ1-47-00 (1 и 2 секция))   (Альбом 39)  </v>
      </c>
      <c r="C929" s="3"/>
      <c r="D929" s="14"/>
      <c r="E929" s="3" t="s">
        <v>254</v>
      </c>
      <c r="F929" s="13"/>
      <c r="G929" s="13"/>
      <c r="H929" s="13"/>
      <c r="I929" s="5">
        <v>1</v>
      </c>
      <c r="J929" s="4" t="s">
        <v>6</v>
      </c>
      <c r="K929" s="4" t="s">
        <v>23</v>
      </c>
      <c r="L929" s="4" t="s">
        <v>163</v>
      </c>
      <c r="M929" s="13"/>
      <c r="N929" s="17"/>
    </row>
    <row r="930" spans="1:14" ht="30" customHeight="1" outlineLevel="2" x14ac:dyDescent="0.25">
      <c r="A930" s="6">
        <v>2</v>
      </c>
      <c r="B930" s="6" t="str">
        <f t="shared" ref="B930:B939" si="357">B929</f>
        <v xml:space="preserve">ВРУ('ВРУ1-47-00 (1 и 2 секция))   (Альбом 39)  </v>
      </c>
      <c r="C930" s="7" t="s">
        <v>7</v>
      </c>
      <c r="D930" s="7" t="s">
        <v>262</v>
      </c>
      <c r="E930" s="8" t="s">
        <v>263</v>
      </c>
      <c r="F930" s="18">
        <v>165000</v>
      </c>
      <c r="G930" s="18">
        <f>0.6*F930</f>
        <v>99000</v>
      </c>
      <c r="H930" s="18">
        <f t="shared" ref="H930:H939" si="358">G930*I930</f>
        <v>99000</v>
      </c>
      <c r="I930" s="7">
        <v>1</v>
      </c>
      <c r="J930" s="9" t="s">
        <v>11</v>
      </c>
      <c r="K930" s="9" t="s">
        <v>24</v>
      </c>
      <c r="L930" s="9" t="s">
        <v>163</v>
      </c>
      <c r="M930" s="18">
        <v>99000</v>
      </c>
      <c r="N930" s="17"/>
    </row>
    <row r="931" spans="1:14" ht="30" customHeight="1" outlineLevel="2" x14ac:dyDescent="0.25">
      <c r="A931" s="6">
        <v>4</v>
      </c>
      <c r="B931" s="6" t="str">
        <f t="shared" si="357"/>
        <v xml:space="preserve">ВРУ('ВРУ1-47-00 (1 и 2 секция))   (Альбом 39)  </v>
      </c>
      <c r="C931" s="7" t="s">
        <v>122</v>
      </c>
      <c r="D931" s="7">
        <v>521348</v>
      </c>
      <c r="E931" s="8" t="s">
        <v>149</v>
      </c>
      <c r="F931" s="18">
        <v>1525</v>
      </c>
      <c r="G931" s="18">
        <f t="shared" ref="G931:G932" si="359">F931*0.6</f>
        <v>915</v>
      </c>
      <c r="H931" s="18">
        <f t="shared" si="358"/>
        <v>5490</v>
      </c>
      <c r="I931" s="7">
        <v>6</v>
      </c>
      <c r="J931" s="9" t="s">
        <v>11</v>
      </c>
      <c r="K931" s="9" t="s">
        <v>22</v>
      </c>
      <c r="L931" s="9" t="s">
        <v>163</v>
      </c>
      <c r="M931" s="18">
        <v>5490</v>
      </c>
      <c r="N931" s="17"/>
    </row>
    <row r="932" spans="1:14" ht="30" customHeight="1" outlineLevel="2" x14ac:dyDescent="0.25">
      <c r="A932" s="6">
        <v>5</v>
      </c>
      <c r="B932" s="6" t="str">
        <f t="shared" si="357"/>
        <v xml:space="preserve">ВРУ('ВРУ1-47-00 (1 и 2 секция))   (Альбом 39)  </v>
      </c>
      <c r="C932" s="7" t="s">
        <v>122</v>
      </c>
      <c r="D932" s="7">
        <v>521349</v>
      </c>
      <c r="E932" s="10" t="s">
        <v>148</v>
      </c>
      <c r="F932" s="18">
        <v>1545</v>
      </c>
      <c r="G932" s="18">
        <f t="shared" si="359"/>
        <v>927</v>
      </c>
      <c r="H932" s="18">
        <f t="shared" si="358"/>
        <v>2781</v>
      </c>
      <c r="I932" s="7">
        <v>3</v>
      </c>
      <c r="J932" s="9" t="s">
        <v>11</v>
      </c>
      <c r="K932" s="9" t="s">
        <v>22</v>
      </c>
      <c r="L932" s="9" t="s">
        <v>163</v>
      </c>
      <c r="M932" s="18">
        <v>2781</v>
      </c>
      <c r="N932" s="17"/>
    </row>
    <row r="933" spans="1:14" ht="30" customHeight="1" outlineLevel="2" x14ac:dyDescent="0.25">
      <c r="A933" s="6">
        <v>6</v>
      </c>
      <c r="B933" s="6" t="str">
        <f t="shared" si="357"/>
        <v xml:space="preserve">ВРУ('ВРУ1-47-00 (1 и 2 секция))   (Альбом 39)  </v>
      </c>
      <c r="C933" s="7" t="s">
        <v>122</v>
      </c>
      <c r="D933" s="7">
        <v>521341</v>
      </c>
      <c r="E933" s="8" t="s">
        <v>124</v>
      </c>
      <c r="F933" s="18">
        <v>1510</v>
      </c>
      <c r="G933" s="18">
        <f>0.6*F933</f>
        <v>906</v>
      </c>
      <c r="H933" s="18">
        <f t="shared" si="358"/>
        <v>2718</v>
      </c>
      <c r="I933" s="7">
        <v>3</v>
      </c>
      <c r="J933" s="9" t="s">
        <v>11</v>
      </c>
      <c r="K933" s="9" t="s">
        <v>22</v>
      </c>
      <c r="L933" s="9" t="s">
        <v>163</v>
      </c>
      <c r="M933" s="18">
        <v>2718</v>
      </c>
      <c r="N933" s="17"/>
    </row>
    <row r="934" spans="1:14" ht="30" customHeight="1" outlineLevel="2" x14ac:dyDescent="0.25">
      <c r="A934" s="6">
        <v>6</v>
      </c>
      <c r="B934" s="6" t="str">
        <f t="shared" si="357"/>
        <v xml:space="preserve">ВРУ('ВРУ1-47-00 (1 и 2 секция))   (Альбом 39)  </v>
      </c>
      <c r="C934" s="7" t="s">
        <v>122</v>
      </c>
      <c r="D934" s="7">
        <v>521340</v>
      </c>
      <c r="E934" s="8" t="s">
        <v>125</v>
      </c>
      <c r="F934" s="18">
        <v>1510</v>
      </c>
      <c r="G934" s="18">
        <f t="shared" ref="G934:G937" si="360">F934*0.6</f>
        <v>906</v>
      </c>
      <c r="H934" s="18">
        <f t="shared" si="358"/>
        <v>2718</v>
      </c>
      <c r="I934" s="7">
        <v>3</v>
      </c>
      <c r="J934" s="9" t="s">
        <v>11</v>
      </c>
      <c r="K934" s="9" t="s">
        <v>22</v>
      </c>
      <c r="L934" s="9" t="s">
        <v>163</v>
      </c>
      <c r="M934" s="18">
        <v>2718</v>
      </c>
      <c r="N934" s="17"/>
    </row>
    <row r="935" spans="1:14" ht="30" customHeight="1" outlineLevel="2" x14ac:dyDescent="0.25">
      <c r="A935" s="6">
        <v>5</v>
      </c>
      <c r="B935" s="6" t="str">
        <f t="shared" si="357"/>
        <v xml:space="preserve">ВРУ('ВРУ1-47-00 (1 и 2 секция))   (Альбом 39)  </v>
      </c>
      <c r="C935" s="7" t="s">
        <v>122</v>
      </c>
      <c r="D935" s="7">
        <v>521344</v>
      </c>
      <c r="E935" s="10" t="s">
        <v>123</v>
      </c>
      <c r="F935" s="18">
        <v>1525</v>
      </c>
      <c r="G935" s="18">
        <f t="shared" si="360"/>
        <v>915</v>
      </c>
      <c r="H935" s="18">
        <f t="shared" si="358"/>
        <v>2745</v>
      </c>
      <c r="I935" s="7">
        <v>3</v>
      </c>
      <c r="J935" s="9" t="s">
        <v>11</v>
      </c>
      <c r="K935" s="9" t="s">
        <v>22</v>
      </c>
      <c r="L935" s="9" t="s">
        <v>163</v>
      </c>
      <c r="M935" s="18">
        <v>2745</v>
      </c>
      <c r="N935" s="17"/>
    </row>
    <row r="936" spans="1:14" ht="30" customHeight="1" outlineLevel="2" x14ac:dyDescent="0.25">
      <c r="A936" s="6">
        <v>6</v>
      </c>
      <c r="B936" s="6" t="str">
        <f t="shared" si="357"/>
        <v xml:space="preserve">ВРУ('ВРУ1-47-00 (1 и 2 секция))   (Альбом 39)  </v>
      </c>
      <c r="C936" s="7" t="s">
        <v>122</v>
      </c>
      <c r="D936" s="7">
        <v>521341</v>
      </c>
      <c r="E936" s="8" t="s">
        <v>124</v>
      </c>
      <c r="F936" s="18">
        <v>1510</v>
      </c>
      <c r="G936" s="18">
        <f t="shared" si="360"/>
        <v>906</v>
      </c>
      <c r="H936" s="18">
        <f t="shared" si="358"/>
        <v>8154</v>
      </c>
      <c r="I936" s="7">
        <v>9</v>
      </c>
      <c r="J936" s="9" t="s">
        <v>11</v>
      </c>
      <c r="K936" s="9" t="s">
        <v>22</v>
      </c>
      <c r="L936" s="9" t="s">
        <v>163</v>
      </c>
      <c r="M936" s="18">
        <v>8154</v>
      </c>
      <c r="N936" s="17"/>
    </row>
    <row r="937" spans="1:14" ht="30" customHeight="1" outlineLevel="2" x14ac:dyDescent="0.25">
      <c r="A937" s="6">
        <v>6</v>
      </c>
      <c r="B937" s="6" t="str">
        <f t="shared" si="357"/>
        <v xml:space="preserve">ВРУ('ВРУ1-47-00 (1 и 2 секция))   (Альбом 39)  </v>
      </c>
      <c r="C937" s="7" t="s">
        <v>250</v>
      </c>
      <c r="D937" s="7" t="s">
        <v>258</v>
      </c>
      <c r="E937" s="10" t="s">
        <v>259</v>
      </c>
      <c r="F937" s="18">
        <v>2038</v>
      </c>
      <c r="G937" s="18">
        <f t="shared" si="360"/>
        <v>1222.8</v>
      </c>
      <c r="H937" s="18">
        <f t="shared" si="358"/>
        <v>36684</v>
      </c>
      <c r="I937" s="7">
        <v>30</v>
      </c>
      <c r="J937" s="9" t="s">
        <v>11</v>
      </c>
      <c r="K937" s="9" t="s">
        <v>22</v>
      </c>
      <c r="L937" s="9" t="s">
        <v>163</v>
      </c>
      <c r="M937" s="18">
        <v>36684</v>
      </c>
      <c r="N937" s="17"/>
    </row>
    <row r="938" spans="1:14" ht="30" customHeight="1" outlineLevel="2" x14ac:dyDescent="0.25">
      <c r="A938" s="6">
        <v>9</v>
      </c>
      <c r="B938" s="6" t="str">
        <f t="shared" si="357"/>
        <v xml:space="preserve">ВРУ('ВРУ1-47-00 (1 и 2 секция))   (Альбом 39)  </v>
      </c>
      <c r="C938" s="7" t="s">
        <v>8</v>
      </c>
      <c r="D938" s="7" t="s">
        <v>8</v>
      </c>
      <c r="E938" s="8" t="s">
        <v>8</v>
      </c>
      <c r="F938" s="18">
        <f ca="1">OFFSET(F938,1,2)</f>
        <v>48000</v>
      </c>
      <c r="G938" s="18">
        <f ca="1">F938</f>
        <v>48000</v>
      </c>
      <c r="H938" s="18">
        <f t="shared" ca="1" si="358"/>
        <v>48000</v>
      </c>
      <c r="I938" s="7">
        <v>1</v>
      </c>
      <c r="J938" s="9" t="s">
        <v>11</v>
      </c>
      <c r="K938" s="7" t="s">
        <v>8</v>
      </c>
      <c r="L938" s="7" t="s">
        <v>163</v>
      </c>
      <c r="M938" s="18">
        <v>48000</v>
      </c>
      <c r="N938" s="17"/>
    </row>
    <row r="939" spans="1:14" ht="30" customHeight="1" outlineLevel="2" x14ac:dyDescent="0.25">
      <c r="A939" s="6">
        <v>10</v>
      </c>
      <c r="B939" s="6" t="str">
        <f t="shared" si="357"/>
        <v xml:space="preserve">ВРУ('ВРУ1-47-00 (1 и 2 секция))   (Альбом 39)  </v>
      </c>
      <c r="C939" s="7" t="s">
        <v>9</v>
      </c>
      <c r="D939" s="7" t="s">
        <v>9</v>
      </c>
      <c r="E939" s="8" t="s">
        <v>9</v>
      </c>
      <c r="F939" s="18">
        <v>8</v>
      </c>
      <c r="G939" s="18">
        <v>100</v>
      </c>
      <c r="H939" s="18">
        <f t="shared" si="358"/>
        <v>48000</v>
      </c>
      <c r="I939" s="7">
        <f>60*F939</f>
        <v>480</v>
      </c>
      <c r="J939" s="9" t="s">
        <v>11</v>
      </c>
      <c r="K939" s="7" t="s">
        <v>9</v>
      </c>
      <c r="L939" s="7" t="s">
        <v>163</v>
      </c>
      <c r="M939" s="18">
        <v>48000</v>
      </c>
      <c r="N939" s="17"/>
    </row>
    <row r="940" spans="1:14" ht="30" customHeight="1" outlineLevel="1" x14ac:dyDescent="0.25">
      <c r="A940" s="6"/>
      <c r="B940" s="6" t="s">
        <v>426</v>
      </c>
      <c r="C940" s="7"/>
      <c r="D940" s="7"/>
      <c r="E940" s="8"/>
      <c r="F940" s="18"/>
      <c r="G940" s="18"/>
      <c r="H940" s="18">
        <f ca="1">SUBTOTAL(9,H929:H939)</f>
        <v>256290</v>
      </c>
      <c r="I940" s="7"/>
      <c r="J940" s="9"/>
      <c r="K940" s="7"/>
      <c r="L940" s="7"/>
      <c r="M940" s="18">
        <v>256290</v>
      </c>
      <c r="N940" s="17"/>
    </row>
    <row r="941" spans="1:14" ht="30" customHeight="1" outlineLevel="2" x14ac:dyDescent="0.25">
      <c r="A941" s="3">
        <v>13</v>
      </c>
      <c r="B941" s="3" t="str">
        <f>E941</f>
        <v xml:space="preserve">ЩО - 1 (Альбом 39) </v>
      </c>
      <c r="C941" s="3"/>
      <c r="D941" s="14"/>
      <c r="E941" s="3" t="s">
        <v>165</v>
      </c>
      <c r="F941" s="13"/>
      <c r="G941" s="13"/>
      <c r="H941" s="13"/>
      <c r="I941" s="5">
        <v>1</v>
      </c>
      <c r="J941" s="4" t="s">
        <v>6</v>
      </c>
      <c r="K941" s="4" t="s">
        <v>23</v>
      </c>
      <c r="L941" s="4" t="s">
        <v>163</v>
      </c>
      <c r="M941" s="13"/>
      <c r="N941" s="17"/>
    </row>
    <row r="942" spans="1:14" ht="30" customHeight="1" outlineLevel="2" x14ac:dyDescent="0.25">
      <c r="A942" s="6">
        <v>14</v>
      </c>
      <c r="B942" s="6" t="str">
        <f t="shared" ref="B942:B947" si="361">B941</f>
        <v xml:space="preserve">ЩО - 1 (Альбом 39) </v>
      </c>
      <c r="C942" s="7" t="s">
        <v>7</v>
      </c>
      <c r="D942" s="7" t="s">
        <v>270</v>
      </c>
      <c r="E942" s="8" t="s">
        <v>271</v>
      </c>
      <c r="F942" s="18">
        <v>16000</v>
      </c>
      <c r="G942" s="18">
        <f>0.6*F942</f>
        <v>9600</v>
      </c>
      <c r="H942" s="18">
        <f t="shared" ref="H942:H947" si="362">G942*I942</f>
        <v>9600</v>
      </c>
      <c r="I942" s="7">
        <v>1</v>
      </c>
      <c r="J942" s="9" t="s">
        <v>11</v>
      </c>
      <c r="K942" s="9" t="s">
        <v>24</v>
      </c>
      <c r="L942" s="9" t="s">
        <v>163</v>
      </c>
      <c r="M942" s="18">
        <v>9600</v>
      </c>
      <c r="N942" s="17"/>
    </row>
    <row r="943" spans="1:14" ht="30" customHeight="1" outlineLevel="2" x14ac:dyDescent="0.25">
      <c r="A943" s="6">
        <v>15</v>
      </c>
      <c r="B943" s="6" t="str">
        <f t="shared" si="361"/>
        <v xml:space="preserve">ЩО - 1 (Альбом 39) </v>
      </c>
      <c r="C943" s="7" t="s">
        <v>10</v>
      </c>
      <c r="D943" s="7">
        <v>296829</v>
      </c>
      <c r="E943" s="8" t="s">
        <v>44</v>
      </c>
      <c r="F943" s="18">
        <v>2429</v>
      </c>
      <c r="G943" s="18">
        <f t="shared" ref="G943:G945" si="363">F943*0.6</f>
        <v>1457.3999999999999</v>
      </c>
      <c r="H943" s="18">
        <f t="shared" si="362"/>
        <v>1457.3999999999999</v>
      </c>
      <c r="I943" s="7">
        <v>1</v>
      </c>
      <c r="J943" s="9" t="s">
        <v>11</v>
      </c>
      <c r="K943" s="9" t="s">
        <v>22</v>
      </c>
      <c r="L943" s="9" t="s">
        <v>163</v>
      </c>
      <c r="M943" s="18">
        <v>1457.3999999999999</v>
      </c>
      <c r="N943" s="17"/>
    </row>
    <row r="944" spans="1:14" ht="30" customHeight="1" outlineLevel="2" x14ac:dyDescent="0.25">
      <c r="A944" s="6">
        <v>15</v>
      </c>
      <c r="B944" s="6" t="str">
        <f t="shared" si="361"/>
        <v xml:space="preserve">ЩО - 1 (Альбом 39) </v>
      </c>
      <c r="C944" s="7" t="s">
        <v>10</v>
      </c>
      <c r="D944" s="7">
        <v>296710</v>
      </c>
      <c r="E944" s="8" t="s">
        <v>41</v>
      </c>
      <c r="F944" s="18">
        <v>783</v>
      </c>
      <c r="G944" s="18">
        <f t="shared" si="363"/>
        <v>469.79999999999995</v>
      </c>
      <c r="H944" s="18">
        <f t="shared" si="362"/>
        <v>3758.3999999999996</v>
      </c>
      <c r="I944" s="7">
        <v>8</v>
      </c>
      <c r="J944" s="9" t="s">
        <v>11</v>
      </c>
      <c r="K944" s="9" t="s">
        <v>22</v>
      </c>
      <c r="L944" s="9" t="s">
        <v>163</v>
      </c>
      <c r="M944" s="18">
        <v>3758.3999999999996</v>
      </c>
      <c r="N944" s="17"/>
    </row>
    <row r="945" spans="1:14" ht="30" customHeight="1" outlineLevel="2" x14ac:dyDescent="0.25">
      <c r="A945" s="6">
        <v>15</v>
      </c>
      <c r="B945" s="6" t="str">
        <f t="shared" si="361"/>
        <v xml:space="preserve">ЩО - 1 (Альбом 39) </v>
      </c>
      <c r="C945" s="7" t="s">
        <v>12</v>
      </c>
      <c r="D945" s="7">
        <v>105542</v>
      </c>
      <c r="E945" s="8" t="s">
        <v>43</v>
      </c>
      <c r="F945" s="18">
        <v>5093</v>
      </c>
      <c r="G945" s="18">
        <f t="shared" si="363"/>
        <v>3055.7999999999997</v>
      </c>
      <c r="H945" s="18">
        <f t="shared" si="362"/>
        <v>6111.5999999999995</v>
      </c>
      <c r="I945" s="7">
        <v>2</v>
      </c>
      <c r="J945" s="9" t="s">
        <v>11</v>
      </c>
      <c r="K945" s="9" t="s">
        <v>22</v>
      </c>
      <c r="L945" s="9" t="s">
        <v>163</v>
      </c>
      <c r="M945" s="18">
        <v>6111.5999999999995</v>
      </c>
      <c r="N945" s="17"/>
    </row>
    <row r="946" spans="1:14" ht="28.5" customHeight="1" outlineLevel="2" x14ac:dyDescent="0.25">
      <c r="A946" s="6">
        <v>19</v>
      </c>
      <c r="B946" s="6" t="str">
        <f t="shared" si="361"/>
        <v xml:space="preserve">ЩО - 1 (Альбом 39) </v>
      </c>
      <c r="C946" s="7" t="s">
        <v>8</v>
      </c>
      <c r="D946" s="7" t="s">
        <v>8</v>
      </c>
      <c r="E946" s="8" t="s">
        <v>8</v>
      </c>
      <c r="F946" s="18">
        <f ca="1">OFFSET(F946,1,2)</f>
        <v>9000</v>
      </c>
      <c r="G946" s="18">
        <f ca="1">F946</f>
        <v>9000</v>
      </c>
      <c r="H946" s="18">
        <f t="shared" ca="1" si="362"/>
        <v>9000</v>
      </c>
      <c r="I946" s="7">
        <v>1</v>
      </c>
      <c r="J946" s="9" t="s">
        <v>11</v>
      </c>
      <c r="K946" s="7" t="s">
        <v>8</v>
      </c>
      <c r="L946" s="7" t="s">
        <v>163</v>
      </c>
      <c r="M946" s="18">
        <v>9000</v>
      </c>
      <c r="N946" s="17"/>
    </row>
    <row r="947" spans="1:14" ht="30" customHeight="1" outlineLevel="2" x14ac:dyDescent="0.25">
      <c r="A947" s="6">
        <v>20</v>
      </c>
      <c r="B947" s="6" t="str">
        <f t="shared" si="361"/>
        <v xml:space="preserve">ЩО - 1 (Альбом 39) </v>
      </c>
      <c r="C947" s="7" t="s">
        <v>9</v>
      </c>
      <c r="D947" s="7" t="s">
        <v>9</v>
      </c>
      <c r="E947" s="8" t="s">
        <v>9</v>
      </c>
      <c r="F947" s="18">
        <v>1.5</v>
      </c>
      <c r="G947" s="18">
        <v>100</v>
      </c>
      <c r="H947" s="18">
        <f t="shared" si="362"/>
        <v>9000</v>
      </c>
      <c r="I947" s="7">
        <f>60*F947</f>
        <v>90</v>
      </c>
      <c r="J947" s="9" t="s">
        <v>11</v>
      </c>
      <c r="K947" s="7" t="s">
        <v>9</v>
      </c>
      <c r="L947" s="7" t="s">
        <v>163</v>
      </c>
      <c r="M947" s="18">
        <v>9000</v>
      </c>
      <c r="N947" s="17"/>
    </row>
    <row r="948" spans="1:14" ht="30" customHeight="1" outlineLevel="1" x14ac:dyDescent="0.25">
      <c r="A948" s="6"/>
      <c r="B948" s="6" t="s">
        <v>427</v>
      </c>
      <c r="C948" s="7"/>
      <c r="D948" s="7"/>
      <c r="E948" s="8"/>
      <c r="F948" s="18"/>
      <c r="G948" s="18"/>
      <c r="H948" s="18">
        <f ca="1">SUBTOTAL(9,H941:H947)</f>
        <v>38927.399999999994</v>
      </c>
      <c r="I948" s="7"/>
      <c r="J948" s="9"/>
      <c r="K948" s="7"/>
      <c r="L948" s="7"/>
      <c r="M948" s="18">
        <v>38927.399999999994</v>
      </c>
      <c r="N948" s="17"/>
    </row>
    <row r="949" spans="1:14" ht="30" customHeight="1" outlineLevel="2" x14ac:dyDescent="0.25">
      <c r="A949" s="3">
        <v>13</v>
      </c>
      <c r="B949" s="3" t="str">
        <f>E949</f>
        <v xml:space="preserve">ЩАО - 1 (Альбом 39) </v>
      </c>
      <c r="C949" s="3"/>
      <c r="D949" s="14"/>
      <c r="E949" s="3" t="s">
        <v>166</v>
      </c>
      <c r="F949" s="13"/>
      <c r="G949" s="13"/>
      <c r="H949" s="13"/>
      <c r="I949" s="5">
        <v>1</v>
      </c>
      <c r="J949" s="4" t="s">
        <v>6</v>
      </c>
      <c r="K949" s="4" t="s">
        <v>23</v>
      </c>
      <c r="L949" s="4" t="s">
        <v>163</v>
      </c>
      <c r="M949" s="13"/>
      <c r="N949" s="17"/>
    </row>
    <row r="950" spans="1:14" ht="30" customHeight="1" outlineLevel="2" x14ac:dyDescent="0.25">
      <c r="A950" s="6">
        <v>14</v>
      </c>
      <c r="B950" s="6" t="str">
        <f t="shared" ref="B950:B954" si="364">B949</f>
        <v xml:space="preserve">ЩАО - 1 (Альбом 39) </v>
      </c>
      <c r="C950" s="7" t="s">
        <v>7</v>
      </c>
      <c r="D950" s="7" t="s">
        <v>268</v>
      </c>
      <c r="E950" s="8" t="s">
        <v>269</v>
      </c>
      <c r="F950" s="18">
        <v>10500</v>
      </c>
      <c r="G950" s="18">
        <f>0.6*F950</f>
        <v>6300</v>
      </c>
      <c r="H950" s="18">
        <f t="shared" ref="H950:H954" si="365">G950*I950</f>
        <v>6300</v>
      </c>
      <c r="I950" s="7">
        <v>1</v>
      </c>
      <c r="J950" s="9" t="s">
        <v>11</v>
      </c>
      <c r="K950" s="9" t="s">
        <v>24</v>
      </c>
      <c r="L950" s="9" t="s">
        <v>163</v>
      </c>
      <c r="M950" s="18">
        <v>6300</v>
      </c>
      <c r="N950" s="17"/>
    </row>
    <row r="951" spans="1:14" ht="30" customHeight="1" outlineLevel="2" x14ac:dyDescent="0.25">
      <c r="A951" s="6">
        <v>15</v>
      </c>
      <c r="B951" s="6" t="str">
        <f t="shared" si="364"/>
        <v xml:space="preserve">ЩАО - 1 (Альбом 39) </v>
      </c>
      <c r="C951" s="7" t="s">
        <v>10</v>
      </c>
      <c r="D951" s="7">
        <v>296829</v>
      </c>
      <c r="E951" s="8" t="s">
        <v>44</v>
      </c>
      <c r="F951" s="18">
        <v>2429</v>
      </c>
      <c r="G951" s="18">
        <f t="shared" ref="G951:G952" si="366">F951*0.6</f>
        <v>1457.3999999999999</v>
      </c>
      <c r="H951" s="18">
        <f t="shared" si="365"/>
        <v>1457.3999999999999</v>
      </c>
      <c r="I951" s="7">
        <v>1</v>
      </c>
      <c r="J951" s="9" t="s">
        <v>11</v>
      </c>
      <c r="K951" s="9" t="s">
        <v>22</v>
      </c>
      <c r="L951" s="9" t="s">
        <v>163</v>
      </c>
      <c r="M951" s="18">
        <v>1457.3999999999999</v>
      </c>
      <c r="N951" s="17"/>
    </row>
    <row r="952" spans="1:14" ht="30" customHeight="1" outlineLevel="2" x14ac:dyDescent="0.25">
      <c r="A952" s="6">
        <v>15</v>
      </c>
      <c r="B952" s="6" t="str">
        <f t="shared" si="364"/>
        <v xml:space="preserve">ЩАО - 1 (Альбом 39) </v>
      </c>
      <c r="C952" s="7" t="s">
        <v>10</v>
      </c>
      <c r="D952" s="7">
        <v>296710</v>
      </c>
      <c r="E952" s="8" t="s">
        <v>41</v>
      </c>
      <c r="F952" s="18">
        <v>783</v>
      </c>
      <c r="G952" s="18">
        <f t="shared" si="366"/>
        <v>469.79999999999995</v>
      </c>
      <c r="H952" s="18">
        <f t="shared" si="365"/>
        <v>1879.1999999999998</v>
      </c>
      <c r="I952" s="7">
        <v>4</v>
      </c>
      <c r="J952" s="9" t="s">
        <v>11</v>
      </c>
      <c r="K952" s="9" t="s">
        <v>22</v>
      </c>
      <c r="L952" s="9" t="s">
        <v>163</v>
      </c>
      <c r="M952" s="18">
        <v>1879.1999999999998</v>
      </c>
      <c r="N952" s="17"/>
    </row>
    <row r="953" spans="1:14" ht="28.5" customHeight="1" outlineLevel="2" x14ac:dyDescent="0.25">
      <c r="A953" s="6">
        <v>19</v>
      </c>
      <c r="B953" s="6" t="str">
        <f t="shared" si="364"/>
        <v xml:space="preserve">ЩАО - 1 (Альбом 39) </v>
      </c>
      <c r="C953" s="7" t="s">
        <v>8</v>
      </c>
      <c r="D953" s="7" t="s">
        <v>8</v>
      </c>
      <c r="E953" s="8" t="s">
        <v>8</v>
      </c>
      <c r="F953" s="18">
        <f ca="1">OFFSET(F953,1,2)</f>
        <v>6000</v>
      </c>
      <c r="G953" s="18">
        <f ca="1">F953</f>
        <v>6000</v>
      </c>
      <c r="H953" s="18">
        <f t="shared" ca="1" si="365"/>
        <v>6000</v>
      </c>
      <c r="I953" s="7">
        <v>1</v>
      </c>
      <c r="J953" s="9" t="s">
        <v>11</v>
      </c>
      <c r="K953" s="7" t="s">
        <v>8</v>
      </c>
      <c r="L953" s="7" t="s">
        <v>163</v>
      </c>
      <c r="M953" s="18">
        <v>6000</v>
      </c>
      <c r="N953" s="17"/>
    </row>
    <row r="954" spans="1:14" ht="30" customHeight="1" outlineLevel="2" x14ac:dyDescent="0.25">
      <c r="A954" s="6">
        <v>20</v>
      </c>
      <c r="B954" s="6" t="str">
        <f t="shared" si="364"/>
        <v xml:space="preserve">ЩАО - 1 (Альбом 39) </v>
      </c>
      <c r="C954" s="7" t="s">
        <v>9</v>
      </c>
      <c r="D954" s="7" t="s">
        <v>9</v>
      </c>
      <c r="E954" s="8" t="s">
        <v>9</v>
      </c>
      <c r="F954" s="18">
        <v>1</v>
      </c>
      <c r="G954" s="18">
        <v>100</v>
      </c>
      <c r="H954" s="18">
        <f t="shared" si="365"/>
        <v>6000</v>
      </c>
      <c r="I954" s="7">
        <f>60*F954</f>
        <v>60</v>
      </c>
      <c r="J954" s="9" t="s">
        <v>11</v>
      </c>
      <c r="K954" s="7" t="s">
        <v>9</v>
      </c>
      <c r="L954" s="7" t="s">
        <v>163</v>
      </c>
      <c r="M954" s="18">
        <v>6000</v>
      </c>
      <c r="N954" s="17"/>
    </row>
    <row r="955" spans="1:14" ht="30" customHeight="1" outlineLevel="1" x14ac:dyDescent="0.25">
      <c r="A955" s="6"/>
      <c r="B955" s="6" t="s">
        <v>428</v>
      </c>
      <c r="C955" s="7"/>
      <c r="D955" s="7"/>
      <c r="E955" s="8"/>
      <c r="F955" s="18"/>
      <c r="G955" s="18"/>
      <c r="H955" s="18">
        <f ca="1">SUBTOTAL(9,H949:H954)</f>
        <v>21636.6</v>
      </c>
      <c r="I955" s="7"/>
      <c r="J955" s="9"/>
      <c r="K955" s="7"/>
      <c r="L955" s="7"/>
      <c r="M955" s="18">
        <v>21636.6</v>
      </c>
      <c r="N955" s="17"/>
    </row>
    <row r="956" spans="1:14" ht="30" customHeight="1" outlineLevel="2" x14ac:dyDescent="0.25">
      <c r="A956" s="3">
        <v>13</v>
      </c>
      <c r="B956" s="3" t="str">
        <f>E956</f>
        <v xml:space="preserve">ЩС - 1 (Альбом 39) </v>
      </c>
      <c r="C956" s="3"/>
      <c r="D956" s="14"/>
      <c r="E956" s="3" t="s">
        <v>167</v>
      </c>
      <c r="F956" s="13"/>
      <c r="G956" s="13"/>
      <c r="H956" s="13"/>
      <c r="I956" s="5">
        <v>1</v>
      </c>
      <c r="J956" s="4" t="s">
        <v>6</v>
      </c>
      <c r="K956" s="4" t="s">
        <v>23</v>
      </c>
      <c r="L956" s="4" t="s">
        <v>163</v>
      </c>
      <c r="M956" s="13"/>
      <c r="N956" s="17"/>
    </row>
    <row r="957" spans="1:14" ht="30" customHeight="1" outlineLevel="2" x14ac:dyDescent="0.25">
      <c r="A957" s="6">
        <v>14</v>
      </c>
      <c r="B957" s="6" t="str">
        <f t="shared" ref="B957:B961" si="367">B956</f>
        <v xml:space="preserve">ЩС - 1 (Альбом 39) </v>
      </c>
      <c r="C957" s="7" t="s">
        <v>7</v>
      </c>
      <c r="D957" s="7" t="s">
        <v>268</v>
      </c>
      <c r="E957" s="8" t="s">
        <v>269</v>
      </c>
      <c r="F957" s="18">
        <v>10500</v>
      </c>
      <c r="G957" s="18">
        <f>0.6*F957</f>
        <v>6300</v>
      </c>
      <c r="H957" s="18">
        <f t="shared" ref="H957:H961" si="368">G957*I957</f>
        <v>6300</v>
      </c>
      <c r="I957" s="7">
        <v>1</v>
      </c>
      <c r="J957" s="9" t="s">
        <v>11</v>
      </c>
      <c r="K957" s="9" t="s">
        <v>24</v>
      </c>
      <c r="L957" s="9" t="s">
        <v>163</v>
      </c>
      <c r="M957" s="18">
        <v>6300</v>
      </c>
      <c r="N957" s="17"/>
    </row>
    <row r="958" spans="1:14" ht="30" customHeight="1" outlineLevel="2" x14ac:dyDescent="0.25">
      <c r="A958" s="6">
        <v>15</v>
      </c>
      <c r="B958" s="6" t="str">
        <f t="shared" si="367"/>
        <v xml:space="preserve">ЩС - 1 (Альбом 39) </v>
      </c>
      <c r="C958" s="7" t="s">
        <v>10</v>
      </c>
      <c r="D958" s="7">
        <v>296833</v>
      </c>
      <c r="E958" s="8" t="s">
        <v>54</v>
      </c>
      <c r="F958" s="18">
        <v>3641</v>
      </c>
      <c r="G958" s="18">
        <f t="shared" ref="G958:G959" si="369">F958*0.6</f>
        <v>2184.6</v>
      </c>
      <c r="H958" s="18">
        <f t="shared" si="368"/>
        <v>2184.6</v>
      </c>
      <c r="I958" s="7">
        <v>1</v>
      </c>
      <c r="J958" s="9" t="s">
        <v>11</v>
      </c>
      <c r="K958" s="9" t="s">
        <v>22</v>
      </c>
      <c r="L958" s="9" t="s">
        <v>163</v>
      </c>
      <c r="M958" s="18">
        <v>2184.6</v>
      </c>
      <c r="N958" s="17"/>
    </row>
    <row r="959" spans="1:14" ht="30" customHeight="1" outlineLevel="2" x14ac:dyDescent="0.25">
      <c r="A959" s="6">
        <v>15</v>
      </c>
      <c r="B959" s="6" t="str">
        <f t="shared" si="367"/>
        <v xml:space="preserve">ЩС - 1 (Альбом 39) </v>
      </c>
      <c r="C959" s="7" t="s">
        <v>10</v>
      </c>
      <c r="D959" s="7">
        <v>296831</v>
      </c>
      <c r="E959" s="8" t="s">
        <v>58</v>
      </c>
      <c r="F959" s="18">
        <v>2807</v>
      </c>
      <c r="G959" s="18">
        <f t="shared" si="369"/>
        <v>1684.2</v>
      </c>
      <c r="H959" s="18">
        <f t="shared" si="368"/>
        <v>3368.4</v>
      </c>
      <c r="I959" s="7">
        <v>2</v>
      </c>
      <c r="J959" s="9" t="s">
        <v>11</v>
      </c>
      <c r="K959" s="9" t="s">
        <v>22</v>
      </c>
      <c r="L959" s="9" t="s">
        <v>163</v>
      </c>
      <c r="M959" s="18">
        <v>3368.4</v>
      </c>
      <c r="N959" s="17"/>
    </row>
    <row r="960" spans="1:14" ht="28.5" customHeight="1" outlineLevel="2" x14ac:dyDescent="0.25">
      <c r="A960" s="6">
        <v>19</v>
      </c>
      <c r="B960" s="6" t="str">
        <f t="shared" si="367"/>
        <v xml:space="preserve">ЩС - 1 (Альбом 39) </v>
      </c>
      <c r="C960" s="7" t="s">
        <v>8</v>
      </c>
      <c r="D960" s="7" t="s">
        <v>8</v>
      </c>
      <c r="E960" s="8" t="s">
        <v>8</v>
      </c>
      <c r="F960" s="18">
        <f ca="1">OFFSET(F960,1,2)</f>
        <v>6000</v>
      </c>
      <c r="G960" s="18">
        <f ca="1">F960</f>
        <v>6000</v>
      </c>
      <c r="H960" s="18">
        <f t="shared" ca="1" si="368"/>
        <v>6000</v>
      </c>
      <c r="I960" s="7">
        <v>1</v>
      </c>
      <c r="J960" s="9" t="s">
        <v>11</v>
      </c>
      <c r="K960" s="7" t="s">
        <v>8</v>
      </c>
      <c r="L960" s="7" t="s">
        <v>163</v>
      </c>
      <c r="M960" s="18">
        <v>6000</v>
      </c>
      <c r="N960" s="17"/>
    </row>
    <row r="961" spans="1:14" ht="30" customHeight="1" outlineLevel="2" x14ac:dyDescent="0.25">
      <c r="A961" s="6">
        <v>20</v>
      </c>
      <c r="B961" s="6" t="str">
        <f t="shared" si="367"/>
        <v xml:space="preserve">ЩС - 1 (Альбом 39) </v>
      </c>
      <c r="C961" s="7" t="s">
        <v>9</v>
      </c>
      <c r="D961" s="7" t="s">
        <v>9</v>
      </c>
      <c r="E961" s="8" t="s">
        <v>9</v>
      </c>
      <c r="F961" s="18">
        <v>1</v>
      </c>
      <c r="G961" s="18">
        <v>100</v>
      </c>
      <c r="H961" s="18">
        <f t="shared" si="368"/>
        <v>6000</v>
      </c>
      <c r="I961" s="7">
        <f>60*F961</f>
        <v>60</v>
      </c>
      <c r="J961" s="9" t="s">
        <v>11</v>
      </c>
      <c r="K961" s="7" t="s">
        <v>9</v>
      </c>
      <c r="L961" s="7" t="s">
        <v>163</v>
      </c>
      <c r="M961" s="18">
        <v>6000</v>
      </c>
      <c r="N961" s="17"/>
    </row>
    <row r="962" spans="1:14" ht="30" customHeight="1" outlineLevel="1" x14ac:dyDescent="0.25">
      <c r="A962" s="6"/>
      <c r="B962" s="6" t="s">
        <v>429</v>
      </c>
      <c r="C962" s="7"/>
      <c r="D962" s="7"/>
      <c r="E962" s="8"/>
      <c r="F962" s="18"/>
      <c r="G962" s="18"/>
      <c r="H962" s="18">
        <f ca="1">SUBTOTAL(9,H956:H961)</f>
        <v>23853</v>
      </c>
      <c r="I962" s="7"/>
      <c r="J962" s="9"/>
      <c r="K962" s="7"/>
      <c r="L962" s="7"/>
      <c r="M962" s="18">
        <v>23853</v>
      </c>
      <c r="N962" s="17"/>
    </row>
    <row r="963" spans="1:14" ht="30" customHeight="1" outlineLevel="2" x14ac:dyDescent="0.25">
      <c r="A963" s="3">
        <v>13</v>
      </c>
      <c r="B963" s="3" t="str">
        <f>E963</f>
        <v xml:space="preserve">ЩС - 2 (Альбом 39) </v>
      </c>
      <c r="C963" s="3"/>
      <c r="D963" s="14"/>
      <c r="E963" s="3" t="s">
        <v>168</v>
      </c>
      <c r="F963" s="13"/>
      <c r="G963" s="13"/>
      <c r="H963" s="13"/>
      <c r="I963" s="5">
        <v>1</v>
      </c>
      <c r="J963" s="4" t="s">
        <v>6</v>
      </c>
      <c r="K963" s="4" t="s">
        <v>23</v>
      </c>
      <c r="L963" s="4" t="s">
        <v>163</v>
      </c>
      <c r="M963" s="13"/>
      <c r="N963" s="17"/>
    </row>
    <row r="964" spans="1:14" ht="30" customHeight="1" outlineLevel="2" x14ac:dyDescent="0.25">
      <c r="A964" s="6">
        <v>14</v>
      </c>
      <c r="B964" s="6" t="str">
        <f t="shared" ref="B964:B970" si="370">B963</f>
        <v xml:space="preserve">ЩС - 2 (Альбом 39) </v>
      </c>
      <c r="C964" s="7" t="s">
        <v>7</v>
      </c>
      <c r="D964" s="7" t="s">
        <v>270</v>
      </c>
      <c r="E964" s="8" t="s">
        <v>271</v>
      </c>
      <c r="F964" s="18">
        <v>16000</v>
      </c>
      <c r="G964" s="18">
        <f>0.6*F964</f>
        <v>9600</v>
      </c>
      <c r="H964" s="18">
        <f t="shared" ref="H964:H970" si="371">G964*I964</f>
        <v>9600</v>
      </c>
      <c r="I964" s="7">
        <v>1</v>
      </c>
      <c r="J964" s="9" t="s">
        <v>11</v>
      </c>
      <c r="K964" s="9" t="s">
        <v>24</v>
      </c>
      <c r="L964" s="9" t="s">
        <v>163</v>
      </c>
      <c r="M964" s="18">
        <v>9600</v>
      </c>
      <c r="N964" s="17"/>
    </row>
    <row r="965" spans="1:14" ht="30" customHeight="1" outlineLevel="2" x14ac:dyDescent="0.25">
      <c r="A965" s="6">
        <v>15</v>
      </c>
      <c r="B965" s="6" t="str">
        <f t="shared" si="370"/>
        <v xml:space="preserve">ЩС - 2 (Альбом 39) </v>
      </c>
      <c r="C965" s="7" t="s">
        <v>10</v>
      </c>
      <c r="D965" s="7">
        <v>296833</v>
      </c>
      <c r="E965" s="8" t="s">
        <v>54</v>
      </c>
      <c r="F965" s="18">
        <v>3641</v>
      </c>
      <c r="G965" s="18">
        <f t="shared" ref="G965:G968" si="372">F965*0.6</f>
        <v>2184.6</v>
      </c>
      <c r="H965" s="18">
        <f t="shared" si="371"/>
        <v>2184.6</v>
      </c>
      <c r="I965" s="7">
        <v>1</v>
      </c>
      <c r="J965" s="9" t="s">
        <v>11</v>
      </c>
      <c r="K965" s="9" t="s">
        <v>22</v>
      </c>
      <c r="L965" s="9" t="s">
        <v>163</v>
      </c>
      <c r="M965" s="18">
        <v>2184.6</v>
      </c>
      <c r="N965" s="17"/>
    </row>
    <row r="966" spans="1:14" ht="30" customHeight="1" outlineLevel="2" x14ac:dyDescent="0.25">
      <c r="A966" s="6">
        <v>15</v>
      </c>
      <c r="B966" s="6" t="str">
        <f t="shared" si="370"/>
        <v xml:space="preserve">ЩС - 2 (Альбом 39) </v>
      </c>
      <c r="C966" s="7" t="s">
        <v>10</v>
      </c>
      <c r="D966" s="7">
        <v>296832</v>
      </c>
      <c r="E966" s="8" t="s">
        <v>56</v>
      </c>
      <c r="F966" s="18">
        <v>3172</v>
      </c>
      <c r="G966" s="18">
        <f t="shared" si="372"/>
        <v>1903.1999999999998</v>
      </c>
      <c r="H966" s="18">
        <f t="shared" si="371"/>
        <v>1903.1999999999998</v>
      </c>
      <c r="I966" s="7">
        <v>1</v>
      </c>
      <c r="J966" s="9" t="s">
        <v>11</v>
      </c>
      <c r="K966" s="9" t="s">
        <v>22</v>
      </c>
      <c r="L966" s="9" t="s">
        <v>163</v>
      </c>
      <c r="M966" s="18">
        <v>1903.1999999999998</v>
      </c>
      <c r="N966" s="17"/>
    </row>
    <row r="967" spans="1:14" ht="30" customHeight="1" outlineLevel="2" x14ac:dyDescent="0.25">
      <c r="A967" s="6">
        <v>15</v>
      </c>
      <c r="B967" s="6" t="str">
        <f t="shared" si="370"/>
        <v xml:space="preserve">ЩС - 2 (Альбом 39) </v>
      </c>
      <c r="C967" s="7" t="s">
        <v>10</v>
      </c>
      <c r="D967" s="7">
        <v>296829</v>
      </c>
      <c r="E967" s="8" t="s">
        <v>44</v>
      </c>
      <c r="F967" s="18">
        <v>2429</v>
      </c>
      <c r="G967" s="18">
        <f t="shared" si="372"/>
        <v>1457.3999999999999</v>
      </c>
      <c r="H967" s="18">
        <f t="shared" si="371"/>
        <v>1457.3999999999999</v>
      </c>
      <c r="I967" s="7">
        <v>1</v>
      </c>
      <c r="J967" s="9" t="s">
        <v>11</v>
      </c>
      <c r="K967" s="9" t="s">
        <v>22</v>
      </c>
      <c r="L967" s="9" t="s">
        <v>163</v>
      </c>
      <c r="M967" s="18">
        <v>1457.3999999999999</v>
      </c>
      <c r="N967" s="17"/>
    </row>
    <row r="968" spans="1:14" ht="30" customHeight="1" outlineLevel="2" x14ac:dyDescent="0.25">
      <c r="A968" s="6">
        <v>15</v>
      </c>
      <c r="B968" s="6" t="str">
        <f t="shared" si="370"/>
        <v xml:space="preserve">ЩС - 2 (Альбом 39) </v>
      </c>
      <c r="C968" s="7" t="s">
        <v>10</v>
      </c>
      <c r="D968" s="7">
        <v>296827</v>
      </c>
      <c r="E968" s="8" t="s">
        <v>169</v>
      </c>
      <c r="F968" s="18">
        <v>2337</v>
      </c>
      <c r="G968" s="18">
        <f t="shared" si="372"/>
        <v>1402.2</v>
      </c>
      <c r="H968" s="18">
        <f t="shared" si="371"/>
        <v>2804.4</v>
      </c>
      <c r="I968" s="7">
        <v>2</v>
      </c>
      <c r="J968" s="9" t="s">
        <v>11</v>
      </c>
      <c r="K968" s="9" t="s">
        <v>22</v>
      </c>
      <c r="L968" s="9" t="s">
        <v>163</v>
      </c>
      <c r="M968" s="18">
        <v>2804.4</v>
      </c>
      <c r="N968" s="17"/>
    </row>
    <row r="969" spans="1:14" ht="28.5" customHeight="1" outlineLevel="2" x14ac:dyDescent="0.25">
      <c r="A969" s="6">
        <v>19</v>
      </c>
      <c r="B969" s="6" t="str">
        <f t="shared" si="370"/>
        <v xml:space="preserve">ЩС - 2 (Альбом 39) </v>
      </c>
      <c r="C969" s="7" t="s">
        <v>8</v>
      </c>
      <c r="D969" s="7" t="s">
        <v>8</v>
      </c>
      <c r="E969" s="8" t="s">
        <v>8</v>
      </c>
      <c r="F969" s="18">
        <f ca="1">OFFSET(F969,1,2)</f>
        <v>9000</v>
      </c>
      <c r="G969" s="18">
        <f ca="1">F969</f>
        <v>9000</v>
      </c>
      <c r="H969" s="18">
        <f t="shared" ca="1" si="371"/>
        <v>9000</v>
      </c>
      <c r="I969" s="7">
        <v>1</v>
      </c>
      <c r="J969" s="9" t="s">
        <v>11</v>
      </c>
      <c r="K969" s="7" t="s">
        <v>8</v>
      </c>
      <c r="L969" s="7" t="s">
        <v>163</v>
      </c>
      <c r="M969" s="18">
        <v>9000</v>
      </c>
      <c r="N969" s="17"/>
    </row>
    <row r="970" spans="1:14" ht="30" customHeight="1" outlineLevel="2" x14ac:dyDescent="0.25">
      <c r="A970" s="6">
        <v>20</v>
      </c>
      <c r="B970" s="6" t="str">
        <f t="shared" si="370"/>
        <v xml:space="preserve">ЩС - 2 (Альбом 39) </v>
      </c>
      <c r="C970" s="7" t="s">
        <v>9</v>
      </c>
      <c r="D970" s="7" t="s">
        <v>9</v>
      </c>
      <c r="E970" s="8" t="s">
        <v>9</v>
      </c>
      <c r="F970" s="18">
        <v>1.5</v>
      </c>
      <c r="G970" s="18">
        <v>100</v>
      </c>
      <c r="H970" s="18">
        <f t="shared" si="371"/>
        <v>9000</v>
      </c>
      <c r="I970" s="7">
        <f>60*F970</f>
        <v>90</v>
      </c>
      <c r="J970" s="9" t="s">
        <v>11</v>
      </c>
      <c r="K970" s="7" t="s">
        <v>9</v>
      </c>
      <c r="L970" s="7" t="s">
        <v>163</v>
      </c>
      <c r="M970" s="18">
        <v>9000</v>
      </c>
      <c r="N970" s="17"/>
    </row>
    <row r="971" spans="1:14" ht="30" customHeight="1" outlineLevel="1" x14ac:dyDescent="0.25">
      <c r="A971" s="6"/>
      <c r="B971" s="6" t="s">
        <v>430</v>
      </c>
      <c r="C971" s="7"/>
      <c r="D971" s="7"/>
      <c r="E971" s="8"/>
      <c r="F971" s="18"/>
      <c r="G971" s="18"/>
      <c r="H971" s="18">
        <f ca="1">SUBTOTAL(9,H963:H970)</f>
        <v>35949.599999999999</v>
      </c>
      <c r="I971" s="7"/>
      <c r="J971" s="9"/>
      <c r="K971" s="7"/>
      <c r="L971" s="7"/>
      <c r="M971" s="18">
        <v>35949.599999999999</v>
      </c>
      <c r="N971" s="17"/>
    </row>
    <row r="972" spans="1:14" ht="30" customHeight="1" outlineLevel="2" x14ac:dyDescent="0.25">
      <c r="A972" s="3">
        <v>13</v>
      </c>
      <c r="B972" s="3" t="str">
        <f>E972</f>
        <v xml:space="preserve">ЩС - 3 (Альбом 39) </v>
      </c>
      <c r="C972" s="3"/>
      <c r="D972" s="14"/>
      <c r="E972" s="3" t="s">
        <v>170</v>
      </c>
      <c r="F972" s="13"/>
      <c r="G972" s="13"/>
      <c r="H972" s="13"/>
      <c r="I972" s="5">
        <v>1</v>
      </c>
      <c r="J972" s="4" t="s">
        <v>6</v>
      </c>
      <c r="K972" s="4" t="s">
        <v>23</v>
      </c>
      <c r="L972" s="4" t="s">
        <v>163</v>
      </c>
      <c r="M972" s="13"/>
      <c r="N972" s="17"/>
    </row>
    <row r="973" spans="1:14" ht="30" customHeight="1" outlineLevel="2" x14ac:dyDescent="0.25">
      <c r="A973" s="6">
        <v>14</v>
      </c>
      <c r="B973" s="6" t="str">
        <f t="shared" ref="B973:B977" si="373">B972</f>
        <v xml:space="preserve">ЩС - 3 (Альбом 39) </v>
      </c>
      <c r="C973" s="7" t="s">
        <v>7</v>
      </c>
      <c r="D973" s="7" t="s">
        <v>270</v>
      </c>
      <c r="E973" s="8" t="s">
        <v>271</v>
      </c>
      <c r="F973" s="18">
        <v>16000</v>
      </c>
      <c r="G973" s="18">
        <f>0.6*F973</f>
        <v>9600</v>
      </c>
      <c r="H973" s="18">
        <f t="shared" ref="H973:H977" si="374">G973*I973</f>
        <v>9600</v>
      </c>
      <c r="I973" s="7">
        <v>1</v>
      </c>
      <c r="J973" s="9" t="s">
        <v>11</v>
      </c>
      <c r="K973" s="9" t="s">
        <v>24</v>
      </c>
      <c r="L973" s="9" t="s">
        <v>163</v>
      </c>
      <c r="M973" s="18">
        <v>9600</v>
      </c>
      <c r="N973" s="17"/>
    </row>
    <row r="974" spans="1:14" ht="30" customHeight="1" outlineLevel="2" x14ac:dyDescent="0.25">
      <c r="A974" s="6">
        <v>15</v>
      </c>
      <c r="B974" s="6" t="str">
        <f t="shared" si="373"/>
        <v xml:space="preserve">ЩС - 3 (Альбом 39) </v>
      </c>
      <c r="C974" s="7" t="s">
        <v>10</v>
      </c>
      <c r="D974" s="7">
        <v>816139</v>
      </c>
      <c r="E974" s="8" t="s">
        <v>171</v>
      </c>
      <c r="F974" s="18">
        <v>10949</v>
      </c>
      <c r="G974" s="18">
        <f t="shared" ref="G974:G975" si="375">F974*0.6</f>
        <v>6569.4</v>
      </c>
      <c r="H974" s="18">
        <f t="shared" si="374"/>
        <v>6569.4</v>
      </c>
      <c r="I974" s="7">
        <v>1</v>
      </c>
      <c r="J974" s="9" t="s">
        <v>11</v>
      </c>
      <c r="K974" s="9" t="s">
        <v>22</v>
      </c>
      <c r="L974" s="9" t="s">
        <v>163</v>
      </c>
      <c r="M974" s="18">
        <v>6569.4</v>
      </c>
      <c r="N974" s="17"/>
    </row>
    <row r="975" spans="1:14" ht="30" customHeight="1" outlineLevel="2" x14ac:dyDescent="0.25">
      <c r="A975" s="6">
        <v>15</v>
      </c>
      <c r="B975" s="6" t="str">
        <f t="shared" si="373"/>
        <v xml:space="preserve">ЩС - 3 (Альбом 39) </v>
      </c>
      <c r="C975" s="7" t="s">
        <v>10</v>
      </c>
      <c r="D975" s="7">
        <v>296830</v>
      </c>
      <c r="E975" s="8" t="s">
        <v>61</v>
      </c>
      <c r="F975" s="18">
        <v>2606</v>
      </c>
      <c r="G975" s="18">
        <f t="shared" si="375"/>
        <v>1563.6</v>
      </c>
      <c r="H975" s="18">
        <f t="shared" si="374"/>
        <v>4690.7999999999993</v>
      </c>
      <c r="I975" s="7">
        <v>3</v>
      </c>
      <c r="J975" s="9" t="s">
        <v>11</v>
      </c>
      <c r="K975" s="9" t="s">
        <v>22</v>
      </c>
      <c r="L975" s="9" t="s">
        <v>163</v>
      </c>
      <c r="M975" s="18">
        <v>4690.7999999999993</v>
      </c>
      <c r="N975" s="17"/>
    </row>
    <row r="976" spans="1:14" ht="28.5" customHeight="1" outlineLevel="2" x14ac:dyDescent="0.25">
      <c r="A976" s="6">
        <v>19</v>
      </c>
      <c r="B976" s="6" t="str">
        <f t="shared" si="373"/>
        <v xml:space="preserve">ЩС - 3 (Альбом 39) </v>
      </c>
      <c r="C976" s="7" t="s">
        <v>8</v>
      </c>
      <c r="D976" s="7" t="s">
        <v>8</v>
      </c>
      <c r="E976" s="8" t="s">
        <v>8</v>
      </c>
      <c r="F976" s="18">
        <f ca="1">OFFSET(F976,1,2)</f>
        <v>9000</v>
      </c>
      <c r="G976" s="18">
        <f ca="1">F976</f>
        <v>9000</v>
      </c>
      <c r="H976" s="18">
        <f t="shared" ca="1" si="374"/>
        <v>9000</v>
      </c>
      <c r="I976" s="7">
        <v>1</v>
      </c>
      <c r="J976" s="9" t="s">
        <v>11</v>
      </c>
      <c r="K976" s="7" t="s">
        <v>8</v>
      </c>
      <c r="L976" s="7" t="s">
        <v>163</v>
      </c>
      <c r="M976" s="18">
        <v>9000</v>
      </c>
      <c r="N976" s="17"/>
    </row>
    <row r="977" spans="1:14" ht="30" customHeight="1" outlineLevel="2" x14ac:dyDescent="0.25">
      <c r="A977" s="6">
        <v>20</v>
      </c>
      <c r="B977" s="6" t="str">
        <f t="shared" si="373"/>
        <v xml:space="preserve">ЩС - 3 (Альбом 39) </v>
      </c>
      <c r="C977" s="7" t="s">
        <v>9</v>
      </c>
      <c r="D977" s="7" t="s">
        <v>9</v>
      </c>
      <c r="E977" s="8" t="s">
        <v>9</v>
      </c>
      <c r="F977" s="18">
        <v>1.5</v>
      </c>
      <c r="G977" s="18">
        <v>100</v>
      </c>
      <c r="H977" s="18">
        <f t="shared" si="374"/>
        <v>9000</v>
      </c>
      <c r="I977" s="7">
        <f>60*F977</f>
        <v>90</v>
      </c>
      <c r="J977" s="9" t="s">
        <v>11</v>
      </c>
      <c r="K977" s="7" t="s">
        <v>9</v>
      </c>
      <c r="L977" s="7" t="s">
        <v>163</v>
      </c>
      <c r="M977" s="18">
        <v>9000</v>
      </c>
      <c r="N977" s="17"/>
    </row>
    <row r="978" spans="1:14" ht="30" customHeight="1" outlineLevel="1" x14ac:dyDescent="0.25">
      <c r="A978" s="6"/>
      <c r="B978" s="6" t="s">
        <v>431</v>
      </c>
      <c r="C978" s="7"/>
      <c r="D978" s="7"/>
      <c r="E978" s="8"/>
      <c r="F978" s="18"/>
      <c r="G978" s="18"/>
      <c r="H978" s="18">
        <f ca="1">SUBTOTAL(9,H972:H977)</f>
        <v>38860.199999999997</v>
      </c>
      <c r="I978" s="7"/>
      <c r="J978" s="9"/>
      <c r="K978" s="7"/>
      <c r="L978" s="7"/>
      <c r="M978" s="18">
        <v>38860.199999999997</v>
      </c>
      <c r="N978" s="17"/>
    </row>
    <row r="979" spans="1:14" ht="30" customHeight="1" outlineLevel="2" x14ac:dyDescent="0.25">
      <c r="A979" s="3">
        <v>13</v>
      </c>
      <c r="B979" s="3" t="str">
        <f>E979</f>
        <v xml:space="preserve">ЩС-4 (Альбом 39) </v>
      </c>
      <c r="C979" s="3"/>
      <c r="D979" s="14"/>
      <c r="E979" s="3" t="s">
        <v>172</v>
      </c>
      <c r="F979" s="13"/>
      <c r="G979" s="13"/>
      <c r="H979" s="13"/>
      <c r="I979" s="5">
        <v>1</v>
      </c>
      <c r="J979" s="4" t="s">
        <v>6</v>
      </c>
      <c r="K979" s="4" t="s">
        <v>23</v>
      </c>
      <c r="L979" s="4" t="s">
        <v>163</v>
      </c>
      <c r="M979" s="13"/>
      <c r="N979" s="17"/>
    </row>
    <row r="980" spans="1:14" ht="30" customHeight="1" outlineLevel="2" x14ac:dyDescent="0.25">
      <c r="A980" s="6">
        <v>14</v>
      </c>
      <c r="B980" s="6" t="str">
        <f t="shared" ref="B980:B984" si="376">B979</f>
        <v xml:space="preserve">ЩС-4 (Альбом 39) </v>
      </c>
      <c r="C980" s="7" t="s">
        <v>7</v>
      </c>
      <c r="D980" s="7" t="s">
        <v>284</v>
      </c>
      <c r="E980" s="8" t="s">
        <v>285</v>
      </c>
      <c r="F980" s="18">
        <v>20000</v>
      </c>
      <c r="G980" s="18">
        <f>0.6*F980</f>
        <v>12000</v>
      </c>
      <c r="H980" s="18">
        <f t="shared" ref="H980:H984" si="377">G980*I980</f>
        <v>12000</v>
      </c>
      <c r="I980" s="7">
        <v>1</v>
      </c>
      <c r="J980" s="9" t="s">
        <v>11</v>
      </c>
      <c r="K980" s="9" t="s">
        <v>24</v>
      </c>
      <c r="L980" s="9" t="s">
        <v>163</v>
      </c>
      <c r="M980" s="18">
        <v>12000</v>
      </c>
      <c r="N980" s="17"/>
    </row>
    <row r="981" spans="1:14" ht="30" customHeight="1" outlineLevel="2" x14ac:dyDescent="0.25">
      <c r="A981" s="6">
        <v>15</v>
      </c>
      <c r="B981" s="6" t="str">
        <f t="shared" si="376"/>
        <v xml:space="preserve">ЩС-4 (Альбом 39) </v>
      </c>
      <c r="C981" s="7" t="s">
        <v>10</v>
      </c>
      <c r="D981" s="7">
        <v>296829</v>
      </c>
      <c r="E981" s="8" t="s">
        <v>44</v>
      </c>
      <c r="F981" s="18">
        <v>2429</v>
      </c>
      <c r="G981" s="18">
        <f t="shared" ref="G981:G982" si="378">F981*0.6</f>
        <v>1457.3999999999999</v>
      </c>
      <c r="H981" s="18">
        <f t="shared" si="377"/>
        <v>1457.3999999999999</v>
      </c>
      <c r="I981" s="7">
        <v>1</v>
      </c>
      <c r="J981" s="9" t="s">
        <v>11</v>
      </c>
      <c r="K981" s="9" t="s">
        <v>22</v>
      </c>
      <c r="L981" s="9" t="s">
        <v>163</v>
      </c>
      <c r="M981" s="18">
        <v>1457.3999999999999</v>
      </c>
      <c r="N981" s="17"/>
    </row>
    <row r="982" spans="1:14" ht="30" customHeight="1" outlineLevel="2" x14ac:dyDescent="0.25">
      <c r="A982" s="6">
        <v>15</v>
      </c>
      <c r="B982" s="6" t="str">
        <f t="shared" si="376"/>
        <v xml:space="preserve">ЩС-4 (Альбом 39) </v>
      </c>
      <c r="C982" s="7" t="s">
        <v>12</v>
      </c>
      <c r="D982" s="7">
        <v>105542</v>
      </c>
      <c r="E982" s="8" t="s">
        <v>43</v>
      </c>
      <c r="F982" s="18">
        <v>5093</v>
      </c>
      <c r="G982" s="18">
        <f t="shared" si="378"/>
        <v>3055.7999999999997</v>
      </c>
      <c r="H982" s="18">
        <f t="shared" si="377"/>
        <v>27502.199999999997</v>
      </c>
      <c r="I982" s="7">
        <v>9</v>
      </c>
      <c r="J982" s="9" t="s">
        <v>11</v>
      </c>
      <c r="K982" s="9" t="s">
        <v>22</v>
      </c>
      <c r="L982" s="9" t="s">
        <v>163</v>
      </c>
      <c r="M982" s="18">
        <v>27502.199999999997</v>
      </c>
      <c r="N982" s="17"/>
    </row>
    <row r="983" spans="1:14" ht="28.5" customHeight="1" outlineLevel="2" x14ac:dyDescent="0.25">
      <c r="A983" s="6">
        <v>19</v>
      </c>
      <c r="B983" s="6" t="str">
        <f t="shared" si="376"/>
        <v xml:space="preserve">ЩС-4 (Альбом 39) </v>
      </c>
      <c r="C983" s="7" t="s">
        <v>8</v>
      </c>
      <c r="D983" s="7" t="s">
        <v>8</v>
      </c>
      <c r="E983" s="8" t="s">
        <v>8</v>
      </c>
      <c r="F983" s="18">
        <f ca="1">OFFSET(F983,1,2)</f>
        <v>12000</v>
      </c>
      <c r="G983" s="18">
        <f ca="1">F983</f>
        <v>12000</v>
      </c>
      <c r="H983" s="18">
        <f t="shared" ca="1" si="377"/>
        <v>12000</v>
      </c>
      <c r="I983" s="7">
        <v>1</v>
      </c>
      <c r="J983" s="9" t="s">
        <v>11</v>
      </c>
      <c r="K983" s="7" t="s">
        <v>8</v>
      </c>
      <c r="L983" s="7" t="s">
        <v>163</v>
      </c>
      <c r="M983" s="18">
        <v>12000</v>
      </c>
      <c r="N983" s="17"/>
    </row>
    <row r="984" spans="1:14" ht="30" customHeight="1" outlineLevel="2" x14ac:dyDescent="0.25">
      <c r="A984" s="6">
        <v>20</v>
      </c>
      <c r="B984" s="6" t="str">
        <f t="shared" si="376"/>
        <v xml:space="preserve">ЩС-4 (Альбом 39) </v>
      </c>
      <c r="C984" s="7" t="s">
        <v>9</v>
      </c>
      <c r="D984" s="7" t="s">
        <v>9</v>
      </c>
      <c r="E984" s="8" t="s">
        <v>9</v>
      </c>
      <c r="F984" s="18">
        <v>2</v>
      </c>
      <c r="G984" s="18">
        <v>100</v>
      </c>
      <c r="H984" s="18">
        <f t="shared" si="377"/>
        <v>12000</v>
      </c>
      <c r="I984" s="7">
        <f>60*F984</f>
        <v>120</v>
      </c>
      <c r="J984" s="9" t="s">
        <v>11</v>
      </c>
      <c r="K984" s="7" t="s">
        <v>9</v>
      </c>
      <c r="L984" s="7" t="s">
        <v>163</v>
      </c>
      <c r="M984" s="18">
        <v>12000</v>
      </c>
      <c r="N984" s="17"/>
    </row>
    <row r="985" spans="1:14" ht="30" customHeight="1" outlineLevel="1" x14ac:dyDescent="0.25">
      <c r="A985" s="6"/>
      <c r="B985" s="6" t="s">
        <v>432</v>
      </c>
      <c r="C985" s="7"/>
      <c r="D985" s="7"/>
      <c r="E985" s="8"/>
      <c r="F985" s="18"/>
      <c r="G985" s="18"/>
      <c r="H985" s="18">
        <f ca="1">SUBTOTAL(9,H979:H984)</f>
        <v>64959.6</v>
      </c>
      <c r="I985" s="7"/>
      <c r="J985" s="9"/>
      <c r="K985" s="7"/>
      <c r="L985" s="7"/>
      <c r="M985" s="18">
        <v>64959.6</v>
      </c>
      <c r="N985" s="17"/>
    </row>
    <row r="986" spans="1:14" ht="30" customHeight="1" outlineLevel="2" x14ac:dyDescent="0.25">
      <c r="A986" s="3">
        <v>13</v>
      </c>
      <c r="B986" s="3" t="str">
        <f>E986</f>
        <v xml:space="preserve">ЩС-5 (Альбом 39) </v>
      </c>
      <c r="C986" s="3"/>
      <c r="D986" s="14"/>
      <c r="E986" s="3" t="s">
        <v>173</v>
      </c>
      <c r="F986" s="13"/>
      <c r="G986" s="13"/>
      <c r="H986" s="13"/>
      <c r="I986" s="5">
        <v>1</v>
      </c>
      <c r="J986" s="4" t="s">
        <v>6</v>
      </c>
      <c r="K986" s="4" t="s">
        <v>23</v>
      </c>
      <c r="L986" s="4" t="s">
        <v>163</v>
      </c>
      <c r="M986" s="13"/>
      <c r="N986" s="17"/>
    </row>
    <row r="987" spans="1:14" ht="30" customHeight="1" outlineLevel="2" x14ac:dyDescent="0.25">
      <c r="A987" s="6">
        <v>14</v>
      </c>
      <c r="B987" s="6" t="str">
        <f t="shared" ref="B987:B991" si="379">B986</f>
        <v xml:space="preserve">ЩС-5 (Альбом 39) </v>
      </c>
      <c r="C987" s="7" t="s">
        <v>7</v>
      </c>
      <c r="D987" s="7" t="s">
        <v>288</v>
      </c>
      <c r="E987" s="8" t="s">
        <v>289</v>
      </c>
      <c r="F987" s="18">
        <v>25000</v>
      </c>
      <c r="G987" s="18">
        <f>0.6*F987</f>
        <v>15000</v>
      </c>
      <c r="H987" s="18">
        <f t="shared" ref="H987:H991" si="380">G987*I987</f>
        <v>15000</v>
      </c>
      <c r="I987" s="7">
        <v>1</v>
      </c>
      <c r="J987" s="9" t="s">
        <v>11</v>
      </c>
      <c r="K987" s="9" t="s">
        <v>24</v>
      </c>
      <c r="L987" s="9" t="s">
        <v>163</v>
      </c>
      <c r="M987" s="18">
        <v>15000</v>
      </c>
      <c r="N987" s="17"/>
    </row>
    <row r="988" spans="1:14" ht="30" customHeight="1" outlineLevel="2" x14ac:dyDescent="0.25">
      <c r="A988" s="6">
        <v>15</v>
      </c>
      <c r="B988" s="6" t="str">
        <f t="shared" si="379"/>
        <v xml:space="preserve">ЩС-5 (Альбом 39) </v>
      </c>
      <c r="C988" s="7" t="s">
        <v>10</v>
      </c>
      <c r="D988" s="7">
        <v>296829</v>
      </c>
      <c r="E988" s="8" t="s">
        <v>44</v>
      </c>
      <c r="F988" s="18">
        <v>2429</v>
      </c>
      <c r="G988" s="18">
        <f t="shared" ref="G988:G989" si="381">F988*0.6</f>
        <v>1457.3999999999999</v>
      </c>
      <c r="H988" s="18">
        <f t="shared" si="380"/>
        <v>1457.3999999999999</v>
      </c>
      <c r="I988" s="7">
        <v>1</v>
      </c>
      <c r="J988" s="9" t="s">
        <v>11</v>
      </c>
      <c r="K988" s="9" t="s">
        <v>22</v>
      </c>
      <c r="L988" s="9" t="s">
        <v>163</v>
      </c>
      <c r="M988" s="18">
        <v>1457.3999999999999</v>
      </c>
      <c r="N988" s="17"/>
    </row>
    <row r="989" spans="1:14" ht="30" customHeight="1" outlineLevel="2" x14ac:dyDescent="0.25">
      <c r="A989" s="6">
        <v>15</v>
      </c>
      <c r="B989" s="6" t="str">
        <f t="shared" si="379"/>
        <v xml:space="preserve">ЩС-5 (Альбом 39) </v>
      </c>
      <c r="C989" s="7" t="s">
        <v>12</v>
      </c>
      <c r="D989" s="7">
        <v>105542</v>
      </c>
      <c r="E989" s="8" t="s">
        <v>43</v>
      </c>
      <c r="F989" s="18">
        <v>5093</v>
      </c>
      <c r="G989" s="18">
        <f t="shared" si="381"/>
        <v>3055.7999999999997</v>
      </c>
      <c r="H989" s="18">
        <f t="shared" si="380"/>
        <v>39725.399999999994</v>
      </c>
      <c r="I989" s="7">
        <v>13</v>
      </c>
      <c r="J989" s="9" t="s">
        <v>11</v>
      </c>
      <c r="K989" s="9" t="s">
        <v>22</v>
      </c>
      <c r="L989" s="9" t="s">
        <v>163</v>
      </c>
      <c r="M989" s="18">
        <v>39725.399999999994</v>
      </c>
      <c r="N989" s="17"/>
    </row>
    <row r="990" spans="1:14" ht="28.5" customHeight="1" outlineLevel="2" x14ac:dyDescent="0.25">
      <c r="A990" s="6">
        <v>19</v>
      </c>
      <c r="B990" s="6" t="str">
        <f t="shared" si="379"/>
        <v xml:space="preserve">ЩС-5 (Альбом 39) </v>
      </c>
      <c r="C990" s="7" t="s">
        <v>8</v>
      </c>
      <c r="D990" s="7" t="s">
        <v>8</v>
      </c>
      <c r="E990" s="8" t="s">
        <v>8</v>
      </c>
      <c r="F990" s="18">
        <f ca="1">OFFSET(F990,1,2)</f>
        <v>18000</v>
      </c>
      <c r="G990" s="18">
        <f ca="1">F990</f>
        <v>18000</v>
      </c>
      <c r="H990" s="18">
        <f t="shared" ca="1" si="380"/>
        <v>18000</v>
      </c>
      <c r="I990" s="7">
        <v>1</v>
      </c>
      <c r="J990" s="9" t="s">
        <v>11</v>
      </c>
      <c r="K990" s="7" t="s">
        <v>8</v>
      </c>
      <c r="L990" s="7" t="s">
        <v>163</v>
      </c>
      <c r="M990" s="18">
        <v>18000</v>
      </c>
      <c r="N990" s="17"/>
    </row>
    <row r="991" spans="1:14" ht="30" customHeight="1" outlineLevel="2" x14ac:dyDescent="0.25">
      <c r="A991" s="6">
        <v>20</v>
      </c>
      <c r="B991" s="6" t="str">
        <f t="shared" si="379"/>
        <v xml:space="preserve">ЩС-5 (Альбом 39) </v>
      </c>
      <c r="C991" s="7" t="s">
        <v>9</v>
      </c>
      <c r="D991" s="7" t="s">
        <v>9</v>
      </c>
      <c r="E991" s="8" t="s">
        <v>9</v>
      </c>
      <c r="F991" s="18">
        <v>3</v>
      </c>
      <c r="G991" s="18">
        <v>100</v>
      </c>
      <c r="H991" s="18">
        <f t="shared" si="380"/>
        <v>18000</v>
      </c>
      <c r="I991" s="7">
        <f>60*F991</f>
        <v>180</v>
      </c>
      <c r="J991" s="9" t="s">
        <v>11</v>
      </c>
      <c r="K991" s="7" t="s">
        <v>9</v>
      </c>
      <c r="L991" s="7" t="s">
        <v>163</v>
      </c>
      <c r="M991" s="18">
        <v>18000</v>
      </c>
      <c r="N991" s="17"/>
    </row>
    <row r="992" spans="1:14" ht="30" customHeight="1" outlineLevel="1" x14ac:dyDescent="0.25">
      <c r="A992" s="6"/>
      <c r="B992" s="6" t="s">
        <v>433</v>
      </c>
      <c r="C992" s="7"/>
      <c r="D992" s="7"/>
      <c r="E992" s="8"/>
      <c r="F992" s="18"/>
      <c r="G992" s="18"/>
      <c r="H992" s="18">
        <f ca="1">SUBTOTAL(9,H986:H991)</f>
        <v>92182.799999999988</v>
      </c>
      <c r="I992" s="7"/>
      <c r="J992" s="9"/>
      <c r="K992" s="7"/>
      <c r="L992" s="7"/>
      <c r="M992" s="18">
        <v>92182.799999999988</v>
      </c>
      <c r="N992" s="17"/>
    </row>
    <row r="993" spans="1:14" ht="30" customHeight="1" outlineLevel="2" x14ac:dyDescent="0.25">
      <c r="A993" s="3">
        <v>13</v>
      </c>
      <c r="B993" s="3" t="str">
        <f>E993</f>
        <v xml:space="preserve">ЩС-6 (Альбом 39) </v>
      </c>
      <c r="C993" s="3"/>
      <c r="D993" s="14"/>
      <c r="E993" s="3" t="s">
        <v>174</v>
      </c>
      <c r="F993" s="13"/>
      <c r="G993" s="13"/>
      <c r="H993" s="13"/>
      <c r="I993" s="5">
        <v>1</v>
      </c>
      <c r="J993" s="4" t="s">
        <v>6</v>
      </c>
      <c r="K993" s="4" t="s">
        <v>23</v>
      </c>
      <c r="L993" s="4" t="s">
        <v>163</v>
      </c>
      <c r="M993" s="13"/>
      <c r="N993" s="17"/>
    </row>
    <row r="994" spans="1:14" ht="30" customHeight="1" outlineLevel="2" x14ac:dyDescent="0.25">
      <c r="A994" s="6">
        <v>14</v>
      </c>
      <c r="B994" s="6" t="str">
        <f t="shared" ref="B994:B999" si="382">B993</f>
        <v xml:space="preserve">ЩС-6 (Альбом 39) </v>
      </c>
      <c r="C994" s="7" t="s">
        <v>7</v>
      </c>
      <c r="D994" s="7" t="s">
        <v>282</v>
      </c>
      <c r="E994" s="8" t="s">
        <v>283</v>
      </c>
      <c r="F994" s="18">
        <v>17000</v>
      </c>
      <c r="G994" s="18">
        <f>0.6*F994</f>
        <v>10200</v>
      </c>
      <c r="H994" s="18">
        <f t="shared" ref="H994:H999" si="383">G994*I994</f>
        <v>10200</v>
      </c>
      <c r="I994" s="7">
        <v>1</v>
      </c>
      <c r="J994" s="9" t="s">
        <v>11</v>
      </c>
      <c r="K994" s="9" t="s">
        <v>24</v>
      </c>
      <c r="L994" s="9" t="s">
        <v>163</v>
      </c>
      <c r="M994" s="18">
        <v>10200</v>
      </c>
      <c r="N994" s="17"/>
    </row>
    <row r="995" spans="1:14" ht="30" customHeight="1" outlineLevel="2" x14ac:dyDescent="0.25">
      <c r="A995" s="6">
        <v>15</v>
      </c>
      <c r="B995" s="6" t="str">
        <f t="shared" si="382"/>
        <v xml:space="preserve">ЩС-6 (Альбом 39) </v>
      </c>
      <c r="C995" s="7" t="s">
        <v>10</v>
      </c>
      <c r="D995" s="7">
        <v>296829</v>
      </c>
      <c r="E995" s="8" t="s">
        <v>44</v>
      </c>
      <c r="F995" s="18">
        <v>2429</v>
      </c>
      <c r="G995" s="18">
        <f t="shared" ref="G995:G997" si="384">F995*0.6</f>
        <v>1457.3999999999999</v>
      </c>
      <c r="H995" s="18">
        <f t="shared" si="383"/>
        <v>1457.3999999999999</v>
      </c>
      <c r="I995" s="7">
        <v>1</v>
      </c>
      <c r="J995" s="9" t="s">
        <v>11</v>
      </c>
      <c r="K995" s="9" t="s">
        <v>22</v>
      </c>
      <c r="L995" s="9" t="s">
        <v>163</v>
      </c>
      <c r="M995" s="18">
        <v>1457.3999999999999</v>
      </c>
      <c r="N995" s="17"/>
    </row>
    <row r="996" spans="1:14" ht="30" customHeight="1" outlineLevel="2" x14ac:dyDescent="0.25">
      <c r="A996" s="6">
        <v>15</v>
      </c>
      <c r="B996" s="6" t="str">
        <f t="shared" si="382"/>
        <v xml:space="preserve">ЩС-6 (Альбом 39) </v>
      </c>
      <c r="C996" s="7" t="s">
        <v>10</v>
      </c>
      <c r="D996" s="7">
        <v>296827</v>
      </c>
      <c r="E996" s="8" t="s">
        <v>169</v>
      </c>
      <c r="F996" s="18">
        <v>2337</v>
      </c>
      <c r="G996" s="18">
        <f t="shared" si="384"/>
        <v>1402.2</v>
      </c>
      <c r="H996" s="18">
        <f t="shared" si="383"/>
        <v>4206.6000000000004</v>
      </c>
      <c r="I996" s="7">
        <v>3</v>
      </c>
      <c r="J996" s="9" t="s">
        <v>11</v>
      </c>
      <c r="K996" s="9" t="s">
        <v>22</v>
      </c>
      <c r="L996" s="9" t="s">
        <v>163</v>
      </c>
      <c r="M996" s="18">
        <v>4206.6000000000004</v>
      </c>
      <c r="N996" s="17"/>
    </row>
    <row r="997" spans="1:14" ht="30" customHeight="1" outlineLevel="2" x14ac:dyDescent="0.25">
      <c r="A997" s="6">
        <v>15</v>
      </c>
      <c r="B997" s="6" t="str">
        <f t="shared" si="382"/>
        <v xml:space="preserve">ЩС-6 (Альбом 39) </v>
      </c>
      <c r="C997" s="7" t="s">
        <v>12</v>
      </c>
      <c r="D997" s="7">
        <v>105542</v>
      </c>
      <c r="E997" s="8" t="s">
        <v>43</v>
      </c>
      <c r="F997" s="18">
        <v>5093</v>
      </c>
      <c r="G997" s="18">
        <f t="shared" si="384"/>
        <v>3055.7999999999997</v>
      </c>
      <c r="H997" s="18">
        <f t="shared" si="383"/>
        <v>6111.5999999999995</v>
      </c>
      <c r="I997" s="7">
        <v>2</v>
      </c>
      <c r="J997" s="9" t="s">
        <v>11</v>
      </c>
      <c r="K997" s="9" t="s">
        <v>22</v>
      </c>
      <c r="L997" s="9" t="s">
        <v>163</v>
      </c>
      <c r="M997" s="18">
        <v>6111.5999999999995</v>
      </c>
      <c r="N997" s="17"/>
    </row>
    <row r="998" spans="1:14" ht="28.5" customHeight="1" outlineLevel="2" x14ac:dyDescent="0.25">
      <c r="A998" s="6">
        <v>19</v>
      </c>
      <c r="B998" s="6" t="str">
        <f t="shared" si="382"/>
        <v xml:space="preserve">ЩС-6 (Альбом 39) </v>
      </c>
      <c r="C998" s="7" t="s">
        <v>8</v>
      </c>
      <c r="D998" s="7" t="s">
        <v>8</v>
      </c>
      <c r="E998" s="8" t="s">
        <v>8</v>
      </c>
      <c r="F998" s="18">
        <f ca="1">OFFSET(F998,1,2)</f>
        <v>9000</v>
      </c>
      <c r="G998" s="18">
        <f ca="1">F998</f>
        <v>9000</v>
      </c>
      <c r="H998" s="18">
        <f t="shared" ca="1" si="383"/>
        <v>9000</v>
      </c>
      <c r="I998" s="7">
        <v>1</v>
      </c>
      <c r="J998" s="9" t="s">
        <v>11</v>
      </c>
      <c r="K998" s="7" t="s">
        <v>8</v>
      </c>
      <c r="L998" s="7" t="s">
        <v>163</v>
      </c>
      <c r="M998" s="18">
        <v>9000</v>
      </c>
      <c r="N998" s="17"/>
    </row>
    <row r="999" spans="1:14" ht="30" customHeight="1" outlineLevel="2" x14ac:dyDescent="0.25">
      <c r="A999" s="6">
        <v>20</v>
      </c>
      <c r="B999" s="6" t="str">
        <f t="shared" si="382"/>
        <v xml:space="preserve">ЩС-6 (Альбом 39) </v>
      </c>
      <c r="C999" s="7" t="s">
        <v>9</v>
      </c>
      <c r="D999" s="7" t="s">
        <v>9</v>
      </c>
      <c r="E999" s="8" t="s">
        <v>9</v>
      </c>
      <c r="F999" s="18">
        <v>1.5</v>
      </c>
      <c r="G999" s="18">
        <v>100</v>
      </c>
      <c r="H999" s="18">
        <f t="shared" si="383"/>
        <v>9000</v>
      </c>
      <c r="I999" s="7">
        <f>60*F999</f>
        <v>90</v>
      </c>
      <c r="J999" s="9" t="s">
        <v>11</v>
      </c>
      <c r="K999" s="7" t="s">
        <v>9</v>
      </c>
      <c r="L999" s="7" t="s">
        <v>163</v>
      </c>
      <c r="M999" s="18">
        <v>9000</v>
      </c>
      <c r="N999" s="17"/>
    </row>
    <row r="1000" spans="1:14" ht="30" customHeight="1" outlineLevel="1" x14ac:dyDescent="0.25">
      <c r="A1000" s="6"/>
      <c r="B1000" s="6" t="s">
        <v>434</v>
      </c>
      <c r="C1000" s="7"/>
      <c r="D1000" s="7"/>
      <c r="E1000" s="8"/>
      <c r="F1000" s="18"/>
      <c r="G1000" s="18"/>
      <c r="H1000" s="18">
        <f ca="1">SUBTOTAL(9,H993:H999)</f>
        <v>39975.599999999999</v>
      </c>
      <c r="I1000" s="7"/>
      <c r="J1000" s="9"/>
      <c r="K1000" s="7"/>
      <c r="L1000" s="7"/>
      <c r="M1000" s="18">
        <v>39975.599999999999</v>
      </c>
      <c r="N1000" s="17"/>
    </row>
    <row r="1001" spans="1:14" ht="30" customHeight="1" outlineLevel="2" x14ac:dyDescent="0.25">
      <c r="A1001" s="3">
        <v>13</v>
      </c>
      <c r="B1001" s="3" t="str">
        <f t="shared" ref="B1001:B1005" si="385">E1001</f>
        <v>Я511-2074 (Альбом 39)</v>
      </c>
      <c r="C1001" s="3"/>
      <c r="D1001" s="14"/>
      <c r="E1001" s="3" t="s">
        <v>239</v>
      </c>
      <c r="F1001" s="13"/>
      <c r="G1001" s="13"/>
      <c r="H1001" s="13"/>
      <c r="I1001" s="5">
        <v>1</v>
      </c>
      <c r="J1001" s="4" t="s">
        <v>6</v>
      </c>
      <c r="K1001" s="4" t="s">
        <v>23</v>
      </c>
      <c r="L1001" s="4" t="s">
        <v>163</v>
      </c>
      <c r="M1001" s="13"/>
      <c r="N1001" s="17"/>
    </row>
    <row r="1002" spans="1:14" ht="30" customHeight="1" outlineLevel="1" x14ac:dyDescent="0.25">
      <c r="A1002" s="3"/>
      <c r="B1002" s="3" t="s">
        <v>435</v>
      </c>
      <c r="C1002" s="3"/>
      <c r="D1002" s="14"/>
      <c r="E1002" s="3"/>
      <c r="F1002" s="13"/>
      <c r="G1002" s="13"/>
      <c r="H1002" s="13">
        <f>SUBTOTAL(9,H1001:H1001)</f>
        <v>0</v>
      </c>
      <c r="I1002" s="5"/>
      <c r="J1002" s="4"/>
      <c r="K1002" s="4"/>
      <c r="L1002" s="4"/>
      <c r="M1002" s="13">
        <v>0</v>
      </c>
      <c r="N1002" s="17"/>
    </row>
    <row r="1003" spans="1:14" ht="30" customHeight="1" outlineLevel="2" x14ac:dyDescent="0.25">
      <c r="A1003" s="3">
        <v>13</v>
      </c>
      <c r="B1003" s="3" t="str">
        <f t="shared" si="385"/>
        <v>Я511-2477 (Альбом 39)</v>
      </c>
      <c r="C1003" s="3"/>
      <c r="D1003" s="14"/>
      <c r="E1003" s="3" t="s">
        <v>240</v>
      </c>
      <c r="F1003" s="13"/>
      <c r="G1003" s="13"/>
      <c r="H1003" s="13"/>
      <c r="I1003" s="5">
        <v>1</v>
      </c>
      <c r="J1003" s="4" t="s">
        <v>6</v>
      </c>
      <c r="K1003" s="4" t="s">
        <v>23</v>
      </c>
      <c r="L1003" s="4" t="s">
        <v>163</v>
      </c>
      <c r="M1003" s="13"/>
      <c r="N1003" s="17"/>
    </row>
    <row r="1004" spans="1:14" ht="30" customHeight="1" outlineLevel="1" x14ac:dyDescent="0.25">
      <c r="A1004" s="3"/>
      <c r="B1004" s="3" t="s">
        <v>436</v>
      </c>
      <c r="C1004" s="3"/>
      <c r="D1004" s="14"/>
      <c r="E1004" s="3"/>
      <c r="F1004" s="13"/>
      <c r="G1004" s="13"/>
      <c r="H1004" s="13">
        <f>SUBTOTAL(9,H1003:H1003)</f>
        <v>0</v>
      </c>
      <c r="I1004" s="5"/>
      <c r="J1004" s="4"/>
      <c r="K1004" s="4"/>
      <c r="L1004" s="4"/>
      <c r="M1004" s="13">
        <v>0</v>
      </c>
      <c r="N1004" s="17"/>
    </row>
    <row r="1005" spans="1:14" ht="30" customHeight="1" outlineLevel="2" x14ac:dyDescent="0.25">
      <c r="A1005" s="3">
        <v>1</v>
      </c>
      <c r="B1005" s="3" t="str">
        <f t="shared" si="385"/>
        <v xml:space="preserve">ВРУ 'ВРУ1-13-20)  (Альбом 40)  </v>
      </c>
      <c r="C1005" s="3"/>
      <c r="D1005" s="14"/>
      <c r="E1005" s="3" t="s">
        <v>255</v>
      </c>
      <c r="F1005" s="13"/>
      <c r="G1005" s="13"/>
      <c r="H1005" s="13"/>
      <c r="I1005" s="5">
        <v>1</v>
      </c>
      <c r="J1005" s="4" t="s">
        <v>6</v>
      </c>
      <c r="K1005" s="4" t="s">
        <v>23</v>
      </c>
      <c r="L1005" s="4" t="s">
        <v>175</v>
      </c>
      <c r="M1005" s="13"/>
      <c r="N1005" s="17"/>
    </row>
    <row r="1006" spans="1:14" ht="30" customHeight="1" outlineLevel="2" x14ac:dyDescent="0.25">
      <c r="A1006" s="6">
        <v>2</v>
      </c>
      <c r="B1006" s="6" t="str">
        <f t="shared" ref="B1006:B1015" si="386">B1005</f>
        <v xml:space="preserve">ВРУ 'ВРУ1-13-20)  (Альбом 40)  </v>
      </c>
      <c r="C1006" s="7" t="s">
        <v>7</v>
      </c>
      <c r="D1006" s="7" t="s">
        <v>262</v>
      </c>
      <c r="E1006" s="8" t="s">
        <v>263</v>
      </c>
      <c r="F1006" s="18">
        <v>165000</v>
      </c>
      <c r="G1006" s="18">
        <f>0.6*F1006</f>
        <v>99000</v>
      </c>
      <c r="H1006" s="18">
        <f t="shared" ref="H1006:H1015" si="387">G1006*I1006</f>
        <v>99000</v>
      </c>
      <c r="I1006" s="7">
        <v>1</v>
      </c>
      <c r="J1006" s="9" t="s">
        <v>11</v>
      </c>
      <c r="K1006" s="9" t="s">
        <v>24</v>
      </c>
      <c r="L1006" s="9" t="s">
        <v>175</v>
      </c>
      <c r="M1006" s="18">
        <v>99000</v>
      </c>
      <c r="N1006" s="17"/>
    </row>
    <row r="1007" spans="1:14" ht="30" customHeight="1" outlineLevel="2" x14ac:dyDescent="0.25">
      <c r="A1007" s="6">
        <v>4</v>
      </c>
      <c r="B1007" s="6" t="str">
        <f t="shared" si="386"/>
        <v xml:space="preserve">ВРУ 'ВРУ1-13-20)  (Альбом 40)  </v>
      </c>
      <c r="C1007" s="7" t="s">
        <v>10</v>
      </c>
      <c r="D1007" s="7">
        <v>296708</v>
      </c>
      <c r="E1007" s="8" t="s">
        <v>119</v>
      </c>
      <c r="F1007" s="18">
        <v>975</v>
      </c>
      <c r="G1007" s="18">
        <f t="shared" ref="G1007" si="388">F1007*0.6</f>
        <v>585</v>
      </c>
      <c r="H1007" s="18">
        <f t="shared" si="387"/>
        <v>1170</v>
      </c>
      <c r="I1007" s="7">
        <v>2</v>
      </c>
      <c r="J1007" s="9" t="s">
        <v>11</v>
      </c>
      <c r="K1007" s="9" t="s">
        <v>22</v>
      </c>
      <c r="L1007" s="9" t="s">
        <v>175</v>
      </c>
      <c r="M1007" s="18">
        <v>1170</v>
      </c>
      <c r="N1007" s="17"/>
    </row>
    <row r="1008" spans="1:14" ht="30" customHeight="1" outlineLevel="2" x14ac:dyDescent="0.25">
      <c r="A1008" s="6">
        <v>5</v>
      </c>
      <c r="B1008" s="6" t="str">
        <f t="shared" si="386"/>
        <v xml:space="preserve">ВРУ 'ВРУ1-13-20)  (Альбом 40)  </v>
      </c>
      <c r="C1008" s="7" t="s">
        <v>29</v>
      </c>
      <c r="D1008" s="7"/>
      <c r="E1008" s="10" t="s">
        <v>38</v>
      </c>
      <c r="F1008" s="18">
        <v>6000</v>
      </c>
      <c r="G1008" s="18">
        <f>F1008</f>
        <v>6000</v>
      </c>
      <c r="H1008" s="18">
        <f t="shared" si="387"/>
        <v>36000</v>
      </c>
      <c r="I1008" s="7">
        <v>6</v>
      </c>
      <c r="J1008" s="9" t="s">
        <v>11</v>
      </c>
      <c r="K1008" s="9" t="s">
        <v>26</v>
      </c>
      <c r="L1008" s="9" t="s">
        <v>175</v>
      </c>
      <c r="M1008" s="18">
        <v>36000</v>
      </c>
      <c r="N1008" s="17"/>
    </row>
    <row r="1009" spans="1:14" ht="30" customHeight="1" outlineLevel="2" x14ac:dyDescent="0.25">
      <c r="A1009" s="6">
        <v>6</v>
      </c>
      <c r="B1009" s="6" t="str">
        <f t="shared" si="386"/>
        <v xml:space="preserve">ВРУ 'ВРУ1-13-20)  (Альбом 40)  </v>
      </c>
      <c r="C1009" s="7" t="s">
        <v>250</v>
      </c>
      <c r="D1009" s="7" t="s">
        <v>248</v>
      </c>
      <c r="E1009" s="8" t="s">
        <v>249</v>
      </c>
      <c r="F1009" s="18">
        <v>4750</v>
      </c>
      <c r="G1009" s="18">
        <f t="shared" ref="G1009:G1010" si="389">F1009*0.6</f>
        <v>2850</v>
      </c>
      <c r="H1009" s="18">
        <f t="shared" si="387"/>
        <v>17100</v>
      </c>
      <c r="I1009" s="7">
        <v>6</v>
      </c>
      <c r="J1009" s="9" t="s">
        <v>11</v>
      </c>
      <c r="K1009" s="9" t="s">
        <v>22</v>
      </c>
      <c r="L1009" s="9" t="s">
        <v>175</v>
      </c>
      <c r="M1009" s="18">
        <v>17100</v>
      </c>
      <c r="N1009" s="17"/>
    </row>
    <row r="1010" spans="1:14" ht="30" customHeight="1" outlineLevel="2" x14ac:dyDescent="0.25">
      <c r="A1010" s="6">
        <v>6</v>
      </c>
      <c r="B1010" s="6" t="str">
        <f t="shared" si="386"/>
        <v xml:space="preserve">ВРУ 'ВРУ1-13-20)  (Альбом 40)  </v>
      </c>
      <c r="C1010" s="7" t="s">
        <v>122</v>
      </c>
      <c r="D1010" s="7">
        <v>521188</v>
      </c>
      <c r="E1010" s="8" t="s">
        <v>176</v>
      </c>
      <c r="F1010" s="18">
        <v>3302</v>
      </c>
      <c r="G1010" s="18">
        <f t="shared" si="389"/>
        <v>1981.1999999999998</v>
      </c>
      <c r="H1010" s="18">
        <f t="shared" si="387"/>
        <v>11887.199999999999</v>
      </c>
      <c r="I1010" s="7">
        <v>6</v>
      </c>
      <c r="J1010" s="9" t="s">
        <v>11</v>
      </c>
      <c r="K1010" s="9" t="s">
        <v>22</v>
      </c>
      <c r="L1010" s="9" t="s">
        <v>175</v>
      </c>
      <c r="M1010" s="18">
        <v>11887.199999999999</v>
      </c>
      <c r="N1010" s="17"/>
    </row>
    <row r="1011" spans="1:14" ht="30" customHeight="1" outlineLevel="2" x14ac:dyDescent="0.25">
      <c r="A1011" s="6">
        <v>6</v>
      </c>
      <c r="B1011" s="6" t="str">
        <f t="shared" si="386"/>
        <v xml:space="preserve">ВРУ 'ВРУ1-13-20)  (Альбом 40)  </v>
      </c>
      <c r="C1011" s="7" t="s">
        <v>120</v>
      </c>
      <c r="D1011" s="7" t="s">
        <v>178</v>
      </c>
      <c r="E1011" s="8" t="s">
        <v>177</v>
      </c>
      <c r="F1011" s="18">
        <v>17175</v>
      </c>
      <c r="G1011" s="18">
        <f t="shared" ref="G1011:G1012" si="390">F1011</f>
        <v>17175</v>
      </c>
      <c r="H1011" s="18">
        <f t="shared" si="387"/>
        <v>34350</v>
      </c>
      <c r="I1011" s="7">
        <v>2</v>
      </c>
      <c r="J1011" s="9" t="s">
        <v>11</v>
      </c>
      <c r="K1011" s="9" t="s">
        <v>26</v>
      </c>
      <c r="L1011" s="9" t="s">
        <v>175</v>
      </c>
      <c r="M1011" s="18">
        <v>34350</v>
      </c>
      <c r="N1011" s="17"/>
    </row>
    <row r="1012" spans="1:14" ht="30" customHeight="1" outlineLevel="2" x14ac:dyDescent="0.25">
      <c r="A1012" s="6">
        <v>6</v>
      </c>
      <c r="B1012" s="6" t="str">
        <f t="shared" si="386"/>
        <v xml:space="preserve">ВРУ 'ВРУ1-13-20)  (Альбом 40)  </v>
      </c>
      <c r="C1012" s="7" t="s">
        <v>14</v>
      </c>
      <c r="D1012" s="7" t="s">
        <v>292</v>
      </c>
      <c r="E1012" s="8" t="s">
        <v>293</v>
      </c>
      <c r="F1012" s="18">
        <v>80000</v>
      </c>
      <c r="G1012" s="18">
        <f t="shared" si="390"/>
        <v>80000</v>
      </c>
      <c r="H1012" s="18">
        <f t="shared" si="387"/>
        <v>160000</v>
      </c>
      <c r="I1012" s="7">
        <v>2</v>
      </c>
      <c r="J1012" s="9" t="s">
        <v>11</v>
      </c>
      <c r="K1012" s="9" t="s">
        <v>26</v>
      </c>
      <c r="L1012" s="9" t="s">
        <v>175</v>
      </c>
      <c r="M1012" s="18">
        <v>160000</v>
      </c>
      <c r="N1012" s="17"/>
    </row>
    <row r="1013" spans="1:14" ht="30" customHeight="1" outlineLevel="2" x14ac:dyDescent="0.25">
      <c r="A1013" s="6">
        <v>8</v>
      </c>
      <c r="B1013" s="6" t="str">
        <f t="shared" si="386"/>
        <v xml:space="preserve">ВРУ 'ВРУ1-13-20)  (Альбом 40)  </v>
      </c>
      <c r="C1013" s="8" t="s">
        <v>16</v>
      </c>
      <c r="D1013" s="7"/>
      <c r="E1013" s="8" t="s">
        <v>16</v>
      </c>
      <c r="F1013" s="18">
        <v>1000</v>
      </c>
      <c r="G1013" s="18">
        <f>F1013</f>
        <v>1000</v>
      </c>
      <c r="H1013" s="18">
        <f t="shared" si="387"/>
        <v>1000</v>
      </c>
      <c r="I1013" s="7">
        <v>1</v>
      </c>
      <c r="J1013" s="9" t="s">
        <v>11</v>
      </c>
      <c r="K1013" s="9" t="s">
        <v>25</v>
      </c>
      <c r="L1013" s="9" t="s">
        <v>175</v>
      </c>
      <c r="M1013" s="18">
        <v>1000</v>
      </c>
      <c r="N1013" s="17"/>
    </row>
    <row r="1014" spans="1:14" ht="30" customHeight="1" outlineLevel="2" x14ac:dyDescent="0.25">
      <c r="A1014" s="6">
        <v>9</v>
      </c>
      <c r="B1014" s="6" t="str">
        <f t="shared" si="386"/>
        <v xml:space="preserve">ВРУ 'ВРУ1-13-20)  (Альбом 40)  </v>
      </c>
      <c r="C1014" s="7" t="s">
        <v>8</v>
      </c>
      <c r="D1014" s="7" t="s">
        <v>8</v>
      </c>
      <c r="E1014" s="8" t="s">
        <v>8</v>
      </c>
      <c r="F1014" s="18">
        <f ca="1">OFFSET(F1014,1,2)</f>
        <v>60000</v>
      </c>
      <c r="G1014" s="18">
        <f ca="1">F1014</f>
        <v>60000</v>
      </c>
      <c r="H1014" s="18">
        <f t="shared" ca="1" si="387"/>
        <v>60000</v>
      </c>
      <c r="I1014" s="7">
        <v>1</v>
      </c>
      <c r="J1014" s="9" t="s">
        <v>11</v>
      </c>
      <c r="K1014" s="7" t="s">
        <v>8</v>
      </c>
      <c r="L1014" s="7" t="s">
        <v>175</v>
      </c>
      <c r="M1014" s="18">
        <v>60000</v>
      </c>
      <c r="N1014" s="17"/>
    </row>
    <row r="1015" spans="1:14" ht="30" customHeight="1" outlineLevel="2" x14ac:dyDescent="0.25">
      <c r="A1015" s="6">
        <v>10</v>
      </c>
      <c r="B1015" s="6" t="str">
        <f t="shared" si="386"/>
        <v xml:space="preserve">ВРУ 'ВРУ1-13-20)  (Альбом 40)  </v>
      </c>
      <c r="C1015" s="7" t="s">
        <v>9</v>
      </c>
      <c r="D1015" s="7" t="s">
        <v>9</v>
      </c>
      <c r="E1015" s="8" t="s">
        <v>9</v>
      </c>
      <c r="F1015" s="18">
        <v>10</v>
      </c>
      <c r="G1015" s="18">
        <v>100</v>
      </c>
      <c r="H1015" s="18">
        <f t="shared" si="387"/>
        <v>60000</v>
      </c>
      <c r="I1015" s="7">
        <f>60*F1015</f>
        <v>600</v>
      </c>
      <c r="J1015" s="9" t="s">
        <v>11</v>
      </c>
      <c r="K1015" s="7" t="s">
        <v>9</v>
      </c>
      <c r="L1015" s="7" t="s">
        <v>175</v>
      </c>
      <c r="M1015" s="18">
        <v>60000</v>
      </c>
      <c r="N1015" s="17"/>
    </row>
    <row r="1016" spans="1:14" ht="30" customHeight="1" outlineLevel="1" x14ac:dyDescent="0.25">
      <c r="A1016" s="6"/>
      <c r="B1016" s="6" t="s">
        <v>437</v>
      </c>
      <c r="C1016" s="7"/>
      <c r="D1016" s="7"/>
      <c r="E1016" s="8"/>
      <c r="F1016" s="18"/>
      <c r="G1016" s="18"/>
      <c r="H1016" s="18">
        <f ca="1">SUBTOTAL(9,H1005:H1015)</f>
        <v>480507.2</v>
      </c>
      <c r="I1016" s="7"/>
      <c r="J1016" s="9"/>
      <c r="K1016" s="7"/>
      <c r="L1016" s="7"/>
      <c r="M1016" s="18">
        <v>480507.2</v>
      </c>
      <c r="N1016" s="17"/>
    </row>
    <row r="1017" spans="1:14" ht="30" customHeight="1" outlineLevel="2" x14ac:dyDescent="0.25">
      <c r="A1017" s="3">
        <v>1</v>
      </c>
      <c r="B1017" s="3" t="str">
        <f>E1017</f>
        <v>ВРУ('ВРУ1-47-00) (1 и 2 секция)   (Альбом 40)</v>
      </c>
      <c r="C1017" s="3"/>
      <c r="D1017" s="14"/>
      <c r="E1017" s="3" t="s">
        <v>256</v>
      </c>
      <c r="F1017" s="13"/>
      <c r="G1017" s="13"/>
      <c r="H1017" s="13"/>
      <c r="I1017" s="5">
        <v>1</v>
      </c>
      <c r="J1017" s="4" t="s">
        <v>6</v>
      </c>
      <c r="K1017" s="4" t="s">
        <v>23</v>
      </c>
      <c r="L1017" s="4" t="s">
        <v>175</v>
      </c>
      <c r="M1017" s="13"/>
      <c r="N1017" s="17"/>
    </row>
    <row r="1018" spans="1:14" ht="30" customHeight="1" outlineLevel="2" x14ac:dyDescent="0.25">
      <c r="A1018" s="6">
        <v>2</v>
      </c>
      <c r="B1018" s="6" t="str">
        <f t="shared" ref="B1018:B1025" si="391">B1017</f>
        <v>ВРУ('ВРУ1-47-00) (1 и 2 секция)   (Альбом 40)</v>
      </c>
      <c r="C1018" s="7" t="s">
        <v>7</v>
      </c>
      <c r="D1018" s="7" t="s">
        <v>262</v>
      </c>
      <c r="E1018" s="8" t="s">
        <v>263</v>
      </c>
      <c r="F1018" s="18">
        <v>165000</v>
      </c>
      <c r="G1018" s="18">
        <f>0.6*F1018</f>
        <v>99000</v>
      </c>
      <c r="H1018" s="18">
        <f t="shared" ref="H1018:H1025" si="392">G1018*I1018</f>
        <v>99000</v>
      </c>
      <c r="I1018" s="7">
        <v>1</v>
      </c>
      <c r="J1018" s="9" t="s">
        <v>11</v>
      </c>
      <c r="K1018" s="9" t="s">
        <v>24</v>
      </c>
      <c r="L1018" s="9" t="s">
        <v>175</v>
      </c>
      <c r="M1018" s="18">
        <v>99000</v>
      </c>
      <c r="N1018" s="17"/>
    </row>
    <row r="1019" spans="1:14" ht="30" customHeight="1" outlineLevel="2" x14ac:dyDescent="0.25">
      <c r="A1019" s="6">
        <v>5</v>
      </c>
      <c r="B1019" s="6" t="str">
        <f t="shared" si="391"/>
        <v>ВРУ('ВРУ1-47-00) (1 и 2 секция)   (Альбом 40)</v>
      </c>
      <c r="C1019" s="7" t="s">
        <v>122</v>
      </c>
      <c r="D1019" s="7">
        <v>521349</v>
      </c>
      <c r="E1019" s="10" t="s">
        <v>148</v>
      </c>
      <c r="F1019" s="18">
        <v>1545</v>
      </c>
      <c r="G1019" s="18">
        <f t="shared" ref="G1019:G1023" si="393">F1019*0.6</f>
        <v>927</v>
      </c>
      <c r="H1019" s="18">
        <f t="shared" si="392"/>
        <v>13905</v>
      </c>
      <c r="I1019" s="7">
        <v>15</v>
      </c>
      <c r="J1019" s="9" t="s">
        <v>11</v>
      </c>
      <c r="K1019" s="9" t="s">
        <v>22</v>
      </c>
      <c r="L1019" s="9" t="s">
        <v>175</v>
      </c>
      <c r="M1019" s="18">
        <v>13905</v>
      </c>
      <c r="N1019" s="17"/>
    </row>
    <row r="1020" spans="1:14" ht="30" customHeight="1" outlineLevel="2" x14ac:dyDescent="0.25">
      <c r="A1020" s="6">
        <v>6</v>
      </c>
      <c r="B1020" s="6" t="str">
        <f t="shared" si="391"/>
        <v>ВРУ('ВРУ1-47-00) (1 и 2 секция)   (Альбом 40)</v>
      </c>
      <c r="C1020" s="7" t="s">
        <v>122</v>
      </c>
      <c r="D1020" s="7">
        <v>521341</v>
      </c>
      <c r="E1020" s="8" t="s">
        <v>124</v>
      </c>
      <c r="F1020" s="18">
        <v>1510</v>
      </c>
      <c r="G1020" s="18">
        <f t="shared" si="393"/>
        <v>906</v>
      </c>
      <c r="H1020" s="18">
        <f t="shared" si="392"/>
        <v>8154</v>
      </c>
      <c r="I1020" s="7">
        <v>9</v>
      </c>
      <c r="J1020" s="9" t="s">
        <v>11</v>
      </c>
      <c r="K1020" s="9" t="s">
        <v>22</v>
      </c>
      <c r="L1020" s="9" t="s">
        <v>175</v>
      </c>
      <c r="M1020" s="18">
        <v>8154</v>
      </c>
      <c r="N1020" s="17"/>
    </row>
    <row r="1021" spans="1:14" ht="30" customHeight="1" outlineLevel="2" x14ac:dyDescent="0.25">
      <c r="A1021" s="6">
        <v>6</v>
      </c>
      <c r="B1021" s="6" t="str">
        <f t="shared" si="391"/>
        <v>ВРУ('ВРУ1-47-00) (1 и 2 секция)   (Альбом 40)</v>
      </c>
      <c r="C1021" s="7" t="s">
        <v>122</v>
      </c>
      <c r="D1021" s="7">
        <v>521340</v>
      </c>
      <c r="E1021" s="8" t="s">
        <v>125</v>
      </c>
      <c r="F1021" s="18">
        <v>1510</v>
      </c>
      <c r="G1021" s="18">
        <f t="shared" si="393"/>
        <v>906</v>
      </c>
      <c r="H1021" s="18">
        <f t="shared" si="392"/>
        <v>2718</v>
      </c>
      <c r="I1021" s="7">
        <v>3</v>
      </c>
      <c r="J1021" s="9" t="s">
        <v>11</v>
      </c>
      <c r="K1021" s="9" t="s">
        <v>22</v>
      </c>
      <c r="L1021" s="9" t="s">
        <v>175</v>
      </c>
      <c r="M1021" s="18">
        <v>2718</v>
      </c>
      <c r="N1021" s="17"/>
    </row>
    <row r="1022" spans="1:14" ht="30" customHeight="1" outlineLevel="2" x14ac:dyDescent="0.25">
      <c r="A1022" s="6"/>
      <c r="B1022" s="6" t="str">
        <f t="shared" si="391"/>
        <v>ВРУ('ВРУ1-47-00) (1 и 2 секция)   (Альбом 40)</v>
      </c>
      <c r="C1022" s="7" t="s">
        <v>122</v>
      </c>
      <c r="D1022" s="7">
        <v>521345</v>
      </c>
      <c r="E1022" s="10" t="s">
        <v>121</v>
      </c>
      <c r="F1022" s="18">
        <v>1525</v>
      </c>
      <c r="G1022" s="18">
        <f t="shared" si="393"/>
        <v>915</v>
      </c>
      <c r="H1022" s="18">
        <f t="shared" si="392"/>
        <v>2745</v>
      </c>
      <c r="I1022" s="7">
        <v>3</v>
      </c>
      <c r="J1022" s="9" t="s">
        <v>11</v>
      </c>
      <c r="K1022" s="9" t="s">
        <v>22</v>
      </c>
      <c r="L1022" s="9" t="s">
        <v>175</v>
      </c>
      <c r="M1022" s="18">
        <v>2745</v>
      </c>
      <c r="N1022" s="17"/>
    </row>
    <row r="1023" spans="1:14" ht="30" customHeight="1" outlineLevel="2" x14ac:dyDescent="0.25">
      <c r="A1023" s="6">
        <v>6</v>
      </c>
      <c r="B1023" s="6" t="str">
        <f t="shared" si="391"/>
        <v>ВРУ('ВРУ1-47-00) (1 и 2 секция)   (Альбом 40)</v>
      </c>
      <c r="C1023" s="7" t="s">
        <v>250</v>
      </c>
      <c r="D1023" s="7" t="s">
        <v>258</v>
      </c>
      <c r="E1023" s="10" t="s">
        <v>259</v>
      </c>
      <c r="F1023" s="18">
        <v>2038</v>
      </c>
      <c r="G1023" s="18">
        <f t="shared" si="393"/>
        <v>1222.8</v>
      </c>
      <c r="H1023" s="18">
        <f t="shared" si="392"/>
        <v>36684</v>
      </c>
      <c r="I1023" s="7">
        <v>30</v>
      </c>
      <c r="J1023" s="9" t="s">
        <v>11</v>
      </c>
      <c r="K1023" s="9" t="s">
        <v>22</v>
      </c>
      <c r="L1023" s="9" t="s">
        <v>175</v>
      </c>
      <c r="M1023" s="18">
        <v>36684</v>
      </c>
      <c r="N1023" s="17"/>
    </row>
    <row r="1024" spans="1:14" ht="30" customHeight="1" outlineLevel="2" x14ac:dyDescent="0.25">
      <c r="A1024" s="6">
        <v>9</v>
      </c>
      <c r="B1024" s="6" t="str">
        <f t="shared" si="391"/>
        <v>ВРУ('ВРУ1-47-00) (1 и 2 секция)   (Альбом 40)</v>
      </c>
      <c r="C1024" s="7" t="s">
        <v>8</v>
      </c>
      <c r="D1024" s="7" t="s">
        <v>8</v>
      </c>
      <c r="E1024" s="8" t="s">
        <v>8</v>
      </c>
      <c r="F1024" s="18">
        <f ca="1">OFFSET(F1024,1,2)</f>
        <v>48000</v>
      </c>
      <c r="G1024" s="18">
        <f ca="1">F1024</f>
        <v>48000</v>
      </c>
      <c r="H1024" s="18">
        <f t="shared" ca="1" si="392"/>
        <v>48000</v>
      </c>
      <c r="I1024" s="7">
        <v>1</v>
      </c>
      <c r="J1024" s="9" t="s">
        <v>11</v>
      </c>
      <c r="K1024" s="7" t="s">
        <v>8</v>
      </c>
      <c r="L1024" s="7" t="s">
        <v>175</v>
      </c>
      <c r="M1024" s="18">
        <v>48000</v>
      </c>
      <c r="N1024" s="17"/>
    </row>
    <row r="1025" spans="1:14" ht="30" customHeight="1" outlineLevel="2" x14ac:dyDescent="0.25">
      <c r="A1025" s="6">
        <v>10</v>
      </c>
      <c r="B1025" s="6" t="str">
        <f t="shared" si="391"/>
        <v>ВРУ('ВРУ1-47-00) (1 и 2 секция)   (Альбом 40)</v>
      </c>
      <c r="C1025" s="7" t="s">
        <v>9</v>
      </c>
      <c r="D1025" s="7" t="s">
        <v>9</v>
      </c>
      <c r="E1025" s="8" t="s">
        <v>9</v>
      </c>
      <c r="F1025" s="18">
        <v>8</v>
      </c>
      <c r="G1025" s="18">
        <v>100</v>
      </c>
      <c r="H1025" s="18">
        <f t="shared" si="392"/>
        <v>48000</v>
      </c>
      <c r="I1025" s="7">
        <f>60*F1025</f>
        <v>480</v>
      </c>
      <c r="J1025" s="9" t="s">
        <v>11</v>
      </c>
      <c r="K1025" s="7" t="s">
        <v>9</v>
      </c>
      <c r="L1025" s="7" t="s">
        <v>175</v>
      </c>
      <c r="M1025" s="18">
        <v>48000</v>
      </c>
      <c r="N1025" s="17"/>
    </row>
    <row r="1026" spans="1:14" ht="30" customHeight="1" outlineLevel="1" x14ac:dyDescent="0.25">
      <c r="A1026" s="6"/>
      <c r="B1026" s="6" t="s">
        <v>438</v>
      </c>
      <c r="C1026" s="7"/>
      <c r="D1026" s="7"/>
      <c r="E1026" s="8"/>
      <c r="F1026" s="18"/>
      <c r="G1026" s="18"/>
      <c r="H1026" s="18">
        <f ca="1">SUBTOTAL(9,H1017:H1025)</f>
        <v>259206</v>
      </c>
      <c r="I1026" s="7"/>
      <c r="J1026" s="9"/>
      <c r="K1026" s="7"/>
      <c r="L1026" s="7"/>
      <c r="M1026" s="18">
        <v>259206</v>
      </c>
      <c r="N1026" s="17"/>
    </row>
    <row r="1027" spans="1:14" ht="30" customHeight="1" outlineLevel="2" x14ac:dyDescent="0.25">
      <c r="A1027" s="3">
        <v>13</v>
      </c>
      <c r="B1027" s="3" t="str">
        <f>E1027</f>
        <v xml:space="preserve">ЩО - 1 (Альбом 40) </v>
      </c>
      <c r="C1027" s="3"/>
      <c r="D1027" s="14"/>
      <c r="E1027" s="3" t="s">
        <v>179</v>
      </c>
      <c r="F1027" s="13"/>
      <c r="G1027" s="13"/>
      <c r="H1027" s="13"/>
      <c r="I1027" s="5">
        <v>1</v>
      </c>
      <c r="J1027" s="4" t="s">
        <v>6</v>
      </c>
      <c r="K1027" s="4" t="s">
        <v>23</v>
      </c>
      <c r="L1027" s="4" t="s">
        <v>175</v>
      </c>
      <c r="M1027" s="13"/>
      <c r="N1027" s="17"/>
    </row>
    <row r="1028" spans="1:14" ht="30" customHeight="1" outlineLevel="2" x14ac:dyDescent="0.25">
      <c r="A1028" s="6">
        <v>14</v>
      </c>
      <c r="B1028" s="6" t="str">
        <f t="shared" ref="B1028:B1033" si="394">B1027</f>
        <v xml:space="preserve">ЩО - 1 (Альбом 40) </v>
      </c>
      <c r="C1028" s="7" t="s">
        <v>7</v>
      </c>
      <c r="D1028" s="7" t="s">
        <v>270</v>
      </c>
      <c r="E1028" s="8" t="s">
        <v>271</v>
      </c>
      <c r="F1028" s="18">
        <v>16000</v>
      </c>
      <c r="G1028" s="18">
        <f>0.6*F1028</f>
        <v>9600</v>
      </c>
      <c r="H1028" s="18">
        <f t="shared" ref="H1028:H1033" si="395">G1028*I1028</f>
        <v>9600</v>
      </c>
      <c r="I1028" s="7">
        <v>1</v>
      </c>
      <c r="J1028" s="9" t="s">
        <v>11</v>
      </c>
      <c r="K1028" s="9" t="s">
        <v>24</v>
      </c>
      <c r="L1028" s="9" t="s">
        <v>175</v>
      </c>
      <c r="M1028" s="18">
        <v>9600</v>
      </c>
      <c r="N1028" s="17"/>
    </row>
    <row r="1029" spans="1:14" ht="30" customHeight="1" outlineLevel="2" x14ac:dyDescent="0.25">
      <c r="A1029" s="6">
        <v>15</v>
      </c>
      <c r="B1029" s="6" t="str">
        <f t="shared" si="394"/>
        <v xml:space="preserve">ЩО - 1 (Альбом 40) </v>
      </c>
      <c r="C1029" s="7" t="s">
        <v>10</v>
      </c>
      <c r="D1029" s="7">
        <v>296829</v>
      </c>
      <c r="E1029" s="8" t="s">
        <v>44</v>
      </c>
      <c r="F1029" s="18">
        <v>2429</v>
      </c>
      <c r="G1029" s="18">
        <f t="shared" ref="G1029:G1031" si="396">F1029*0.6</f>
        <v>1457.3999999999999</v>
      </c>
      <c r="H1029" s="18">
        <f t="shared" si="395"/>
        <v>1457.3999999999999</v>
      </c>
      <c r="I1029" s="7">
        <v>1</v>
      </c>
      <c r="J1029" s="9" t="s">
        <v>11</v>
      </c>
      <c r="K1029" s="9" t="s">
        <v>22</v>
      </c>
      <c r="L1029" s="9" t="s">
        <v>175</v>
      </c>
      <c r="M1029" s="18">
        <v>1457.3999999999999</v>
      </c>
      <c r="N1029" s="17"/>
    </row>
    <row r="1030" spans="1:14" ht="30" customHeight="1" outlineLevel="2" x14ac:dyDescent="0.25">
      <c r="A1030" s="6">
        <v>15</v>
      </c>
      <c r="B1030" s="6" t="str">
        <f t="shared" si="394"/>
        <v xml:space="preserve">ЩО - 1 (Альбом 40) </v>
      </c>
      <c r="C1030" s="7" t="s">
        <v>10</v>
      </c>
      <c r="D1030" s="7">
        <v>296710</v>
      </c>
      <c r="E1030" s="8" t="s">
        <v>41</v>
      </c>
      <c r="F1030" s="18">
        <v>783</v>
      </c>
      <c r="G1030" s="18">
        <f t="shared" si="396"/>
        <v>469.79999999999995</v>
      </c>
      <c r="H1030" s="18">
        <f t="shared" si="395"/>
        <v>5167.7999999999993</v>
      </c>
      <c r="I1030" s="7">
        <v>11</v>
      </c>
      <c r="J1030" s="9" t="s">
        <v>11</v>
      </c>
      <c r="K1030" s="9" t="s">
        <v>22</v>
      </c>
      <c r="L1030" s="9" t="s">
        <v>175</v>
      </c>
      <c r="M1030" s="18">
        <v>5167.7999999999993</v>
      </c>
      <c r="N1030" s="17"/>
    </row>
    <row r="1031" spans="1:14" ht="30" customHeight="1" outlineLevel="2" x14ac:dyDescent="0.25">
      <c r="A1031" s="6">
        <v>15</v>
      </c>
      <c r="B1031" s="6" t="str">
        <f t="shared" si="394"/>
        <v xml:space="preserve">ЩО - 1 (Альбом 40) </v>
      </c>
      <c r="C1031" s="7" t="s">
        <v>12</v>
      </c>
      <c r="D1031" s="7">
        <v>105542</v>
      </c>
      <c r="E1031" s="8" t="s">
        <v>43</v>
      </c>
      <c r="F1031" s="18">
        <v>5093</v>
      </c>
      <c r="G1031" s="18">
        <f t="shared" si="396"/>
        <v>3055.7999999999997</v>
      </c>
      <c r="H1031" s="18">
        <f t="shared" si="395"/>
        <v>3055.7999999999997</v>
      </c>
      <c r="I1031" s="7">
        <v>1</v>
      </c>
      <c r="J1031" s="9" t="s">
        <v>11</v>
      </c>
      <c r="K1031" s="9" t="s">
        <v>22</v>
      </c>
      <c r="L1031" s="9" t="s">
        <v>175</v>
      </c>
      <c r="M1031" s="18">
        <v>3055.7999999999997</v>
      </c>
      <c r="N1031" s="17"/>
    </row>
    <row r="1032" spans="1:14" ht="28.5" customHeight="1" outlineLevel="2" x14ac:dyDescent="0.25">
      <c r="A1032" s="6">
        <v>19</v>
      </c>
      <c r="B1032" s="6" t="str">
        <f t="shared" si="394"/>
        <v xml:space="preserve">ЩО - 1 (Альбом 40) </v>
      </c>
      <c r="C1032" s="7" t="s">
        <v>8</v>
      </c>
      <c r="D1032" s="7" t="s">
        <v>8</v>
      </c>
      <c r="E1032" s="8" t="s">
        <v>8</v>
      </c>
      <c r="F1032" s="18">
        <f ca="1">OFFSET(F1032,1,2)</f>
        <v>9000</v>
      </c>
      <c r="G1032" s="18">
        <f ca="1">F1032</f>
        <v>9000</v>
      </c>
      <c r="H1032" s="18">
        <f t="shared" ca="1" si="395"/>
        <v>9000</v>
      </c>
      <c r="I1032" s="7">
        <v>1</v>
      </c>
      <c r="J1032" s="9" t="s">
        <v>11</v>
      </c>
      <c r="K1032" s="7" t="s">
        <v>8</v>
      </c>
      <c r="L1032" s="7" t="s">
        <v>175</v>
      </c>
      <c r="M1032" s="18">
        <v>9000</v>
      </c>
      <c r="N1032" s="17"/>
    </row>
    <row r="1033" spans="1:14" ht="30" customHeight="1" outlineLevel="2" x14ac:dyDescent="0.25">
      <c r="A1033" s="6">
        <v>20</v>
      </c>
      <c r="B1033" s="6" t="str">
        <f t="shared" si="394"/>
        <v xml:space="preserve">ЩО - 1 (Альбом 40) </v>
      </c>
      <c r="C1033" s="7" t="s">
        <v>9</v>
      </c>
      <c r="D1033" s="7" t="s">
        <v>9</v>
      </c>
      <c r="E1033" s="8" t="s">
        <v>9</v>
      </c>
      <c r="F1033" s="18">
        <v>1.5</v>
      </c>
      <c r="G1033" s="18">
        <v>100</v>
      </c>
      <c r="H1033" s="18">
        <f t="shared" si="395"/>
        <v>9000</v>
      </c>
      <c r="I1033" s="7">
        <f>60*F1033</f>
        <v>90</v>
      </c>
      <c r="J1033" s="9" t="s">
        <v>11</v>
      </c>
      <c r="K1033" s="7" t="s">
        <v>9</v>
      </c>
      <c r="L1033" s="7" t="s">
        <v>175</v>
      </c>
      <c r="M1033" s="18">
        <v>9000</v>
      </c>
      <c r="N1033" s="17"/>
    </row>
    <row r="1034" spans="1:14" ht="30" customHeight="1" outlineLevel="1" x14ac:dyDescent="0.25">
      <c r="A1034" s="6"/>
      <c r="B1034" s="6" t="s">
        <v>439</v>
      </c>
      <c r="C1034" s="7"/>
      <c r="D1034" s="7"/>
      <c r="E1034" s="8"/>
      <c r="F1034" s="18"/>
      <c r="G1034" s="18"/>
      <c r="H1034" s="18">
        <f ca="1">SUBTOTAL(9,H1027:H1033)</f>
        <v>37281</v>
      </c>
      <c r="I1034" s="7"/>
      <c r="J1034" s="9"/>
      <c r="K1034" s="7"/>
      <c r="L1034" s="7"/>
      <c r="M1034" s="18">
        <v>37281</v>
      </c>
      <c r="N1034" s="17"/>
    </row>
    <row r="1035" spans="1:14" ht="30" customHeight="1" outlineLevel="2" x14ac:dyDescent="0.25">
      <c r="A1035" s="3">
        <v>13</v>
      </c>
      <c r="B1035" s="3" t="str">
        <f>E1035</f>
        <v xml:space="preserve">ЩАО - 1 (Альбом 40) </v>
      </c>
      <c r="C1035" s="3"/>
      <c r="D1035" s="14"/>
      <c r="E1035" s="3" t="s">
        <v>180</v>
      </c>
      <c r="F1035" s="13"/>
      <c r="G1035" s="13"/>
      <c r="H1035" s="13"/>
      <c r="I1035" s="5">
        <v>1</v>
      </c>
      <c r="J1035" s="4" t="s">
        <v>6</v>
      </c>
      <c r="K1035" s="4" t="s">
        <v>23</v>
      </c>
      <c r="L1035" s="4" t="s">
        <v>175</v>
      </c>
      <c r="M1035" s="13"/>
      <c r="N1035" s="17"/>
    </row>
    <row r="1036" spans="1:14" ht="30" customHeight="1" outlineLevel="2" x14ac:dyDescent="0.25">
      <c r="A1036" s="6">
        <v>14</v>
      </c>
      <c r="B1036" s="6" t="str">
        <f t="shared" ref="B1036:B1040" si="397">B1035</f>
        <v xml:space="preserve">ЩАО - 1 (Альбом 40) </v>
      </c>
      <c r="C1036" s="7" t="s">
        <v>7</v>
      </c>
      <c r="D1036" s="7" t="s">
        <v>268</v>
      </c>
      <c r="E1036" s="8" t="s">
        <v>269</v>
      </c>
      <c r="F1036" s="18">
        <v>10500</v>
      </c>
      <c r="G1036" s="18">
        <f>0.6*F1036</f>
        <v>6300</v>
      </c>
      <c r="H1036" s="18">
        <f t="shared" ref="H1036:H1040" si="398">G1036*I1036</f>
        <v>6300</v>
      </c>
      <c r="I1036" s="7">
        <v>1</v>
      </c>
      <c r="J1036" s="9" t="s">
        <v>11</v>
      </c>
      <c r="K1036" s="9" t="s">
        <v>24</v>
      </c>
      <c r="L1036" s="9" t="s">
        <v>175</v>
      </c>
      <c r="M1036" s="18">
        <v>6300</v>
      </c>
      <c r="N1036" s="17"/>
    </row>
    <row r="1037" spans="1:14" ht="30" customHeight="1" outlineLevel="2" x14ac:dyDescent="0.25">
      <c r="A1037" s="6">
        <v>15</v>
      </c>
      <c r="B1037" s="6" t="str">
        <f t="shared" si="397"/>
        <v xml:space="preserve">ЩАО - 1 (Альбом 40) </v>
      </c>
      <c r="C1037" s="7" t="s">
        <v>10</v>
      </c>
      <c r="D1037" s="7">
        <v>296829</v>
      </c>
      <c r="E1037" s="8" t="s">
        <v>44</v>
      </c>
      <c r="F1037" s="18">
        <v>2429</v>
      </c>
      <c r="G1037" s="18">
        <f t="shared" ref="G1037:G1038" si="399">F1037*0.6</f>
        <v>1457.3999999999999</v>
      </c>
      <c r="H1037" s="18">
        <f t="shared" si="398"/>
        <v>1457.3999999999999</v>
      </c>
      <c r="I1037" s="7">
        <v>1</v>
      </c>
      <c r="J1037" s="9" t="s">
        <v>11</v>
      </c>
      <c r="K1037" s="9" t="s">
        <v>22</v>
      </c>
      <c r="L1037" s="9" t="s">
        <v>175</v>
      </c>
      <c r="M1037" s="18">
        <v>1457.3999999999999</v>
      </c>
      <c r="N1037" s="17"/>
    </row>
    <row r="1038" spans="1:14" ht="30" customHeight="1" outlineLevel="2" x14ac:dyDescent="0.25">
      <c r="A1038" s="6">
        <v>15</v>
      </c>
      <c r="B1038" s="6" t="str">
        <f t="shared" si="397"/>
        <v xml:space="preserve">ЩАО - 1 (Альбом 40) </v>
      </c>
      <c r="C1038" s="7" t="s">
        <v>10</v>
      </c>
      <c r="D1038" s="7">
        <v>296710</v>
      </c>
      <c r="E1038" s="8" t="s">
        <v>41</v>
      </c>
      <c r="F1038" s="18">
        <v>783</v>
      </c>
      <c r="G1038" s="18">
        <f t="shared" si="399"/>
        <v>469.79999999999995</v>
      </c>
      <c r="H1038" s="18">
        <f t="shared" si="398"/>
        <v>1409.3999999999999</v>
      </c>
      <c r="I1038" s="7">
        <v>3</v>
      </c>
      <c r="J1038" s="9" t="s">
        <v>11</v>
      </c>
      <c r="K1038" s="9" t="s">
        <v>22</v>
      </c>
      <c r="L1038" s="9" t="s">
        <v>175</v>
      </c>
      <c r="M1038" s="18">
        <v>1409.3999999999999</v>
      </c>
      <c r="N1038" s="17"/>
    </row>
    <row r="1039" spans="1:14" ht="28.5" customHeight="1" outlineLevel="2" x14ac:dyDescent="0.25">
      <c r="A1039" s="6">
        <v>19</v>
      </c>
      <c r="B1039" s="6" t="str">
        <f t="shared" si="397"/>
        <v xml:space="preserve">ЩАО - 1 (Альбом 40) </v>
      </c>
      <c r="C1039" s="7" t="s">
        <v>8</v>
      </c>
      <c r="D1039" s="7" t="s">
        <v>8</v>
      </c>
      <c r="E1039" s="8" t="s">
        <v>8</v>
      </c>
      <c r="F1039" s="18">
        <f ca="1">OFFSET(F1039,1,2)</f>
        <v>6000</v>
      </c>
      <c r="G1039" s="18">
        <f ca="1">F1039</f>
        <v>6000</v>
      </c>
      <c r="H1039" s="18">
        <f t="shared" ca="1" si="398"/>
        <v>6000</v>
      </c>
      <c r="I1039" s="7">
        <v>1</v>
      </c>
      <c r="J1039" s="9" t="s">
        <v>11</v>
      </c>
      <c r="K1039" s="7" t="s">
        <v>8</v>
      </c>
      <c r="L1039" s="7" t="s">
        <v>175</v>
      </c>
      <c r="M1039" s="18">
        <v>6000</v>
      </c>
      <c r="N1039" s="17"/>
    </row>
    <row r="1040" spans="1:14" ht="30" customHeight="1" outlineLevel="2" x14ac:dyDescent="0.25">
      <c r="A1040" s="6">
        <v>20</v>
      </c>
      <c r="B1040" s="6" t="str">
        <f t="shared" si="397"/>
        <v xml:space="preserve">ЩАО - 1 (Альбом 40) </v>
      </c>
      <c r="C1040" s="7" t="s">
        <v>9</v>
      </c>
      <c r="D1040" s="7" t="s">
        <v>9</v>
      </c>
      <c r="E1040" s="8" t="s">
        <v>9</v>
      </c>
      <c r="F1040" s="18">
        <v>1</v>
      </c>
      <c r="G1040" s="18">
        <v>100</v>
      </c>
      <c r="H1040" s="18">
        <f t="shared" si="398"/>
        <v>6000</v>
      </c>
      <c r="I1040" s="7">
        <f>60*F1040</f>
        <v>60</v>
      </c>
      <c r="J1040" s="9" t="s">
        <v>11</v>
      </c>
      <c r="K1040" s="7" t="s">
        <v>9</v>
      </c>
      <c r="L1040" s="7" t="s">
        <v>175</v>
      </c>
      <c r="M1040" s="18">
        <v>6000</v>
      </c>
      <c r="N1040" s="17"/>
    </row>
    <row r="1041" spans="1:14" ht="30" customHeight="1" outlineLevel="1" x14ac:dyDescent="0.25">
      <c r="A1041" s="6"/>
      <c r="B1041" s="6" t="s">
        <v>440</v>
      </c>
      <c r="C1041" s="7"/>
      <c r="D1041" s="7"/>
      <c r="E1041" s="8"/>
      <c r="F1041" s="18"/>
      <c r="G1041" s="18"/>
      <c r="H1041" s="18">
        <f ca="1">SUBTOTAL(9,H1035:H1040)</f>
        <v>21166.799999999999</v>
      </c>
      <c r="I1041" s="7"/>
      <c r="J1041" s="9"/>
      <c r="K1041" s="7"/>
      <c r="L1041" s="7"/>
      <c r="M1041" s="18">
        <v>21166.799999999999</v>
      </c>
      <c r="N1041" s="17"/>
    </row>
    <row r="1042" spans="1:14" ht="30" customHeight="1" outlineLevel="2" x14ac:dyDescent="0.25">
      <c r="A1042" s="3">
        <v>13</v>
      </c>
      <c r="B1042" s="3" t="str">
        <f>E1042</f>
        <v xml:space="preserve">ЩС - 1, ЩС - 2, ЩС - 4 (Альбом 40) </v>
      </c>
      <c r="C1042" s="3"/>
      <c r="D1042" s="14"/>
      <c r="E1042" s="3" t="s">
        <v>182</v>
      </c>
      <c r="F1042" s="13"/>
      <c r="G1042" s="13"/>
      <c r="H1042" s="13"/>
      <c r="I1042" s="5">
        <v>3</v>
      </c>
      <c r="J1042" s="4" t="s">
        <v>6</v>
      </c>
      <c r="K1042" s="4" t="s">
        <v>23</v>
      </c>
      <c r="L1042" s="4" t="s">
        <v>175</v>
      </c>
      <c r="M1042" s="13"/>
      <c r="N1042" s="17"/>
    </row>
    <row r="1043" spans="1:14" ht="30" customHeight="1" outlineLevel="2" x14ac:dyDescent="0.25">
      <c r="A1043" s="6">
        <v>14</v>
      </c>
      <c r="B1043" s="6" t="str">
        <f t="shared" ref="B1043:B1047" si="400">B1042</f>
        <v xml:space="preserve">ЩС - 1, ЩС - 2, ЩС - 4 (Альбом 40) </v>
      </c>
      <c r="C1043" s="7" t="s">
        <v>7</v>
      </c>
      <c r="D1043" s="7" t="s">
        <v>268</v>
      </c>
      <c r="E1043" s="8" t="s">
        <v>269</v>
      </c>
      <c r="F1043" s="18">
        <v>10500</v>
      </c>
      <c r="G1043" s="18">
        <f>0.6*F1043</f>
        <v>6300</v>
      </c>
      <c r="H1043" s="18">
        <f t="shared" ref="H1043:H1047" si="401">G1043*I1043</f>
        <v>6300</v>
      </c>
      <c r="I1043" s="7">
        <v>1</v>
      </c>
      <c r="J1043" s="9" t="s">
        <v>11</v>
      </c>
      <c r="K1043" s="9" t="s">
        <v>24</v>
      </c>
      <c r="L1043" s="9" t="s">
        <v>175</v>
      </c>
      <c r="M1043" s="18">
        <v>6300</v>
      </c>
      <c r="N1043" s="17"/>
    </row>
    <row r="1044" spans="1:14" ht="30" customHeight="1" outlineLevel="2" x14ac:dyDescent="0.25">
      <c r="A1044" s="6">
        <v>15</v>
      </c>
      <c r="B1044" s="6" t="str">
        <f t="shared" si="400"/>
        <v xml:space="preserve">ЩС - 1, ЩС - 2, ЩС - 4 (Альбом 40) </v>
      </c>
      <c r="C1044" s="7" t="s">
        <v>13</v>
      </c>
      <c r="D1044" s="7">
        <v>193184</v>
      </c>
      <c r="E1044" s="8" t="s">
        <v>181</v>
      </c>
      <c r="F1044" s="18">
        <v>4439</v>
      </c>
      <c r="G1044" s="18">
        <f t="shared" ref="G1044:G1045" si="402">F1044*0.6</f>
        <v>2663.4</v>
      </c>
      <c r="H1044" s="18">
        <f t="shared" si="401"/>
        <v>2663.4</v>
      </c>
      <c r="I1044" s="7">
        <v>1</v>
      </c>
      <c r="J1044" s="9" t="s">
        <v>11</v>
      </c>
      <c r="K1044" s="9" t="s">
        <v>22</v>
      </c>
      <c r="L1044" s="9" t="s">
        <v>175</v>
      </c>
      <c r="M1044" s="18">
        <v>2663.4</v>
      </c>
      <c r="N1044" s="17"/>
    </row>
    <row r="1045" spans="1:14" ht="30" customHeight="1" outlineLevel="2" x14ac:dyDescent="0.25">
      <c r="A1045" s="6">
        <v>15</v>
      </c>
      <c r="B1045" s="6" t="str">
        <f t="shared" si="400"/>
        <v xml:space="preserve">ЩС - 1, ЩС - 2, ЩС - 4 (Альбом 40) </v>
      </c>
      <c r="C1045" s="7" t="s">
        <v>10</v>
      </c>
      <c r="D1045" s="7">
        <v>296833</v>
      </c>
      <c r="E1045" s="8" t="s">
        <v>54</v>
      </c>
      <c r="F1045" s="18">
        <v>3641</v>
      </c>
      <c r="G1045" s="18">
        <f t="shared" si="402"/>
        <v>2184.6</v>
      </c>
      <c r="H1045" s="18">
        <f t="shared" si="401"/>
        <v>2184.6</v>
      </c>
      <c r="I1045" s="7">
        <v>1</v>
      </c>
      <c r="J1045" s="9" t="s">
        <v>11</v>
      </c>
      <c r="K1045" s="9" t="s">
        <v>22</v>
      </c>
      <c r="L1045" s="9" t="s">
        <v>175</v>
      </c>
      <c r="M1045" s="18">
        <v>2184.6</v>
      </c>
      <c r="N1045" s="17"/>
    </row>
    <row r="1046" spans="1:14" ht="28.5" customHeight="1" outlineLevel="2" x14ac:dyDescent="0.25">
      <c r="A1046" s="6">
        <v>19</v>
      </c>
      <c r="B1046" s="6" t="str">
        <f t="shared" si="400"/>
        <v xml:space="preserve">ЩС - 1, ЩС - 2, ЩС - 4 (Альбом 40) </v>
      </c>
      <c r="C1046" s="7" t="s">
        <v>8</v>
      </c>
      <c r="D1046" s="7" t="s">
        <v>8</v>
      </c>
      <c r="E1046" s="8" t="s">
        <v>8</v>
      </c>
      <c r="F1046" s="18">
        <f ca="1">OFFSET(F1046,1,2)</f>
        <v>6000</v>
      </c>
      <c r="G1046" s="18">
        <f ca="1">F1046</f>
        <v>6000</v>
      </c>
      <c r="H1046" s="18">
        <f t="shared" ca="1" si="401"/>
        <v>6000</v>
      </c>
      <c r="I1046" s="7">
        <v>1</v>
      </c>
      <c r="J1046" s="9" t="s">
        <v>11</v>
      </c>
      <c r="K1046" s="7" t="s">
        <v>8</v>
      </c>
      <c r="L1046" s="7" t="s">
        <v>175</v>
      </c>
      <c r="M1046" s="18">
        <v>6000</v>
      </c>
      <c r="N1046" s="17"/>
    </row>
    <row r="1047" spans="1:14" ht="30" customHeight="1" outlineLevel="2" x14ac:dyDescent="0.25">
      <c r="A1047" s="6">
        <v>20</v>
      </c>
      <c r="B1047" s="6" t="str">
        <f t="shared" si="400"/>
        <v xml:space="preserve">ЩС - 1, ЩС - 2, ЩС - 4 (Альбом 40) </v>
      </c>
      <c r="C1047" s="7" t="s">
        <v>9</v>
      </c>
      <c r="D1047" s="7" t="s">
        <v>9</v>
      </c>
      <c r="E1047" s="8" t="s">
        <v>9</v>
      </c>
      <c r="F1047" s="18">
        <v>1</v>
      </c>
      <c r="G1047" s="18">
        <v>100</v>
      </c>
      <c r="H1047" s="18">
        <f t="shared" si="401"/>
        <v>6000</v>
      </c>
      <c r="I1047" s="7">
        <f>60*F1047</f>
        <v>60</v>
      </c>
      <c r="J1047" s="9" t="s">
        <v>11</v>
      </c>
      <c r="K1047" s="7" t="s">
        <v>9</v>
      </c>
      <c r="L1047" s="7" t="s">
        <v>175</v>
      </c>
      <c r="M1047" s="18">
        <v>6000</v>
      </c>
      <c r="N1047" s="17"/>
    </row>
    <row r="1048" spans="1:14" ht="30" customHeight="1" outlineLevel="1" x14ac:dyDescent="0.25">
      <c r="A1048" s="6"/>
      <c r="B1048" s="6" t="s">
        <v>441</v>
      </c>
      <c r="C1048" s="7"/>
      <c r="D1048" s="7"/>
      <c r="E1048" s="8"/>
      <c r="F1048" s="18"/>
      <c r="G1048" s="18"/>
      <c r="H1048" s="18">
        <f ca="1">SUBTOTAL(9,H1042:H1047)</f>
        <v>23148</v>
      </c>
      <c r="I1048" s="7"/>
      <c r="J1048" s="9"/>
      <c r="K1048" s="7"/>
      <c r="L1048" s="7"/>
      <c r="M1048" s="18">
        <v>23148</v>
      </c>
      <c r="N1048" s="17"/>
    </row>
    <row r="1049" spans="1:14" ht="30" customHeight="1" outlineLevel="2" x14ac:dyDescent="0.25">
      <c r="A1049" s="3">
        <v>13</v>
      </c>
      <c r="B1049" s="3" t="str">
        <f>E1049</f>
        <v xml:space="preserve">ЩС - 3, ЩС - 5 (Альбом 40) </v>
      </c>
      <c r="C1049" s="3"/>
      <c r="D1049" s="14"/>
      <c r="E1049" s="3" t="s">
        <v>183</v>
      </c>
      <c r="F1049" s="13"/>
      <c r="G1049" s="13"/>
      <c r="H1049" s="13"/>
      <c r="I1049" s="5">
        <v>2</v>
      </c>
      <c r="J1049" s="4" t="s">
        <v>6</v>
      </c>
      <c r="K1049" s="4" t="s">
        <v>23</v>
      </c>
      <c r="L1049" s="4" t="s">
        <v>175</v>
      </c>
      <c r="M1049" s="13"/>
      <c r="N1049" s="17"/>
    </row>
    <row r="1050" spans="1:14" ht="30" customHeight="1" outlineLevel="2" x14ac:dyDescent="0.25">
      <c r="A1050" s="6">
        <v>14</v>
      </c>
      <c r="B1050" s="6" t="str">
        <f t="shared" ref="B1050:B1055" si="403">B1049</f>
        <v xml:space="preserve">ЩС - 3, ЩС - 5 (Альбом 40) </v>
      </c>
      <c r="C1050" s="7" t="s">
        <v>7</v>
      </c>
      <c r="D1050" s="7" t="s">
        <v>268</v>
      </c>
      <c r="E1050" s="8" t="s">
        <v>269</v>
      </c>
      <c r="F1050" s="18">
        <v>10500</v>
      </c>
      <c r="G1050" s="18">
        <f>0.6*F1050</f>
        <v>6300</v>
      </c>
      <c r="H1050" s="18">
        <f t="shared" ref="H1050:H1055" si="404">G1050*I1050</f>
        <v>6300</v>
      </c>
      <c r="I1050" s="7">
        <v>1</v>
      </c>
      <c r="J1050" s="9" t="s">
        <v>11</v>
      </c>
      <c r="K1050" s="9" t="s">
        <v>24</v>
      </c>
      <c r="L1050" s="9" t="s">
        <v>175</v>
      </c>
      <c r="M1050" s="18">
        <v>6300</v>
      </c>
      <c r="N1050" s="17"/>
    </row>
    <row r="1051" spans="1:14" ht="30" customHeight="1" outlineLevel="2" x14ac:dyDescent="0.25">
      <c r="A1051" s="6">
        <v>15</v>
      </c>
      <c r="B1051" s="6" t="str">
        <f t="shared" si="403"/>
        <v xml:space="preserve">ЩС - 3, ЩС - 5 (Альбом 40) </v>
      </c>
      <c r="C1051" s="7" t="s">
        <v>13</v>
      </c>
      <c r="D1051" s="7">
        <v>193184</v>
      </c>
      <c r="E1051" s="8" t="s">
        <v>181</v>
      </c>
      <c r="F1051" s="18">
        <v>4439</v>
      </c>
      <c r="G1051" s="18">
        <f t="shared" ref="G1051:G1053" si="405">F1051*0.6</f>
        <v>2663.4</v>
      </c>
      <c r="H1051" s="18">
        <f t="shared" si="404"/>
        <v>2663.4</v>
      </c>
      <c r="I1051" s="7">
        <v>1</v>
      </c>
      <c r="J1051" s="9" t="s">
        <v>11</v>
      </c>
      <c r="K1051" s="9" t="s">
        <v>22</v>
      </c>
      <c r="L1051" s="9" t="s">
        <v>175</v>
      </c>
      <c r="M1051" s="18">
        <v>2663.4</v>
      </c>
      <c r="N1051" s="17"/>
    </row>
    <row r="1052" spans="1:14" ht="30" customHeight="1" outlineLevel="2" x14ac:dyDescent="0.25">
      <c r="A1052" s="6">
        <v>15</v>
      </c>
      <c r="B1052" s="6" t="str">
        <f t="shared" si="403"/>
        <v xml:space="preserve">ЩС - 3, ЩС - 5 (Альбом 40) </v>
      </c>
      <c r="C1052" s="7" t="s">
        <v>10</v>
      </c>
      <c r="D1052" s="7">
        <v>296833</v>
      </c>
      <c r="E1052" s="8" t="s">
        <v>54</v>
      </c>
      <c r="F1052" s="18">
        <v>3641</v>
      </c>
      <c r="G1052" s="18">
        <f t="shared" si="405"/>
        <v>2184.6</v>
      </c>
      <c r="H1052" s="18">
        <f t="shared" si="404"/>
        <v>2184.6</v>
      </c>
      <c r="I1052" s="7">
        <v>1</v>
      </c>
      <c r="J1052" s="9" t="s">
        <v>11</v>
      </c>
      <c r="K1052" s="9" t="s">
        <v>22</v>
      </c>
      <c r="L1052" s="9" t="s">
        <v>175</v>
      </c>
      <c r="M1052" s="18">
        <v>2184.6</v>
      </c>
      <c r="N1052" s="17"/>
    </row>
    <row r="1053" spans="1:14" ht="30" customHeight="1" outlineLevel="2" x14ac:dyDescent="0.25">
      <c r="A1053" s="6">
        <v>15</v>
      </c>
      <c r="B1053" s="6" t="str">
        <f t="shared" si="403"/>
        <v xml:space="preserve">ЩС - 3, ЩС - 5 (Альбом 40) </v>
      </c>
      <c r="C1053" s="7" t="s">
        <v>10</v>
      </c>
      <c r="D1053" s="7">
        <v>296827</v>
      </c>
      <c r="E1053" s="8" t="s">
        <v>169</v>
      </c>
      <c r="F1053" s="18">
        <v>2337</v>
      </c>
      <c r="G1053" s="18">
        <f t="shared" si="405"/>
        <v>1402.2</v>
      </c>
      <c r="H1053" s="18">
        <f t="shared" si="404"/>
        <v>1402.2</v>
      </c>
      <c r="I1053" s="7">
        <v>1</v>
      </c>
      <c r="J1053" s="9" t="s">
        <v>11</v>
      </c>
      <c r="K1053" s="9" t="s">
        <v>22</v>
      </c>
      <c r="L1053" s="9" t="s">
        <v>175</v>
      </c>
      <c r="M1053" s="18">
        <v>1402.2</v>
      </c>
      <c r="N1053" s="17"/>
    </row>
    <row r="1054" spans="1:14" ht="28.5" customHeight="1" outlineLevel="2" x14ac:dyDescent="0.25">
      <c r="A1054" s="6">
        <v>19</v>
      </c>
      <c r="B1054" s="6" t="str">
        <f t="shared" si="403"/>
        <v xml:space="preserve">ЩС - 3, ЩС - 5 (Альбом 40) </v>
      </c>
      <c r="C1054" s="7" t="s">
        <v>8</v>
      </c>
      <c r="D1054" s="7" t="s">
        <v>8</v>
      </c>
      <c r="E1054" s="8" t="s">
        <v>8</v>
      </c>
      <c r="F1054" s="18">
        <f ca="1">OFFSET(F1054,1,2)</f>
        <v>6000</v>
      </c>
      <c r="G1054" s="18">
        <f ca="1">F1054</f>
        <v>6000</v>
      </c>
      <c r="H1054" s="18">
        <f t="shared" ca="1" si="404"/>
        <v>6000</v>
      </c>
      <c r="I1054" s="7">
        <v>1</v>
      </c>
      <c r="J1054" s="9" t="s">
        <v>11</v>
      </c>
      <c r="K1054" s="7" t="s">
        <v>8</v>
      </c>
      <c r="L1054" s="7" t="s">
        <v>175</v>
      </c>
      <c r="M1054" s="18">
        <v>6000</v>
      </c>
      <c r="N1054" s="17"/>
    </row>
    <row r="1055" spans="1:14" ht="30" customHeight="1" outlineLevel="2" x14ac:dyDescent="0.25">
      <c r="A1055" s="6">
        <v>20</v>
      </c>
      <c r="B1055" s="6" t="str">
        <f t="shared" si="403"/>
        <v xml:space="preserve">ЩС - 3, ЩС - 5 (Альбом 40) </v>
      </c>
      <c r="C1055" s="7" t="s">
        <v>9</v>
      </c>
      <c r="D1055" s="7" t="s">
        <v>9</v>
      </c>
      <c r="E1055" s="8" t="s">
        <v>9</v>
      </c>
      <c r="F1055" s="18">
        <v>1</v>
      </c>
      <c r="G1055" s="18">
        <v>100</v>
      </c>
      <c r="H1055" s="18">
        <f t="shared" si="404"/>
        <v>6000</v>
      </c>
      <c r="I1055" s="7">
        <f>60*F1055</f>
        <v>60</v>
      </c>
      <c r="J1055" s="9" t="s">
        <v>11</v>
      </c>
      <c r="K1055" s="7" t="s">
        <v>9</v>
      </c>
      <c r="L1055" s="7" t="s">
        <v>175</v>
      </c>
      <c r="M1055" s="18">
        <v>6000</v>
      </c>
      <c r="N1055" s="17"/>
    </row>
    <row r="1056" spans="1:14" ht="30" customHeight="1" outlineLevel="1" x14ac:dyDescent="0.25">
      <c r="A1056" s="6"/>
      <c r="B1056" s="6" t="s">
        <v>442</v>
      </c>
      <c r="C1056" s="7"/>
      <c r="D1056" s="7"/>
      <c r="E1056" s="8"/>
      <c r="F1056" s="18"/>
      <c r="G1056" s="18"/>
      <c r="H1056" s="18">
        <f ca="1">SUBTOTAL(9,H1049:H1055)</f>
        <v>24550.2</v>
      </c>
      <c r="I1056" s="7"/>
      <c r="J1056" s="9"/>
      <c r="K1056" s="7"/>
      <c r="L1056" s="7"/>
      <c r="M1056" s="18">
        <v>24550.2</v>
      </c>
      <c r="N1056" s="17"/>
    </row>
    <row r="1057" spans="1:14" ht="30" customHeight="1" outlineLevel="2" x14ac:dyDescent="0.25">
      <c r="A1057" s="3">
        <v>13</v>
      </c>
      <c r="B1057" s="3" t="str">
        <f>E1057</f>
        <v xml:space="preserve">ЩС - 6 (Альбом 40) </v>
      </c>
      <c r="C1057" s="3"/>
      <c r="D1057" s="14"/>
      <c r="E1057" s="3" t="s">
        <v>184</v>
      </c>
      <c r="F1057" s="13"/>
      <c r="G1057" s="13"/>
      <c r="H1057" s="13"/>
      <c r="I1057" s="5">
        <v>1</v>
      </c>
      <c r="J1057" s="4" t="s">
        <v>6</v>
      </c>
      <c r="K1057" s="4" t="s">
        <v>23</v>
      </c>
      <c r="L1057" s="4" t="s">
        <v>175</v>
      </c>
      <c r="M1057" s="13"/>
      <c r="N1057" s="17"/>
    </row>
    <row r="1058" spans="1:14" ht="30" customHeight="1" outlineLevel="2" x14ac:dyDescent="0.25">
      <c r="A1058" s="6">
        <v>14</v>
      </c>
      <c r="B1058" s="6" t="str">
        <f t="shared" ref="B1058:B1063" si="406">B1057</f>
        <v xml:space="preserve">ЩС - 6 (Альбом 40) </v>
      </c>
      <c r="C1058" s="7" t="s">
        <v>7</v>
      </c>
      <c r="D1058" s="7" t="s">
        <v>268</v>
      </c>
      <c r="E1058" s="8" t="s">
        <v>269</v>
      </c>
      <c r="F1058" s="18">
        <v>10500</v>
      </c>
      <c r="G1058" s="18">
        <f>0.6*F1058</f>
        <v>6300</v>
      </c>
      <c r="H1058" s="18">
        <f t="shared" ref="H1058:H1063" si="407">G1058*I1058</f>
        <v>6300</v>
      </c>
      <c r="I1058" s="7">
        <v>1</v>
      </c>
      <c r="J1058" s="9" t="s">
        <v>11</v>
      </c>
      <c r="K1058" s="9" t="s">
        <v>24</v>
      </c>
      <c r="L1058" s="9" t="s">
        <v>175</v>
      </c>
      <c r="M1058" s="18">
        <v>6300</v>
      </c>
      <c r="N1058" s="17"/>
    </row>
    <row r="1059" spans="1:14" ht="30" customHeight="1" outlineLevel="2" x14ac:dyDescent="0.25">
      <c r="A1059" s="6">
        <v>15</v>
      </c>
      <c r="B1059" s="6" t="str">
        <f t="shared" si="406"/>
        <v xml:space="preserve">ЩС - 6 (Альбом 40) </v>
      </c>
      <c r="C1059" s="7" t="s">
        <v>13</v>
      </c>
      <c r="D1059" s="7">
        <v>193182</v>
      </c>
      <c r="E1059" s="8" t="s">
        <v>185</v>
      </c>
      <c r="F1059" s="18">
        <v>3372</v>
      </c>
      <c r="G1059" s="18">
        <f t="shared" ref="G1059:G1061" si="408">F1059*0.6</f>
        <v>2023.1999999999998</v>
      </c>
      <c r="H1059" s="18">
        <f t="shared" si="407"/>
        <v>2023.1999999999998</v>
      </c>
      <c r="I1059" s="7">
        <v>1</v>
      </c>
      <c r="J1059" s="9" t="s">
        <v>11</v>
      </c>
      <c r="K1059" s="9" t="s">
        <v>22</v>
      </c>
      <c r="L1059" s="9" t="s">
        <v>175</v>
      </c>
      <c r="M1059" s="18">
        <v>2023.1999999999998</v>
      </c>
      <c r="N1059" s="17"/>
    </row>
    <row r="1060" spans="1:14" ht="30" customHeight="1" outlineLevel="2" x14ac:dyDescent="0.25">
      <c r="A1060" s="6">
        <v>15</v>
      </c>
      <c r="B1060" s="6" t="str">
        <f t="shared" si="406"/>
        <v xml:space="preserve">ЩС - 6 (Альбом 40) </v>
      </c>
      <c r="C1060" s="7" t="s">
        <v>10</v>
      </c>
      <c r="D1060" s="7">
        <v>296829</v>
      </c>
      <c r="E1060" s="8" t="s">
        <v>44</v>
      </c>
      <c r="F1060" s="18">
        <v>2429</v>
      </c>
      <c r="G1060" s="18">
        <f t="shared" si="408"/>
        <v>1457.3999999999999</v>
      </c>
      <c r="H1060" s="18">
        <f t="shared" si="407"/>
        <v>2914.7999999999997</v>
      </c>
      <c r="I1060" s="7">
        <v>2</v>
      </c>
      <c r="J1060" s="9" t="s">
        <v>11</v>
      </c>
      <c r="K1060" s="9" t="s">
        <v>22</v>
      </c>
      <c r="L1060" s="9" t="s">
        <v>175</v>
      </c>
      <c r="M1060" s="18">
        <v>2914.7999999999997</v>
      </c>
      <c r="N1060" s="17"/>
    </row>
    <row r="1061" spans="1:14" ht="30" customHeight="1" outlineLevel="2" x14ac:dyDescent="0.25">
      <c r="A1061" s="6">
        <v>15</v>
      </c>
      <c r="B1061" s="6" t="str">
        <f t="shared" si="406"/>
        <v xml:space="preserve">ЩС - 6 (Альбом 40) </v>
      </c>
      <c r="C1061" s="7" t="s">
        <v>10</v>
      </c>
      <c r="D1061" s="7">
        <v>296827</v>
      </c>
      <c r="E1061" s="8" t="s">
        <v>169</v>
      </c>
      <c r="F1061" s="18">
        <v>2337</v>
      </c>
      <c r="G1061" s="18">
        <f t="shared" si="408"/>
        <v>1402.2</v>
      </c>
      <c r="H1061" s="18">
        <f t="shared" si="407"/>
        <v>1402.2</v>
      </c>
      <c r="I1061" s="7">
        <v>1</v>
      </c>
      <c r="J1061" s="9" t="s">
        <v>11</v>
      </c>
      <c r="K1061" s="9" t="s">
        <v>22</v>
      </c>
      <c r="L1061" s="9" t="s">
        <v>175</v>
      </c>
      <c r="M1061" s="18">
        <v>1402.2</v>
      </c>
      <c r="N1061" s="17"/>
    </row>
    <row r="1062" spans="1:14" ht="28.5" customHeight="1" outlineLevel="2" x14ac:dyDescent="0.25">
      <c r="A1062" s="6">
        <v>19</v>
      </c>
      <c r="B1062" s="6" t="str">
        <f t="shared" si="406"/>
        <v xml:space="preserve">ЩС - 6 (Альбом 40) </v>
      </c>
      <c r="C1062" s="7" t="s">
        <v>8</v>
      </c>
      <c r="D1062" s="7" t="s">
        <v>8</v>
      </c>
      <c r="E1062" s="8" t="s">
        <v>8</v>
      </c>
      <c r="F1062" s="18">
        <f ca="1">OFFSET(F1062,1,2)</f>
        <v>6000</v>
      </c>
      <c r="G1062" s="18">
        <f ca="1">F1062</f>
        <v>6000</v>
      </c>
      <c r="H1062" s="18">
        <f t="shared" ca="1" si="407"/>
        <v>6000</v>
      </c>
      <c r="I1062" s="7">
        <v>1</v>
      </c>
      <c r="J1062" s="9" t="s">
        <v>11</v>
      </c>
      <c r="K1062" s="7" t="s">
        <v>8</v>
      </c>
      <c r="L1062" s="7" t="s">
        <v>175</v>
      </c>
      <c r="M1062" s="18">
        <v>6000</v>
      </c>
      <c r="N1062" s="17"/>
    </row>
    <row r="1063" spans="1:14" ht="30" customHeight="1" outlineLevel="2" x14ac:dyDescent="0.25">
      <c r="A1063" s="6">
        <v>20</v>
      </c>
      <c r="B1063" s="6" t="str">
        <f t="shared" si="406"/>
        <v xml:space="preserve">ЩС - 6 (Альбом 40) </v>
      </c>
      <c r="C1063" s="7" t="s">
        <v>9</v>
      </c>
      <c r="D1063" s="7" t="s">
        <v>9</v>
      </c>
      <c r="E1063" s="8" t="s">
        <v>9</v>
      </c>
      <c r="F1063" s="18">
        <v>1</v>
      </c>
      <c r="G1063" s="18">
        <v>100</v>
      </c>
      <c r="H1063" s="18">
        <f t="shared" si="407"/>
        <v>6000</v>
      </c>
      <c r="I1063" s="7">
        <f>60*F1063</f>
        <v>60</v>
      </c>
      <c r="J1063" s="9" t="s">
        <v>11</v>
      </c>
      <c r="K1063" s="7" t="s">
        <v>9</v>
      </c>
      <c r="L1063" s="7" t="s">
        <v>175</v>
      </c>
      <c r="M1063" s="18">
        <v>6000</v>
      </c>
      <c r="N1063" s="17"/>
    </row>
    <row r="1064" spans="1:14" ht="30" customHeight="1" outlineLevel="1" x14ac:dyDescent="0.25">
      <c r="A1064" s="6"/>
      <c r="B1064" s="6" t="s">
        <v>443</v>
      </c>
      <c r="C1064" s="7"/>
      <c r="D1064" s="7"/>
      <c r="E1064" s="8"/>
      <c r="F1064" s="18"/>
      <c r="G1064" s="18"/>
      <c r="H1064" s="18">
        <f ca="1">SUBTOTAL(9,H1057:H1063)</f>
        <v>24640.2</v>
      </c>
      <c r="I1064" s="7"/>
      <c r="J1064" s="9"/>
      <c r="K1064" s="7"/>
      <c r="L1064" s="7"/>
      <c r="M1064" s="18">
        <v>24640.2</v>
      </c>
      <c r="N1064" s="17"/>
    </row>
    <row r="1065" spans="1:14" ht="30" customHeight="1" outlineLevel="2" x14ac:dyDescent="0.25">
      <c r="A1065" s="3">
        <v>13</v>
      </c>
      <c r="B1065" s="3" t="str">
        <f>E1065</f>
        <v xml:space="preserve">ЩС-7 (Альбом 40) </v>
      </c>
      <c r="C1065" s="3"/>
      <c r="D1065" s="14"/>
      <c r="E1065" s="3" t="s">
        <v>186</v>
      </c>
      <c r="F1065" s="13"/>
      <c r="G1065" s="13"/>
      <c r="H1065" s="13"/>
      <c r="I1065" s="5">
        <v>1</v>
      </c>
      <c r="J1065" s="4" t="s">
        <v>6</v>
      </c>
      <c r="K1065" s="4" t="s">
        <v>23</v>
      </c>
      <c r="L1065" s="4" t="s">
        <v>175</v>
      </c>
      <c r="M1065" s="13"/>
      <c r="N1065" s="17"/>
    </row>
    <row r="1066" spans="1:14" ht="30" customHeight="1" outlineLevel="2" x14ac:dyDescent="0.25">
      <c r="A1066" s="6">
        <v>14</v>
      </c>
      <c r="B1066" s="6" t="str">
        <f t="shared" ref="B1066:B1070" si="409">B1065</f>
        <v xml:space="preserve">ЩС-7 (Альбом 40) </v>
      </c>
      <c r="C1066" s="7" t="s">
        <v>7</v>
      </c>
      <c r="D1066" s="7" t="s">
        <v>272</v>
      </c>
      <c r="E1066" s="8" t="s">
        <v>273</v>
      </c>
      <c r="F1066" s="18">
        <v>17000</v>
      </c>
      <c r="G1066" s="18">
        <f>0.6*F1066</f>
        <v>10200</v>
      </c>
      <c r="H1066" s="18">
        <f t="shared" ref="H1066:H1070" si="410">G1066*I1066</f>
        <v>10200</v>
      </c>
      <c r="I1066" s="7">
        <v>1</v>
      </c>
      <c r="J1066" s="9" t="s">
        <v>11</v>
      </c>
      <c r="K1066" s="9" t="s">
        <v>24</v>
      </c>
      <c r="L1066" s="9" t="s">
        <v>175</v>
      </c>
      <c r="M1066" s="18">
        <v>10200</v>
      </c>
      <c r="N1066" s="17"/>
    </row>
    <row r="1067" spans="1:14" ht="30" customHeight="1" outlineLevel="2" x14ac:dyDescent="0.25">
      <c r="A1067" s="6">
        <v>15</v>
      </c>
      <c r="B1067" s="6" t="str">
        <f t="shared" si="409"/>
        <v xml:space="preserve">ЩС-7 (Альбом 40) </v>
      </c>
      <c r="C1067" s="7" t="s">
        <v>10</v>
      </c>
      <c r="D1067" s="7">
        <v>296829</v>
      </c>
      <c r="E1067" s="8" t="s">
        <v>44</v>
      </c>
      <c r="F1067" s="18">
        <v>2429</v>
      </c>
      <c r="G1067" s="18">
        <f t="shared" ref="G1067:G1068" si="411">F1067*0.6</f>
        <v>1457.3999999999999</v>
      </c>
      <c r="H1067" s="18">
        <f t="shared" si="410"/>
        <v>1457.3999999999999</v>
      </c>
      <c r="I1067" s="7">
        <v>1</v>
      </c>
      <c r="J1067" s="9" t="s">
        <v>11</v>
      </c>
      <c r="K1067" s="9" t="s">
        <v>22</v>
      </c>
      <c r="L1067" s="9" t="s">
        <v>175</v>
      </c>
      <c r="M1067" s="18">
        <v>1457.3999999999999</v>
      </c>
      <c r="N1067" s="17"/>
    </row>
    <row r="1068" spans="1:14" ht="30" customHeight="1" outlineLevel="2" x14ac:dyDescent="0.25">
      <c r="A1068" s="6">
        <v>15</v>
      </c>
      <c r="B1068" s="6" t="str">
        <f t="shared" si="409"/>
        <v xml:space="preserve">ЩС-7 (Альбом 40) </v>
      </c>
      <c r="C1068" s="7" t="s">
        <v>12</v>
      </c>
      <c r="D1068" s="7">
        <v>105542</v>
      </c>
      <c r="E1068" s="8" t="s">
        <v>43</v>
      </c>
      <c r="F1068" s="18">
        <v>5093</v>
      </c>
      <c r="G1068" s="18">
        <f t="shared" si="411"/>
        <v>3055.7999999999997</v>
      </c>
      <c r="H1068" s="18">
        <f t="shared" si="410"/>
        <v>15278.999999999998</v>
      </c>
      <c r="I1068" s="7">
        <v>5</v>
      </c>
      <c r="J1068" s="9" t="s">
        <v>11</v>
      </c>
      <c r="K1068" s="9" t="s">
        <v>22</v>
      </c>
      <c r="L1068" s="9" t="s">
        <v>175</v>
      </c>
      <c r="M1068" s="18">
        <v>15278.999999999998</v>
      </c>
      <c r="N1068" s="17"/>
    </row>
    <row r="1069" spans="1:14" ht="28.5" customHeight="1" outlineLevel="2" x14ac:dyDescent="0.25">
      <c r="A1069" s="6">
        <v>19</v>
      </c>
      <c r="B1069" s="6" t="str">
        <f t="shared" si="409"/>
        <v xml:space="preserve">ЩС-7 (Альбом 40) </v>
      </c>
      <c r="C1069" s="7" t="s">
        <v>8</v>
      </c>
      <c r="D1069" s="7" t="s">
        <v>8</v>
      </c>
      <c r="E1069" s="8" t="s">
        <v>8</v>
      </c>
      <c r="F1069" s="18">
        <f ca="1">OFFSET(F1069,1,2)</f>
        <v>9000</v>
      </c>
      <c r="G1069" s="18">
        <f ca="1">F1069</f>
        <v>9000</v>
      </c>
      <c r="H1069" s="18">
        <f t="shared" ca="1" si="410"/>
        <v>9000</v>
      </c>
      <c r="I1069" s="7">
        <v>1</v>
      </c>
      <c r="J1069" s="9" t="s">
        <v>11</v>
      </c>
      <c r="K1069" s="7" t="s">
        <v>8</v>
      </c>
      <c r="L1069" s="7" t="s">
        <v>175</v>
      </c>
      <c r="M1069" s="18">
        <v>9000</v>
      </c>
      <c r="N1069" s="17"/>
    </row>
    <row r="1070" spans="1:14" ht="30" customHeight="1" outlineLevel="2" x14ac:dyDescent="0.25">
      <c r="A1070" s="6">
        <v>20</v>
      </c>
      <c r="B1070" s="6" t="str">
        <f t="shared" si="409"/>
        <v xml:space="preserve">ЩС-7 (Альбом 40) </v>
      </c>
      <c r="C1070" s="7" t="s">
        <v>9</v>
      </c>
      <c r="D1070" s="7" t="s">
        <v>9</v>
      </c>
      <c r="E1070" s="8" t="s">
        <v>9</v>
      </c>
      <c r="F1070" s="18">
        <v>1.5</v>
      </c>
      <c r="G1070" s="18">
        <v>100</v>
      </c>
      <c r="H1070" s="18">
        <f t="shared" si="410"/>
        <v>9000</v>
      </c>
      <c r="I1070" s="7">
        <f>60*F1070</f>
        <v>90</v>
      </c>
      <c r="J1070" s="9" t="s">
        <v>11</v>
      </c>
      <c r="K1070" s="7" t="s">
        <v>9</v>
      </c>
      <c r="L1070" s="7" t="s">
        <v>175</v>
      </c>
      <c r="M1070" s="18">
        <v>9000</v>
      </c>
      <c r="N1070" s="17"/>
    </row>
    <row r="1071" spans="1:14" ht="30" customHeight="1" outlineLevel="1" x14ac:dyDescent="0.25">
      <c r="A1071" s="6"/>
      <c r="B1071" s="6" t="s">
        <v>444</v>
      </c>
      <c r="C1071" s="7"/>
      <c r="D1071" s="7"/>
      <c r="E1071" s="8"/>
      <c r="F1071" s="18"/>
      <c r="G1071" s="18"/>
      <c r="H1071" s="18">
        <f ca="1">SUBTOTAL(9,H1065:H1070)</f>
        <v>44936.399999999994</v>
      </c>
      <c r="I1071" s="7"/>
      <c r="J1071" s="9"/>
      <c r="K1071" s="7"/>
      <c r="L1071" s="7"/>
      <c r="M1071" s="18">
        <v>44936.399999999994</v>
      </c>
      <c r="N1071" s="17"/>
    </row>
    <row r="1072" spans="1:14" ht="30" customHeight="1" outlineLevel="2" x14ac:dyDescent="0.25">
      <c r="A1072" s="3">
        <v>13</v>
      </c>
      <c r="B1072" s="3" t="str">
        <f>E1072</f>
        <v xml:space="preserve">ЩС-8 (Альбом 40) </v>
      </c>
      <c r="C1072" s="3"/>
      <c r="D1072" s="14"/>
      <c r="E1072" s="3" t="s">
        <v>187</v>
      </c>
      <c r="F1072" s="13"/>
      <c r="G1072" s="13"/>
      <c r="H1072" s="13"/>
      <c r="I1072" s="5">
        <v>1</v>
      </c>
      <c r="J1072" s="4" t="s">
        <v>6</v>
      </c>
      <c r="K1072" s="4" t="s">
        <v>23</v>
      </c>
      <c r="L1072" s="4" t="s">
        <v>175</v>
      </c>
      <c r="M1072" s="13"/>
      <c r="N1072" s="17"/>
    </row>
    <row r="1073" spans="1:14" ht="30" customHeight="1" outlineLevel="2" x14ac:dyDescent="0.25">
      <c r="A1073" s="6">
        <v>14</v>
      </c>
      <c r="B1073" s="6" t="str">
        <f t="shared" ref="B1073:B1077" si="412">B1072</f>
        <v xml:space="preserve">ЩС-8 (Альбом 40) </v>
      </c>
      <c r="C1073" s="7" t="s">
        <v>7</v>
      </c>
      <c r="D1073" s="7" t="s">
        <v>272</v>
      </c>
      <c r="E1073" s="8" t="s">
        <v>273</v>
      </c>
      <c r="F1073" s="18">
        <v>17000</v>
      </c>
      <c r="G1073" s="18">
        <f>0.6*F1073</f>
        <v>10200</v>
      </c>
      <c r="H1073" s="18">
        <f t="shared" ref="H1073:H1077" si="413">G1073*I1073</f>
        <v>10200</v>
      </c>
      <c r="I1073" s="7">
        <v>1</v>
      </c>
      <c r="J1073" s="9" t="s">
        <v>11</v>
      </c>
      <c r="K1073" s="9" t="s">
        <v>24</v>
      </c>
      <c r="L1073" s="9" t="s">
        <v>175</v>
      </c>
      <c r="M1073" s="18">
        <v>10200</v>
      </c>
      <c r="N1073" s="17"/>
    </row>
    <row r="1074" spans="1:14" ht="30" customHeight="1" outlineLevel="2" x14ac:dyDescent="0.25">
      <c r="A1074" s="6">
        <v>15</v>
      </c>
      <c r="B1074" s="6" t="str">
        <f t="shared" si="412"/>
        <v xml:space="preserve">ЩС-8 (Альбом 40) </v>
      </c>
      <c r="C1074" s="7" t="s">
        <v>10</v>
      </c>
      <c r="D1074" s="7">
        <v>296829</v>
      </c>
      <c r="E1074" s="8" t="s">
        <v>44</v>
      </c>
      <c r="F1074" s="18">
        <v>2429</v>
      </c>
      <c r="G1074" s="18">
        <f t="shared" ref="G1074:G1075" si="414">F1074*0.6</f>
        <v>1457.3999999999999</v>
      </c>
      <c r="H1074" s="18">
        <f t="shared" si="413"/>
        <v>1457.3999999999999</v>
      </c>
      <c r="I1074" s="7">
        <v>1</v>
      </c>
      <c r="J1074" s="9" t="s">
        <v>11</v>
      </c>
      <c r="K1074" s="9" t="s">
        <v>22</v>
      </c>
      <c r="L1074" s="9" t="s">
        <v>175</v>
      </c>
      <c r="M1074" s="18">
        <v>1457.3999999999999</v>
      </c>
      <c r="N1074" s="17"/>
    </row>
    <row r="1075" spans="1:14" ht="30" customHeight="1" outlineLevel="2" x14ac:dyDescent="0.25">
      <c r="A1075" s="6">
        <v>15</v>
      </c>
      <c r="B1075" s="6" t="str">
        <f t="shared" si="412"/>
        <v xml:space="preserve">ЩС-8 (Альбом 40) </v>
      </c>
      <c r="C1075" s="7" t="s">
        <v>10</v>
      </c>
      <c r="D1075" s="7">
        <v>296827</v>
      </c>
      <c r="E1075" s="8" t="s">
        <v>169</v>
      </c>
      <c r="F1075" s="18">
        <v>2337</v>
      </c>
      <c r="G1075" s="18">
        <f t="shared" si="414"/>
        <v>1402.2</v>
      </c>
      <c r="H1075" s="18">
        <f t="shared" si="413"/>
        <v>8413.2000000000007</v>
      </c>
      <c r="I1075" s="7">
        <v>6</v>
      </c>
      <c r="J1075" s="9" t="s">
        <v>11</v>
      </c>
      <c r="K1075" s="9" t="s">
        <v>22</v>
      </c>
      <c r="L1075" s="9" t="s">
        <v>175</v>
      </c>
      <c r="M1075" s="18">
        <v>8413.2000000000007</v>
      </c>
      <c r="N1075" s="17"/>
    </row>
    <row r="1076" spans="1:14" ht="28.5" customHeight="1" outlineLevel="2" x14ac:dyDescent="0.25">
      <c r="A1076" s="6">
        <v>19</v>
      </c>
      <c r="B1076" s="6" t="str">
        <f t="shared" si="412"/>
        <v xml:space="preserve">ЩС-8 (Альбом 40) </v>
      </c>
      <c r="C1076" s="7" t="s">
        <v>8</v>
      </c>
      <c r="D1076" s="7" t="s">
        <v>8</v>
      </c>
      <c r="E1076" s="8" t="s">
        <v>8</v>
      </c>
      <c r="F1076" s="18">
        <f ca="1">OFFSET(F1076,1,2)</f>
        <v>9000</v>
      </c>
      <c r="G1076" s="18">
        <f ca="1">F1076</f>
        <v>9000</v>
      </c>
      <c r="H1076" s="18">
        <f t="shared" ca="1" si="413"/>
        <v>9000</v>
      </c>
      <c r="I1076" s="7">
        <v>1</v>
      </c>
      <c r="J1076" s="9" t="s">
        <v>11</v>
      </c>
      <c r="K1076" s="7" t="s">
        <v>8</v>
      </c>
      <c r="L1076" s="7" t="s">
        <v>175</v>
      </c>
      <c r="M1076" s="18">
        <v>9000</v>
      </c>
      <c r="N1076" s="17"/>
    </row>
    <row r="1077" spans="1:14" ht="30" customHeight="1" outlineLevel="2" x14ac:dyDescent="0.25">
      <c r="A1077" s="6">
        <v>20</v>
      </c>
      <c r="B1077" s="6" t="str">
        <f t="shared" si="412"/>
        <v xml:space="preserve">ЩС-8 (Альбом 40) </v>
      </c>
      <c r="C1077" s="7" t="s">
        <v>9</v>
      </c>
      <c r="D1077" s="7" t="s">
        <v>9</v>
      </c>
      <c r="E1077" s="8" t="s">
        <v>9</v>
      </c>
      <c r="F1077" s="18">
        <v>1.5</v>
      </c>
      <c r="G1077" s="18">
        <v>100</v>
      </c>
      <c r="H1077" s="18">
        <f t="shared" si="413"/>
        <v>9000</v>
      </c>
      <c r="I1077" s="7">
        <f>60*F1077</f>
        <v>90</v>
      </c>
      <c r="J1077" s="9" t="s">
        <v>11</v>
      </c>
      <c r="K1077" s="7" t="s">
        <v>9</v>
      </c>
      <c r="L1077" s="7" t="s">
        <v>175</v>
      </c>
      <c r="M1077" s="18">
        <v>9000</v>
      </c>
      <c r="N1077" s="17"/>
    </row>
    <row r="1078" spans="1:14" ht="30" customHeight="1" outlineLevel="1" x14ac:dyDescent="0.25">
      <c r="A1078" s="6"/>
      <c r="B1078" s="6" t="s">
        <v>445</v>
      </c>
      <c r="C1078" s="7"/>
      <c r="D1078" s="7"/>
      <c r="E1078" s="8"/>
      <c r="F1078" s="18"/>
      <c r="G1078" s="18"/>
      <c r="H1078" s="18">
        <f ca="1">SUBTOTAL(9,H1072:H1077)</f>
        <v>38070.6</v>
      </c>
      <c r="I1078" s="7"/>
      <c r="J1078" s="9"/>
      <c r="K1078" s="7"/>
      <c r="L1078" s="7"/>
      <c r="M1078" s="18">
        <v>38070.6</v>
      </c>
      <c r="N1078" s="17"/>
    </row>
    <row r="1079" spans="1:14" ht="30" customHeight="1" outlineLevel="2" x14ac:dyDescent="0.25">
      <c r="A1079" s="3">
        <v>13</v>
      </c>
      <c r="B1079" s="3" t="str">
        <f t="shared" ref="B1079:B1085" si="415">E1079</f>
        <v>Я511-2074 (Альбом 40)</v>
      </c>
      <c r="C1079" s="3"/>
      <c r="D1079" s="14"/>
      <c r="E1079" s="3" t="s">
        <v>242</v>
      </c>
      <c r="F1079" s="13"/>
      <c r="G1079" s="13"/>
      <c r="H1079" s="13"/>
      <c r="I1079" s="5">
        <v>5</v>
      </c>
      <c r="J1079" s="4" t="s">
        <v>6</v>
      </c>
      <c r="K1079" s="4" t="s">
        <v>23</v>
      </c>
      <c r="L1079" s="4" t="s">
        <v>175</v>
      </c>
      <c r="M1079" s="13"/>
      <c r="N1079" s="17"/>
    </row>
    <row r="1080" spans="1:14" ht="30" customHeight="1" outlineLevel="1" x14ac:dyDescent="0.25">
      <c r="A1080" s="3"/>
      <c r="B1080" s="3" t="s">
        <v>446</v>
      </c>
      <c r="C1080" s="3"/>
      <c r="D1080" s="14"/>
      <c r="E1080" s="3"/>
      <c r="F1080" s="13"/>
      <c r="G1080" s="13"/>
      <c r="H1080" s="13">
        <f>SUBTOTAL(9,H1079:H1079)</f>
        <v>0</v>
      </c>
      <c r="I1080" s="5"/>
      <c r="J1080" s="4"/>
      <c r="K1080" s="4"/>
      <c r="L1080" s="4"/>
      <c r="M1080" s="13">
        <v>0</v>
      </c>
      <c r="N1080" s="17"/>
    </row>
    <row r="1081" spans="1:14" ht="30" customHeight="1" outlineLevel="2" x14ac:dyDescent="0.25">
      <c r="A1081" s="3">
        <v>13</v>
      </c>
      <c r="B1081" s="3" t="str">
        <f t="shared" si="415"/>
        <v>Я511-2677 (Альбом 40)</v>
      </c>
      <c r="C1081" s="3"/>
      <c r="D1081" s="14"/>
      <c r="E1081" s="3" t="s">
        <v>243</v>
      </c>
      <c r="F1081" s="13"/>
      <c r="G1081" s="13"/>
      <c r="H1081" s="13"/>
      <c r="I1081" s="5">
        <v>1</v>
      </c>
      <c r="J1081" s="4" t="s">
        <v>6</v>
      </c>
      <c r="K1081" s="4" t="s">
        <v>23</v>
      </c>
      <c r="L1081" s="4" t="s">
        <v>175</v>
      </c>
      <c r="M1081" s="13"/>
      <c r="N1081" s="17"/>
    </row>
    <row r="1082" spans="1:14" ht="30" customHeight="1" outlineLevel="1" x14ac:dyDescent="0.25">
      <c r="A1082" s="3"/>
      <c r="B1082" s="3" t="s">
        <v>447</v>
      </c>
      <c r="C1082" s="3"/>
      <c r="D1082" s="14"/>
      <c r="E1082" s="3"/>
      <c r="F1082" s="13"/>
      <c r="G1082" s="13"/>
      <c r="H1082" s="13">
        <f>SUBTOTAL(9,H1081:H1081)</f>
        <v>0</v>
      </c>
      <c r="I1082" s="5"/>
      <c r="J1082" s="4"/>
      <c r="K1082" s="4"/>
      <c r="L1082" s="4"/>
      <c r="M1082" s="13">
        <v>0</v>
      </c>
      <c r="N1082" s="17"/>
    </row>
    <row r="1083" spans="1:14" ht="30" customHeight="1" outlineLevel="2" x14ac:dyDescent="0.25">
      <c r="A1083" s="3">
        <v>13</v>
      </c>
      <c r="B1083" s="3" t="str">
        <f t="shared" si="415"/>
        <v>ЯТП-0,25 (Альбом 40)</v>
      </c>
      <c r="C1083" s="3"/>
      <c r="D1083" s="14"/>
      <c r="E1083" s="3" t="s">
        <v>241</v>
      </c>
      <c r="F1083" s="13"/>
      <c r="G1083" s="13"/>
      <c r="H1083" s="13"/>
      <c r="I1083" s="5">
        <v>2</v>
      </c>
      <c r="J1083" s="4" t="s">
        <v>6</v>
      </c>
      <c r="K1083" s="4" t="s">
        <v>23</v>
      </c>
      <c r="L1083" s="4" t="s">
        <v>175</v>
      </c>
      <c r="M1083" s="13"/>
      <c r="N1083" s="17"/>
    </row>
    <row r="1084" spans="1:14" ht="30" customHeight="1" outlineLevel="1" x14ac:dyDescent="0.25">
      <c r="A1084" s="3"/>
      <c r="B1084" s="3" t="s">
        <v>448</v>
      </c>
      <c r="C1084" s="3"/>
      <c r="D1084" s="14"/>
      <c r="E1084" s="3"/>
      <c r="F1084" s="13"/>
      <c r="G1084" s="13"/>
      <c r="H1084" s="13">
        <f>SUBTOTAL(9,H1083:H1083)</f>
        <v>0</v>
      </c>
      <c r="I1084" s="5"/>
      <c r="J1084" s="4"/>
      <c r="K1084" s="4"/>
      <c r="L1084" s="4"/>
      <c r="M1084" s="13">
        <v>0</v>
      </c>
      <c r="N1084" s="17"/>
    </row>
    <row r="1085" spans="1:14" ht="30" customHeight="1" outlineLevel="2" x14ac:dyDescent="0.25">
      <c r="A1085" s="3">
        <v>1</v>
      </c>
      <c r="B1085" s="3" t="str">
        <f t="shared" si="415"/>
        <v xml:space="preserve">ЩУРВ  (Альбом 41)  </v>
      </c>
      <c r="C1085" s="3"/>
      <c r="D1085" s="14"/>
      <c r="E1085" s="3" t="s">
        <v>188</v>
      </c>
      <c r="F1085" s="13"/>
      <c r="G1085" s="13"/>
      <c r="H1085" s="13"/>
      <c r="I1085" s="5">
        <v>1</v>
      </c>
      <c r="J1085" s="4" t="s">
        <v>6</v>
      </c>
      <c r="K1085" s="4" t="s">
        <v>23</v>
      </c>
      <c r="L1085" s="4" t="s">
        <v>189</v>
      </c>
      <c r="M1085" s="13"/>
      <c r="N1085" s="17"/>
    </row>
    <row r="1086" spans="1:14" ht="30" customHeight="1" outlineLevel="2" x14ac:dyDescent="0.25">
      <c r="A1086" s="6">
        <v>2</v>
      </c>
      <c r="B1086" s="6" t="str">
        <f t="shared" ref="B1086:B1093" si="416">B1085</f>
        <v xml:space="preserve">ЩУРВ  (Альбом 41)  </v>
      </c>
      <c r="C1086" s="7" t="s">
        <v>7</v>
      </c>
      <c r="D1086" s="7" t="s">
        <v>290</v>
      </c>
      <c r="E1086" s="8" t="s">
        <v>291</v>
      </c>
      <c r="F1086" s="18">
        <v>18000</v>
      </c>
      <c r="G1086" s="18">
        <f>0.6*F1086</f>
        <v>10800</v>
      </c>
      <c r="H1086" s="18">
        <f t="shared" ref="H1086:H1093" si="417">G1086*I1086</f>
        <v>10800</v>
      </c>
      <c r="I1086" s="7">
        <v>1</v>
      </c>
      <c r="J1086" s="9" t="s">
        <v>11</v>
      </c>
      <c r="K1086" s="9" t="s">
        <v>24</v>
      </c>
      <c r="L1086" s="9" t="s">
        <v>189</v>
      </c>
      <c r="M1086" s="18">
        <v>10800</v>
      </c>
      <c r="N1086" s="17"/>
    </row>
    <row r="1087" spans="1:14" ht="30" customHeight="1" outlineLevel="2" x14ac:dyDescent="0.25">
      <c r="A1087" s="6">
        <v>15</v>
      </c>
      <c r="B1087" s="6" t="str">
        <f t="shared" si="416"/>
        <v xml:space="preserve">ЩУРВ  (Альбом 41)  </v>
      </c>
      <c r="C1087" s="7" t="s">
        <v>10</v>
      </c>
      <c r="D1087" s="7">
        <v>296829</v>
      </c>
      <c r="E1087" s="8" t="s">
        <v>44</v>
      </c>
      <c r="F1087" s="18">
        <v>2429</v>
      </c>
      <c r="G1087" s="18">
        <f t="shared" ref="G1087:G1090" si="418">F1087*0.6</f>
        <v>1457.3999999999999</v>
      </c>
      <c r="H1087" s="18">
        <f t="shared" si="417"/>
        <v>1457.3999999999999</v>
      </c>
      <c r="I1087" s="7">
        <v>1</v>
      </c>
      <c r="J1087" s="9" t="s">
        <v>11</v>
      </c>
      <c r="K1087" s="9" t="s">
        <v>22</v>
      </c>
      <c r="L1087" s="9" t="s">
        <v>189</v>
      </c>
      <c r="M1087" s="18">
        <v>1457.3999999999999</v>
      </c>
      <c r="N1087" s="17"/>
    </row>
    <row r="1088" spans="1:14" ht="30" customHeight="1" outlineLevel="2" x14ac:dyDescent="0.25">
      <c r="A1088" s="6">
        <v>15</v>
      </c>
      <c r="B1088" s="6" t="str">
        <f t="shared" si="416"/>
        <v xml:space="preserve">ЩУРВ  (Альбом 41)  </v>
      </c>
      <c r="C1088" s="7" t="s">
        <v>10</v>
      </c>
      <c r="D1088" s="7">
        <v>296827</v>
      </c>
      <c r="E1088" s="8" t="s">
        <v>169</v>
      </c>
      <c r="F1088" s="18">
        <v>2337</v>
      </c>
      <c r="G1088" s="18">
        <f t="shared" si="418"/>
        <v>1402.2</v>
      </c>
      <c r="H1088" s="18">
        <f t="shared" si="417"/>
        <v>1402.2</v>
      </c>
      <c r="I1088" s="7">
        <v>1</v>
      </c>
      <c r="J1088" s="9" t="s">
        <v>11</v>
      </c>
      <c r="K1088" s="9" t="s">
        <v>22</v>
      </c>
      <c r="L1088" s="9" t="s">
        <v>189</v>
      </c>
      <c r="M1088" s="18">
        <v>1402.2</v>
      </c>
      <c r="N1088" s="17"/>
    </row>
    <row r="1089" spans="1:14" ht="30" customHeight="1" outlineLevel="2" x14ac:dyDescent="0.25">
      <c r="A1089" s="6">
        <v>6</v>
      </c>
      <c r="B1089" s="6" t="str">
        <f t="shared" si="416"/>
        <v xml:space="preserve">ЩУРВ  (Альбом 41)  </v>
      </c>
      <c r="C1089" s="7" t="s">
        <v>10</v>
      </c>
      <c r="D1089" s="7">
        <v>296710</v>
      </c>
      <c r="E1089" s="8" t="s">
        <v>41</v>
      </c>
      <c r="F1089" s="18">
        <v>783</v>
      </c>
      <c r="G1089" s="18">
        <f t="shared" si="418"/>
        <v>469.79999999999995</v>
      </c>
      <c r="H1089" s="18">
        <f t="shared" si="417"/>
        <v>1879.1999999999998</v>
      </c>
      <c r="I1089" s="7">
        <v>4</v>
      </c>
      <c r="J1089" s="9" t="s">
        <v>11</v>
      </c>
      <c r="K1089" s="9" t="s">
        <v>22</v>
      </c>
      <c r="L1089" s="9" t="s">
        <v>189</v>
      </c>
      <c r="M1089" s="18">
        <v>1879.1999999999998</v>
      </c>
      <c r="N1089" s="17"/>
    </row>
    <row r="1090" spans="1:14" ht="30" customHeight="1" outlineLevel="2" x14ac:dyDescent="0.25">
      <c r="A1090" s="6">
        <v>15</v>
      </c>
      <c r="B1090" s="6" t="str">
        <f t="shared" si="416"/>
        <v xml:space="preserve">ЩУРВ  (Альбом 41)  </v>
      </c>
      <c r="C1090" s="7" t="s">
        <v>12</v>
      </c>
      <c r="D1090" s="7">
        <v>105542</v>
      </c>
      <c r="E1090" s="8" t="s">
        <v>43</v>
      </c>
      <c r="F1090" s="18">
        <v>5093</v>
      </c>
      <c r="G1090" s="18">
        <f t="shared" si="418"/>
        <v>3055.7999999999997</v>
      </c>
      <c r="H1090" s="18">
        <f t="shared" si="417"/>
        <v>3055.7999999999997</v>
      </c>
      <c r="I1090" s="7">
        <v>1</v>
      </c>
      <c r="J1090" s="9" t="s">
        <v>11</v>
      </c>
      <c r="K1090" s="9" t="s">
        <v>22</v>
      </c>
      <c r="L1090" s="9" t="s">
        <v>189</v>
      </c>
      <c r="M1090" s="18">
        <v>3055.7999999999997</v>
      </c>
      <c r="N1090" s="17"/>
    </row>
    <row r="1091" spans="1:14" ht="30" customHeight="1" outlineLevel="2" x14ac:dyDescent="0.25">
      <c r="A1091" s="6">
        <v>6</v>
      </c>
      <c r="B1091" s="6" t="str">
        <f t="shared" si="416"/>
        <v xml:space="preserve">ЩУРВ  (Альбом 41)  </v>
      </c>
      <c r="C1091" s="7" t="s">
        <v>14</v>
      </c>
      <c r="D1091" s="7" t="s">
        <v>294</v>
      </c>
      <c r="E1091" s="8" t="s">
        <v>295</v>
      </c>
      <c r="F1091" s="18">
        <v>80000</v>
      </c>
      <c r="G1091" s="18">
        <f>F1091</f>
        <v>80000</v>
      </c>
      <c r="H1091" s="18">
        <f t="shared" si="417"/>
        <v>80000</v>
      </c>
      <c r="I1091" s="7">
        <v>1</v>
      </c>
      <c r="J1091" s="9" t="s">
        <v>11</v>
      </c>
      <c r="K1091" s="9" t="s">
        <v>26</v>
      </c>
      <c r="L1091" s="9" t="s">
        <v>189</v>
      </c>
      <c r="M1091" s="18">
        <v>80000</v>
      </c>
      <c r="N1091" s="17"/>
    </row>
    <row r="1092" spans="1:14" ht="30" customHeight="1" outlineLevel="2" x14ac:dyDescent="0.25">
      <c r="A1092" s="6">
        <v>9</v>
      </c>
      <c r="B1092" s="6" t="str">
        <f t="shared" si="416"/>
        <v xml:space="preserve">ЩУРВ  (Альбом 41)  </v>
      </c>
      <c r="C1092" s="7" t="s">
        <v>8</v>
      </c>
      <c r="D1092" s="7" t="s">
        <v>8</v>
      </c>
      <c r="E1092" s="8" t="s">
        <v>8</v>
      </c>
      <c r="F1092" s="18">
        <f ca="1">OFFSET(F1092,1,2)</f>
        <v>9000</v>
      </c>
      <c r="G1092" s="18">
        <f ca="1">F1092</f>
        <v>9000</v>
      </c>
      <c r="H1092" s="18">
        <f t="shared" ca="1" si="417"/>
        <v>9000</v>
      </c>
      <c r="I1092" s="7">
        <v>1</v>
      </c>
      <c r="J1092" s="9" t="s">
        <v>11</v>
      </c>
      <c r="K1092" s="7" t="s">
        <v>8</v>
      </c>
      <c r="L1092" s="7" t="s">
        <v>189</v>
      </c>
      <c r="M1092" s="18">
        <v>9000</v>
      </c>
      <c r="N1092" s="17"/>
    </row>
    <row r="1093" spans="1:14" ht="30" customHeight="1" outlineLevel="2" x14ac:dyDescent="0.25">
      <c r="A1093" s="6">
        <v>10</v>
      </c>
      <c r="B1093" s="6" t="str">
        <f t="shared" si="416"/>
        <v xml:space="preserve">ЩУРВ  (Альбом 41)  </v>
      </c>
      <c r="C1093" s="7" t="s">
        <v>9</v>
      </c>
      <c r="D1093" s="7" t="s">
        <v>9</v>
      </c>
      <c r="E1093" s="8" t="s">
        <v>9</v>
      </c>
      <c r="F1093" s="18">
        <v>1.5</v>
      </c>
      <c r="G1093" s="18">
        <v>100</v>
      </c>
      <c r="H1093" s="18">
        <f t="shared" si="417"/>
        <v>9000</v>
      </c>
      <c r="I1093" s="7">
        <f>60*F1093</f>
        <v>90</v>
      </c>
      <c r="J1093" s="9" t="s">
        <v>11</v>
      </c>
      <c r="K1093" s="7" t="s">
        <v>9</v>
      </c>
      <c r="L1093" s="7" t="s">
        <v>189</v>
      </c>
      <c r="M1093" s="18">
        <v>9000</v>
      </c>
      <c r="N1093" s="17"/>
    </row>
    <row r="1094" spans="1:14" ht="30" customHeight="1" outlineLevel="1" x14ac:dyDescent="0.25">
      <c r="A1094" s="6"/>
      <c r="B1094" s="6" t="s">
        <v>449</v>
      </c>
      <c r="C1094" s="7"/>
      <c r="D1094" s="7"/>
      <c r="E1094" s="8"/>
      <c r="F1094" s="18"/>
      <c r="G1094" s="18"/>
      <c r="H1094" s="18">
        <f ca="1">SUBTOTAL(9,H1085:H1093)</f>
        <v>116594.6</v>
      </c>
      <c r="I1094" s="7"/>
      <c r="J1094" s="9"/>
      <c r="K1094" s="7"/>
      <c r="L1094" s="7"/>
      <c r="M1094" s="18">
        <v>116594.6</v>
      </c>
      <c r="N1094" s="17"/>
    </row>
    <row r="1095" spans="1:14" ht="30" customHeight="1" outlineLevel="2" x14ac:dyDescent="0.25">
      <c r="A1095" s="3">
        <v>13</v>
      </c>
      <c r="B1095" s="3" t="str">
        <f t="shared" ref="B1095:B1097" si="419">E1095</f>
        <v>Я511-2077 (Альбом 41)</v>
      </c>
      <c r="C1095" s="3"/>
      <c r="D1095" s="14"/>
      <c r="E1095" s="3" t="s">
        <v>244</v>
      </c>
      <c r="F1095" s="13"/>
      <c r="G1095" s="13"/>
      <c r="H1095" s="13"/>
      <c r="I1095" s="5">
        <v>1</v>
      </c>
      <c r="J1095" s="4" t="s">
        <v>6</v>
      </c>
      <c r="K1095" s="4" t="s">
        <v>23</v>
      </c>
      <c r="L1095" s="4" t="s">
        <v>189</v>
      </c>
      <c r="M1095" s="13"/>
      <c r="N1095" s="17"/>
    </row>
    <row r="1096" spans="1:14" ht="30" customHeight="1" outlineLevel="1" x14ac:dyDescent="0.25">
      <c r="A1096" s="3"/>
      <c r="B1096" s="3" t="s">
        <v>450</v>
      </c>
      <c r="C1096" s="3"/>
      <c r="D1096" s="14"/>
      <c r="E1096" s="3"/>
      <c r="F1096" s="13"/>
      <c r="G1096" s="13"/>
      <c r="H1096" s="13">
        <f>SUBTOTAL(9,H1095:H1095)</f>
        <v>0</v>
      </c>
      <c r="I1096" s="5"/>
      <c r="J1096" s="4"/>
      <c r="K1096" s="4"/>
      <c r="L1096" s="4"/>
      <c r="M1096" s="13">
        <v>0</v>
      </c>
      <c r="N1096" s="17"/>
    </row>
    <row r="1097" spans="1:14" ht="30" customHeight="1" outlineLevel="2" x14ac:dyDescent="0.25">
      <c r="A1097" s="3">
        <v>1</v>
      </c>
      <c r="B1097" s="3" t="str">
        <f t="shared" si="419"/>
        <v xml:space="preserve">ЩМП  (Альбом 42)  </v>
      </c>
      <c r="C1097" s="3"/>
      <c r="D1097" s="14"/>
      <c r="E1097" s="3" t="s">
        <v>193</v>
      </c>
      <c r="F1097" s="13"/>
      <c r="G1097" s="13"/>
      <c r="H1097" s="13"/>
      <c r="I1097" s="5">
        <v>1</v>
      </c>
      <c r="J1097" s="4" t="s">
        <v>6</v>
      </c>
      <c r="K1097" s="4" t="s">
        <v>23</v>
      </c>
      <c r="L1097" s="4" t="s">
        <v>190</v>
      </c>
      <c r="M1097" s="13"/>
      <c r="N1097" s="17"/>
    </row>
    <row r="1098" spans="1:14" ht="30" customHeight="1" outlineLevel="2" x14ac:dyDescent="0.25">
      <c r="A1098" s="6">
        <v>2</v>
      </c>
      <c r="B1098" s="6" t="str">
        <f t="shared" ref="B1098:B1102" si="420">B1097</f>
        <v xml:space="preserve">ЩМП  (Альбом 42)  </v>
      </c>
      <c r="C1098" s="7" t="s">
        <v>7</v>
      </c>
      <c r="D1098" s="7" t="s">
        <v>266</v>
      </c>
      <c r="E1098" s="8" t="s">
        <v>267</v>
      </c>
      <c r="F1098" s="18">
        <v>65000</v>
      </c>
      <c r="G1098" s="18">
        <f>0.6*F1098</f>
        <v>39000</v>
      </c>
      <c r="H1098" s="18">
        <f t="shared" ref="H1098:H1102" si="421">G1098*I1098</f>
        <v>39000</v>
      </c>
      <c r="I1098" s="7">
        <v>1</v>
      </c>
      <c r="J1098" s="9" t="s">
        <v>11</v>
      </c>
      <c r="K1098" s="9" t="s">
        <v>24</v>
      </c>
      <c r="L1098" s="9" t="str">
        <f>L1097</f>
        <v>Альбом 42</v>
      </c>
      <c r="M1098" s="18">
        <v>39000</v>
      </c>
      <c r="N1098" s="17"/>
    </row>
    <row r="1099" spans="1:14" ht="30" customHeight="1" outlineLevel="2" x14ac:dyDescent="0.25">
      <c r="A1099" s="6">
        <v>15</v>
      </c>
      <c r="B1099" s="6" t="str">
        <f t="shared" si="420"/>
        <v xml:space="preserve">ЩМП  (Альбом 42)  </v>
      </c>
      <c r="C1099" s="7" t="s">
        <v>10</v>
      </c>
      <c r="D1099" s="7">
        <v>296829</v>
      </c>
      <c r="E1099" s="8" t="s">
        <v>44</v>
      </c>
      <c r="F1099" s="18">
        <v>2429</v>
      </c>
      <c r="G1099" s="18">
        <f t="shared" ref="G1099:G1100" si="422">F1099*0.6</f>
        <v>1457.3999999999999</v>
      </c>
      <c r="H1099" s="18">
        <f t="shared" si="421"/>
        <v>1457.3999999999999</v>
      </c>
      <c r="I1099" s="7">
        <v>1</v>
      </c>
      <c r="J1099" s="9" t="s">
        <v>11</v>
      </c>
      <c r="K1099" s="9" t="s">
        <v>22</v>
      </c>
      <c r="L1099" s="9" t="str">
        <f t="shared" ref="L1099:L1102" si="423">L1098</f>
        <v>Альбом 42</v>
      </c>
      <c r="M1099" s="18">
        <v>1457.3999999999999</v>
      </c>
      <c r="N1099" s="17"/>
    </row>
    <row r="1100" spans="1:14" ht="30" customHeight="1" outlineLevel="2" x14ac:dyDescent="0.25">
      <c r="A1100" s="6">
        <v>6</v>
      </c>
      <c r="B1100" s="6" t="str">
        <f t="shared" si="420"/>
        <v xml:space="preserve">ЩМП  (Альбом 42)  </v>
      </c>
      <c r="C1100" s="7" t="s">
        <v>10</v>
      </c>
      <c r="D1100" s="7">
        <v>296710</v>
      </c>
      <c r="E1100" s="8" t="s">
        <v>41</v>
      </c>
      <c r="F1100" s="18">
        <v>783</v>
      </c>
      <c r="G1100" s="18">
        <f t="shared" si="422"/>
        <v>469.79999999999995</v>
      </c>
      <c r="H1100" s="18">
        <f t="shared" si="421"/>
        <v>1879.1999999999998</v>
      </c>
      <c r="I1100" s="7">
        <v>4</v>
      </c>
      <c r="J1100" s="9" t="s">
        <v>11</v>
      </c>
      <c r="K1100" s="9" t="s">
        <v>22</v>
      </c>
      <c r="L1100" s="9" t="str">
        <f t="shared" si="423"/>
        <v>Альбом 42</v>
      </c>
      <c r="M1100" s="18">
        <v>1879.1999999999998</v>
      </c>
      <c r="N1100" s="17"/>
    </row>
    <row r="1101" spans="1:14" ht="30" customHeight="1" outlineLevel="2" x14ac:dyDescent="0.25">
      <c r="A1101" s="6">
        <v>9</v>
      </c>
      <c r="B1101" s="6" t="str">
        <f t="shared" si="420"/>
        <v xml:space="preserve">ЩМП  (Альбом 42)  </v>
      </c>
      <c r="C1101" s="7" t="s">
        <v>8</v>
      </c>
      <c r="D1101" s="7" t="s">
        <v>8</v>
      </c>
      <c r="E1101" s="8" t="s">
        <v>8</v>
      </c>
      <c r="F1101" s="18">
        <f ca="1">OFFSET(F1101,1,2)</f>
        <v>6000</v>
      </c>
      <c r="G1101" s="18">
        <f ca="1">F1101</f>
        <v>6000</v>
      </c>
      <c r="H1101" s="18">
        <f t="shared" ca="1" si="421"/>
        <v>6000</v>
      </c>
      <c r="I1101" s="7">
        <v>1</v>
      </c>
      <c r="J1101" s="9" t="s">
        <v>11</v>
      </c>
      <c r="K1101" s="7" t="s">
        <v>8</v>
      </c>
      <c r="L1101" s="7" t="str">
        <f>L1100</f>
        <v>Альбом 42</v>
      </c>
      <c r="M1101" s="18">
        <v>6000</v>
      </c>
      <c r="N1101" s="17"/>
    </row>
    <row r="1102" spans="1:14" ht="30" customHeight="1" outlineLevel="2" x14ac:dyDescent="0.25">
      <c r="A1102" s="6">
        <v>10</v>
      </c>
      <c r="B1102" s="6" t="str">
        <f t="shared" si="420"/>
        <v xml:space="preserve">ЩМП  (Альбом 42)  </v>
      </c>
      <c r="C1102" s="7" t="s">
        <v>9</v>
      </c>
      <c r="D1102" s="7" t="s">
        <v>9</v>
      </c>
      <c r="E1102" s="8" t="s">
        <v>9</v>
      </c>
      <c r="F1102" s="18">
        <v>1</v>
      </c>
      <c r="G1102" s="18">
        <v>100</v>
      </c>
      <c r="H1102" s="18">
        <f t="shared" si="421"/>
        <v>6000</v>
      </c>
      <c r="I1102" s="7">
        <f>60*F1102</f>
        <v>60</v>
      </c>
      <c r="J1102" s="9" t="s">
        <v>11</v>
      </c>
      <c r="K1102" s="7" t="s">
        <v>9</v>
      </c>
      <c r="L1102" s="7" t="str">
        <f t="shared" si="423"/>
        <v>Альбом 42</v>
      </c>
      <c r="M1102" s="18">
        <v>6000</v>
      </c>
      <c r="N1102" s="17"/>
    </row>
    <row r="1103" spans="1:14" ht="30" customHeight="1" outlineLevel="1" x14ac:dyDescent="0.25">
      <c r="A1103" s="6"/>
      <c r="B1103" s="6" t="s">
        <v>451</v>
      </c>
      <c r="C1103" s="7"/>
      <c r="D1103" s="7"/>
      <c r="E1103" s="8"/>
      <c r="F1103" s="18"/>
      <c r="G1103" s="18"/>
      <c r="H1103" s="18">
        <f ca="1">SUBTOTAL(9,H1097:H1102)</f>
        <v>54336.6</v>
      </c>
      <c r="I1103" s="7"/>
      <c r="J1103" s="9"/>
      <c r="K1103" s="7"/>
      <c r="L1103" s="7"/>
      <c r="M1103" s="18">
        <v>54336.6</v>
      </c>
      <c r="N1103" s="17"/>
    </row>
    <row r="1104" spans="1:14" ht="30" customHeight="1" outlineLevel="2" x14ac:dyDescent="0.25">
      <c r="A1104" s="3">
        <v>1</v>
      </c>
      <c r="B1104" s="3" t="str">
        <f>E1104</f>
        <v xml:space="preserve">ЩС (Альбом 43)  </v>
      </c>
      <c r="C1104" s="3"/>
      <c r="D1104" s="14"/>
      <c r="E1104" s="3" t="s">
        <v>194</v>
      </c>
      <c r="F1104" s="13"/>
      <c r="G1104" s="13"/>
      <c r="H1104" s="13"/>
      <c r="I1104" s="5">
        <v>1</v>
      </c>
      <c r="J1104" s="4" t="s">
        <v>6</v>
      </c>
      <c r="K1104" s="4" t="s">
        <v>23</v>
      </c>
      <c r="L1104" s="4" t="s">
        <v>191</v>
      </c>
      <c r="M1104" s="13"/>
      <c r="N1104" s="17"/>
    </row>
    <row r="1105" spans="1:14" ht="30" customHeight="1" outlineLevel="2" x14ac:dyDescent="0.25">
      <c r="A1105" s="6">
        <v>2</v>
      </c>
      <c r="B1105" s="6" t="str">
        <f t="shared" ref="B1105:B1109" si="424">B1104</f>
        <v xml:space="preserve">ЩС (Альбом 43)  </v>
      </c>
      <c r="C1105" s="7" t="s">
        <v>7</v>
      </c>
      <c r="D1105" s="7" t="s">
        <v>278</v>
      </c>
      <c r="E1105" s="8" t="s">
        <v>279</v>
      </c>
      <c r="F1105" s="18">
        <v>10500</v>
      </c>
      <c r="G1105" s="18">
        <f>0.6*F1105</f>
        <v>6300</v>
      </c>
      <c r="H1105" s="18">
        <f t="shared" ref="H1105:H1109" si="425">G1105*I1105</f>
        <v>6300</v>
      </c>
      <c r="I1105" s="7">
        <v>1</v>
      </c>
      <c r="J1105" s="9" t="s">
        <v>11</v>
      </c>
      <c r="K1105" s="9" t="s">
        <v>24</v>
      </c>
      <c r="L1105" s="9" t="str">
        <f>L1104</f>
        <v>Альбом 43</v>
      </c>
      <c r="M1105" s="18">
        <v>6300</v>
      </c>
      <c r="N1105" s="17"/>
    </row>
    <row r="1106" spans="1:14" ht="30" customHeight="1" outlineLevel="2" x14ac:dyDescent="0.25">
      <c r="A1106" s="6">
        <v>15</v>
      </c>
      <c r="B1106" s="6" t="str">
        <f t="shared" si="424"/>
        <v xml:space="preserve">ЩС (Альбом 43)  </v>
      </c>
      <c r="C1106" s="7" t="s">
        <v>10</v>
      </c>
      <c r="D1106" s="7">
        <v>296829</v>
      </c>
      <c r="E1106" s="8" t="s">
        <v>44</v>
      </c>
      <c r="F1106" s="18">
        <v>2429</v>
      </c>
      <c r="G1106" s="18">
        <f t="shared" ref="G1106:G1107" si="426">F1106*0.6</f>
        <v>1457.3999999999999</v>
      </c>
      <c r="H1106" s="18">
        <f t="shared" si="425"/>
        <v>1457.3999999999999</v>
      </c>
      <c r="I1106" s="7">
        <v>1</v>
      </c>
      <c r="J1106" s="9" t="s">
        <v>11</v>
      </c>
      <c r="K1106" s="9" t="s">
        <v>22</v>
      </c>
      <c r="L1106" s="9" t="str">
        <f t="shared" ref="L1106:L1109" si="427">L1105</f>
        <v>Альбом 43</v>
      </c>
      <c r="M1106" s="18">
        <v>1457.3999999999999</v>
      </c>
      <c r="N1106" s="17"/>
    </row>
    <row r="1107" spans="1:14" ht="30" customHeight="1" outlineLevel="2" x14ac:dyDescent="0.25">
      <c r="A1107" s="6">
        <v>6</v>
      </c>
      <c r="B1107" s="6" t="str">
        <f t="shared" si="424"/>
        <v xml:space="preserve">ЩС (Альбом 43)  </v>
      </c>
      <c r="C1107" s="7" t="s">
        <v>10</v>
      </c>
      <c r="D1107" s="7">
        <v>296710</v>
      </c>
      <c r="E1107" s="8" t="s">
        <v>41</v>
      </c>
      <c r="F1107" s="18">
        <v>783</v>
      </c>
      <c r="G1107" s="18">
        <f t="shared" si="426"/>
        <v>469.79999999999995</v>
      </c>
      <c r="H1107" s="18">
        <f t="shared" si="425"/>
        <v>1409.3999999999999</v>
      </c>
      <c r="I1107" s="7">
        <v>3</v>
      </c>
      <c r="J1107" s="9" t="s">
        <v>11</v>
      </c>
      <c r="K1107" s="9" t="s">
        <v>22</v>
      </c>
      <c r="L1107" s="9" t="str">
        <f t="shared" si="427"/>
        <v>Альбом 43</v>
      </c>
      <c r="M1107" s="18">
        <v>1409.3999999999999</v>
      </c>
      <c r="N1107" s="17"/>
    </row>
    <row r="1108" spans="1:14" ht="30" customHeight="1" outlineLevel="2" x14ac:dyDescent="0.25">
      <c r="A1108" s="6">
        <v>9</v>
      </c>
      <c r="B1108" s="6" t="str">
        <f t="shared" si="424"/>
        <v xml:space="preserve">ЩС (Альбом 43)  </v>
      </c>
      <c r="C1108" s="7" t="s">
        <v>8</v>
      </c>
      <c r="D1108" s="7" t="s">
        <v>8</v>
      </c>
      <c r="E1108" s="8" t="s">
        <v>8</v>
      </c>
      <c r="F1108" s="18">
        <f ca="1">OFFSET(F1108,1,2)</f>
        <v>6000</v>
      </c>
      <c r="G1108" s="18">
        <f ca="1">F1108</f>
        <v>6000</v>
      </c>
      <c r="H1108" s="18">
        <f t="shared" ca="1" si="425"/>
        <v>6000</v>
      </c>
      <c r="I1108" s="7">
        <v>1</v>
      </c>
      <c r="J1108" s="9" t="s">
        <v>11</v>
      </c>
      <c r="K1108" s="7" t="s">
        <v>8</v>
      </c>
      <c r="L1108" s="7" t="str">
        <f>L1107</f>
        <v>Альбом 43</v>
      </c>
      <c r="M1108" s="18">
        <v>6000</v>
      </c>
      <c r="N1108" s="17"/>
    </row>
    <row r="1109" spans="1:14" ht="30" customHeight="1" outlineLevel="2" x14ac:dyDescent="0.25">
      <c r="A1109" s="6">
        <v>10</v>
      </c>
      <c r="B1109" s="6" t="str">
        <f t="shared" si="424"/>
        <v xml:space="preserve">ЩС (Альбом 43)  </v>
      </c>
      <c r="C1109" s="7" t="s">
        <v>9</v>
      </c>
      <c r="D1109" s="7" t="s">
        <v>9</v>
      </c>
      <c r="E1109" s="8" t="s">
        <v>9</v>
      </c>
      <c r="F1109" s="18">
        <v>1</v>
      </c>
      <c r="G1109" s="18">
        <v>100</v>
      </c>
      <c r="H1109" s="18">
        <f t="shared" si="425"/>
        <v>6000</v>
      </c>
      <c r="I1109" s="7">
        <f>60*F1109</f>
        <v>60</v>
      </c>
      <c r="J1109" s="9" t="s">
        <v>11</v>
      </c>
      <c r="K1109" s="7" t="s">
        <v>9</v>
      </c>
      <c r="L1109" s="7" t="str">
        <f t="shared" si="427"/>
        <v>Альбом 43</v>
      </c>
      <c r="M1109" s="18">
        <v>6000</v>
      </c>
      <c r="N1109" s="17"/>
    </row>
    <row r="1110" spans="1:14" ht="30" customHeight="1" outlineLevel="1" x14ac:dyDescent="0.25">
      <c r="A1110" s="6"/>
      <c r="B1110" s="6" t="s">
        <v>452</v>
      </c>
      <c r="C1110" s="7"/>
      <c r="D1110" s="7"/>
      <c r="E1110" s="8"/>
      <c r="F1110" s="18"/>
      <c r="G1110" s="18"/>
      <c r="H1110" s="18">
        <f ca="1">SUBTOTAL(9,H1104:H1109)</f>
        <v>21166.799999999999</v>
      </c>
      <c r="I1110" s="7"/>
      <c r="J1110" s="9"/>
      <c r="K1110" s="7"/>
      <c r="L1110" s="7"/>
      <c r="M1110" s="18">
        <v>21166.799999999999</v>
      </c>
      <c r="N1110" s="17"/>
    </row>
    <row r="1111" spans="1:14" ht="30" customHeight="1" outlineLevel="2" x14ac:dyDescent="0.25">
      <c r="A1111" s="3">
        <v>13</v>
      </c>
      <c r="B1111" s="3" t="str">
        <f t="shared" ref="B1111:B1113" si="428">E1111</f>
        <v>ЯТП-0,25-36(Альбом 43)</v>
      </c>
      <c r="C1111" s="3"/>
      <c r="D1111" s="14"/>
      <c r="E1111" s="3" t="s">
        <v>257</v>
      </c>
      <c r="F1111" s="13"/>
      <c r="G1111" s="13"/>
      <c r="H1111" s="13"/>
      <c r="I1111" s="5">
        <v>2</v>
      </c>
      <c r="J1111" s="4" t="s">
        <v>6</v>
      </c>
      <c r="K1111" s="4" t="s">
        <v>23</v>
      </c>
      <c r="L1111" s="4" t="s">
        <v>191</v>
      </c>
      <c r="M1111" s="13"/>
      <c r="N1111" s="17"/>
    </row>
    <row r="1112" spans="1:14" ht="30" customHeight="1" outlineLevel="1" x14ac:dyDescent="0.25">
      <c r="A1112" s="3"/>
      <c r="B1112" s="3" t="s">
        <v>453</v>
      </c>
      <c r="C1112" s="3"/>
      <c r="D1112" s="14"/>
      <c r="E1112" s="3"/>
      <c r="F1112" s="13"/>
      <c r="G1112" s="13"/>
      <c r="H1112" s="13">
        <f>SUBTOTAL(9,H1111:H1111)</f>
        <v>0</v>
      </c>
      <c r="I1112" s="5"/>
      <c r="J1112" s="4"/>
      <c r="K1112" s="4"/>
      <c r="L1112" s="4"/>
      <c r="M1112" s="13">
        <v>0</v>
      </c>
      <c r="N1112" s="17"/>
    </row>
    <row r="1113" spans="1:14" ht="30" customHeight="1" outlineLevel="2" x14ac:dyDescent="0.25">
      <c r="A1113" s="3">
        <v>1</v>
      </c>
      <c r="B1113" s="3" t="str">
        <f t="shared" si="428"/>
        <v xml:space="preserve">ЩУРВ(КПП-1) (Альбом 44) </v>
      </c>
      <c r="C1113" s="3"/>
      <c r="D1113" s="14"/>
      <c r="E1113" s="3" t="s">
        <v>195</v>
      </c>
      <c r="F1113" s="13"/>
      <c r="G1113" s="13"/>
      <c r="H1113" s="13"/>
      <c r="I1113" s="5">
        <v>1</v>
      </c>
      <c r="J1113" s="4" t="s">
        <v>6</v>
      </c>
      <c r="K1113" s="4" t="s">
        <v>23</v>
      </c>
      <c r="L1113" s="4" t="s">
        <v>192</v>
      </c>
      <c r="M1113" s="13"/>
      <c r="N1113" s="17"/>
    </row>
    <row r="1114" spans="1:14" ht="30" customHeight="1" outlineLevel="2" x14ac:dyDescent="0.25">
      <c r="A1114" s="6">
        <v>2</v>
      </c>
      <c r="B1114" s="6" t="str">
        <f t="shared" ref="B1114:B1120" si="429">B1113</f>
        <v xml:space="preserve">ЩУРВ(КПП-1) (Альбом 44) </v>
      </c>
      <c r="C1114" s="7" t="s">
        <v>7</v>
      </c>
      <c r="D1114" s="7" t="s">
        <v>290</v>
      </c>
      <c r="E1114" s="8" t="s">
        <v>291</v>
      </c>
      <c r="F1114" s="18">
        <v>18000</v>
      </c>
      <c r="G1114" s="18">
        <f>0.6*F1114</f>
        <v>10800</v>
      </c>
      <c r="H1114" s="18">
        <f t="shared" ref="H1114:H1120" si="430">G1114*I1114</f>
        <v>10800</v>
      </c>
      <c r="I1114" s="7">
        <v>1</v>
      </c>
      <c r="J1114" s="9" t="s">
        <v>11</v>
      </c>
      <c r="K1114" s="9" t="s">
        <v>24</v>
      </c>
      <c r="L1114" s="9" t="str">
        <f>L1113</f>
        <v>Альбом 44</v>
      </c>
      <c r="M1114" s="18">
        <v>10800</v>
      </c>
      <c r="N1114" s="17"/>
    </row>
    <row r="1115" spans="1:14" ht="30" customHeight="1" outlineLevel="2" x14ac:dyDescent="0.25">
      <c r="A1115" s="6">
        <v>15</v>
      </c>
      <c r="B1115" s="6" t="str">
        <f t="shared" si="429"/>
        <v xml:space="preserve">ЩУРВ(КПП-1) (Альбом 44) </v>
      </c>
      <c r="C1115" s="7" t="s">
        <v>10</v>
      </c>
      <c r="D1115" s="7">
        <v>296829</v>
      </c>
      <c r="E1115" s="8" t="s">
        <v>44</v>
      </c>
      <c r="F1115" s="18">
        <v>2429</v>
      </c>
      <c r="G1115" s="18">
        <f t="shared" ref="G1115:G1118" si="431">F1115*0.6</f>
        <v>1457.3999999999999</v>
      </c>
      <c r="H1115" s="18">
        <f t="shared" si="430"/>
        <v>1457.3999999999999</v>
      </c>
      <c r="I1115" s="7">
        <v>1</v>
      </c>
      <c r="J1115" s="9" t="s">
        <v>11</v>
      </c>
      <c r="K1115" s="9" t="s">
        <v>22</v>
      </c>
      <c r="L1115" s="9" t="str">
        <f t="shared" ref="L1115:L1120" si="432">L1114</f>
        <v>Альбом 44</v>
      </c>
      <c r="M1115" s="18">
        <v>1457.3999999999999</v>
      </c>
      <c r="N1115" s="17"/>
    </row>
    <row r="1116" spans="1:14" ht="30" customHeight="1" outlineLevel="2" x14ac:dyDescent="0.25">
      <c r="A1116" s="6">
        <v>6</v>
      </c>
      <c r="B1116" s="6" t="str">
        <f t="shared" si="429"/>
        <v xml:space="preserve">ЩУРВ(КПП-1) (Альбом 44) </v>
      </c>
      <c r="C1116" s="7" t="s">
        <v>10</v>
      </c>
      <c r="D1116" s="7">
        <v>296710</v>
      </c>
      <c r="E1116" s="8" t="s">
        <v>41</v>
      </c>
      <c r="F1116" s="18">
        <v>783</v>
      </c>
      <c r="G1116" s="18">
        <f t="shared" si="431"/>
        <v>469.79999999999995</v>
      </c>
      <c r="H1116" s="18">
        <f t="shared" si="430"/>
        <v>1409.3999999999999</v>
      </c>
      <c r="I1116" s="7">
        <v>3</v>
      </c>
      <c r="J1116" s="9" t="s">
        <v>11</v>
      </c>
      <c r="K1116" s="9" t="s">
        <v>22</v>
      </c>
      <c r="L1116" s="9" t="str">
        <f t="shared" si="432"/>
        <v>Альбом 44</v>
      </c>
      <c r="M1116" s="18">
        <v>1409.3999999999999</v>
      </c>
      <c r="N1116" s="17"/>
    </row>
    <row r="1117" spans="1:14" ht="30" customHeight="1" outlineLevel="2" x14ac:dyDescent="0.25">
      <c r="A1117" s="6">
        <v>15</v>
      </c>
      <c r="B1117" s="6" t="str">
        <f t="shared" si="429"/>
        <v xml:space="preserve">ЩУРВ(КПП-1) (Альбом 44) </v>
      </c>
      <c r="C1117" s="7" t="s">
        <v>12</v>
      </c>
      <c r="D1117" s="7">
        <v>105542</v>
      </c>
      <c r="E1117" s="8" t="s">
        <v>43</v>
      </c>
      <c r="F1117" s="18">
        <v>5093</v>
      </c>
      <c r="G1117" s="18">
        <f t="shared" si="431"/>
        <v>3055.7999999999997</v>
      </c>
      <c r="H1117" s="18">
        <f t="shared" si="430"/>
        <v>6111.5999999999995</v>
      </c>
      <c r="I1117" s="7">
        <v>2</v>
      </c>
      <c r="J1117" s="9" t="s">
        <v>11</v>
      </c>
      <c r="K1117" s="9" t="s">
        <v>22</v>
      </c>
      <c r="L1117" s="9" t="str">
        <f t="shared" si="432"/>
        <v>Альбом 44</v>
      </c>
      <c r="M1117" s="18">
        <v>6111.5999999999995</v>
      </c>
      <c r="N1117" s="17"/>
    </row>
    <row r="1118" spans="1:14" ht="30" customHeight="1" outlineLevel="2" x14ac:dyDescent="0.25">
      <c r="A1118" s="6">
        <v>15</v>
      </c>
      <c r="B1118" s="6" t="str">
        <f t="shared" si="429"/>
        <v xml:space="preserve">ЩУРВ(КПП-1) (Альбом 44) </v>
      </c>
      <c r="C1118" s="7" t="s">
        <v>14</v>
      </c>
      <c r="D1118" s="7" t="s">
        <v>294</v>
      </c>
      <c r="E1118" s="8" t="s">
        <v>295</v>
      </c>
      <c r="F1118" s="18">
        <v>80000</v>
      </c>
      <c r="G1118" s="18">
        <f t="shared" si="431"/>
        <v>48000</v>
      </c>
      <c r="H1118" s="18">
        <f t="shared" si="430"/>
        <v>48000</v>
      </c>
      <c r="I1118" s="7">
        <v>1</v>
      </c>
      <c r="J1118" s="9" t="s">
        <v>11</v>
      </c>
      <c r="K1118" s="9" t="s">
        <v>22</v>
      </c>
      <c r="L1118" s="9" t="str">
        <f t="shared" si="432"/>
        <v>Альбом 44</v>
      </c>
      <c r="M1118" s="18">
        <v>48000</v>
      </c>
      <c r="N1118" s="17"/>
    </row>
    <row r="1119" spans="1:14" ht="30" customHeight="1" outlineLevel="2" x14ac:dyDescent="0.25">
      <c r="A1119" s="6">
        <v>9</v>
      </c>
      <c r="B1119" s="6" t="str">
        <f t="shared" si="429"/>
        <v xml:space="preserve">ЩУРВ(КПП-1) (Альбом 44) </v>
      </c>
      <c r="C1119" s="7" t="s">
        <v>8</v>
      </c>
      <c r="D1119" s="7" t="s">
        <v>8</v>
      </c>
      <c r="E1119" s="8" t="s">
        <v>8</v>
      </c>
      <c r="F1119" s="18">
        <f ca="1">OFFSET(F1119,1,2)</f>
        <v>9000</v>
      </c>
      <c r="G1119" s="18">
        <f ca="1">F1119</f>
        <v>9000</v>
      </c>
      <c r="H1119" s="18">
        <f t="shared" ca="1" si="430"/>
        <v>9000</v>
      </c>
      <c r="I1119" s="7">
        <v>1</v>
      </c>
      <c r="J1119" s="9" t="s">
        <v>11</v>
      </c>
      <c r="K1119" s="7" t="s">
        <v>8</v>
      </c>
      <c r="L1119" s="7" t="str">
        <f>L1117</f>
        <v>Альбом 44</v>
      </c>
      <c r="M1119" s="18">
        <v>9000</v>
      </c>
      <c r="N1119" s="17"/>
    </row>
    <row r="1120" spans="1:14" ht="30" customHeight="1" outlineLevel="2" x14ac:dyDescent="0.25">
      <c r="A1120" s="6">
        <v>10</v>
      </c>
      <c r="B1120" s="6" t="str">
        <f t="shared" si="429"/>
        <v xml:space="preserve">ЩУРВ(КПП-1) (Альбом 44) </v>
      </c>
      <c r="C1120" s="7" t="s">
        <v>9</v>
      </c>
      <c r="D1120" s="7" t="s">
        <v>9</v>
      </c>
      <c r="E1120" s="8" t="s">
        <v>9</v>
      </c>
      <c r="F1120" s="18">
        <v>1.5</v>
      </c>
      <c r="G1120" s="18">
        <v>100</v>
      </c>
      <c r="H1120" s="18">
        <f t="shared" si="430"/>
        <v>9000</v>
      </c>
      <c r="I1120" s="7">
        <f>60*F1120</f>
        <v>90</v>
      </c>
      <c r="J1120" s="9" t="s">
        <v>11</v>
      </c>
      <c r="K1120" s="7" t="s">
        <v>9</v>
      </c>
      <c r="L1120" s="7" t="str">
        <f t="shared" si="432"/>
        <v>Альбом 44</v>
      </c>
      <c r="M1120" s="18">
        <v>9000</v>
      </c>
      <c r="N1120" s="17"/>
    </row>
    <row r="1121" spans="1:14" ht="30" customHeight="1" outlineLevel="1" x14ac:dyDescent="0.25">
      <c r="A1121" s="6"/>
      <c r="B1121" s="6" t="s">
        <v>454</v>
      </c>
      <c r="C1121" s="7"/>
      <c r="D1121" s="7"/>
      <c r="E1121" s="8"/>
      <c r="F1121" s="18"/>
      <c r="G1121" s="18"/>
      <c r="H1121" s="18">
        <f ca="1">SUBTOTAL(9,H1113:H1120)</f>
        <v>85778.4</v>
      </c>
      <c r="I1121" s="7"/>
      <c r="J1121" s="9"/>
      <c r="K1121" s="7"/>
      <c r="L1121" s="7"/>
      <c r="M1121" s="18">
        <v>85778.4</v>
      </c>
      <c r="N1121" s="17"/>
    </row>
    <row r="1122" spans="1:14" ht="30" customHeight="1" outlineLevel="2" x14ac:dyDescent="0.25">
      <c r="A1122" s="3">
        <v>1</v>
      </c>
      <c r="B1122" s="3" t="str">
        <f>E1122</f>
        <v xml:space="preserve">ЩУРВ(КПП-2) (Альбом 44) </v>
      </c>
      <c r="C1122" s="3"/>
      <c r="D1122" s="14"/>
      <c r="E1122" s="3" t="s">
        <v>196</v>
      </c>
      <c r="F1122" s="13"/>
      <c r="G1122" s="13"/>
      <c r="H1122" s="13"/>
      <c r="I1122" s="5">
        <v>1</v>
      </c>
      <c r="J1122" s="4" t="s">
        <v>6</v>
      </c>
      <c r="K1122" s="4" t="s">
        <v>23</v>
      </c>
      <c r="L1122" s="4" t="s">
        <v>192</v>
      </c>
      <c r="M1122" s="13"/>
      <c r="N1122" s="17"/>
    </row>
    <row r="1123" spans="1:14" ht="30" customHeight="1" outlineLevel="2" x14ac:dyDescent="0.25">
      <c r="A1123" s="6">
        <v>2</v>
      </c>
      <c r="B1123" s="6" t="str">
        <f t="shared" ref="B1123:B1129" si="433">B1122</f>
        <v xml:space="preserve">ЩУРВ(КПП-2) (Альбом 44) </v>
      </c>
      <c r="C1123" s="7" t="s">
        <v>7</v>
      </c>
      <c r="D1123" s="7" t="s">
        <v>290</v>
      </c>
      <c r="E1123" s="8" t="s">
        <v>291</v>
      </c>
      <c r="F1123" s="18">
        <v>18000</v>
      </c>
      <c r="G1123" s="18">
        <f>0.6*F1123</f>
        <v>10800</v>
      </c>
      <c r="H1123" s="18">
        <f t="shared" ref="H1123:H1129" si="434">G1123*I1123</f>
        <v>10800</v>
      </c>
      <c r="I1123" s="7">
        <v>1</v>
      </c>
      <c r="J1123" s="9" t="s">
        <v>11</v>
      </c>
      <c r="K1123" s="9" t="s">
        <v>24</v>
      </c>
      <c r="L1123" s="9" t="str">
        <f>L1122</f>
        <v>Альбом 44</v>
      </c>
      <c r="M1123" s="18">
        <v>10800</v>
      </c>
      <c r="N1123" s="17"/>
    </row>
    <row r="1124" spans="1:14" ht="30" customHeight="1" outlineLevel="2" x14ac:dyDescent="0.25">
      <c r="A1124" s="6">
        <v>15</v>
      </c>
      <c r="B1124" s="6" t="str">
        <f t="shared" si="433"/>
        <v xml:space="preserve">ЩУРВ(КПП-2) (Альбом 44) </v>
      </c>
      <c r="C1124" s="7" t="s">
        <v>10</v>
      </c>
      <c r="D1124" s="7">
        <v>296829</v>
      </c>
      <c r="E1124" s="8" t="s">
        <v>44</v>
      </c>
      <c r="F1124" s="18">
        <v>2429</v>
      </c>
      <c r="G1124" s="18">
        <f t="shared" ref="G1124:G1127" si="435">F1124*0.6</f>
        <v>1457.3999999999999</v>
      </c>
      <c r="H1124" s="18">
        <f t="shared" si="434"/>
        <v>1457.3999999999999</v>
      </c>
      <c r="I1124" s="7">
        <v>1</v>
      </c>
      <c r="J1124" s="9" t="s">
        <v>11</v>
      </c>
      <c r="K1124" s="9" t="s">
        <v>22</v>
      </c>
      <c r="L1124" s="9" t="str">
        <f t="shared" ref="L1124:L1129" si="436">L1123</f>
        <v>Альбом 44</v>
      </c>
      <c r="M1124" s="18">
        <v>1457.3999999999999</v>
      </c>
      <c r="N1124" s="17"/>
    </row>
    <row r="1125" spans="1:14" ht="30" customHeight="1" outlineLevel="2" x14ac:dyDescent="0.25">
      <c r="A1125" s="6">
        <v>6</v>
      </c>
      <c r="B1125" s="6" t="str">
        <f t="shared" si="433"/>
        <v xml:space="preserve">ЩУРВ(КПП-2) (Альбом 44) </v>
      </c>
      <c r="C1125" s="7" t="s">
        <v>10</v>
      </c>
      <c r="D1125" s="7">
        <v>296710</v>
      </c>
      <c r="E1125" s="8" t="s">
        <v>41</v>
      </c>
      <c r="F1125" s="18">
        <v>783</v>
      </c>
      <c r="G1125" s="18">
        <f t="shared" si="435"/>
        <v>469.79999999999995</v>
      </c>
      <c r="H1125" s="18">
        <f t="shared" si="434"/>
        <v>1409.3999999999999</v>
      </c>
      <c r="I1125" s="7">
        <v>3</v>
      </c>
      <c r="J1125" s="9" t="s">
        <v>11</v>
      </c>
      <c r="K1125" s="9" t="s">
        <v>22</v>
      </c>
      <c r="L1125" s="9" t="str">
        <f t="shared" si="436"/>
        <v>Альбом 44</v>
      </c>
      <c r="M1125" s="18">
        <v>1409.3999999999999</v>
      </c>
      <c r="N1125" s="17"/>
    </row>
    <row r="1126" spans="1:14" ht="30" customHeight="1" outlineLevel="2" x14ac:dyDescent="0.25">
      <c r="A1126" s="6">
        <v>15</v>
      </c>
      <c r="B1126" s="6" t="str">
        <f t="shared" si="433"/>
        <v xml:space="preserve">ЩУРВ(КПП-2) (Альбом 44) </v>
      </c>
      <c r="C1126" s="7" t="s">
        <v>12</v>
      </c>
      <c r="D1126" s="7">
        <v>105542</v>
      </c>
      <c r="E1126" s="8" t="s">
        <v>43</v>
      </c>
      <c r="F1126" s="18">
        <v>5093</v>
      </c>
      <c r="G1126" s="18">
        <f t="shared" si="435"/>
        <v>3055.7999999999997</v>
      </c>
      <c r="H1126" s="18">
        <f t="shared" si="434"/>
        <v>6111.5999999999995</v>
      </c>
      <c r="I1126" s="7">
        <v>2</v>
      </c>
      <c r="J1126" s="9" t="s">
        <v>11</v>
      </c>
      <c r="K1126" s="9" t="s">
        <v>22</v>
      </c>
      <c r="L1126" s="9" t="str">
        <f t="shared" si="436"/>
        <v>Альбом 44</v>
      </c>
      <c r="M1126" s="18">
        <v>6111.5999999999995</v>
      </c>
      <c r="N1126" s="17"/>
    </row>
    <row r="1127" spans="1:14" ht="30" customHeight="1" outlineLevel="2" x14ac:dyDescent="0.25">
      <c r="A1127" s="6">
        <v>15</v>
      </c>
      <c r="B1127" s="6" t="str">
        <f t="shared" si="433"/>
        <v xml:space="preserve">ЩУРВ(КПП-2) (Альбом 44) </v>
      </c>
      <c r="C1127" s="7" t="s">
        <v>14</v>
      </c>
      <c r="D1127" s="7" t="s">
        <v>294</v>
      </c>
      <c r="E1127" s="8" t="s">
        <v>295</v>
      </c>
      <c r="F1127" s="18">
        <v>80000</v>
      </c>
      <c r="G1127" s="18">
        <f t="shared" si="435"/>
        <v>48000</v>
      </c>
      <c r="H1127" s="18">
        <f t="shared" si="434"/>
        <v>48000</v>
      </c>
      <c r="I1127" s="7">
        <v>1</v>
      </c>
      <c r="J1127" s="9" t="s">
        <v>11</v>
      </c>
      <c r="K1127" s="9" t="s">
        <v>22</v>
      </c>
      <c r="L1127" s="9" t="str">
        <f t="shared" si="436"/>
        <v>Альбом 44</v>
      </c>
      <c r="M1127" s="18">
        <v>48000</v>
      </c>
      <c r="N1127" s="17"/>
    </row>
    <row r="1128" spans="1:14" ht="30" customHeight="1" outlineLevel="2" x14ac:dyDescent="0.25">
      <c r="A1128" s="6">
        <v>9</v>
      </c>
      <c r="B1128" s="6" t="str">
        <f t="shared" si="433"/>
        <v xml:space="preserve">ЩУРВ(КПП-2) (Альбом 44) </v>
      </c>
      <c r="C1128" s="7" t="s">
        <v>8</v>
      </c>
      <c r="D1128" s="7" t="s">
        <v>8</v>
      </c>
      <c r="E1128" s="8" t="s">
        <v>8</v>
      </c>
      <c r="F1128" s="18">
        <f ca="1">OFFSET(F1128,1,2)</f>
        <v>9000</v>
      </c>
      <c r="G1128" s="18">
        <f ca="1">F1128</f>
        <v>9000</v>
      </c>
      <c r="H1128" s="18">
        <f t="shared" ca="1" si="434"/>
        <v>9000</v>
      </c>
      <c r="I1128" s="7">
        <v>1</v>
      </c>
      <c r="J1128" s="9" t="s">
        <v>11</v>
      </c>
      <c r="K1128" s="7" t="s">
        <v>8</v>
      </c>
      <c r="L1128" s="7" t="str">
        <f>L1126</f>
        <v>Альбом 44</v>
      </c>
      <c r="M1128" s="18">
        <v>9000</v>
      </c>
      <c r="N1128" s="17"/>
    </row>
    <row r="1129" spans="1:14" ht="30" customHeight="1" outlineLevel="2" x14ac:dyDescent="0.25">
      <c r="A1129" s="6">
        <v>10</v>
      </c>
      <c r="B1129" s="6" t="str">
        <f t="shared" si="433"/>
        <v xml:space="preserve">ЩУРВ(КПП-2) (Альбом 44) </v>
      </c>
      <c r="C1129" s="7" t="s">
        <v>9</v>
      </c>
      <c r="D1129" s="7" t="s">
        <v>9</v>
      </c>
      <c r="E1129" s="8" t="s">
        <v>9</v>
      </c>
      <c r="F1129" s="18">
        <v>1.5</v>
      </c>
      <c r="G1129" s="18">
        <v>100</v>
      </c>
      <c r="H1129" s="18">
        <f t="shared" si="434"/>
        <v>9000</v>
      </c>
      <c r="I1129" s="7">
        <f>60*F1129</f>
        <v>90</v>
      </c>
      <c r="J1129" s="9" t="s">
        <v>11</v>
      </c>
      <c r="K1129" s="7" t="s">
        <v>9</v>
      </c>
      <c r="L1129" s="7" t="str">
        <f t="shared" si="436"/>
        <v>Альбом 44</v>
      </c>
      <c r="M1129" s="18">
        <v>9000</v>
      </c>
      <c r="N1129" s="17"/>
    </row>
    <row r="1130" spans="1:14" ht="30" customHeight="1" outlineLevel="1" x14ac:dyDescent="0.25">
      <c r="A1130" s="6"/>
      <c r="B1130" s="6" t="s">
        <v>455</v>
      </c>
      <c r="C1130" s="7"/>
      <c r="D1130" s="7"/>
      <c r="E1130" s="8"/>
      <c r="F1130" s="18"/>
      <c r="G1130" s="18"/>
      <c r="H1130" s="18">
        <f ca="1">SUBTOTAL(9,H1122:H1129)</f>
        <v>85778.4</v>
      </c>
      <c r="I1130" s="7"/>
      <c r="J1130" s="9"/>
      <c r="K1130" s="7"/>
      <c r="L1130" s="7"/>
      <c r="M1130" s="18">
        <v>85778.4</v>
      </c>
      <c r="N1130" s="17"/>
    </row>
    <row r="1131" spans="1:14" ht="30" customHeight="1" x14ac:dyDescent="0.25">
      <c r="A1131" s="6"/>
      <c r="B1131" s="6" t="s">
        <v>456</v>
      </c>
      <c r="C1131" s="7"/>
      <c r="D1131" s="7"/>
      <c r="E1131" s="8"/>
      <c r="F1131" s="18"/>
      <c r="G1131" s="18"/>
      <c r="H1131" s="18">
        <f ca="1">SUBTOTAL(9,H2:H1129)</f>
        <v>11637862.600000028</v>
      </c>
      <c r="I1131" s="7"/>
      <c r="J1131" s="9"/>
      <c r="K1131" s="7"/>
      <c r="L1131" s="7"/>
      <c r="M1131" s="18">
        <v>11637862.600000028</v>
      </c>
      <c r="N1131" s="17"/>
    </row>
  </sheetData>
  <autoFilter ref="A1:L1130" xr:uid="{6390C445-D28C-4E55-8149-96BA8DFBC99C}"/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1086-BC71-49A1-980B-064D39BAC5EA}">
  <dimension ref="A1:K163"/>
  <sheetViews>
    <sheetView topLeftCell="A17" workbookViewId="0">
      <selection activeCell="E2" sqref="E2:E163"/>
    </sheetView>
  </sheetViews>
  <sheetFormatPr defaultRowHeight="15" x14ac:dyDescent="0.25"/>
  <cols>
    <col min="2" max="2" width="52.85546875" customWidth="1"/>
    <col min="11" max="11" width="13.85546875" customWidth="1"/>
  </cols>
  <sheetData>
    <row r="1" spans="1:11" ht="24" x14ac:dyDescent="0.25">
      <c r="A1" s="1" t="s">
        <v>1</v>
      </c>
      <c r="B1" s="1" t="s">
        <v>2</v>
      </c>
      <c r="C1" s="12" t="s">
        <v>3</v>
      </c>
      <c r="D1" s="12" t="s">
        <v>3</v>
      </c>
      <c r="E1" s="12" t="s">
        <v>5</v>
      </c>
      <c r="F1" s="2" t="s">
        <v>19</v>
      </c>
      <c r="G1" s="2" t="s">
        <v>4</v>
      </c>
      <c r="H1" s="2" t="s">
        <v>21</v>
      </c>
      <c r="I1" s="2" t="s">
        <v>18</v>
      </c>
      <c r="J1" s="12" t="s">
        <v>457</v>
      </c>
      <c r="K1" s="12">
        <v>2.2999999999999998</v>
      </c>
    </row>
    <row r="2" spans="1:11" ht="24" x14ac:dyDescent="0.25">
      <c r="A2" s="14"/>
      <c r="B2" s="3" t="s">
        <v>245</v>
      </c>
      <c r="C2" s="13">
        <f>ROUNDUP(K2,-3)</f>
        <v>1990000</v>
      </c>
      <c r="D2" s="13">
        <f>0.7*C2</f>
        <v>1393000</v>
      </c>
      <c r="E2" s="13">
        <f>D2*F2</f>
        <v>1393000</v>
      </c>
      <c r="F2" s="5">
        <v>1</v>
      </c>
      <c r="G2" s="4" t="s">
        <v>6</v>
      </c>
      <c r="H2" s="4" t="s">
        <v>23</v>
      </c>
      <c r="I2" s="4" t="s">
        <v>31</v>
      </c>
      <c r="J2" s="18">
        <v>865164</v>
      </c>
      <c r="K2" s="18">
        <f>2.3*J2</f>
        <v>1989877.2</v>
      </c>
    </row>
    <row r="3" spans="1:11" ht="24" x14ac:dyDescent="0.25">
      <c r="A3" s="14"/>
      <c r="B3" s="3" t="s">
        <v>35</v>
      </c>
      <c r="C3" s="13">
        <f t="shared" ref="C3:C66" si="0">ROUNDUP(K3,-3)</f>
        <v>2379000</v>
      </c>
      <c r="D3" s="13">
        <f t="shared" ref="D3:D66" si="1">0.7*C3</f>
        <v>1665300</v>
      </c>
      <c r="E3" s="13">
        <f t="shared" ref="E3:E66" si="2">D3*F3</f>
        <v>1665300</v>
      </c>
      <c r="F3" s="5">
        <v>1</v>
      </c>
      <c r="G3" s="4" t="s">
        <v>6</v>
      </c>
      <c r="H3" s="4" t="s">
        <v>23</v>
      </c>
      <c r="I3" s="4" t="s">
        <v>31</v>
      </c>
      <c r="J3" s="18">
        <v>1034123</v>
      </c>
      <c r="K3" s="18">
        <f t="shared" ref="K3:K66" si="3">2.3*J3</f>
        <v>2378482.9</v>
      </c>
    </row>
    <row r="4" spans="1:11" ht="24" x14ac:dyDescent="0.25">
      <c r="A4" s="14"/>
      <c r="B4" s="3" t="s">
        <v>197</v>
      </c>
      <c r="C4" s="13">
        <f t="shared" si="0"/>
        <v>2528000</v>
      </c>
      <c r="D4" s="13">
        <f t="shared" si="1"/>
        <v>1769600</v>
      </c>
      <c r="E4" s="13">
        <f t="shared" si="2"/>
        <v>1769600</v>
      </c>
      <c r="F4" s="5">
        <v>1</v>
      </c>
      <c r="G4" s="4" t="s">
        <v>6</v>
      </c>
      <c r="H4" s="4" t="s">
        <v>23</v>
      </c>
      <c r="I4" s="4" t="s">
        <v>31</v>
      </c>
      <c r="J4" s="18">
        <v>1098921</v>
      </c>
      <c r="K4" s="18">
        <f t="shared" si="3"/>
        <v>2527518.2999999998</v>
      </c>
    </row>
    <row r="5" spans="1:11" ht="24" x14ac:dyDescent="0.25">
      <c r="A5" s="14"/>
      <c r="B5" s="3" t="s">
        <v>198</v>
      </c>
      <c r="C5" s="13">
        <f t="shared" si="0"/>
        <v>78000</v>
      </c>
      <c r="D5" s="13">
        <f t="shared" si="1"/>
        <v>54600</v>
      </c>
      <c r="E5" s="13">
        <f t="shared" si="2"/>
        <v>54600</v>
      </c>
      <c r="F5" s="5">
        <v>1</v>
      </c>
      <c r="G5" s="4" t="s">
        <v>6</v>
      </c>
      <c r="H5" s="4" t="s">
        <v>23</v>
      </c>
      <c r="I5" s="4" t="s">
        <v>31</v>
      </c>
      <c r="J5" s="18">
        <v>33755.4</v>
      </c>
      <c r="K5" s="18">
        <f t="shared" si="3"/>
        <v>77637.42</v>
      </c>
    </row>
    <row r="6" spans="1:11" ht="24" x14ac:dyDescent="0.25">
      <c r="A6" s="14"/>
      <c r="B6" s="3" t="s">
        <v>199</v>
      </c>
      <c r="C6" s="13">
        <f t="shared" si="0"/>
        <v>136000</v>
      </c>
      <c r="D6" s="13">
        <f t="shared" si="1"/>
        <v>95200</v>
      </c>
      <c r="E6" s="13">
        <f t="shared" si="2"/>
        <v>95200</v>
      </c>
      <c r="F6" s="5">
        <v>1</v>
      </c>
      <c r="G6" s="4" t="s">
        <v>6</v>
      </c>
      <c r="H6" s="4" t="s">
        <v>23</v>
      </c>
      <c r="I6" s="4" t="s">
        <v>31</v>
      </c>
      <c r="J6" s="18">
        <v>58843.799999999996</v>
      </c>
      <c r="K6" s="18">
        <f t="shared" si="3"/>
        <v>135340.74</v>
      </c>
    </row>
    <row r="7" spans="1:11" ht="24" x14ac:dyDescent="0.25">
      <c r="A7" s="14"/>
      <c r="B7" s="3" t="s">
        <v>200</v>
      </c>
      <c r="C7" s="13">
        <f t="shared" si="0"/>
        <v>140000</v>
      </c>
      <c r="D7" s="13">
        <f t="shared" si="1"/>
        <v>98000</v>
      </c>
      <c r="E7" s="13">
        <f t="shared" si="2"/>
        <v>98000</v>
      </c>
      <c r="F7" s="5">
        <v>1</v>
      </c>
      <c r="G7" s="4" t="s">
        <v>6</v>
      </c>
      <c r="H7" s="4" t="s">
        <v>23</v>
      </c>
      <c r="I7" s="4" t="s">
        <v>31</v>
      </c>
      <c r="J7" s="18">
        <v>60490.2</v>
      </c>
      <c r="K7" s="18">
        <f t="shared" si="3"/>
        <v>139127.46</v>
      </c>
    </row>
    <row r="8" spans="1:11" ht="24" x14ac:dyDescent="0.25">
      <c r="A8" s="14"/>
      <c r="B8" s="3" t="s">
        <v>201</v>
      </c>
      <c r="C8" s="13">
        <f t="shared" si="0"/>
        <v>96000</v>
      </c>
      <c r="D8" s="13">
        <f t="shared" si="1"/>
        <v>67200</v>
      </c>
      <c r="E8" s="13">
        <f t="shared" si="2"/>
        <v>67200</v>
      </c>
      <c r="F8" s="5">
        <v>1</v>
      </c>
      <c r="G8" s="4" t="s">
        <v>6</v>
      </c>
      <c r="H8" s="4" t="s">
        <v>23</v>
      </c>
      <c r="I8" s="4" t="s">
        <v>31</v>
      </c>
      <c r="J8" s="18">
        <v>41643.599999999999</v>
      </c>
      <c r="K8" s="18">
        <f t="shared" si="3"/>
        <v>95780.279999999984</v>
      </c>
    </row>
    <row r="9" spans="1:11" ht="24" x14ac:dyDescent="0.25">
      <c r="A9" s="14"/>
      <c r="B9" s="3" t="s">
        <v>202</v>
      </c>
      <c r="C9" s="13">
        <f t="shared" si="0"/>
        <v>90000</v>
      </c>
      <c r="D9" s="13">
        <f t="shared" si="1"/>
        <v>62999.999999999993</v>
      </c>
      <c r="E9" s="13">
        <f t="shared" si="2"/>
        <v>62999.999999999993</v>
      </c>
      <c r="F9" s="5">
        <v>1</v>
      </c>
      <c r="G9" s="4" t="s">
        <v>6</v>
      </c>
      <c r="H9" s="4" t="s">
        <v>23</v>
      </c>
      <c r="I9" s="4" t="s">
        <v>31</v>
      </c>
      <c r="J9" s="18">
        <v>38927.399999999994</v>
      </c>
      <c r="K9" s="18">
        <f t="shared" si="3"/>
        <v>89533.019999999975</v>
      </c>
    </row>
    <row r="10" spans="1:11" ht="24" x14ac:dyDescent="0.25">
      <c r="A10" s="14"/>
      <c r="B10" s="3" t="s">
        <v>203</v>
      </c>
      <c r="C10" s="13">
        <f t="shared" si="0"/>
        <v>135000</v>
      </c>
      <c r="D10" s="13">
        <f t="shared" si="1"/>
        <v>94500</v>
      </c>
      <c r="E10" s="13">
        <f t="shared" si="2"/>
        <v>94500</v>
      </c>
      <c r="F10" s="5">
        <v>1</v>
      </c>
      <c r="G10" s="4" t="s">
        <v>6</v>
      </c>
      <c r="H10" s="4" t="s">
        <v>23</v>
      </c>
      <c r="I10" s="4" t="s">
        <v>31</v>
      </c>
      <c r="J10" s="18">
        <v>58374</v>
      </c>
      <c r="K10" s="18">
        <f t="shared" si="3"/>
        <v>134260.19999999998</v>
      </c>
    </row>
    <row r="11" spans="1:11" ht="24" x14ac:dyDescent="0.25">
      <c r="A11" s="14"/>
      <c r="B11" s="3" t="s">
        <v>204</v>
      </c>
      <c r="C11" s="13">
        <f t="shared" si="0"/>
        <v>129000</v>
      </c>
      <c r="D11" s="13">
        <f t="shared" si="1"/>
        <v>90300</v>
      </c>
      <c r="E11" s="13">
        <f t="shared" si="2"/>
        <v>90300</v>
      </c>
      <c r="F11" s="5">
        <v>1</v>
      </c>
      <c r="G11" s="4" t="s">
        <v>6</v>
      </c>
      <c r="H11" s="4" t="s">
        <v>23</v>
      </c>
      <c r="I11" s="4" t="s">
        <v>31</v>
      </c>
      <c r="J11" s="18">
        <v>56025</v>
      </c>
      <c r="K11" s="18">
        <f t="shared" si="3"/>
        <v>128857.49999999999</v>
      </c>
    </row>
    <row r="12" spans="1:11" ht="24" x14ac:dyDescent="0.25">
      <c r="A12" s="14"/>
      <c r="B12" s="3" t="s">
        <v>205</v>
      </c>
      <c r="C12" s="13">
        <f t="shared" si="0"/>
        <v>123000</v>
      </c>
      <c r="D12" s="13">
        <f t="shared" si="1"/>
        <v>86100</v>
      </c>
      <c r="E12" s="13">
        <f t="shared" si="2"/>
        <v>86100</v>
      </c>
      <c r="F12" s="5">
        <v>1</v>
      </c>
      <c r="G12" s="4" t="s">
        <v>6</v>
      </c>
      <c r="H12" s="4" t="s">
        <v>23</v>
      </c>
      <c r="I12" s="4" t="s">
        <v>31</v>
      </c>
      <c r="J12" s="18">
        <v>53439</v>
      </c>
      <c r="K12" s="18">
        <f t="shared" si="3"/>
        <v>122909.7</v>
      </c>
    </row>
    <row r="13" spans="1:11" ht="24" x14ac:dyDescent="0.25">
      <c r="A13" s="14"/>
      <c r="B13" s="3" t="s">
        <v>206</v>
      </c>
      <c r="C13" s="13">
        <f t="shared" si="0"/>
        <v>134000</v>
      </c>
      <c r="D13" s="13">
        <f t="shared" si="1"/>
        <v>93800</v>
      </c>
      <c r="E13" s="13">
        <f t="shared" si="2"/>
        <v>93800</v>
      </c>
      <c r="F13" s="5">
        <v>1</v>
      </c>
      <c r="G13" s="4" t="s">
        <v>6</v>
      </c>
      <c r="H13" s="4" t="s">
        <v>23</v>
      </c>
      <c r="I13" s="4" t="s">
        <v>31</v>
      </c>
      <c r="J13" s="18">
        <v>57904.2</v>
      </c>
      <c r="K13" s="18">
        <f t="shared" si="3"/>
        <v>133179.65999999997</v>
      </c>
    </row>
    <row r="14" spans="1:11" ht="24" x14ac:dyDescent="0.25">
      <c r="A14" s="14"/>
      <c r="B14" s="3" t="s">
        <v>207</v>
      </c>
      <c r="C14" s="13">
        <f t="shared" si="0"/>
        <v>124000</v>
      </c>
      <c r="D14" s="13">
        <f t="shared" si="1"/>
        <v>86800</v>
      </c>
      <c r="E14" s="13">
        <f t="shared" si="2"/>
        <v>86800</v>
      </c>
      <c r="F14" s="5">
        <v>1</v>
      </c>
      <c r="G14" s="4" t="s">
        <v>6</v>
      </c>
      <c r="H14" s="4" t="s">
        <v>23</v>
      </c>
      <c r="I14" s="4" t="s">
        <v>31</v>
      </c>
      <c r="J14" s="18">
        <v>53908.799999999996</v>
      </c>
      <c r="K14" s="18">
        <f t="shared" si="3"/>
        <v>123990.23999999998</v>
      </c>
    </row>
    <row r="15" spans="1:11" ht="24" x14ac:dyDescent="0.25">
      <c r="A15" s="14"/>
      <c r="B15" s="3" t="s">
        <v>208</v>
      </c>
      <c r="C15" s="13">
        <f t="shared" si="0"/>
        <v>127000</v>
      </c>
      <c r="D15" s="13">
        <f t="shared" si="1"/>
        <v>88900</v>
      </c>
      <c r="E15" s="13">
        <f t="shared" si="2"/>
        <v>88900</v>
      </c>
      <c r="F15" s="5">
        <v>1</v>
      </c>
      <c r="G15" s="4" t="s">
        <v>6</v>
      </c>
      <c r="H15" s="4" t="s">
        <v>23</v>
      </c>
      <c r="I15" s="4" t="s">
        <v>31</v>
      </c>
      <c r="J15" s="18">
        <v>54848.399999999994</v>
      </c>
      <c r="K15" s="18">
        <f t="shared" si="3"/>
        <v>126151.31999999998</v>
      </c>
    </row>
    <row r="16" spans="1:11" ht="24" x14ac:dyDescent="0.25">
      <c r="A16" s="14"/>
      <c r="B16" s="3" t="s">
        <v>209</v>
      </c>
      <c r="C16" s="13">
        <f t="shared" si="0"/>
        <v>134000</v>
      </c>
      <c r="D16" s="13">
        <f t="shared" si="1"/>
        <v>93800</v>
      </c>
      <c r="E16" s="13">
        <f t="shared" si="2"/>
        <v>93800</v>
      </c>
      <c r="F16" s="5">
        <v>1</v>
      </c>
      <c r="G16" s="4" t="s">
        <v>6</v>
      </c>
      <c r="H16" s="4" t="s">
        <v>23</v>
      </c>
      <c r="I16" s="4" t="s">
        <v>31</v>
      </c>
      <c r="J16" s="18">
        <v>57904.2</v>
      </c>
      <c r="K16" s="18">
        <f t="shared" si="3"/>
        <v>133179.65999999997</v>
      </c>
    </row>
    <row r="17" spans="1:11" ht="24" x14ac:dyDescent="0.25">
      <c r="A17" s="14"/>
      <c r="B17" s="3" t="s">
        <v>210</v>
      </c>
      <c r="C17" s="13">
        <f t="shared" si="0"/>
        <v>134000</v>
      </c>
      <c r="D17" s="13">
        <f t="shared" si="1"/>
        <v>93800</v>
      </c>
      <c r="E17" s="13">
        <f t="shared" si="2"/>
        <v>93800</v>
      </c>
      <c r="F17" s="5">
        <v>1</v>
      </c>
      <c r="G17" s="4" t="s">
        <v>6</v>
      </c>
      <c r="H17" s="4" t="s">
        <v>23</v>
      </c>
      <c r="I17" s="4" t="s">
        <v>31</v>
      </c>
      <c r="J17" s="18">
        <v>57904.2</v>
      </c>
      <c r="K17" s="18">
        <f t="shared" si="3"/>
        <v>133179.65999999997</v>
      </c>
    </row>
    <row r="18" spans="1:11" ht="24" x14ac:dyDescent="0.25">
      <c r="A18" s="14"/>
      <c r="B18" s="3" t="s">
        <v>211</v>
      </c>
      <c r="C18" s="13">
        <f t="shared" si="0"/>
        <v>56000</v>
      </c>
      <c r="D18" s="13">
        <f t="shared" si="1"/>
        <v>39200</v>
      </c>
      <c r="E18" s="13">
        <f t="shared" si="2"/>
        <v>39200</v>
      </c>
      <c r="F18" s="5">
        <v>1</v>
      </c>
      <c r="G18" s="4" t="s">
        <v>6</v>
      </c>
      <c r="H18" s="4" t="s">
        <v>23</v>
      </c>
      <c r="I18" s="4" t="s">
        <v>31</v>
      </c>
      <c r="J18" s="18">
        <v>24222.6</v>
      </c>
      <c r="K18" s="18">
        <f t="shared" si="3"/>
        <v>55711.979999999996</v>
      </c>
    </row>
    <row r="19" spans="1:11" ht="24" x14ac:dyDescent="0.25">
      <c r="A19" s="14"/>
      <c r="B19" s="3" t="s">
        <v>212</v>
      </c>
      <c r="C19" s="13">
        <f t="shared" si="0"/>
        <v>161000</v>
      </c>
      <c r="D19" s="13">
        <f t="shared" si="1"/>
        <v>112700</v>
      </c>
      <c r="E19" s="13">
        <f t="shared" si="2"/>
        <v>112700</v>
      </c>
      <c r="F19" s="5">
        <v>1</v>
      </c>
      <c r="G19" s="4" t="s">
        <v>6</v>
      </c>
      <c r="H19" s="4" t="s">
        <v>23</v>
      </c>
      <c r="I19" s="4" t="s">
        <v>31</v>
      </c>
      <c r="J19" s="18">
        <v>69904.2</v>
      </c>
      <c r="K19" s="18">
        <f t="shared" si="3"/>
        <v>160779.65999999997</v>
      </c>
    </row>
    <row r="20" spans="1:11" ht="24" x14ac:dyDescent="0.25">
      <c r="A20" s="14"/>
      <c r="B20" s="3" t="s">
        <v>213</v>
      </c>
      <c r="C20" s="13">
        <f t="shared" si="0"/>
        <v>126000</v>
      </c>
      <c r="D20" s="13">
        <f t="shared" si="1"/>
        <v>88200</v>
      </c>
      <c r="E20" s="13">
        <f t="shared" si="2"/>
        <v>88200</v>
      </c>
      <c r="F20" s="5">
        <v>1</v>
      </c>
      <c r="G20" s="4" t="s">
        <v>6</v>
      </c>
      <c r="H20" s="4" t="s">
        <v>23</v>
      </c>
      <c r="I20" s="4" t="s">
        <v>31</v>
      </c>
      <c r="J20" s="18">
        <v>54378.6</v>
      </c>
      <c r="K20" s="18">
        <f t="shared" si="3"/>
        <v>125070.77999999998</v>
      </c>
    </row>
    <row r="21" spans="1:11" ht="24" x14ac:dyDescent="0.25">
      <c r="A21" s="14"/>
      <c r="B21" s="3" t="s">
        <v>214</v>
      </c>
      <c r="C21" s="13">
        <f t="shared" si="0"/>
        <v>133000</v>
      </c>
      <c r="D21" s="13">
        <f t="shared" si="1"/>
        <v>93100</v>
      </c>
      <c r="E21" s="13">
        <f t="shared" si="2"/>
        <v>93100</v>
      </c>
      <c r="F21" s="5">
        <v>1</v>
      </c>
      <c r="G21" s="4" t="s">
        <v>6</v>
      </c>
      <c r="H21" s="4" t="s">
        <v>23</v>
      </c>
      <c r="I21" s="4" t="s">
        <v>31</v>
      </c>
      <c r="J21" s="18">
        <v>57434.400000000001</v>
      </c>
      <c r="K21" s="18">
        <f t="shared" si="3"/>
        <v>132099.12</v>
      </c>
    </row>
    <row r="22" spans="1:11" ht="24" x14ac:dyDescent="0.25">
      <c r="A22" s="14"/>
      <c r="B22" s="3" t="s">
        <v>45</v>
      </c>
      <c r="C22" s="13">
        <f t="shared" si="0"/>
        <v>50000</v>
      </c>
      <c r="D22" s="13">
        <f t="shared" si="1"/>
        <v>35000</v>
      </c>
      <c r="E22" s="13">
        <f t="shared" si="2"/>
        <v>105000</v>
      </c>
      <c r="F22" s="5">
        <v>3</v>
      </c>
      <c r="G22" s="4" t="s">
        <v>6</v>
      </c>
      <c r="H22" s="4" t="s">
        <v>23</v>
      </c>
      <c r="I22" s="4" t="s">
        <v>31</v>
      </c>
      <c r="J22" s="18">
        <v>21636.6</v>
      </c>
      <c r="K22" s="18">
        <f t="shared" si="3"/>
        <v>49764.179999999993</v>
      </c>
    </row>
    <row r="23" spans="1:11" ht="24" x14ac:dyDescent="0.25">
      <c r="A23" s="14"/>
      <c r="B23" s="3" t="s">
        <v>46</v>
      </c>
      <c r="C23" s="13">
        <f t="shared" si="0"/>
        <v>54000</v>
      </c>
      <c r="D23" s="13">
        <f t="shared" si="1"/>
        <v>37800</v>
      </c>
      <c r="E23" s="13">
        <f t="shared" si="2"/>
        <v>75600</v>
      </c>
      <c r="F23" s="5">
        <v>2</v>
      </c>
      <c r="G23" s="4" t="s">
        <v>6</v>
      </c>
      <c r="H23" s="4" t="s">
        <v>23</v>
      </c>
      <c r="I23" s="4" t="s">
        <v>31</v>
      </c>
      <c r="J23" s="18">
        <v>23046</v>
      </c>
      <c r="K23" s="18">
        <f t="shared" si="3"/>
        <v>53005.799999999996</v>
      </c>
    </row>
    <row r="24" spans="1:11" ht="24" x14ac:dyDescent="0.25">
      <c r="A24" s="14"/>
      <c r="B24" s="3" t="s">
        <v>47</v>
      </c>
      <c r="C24" s="13">
        <f t="shared" si="0"/>
        <v>49000</v>
      </c>
      <c r="D24" s="13">
        <f t="shared" si="1"/>
        <v>34300</v>
      </c>
      <c r="E24" s="13">
        <f t="shared" si="2"/>
        <v>68600</v>
      </c>
      <c r="F24" s="5">
        <v>2</v>
      </c>
      <c r="G24" s="4" t="s">
        <v>6</v>
      </c>
      <c r="H24" s="4" t="s">
        <v>23</v>
      </c>
      <c r="I24" s="4" t="s">
        <v>31</v>
      </c>
      <c r="J24" s="18">
        <v>21166.799999999999</v>
      </c>
      <c r="K24" s="18">
        <f t="shared" si="3"/>
        <v>48683.639999999992</v>
      </c>
    </row>
    <row r="25" spans="1:11" ht="24" x14ac:dyDescent="0.25">
      <c r="A25" s="14"/>
      <c r="B25" s="3" t="s">
        <v>48</v>
      </c>
      <c r="C25" s="13">
        <f t="shared" si="0"/>
        <v>66000</v>
      </c>
      <c r="D25" s="13">
        <f t="shared" si="1"/>
        <v>46200</v>
      </c>
      <c r="E25" s="13">
        <f t="shared" si="2"/>
        <v>92400</v>
      </c>
      <c r="F25" s="5">
        <v>2</v>
      </c>
      <c r="G25" s="4" t="s">
        <v>6</v>
      </c>
      <c r="H25" s="4" t="s">
        <v>23</v>
      </c>
      <c r="I25" s="4" t="s">
        <v>31</v>
      </c>
      <c r="J25" s="18">
        <v>28576.199999999997</v>
      </c>
      <c r="K25" s="18">
        <f t="shared" si="3"/>
        <v>65725.259999999995</v>
      </c>
    </row>
    <row r="26" spans="1:11" ht="24" x14ac:dyDescent="0.25">
      <c r="A26" s="14"/>
      <c r="B26" s="3" t="s">
        <v>49</v>
      </c>
      <c r="C26" s="13">
        <f t="shared" si="0"/>
        <v>68000</v>
      </c>
      <c r="D26" s="13">
        <f t="shared" si="1"/>
        <v>47600</v>
      </c>
      <c r="E26" s="13">
        <f t="shared" si="2"/>
        <v>47600</v>
      </c>
      <c r="F26" s="5">
        <v>1</v>
      </c>
      <c r="G26" s="4" t="s">
        <v>6</v>
      </c>
      <c r="H26" s="4" t="s">
        <v>23</v>
      </c>
      <c r="I26" s="4" t="s">
        <v>31</v>
      </c>
      <c r="J26" s="18">
        <v>29515.8</v>
      </c>
      <c r="K26" s="18">
        <f t="shared" si="3"/>
        <v>67886.34</v>
      </c>
    </row>
    <row r="27" spans="1:11" ht="24" x14ac:dyDescent="0.25">
      <c r="A27" s="14"/>
      <c r="B27" s="3" t="s">
        <v>50</v>
      </c>
      <c r="C27" s="13">
        <f t="shared" si="0"/>
        <v>78000</v>
      </c>
      <c r="D27" s="13">
        <f t="shared" si="1"/>
        <v>54600</v>
      </c>
      <c r="E27" s="13">
        <f t="shared" si="2"/>
        <v>54600</v>
      </c>
      <c r="F27" s="5">
        <v>1</v>
      </c>
      <c r="G27" s="4" t="s">
        <v>6</v>
      </c>
      <c r="H27" s="4" t="s">
        <v>23</v>
      </c>
      <c r="I27" s="4" t="s">
        <v>31</v>
      </c>
      <c r="J27" s="18">
        <v>33755.4</v>
      </c>
      <c r="K27" s="18">
        <f t="shared" si="3"/>
        <v>77637.42</v>
      </c>
    </row>
    <row r="28" spans="1:11" ht="24" x14ac:dyDescent="0.25">
      <c r="A28" s="14"/>
      <c r="B28" s="3" t="s">
        <v>51</v>
      </c>
      <c r="C28" s="13">
        <f t="shared" si="0"/>
        <v>136000</v>
      </c>
      <c r="D28" s="13">
        <f t="shared" si="1"/>
        <v>95200</v>
      </c>
      <c r="E28" s="13">
        <f t="shared" si="2"/>
        <v>95200</v>
      </c>
      <c r="F28" s="5">
        <v>1</v>
      </c>
      <c r="G28" s="4" t="s">
        <v>6</v>
      </c>
      <c r="H28" s="4" t="s">
        <v>23</v>
      </c>
      <c r="I28" s="4" t="s">
        <v>31</v>
      </c>
      <c r="J28" s="18">
        <v>58848</v>
      </c>
      <c r="K28" s="18">
        <f t="shared" si="3"/>
        <v>135350.39999999999</v>
      </c>
    </row>
    <row r="29" spans="1:11" ht="24" x14ac:dyDescent="0.25">
      <c r="A29" s="14"/>
      <c r="B29" s="3" t="s">
        <v>52</v>
      </c>
      <c r="C29" s="13">
        <f t="shared" si="0"/>
        <v>150000</v>
      </c>
      <c r="D29" s="13">
        <f t="shared" si="1"/>
        <v>105000</v>
      </c>
      <c r="E29" s="13">
        <f t="shared" si="2"/>
        <v>105000</v>
      </c>
      <c r="F29" s="5">
        <v>1</v>
      </c>
      <c r="G29" s="4" t="s">
        <v>6</v>
      </c>
      <c r="H29" s="4" t="s">
        <v>23</v>
      </c>
      <c r="I29" s="4" t="s">
        <v>31</v>
      </c>
      <c r="J29" s="18">
        <v>64959.6</v>
      </c>
      <c r="K29" s="18">
        <f t="shared" si="3"/>
        <v>149407.07999999999</v>
      </c>
    </row>
    <row r="30" spans="1:11" ht="24" x14ac:dyDescent="0.25">
      <c r="A30" s="14"/>
      <c r="B30" s="3" t="s">
        <v>53</v>
      </c>
      <c r="C30" s="13">
        <f t="shared" si="0"/>
        <v>93000</v>
      </c>
      <c r="D30" s="13">
        <f t="shared" si="1"/>
        <v>65099.999999999993</v>
      </c>
      <c r="E30" s="13">
        <f t="shared" si="2"/>
        <v>65099.999999999993</v>
      </c>
      <c r="F30" s="5">
        <v>1</v>
      </c>
      <c r="G30" s="4" t="s">
        <v>6</v>
      </c>
      <c r="H30" s="4" t="s">
        <v>23</v>
      </c>
      <c r="I30" s="4" t="s">
        <v>31</v>
      </c>
      <c r="J30" s="18">
        <v>40017</v>
      </c>
      <c r="K30" s="18">
        <f t="shared" si="3"/>
        <v>92039.099999999991</v>
      </c>
    </row>
    <row r="31" spans="1:11" ht="24" x14ac:dyDescent="0.25">
      <c r="A31" s="14"/>
      <c r="B31" s="3" t="s">
        <v>59</v>
      </c>
      <c r="C31" s="13">
        <f t="shared" si="0"/>
        <v>96000</v>
      </c>
      <c r="D31" s="13">
        <f t="shared" si="1"/>
        <v>67200</v>
      </c>
      <c r="E31" s="13">
        <f t="shared" si="2"/>
        <v>67200</v>
      </c>
      <c r="F31" s="5">
        <v>1</v>
      </c>
      <c r="G31" s="4" t="s">
        <v>6</v>
      </c>
      <c r="H31" s="4" t="s">
        <v>23</v>
      </c>
      <c r="I31" s="4" t="s">
        <v>31</v>
      </c>
      <c r="J31" s="18">
        <v>41573.4</v>
      </c>
      <c r="K31" s="18">
        <f t="shared" si="3"/>
        <v>95618.819999999992</v>
      </c>
    </row>
    <row r="32" spans="1:11" ht="24" x14ac:dyDescent="0.25">
      <c r="A32" s="14"/>
      <c r="B32" s="3" t="s">
        <v>60</v>
      </c>
      <c r="C32" s="13">
        <f t="shared" si="0"/>
        <v>81000</v>
      </c>
      <c r="D32" s="13">
        <f t="shared" si="1"/>
        <v>56700</v>
      </c>
      <c r="E32" s="13">
        <f t="shared" si="2"/>
        <v>56700</v>
      </c>
      <c r="F32" s="5">
        <v>1</v>
      </c>
      <c r="G32" s="4" t="s">
        <v>6</v>
      </c>
      <c r="H32" s="4" t="s">
        <v>23</v>
      </c>
      <c r="I32" s="4" t="s">
        <v>31</v>
      </c>
      <c r="J32" s="18">
        <v>35111.4</v>
      </c>
      <c r="K32" s="18">
        <f t="shared" si="3"/>
        <v>80756.22</v>
      </c>
    </row>
    <row r="33" spans="1:11" ht="24" x14ac:dyDescent="0.25">
      <c r="A33" s="14"/>
      <c r="B33" s="3" t="s">
        <v>62</v>
      </c>
      <c r="C33" s="13">
        <f t="shared" si="0"/>
        <v>129000</v>
      </c>
      <c r="D33" s="13">
        <f t="shared" si="1"/>
        <v>90300</v>
      </c>
      <c r="E33" s="13">
        <f t="shared" si="2"/>
        <v>90300</v>
      </c>
      <c r="F33" s="5">
        <v>1</v>
      </c>
      <c r="G33" s="4" t="s">
        <v>6</v>
      </c>
      <c r="H33" s="4" t="s">
        <v>23</v>
      </c>
      <c r="I33" s="4" t="s">
        <v>31</v>
      </c>
      <c r="J33" s="18">
        <v>55792.2</v>
      </c>
      <c r="K33" s="18">
        <f t="shared" si="3"/>
        <v>128322.05999999998</v>
      </c>
    </row>
    <row r="34" spans="1:11" ht="24" x14ac:dyDescent="0.25">
      <c r="A34" s="14"/>
      <c r="B34" s="3" t="s">
        <v>63</v>
      </c>
      <c r="C34" s="13">
        <f t="shared" si="0"/>
        <v>170000</v>
      </c>
      <c r="D34" s="13">
        <f t="shared" si="1"/>
        <v>118999.99999999999</v>
      </c>
      <c r="E34" s="13">
        <f t="shared" si="2"/>
        <v>118999.99999999999</v>
      </c>
      <c r="F34" s="5">
        <v>1</v>
      </c>
      <c r="G34" s="4" t="s">
        <v>6</v>
      </c>
      <c r="H34" s="4" t="s">
        <v>23</v>
      </c>
      <c r="I34" s="4" t="s">
        <v>31</v>
      </c>
      <c r="J34" s="18">
        <v>73610.399999999994</v>
      </c>
      <c r="K34" s="18">
        <f t="shared" si="3"/>
        <v>169303.91999999998</v>
      </c>
    </row>
    <row r="35" spans="1:11" ht="24" x14ac:dyDescent="0.25">
      <c r="A35" s="14"/>
      <c r="B35" s="3" t="s">
        <v>65</v>
      </c>
      <c r="C35" s="13">
        <f t="shared" si="0"/>
        <v>95000</v>
      </c>
      <c r="D35" s="13">
        <f t="shared" si="1"/>
        <v>66500</v>
      </c>
      <c r="E35" s="13">
        <f t="shared" si="2"/>
        <v>66500</v>
      </c>
      <c r="F35" s="5">
        <v>1</v>
      </c>
      <c r="G35" s="4" t="s">
        <v>6</v>
      </c>
      <c r="H35" s="4" t="s">
        <v>23</v>
      </c>
      <c r="I35" s="4" t="s">
        <v>31</v>
      </c>
      <c r="J35" s="18">
        <v>41280.6</v>
      </c>
      <c r="K35" s="18">
        <f t="shared" si="3"/>
        <v>94945.37999999999</v>
      </c>
    </row>
    <row r="36" spans="1:11" ht="24" x14ac:dyDescent="0.25">
      <c r="A36" s="14"/>
      <c r="B36" s="3" t="s">
        <v>66</v>
      </c>
      <c r="C36" s="13">
        <f t="shared" si="0"/>
        <v>96000</v>
      </c>
      <c r="D36" s="13">
        <f t="shared" si="1"/>
        <v>67200</v>
      </c>
      <c r="E36" s="13">
        <f t="shared" si="2"/>
        <v>67200</v>
      </c>
      <c r="F36" s="5">
        <v>1</v>
      </c>
      <c r="G36" s="4" t="s">
        <v>6</v>
      </c>
      <c r="H36" s="4" t="s">
        <v>23</v>
      </c>
      <c r="I36" s="4" t="s">
        <v>31</v>
      </c>
      <c r="J36" s="18">
        <v>41629.199999999997</v>
      </c>
      <c r="K36" s="18">
        <f t="shared" si="3"/>
        <v>95747.159999999989</v>
      </c>
    </row>
    <row r="37" spans="1:11" ht="24" x14ac:dyDescent="0.25">
      <c r="A37" s="14"/>
      <c r="B37" s="3" t="s">
        <v>67</v>
      </c>
      <c r="C37" s="13">
        <f t="shared" si="0"/>
        <v>138000</v>
      </c>
      <c r="D37" s="13">
        <f t="shared" si="1"/>
        <v>96600</v>
      </c>
      <c r="E37" s="13">
        <f t="shared" si="2"/>
        <v>96600</v>
      </c>
      <c r="F37" s="5">
        <v>1</v>
      </c>
      <c r="G37" s="4" t="s">
        <v>6</v>
      </c>
      <c r="H37" s="4" t="s">
        <v>23</v>
      </c>
      <c r="I37" s="4" t="s">
        <v>31</v>
      </c>
      <c r="J37" s="18">
        <v>59998.8</v>
      </c>
      <c r="K37" s="18">
        <f t="shared" si="3"/>
        <v>137997.24</v>
      </c>
    </row>
    <row r="38" spans="1:11" ht="24" x14ac:dyDescent="0.25">
      <c r="A38" s="14"/>
      <c r="B38" s="3" t="s">
        <v>68</v>
      </c>
      <c r="C38" s="13">
        <f t="shared" si="0"/>
        <v>111000</v>
      </c>
      <c r="D38" s="13">
        <f t="shared" si="1"/>
        <v>77700</v>
      </c>
      <c r="E38" s="13">
        <f t="shared" si="2"/>
        <v>77700</v>
      </c>
      <c r="F38" s="5">
        <v>1</v>
      </c>
      <c r="G38" s="4" t="s">
        <v>6</v>
      </c>
      <c r="H38" s="4" t="s">
        <v>23</v>
      </c>
      <c r="I38" s="4" t="s">
        <v>31</v>
      </c>
      <c r="J38" s="18">
        <v>47992.2</v>
      </c>
      <c r="K38" s="18">
        <f t="shared" si="3"/>
        <v>110382.05999999998</v>
      </c>
    </row>
    <row r="39" spans="1:11" ht="24" x14ac:dyDescent="0.25">
      <c r="A39" s="14"/>
      <c r="B39" s="3" t="s">
        <v>69</v>
      </c>
      <c r="C39" s="13">
        <f t="shared" si="0"/>
        <v>113000</v>
      </c>
      <c r="D39" s="13">
        <f t="shared" si="1"/>
        <v>79100</v>
      </c>
      <c r="E39" s="13">
        <f t="shared" si="2"/>
        <v>79100</v>
      </c>
      <c r="F39" s="5">
        <v>1</v>
      </c>
      <c r="G39" s="4" t="s">
        <v>6</v>
      </c>
      <c r="H39" s="4" t="s">
        <v>23</v>
      </c>
      <c r="I39" s="4" t="s">
        <v>31</v>
      </c>
      <c r="J39" s="18">
        <v>49071</v>
      </c>
      <c r="K39" s="18">
        <f t="shared" si="3"/>
        <v>112863.29999999999</v>
      </c>
    </row>
    <row r="40" spans="1:11" ht="24" x14ac:dyDescent="0.25">
      <c r="A40" s="14"/>
      <c r="B40" s="3" t="s">
        <v>70</v>
      </c>
      <c r="C40" s="13">
        <f t="shared" si="0"/>
        <v>96000</v>
      </c>
      <c r="D40" s="13">
        <f t="shared" si="1"/>
        <v>67200</v>
      </c>
      <c r="E40" s="13">
        <f t="shared" si="2"/>
        <v>67200</v>
      </c>
      <c r="F40" s="5">
        <v>1</v>
      </c>
      <c r="G40" s="4" t="s">
        <v>6</v>
      </c>
      <c r="H40" s="4" t="s">
        <v>23</v>
      </c>
      <c r="I40" s="4" t="s">
        <v>31</v>
      </c>
      <c r="J40" s="18">
        <v>41629.199999999997</v>
      </c>
      <c r="K40" s="18">
        <f t="shared" si="3"/>
        <v>95747.159999999989</v>
      </c>
    </row>
    <row r="41" spans="1:11" ht="24" x14ac:dyDescent="0.25">
      <c r="A41" s="14"/>
      <c r="B41" s="3" t="s">
        <v>71</v>
      </c>
      <c r="C41" s="13">
        <f t="shared" si="0"/>
        <v>163000</v>
      </c>
      <c r="D41" s="13">
        <f t="shared" si="1"/>
        <v>114100</v>
      </c>
      <c r="E41" s="13">
        <f t="shared" si="2"/>
        <v>114100</v>
      </c>
      <c r="F41" s="5">
        <v>1</v>
      </c>
      <c r="G41" s="4" t="s">
        <v>6</v>
      </c>
      <c r="H41" s="4" t="s">
        <v>23</v>
      </c>
      <c r="I41" s="4" t="s">
        <v>31</v>
      </c>
      <c r="J41" s="18">
        <v>70554.600000000006</v>
      </c>
      <c r="K41" s="18">
        <f t="shared" si="3"/>
        <v>162275.57999999999</v>
      </c>
    </row>
    <row r="42" spans="1:11" ht="24" x14ac:dyDescent="0.25">
      <c r="A42" s="14"/>
      <c r="B42" s="3" t="s">
        <v>72</v>
      </c>
      <c r="C42" s="13">
        <f t="shared" si="0"/>
        <v>150000</v>
      </c>
      <c r="D42" s="13">
        <f t="shared" si="1"/>
        <v>105000</v>
      </c>
      <c r="E42" s="13">
        <f t="shared" si="2"/>
        <v>105000</v>
      </c>
      <c r="F42" s="5">
        <v>1</v>
      </c>
      <c r="G42" s="4" t="s">
        <v>6</v>
      </c>
      <c r="H42" s="4" t="s">
        <v>23</v>
      </c>
      <c r="I42" s="4" t="s">
        <v>31</v>
      </c>
      <c r="J42" s="18">
        <v>64959.6</v>
      </c>
      <c r="K42" s="18">
        <f t="shared" si="3"/>
        <v>149407.07999999999</v>
      </c>
    </row>
    <row r="43" spans="1:11" ht="24" x14ac:dyDescent="0.25">
      <c r="A43" s="14"/>
      <c r="B43" s="3" t="s">
        <v>73</v>
      </c>
      <c r="C43" s="13">
        <f t="shared" si="0"/>
        <v>55000</v>
      </c>
      <c r="D43" s="13">
        <f t="shared" si="1"/>
        <v>38500</v>
      </c>
      <c r="E43" s="13">
        <f t="shared" si="2"/>
        <v>38500</v>
      </c>
      <c r="F43" s="5">
        <v>1</v>
      </c>
      <c r="G43" s="4" t="s">
        <v>6</v>
      </c>
      <c r="H43" s="4" t="s">
        <v>23</v>
      </c>
      <c r="I43" s="4" t="s">
        <v>31</v>
      </c>
      <c r="J43" s="18">
        <v>23571.599999999999</v>
      </c>
      <c r="K43" s="18">
        <f t="shared" si="3"/>
        <v>54214.679999999993</v>
      </c>
    </row>
    <row r="44" spans="1:11" ht="24" x14ac:dyDescent="0.25">
      <c r="A44" s="14"/>
      <c r="B44" s="3" t="s">
        <v>74</v>
      </c>
      <c r="C44" s="13">
        <f t="shared" si="0"/>
        <v>51000</v>
      </c>
      <c r="D44" s="13">
        <f t="shared" si="1"/>
        <v>35700</v>
      </c>
      <c r="E44" s="13">
        <f t="shared" si="2"/>
        <v>35700</v>
      </c>
      <c r="F44" s="5">
        <v>1</v>
      </c>
      <c r="G44" s="4" t="s">
        <v>6</v>
      </c>
      <c r="H44" s="4" t="s">
        <v>23</v>
      </c>
      <c r="I44" s="4" t="s">
        <v>31</v>
      </c>
      <c r="J44" s="18">
        <v>21887.4</v>
      </c>
      <c r="K44" s="18">
        <f t="shared" si="3"/>
        <v>50341.02</v>
      </c>
    </row>
    <row r="45" spans="1:11" ht="24" x14ac:dyDescent="0.25">
      <c r="A45" s="14"/>
      <c r="B45" s="3" t="s">
        <v>75</v>
      </c>
      <c r="C45" s="13">
        <f t="shared" si="0"/>
        <v>143000</v>
      </c>
      <c r="D45" s="13">
        <f t="shared" si="1"/>
        <v>100100</v>
      </c>
      <c r="E45" s="13">
        <f t="shared" si="2"/>
        <v>100100</v>
      </c>
      <c r="F45" s="5">
        <v>1</v>
      </c>
      <c r="G45" s="4" t="s">
        <v>6</v>
      </c>
      <c r="H45" s="4" t="s">
        <v>23</v>
      </c>
      <c r="I45" s="4" t="s">
        <v>31</v>
      </c>
      <c r="J45" s="18">
        <v>61903.799999999996</v>
      </c>
      <c r="K45" s="18">
        <f t="shared" si="3"/>
        <v>142378.74</v>
      </c>
    </row>
    <row r="46" spans="1:11" ht="24" x14ac:dyDescent="0.25">
      <c r="A46" s="14"/>
      <c r="B46" s="3" t="s">
        <v>76</v>
      </c>
      <c r="C46" s="13">
        <f t="shared" si="0"/>
        <v>207000</v>
      </c>
      <c r="D46" s="13">
        <f t="shared" si="1"/>
        <v>144900</v>
      </c>
      <c r="E46" s="13">
        <f t="shared" si="2"/>
        <v>144900</v>
      </c>
      <c r="F46" s="5">
        <v>1</v>
      </c>
      <c r="G46" s="4" t="s">
        <v>6</v>
      </c>
      <c r="H46" s="4" t="s">
        <v>23</v>
      </c>
      <c r="I46" s="4" t="s">
        <v>31</v>
      </c>
      <c r="J46" s="18">
        <v>89677.799999999988</v>
      </c>
      <c r="K46" s="18">
        <f t="shared" si="3"/>
        <v>206258.93999999994</v>
      </c>
    </row>
    <row r="47" spans="1:11" ht="24" x14ac:dyDescent="0.25">
      <c r="A47" s="14"/>
      <c r="B47" s="3" t="s">
        <v>78</v>
      </c>
      <c r="C47" s="13">
        <f t="shared" si="0"/>
        <v>53000</v>
      </c>
      <c r="D47" s="13">
        <f t="shared" si="1"/>
        <v>37100</v>
      </c>
      <c r="E47" s="13">
        <f t="shared" si="2"/>
        <v>37100</v>
      </c>
      <c r="F47" s="5">
        <v>1</v>
      </c>
      <c r="G47" s="4" t="s">
        <v>6</v>
      </c>
      <c r="H47" s="4" t="s">
        <v>23</v>
      </c>
      <c r="I47" s="4" t="s">
        <v>31</v>
      </c>
      <c r="J47" s="18">
        <v>22813.199999999997</v>
      </c>
      <c r="K47" s="18">
        <f t="shared" si="3"/>
        <v>52470.359999999986</v>
      </c>
    </row>
    <row r="48" spans="1:11" ht="24" x14ac:dyDescent="0.25">
      <c r="A48" s="14"/>
      <c r="B48" s="3" t="s">
        <v>79</v>
      </c>
      <c r="C48" s="13">
        <f t="shared" si="0"/>
        <v>181000</v>
      </c>
      <c r="D48" s="13">
        <f t="shared" si="1"/>
        <v>126699.99999999999</v>
      </c>
      <c r="E48" s="13">
        <f t="shared" si="2"/>
        <v>380099.99999999994</v>
      </c>
      <c r="F48" s="5">
        <v>3</v>
      </c>
      <c r="G48" s="4" t="s">
        <v>6</v>
      </c>
      <c r="H48" s="4" t="s">
        <v>23</v>
      </c>
      <c r="I48" s="4" t="s">
        <v>31</v>
      </c>
      <c r="J48" s="18">
        <v>78571.199999999997</v>
      </c>
      <c r="K48" s="18">
        <f t="shared" si="3"/>
        <v>180713.75999999998</v>
      </c>
    </row>
    <row r="49" spans="1:11" ht="24" x14ac:dyDescent="0.25">
      <c r="A49" s="14"/>
      <c r="B49" s="3" t="s">
        <v>80</v>
      </c>
      <c r="C49" s="13">
        <f t="shared" si="0"/>
        <v>88000</v>
      </c>
      <c r="D49" s="13">
        <f t="shared" si="1"/>
        <v>61599.999999999993</v>
      </c>
      <c r="E49" s="13">
        <f t="shared" si="2"/>
        <v>61599.999999999993</v>
      </c>
      <c r="F49" s="5">
        <v>1</v>
      </c>
      <c r="G49" s="4" t="s">
        <v>6</v>
      </c>
      <c r="H49" s="4" t="s">
        <v>23</v>
      </c>
      <c r="I49" s="4" t="s">
        <v>31</v>
      </c>
      <c r="J49" s="18">
        <v>38224.800000000003</v>
      </c>
      <c r="K49" s="18">
        <f t="shared" si="3"/>
        <v>87917.04</v>
      </c>
    </row>
    <row r="50" spans="1:11" ht="24" x14ac:dyDescent="0.25">
      <c r="A50" s="14"/>
      <c r="B50" s="3" t="s">
        <v>81</v>
      </c>
      <c r="C50" s="13">
        <f t="shared" si="0"/>
        <v>188000</v>
      </c>
      <c r="D50" s="13">
        <f t="shared" si="1"/>
        <v>131600</v>
      </c>
      <c r="E50" s="13">
        <f t="shared" si="2"/>
        <v>131600</v>
      </c>
      <c r="F50" s="5">
        <v>1</v>
      </c>
      <c r="G50" s="4" t="s">
        <v>6</v>
      </c>
      <c r="H50" s="4" t="s">
        <v>23</v>
      </c>
      <c r="I50" s="4" t="s">
        <v>31</v>
      </c>
      <c r="J50" s="18">
        <v>81627</v>
      </c>
      <c r="K50" s="18">
        <f t="shared" si="3"/>
        <v>187742.09999999998</v>
      </c>
    </row>
    <row r="51" spans="1:11" ht="24" x14ac:dyDescent="0.25">
      <c r="A51" s="14"/>
      <c r="B51" s="3" t="s">
        <v>82</v>
      </c>
      <c r="C51" s="13">
        <f t="shared" si="0"/>
        <v>195000</v>
      </c>
      <c r="D51" s="13">
        <f t="shared" si="1"/>
        <v>136500</v>
      </c>
      <c r="E51" s="13">
        <f t="shared" si="2"/>
        <v>136500</v>
      </c>
      <c r="F51" s="5">
        <v>1</v>
      </c>
      <c r="G51" s="4" t="s">
        <v>6</v>
      </c>
      <c r="H51" s="4" t="s">
        <v>23</v>
      </c>
      <c r="I51" s="4" t="s">
        <v>31</v>
      </c>
      <c r="J51" s="18">
        <v>84717</v>
      </c>
      <c r="K51" s="18">
        <f t="shared" si="3"/>
        <v>194849.09999999998</v>
      </c>
    </row>
    <row r="52" spans="1:11" ht="24" x14ac:dyDescent="0.25">
      <c r="A52" s="14"/>
      <c r="B52" s="3" t="s">
        <v>83</v>
      </c>
      <c r="C52" s="13">
        <f t="shared" si="0"/>
        <v>136000</v>
      </c>
      <c r="D52" s="13">
        <f t="shared" si="1"/>
        <v>95200</v>
      </c>
      <c r="E52" s="13">
        <f t="shared" si="2"/>
        <v>190400</v>
      </c>
      <c r="F52" s="5">
        <v>2</v>
      </c>
      <c r="G52" s="4" t="s">
        <v>6</v>
      </c>
      <c r="H52" s="4" t="s">
        <v>23</v>
      </c>
      <c r="I52" s="4" t="s">
        <v>31</v>
      </c>
      <c r="J52" s="18">
        <v>58848</v>
      </c>
      <c r="K52" s="18">
        <f t="shared" si="3"/>
        <v>135350.39999999999</v>
      </c>
    </row>
    <row r="53" spans="1:11" ht="24" x14ac:dyDescent="0.25">
      <c r="A53" s="14"/>
      <c r="B53" s="3" t="s">
        <v>84</v>
      </c>
      <c r="C53" s="13">
        <f t="shared" si="0"/>
        <v>208000</v>
      </c>
      <c r="D53" s="13">
        <f t="shared" si="1"/>
        <v>145600</v>
      </c>
      <c r="E53" s="13">
        <f t="shared" si="2"/>
        <v>145600</v>
      </c>
      <c r="F53" s="5">
        <v>1</v>
      </c>
      <c r="G53" s="4" t="s">
        <v>6</v>
      </c>
      <c r="H53" s="4" t="s">
        <v>23</v>
      </c>
      <c r="I53" s="4" t="s">
        <v>31</v>
      </c>
      <c r="J53" s="18">
        <v>90326.399999999994</v>
      </c>
      <c r="K53" s="18">
        <f t="shared" si="3"/>
        <v>207750.71999999997</v>
      </c>
    </row>
    <row r="54" spans="1:11" ht="24" x14ac:dyDescent="0.25">
      <c r="A54" s="14"/>
      <c r="B54" s="3" t="s">
        <v>86</v>
      </c>
      <c r="C54" s="13">
        <f t="shared" si="0"/>
        <v>174000</v>
      </c>
      <c r="D54" s="13">
        <f t="shared" si="1"/>
        <v>121799.99999999999</v>
      </c>
      <c r="E54" s="13">
        <f t="shared" si="2"/>
        <v>121799.99999999999</v>
      </c>
      <c r="F54" s="5">
        <v>1</v>
      </c>
      <c r="G54" s="4" t="s">
        <v>6</v>
      </c>
      <c r="H54" s="4" t="s">
        <v>23</v>
      </c>
      <c r="I54" s="4" t="s">
        <v>31</v>
      </c>
      <c r="J54" s="18">
        <v>75515.399999999994</v>
      </c>
      <c r="K54" s="18">
        <f t="shared" si="3"/>
        <v>173685.41999999998</v>
      </c>
    </row>
    <row r="55" spans="1:11" ht="24" x14ac:dyDescent="0.25">
      <c r="A55" s="14"/>
      <c r="B55" s="3" t="s">
        <v>87</v>
      </c>
      <c r="C55" s="13">
        <f t="shared" si="0"/>
        <v>104000</v>
      </c>
      <c r="D55" s="13">
        <f t="shared" si="1"/>
        <v>72800</v>
      </c>
      <c r="E55" s="13">
        <f t="shared" si="2"/>
        <v>72800</v>
      </c>
      <c r="F55" s="5">
        <v>1</v>
      </c>
      <c r="G55" s="4" t="s">
        <v>6</v>
      </c>
      <c r="H55" s="4" t="s">
        <v>23</v>
      </c>
      <c r="I55" s="4" t="s">
        <v>31</v>
      </c>
      <c r="J55" s="18">
        <v>44936.399999999994</v>
      </c>
      <c r="K55" s="18">
        <f t="shared" si="3"/>
        <v>103353.71999999997</v>
      </c>
    </row>
    <row r="56" spans="1:11" ht="24" x14ac:dyDescent="0.25">
      <c r="A56" s="14"/>
      <c r="B56" s="3" t="s">
        <v>88</v>
      </c>
      <c r="C56" s="13">
        <f t="shared" si="0"/>
        <v>188000</v>
      </c>
      <c r="D56" s="13">
        <f t="shared" si="1"/>
        <v>131600</v>
      </c>
      <c r="E56" s="13">
        <f t="shared" si="2"/>
        <v>131600</v>
      </c>
      <c r="F56" s="5">
        <v>1</v>
      </c>
      <c r="G56" s="4" t="s">
        <v>6</v>
      </c>
      <c r="H56" s="4" t="s">
        <v>23</v>
      </c>
      <c r="I56" s="4" t="s">
        <v>31</v>
      </c>
      <c r="J56" s="18">
        <v>81627</v>
      </c>
      <c r="K56" s="18">
        <f t="shared" si="3"/>
        <v>187742.09999999998</v>
      </c>
    </row>
    <row r="57" spans="1:11" ht="24" x14ac:dyDescent="0.25">
      <c r="A57" s="14"/>
      <c r="B57" s="3" t="s">
        <v>89</v>
      </c>
      <c r="C57" s="13">
        <f t="shared" si="0"/>
        <v>150000</v>
      </c>
      <c r="D57" s="13">
        <f t="shared" si="1"/>
        <v>105000</v>
      </c>
      <c r="E57" s="13">
        <f t="shared" si="2"/>
        <v>105000</v>
      </c>
      <c r="F57" s="5">
        <v>1</v>
      </c>
      <c r="G57" s="4" t="s">
        <v>6</v>
      </c>
      <c r="H57" s="4" t="s">
        <v>23</v>
      </c>
      <c r="I57" s="4" t="s">
        <v>31</v>
      </c>
      <c r="J57" s="18">
        <v>64959.6</v>
      </c>
      <c r="K57" s="18">
        <f t="shared" si="3"/>
        <v>149407.07999999999</v>
      </c>
    </row>
    <row r="58" spans="1:11" ht="24" x14ac:dyDescent="0.25">
      <c r="A58" s="14"/>
      <c r="B58" s="3" t="s">
        <v>90</v>
      </c>
      <c r="C58" s="13">
        <f t="shared" si="0"/>
        <v>215000</v>
      </c>
      <c r="D58" s="13">
        <f t="shared" si="1"/>
        <v>150500</v>
      </c>
      <c r="E58" s="13">
        <f t="shared" si="2"/>
        <v>150500</v>
      </c>
      <c r="F58" s="5">
        <v>1</v>
      </c>
      <c r="G58" s="4" t="s">
        <v>6</v>
      </c>
      <c r="H58" s="4" t="s">
        <v>23</v>
      </c>
      <c r="I58" s="4" t="s">
        <v>31</v>
      </c>
      <c r="J58" s="18">
        <v>93382.2</v>
      </c>
      <c r="K58" s="18">
        <f t="shared" si="3"/>
        <v>214779.05999999997</v>
      </c>
    </row>
    <row r="59" spans="1:11" ht="24" x14ac:dyDescent="0.25">
      <c r="A59" s="14"/>
      <c r="B59" s="3" t="s">
        <v>91</v>
      </c>
      <c r="C59" s="13">
        <f t="shared" si="0"/>
        <v>80000</v>
      </c>
      <c r="D59" s="13">
        <f t="shared" si="1"/>
        <v>56000</v>
      </c>
      <c r="E59" s="13">
        <f t="shared" si="2"/>
        <v>56000</v>
      </c>
      <c r="F59" s="5">
        <v>1</v>
      </c>
      <c r="G59" s="4" t="s">
        <v>6</v>
      </c>
      <c r="H59" s="4" t="s">
        <v>23</v>
      </c>
      <c r="I59" s="4" t="s">
        <v>31</v>
      </c>
      <c r="J59" s="18">
        <v>34666.199999999997</v>
      </c>
      <c r="K59" s="18">
        <f t="shared" si="3"/>
        <v>79732.25999999998</v>
      </c>
    </row>
    <row r="60" spans="1:11" ht="24" x14ac:dyDescent="0.25">
      <c r="A60" s="14"/>
      <c r="B60" s="3" t="s">
        <v>92</v>
      </c>
      <c r="C60" s="13">
        <f t="shared" si="0"/>
        <v>83000</v>
      </c>
      <c r="D60" s="13">
        <f t="shared" si="1"/>
        <v>58099.999999999993</v>
      </c>
      <c r="E60" s="13">
        <f t="shared" si="2"/>
        <v>58099.999999999993</v>
      </c>
      <c r="F60" s="5">
        <v>1</v>
      </c>
      <c r="G60" s="4" t="s">
        <v>6</v>
      </c>
      <c r="H60" s="4" t="s">
        <v>23</v>
      </c>
      <c r="I60" s="4" t="s">
        <v>31</v>
      </c>
      <c r="J60" s="18">
        <v>36068.400000000001</v>
      </c>
      <c r="K60" s="18">
        <f t="shared" si="3"/>
        <v>82957.319999999992</v>
      </c>
    </row>
    <row r="61" spans="1:11" ht="24" x14ac:dyDescent="0.25">
      <c r="A61" s="14"/>
      <c r="B61" s="3" t="s">
        <v>93</v>
      </c>
      <c r="C61" s="13">
        <f t="shared" si="0"/>
        <v>80000</v>
      </c>
      <c r="D61" s="13">
        <f t="shared" si="1"/>
        <v>56000</v>
      </c>
      <c r="E61" s="13">
        <f t="shared" si="2"/>
        <v>56000</v>
      </c>
      <c r="F61" s="5">
        <v>1</v>
      </c>
      <c r="G61" s="4" t="s">
        <v>6</v>
      </c>
      <c r="H61" s="4" t="s">
        <v>23</v>
      </c>
      <c r="I61" s="4" t="s">
        <v>31</v>
      </c>
      <c r="J61" s="18">
        <v>34666.199999999997</v>
      </c>
      <c r="K61" s="18">
        <f t="shared" si="3"/>
        <v>79732.25999999998</v>
      </c>
    </row>
    <row r="62" spans="1:11" ht="24" x14ac:dyDescent="0.25">
      <c r="A62" s="14"/>
      <c r="B62" s="3" t="s">
        <v>94</v>
      </c>
      <c r="C62" s="13">
        <f t="shared" si="0"/>
        <v>112000</v>
      </c>
      <c r="D62" s="13">
        <f t="shared" si="1"/>
        <v>78400</v>
      </c>
      <c r="E62" s="13">
        <f t="shared" si="2"/>
        <v>78400</v>
      </c>
      <c r="F62" s="5">
        <v>1</v>
      </c>
      <c r="G62" s="4" t="s">
        <v>6</v>
      </c>
      <c r="H62" s="4" t="s">
        <v>23</v>
      </c>
      <c r="I62" s="4" t="s">
        <v>31</v>
      </c>
      <c r="J62" s="18">
        <v>48675</v>
      </c>
      <c r="K62" s="18">
        <f t="shared" si="3"/>
        <v>111952.49999999999</v>
      </c>
    </row>
    <row r="63" spans="1:11" ht="24" x14ac:dyDescent="0.25">
      <c r="A63" s="14"/>
      <c r="B63" s="3" t="s">
        <v>95</v>
      </c>
      <c r="C63" s="13">
        <f t="shared" si="0"/>
        <v>112000</v>
      </c>
      <c r="D63" s="13">
        <f t="shared" si="1"/>
        <v>78400</v>
      </c>
      <c r="E63" s="13">
        <f t="shared" si="2"/>
        <v>78400</v>
      </c>
      <c r="F63" s="5">
        <v>1</v>
      </c>
      <c r="G63" s="4" t="s">
        <v>6</v>
      </c>
      <c r="H63" s="4" t="s">
        <v>23</v>
      </c>
      <c r="I63" s="4" t="s">
        <v>31</v>
      </c>
      <c r="J63" s="18">
        <v>48675</v>
      </c>
      <c r="K63" s="18">
        <f t="shared" si="3"/>
        <v>111952.49999999999</v>
      </c>
    </row>
    <row r="64" spans="1:11" ht="24" x14ac:dyDescent="0.25">
      <c r="A64" s="14"/>
      <c r="B64" s="3" t="s">
        <v>96</v>
      </c>
      <c r="C64" s="13">
        <f t="shared" si="0"/>
        <v>87000</v>
      </c>
      <c r="D64" s="13">
        <f t="shared" si="1"/>
        <v>60899.999999999993</v>
      </c>
      <c r="E64" s="13">
        <f t="shared" si="2"/>
        <v>60899.999999999993</v>
      </c>
      <c r="F64" s="5">
        <v>1</v>
      </c>
      <c r="G64" s="4" t="s">
        <v>6</v>
      </c>
      <c r="H64" s="4" t="s">
        <v>23</v>
      </c>
      <c r="I64" s="4" t="s">
        <v>31</v>
      </c>
      <c r="J64" s="18">
        <v>37632</v>
      </c>
      <c r="K64" s="18">
        <f t="shared" si="3"/>
        <v>86553.599999999991</v>
      </c>
    </row>
    <row r="65" spans="1:11" ht="24" x14ac:dyDescent="0.25">
      <c r="A65" s="14"/>
      <c r="B65" s="3" t="s">
        <v>97</v>
      </c>
      <c r="C65" s="13">
        <f t="shared" si="0"/>
        <v>56000</v>
      </c>
      <c r="D65" s="13">
        <f t="shared" si="1"/>
        <v>39200</v>
      </c>
      <c r="E65" s="13">
        <f t="shared" si="2"/>
        <v>39200</v>
      </c>
      <c r="F65" s="5">
        <v>1</v>
      </c>
      <c r="G65" s="4" t="s">
        <v>6</v>
      </c>
      <c r="H65" s="4" t="s">
        <v>23</v>
      </c>
      <c r="I65" s="4" t="s">
        <v>31</v>
      </c>
      <c r="J65" s="18">
        <v>23964</v>
      </c>
      <c r="K65" s="18">
        <f t="shared" si="3"/>
        <v>55117.2</v>
      </c>
    </row>
    <row r="66" spans="1:11" ht="24" x14ac:dyDescent="0.25">
      <c r="A66" s="14"/>
      <c r="B66" s="3" t="s">
        <v>98</v>
      </c>
      <c r="C66" s="13">
        <f t="shared" si="0"/>
        <v>57000</v>
      </c>
      <c r="D66" s="13">
        <f t="shared" si="1"/>
        <v>39900</v>
      </c>
      <c r="E66" s="13">
        <f t="shared" si="2"/>
        <v>39900</v>
      </c>
      <c r="F66" s="5">
        <v>1</v>
      </c>
      <c r="G66" s="4" t="s">
        <v>6</v>
      </c>
      <c r="H66" s="4" t="s">
        <v>23</v>
      </c>
      <c r="I66" s="4" t="s">
        <v>31</v>
      </c>
      <c r="J66" s="18">
        <v>24575.4</v>
      </c>
      <c r="K66" s="18">
        <f t="shared" si="3"/>
        <v>56523.42</v>
      </c>
    </row>
    <row r="67" spans="1:11" ht="24" x14ac:dyDescent="0.25">
      <c r="A67" s="14"/>
      <c r="B67" s="3" t="s">
        <v>99</v>
      </c>
      <c r="C67" s="13">
        <f t="shared" ref="C67:C130" si="4">ROUNDUP(K67,-3)</f>
        <v>83000</v>
      </c>
      <c r="D67" s="13">
        <f t="shared" ref="D67:D130" si="5">0.7*C67</f>
        <v>58099.999999999993</v>
      </c>
      <c r="E67" s="13">
        <f t="shared" ref="E67:E130" si="6">D67*F67</f>
        <v>58099.999999999993</v>
      </c>
      <c r="F67" s="5">
        <v>1</v>
      </c>
      <c r="G67" s="4" t="s">
        <v>6</v>
      </c>
      <c r="H67" s="4" t="s">
        <v>23</v>
      </c>
      <c r="I67" s="4" t="s">
        <v>31</v>
      </c>
      <c r="J67" s="18">
        <v>36068.400000000001</v>
      </c>
      <c r="K67" s="18">
        <f t="shared" ref="K67:K130" si="7">2.3*J67</f>
        <v>82957.319999999992</v>
      </c>
    </row>
    <row r="68" spans="1:11" ht="24" x14ac:dyDescent="0.25">
      <c r="A68" s="14"/>
      <c r="B68" s="3" t="s">
        <v>100</v>
      </c>
      <c r="C68" s="13">
        <f t="shared" si="4"/>
        <v>49000</v>
      </c>
      <c r="D68" s="13">
        <f t="shared" si="5"/>
        <v>34300</v>
      </c>
      <c r="E68" s="13">
        <f t="shared" si="6"/>
        <v>34300</v>
      </c>
      <c r="F68" s="5">
        <v>1</v>
      </c>
      <c r="G68" s="4" t="s">
        <v>6</v>
      </c>
      <c r="H68" s="4" t="s">
        <v>23</v>
      </c>
      <c r="I68" s="4" t="s">
        <v>31</v>
      </c>
      <c r="J68" s="18">
        <v>21159.599999999999</v>
      </c>
      <c r="K68" s="18">
        <f t="shared" si="7"/>
        <v>48667.079999999994</v>
      </c>
    </row>
    <row r="69" spans="1:11" ht="24" x14ac:dyDescent="0.25">
      <c r="A69" s="14"/>
      <c r="B69" s="3" t="s">
        <v>104</v>
      </c>
      <c r="C69" s="13">
        <f t="shared" si="4"/>
        <v>1035000</v>
      </c>
      <c r="D69" s="13">
        <f t="shared" si="5"/>
        <v>724500</v>
      </c>
      <c r="E69" s="13">
        <f t="shared" si="6"/>
        <v>7245000</v>
      </c>
      <c r="F69" s="5">
        <v>10</v>
      </c>
      <c r="G69" s="4" t="s">
        <v>6</v>
      </c>
      <c r="H69" s="4" t="s">
        <v>23</v>
      </c>
      <c r="I69" s="4" t="s">
        <v>31</v>
      </c>
      <c r="J69" s="13">
        <v>450000</v>
      </c>
      <c r="K69" s="13">
        <f t="shared" si="7"/>
        <v>1034999.9999999999</v>
      </c>
    </row>
    <row r="70" spans="1:11" ht="24" x14ac:dyDescent="0.25">
      <c r="A70" s="14"/>
      <c r="B70" s="3" t="s">
        <v>215</v>
      </c>
      <c r="C70" s="13">
        <f t="shared" si="4"/>
        <v>74000</v>
      </c>
      <c r="D70" s="13">
        <f t="shared" si="5"/>
        <v>51800</v>
      </c>
      <c r="E70" s="13">
        <f t="shared" si="6"/>
        <v>518000</v>
      </c>
      <c r="F70" s="5">
        <v>10</v>
      </c>
      <c r="G70" s="4" t="s">
        <v>6</v>
      </c>
      <c r="H70" s="4" t="s">
        <v>23</v>
      </c>
      <c r="I70" s="4" t="s">
        <v>31</v>
      </c>
      <c r="J70" s="18">
        <v>32091</v>
      </c>
      <c r="K70" s="18">
        <f t="shared" si="7"/>
        <v>73809.299999999988</v>
      </c>
    </row>
    <row r="71" spans="1:11" ht="24" x14ac:dyDescent="0.25">
      <c r="A71" s="14"/>
      <c r="B71" s="3" t="s">
        <v>104</v>
      </c>
      <c r="C71" s="13">
        <f t="shared" si="4"/>
        <v>1035000</v>
      </c>
      <c r="D71" s="13">
        <f t="shared" si="5"/>
        <v>724500</v>
      </c>
      <c r="E71" s="13">
        <f t="shared" si="6"/>
        <v>724500</v>
      </c>
      <c r="F71" s="5">
        <v>1</v>
      </c>
      <c r="G71" s="4" t="s">
        <v>6</v>
      </c>
      <c r="H71" s="4" t="s">
        <v>23</v>
      </c>
      <c r="I71" s="4" t="s">
        <v>31</v>
      </c>
      <c r="J71" s="13">
        <v>450000</v>
      </c>
      <c r="K71" s="13">
        <f t="shared" si="7"/>
        <v>1034999.9999999999</v>
      </c>
    </row>
    <row r="72" spans="1:11" ht="24" x14ac:dyDescent="0.25">
      <c r="A72" s="14"/>
      <c r="B72" s="3" t="s">
        <v>216</v>
      </c>
      <c r="C72" s="13">
        <f t="shared" si="4"/>
        <v>79000</v>
      </c>
      <c r="D72" s="13">
        <f t="shared" si="5"/>
        <v>55300</v>
      </c>
      <c r="E72" s="13">
        <f t="shared" si="6"/>
        <v>55300</v>
      </c>
      <c r="F72" s="5">
        <v>1</v>
      </c>
      <c r="G72" s="4" t="s">
        <v>6</v>
      </c>
      <c r="H72" s="4" t="s">
        <v>23</v>
      </c>
      <c r="I72" s="4" t="s">
        <v>31</v>
      </c>
      <c r="J72" s="18">
        <v>34078.199999999997</v>
      </c>
      <c r="K72" s="18">
        <f t="shared" si="7"/>
        <v>78379.859999999986</v>
      </c>
    </row>
    <row r="73" spans="1:11" ht="24" x14ac:dyDescent="0.25">
      <c r="A73" s="14"/>
      <c r="B73" s="3" t="s">
        <v>217</v>
      </c>
      <c r="C73" s="13">
        <f t="shared" si="4"/>
        <v>85000</v>
      </c>
      <c r="D73" s="13">
        <f t="shared" si="5"/>
        <v>59499.999999999993</v>
      </c>
      <c r="E73" s="13">
        <f t="shared" si="6"/>
        <v>59499.999999999993</v>
      </c>
      <c r="F73" s="5">
        <v>1</v>
      </c>
      <c r="G73" s="4" t="s">
        <v>6</v>
      </c>
      <c r="H73" s="4" t="s">
        <v>23</v>
      </c>
      <c r="I73" s="4" t="s">
        <v>31</v>
      </c>
      <c r="J73" s="18">
        <v>36575.399999999994</v>
      </c>
      <c r="K73" s="18">
        <f t="shared" si="7"/>
        <v>84123.419999999984</v>
      </c>
    </row>
    <row r="74" spans="1:11" ht="24" x14ac:dyDescent="0.25">
      <c r="A74" s="14"/>
      <c r="B74" s="3" t="s">
        <v>218</v>
      </c>
      <c r="C74" s="13">
        <f t="shared" si="4"/>
        <v>81000</v>
      </c>
      <c r="D74" s="13">
        <f t="shared" si="5"/>
        <v>56700</v>
      </c>
      <c r="E74" s="13">
        <f t="shared" si="6"/>
        <v>56700</v>
      </c>
      <c r="F74" s="5">
        <v>1</v>
      </c>
      <c r="G74" s="4" t="s">
        <v>6</v>
      </c>
      <c r="H74" s="4" t="s">
        <v>23</v>
      </c>
      <c r="I74" s="4" t="s">
        <v>31</v>
      </c>
      <c r="J74" s="18">
        <v>35209.800000000003</v>
      </c>
      <c r="K74" s="18">
        <f t="shared" si="7"/>
        <v>80982.539999999994</v>
      </c>
    </row>
    <row r="75" spans="1:11" ht="24" x14ac:dyDescent="0.25">
      <c r="A75" s="14"/>
      <c r="B75" s="3" t="s">
        <v>219</v>
      </c>
      <c r="C75" s="13">
        <f t="shared" si="4"/>
        <v>85000</v>
      </c>
      <c r="D75" s="13">
        <f t="shared" si="5"/>
        <v>59499.999999999993</v>
      </c>
      <c r="E75" s="13">
        <f t="shared" si="6"/>
        <v>59499.999999999993</v>
      </c>
      <c r="F75" s="5">
        <v>1</v>
      </c>
      <c r="G75" s="4" t="s">
        <v>6</v>
      </c>
      <c r="H75" s="4" t="s">
        <v>23</v>
      </c>
      <c r="I75" s="4" t="s">
        <v>31</v>
      </c>
      <c r="J75" s="18">
        <v>36681.599999999999</v>
      </c>
      <c r="K75" s="18">
        <f t="shared" si="7"/>
        <v>84367.679999999993</v>
      </c>
    </row>
    <row r="76" spans="1:11" ht="24" x14ac:dyDescent="0.25">
      <c r="A76" s="14"/>
      <c r="B76" s="3" t="s">
        <v>222</v>
      </c>
      <c r="C76" s="13">
        <f t="shared" si="4"/>
        <v>414000</v>
      </c>
      <c r="D76" s="13">
        <f t="shared" si="5"/>
        <v>289800</v>
      </c>
      <c r="E76" s="13">
        <f t="shared" si="6"/>
        <v>289800</v>
      </c>
      <c r="F76" s="5">
        <v>1</v>
      </c>
      <c r="G76" s="4" t="s">
        <v>6</v>
      </c>
      <c r="H76" s="4" t="s">
        <v>23</v>
      </c>
      <c r="I76" s="4" t="s">
        <v>31</v>
      </c>
      <c r="J76" s="13">
        <v>180000</v>
      </c>
      <c r="K76" s="13">
        <f t="shared" si="7"/>
        <v>413999.99999999994</v>
      </c>
    </row>
    <row r="77" spans="1:11" ht="24" x14ac:dyDescent="0.25">
      <c r="A77" s="14"/>
      <c r="B77" s="3" t="s">
        <v>227</v>
      </c>
      <c r="C77" s="13">
        <f t="shared" si="4"/>
        <v>111000</v>
      </c>
      <c r="D77" s="13">
        <f t="shared" si="5"/>
        <v>77700</v>
      </c>
      <c r="E77" s="13">
        <f t="shared" si="6"/>
        <v>932400</v>
      </c>
      <c r="F77" s="5">
        <v>12</v>
      </c>
      <c r="G77" s="4" t="s">
        <v>6</v>
      </c>
      <c r="H77" s="4" t="s">
        <v>23</v>
      </c>
      <c r="I77" s="4" t="s">
        <v>31</v>
      </c>
      <c r="J77" s="13">
        <v>48000</v>
      </c>
      <c r="K77" s="13">
        <f t="shared" si="7"/>
        <v>110399.99999999999</v>
      </c>
    </row>
    <row r="78" spans="1:11" ht="24" x14ac:dyDescent="0.25">
      <c r="A78" s="14"/>
      <c r="B78" s="3" t="s">
        <v>228</v>
      </c>
      <c r="C78" s="13">
        <f t="shared" si="4"/>
        <v>111000</v>
      </c>
      <c r="D78" s="13">
        <f t="shared" si="5"/>
        <v>77700</v>
      </c>
      <c r="E78" s="13">
        <f t="shared" si="6"/>
        <v>543900</v>
      </c>
      <c r="F78" s="5">
        <v>7</v>
      </c>
      <c r="G78" s="4" t="s">
        <v>6</v>
      </c>
      <c r="H78" s="4" t="s">
        <v>23</v>
      </c>
      <c r="I78" s="4" t="s">
        <v>31</v>
      </c>
      <c r="J78" s="13">
        <v>48000</v>
      </c>
      <c r="K78" s="13">
        <f t="shared" si="7"/>
        <v>110399.99999999999</v>
      </c>
    </row>
    <row r="79" spans="1:11" ht="24" x14ac:dyDescent="0.25">
      <c r="A79" s="14"/>
      <c r="B79" s="3" t="s">
        <v>223</v>
      </c>
      <c r="C79" s="13">
        <f t="shared" si="4"/>
        <v>111000</v>
      </c>
      <c r="D79" s="13">
        <f t="shared" si="5"/>
        <v>77700</v>
      </c>
      <c r="E79" s="13">
        <f t="shared" si="6"/>
        <v>466200</v>
      </c>
      <c r="F79" s="5">
        <v>6</v>
      </c>
      <c r="G79" s="4" t="s">
        <v>6</v>
      </c>
      <c r="H79" s="4" t="s">
        <v>23</v>
      </c>
      <c r="I79" s="4" t="s">
        <v>31</v>
      </c>
      <c r="J79" s="13">
        <v>48000</v>
      </c>
      <c r="K79" s="13">
        <f t="shared" si="7"/>
        <v>110399.99999999999</v>
      </c>
    </row>
    <row r="80" spans="1:11" ht="24" x14ac:dyDescent="0.25">
      <c r="A80" s="14"/>
      <c r="B80" s="3" t="s">
        <v>224</v>
      </c>
      <c r="C80" s="13">
        <f t="shared" si="4"/>
        <v>111000</v>
      </c>
      <c r="D80" s="13">
        <f t="shared" si="5"/>
        <v>77700</v>
      </c>
      <c r="E80" s="13">
        <f t="shared" si="6"/>
        <v>77700</v>
      </c>
      <c r="F80" s="5">
        <v>1</v>
      </c>
      <c r="G80" s="4" t="s">
        <v>6</v>
      </c>
      <c r="H80" s="4" t="s">
        <v>23</v>
      </c>
      <c r="I80" s="4" t="s">
        <v>31</v>
      </c>
      <c r="J80" s="13">
        <v>48000</v>
      </c>
      <c r="K80" s="13">
        <f t="shared" si="7"/>
        <v>110399.99999999999</v>
      </c>
    </row>
    <row r="81" spans="1:11" ht="24" x14ac:dyDescent="0.25">
      <c r="A81" s="14"/>
      <c r="B81" s="3" t="s">
        <v>225</v>
      </c>
      <c r="C81" s="13">
        <f t="shared" si="4"/>
        <v>111000</v>
      </c>
      <c r="D81" s="13">
        <f t="shared" si="5"/>
        <v>77700</v>
      </c>
      <c r="E81" s="13">
        <f t="shared" si="6"/>
        <v>77700</v>
      </c>
      <c r="F81" s="5">
        <v>1</v>
      </c>
      <c r="G81" s="4" t="s">
        <v>6</v>
      </c>
      <c r="H81" s="4" t="s">
        <v>23</v>
      </c>
      <c r="I81" s="4" t="s">
        <v>31</v>
      </c>
      <c r="J81" s="13">
        <v>48000</v>
      </c>
      <c r="K81" s="13">
        <f t="shared" si="7"/>
        <v>110399.99999999999</v>
      </c>
    </row>
    <row r="82" spans="1:11" ht="24" x14ac:dyDescent="0.25">
      <c r="A82" s="14"/>
      <c r="B82" s="3" t="s">
        <v>226</v>
      </c>
      <c r="C82" s="13">
        <f t="shared" si="4"/>
        <v>111000</v>
      </c>
      <c r="D82" s="13">
        <f t="shared" si="5"/>
        <v>77700</v>
      </c>
      <c r="E82" s="13">
        <f t="shared" si="6"/>
        <v>310800</v>
      </c>
      <c r="F82" s="5">
        <v>4</v>
      </c>
      <c r="G82" s="4" t="s">
        <v>6</v>
      </c>
      <c r="H82" s="4" t="s">
        <v>23</v>
      </c>
      <c r="I82" s="4" t="s">
        <v>31</v>
      </c>
      <c r="J82" s="13">
        <v>48000</v>
      </c>
      <c r="K82" s="13">
        <f t="shared" si="7"/>
        <v>110399.99999999999</v>
      </c>
    </row>
    <row r="83" spans="1:11" ht="24" x14ac:dyDescent="0.25">
      <c r="A83" s="14"/>
      <c r="B83" s="3" t="s">
        <v>257</v>
      </c>
      <c r="C83" s="13">
        <f t="shared" si="4"/>
        <v>49000</v>
      </c>
      <c r="D83" s="13">
        <f t="shared" si="5"/>
        <v>34300</v>
      </c>
      <c r="E83" s="13">
        <f t="shared" si="6"/>
        <v>137200</v>
      </c>
      <c r="F83" s="5">
        <v>4</v>
      </c>
      <c r="G83" s="4" t="s">
        <v>6</v>
      </c>
      <c r="H83" s="4" t="s">
        <v>23</v>
      </c>
      <c r="I83" s="4" t="s">
        <v>31</v>
      </c>
      <c r="J83" s="13">
        <v>21000</v>
      </c>
      <c r="K83" s="13">
        <f t="shared" si="7"/>
        <v>48299.999999999993</v>
      </c>
    </row>
    <row r="84" spans="1:11" ht="24" x14ac:dyDescent="0.25">
      <c r="A84" s="14"/>
      <c r="B84" s="3" t="s">
        <v>109</v>
      </c>
      <c r="C84" s="13">
        <f t="shared" si="4"/>
        <v>96000</v>
      </c>
      <c r="D84" s="13">
        <f t="shared" si="5"/>
        <v>67200</v>
      </c>
      <c r="E84" s="13">
        <f t="shared" si="6"/>
        <v>67200</v>
      </c>
      <c r="F84" s="5">
        <v>1</v>
      </c>
      <c r="G84" s="4" t="s">
        <v>6</v>
      </c>
      <c r="H84" s="4" t="s">
        <v>23</v>
      </c>
      <c r="I84" s="4" t="s">
        <v>110</v>
      </c>
      <c r="J84" s="18">
        <v>41630.400000000001</v>
      </c>
      <c r="K84" s="18">
        <f t="shared" si="7"/>
        <v>95749.92</v>
      </c>
    </row>
    <row r="85" spans="1:11" ht="24" x14ac:dyDescent="0.25">
      <c r="A85" s="14"/>
      <c r="B85" s="3" t="s">
        <v>112</v>
      </c>
      <c r="C85" s="13">
        <f t="shared" si="4"/>
        <v>101000</v>
      </c>
      <c r="D85" s="13">
        <f t="shared" si="5"/>
        <v>70700</v>
      </c>
      <c r="E85" s="13">
        <f t="shared" si="6"/>
        <v>70700</v>
      </c>
      <c r="F85" s="5">
        <v>1</v>
      </c>
      <c r="G85" s="4" t="s">
        <v>6</v>
      </c>
      <c r="H85" s="4" t="s">
        <v>23</v>
      </c>
      <c r="I85" s="4" t="s">
        <v>110</v>
      </c>
      <c r="J85" s="18">
        <v>43509.599999999999</v>
      </c>
      <c r="K85" s="18">
        <f t="shared" si="7"/>
        <v>100072.07999999999</v>
      </c>
    </row>
    <row r="86" spans="1:11" ht="24" x14ac:dyDescent="0.25">
      <c r="A86" s="14"/>
      <c r="B86" s="3" t="s">
        <v>113</v>
      </c>
      <c r="C86" s="13">
        <f t="shared" si="4"/>
        <v>99000</v>
      </c>
      <c r="D86" s="13">
        <f t="shared" si="5"/>
        <v>69300</v>
      </c>
      <c r="E86" s="13">
        <f t="shared" si="6"/>
        <v>69300</v>
      </c>
      <c r="F86" s="5">
        <v>1</v>
      </c>
      <c r="G86" s="4" t="s">
        <v>6</v>
      </c>
      <c r="H86" s="4" t="s">
        <v>23</v>
      </c>
      <c r="I86" s="4" t="s">
        <v>110</v>
      </c>
      <c r="J86" s="18">
        <v>43039.8</v>
      </c>
      <c r="K86" s="18">
        <f t="shared" si="7"/>
        <v>98991.54</v>
      </c>
    </row>
    <row r="87" spans="1:11" ht="24" x14ac:dyDescent="0.25">
      <c r="A87" s="14"/>
      <c r="B87" s="3" t="s">
        <v>114</v>
      </c>
      <c r="C87" s="13">
        <f t="shared" si="4"/>
        <v>95000</v>
      </c>
      <c r="D87" s="13">
        <f t="shared" si="5"/>
        <v>66500</v>
      </c>
      <c r="E87" s="13">
        <f t="shared" si="6"/>
        <v>66500</v>
      </c>
      <c r="F87" s="5">
        <v>1</v>
      </c>
      <c r="G87" s="4" t="s">
        <v>6</v>
      </c>
      <c r="H87" s="4" t="s">
        <v>23</v>
      </c>
      <c r="I87" s="4" t="s">
        <v>110</v>
      </c>
      <c r="J87" s="18">
        <v>41160.6</v>
      </c>
      <c r="K87" s="18">
        <f t="shared" si="7"/>
        <v>94669.37999999999</v>
      </c>
    </row>
    <row r="88" spans="1:11" ht="24" x14ac:dyDescent="0.25">
      <c r="A88" s="14"/>
      <c r="B88" s="3" t="s">
        <v>115</v>
      </c>
      <c r="C88" s="13">
        <f t="shared" si="4"/>
        <v>101000</v>
      </c>
      <c r="D88" s="13">
        <f t="shared" si="5"/>
        <v>70700</v>
      </c>
      <c r="E88" s="13">
        <f t="shared" si="6"/>
        <v>70700</v>
      </c>
      <c r="F88" s="5">
        <v>1</v>
      </c>
      <c r="G88" s="4" t="s">
        <v>6</v>
      </c>
      <c r="H88" s="4" t="s">
        <v>23</v>
      </c>
      <c r="I88" s="4" t="s">
        <v>110</v>
      </c>
      <c r="J88" s="18">
        <v>43509.599999999999</v>
      </c>
      <c r="K88" s="18">
        <f t="shared" si="7"/>
        <v>100072.07999999999</v>
      </c>
    </row>
    <row r="89" spans="1:11" ht="24" x14ac:dyDescent="0.25">
      <c r="A89" s="14"/>
      <c r="B89" s="3" t="s">
        <v>116</v>
      </c>
      <c r="C89" s="13">
        <f t="shared" si="4"/>
        <v>99000</v>
      </c>
      <c r="D89" s="13">
        <f t="shared" si="5"/>
        <v>69300</v>
      </c>
      <c r="E89" s="13">
        <f t="shared" si="6"/>
        <v>69300</v>
      </c>
      <c r="F89" s="5">
        <v>1</v>
      </c>
      <c r="G89" s="4" t="s">
        <v>6</v>
      </c>
      <c r="H89" s="4" t="s">
        <v>23</v>
      </c>
      <c r="I89" s="4" t="s">
        <v>110</v>
      </c>
      <c r="J89" s="18">
        <v>43039.8</v>
      </c>
      <c r="K89" s="18">
        <f t="shared" si="7"/>
        <v>98991.54</v>
      </c>
    </row>
    <row r="90" spans="1:11" ht="24" x14ac:dyDescent="0.25">
      <c r="A90" s="14"/>
      <c r="B90" s="3" t="s">
        <v>246</v>
      </c>
      <c r="C90" s="13">
        <f t="shared" si="4"/>
        <v>1080000</v>
      </c>
      <c r="D90" s="13">
        <f t="shared" si="5"/>
        <v>756000</v>
      </c>
      <c r="E90" s="13">
        <f t="shared" si="6"/>
        <v>756000</v>
      </c>
      <c r="F90" s="5">
        <v>1</v>
      </c>
      <c r="G90" s="4" t="s">
        <v>6</v>
      </c>
      <c r="H90" s="4" t="s">
        <v>23</v>
      </c>
      <c r="I90" s="4" t="s">
        <v>117</v>
      </c>
      <c r="J90" s="18">
        <v>469372</v>
      </c>
      <c r="K90" s="18">
        <f t="shared" si="7"/>
        <v>1079555.5999999999</v>
      </c>
    </row>
    <row r="91" spans="1:11" ht="24" x14ac:dyDescent="0.25">
      <c r="A91" s="14"/>
      <c r="B91" s="3" t="s">
        <v>251</v>
      </c>
      <c r="C91" s="13">
        <f t="shared" si="4"/>
        <v>596000</v>
      </c>
      <c r="D91" s="13">
        <f t="shared" si="5"/>
        <v>417200</v>
      </c>
      <c r="E91" s="13">
        <f t="shared" si="6"/>
        <v>417200</v>
      </c>
      <c r="F91" s="5">
        <v>1</v>
      </c>
      <c r="G91" s="4" t="s">
        <v>6</v>
      </c>
      <c r="H91" s="4" t="s">
        <v>23</v>
      </c>
      <c r="I91" s="4" t="s">
        <v>117</v>
      </c>
      <c r="J91" s="18">
        <v>258945</v>
      </c>
      <c r="K91" s="18">
        <f t="shared" si="7"/>
        <v>595573.5</v>
      </c>
    </row>
    <row r="92" spans="1:11" ht="24" x14ac:dyDescent="0.25">
      <c r="A92" s="14"/>
      <c r="B92" s="3" t="s">
        <v>126</v>
      </c>
      <c r="C92" s="13">
        <f t="shared" si="4"/>
        <v>97000</v>
      </c>
      <c r="D92" s="13">
        <f t="shared" si="5"/>
        <v>67900</v>
      </c>
      <c r="E92" s="13">
        <f t="shared" si="6"/>
        <v>67900</v>
      </c>
      <c r="F92" s="5">
        <v>1</v>
      </c>
      <c r="G92" s="4" t="s">
        <v>6</v>
      </c>
      <c r="H92" s="4" t="s">
        <v>23</v>
      </c>
      <c r="I92" s="4" t="s">
        <v>117</v>
      </c>
      <c r="J92" s="18">
        <v>42113.4</v>
      </c>
      <c r="K92" s="18">
        <f t="shared" si="7"/>
        <v>96860.819999999992</v>
      </c>
    </row>
    <row r="93" spans="1:11" ht="24" x14ac:dyDescent="0.25">
      <c r="A93" s="14"/>
      <c r="B93" s="3" t="s">
        <v>127</v>
      </c>
      <c r="C93" s="13">
        <f t="shared" si="4"/>
        <v>54000</v>
      </c>
      <c r="D93" s="13">
        <f t="shared" si="5"/>
        <v>37800</v>
      </c>
      <c r="E93" s="13">
        <f t="shared" si="6"/>
        <v>37800</v>
      </c>
      <c r="F93" s="5">
        <v>1</v>
      </c>
      <c r="G93" s="4" t="s">
        <v>6</v>
      </c>
      <c r="H93" s="4" t="s">
        <v>23</v>
      </c>
      <c r="I93" s="4" t="s">
        <v>117</v>
      </c>
      <c r="J93" s="18">
        <v>23046</v>
      </c>
      <c r="K93" s="18">
        <f t="shared" si="7"/>
        <v>53005.799999999996</v>
      </c>
    </row>
    <row r="94" spans="1:11" ht="24" x14ac:dyDescent="0.25">
      <c r="A94" s="14"/>
      <c r="B94" s="3" t="s">
        <v>128</v>
      </c>
      <c r="C94" s="13">
        <f t="shared" si="4"/>
        <v>126000</v>
      </c>
      <c r="D94" s="13">
        <f t="shared" si="5"/>
        <v>88200</v>
      </c>
      <c r="E94" s="13">
        <f t="shared" si="6"/>
        <v>88200</v>
      </c>
      <c r="F94" s="5">
        <v>1</v>
      </c>
      <c r="G94" s="4" t="s">
        <v>6</v>
      </c>
      <c r="H94" s="4" t="s">
        <v>23</v>
      </c>
      <c r="I94" s="4" t="s">
        <v>117</v>
      </c>
      <c r="J94" s="18">
        <v>54378.6</v>
      </c>
      <c r="K94" s="18">
        <f t="shared" si="7"/>
        <v>125070.77999999998</v>
      </c>
    </row>
    <row r="95" spans="1:11" ht="24" x14ac:dyDescent="0.25">
      <c r="A95" s="14"/>
      <c r="B95" s="3" t="s">
        <v>129</v>
      </c>
      <c r="C95" s="13">
        <f t="shared" si="4"/>
        <v>87000</v>
      </c>
      <c r="D95" s="13">
        <f t="shared" si="5"/>
        <v>60899.999999999993</v>
      </c>
      <c r="E95" s="13">
        <f t="shared" si="6"/>
        <v>60899.999999999993</v>
      </c>
      <c r="F95" s="5">
        <v>1</v>
      </c>
      <c r="G95" s="4" t="s">
        <v>6</v>
      </c>
      <c r="H95" s="4" t="s">
        <v>23</v>
      </c>
      <c r="I95" s="4" t="s">
        <v>117</v>
      </c>
      <c r="J95" s="18">
        <v>37518</v>
      </c>
      <c r="K95" s="18">
        <f t="shared" si="7"/>
        <v>86291.4</v>
      </c>
    </row>
    <row r="96" spans="1:11" ht="24" x14ac:dyDescent="0.25">
      <c r="A96" s="14"/>
      <c r="B96" s="3" t="s">
        <v>130</v>
      </c>
      <c r="C96" s="13">
        <f t="shared" si="4"/>
        <v>50000</v>
      </c>
      <c r="D96" s="13">
        <f t="shared" si="5"/>
        <v>35000</v>
      </c>
      <c r="E96" s="13">
        <f t="shared" si="6"/>
        <v>35000</v>
      </c>
      <c r="F96" s="5">
        <v>1</v>
      </c>
      <c r="G96" s="4" t="s">
        <v>6</v>
      </c>
      <c r="H96" s="4" t="s">
        <v>23</v>
      </c>
      <c r="I96" s="4" t="s">
        <v>117</v>
      </c>
      <c r="J96" s="18">
        <v>21636.6</v>
      </c>
      <c r="K96" s="18">
        <f t="shared" si="7"/>
        <v>49764.179999999993</v>
      </c>
    </row>
    <row r="97" spans="1:11" ht="24" x14ac:dyDescent="0.25">
      <c r="A97" s="14"/>
      <c r="B97" s="3" t="s">
        <v>131</v>
      </c>
      <c r="C97" s="13">
        <f t="shared" si="4"/>
        <v>54000</v>
      </c>
      <c r="D97" s="13">
        <f t="shared" si="5"/>
        <v>37800</v>
      </c>
      <c r="E97" s="13">
        <f t="shared" si="6"/>
        <v>37800</v>
      </c>
      <c r="F97" s="5">
        <v>1</v>
      </c>
      <c r="G97" s="4" t="s">
        <v>6</v>
      </c>
      <c r="H97" s="4" t="s">
        <v>23</v>
      </c>
      <c r="I97" s="4" t="s">
        <v>117</v>
      </c>
      <c r="J97" s="18">
        <v>23046</v>
      </c>
      <c r="K97" s="18">
        <f t="shared" si="7"/>
        <v>53005.799999999996</v>
      </c>
    </row>
    <row r="98" spans="1:11" ht="24" x14ac:dyDescent="0.25">
      <c r="A98" s="14"/>
      <c r="B98" s="3" t="s">
        <v>132</v>
      </c>
      <c r="C98" s="13">
        <f t="shared" si="4"/>
        <v>50000</v>
      </c>
      <c r="D98" s="13">
        <f t="shared" si="5"/>
        <v>35000</v>
      </c>
      <c r="E98" s="13">
        <f t="shared" si="6"/>
        <v>35000</v>
      </c>
      <c r="F98" s="5">
        <v>1</v>
      </c>
      <c r="G98" s="4" t="s">
        <v>6</v>
      </c>
      <c r="H98" s="4" t="s">
        <v>23</v>
      </c>
      <c r="I98" s="4" t="s">
        <v>117</v>
      </c>
      <c r="J98" s="18">
        <v>21636.6</v>
      </c>
      <c r="K98" s="18">
        <f t="shared" si="7"/>
        <v>49764.179999999993</v>
      </c>
    </row>
    <row r="99" spans="1:11" ht="24" x14ac:dyDescent="0.25">
      <c r="A99" s="14"/>
      <c r="B99" s="3" t="s">
        <v>133</v>
      </c>
      <c r="C99" s="13">
        <f t="shared" si="4"/>
        <v>174000</v>
      </c>
      <c r="D99" s="13">
        <f t="shared" si="5"/>
        <v>121799.99999999999</v>
      </c>
      <c r="E99" s="13">
        <f t="shared" si="6"/>
        <v>121799.99999999999</v>
      </c>
      <c r="F99" s="5">
        <v>1</v>
      </c>
      <c r="G99" s="4" t="s">
        <v>6</v>
      </c>
      <c r="H99" s="4" t="s">
        <v>23</v>
      </c>
      <c r="I99" s="4" t="s">
        <v>117</v>
      </c>
      <c r="J99" s="18">
        <v>75515.399999999994</v>
      </c>
      <c r="K99" s="18">
        <f t="shared" si="7"/>
        <v>173685.41999999998</v>
      </c>
    </row>
    <row r="100" spans="1:11" ht="24" x14ac:dyDescent="0.25">
      <c r="A100" s="14"/>
      <c r="B100" s="3" t="s">
        <v>134</v>
      </c>
      <c r="C100" s="13">
        <f t="shared" si="4"/>
        <v>132000</v>
      </c>
      <c r="D100" s="13">
        <f t="shared" si="5"/>
        <v>92400</v>
      </c>
      <c r="E100" s="13">
        <f t="shared" si="6"/>
        <v>92400</v>
      </c>
      <c r="F100" s="5">
        <v>1</v>
      </c>
      <c r="G100" s="4" t="s">
        <v>6</v>
      </c>
      <c r="H100" s="4" t="s">
        <v>23</v>
      </c>
      <c r="I100" s="4" t="s">
        <v>117</v>
      </c>
      <c r="J100" s="18">
        <v>57194.400000000001</v>
      </c>
      <c r="K100" s="18">
        <f t="shared" si="7"/>
        <v>131547.12</v>
      </c>
    </row>
    <row r="101" spans="1:11" ht="24" x14ac:dyDescent="0.25">
      <c r="A101" s="14"/>
      <c r="B101" s="3" t="s">
        <v>135</v>
      </c>
      <c r="C101" s="13">
        <f t="shared" si="4"/>
        <v>111000</v>
      </c>
      <c r="D101" s="13">
        <f t="shared" si="5"/>
        <v>77700</v>
      </c>
      <c r="E101" s="13">
        <f t="shared" si="6"/>
        <v>77700</v>
      </c>
      <c r="F101" s="5">
        <v>1</v>
      </c>
      <c r="G101" s="4" t="s">
        <v>6</v>
      </c>
      <c r="H101" s="4" t="s">
        <v>23</v>
      </c>
      <c r="I101" s="4" t="s">
        <v>117</v>
      </c>
      <c r="J101" s="18">
        <v>47992.2</v>
      </c>
      <c r="K101" s="18">
        <f t="shared" si="7"/>
        <v>110382.05999999998</v>
      </c>
    </row>
    <row r="102" spans="1:11" ht="24" x14ac:dyDescent="0.25">
      <c r="A102" s="14"/>
      <c r="B102" s="3" t="s">
        <v>136</v>
      </c>
      <c r="C102" s="13">
        <f t="shared" si="4"/>
        <v>143000</v>
      </c>
      <c r="D102" s="13">
        <f t="shared" si="5"/>
        <v>100100</v>
      </c>
      <c r="E102" s="13">
        <f t="shared" si="6"/>
        <v>100100</v>
      </c>
      <c r="F102" s="5">
        <v>1</v>
      </c>
      <c r="G102" s="4" t="s">
        <v>6</v>
      </c>
      <c r="H102" s="4" t="s">
        <v>23</v>
      </c>
      <c r="I102" s="4" t="s">
        <v>117</v>
      </c>
      <c r="J102" s="18">
        <v>61903.799999999996</v>
      </c>
      <c r="K102" s="18">
        <f t="shared" si="7"/>
        <v>142378.74</v>
      </c>
    </row>
    <row r="103" spans="1:11" ht="24" x14ac:dyDescent="0.25">
      <c r="A103" s="14"/>
      <c r="B103" s="3" t="s">
        <v>137</v>
      </c>
      <c r="C103" s="13">
        <f t="shared" si="4"/>
        <v>104000</v>
      </c>
      <c r="D103" s="13">
        <f t="shared" si="5"/>
        <v>72800</v>
      </c>
      <c r="E103" s="13">
        <f t="shared" si="6"/>
        <v>72800</v>
      </c>
      <c r="F103" s="5">
        <v>1</v>
      </c>
      <c r="G103" s="4" t="s">
        <v>6</v>
      </c>
      <c r="H103" s="4" t="s">
        <v>23</v>
      </c>
      <c r="I103" s="4" t="s">
        <v>117</v>
      </c>
      <c r="J103" s="18">
        <v>44936.399999999994</v>
      </c>
      <c r="K103" s="18">
        <f t="shared" si="7"/>
        <v>103353.71999999997</v>
      </c>
    </row>
    <row r="104" spans="1:11" ht="24" x14ac:dyDescent="0.25">
      <c r="A104" s="14"/>
      <c r="B104" s="3" t="s">
        <v>138</v>
      </c>
      <c r="C104" s="13">
        <f t="shared" si="4"/>
        <v>142000</v>
      </c>
      <c r="D104" s="13">
        <f t="shared" si="5"/>
        <v>99400</v>
      </c>
      <c r="E104" s="13">
        <f t="shared" si="6"/>
        <v>99400</v>
      </c>
      <c r="F104" s="5">
        <v>1</v>
      </c>
      <c r="G104" s="4" t="s">
        <v>6</v>
      </c>
      <c r="H104" s="4" t="s">
        <v>23</v>
      </c>
      <c r="I104" s="4" t="s">
        <v>117</v>
      </c>
      <c r="J104" s="18">
        <v>61652.399999999994</v>
      </c>
      <c r="K104" s="18">
        <f t="shared" si="7"/>
        <v>141800.51999999999</v>
      </c>
    </row>
    <row r="105" spans="1:11" ht="24" x14ac:dyDescent="0.25">
      <c r="A105" s="14"/>
      <c r="B105" s="3" t="s">
        <v>139</v>
      </c>
      <c r="C105" s="13">
        <f t="shared" si="4"/>
        <v>143000</v>
      </c>
      <c r="D105" s="13">
        <f t="shared" si="5"/>
        <v>100100</v>
      </c>
      <c r="E105" s="13">
        <f t="shared" si="6"/>
        <v>100100</v>
      </c>
      <c r="F105" s="5">
        <v>1</v>
      </c>
      <c r="G105" s="4" t="s">
        <v>6</v>
      </c>
      <c r="H105" s="4" t="s">
        <v>23</v>
      </c>
      <c r="I105" s="4" t="s">
        <v>117</v>
      </c>
      <c r="J105" s="18">
        <v>61903.799999999996</v>
      </c>
      <c r="K105" s="18">
        <f t="shared" si="7"/>
        <v>142378.74</v>
      </c>
    </row>
    <row r="106" spans="1:11" ht="24" x14ac:dyDescent="0.25">
      <c r="A106" s="14"/>
      <c r="B106" s="3" t="s">
        <v>140</v>
      </c>
      <c r="C106" s="13">
        <f t="shared" si="4"/>
        <v>146000</v>
      </c>
      <c r="D106" s="13">
        <f t="shared" si="5"/>
        <v>102200</v>
      </c>
      <c r="E106" s="13">
        <f t="shared" si="6"/>
        <v>102200</v>
      </c>
      <c r="F106" s="5">
        <v>1</v>
      </c>
      <c r="G106" s="4" t="s">
        <v>6</v>
      </c>
      <c r="H106" s="4" t="s">
        <v>23</v>
      </c>
      <c r="I106" s="4" t="s">
        <v>117</v>
      </c>
      <c r="J106" s="18">
        <v>63306</v>
      </c>
      <c r="K106" s="18">
        <f t="shared" si="7"/>
        <v>145603.79999999999</v>
      </c>
    </row>
    <row r="107" spans="1:11" ht="24" x14ac:dyDescent="0.25">
      <c r="A107" s="14"/>
      <c r="B107" s="3" t="s">
        <v>141</v>
      </c>
      <c r="C107" s="13">
        <f t="shared" si="4"/>
        <v>174000</v>
      </c>
      <c r="D107" s="13">
        <f t="shared" si="5"/>
        <v>121799.99999999999</v>
      </c>
      <c r="E107" s="13">
        <f t="shared" si="6"/>
        <v>121799.99999999999</v>
      </c>
      <c r="F107" s="5">
        <v>1</v>
      </c>
      <c r="G107" s="4" t="s">
        <v>6</v>
      </c>
      <c r="H107" s="4" t="s">
        <v>23</v>
      </c>
      <c r="I107" s="4" t="s">
        <v>117</v>
      </c>
      <c r="J107" s="18">
        <v>75264</v>
      </c>
      <c r="K107" s="18">
        <f t="shared" si="7"/>
        <v>173107.19999999998</v>
      </c>
    </row>
    <row r="108" spans="1:11" ht="24" x14ac:dyDescent="0.25">
      <c r="A108" s="14"/>
      <c r="B108" s="3" t="s">
        <v>142</v>
      </c>
      <c r="C108" s="13">
        <f t="shared" si="4"/>
        <v>111000</v>
      </c>
      <c r="D108" s="13">
        <f t="shared" si="5"/>
        <v>77700</v>
      </c>
      <c r="E108" s="13">
        <f t="shared" si="6"/>
        <v>77700</v>
      </c>
      <c r="F108" s="5">
        <v>1</v>
      </c>
      <c r="G108" s="4" t="s">
        <v>6</v>
      </c>
      <c r="H108" s="4" t="s">
        <v>23</v>
      </c>
      <c r="I108" s="4" t="s">
        <v>117</v>
      </c>
      <c r="J108" s="18">
        <v>47992.2</v>
      </c>
      <c r="K108" s="18">
        <f t="shared" si="7"/>
        <v>110382.05999999998</v>
      </c>
    </row>
    <row r="109" spans="1:11" ht="24" x14ac:dyDescent="0.25">
      <c r="A109" s="14"/>
      <c r="B109" s="3" t="s">
        <v>143</v>
      </c>
      <c r="C109" s="13">
        <f t="shared" si="4"/>
        <v>150000</v>
      </c>
      <c r="D109" s="13">
        <f t="shared" si="5"/>
        <v>105000</v>
      </c>
      <c r="E109" s="13">
        <f t="shared" si="6"/>
        <v>105000</v>
      </c>
      <c r="F109" s="5">
        <v>1</v>
      </c>
      <c r="G109" s="4" t="s">
        <v>6</v>
      </c>
      <c r="H109" s="4" t="s">
        <v>23</v>
      </c>
      <c r="I109" s="4" t="s">
        <v>117</v>
      </c>
      <c r="J109" s="18">
        <v>64959.6</v>
      </c>
      <c r="K109" s="18">
        <f t="shared" si="7"/>
        <v>149407.07999999999</v>
      </c>
    </row>
    <row r="110" spans="1:11" ht="24" x14ac:dyDescent="0.25">
      <c r="A110" s="14"/>
      <c r="B110" s="3" t="s">
        <v>144</v>
      </c>
      <c r="C110" s="13">
        <f t="shared" si="4"/>
        <v>109000</v>
      </c>
      <c r="D110" s="13">
        <f t="shared" si="5"/>
        <v>76300</v>
      </c>
      <c r="E110" s="13">
        <f t="shared" si="6"/>
        <v>76300</v>
      </c>
      <c r="F110" s="5">
        <v>1</v>
      </c>
      <c r="G110" s="4" t="s">
        <v>6</v>
      </c>
      <c r="H110" s="4" t="s">
        <v>23</v>
      </c>
      <c r="I110" s="4" t="s">
        <v>117</v>
      </c>
      <c r="J110" s="18">
        <v>47272.800000000003</v>
      </c>
      <c r="K110" s="18">
        <f t="shared" si="7"/>
        <v>108727.44</v>
      </c>
    </row>
    <row r="111" spans="1:11" ht="24" x14ac:dyDescent="0.25">
      <c r="A111" s="14"/>
      <c r="B111" s="3" t="s">
        <v>145</v>
      </c>
      <c r="C111" s="13">
        <f t="shared" si="4"/>
        <v>49000</v>
      </c>
      <c r="D111" s="13">
        <f t="shared" si="5"/>
        <v>34300</v>
      </c>
      <c r="E111" s="13">
        <f t="shared" si="6"/>
        <v>34300</v>
      </c>
      <c r="F111" s="5">
        <v>1</v>
      </c>
      <c r="G111" s="4" t="s">
        <v>6</v>
      </c>
      <c r="H111" s="4" t="s">
        <v>23</v>
      </c>
      <c r="I111" s="4" t="s">
        <v>117</v>
      </c>
      <c r="J111" s="18">
        <v>21159.599999999999</v>
      </c>
      <c r="K111" s="18">
        <f t="shared" si="7"/>
        <v>48667.079999999994</v>
      </c>
    </row>
    <row r="112" spans="1:11" ht="24" x14ac:dyDescent="0.25">
      <c r="A112" s="14"/>
      <c r="B112" s="3" t="s">
        <v>229</v>
      </c>
      <c r="C112" s="13">
        <f t="shared" si="4"/>
        <v>111000</v>
      </c>
      <c r="D112" s="13">
        <f t="shared" si="5"/>
        <v>77700</v>
      </c>
      <c r="E112" s="13">
        <f t="shared" si="6"/>
        <v>155400</v>
      </c>
      <c r="F112" s="5">
        <v>2</v>
      </c>
      <c r="G112" s="4" t="s">
        <v>6</v>
      </c>
      <c r="H112" s="4" t="s">
        <v>23</v>
      </c>
      <c r="I112" s="4" t="s">
        <v>117</v>
      </c>
      <c r="J112" s="13">
        <v>48000</v>
      </c>
      <c r="K112" s="13">
        <f t="shared" si="7"/>
        <v>110399.99999999999</v>
      </c>
    </row>
    <row r="113" spans="1:11" ht="24" x14ac:dyDescent="0.25">
      <c r="A113" s="14"/>
      <c r="B113" s="3" t="s">
        <v>230</v>
      </c>
      <c r="C113" s="13">
        <f t="shared" si="4"/>
        <v>111000</v>
      </c>
      <c r="D113" s="13">
        <f t="shared" si="5"/>
        <v>77700</v>
      </c>
      <c r="E113" s="13">
        <f t="shared" si="6"/>
        <v>155400</v>
      </c>
      <c r="F113" s="5">
        <v>2</v>
      </c>
      <c r="G113" s="4" t="s">
        <v>6</v>
      </c>
      <c r="H113" s="4" t="s">
        <v>23</v>
      </c>
      <c r="I113" s="4" t="s">
        <v>117</v>
      </c>
      <c r="J113" s="13">
        <v>48000</v>
      </c>
      <c r="K113" s="13">
        <f t="shared" si="7"/>
        <v>110399.99999999999</v>
      </c>
    </row>
    <row r="114" spans="1:11" ht="24" x14ac:dyDescent="0.25">
      <c r="A114" s="14"/>
      <c r="B114" s="3" t="s">
        <v>231</v>
      </c>
      <c r="C114" s="13">
        <f t="shared" si="4"/>
        <v>111000</v>
      </c>
      <c r="D114" s="13">
        <f t="shared" si="5"/>
        <v>77700</v>
      </c>
      <c r="E114" s="13">
        <f t="shared" si="6"/>
        <v>77700</v>
      </c>
      <c r="F114" s="5">
        <v>1</v>
      </c>
      <c r="G114" s="4" t="s">
        <v>6</v>
      </c>
      <c r="H114" s="4" t="s">
        <v>23</v>
      </c>
      <c r="I114" s="4" t="s">
        <v>117</v>
      </c>
      <c r="J114" s="13">
        <v>48000</v>
      </c>
      <c r="K114" s="13">
        <f t="shared" si="7"/>
        <v>110399.99999999999</v>
      </c>
    </row>
    <row r="115" spans="1:11" ht="24" x14ac:dyDescent="0.25">
      <c r="A115" s="14"/>
      <c r="B115" s="3" t="s">
        <v>232</v>
      </c>
      <c r="C115" s="13">
        <f t="shared" si="4"/>
        <v>111000</v>
      </c>
      <c r="D115" s="13">
        <f t="shared" si="5"/>
        <v>77700</v>
      </c>
      <c r="E115" s="13">
        <f t="shared" si="6"/>
        <v>77700</v>
      </c>
      <c r="F115" s="5">
        <v>1</v>
      </c>
      <c r="G115" s="4" t="s">
        <v>6</v>
      </c>
      <c r="H115" s="4" t="s">
        <v>23</v>
      </c>
      <c r="I115" s="4" t="s">
        <v>117</v>
      </c>
      <c r="J115" s="13">
        <v>48000</v>
      </c>
      <c r="K115" s="13">
        <f t="shared" si="7"/>
        <v>110399.99999999999</v>
      </c>
    </row>
    <row r="116" spans="1:11" ht="24" x14ac:dyDescent="0.25">
      <c r="A116" s="14"/>
      <c r="B116" s="3" t="s">
        <v>233</v>
      </c>
      <c r="C116" s="13">
        <f t="shared" si="4"/>
        <v>111000</v>
      </c>
      <c r="D116" s="13">
        <f t="shared" si="5"/>
        <v>77700</v>
      </c>
      <c r="E116" s="13">
        <f t="shared" si="6"/>
        <v>77700</v>
      </c>
      <c r="F116" s="5">
        <v>1</v>
      </c>
      <c r="G116" s="4" t="s">
        <v>6</v>
      </c>
      <c r="H116" s="4" t="s">
        <v>23</v>
      </c>
      <c r="I116" s="4" t="s">
        <v>117</v>
      </c>
      <c r="J116" s="13">
        <v>48000</v>
      </c>
      <c r="K116" s="13">
        <f t="shared" si="7"/>
        <v>110399.99999999999</v>
      </c>
    </row>
    <row r="117" spans="1:11" ht="24" x14ac:dyDescent="0.25">
      <c r="A117" s="14"/>
      <c r="B117" s="3" t="s">
        <v>234</v>
      </c>
      <c r="C117" s="13">
        <f t="shared" si="4"/>
        <v>111000</v>
      </c>
      <c r="D117" s="13">
        <f t="shared" si="5"/>
        <v>77700</v>
      </c>
      <c r="E117" s="13">
        <f t="shared" si="6"/>
        <v>310800</v>
      </c>
      <c r="F117" s="5">
        <v>4</v>
      </c>
      <c r="G117" s="4" t="s">
        <v>6</v>
      </c>
      <c r="H117" s="4" t="s">
        <v>23</v>
      </c>
      <c r="I117" s="4" t="s">
        <v>117</v>
      </c>
      <c r="J117" s="13">
        <v>48000</v>
      </c>
      <c r="K117" s="13">
        <f t="shared" si="7"/>
        <v>110399.99999999999</v>
      </c>
    </row>
    <row r="118" spans="1:11" ht="24" x14ac:dyDescent="0.25">
      <c r="A118" s="14"/>
      <c r="B118" s="3" t="s">
        <v>257</v>
      </c>
      <c r="C118" s="13">
        <f t="shared" si="4"/>
        <v>49000</v>
      </c>
      <c r="D118" s="13">
        <f t="shared" si="5"/>
        <v>34300</v>
      </c>
      <c r="E118" s="13">
        <f t="shared" si="6"/>
        <v>68600</v>
      </c>
      <c r="F118" s="5">
        <v>2</v>
      </c>
      <c r="G118" s="4" t="s">
        <v>6</v>
      </c>
      <c r="H118" s="4" t="s">
        <v>23</v>
      </c>
      <c r="I118" s="4" t="s">
        <v>117</v>
      </c>
      <c r="J118" s="13">
        <v>21000</v>
      </c>
      <c r="K118" s="13">
        <f t="shared" si="7"/>
        <v>48299.999999999993</v>
      </c>
    </row>
    <row r="119" spans="1:11" ht="24" x14ac:dyDescent="0.25">
      <c r="A119" s="14"/>
      <c r="B119" s="3" t="s">
        <v>252</v>
      </c>
      <c r="C119" s="13">
        <f t="shared" si="4"/>
        <v>872000</v>
      </c>
      <c r="D119" s="13">
        <f t="shared" si="5"/>
        <v>610400</v>
      </c>
      <c r="E119" s="13">
        <f t="shared" si="6"/>
        <v>610400</v>
      </c>
      <c r="F119" s="5">
        <v>1</v>
      </c>
      <c r="G119" s="4" t="s">
        <v>6</v>
      </c>
      <c r="H119" s="4" t="s">
        <v>23</v>
      </c>
      <c r="I119" s="4" t="s">
        <v>146</v>
      </c>
      <c r="J119" s="18">
        <v>378736.6</v>
      </c>
      <c r="K119" s="18">
        <f t="shared" si="7"/>
        <v>871094.17999999993</v>
      </c>
    </row>
    <row r="120" spans="1:11" ht="24" x14ac:dyDescent="0.25">
      <c r="A120" s="14"/>
      <c r="B120" s="3" t="s">
        <v>152</v>
      </c>
      <c r="C120" s="13">
        <f t="shared" si="4"/>
        <v>120000</v>
      </c>
      <c r="D120" s="13">
        <f t="shared" si="5"/>
        <v>84000</v>
      </c>
      <c r="E120" s="13">
        <f t="shared" si="6"/>
        <v>84000</v>
      </c>
      <c r="F120" s="5">
        <v>1</v>
      </c>
      <c r="G120" s="4" t="s">
        <v>6</v>
      </c>
      <c r="H120" s="4" t="s">
        <v>23</v>
      </c>
      <c r="I120" s="4" t="s">
        <v>146</v>
      </c>
      <c r="J120" s="18">
        <v>51792.6</v>
      </c>
      <c r="K120" s="18">
        <f t="shared" si="7"/>
        <v>119122.97999999998</v>
      </c>
    </row>
    <row r="121" spans="1:11" ht="24" x14ac:dyDescent="0.25">
      <c r="A121" s="14"/>
      <c r="B121" s="3" t="s">
        <v>153</v>
      </c>
      <c r="C121" s="13">
        <f t="shared" si="4"/>
        <v>128000</v>
      </c>
      <c r="D121" s="13">
        <f t="shared" si="5"/>
        <v>89600</v>
      </c>
      <c r="E121" s="13">
        <f t="shared" si="6"/>
        <v>89600</v>
      </c>
      <c r="F121" s="5">
        <v>1</v>
      </c>
      <c r="G121" s="4" t="s">
        <v>6</v>
      </c>
      <c r="H121" s="4" t="s">
        <v>23</v>
      </c>
      <c r="I121" s="4" t="s">
        <v>146</v>
      </c>
      <c r="J121" s="18">
        <v>55318.2</v>
      </c>
      <c r="K121" s="18">
        <f t="shared" si="7"/>
        <v>127231.85999999999</v>
      </c>
    </row>
    <row r="122" spans="1:11" ht="24" x14ac:dyDescent="0.25">
      <c r="A122" s="14"/>
      <c r="B122" s="3" t="s">
        <v>154</v>
      </c>
      <c r="C122" s="13">
        <f t="shared" si="4"/>
        <v>50000</v>
      </c>
      <c r="D122" s="13">
        <f t="shared" si="5"/>
        <v>35000</v>
      </c>
      <c r="E122" s="13">
        <f t="shared" si="6"/>
        <v>70000</v>
      </c>
      <c r="F122" s="5">
        <v>2</v>
      </c>
      <c r="G122" s="4" t="s">
        <v>6</v>
      </c>
      <c r="H122" s="4" t="s">
        <v>23</v>
      </c>
      <c r="I122" s="4" t="s">
        <v>146</v>
      </c>
      <c r="J122" s="18">
        <v>21636.6</v>
      </c>
      <c r="K122" s="18">
        <f t="shared" si="7"/>
        <v>49764.179999999993</v>
      </c>
    </row>
    <row r="123" spans="1:11" ht="24" x14ac:dyDescent="0.25">
      <c r="A123" s="14"/>
      <c r="B123" s="3" t="s">
        <v>155</v>
      </c>
      <c r="C123" s="13">
        <f t="shared" si="4"/>
        <v>169000</v>
      </c>
      <c r="D123" s="13">
        <f t="shared" si="5"/>
        <v>118299.99999999999</v>
      </c>
      <c r="E123" s="13">
        <f t="shared" si="6"/>
        <v>118299.99999999999</v>
      </c>
      <c r="F123" s="5">
        <v>1</v>
      </c>
      <c r="G123" s="4" t="s">
        <v>6</v>
      </c>
      <c r="H123" s="4" t="s">
        <v>23</v>
      </c>
      <c r="I123" s="4" t="s">
        <v>146</v>
      </c>
      <c r="J123" s="18">
        <v>73108.2</v>
      </c>
      <c r="K123" s="18">
        <f t="shared" si="7"/>
        <v>168148.86</v>
      </c>
    </row>
    <row r="124" spans="1:11" ht="24" x14ac:dyDescent="0.25">
      <c r="A124" s="14"/>
      <c r="B124" s="3" t="s">
        <v>156</v>
      </c>
      <c r="C124" s="13">
        <f t="shared" si="4"/>
        <v>183000</v>
      </c>
      <c r="D124" s="13">
        <f t="shared" si="5"/>
        <v>128099.99999999999</v>
      </c>
      <c r="E124" s="13">
        <f t="shared" si="6"/>
        <v>128099.99999999999</v>
      </c>
      <c r="F124" s="5">
        <v>1</v>
      </c>
      <c r="G124" s="4" t="s">
        <v>6</v>
      </c>
      <c r="H124" s="4" t="s">
        <v>23</v>
      </c>
      <c r="I124" s="4" t="s">
        <v>146</v>
      </c>
      <c r="J124" s="18">
        <v>79471.199999999997</v>
      </c>
      <c r="K124" s="18">
        <f t="shared" si="7"/>
        <v>182783.75999999998</v>
      </c>
    </row>
    <row r="125" spans="1:11" ht="24" x14ac:dyDescent="0.25">
      <c r="A125" s="14"/>
      <c r="B125" s="3" t="s">
        <v>157</v>
      </c>
      <c r="C125" s="13">
        <f t="shared" si="4"/>
        <v>60000</v>
      </c>
      <c r="D125" s="13">
        <f t="shared" si="5"/>
        <v>42000</v>
      </c>
      <c r="E125" s="13">
        <f t="shared" si="6"/>
        <v>42000</v>
      </c>
      <c r="F125" s="5">
        <v>1</v>
      </c>
      <c r="G125" s="4" t="s">
        <v>6</v>
      </c>
      <c r="H125" s="4" t="s">
        <v>23</v>
      </c>
      <c r="I125" s="4" t="s">
        <v>146</v>
      </c>
      <c r="J125" s="18">
        <v>25869</v>
      </c>
      <c r="K125" s="18">
        <f t="shared" si="7"/>
        <v>59498.7</v>
      </c>
    </row>
    <row r="126" spans="1:11" ht="24" x14ac:dyDescent="0.25">
      <c r="A126" s="14"/>
      <c r="B126" s="3" t="s">
        <v>158</v>
      </c>
      <c r="C126" s="13">
        <f t="shared" si="4"/>
        <v>176000</v>
      </c>
      <c r="D126" s="13">
        <f t="shared" si="5"/>
        <v>123199.99999999999</v>
      </c>
      <c r="E126" s="13">
        <f t="shared" si="6"/>
        <v>123199.99999999999</v>
      </c>
      <c r="F126" s="5">
        <v>1</v>
      </c>
      <c r="G126" s="4" t="s">
        <v>6</v>
      </c>
      <c r="H126" s="4" t="s">
        <v>23</v>
      </c>
      <c r="I126" s="4" t="s">
        <v>146</v>
      </c>
      <c r="J126" s="18">
        <v>76415.399999999994</v>
      </c>
      <c r="K126" s="18">
        <f t="shared" si="7"/>
        <v>175755.41999999998</v>
      </c>
    </row>
    <row r="127" spans="1:11" ht="24" x14ac:dyDescent="0.25">
      <c r="A127" s="14"/>
      <c r="B127" s="3" t="s">
        <v>159</v>
      </c>
      <c r="C127" s="13">
        <f t="shared" si="4"/>
        <v>150000</v>
      </c>
      <c r="D127" s="13">
        <f t="shared" si="5"/>
        <v>105000</v>
      </c>
      <c r="E127" s="13">
        <f t="shared" si="6"/>
        <v>105000</v>
      </c>
      <c r="F127" s="5">
        <v>1</v>
      </c>
      <c r="G127" s="4" t="s">
        <v>6</v>
      </c>
      <c r="H127" s="4" t="s">
        <v>23</v>
      </c>
      <c r="I127" s="4" t="s">
        <v>146</v>
      </c>
      <c r="J127" s="18">
        <v>64959.6</v>
      </c>
      <c r="K127" s="18">
        <f t="shared" si="7"/>
        <v>149407.07999999999</v>
      </c>
    </row>
    <row r="128" spans="1:11" ht="24" x14ac:dyDescent="0.25">
      <c r="A128" s="14"/>
      <c r="B128" s="3" t="s">
        <v>160</v>
      </c>
      <c r="C128" s="13">
        <f t="shared" si="4"/>
        <v>53000</v>
      </c>
      <c r="D128" s="13">
        <f t="shared" si="5"/>
        <v>37100</v>
      </c>
      <c r="E128" s="13">
        <f t="shared" si="6"/>
        <v>37100</v>
      </c>
      <c r="F128" s="5">
        <v>1</v>
      </c>
      <c r="G128" s="4" t="s">
        <v>6</v>
      </c>
      <c r="H128" s="4" t="s">
        <v>23</v>
      </c>
      <c r="I128" s="4" t="s">
        <v>146</v>
      </c>
      <c r="J128" s="18">
        <v>22813.199999999997</v>
      </c>
      <c r="K128" s="18">
        <f t="shared" si="7"/>
        <v>52470.359999999986</v>
      </c>
    </row>
    <row r="129" spans="1:11" ht="24" x14ac:dyDescent="0.25">
      <c r="A129" s="14"/>
      <c r="B129" s="3" t="s">
        <v>161</v>
      </c>
      <c r="C129" s="13">
        <f t="shared" si="4"/>
        <v>88000</v>
      </c>
      <c r="D129" s="13">
        <f t="shared" si="5"/>
        <v>61599.999999999993</v>
      </c>
      <c r="E129" s="13">
        <f t="shared" si="6"/>
        <v>61599.999999999993</v>
      </c>
      <c r="F129" s="5">
        <v>1</v>
      </c>
      <c r="G129" s="4" t="s">
        <v>6</v>
      </c>
      <c r="H129" s="4" t="s">
        <v>23</v>
      </c>
      <c r="I129" s="4" t="s">
        <v>146</v>
      </c>
      <c r="J129" s="18">
        <v>37973.399999999994</v>
      </c>
      <c r="K129" s="18">
        <f t="shared" si="7"/>
        <v>87338.819999999978</v>
      </c>
    </row>
    <row r="130" spans="1:11" ht="24" x14ac:dyDescent="0.25">
      <c r="A130" s="14"/>
      <c r="B130" s="3" t="s">
        <v>162</v>
      </c>
      <c r="C130" s="13">
        <f t="shared" si="4"/>
        <v>80000</v>
      </c>
      <c r="D130" s="13">
        <f t="shared" si="5"/>
        <v>56000</v>
      </c>
      <c r="E130" s="13">
        <f t="shared" si="6"/>
        <v>56000</v>
      </c>
      <c r="F130" s="5">
        <v>1</v>
      </c>
      <c r="G130" s="4" t="s">
        <v>6</v>
      </c>
      <c r="H130" s="4" t="s">
        <v>23</v>
      </c>
      <c r="I130" s="4" t="s">
        <v>146</v>
      </c>
      <c r="J130" s="18">
        <v>34666.199999999997</v>
      </c>
      <c r="K130" s="18">
        <f t="shared" si="7"/>
        <v>79732.25999999998</v>
      </c>
    </row>
    <row r="131" spans="1:11" ht="24" x14ac:dyDescent="0.25">
      <c r="A131" s="14"/>
      <c r="B131" s="3" t="s">
        <v>238</v>
      </c>
      <c r="C131" s="13">
        <f t="shared" ref="C131:C163" si="8">ROUNDUP(K131,-3)</f>
        <v>111000</v>
      </c>
      <c r="D131" s="13">
        <f t="shared" ref="D131:D163" si="9">0.7*C131</f>
        <v>77700</v>
      </c>
      <c r="E131" s="13">
        <f t="shared" ref="E131:E163" si="10">D131*F131</f>
        <v>310800</v>
      </c>
      <c r="F131" s="5">
        <v>4</v>
      </c>
      <c r="G131" s="4" t="s">
        <v>6</v>
      </c>
      <c r="H131" s="4" t="s">
        <v>23</v>
      </c>
      <c r="I131" s="4" t="s">
        <v>146</v>
      </c>
      <c r="J131" s="13">
        <v>48000</v>
      </c>
      <c r="K131" s="13">
        <f t="shared" ref="K131:K163" si="11">2.3*J131</f>
        <v>110399.99999999999</v>
      </c>
    </row>
    <row r="132" spans="1:11" ht="24" x14ac:dyDescent="0.25">
      <c r="A132" s="14"/>
      <c r="B132" s="3" t="s">
        <v>257</v>
      </c>
      <c r="C132" s="13">
        <f t="shared" si="8"/>
        <v>49000</v>
      </c>
      <c r="D132" s="13">
        <f t="shared" si="9"/>
        <v>34300</v>
      </c>
      <c r="E132" s="13">
        <f t="shared" si="10"/>
        <v>102900</v>
      </c>
      <c r="F132" s="5">
        <v>3</v>
      </c>
      <c r="G132" s="4" t="s">
        <v>6</v>
      </c>
      <c r="H132" s="4" t="s">
        <v>23</v>
      </c>
      <c r="I132" s="4" t="s">
        <v>146</v>
      </c>
      <c r="J132" s="13">
        <v>21000</v>
      </c>
      <c r="K132" s="13">
        <f t="shared" si="11"/>
        <v>48299.999999999993</v>
      </c>
    </row>
    <row r="133" spans="1:11" ht="24" x14ac:dyDescent="0.25">
      <c r="A133" s="14"/>
      <c r="B133" s="3" t="s">
        <v>253</v>
      </c>
      <c r="C133" s="13">
        <f t="shared" si="8"/>
        <v>1106000</v>
      </c>
      <c r="D133" s="13">
        <f t="shared" si="9"/>
        <v>774200</v>
      </c>
      <c r="E133" s="13">
        <f t="shared" si="10"/>
        <v>774200</v>
      </c>
      <c r="F133" s="5">
        <v>1</v>
      </c>
      <c r="G133" s="4" t="s">
        <v>6</v>
      </c>
      <c r="H133" s="4" t="s">
        <v>23</v>
      </c>
      <c r="I133" s="4" t="s">
        <v>163</v>
      </c>
      <c r="J133" s="18">
        <v>480456.8</v>
      </c>
      <c r="K133" s="18">
        <f t="shared" si="11"/>
        <v>1105050.6399999999</v>
      </c>
    </row>
    <row r="134" spans="1:11" ht="24" x14ac:dyDescent="0.25">
      <c r="A134" s="14"/>
      <c r="B134" s="3" t="s">
        <v>254</v>
      </c>
      <c r="C134" s="13">
        <f t="shared" si="8"/>
        <v>590000</v>
      </c>
      <c r="D134" s="13">
        <f t="shared" si="9"/>
        <v>413000</v>
      </c>
      <c r="E134" s="13">
        <f t="shared" si="10"/>
        <v>413000</v>
      </c>
      <c r="F134" s="5">
        <v>1</v>
      </c>
      <c r="G134" s="4" t="s">
        <v>6</v>
      </c>
      <c r="H134" s="4" t="s">
        <v>23</v>
      </c>
      <c r="I134" s="4" t="s">
        <v>163</v>
      </c>
      <c r="J134" s="18">
        <v>256290</v>
      </c>
      <c r="K134" s="18">
        <f t="shared" si="11"/>
        <v>589467</v>
      </c>
    </row>
    <row r="135" spans="1:11" ht="24" x14ac:dyDescent="0.25">
      <c r="A135" s="14"/>
      <c r="B135" s="3" t="s">
        <v>165</v>
      </c>
      <c r="C135" s="13">
        <f t="shared" si="8"/>
        <v>90000</v>
      </c>
      <c r="D135" s="13">
        <f t="shared" si="9"/>
        <v>62999.999999999993</v>
      </c>
      <c r="E135" s="13">
        <f t="shared" si="10"/>
        <v>62999.999999999993</v>
      </c>
      <c r="F135" s="5">
        <v>1</v>
      </c>
      <c r="G135" s="4" t="s">
        <v>6</v>
      </c>
      <c r="H135" s="4" t="s">
        <v>23</v>
      </c>
      <c r="I135" s="4" t="s">
        <v>163</v>
      </c>
      <c r="J135" s="18">
        <v>38927.399999999994</v>
      </c>
      <c r="K135" s="18">
        <f t="shared" si="11"/>
        <v>89533.019999999975</v>
      </c>
    </row>
    <row r="136" spans="1:11" ht="24" x14ac:dyDescent="0.25">
      <c r="A136" s="14"/>
      <c r="B136" s="3" t="s">
        <v>166</v>
      </c>
      <c r="C136" s="13">
        <f t="shared" si="8"/>
        <v>50000</v>
      </c>
      <c r="D136" s="13">
        <f t="shared" si="9"/>
        <v>35000</v>
      </c>
      <c r="E136" s="13">
        <f t="shared" si="10"/>
        <v>35000</v>
      </c>
      <c r="F136" s="5">
        <v>1</v>
      </c>
      <c r="G136" s="4" t="s">
        <v>6</v>
      </c>
      <c r="H136" s="4" t="s">
        <v>23</v>
      </c>
      <c r="I136" s="4" t="s">
        <v>163</v>
      </c>
      <c r="J136" s="18">
        <v>21636.6</v>
      </c>
      <c r="K136" s="18">
        <f t="shared" si="11"/>
        <v>49764.179999999993</v>
      </c>
    </row>
    <row r="137" spans="1:11" ht="24" x14ac:dyDescent="0.25">
      <c r="A137" s="14"/>
      <c r="B137" s="3" t="s">
        <v>167</v>
      </c>
      <c r="C137" s="13">
        <f t="shared" si="8"/>
        <v>55000</v>
      </c>
      <c r="D137" s="13">
        <f t="shared" si="9"/>
        <v>38500</v>
      </c>
      <c r="E137" s="13">
        <f t="shared" si="10"/>
        <v>38500</v>
      </c>
      <c r="F137" s="5">
        <v>1</v>
      </c>
      <c r="G137" s="4" t="s">
        <v>6</v>
      </c>
      <c r="H137" s="4" t="s">
        <v>23</v>
      </c>
      <c r="I137" s="4" t="s">
        <v>163</v>
      </c>
      <c r="J137" s="18">
        <v>23853</v>
      </c>
      <c r="K137" s="18">
        <f t="shared" si="11"/>
        <v>54861.899999999994</v>
      </c>
    </row>
    <row r="138" spans="1:11" ht="24" x14ac:dyDescent="0.25">
      <c r="A138" s="14"/>
      <c r="B138" s="3" t="s">
        <v>168</v>
      </c>
      <c r="C138" s="13">
        <f t="shared" si="8"/>
        <v>83000</v>
      </c>
      <c r="D138" s="13">
        <f t="shared" si="9"/>
        <v>58099.999999999993</v>
      </c>
      <c r="E138" s="13">
        <f t="shared" si="10"/>
        <v>58099.999999999993</v>
      </c>
      <c r="F138" s="5">
        <v>1</v>
      </c>
      <c r="G138" s="4" t="s">
        <v>6</v>
      </c>
      <c r="H138" s="4" t="s">
        <v>23</v>
      </c>
      <c r="I138" s="4" t="s">
        <v>163</v>
      </c>
      <c r="J138" s="18">
        <v>35949.599999999999</v>
      </c>
      <c r="K138" s="18">
        <f t="shared" si="11"/>
        <v>82684.079999999987</v>
      </c>
    </row>
    <row r="139" spans="1:11" ht="24" x14ac:dyDescent="0.25">
      <c r="A139" s="14"/>
      <c r="B139" s="3" t="s">
        <v>170</v>
      </c>
      <c r="C139" s="13">
        <f t="shared" si="8"/>
        <v>90000</v>
      </c>
      <c r="D139" s="13">
        <f t="shared" si="9"/>
        <v>62999.999999999993</v>
      </c>
      <c r="E139" s="13">
        <f t="shared" si="10"/>
        <v>62999.999999999993</v>
      </c>
      <c r="F139" s="5">
        <v>1</v>
      </c>
      <c r="G139" s="4" t="s">
        <v>6</v>
      </c>
      <c r="H139" s="4" t="s">
        <v>23</v>
      </c>
      <c r="I139" s="4" t="s">
        <v>163</v>
      </c>
      <c r="J139" s="18">
        <v>38860.199999999997</v>
      </c>
      <c r="K139" s="18">
        <f t="shared" si="11"/>
        <v>89378.459999999992</v>
      </c>
    </row>
    <row r="140" spans="1:11" ht="24" x14ac:dyDescent="0.25">
      <c r="A140" s="14"/>
      <c r="B140" s="3" t="s">
        <v>172</v>
      </c>
      <c r="C140" s="13">
        <f t="shared" si="8"/>
        <v>150000</v>
      </c>
      <c r="D140" s="13">
        <f t="shared" si="9"/>
        <v>105000</v>
      </c>
      <c r="E140" s="13">
        <f t="shared" si="10"/>
        <v>105000</v>
      </c>
      <c r="F140" s="5">
        <v>1</v>
      </c>
      <c r="G140" s="4" t="s">
        <v>6</v>
      </c>
      <c r="H140" s="4" t="s">
        <v>23</v>
      </c>
      <c r="I140" s="4" t="s">
        <v>163</v>
      </c>
      <c r="J140" s="18">
        <v>64959.6</v>
      </c>
      <c r="K140" s="18">
        <f t="shared" si="11"/>
        <v>149407.07999999999</v>
      </c>
    </row>
    <row r="141" spans="1:11" ht="24" x14ac:dyDescent="0.25">
      <c r="A141" s="14"/>
      <c r="B141" s="3" t="s">
        <v>173</v>
      </c>
      <c r="C141" s="13">
        <f t="shared" si="8"/>
        <v>213000</v>
      </c>
      <c r="D141" s="13">
        <f t="shared" si="9"/>
        <v>149100</v>
      </c>
      <c r="E141" s="13">
        <f t="shared" si="10"/>
        <v>149100</v>
      </c>
      <c r="F141" s="5">
        <v>1</v>
      </c>
      <c r="G141" s="4" t="s">
        <v>6</v>
      </c>
      <c r="H141" s="4" t="s">
        <v>23</v>
      </c>
      <c r="I141" s="4" t="s">
        <v>163</v>
      </c>
      <c r="J141" s="18">
        <v>92182.799999999988</v>
      </c>
      <c r="K141" s="18">
        <f t="shared" si="11"/>
        <v>212020.43999999994</v>
      </c>
    </row>
    <row r="142" spans="1:11" ht="24" x14ac:dyDescent="0.25">
      <c r="A142" s="14"/>
      <c r="B142" s="3" t="s">
        <v>174</v>
      </c>
      <c r="C142" s="13">
        <f t="shared" si="8"/>
        <v>92000</v>
      </c>
      <c r="D142" s="13">
        <f t="shared" si="9"/>
        <v>64399.999999999993</v>
      </c>
      <c r="E142" s="13">
        <f t="shared" si="10"/>
        <v>64399.999999999993</v>
      </c>
      <c r="F142" s="5">
        <v>1</v>
      </c>
      <c r="G142" s="4" t="s">
        <v>6</v>
      </c>
      <c r="H142" s="4" t="s">
        <v>23</v>
      </c>
      <c r="I142" s="4" t="s">
        <v>163</v>
      </c>
      <c r="J142" s="18">
        <v>39975.599999999999</v>
      </c>
      <c r="K142" s="18">
        <f t="shared" si="11"/>
        <v>91943.87999999999</v>
      </c>
    </row>
    <row r="143" spans="1:11" ht="24" x14ac:dyDescent="0.25">
      <c r="A143" s="14"/>
      <c r="B143" s="3" t="s">
        <v>239</v>
      </c>
      <c r="C143" s="13">
        <f t="shared" si="8"/>
        <v>111000</v>
      </c>
      <c r="D143" s="13">
        <f t="shared" si="9"/>
        <v>77700</v>
      </c>
      <c r="E143" s="13">
        <f t="shared" si="10"/>
        <v>77700</v>
      </c>
      <c r="F143" s="5">
        <v>1</v>
      </c>
      <c r="G143" s="4" t="s">
        <v>6</v>
      </c>
      <c r="H143" s="4" t="s">
        <v>23</v>
      </c>
      <c r="I143" s="4" t="s">
        <v>163</v>
      </c>
      <c r="J143" s="13">
        <v>48000</v>
      </c>
      <c r="K143" s="13">
        <f t="shared" si="11"/>
        <v>110399.99999999999</v>
      </c>
    </row>
    <row r="144" spans="1:11" ht="24" x14ac:dyDescent="0.25">
      <c r="A144" s="14"/>
      <c r="B144" s="3" t="s">
        <v>240</v>
      </c>
      <c r="C144" s="13">
        <f t="shared" si="8"/>
        <v>111000</v>
      </c>
      <c r="D144" s="13">
        <f t="shared" si="9"/>
        <v>77700</v>
      </c>
      <c r="E144" s="13">
        <f t="shared" si="10"/>
        <v>77700</v>
      </c>
      <c r="F144" s="5">
        <v>1</v>
      </c>
      <c r="G144" s="4" t="s">
        <v>6</v>
      </c>
      <c r="H144" s="4" t="s">
        <v>23</v>
      </c>
      <c r="I144" s="4" t="s">
        <v>163</v>
      </c>
      <c r="J144" s="13">
        <v>48000</v>
      </c>
      <c r="K144" s="13">
        <f t="shared" si="11"/>
        <v>110399.99999999999</v>
      </c>
    </row>
    <row r="145" spans="1:11" ht="24" x14ac:dyDescent="0.25">
      <c r="A145" s="14"/>
      <c r="B145" s="3" t="s">
        <v>255</v>
      </c>
      <c r="C145" s="13">
        <f t="shared" si="8"/>
        <v>1106000</v>
      </c>
      <c r="D145" s="13">
        <f t="shared" si="9"/>
        <v>774200</v>
      </c>
      <c r="E145" s="13">
        <f t="shared" si="10"/>
        <v>774200</v>
      </c>
      <c r="F145" s="5">
        <v>1</v>
      </c>
      <c r="G145" s="4" t="s">
        <v>6</v>
      </c>
      <c r="H145" s="4" t="s">
        <v>23</v>
      </c>
      <c r="I145" s="4" t="s">
        <v>175</v>
      </c>
      <c r="J145" s="18">
        <v>480507.2</v>
      </c>
      <c r="K145" s="18">
        <f t="shared" si="11"/>
        <v>1105166.56</v>
      </c>
    </row>
    <row r="146" spans="1:11" ht="24" x14ac:dyDescent="0.25">
      <c r="A146" s="14"/>
      <c r="B146" s="3" t="s">
        <v>256</v>
      </c>
      <c r="C146" s="13">
        <f t="shared" si="8"/>
        <v>597000</v>
      </c>
      <c r="D146" s="13">
        <f t="shared" si="9"/>
        <v>417900</v>
      </c>
      <c r="E146" s="13">
        <f t="shared" si="10"/>
        <v>417900</v>
      </c>
      <c r="F146" s="5">
        <v>1</v>
      </c>
      <c r="G146" s="4" t="s">
        <v>6</v>
      </c>
      <c r="H146" s="4" t="s">
        <v>23</v>
      </c>
      <c r="I146" s="4" t="s">
        <v>175</v>
      </c>
      <c r="J146" s="18">
        <v>259206</v>
      </c>
      <c r="K146" s="18">
        <f t="shared" si="11"/>
        <v>596173.79999999993</v>
      </c>
    </row>
    <row r="147" spans="1:11" ht="24" x14ac:dyDescent="0.25">
      <c r="A147" s="14"/>
      <c r="B147" s="3" t="s">
        <v>179</v>
      </c>
      <c r="C147" s="13">
        <f t="shared" si="8"/>
        <v>86000</v>
      </c>
      <c r="D147" s="13">
        <f t="shared" si="9"/>
        <v>60199.999999999993</v>
      </c>
      <c r="E147" s="13">
        <f t="shared" si="10"/>
        <v>60199.999999999993</v>
      </c>
      <c r="F147" s="5">
        <v>1</v>
      </c>
      <c r="G147" s="4" t="s">
        <v>6</v>
      </c>
      <c r="H147" s="4" t="s">
        <v>23</v>
      </c>
      <c r="I147" s="4" t="s">
        <v>175</v>
      </c>
      <c r="J147" s="18">
        <v>37281</v>
      </c>
      <c r="K147" s="18">
        <f t="shared" si="11"/>
        <v>85746.299999999988</v>
      </c>
    </row>
    <row r="148" spans="1:11" ht="24" x14ac:dyDescent="0.25">
      <c r="A148" s="14"/>
      <c r="B148" s="3" t="s">
        <v>180</v>
      </c>
      <c r="C148" s="13">
        <f t="shared" si="8"/>
        <v>49000</v>
      </c>
      <c r="D148" s="13">
        <f t="shared" si="9"/>
        <v>34300</v>
      </c>
      <c r="E148" s="13">
        <f t="shared" si="10"/>
        <v>34300</v>
      </c>
      <c r="F148" s="5">
        <v>1</v>
      </c>
      <c r="G148" s="4" t="s">
        <v>6</v>
      </c>
      <c r="H148" s="4" t="s">
        <v>23</v>
      </c>
      <c r="I148" s="4" t="s">
        <v>175</v>
      </c>
      <c r="J148" s="18">
        <v>21166.799999999999</v>
      </c>
      <c r="K148" s="18">
        <f t="shared" si="11"/>
        <v>48683.639999999992</v>
      </c>
    </row>
    <row r="149" spans="1:11" ht="24" x14ac:dyDescent="0.25">
      <c r="A149" s="14"/>
      <c r="B149" s="3" t="s">
        <v>182</v>
      </c>
      <c r="C149" s="13">
        <f t="shared" si="8"/>
        <v>54000</v>
      </c>
      <c r="D149" s="13">
        <f t="shared" si="9"/>
        <v>37800</v>
      </c>
      <c r="E149" s="13">
        <f t="shared" si="10"/>
        <v>113400</v>
      </c>
      <c r="F149" s="5">
        <v>3</v>
      </c>
      <c r="G149" s="4" t="s">
        <v>6</v>
      </c>
      <c r="H149" s="4" t="s">
        <v>23</v>
      </c>
      <c r="I149" s="4" t="s">
        <v>175</v>
      </c>
      <c r="J149" s="18">
        <v>23148</v>
      </c>
      <c r="K149" s="18">
        <f t="shared" si="11"/>
        <v>53240.399999999994</v>
      </c>
    </row>
    <row r="150" spans="1:11" ht="24" x14ac:dyDescent="0.25">
      <c r="A150" s="14"/>
      <c r="B150" s="3" t="s">
        <v>183</v>
      </c>
      <c r="C150" s="13">
        <f t="shared" si="8"/>
        <v>57000</v>
      </c>
      <c r="D150" s="13">
        <f t="shared" si="9"/>
        <v>39900</v>
      </c>
      <c r="E150" s="13">
        <f t="shared" si="10"/>
        <v>79800</v>
      </c>
      <c r="F150" s="5">
        <v>2</v>
      </c>
      <c r="G150" s="4" t="s">
        <v>6</v>
      </c>
      <c r="H150" s="4" t="s">
        <v>23</v>
      </c>
      <c r="I150" s="4" t="s">
        <v>175</v>
      </c>
      <c r="J150" s="18">
        <v>24550.2</v>
      </c>
      <c r="K150" s="18">
        <f t="shared" si="11"/>
        <v>56465.46</v>
      </c>
    </row>
    <row r="151" spans="1:11" ht="24" x14ac:dyDescent="0.25">
      <c r="A151" s="14"/>
      <c r="B151" s="3" t="s">
        <v>184</v>
      </c>
      <c r="C151" s="13">
        <f t="shared" si="8"/>
        <v>57000</v>
      </c>
      <c r="D151" s="13">
        <f t="shared" si="9"/>
        <v>39900</v>
      </c>
      <c r="E151" s="13">
        <f t="shared" si="10"/>
        <v>39900</v>
      </c>
      <c r="F151" s="5">
        <v>1</v>
      </c>
      <c r="G151" s="4" t="s">
        <v>6</v>
      </c>
      <c r="H151" s="4" t="s">
        <v>23</v>
      </c>
      <c r="I151" s="4" t="s">
        <v>175</v>
      </c>
      <c r="J151" s="18">
        <v>24640.2</v>
      </c>
      <c r="K151" s="18">
        <f t="shared" si="11"/>
        <v>56672.46</v>
      </c>
    </row>
    <row r="152" spans="1:11" ht="24" x14ac:dyDescent="0.25">
      <c r="A152" s="14"/>
      <c r="B152" s="3" t="s">
        <v>186</v>
      </c>
      <c r="C152" s="13">
        <f t="shared" si="8"/>
        <v>104000</v>
      </c>
      <c r="D152" s="13">
        <f t="shared" si="9"/>
        <v>72800</v>
      </c>
      <c r="E152" s="13">
        <f t="shared" si="10"/>
        <v>72800</v>
      </c>
      <c r="F152" s="5">
        <v>1</v>
      </c>
      <c r="G152" s="4" t="s">
        <v>6</v>
      </c>
      <c r="H152" s="4" t="s">
        <v>23</v>
      </c>
      <c r="I152" s="4" t="s">
        <v>175</v>
      </c>
      <c r="J152" s="18">
        <v>44936.399999999994</v>
      </c>
      <c r="K152" s="18">
        <f t="shared" si="11"/>
        <v>103353.71999999997</v>
      </c>
    </row>
    <row r="153" spans="1:11" ht="24" x14ac:dyDescent="0.25">
      <c r="A153" s="14"/>
      <c r="B153" s="3" t="s">
        <v>187</v>
      </c>
      <c r="C153" s="13">
        <f t="shared" si="8"/>
        <v>88000</v>
      </c>
      <c r="D153" s="13">
        <f t="shared" si="9"/>
        <v>61599.999999999993</v>
      </c>
      <c r="E153" s="13">
        <f t="shared" si="10"/>
        <v>61599.999999999993</v>
      </c>
      <c r="F153" s="5">
        <v>1</v>
      </c>
      <c r="G153" s="4" t="s">
        <v>6</v>
      </c>
      <c r="H153" s="4" t="s">
        <v>23</v>
      </c>
      <c r="I153" s="4" t="s">
        <v>175</v>
      </c>
      <c r="J153" s="18">
        <v>38070.6</v>
      </c>
      <c r="K153" s="18">
        <f t="shared" si="11"/>
        <v>87562.37999999999</v>
      </c>
    </row>
    <row r="154" spans="1:11" ht="24" x14ac:dyDescent="0.25">
      <c r="A154" s="14"/>
      <c r="B154" s="3" t="s">
        <v>242</v>
      </c>
      <c r="C154" s="13">
        <f t="shared" si="8"/>
        <v>111000</v>
      </c>
      <c r="D154" s="13">
        <f t="shared" si="9"/>
        <v>77700</v>
      </c>
      <c r="E154" s="13">
        <f t="shared" si="10"/>
        <v>388500</v>
      </c>
      <c r="F154" s="5">
        <v>5</v>
      </c>
      <c r="G154" s="4" t="s">
        <v>6</v>
      </c>
      <c r="H154" s="4" t="s">
        <v>23</v>
      </c>
      <c r="I154" s="4" t="s">
        <v>175</v>
      </c>
      <c r="J154" s="13">
        <v>48000</v>
      </c>
      <c r="K154" s="13">
        <f t="shared" si="11"/>
        <v>110399.99999999999</v>
      </c>
    </row>
    <row r="155" spans="1:11" ht="24" x14ac:dyDescent="0.25">
      <c r="A155" s="14"/>
      <c r="B155" s="3" t="s">
        <v>243</v>
      </c>
      <c r="C155" s="13">
        <f t="shared" si="8"/>
        <v>111000</v>
      </c>
      <c r="D155" s="13">
        <f t="shared" si="9"/>
        <v>77700</v>
      </c>
      <c r="E155" s="13">
        <f t="shared" si="10"/>
        <v>77700</v>
      </c>
      <c r="F155" s="5">
        <v>1</v>
      </c>
      <c r="G155" s="4" t="s">
        <v>6</v>
      </c>
      <c r="H155" s="4" t="s">
        <v>23</v>
      </c>
      <c r="I155" s="4" t="s">
        <v>175</v>
      </c>
      <c r="J155" s="13">
        <v>48000</v>
      </c>
      <c r="K155" s="13">
        <f t="shared" si="11"/>
        <v>110399.99999999999</v>
      </c>
    </row>
    <row r="156" spans="1:11" ht="24" x14ac:dyDescent="0.25">
      <c r="A156" s="14"/>
      <c r="B156" s="3" t="s">
        <v>257</v>
      </c>
      <c r="C156" s="13">
        <f t="shared" si="8"/>
        <v>49000</v>
      </c>
      <c r="D156" s="13">
        <f t="shared" si="9"/>
        <v>34300</v>
      </c>
      <c r="E156" s="13">
        <f t="shared" si="10"/>
        <v>68600</v>
      </c>
      <c r="F156" s="5">
        <v>2</v>
      </c>
      <c r="G156" s="4" t="s">
        <v>6</v>
      </c>
      <c r="H156" s="4" t="s">
        <v>23</v>
      </c>
      <c r="I156" s="4" t="s">
        <v>175</v>
      </c>
      <c r="J156" s="13">
        <v>21000</v>
      </c>
      <c r="K156" s="13">
        <f t="shared" si="11"/>
        <v>48299.999999999993</v>
      </c>
    </row>
    <row r="157" spans="1:11" ht="24" x14ac:dyDescent="0.25">
      <c r="A157" s="14"/>
      <c r="B157" s="3" t="s">
        <v>188</v>
      </c>
      <c r="C157" s="13">
        <f t="shared" si="8"/>
        <v>269000</v>
      </c>
      <c r="D157" s="13">
        <f t="shared" si="9"/>
        <v>188300</v>
      </c>
      <c r="E157" s="13">
        <f t="shared" si="10"/>
        <v>188300</v>
      </c>
      <c r="F157" s="5">
        <v>1</v>
      </c>
      <c r="G157" s="4" t="s">
        <v>6</v>
      </c>
      <c r="H157" s="4" t="s">
        <v>23</v>
      </c>
      <c r="I157" s="4" t="s">
        <v>189</v>
      </c>
      <c r="J157" s="18">
        <v>116594.6</v>
      </c>
      <c r="K157" s="18">
        <f t="shared" si="11"/>
        <v>268167.58</v>
      </c>
    </row>
    <row r="158" spans="1:11" ht="24" x14ac:dyDescent="0.25">
      <c r="A158" s="14"/>
      <c r="B158" s="3" t="s">
        <v>244</v>
      </c>
      <c r="C158" s="13">
        <f t="shared" si="8"/>
        <v>111000</v>
      </c>
      <c r="D158" s="13">
        <f t="shared" si="9"/>
        <v>77700</v>
      </c>
      <c r="E158" s="13">
        <f t="shared" si="10"/>
        <v>77700</v>
      </c>
      <c r="F158" s="5">
        <v>1</v>
      </c>
      <c r="G158" s="4" t="s">
        <v>6</v>
      </c>
      <c r="H158" s="4" t="s">
        <v>23</v>
      </c>
      <c r="I158" s="4" t="s">
        <v>189</v>
      </c>
      <c r="J158" s="13">
        <v>48000</v>
      </c>
      <c r="K158" s="13">
        <f t="shared" si="11"/>
        <v>110399.99999999999</v>
      </c>
    </row>
    <row r="159" spans="1:11" ht="24" x14ac:dyDescent="0.25">
      <c r="A159" s="14"/>
      <c r="B159" s="3" t="s">
        <v>193</v>
      </c>
      <c r="C159" s="13">
        <f t="shared" si="8"/>
        <v>125000</v>
      </c>
      <c r="D159" s="13">
        <f t="shared" si="9"/>
        <v>87500</v>
      </c>
      <c r="E159" s="13">
        <f t="shared" si="10"/>
        <v>87500</v>
      </c>
      <c r="F159" s="5">
        <v>1</v>
      </c>
      <c r="G159" s="4" t="s">
        <v>6</v>
      </c>
      <c r="H159" s="4" t="s">
        <v>23</v>
      </c>
      <c r="I159" s="4" t="s">
        <v>190</v>
      </c>
      <c r="J159" s="18">
        <v>54336.6</v>
      </c>
      <c r="K159" s="18">
        <f t="shared" si="11"/>
        <v>124974.18</v>
      </c>
    </row>
    <row r="160" spans="1:11" ht="24" x14ac:dyDescent="0.25">
      <c r="A160" s="14"/>
      <c r="B160" s="3" t="s">
        <v>194</v>
      </c>
      <c r="C160" s="13">
        <f t="shared" si="8"/>
        <v>49000</v>
      </c>
      <c r="D160" s="13">
        <f t="shared" si="9"/>
        <v>34300</v>
      </c>
      <c r="E160" s="13">
        <f t="shared" si="10"/>
        <v>34300</v>
      </c>
      <c r="F160" s="5">
        <v>1</v>
      </c>
      <c r="G160" s="4" t="s">
        <v>6</v>
      </c>
      <c r="H160" s="4" t="s">
        <v>23</v>
      </c>
      <c r="I160" s="4" t="s">
        <v>191</v>
      </c>
      <c r="J160" s="18">
        <v>21166.799999999999</v>
      </c>
      <c r="K160" s="18">
        <f t="shared" si="11"/>
        <v>48683.639999999992</v>
      </c>
    </row>
    <row r="161" spans="1:11" ht="24" x14ac:dyDescent="0.25">
      <c r="A161" s="14"/>
      <c r="B161" s="3" t="s">
        <v>257</v>
      </c>
      <c r="C161" s="13">
        <f t="shared" si="8"/>
        <v>49000</v>
      </c>
      <c r="D161" s="13">
        <f t="shared" si="9"/>
        <v>34300</v>
      </c>
      <c r="E161" s="13">
        <f t="shared" si="10"/>
        <v>68600</v>
      </c>
      <c r="F161" s="5">
        <v>2</v>
      </c>
      <c r="G161" s="4" t="s">
        <v>6</v>
      </c>
      <c r="H161" s="4" t="s">
        <v>23</v>
      </c>
      <c r="I161" s="4" t="s">
        <v>191</v>
      </c>
      <c r="J161" s="13">
        <v>21000</v>
      </c>
      <c r="K161" s="13">
        <f t="shared" si="11"/>
        <v>48299.999999999993</v>
      </c>
    </row>
    <row r="162" spans="1:11" ht="24" x14ac:dyDescent="0.25">
      <c r="A162" s="14"/>
      <c r="B162" s="3" t="s">
        <v>195</v>
      </c>
      <c r="C162" s="13">
        <f t="shared" si="8"/>
        <v>198000</v>
      </c>
      <c r="D162" s="13">
        <f t="shared" si="9"/>
        <v>138600</v>
      </c>
      <c r="E162" s="13">
        <f t="shared" si="10"/>
        <v>138600</v>
      </c>
      <c r="F162" s="5">
        <v>1</v>
      </c>
      <c r="G162" s="4" t="s">
        <v>6</v>
      </c>
      <c r="H162" s="4" t="s">
        <v>23</v>
      </c>
      <c r="I162" s="4" t="s">
        <v>192</v>
      </c>
      <c r="J162" s="18">
        <v>85778.4</v>
      </c>
      <c r="K162" s="18">
        <f t="shared" si="11"/>
        <v>197290.31999999998</v>
      </c>
    </row>
    <row r="163" spans="1:11" ht="24" x14ac:dyDescent="0.25">
      <c r="A163" s="14"/>
      <c r="B163" s="3" t="s">
        <v>196</v>
      </c>
      <c r="C163" s="13">
        <f t="shared" si="8"/>
        <v>198000</v>
      </c>
      <c r="D163" s="13">
        <f t="shared" si="9"/>
        <v>138600</v>
      </c>
      <c r="E163" s="13">
        <f t="shared" si="10"/>
        <v>138600</v>
      </c>
      <c r="F163" s="5">
        <v>1</v>
      </c>
      <c r="G163" s="4" t="s">
        <v>6</v>
      </c>
      <c r="H163" s="4" t="s">
        <v>23</v>
      </c>
      <c r="I163" s="4" t="s">
        <v>192</v>
      </c>
      <c r="J163" s="18">
        <v>85778.4</v>
      </c>
      <c r="K163" s="18">
        <f t="shared" si="11"/>
        <v>197290.31999999998</v>
      </c>
    </row>
  </sheetData>
  <autoFilter ref="A1:J163" xr:uid="{0DFF1086-BC71-49A1-980B-064D39BAC5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2026-05-12T07:45:06Z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