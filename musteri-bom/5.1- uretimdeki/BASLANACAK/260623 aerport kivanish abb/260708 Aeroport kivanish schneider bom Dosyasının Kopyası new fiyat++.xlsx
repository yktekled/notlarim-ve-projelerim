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623 aerport kivanish abb\"/>
    </mc:Choice>
  </mc:AlternateContent>
  <xr:revisionPtr revIDLastSave="0" documentId="13_ncr:1_{EBB58E02-EC60-4DE7-85A7-29B4278EE48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2" r:id="rId1"/>
  </sheets>
  <definedNames>
    <definedName name="_xlnm._FilterDatabase" localSheetId="0" hidden="1">Sayfa1!$A$1:$I$26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A16" i="2" l="1"/>
  <c r="A2" i="2"/>
  <c r="A3" i="2" s="1"/>
  <c r="A17" i="2" l="1"/>
  <c r="A18" i="2" s="1"/>
  <c r="A19" i="2" s="1"/>
  <c r="A20" i="2" s="1"/>
  <c r="A21" i="2" s="1"/>
  <c r="A22" i="2" s="1"/>
  <c r="A23" i="2" s="1"/>
  <c r="A24" i="2" s="1"/>
  <c r="A25" i="2" s="1"/>
  <c r="A26" i="2" s="1"/>
  <c r="A4" i="2"/>
  <c r="A5" i="2" s="1"/>
  <c r="A7" i="2" l="1"/>
  <c r="A8" i="2" s="1"/>
  <c r="A6" i="2"/>
  <c r="A10" i="2" l="1"/>
  <c r="A11" i="2" s="1"/>
  <c r="A12" i="2" s="1"/>
  <c r="A13" i="2" s="1"/>
  <c r="A14" i="2" s="1"/>
  <c r="A15" i="2" s="1"/>
  <c r="A9" i="2"/>
</calcChain>
</file>

<file path=xl/sharedStrings.xml><?xml version="1.0" encoding="utf-8"?>
<sst xmlns="http://schemas.openxmlformats.org/spreadsheetml/2006/main" count="123" uniqueCount="49">
  <si>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</si>
  <si>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</si>
  <si>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</si>
  <si>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</si>
  <si>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</si>
  <si>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</si>
  <si>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</si>
  <si>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</si>
  <si>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</si>
  <si>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</si>
  <si>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</si>
  <si>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oto</t>
  </si>
  <si>
    <t xml:space="preserve"> ШТ. </t>
  </si>
  <si>
    <t>Номенклатура</t>
  </si>
  <si>
    <t>Кол- во</t>
  </si>
  <si>
    <t>teksan f</t>
  </si>
  <si>
    <t>sayac</t>
  </si>
  <si>
    <t>dif</t>
  </si>
  <si>
    <t>pys</t>
  </si>
  <si>
    <t>mccb</t>
  </si>
  <si>
    <t>CE308-S34.746.OG.QYUVLFZ</t>
  </si>
  <si>
    <t xml:space="preserve">DS203NC C10 AC30 </t>
  </si>
  <si>
    <t xml:space="preserve">2CSR256040R1104 </t>
  </si>
  <si>
    <t>DS203NC C16 AC30</t>
  </si>
  <si>
    <t>2CSR256040R1164</t>
  </si>
  <si>
    <t xml:space="preserve">DS203NC C32 AC30 </t>
  </si>
  <si>
    <t>2CSR256040R1324</t>
  </si>
  <si>
    <t>CE308-S34.746.OG.QYUVLFZ GS04 SPDS</t>
  </si>
  <si>
    <t>ABB</t>
  </si>
  <si>
    <t>719-15440</t>
  </si>
  <si>
    <t>Мет.Корпус ЩМП-4 (800x650x250) IP31</t>
  </si>
  <si>
    <t>energomera</t>
  </si>
  <si>
    <t>at</t>
  </si>
  <si>
    <t>ITT20-2-05-0250</t>
  </si>
  <si>
    <t xml:space="preserve">             Трансформатор тока ТТИ-30  250/5А 5ВА 0,5 IEK E-PRO</t>
  </si>
  <si>
    <t>719-15437</t>
  </si>
  <si>
    <t>ЩС (260623 aer. Alm) ALLOFF</t>
  </si>
  <si>
    <t>ЩК (260623 aer. Alm) ALLOFF</t>
  </si>
  <si>
    <t>schneider</t>
  </si>
  <si>
    <t>42251 </t>
  </si>
  <si>
    <t>Дифференциальный автоматический выключатель SE EASY9 1P+N C 16А 30мА AC</t>
  </si>
  <si>
    <t>42254 </t>
  </si>
  <si>
    <t>Дифференциальный автоматический выключатель SE EASY9 1P+N C 25А 30мА AC</t>
  </si>
  <si>
    <t>44099 </t>
  </si>
  <si>
    <t>Выключатель дифференциального тока SE EASY9 4P 25А 30мА</t>
  </si>
  <si>
    <t>Автоматический выключатель SE G25B3A250 GoPacT 3P 250A 25кА</t>
  </si>
  <si>
    <t>Автоматический выключатель SE G12E3A80 GoPacT 3P 80A 15kA</t>
  </si>
  <si>
    <t>Автоматический выключатель SE A9F79110 Acti9 iC60N 1P 10А C 6кА</t>
  </si>
  <si>
    <t>Мет.Корпус Щит (1600x600x450+10см база)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</si>
</sst>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4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166" fontId="8" fillId="7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I27"/>
  <sheetViews>
    <sheetView tabSelected="1" zoomScale="115" zoomScaleNormal="115" workbookViewId="0">
      <pane ySplit="1" topLeftCell="A2" activePane="bottomLeft" state="frozen"/>
      <selection pane="bottomLeft" activeCell="I3" sqref="I3"/>
    </sheetView>
  </sheetViews>
  <sheetFormatPr defaultRowHeight="21" customHeight="1" x14ac:dyDescent="0.25"/>
  <cols>
    <col min="1" max="1" width="36.42578125" customWidth="1"/>
    <col min="3" max="3" width="12.140625" customWidth="1"/>
    <col min="4" max="4" width="73" customWidth="1"/>
    <col min="5" max="5" width="9.28515625" bestFit="1" customWidth="1"/>
    <col min="8" max="8" width="10" bestFit="1" customWidth="1"/>
    <col min="9" max="9" width="23.5703125" bestFit="1" customWidth="1"/>
  </cols>
  <sheetData>
    <row r="1" spans="1:9" ht="39.75" customHeight="1" x14ac:dyDescent="0.25">
      <c r="A1" s="1" t="s">
        <v>2</v>
      </c>
      <c r="B1" s="1" t="s">
        <v>0</v>
      </c>
      <c r="C1" s="1" t="s">
        <v>1</v>
      </c>
      <c r="D1" s="1" t="s">
        <v>13</v>
      </c>
      <c r="E1" s="3" t="s">
        <v>14</v>
      </c>
      <c r="F1" s="3" t="s">
        <v>4</v>
      </c>
      <c r="G1" s="3" t="s">
        <v>5</v>
      </c>
      <c r="H1" s="1" t="s">
        <v>3</v>
      </c>
      <c r="I1" s="2" t="s">
        <v>6</v>
      </c>
    </row>
    <row r="2" spans="1:9" ht="39.75" customHeight="1" x14ac:dyDescent="0.25">
      <c r="A2" s="4" t="str">
        <f>D2</f>
        <v>ЩС (260623 aer. Alm) ALLOFF</v>
      </c>
      <c r="B2" s="5"/>
      <c r="C2" s="15"/>
      <c r="D2" s="5" t="s">
        <v>36</v>
      </c>
      <c r="E2" s="8">
        <v>1</v>
      </c>
      <c r="F2" s="9" t="s">
        <v>7</v>
      </c>
      <c r="G2" s="5" t="s">
        <v>9</v>
      </c>
      <c r="H2" s="6">
        <v>2506493.54</v>
      </c>
      <c r="I2" s="7">
        <v>2506500</v>
      </c>
    </row>
    <row r="3" spans="1:9" ht="21" customHeight="1" x14ac:dyDescent="0.25">
      <c r="A3" s="10" t="str">
        <f>A2</f>
        <v>ЩС (260623 aer. Alm) ALLOFF</v>
      </c>
      <c r="B3" s="11" t="s">
        <v>8</v>
      </c>
      <c r="C3" s="16" t="s">
        <v>35</v>
      </c>
      <c r="D3" s="10" t="s">
        <v>48</v>
      </c>
      <c r="E3" s="13">
        <v>1</v>
      </c>
      <c r="F3" s="14" t="s">
        <v>12</v>
      </c>
      <c r="G3" s="11" t="s">
        <v>15</v>
      </c>
      <c r="H3" s="12"/>
      <c r="I3" s="12"/>
    </row>
    <row r="4" spans="1:9" ht="21" customHeight="1" x14ac:dyDescent="0.25">
      <c r="A4" s="10" t="str">
        <f t="shared" ref="A4:A15" si="0">A3</f>
        <v>ЩС (260623 aer. Alm) ALLOFF</v>
      </c>
      <c r="B4" s="11" t="s">
        <v>19</v>
      </c>
      <c r="C4" s="16">
        <v>69895</v>
      </c>
      <c r="D4" s="10" t="s">
        <v>45</v>
      </c>
      <c r="E4" s="13">
        <v>1</v>
      </c>
      <c r="F4" s="14" t="s">
        <v>12</v>
      </c>
      <c r="G4" s="11" t="s">
        <v>38</v>
      </c>
      <c r="H4" s="12"/>
      <c r="I4" s="12"/>
    </row>
    <row r="5" spans="1:9" ht="21" customHeight="1" x14ac:dyDescent="0.25">
      <c r="A5" s="10" t="str">
        <f t="shared" si="0"/>
        <v>ЩС (260623 aer. Alm) ALLOFF</v>
      </c>
      <c r="B5" s="11" t="s">
        <v>19</v>
      </c>
      <c r="C5" s="16">
        <v>64416</v>
      </c>
      <c r="D5" s="10" t="s">
        <v>46</v>
      </c>
      <c r="E5" s="13">
        <v>1</v>
      </c>
      <c r="F5" s="14" t="s">
        <v>12</v>
      </c>
      <c r="G5" s="11" t="s">
        <v>38</v>
      </c>
      <c r="H5" s="12"/>
      <c r="I5" s="12"/>
    </row>
    <row r="6" spans="1:9" ht="21" customHeight="1" x14ac:dyDescent="0.25">
      <c r="A6" s="10" t="str">
        <f>A4</f>
        <v>ЩС (260623 aer. Alm) ALLOFF</v>
      </c>
      <c r="B6" s="11" t="s">
        <v>32</v>
      </c>
      <c r="C6" s="16" t="s">
        <v>33</v>
      </c>
      <c r="D6" s="10" t="s">
        <v>34</v>
      </c>
      <c r="E6" s="13">
        <v>3</v>
      </c>
      <c r="F6" s="14" t="s">
        <v>12</v>
      </c>
      <c r="G6" s="11" t="s">
        <v>18</v>
      </c>
      <c r="H6" s="12"/>
      <c r="I6" s="12"/>
    </row>
    <row r="7" spans="1:9" ht="21" customHeight="1" x14ac:dyDescent="0.25">
      <c r="A7" s="10" t="str">
        <f>A4</f>
        <v>ЩС (260623 aer. Alm) ALLOFF</v>
      </c>
      <c r="B7" s="11" t="s">
        <v>11</v>
      </c>
      <c r="C7" s="16">
        <v>46014</v>
      </c>
      <c r="D7" s="10" t="s">
        <v>47</v>
      </c>
      <c r="E7" s="13">
        <v>3</v>
      </c>
      <c r="F7" s="14" t="s">
        <v>12</v>
      </c>
      <c r="G7" s="11" t="s">
        <v>38</v>
      </c>
      <c r="H7" s="12"/>
      <c r="I7" s="12"/>
    </row>
    <row r="8" spans="1:9" ht="21" customHeight="1" x14ac:dyDescent="0.25">
      <c r="A8" s="10" t="str">
        <f t="shared" si="0"/>
        <v>ЩС (260623 aer. Alm) ALLOFF</v>
      </c>
      <c r="B8" s="11" t="s">
        <v>17</v>
      </c>
      <c r="C8" s="16" t="s">
        <v>39</v>
      </c>
      <c r="D8" s="10" t="s">
        <v>40</v>
      </c>
      <c r="E8" s="13">
        <v>8</v>
      </c>
      <c r="F8" s="14" t="s">
        <v>12</v>
      </c>
      <c r="G8" s="11" t="s">
        <v>38</v>
      </c>
      <c r="H8" s="12"/>
      <c r="I8" s="12"/>
    </row>
    <row r="9" spans="1:9" ht="21" customHeight="1" x14ac:dyDescent="0.25">
      <c r="A9" s="10" t="str">
        <f t="shared" si="0"/>
        <v>ЩС (260623 aer. Alm) ALLOFF</v>
      </c>
      <c r="B9" s="11" t="s">
        <v>17</v>
      </c>
      <c r="C9" s="16" t="s">
        <v>41</v>
      </c>
      <c r="D9" s="10" t="s">
        <v>42</v>
      </c>
      <c r="E9" s="13">
        <v>7</v>
      </c>
      <c r="F9" s="14" t="s">
        <v>12</v>
      </c>
      <c r="G9" s="11" t="s">
        <v>38</v>
      </c>
      <c r="H9" s="12"/>
      <c r="I9" s="12"/>
    </row>
    <row r="10" spans="1:9" ht="21" customHeight="1" x14ac:dyDescent="0.25">
      <c r="A10" s="10" t="str">
        <f>A8</f>
        <v>ЩС (260623 aer. Alm) ALLOFF</v>
      </c>
      <c r="B10" s="11" t="s">
        <v>17</v>
      </c>
      <c r="C10" s="16" t="s">
        <v>22</v>
      </c>
      <c r="D10" s="10" t="s">
        <v>21</v>
      </c>
      <c r="E10" s="13">
        <v>1</v>
      </c>
      <c r="F10" s="14" t="s">
        <v>12</v>
      </c>
      <c r="G10" s="11" t="s">
        <v>28</v>
      </c>
      <c r="H10" s="12"/>
      <c r="I10" s="12"/>
    </row>
    <row r="11" spans="1:9" ht="21" customHeight="1" x14ac:dyDescent="0.25">
      <c r="A11" s="10" t="str">
        <f t="shared" si="0"/>
        <v>ЩС (260623 aer. Alm) ALLOFF</v>
      </c>
      <c r="B11" s="11" t="s">
        <v>17</v>
      </c>
      <c r="C11" s="16" t="s">
        <v>43</v>
      </c>
      <c r="D11" s="10" t="s">
        <v>44</v>
      </c>
      <c r="E11" s="13">
        <v>2</v>
      </c>
      <c r="F11" s="14" t="s">
        <v>12</v>
      </c>
      <c r="G11" s="11" t="s">
        <v>38</v>
      </c>
      <c r="H11" s="12"/>
      <c r="I11" s="12"/>
    </row>
    <row r="12" spans="1:9" ht="22.5" customHeight="1" x14ac:dyDescent="0.25">
      <c r="A12" s="10" t="str">
        <f t="shared" si="0"/>
        <v>ЩС (260623 aer. Alm) ALLOFF</v>
      </c>
      <c r="B12" s="11" t="s">
        <v>16</v>
      </c>
      <c r="C12" s="16"/>
      <c r="D12" s="10" t="s">
        <v>20</v>
      </c>
      <c r="E12" s="13">
        <v>1</v>
      </c>
      <c r="F12" s="14" t="s">
        <v>12</v>
      </c>
      <c r="G12" s="11" t="s">
        <v>18</v>
      </c>
      <c r="H12" s="12"/>
      <c r="I12" s="12"/>
    </row>
    <row r="13" spans="1:9" ht="21" customHeight="1" x14ac:dyDescent="0.25">
      <c r="A13" s="10" t="str">
        <f t="shared" si="0"/>
        <v>ЩС (260623 aer. Alm) ALLOFF</v>
      </c>
      <c r="B13" s="11" t="s">
        <v>17</v>
      </c>
      <c r="C13" s="16" t="s">
        <v>24</v>
      </c>
      <c r="D13" s="10" t="s">
        <v>23</v>
      </c>
      <c r="E13" s="13">
        <v>4</v>
      </c>
      <c r="F13" s="14" t="s">
        <v>12</v>
      </c>
      <c r="G13" s="11" t="s">
        <v>28</v>
      </c>
      <c r="H13" s="12"/>
      <c r="I13" s="12"/>
    </row>
    <row r="14" spans="1:9" ht="21" customHeight="1" x14ac:dyDescent="0.25">
      <c r="A14" s="10" t="str">
        <f t="shared" si="0"/>
        <v>ЩС (260623 aer. Alm) ALLOFF</v>
      </c>
      <c r="B14" s="11" t="s">
        <v>17</v>
      </c>
      <c r="C14" s="16" t="s">
        <v>26</v>
      </c>
      <c r="D14" s="10" t="s">
        <v>25</v>
      </c>
      <c r="E14" s="13">
        <v>1</v>
      </c>
      <c r="F14" s="14" t="s">
        <v>12</v>
      </c>
      <c r="G14" s="11" t="s">
        <v>28</v>
      </c>
      <c r="H14" s="12"/>
      <c r="I14" s="12"/>
    </row>
    <row r="15" spans="1:9" ht="24" customHeight="1" x14ac:dyDescent="0.25">
      <c r="A15" s="10" t="str">
        <f t="shared" si="0"/>
        <v>ЩС (260623 aer. Alm) ALLOFF</v>
      </c>
      <c r="B15" s="10" t="s">
        <v>10</v>
      </c>
      <c r="C15" s="10" t="s">
        <v>10</v>
      </c>
      <c r="D15" s="10" t="s">
        <v>10</v>
      </c>
      <c r="E15" s="10">
        <v>1</v>
      </c>
      <c r="F15" s="10" t="s">
        <v>12</v>
      </c>
      <c r="G15" s="10" t="s">
        <v>10</v>
      </c>
      <c r="H15" s="12"/>
      <c r="I15" s="12"/>
    </row>
    <row r="16" spans="1:9" ht="39.75" customHeight="1" x14ac:dyDescent="0.25">
      <c r="A16" s="4" t="str">
        <f>D16</f>
        <v>ЩК (260623 aer. Alm) ALLOFF</v>
      </c>
      <c r="B16" s="5"/>
      <c r="C16" s="15"/>
      <c r="D16" s="5" t="s">
        <v>37</v>
      </c>
      <c r="E16" s="8">
        <v>1</v>
      </c>
      <c r="F16" s="9" t="s">
        <v>7</v>
      </c>
      <c r="G16" s="5" t="s">
        <v>9</v>
      </c>
      <c r="H16" s="6">
        <v>1285744.6199999999</v>
      </c>
      <c r="I16" s="7">
        <v>1285450</v>
      </c>
    </row>
    <row r="17" spans="1:9" ht="21" customHeight="1" x14ac:dyDescent="0.25">
      <c r="A17" s="10" t="str">
        <f>A16</f>
        <v>ЩК (260623 aer. Alm) ALLOFF</v>
      </c>
      <c r="B17" s="11" t="s">
        <v>8</v>
      </c>
      <c r="C17" s="16" t="s">
        <v>29</v>
      </c>
      <c r="D17" s="10" t="s">
        <v>30</v>
      </c>
      <c r="E17" s="13">
        <v>1</v>
      </c>
      <c r="F17" s="14" t="s">
        <v>12</v>
      </c>
      <c r="G17" s="11" t="s">
        <v>15</v>
      </c>
      <c r="H17" s="12"/>
      <c r="I17" s="12"/>
    </row>
    <row r="18" spans="1:9" ht="21" customHeight="1" x14ac:dyDescent="0.25">
      <c r="A18" s="10" t="str">
        <f t="shared" ref="A18:A26" si="1">A17</f>
        <v>ЩК (260623 aer. Alm) ALLOFF</v>
      </c>
      <c r="B18" s="11" t="s">
        <v>19</v>
      </c>
      <c r="C18" s="16">
        <v>64416</v>
      </c>
      <c r="D18" s="10" t="s">
        <v>46</v>
      </c>
      <c r="E18" s="13">
        <v>1</v>
      </c>
      <c r="F18" s="14" t="s">
        <v>12</v>
      </c>
      <c r="G18" s="11" t="s">
        <v>38</v>
      </c>
      <c r="H18" s="12"/>
      <c r="I18" s="12"/>
    </row>
    <row r="19" spans="1:9" ht="21" customHeight="1" x14ac:dyDescent="0.25">
      <c r="A19" s="10" t="str">
        <f t="shared" si="1"/>
        <v>ЩК (260623 aer. Alm) ALLOFF</v>
      </c>
      <c r="B19" s="11" t="s">
        <v>11</v>
      </c>
      <c r="C19" s="16">
        <v>46014</v>
      </c>
      <c r="D19" s="10" t="s">
        <v>47</v>
      </c>
      <c r="E19" s="13">
        <v>1</v>
      </c>
      <c r="F19" s="14" t="s">
        <v>12</v>
      </c>
      <c r="G19" s="11" t="s">
        <v>38</v>
      </c>
      <c r="H19" s="12"/>
      <c r="I19" s="12"/>
    </row>
    <row r="20" spans="1:9" ht="21" customHeight="1" x14ac:dyDescent="0.25">
      <c r="A20" s="10" t="str">
        <f t="shared" si="1"/>
        <v>ЩК (260623 aer. Alm) ALLOFF</v>
      </c>
      <c r="B20" s="11" t="s">
        <v>17</v>
      </c>
      <c r="C20" s="16" t="s">
        <v>39</v>
      </c>
      <c r="D20" s="10" t="s">
        <v>40</v>
      </c>
      <c r="E20" s="13">
        <v>4</v>
      </c>
      <c r="F20" s="14" t="s">
        <v>12</v>
      </c>
      <c r="G20" s="11" t="s">
        <v>38</v>
      </c>
      <c r="H20" s="12"/>
      <c r="I20" s="12"/>
    </row>
    <row r="21" spans="1:9" ht="21" customHeight="1" x14ac:dyDescent="0.25">
      <c r="A21" s="10" t="str">
        <f t="shared" si="1"/>
        <v>ЩК (260623 aer. Alm) ALLOFF</v>
      </c>
      <c r="B21" s="11" t="s">
        <v>17</v>
      </c>
      <c r="C21" s="16" t="s">
        <v>41</v>
      </c>
      <c r="D21" s="10" t="s">
        <v>42</v>
      </c>
      <c r="E21" s="13">
        <v>3</v>
      </c>
      <c r="F21" s="14" t="s">
        <v>12</v>
      </c>
      <c r="G21" s="11" t="s">
        <v>38</v>
      </c>
      <c r="H21" s="12"/>
      <c r="I21" s="12"/>
    </row>
    <row r="22" spans="1:9" ht="21" customHeight="1" x14ac:dyDescent="0.25">
      <c r="A22" s="10" t="str">
        <f t="shared" si="1"/>
        <v>ЩК (260623 aer. Alm) ALLOFF</v>
      </c>
      <c r="B22" s="11" t="s">
        <v>17</v>
      </c>
      <c r="C22" s="16" t="s">
        <v>43</v>
      </c>
      <c r="D22" s="10" t="s">
        <v>44</v>
      </c>
      <c r="E22" s="13">
        <v>1</v>
      </c>
      <c r="F22" s="14" t="s">
        <v>12</v>
      </c>
      <c r="G22" s="11" t="s">
        <v>38</v>
      </c>
      <c r="H22" s="12"/>
      <c r="I22" s="12"/>
    </row>
    <row r="23" spans="1:9" ht="22.5" customHeight="1" x14ac:dyDescent="0.25">
      <c r="A23" s="10" t="str">
        <f t="shared" si="1"/>
        <v>ЩК (260623 aer. Alm) ALLOFF</v>
      </c>
      <c r="B23" s="11" t="s">
        <v>16</v>
      </c>
      <c r="C23" s="16"/>
      <c r="D23" s="10" t="s">
        <v>27</v>
      </c>
      <c r="E23" s="13">
        <v>1</v>
      </c>
      <c r="F23" s="14" t="s">
        <v>12</v>
      </c>
      <c r="G23" s="11" t="s">
        <v>31</v>
      </c>
      <c r="H23" s="12"/>
      <c r="I23" s="12"/>
    </row>
    <row r="24" spans="1:9" ht="21" customHeight="1" x14ac:dyDescent="0.25">
      <c r="A24" s="10" t="str">
        <f t="shared" si="1"/>
        <v>ЩК (260623 aer. Alm) ALLOFF</v>
      </c>
      <c r="B24" s="11" t="s">
        <v>17</v>
      </c>
      <c r="C24" s="16" t="s">
        <v>24</v>
      </c>
      <c r="D24" s="10" t="s">
        <v>23</v>
      </c>
      <c r="E24" s="13">
        <v>1</v>
      </c>
      <c r="F24" s="14" t="s">
        <v>12</v>
      </c>
      <c r="G24" s="11" t="s">
        <v>28</v>
      </c>
      <c r="H24" s="12"/>
      <c r="I24" s="12"/>
    </row>
    <row r="25" spans="1:9" ht="21" customHeight="1" x14ac:dyDescent="0.25">
      <c r="A25" s="10" t="str">
        <f t="shared" si="1"/>
        <v>ЩК (260623 aer. Alm) ALLOFF</v>
      </c>
      <c r="B25" s="11" t="s">
        <v>17</v>
      </c>
      <c r="C25" s="16" t="s">
        <v>26</v>
      </c>
      <c r="D25" s="10" t="s">
        <v>25</v>
      </c>
      <c r="E25" s="13">
        <v>2</v>
      </c>
      <c r="F25" s="14" t="s">
        <v>12</v>
      </c>
      <c r="G25" s="11" t="s">
        <v>28</v>
      </c>
      <c r="H25" s="12"/>
      <c r="I25" s="12"/>
    </row>
    <row r="26" spans="1:9" ht="24" customHeight="1" x14ac:dyDescent="0.25">
      <c r="A26" s="10" t="str">
        <f t="shared" si="1"/>
        <v>ЩК (260623 aer. Alm) ALLOFF</v>
      </c>
      <c r="B26" s="10" t="s">
        <v>10</v>
      </c>
      <c r="C26" s="10" t="s">
        <v>10</v>
      </c>
      <c r="D26" s="10" t="s">
        <v>10</v>
      </c>
      <c r="E26" s="10">
        <v>1</v>
      </c>
      <c r="F26" s="10" t="s">
        <v>12</v>
      </c>
      <c r="G26" s="10" t="s">
        <v>10</v>
      </c>
      <c r="H26" s="12"/>
      <c r="I26" s="12"/>
    </row>
    <row r="27" spans="1:9" ht="21" customHeight="1" x14ac:dyDescent="0.3">
      <c r="I27" s="17">
        <f>SUM(I2:I26)</f>
        <v>3791950</v>
      </c>
    </row>
  </sheetData>
  <autoFilter ref="A1:I26" xr:uid="{0E2C231C-0991-4FBE-BD8E-9CD4D9BF5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2026-07-13T07:20:27Z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