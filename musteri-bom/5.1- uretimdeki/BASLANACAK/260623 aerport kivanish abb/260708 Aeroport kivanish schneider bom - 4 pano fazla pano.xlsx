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23 aerport kivanish abb\"/>
    </mc:Choice>
  </mc:AlternateContent>
  <xr:revisionPtr revIDLastSave="0" documentId="13_ncr:1_{99D133C8-ADAF-4419-9DA2-B28DD1B190B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Sayfa1!$A$1:$J$52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2" l="1"/>
  <c r="J51" i="2" s="1"/>
  <c r="H50" i="2" s="1"/>
  <c r="I50" i="2" s="1"/>
  <c r="J50" i="2" s="1"/>
  <c r="I49" i="2"/>
  <c r="J49" i="2" s="1"/>
  <c r="J48" i="2"/>
  <c r="J47" i="2"/>
  <c r="J46" i="2"/>
  <c r="J45" i="2"/>
  <c r="J44" i="2"/>
  <c r="I43" i="2"/>
  <c r="J43" i="2" s="1"/>
  <c r="A42" i="2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E40" i="2"/>
  <c r="J40" i="2" s="1"/>
  <c r="H39" i="2" s="1"/>
  <c r="I39" i="2" s="1"/>
  <c r="J39" i="2" s="1"/>
  <c r="I38" i="2"/>
  <c r="J38" i="2" s="1"/>
  <c r="J37" i="2"/>
  <c r="J36" i="2"/>
  <c r="J35" i="2"/>
  <c r="J34" i="2"/>
  <c r="J33" i="2"/>
  <c r="I32" i="2"/>
  <c r="J32" i="2" s="1"/>
  <c r="A31" i="2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J5" i="2"/>
  <c r="I27" i="2"/>
  <c r="I26" i="2"/>
  <c r="I14" i="2"/>
  <c r="I13" i="2"/>
  <c r="J13" i="2" s="1"/>
  <c r="J11" i="2"/>
  <c r="I10" i="2"/>
  <c r="J10" i="2" s="1"/>
  <c r="J8" i="2"/>
  <c r="J7" i="2"/>
  <c r="J4" i="2"/>
  <c r="I6" i="2"/>
  <c r="J6" i="2" s="1"/>
  <c r="I12" i="2"/>
  <c r="J12" i="2" s="1"/>
  <c r="I25" i="2"/>
  <c r="I19" i="2"/>
  <c r="A18" i="2"/>
  <c r="I3" i="2"/>
  <c r="A2" i="2"/>
  <c r="A3" i="2" s="1"/>
  <c r="J52" i="2" l="1"/>
  <c r="H42" i="2" s="1"/>
  <c r="J41" i="2"/>
  <c r="H31" i="2" s="1"/>
  <c r="J27" i="2"/>
  <c r="J26" i="2"/>
  <c r="J25" i="2"/>
  <c r="J24" i="2"/>
  <c r="J23" i="2"/>
  <c r="J22" i="2"/>
  <c r="J21" i="2"/>
  <c r="J20" i="2"/>
  <c r="J19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J9" i="2"/>
  <c r="J3" i="2"/>
  <c r="A4" i="2"/>
  <c r="A5" i="2" s="1"/>
  <c r="J14" i="2"/>
  <c r="A7" i="2" l="1"/>
  <c r="A8" i="2" s="1"/>
  <c r="A6" i="2"/>
  <c r="A10" i="2" l="1"/>
  <c r="A11" i="2" s="1"/>
  <c r="A12" i="2" s="1"/>
  <c r="A13" i="2" s="1"/>
  <c r="A14" i="2" s="1"/>
  <c r="A15" i="2" s="1"/>
  <c r="A16" i="2" s="1"/>
  <c r="A17" i="2" s="1"/>
  <c r="A9" i="2"/>
  <c r="E16" i="2" l="1"/>
  <c r="J16" i="2" s="1"/>
  <c r="H15" i="2" l="1"/>
  <c r="I15" i="2" s="1"/>
  <c r="J15" i="2" s="1"/>
  <c r="J17" i="2" s="1"/>
  <c r="H2" i="2" s="1"/>
  <c r="E29" i="2"/>
  <c r="J29" i="2" s="1"/>
  <c r="H28" i="2" s="1"/>
  <c r="I28" i="2" s="1"/>
  <c r="J28" i="2" s="1"/>
  <c r="J30" i="2" s="1"/>
  <c r="H18" i="2" s="1"/>
</calcChain>
</file>

<file path=xl/sharedStrings.xml><?xml version="1.0" encoding="utf-8"?>
<sst xmlns="http://schemas.openxmlformats.org/spreadsheetml/2006/main" count="224" uniqueCount="60">
  <si>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</si>
  <si>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</si>
  <si>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</si>
  <si>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</si>
  <si>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</si>
  <si>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</si>
  <si>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</si>
  <si>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</si>
  <si>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</si>
  <si>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</si>
  <si>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</si>
  <si>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</si>
  <si>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</si>
  <si>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</si>
  <si>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</si>
  <si>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</si>
  <si>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</si>
  <si>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sayac</t>
  </si>
  <si>
    <t>dif</t>
  </si>
  <si>
    <t>pys</t>
  </si>
  <si>
    <t>mccb</t>
  </si>
  <si>
    <t>CE308-S34.746.OG.QYUVLFZ</t>
  </si>
  <si>
    <t xml:space="preserve">DS203NC C10 AC30 </t>
  </si>
  <si>
    <t xml:space="preserve">2CSR256040R1104 </t>
  </si>
  <si>
    <t>DS203NC C16 AC30</t>
  </si>
  <si>
    <t>2CSR256040R1164</t>
  </si>
  <si>
    <t xml:space="preserve">DS203NC C32 AC30 </t>
  </si>
  <si>
    <t>2CSR256040R1324</t>
  </si>
  <si>
    <t>CE308-S34.746.OG.QYUVLFZ GS04 SPDS</t>
  </si>
  <si>
    <t>ABB</t>
  </si>
  <si>
    <t>719-15440</t>
  </si>
  <si>
    <t>Мет.Корпус ЩМП-4 (800x650x250) IP31</t>
  </si>
  <si>
    <t>energomera</t>
  </si>
  <si>
    <t>at</t>
  </si>
  <si>
    <t>ITT20-2-05-0250</t>
  </si>
  <si>
    <t xml:space="preserve">             Трансформатор тока ТТИ-30  250/5А 5ВА 0,5 IEK E-PRO</t>
  </si>
  <si>
    <t>719-15437</t>
  </si>
  <si>
    <t>Мет.Корпус Щит (1600x600x400+10см база)</t>
  </si>
  <si>
    <t>new</t>
  </si>
  <si>
    <t>ЩС (TERRA)</t>
  </si>
  <si>
    <t>ЩС (COFFEEBOOM)</t>
  </si>
  <si>
    <t>ЩС (260623 aer. Alm) ALLOFF</t>
  </si>
  <si>
    <t>ЩК (260623 aer. Alm) ALLOFF</t>
  </si>
  <si>
    <t>Дифференциальный автоматический выключатель SE EASY9 1P+N C 10А 30мА AC</t>
  </si>
  <si>
    <t>schneider</t>
  </si>
  <si>
    <t>42251 </t>
  </si>
  <si>
    <t>Дифференциальный автоматический выключатель SE EASY9 1P+N C 16А 30мА AC</t>
  </si>
  <si>
    <t>42254 </t>
  </si>
  <si>
    <t>Дифференциальный автоматический выключатель SE EASY9 1P+N C 25А 30мА AC</t>
  </si>
  <si>
    <t>42255 </t>
  </si>
  <si>
    <t>Дифференциальный автоматический выключатель SE EASY9 1P+N C 32А 30мА AC</t>
  </si>
  <si>
    <t>44099 </t>
  </si>
  <si>
    <t>Выключатель дифференциального тока SE EASY9 4P 25А 30мА</t>
  </si>
  <si>
    <t>Автоматический выключатель SE G25B3A250 GoPacT 3P 250A 25кА</t>
  </si>
  <si>
    <t>Автоматический выключатель SE G12E3A80 GoPacT 3P 80A 15kA</t>
  </si>
  <si>
    <t>Автоматический выключатель SE A9F79110 Acti9 iC60N 1P 10А C 6кА</t>
  </si>
  <si>
    <t>Автоматический выключатель SE A9F79340 Acti9 iC60N 3П 40А C 6кА</t>
  </si>
  <si>
    <t>Автоматический выключатель SE A9F79363 Acti9 iC60N 3P 63А C 6кА</t>
  </si>
  <si>
    <t>Мет.Корпус Щит (1600x600x450+10см база)</t>
  </si>
  <si>
    <t>719-154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</si>
</sst>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K52"/>
  <sheetViews>
    <sheetView tabSelected="1" zoomScale="115" zoomScaleNormal="115" workbookViewId="0">
      <pane ySplit="1" topLeftCell="A2" activePane="bottomLeft" state="frozen"/>
      <selection pane="bottomLeft" activeCell="C4" sqref="C4"/>
    </sheetView>
  </sheetViews>
  <sheetFormatPr defaultRowHeight="21" customHeight="1" x14ac:dyDescent="0.25"/>
  <cols>
    <col min="1" max="1" width="36.42578125" customWidth="1"/>
    <col min="3" max="3" width="12.140625" customWidth="1"/>
    <col min="4" max="4" width="73" customWidth="1"/>
    <col min="5" max="5" width="9.28515625" bestFit="1" customWidth="1"/>
    <col min="8" max="9" width="10" bestFit="1" customWidth="1"/>
    <col min="10" max="10" width="15.7109375" bestFit="1" customWidth="1"/>
  </cols>
  <sheetData>
    <row r="1" spans="1:11" ht="39.75" customHeight="1" x14ac:dyDescent="0.25">
      <c r="A1" s="1" t="s">
        <v>2</v>
      </c>
      <c r="B1" s="1" t="s">
        <v>0</v>
      </c>
      <c r="C1" s="1" t="s">
        <v>1</v>
      </c>
      <c r="D1" s="1" t="s">
        <v>14</v>
      </c>
      <c r="E1" s="3" t="s">
        <v>15</v>
      </c>
      <c r="F1" s="3" t="s">
        <v>4</v>
      </c>
      <c r="G1" s="3" t="s">
        <v>5</v>
      </c>
      <c r="H1" s="1" t="s">
        <v>3</v>
      </c>
      <c r="I1" s="1" t="s">
        <v>3</v>
      </c>
      <c r="J1" s="2" t="s">
        <v>6</v>
      </c>
    </row>
    <row r="2" spans="1:11" ht="39.75" customHeight="1" x14ac:dyDescent="0.25">
      <c r="A2" s="4" t="str">
        <f>D2</f>
        <v>ЩС (260623 aer. Alm) ALLOFF</v>
      </c>
      <c r="B2" s="5"/>
      <c r="C2" s="23"/>
      <c r="D2" s="5" t="s">
        <v>41</v>
      </c>
      <c r="E2" s="8">
        <v>1</v>
      </c>
      <c r="F2" s="9" t="s">
        <v>7</v>
      </c>
      <c r="G2" s="5" t="s">
        <v>9</v>
      </c>
      <c r="H2" s="6">
        <f>2.3*J17</f>
        <v>2520293.54</v>
      </c>
      <c r="I2" s="6"/>
      <c r="J2" s="7"/>
    </row>
    <row r="3" spans="1:11" ht="21" customHeight="1" x14ac:dyDescent="0.25">
      <c r="A3" s="10" t="str">
        <f>A2</f>
        <v>ЩС (260623 aer. Alm) ALLOFF</v>
      </c>
      <c r="B3" s="11" t="s">
        <v>8</v>
      </c>
      <c r="C3" s="24" t="s">
        <v>59</v>
      </c>
      <c r="D3" s="10" t="s">
        <v>58</v>
      </c>
      <c r="E3" s="13">
        <v>1</v>
      </c>
      <c r="F3" s="14" t="s">
        <v>13</v>
      </c>
      <c r="G3" s="11" t="s">
        <v>16</v>
      </c>
      <c r="H3" s="11">
        <v>155000</v>
      </c>
      <c r="I3" s="12">
        <f>H3*0.6</f>
        <v>93000</v>
      </c>
      <c r="J3" s="12">
        <f>E3*I3</f>
        <v>93000</v>
      </c>
    </row>
    <row r="4" spans="1:11" ht="21" customHeight="1" x14ac:dyDescent="0.25">
      <c r="A4" s="10" t="str">
        <f t="shared" ref="A4:A17" si="0">A3</f>
        <v>ЩС (260623 aer. Alm) ALLOFF</v>
      </c>
      <c r="B4" s="11" t="s">
        <v>20</v>
      </c>
      <c r="C4" s="24">
        <v>69895</v>
      </c>
      <c r="D4" s="10" t="s">
        <v>53</v>
      </c>
      <c r="E4" s="13">
        <v>1</v>
      </c>
      <c r="F4" s="14" t="s">
        <v>13</v>
      </c>
      <c r="G4" s="11" t="s">
        <v>44</v>
      </c>
      <c r="H4" s="11">
        <v>74191</v>
      </c>
      <c r="I4" s="12">
        <v>57869</v>
      </c>
      <c r="J4" s="12">
        <f t="shared" ref="J4:J16" si="1">I4*E4</f>
        <v>57869</v>
      </c>
    </row>
    <row r="5" spans="1:11" ht="21" customHeight="1" x14ac:dyDescent="0.25">
      <c r="A5" s="10" t="str">
        <f t="shared" si="0"/>
        <v>ЩС (260623 aer. Alm) ALLOFF</v>
      </c>
      <c r="B5" s="11" t="s">
        <v>20</v>
      </c>
      <c r="C5" s="24">
        <v>64416</v>
      </c>
      <c r="D5" s="10" t="s">
        <v>54</v>
      </c>
      <c r="E5" s="13">
        <v>1</v>
      </c>
      <c r="F5" s="14" t="s">
        <v>13</v>
      </c>
      <c r="G5" s="11" t="s">
        <v>44</v>
      </c>
      <c r="H5" s="11">
        <v>34938</v>
      </c>
      <c r="I5" s="12">
        <v>27252</v>
      </c>
      <c r="J5" s="12">
        <f t="shared" ref="J5" si="2">I5*E5</f>
        <v>27252</v>
      </c>
      <c r="K5" t="s">
        <v>38</v>
      </c>
    </row>
    <row r="6" spans="1:11" ht="21" customHeight="1" x14ac:dyDescent="0.25">
      <c r="A6" s="10" t="str">
        <f>A4</f>
        <v>ЩС (260623 aer. Alm) ALLOFF</v>
      </c>
      <c r="B6" s="11" t="s">
        <v>33</v>
      </c>
      <c r="C6" s="24" t="s">
        <v>34</v>
      </c>
      <c r="D6" s="10" t="s">
        <v>35</v>
      </c>
      <c r="E6" s="13">
        <v>3</v>
      </c>
      <c r="F6" s="14" t="s">
        <v>13</v>
      </c>
      <c r="G6" s="11" t="s">
        <v>19</v>
      </c>
      <c r="H6" s="11">
        <v>6500</v>
      </c>
      <c r="I6" s="12">
        <f>H6</f>
        <v>6500</v>
      </c>
      <c r="J6" s="12">
        <f t="shared" si="1"/>
        <v>19500</v>
      </c>
    </row>
    <row r="7" spans="1:11" ht="21" customHeight="1" x14ac:dyDescent="0.25">
      <c r="A7" s="10" t="str">
        <f>A4</f>
        <v>ЩС (260623 aer. Alm) ALLOFF</v>
      </c>
      <c r="B7" s="11" t="s">
        <v>12</v>
      </c>
      <c r="C7" s="24">
        <v>46014</v>
      </c>
      <c r="D7" s="10" t="s">
        <v>55</v>
      </c>
      <c r="E7" s="13">
        <v>3</v>
      </c>
      <c r="F7" s="14" t="s">
        <v>13</v>
      </c>
      <c r="G7" s="11" t="s">
        <v>44</v>
      </c>
      <c r="H7" s="11">
        <v>6337</v>
      </c>
      <c r="I7" s="12">
        <v>4113</v>
      </c>
      <c r="J7" s="12">
        <f t="shared" si="1"/>
        <v>12339</v>
      </c>
    </row>
    <row r="8" spans="1:11" ht="21" customHeight="1" x14ac:dyDescent="0.25">
      <c r="A8" s="10" t="str">
        <f t="shared" si="0"/>
        <v>ЩС (260623 aer. Alm) ALLOFF</v>
      </c>
      <c r="B8" s="11" t="s">
        <v>18</v>
      </c>
      <c r="C8" s="24" t="s">
        <v>45</v>
      </c>
      <c r="D8" s="10" t="s">
        <v>46</v>
      </c>
      <c r="E8" s="13">
        <v>8</v>
      </c>
      <c r="F8" s="14" t="s">
        <v>13</v>
      </c>
      <c r="G8" s="11" t="s">
        <v>44</v>
      </c>
      <c r="H8" s="11">
        <v>18235</v>
      </c>
      <c r="I8" s="12">
        <v>12910</v>
      </c>
      <c r="J8" s="12">
        <f t="shared" si="1"/>
        <v>103280</v>
      </c>
    </row>
    <row r="9" spans="1:11" ht="21" customHeight="1" x14ac:dyDescent="0.25">
      <c r="A9" s="10" t="str">
        <f t="shared" si="0"/>
        <v>ЩС (260623 aer. Alm) ALLOFF</v>
      </c>
      <c r="B9" s="11" t="s">
        <v>18</v>
      </c>
      <c r="C9" s="24" t="s">
        <v>47</v>
      </c>
      <c r="D9" s="10" t="s">
        <v>48</v>
      </c>
      <c r="E9" s="13">
        <v>7</v>
      </c>
      <c r="F9" s="14" t="s">
        <v>13</v>
      </c>
      <c r="G9" s="11" t="s">
        <v>44</v>
      </c>
      <c r="H9" s="11">
        <v>19082</v>
      </c>
      <c r="I9" s="12">
        <v>13511</v>
      </c>
      <c r="J9" s="12">
        <f t="shared" si="1"/>
        <v>94577</v>
      </c>
    </row>
    <row r="10" spans="1:11" ht="21" customHeight="1" x14ac:dyDescent="0.25">
      <c r="A10" s="10" t="str">
        <f>A8</f>
        <v>ЩС (260623 aer. Alm) ALLOFF</v>
      </c>
      <c r="B10" s="11" t="s">
        <v>18</v>
      </c>
      <c r="C10" s="24" t="s">
        <v>23</v>
      </c>
      <c r="D10" s="10" t="s">
        <v>22</v>
      </c>
      <c r="E10" s="13">
        <v>1</v>
      </c>
      <c r="F10" s="14" t="s">
        <v>13</v>
      </c>
      <c r="G10" s="11" t="s">
        <v>29</v>
      </c>
      <c r="H10" s="11">
        <v>292</v>
      </c>
      <c r="I10" s="12">
        <f t="shared" ref="I10" si="3">H10*0.3*1.33*600</f>
        <v>69904.800000000003</v>
      </c>
      <c r="J10" s="12">
        <f t="shared" si="1"/>
        <v>69904.800000000003</v>
      </c>
    </row>
    <row r="11" spans="1:11" ht="21" customHeight="1" x14ac:dyDescent="0.25">
      <c r="A11" s="10" t="str">
        <f t="shared" si="0"/>
        <v>ЩС (260623 aer. Alm) ALLOFF</v>
      </c>
      <c r="B11" s="11" t="s">
        <v>18</v>
      </c>
      <c r="C11" s="24" t="s">
        <v>51</v>
      </c>
      <c r="D11" s="10" t="s">
        <v>52</v>
      </c>
      <c r="E11" s="13">
        <v>2</v>
      </c>
      <c r="F11" s="14" t="s">
        <v>13</v>
      </c>
      <c r="G11" s="11" t="s">
        <v>44</v>
      </c>
      <c r="H11" s="11">
        <v>37100</v>
      </c>
      <c r="I11" s="12">
        <v>26267</v>
      </c>
      <c r="J11" s="12">
        <f t="shared" si="1"/>
        <v>52534</v>
      </c>
    </row>
    <row r="12" spans="1:11" ht="22.5" customHeight="1" x14ac:dyDescent="0.25">
      <c r="A12" s="10" t="str">
        <f t="shared" si="0"/>
        <v>ЩС (260623 aer. Alm) ALLOFF</v>
      </c>
      <c r="B12" s="11" t="s">
        <v>17</v>
      </c>
      <c r="C12" s="24"/>
      <c r="D12" s="10" t="s">
        <v>21</v>
      </c>
      <c r="E12" s="13">
        <v>1</v>
      </c>
      <c r="F12" s="14" t="s">
        <v>13</v>
      </c>
      <c r="G12" s="11" t="s">
        <v>19</v>
      </c>
      <c r="H12" s="11">
        <v>120000</v>
      </c>
      <c r="I12" s="12">
        <f>H12</f>
        <v>120000</v>
      </c>
      <c r="J12" s="12">
        <f t="shared" si="1"/>
        <v>120000</v>
      </c>
    </row>
    <row r="13" spans="1:11" ht="21" customHeight="1" x14ac:dyDescent="0.25">
      <c r="A13" s="10" t="str">
        <f t="shared" si="0"/>
        <v>ЩС (260623 aer. Alm) ALLOFF</v>
      </c>
      <c r="B13" s="11" t="s">
        <v>18</v>
      </c>
      <c r="C13" s="24" t="s">
        <v>25</v>
      </c>
      <c r="D13" s="10" t="s">
        <v>24</v>
      </c>
      <c r="E13" s="13">
        <v>4</v>
      </c>
      <c r="F13" s="14" t="s">
        <v>13</v>
      </c>
      <c r="G13" s="11" t="s">
        <v>29</v>
      </c>
      <c r="H13" s="11">
        <v>292</v>
      </c>
      <c r="I13" s="12">
        <f t="shared" ref="I13:I14" si="4">H13*0.3*1.33*600</f>
        <v>69904.800000000003</v>
      </c>
      <c r="J13" s="12">
        <f t="shared" si="1"/>
        <v>279619.20000000001</v>
      </c>
    </row>
    <row r="14" spans="1:11" ht="21" customHeight="1" x14ac:dyDescent="0.25">
      <c r="A14" s="10" t="str">
        <f t="shared" si="0"/>
        <v>ЩС (260623 aer. Alm) ALLOFF</v>
      </c>
      <c r="B14" s="11" t="s">
        <v>18</v>
      </c>
      <c r="C14" s="24" t="s">
        <v>27</v>
      </c>
      <c r="D14" s="10" t="s">
        <v>26</v>
      </c>
      <c r="E14" s="13">
        <v>1</v>
      </c>
      <c r="F14" s="14" t="s">
        <v>13</v>
      </c>
      <c r="G14" s="11" t="s">
        <v>29</v>
      </c>
      <c r="H14" s="11">
        <v>292</v>
      </c>
      <c r="I14" s="12">
        <f t="shared" si="4"/>
        <v>69904.800000000003</v>
      </c>
      <c r="J14" s="12">
        <f t="shared" si="1"/>
        <v>69904.800000000003</v>
      </c>
    </row>
    <row r="15" spans="1:11" ht="24" customHeight="1" x14ac:dyDescent="0.25">
      <c r="A15" s="10" t="str">
        <f t="shared" si="0"/>
        <v>ЩС (260623 aer. Alm) ALLOFF</v>
      </c>
      <c r="B15" s="10" t="s">
        <v>10</v>
      </c>
      <c r="C15" s="10" t="s">
        <v>10</v>
      </c>
      <c r="D15" s="10" t="s">
        <v>10</v>
      </c>
      <c r="E15" s="10">
        <v>1</v>
      </c>
      <c r="F15" s="10" t="s">
        <v>13</v>
      </c>
      <c r="G15" s="10" t="s">
        <v>10</v>
      </c>
      <c r="H15" s="22">
        <f>J16</f>
        <v>48000</v>
      </c>
      <c r="I15" s="12">
        <f>H15</f>
        <v>48000</v>
      </c>
      <c r="J15" s="12">
        <f t="shared" si="1"/>
        <v>48000</v>
      </c>
    </row>
    <row r="16" spans="1:11" ht="21" customHeight="1" x14ac:dyDescent="0.25">
      <c r="A16" s="10" t="str">
        <f t="shared" si="0"/>
        <v>ЩС (260623 aer. Alm) ALLOFF</v>
      </c>
      <c r="B16" s="10" t="s">
        <v>11</v>
      </c>
      <c r="C16" s="10" t="s">
        <v>11</v>
      </c>
      <c r="D16" s="10" t="s">
        <v>11</v>
      </c>
      <c r="E16" s="10">
        <f>60*H16</f>
        <v>480</v>
      </c>
      <c r="F16" s="10" t="s">
        <v>13</v>
      </c>
      <c r="G16" s="10" t="s">
        <v>11</v>
      </c>
      <c r="H16" s="10">
        <v>8</v>
      </c>
      <c r="I16" s="12">
        <v>100</v>
      </c>
      <c r="J16" s="12">
        <f t="shared" si="1"/>
        <v>48000</v>
      </c>
    </row>
    <row r="17" spans="1:10" ht="30" customHeight="1" x14ac:dyDescent="0.25">
      <c r="A17" s="10" t="str">
        <f t="shared" si="0"/>
        <v>ЩС (260623 aer. Alm) ALLOFF</v>
      </c>
      <c r="B17" s="15"/>
      <c r="C17" s="16"/>
      <c r="D17" s="17"/>
      <c r="E17" s="16"/>
      <c r="F17" s="18"/>
      <c r="G17" s="16"/>
      <c r="H17" s="19"/>
      <c r="I17" s="21"/>
      <c r="J17" s="20">
        <f>SUM(J3:J16)</f>
        <v>1095779.8</v>
      </c>
    </row>
    <row r="18" spans="1:10" ht="39.75" customHeight="1" x14ac:dyDescent="0.25">
      <c r="A18" s="4" t="str">
        <f>D18</f>
        <v>ЩК (260623 aer. Alm) ALLOFF</v>
      </c>
      <c r="B18" s="5"/>
      <c r="C18" s="23"/>
      <c r="D18" s="5" t="s">
        <v>42</v>
      </c>
      <c r="E18" s="8">
        <v>1</v>
      </c>
      <c r="F18" s="9" t="s">
        <v>7</v>
      </c>
      <c r="G18" s="5" t="s">
        <v>9</v>
      </c>
      <c r="H18" s="6">
        <f>2.3*J30</f>
        <v>1285744.6199999999</v>
      </c>
      <c r="I18" s="6"/>
      <c r="J18" s="7"/>
    </row>
    <row r="19" spans="1:10" ht="21" customHeight="1" x14ac:dyDescent="0.25">
      <c r="A19" s="10" t="str">
        <f>A18</f>
        <v>ЩК (260623 aer. Alm) ALLOFF</v>
      </c>
      <c r="B19" s="11" t="s">
        <v>8</v>
      </c>
      <c r="C19" s="24" t="s">
        <v>30</v>
      </c>
      <c r="D19" s="10" t="s">
        <v>31</v>
      </c>
      <c r="E19" s="13">
        <v>1</v>
      </c>
      <c r="F19" s="14" t="s">
        <v>13</v>
      </c>
      <c r="G19" s="11" t="s">
        <v>16</v>
      </c>
      <c r="H19" s="11">
        <v>32500</v>
      </c>
      <c r="I19" s="12">
        <f>H19*0.6</f>
        <v>19500</v>
      </c>
      <c r="J19" s="12">
        <f>E19*I19</f>
        <v>19500</v>
      </c>
    </row>
    <row r="20" spans="1:10" ht="21" customHeight="1" x14ac:dyDescent="0.25">
      <c r="A20" s="10" t="str">
        <f t="shared" ref="A20:A30" si="5">A19</f>
        <v>ЩК (260623 aer. Alm) ALLOFF</v>
      </c>
      <c r="B20" s="11" t="s">
        <v>20</v>
      </c>
      <c r="C20" s="24">
        <v>64416</v>
      </c>
      <c r="D20" s="10" t="s">
        <v>54</v>
      </c>
      <c r="E20" s="13">
        <v>1</v>
      </c>
      <c r="F20" s="14" t="s">
        <v>13</v>
      </c>
      <c r="G20" s="11" t="s">
        <v>44</v>
      </c>
      <c r="H20" s="11">
        <v>34938</v>
      </c>
      <c r="I20" s="12">
        <v>27252</v>
      </c>
      <c r="J20" s="12">
        <f t="shared" ref="J20:J29" si="6">I20*E20</f>
        <v>27252</v>
      </c>
    </row>
    <row r="21" spans="1:10" ht="21" customHeight="1" x14ac:dyDescent="0.25">
      <c r="A21" s="10" t="str">
        <f t="shared" si="5"/>
        <v>ЩК (260623 aer. Alm) ALLOFF</v>
      </c>
      <c r="B21" s="11" t="s">
        <v>12</v>
      </c>
      <c r="C21" s="24">
        <v>46014</v>
      </c>
      <c r="D21" s="10" t="s">
        <v>55</v>
      </c>
      <c r="E21" s="13">
        <v>1</v>
      </c>
      <c r="F21" s="14" t="s">
        <v>13</v>
      </c>
      <c r="G21" s="11" t="s">
        <v>44</v>
      </c>
      <c r="H21" s="11">
        <v>6337</v>
      </c>
      <c r="I21" s="12">
        <v>4113</v>
      </c>
      <c r="J21" s="12">
        <f t="shared" si="6"/>
        <v>4113</v>
      </c>
    </row>
    <row r="22" spans="1:10" ht="21" customHeight="1" x14ac:dyDescent="0.25">
      <c r="A22" s="10" t="str">
        <f t="shared" si="5"/>
        <v>ЩК (260623 aer. Alm) ALLOFF</v>
      </c>
      <c r="B22" s="11" t="s">
        <v>18</v>
      </c>
      <c r="C22" s="24" t="s">
        <v>45</v>
      </c>
      <c r="D22" s="10" t="s">
        <v>46</v>
      </c>
      <c r="E22" s="13">
        <v>4</v>
      </c>
      <c r="F22" s="14" t="s">
        <v>13</v>
      </c>
      <c r="G22" s="11" t="s">
        <v>44</v>
      </c>
      <c r="H22" s="11">
        <v>18235</v>
      </c>
      <c r="I22" s="12">
        <v>12910</v>
      </c>
      <c r="J22" s="12">
        <f t="shared" si="6"/>
        <v>51640</v>
      </c>
    </row>
    <row r="23" spans="1:10" ht="21" customHeight="1" x14ac:dyDescent="0.25">
      <c r="A23" s="10" t="str">
        <f t="shared" si="5"/>
        <v>ЩК (260623 aer. Alm) ALLOFF</v>
      </c>
      <c r="B23" s="11" t="s">
        <v>18</v>
      </c>
      <c r="C23" s="24" t="s">
        <v>47</v>
      </c>
      <c r="D23" s="10" t="s">
        <v>48</v>
      </c>
      <c r="E23" s="13">
        <v>3</v>
      </c>
      <c r="F23" s="14" t="s">
        <v>13</v>
      </c>
      <c r="G23" s="11" t="s">
        <v>44</v>
      </c>
      <c r="H23" s="11">
        <v>19082</v>
      </c>
      <c r="I23" s="12">
        <v>13511</v>
      </c>
      <c r="J23" s="12">
        <f t="shared" si="6"/>
        <v>40533</v>
      </c>
    </row>
    <row r="24" spans="1:10" ht="21" customHeight="1" x14ac:dyDescent="0.25">
      <c r="A24" s="10" t="str">
        <f t="shared" si="5"/>
        <v>ЩК (260623 aer. Alm) ALLOFF</v>
      </c>
      <c r="B24" s="11" t="s">
        <v>18</v>
      </c>
      <c r="C24" s="24" t="s">
        <v>51</v>
      </c>
      <c r="D24" s="10" t="s">
        <v>52</v>
      </c>
      <c r="E24" s="13">
        <v>1</v>
      </c>
      <c r="F24" s="14" t="s">
        <v>13</v>
      </c>
      <c r="G24" s="11" t="s">
        <v>44</v>
      </c>
      <c r="H24" s="11">
        <v>37100</v>
      </c>
      <c r="I24" s="12">
        <v>26267</v>
      </c>
      <c r="J24" s="12">
        <f t="shared" si="6"/>
        <v>26267</v>
      </c>
    </row>
    <row r="25" spans="1:10" ht="22.5" customHeight="1" x14ac:dyDescent="0.25">
      <c r="A25" s="10" t="str">
        <f t="shared" si="5"/>
        <v>ЩК (260623 aer. Alm) ALLOFF</v>
      </c>
      <c r="B25" s="11" t="s">
        <v>17</v>
      </c>
      <c r="C25" s="24"/>
      <c r="D25" s="10" t="s">
        <v>28</v>
      </c>
      <c r="E25" s="13">
        <v>1</v>
      </c>
      <c r="F25" s="14" t="s">
        <v>13</v>
      </c>
      <c r="G25" s="11" t="s">
        <v>32</v>
      </c>
      <c r="H25" s="11">
        <v>108000</v>
      </c>
      <c r="I25" s="12">
        <f>H25</f>
        <v>108000</v>
      </c>
      <c r="J25" s="12">
        <f t="shared" si="6"/>
        <v>108000</v>
      </c>
    </row>
    <row r="26" spans="1:10" ht="21" customHeight="1" x14ac:dyDescent="0.25">
      <c r="A26" s="10" t="str">
        <f t="shared" si="5"/>
        <v>ЩК (260623 aer. Alm) ALLOFF</v>
      </c>
      <c r="B26" s="11" t="s">
        <v>18</v>
      </c>
      <c r="C26" s="24" t="s">
        <v>25</v>
      </c>
      <c r="D26" s="10" t="s">
        <v>24</v>
      </c>
      <c r="E26" s="13">
        <v>1</v>
      </c>
      <c r="F26" s="14" t="s">
        <v>13</v>
      </c>
      <c r="G26" s="11" t="s">
        <v>29</v>
      </c>
      <c r="H26" s="11">
        <v>292</v>
      </c>
      <c r="I26" s="12">
        <f t="shared" ref="I26:I27" si="7">H26*0.3*1.33*600</f>
        <v>69904.800000000003</v>
      </c>
      <c r="J26" s="12">
        <f t="shared" si="6"/>
        <v>69904.800000000003</v>
      </c>
    </row>
    <row r="27" spans="1:10" ht="21" customHeight="1" x14ac:dyDescent="0.25">
      <c r="A27" s="10" t="str">
        <f t="shared" si="5"/>
        <v>ЩК (260623 aer. Alm) ALLOFF</v>
      </c>
      <c r="B27" s="11" t="s">
        <v>18</v>
      </c>
      <c r="C27" s="24" t="s">
        <v>27</v>
      </c>
      <c r="D27" s="10" t="s">
        <v>26</v>
      </c>
      <c r="E27" s="13">
        <v>2</v>
      </c>
      <c r="F27" s="14" t="s">
        <v>13</v>
      </c>
      <c r="G27" s="11" t="s">
        <v>29</v>
      </c>
      <c r="H27" s="11">
        <v>292</v>
      </c>
      <c r="I27" s="12">
        <f t="shared" si="7"/>
        <v>69904.800000000003</v>
      </c>
      <c r="J27" s="12">
        <f t="shared" si="6"/>
        <v>139809.60000000001</v>
      </c>
    </row>
    <row r="28" spans="1:10" ht="24" customHeight="1" x14ac:dyDescent="0.25">
      <c r="A28" s="10" t="str">
        <f t="shared" si="5"/>
        <v>ЩК (260623 aer. Alm) ALLOFF</v>
      </c>
      <c r="B28" s="10" t="s">
        <v>10</v>
      </c>
      <c r="C28" s="10" t="s">
        <v>10</v>
      </c>
      <c r="D28" s="10" t="s">
        <v>10</v>
      </c>
      <c r="E28" s="10">
        <v>1</v>
      </c>
      <c r="F28" s="10" t="s">
        <v>13</v>
      </c>
      <c r="G28" s="10" t="s">
        <v>10</v>
      </c>
      <c r="H28" s="22">
        <f>J29</f>
        <v>36000</v>
      </c>
      <c r="I28" s="12">
        <f>H28</f>
        <v>36000</v>
      </c>
      <c r="J28" s="12">
        <f t="shared" si="6"/>
        <v>36000</v>
      </c>
    </row>
    <row r="29" spans="1:10" ht="21" customHeight="1" x14ac:dyDescent="0.25">
      <c r="A29" s="10" t="str">
        <f t="shared" si="5"/>
        <v>ЩК (260623 aer. Alm) ALLOFF</v>
      </c>
      <c r="B29" s="10" t="s">
        <v>11</v>
      </c>
      <c r="C29" s="10" t="s">
        <v>11</v>
      </c>
      <c r="D29" s="10" t="s">
        <v>11</v>
      </c>
      <c r="E29" s="10">
        <f>60*H29</f>
        <v>360</v>
      </c>
      <c r="F29" s="10" t="s">
        <v>13</v>
      </c>
      <c r="G29" s="10" t="s">
        <v>11</v>
      </c>
      <c r="H29" s="10">
        <v>6</v>
      </c>
      <c r="I29" s="12">
        <v>100</v>
      </c>
      <c r="J29" s="12">
        <f t="shared" si="6"/>
        <v>36000</v>
      </c>
    </row>
    <row r="30" spans="1:10" ht="30" customHeight="1" x14ac:dyDescent="0.25">
      <c r="A30" s="10" t="str">
        <f t="shared" si="5"/>
        <v>ЩК (260623 aer. Alm) ALLOFF</v>
      </c>
      <c r="B30" s="15"/>
      <c r="C30" s="16"/>
      <c r="D30" s="17"/>
      <c r="E30" s="16"/>
      <c r="F30" s="18"/>
      <c r="G30" s="16"/>
      <c r="H30" s="19"/>
      <c r="I30" s="21"/>
      <c r="J30" s="12">
        <f>SUM(J19:J29)</f>
        <v>559019.4</v>
      </c>
    </row>
    <row r="31" spans="1:10" ht="39.75" customHeight="1" x14ac:dyDescent="0.25">
      <c r="A31" s="4" t="str">
        <f>D31</f>
        <v>ЩС (TERRA)</v>
      </c>
      <c r="B31" s="5"/>
      <c r="C31" s="23"/>
      <c r="D31" s="5" t="s">
        <v>39</v>
      </c>
      <c r="E31" s="8">
        <v>1</v>
      </c>
      <c r="F31" s="9" t="s">
        <v>7</v>
      </c>
      <c r="G31" s="5" t="s">
        <v>9</v>
      </c>
      <c r="H31" s="6">
        <f>2.3*J41</f>
        <v>909976.6</v>
      </c>
      <c r="I31" s="6"/>
      <c r="J31" s="7"/>
    </row>
    <row r="32" spans="1:10" ht="21" customHeight="1" x14ac:dyDescent="0.25">
      <c r="A32" s="10" t="str">
        <f>A31</f>
        <v>ЩС (TERRA)</v>
      </c>
      <c r="B32" s="11" t="s">
        <v>8</v>
      </c>
      <c r="C32" s="24" t="s">
        <v>36</v>
      </c>
      <c r="D32" s="10" t="s">
        <v>37</v>
      </c>
      <c r="E32" s="13">
        <v>1</v>
      </c>
      <c r="F32" s="14" t="s">
        <v>13</v>
      </c>
      <c r="G32" s="11" t="s">
        <v>16</v>
      </c>
      <c r="H32" s="11">
        <v>13600</v>
      </c>
      <c r="I32" s="12">
        <f>H32*0.6</f>
        <v>8160</v>
      </c>
      <c r="J32" s="12">
        <f>E32*I32</f>
        <v>8160</v>
      </c>
    </row>
    <row r="33" spans="1:10" ht="21" customHeight="1" x14ac:dyDescent="0.25">
      <c r="A33" s="10" t="str">
        <f t="shared" ref="A33:A41" si="8">A32</f>
        <v>ЩС (TERRA)</v>
      </c>
      <c r="B33" s="11" t="s">
        <v>12</v>
      </c>
      <c r="C33" s="24">
        <v>54146</v>
      </c>
      <c r="D33" s="10" t="s">
        <v>57</v>
      </c>
      <c r="E33" s="13">
        <v>1</v>
      </c>
      <c r="F33" s="14" t="s">
        <v>13</v>
      </c>
      <c r="G33" s="11" t="s">
        <v>44</v>
      </c>
      <c r="H33" s="11">
        <v>40908</v>
      </c>
      <c r="I33" s="12">
        <v>26549</v>
      </c>
      <c r="J33" s="12">
        <f t="shared" ref="J33:J40" si="9">I33*E33</f>
        <v>26549</v>
      </c>
    </row>
    <row r="34" spans="1:10" ht="21" customHeight="1" x14ac:dyDescent="0.25">
      <c r="A34" s="10" t="str">
        <f t="shared" si="8"/>
        <v>ЩС (TERRA)</v>
      </c>
      <c r="B34" s="11" t="s">
        <v>12</v>
      </c>
      <c r="C34" s="24">
        <v>46014</v>
      </c>
      <c r="D34" s="10" t="s">
        <v>55</v>
      </c>
      <c r="E34" s="13">
        <v>2</v>
      </c>
      <c r="F34" s="14" t="s">
        <v>13</v>
      </c>
      <c r="G34" s="11" t="s">
        <v>44</v>
      </c>
      <c r="H34" s="11">
        <v>6337</v>
      </c>
      <c r="I34" s="12">
        <v>4113</v>
      </c>
      <c r="J34" s="12">
        <f t="shared" si="9"/>
        <v>8226</v>
      </c>
    </row>
    <row r="35" spans="1:10" ht="21" customHeight="1" x14ac:dyDescent="0.25">
      <c r="A35" s="10" t="str">
        <f t="shared" si="8"/>
        <v>ЩС (TERRA)</v>
      </c>
      <c r="B35" s="11" t="s">
        <v>18</v>
      </c>
      <c r="C35" s="24" t="s">
        <v>45</v>
      </c>
      <c r="D35" s="10" t="s">
        <v>46</v>
      </c>
      <c r="E35" s="13">
        <v>4</v>
      </c>
      <c r="F35" s="14" t="s">
        <v>13</v>
      </c>
      <c r="G35" s="11" t="s">
        <v>44</v>
      </c>
      <c r="H35" s="11">
        <v>18235</v>
      </c>
      <c r="I35" s="12">
        <v>12910</v>
      </c>
      <c r="J35" s="12">
        <f t="shared" si="9"/>
        <v>51640</v>
      </c>
    </row>
    <row r="36" spans="1:10" ht="21" customHeight="1" x14ac:dyDescent="0.25">
      <c r="A36" s="10" t="str">
        <f t="shared" si="8"/>
        <v>ЩС (TERRA)</v>
      </c>
      <c r="B36" s="11" t="s">
        <v>18</v>
      </c>
      <c r="C36" s="24" t="s">
        <v>47</v>
      </c>
      <c r="D36" s="10" t="s">
        <v>48</v>
      </c>
      <c r="E36" s="13">
        <v>7</v>
      </c>
      <c r="F36" s="14" t="s">
        <v>13</v>
      </c>
      <c r="G36" s="11" t="s">
        <v>44</v>
      </c>
      <c r="H36" s="11">
        <v>19082</v>
      </c>
      <c r="I36" s="12">
        <v>13511</v>
      </c>
      <c r="J36" s="12">
        <f t="shared" si="9"/>
        <v>94577</v>
      </c>
    </row>
    <row r="37" spans="1:10" ht="21" customHeight="1" x14ac:dyDescent="0.25">
      <c r="A37" s="10" t="str">
        <f t="shared" si="8"/>
        <v>ЩС (TERRA)</v>
      </c>
      <c r="B37" s="11" t="s">
        <v>18</v>
      </c>
      <c r="C37" s="24">
        <v>42250</v>
      </c>
      <c r="D37" s="10" t="s">
        <v>43</v>
      </c>
      <c r="E37" s="13">
        <v>1</v>
      </c>
      <c r="F37" s="14" t="s">
        <v>13</v>
      </c>
      <c r="G37" s="11" t="s">
        <v>44</v>
      </c>
      <c r="H37" s="11">
        <v>20466</v>
      </c>
      <c r="I37" s="12">
        <v>14490</v>
      </c>
      <c r="J37" s="12">
        <f t="shared" si="9"/>
        <v>14490</v>
      </c>
    </row>
    <row r="38" spans="1:10" ht="22.5" customHeight="1" x14ac:dyDescent="0.25">
      <c r="A38" s="10" t="str">
        <f t="shared" si="8"/>
        <v>ЩС (TERRA)</v>
      </c>
      <c r="B38" s="11" t="s">
        <v>17</v>
      </c>
      <c r="C38" s="24"/>
      <c r="D38" s="10" t="s">
        <v>21</v>
      </c>
      <c r="E38" s="13">
        <v>1</v>
      </c>
      <c r="F38" s="14" t="s">
        <v>13</v>
      </c>
      <c r="G38" s="11" t="s">
        <v>19</v>
      </c>
      <c r="H38" s="11">
        <v>120000</v>
      </c>
      <c r="I38" s="12">
        <f>H38</f>
        <v>120000</v>
      </c>
      <c r="J38" s="12">
        <f t="shared" si="9"/>
        <v>120000</v>
      </c>
    </row>
    <row r="39" spans="1:10" ht="24" customHeight="1" x14ac:dyDescent="0.25">
      <c r="A39" s="10" t="str">
        <f t="shared" si="8"/>
        <v>ЩС (TERRA)</v>
      </c>
      <c r="B39" s="10" t="s">
        <v>10</v>
      </c>
      <c r="C39" s="10" t="s">
        <v>10</v>
      </c>
      <c r="D39" s="10" t="s">
        <v>10</v>
      </c>
      <c r="E39" s="10">
        <v>1</v>
      </c>
      <c r="F39" s="10" t="s">
        <v>13</v>
      </c>
      <c r="G39" s="10" t="s">
        <v>10</v>
      </c>
      <c r="H39" s="22">
        <f>J40</f>
        <v>36000</v>
      </c>
      <c r="I39" s="12">
        <f>H39</f>
        <v>36000</v>
      </c>
      <c r="J39" s="12">
        <f t="shared" si="9"/>
        <v>36000</v>
      </c>
    </row>
    <row r="40" spans="1:10" ht="21" customHeight="1" x14ac:dyDescent="0.25">
      <c r="A40" s="10" t="str">
        <f t="shared" si="8"/>
        <v>ЩС (TERRA)</v>
      </c>
      <c r="B40" s="10" t="s">
        <v>11</v>
      </c>
      <c r="C40" s="10" t="s">
        <v>11</v>
      </c>
      <c r="D40" s="10" t="s">
        <v>11</v>
      </c>
      <c r="E40" s="10">
        <f>60*H40</f>
        <v>360</v>
      </c>
      <c r="F40" s="10" t="s">
        <v>13</v>
      </c>
      <c r="G40" s="10" t="s">
        <v>11</v>
      </c>
      <c r="H40" s="10">
        <v>6</v>
      </c>
      <c r="I40" s="12">
        <v>100</v>
      </c>
      <c r="J40" s="12">
        <f t="shared" si="9"/>
        <v>36000</v>
      </c>
    </row>
    <row r="41" spans="1:10" ht="30" customHeight="1" x14ac:dyDescent="0.25">
      <c r="A41" s="10" t="str">
        <f t="shared" si="8"/>
        <v>ЩС (TERRA)</v>
      </c>
      <c r="B41" s="15"/>
      <c r="C41" s="16"/>
      <c r="D41" s="17"/>
      <c r="E41" s="16"/>
      <c r="F41" s="18"/>
      <c r="G41" s="16"/>
      <c r="H41" s="19"/>
      <c r="I41" s="21"/>
      <c r="J41" s="20">
        <f>SUM(J32:J40)</f>
        <v>395642</v>
      </c>
    </row>
    <row r="42" spans="1:10" ht="39.75" customHeight="1" x14ac:dyDescent="0.25">
      <c r="A42" s="4" t="str">
        <f>D42</f>
        <v>ЩС (COFFEEBOOM)</v>
      </c>
      <c r="B42" s="5"/>
      <c r="C42" s="23"/>
      <c r="D42" s="5" t="s">
        <v>40</v>
      </c>
      <c r="E42" s="8">
        <v>1</v>
      </c>
      <c r="F42" s="9" t="s">
        <v>7</v>
      </c>
      <c r="G42" s="5" t="s">
        <v>9</v>
      </c>
      <c r="H42" s="6">
        <f>2.3*J52</f>
        <v>781974.7</v>
      </c>
      <c r="I42" s="6"/>
      <c r="J42" s="7"/>
    </row>
    <row r="43" spans="1:10" ht="21" customHeight="1" x14ac:dyDescent="0.25">
      <c r="A43" s="10" t="str">
        <f>A42</f>
        <v>ЩС (COFFEEBOOM)</v>
      </c>
      <c r="B43" s="11" t="s">
        <v>8</v>
      </c>
      <c r="C43" s="24" t="s">
        <v>36</v>
      </c>
      <c r="D43" s="10" t="s">
        <v>37</v>
      </c>
      <c r="E43" s="13">
        <v>1</v>
      </c>
      <c r="F43" s="14" t="s">
        <v>13</v>
      </c>
      <c r="G43" s="11" t="s">
        <v>16</v>
      </c>
      <c r="H43" s="11">
        <v>13600</v>
      </c>
      <c r="I43" s="12">
        <f>H43*0.6</f>
        <v>8160</v>
      </c>
      <c r="J43" s="12">
        <f>E43*I43</f>
        <v>8160</v>
      </c>
    </row>
    <row r="44" spans="1:10" ht="21" customHeight="1" x14ac:dyDescent="0.25">
      <c r="A44" s="10" t="str">
        <f t="shared" ref="A44:A52" si="10">A43</f>
        <v>ЩС (COFFEEBOOM)</v>
      </c>
      <c r="B44" s="11" t="s">
        <v>12</v>
      </c>
      <c r="C44" s="24">
        <v>52371</v>
      </c>
      <c r="D44" s="10" t="s">
        <v>56</v>
      </c>
      <c r="E44" s="13">
        <v>1</v>
      </c>
      <c r="F44" s="14" t="s">
        <v>13</v>
      </c>
      <c r="G44" s="11" t="s">
        <v>44</v>
      </c>
      <c r="H44" s="11">
        <v>22172</v>
      </c>
      <c r="I44" s="12">
        <v>14390</v>
      </c>
      <c r="J44" s="12">
        <f t="shared" ref="J44:J51" si="11">I44*E44</f>
        <v>14390</v>
      </c>
    </row>
    <row r="45" spans="1:10" ht="21" customHeight="1" x14ac:dyDescent="0.25">
      <c r="A45" s="10" t="str">
        <f t="shared" si="10"/>
        <v>ЩС (COFFEEBOOM)</v>
      </c>
      <c r="B45" s="11" t="s">
        <v>12</v>
      </c>
      <c r="C45" s="24">
        <v>46014</v>
      </c>
      <c r="D45" s="10" t="s">
        <v>55</v>
      </c>
      <c r="E45" s="13">
        <v>1</v>
      </c>
      <c r="F45" s="14" t="s">
        <v>13</v>
      </c>
      <c r="G45" s="11" t="s">
        <v>44</v>
      </c>
      <c r="H45" s="11">
        <v>6337</v>
      </c>
      <c r="I45" s="12">
        <v>4113</v>
      </c>
      <c r="J45" s="12">
        <f t="shared" si="11"/>
        <v>4113</v>
      </c>
    </row>
    <row r="46" spans="1:10" ht="21" customHeight="1" x14ac:dyDescent="0.25">
      <c r="A46" s="10" t="str">
        <f t="shared" si="10"/>
        <v>ЩС (COFFEEBOOM)</v>
      </c>
      <c r="B46" s="11" t="s">
        <v>18</v>
      </c>
      <c r="C46" s="24" t="s">
        <v>45</v>
      </c>
      <c r="D46" s="10" t="s">
        <v>46</v>
      </c>
      <c r="E46" s="13">
        <v>6</v>
      </c>
      <c r="F46" s="14" t="s">
        <v>13</v>
      </c>
      <c r="G46" s="11" t="s">
        <v>44</v>
      </c>
      <c r="H46" s="11">
        <v>18235</v>
      </c>
      <c r="I46" s="12">
        <v>12910</v>
      </c>
      <c r="J46" s="12">
        <f t="shared" si="11"/>
        <v>77460</v>
      </c>
    </row>
    <row r="47" spans="1:10" ht="21" customHeight="1" x14ac:dyDescent="0.25">
      <c r="A47" s="10" t="str">
        <f t="shared" si="10"/>
        <v>ЩС (COFFEEBOOM)</v>
      </c>
      <c r="B47" s="11" t="s">
        <v>18</v>
      </c>
      <c r="C47" s="24" t="s">
        <v>47</v>
      </c>
      <c r="D47" s="10" t="s">
        <v>48</v>
      </c>
      <c r="E47" s="13">
        <v>2</v>
      </c>
      <c r="F47" s="14" t="s">
        <v>13</v>
      </c>
      <c r="G47" s="11" t="s">
        <v>44</v>
      </c>
      <c r="H47" s="11">
        <v>19082</v>
      </c>
      <c r="I47" s="12">
        <v>13511</v>
      </c>
      <c r="J47" s="12">
        <f t="shared" si="11"/>
        <v>27022</v>
      </c>
    </row>
    <row r="48" spans="1:10" ht="21" customHeight="1" x14ac:dyDescent="0.25">
      <c r="A48" s="10" t="str">
        <f t="shared" si="10"/>
        <v>ЩС (COFFEEBOOM)</v>
      </c>
      <c r="B48" s="11" t="s">
        <v>18</v>
      </c>
      <c r="C48" s="24" t="s">
        <v>49</v>
      </c>
      <c r="D48" s="10" t="s">
        <v>50</v>
      </c>
      <c r="E48" s="13">
        <v>1</v>
      </c>
      <c r="F48" s="14" t="s">
        <v>13</v>
      </c>
      <c r="G48" s="11" t="s">
        <v>44</v>
      </c>
      <c r="H48" s="11">
        <v>23791</v>
      </c>
      <c r="I48" s="12">
        <v>16844</v>
      </c>
      <c r="J48" s="12">
        <f t="shared" si="11"/>
        <v>16844</v>
      </c>
    </row>
    <row r="49" spans="1:10" ht="22.5" customHeight="1" x14ac:dyDescent="0.25">
      <c r="A49" s="10" t="str">
        <f t="shared" si="10"/>
        <v>ЩС (COFFEEBOOM)</v>
      </c>
      <c r="B49" s="11" t="s">
        <v>17</v>
      </c>
      <c r="C49" s="24"/>
      <c r="D49" s="10" t="s">
        <v>21</v>
      </c>
      <c r="E49" s="13">
        <v>1</v>
      </c>
      <c r="F49" s="14" t="s">
        <v>13</v>
      </c>
      <c r="G49" s="11" t="s">
        <v>19</v>
      </c>
      <c r="H49" s="11">
        <v>120000</v>
      </c>
      <c r="I49" s="12">
        <f>H49</f>
        <v>120000</v>
      </c>
      <c r="J49" s="12">
        <f t="shared" si="11"/>
        <v>120000</v>
      </c>
    </row>
    <row r="50" spans="1:10" ht="24" customHeight="1" x14ac:dyDescent="0.25">
      <c r="A50" s="10" t="str">
        <f t="shared" si="10"/>
        <v>ЩС (COFFEEBOOM)</v>
      </c>
      <c r="B50" s="10" t="s">
        <v>10</v>
      </c>
      <c r="C50" s="10" t="s">
        <v>10</v>
      </c>
      <c r="D50" s="10" t="s">
        <v>10</v>
      </c>
      <c r="E50" s="10">
        <v>1</v>
      </c>
      <c r="F50" s="10" t="s">
        <v>13</v>
      </c>
      <c r="G50" s="10" t="s">
        <v>10</v>
      </c>
      <c r="H50" s="22">
        <f>J51</f>
        <v>36000</v>
      </c>
      <c r="I50" s="12">
        <f>H50</f>
        <v>36000</v>
      </c>
      <c r="J50" s="12">
        <f t="shared" si="11"/>
        <v>36000</v>
      </c>
    </row>
    <row r="51" spans="1:10" ht="21" customHeight="1" x14ac:dyDescent="0.25">
      <c r="A51" s="10" t="str">
        <f t="shared" si="10"/>
        <v>ЩС (COFFEEBOOM)</v>
      </c>
      <c r="B51" s="10" t="s">
        <v>11</v>
      </c>
      <c r="C51" s="10" t="s">
        <v>11</v>
      </c>
      <c r="D51" s="10" t="s">
        <v>11</v>
      </c>
      <c r="E51" s="10">
        <f>60*H51</f>
        <v>360</v>
      </c>
      <c r="F51" s="10" t="s">
        <v>13</v>
      </c>
      <c r="G51" s="10" t="s">
        <v>11</v>
      </c>
      <c r="H51" s="10">
        <v>6</v>
      </c>
      <c r="I51" s="12">
        <v>100</v>
      </c>
      <c r="J51" s="12">
        <f t="shared" si="11"/>
        <v>36000</v>
      </c>
    </row>
    <row r="52" spans="1:10" ht="30" customHeight="1" x14ac:dyDescent="0.25">
      <c r="A52" s="10" t="str">
        <f t="shared" si="10"/>
        <v>ЩС (COFFEEBOOM)</v>
      </c>
      <c r="B52" s="15"/>
      <c r="C52" s="16"/>
      <c r="D52" s="17"/>
      <c r="E52" s="16"/>
      <c r="F52" s="18"/>
      <c r="G52" s="16"/>
      <c r="H52" s="19"/>
      <c r="I52" s="21"/>
      <c r="J52" s="20">
        <f>SUM(J43:J51)</f>
        <v>339989</v>
      </c>
    </row>
  </sheetData>
  <autoFilter ref="A1:J52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2026-07-13T07:15:30Z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