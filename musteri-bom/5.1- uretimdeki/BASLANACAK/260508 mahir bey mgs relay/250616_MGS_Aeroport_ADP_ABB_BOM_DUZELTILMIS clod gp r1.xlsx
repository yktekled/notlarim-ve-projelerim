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08 mahir bey mgs pano 2\"/>
    </mc:Choice>
  </mc:AlternateContent>
  <xr:revisionPtr revIDLastSave="0" documentId="13_ncr:1_{D1BDBB9F-C5DB-4BA7-8DD9-22E9C36610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_Duzeltilmis" sheetId="1" r:id="rId1"/>
    <sheet name="Parametreler" sheetId="2" r:id="rId2"/>
    <sheet name="Kontrol_Raporu" sheetId="3" r:id="rId3"/>
    <sheet name="Sayim_Kontrol" sheetId="4" r:id="rId4"/>
    <sheet name="Satin_Alma_Ozet" sheetId="5" r:id="rId5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G21" i="1" s="1"/>
  <c r="H21" i="1" s="1"/>
  <c r="K21" i="1" s="1"/>
  <c r="G15" i="5"/>
  <c r="H15" i="5" s="1"/>
  <c r="G14" i="5"/>
  <c r="H14" i="5" s="1"/>
  <c r="G9" i="5"/>
  <c r="H9" i="5" s="1"/>
  <c r="G5" i="5"/>
  <c r="H5" i="5" s="1"/>
  <c r="G2" i="5"/>
  <c r="H2" i="5" s="1"/>
  <c r="B5" i="2"/>
  <c r="G3" i="5" s="1"/>
  <c r="H3" i="5" s="1"/>
  <c r="F27" i="1"/>
  <c r="G27" i="1" s="1"/>
  <c r="H27" i="1" s="1"/>
  <c r="K27" i="1" s="1"/>
  <c r="G26" i="1"/>
  <c r="H26" i="1" s="1"/>
  <c r="K26" i="1" s="1"/>
  <c r="F26" i="1"/>
  <c r="F25" i="1"/>
  <c r="G25" i="1" s="1"/>
  <c r="H25" i="1" s="1"/>
  <c r="K25" i="1" s="1"/>
  <c r="F24" i="1"/>
  <c r="G24" i="1" s="1"/>
  <c r="H24" i="1" s="1"/>
  <c r="K24" i="1" s="1"/>
  <c r="F23" i="1"/>
  <c r="G23" i="1" s="1"/>
  <c r="H23" i="1" s="1"/>
  <c r="K23" i="1" s="1"/>
  <c r="F22" i="1"/>
  <c r="G22" i="1" s="1"/>
  <c r="H22" i="1" s="1"/>
  <c r="K22" i="1" s="1"/>
  <c r="F18" i="1"/>
  <c r="G18" i="1" s="1"/>
  <c r="H18" i="1" s="1"/>
  <c r="K18" i="1" s="1"/>
  <c r="F17" i="1"/>
  <c r="G17" i="1" s="1"/>
  <c r="H17" i="1" s="1"/>
  <c r="K17" i="1" s="1"/>
  <c r="F16" i="1"/>
  <c r="G16" i="1" s="1"/>
  <c r="H16" i="1" s="1"/>
  <c r="K16" i="1" s="1"/>
  <c r="F15" i="1"/>
  <c r="G15" i="1" s="1"/>
  <c r="H15" i="1" s="1"/>
  <c r="K15" i="1" s="1"/>
  <c r="F14" i="1"/>
  <c r="G14" i="1" s="1"/>
  <c r="H14" i="1" s="1"/>
  <c r="K14" i="1" s="1"/>
  <c r="F13" i="1"/>
  <c r="G13" i="1" s="1"/>
  <c r="H13" i="1" s="1"/>
  <c r="K13" i="1" s="1"/>
  <c r="F12" i="1"/>
  <c r="G12" i="1" s="1"/>
  <c r="H12" i="1" s="1"/>
  <c r="K12" i="1" s="1"/>
  <c r="F11" i="1"/>
  <c r="G11" i="1" s="1"/>
  <c r="H11" i="1" s="1"/>
  <c r="K11" i="1" s="1"/>
  <c r="F10" i="1"/>
  <c r="G10" i="1" s="1"/>
  <c r="H10" i="1" s="1"/>
  <c r="K10" i="1" s="1"/>
  <c r="G9" i="1"/>
  <c r="H9" i="1" s="1"/>
  <c r="K9" i="1" s="1"/>
  <c r="F9" i="1"/>
  <c r="F8" i="1"/>
  <c r="G8" i="1" s="1"/>
  <c r="K8" i="1" s="1"/>
  <c r="F7" i="1"/>
  <c r="G7" i="1" s="1"/>
  <c r="H7" i="1" s="1"/>
  <c r="K7" i="1" s="1"/>
  <c r="F6" i="1"/>
  <c r="G6" i="1" s="1"/>
  <c r="H6" i="1" s="1"/>
  <c r="K6" i="1" s="1"/>
  <c r="F5" i="1"/>
  <c r="G5" i="1" s="1"/>
  <c r="H5" i="1" s="1"/>
  <c r="K5" i="1" s="1"/>
  <c r="G12" i="5" l="1"/>
  <c r="H12" i="5" s="1"/>
  <c r="G7" i="5"/>
  <c r="H7" i="5" s="1"/>
  <c r="G13" i="5"/>
  <c r="H13" i="5" s="1"/>
  <c r="G6" i="5"/>
  <c r="H6" i="5" s="1"/>
  <c r="K19" i="1"/>
  <c r="K28" i="1"/>
  <c r="G4" i="5"/>
  <c r="H4" i="5" s="1"/>
  <c r="G10" i="5"/>
  <c r="H10" i="5" s="1"/>
  <c r="G11" i="5"/>
  <c r="H11" i="5" s="1"/>
  <c r="G8" i="5"/>
  <c r="H8" i="5" s="1"/>
  <c r="K29" i="1" l="1"/>
</calcChain>
</file>

<file path=xl/sharedStrings.xml><?xml version="1.0" encoding="utf-8"?>
<sst xmlns="http://schemas.openxmlformats.org/spreadsheetml/2006/main" count="347" uniqueCount="162">
  <si>
    <t>MGS - ALMAATA AEROPORT PROJESİ | ADP PANOSU ABB BOM LİSTESİ | KONTROL EDİLMİŞ</t>
  </si>
  <si>
    <t>Kaynak: ALMAATA - Pano Açılımları.xlsx / ADP sayfası. Fiyat mantığı Claude dosyasındaki 557 EUR/KZT, 0.33 indirim, 1.30 yol+gümrük olarak korunmuştur.</t>
  </si>
  <si>
    <t>Pano</t>
  </si>
  <si>
    <t>Malzeme Tipi</t>
  </si>
  <si>
    <t>Ürün Kodu (ABB)</t>
  </si>
  <si>
    <t>Ürün Açıklaması</t>
  </si>
  <si>
    <t>ABB Liste
Fiyatı (EUR)</t>
  </si>
  <si>
    <t>İndirimli
Fiyat (EUR)</t>
  </si>
  <si>
    <t>Yol+Gümrük
(EUR)</t>
  </si>
  <si>
    <t>KZT Fiyat
(Birim)</t>
  </si>
  <si>
    <t>Adet</t>
  </si>
  <si>
    <t>Birim</t>
  </si>
  <si>
    <t>Toplam KZT</t>
  </si>
  <si>
    <t>Tedarikçi</t>
  </si>
  <si>
    <t>Not</t>
  </si>
  <si>
    <t>▶ ADP PANOSU</t>
  </si>
  <si>
    <t>ADP PANOSU</t>
  </si>
  <si>
    <t>korpus</t>
  </si>
  <si>
    <t>Teksan metal pano kasası / ölçü pano dizaynına göre netleştirilecek</t>
  </si>
  <si>
    <t>ШТ.</t>
  </si>
  <si>
    <t>TEKSAN</t>
  </si>
  <si>
    <t>Ayrı teklif; Claude dosyasındaki ölçü belirsiz bırakıldı</t>
  </si>
  <si>
    <t>mccb</t>
  </si>
  <si>
    <t>1SDA067414R1</t>
  </si>
  <si>
    <t>XT1N 160, TMD, In=63A, 3P; giriş şalteri</t>
  </si>
  <si>
    <t>ABB</t>
  </si>
  <si>
    <t>ADP toplam satırı: 3x63 MCCB</t>
  </si>
  <si>
    <t>multimetre</t>
  </si>
  <si>
    <t>2CSG251151R4051</t>
  </si>
  <si>
    <t>M4M 20 enerji analizörü; SCADA izleme için</t>
  </si>
  <si>
    <t>ADP notu: enerji analizörü/otomasyon uçları</t>
  </si>
  <si>
    <t>akım trafosu</t>
  </si>
  <si>
    <t>Akım trafosu 30/5A, 3 faz seti</t>
  </si>
  <si>
    <t>ABB / Muadil</t>
  </si>
  <si>
    <t>ADP notu: kompanzasyon için 3 adet 30/5A CT; fiyat/kod tedarikte netleşecek</t>
  </si>
  <si>
    <t>toroid</t>
  </si>
  <si>
    <t>2CSG035100R1211</t>
  </si>
  <si>
    <t>TR1 35mm toroid kaçak akım sensörü</t>
  </si>
  <si>
    <t>Pano girişinde toroid kaçak akım rölesi; toroid çapı kabloya göre üretimde kontrol</t>
  </si>
  <si>
    <t>rele</t>
  </si>
  <si>
    <t>2CSJ201001R0002</t>
  </si>
  <si>
    <t>RD3 kaçak akım rölesi, 230-400V AC</t>
  </si>
  <si>
    <t>Pano girişinde toroid kaçak akım rölesi</t>
  </si>
  <si>
    <t>uzıp / SPD</t>
  </si>
  <si>
    <t>2CTB803973R1100</t>
  </si>
  <si>
    <t>OVR T2 3N 40-275 P QS; Tip 2, 3+N, 40kA</t>
  </si>
  <si>
    <t>ADP notu: Tip 2 C, 40kA parafudr</t>
  </si>
  <si>
    <t>uzo / RCCB</t>
  </si>
  <si>
    <t>2CSF204101R1250</t>
  </si>
  <si>
    <t>F204 AC-25/0.03; 4P RCCB, 25A, 30mA</t>
  </si>
  <si>
    <t>L01, L05, L11, L17, L22 grup kaçak akım koruma; ABB fiyat girilecek</t>
  </si>
  <si>
    <t>oto</t>
  </si>
  <si>
    <t>2CDS253001R0105</t>
  </si>
  <si>
    <t>S203-B10; 3P B10, 6kA minyatür otomatik</t>
  </si>
  <si>
    <t>L01-L02: 3x10 B</t>
  </si>
  <si>
    <t>2CDS251001R0105</t>
  </si>
  <si>
    <t>S201-B10; 1P B10, 6kA minyatür otomatik</t>
  </si>
  <si>
    <t>L03-L23 + L25-L27: 1x10 B; L24 cihaz olarak alınmadı</t>
  </si>
  <si>
    <t>dif / RCBO</t>
  </si>
  <si>
    <t>2CSR255080R1164</t>
  </si>
  <si>
    <t>DS201 C16 AC30; 1P+N C16, 30mA RCBO</t>
  </si>
  <si>
    <t>P01-P08 + M01-M04 + 1 yedek: kaynakta In/Kesici Tipi 16A</t>
  </si>
  <si>
    <t>2CDS253001R0204</t>
  </si>
  <si>
    <t>S203-C20; 3P C20, 6kA minyatür otomatik</t>
  </si>
  <si>
    <t>6 kVA UPS cihazı beslemesi: 3x20 MCB-C</t>
  </si>
  <si>
    <t>mont. matryal</t>
  </si>
  <si>
    <t>DIN ray, kablo kanalı, N/PE bara, klemens, pabuç, etiket, bağlantı sarf malzemeleri</t>
  </si>
  <si>
    <t>компл.</t>
  </si>
  <si>
    <t>Üretim / yerel</t>
  </si>
  <si>
    <t>Fiyat üretim hesabında ayrıca girilecek</t>
  </si>
  <si>
    <t>mont. rab.</t>
  </si>
  <si>
    <t>Pano montaj işçiliği</t>
  </si>
  <si>
    <t>Üretim</t>
  </si>
  <si>
    <t>ADP PANOSU TOPLAMI</t>
  </si>
  <si>
    <t>▶ UPS BÖLÜMÜ</t>
  </si>
  <si>
    <t>UPS BÖLÜMÜ</t>
  </si>
  <si>
    <t>UPS bölümü notu: enerji analizörü/otomasyon uçları</t>
  </si>
  <si>
    <t>UPS bölümü notu: Tip 2 C, 40kA parafudr</t>
  </si>
  <si>
    <t>UPS bölümü toplam satırı: 3x20 MCB-C</t>
  </si>
  <si>
    <t>U01-U12; U13-U14 koruma cihazı olarak alınmadı</t>
  </si>
  <si>
    <t>UPS BÖLÜMÜ TOPLAMI</t>
  </si>
  <si>
    <t>GENEL TOPLAM (KZT)</t>
  </si>
  <si>
    <t>Parametre</t>
  </si>
  <si>
    <t>Değer</t>
  </si>
  <si>
    <t>EUR_KZT</t>
  </si>
  <si>
    <t>Claude dosyasındaki kur korunmuştur</t>
  </si>
  <si>
    <t>ABB_İndirim_Katsayısı</t>
  </si>
  <si>
    <t>Claude dosyası: %67 indirim = 0.33</t>
  </si>
  <si>
    <t>Yol_Gümrük_Katsayısı</t>
  </si>
  <si>
    <t>Claude dosyası: +%30</t>
  </si>
  <si>
    <t>Net_Katsayı_KZT</t>
  </si>
  <si>
    <t>1 EUR liste fiyatının KZT net etkisi</t>
  </si>
  <si>
    <t>No</t>
  </si>
  <si>
    <t>Kontrol / Düzeltme</t>
  </si>
  <si>
    <t>Durum</t>
  </si>
  <si>
    <t>Claude BOM’daki DS203NC C25 3P+N 4 adet satırı kaynak ADP açılımında bulunmadığı için çıkarıldı.</t>
  </si>
  <si>
    <t>Düzeltildi</t>
  </si>
  <si>
    <t>Aydınlatma bölümünde RCBO yerine kaynakta yazan yapı kullanıldı: 2 adet S203-B10 3P, 24 adet S201-B10 1P ve 5 adet 4P 25A/30mA RCCB.</t>
  </si>
  <si>
    <t>Priz bölümünde P01-P08 toplam 8 adet C16 RCBO sayıldı; Claude’un 4 adet C25 yazımı düzeltildi.</t>
  </si>
  <si>
    <t>Mekanik bölümünde M01-M04 + yedek satırı dahil edildi. Kaynakta In/Kesici Tipi 16A olduğu için C16 RCBO olarak sayıldı; AA kolonunda görünen 2x25A metni risk olarak işaretlendi.</t>
  </si>
  <si>
    <t>Kontrol notu</t>
  </si>
  <si>
    <t>UPS bölümünde U01-U12 toplam 12 adet C16 RCBO korundu; U13-U14 koruma cihazı net yazmadığı için BOM’a alınmadı.</t>
  </si>
  <si>
    <t>ADP notundaki 3 adet 30/5A akım trafosu eklendi. ABB kodu/fiyatı tedarikte netleşecek.</t>
  </si>
  <si>
    <t>Eklendi</t>
  </si>
  <si>
    <t>DCBP-N PANEL adına yazılmış montaj malzemesi / işçilik satırları kaldırıldı; ADP ve UPS bölümüne doğru isimle ayrı kontrol satırları eklendi.</t>
  </si>
  <si>
    <t>Fiyatı olmayan ürünler 0 yazılmadı; fiyat hücresi boş bırakıldı ve formüller hata vermeyecek şekilde kuruldu.</t>
  </si>
  <si>
    <t>6 kVA UPS cihazı kaynakta yük olarak göründüğü için ABB pano malzemesi BOM’una cihaz olarak dahil edilmedi; tedarik kapsamı teyit edilmeli.</t>
  </si>
  <si>
    <t>Risk</t>
  </si>
  <si>
    <t>Bölüm</t>
  </si>
  <si>
    <t>Kaynak satırları / not</t>
  </si>
  <si>
    <t>Doğru sayım</t>
  </si>
  <si>
    <t>BOM satırı</t>
  </si>
  <si>
    <t>ADP Aydınlatma</t>
  </si>
  <si>
    <t>L01-L02</t>
  </si>
  <si>
    <t>2 adet 3P B10 MCB</t>
  </si>
  <si>
    <t>S203-B10 qty 2</t>
  </si>
  <si>
    <t>L03-L23 + L25-L27</t>
  </si>
  <si>
    <t>24 adet 1P B10 MCB</t>
  </si>
  <si>
    <t>S201-B10 qty 24</t>
  </si>
  <si>
    <t>ADP Aydınlatma RCD grupları</t>
  </si>
  <si>
    <t>L01, L05, L11, L17, L22</t>
  </si>
  <si>
    <t>5 adet 4P 25A 30mA RCCB</t>
  </si>
  <si>
    <t>F204 AC-25/0.03 qty 5</t>
  </si>
  <si>
    <t>ADP Priz</t>
  </si>
  <si>
    <t>P01-P08</t>
  </si>
  <si>
    <t>8 adet 1P+N C16 30mA RCBO</t>
  </si>
  <si>
    <t>DS201 C16 qty’ye dahil</t>
  </si>
  <si>
    <t>ADP Mekanik</t>
  </si>
  <si>
    <t>M01-M04 + 1 yedek</t>
  </si>
  <si>
    <t>5 adet 1P+N C16 30mA RCBO</t>
  </si>
  <si>
    <t>ADP UPS besleme</t>
  </si>
  <si>
    <t>6 kVA UPS cihazı satırı</t>
  </si>
  <si>
    <t>1 adet 3P C20 MCB</t>
  </si>
  <si>
    <t>S203-C20 qty 1</t>
  </si>
  <si>
    <t>UPS Çıkışları</t>
  </si>
  <si>
    <t>U01-U12</t>
  </si>
  <si>
    <t>12 adet 1P+N C16 30mA RCBO</t>
  </si>
  <si>
    <t>DS201 C16 qty 12</t>
  </si>
  <si>
    <t>UPS Giriş</t>
  </si>
  <si>
    <t>UPS toplam satırı</t>
  </si>
  <si>
    <t>Parafudr</t>
  </si>
  <si>
    <t>ADP ve UPS notları</t>
  </si>
  <si>
    <t>2 adet Tip 2 3+N 40kA SPD</t>
  </si>
  <si>
    <t>OVR T2 qty 1 + qty 1</t>
  </si>
  <si>
    <t>Enerji analizörü</t>
  </si>
  <si>
    <t>2 adet M4M 20</t>
  </si>
  <si>
    <t>ADP qty 1 + UPS qty 1</t>
  </si>
  <si>
    <t>Kaçak akım rölesi</t>
  </si>
  <si>
    <t>ADP notu</t>
  </si>
  <si>
    <t>1 set RD3 + toroid</t>
  </si>
  <si>
    <t>RD3 qty 1, TR1 qty 1</t>
  </si>
  <si>
    <t>Ürün Kodu</t>
  </si>
  <si>
    <t>Toplam Adet</t>
  </si>
  <si>
    <t>Liste EUR</t>
  </si>
  <si>
    <t>Birim KZT</t>
  </si>
  <si>
    <t>Pano/Bölüm</t>
  </si>
  <si>
    <t>ADP PANOSU, UPS BÖLÜMÜ</t>
  </si>
  <si>
    <t>ADP notu: enerji analizörü/otomasyon uçları | UPS bölümü notu: enerji analizörü/otomasyon uçları</t>
  </si>
  <si>
    <t>ADP notu: Tip 2 C, 40kA parafudr | UPS bölümü notu: Tip 2 C, 40kA parafudr</t>
  </si>
  <si>
    <t>P01-P08 + M01-M04 + 1 yedek: kaynakta In/Kesici Tipi 16A | U01-U12; U13-U14 koruma cihazı olarak alınmadı</t>
  </si>
  <si>
    <t>6 kVA UPS cihazı beslemesi: 3x20 MCB-C | UPS bölümü toplam satırı: 3x20 MCB-C</t>
  </si>
  <si>
    <t>600*600*250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</si>
</sst>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3"/>
      <color rgb="FFFFFFFF"/>
      <name val="Carlito"/>
    </font>
    <font>
      <i/>
      <sz val="11"/>
      <name val="Carlito"/>
    </font>
    <font>
      <b/>
      <sz val="11"/>
      <name val="Carlito"/>
    </font>
    <font>
      <b/>
      <sz val="12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BFBFBF"/>
      </patternFill>
    </fill>
    <fill>
      <patternFill patternType="solid">
        <fgColor rgb="FFE2F0D9"/>
      </patternFill>
    </fill>
    <fill>
      <patternFill patternType="solid">
        <f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1" fontId="0" fillId="0" borderId="0" xfId="0" applyNumberFormat="1" applyAlignment="1">
      <alignment vertical="center" wrapText="1"/>
    </xf>
    <xf numFmtId="0" fontId="4" fillId="5" borderId="0" xfId="0" applyFont="1" applyFill="1" applyAlignment="1">
      <alignment horizontal="left" vertical="center" wrapText="1"/>
    </xf>
    <xf numFmtId="4" fontId="4" fillId="5" borderId="0" xfId="0" applyNumberFormat="1" applyFont="1" applyFill="1" applyAlignment="1">
      <alignment horizontal="left" vertical="center" wrapText="1"/>
    </xf>
    <xf numFmtId="1" fontId="4" fillId="5" borderId="0" xfId="0" applyNumberFormat="1" applyFont="1" applyFill="1" applyAlignment="1">
      <alignment horizontal="left" vertical="center" wrapText="1"/>
    </xf>
    <xf numFmtId="3" fontId="4" fillId="5" borderId="0" xfId="0" applyNumberFormat="1" applyFont="1" applyFill="1" applyAlignment="1">
      <alignment horizontal="left" vertical="center" wrapText="1"/>
    </xf>
    <xf numFmtId="0" fontId="4" fillId="6" borderId="0" xfId="0" applyFont="1" applyFill="1" applyAlignment="1">
      <alignment vertical="center" wrapText="1"/>
    </xf>
    <xf numFmtId="4" fontId="4" fillId="6" borderId="0" xfId="0" applyNumberFormat="1" applyFont="1" applyFill="1" applyAlignment="1">
      <alignment vertical="center" wrapText="1"/>
    </xf>
    <xf numFmtId="1" fontId="4" fillId="6" borderId="0" xfId="0" applyNumberFormat="1" applyFont="1" applyFill="1" applyAlignment="1">
      <alignment vertical="center" wrapText="1"/>
    </xf>
    <xf numFmtId="3" fontId="4" fillId="6" borderId="0" xfId="0" applyNumberFormat="1" applyFont="1" applyFill="1" applyAlignment="1">
      <alignment vertical="center" wrapText="1"/>
    </xf>
    <xf numFmtId="0" fontId="5" fillId="7" borderId="0" xfId="0" applyFont="1" applyFill="1" applyAlignment="1">
      <alignment vertical="center" wrapText="1"/>
    </xf>
    <xf numFmtId="4" fontId="5" fillId="7" borderId="0" xfId="0" applyNumberFormat="1" applyFont="1" applyFill="1" applyAlignment="1">
      <alignment vertical="center" wrapText="1"/>
    </xf>
    <xf numFmtId="1" fontId="5" fillId="7" borderId="0" xfId="0" applyNumberFormat="1" applyFont="1" applyFill="1" applyAlignment="1">
      <alignment vertical="center" wrapText="1"/>
    </xf>
    <xf numFmtId="3" fontId="5" fillId="7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wrapText="1"/>
    </xf>
    <xf numFmtId="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tabSelected="1" workbookViewId="0">
      <selection activeCell="D5" sqref="D5"/>
    </sheetView>
  </sheetViews>
  <sheetFormatPr defaultRowHeight="14.25"/>
  <cols>
    <col min="1" max="1" width="20" customWidth="1"/>
    <col min="2" max="2" width="16" customWidth="1"/>
    <col min="3" max="3" width="22" customWidth="1"/>
    <col min="4" max="4" width="48" customWidth="1"/>
    <col min="5" max="8" width="13" customWidth="1"/>
    <col min="9" max="10" width="10" customWidth="1"/>
    <col min="11" max="12" width="15" customWidth="1"/>
    <col min="13" max="13" width="44" customWidth="1"/>
  </cols>
  <sheetData>
    <row r="1" spans="1:13" ht="16.5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42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 spans="1:13" ht="15">
      <c r="A4" s="8" t="s">
        <v>15</v>
      </c>
      <c r="B4" s="8"/>
      <c r="C4" s="8"/>
      <c r="D4" s="8" t="s">
        <v>15</v>
      </c>
      <c r="E4" s="9"/>
      <c r="F4" s="9"/>
      <c r="G4" s="9"/>
      <c r="H4" s="9"/>
      <c r="I4" s="10"/>
      <c r="J4" s="8"/>
      <c r="K4" s="11"/>
      <c r="L4" s="8"/>
      <c r="M4" s="8"/>
    </row>
    <row r="5" spans="1:13" ht="28.5">
      <c r="A5" s="4" t="s">
        <v>16</v>
      </c>
      <c r="B5" s="4" t="s">
        <v>17</v>
      </c>
      <c r="C5" s="4"/>
      <c r="D5" s="4" t="s">
        <v>18</v>
      </c>
      <c r="E5" s="5"/>
      <c r="F5" s="5" t="str">
        <f>IF(ISNUMBER(E5),E5*Parametreler!$B$3,"")</f>
        <v/>
      </c>
      <c r="G5" s="5" t="str">
        <f>IF(ISNUMBER(F5),F5*Parametreler!$B$4,"")</f>
        <v/>
      </c>
      <c r="H5" s="5" t="str">
        <f>IF(ISNUMBER(G5),G5*Parametreler!$B$2,"")</f>
        <v/>
      </c>
      <c r="I5" s="7">
        <v>1</v>
      </c>
      <c r="J5" s="4" t="s">
        <v>19</v>
      </c>
      <c r="K5" s="6" t="str">
        <f t="shared" ref="K5:K18" si="0">IF(ISNUMBER(H5),H5*I5,"")</f>
        <v/>
      </c>
      <c r="L5" s="4" t="s">
        <v>20</v>
      </c>
      <c r="M5" s="4" t="s">
        <v>21</v>
      </c>
    </row>
    <row r="6" spans="1:13">
      <c r="A6" s="4" t="s">
        <v>16</v>
      </c>
      <c r="B6" s="4" t="s">
        <v>22</v>
      </c>
      <c r="C6" s="4" t="s">
        <v>23</v>
      </c>
      <c r="D6" s="4" t="s">
        <v>24</v>
      </c>
      <c r="E6" s="5">
        <v>246.1</v>
      </c>
      <c r="F6" s="5">
        <f>IF(ISNUMBER(E6),E6*Parametreler!$B$3,"")</f>
        <v>81.213000000000008</v>
      </c>
      <c r="G6" s="5">
        <f>IF(ISNUMBER(F6),F6*Parametreler!$B$4,"")</f>
        <v>105.57690000000001</v>
      </c>
      <c r="H6" s="5">
        <f>IF(ISNUMBER(G6),G6*Parametreler!$B$2,"")</f>
        <v>58806.333300000006</v>
      </c>
      <c r="I6" s="7">
        <v>1</v>
      </c>
      <c r="J6" s="4" t="s">
        <v>19</v>
      </c>
      <c r="K6" s="6">
        <f t="shared" si="0"/>
        <v>58806.333300000006</v>
      </c>
      <c r="L6" s="4" t="s">
        <v>25</v>
      </c>
      <c r="M6" s="4" t="s">
        <v>26</v>
      </c>
    </row>
    <row r="7" spans="1:13">
      <c r="A7" s="4" t="s">
        <v>16</v>
      </c>
      <c r="B7" s="4" t="s">
        <v>27</v>
      </c>
      <c r="C7" s="4" t="s">
        <v>28</v>
      </c>
      <c r="D7" s="4" t="s">
        <v>29</v>
      </c>
      <c r="E7" s="5">
        <v>709.9</v>
      </c>
      <c r="F7" s="5">
        <f>IF(ISNUMBER(E7),E7*Parametreler!$B$3,"")</f>
        <v>234.267</v>
      </c>
      <c r="G7" s="5">
        <f>IF(ISNUMBER(F7),F7*Parametreler!$B$4,"")</f>
        <v>304.5471</v>
      </c>
      <c r="H7" s="5">
        <f>IF(ISNUMBER(G7),G7*Parametreler!$B$2,"")</f>
        <v>169632.7347</v>
      </c>
      <c r="I7" s="7">
        <v>1</v>
      </c>
      <c r="J7" s="4" t="s">
        <v>19</v>
      </c>
      <c r="K7" s="6">
        <f t="shared" si="0"/>
        <v>169632.7347</v>
      </c>
      <c r="L7" s="4" t="s">
        <v>25</v>
      </c>
      <c r="M7" s="4" t="s">
        <v>30</v>
      </c>
    </row>
    <row r="8" spans="1:13" ht="28.5">
      <c r="A8" s="4" t="s">
        <v>16</v>
      </c>
      <c r="B8" s="4" t="s">
        <v>31</v>
      </c>
      <c r="C8" s="4"/>
      <c r="D8" s="4" t="s">
        <v>32</v>
      </c>
      <c r="E8" s="5"/>
      <c r="F8" s="5" t="str">
        <f>IF(ISNUMBER(E8),E8*Parametreler!$B$3,"")</f>
        <v/>
      </c>
      <c r="G8" s="5" t="str">
        <f>IF(ISNUMBER(F8),F8*Parametreler!$B$4,"")</f>
        <v/>
      </c>
      <c r="H8" s="5">
        <v>7500</v>
      </c>
      <c r="I8" s="7">
        <v>3</v>
      </c>
      <c r="J8" s="4" t="s">
        <v>19</v>
      </c>
      <c r="K8" s="6">
        <f t="shared" si="0"/>
        <v>22500</v>
      </c>
      <c r="L8" s="4" t="s">
        <v>33</v>
      </c>
      <c r="M8" s="4" t="s">
        <v>34</v>
      </c>
    </row>
    <row r="9" spans="1:13" ht="28.5">
      <c r="A9" s="4" t="s">
        <v>16</v>
      </c>
      <c r="B9" s="4" t="s">
        <v>35</v>
      </c>
      <c r="C9" s="4" t="s">
        <v>36</v>
      </c>
      <c r="D9" s="4" t="s">
        <v>37</v>
      </c>
      <c r="E9" s="5">
        <v>131.19999999999999</v>
      </c>
      <c r="F9" s="5">
        <f>IF(ISNUMBER(E9),E9*Parametreler!$B$3,"")</f>
        <v>43.295999999999999</v>
      </c>
      <c r="G9" s="5">
        <f>IF(ISNUMBER(F9),F9*Parametreler!$B$4,"")</f>
        <v>56.284800000000004</v>
      </c>
      <c r="H9" s="5">
        <f>IF(ISNUMBER(G9),G9*Parametreler!$B$2,"")</f>
        <v>31350.633600000001</v>
      </c>
      <c r="I9" s="7">
        <v>1</v>
      </c>
      <c r="J9" s="4" t="s">
        <v>19</v>
      </c>
      <c r="K9" s="6">
        <f t="shared" si="0"/>
        <v>31350.633600000001</v>
      </c>
      <c r="L9" s="4" t="s">
        <v>25</v>
      </c>
      <c r="M9" s="4" t="s">
        <v>38</v>
      </c>
    </row>
    <row r="10" spans="1:13">
      <c r="A10" s="4" t="s">
        <v>16</v>
      </c>
      <c r="B10" s="4" t="s">
        <v>39</v>
      </c>
      <c r="C10" s="4" t="s">
        <v>40</v>
      </c>
      <c r="D10" s="4" t="s">
        <v>41</v>
      </c>
      <c r="E10" s="5">
        <v>498.1</v>
      </c>
      <c r="F10" s="5">
        <f>IF(ISNUMBER(E10),E10*Parametreler!$B$3,"")</f>
        <v>164.37300000000002</v>
      </c>
      <c r="G10" s="5">
        <f>IF(ISNUMBER(F10),F10*Parametreler!$B$4,"")</f>
        <v>213.68490000000003</v>
      </c>
      <c r="H10" s="5">
        <f>IF(ISNUMBER(G10),G10*Parametreler!$B$2,"")</f>
        <v>119022.48930000002</v>
      </c>
      <c r="I10" s="7">
        <v>1</v>
      </c>
      <c r="J10" s="4" t="s">
        <v>19</v>
      </c>
      <c r="K10" s="6">
        <f t="shared" si="0"/>
        <v>119022.48930000002</v>
      </c>
      <c r="L10" s="4" t="s">
        <v>25</v>
      </c>
      <c r="M10" s="4" t="s">
        <v>42</v>
      </c>
    </row>
    <row r="11" spans="1:13">
      <c r="A11" s="4" t="s">
        <v>16</v>
      </c>
      <c r="B11" s="4" t="s">
        <v>43</v>
      </c>
      <c r="C11" s="4" t="s">
        <v>44</v>
      </c>
      <c r="D11" s="4" t="s">
        <v>45</v>
      </c>
      <c r="E11" s="5">
        <v>361.2</v>
      </c>
      <c r="F11" s="5">
        <f>IF(ISNUMBER(E11),E11*Parametreler!$B$3,"")</f>
        <v>119.196</v>
      </c>
      <c r="G11" s="5">
        <f>IF(ISNUMBER(F11),F11*Parametreler!$B$4,"")</f>
        <v>154.95480000000001</v>
      </c>
      <c r="H11" s="5">
        <f>IF(ISNUMBER(G11),G11*Parametreler!$B$2,"")</f>
        <v>86309.823600000003</v>
      </c>
      <c r="I11" s="7">
        <v>1</v>
      </c>
      <c r="J11" s="4" t="s">
        <v>19</v>
      </c>
      <c r="K11" s="6">
        <f t="shared" si="0"/>
        <v>86309.823600000003</v>
      </c>
      <c r="L11" s="4" t="s">
        <v>25</v>
      </c>
      <c r="M11" s="4" t="s">
        <v>46</v>
      </c>
    </row>
    <row r="12" spans="1:13" ht="28.5">
      <c r="A12" s="4" t="s">
        <v>16</v>
      </c>
      <c r="B12" s="4" t="s">
        <v>47</v>
      </c>
      <c r="C12" s="4" t="s">
        <v>48</v>
      </c>
      <c r="D12" s="4" t="s">
        <v>49</v>
      </c>
      <c r="E12" s="5">
        <v>127</v>
      </c>
      <c r="F12" s="5">
        <f>IF(ISNUMBER(E12),E12*Parametreler!$B$3,"")</f>
        <v>41.910000000000004</v>
      </c>
      <c r="G12" s="5">
        <f>IF(ISNUMBER(F12),F12*Parametreler!$B$4,"")</f>
        <v>54.483000000000004</v>
      </c>
      <c r="H12" s="5">
        <f>IF(ISNUMBER(G12),G12*Parametreler!$B$2,"")</f>
        <v>30347.031000000003</v>
      </c>
      <c r="I12" s="7">
        <v>5</v>
      </c>
      <c r="J12" s="4" t="s">
        <v>19</v>
      </c>
      <c r="K12" s="6">
        <f t="shared" si="0"/>
        <v>151735.15500000003</v>
      </c>
      <c r="L12" s="4" t="s">
        <v>25</v>
      </c>
      <c r="M12" s="4" t="s">
        <v>50</v>
      </c>
    </row>
    <row r="13" spans="1:13">
      <c r="A13" s="4" t="s">
        <v>16</v>
      </c>
      <c r="B13" s="4" t="s">
        <v>51</v>
      </c>
      <c r="C13" s="4" t="s">
        <v>52</v>
      </c>
      <c r="D13" s="4" t="s">
        <v>53</v>
      </c>
      <c r="E13" s="5">
        <v>44.06</v>
      </c>
      <c r="F13" s="5">
        <f>IF(ISNUMBER(E13),E13*Parametreler!$B$3,"")</f>
        <v>14.539800000000001</v>
      </c>
      <c r="G13" s="5">
        <f>IF(ISNUMBER(F13),F13*Parametreler!$B$4,"")</f>
        <v>18.901740000000004</v>
      </c>
      <c r="H13" s="5">
        <f>IF(ISNUMBER(G13),G13*Parametreler!$B$2,"")</f>
        <v>10528.269180000003</v>
      </c>
      <c r="I13" s="7">
        <v>2</v>
      </c>
      <c r="J13" s="4" t="s">
        <v>19</v>
      </c>
      <c r="K13" s="6">
        <f t="shared" si="0"/>
        <v>21056.538360000006</v>
      </c>
      <c r="L13" s="4" t="s">
        <v>25</v>
      </c>
      <c r="M13" s="4" t="s">
        <v>54</v>
      </c>
    </row>
    <row r="14" spans="1:13" ht="28.5">
      <c r="A14" s="4" t="s">
        <v>16</v>
      </c>
      <c r="B14" s="4" t="s">
        <v>51</v>
      </c>
      <c r="C14" s="4" t="s">
        <v>55</v>
      </c>
      <c r="D14" s="4" t="s">
        <v>56</v>
      </c>
      <c r="E14" s="5">
        <v>9.7799999999999994</v>
      </c>
      <c r="F14" s="5">
        <f>IF(ISNUMBER(E14),E14*Parametreler!$B$3,"")</f>
        <v>3.2273999999999998</v>
      </c>
      <c r="G14" s="5">
        <f>IF(ISNUMBER(F14),F14*Parametreler!$B$4,"")</f>
        <v>4.1956199999999999</v>
      </c>
      <c r="H14" s="5">
        <f>IF(ISNUMBER(G14),G14*Parametreler!$B$2,"")</f>
        <v>2336.9603400000001</v>
      </c>
      <c r="I14" s="7">
        <v>24</v>
      </c>
      <c r="J14" s="4" t="s">
        <v>19</v>
      </c>
      <c r="K14" s="6">
        <f t="shared" si="0"/>
        <v>56087.048160000006</v>
      </c>
      <c r="L14" s="4" t="s">
        <v>25</v>
      </c>
      <c r="M14" s="4" t="s">
        <v>57</v>
      </c>
    </row>
    <row r="15" spans="1:13" ht="28.5">
      <c r="A15" s="4" t="s">
        <v>16</v>
      </c>
      <c r="B15" s="4" t="s">
        <v>58</v>
      </c>
      <c r="C15" s="4" t="s">
        <v>59</v>
      </c>
      <c r="D15" s="4" t="s">
        <v>60</v>
      </c>
      <c r="E15" s="5">
        <v>87.63</v>
      </c>
      <c r="F15" s="5">
        <f>IF(ISNUMBER(E15),E15*Parametreler!$B$3,"")</f>
        <v>28.917899999999999</v>
      </c>
      <c r="G15" s="5">
        <f>IF(ISNUMBER(F15),F15*Parametreler!$B$4,"")</f>
        <v>37.593270000000004</v>
      </c>
      <c r="H15" s="5">
        <f>IF(ISNUMBER(G15),G15*Parametreler!$B$2,"")</f>
        <v>20939.451390000002</v>
      </c>
      <c r="I15" s="7">
        <v>13</v>
      </c>
      <c r="J15" s="4" t="s">
        <v>19</v>
      </c>
      <c r="K15" s="6">
        <f t="shared" si="0"/>
        <v>272212.86807000003</v>
      </c>
      <c r="L15" s="4" t="s">
        <v>25</v>
      </c>
      <c r="M15" s="4" t="s">
        <v>61</v>
      </c>
    </row>
    <row r="16" spans="1:13">
      <c r="A16" s="4" t="s">
        <v>16</v>
      </c>
      <c r="B16" s="4" t="s">
        <v>51</v>
      </c>
      <c r="C16" s="4" t="s">
        <v>62</v>
      </c>
      <c r="D16" s="4" t="s">
        <v>63</v>
      </c>
      <c r="E16" s="5">
        <v>48.51</v>
      </c>
      <c r="F16" s="5">
        <f>IF(ISNUMBER(E16),E16*Parametreler!$B$3,"")</f>
        <v>16.008299999999998</v>
      </c>
      <c r="G16" s="5">
        <f>IF(ISNUMBER(F16),F16*Parametreler!$B$4,"")</f>
        <v>20.810789999999997</v>
      </c>
      <c r="H16" s="5">
        <f>IF(ISNUMBER(G16),G16*Parametreler!$B$2,"")</f>
        <v>11591.610029999998</v>
      </c>
      <c r="I16" s="7">
        <v>1</v>
      </c>
      <c r="J16" s="4" t="s">
        <v>19</v>
      </c>
      <c r="K16" s="6">
        <f t="shared" si="0"/>
        <v>11591.610029999998</v>
      </c>
      <c r="L16" s="4" t="s">
        <v>25</v>
      </c>
      <c r="M16" s="4" t="s">
        <v>64</v>
      </c>
    </row>
    <row r="17" spans="1:13" ht="28.5">
      <c r="A17" s="4" t="s">
        <v>16</v>
      </c>
      <c r="B17" s="4" t="s">
        <v>65</v>
      </c>
      <c r="C17" s="4"/>
      <c r="D17" s="4" t="s">
        <v>66</v>
      </c>
      <c r="E17" s="5"/>
      <c r="F17" s="5" t="str">
        <f>IF(ISNUMBER(E17),E17*Parametreler!$B$3,"")</f>
        <v/>
      </c>
      <c r="G17" s="5" t="str">
        <f>IF(ISNUMBER(F17),F17*Parametreler!$B$4,"")</f>
        <v/>
      </c>
      <c r="H17" s="5" t="str">
        <f>IF(ISNUMBER(G17),G17*Parametreler!$B$2,"")</f>
        <v/>
      </c>
      <c r="I17" s="7">
        <v>1</v>
      </c>
      <c r="J17" s="4" t="s">
        <v>67</v>
      </c>
      <c r="K17" s="6" t="str">
        <f t="shared" si="0"/>
        <v/>
      </c>
      <c r="L17" s="4" t="s">
        <v>68</v>
      </c>
      <c r="M17" s="4" t="s">
        <v>69</v>
      </c>
    </row>
    <row r="18" spans="1:13">
      <c r="A18" s="4" t="s">
        <v>16</v>
      </c>
      <c r="B18" s="4" t="s">
        <v>70</v>
      </c>
      <c r="C18" s="4"/>
      <c r="D18" s="4" t="s">
        <v>71</v>
      </c>
      <c r="E18" s="5"/>
      <c r="F18" s="5" t="str">
        <f>IF(ISNUMBER(E18),E18*Parametreler!$B$3,"")</f>
        <v/>
      </c>
      <c r="G18" s="5" t="str">
        <f>IF(ISNUMBER(F18),F18*Parametreler!$B$4,"")</f>
        <v/>
      </c>
      <c r="H18" s="5" t="str">
        <f>IF(ISNUMBER(G18),G18*Parametreler!$B$2,"")</f>
        <v/>
      </c>
      <c r="I18" s="7">
        <v>1</v>
      </c>
      <c r="J18" s="4" t="s">
        <v>67</v>
      </c>
      <c r="K18" s="6" t="str">
        <f t="shared" si="0"/>
        <v/>
      </c>
      <c r="L18" s="4" t="s">
        <v>72</v>
      </c>
      <c r="M18" s="4" t="s">
        <v>69</v>
      </c>
    </row>
    <row r="19" spans="1:13" ht="30">
      <c r="A19" s="12" t="s">
        <v>73</v>
      </c>
      <c r="B19" s="12"/>
      <c r="C19" s="12"/>
      <c r="D19" s="12"/>
      <c r="E19" s="13"/>
      <c r="F19" s="13"/>
      <c r="G19" s="13"/>
      <c r="H19" s="13"/>
      <c r="I19" s="14"/>
      <c r="J19" s="12"/>
      <c r="K19" s="15">
        <f>SUM(K5:K18)</f>
        <v>1000305.23412</v>
      </c>
      <c r="L19" s="12"/>
      <c r="M19" s="12"/>
    </row>
    <row r="20" spans="1:13" ht="15">
      <c r="A20" s="8" t="s">
        <v>74</v>
      </c>
      <c r="B20" s="8"/>
      <c r="C20" s="8"/>
      <c r="D20" s="8" t="s">
        <v>74</v>
      </c>
      <c r="E20" s="9"/>
      <c r="F20" s="9"/>
      <c r="G20" s="9"/>
      <c r="H20" s="9"/>
      <c r="I20" s="10"/>
      <c r="J20" s="8"/>
      <c r="K20" s="11"/>
      <c r="L20" s="8"/>
      <c r="M20" s="8"/>
    </row>
    <row r="21" spans="1:13">
      <c r="A21" s="4" t="s">
        <v>75</v>
      </c>
      <c r="B21" s="4" t="s">
        <v>17</v>
      </c>
      <c r="C21" s="4"/>
      <c r="D21" s="4" t="s">
        <v>161</v>
      </c>
      <c r="E21" s="5"/>
      <c r="F21" s="5" t="str">
        <f>IF(ISNUMBER(E21),E21*Parametreler!$B$3,"")</f>
        <v/>
      </c>
      <c r="G21" s="5" t="str">
        <f>IF(ISNUMBER(F21),F21*Parametreler!$B$4,"")</f>
        <v/>
      </c>
      <c r="H21" s="5" t="str">
        <f>IF(ISNUMBER(G21),G21*Parametreler!$B$2,"")</f>
        <v/>
      </c>
      <c r="I21" s="7">
        <v>1</v>
      </c>
      <c r="J21" s="4" t="s">
        <v>19</v>
      </c>
      <c r="K21" s="6" t="str">
        <f t="shared" ref="K21" si="1">IF(ISNUMBER(H21),H21*I21,"")</f>
        <v/>
      </c>
      <c r="L21" s="4" t="s">
        <v>20</v>
      </c>
      <c r="M21" s="4" t="s">
        <v>21</v>
      </c>
    </row>
    <row r="22" spans="1:13">
      <c r="A22" s="4" t="s">
        <v>75</v>
      </c>
      <c r="B22" s="4" t="s">
        <v>27</v>
      </c>
      <c r="C22" s="4" t="s">
        <v>28</v>
      </c>
      <c r="D22" s="4" t="s">
        <v>29</v>
      </c>
      <c r="E22" s="5">
        <v>709.9</v>
      </c>
      <c r="F22" s="5">
        <f>IF(ISNUMBER(E22),E22*Parametreler!$B$3,"")</f>
        <v>234.267</v>
      </c>
      <c r="G22" s="5">
        <f>IF(ISNUMBER(F22),F22*Parametreler!$B$4,"")</f>
        <v>304.5471</v>
      </c>
      <c r="H22" s="5">
        <f>IF(ISNUMBER(G22),G22*Parametreler!$B$2,"")</f>
        <v>169632.7347</v>
      </c>
      <c r="I22" s="7">
        <v>1</v>
      </c>
      <c r="J22" s="4" t="s">
        <v>19</v>
      </c>
      <c r="K22" s="6">
        <f t="shared" ref="K22:K27" si="2">IF(ISNUMBER(H22),H22*I22,"")</f>
        <v>169632.7347</v>
      </c>
      <c r="L22" s="4" t="s">
        <v>25</v>
      </c>
      <c r="M22" s="4" t="s">
        <v>76</v>
      </c>
    </row>
    <row r="23" spans="1:13">
      <c r="A23" s="4" t="s">
        <v>75</v>
      </c>
      <c r="B23" s="4" t="s">
        <v>43</v>
      </c>
      <c r="C23" s="4" t="s">
        <v>44</v>
      </c>
      <c r="D23" s="4" t="s">
        <v>45</v>
      </c>
      <c r="E23" s="5">
        <v>361.2</v>
      </c>
      <c r="F23" s="5">
        <f>IF(ISNUMBER(E23),E23*Parametreler!$B$3,"")</f>
        <v>119.196</v>
      </c>
      <c r="G23" s="5">
        <f>IF(ISNUMBER(F23),F23*Parametreler!$B$4,"")</f>
        <v>154.95480000000001</v>
      </c>
      <c r="H23" s="5">
        <f>IF(ISNUMBER(G23),G23*Parametreler!$B$2,"")</f>
        <v>86309.823600000003</v>
      </c>
      <c r="I23" s="7">
        <v>1</v>
      </c>
      <c r="J23" s="4" t="s">
        <v>19</v>
      </c>
      <c r="K23" s="6">
        <f t="shared" si="2"/>
        <v>86309.823600000003</v>
      </c>
      <c r="L23" s="4" t="s">
        <v>25</v>
      </c>
      <c r="M23" s="4" t="s">
        <v>77</v>
      </c>
    </row>
    <row r="24" spans="1:13">
      <c r="A24" s="4" t="s">
        <v>75</v>
      </c>
      <c r="B24" s="4" t="s">
        <v>51</v>
      </c>
      <c r="C24" s="4" t="s">
        <v>62</v>
      </c>
      <c r="D24" s="4" t="s">
        <v>63</v>
      </c>
      <c r="E24" s="5">
        <v>48.51</v>
      </c>
      <c r="F24" s="5">
        <f>IF(ISNUMBER(E24),E24*Parametreler!$B$3,"")</f>
        <v>16.008299999999998</v>
      </c>
      <c r="G24" s="5">
        <f>IF(ISNUMBER(F24),F24*Parametreler!$B$4,"")</f>
        <v>20.810789999999997</v>
      </c>
      <c r="H24" s="5">
        <f>IF(ISNUMBER(G24),G24*Parametreler!$B$2,"")</f>
        <v>11591.610029999998</v>
      </c>
      <c r="I24" s="7">
        <v>1</v>
      </c>
      <c r="J24" s="4" t="s">
        <v>19</v>
      </c>
      <c r="K24" s="6">
        <f t="shared" si="2"/>
        <v>11591.610029999998</v>
      </c>
      <c r="L24" s="4" t="s">
        <v>25</v>
      </c>
      <c r="M24" s="4" t="s">
        <v>78</v>
      </c>
    </row>
    <row r="25" spans="1:13">
      <c r="A25" s="4" t="s">
        <v>75</v>
      </c>
      <c r="B25" s="4" t="s">
        <v>58</v>
      </c>
      <c r="C25" s="4" t="s">
        <v>59</v>
      </c>
      <c r="D25" s="4" t="s">
        <v>60</v>
      </c>
      <c r="E25" s="5">
        <v>87.63</v>
      </c>
      <c r="F25" s="5">
        <f>IF(ISNUMBER(E25),E25*Parametreler!$B$3,"")</f>
        <v>28.917899999999999</v>
      </c>
      <c r="G25" s="5">
        <f>IF(ISNUMBER(F25),F25*Parametreler!$B$4,"")</f>
        <v>37.593270000000004</v>
      </c>
      <c r="H25" s="5">
        <f>IF(ISNUMBER(G25),G25*Parametreler!$B$2,"")</f>
        <v>20939.451390000002</v>
      </c>
      <c r="I25" s="7">
        <v>10</v>
      </c>
      <c r="J25" s="4" t="s">
        <v>19</v>
      </c>
      <c r="K25" s="6">
        <f t="shared" si="2"/>
        <v>209394.51390000002</v>
      </c>
      <c r="L25" s="4" t="s">
        <v>25</v>
      </c>
      <c r="M25" s="4" t="s">
        <v>79</v>
      </c>
    </row>
    <row r="26" spans="1:13" ht="28.5">
      <c r="A26" s="4" t="s">
        <v>75</v>
      </c>
      <c r="B26" s="4" t="s">
        <v>65</v>
      </c>
      <c r="C26" s="4"/>
      <c r="D26" s="4" t="s">
        <v>66</v>
      </c>
      <c r="E26" s="5"/>
      <c r="F26" s="5" t="str">
        <f>IF(ISNUMBER(E26),E26*Parametreler!$B$3,"")</f>
        <v/>
      </c>
      <c r="G26" s="5" t="str">
        <f>IF(ISNUMBER(F26),F26*Parametreler!$B$4,"")</f>
        <v/>
      </c>
      <c r="H26" s="5" t="str">
        <f>IF(ISNUMBER(G26),G26*Parametreler!$B$2,"")</f>
        <v/>
      </c>
      <c r="I26" s="7">
        <v>1</v>
      </c>
      <c r="J26" s="4" t="s">
        <v>67</v>
      </c>
      <c r="K26" s="6" t="str">
        <f t="shared" si="2"/>
        <v/>
      </c>
      <c r="L26" s="4" t="s">
        <v>68</v>
      </c>
      <c r="M26" s="4" t="s">
        <v>69</v>
      </c>
    </row>
    <row r="27" spans="1:13">
      <c r="A27" s="4" t="s">
        <v>75</v>
      </c>
      <c r="B27" s="4" t="s">
        <v>70</v>
      </c>
      <c r="C27" s="4"/>
      <c r="D27" s="4" t="s">
        <v>71</v>
      </c>
      <c r="E27" s="5"/>
      <c r="F27" s="5" t="str">
        <f>IF(ISNUMBER(E27),E27*Parametreler!$B$3,"")</f>
        <v/>
      </c>
      <c r="G27" s="5" t="str">
        <f>IF(ISNUMBER(F27),F27*Parametreler!$B$4,"")</f>
        <v/>
      </c>
      <c r="H27" s="5" t="str">
        <f>IF(ISNUMBER(G27),G27*Parametreler!$B$2,"")</f>
        <v/>
      </c>
      <c r="I27" s="7">
        <v>1</v>
      </c>
      <c r="J27" s="4" t="s">
        <v>67</v>
      </c>
      <c r="K27" s="6" t="str">
        <f t="shared" si="2"/>
        <v/>
      </c>
      <c r="L27" s="4" t="s">
        <v>72</v>
      </c>
      <c r="M27" s="4" t="s">
        <v>69</v>
      </c>
    </row>
    <row r="28" spans="1:13" ht="30">
      <c r="A28" s="12" t="s">
        <v>80</v>
      </c>
      <c r="B28" s="12"/>
      <c r="C28" s="12"/>
      <c r="D28" s="12"/>
      <c r="E28" s="13"/>
      <c r="F28" s="13"/>
      <c r="G28" s="13"/>
      <c r="H28" s="13"/>
      <c r="I28" s="14"/>
      <c r="J28" s="12"/>
      <c r="K28" s="15">
        <f>SUM(K22:K27)</f>
        <v>476928.68223000003</v>
      </c>
      <c r="L28" s="12"/>
      <c r="M28" s="12"/>
    </row>
    <row r="29" spans="1:13" ht="31.5">
      <c r="A29" s="16" t="s">
        <v>81</v>
      </c>
      <c r="B29" s="16"/>
      <c r="C29" s="16"/>
      <c r="D29" s="16"/>
      <c r="E29" s="17"/>
      <c r="F29" s="17"/>
      <c r="G29" s="17"/>
      <c r="H29" s="17"/>
      <c r="I29" s="18"/>
      <c r="J29" s="16"/>
      <c r="K29" s="19">
        <f>K19+K28</f>
        <v>1477233.9163500001</v>
      </c>
      <c r="L29" s="16"/>
      <c r="M29" s="16"/>
    </row>
  </sheetData>
  <mergeCells count="2">
    <mergeCell ref="A1:M1"/>
    <mergeCell ref="A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B3" sqref="B3"/>
    </sheetView>
  </sheetViews>
  <sheetFormatPr defaultRowHeight="14.25"/>
  <cols>
    <col min="1" max="2" width="24" customWidth="1"/>
    <col min="3" max="3" width="55" customWidth="1"/>
  </cols>
  <sheetData>
    <row r="1" spans="1:3" ht="15">
      <c r="A1" s="1" t="s">
        <v>82</v>
      </c>
      <c r="B1" s="1" t="s">
        <v>83</v>
      </c>
      <c r="C1" s="1" t="s">
        <v>14</v>
      </c>
    </row>
    <row r="2" spans="1:3">
      <c r="A2" t="s">
        <v>84</v>
      </c>
      <c r="B2">
        <v>557</v>
      </c>
      <c r="C2" t="s">
        <v>85</v>
      </c>
    </row>
    <row r="3" spans="1:3">
      <c r="A3" t="s">
        <v>86</v>
      </c>
      <c r="B3">
        <v>0.33</v>
      </c>
      <c r="C3" t="s">
        <v>87</v>
      </c>
    </row>
    <row r="4" spans="1:3">
      <c r="A4" t="s">
        <v>88</v>
      </c>
      <c r="B4">
        <v>1.3</v>
      </c>
      <c r="C4" t="s">
        <v>89</v>
      </c>
    </row>
    <row r="5" spans="1:3">
      <c r="A5" t="s">
        <v>90</v>
      </c>
      <c r="B5">
        <f>B2*B3*B4</f>
        <v>238.953</v>
      </c>
      <c r="C5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defaultRowHeight="14.25"/>
  <cols>
    <col min="1" max="1" width="6" customWidth="1"/>
    <col min="2" max="2" width="95" customWidth="1"/>
    <col min="3" max="3" width="18" customWidth="1"/>
  </cols>
  <sheetData>
    <row r="1" spans="1:3" ht="15">
      <c r="A1" s="20" t="s">
        <v>92</v>
      </c>
      <c r="B1" s="20" t="s">
        <v>93</v>
      </c>
      <c r="C1" s="20" t="s">
        <v>94</v>
      </c>
    </row>
    <row r="2" spans="1:3">
      <c r="A2" s="3">
        <v>1</v>
      </c>
      <c r="B2" s="3" t="s">
        <v>95</v>
      </c>
      <c r="C2" s="3" t="s">
        <v>96</v>
      </c>
    </row>
    <row r="3" spans="1:3" ht="28.5">
      <c r="A3" s="3">
        <v>2</v>
      </c>
      <c r="B3" s="3" t="s">
        <v>97</v>
      </c>
      <c r="C3" s="3" t="s">
        <v>96</v>
      </c>
    </row>
    <row r="4" spans="1:3">
      <c r="A4" s="3">
        <v>3</v>
      </c>
      <c r="B4" s="3" t="s">
        <v>98</v>
      </c>
      <c r="C4" s="3" t="s">
        <v>96</v>
      </c>
    </row>
    <row r="5" spans="1:3" ht="28.5">
      <c r="A5" s="3">
        <v>4</v>
      </c>
      <c r="B5" s="3" t="s">
        <v>99</v>
      </c>
      <c r="C5" s="3" t="s">
        <v>100</v>
      </c>
    </row>
    <row r="6" spans="1:3" ht="28.5">
      <c r="A6" s="3">
        <v>5</v>
      </c>
      <c r="B6" s="3" t="s">
        <v>101</v>
      </c>
      <c r="C6" s="3" t="s">
        <v>96</v>
      </c>
    </row>
    <row r="7" spans="1:3">
      <c r="A7" s="3">
        <v>6</v>
      </c>
      <c r="B7" s="3" t="s">
        <v>102</v>
      </c>
      <c r="C7" s="3" t="s">
        <v>103</v>
      </c>
    </row>
    <row r="8" spans="1:3" ht="28.5">
      <c r="A8" s="3">
        <v>7</v>
      </c>
      <c r="B8" s="3" t="s">
        <v>104</v>
      </c>
      <c r="C8" s="3" t="s">
        <v>96</v>
      </c>
    </row>
    <row r="9" spans="1:3">
      <c r="A9" s="3">
        <v>8</v>
      </c>
      <c r="B9" s="3" t="s">
        <v>105</v>
      </c>
      <c r="C9" s="3" t="s">
        <v>96</v>
      </c>
    </row>
    <row r="10" spans="1:3" ht="28.5">
      <c r="A10" s="3">
        <v>9</v>
      </c>
      <c r="B10" s="3" t="s">
        <v>106</v>
      </c>
      <c r="C10" s="3" t="s">
        <v>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workbookViewId="0"/>
  </sheetViews>
  <sheetFormatPr defaultRowHeight="14.25"/>
  <cols>
    <col min="1" max="1" width="25" customWidth="1"/>
    <col min="2" max="2" width="32" customWidth="1"/>
    <col min="3" max="3" width="35" customWidth="1"/>
    <col min="4" max="4" width="28" customWidth="1"/>
  </cols>
  <sheetData>
    <row r="1" spans="1:4" ht="15">
      <c r="A1" s="20" t="s">
        <v>108</v>
      </c>
      <c r="B1" s="20" t="s">
        <v>109</v>
      </c>
      <c r="C1" s="20" t="s">
        <v>110</v>
      </c>
      <c r="D1" s="20" t="s">
        <v>111</v>
      </c>
    </row>
    <row r="2" spans="1:4">
      <c r="A2" s="3" t="s">
        <v>112</v>
      </c>
      <c r="B2" s="3" t="s">
        <v>113</v>
      </c>
      <c r="C2" s="3" t="s">
        <v>114</v>
      </c>
      <c r="D2" s="3" t="s">
        <v>115</v>
      </c>
    </row>
    <row r="3" spans="1:4">
      <c r="A3" s="3" t="s">
        <v>112</v>
      </c>
      <c r="B3" s="3" t="s">
        <v>116</v>
      </c>
      <c r="C3" s="3" t="s">
        <v>117</v>
      </c>
      <c r="D3" s="3" t="s">
        <v>118</v>
      </c>
    </row>
    <row r="4" spans="1:4" ht="28.5">
      <c r="A4" s="3" t="s">
        <v>119</v>
      </c>
      <c r="B4" s="3" t="s">
        <v>120</v>
      </c>
      <c r="C4" s="3" t="s">
        <v>121</v>
      </c>
      <c r="D4" s="3" t="s">
        <v>122</v>
      </c>
    </row>
    <row r="5" spans="1:4">
      <c r="A5" s="3" t="s">
        <v>123</v>
      </c>
      <c r="B5" s="3" t="s">
        <v>124</v>
      </c>
      <c r="C5" s="3" t="s">
        <v>125</v>
      </c>
      <c r="D5" s="3" t="s">
        <v>126</v>
      </c>
    </row>
    <row r="6" spans="1:4">
      <c r="A6" s="3" t="s">
        <v>127</v>
      </c>
      <c r="B6" s="3" t="s">
        <v>128</v>
      </c>
      <c r="C6" s="3" t="s">
        <v>129</v>
      </c>
      <c r="D6" s="3" t="s">
        <v>126</v>
      </c>
    </row>
    <row r="7" spans="1:4">
      <c r="A7" s="3" t="s">
        <v>130</v>
      </c>
      <c r="B7" s="3" t="s">
        <v>131</v>
      </c>
      <c r="C7" s="3" t="s">
        <v>132</v>
      </c>
      <c r="D7" s="3" t="s">
        <v>133</v>
      </c>
    </row>
    <row r="8" spans="1:4">
      <c r="A8" s="3" t="s">
        <v>134</v>
      </c>
      <c r="B8" s="3" t="s">
        <v>135</v>
      </c>
      <c r="C8" s="3" t="s">
        <v>136</v>
      </c>
      <c r="D8" s="3" t="s">
        <v>137</v>
      </c>
    </row>
    <row r="9" spans="1:4">
      <c r="A9" s="3" t="s">
        <v>138</v>
      </c>
      <c r="B9" s="3" t="s">
        <v>139</v>
      </c>
      <c r="C9" s="3" t="s">
        <v>132</v>
      </c>
      <c r="D9" s="3" t="s">
        <v>133</v>
      </c>
    </row>
    <row r="10" spans="1:4">
      <c r="A10" s="3" t="s">
        <v>140</v>
      </c>
      <c r="B10" s="3" t="s">
        <v>141</v>
      </c>
      <c r="C10" s="3" t="s">
        <v>142</v>
      </c>
      <c r="D10" s="3" t="s">
        <v>143</v>
      </c>
    </row>
    <row r="11" spans="1:4">
      <c r="A11" s="3" t="s">
        <v>144</v>
      </c>
      <c r="B11" s="3" t="s">
        <v>141</v>
      </c>
      <c r="C11" s="3" t="s">
        <v>145</v>
      </c>
      <c r="D11" s="3" t="s">
        <v>146</v>
      </c>
    </row>
    <row r="12" spans="1:4">
      <c r="A12" s="3" t="s">
        <v>147</v>
      </c>
      <c r="B12" s="3" t="s">
        <v>148</v>
      </c>
      <c r="C12" s="3" t="s">
        <v>149</v>
      </c>
      <c r="D12" s="3" t="s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workbookViewId="0"/>
  </sheetViews>
  <sheetFormatPr defaultRowHeight="14.25"/>
  <cols>
    <col min="1" max="1" width="22" customWidth="1"/>
    <col min="2" max="2" width="50" customWidth="1"/>
    <col min="3" max="3" width="22" customWidth="1"/>
    <col min="4" max="5" width="10" customWidth="1"/>
    <col min="6" max="8" width="14" customWidth="1"/>
    <col min="9" max="9" width="16" customWidth="1"/>
    <col min="10" max="10" width="25" customWidth="1"/>
    <col min="11" max="11" width="50" customWidth="1"/>
  </cols>
  <sheetData>
    <row r="1" spans="1:11" ht="30">
      <c r="A1" s="20" t="s">
        <v>151</v>
      </c>
      <c r="B1" s="20" t="s">
        <v>5</v>
      </c>
      <c r="C1" s="20" t="s">
        <v>3</v>
      </c>
      <c r="D1" s="20" t="s">
        <v>152</v>
      </c>
      <c r="E1" s="20" t="s">
        <v>11</v>
      </c>
      <c r="F1" s="20" t="s">
        <v>153</v>
      </c>
      <c r="G1" s="20" t="s">
        <v>154</v>
      </c>
      <c r="H1" s="20" t="s">
        <v>12</v>
      </c>
      <c r="I1" s="20" t="s">
        <v>13</v>
      </c>
      <c r="J1" s="20" t="s">
        <v>155</v>
      </c>
      <c r="K1" s="20" t="s">
        <v>14</v>
      </c>
    </row>
    <row r="2" spans="1:11" ht="28.5">
      <c r="A2" s="3"/>
      <c r="B2" s="3" t="s">
        <v>18</v>
      </c>
      <c r="C2" s="3" t="s">
        <v>17</v>
      </c>
      <c r="D2" s="22">
        <v>1</v>
      </c>
      <c r="E2" s="3" t="s">
        <v>19</v>
      </c>
      <c r="F2" s="21"/>
      <c r="G2" s="21" t="str">
        <f>IF(ISNUMBER(F2),F2*Parametreler!$B$5,"")</f>
        <v/>
      </c>
      <c r="H2" s="21" t="str">
        <f t="shared" ref="H2:H15" si="0">IF(ISNUMBER(G2),G2*D2,"")</f>
        <v/>
      </c>
      <c r="I2" s="3" t="s">
        <v>20</v>
      </c>
      <c r="J2" s="3" t="s">
        <v>16</v>
      </c>
      <c r="K2" s="3" t="s">
        <v>21</v>
      </c>
    </row>
    <row r="3" spans="1:11">
      <c r="A3" s="3" t="s">
        <v>23</v>
      </c>
      <c r="B3" s="3" t="s">
        <v>24</v>
      </c>
      <c r="C3" s="3" t="s">
        <v>22</v>
      </c>
      <c r="D3" s="22">
        <v>1</v>
      </c>
      <c r="E3" s="3" t="s">
        <v>19</v>
      </c>
      <c r="F3" s="21">
        <v>246.1</v>
      </c>
      <c r="G3" s="21">
        <f>IF(ISNUMBER(F3),F3*Parametreler!$B$5,"")</f>
        <v>58806.333299999998</v>
      </c>
      <c r="H3" s="21">
        <f t="shared" si="0"/>
        <v>58806.333299999998</v>
      </c>
      <c r="I3" s="3" t="s">
        <v>25</v>
      </c>
      <c r="J3" s="3" t="s">
        <v>16</v>
      </c>
      <c r="K3" s="3" t="s">
        <v>26</v>
      </c>
    </row>
    <row r="4" spans="1:11" ht="28.5">
      <c r="A4" s="3" t="s">
        <v>28</v>
      </c>
      <c r="B4" s="3" t="s">
        <v>29</v>
      </c>
      <c r="C4" s="3" t="s">
        <v>27</v>
      </c>
      <c r="D4" s="22">
        <v>2</v>
      </c>
      <c r="E4" s="3" t="s">
        <v>19</v>
      </c>
      <c r="F4" s="21">
        <v>709.9</v>
      </c>
      <c r="G4" s="21">
        <f>IF(ISNUMBER(F4),F4*Parametreler!$B$5,"")</f>
        <v>169632.7347</v>
      </c>
      <c r="H4" s="21">
        <f t="shared" si="0"/>
        <v>339265.4694</v>
      </c>
      <c r="I4" s="3" t="s">
        <v>25</v>
      </c>
      <c r="J4" s="3" t="s">
        <v>156</v>
      </c>
      <c r="K4" s="3" t="s">
        <v>157</v>
      </c>
    </row>
    <row r="5" spans="1:11" ht="28.5">
      <c r="A5" s="3"/>
      <c r="B5" s="3" t="s">
        <v>32</v>
      </c>
      <c r="C5" s="3" t="s">
        <v>31</v>
      </c>
      <c r="D5" s="22">
        <v>3</v>
      </c>
      <c r="E5" s="3" t="s">
        <v>19</v>
      </c>
      <c r="F5" s="21"/>
      <c r="G5" s="21" t="str">
        <f>IF(ISNUMBER(F5),F5*Parametreler!$B$5,"")</f>
        <v/>
      </c>
      <c r="H5" s="21" t="str">
        <f t="shared" si="0"/>
        <v/>
      </c>
      <c r="I5" s="3" t="s">
        <v>33</v>
      </c>
      <c r="J5" s="3" t="s">
        <v>16</v>
      </c>
      <c r="K5" s="3" t="s">
        <v>34</v>
      </c>
    </row>
    <row r="6" spans="1:11" ht="28.5">
      <c r="A6" s="3" t="s">
        <v>36</v>
      </c>
      <c r="B6" s="3" t="s">
        <v>37</v>
      </c>
      <c r="C6" s="3" t="s">
        <v>35</v>
      </c>
      <c r="D6" s="22">
        <v>1</v>
      </c>
      <c r="E6" s="3" t="s">
        <v>19</v>
      </c>
      <c r="F6" s="21">
        <v>131.19999999999999</v>
      </c>
      <c r="G6" s="21">
        <f>IF(ISNUMBER(F6),F6*Parametreler!$B$5,"")</f>
        <v>31350.633599999997</v>
      </c>
      <c r="H6" s="21">
        <f t="shared" si="0"/>
        <v>31350.633599999997</v>
      </c>
      <c r="I6" s="3" t="s">
        <v>25</v>
      </c>
      <c r="J6" s="3" t="s">
        <v>16</v>
      </c>
      <c r="K6" s="3" t="s">
        <v>38</v>
      </c>
    </row>
    <row r="7" spans="1:11">
      <c r="A7" s="3" t="s">
        <v>40</v>
      </c>
      <c r="B7" s="3" t="s">
        <v>41</v>
      </c>
      <c r="C7" s="3" t="s">
        <v>39</v>
      </c>
      <c r="D7" s="22">
        <v>1</v>
      </c>
      <c r="E7" s="3" t="s">
        <v>19</v>
      </c>
      <c r="F7" s="21">
        <v>498.1</v>
      </c>
      <c r="G7" s="21">
        <f>IF(ISNUMBER(F7),F7*Parametreler!$B$5,"")</f>
        <v>119022.4893</v>
      </c>
      <c r="H7" s="21">
        <f t="shared" si="0"/>
        <v>119022.4893</v>
      </c>
      <c r="I7" s="3" t="s">
        <v>25</v>
      </c>
      <c r="J7" s="3" t="s">
        <v>16</v>
      </c>
      <c r="K7" s="3" t="s">
        <v>42</v>
      </c>
    </row>
    <row r="8" spans="1:11" ht="28.5">
      <c r="A8" s="3" t="s">
        <v>44</v>
      </c>
      <c r="B8" s="3" t="s">
        <v>45</v>
      </c>
      <c r="C8" s="3" t="s">
        <v>43</v>
      </c>
      <c r="D8" s="22">
        <v>2</v>
      </c>
      <c r="E8" s="3" t="s">
        <v>19</v>
      </c>
      <c r="F8" s="21">
        <v>361.2</v>
      </c>
      <c r="G8" s="21">
        <f>IF(ISNUMBER(F8),F8*Parametreler!$B$5,"")</f>
        <v>86309.823600000003</v>
      </c>
      <c r="H8" s="21">
        <f t="shared" si="0"/>
        <v>172619.64720000001</v>
      </c>
      <c r="I8" s="3" t="s">
        <v>25</v>
      </c>
      <c r="J8" s="3" t="s">
        <v>156</v>
      </c>
      <c r="K8" s="3" t="s">
        <v>158</v>
      </c>
    </row>
    <row r="9" spans="1:11" ht="28.5">
      <c r="A9" s="3" t="s">
        <v>48</v>
      </c>
      <c r="B9" s="3" t="s">
        <v>49</v>
      </c>
      <c r="C9" s="3" t="s">
        <v>47</v>
      </c>
      <c r="D9" s="22">
        <v>5</v>
      </c>
      <c r="E9" s="3" t="s">
        <v>19</v>
      </c>
      <c r="F9" s="21"/>
      <c r="G9" s="21" t="str">
        <f>IF(ISNUMBER(F9),F9*Parametreler!$B$5,"")</f>
        <v/>
      </c>
      <c r="H9" s="21" t="str">
        <f t="shared" si="0"/>
        <v/>
      </c>
      <c r="I9" s="3" t="s">
        <v>25</v>
      </c>
      <c r="J9" s="3" t="s">
        <v>16</v>
      </c>
      <c r="K9" s="3" t="s">
        <v>50</v>
      </c>
    </row>
    <row r="10" spans="1:11">
      <c r="A10" s="3" t="s">
        <v>52</v>
      </c>
      <c r="B10" s="3" t="s">
        <v>53</v>
      </c>
      <c r="C10" s="3" t="s">
        <v>51</v>
      </c>
      <c r="D10" s="22">
        <v>2</v>
      </c>
      <c r="E10" s="3" t="s">
        <v>19</v>
      </c>
      <c r="F10" s="21">
        <v>44.06</v>
      </c>
      <c r="G10" s="21">
        <f>IF(ISNUMBER(F10),F10*Parametreler!$B$5,"")</f>
        <v>10528.269180000001</v>
      </c>
      <c r="H10" s="21">
        <f t="shared" si="0"/>
        <v>21056.538360000002</v>
      </c>
      <c r="I10" s="3" t="s">
        <v>25</v>
      </c>
      <c r="J10" s="3" t="s">
        <v>16</v>
      </c>
      <c r="K10" s="3" t="s">
        <v>54</v>
      </c>
    </row>
    <row r="11" spans="1:11">
      <c r="A11" s="3" t="s">
        <v>55</v>
      </c>
      <c r="B11" s="3" t="s">
        <v>56</v>
      </c>
      <c r="C11" s="3" t="s">
        <v>51</v>
      </c>
      <c r="D11" s="22">
        <v>24</v>
      </c>
      <c r="E11" s="3" t="s">
        <v>19</v>
      </c>
      <c r="F11" s="21">
        <v>9.7799999999999994</v>
      </c>
      <c r="G11" s="21">
        <f>IF(ISNUMBER(F11),F11*Parametreler!$B$5,"")</f>
        <v>2336.9603400000001</v>
      </c>
      <c r="H11" s="21">
        <f t="shared" si="0"/>
        <v>56087.048160000006</v>
      </c>
      <c r="I11" s="3" t="s">
        <v>25</v>
      </c>
      <c r="J11" s="3" t="s">
        <v>16</v>
      </c>
      <c r="K11" s="3" t="s">
        <v>57</v>
      </c>
    </row>
    <row r="12" spans="1:11" ht="28.5">
      <c r="A12" s="3" t="s">
        <v>59</v>
      </c>
      <c r="B12" s="3" t="s">
        <v>60</v>
      </c>
      <c r="C12" s="3" t="s">
        <v>58</v>
      </c>
      <c r="D12" s="22">
        <v>25</v>
      </c>
      <c r="E12" s="3" t="s">
        <v>19</v>
      </c>
      <c r="F12" s="21">
        <v>87.63</v>
      </c>
      <c r="G12" s="21">
        <f>IF(ISNUMBER(F12),F12*Parametreler!$B$5,"")</f>
        <v>20939.451389999998</v>
      </c>
      <c r="H12" s="21">
        <f t="shared" si="0"/>
        <v>523486.28474999993</v>
      </c>
      <c r="I12" s="3" t="s">
        <v>25</v>
      </c>
      <c r="J12" s="3" t="s">
        <v>156</v>
      </c>
      <c r="K12" s="3" t="s">
        <v>159</v>
      </c>
    </row>
    <row r="13" spans="1:11" ht="28.5">
      <c r="A13" s="3" t="s">
        <v>62</v>
      </c>
      <c r="B13" s="3" t="s">
        <v>63</v>
      </c>
      <c r="C13" s="3" t="s">
        <v>51</v>
      </c>
      <c r="D13" s="22">
        <v>2</v>
      </c>
      <c r="E13" s="3" t="s">
        <v>19</v>
      </c>
      <c r="F13" s="21">
        <v>48.51</v>
      </c>
      <c r="G13" s="21">
        <f>IF(ISNUMBER(F13),F13*Parametreler!$B$5,"")</f>
        <v>11591.61003</v>
      </c>
      <c r="H13" s="21">
        <f t="shared" si="0"/>
        <v>23183.22006</v>
      </c>
      <c r="I13" s="3" t="s">
        <v>25</v>
      </c>
      <c r="J13" s="3" t="s">
        <v>156</v>
      </c>
      <c r="K13" s="3" t="s">
        <v>160</v>
      </c>
    </row>
    <row r="14" spans="1:11" ht="28.5">
      <c r="A14" s="3"/>
      <c r="B14" s="3" t="s">
        <v>66</v>
      </c>
      <c r="C14" s="3" t="s">
        <v>65</v>
      </c>
      <c r="D14" s="22">
        <v>2</v>
      </c>
      <c r="E14" s="3" t="s">
        <v>67</v>
      </c>
      <c r="F14" s="21"/>
      <c r="G14" s="21" t="str">
        <f>IF(ISNUMBER(F14),F14*Parametreler!$B$5,"")</f>
        <v/>
      </c>
      <c r="H14" s="21" t="str">
        <f t="shared" si="0"/>
        <v/>
      </c>
      <c r="I14" s="3" t="s">
        <v>68</v>
      </c>
      <c r="J14" s="3" t="s">
        <v>156</v>
      </c>
      <c r="K14" s="3" t="s">
        <v>69</v>
      </c>
    </row>
    <row r="15" spans="1:11" ht="28.5">
      <c r="A15" s="3"/>
      <c r="B15" s="3" t="s">
        <v>71</v>
      </c>
      <c r="C15" s="3" t="s">
        <v>70</v>
      </c>
      <c r="D15" s="22">
        <v>2</v>
      </c>
      <c r="E15" s="3" t="s">
        <v>67</v>
      </c>
      <c r="F15" s="21"/>
      <c r="G15" s="21" t="str">
        <f>IF(ISNUMBER(F15),F15*Parametreler!$B$5,"")</f>
        <v/>
      </c>
      <c r="H15" s="21" t="str">
        <f t="shared" si="0"/>
        <v/>
      </c>
      <c r="I15" s="3" t="s">
        <v>72</v>
      </c>
      <c r="J15" s="3" t="s">
        <v>156</v>
      </c>
      <c r="K15" s="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BOM_Duzeltilmis</vt:lpstr>
      <vt:lpstr>Parametreler</vt:lpstr>
      <vt:lpstr>Kontrol_Raporu</vt:lpstr>
      <vt:lpstr>Sayim_Kontrol</vt:lpstr>
      <vt:lpstr>Satin_Alma_Ozet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2026-05-18T07:20:39Z</dcterms:modified>
</cp:coreProperties>
</file>