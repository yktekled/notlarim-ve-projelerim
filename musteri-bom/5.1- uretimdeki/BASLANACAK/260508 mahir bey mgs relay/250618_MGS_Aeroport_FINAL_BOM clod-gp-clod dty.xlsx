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pano 2\"/>
    </mc:Choice>
  </mc:AlternateContent>
  <xr:revisionPtr revIDLastSave="0" documentId="8_{AB0FCC12-F37E-40DF-B0FB-546EBE46D4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Parametreler" sheetId="2" r:id="rId2"/>
  </sheets>
  <externalReferences>
    <externalReference r:id="rId3"/>
  </externalReferences>
  <calcPr calcId="191029" refMode="R1C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27" i="1"/>
  <c r="F27" i="1"/>
  <c r="G27" i="1" s="1"/>
  <c r="K26" i="1"/>
  <c r="F26" i="1"/>
  <c r="G26" i="1" s="1"/>
  <c r="F19" i="1"/>
  <c r="G19" i="1" s="1"/>
  <c r="K19" i="1" s="1"/>
  <c r="F18" i="1"/>
  <c r="G18" i="1" s="1"/>
  <c r="K18" i="1" s="1"/>
  <c r="F21" i="1" l="1"/>
  <c r="K21" i="1" s="1"/>
  <c r="F5" i="1"/>
  <c r="G5" i="1" s="1"/>
  <c r="K5" i="1" s="1"/>
  <c r="B5" i="2" l="1"/>
  <c r="F25" i="1"/>
  <c r="G25" i="1" s="1"/>
  <c r="H25" i="1" s="1"/>
  <c r="K25" i="1" s="1"/>
  <c r="F24" i="1"/>
  <c r="G24" i="1" s="1"/>
  <c r="H24" i="1" s="1"/>
  <c r="K24" i="1" s="1"/>
  <c r="F23" i="1"/>
  <c r="G23" i="1" s="1"/>
  <c r="H23" i="1" s="1"/>
  <c r="K23" i="1" s="1"/>
  <c r="F22" i="1"/>
  <c r="G22" i="1" s="1"/>
  <c r="H22" i="1" s="1"/>
  <c r="K22" i="1" s="1"/>
  <c r="F17" i="1"/>
  <c r="G17" i="1" s="1"/>
  <c r="H17" i="1" s="1"/>
  <c r="K17" i="1" s="1"/>
  <c r="F16" i="1"/>
  <c r="G16" i="1" s="1"/>
  <c r="H16" i="1" s="1"/>
  <c r="K16" i="1" s="1"/>
  <c r="F15" i="1"/>
  <c r="G15" i="1" s="1"/>
  <c r="H15" i="1" s="1"/>
  <c r="K15" i="1" s="1"/>
  <c r="F14" i="1"/>
  <c r="G14" i="1" s="1"/>
  <c r="H14" i="1" s="1"/>
  <c r="K14" i="1" s="1"/>
  <c r="F13" i="1"/>
  <c r="G13" i="1" s="1"/>
  <c r="H13" i="1" s="1"/>
  <c r="K13" i="1" s="1"/>
  <c r="F12" i="1"/>
  <c r="G12" i="1" s="1"/>
  <c r="H12" i="1" s="1"/>
  <c r="K12" i="1" s="1"/>
  <c r="F10" i="1"/>
  <c r="G10" i="1" s="1"/>
  <c r="H10" i="1" s="1"/>
  <c r="K10" i="1" s="1"/>
  <c r="F9" i="1"/>
  <c r="G9" i="1" s="1"/>
  <c r="H9" i="1" s="1"/>
  <c r="K9" i="1" s="1"/>
  <c r="F8" i="1"/>
  <c r="G8" i="1" s="1"/>
  <c r="H8" i="1" s="1"/>
  <c r="K8" i="1" s="1"/>
  <c r="F7" i="1"/>
  <c r="G7" i="1" s="1"/>
  <c r="H7" i="1" s="1"/>
  <c r="K7" i="1" s="1"/>
  <c r="F6" i="1"/>
  <c r="G6" i="1" s="1"/>
  <c r="H6" i="1" s="1"/>
  <c r="K6" i="1" s="1"/>
  <c r="K29" i="1" l="1"/>
  <c r="H20" i="1" s="1"/>
  <c r="K31" i="1"/>
  <c r="K28" i="1"/>
  <c r="H4" i="1" s="1"/>
</calcChain>
</file>

<file path=xl/sharedStrings.xml><?xml version="1.0" encoding="utf-8"?>
<sst xmlns="http://schemas.openxmlformats.org/spreadsheetml/2006/main" count="200" uniqueCount="112">
  <si>
    <t>MGS – ALMAATA AEROPORT PROJESİ  |  ADP + UPS PANO BOM  |  250616</t>
  </si>
  <si>
    <t>Kaynak: Pano Açılımları.xlsx / ADP sayfası  |  ABB Kasım 2025 Liste Fiyatı  |  Formül: KZT = EUR_liste × 0,33 × 1,30 × 557  |  Kur: 1 EUR = 557 KZT  (18.05.2026)</t>
  </si>
  <si>
    <t>Pano / Bölüm</t>
  </si>
  <si>
    <t>Malzeme Tipi</t>
  </si>
  <si>
    <t>Ürün Kodu (ABB)</t>
  </si>
  <si>
    <t>Ürün Açıklaması</t>
  </si>
  <si>
    <t>ABB Liste
Fiyatı (EUR)</t>
  </si>
  <si>
    <t>İndirimli
EUR ×0,33</t>
  </si>
  <si>
    <t>Yol+Gümrük
EUR ×1,30</t>
  </si>
  <si>
    <t>KZT
(Birim)</t>
  </si>
  <si>
    <t>Adet</t>
  </si>
  <si>
    <t>Birim</t>
  </si>
  <si>
    <t>Toplam KZT</t>
  </si>
  <si>
    <t>Tedarikçi</t>
  </si>
  <si>
    <t>Not / Kaynak</t>
  </si>
  <si>
    <t>▶  ADP PANOSU</t>
  </si>
  <si>
    <t>ADP PANOSU</t>
  </si>
  <si>
    <t>mccb</t>
  </si>
  <si>
    <t>1SDA067414R1</t>
  </si>
  <si>
    <t>XT1N 160 TMD In=63A 3P – giriş şalteri (36kA)</t>
  </si>
  <si>
    <t>ŞT.</t>
  </si>
  <si>
    <t>ABB</t>
  </si>
  <si>
    <t>ADP Toplam: 3×63 MCCB</t>
  </si>
  <si>
    <t>multimetre</t>
  </si>
  <si>
    <t>2CSG251151R4051</t>
  </si>
  <si>
    <t>M4M 20 enerji analizörü – SCADA / otomasyon uçları</t>
  </si>
  <si>
    <t>ADP notu</t>
  </si>
  <si>
    <t>toroid</t>
  </si>
  <si>
    <t>2CSG035100R1211</t>
  </si>
  <si>
    <t>TR1 35mm toroid kaçak akım sensörü</t>
  </si>
  <si>
    <t>Giriş kaçak akım rölesi</t>
  </si>
  <si>
    <t>rele</t>
  </si>
  <si>
    <t>2CSJ201001R0002</t>
  </si>
  <si>
    <t>RD3 kaçak akım rölesi 230-400V AC</t>
  </si>
  <si>
    <t>Toroid ile kullanılır</t>
  </si>
  <si>
    <t>uzıp</t>
  </si>
  <si>
    <t>2CTB803973R1100</t>
  </si>
  <si>
    <t>OVR T2 3N 40-275 P QS – Tip 2C 3+N 40kA</t>
  </si>
  <si>
    <t>ADP notu: Tip 2C 40kA</t>
  </si>
  <si>
    <t>ct</t>
  </si>
  <si>
    <t>Akım trafosu 30/5A – kompanzasyon (3 faz seti)</t>
  </si>
  <si>
    <t>–</t>
  </si>
  <si>
    <t>ABB/Muadil</t>
  </si>
  <si>
    <t>ADP notu: 3 adet 30/5A CT; kod&amp;fiyat tedarikte</t>
  </si>
  <si>
    <t>rccb 4P</t>
  </si>
  <si>
    <t>2CSF204001R1250</t>
  </si>
  <si>
    <t>F204 AC-25/0.03 – 4P RCCB 25A 30mA (grup)</t>
  </si>
  <si>
    <t>L01, L05, L11, L17, L22 – her grupta 1 adet</t>
  </si>
  <si>
    <t>mcb 3P</t>
  </si>
  <si>
    <t>2CDS253001R0105</t>
  </si>
  <si>
    <t>S203-B10 – 3P B10 6kA</t>
  </si>
  <si>
    <t>L01, L02</t>
  </si>
  <si>
    <t>mcb 1P</t>
  </si>
  <si>
    <t>2CDS251001R0105</t>
  </si>
  <si>
    <t>S201-B10 – 1P B10 6kA</t>
  </si>
  <si>
    <t>L03-L21 (19 aktif) + L22,L23,L25,L26,L27 (5 yedek)</t>
  </si>
  <si>
    <t>rcbo 1P+N</t>
  </si>
  <si>
    <t>2CSR255080R1164</t>
  </si>
  <si>
    <t>DS201 C16 AC30 – 1P+N C16 30mA RCBO</t>
  </si>
  <si>
    <t>P01-P04 aktif + P05-P08 yedek</t>
  </si>
  <si>
    <t>2CSR255080R1254</t>
  </si>
  <si>
    <t>DS201 C25 AC30 – 1P+N C25 30mA RCBO</t>
  </si>
  <si>
    <t>M01-M04 (Fancoil/Kapı) + 1 yedek – açılımda 2×25A 30mA</t>
  </si>
  <si>
    <t>2CDS253001R0204</t>
  </si>
  <si>
    <t>S203-C20 – 3P C20 6kA</t>
  </si>
  <si>
    <t>ADP'deki 6kVA UPS cihazı beslemesi</t>
  </si>
  <si>
    <t>▶  UPS BÖLÜMÜ</t>
  </si>
  <si>
    <t>UPS BÖLÜMÜ</t>
  </si>
  <si>
    <t>UPS bölümü notu</t>
  </si>
  <si>
    <t>UPS bölümü notu: Tip 2C 40kA</t>
  </si>
  <si>
    <t>UPS toplam satırı girişi: 3×20 MCB-C</t>
  </si>
  <si>
    <t>U01-U08 aktif + U09-U12 yedek (U13-U14 boş)</t>
  </si>
  <si>
    <t xml:space="preserve">  ADP PANOSU TOPLAMI</t>
  </si>
  <si>
    <t xml:space="preserve">  UPS BÖLÜMÜ TOPLAMI</t>
  </si>
  <si>
    <t>✦  GENEL TOPLAM (KZT, sadece fiyatlı ABB kalemleri)</t>
  </si>
  <si>
    <t>KONTROL NOTLARI VE GPT vs CLAUDE DÜZELTME TABLOSU</t>
  </si>
  <si>
    <t>✔ DOĞRU</t>
  </si>
  <si>
    <t>M01-M04 Fancoil/Kapı hatları: Açılımda 'RCBO 2×25A 30mA' yazıyor → DS201 C25 (5 adet). GPT C16 yazmıştı – HATA. Bu BOM'da düzeltildi.</t>
  </si>
  <si>
    <t>F204 AC-25/0.03 (4P RCCB) 5 adet eklendi: L01, L05, L11, L17, L22 grup kaçak koruma. GPT'de fiyatsız bırakmıştı → 127,20 EUR liste girildi.</t>
  </si>
  <si>
    <t>S201-B10 1P: L03-L21 (19 aktif) + L22,L23,L25,L26,L27 (5 yedek) = 24 adet. L24 'cihaz' konumunda – MCB alınmıyor.</t>
  </si>
  <si>
    <t>DS201 C16 priz: P01-P08 = 8 adet (4 aktif + 4 yedek). GPT'de P01-P08 toplam 13 adet yazılarak M hattını içine almıştı – HATA.</t>
  </si>
  <si>
    <t>ℹ BİLGİ</t>
  </si>
  <si>
    <t>CT 30/5A (akım trafosu): ABB ürün kodu proje kapsamına göre netleşecek; fiyat girilmedi.</t>
  </si>
  <si>
    <t>GPT'nin eklediği Sayım_Kontrol, Satin_Alma_Ozet, Kontrol_Raporu sayfaları içerik açısından M hattı hatasını barındırıyordu; bu BOM esas alınmalıdır.</t>
  </si>
  <si>
    <t>⚠ DİKKAT</t>
  </si>
  <si>
    <t>Giriş şalteri XT1N 160 63A → açılımda '36kA kesme kapasiteli olacak' notu var. 1SDA067414R1 (XT1N 160 TMD) 36kA kapasitelidir, uygundur.</t>
  </si>
  <si>
    <t>Parametre</t>
  </si>
  <si>
    <t>Değer</t>
  </si>
  <si>
    <t>Not</t>
  </si>
  <si>
    <t>EUR_KZT</t>
  </si>
  <si>
    <t>18.05.2026 kuru</t>
  </si>
  <si>
    <t>ABB_İndirim_Katsayısı</t>
  </si>
  <si>
    <t>%67 indirim</t>
  </si>
  <si>
    <t>Yol_Gümrük_Katsayısı</t>
  </si>
  <si>
    <t>+%30</t>
  </si>
  <si>
    <t>Net_Katsayı_KZT</t>
  </si>
  <si>
    <t>1 EUR listenin KZT karşılığı</t>
  </si>
  <si>
    <t>korpus</t>
  </si>
  <si>
    <t>ШТ.</t>
  </si>
  <si>
    <t>TEKSAN</t>
  </si>
  <si>
    <t>Ayrı teklif; Claude dosyasındaki ölçü belirsiz bırakıldı</t>
  </si>
  <si>
    <t>714-15118</t>
  </si>
  <si>
    <t>Щит мет. ЩРн-4-2 PR (800x650x250) IP54 (TS)</t>
  </si>
  <si>
    <t>719-15437</t>
  </si>
  <si>
    <t>Мет.Корпус Щит (1600x600x400+10см база)</t>
  </si>
  <si>
    <t>mont. matryal</t>
  </si>
  <si>
    <t>DIN ray, kablo kanalı, N/PE bara, klemens, pabuç, etiket, bağlantı sarf malzemeleri</t>
  </si>
  <si>
    <t>Üretim / yerel</t>
  </si>
  <si>
    <t>Fiyat üretim hesabında ayrıca girilecek</t>
  </si>
  <si>
    <t>mont. rab.</t>
  </si>
  <si>
    <t>Pano montaj işçiliği</t>
  </si>
  <si>
    <t>Üretim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</si>
</sst>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8"/>
      <color rgb="FF375623"/>
      <name val="Arial"/>
      <family val="2"/>
      <charset val="204"/>
    </font>
    <font>
      <b/>
      <sz val="8"/>
      <color rgb="FF7F6000"/>
      <name val="Arial"/>
      <family val="2"/>
      <charset val="204"/>
    </font>
    <font>
      <b/>
      <sz val="8"/>
      <color rgb="FFC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D6E4F0"/>
      </patternFill>
    </fill>
    <fill>
      <patternFill patternType="solid">
        <fgColor rgb="FFFFFFFF"/>
        <bgColor rgb="FFF7FBFF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55555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3" fontId="4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3" fontId="9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F7FB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2-calisilan\proje\260508%20mahir%20bey%20mgs%20pano%202\250616_MGS_Aeroport_ADP_ABB_BOM_DUZELTILMIS%20clod%20gp%20r1.xlsx" TargetMode="External"/><Relationship Id="rId1" Type="http://schemas.openxmlformats.org/officeDocument/2006/relationships/externalLinkPath" Target="250616_MGS_Aeroport_ADP_ABB_BOM_DUZELTILMIS%20clod%20gp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_Duzeltilmis"/>
      <sheetName val="Parametreler"/>
      <sheetName val="Kontrol_Raporu"/>
      <sheetName val="Sayim_Kontrol"/>
      <sheetName val="Satin_Alma_Ozet"/>
    </sheetNames>
    <sheetDataSet>
      <sheetData sheetId="0"/>
      <sheetData sheetId="1">
        <row r="3">
          <cell r="B3">
            <v>0.33</v>
          </cell>
        </row>
        <row r="4">
          <cell r="B4">
            <v>1.3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115" zoomScaleNormal="115" workbookViewId="0">
      <pane ySplit="3" topLeftCell="A4" activePane="bottomLeft" state="frozen"/>
      <selection pane="bottomLeft" activeCell="H4" sqref="H4"/>
    </sheetView>
  </sheetViews>
  <sheetFormatPr defaultColWidth="8.7109375" defaultRowHeight="15" x14ac:dyDescent="0.25"/>
  <cols>
    <col min="1" max="1" width="14" customWidth="1"/>
    <col min="2" max="2" width="16" customWidth="1"/>
    <col min="3" max="3" width="22" customWidth="1"/>
    <col min="4" max="4" width="40" customWidth="1"/>
    <col min="5" max="7" width="11" customWidth="1"/>
    <col min="8" max="8" width="13" customWidth="1"/>
    <col min="9" max="9" width="6" customWidth="1"/>
    <col min="10" max="10" width="5" customWidth="1"/>
    <col min="11" max="11" width="14" customWidth="1"/>
    <col min="12" max="12" width="12" customWidth="1"/>
    <col min="13" max="13" width="24" customWidth="1"/>
  </cols>
  <sheetData>
    <row r="1" spans="1:13" ht="25.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3.5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7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8" customHeight="1" x14ac:dyDescent="0.25">
      <c r="A4" s="23" t="s">
        <v>15</v>
      </c>
      <c r="B4" s="23"/>
      <c r="C4" s="23"/>
      <c r="D4" s="23" t="s">
        <v>15</v>
      </c>
      <c r="E4" s="23"/>
      <c r="F4" s="23"/>
      <c r="G4" s="23"/>
      <c r="H4" s="24">
        <f>2.3*K28</f>
        <v>2249501.630376</v>
      </c>
      <c r="I4" s="23"/>
      <c r="J4" s="23"/>
      <c r="K4" s="23"/>
      <c r="L4" s="23"/>
      <c r="M4" s="23"/>
    </row>
    <row r="5" spans="1:13" ht="15" customHeight="1" x14ac:dyDescent="0.25">
      <c r="A5" s="8" t="s">
        <v>16</v>
      </c>
      <c r="B5" s="8" t="s">
        <v>97</v>
      </c>
      <c r="C5" s="8" t="s">
        <v>103</v>
      </c>
      <c r="D5" s="9" t="s">
        <v>104</v>
      </c>
      <c r="E5" s="10"/>
      <c r="F5" s="10" t="str">
        <f>IF(ISNUMBER(E5),E5*[1]Parametreler!$B$3,"")</f>
        <v/>
      </c>
      <c r="G5" s="10" t="str">
        <f>IF(ISNUMBER(F5),F5*[1]Parametreler!$B$4,"")</f>
        <v/>
      </c>
      <c r="H5" s="5">
        <v>87000</v>
      </c>
      <c r="I5" s="11">
        <v>1</v>
      </c>
      <c r="J5" s="11" t="s">
        <v>98</v>
      </c>
      <c r="K5" s="7">
        <f>IF(ISNUMBER(H5),H5*I5,"")</f>
        <v>87000</v>
      </c>
      <c r="L5" s="8" t="s">
        <v>99</v>
      </c>
      <c r="M5" s="8" t="s">
        <v>100</v>
      </c>
    </row>
    <row r="6" spans="1:13" ht="15" customHeight="1" x14ac:dyDescent="0.25">
      <c r="A6" s="2" t="s">
        <v>16</v>
      </c>
      <c r="B6" s="2" t="s">
        <v>17</v>
      </c>
      <c r="C6" s="2" t="s">
        <v>18</v>
      </c>
      <c r="D6" s="3" t="s">
        <v>19</v>
      </c>
      <c r="E6" s="4">
        <v>246.1</v>
      </c>
      <c r="F6" s="4">
        <f>E6*0.33</f>
        <v>81.213000000000008</v>
      </c>
      <c r="G6" s="4">
        <f>F6*1.3</f>
        <v>105.57690000000001</v>
      </c>
      <c r="H6" s="5">
        <f>G6*557</f>
        <v>58806.333300000006</v>
      </c>
      <c r="I6" s="6">
        <v>1</v>
      </c>
      <c r="J6" s="11" t="s">
        <v>98</v>
      </c>
      <c r="K6" s="7">
        <f t="shared" ref="K6:K11" si="0">H6*I6</f>
        <v>58806.333300000006</v>
      </c>
      <c r="L6" s="2" t="s">
        <v>21</v>
      </c>
      <c r="M6" s="2" t="s">
        <v>22</v>
      </c>
    </row>
    <row r="7" spans="1:13" ht="15" customHeight="1" x14ac:dyDescent="0.25">
      <c r="A7" s="8" t="s">
        <v>16</v>
      </c>
      <c r="B7" s="8" t="s">
        <v>23</v>
      </c>
      <c r="C7" s="8" t="s">
        <v>24</v>
      </c>
      <c r="D7" s="9" t="s">
        <v>25</v>
      </c>
      <c r="E7" s="10">
        <v>709.9</v>
      </c>
      <c r="F7" s="10">
        <f>E7*0.33</f>
        <v>234.267</v>
      </c>
      <c r="G7" s="10">
        <f>F7*1.3</f>
        <v>304.5471</v>
      </c>
      <c r="H7" s="5">
        <f>G7*557</f>
        <v>169632.7347</v>
      </c>
      <c r="I7" s="11">
        <v>1</v>
      </c>
      <c r="J7" s="11" t="s">
        <v>98</v>
      </c>
      <c r="K7" s="7">
        <f t="shared" si="0"/>
        <v>169632.7347</v>
      </c>
      <c r="L7" s="8" t="s">
        <v>21</v>
      </c>
      <c r="M7" s="8" t="s">
        <v>26</v>
      </c>
    </row>
    <row r="8" spans="1:13" ht="15" customHeight="1" x14ac:dyDescent="0.25">
      <c r="A8" s="2" t="s">
        <v>16</v>
      </c>
      <c r="B8" s="2" t="s">
        <v>27</v>
      </c>
      <c r="C8" s="2" t="s">
        <v>28</v>
      </c>
      <c r="D8" s="3" t="s">
        <v>29</v>
      </c>
      <c r="E8" s="4">
        <v>131.19999999999999</v>
      </c>
      <c r="F8" s="4">
        <f>E8*0.33</f>
        <v>43.295999999999999</v>
      </c>
      <c r="G8" s="4">
        <f>F8*1.3</f>
        <v>56.284800000000004</v>
      </c>
      <c r="H8" s="5">
        <f>G8*557</f>
        <v>31350.633600000001</v>
      </c>
      <c r="I8" s="6">
        <v>1</v>
      </c>
      <c r="J8" s="11" t="s">
        <v>98</v>
      </c>
      <c r="K8" s="7">
        <f t="shared" si="0"/>
        <v>31350.633600000001</v>
      </c>
      <c r="L8" s="2" t="s">
        <v>21</v>
      </c>
      <c r="M8" s="2" t="s">
        <v>30</v>
      </c>
    </row>
    <row r="9" spans="1:13" ht="15" customHeight="1" x14ac:dyDescent="0.25">
      <c r="A9" s="8" t="s">
        <v>16</v>
      </c>
      <c r="B9" s="8" t="s">
        <v>31</v>
      </c>
      <c r="C9" s="8" t="s">
        <v>32</v>
      </c>
      <c r="D9" s="9" t="s">
        <v>33</v>
      </c>
      <c r="E9" s="10">
        <v>498.1</v>
      </c>
      <c r="F9" s="10">
        <f>E9*0.33</f>
        <v>164.37300000000002</v>
      </c>
      <c r="G9" s="10">
        <f>F9*1.3</f>
        <v>213.68490000000003</v>
      </c>
      <c r="H9" s="5">
        <f>G9*557</f>
        <v>119022.48930000002</v>
      </c>
      <c r="I9" s="11">
        <v>1</v>
      </c>
      <c r="J9" s="11" t="s">
        <v>98</v>
      </c>
      <c r="K9" s="7">
        <f t="shared" si="0"/>
        <v>119022.48930000002</v>
      </c>
      <c r="L9" s="8" t="s">
        <v>21</v>
      </c>
      <c r="M9" s="8" t="s">
        <v>34</v>
      </c>
    </row>
    <row r="10" spans="1:13" ht="15" customHeight="1" x14ac:dyDescent="0.25">
      <c r="A10" s="2" t="s">
        <v>16</v>
      </c>
      <c r="B10" s="2" t="s">
        <v>35</v>
      </c>
      <c r="C10" s="2" t="s">
        <v>36</v>
      </c>
      <c r="D10" s="3" t="s">
        <v>37</v>
      </c>
      <c r="E10" s="4">
        <v>361.2</v>
      </c>
      <c r="F10" s="4">
        <f>E10*0.33</f>
        <v>119.196</v>
      </c>
      <c r="G10" s="4">
        <f>F10*1.3</f>
        <v>154.95480000000001</v>
      </c>
      <c r="H10" s="5">
        <f>G10*557</f>
        <v>86309.823600000003</v>
      </c>
      <c r="I10" s="6">
        <v>1</v>
      </c>
      <c r="J10" s="11" t="s">
        <v>98</v>
      </c>
      <c r="K10" s="7">
        <f t="shared" si="0"/>
        <v>86309.823600000003</v>
      </c>
      <c r="L10" s="2" t="s">
        <v>21</v>
      </c>
      <c r="M10" s="2" t="s">
        <v>38</v>
      </c>
    </row>
    <row r="11" spans="1:13" ht="15" customHeight="1" x14ac:dyDescent="0.25">
      <c r="A11" s="8" t="s">
        <v>16</v>
      </c>
      <c r="B11" s="8" t="s">
        <v>39</v>
      </c>
      <c r="C11" s="8"/>
      <c r="D11" s="9" t="s">
        <v>40</v>
      </c>
      <c r="E11" s="12" t="s">
        <v>41</v>
      </c>
      <c r="F11" s="12" t="s">
        <v>41</v>
      </c>
      <c r="G11" s="12" t="s">
        <v>41</v>
      </c>
      <c r="H11" s="5">
        <v>7500</v>
      </c>
      <c r="I11" s="11">
        <v>3</v>
      </c>
      <c r="J11" s="11" t="s">
        <v>98</v>
      </c>
      <c r="K11" s="7">
        <f t="shared" si="0"/>
        <v>22500</v>
      </c>
      <c r="L11" s="8" t="s">
        <v>42</v>
      </c>
      <c r="M11" s="8" t="s">
        <v>43</v>
      </c>
    </row>
    <row r="12" spans="1:13" ht="15" customHeight="1" x14ac:dyDescent="0.25">
      <c r="A12" s="2" t="s">
        <v>16</v>
      </c>
      <c r="B12" s="2" t="s">
        <v>44</v>
      </c>
      <c r="C12" s="2" t="s">
        <v>45</v>
      </c>
      <c r="D12" s="3" t="s">
        <v>46</v>
      </c>
      <c r="E12" s="4">
        <v>127.2</v>
      </c>
      <c r="F12" s="4">
        <f t="shared" ref="F12:F17" si="1">E12*0.33</f>
        <v>41.976000000000006</v>
      </c>
      <c r="G12" s="4">
        <f t="shared" ref="G12:G17" si="2">F12*1.3</f>
        <v>54.56880000000001</v>
      </c>
      <c r="H12" s="5">
        <f t="shared" ref="H12:H17" si="3">G12*557</f>
        <v>30394.821600000007</v>
      </c>
      <c r="I12" s="6">
        <v>5</v>
      </c>
      <c r="J12" s="11" t="s">
        <v>98</v>
      </c>
      <c r="K12" s="7">
        <f t="shared" ref="K12:K17" si="4">H12*I12</f>
        <v>151974.10800000004</v>
      </c>
      <c r="L12" s="2" t="s">
        <v>21</v>
      </c>
      <c r="M12" s="2" t="s">
        <v>47</v>
      </c>
    </row>
    <row r="13" spans="1:13" ht="15" customHeight="1" x14ac:dyDescent="0.25">
      <c r="A13" s="8" t="s">
        <v>16</v>
      </c>
      <c r="B13" s="8" t="s">
        <v>48</v>
      </c>
      <c r="C13" s="8" t="s">
        <v>49</v>
      </c>
      <c r="D13" s="9" t="s">
        <v>50</v>
      </c>
      <c r="E13" s="10">
        <v>44.06</v>
      </c>
      <c r="F13" s="10">
        <f t="shared" si="1"/>
        <v>14.539800000000001</v>
      </c>
      <c r="G13" s="10">
        <f t="shared" si="2"/>
        <v>18.901740000000004</v>
      </c>
      <c r="H13" s="5">
        <f t="shared" si="3"/>
        <v>10528.269180000003</v>
      </c>
      <c r="I13" s="11">
        <v>2</v>
      </c>
      <c r="J13" s="11" t="s">
        <v>98</v>
      </c>
      <c r="K13" s="7">
        <f t="shared" si="4"/>
        <v>21056.538360000006</v>
      </c>
      <c r="L13" s="8" t="s">
        <v>21</v>
      </c>
      <c r="M13" s="8" t="s">
        <v>51</v>
      </c>
    </row>
    <row r="14" spans="1:13" ht="15" customHeight="1" x14ac:dyDescent="0.25">
      <c r="A14" s="2" t="s">
        <v>16</v>
      </c>
      <c r="B14" s="2" t="s">
        <v>52</v>
      </c>
      <c r="C14" s="2" t="s">
        <v>53</v>
      </c>
      <c r="D14" s="3" t="s">
        <v>54</v>
      </c>
      <c r="E14" s="4">
        <v>9.7799999999999994</v>
      </c>
      <c r="F14" s="4">
        <f t="shared" si="1"/>
        <v>3.2273999999999998</v>
      </c>
      <c r="G14" s="4">
        <f t="shared" si="2"/>
        <v>4.1956199999999999</v>
      </c>
      <c r="H14" s="5">
        <f t="shared" si="3"/>
        <v>2336.9603400000001</v>
      </c>
      <c r="I14" s="6">
        <v>24</v>
      </c>
      <c r="J14" s="11" t="s">
        <v>98</v>
      </c>
      <c r="K14" s="7">
        <f t="shared" si="4"/>
        <v>56087.048160000006</v>
      </c>
      <c r="L14" s="2" t="s">
        <v>21</v>
      </c>
      <c r="M14" s="2" t="s">
        <v>55</v>
      </c>
    </row>
    <row r="15" spans="1:13" ht="15" customHeight="1" x14ac:dyDescent="0.25">
      <c r="A15" s="8" t="s">
        <v>16</v>
      </c>
      <c r="B15" s="8" t="s">
        <v>56</v>
      </c>
      <c r="C15" s="8" t="s">
        <v>57</v>
      </c>
      <c r="D15" s="9" t="s">
        <v>58</v>
      </c>
      <c r="E15" s="10">
        <v>87.63</v>
      </c>
      <c r="F15" s="10">
        <f t="shared" si="1"/>
        <v>28.917899999999999</v>
      </c>
      <c r="G15" s="10">
        <f t="shared" si="2"/>
        <v>37.593270000000004</v>
      </c>
      <c r="H15" s="5">
        <f t="shared" si="3"/>
        <v>20939.451390000002</v>
      </c>
      <c r="I15" s="11">
        <v>9</v>
      </c>
      <c r="J15" s="11" t="s">
        <v>98</v>
      </c>
      <c r="K15" s="7">
        <f t="shared" si="4"/>
        <v>188455.06251000002</v>
      </c>
      <c r="L15" s="8" t="s">
        <v>21</v>
      </c>
      <c r="M15" s="8" t="s">
        <v>59</v>
      </c>
    </row>
    <row r="16" spans="1:13" ht="15" customHeight="1" x14ac:dyDescent="0.25">
      <c r="A16" s="2" t="s">
        <v>16</v>
      </c>
      <c r="B16" s="2" t="s">
        <v>56</v>
      </c>
      <c r="C16" s="2" t="s">
        <v>60</v>
      </c>
      <c r="D16" s="3" t="s">
        <v>61</v>
      </c>
      <c r="E16" s="4">
        <v>87.63</v>
      </c>
      <c r="F16" s="4">
        <f t="shared" si="1"/>
        <v>28.917899999999999</v>
      </c>
      <c r="G16" s="4">
        <f t="shared" si="2"/>
        <v>37.593270000000004</v>
      </c>
      <c r="H16" s="5">
        <f t="shared" si="3"/>
        <v>20939.451390000002</v>
      </c>
      <c r="I16" s="6">
        <v>4</v>
      </c>
      <c r="J16" s="11" t="s">
        <v>98</v>
      </c>
      <c r="K16" s="7">
        <f t="shared" si="4"/>
        <v>83757.805560000008</v>
      </c>
      <c r="L16" s="2" t="s">
        <v>21</v>
      </c>
      <c r="M16" s="2" t="s">
        <v>62</v>
      </c>
    </row>
    <row r="17" spans="1:13" ht="15" customHeight="1" x14ac:dyDescent="0.25">
      <c r="A17" s="8" t="s">
        <v>16</v>
      </c>
      <c r="B17" s="8" t="s">
        <v>48</v>
      </c>
      <c r="C17" s="8" t="s">
        <v>63</v>
      </c>
      <c r="D17" s="9" t="s">
        <v>64</v>
      </c>
      <c r="E17" s="10">
        <v>48.51</v>
      </c>
      <c r="F17" s="10">
        <f t="shared" si="1"/>
        <v>16.008299999999998</v>
      </c>
      <c r="G17" s="10">
        <f t="shared" si="2"/>
        <v>20.810789999999997</v>
      </c>
      <c r="H17" s="5">
        <f t="shared" si="3"/>
        <v>11591.610029999998</v>
      </c>
      <c r="I17" s="11">
        <v>1</v>
      </c>
      <c r="J17" s="11" t="s">
        <v>98</v>
      </c>
      <c r="K17" s="7">
        <f t="shared" si="4"/>
        <v>11591.610029999998</v>
      </c>
      <c r="L17" s="8" t="s">
        <v>21</v>
      </c>
      <c r="M17" s="8" t="s">
        <v>65</v>
      </c>
    </row>
    <row r="18" spans="1:13" ht="15" customHeight="1" x14ac:dyDescent="0.25">
      <c r="A18" s="2" t="s">
        <v>16</v>
      </c>
      <c r="B18" s="2" t="s">
        <v>105</v>
      </c>
      <c r="C18" s="2"/>
      <c r="D18" s="3" t="s">
        <v>106</v>
      </c>
      <c r="E18" s="4"/>
      <c r="F18" s="4" t="str">
        <f>IF(ISNUMBER(E18),E18*[1]Parametreler!$B$3,"")</f>
        <v/>
      </c>
      <c r="G18" s="4" t="str">
        <f>IF(ISNUMBER(F18),F18*[1]Parametreler!$B$4,"")</f>
        <v/>
      </c>
      <c r="H18" s="5">
        <v>30000</v>
      </c>
      <c r="I18" s="6">
        <v>1</v>
      </c>
      <c r="J18" s="11" t="s">
        <v>98</v>
      </c>
      <c r="K18" s="7">
        <f>IF(ISNUMBER(H18),H18*I18,"")</f>
        <v>30000</v>
      </c>
      <c r="L18" s="2" t="s">
        <v>107</v>
      </c>
      <c r="M18" s="2" t="s">
        <v>108</v>
      </c>
    </row>
    <row r="19" spans="1:13" ht="15" customHeight="1" x14ac:dyDescent="0.25">
      <c r="A19" s="2" t="s">
        <v>16</v>
      </c>
      <c r="B19" s="2" t="s">
        <v>109</v>
      </c>
      <c r="C19" s="2"/>
      <c r="D19" s="3" t="s">
        <v>110</v>
      </c>
      <c r="E19" s="4"/>
      <c r="F19" s="4" t="str">
        <f>IF(ISNUMBER(E19),E19*[1]Parametreler!$B$3,"")</f>
        <v/>
      </c>
      <c r="G19" s="4" t="str">
        <f>IF(ISNUMBER(F19),F19*[1]Parametreler!$B$4,"")</f>
        <v/>
      </c>
      <c r="H19" s="5">
        <v>50000</v>
      </c>
      <c r="I19" s="6">
        <v>1</v>
      </c>
      <c r="J19" s="11" t="s">
        <v>98</v>
      </c>
      <c r="K19" s="7">
        <f>IF(ISNUMBER(H19),H19*I19,"")</f>
        <v>50000</v>
      </c>
      <c r="L19" s="2" t="s">
        <v>111</v>
      </c>
      <c r="M19" s="2" t="s">
        <v>108</v>
      </c>
    </row>
    <row r="20" spans="1:13" ht="18" customHeight="1" x14ac:dyDescent="0.25">
      <c r="A20" s="22" t="s">
        <v>66</v>
      </c>
      <c r="B20" s="22"/>
      <c r="C20" s="22"/>
      <c r="D20" s="22" t="s">
        <v>66</v>
      </c>
      <c r="E20" s="22"/>
      <c r="F20" s="22"/>
      <c r="G20" s="22"/>
      <c r="H20" s="22">
        <f>2.3*K29</f>
        <v>1096935.9691290001</v>
      </c>
      <c r="I20" s="22"/>
      <c r="J20" s="22"/>
      <c r="K20" s="22"/>
      <c r="L20" s="22"/>
      <c r="M20" s="22"/>
    </row>
    <row r="21" spans="1:13" ht="15" customHeight="1" x14ac:dyDescent="0.25">
      <c r="A21" s="8" t="s">
        <v>67</v>
      </c>
      <c r="B21" s="8" t="s">
        <v>97</v>
      </c>
      <c r="C21" s="8" t="s">
        <v>101</v>
      </c>
      <c r="D21" s="9" t="s">
        <v>102</v>
      </c>
      <c r="E21" s="10"/>
      <c r="F21" s="10" t="str">
        <f>IF(ISNUMBER(E21),E21*[1]Parametreler!$B$3,"")</f>
        <v/>
      </c>
      <c r="G21" s="10">
        <v>46500</v>
      </c>
      <c r="H21" s="5">
        <v>27900</v>
      </c>
      <c r="I21" s="11">
        <v>1</v>
      </c>
      <c r="J21" s="11" t="s">
        <v>98</v>
      </c>
      <c r="K21" s="7">
        <f>IF(ISNUMBER(H21),H21*I21,"")</f>
        <v>27900</v>
      </c>
      <c r="L21" s="8" t="s">
        <v>99</v>
      </c>
      <c r="M21" s="8" t="s">
        <v>100</v>
      </c>
    </row>
    <row r="22" spans="1:13" ht="15" customHeight="1" x14ac:dyDescent="0.25">
      <c r="A22" s="8" t="s">
        <v>67</v>
      </c>
      <c r="B22" s="8" t="s">
        <v>23</v>
      </c>
      <c r="C22" s="8" t="s">
        <v>24</v>
      </c>
      <c r="D22" s="9" t="s">
        <v>25</v>
      </c>
      <c r="E22" s="10">
        <v>709.9</v>
      </c>
      <c r="F22" s="10">
        <f>E22*0.33</f>
        <v>234.267</v>
      </c>
      <c r="G22" s="10">
        <f>F22*1.3</f>
        <v>304.5471</v>
      </c>
      <c r="H22" s="5">
        <f>G22*557</f>
        <v>169632.7347</v>
      </c>
      <c r="I22" s="11">
        <v>1</v>
      </c>
      <c r="J22" s="11" t="s">
        <v>20</v>
      </c>
      <c r="K22" s="7">
        <f>H22*I22</f>
        <v>169632.7347</v>
      </c>
      <c r="L22" s="8" t="s">
        <v>21</v>
      </c>
      <c r="M22" s="8" t="s">
        <v>68</v>
      </c>
    </row>
    <row r="23" spans="1:13" ht="15" customHeight="1" x14ac:dyDescent="0.25">
      <c r="A23" s="2" t="s">
        <v>67</v>
      </c>
      <c r="B23" s="2" t="s">
        <v>35</v>
      </c>
      <c r="C23" s="2" t="s">
        <v>36</v>
      </c>
      <c r="D23" s="3" t="s">
        <v>37</v>
      </c>
      <c r="E23" s="4">
        <v>361.2</v>
      </c>
      <c r="F23" s="4">
        <f>E23*0.33</f>
        <v>119.196</v>
      </c>
      <c r="G23" s="4">
        <f>F23*1.3</f>
        <v>154.95480000000001</v>
      </c>
      <c r="H23" s="5">
        <f>G23*557</f>
        <v>86309.823600000003</v>
      </c>
      <c r="I23" s="6">
        <v>1</v>
      </c>
      <c r="J23" s="6" t="s">
        <v>20</v>
      </c>
      <c r="K23" s="7">
        <f>H23*I23</f>
        <v>86309.823600000003</v>
      </c>
      <c r="L23" s="2" t="s">
        <v>21</v>
      </c>
      <c r="M23" s="2" t="s">
        <v>69</v>
      </c>
    </row>
    <row r="24" spans="1:13" ht="15" customHeight="1" x14ac:dyDescent="0.25">
      <c r="A24" s="8" t="s">
        <v>67</v>
      </c>
      <c r="B24" s="8" t="s">
        <v>48</v>
      </c>
      <c r="C24" s="8" t="s">
        <v>63</v>
      </c>
      <c r="D24" s="9" t="s">
        <v>64</v>
      </c>
      <c r="E24" s="10">
        <v>48.51</v>
      </c>
      <c r="F24" s="10">
        <f>E24*0.33</f>
        <v>16.008299999999998</v>
      </c>
      <c r="G24" s="10">
        <f>F24*1.3</f>
        <v>20.810789999999997</v>
      </c>
      <c r="H24" s="5">
        <f>G24*557</f>
        <v>11591.610029999998</v>
      </c>
      <c r="I24" s="11">
        <v>1</v>
      </c>
      <c r="J24" s="11" t="s">
        <v>20</v>
      </c>
      <c r="K24" s="7">
        <f>H24*I24</f>
        <v>11591.610029999998</v>
      </c>
      <c r="L24" s="8" t="s">
        <v>21</v>
      </c>
      <c r="M24" s="8" t="s">
        <v>70</v>
      </c>
    </row>
    <row r="25" spans="1:13" ht="15" customHeight="1" x14ac:dyDescent="0.25">
      <c r="A25" s="2" t="s">
        <v>67</v>
      </c>
      <c r="B25" s="2" t="s">
        <v>56</v>
      </c>
      <c r="C25" s="2" t="s">
        <v>57</v>
      </c>
      <c r="D25" s="3" t="s">
        <v>58</v>
      </c>
      <c r="E25" s="4">
        <v>87.63</v>
      </c>
      <c r="F25" s="4">
        <f>E25*0.33</f>
        <v>28.917899999999999</v>
      </c>
      <c r="G25" s="4">
        <f>F25*1.3</f>
        <v>37.593270000000004</v>
      </c>
      <c r="H25" s="5">
        <f>G25*557</f>
        <v>20939.451390000002</v>
      </c>
      <c r="I25" s="6">
        <v>10</v>
      </c>
      <c r="J25" s="6" t="s">
        <v>20</v>
      </c>
      <c r="K25" s="7">
        <f>H25*I25</f>
        <v>209394.51390000002</v>
      </c>
      <c r="L25" s="2" t="s">
        <v>21</v>
      </c>
      <c r="M25" s="2" t="s">
        <v>71</v>
      </c>
    </row>
    <row r="26" spans="1:13" ht="15" customHeight="1" x14ac:dyDescent="0.25">
      <c r="A26" s="2" t="s">
        <v>16</v>
      </c>
      <c r="B26" s="2" t="s">
        <v>105</v>
      </c>
      <c r="C26" s="2"/>
      <c r="D26" s="3" t="s">
        <v>106</v>
      </c>
      <c r="E26" s="4"/>
      <c r="F26" s="4" t="str">
        <f>IF(ISNUMBER(E26),E26*[1]Parametreler!$B$3,"")</f>
        <v/>
      </c>
      <c r="G26" s="4" t="str">
        <f>IF(ISNUMBER(F26),F26*[1]Parametreler!$B$4,"")</f>
        <v/>
      </c>
      <c r="H26" s="5">
        <v>15000</v>
      </c>
      <c r="I26" s="6">
        <v>1</v>
      </c>
      <c r="J26" s="11" t="s">
        <v>98</v>
      </c>
      <c r="K26" s="7">
        <f>IF(ISNUMBER(H26),H26*I26,"")</f>
        <v>15000</v>
      </c>
      <c r="L26" s="2" t="s">
        <v>107</v>
      </c>
      <c r="M26" s="2" t="s">
        <v>108</v>
      </c>
    </row>
    <row r="27" spans="1:13" ht="15" customHeight="1" x14ac:dyDescent="0.25">
      <c r="A27" s="2" t="s">
        <v>16</v>
      </c>
      <c r="B27" s="2" t="s">
        <v>109</v>
      </c>
      <c r="C27" s="2"/>
      <c r="D27" s="3" t="s">
        <v>110</v>
      </c>
      <c r="E27" s="4"/>
      <c r="F27" s="4" t="str">
        <f>IF(ISNUMBER(E27),E27*[1]Parametreler!$B$3,"")</f>
        <v/>
      </c>
      <c r="G27" s="4" t="str">
        <f>IF(ISNUMBER(F27),F27*[1]Parametreler!$B$4,"")</f>
        <v/>
      </c>
      <c r="H27" s="5">
        <v>15000</v>
      </c>
      <c r="I27" s="6">
        <v>1</v>
      </c>
      <c r="J27" s="11" t="s">
        <v>98</v>
      </c>
      <c r="K27" s="7">
        <f>IF(ISNUMBER(H27),H27*I27,"")</f>
        <v>15000</v>
      </c>
      <c r="L27" s="2" t="s">
        <v>111</v>
      </c>
      <c r="M27" s="2" t="s">
        <v>108</v>
      </c>
    </row>
    <row r="28" spans="1:13" ht="19.5" customHeight="1" x14ac:dyDescent="0.25">
      <c r="A28" s="27" t="s">
        <v>72</v>
      </c>
      <c r="B28" s="27"/>
      <c r="C28" s="27"/>
      <c r="D28" s="27"/>
      <c r="E28" s="27"/>
      <c r="F28" s="27"/>
      <c r="G28" s="27"/>
      <c r="H28" s="27"/>
      <c r="I28" s="27"/>
      <c r="J28" s="27"/>
      <c r="K28" s="13">
        <f>K6+K7+K8+K9+K10+K12+K13+K14+K15+K16+K17</f>
        <v>978044.18712000002</v>
      </c>
      <c r="L28" s="14"/>
      <c r="M28" s="14"/>
    </row>
    <row r="29" spans="1:13" ht="19.5" customHeight="1" x14ac:dyDescent="0.25">
      <c r="A29" s="28" t="s">
        <v>73</v>
      </c>
      <c r="B29" s="28"/>
      <c r="C29" s="28"/>
      <c r="D29" s="28"/>
      <c r="E29" s="28"/>
      <c r="F29" s="28"/>
      <c r="G29" s="28"/>
      <c r="H29" s="28"/>
      <c r="I29" s="28"/>
      <c r="J29" s="28"/>
      <c r="K29" s="15">
        <f>K22+K23+K24+K25</f>
        <v>476928.68223000003</v>
      </c>
      <c r="L29" s="16"/>
      <c r="M29" s="16"/>
    </row>
    <row r="31" spans="1:13" ht="24" customHeight="1" x14ac:dyDescent="0.25">
      <c r="A31" s="29" t="s">
        <v>74</v>
      </c>
      <c r="B31" s="29"/>
      <c r="C31" s="29"/>
      <c r="D31" s="29"/>
      <c r="E31" s="29"/>
      <c r="F31" s="29"/>
      <c r="G31" s="29"/>
      <c r="H31" s="29"/>
      <c r="I31" s="29"/>
      <c r="J31" s="29"/>
      <c r="K31" s="17">
        <f>K6+K7+K8+K9+K10+K12+K13+K14+K15+K16+K17+K22+K23+K24+K25</f>
        <v>1454972.8693500003</v>
      </c>
      <c r="L31" s="18"/>
      <c r="M31" s="18"/>
    </row>
    <row r="33" spans="1:13" ht="15.75" customHeight="1" x14ac:dyDescent="0.25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 ht="13.5" customHeight="1" x14ac:dyDescent="0.25">
      <c r="A34" s="19" t="s">
        <v>76</v>
      </c>
      <c r="B34" s="30" t="s">
        <v>77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13.5" customHeight="1" x14ac:dyDescent="0.25">
      <c r="A35" s="19" t="s">
        <v>76</v>
      </c>
      <c r="B35" s="30" t="s">
        <v>78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3.5" customHeight="1" x14ac:dyDescent="0.25">
      <c r="A36" s="19" t="s">
        <v>76</v>
      </c>
      <c r="B36" s="30" t="s">
        <v>79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13.5" customHeight="1" x14ac:dyDescent="0.25">
      <c r="A37" s="19" t="s">
        <v>76</v>
      </c>
      <c r="B37" s="30" t="s">
        <v>80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13.5" customHeight="1" x14ac:dyDescent="0.25">
      <c r="A38" s="20" t="s">
        <v>81</v>
      </c>
      <c r="B38" s="30" t="s">
        <v>82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13.5" customHeight="1" x14ac:dyDescent="0.25">
      <c r="A39" s="20" t="s">
        <v>81</v>
      </c>
      <c r="B39" s="30" t="s">
        <v>83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ht="13.5" customHeight="1" x14ac:dyDescent="0.25">
      <c r="A40" s="21" t="s">
        <v>84</v>
      </c>
      <c r="B40" s="30" t="s">
        <v>85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</sheetData>
  <mergeCells count="13">
    <mergeCell ref="B38:M38"/>
    <mergeCell ref="B39:M39"/>
    <mergeCell ref="B40:M40"/>
    <mergeCell ref="A33:M33"/>
    <mergeCell ref="B34:M34"/>
    <mergeCell ref="B35:M35"/>
    <mergeCell ref="B36:M36"/>
    <mergeCell ref="B37:M37"/>
    <mergeCell ref="A1:M1"/>
    <mergeCell ref="A2:M2"/>
    <mergeCell ref="A28:J28"/>
    <mergeCell ref="A29:J29"/>
    <mergeCell ref="A31:J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7109375" defaultRowHeight="15" x14ac:dyDescent="0.25"/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89</v>
      </c>
      <c r="B2">
        <v>557</v>
      </c>
      <c r="C2" t="s">
        <v>90</v>
      </c>
    </row>
    <row r="3" spans="1:3" x14ac:dyDescent="0.25">
      <c r="A3" t="s">
        <v>91</v>
      </c>
      <c r="B3">
        <v>0.33</v>
      </c>
      <c r="C3" t="s">
        <v>92</v>
      </c>
    </row>
    <row r="4" spans="1:3" x14ac:dyDescent="0.25">
      <c r="A4" t="s">
        <v>93</v>
      </c>
      <c r="B4">
        <v>1.3</v>
      </c>
      <c r="C4" t="s">
        <v>94</v>
      </c>
    </row>
    <row r="5" spans="1:3" x14ac:dyDescent="0.25">
      <c r="A5" t="s">
        <v>95</v>
      </c>
      <c r="B5">
        <f>B2*B3*B4</f>
        <v>238.953</v>
      </c>
      <c r="C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Parametreler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2026-05-18T03:55:38Z</dcterms:created>
  <dcterms:modified xsi:type="dcterms:W3CDTF">2026-05-28T07:19:27Z</dcterms:modified>
  <dc:language>en-US</dc:language>
</cp:coreProperties>
</file>