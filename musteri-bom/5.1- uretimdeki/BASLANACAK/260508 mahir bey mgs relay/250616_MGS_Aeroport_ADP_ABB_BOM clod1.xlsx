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08 mahir bey mgs pano 2\"/>
    </mc:Choice>
  </mc:AlternateContent>
  <xr:revisionPtr revIDLastSave="0" documentId="8_{6203486F-078E-4238-8BD4-E329618BE9DF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ADP BOM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4" i="1" l="1"/>
  <c r="H24" i="1" s="1"/>
  <c r="G23" i="1" s="1"/>
  <c r="H23" i="1" s="1"/>
  <c r="F22" i="1" l="1"/>
  <c r="G22" i="1" s="1"/>
  <c r="H22" i="1" s="1"/>
  <c r="K22" i="1" s="1"/>
  <c r="F21" i="1"/>
  <c r="G21" i="1" s="1"/>
  <c r="H21" i="1" s="1"/>
  <c r="K21" i="1" s="1"/>
  <c r="F20" i="1"/>
  <c r="G20" i="1" s="1"/>
  <c r="H20" i="1" s="1"/>
  <c r="K20" i="1" s="1"/>
  <c r="F19" i="1"/>
  <c r="G19" i="1" s="1"/>
  <c r="H19" i="1" s="1"/>
  <c r="K19" i="1" s="1"/>
  <c r="K26" i="1" s="1"/>
  <c r="F17" i="1"/>
  <c r="G17" i="1" s="1"/>
  <c r="H17" i="1" s="1"/>
  <c r="K17" i="1" s="1"/>
  <c r="F16" i="1"/>
  <c r="G16" i="1" s="1"/>
  <c r="H16" i="1" s="1"/>
  <c r="K16" i="1" s="1"/>
  <c r="F15" i="1"/>
  <c r="G15" i="1" s="1"/>
  <c r="H15" i="1" s="1"/>
  <c r="K15" i="1" s="1"/>
  <c r="F14" i="1"/>
  <c r="G14" i="1" s="1"/>
  <c r="H14" i="1" s="1"/>
  <c r="K14" i="1" s="1"/>
  <c r="F13" i="1"/>
  <c r="G13" i="1" s="1"/>
  <c r="H13" i="1" s="1"/>
  <c r="K13" i="1" s="1"/>
  <c r="F12" i="1"/>
  <c r="G12" i="1" s="1"/>
  <c r="H12" i="1" s="1"/>
  <c r="K12" i="1" s="1"/>
  <c r="F11" i="1"/>
  <c r="G11" i="1" s="1"/>
  <c r="H11" i="1" s="1"/>
  <c r="K11" i="1" s="1"/>
  <c r="F10" i="1"/>
  <c r="G10" i="1" s="1"/>
  <c r="H10" i="1" s="1"/>
  <c r="K10" i="1" s="1"/>
  <c r="F9" i="1"/>
  <c r="G9" i="1" s="1"/>
  <c r="H9" i="1" s="1"/>
  <c r="K9" i="1" s="1"/>
  <c r="F8" i="1"/>
  <c r="G8" i="1" s="1"/>
  <c r="H8" i="1" s="1"/>
  <c r="K8" i="1" s="1"/>
  <c r="F7" i="1"/>
  <c r="G7" i="1" s="1"/>
  <c r="H7" i="1" s="1"/>
  <c r="K7" i="1" s="1"/>
  <c r="F6" i="1"/>
  <c r="G6" i="1" s="1"/>
  <c r="H6" i="1" s="1"/>
  <c r="K6" i="1" s="1"/>
  <c r="K28" i="1" l="1"/>
  <c r="K25" i="1"/>
</calcChain>
</file>

<file path=xl/sharedStrings.xml><?xml version="1.0" encoding="utf-8"?>
<sst xmlns="http://schemas.openxmlformats.org/spreadsheetml/2006/main" count="163" uniqueCount="87">
  <si>
    <t>MGS - ALMAATA AEROPORT PROJESİ | ADP PANOSU BOM LİSTESİ</t>
  </si>
  <si>
    <t>250616 - Mahir Bey / Hazırlayan: Askar | Kur: 1 EUR = 557 KZT | ABB Kasım 2025 Liste Fiyatı | İndirim: %67 | Yol+Gümrük: +%30</t>
  </si>
  <si>
    <t>Pano</t>
  </si>
  <si>
    <t>Malzeme Tipi</t>
  </si>
  <si>
    <t>Ürün Kodu (ABB)</t>
  </si>
  <si>
    <t>Ürün Açıklaması</t>
  </si>
  <si>
    <t>ABB Liste
Fiyatı (EUR)</t>
  </si>
  <si>
    <t>İndirimli
Fiyat (EUR)
×0.33</t>
  </si>
  <si>
    <t>Yol+Gümrük
(EUR) ×1.30</t>
  </si>
  <si>
    <t>KZT Fiyat
(Birim)</t>
  </si>
  <si>
    <t>Adet</t>
  </si>
  <si>
    <t>Birim</t>
  </si>
  <si>
    <t>Toplam KZT</t>
  </si>
  <si>
    <t>Tedarikçi</t>
  </si>
  <si>
    <t>Not</t>
  </si>
  <si>
    <t>▶  ADP PANOSU</t>
  </si>
  <si>
    <t>ADP PANOSU</t>
  </si>
  <si>
    <t>korpus</t>
  </si>
  <si>
    <t>Teksan Pano Kasası (Ölçü belirtilecek)</t>
  </si>
  <si>
    <t>Ayrı Teklif</t>
  </si>
  <si>
    <t>TEKSAN</t>
  </si>
  <si>
    <t>Ayrı teklif</t>
  </si>
  <si>
    <t>mccb</t>
  </si>
  <si>
    <t>1SDA067414R1</t>
  </si>
  <si>
    <t>XT1N 160, TMD, In=63A (3P)</t>
  </si>
  <si>
    <t>ABB</t>
  </si>
  <si>
    <t>Pano girişi</t>
  </si>
  <si>
    <t>multimetre</t>
  </si>
  <si>
    <t>2CSG251151R4051</t>
  </si>
  <si>
    <t>M4M 20 Enerji Analizörü (Bluetooth, 2 Dijital çıkış)</t>
  </si>
  <si>
    <t>toroid</t>
  </si>
  <si>
    <t>2CSG035100R1211</t>
  </si>
  <si>
    <t>TR1 35mm Troid Kaçak Akım Rölesi</t>
  </si>
  <si>
    <t>rele</t>
  </si>
  <si>
    <t>2CSJ201001R0002</t>
  </si>
  <si>
    <t>RD3 Kaçak Akım Rölesi (230-400V AC)</t>
  </si>
  <si>
    <t>uzıp</t>
  </si>
  <si>
    <t>2CTB803973R1100</t>
  </si>
  <si>
    <t>OVR T2 3N 40-275 P QS (Tip 2, 3+N, 40kA)</t>
  </si>
  <si>
    <t>Tip 2C 40kA</t>
  </si>
  <si>
    <t>dif 3P+N</t>
  </si>
  <si>
    <t>2CSR256040R1254</t>
  </si>
  <si>
    <t>DS203NC C25 AC30 (3P+N, 25A, 30mA, 6kA)</t>
  </si>
  <si>
    <t>ADP açılımına göre 4 adet</t>
  </si>
  <si>
    <t>dif 1P+N</t>
  </si>
  <si>
    <t>2CSR255080R1164</t>
  </si>
  <si>
    <t>DS201 C16 AC30 (1P+N, 16A, 30mA, 6kA)</t>
  </si>
  <si>
    <t>L01-L08 aydınlatma</t>
  </si>
  <si>
    <t>2CSR255080R1254</t>
  </si>
  <si>
    <t>DS201 C25 AC30 (1P+N, 25A, 30mA, 6kA)</t>
  </si>
  <si>
    <t>P01-P04 priz</t>
  </si>
  <si>
    <t>U07 acil ayd.</t>
  </si>
  <si>
    <t>mcb</t>
  </si>
  <si>
    <t>2CDS253001R0105</t>
  </si>
  <si>
    <t>S 203-B 10 (3P, 10A, B eğrisi)</t>
  </si>
  <si>
    <t>L03,L04 tek faz</t>
  </si>
  <si>
    <t>2CDS251001R0105</t>
  </si>
  <si>
    <t>S 201-B 10 (1P, 10A, B eğrisi)</t>
  </si>
  <si>
    <t>Tek faz hatlar</t>
  </si>
  <si>
    <t>2CDS253001R0204</t>
  </si>
  <si>
    <t>S 203-C 20 (3P, 20A, C eğrisi)</t>
  </si>
  <si>
    <t>UPS bölümü girişi</t>
  </si>
  <si>
    <t>▶  UPS BÖLÜMÜ</t>
  </si>
  <si>
    <t>UPS BÖLÜMÜ</t>
  </si>
  <si>
    <t>UPS izleme</t>
  </si>
  <si>
    <t>UPS giriş</t>
  </si>
  <si>
    <t>U01-U08 devreler</t>
  </si>
  <si>
    <t xml:space="preserve">  ADP PANOSU TOPLAMI</t>
  </si>
  <si>
    <t xml:space="preserve">  UPS BÖLÜMÜ TOPLAMI</t>
  </si>
  <si>
    <t>✦  GENEL TOPLAM (KZT)</t>
  </si>
  <si>
    <t>NOTLAR VE DÜZELTMELER:</t>
  </si>
  <si>
    <t>1. Stajyerin BOM'undaki #REF! ve #VALUE! hataları düzeltilmiştir. EUR fiyatları metin olarak değil, sayı olarak girilmiştir.</t>
  </si>
  <si>
    <t>2. Fiyat formülü: KZT = EUR_Liste × 0.33 (indirim) × 1.30 (yol+gümrük) × 557 (EUR/KZT kuru, 16.05.2026)</t>
  </si>
  <si>
    <t>3. Pano kasaları (korpus) Teksan'dan ayrı teklif alınmalıdır - BOM'a dahil edilmemiştir.</t>
  </si>
  <si>
    <t>4. Akım transformatörleri (TT) ve montaj malzemesi pano üreticisinden alınacaktır.</t>
  </si>
  <si>
    <t>5. ADP açılımına göre DS203NC C25 (4 adet), DS201 C16 (8+1 adet), DS201 C25 (4 adet) girilmiştir.</t>
  </si>
  <si>
    <t>6. UPS bölümü için ayrı MCB, DIF ve enerji analizörü eklenmiştir.</t>
  </si>
  <si>
    <t>7. ABB Kasım 2025 fiyat listesi kullanılmıştır (1SDA067414R1, 2CSG251151R4051, vb.).</t>
  </si>
  <si>
    <t>DCBP-N PANEL</t>
  </si>
  <si>
    <t>montaj malz</t>
  </si>
  <si>
    <t>Montaj malzemeleri</t>
  </si>
  <si>
    <t>—</t>
  </si>
  <si>
    <t>set</t>
  </si>
  <si>
    <t>teklif aşamasında</t>
  </si>
  <si>
    <t>montaj iş</t>
  </si>
  <si>
    <t>Montaj işçiliği</t>
  </si>
  <si>
    <t>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</si>
</sst>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  <charset val="204"/>
    </font>
    <font>
      <i/>
      <sz val="8"/>
      <color rgb="FF000000"/>
      <name val="Arial"/>
      <family val="2"/>
      <charset val="204"/>
    </font>
    <font>
      <b/>
      <sz val="8"/>
      <color rgb="FFFFFFFF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i/>
      <sz val="7"/>
      <color rgb="FF888888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11"/>
      <color rgb="FFFFFFFF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D6E4F0"/>
        <bgColor rgb="FFE2EFDA"/>
      </patternFill>
    </fill>
    <fill>
      <patternFill patternType="solid">
        <fgColor rgb="FFF7FBFF"/>
        <bgColor rgb="FFFFFFFF"/>
      </patternFill>
    </fill>
    <fill>
      <patternFill patternType="solid">
        <fgColor rgb="FFFFFFFF"/>
        <bgColor rgb="FFF7FBFF"/>
      </patternFill>
    </fill>
    <fill>
      <patternFill patternType="solid">
        <fgColor rgb="FFE2EFDA"/>
        <bgColor rgb="FFD6E4F0"/>
      </patternFill>
    </fill>
    <fill>
      <patternFill patternType="solid">
        <fgColor rgb="FFF4B942"/>
        <bgColor rgb="FFFF9900"/>
      </patternFill>
    </fill>
    <fill>
      <patternFill patternType="solid">
        <fgColor rgb="FFFCE4D6"/>
        <b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medium">
        <color auto="1"/>
      </top>
      <bottom style="thin">
        <color rgb="FFBFBFBF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6" borderId="0" xfId="0" applyFont="1" applyFill="1" applyAlignment="1">
      <alignment horizontal="left" vertical="center" wrapText="1"/>
    </xf>
    <xf numFmtId="0" fontId="8" fillId="9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right" vertical="center" wrapText="1"/>
    </xf>
    <xf numFmtId="0" fontId="8" fillId="8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4" fontId="5" fillId="6" borderId="1" xfId="0" applyNumberFormat="1" applyFont="1" applyFill="1" applyBorder="1" applyAlignment="1">
      <alignment horizontal="center" vertical="center"/>
    </xf>
    <xf numFmtId="4" fontId="5" fillId="6" borderId="1" xfId="0" applyNumberFormat="1" applyFont="1" applyFill="1" applyBorder="1" applyAlignment="1">
      <alignment horizontal="center" vertical="center" wrapText="1"/>
    </xf>
    <xf numFmtId="3" fontId="5" fillId="7" borderId="1" xfId="0" applyNumberFormat="1" applyFont="1" applyFill="1" applyBorder="1" applyAlignment="1">
      <alignment horizontal="center" vertical="center" wrapText="1"/>
    </xf>
    <xf numFmtId="3" fontId="7" fillId="7" borderId="1" xfId="0" applyNumberFormat="1" applyFont="1" applyFill="1" applyBorder="1" applyAlignment="1">
      <alignment horizontal="center" vertical="center" wrapText="1"/>
    </xf>
    <xf numFmtId="4" fontId="5" fillId="5" borderId="1" xfId="0" applyNumberFormat="1" applyFont="1" applyFill="1" applyBorder="1" applyAlignment="1">
      <alignment horizontal="center" vertical="center"/>
    </xf>
    <xf numFmtId="4" fontId="5" fillId="5" borderId="1" xfId="0" applyNumberFormat="1" applyFont="1" applyFill="1" applyBorder="1" applyAlignment="1">
      <alignment horizontal="center" vertical="center" wrapText="1"/>
    </xf>
    <xf numFmtId="0" fontId="0" fillId="8" borderId="2" xfId="0" applyFill="1" applyBorder="1"/>
    <xf numFmtId="3" fontId="8" fillId="8" borderId="2" xfId="0" applyNumberFormat="1" applyFont="1" applyFill="1" applyBorder="1" applyAlignment="1">
      <alignment horizontal="center" vertical="center" wrapText="1"/>
    </xf>
    <xf numFmtId="0" fontId="0" fillId="2" borderId="3" xfId="0" applyFill="1" applyBorder="1"/>
    <xf numFmtId="3" fontId="9" fillId="2" borderId="3" xfId="0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right" vertical="center"/>
    </xf>
    <xf numFmtId="0" fontId="11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FF2CC"/>
      <rgbColor rgb="FFF7FB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4B942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tabSelected="1" zoomScaleNormal="100" workbookViewId="0">
      <pane ySplit="3" topLeftCell="A4" activePane="bottomLeft" state="frozen"/>
      <selection pane="bottomLeft" activeCell="G24" sqref="G24"/>
    </sheetView>
  </sheetViews>
  <sheetFormatPr defaultColWidth="8.7109375" defaultRowHeight="15" x14ac:dyDescent="0.25"/>
  <cols>
    <col min="1" max="2" width="14" customWidth="1"/>
    <col min="3" max="3" width="20" customWidth="1"/>
    <col min="4" max="4" width="40" customWidth="1"/>
    <col min="5" max="7" width="12" customWidth="1"/>
    <col min="8" max="8" width="14" customWidth="1"/>
    <col min="9" max="10" width="6" customWidth="1"/>
    <col min="11" max="11" width="16" customWidth="1"/>
    <col min="12" max="12" width="10" customWidth="1"/>
    <col min="13" max="13" width="20" customWidth="1"/>
  </cols>
  <sheetData>
    <row r="1" spans="1:13" ht="27.7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5.7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39.75" customHeight="1" x14ac:dyDescent="0.2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</row>
    <row r="4" spans="1:13" ht="18" customHeight="1" x14ac:dyDescent="0.25">
      <c r="A4" s="25" t="s">
        <v>15</v>
      </c>
      <c r="B4" s="25"/>
      <c r="C4" s="25"/>
      <c r="D4" s="25" t="s">
        <v>15</v>
      </c>
      <c r="E4" s="25"/>
      <c r="F4" s="25"/>
      <c r="G4" s="25"/>
      <c r="H4" s="25"/>
      <c r="I4" s="25"/>
      <c r="J4" s="25"/>
      <c r="K4" s="25"/>
      <c r="L4" s="25"/>
      <c r="M4" s="25"/>
    </row>
    <row r="5" spans="1:13" ht="15" customHeight="1" x14ac:dyDescent="0.25">
      <c r="A5" s="8" t="s">
        <v>16</v>
      </c>
      <c r="B5" s="9" t="s">
        <v>17</v>
      </c>
      <c r="C5" s="9"/>
      <c r="D5" s="10" t="s">
        <v>18</v>
      </c>
      <c r="E5" s="11" t="s">
        <v>19</v>
      </c>
      <c r="F5" s="11" t="s">
        <v>19</v>
      </c>
      <c r="G5" s="11" t="s">
        <v>19</v>
      </c>
      <c r="H5" s="11" t="s">
        <v>19</v>
      </c>
      <c r="I5" s="8">
        <v>1</v>
      </c>
      <c r="J5" s="8" t="s">
        <v>86</v>
      </c>
      <c r="K5" s="11" t="s">
        <v>19</v>
      </c>
      <c r="L5" s="9" t="s">
        <v>20</v>
      </c>
      <c r="M5" s="9" t="s">
        <v>21</v>
      </c>
    </row>
    <row r="6" spans="1:13" ht="15" customHeight="1" x14ac:dyDescent="0.25">
      <c r="A6" s="12" t="s">
        <v>16</v>
      </c>
      <c r="B6" s="13" t="s">
        <v>22</v>
      </c>
      <c r="C6" s="13" t="s">
        <v>23</v>
      </c>
      <c r="D6" s="14" t="s">
        <v>24</v>
      </c>
      <c r="E6" s="15">
        <v>246.1</v>
      </c>
      <c r="F6" s="16">
        <f t="shared" ref="F6:F17" si="0">E6*0.33</f>
        <v>81.213000000000008</v>
      </c>
      <c r="G6" s="16">
        <f t="shared" ref="G6:G17" si="1">F6*1.3</f>
        <v>105.57690000000001</v>
      </c>
      <c r="H6" s="17">
        <f t="shared" ref="H6:H17" si="2">G6*557</f>
        <v>58806.333300000006</v>
      </c>
      <c r="I6" s="12">
        <v>1</v>
      </c>
      <c r="J6" s="8" t="s">
        <v>86</v>
      </c>
      <c r="K6" s="18">
        <f t="shared" ref="K6:K17" si="3">H6*I6</f>
        <v>58806.333300000006</v>
      </c>
      <c r="L6" s="13" t="s">
        <v>25</v>
      </c>
      <c r="M6" s="13" t="s">
        <v>26</v>
      </c>
    </row>
    <row r="7" spans="1:13" ht="15" customHeight="1" x14ac:dyDescent="0.25">
      <c r="A7" s="8" t="s">
        <v>16</v>
      </c>
      <c r="B7" s="9" t="s">
        <v>27</v>
      </c>
      <c r="C7" s="9" t="s">
        <v>28</v>
      </c>
      <c r="D7" s="10" t="s">
        <v>29</v>
      </c>
      <c r="E7" s="19">
        <v>709.9</v>
      </c>
      <c r="F7" s="20">
        <f t="shared" si="0"/>
        <v>234.267</v>
      </c>
      <c r="G7" s="20">
        <f t="shared" si="1"/>
        <v>304.5471</v>
      </c>
      <c r="H7" s="17">
        <f t="shared" si="2"/>
        <v>169632.7347</v>
      </c>
      <c r="I7" s="8">
        <v>1</v>
      </c>
      <c r="J7" s="8" t="s">
        <v>86</v>
      </c>
      <c r="K7" s="18">
        <f t="shared" si="3"/>
        <v>169632.7347</v>
      </c>
      <c r="L7" s="9" t="s">
        <v>25</v>
      </c>
      <c r="M7" s="9"/>
    </row>
    <row r="8" spans="1:13" ht="15" customHeight="1" x14ac:dyDescent="0.25">
      <c r="A8" s="12" t="s">
        <v>16</v>
      </c>
      <c r="B8" s="13" t="s">
        <v>30</v>
      </c>
      <c r="C8" s="13" t="s">
        <v>31</v>
      </c>
      <c r="D8" s="14" t="s">
        <v>32</v>
      </c>
      <c r="E8" s="15">
        <v>131.19999999999999</v>
      </c>
      <c r="F8" s="16">
        <f t="shared" si="0"/>
        <v>43.295999999999999</v>
      </c>
      <c r="G8" s="16">
        <f t="shared" si="1"/>
        <v>56.284800000000004</v>
      </c>
      <c r="H8" s="17">
        <f t="shared" si="2"/>
        <v>31350.633600000001</v>
      </c>
      <c r="I8" s="12">
        <v>1</v>
      </c>
      <c r="J8" s="8" t="s">
        <v>86</v>
      </c>
      <c r="K8" s="18">
        <f t="shared" si="3"/>
        <v>31350.633600000001</v>
      </c>
      <c r="L8" s="13" t="s">
        <v>25</v>
      </c>
      <c r="M8" s="13"/>
    </row>
    <row r="9" spans="1:13" ht="15" customHeight="1" x14ac:dyDescent="0.25">
      <c r="A9" s="8" t="s">
        <v>16</v>
      </c>
      <c r="B9" s="9" t="s">
        <v>33</v>
      </c>
      <c r="C9" s="9" t="s">
        <v>34</v>
      </c>
      <c r="D9" s="10" t="s">
        <v>35</v>
      </c>
      <c r="E9" s="19">
        <v>498.1</v>
      </c>
      <c r="F9" s="20">
        <f t="shared" si="0"/>
        <v>164.37300000000002</v>
      </c>
      <c r="G9" s="20">
        <f t="shared" si="1"/>
        <v>213.68490000000003</v>
      </c>
      <c r="H9" s="17">
        <f t="shared" si="2"/>
        <v>119022.48930000002</v>
      </c>
      <c r="I9" s="8">
        <v>1</v>
      </c>
      <c r="J9" s="8" t="s">
        <v>86</v>
      </c>
      <c r="K9" s="18">
        <f t="shared" si="3"/>
        <v>119022.48930000002</v>
      </c>
      <c r="L9" s="9" t="s">
        <v>25</v>
      </c>
      <c r="M9" s="9"/>
    </row>
    <row r="10" spans="1:13" ht="15" customHeight="1" x14ac:dyDescent="0.25">
      <c r="A10" s="12" t="s">
        <v>16</v>
      </c>
      <c r="B10" s="13" t="s">
        <v>36</v>
      </c>
      <c r="C10" s="13" t="s">
        <v>37</v>
      </c>
      <c r="D10" s="14" t="s">
        <v>38</v>
      </c>
      <c r="E10" s="15">
        <v>361.2</v>
      </c>
      <c r="F10" s="16">
        <f t="shared" si="0"/>
        <v>119.196</v>
      </c>
      <c r="G10" s="16">
        <f t="shared" si="1"/>
        <v>154.95480000000001</v>
      </c>
      <c r="H10" s="17">
        <f t="shared" si="2"/>
        <v>86309.823600000003</v>
      </c>
      <c r="I10" s="12">
        <v>1</v>
      </c>
      <c r="J10" s="8" t="s">
        <v>86</v>
      </c>
      <c r="K10" s="18">
        <f t="shared" si="3"/>
        <v>86309.823600000003</v>
      </c>
      <c r="L10" s="13" t="s">
        <v>25</v>
      </c>
      <c r="M10" s="13" t="s">
        <v>39</v>
      </c>
    </row>
    <row r="11" spans="1:13" ht="15" customHeight="1" x14ac:dyDescent="0.25">
      <c r="A11" s="8" t="s">
        <v>16</v>
      </c>
      <c r="B11" s="9" t="s">
        <v>40</v>
      </c>
      <c r="C11" s="9" t="s">
        <v>41</v>
      </c>
      <c r="D11" s="10" t="s">
        <v>42</v>
      </c>
      <c r="E11" s="19">
        <v>292</v>
      </c>
      <c r="F11" s="20">
        <f t="shared" si="0"/>
        <v>96.36</v>
      </c>
      <c r="G11" s="20">
        <f t="shared" si="1"/>
        <v>125.268</v>
      </c>
      <c r="H11" s="17">
        <f t="shared" si="2"/>
        <v>69774.275999999998</v>
      </c>
      <c r="I11" s="8">
        <v>4</v>
      </c>
      <c r="J11" s="8" t="s">
        <v>86</v>
      </c>
      <c r="K11" s="18">
        <f t="shared" si="3"/>
        <v>279097.10399999999</v>
      </c>
      <c r="L11" s="9" t="s">
        <v>25</v>
      </c>
      <c r="M11" s="9" t="s">
        <v>43</v>
      </c>
    </row>
    <row r="12" spans="1:13" ht="15" customHeight="1" x14ac:dyDescent="0.25">
      <c r="A12" s="12" t="s">
        <v>16</v>
      </c>
      <c r="B12" s="13" t="s">
        <v>44</v>
      </c>
      <c r="C12" s="13" t="s">
        <v>45</v>
      </c>
      <c r="D12" s="14" t="s">
        <v>46</v>
      </c>
      <c r="E12" s="15">
        <v>87.63</v>
      </c>
      <c r="F12" s="16">
        <f t="shared" si="0"/>
        <v>28.917899999999999</v>
      </c>
      <c r="G12" s="16">
        <f t="shared" si="1"/>
        <v>37.593270000000004</v>
      </c>
      <c r="H12" s="17">
        <f t="shared" si="2"/>
        <v>20939.451390000002</v>
      </c>
      <c r="I12" s="12">
        <v>8</v>
      </c>
      <c r="J12" s="8" t="s">
        <v>86</v>
      </c>
      <c r="K12" s="18">
        <f t="shared" si="3"/>
        <v>167515.61112000002</v>
      </c>
      <c r="L12" s="13" t="s">
        <v>25</v>
      </c>
      <c r="M12" s="13" t="s">
        <v>47</v>
      </c>
    </row>
    <row r="13" spans="1:13" ht="15" customHeight="1" x14ac:dyDescent="0.25">
      <c r="A13" s="8" t="s">
        <v>16</v>
      </c>
      <c r="B13" s="9" t="s">
        <v>44</v>
      </c>
      <c r="C13" s="9" t="s">
        <v>48</v>
      </c>
      <c r="D13" s="10" t="s">
        <v>49</v>
      </c>
      <c r="E13" s="19">
        <v>87.63</v>
      </c>
      <c r="F13" s="20">
        <f t="shared" si="0"/>
        <v>28.917899999999999</v>
      </c>
      <c r="G13" s="20">
        <f t="shared" si="1"/>
        <v>37.593270000000004</v>
      </c>
      <c r="H13" s="17">
        <f t="shared" si="2"/>
        <v>20939.451390000002</v>
      </c>
      <c r="I13" s="8">
        <v>4</v>
      </c>
      <c r="J13" s="8" t="s">
        <v>86</v>
      </c>
      <c r="K13" s="18">
        <f t="shared" si="3"/>
        <v>83757.805560000008</v>
      </c>
      <c r="L13" s="9" t="s">
        <v>25</v>
      </c>
      <c r="M13" s="9" t="s">
        <v>50</v>
      </c>
    </row>
    <row r="14" spans="1:13" ht="15" customHeight="1" x14ac:dyDescent="0.25">
      <c r="A14" s="12" t="s">
        <v>16</v>
      </c>
      <c r="B14" s="13" t="s">
        <v>44</v>
      </c>
      <c r="C14" s="13" t="s">
        <v>45</v>
      </c>
      <c r="D14" s="14" t="s">
        <v>46</v>
      </c>
      <c r="E14" s="15">
        <v>87.63</v>
      </c>
      <c r="F14" s="16">
        <f t="shared" si="0"/>
        <v>28.917899999999999</v>
      </c>
      <c r="G14" s="16">
        <f t="shared" si="1"/>
        <v>37.593270000000004</v>
      </c>
      <c r="H14" s="17">
        <f t="shared" si="2"/>
        <v>20939.451390000002</v>
      </c>
      <c r="I14" s="12">
        <v>1</v>
      </c>
      <c r="J14" s="8" t="s">
        <v>86</v>
      </c>
      <c r="K14" s="18">
        <f t="shared" si="3"/>
        <v>20939.451390000002</v>
      </c>
      <c r="L14" s="13" t="s">
        <v>25</v>
      </c>
      <c r="M14" s="13" t="s">
        <v>51</v>
      </c>
    </row>
    <row r="15" spans="1:13" ht="15" customHeight="1" x14ac:dyDescent="0.25">
      <c r="A15" s="8" t="s">
        <v>16</v>
      </c>
      <c r="B15" s="9" t="s">
        <v>52</v>
      </c>
      <c r="C15" s="9" t="s">
        <v>53</v>
      </c>
      <c r="D15" s="10" t="s">
        <v>54</v>
      </c>
      <c r="E15" s="19">
        <v>44.06</v>
      </c>
      <c r="F15" s="20">
        <f t="shared" si="0"/>
        <v>14.539800000000001</v>
      </c>
      <c r="G15" s="20">
        <f t="shared" si="1"/>
        <v>18.901740000000004</v>
      </c>
      <c r="H15" s="17">
        <f t="shared" si="2"/>
        <v>10528.269180000003</v>
      </c>
      <c r="I15" s="8">
        <v>2</v>
      </c>
      <c r="J15" s="8" t="s">
        <v>86</v>
      </c>
      <c r="K15" s="18">
        <f t="shared" si="3"/>
        <v>21056.538360000006</v>
      </c>
      <c r="L15" s="9" t="s">
        <v>25</v>
      </c>
      <c r="M15" s="9" t="s">
        <v>55</v>
      </c>
    </row>
    <row r="16" spans="1:13" ht="15" customHeight="1" x14ac:dyDescent="0.25">
      <c r="A16" s="12" t="s">
        <v>16</v>
      </c>
      <c r="B16" s="13" t="s">
        <v>52</v>
      </c>
      <c r="C16" s="13" t="s">
        <v>56</v>
      </c>
      <c r="D16" s="14" t="s">
        <v>57</v>
      </c>
      <c r="E16" s="15">
        <v>9.7799999999999994</v>
      </c>
      <c r="F16" s="16">
        <f t="shared" si="0"/>
        <v>3.2273999999999998</v>
      </c>
      <c r="G16" s="16">
        <f t="shared" si="1"/>
        <v>4.1956199999999999</v>
      </c>
      <c r="H16" s="17">
        <f t="shared" si="2"/>
        <v>2336.9603400000001</v>
      </c>
      <c r="I16" s="12">
        <v>24</v>
      </c>
      <c r="J16" s="8" t="s">
        <v>86</v>
      </c>
      <c r="K16" s="18">
        <f t="shared" si="3"/>
        <v>56087.048160000006</v>
      </c>
      <c r="L16" s="13" t="s">
        <v>25</v>
      </c>
      <c r="M16" s="13" t="s">
        <v>58</v>
      </c>
    </row>
    <row r="17" spans="1:13" ht="15" customHeight="1" x14ac:dyDescent="0.25">
      <c r="A17" s="8" t="s">
        <v>16</v>
      </c>
      <c r="B17" s="9" t="s">
        <v>52</v>
      </c>
      <c r="C17" s="9" t="s">
        <v>59</v>
      </c>
      <c r="D17" s="10" t="s">
        <v>60</v>
      </c>
      <c r="E17" s="19">
        <v>48.51</v>
      </c>
      <c r="F17" s="20">
        <f t="shared" si="0"/>
        <v>16.008299999999998</v>
      </c>
      <c r="G17" s="20">
        <f t="shared" si="1"/>
        <v>20.810789999999997</v>
      </c>
      <c r="H17" s="17">
        <f t="shared" si="2"/>
        <v>11591.610029999998</v>
      </c>
      <c r="I17" s="8">
        <v>1</v>
      </c>
      <c r="J17" s="8" t="s">
        <v>86</v>
      </c>
      <c r="K17" s="18">
        <f t="shared" si="3"/>
        <v>11591.610029999998</v>
      </c>
      <c r="L17" s="9" t="s">
        <v>25</v>
      </c>
      <c r="M17" s="9" t="s">
        <v>61</v>
      </c>
    </row>
    <row r="18" spans="1:13" ht="18" customHeight="1" x14ac:dyDescent="0.25">
      <c r="A18" s="30" t="s">
        <v>62</v>
      </c>
      <c r="B18" s="30"/>
      <c r="C18" s="30"/>
      <c r="D18" s="30" t="s">
        <v>62</v>
      </c>
      <c r="E18" s="30"/>
      <c r="F18" s="30"/>
      <c r="G18" s="30"/>
      <c r="H18" s="30"/>
      <c r="I18" s="30"/>
      <c r="J18" s="30"/>
      <c r="K18" s="30"/>
      <c r="L18" s="30"/>
      <c r="M18" s="30"/>
    </row>
    <row r="19" spans="1:13" ht="15" customHeight="1" x14ac:dyDescent="0.25">
      <c r="A19" s="8" t="s">
        <v>63</v>
      </c>
      <c r="B19" s="9" t="s">
        <v>27</v>
      </c>
      <c r="C19" s="9" t="s">
        <v>28</v>
      </c>
      <c r="D19" s="10" t="s">
        <v>29</v>
      </c>
      <c r="E19" s="19">
        <v>709.9</v>
      </c>
      <c r="F19" s="20">
        <f>E19*0.33</f>
        <v>234.267</v>
      </c>
      <c r="G19" s="20">
        <f>F19*1.3</f>
        <v>304.5471</v>
      </c>
      <c r="H19" s="17">
        <f>G19*557</f>
        <v>169632.7347</v>
      </c>
      <c r="I19" s="8">
        <v>1</v>
      </c>
      <c r="J19" s="8" t="s">
        <v>86</v>
      </c>
      <c r="K19" s="18">
        <f>H19*I19</f>
        <v>169632.7347</v>
      </c>
      <c r="L19" s="9" t="s">
        <v>25</v>
      </c>
      <c r="M19" s="9" t="s">
        <v>64</v>
      </c>
    </row>
    <row r="20" spans="1:13" ht="15" customHeight="1" x14ac:dyDescent="0.25">
      <c r="A20" s="12" t="s">
        <v>63</v>
      </c>
      <c r="B20" s="13" t="s">
        <v>36</v>
      </c>
      <c r="C20" s="13" t="s">
        <v>37</v>
      </c>
      <c r="D20" s="14" t="s">
        <v>38</v>
      </c>
      <c r="E20" s="15">
        <v>361.2</v>
      </c>
      <c r="F20" s="16">
        <f>E20*0.33</f>
        <v>119.196</v>
      </c>
      <c r="G20" s="16">
        <f>F20*1.3</f>
        <v>154.95480000000001</v>
      </c>
      <c r="H20" s="17">
        <f>G20*557</f>
        <v>86309.823600000003</v>
      </c>
      <c r="I20" s="12">
        <v>1</v>
      </c>
      <c r="J20" s="8" t="s">
        <v>86</v>
      </c>
      <c r="K20" s="18">
        <f>H20*I20</f>
        <v>86309.823600000003</v>
      </c>
      <c r="L20" s="13" t="s">
        <v>25</v>
      </c>
      <c r="M20" s="13"/>
    </row>
    <row r="21" spans="1:13" ht="15" customHeight="1" x14ac:dyDescent="0.25">
      <c r="A21" s="8" t="s">
        <v>63</v>
      </c>
      <c r="B21" s="9" t="s">
        <v>52</v>
      </c>
      <c r="C21" s="9" t="s">
        <v>59</v>
      </c>
      <c r="D21" s="10" t="s">
        <v>60</v>
      </c>
      <c r="E21" s="19">
        <v>48.51</v>
      </c>
      <c r="F21" s="20">
        <f>E21*0.33</f>
        <v>16.008299999999998</v>
      </c>
      <c r="G21" s="20">
        <f>F21*1.3</f>
        <v>20.810789999999997</v>
      </c>
      <c r="H21" s="17">
        <f>G21*557</f>
        <v>11591.610029999998</v>
      </c>
      <c r="I21" s="8">
        <v>1</v>
      </c>
      <c r="J21" s="8" t="s">
        <v>86</v>
      </c>
      <c r="K21" s="18">
        <f>H21*I21</f>
        <v>11591.610029999998</v>
      </c>
      <c r="L21" s="9" t="s">
        <v>25</v>
      </c>
      <c r="M21" s="9" t="s">
        <v>65</v>
      </c>
    </row>
    <row r="22" spans="1:13" ht="16.5" customHeight="1" x14ac:dyDescent="0.25">
      <c r="A22" s="12" t="s">
        <v>63</v>
      </c>
      <c r="B22" s="13" t="s">
        <v>44</v>
      </c>
      <c r="C22" s="13" t="s">
        <v>45</v>
      </c>
      <c r="D22" s="14" t="s">
        <v>46</v>
      </c>
      <c r="E22" s="15">
        <v>87.63</v>
      </c>
      <c r="F22" s="16">
        <f>E22*0.33</f>
        <v>28.917899999999999</v>
      </c>
      <c r="G22" s="16">
        <f>F22*1.3</f>
        <v>37.593270000000004</v>
      </c>
      <c r="H22" s="17">
        <f>G22*557</f>
        <v>20939.451390000002</v>
      </c>
      <c r="I22" s="12">
        <v>12</v>
      </c>
      <c r="J22" s="8" t="s">
        <v>86</v>
      </c>
      <c r="K22" s="18">
        <f>H22*I22</f>
        <v>251273.41668000002</v>
      </c>
      <c r="L22" s="13" t="s">
        <v>25</v>
      </c>
      <c r="M22" s="13" t="s">
        <v>66</v>
      </c>
    </row>
    <row r="23" spans="1:13" ht="15" customHeight="1" x14ac:dyDescent="0.25">
      <c r="A23" s="26" t="s">
        <v>78</v>
      </c>
      <c r="B23" s="26" t="s">
        <v>79</v>
      </c>
      <c r="C23" s="26"/>
      <c r="D23" s="26" t="s">
        <v>80</v>
      </c>
      <c r="E23" s="27" t="s">
        <v>81</v>
      </c>
      <c r="G23" s="27">
        <f ca="1">OFFSET(G23,1,1)</f>
        <v>173400</v>
      </c>
      <c r="H23" s="27">
        <f ca="1">G23*I23</f>
        <v>173400</v>
      </c>
      <c r="I23" s="28">
        <v>1</v>
      </c>
      <c r="J23" s="8" t="s">
        <v>86</v>
      </c>
      <c r="K23" s="29" t="s">
        <v>81</v>
      </c>
      <c r="L23" s="26" t="s">
        <v>83</v>
      </c>
    </row>
    <row r="24" spans="1:13" ht="15" customHeight="1" x14ac:dyDescent="0.25">
      <c r="A24" s="26" t="s">
        <v>78</v>
      </c>
      <c r="B24" s="26" t="s">
        <v>84</v>
      </c>
      <c r="C24" s="26"/>
      <c r="D24" s="26" t="s">
        <v>85</v>
      </c>
      <c r="E24" s="27" t="s">
        <v>81</v>
      </c>
      <c r="G24" s="27">
        <v>17</v>
      </c>
      <c r="H24" s="27">
        <f>G24*I24</f>
        <v>173400</v>
      </c>
      <c r="I24" s="28">
        <f>600*G24</f>
        <v>10200</v>
      </c>
      <c r="J24" s="29" t="s">
        <v>82</v>
      </c>
      <c r="K24" s="29" t="s">
        <v>81</v>
      </c>
      <c r="L24" s="26" t="s">
        <v>83</v>
      </c>
    </row>
    <row r="25" spans="1:13" ht="18" customHeight="1" thickBot="1" x14ac:dyDescent="0.3">
      <c r="A25" s="4" t="s">
        <v>67</v>
      </c>
      <c r="B25" s="4"/>
      <c r="C25" s="4"/>
      <c r="D25" s="4"/>
      <c r="E25" s="21"/>
      <c r="F25" s="21"/>
      <c r="G25" s="21"/>
      <c r="H25" s="21"/>
      <c r="I25" s="21"/>
      <c r="J25" s="21"/>
      <c r="K25" s="22">
        <f>K6+K7+K8+K9+K10+K11+K12+K13+K14+K15+K16+K17</f>
        <v>1105167.1831200002</v>
      </c>
      <c r="L25" s="21"/>
      <c r="M25" s="21"/>
    </row>
    <row r="26" spans="1:13" ht="18" customHeight="1" thickBot="1" x14ac:dyDescent="0.3">
      <c r="A26" s="4" t="s">
        <v>68</v>
      </c>
      <c r="B26" s="4"/>
      <c r="C26" s="4"/>
      <c r="D26" s="4"/>
      <c r="E26" s="21"/>
      <c r="F26" s="21"/>
      <c r="G26" s="21"/>
      <c r="H26" s="21"/>
      <c r="I26" s="21"/>
      <c r="J26" s="21"/>
      <c r="K26" s="22">
        <f>K19+K20+K21+K22</f>
        <v>518807.58501000004</v>
      </c>
      <c r="L26" s="21"/>
      <c r="M26" s="21"/>
    </row>
    <row r="28" spans="1:13" ht="21.75" customHeight="1" x14ac:dyDescent="0.25">
      <c r="A28" s="3" t="s">
        <v>69</v>
      </c>
      <c r="B28" s="3"/>
      <c r="C28" s="3"/>
      <c r="D28" s="3"/>
      <c r="E28" s="23"/>
      <c r="F28" s="23"/>
      <c r="G28" s="23"/>
      <c r="H28" s="23"/>
      <c r="I28" s="23"/>
      <c r="J28" s="23"/>
      <c r="K28" s="24">
        <f>K6+K7+K8+K9+K10+K11+K12+K13+K14+K15+K16+K17+K19+K20+K21+K22</f>
        <v>1623974.7681300002</v>
      </c>
      <c r="L28" s="23"/>
      <c r="M28" s="23"/>
    </row>
    <row r="30" spans="1:13" ht="15" customHeight="1" x14ac:dyDescent="0.25">
      <c r="A30" s="2" t="s">
        <v>70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15" customHeight="1" x14ac:dyDescent="0.25">
      <c r="A31" s="1" t="s">
        <v>71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" customHeight="1" x14ac:dyDescent="0.25">
      <c r="A32" s="1" t="s">
        <v>72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" customHeight="1" x14ac:dyDescent="0.25">
      <c r="A33" s="1" t="s">
        <v>73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" customHeight="1" x14ac:dyDescent="0.25">
      <c r="A34" s="1" t="s">
        <v>74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" customHeight="1" x14ac:dyDescent="0.25">
      <c r="A35" s="1" t="s">
        <v>75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" customHeight="1" x14ac:dyDescent="0.25">
      <c r="A36" s="1" t="s">
        <v>76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" customHeight="1" x14ac:dyDescent="0.25">
      <c r="A37" s="1" t="s">
        <v>77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</sheetData>
  <mergeCells count="13">
    <mergeCell ref="A33:M33"/>
    <mergeCell ref="A34:M34"/>
    <mergeCell ref="A35:M35"/>
    <mergeCell ref="A36:M36"/>
    <mergeCell ref="A37:M37"/>
    <mergeCell ref="A26:D26"/>
    <mergeCell ref="A28:D28"/>
    <mergeCell ref="A30:M30"/>
    <mergeCell ref="A31:M31"/>
    <mergeCell ref="A32:M32"/>
    <mergeCell ref="A1:M1"/>
    <mergeCell ref="A2:M2"/>
    <mergeCell ref="A25:D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ADP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2026-05-16T10:10:08Z</dcterms:created>
  <dcterms:modified xsi:type="dcterms:W3CDTF">2026-05-16T14:00:08Z</dcterms:modified>
  <dc:language>en-US</dc:language>
</cp:coreProperties>
</file>