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5.1- uretimdeki\BASLANACAK\260727 biskek arifiye\"/>
    </mc:Choice>
  </mc:AlternateContent>
  <xr:revisionPtr revIDLastSave="0" documentId="13_ncr:1_{0163FAD8-89E4-4C92-9F77-4763E8CBCE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yat calismasi burda" sheetId="1" r:id="rId1"/>
    <sheet name="FIYAT" sheetId="5" r:id="rId2"/>
    <sheet name="Sayfa2" sheetId="4" r:id="rId3"/>
    <sheet name="Sayfa1" sheetId="3" r:id="rId4"/>
  </sheets>
  <definedNames>
    <definedName name="_xlnm._FilterDatabase" localSheetId="1" hidden="1">FIYAT!$A$1:$I$9</definedName>
    <definedName name="_xlnm._FilterDatabase" localSheetId="0" hidden="1">'fiyat calismasi burda'!$B$1:$K$173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D3" i="5"/>
  <c r="D4" i="5"/>
  <c r="D5" i="5"/>
  <c r="D6" i="5"/>
  <c r="D7" i="5"/>
  <c r="D8" i="5"/>
  <c r="D9" i="5"/>
  <c r="C3" i="5"/>
  <c r="C4" i="5"/>
  <c r="C5" i="5"/>
  <c r="C6" i="5"/>
  <c r="C7" i="5"/>
  <c r="C8" i="5"/>
  <c r="C9" i="5"/>
  <c r="J3" i="5"/>
  <c r="J4" i="5"/>
  <c r="J5" i="5"/>
  <c r="J6" i="5"/>
  <c r="J7" i="5"/>
  <c r="J8" i="5"/>
  <c r="J9" i="5"/>
  <c r="J2" i="5"/>
  <c r="C2" i="5" s="1"/>
  <c r="D2" i="5" s="1"/>
  <c r="E2" i="5" s="1"/>
  <c r="G136" i="1"/>
  <c r="G154" i="1"/>
  <c r="G145" i="1"/>
  <c r="H145" i="1" s="1"/>
  <c r="G170" i="1"/>
  <c r="G128" i="1"/>
  <c r="H128" i="1" s="1"/>
  <c r="G131" i="1"/>
  <c r="H131" i="1" s="1"/>
  <c r="I46" i="4"/>
  <c r="H46" i="4" s="1"/>
  <c r="F45" i="4" s="1"/>
  <c r="G45" i="4" s="1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B25" i="4"/>
  <c r="B26" i="4" s="1"/>
  <c r="I24" i="4"/>
  <c r="H24" i="4"/>
  <c r="F23" i="4"/>
  <c r="G23" i="4" s="1"/>
  <c r="H23" i="4" s="1"/>
  <c r="B23" i="4"/>
  <c r="B29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B12" i="4"/>
  <c r="B2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B1" i="4"/>
  <c r="B14" i="4" s="1"/>
  <c r="G112" i="1"/>
  <c r="G90" i="1"/>
  <c r="G69" i="1"/>
  <c r="G48" i="1"/>
  <c r="I156" i="1"/>
  <c r="I138" i="1"/>
  <c r="I172" i="1"/>
  <c r="I116" i="1"/>
  <c r="I94" i="1"/>
  <c r="I73" i="1"/>
  <c r="I52" i="1"/>
  <c r="I31" i="1"/>
  <c r="B31" i="4" l="1"/>
  <c r="B32" i="4" s="1"/>
  <c r="B33" i="4" s="1"/>
  <c r="B27" i="4"/>
  <c r="B30" i="4"/>
  <c r="B28" i="4"/>
  <c r="B24" i="4"/>
  <c r="B2" i="4"/>
  <c r="B3" i="4" l="1"/>
  <c r="B13" i="4"/>
  <c r="B18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34" i="4"/>
  <c r="B4" i="4" l="1"/>
  <c r="B19" i="4"/>
  <c r="B20" i="4" l="1"/>
  <c r="B5" i="4"/>
  <c r="B21" i="4" l="1"/>
  <c r="B6" i="4"/>
  <c r="B9" i="4"/>
  <c r="B10" i="4" l="1"/>
  <c r="B16" i="4"/>
  <c r="B7" i="4"/>
  <c r="B8" i="4"/>
  <c r="B15" i="4" s="1"/>
  <c r="B11" i="4" l="1"/>
  <c r="B17" i="4"/>
  <c r="G23" i="1" l="1"/>
  <c r="H23" i="1" s="1"/>
  <c r="I154" i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4" i="1"/>
  <c r="H144" i="1" s="1"/>
  <c r="G143" i="1"/>
  <c r="H143" i="1" s="1"/>
  <c r="G142" i="1"/>
  <c r="H142" i="1" s="1"/>
  <c r="G141" i="1"/>
  <c r="H141" i="1" s="1"/>
  <c r="B140" i="1"/>
  <c r="B141" i="1" s="1"/>
  <c r="B142" i="1" s="1"/>
  <c r="B143" i="1" s="1"/>
  <c r="H136" i="1"/>
  <c r="G135" i="1"/>
  <c r="H135" i="1" s="1"/>
  <c r="G134" i="1"/>
  <c r="H134" i="1" s="1"/>
  <c r="G133" i="1"/>
  <c r="H133" i="1" s="1"/>
  <c r="G132" i="1"/>
  <c r="H132" i="1" s="1"/>
  <c r="G130" i="1"/>
  <c r="H130" i="1" s="1"/>
  <c r="G129" i="1"/>
  <c r="H129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B118" i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H170" i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B158" i="1"/>
  <c r="B144" i="1" l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45" i="1"/>
  <c r="H138" i="1"/>
  <c r="F137" i="1" s="1"/>
  <c r="G137" i="1" s="1"/>
  <c r="H137" i="1" s="1"/>
  <c r="H139" i="1" s="1"/>
  <c r="H156" i="1"/>
  <c r="F155" i="1" s="1"/>
  <c r="G155" i="1" s="1"/>
  <c r="H155" i="1" s="1"/>
  <c r="H154" i="1"/>
  <c r="H157" i="1" s="1"/>
  <c r="H172" i="1"/>
  <c r="F171" i="1" s="1"/>
  <c r="G171" i="1" s="1"/>
  <c r="H171" i="1" s="1"/>
  <c r="H173" i="1" s="1"/>
  <c r="B171" i="1"/>
  <c r="B159" i="1"/>
  <c r="B160" i="1" l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2" i="1"/>
  <c r="G20" i="1" l="1"/>
  <c r="H20" i="1" s="1"/>
  <c r="G19" i="1"/>
  <c r="H19" i="1" s="1"/>
  <c r="G18" i="1"/>
  <c r="H18" i="1" s="1"/>
  <c r="G17" i="1"/>
  <c r="H17" i="1" s="1"/>
  <c r="G16" i="1"/>
  <c r="H16" i="1" s="1"/>
  <c r="G114" i="1" l="1"/>
  <c r="H114" i="1" s="1"/>
  <c r="G113" i="1"/>
  <c r="H113" i="1" s="1"/>
  <c r="G92" i="1"/>
  <c r="H92" i="1" s="1"/>
  <c r="G91" i="1"/>
  <c r="H91" i="1" s="1"/>
  <c r="G71" i="1"/>
  <c r="H71" i="1" s="1"/>
  <c r="G70" i="1"/>
  <c r="H70" i="1" s="1"/>
  <c r="G50" i="1"/>
  <c r="H50" i="1" s="1"/>
  <c r="G49" i="1"/>
  <c r="H49" i="1" s="1"/>
  <c r="G29" i="1"/>
  <c r="H29" i="1" s="1"/>
  <c r="G28" i="1"/>
  <c r="H28" i="1" s="1"/>
  <c r="G27" i="1"/>
  <c r="G26" i="1"/>
  <c r="H48" i="1" l="1"/>
  <c r="H69" i="1"/>
  <c r="H90" i="1"/>
  <c r="G22" i="1"/>
  <c r="H27" i="1"/>
  <c r="H26" i="1"/>
  <c r="G35" i="1" l="1"/>
  <c r="G111" i="1"/>
  <c r="G89" i="1"/>
  <c r="G68" i="1"/>
  <c r="G110" i="1"/>
  <c r="G88" i="1"/>
  <c r="G67" i="1"/>
  <c r="G9" i="1"/>
  <c r="H110" i="1" l="1"/>
  <c r="H112" i="1"/>
  <c r="H111" i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H89" i="1"/>
  <c r="H88" i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B75" i="1"/>
  <c r="B76" i="1" s="1"/>
  <c r="B77" i="1" s="1"/>
  <c r="B78" i="1" s="1"/>
  <c r="B79" i="1" s="1"/>
  <c r="H73" i="1"/>
  <c r="F72" i="1" s="1"/>
  <c r="G72" i="1" s="1"/>
  <c r="H72" i="1" s="1"/>
  <c r="H68" i="1"/>
  <c r="H67" i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H74" i="1" s="1"/>
  <c r="B54" i="1"/>
  <c r="B55" i="1" s="1"/>
  <c r="B56" i="1" s="1"/>
  <c r="B57" i="1" s="1"/>
  <c r="B58" i="1" s="1"/>
  <c r="G39" i="1"/>
  <c r="H39" i="1" s="1"/>
  <c r="G38" i="1"/>
  <c r="H38" i="1" s="1"/>
  <c r="G37" i="1"/>
  <c r="H37" i="1" s="1"/>
  <c r="G36" i="1"/>
  <c r="H36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H35" i="1"/>
  <c r="G34" i="1"/>
  <c r="H34" i="1" s="1"/>
  <c r="B33" i="1"/>
  <c r="B34" i="1" s="1"/>
  <c r="B35" i="1" s="1"/>
  <c r="B36" i="1" s="1"/>
  <c r="B37" i="1" s="1"/>
  <c r="G24" i="1"/>
  <c r="H24" i="1" s="1"/>
  <c r="G25" i="1"/>
  <c r="H25" i="1" s="1"/>
  <c r="H22" i="1"/>
  <c r="G8" i="1"/>
  <c r="H8" i="1" s="1"/>
  <c r="G7" i="1"/>
  <c r="H7" i="1" s="1"/>
  <c r="G6" i="1"/>
  <c r="H6" i="1" s="1"/>
  <c r="G5" i="1"/>
  <c r="H5" i="1" s="1"/>
  <c r="G21" i="1"/>
  <c r="H21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H9" i="1"/>
  <c r="G4" i="1"/>
  <c r="H4" i="1" s="1"/>
  <c r="G3" i="1"/>
  <c r="H3" i="1" s="1"/>
  <c r="B2" i="1"/>
  <c r="B3" i="1" s="1"/>
  <c r="B4" i="1" s="1"/>
  <c r="B5" i="1" s="1"/>
  <c r="B6" i="1" s="1"/>
  <c r="B7" i="1" s="1"/>
  <c r="B8" i="1" s="1"/>
  <c r="B80" i="1" l="1"/>
  <c r="B81" i="1" s="1"/>
  <c r="B82" i="1" s="1"/>
  <c r="B92" i="1"/>
  <c r="B93" i="1" s="1"/>
  <c r="B94" i="1" s="1"/>
  <c r="B38" i="1"/>
  <c r="B39" i="1" s="1"/>
  <c r="B40" i="1" s="1"/>
  <c r="B50" i="1"/>
  <c r="B59" i="1"/>
  <c r="B60" i="1" s="1"/>
  <c r="B61" i="1" s="1"/>
  <c r="B71" i="1"/>
  <c r="H116" i="1"/>
  <c r="F115" i="1" s="1"/>
  <c r="G115" i="1" s="1"/>
  <c r="H115" i="1" s="1"/>
  <c r="H117" i="1" s="1"/>
  <c r="H94" i="1"/>
  <c r="F93" i="1" s="1"/>
  <c r="G93" i="1" s="1"/>
  <c r="H93" i="1" s="1"/>
  <c r="H95" i="1" s="1"/>
  <c r="H52" i="1"/>
  <c r="F51" i="1" s="1"/>
  <c r="G51" i="1" s="1"/>
  <c r="H51" i="1" s="1"/>
  <c r="H53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1" i="1"/>
  <c r="F30" i="1" s="1"/>
  <c r="G30" i="1" s="1"/>
  <c r="H30" i="1" s="1"/>
  <c r="H32" i="1" s="1"/>
  <c r="C5" i="3"/>
  <c r="G11" i="3"/>
  <c r="G13" i="3" s="1"/>
  <c r="C12" i="3"/>
  <c r="G12" i="3" s="1"/>
  <c r="C11" i="3"/>
  <c r="C7" i="3"/>
  <c r="C6" i="3"/>
  <c r="D4" i="3"/>
  <c r="C8" i="3"/>
  <c r="H174" i="1" l="1"/>
  <c r="B41" i="1"/>
  <c r="B42" i="1" s="1"/>
  <c r="B43" i="1" s="1"/>
  <c r="B44" i="1" s="1"/>
  <c r="B45" i="1" s="1"/>
  <c r="B46" i="1" s="1"/>
  <c r="B48" i="1" s="1"/>
  <c r="B49" i="1"/>
  <c r="B62" i="1"/>
  <c r="B63" i="1" s="1"/>
  <c r="B64" i="1" s="1"/>
  <c r="B65" i="1" s="1"/>
  <c r="B66" i="1" s="1"/>
  <c r="B67" i="1" s="1"/>
  <c r="B70" i="1"/>
  <c r="B83" i="1"/>
  <c r="B84" i="1" s="1"/>
  <c r="B85" i="1" s="1"/>
  <c r="B86" i="1" s="1"/>
  <c r="B87" i="1" s="1"/>
  <c r="B91" i="1"/>
  <c r="B72" i="1"/>
  <c r="B73" i="1" s="1"/>
  <c r="B68" i="1" l="1"/>
  <c r="B69" i="1"/>
  <c r="B88" i="1"/>
  <c r="B47" i="1"/>
  <c r="B90" i="1" l="1"/>
  <c r="B89" i="1"/>
  <c r="B51" i="1"/>
  <c r="B52" i="1" s="1"/>
</calcChain>
</file>

<file path=xl/sharedStrings.xml><?xml version="1.0" encoding="utf-8"?>
<sst xmlns="http://schemas.openxmlformats.org/spreadsheetml/2006/main" count="1061" uniqueCount="189">
  <si>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</si>
  <si>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</si>
  <si>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</si>
  <si>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</si>
  <si>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</si>
  <si>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</si>
  <si>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</si>
  <si>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</si>
  <si>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</si>
  <si>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</si>
  <si>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</si>
  <si>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</si>
  <si>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</si>
  <si>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</si>
  <si>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</si>
  <si>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</si>
  <si>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sinyal lamb</t>
  </si>
  <si>
    <t>oto</t>
  </si>
  <si>
    <t>chint</t>
  </si>
  <si>
    <t>296708</t>
  </si>
  <si>
    <t>Авт. выкл. NXB-63S 1P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</si>
  <si>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</si>
  <si>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</si>
  <si>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</si>
  <si>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</si>
  <si>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</si>
  <si>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</si>
  <si>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</si>
  <si>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</si>
  <si>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</si>
  <si>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</si>
  <si>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</si>
  <si>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</si>
  <si>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</si>
  <si>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КУХНЯ-ELP</t>
  </si>
  <si>
    <t>BK-ELP</t>
  </si>
  <si>
    <t>1K-ELP</t>
  </si>
  <si>
    <t>2K-ELP</t>
  </si>
  <si>
    <t>131367</t>
  </si>
  <si>
    <t>Авт. выкл. NXM-250S/3Р 200A 36кА (R)</t>
  </si>
  <si>
    <t>814170</t>
  </si>
  <si>
    <t>Авт. выкл. NXB-63 3P 16A 6кА х-ка C (R)</t>
  </si>
  <si>
    <t>Авт. выкл. NXB-63S 1P 16А 4.5kA х-ка C (R)</t>
  </si>
  <si>
    <t>296713</t>
  </si>
  <si>
    <t>Авт. выкл. NXB-63S 1P 32А 4.5kA х-ка C (R)</t>
  </si>
  <si>
    <t>296830</t>
  </si>
  <si>
    <t>Авт. выкл. NXB-63S 3P 32А 4.5kA х-ка C (R)</t>
  </si>
  <si>
    <t>814174</t>
  </si>
  <si>
    <t>Авт. выкл. NXB-63 3P 40A 6кА х-ка C (R)</t>
  </si>
  <si>
    <t>814171</t>
  </si>
  <si>
    <t>Авт. выкл. NXB-63 3P 20A 6кА х-ка C (R)</t>
  </si>
  <si>
    <t>814172</t>
  </si>
  <si>
    <t>Авт. выкл. NXB-63 3P 25A 6кА х-ка C (R)</t>
  </si>
  <si>
    <t>uzo</t>
  </si>
  <si>
    <t>УЗО NXL-63 6kA 3P+N 40A 30mA AC (R)</t>
  </si>
  <si>
    <t>280721</t>
  </si>
  <si>
    <t>УЗО NXL-63 6kA 1P+N 25A 30mA AC (R)</t>
  </si>
  <si>
    <t>280789</t>
  </si>
  <si>
    <t>УЗО NXL-63 6kA 3P+N 25A 30mA AC (R)</t>
  </si>
  <si>
    <t>296696</t>
  </si>
  <si>
    <t>Авт. выкл. NXB-63S 1P 10А 4.5kA х-ка B (R)</t>
  </si>
  <si>
    <t>836704</t>
  </si>
  <si>
    <t>Контактор NXC-09 9A 220В/АС3 1НО+1НЗ 50Гц (R)</t>
  </si>
  <si>
    <t>837097</t>
  </si>
  <si>
    <t>Тепловое реле NXR-12 1-1.6A (R)</t>
  </si>
  <si>
    <t>TERMİK</t>
  </si>
  <si>
    <t>837100</t>
  </si>
  <si>
    <t>Тепловое реле NXR-12 2.5-4A (R)</t>
  </si>
  <si>
    <t>574847</t>
  </si>
  <si>
    <t>Переключатель NP2-BD21, 2 положения с фиксацией, 1НО IP40</t>
  </si>
  <si>
    <t>perekluchatel</t>
  </si>
  <si>
    <t>Авт. выкл. NXB-63 3P 32A 6кА х-ка C (R)</t>
  </si>
  <si>
    <t>OTO</t>
  </si>
  <si>
    <t>Zaman Rölesi</t>
  </si>
  <si>
    <t>Frekans Konvertörü</t>
  </si>
  <si>
    <t>RÖLE</t>
  </si>
  <si>
    <t>285448</t>
  </si>
  <si>
    <t>Промежуточное реле JZX-22F(D) 4 конт. с инд. LED 3А 220В AC (R)</t>
  </si>
  <si>
    <t>285982</t>
  </si>
  <si>
    <t>Розетка CZY14B для NJDC-17/4ZS, JZX-22F/(D) и JSZ6. 4 конт (R)</t>
  </si>
  <si>
    <t>pys</t>
  </si>
  <si>
    <t>3K-ELP</t>
  </si>
  <si>
    <t>130301144_</t>
  </si>
  <si>
    <t xml:space="preserve">                ЗВИ   3 ПВХ (1,0-2,5мм ² 3А) 12 пар UNIT (10/1000)</t>
  </si>
  <si>
    <t>KLEMENS</t>
  </si>
  <si>
    <t>130301146_</t>
  </si>
  <si>
    <t xml:space="preserve">                ЗВИ  10 ПВХ (2,5-6мм ² 10А) 12 пар UNIT (10/500)</t>
  </si>
  <si>
    <t>130301147_</t>
  </si>
  <si>
    <t xml:space="preserve">                ЗВИ  15 ПВХ (4-10мм ² 15А) 12 пар UNIT (10/500)</t>
  </si>
  <si>
    <t>130200365_</t>
  </si>
  <si>
    <t xml:space="preserve">                Шина "N" нулевая 8х12мм комб с изол "Стойка" ШНИ  8-КС-С UNIT (20/300)</t>
  </si>
  <si>
    <t>NÖTR TOPRAK</t>
  </si>
  <si>
    <t>280792</t>
  </si>
  <si>
    <t>УЗО NXL-63 6kA 3P+N 63A 30mA AC (R)</t>
  </si>
  <si>
    <t>200229</t>
  </si>
  <si>
    <t>УЗО NL1-63 6kA 4P 25A 300mA тип AC (R)</t>
  </si>
  <si>
    <t>TK-КУХНЯ</t>
  </si>
  <si>
    <t>713-15044</t>
  </si>
  <si>
    <t>tms</t>
  </si>
  <si>
    <t>Авт. выкл. NXM-125S/3Р 100A 25кА (R)</t>
  </si>
  <si>
    <t>280723</t>
  </si>
  <si>
    <t>УЗО NXL-63 6kA 1P+N 40A 30mA AC (R)</t>
  </si>
  <si>
    <t>200230</t>
  </si>
  <si>
    <t>УЗО NL1-63 6kA 4P 40A 300mA тип AC (R)</t>
  </si>
  <si>
    <t>taimer</t>
  </si>
  <si>
    <t>kontaktor</t>
  </si>
  <si>
    <t>teplo rele</t>
  </si>
  <si>
    <t>837116</t>
  </si>
  <si>
    <t>Тепловое реле NXR-25 7-10A (R)</t>
  </si>
  <si>
    <t>Loobar</t>
  </si>
  <si>
    <t>Dağıtım Kutusu</t>
  </si>
  <si>
    <t>КОТЕЛЬНАЯ-ELP</t>
  </si>
  <si>
    <t>814173</t>
  </si>
  <si>
    <t>296710</t>
  </si>
  <si>
    <t>296827</t>
  </si>
  <si>
    <t>Авт. выкл. NXB-63S 3P 16А 4.5kA х-ка C (R)</t>
  </si>
  <si>
    <t>836780</t>
  </si>
  <si>
    <t>Контактор NXC-40 40A 220В/АС3 1НО+1НЗ 50Гц (R)</t>
  </si>
  <si>
    <t>Gerilim Koruma Rölesi</t>
  </si>
  <si>
    <t>Gerilim Koruma Röleleri  DN-VP04</t>
  </si>
  <si>
    <t>BODRUM KAT PANOSU</t>
  </si>
  <si>
    <t>131369</t>
  </si>
  <si>
    <t>Авт. выкл. NXM-250S/3Р 250A 36кА (R)</t>
  </si>
  <si>
    <t>PH</t>
  </si>
  <si>
    <t>946972</t>
  </si>
  <si>
    <t>Независимый расцепитель SHT-M3 A1 L для NXM(LE)-320(250) AC230V (левый) (R)</t>
  </si>
  <si>
    <t>pp</t>
  </si>
  <si>
    <t>Плавкая вставка предохранителя RT36-00-160, габарит 00, 125А</t>
  </si>
  <si>
    <t>opn</t>
  </si>
  <si>
    <t>308602</t>
  </si>
  <si>
    <t>Ограничитель имп. перенапр. NXU-I+II 4P In=25kA Uc=385B Im=50kA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</si>
  <si>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</si>
  <si>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</si>
  <si>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</si>
  <si>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</si>
  <si>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</si>
  <si>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</si>
  <si>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813871</t>
  </si>
  <si>
    <t>Авт. выкл. NXB-63H 3P 16A 10кА х-ка C (R)</t>
  </si>
  <si>
    <t>Bakır Bara</t>
  </si>
  <si>
    <t>Metre</t>
  </si>
  <si>
    <t>1400x700x180мм</t>
  </si>
  <si>
    <t>280934</t>
  </si>
  <si>
    <t>УЗО NXL-63 10kA 3P+N 63A 300mA AC (R)</t>
  </si>
  <si>
    <t>814176</t>
  </si>
  <si>
    <t>Авт. выкл. NXB-63 3P 63A 6кА х-ка C (R)</t>
  </si>
  <si>
    <t>431259</t>
  </si>
  <si>
    <t>Преобразователь частоты NVF2G-S-1.5/TS4, 1.5кВт, 380В 3Ф, перегрузка 150%</t>
  </si>
  <si>
    <t>Таймер ТЭМ 181 аналоговый 16А 230В на DIN-рейку IEK (100)</t>
  </si>
  <si>
    <t>130300302_</t>
  </si>
  <si>
    <t>iek</t>
  </si>
  <si>
    <t>Откидной выключатель-разъединитель NHR17-125/3, 3P, 125А, с плавкими вставками, без вспом. контактов
Артикул: 403037</t>
  </si>
  <si>
    <t>697027</t>
  </si>
  <si>
    <t>Реле контроля фаз NJYB3-8 AC380V (R)</t>
  </si>
  <si>
    <t>837110</t>
  </si>
  <si>
    <t>Тепловое реле NXR-25 1-1.6A (R)</t>
  </si>
  <si>
    <t>837113</t>
  </si>
  <si>
    <t>Тепловое реле NXR-25 2.5-4A (R)</t>
  </si>
  <si>
    <t>KAZAN-ELP</t>
  </si>
  <si>
    <t>САДОВЫЙ</t>
  </si>
  <si>
    <t>574862</t>
  </si>
  <si>
    <t>Кнопка управления "Грибок" Φ40мм (2) с фиксации NP2-BS542 без подсветки красная 1НЗ IP40</t>
  </si>
  <si>
    <t>MANTAR BUTON</t>
  </si>
  <si>
    <t>719-15926</t>
  </si>
  <si>
    <t>Щит ЩРн (инд.)800x600x220x1.5 с шапкой IP65</t>
  </si>
  <si>
    <t>130300473_</t>
  </si>
  <si>
    <t>Шина медн.3х20х4000</t>
  </si>
  <si>
    <t>PYS</t>
  </si>
  <si>
    <t>719-15085</t>
  </si>
  <si>
    <t>Мет.Корпус ВРУ (1700X700X450+10X700 База) IP31</t>
  </si>
  <si>
    <t>SHRV 'YXGXD; 1650X700X250 mm</t>
  </si>
  <si>
    <t>SHRV 'YXGXD; 1400X700X180 mm</t>
  </si>
  <si>
    <t>130200399_</t>
  </si>
  <si>
    <t>Шина "N" нулевая ШНК 3L+PEN  4х7  100А на DIN-рейку в корпусе UNIT (1/100) NEW</t>
  </si>
  <si>
    <t>Цена,тг1</t>
  </si>
  <si>
    <t>Toplam КУХНЯ-ELP</t>
  </si>
  <si>
    <t>Toplam BK-ELP</t>
  </si>
  <si>
    <t>Toplam 1K-ELP</t>
  </si>
  <si>
    <t>Toplam 2K-ELP</t>
  </si>
  <si>
    <t>Toplam 3K-ELP</t>
  </si>
  <si>
    <t>Toplam KAZAN-ELP</t>
  </si>
  <si>
    <t>Toplam BODRUM KAT PANOSU</t>
  </si>
  <si>
    <t>Toplam САДОВЫЙ</t>
  </si>
  <si>
    <t>Genel Toplam</t>
  </si>
  <si>
    <t>MALZ</t>
  </si>
  <si>
    <t>УЗО NXL-63 6kA 1P+N 25A 30mA AC ®</t>
  </si>
  <si>
    <t>D010159</t>
  </si>
  <si>
    <t>Суточный электромеханический таймер  SUL181h AC220V</t>
  </si>
  <si>
    <t>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</si>
</sst>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6" fontId="10" fillId="4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1" fontId="12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 applyProtection="1">
      <alignment horizontal="center" vertical="center"/>
    </xf>
    <xf numFmtId="166" fontId="10" fillId="0" borderId="1" xfId="1" applyNumberFormat="1" applyFont="1" applyBorder="1" applyAlignment="1" applyProtection="1">
      <alignment horizontal="center" vertical="center" wrapText="1"/>
    </xf>
    <xf numFmtId="0" fontId="10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right" vertical="center"/>
    </xf>
    <xf numFmtId="165" fontId="10" fillId="4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5" fontId="10" fillId="0" borderId="1" xfId="1" applyNumberFormat="1" applyFont="1" applyBorder="1" applyAlignment="1" applyProtection="1">
      <alignment horizontal="right" vertical="center"/>
    </xf>
    <xf numFmtId="0" fontId="10" fillId="0" borderId="1" xfId="1" applyNumberFormat="1" applyFont="1" applyBorder="1" applyAlignment="1" applyProtection="1">
      <alignment horizontal="center" vertical="center" wrapText="1"/>
    </xf>
    <xf numFmtId="167" fontId="4" fillId="0" borderId="0" xfId="1" applyNumberFormat="1"/>
    <xf numFmtId="167" fontId="0" fillId="0" borderId="0" xfId="0" applyNumberFormat="1"/>
    <xf numFmtId="0" fontId="7" fillId="0" borderId="0" xfId="0" applyFont="1"/>
    <xf numFmtId="1" fontId="12" fillId="0" borderId="1" xfId="0" quotePrefix="1" applyNumberFormat="1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right" vertical="center"/>
    </xf>
    <xf numFmtId="165" fontId="10" fillId="4" borderId="0" xfId="1" applyNumberFormat="1" applyFont="1" applyFill="1" applyBorder="1" applyAlignment="1" applyProtection="1">
      <alignment horizontal="center" vertical="center"/>
    </xf>
    <xf numFmtId="166" fontId="10" fillId="4" borderId="0" xfId="1" applyNumberFormat="1" applyFont="1" applyFill="1" applyBorder="1" applyAlignment="1" applyProtection="1">
      <alignment horizontal="center" vertical="center" wrapText="1"/>
    </xf>
    <xf numFmtId="0" fontId="10" fillId="7" borderId="0" xfId="1" applyNumberFormat="1" applyFont="1" applyFill="1" applyBorder="1" applyAlignment="1" applyProtection="1">
      <alignment horizontal="center" vertical="center"/>
    </xf>
    <xf numFmtId="165" fontId="10" fillId="4" borderId="0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 wrapText="1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 applyProtection="1">
      <alignment horizontal="center" vertical="center" wrapText="1"/>
    </xf>
    <xf numFmtId="0" fontId="13" fillId="2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/>
    <xf numFmtId="0" fontId="13" fillId="6" borderId="1" xfId="1" applyNumberFormat="1" applyFont="1" applyFill="1" applyBorder="1" applyAlignment="1" applyProtection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65" fontId="13" fillId="6" borderId="1" xfId="1" applyNumberFormat="1" applyFont="1" applyFill="1" applyBorder="1" applyAlignment="1" applyProtection="1">
      <alignment horizontal="right" vertical="center"/>
    </xf>
    <xf numFmtId="165" fontId="13" fillId="6" borderId="1" xfId="1" applyNumberFormat="1" applyFont="1" applyFill="1" applyBorder="1" applyAlignment="1" applyProtection="1">
      <alignment horizontal="center" vertical="center"/>
    </xf>
    <xf numFmtId="166" fontId="13" fillId="6" borderId="1" xfId="1" applyNumberFormat="1" applyFont="1" applyFill="1" applyBorder="1" applyAlignment="1" applyProtection="1">
      <alignment horizontal="center" vertical="center" wrapText="1"/>
    </xf>
    <xf numFmtId="0" fontId="13" fillId="6" borderId="1" xfId="1" applyNumberFormat="1" applyFont="1" applyFill="1" applyBorder="1" applyAlignment="1" applyProtection="1">
      <alignment horizontal="center" vertical="center"/>
    </xf>
    <xf numFmtId="165" fontId="13" fillId="6" borderId="1" xfId="1" applyNumberFormat="1" applyFont="1" applyFill="1" applyBorder="1" applyAlignment="1" applyProtection="1">
      <alignment horizontal="center" vertical="center" wrapText="1"/>
    </xf>
    <xf numFmtId="166" fontId="13" fillId="4" borderId="1" xfId="1" applyNumberFormat="1" applyFont="1" applyFill="1" applyBorder="1" applyAlignment="1" applyProtection="1">
      <alignment horizontal="center" vertical="center" wrapText="1"/>
    </xf>
    <xf numFmtId="166" fontId="13" fillId="4" borderId="0" xfId="1" applyNumberFormat="1" applyFont="1" applyFill="1" applyBorder="1" applyAlignment="1" applyProtection="1">
      <alignment horizontal="center" vertical="center" wrapText="1"/>
    </xf>
    <xf numFmtId="43" fontId="14" fillId="0" borderId="0" xfId="0" applyNumberFormat="1" applyFont="1"/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4"/>
  <sheetViews>
    <sheetView tabSelected="1" topLeftCell="B1" zoomScale="70" zoomScaleNormal="70" workbookViewId="0">
      <pane ySplit="1" topLeftCell="A48" activePane="bottomLeft" state="frozen"/>
      <selection pane="bottomLeft" activeCell="K48" sqref="K48:K128"/>
    </sheetView>
  </sheetViews>
  <sheetFormatPr defaultColWidth="8.42578125" defaultRowHeight="21" outlineLevelRow="2" x14ac:dyDescent="0.25"/>
  <cols>
    <col min="1" max="1" width="11.85546875" style="1" customWidth="1"/>
    <col min="2" max="2" width="25.140625" style="1" customWidth="1"/>
    <col min="3" max="3" width="17.28515625" style="1" customWidth="1"/>
    <col min="4" max="4" width="26.85546875" style="2" customWidth="1"/>
    <col min="5" max="5" width="84.7109375" style="2" customWidth="1"/>
    <col min="6" max="6" width="23.28515625" style="32" bestFit="1" customWidth="1"/>
    <col min="7" max="7" width="24.5703125" style="10" customWidth="1"/>
    <col min="8" max="8" width="24.7109375" style="1" customWidth="1"/>
    <col min="9" max="9" width="13" style="11" customWidth="1"/>
    <col min="10" max="10" width="19.7109375" style="1" customWidth="1"/>
    <col min="11" max="11" width="27.140625" style="1" customWidth="1"/>
    <col min="12" max="12" width="17.7109375" style="1" customWidth="1"/>
    <col min="13" max="16384" width="8.42578125" style="1"/>
  </cols>
  <sheetData>
    <row r="1" spans="1:12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13</v>
      </c>
      <c r="F1" s="3" t="s">
        <v>174</v>
      </c>
      <c r="G1" s="3" t="s">
        <v>3</v>
      </c>
      <c r="H1" s="5" t="s">
        <v>6</v>
      </c>
      <c r="I1" s="6" t="s">
        <v>14</v>
      </c>
      <c r="J1" s="6" t="s">
        <v>4</v>
      </c>
      <c r="K1" s="6" t="s">
        <v>5</v>
      </c>
      <c r="L1" s="5" t="s">
        <v>184</v>
      </c>
    </row>
    <row r="2" spans="1:12" s="2" customFormat="1" ht="39" customHeight="1" outlineLevel="2" x14ac:dyDescent="0.25">
      <c r="A2" s="15"/>
      <c r="B2" s="14" t="str">
        <f>E2</f>
        <v>КУХНЯ-ELP</v>
      </c>
      <c r="C2" s="15"/>
      <c r="D2" s="47"/>
      <c r="E2" s="15" t="s">
        <v>34</v>
      </c>
      <c r="F2" s="28"/>
      <c r="G2" s="18"/>
      <c r="H2" s="19"/>
      <c r="I2" s="20">
        <v>1</v>
      </c>
      <c r="J2" s="17" t="s">
        <v>7</v>
      </c>
      <c r="K2" s="15" t="s">
        <v>9</v>
      </c>
      <c r="L2" s="19"/>
    </row>
    <row r="3" spans="1:12" s="2" customFormat="1" ht="39" customHeight="1" outlineLevel="2" x14ac:dyDescent="0.25">
      <c r="A3" s="4"/>
      <c r="B3" s="4" t="str">
        <f>B2</f>
        <v>КУХНЯ-ELP</v>
      </c>
      <c r="C3" s="12" t="s">
        <v>8</v>
      </c>
      <c r="D3" s="48"/>
      <c r="E3" s="21" t="s">
        <v>170</v>
      </c>
      <c r="F3" s="29">
        <v>135000</v>
      </c>
      <c r="G3" s="8">
        <f>F3*1</f>
        <v>135000</v>
      </c>
      <c r="H3" s="16">
        <f>G3*I3</f>
        <v>135000</v>
      </c>
      <c r="I3" s="9">
        <v>1</v>
      </c>
      <c r="J3" s="7" t="s">
        <v>12</v>
      </c>
      <c r="K3" s="12" t="s">
        <v>15</v>
      </c>
      <c r="L3" s="16">
        <v>135000</v>
      </c>
    </row>
    <row r="4" spans="1:12" s="2" customFormat="1" ht="39" customHeight="1" outlineLevel="2" x14ac:dyDescent="0.25">
      <c r="A4" s="4"/>
      <c r="B4" s="4" t="str">
        <f t="shared" ref="B4:B31" si="0">B3</f>
        <v>КУХНЯ-ELP</v>
      </c>
      <c r="C4" s="23" t="s">
        <v>98</v>
      </c>
      <c r="D4" s="35" t="s">
        <v>38</v>
      </c>
      <c r="E4" s="21" t="s">
        <v>39</v>
      </c>
      <c r="F4" s="34">
        <v>30129</v>
      </c>
      <c r="G4" s="24">
        <f t="shared" ref="G4:G21" si="1">F4*0.6</f>
        <v>18077.399999999998</v>
      </c>
      <c r="H4" s="25">
        <f t="shared" ref="H4:H31" si="2">G4*I4</f>
        <v>18077.399999999998</v>
      </c>
      <c r="I4" s="26">
        <v>1</v>
      </c>
      <c r="J4" s="27" t="s">
        <v>12</v>
      </c>
      <c r="K4" s="23" t="s">
        <v>18</v>
      </c>
      <c r="L4" s="25">
        <v>18077.399999999998</v>
      </c>
    </row>
    <row r="5" spans="1:12" s="2" customFormat="1" ht="39" customHeight="1" outlineLevel="2" x14ac:dyDescent="0.25">
      <c r="A5" s="4"/>
      <c r="B5" s="22" t="str">
        <f t="shared" si="0"/>
        <v>КУХНЯ-ELP</v>
      </c>
      <c r="C5" s="23" t="s">
        <v>17</v>
      </c>
      <c r="D5" s="23" t="s">
        <v>19</v>
      </c>
      <c r="E5" s="21" t="s">
        <v>20</v>
      </c>
      <c r="F5" s="30">
        <v>947</v>
      </c>
      <c r="G5" s="24">
        <f t="shared" si="1"/>
        <v>568.19999999999993</v>
      </c>
      <c r="H5" s="25">
        <f t="shared" si="2"/>
        <v>1704.6</v>
      </c>
      <c r="I5" s="26">
        <v>3</v>
      </c>
      <c r="J5" s="27" t="s">
        <v>12</v>
      </c>
      <c r="K5" s="23" t="s">
        <v>18</v>
      </c>
      <c r="L5" s="25">
        <v>1704.6</v>
      </c>
    </row>
    <row r="6" spans="1:12" s="2" customFormat="1" ht="39" customHeight="1" outlineLevel="2" x14ac:dyDescent="0.25">
      <c r="A6" s="4"/>
      <c r="B6" s="22" t="str">
        <f t="shared" si="0"/>
        <v>КУХНЯ-ELP</v>
      </c>
      <c r="C6" s="23" t="s">
        <v>16</v>
      </c>
      <c r="D6" s="23" t="s">
        <v>21</v>
      </c>
      <c r="E6" s="21" t="s">
        <v>22</v>
      </c>
      <c r="F6" s="30">
        <v>571</v>
      </c>
      <c r="G6" s="24">
        <f t="shared" si="1"/>
        <v>342.59999999999997</v>
      </c>
      <c r="H6" s="25">
        <f t="shared" si="2"/>
        <v>685.19999999999993</v>
      </c>
      <c r="I6" s="26">
        <v>2</v>
      </c>
      <c r="J6" s="27" t="s">
        <v>12</v>
      </c>
      <c r="K6" s="23" t="s">
        <v>18</v>
      </c>
      <c r="L6" s="25">
        <v>685.19999999999993</v>
      </c>
    </row>
    <row r="7" spans="1:12" s="2" customFormat="1" ht="39" customHeight="1" outlineLevel="2" x14ac:dyDescent="0.25">
      <c r="A7" s="4"/>
      <c r="B7" s="22" t="str">
        <f t="shared" si="0"/>
        <v>КУХНЯ-ELP</v>
      </c>
      <c r="C7" s="23" t="s">
        <v>16</v>
      </c>
      <c r="D7" s="23" t="s">
        <v>23</v>
      </c>
      <c r="E7" s="21" t="s">
        <v>24</v>
      </c>
      <c r="F7" s="30">
        <v>589</v>
      </c>
      <c r="G7" s="24">
        <f t="shared" si="1"/>
        <v>353.4</v>
      </c>
      <c r="H7" s="25">
        <f t="shared" si="2"/>
        <v>706.8</v>
      </c>
      <c r="I7" s="26">
        <v>2</v>
      </c>
      <c r="J7" s="27" t="s">
        <v>12</v>
      </c>
      <c r="K7" s="23" t="s">
        <v>18</v>
      </c>
      <c r="L7" s="25">
        <v>706.8</v>
      </c>
    </row>
    <row r="8" spans="1:12" s="2" customFormat="1" ht="39" customHeight="1" outlineLevel="2" x14ac:dyDescent="0.25">
      <c r="A8" s="4"/>
      <c r="B8" s="22" t="str">
        <f t="shared" si="0"/>
        <v>КУХНЯ-ELP</v>
      </c>
      <c r="C8" s="23" t="s">
        <v>16</v>
      </c>
      <c r="D8" s="23" t="s">
        <v>25</v>
      </c>
      <c r="E8" s="21" t="s">
        <v>26</v>
      </c>
      <c r="F8" s="30">
        <v>571</v>
      </c>
      <c r="G8" s="24">
        <f t="shared" si="1"/>
        <v>342.59999999999997</v>
      </c>
      <c r="H8" s="25">
        <f t="shared" si="2"/>
        <v>342.59999999999997</v>
      </c>
      <c r="I8" s="26">
        <v>1</v>
      </c>
      <c r="J8" s="27" t="s">
        <v>12</v>
      </c>
      <c r="K8" s="23" t="s">
        <v>18</v>
      </c>
      <c r="L8" s="25">
        <v>342.59999999999997</v>
      </c>
    </row>
    <row r="9" spans="1:12" s="2" customFormat="1" ht="39" customHeight="1" outlineLevel="2" x14ac:dyDescent="0.25">
      <c r="A9" s="4"/>
      <c r="B9" s="4" t="str">
        <f t="shared" si="0"/>
        <v>КУХНЯ-ELP</v>
      </c>
      <c r="C9" s="23" t="s">
        <v>17</v>
      </c>
      <c r="D9" s="35" t="s">
        <v>40</v>
      </c>
      <c r="E9" s="21" t="s">
        <v>41</v>
      </c>
      <c r="F9" s="34">
        <v>4875</v>
      </c>
      <c r="G9" s="24">
        <f t="shared" si="1"/>
        <v>2925</v>
      </c>
      <c r="H9" s="25">
        <f t="shared" si="2"/>
        <v>23400</v>
      </c>
      <c r="I9" s="26">
        <v>8</v>
      </c>
      <c r="J9" s="27" t="s">
        <v>12</v>
      </c>
      <c r="K9" s="23" t="s">
        <v>18</v>
      </c>
      <c r="L9" s="25">
        <v>23400</v>
      </c>
    </row>
    <row r="10" spans="1:12" s="2" customFormat="1" ht="39" customHeight="1" outlineLevel="2" x14ac:dyDescent="0.25">
      <c r="A10" s="22"/>
      <c r="B10" s="22" t="str">
        <f t="shared" si="0"/>
        <v>КУХНЯ-ELP</v>
      </c>
      <c r="C10" s="23" t="s">
        <v>17</v>
      </c>
      <c r="D10" s="35">
        <v>296710</v>
      </c>
      <c r="E10" s="21" t="s">
        <v>42</v>
      </c>
      <c r="F10" s="34">
        <v>760</v>
      </c>
      <c r="G10" s="24">
        <f>F10*0.6</f>
        <v>456</v>
      </c>
      <c r="H10" s="25">
        <f t="shared" si="2"/>
        <v>3648</v>
      </c>
      <c r="I10" s="26">
        <v>8</v>
      </c>
      <c r="J10" s="27" t="s">
        <v>12</v>
      </c>
      <c r="K10" s="23" t="s">
        <v>18</v>
      </c>
      <c r="L10" s="25">
        <v>3648</v>
      </c>
    </row>
    <row r="11" spans="1:12" s="2" customFormat="1" ht="39" customHeight="1" outlineLevel="2" x14ac:dyDescent="0.25">
      <c r="A11" s="4"/>
      <c r="B11" s="22" t="str">
        <f t="shared" si="0"/>
        <v>КУХНЯ-ELP</v>
      </c>
      <c r="C11" s="23" t="s">
        <v>17</v>
      </c>
      <c r="D11" s="35" t="s">
        <v>43</v>
      </c>
      <c r="E11" s="21" t="s">
        <v>44</v>
      </c>
      <c r="F11" s="34">
        <v>769</v>
      </c>
      <c r="G11" s="24">
        <f t="shared" si="1"/>
        <v>461.4</v>
      </c>
      <c r="H11" s="25">
        <f t="shared" si="2"/>
        <v>461.4</v>
      </c>
      <c r="I11" s="26">
        <v>1</v>
      </c>
      <c r="J11" s="27" t="s">
        <v>12</v>
      </c>
      <c r="K11" s="23" t="s">
        <v>18</v>
      </c>
      <c r="L11" s="25">
        <v>461.4</v>
      </c>
    </row>
    <row r="12" spans="1:12" s="2" customFormat="1" ht="39" customHeight="1" outlineLevel="2" x14ac:dyDescent="0.25">
      <c r="A12" s="4"/>
      <c r="B12" s="22" t="str">
        <f t="shared" si="0"/>
        <v>КУХНЯ-ELP</v>
      </c>
      <c r="C12" s="23" t="s">
        <v>17</v>
      </c>
      <c r="D12" s="35" t="s">
        <v>45</v>
      </c>
      <c r="E12" s="21" t="s">
        <v>46</v>
      </c>
      <c r="F12" s="34">
        <v>2260</v>
      </c>
      <c r="G12" s="24">
        <f t="shared" si="1"/>
        <v>1356</v>
      </c>
      <c r="H12" s="25">
        <f t="shared" si="2"/>
        <v>1356</v>
      </c>
      <c r="I12" s="26">
        <v>1</v>
      </c>
      <c r="J12" s="27" t="s">
        <v>12</v>
      </c>
      <c r="K12" s="23" t="s">
        <v>18</v>
      </c>
      <c r="L12" s="25">
        <v>1356</v>
      </c>
    </row>
    <row r="13" spans="1:12" s="2" customFormat="1" ht="39" customHeight="1" outlineLevel="2" x14ac:dyDescent="0.25">
      <c r="A13" s="4"/>
      <c r="B13" s="22" t="str">
        <f t="shared" si="0"/>
        <v>КУХНЯ-ELP</v>
      </c>
      <c r="C13" s="23" t="s">
        <v>17</v>
      </c>
      <c r="D13" s="23" t="s">
        <v>47</v>
      </c>
      <c r="E13" s="21" t="s">
        <v>48</v>
      </c>
      <c r="F13" s="34">
        <v>5040</v>
      </c>
      <c r="G13" s="24">
        <f t="shared" si="1"/>
        <v>3024</v>
      </c>
      <c r="H13" s="25">
        <f t="shared" si="2"/>
        <v>6048</v>
      </c>
      <c r="I13" s="26">
        <v>2</v>
      </c>
      <c r="J13" s="27" t="s">
        <v>12</v>
      </c>
      <c r="K13" s="23" t="s">
        <v>18</v>
      </c>
      <c r="L13" s="25">
        <v>9072</v>
      </c>
    </row>
    <row r="14" spans="1:12" s="2" customFormat="1" ht="39" customHeight="1" outlineLevel="2" x14ac:dyDescent="0.25">
      <c r="A14" s="4"/>
      <c r="B14" s="22" t="str">
        <f t="shared" si="0"/>
        <v>КУХНЯ-ELP</v>
      </c>
      <c r="C14" s="23" t="s">
        <v>17</v>
      </c>
      <c r="D14" s="23" t="s">
        <v>49</v>
      </c>
      <c r="E14" s="21" t="s">
        <v>50</v>
      </c>
      <c r="F14" s="34">
        <v>5253</v>
      </c>
      <c r="G14" s="24">
        <f t="shared" si="1"/>
        <v>3151.7999999999997</v>
      </c>
      <c r="H14" s="25">
        <f t="shared" si="2"/>
        <v>9455.4</v>
      </c>
      <c r="I14" s="26">
        <v>3</v>
      </c>
      <c r="J14" s="27" t="s">
        <v>12</v>
      </c>
      <c r="K14" s="23" t="s">
        <v>18</v>
      </c>
      <c r="L14" s="25">
        <v>9455.4</v>
      </c>
    </row>
    <row r="15" spans="1:12" s="2" customFormat="1" ht="39" customHeight="1" outlineLevel="2" x14ac:dyDescent="0.25">
      <c r="A15" s="4"/>
      <c r="B15" s="22" t="str">
        <f t="shared" si="0"/>
        <v>КУХНЯ-ELP</v>
      </c>
      <c r="C15" s="23" t="s">
        <v>17</v>
      </c>
      <c r="D15" s="23" t="s">
        <v>144</v>
      </c>
      <c r="E15" s="21" t="s">
        <v>145</v>
      </c>
      <c r="F15" s="34">
        <v>6071</v>
      </c>
      <c r="G15" s="24">
        <f t="shared" si="1"/>
        <v>3642.6</v>
      </c>
      <c r="H15" s="25">
        <f t="shared" si="2"/>
        <v>3642.6</v>
      </c>
      <c r="I15" s="26">
        <v>1</v>
      </c>
      <c r="J15" s="27" t="s">
        <v>12</v>
      </c>
      <c r="K15" s="23" t="s">
        <v>18</v>
      </c>
      <c r="L15" s="25">
        <v>3642.6</v>
      </c>
    </row>
    <row r="16" spans="1:12" s="38" customFormat="1" ht="39" customHeight="1" outlineLevel="2" x14ac:dyDescent="0.25">
      <c r="A16" s="22"/>
      <c r="B16" s="22" t="str">
        <f t="shared" si="0"/>
        <v>КУХНЯ-ELP</v>
      </c>
      <c r="C16" s="23" t="s">
        <v>53</v>
      </c>
      <c r="D16" s="35" t="s">
        <v>55</v>
      </c>
      <c r="E16" s="21" t="s">
        <v>185</v>
      </c>
      <c r="F16" s="34">
        <v>6747</v>
      </c>
      <c r="G16" s="24">
        <f t="shared" si="1"/>
        <v>4048.2</v>
      </c>
      <c r="H16" s="25">
        <f t="shared" si="2"/>
        <v>32385.599999999999</v>
      </c>
      <c r="I16" s="26">
        <v>8</v>
      </c>
      <c r="J16" s="27" t="s">
        <v>12</v>
      </c>
      <c r="K16" s="23" t="s">
        <v>18</v>
      </c>
      <c r="L16" s="25">
        <v>32385.599999999999</v>
      </c>
    </row>
    <row r="17" spans="1:12" s="38" customFormat="1" ht="39" customHeight="1" outlineLevel="2" x14ac:dyDescent="0.25">
      <c r="A17" s="22"/>
      <c r="B17" s="22" t="str">
        <f t="shared" si="0"/>
        <v>КУХНЯ-ELP</v>
      </c>
      <c r="C17" s="23" t="s">
        <v>53</v>
      </c>
      <c r="D17" s="35">
        <v>280791</v>
      </c>
      <c r="E17" s="21" t="s">
        <v>54</v>
      </c>
      <c r="F17" s="34">
        <v>12143</v>
      </c>
      <c r="G17" s="24">
        <f t="shared" si="1"/>
        <v>7285.8</v>
      </c>
      <c r="H17" s="25">
        <f t="shared" si="2"/>
        <v>7285.8</v>
      </c>
      <c r="I17" s="26">
        <v>1</v>
      </c>
      <c r="J17" s="27" t="s">
        <v>12</v>
      </c>
      <c r="K17" s="23" t="s">
        <v>18</v>
      </c>
      <c r="L17" s="25">
        <v>7285.8</v>
      </c>
    </row>
    <row r="18" spans="1:12" s="38" customFormat="1" ht="39" customHeight="1" outlineLevel="2" x14ac:dyDescent="0.25">
      <c r="A18" s="22"/>
      <c r="B18" s="22" t="str">
        <f t="shared" si="0"/>
        <v>КУХНЯ-ELP</v>
      </c>
      <c r="C18" s="23" t="s">
        <v>53</v>
      </c>
      <c r="D18" s="35" t="s">
        <v>57</v>
      </c>
      <c r="E18" s="21" t="s">
        <v>58</v>
      </c>
      <c r="F18" s="34">
        <v>12143</v>
      </c>
      <c r="G18" s="24">
        <f t="shared" si="1"/>
        <v>7285.8</v>
      </c>
      <c r="H18" s="25">
        <f t="shared" si="2"/>
        <v>65572.2</v>
      </c>
      <c r="I18" s="26">
        <v>9</v>
      </c>
      <c r="J18" s="27" t="s">
        <v>12</v>
      </c>
      <c r="K18" s="23" t="s">
        <v>18</v>
      </c>
      <c r="L18" s="25">
        <v>65572.2</v>
      </c>
    </row>
    <row r="19" spans="1:12" s="38" customFormat="1" ht="39" customHeight="1" outlineLevel="2" x14ac:dyDescent="0.25">
      <c r="A19" s="22"/>
      <c r="B19" s="22" t="str">
        <f t="shared" si="0"/>
        <v>КУХНЯ-ELP</v>
      </c>
      <c r="C19" s="23" t="s">
        <v>53</v>
      </c>
      <c r="D19" s="35" t="s">
        <v>92</v>
      </c>
      <c r="E19" s="21" t="s">
        <v>93</v>
      </c>
      <c r="F19" s="34">
        <v>12724</v>
      </c>
      <c r="G19" s="24">
        <f t="shared" ref="G19" si="3">F19*0.6</f>
        <v>7634.4</v>
      </c>
      <c r="H19" s="25">
        <f t="shared" ref="H19" si="4">G19*I19</f>
        <v>15268.8</v>
      </c>
      <c r="I19" s="26">
        <v>2</v>
      </c>
      <c r="J19" s="27" t="s">
        <v>12</v>
      </c>
      <c r="K19" s="23" t="s">
        <v>18</v>
      </c>
      <c r="L19" s="25">
        <v>15268.8</v>
      </c>
    </row>
    <row r="20" spans="1:12" s="38" customFormat="1" ht="39" customHeight="1" outlineLevel="2" x14ac:dyDescent="0.25">
      <c r="A20" s="22"/>
      <c r="B20" s="22" t="str">
        <f t="shared" si="0"/>
        <v>КУХНЯ-ELP</v>
      </c>
      <c r="C20" s="23" t="s">
        <v>53</v>
      </c>
      <c r="D20" s="35" t="s">
        <v>94</v>
      </c>
      <c r="E20" s="21" t="s">
        <v>95</v>
      </c>
      <c r="F20" s="34">
        <v>14768</v>
      </c>
      <c r="G20" s="24">
        <f t="shared" ref="G20" si="5">F20*0.6</f>
        <v>8860.7999999999993</v>
      </c>
      <c r="H20" s="25">
        <f t="shared" ref="H20" si="6">G20*I20</f>
        <v>8860.7999999999993</v>
      </c>
      <c r="I20" s="26">
        <v>1</v>
      </c>
      <c r="J20" s="27" t="s">
        <v>12</v>
      </c>
      <c r="K20" s="23" t="s">
        <v>18</v>
      </c>
      <c r="L20" s="25">
        <v>8860.7999999999993</v>
      </c>
    </row>
    <row r="21" spans="1:12" s="2" customFormat="1" ht="39" customHeight="1" outlineLevel="2" x14ac:dyDescent="0.25">
      <c r="A21" s="4"/>
      <c r="B21" s="22" t="str">
        <f t="shared" si="0"/>
        <v>КУХНЯ-ELP</v>
      </c>
      <c r="C21" s="23" t="s">
        <v>53</v>
      </c>
      <c r="D21" s="23" t="s">
        <v>142</v>
      </c>
      <c r="E21" s="21" t="s">
        <v>143</v>
      </c>
      <c r="F21" s="34">
        <v>15688</v>
      </c>
      <c r="G21" s="24">
        <f t="shared" si="1"/>
        <v>9412.7999999999993</v>
      </c>
      <c r="H21" s="25">
        <f t="shared" si="2"/>
        <v>9412.7999999999993</v>
      </c>
      <c r="I21" s="26">
        <v>1</v>
      </c>
      <c r="J21" s="27" t="s">
        <v>12</v>
      </c>
      <c r="K21" s="23" t="s">
        <v>18</v>
      </c>
      <c r="L21" s="25">
        <v>9412.7999999999993</v>
      </c>
    </row>
    <row r="22" spans="1:12" s="2" customFormat="1" ht="42" outlineLevel="2" x14ac:dyDescent="0.25">
      <c r="A22" s="4"/>
      <c r="B22" s="22" t="str">
        <f t="shared" si="0"/>
        <v>КУХНЯ-ELP</v>
      </c>
      <c r="C22" s="12" t="s">
        <v>74</v>
      </c>
      <c r="D22" s="12" t="s">
        <v>146</v>
      </c>
      <c r="E22" s="21" t="s">
        <v>147</v>
      </c>
      <c r="F22" s="34">
        <v>143562</v>
      </c>
      <c r="G22" s="8">
        <f>F22*1</f>
        <v>143562</v>
      </c>
      <c r="H22" s="16">
        <f t="shared" ref="H22:H23" si="7">G22*I22</f>
        <v>143562</v>
      </c>
      <c r="I22" s="26">
        <v>1</v>
      </c>
      <c r="J22" s="27" t="s">
        <v>12</v>
      </c>
      <c r="K22" s="23" t="s">
        <v>18</v>
      </c>
      <c r="L22" s="16">
        <v>143562</v>
      </c>
    </row>
    <row r="23" spans="1:12" s="2" customFormat="1" ht="39" customHeight="1" outlineLevel="2" x14ac:dyDescent="0.25">
      <c r="A23" s="4"/>
      <c r="B23" s="22" t="str">
        <f t="shared" si="0"/>
        <v>КУХНЯ-ELP</v>
      </c>
      <c r="C23" s="23" t="s">
        <v>70</v>
      </c>
      <c r="D23" s="23" t="s">
        <v>68</v>
      </c>
      <c r="E23" s="21" t="s">
        <v>69</v>
      </c>
      <c r="F23" s="34">
        <v>1455</v>
      </c>
      <c r="G23" s="24">
        <f t="shared" ref="G23" si="8">F23*0.6</f>
        <v>873</v>
      </c>
      <c r="H23" s="25">
        <f t="shared" si="7"/>
        <v>873</v>
      </c>
      <c r="I23" s="26">
        <v>1</v>
      </c>
      <c r="J23" s="27" t="s">
        <v>12</v>
      </c>
      <c r="K23" s="23" t="s">
        <v>18</v>
      </c>
      <c r="L23" s="25">
        <v>873</v>
      </c>
    </row>
    <row r="24" spans="1:12" s="2" customFormat="1" ht="46.9" customHeight="1" outlineLevel="2" x14ac:dyDescent="0.25">
      <c r="A24" s="4"/>
      <c r="B24" s="22" t="str">
        <f t="shared" si="0"/>
        <v>КУХНЯ-ELP</v>
      </c>
      <c r="C24" s="12" t="s">
        <v>75</v>
      </c>
      <c r="D24" s="12" t="s">
        <v>76</v>
      </c>
      <c r="E24" s="21" t="s">
        <v>77</v>
      </c>
      <c r="F24" s="34">
        <v>1362</v>
      </c>
      <c r="G24" s="8">
        <f t="shared" ref="G24" si="9">F24*0.6</f>
        <v>817.19999999999993</v>
      </c>
      <c r="H24" s="16">
        <f t="shared" ref="H24" si="10">G24*I24</f>
        <v>2451.6</v>
      </c>
      <c r="I24" s="26">
        <v>3</v>
      </c>
      <c r="J24" s="27" t="s">
        <v>12</v>
      </c>
      <c r="K24" s="12" t="s">
        <v>18</v>
      </c>
      <c r="L24" s="16">
        <v>2451.6</v>
      </c>
    </row>
    <row r="25" spans="1:12" s="2" customFormat="1" ht="45.6" customHeight="1" outlineLevel="2" x14ac:dyDescent="0.25">
      <c r="A25" s="4"/>
      <c r="B25" s="22" t="str">
        <f t="shared" si="0"/>
        <v>КУХНЯ-ELP</v>
      </c>
      <c r="C25" s="12" t="s">
        <v>75</v>
      </c>
      <c r="D25" s="12" t="s">
        <v>78</v>
      </c>
      <c r="E25" s="21" t="s">
        <v>79</v>
      </c>
      <c r="F25" s="34">
        <v>819</v>
      </c>
      <c r="G25" s="8">
        <f t="shared" ref="G25" si="11">F25*0.6</f>
        <v>491.4</v>
      </c>
      <c r="H25" s="16">
        <f t="shared" ref="H25:H27" si="12">G25*I25</f>
        <v>1474.1999999999998</v>
      </c>
      <c r="I25" s="26">
        <v>3</v>
      </c>
      <c r="J25" s="27" t="s">
        <v>12</v>
      </c>
      <c r="K25" s="12" t="s">
        <v>18</v>
      </c>
      <c r="L25" s="16">
        <v>1474.1999999999998</v>
      </c>
    </row>
    <row r="26" spans="1:12" s="2" customFormat="1" ht="41.45" customHeight="1" outlineLevel="2" x14ac:dyDescent="0.25">
      <c r="A26" s="4"/>
      <c r="B26" s="22" t="str">
        <f t="shared" si="0"/>
        <v>КУХНЯ-ELP</v>
      </c>
      <c r="C26" s="12" t="s">
        <v>84</v>
      </c>
      <c r="D26" s="12" t="s">
        <v>82</v>
      </c>
      <c r="E26" s="21" t="s">
        <v>83</v>
      </c>
      <c r="F26" s="34">
        <v>172</v>
      </c>
      <c r="G26" s="8">
        <f>F26*1</f>
        <v>172</v>
      </c>
      <c r="H26" s="16">
        <f t="shared" si="12"/>
        <v>5504</v>
      </c>
      <c r="I26" s="26">
        <v>32</v>
      </c>
      <c r="J26" s="27" t="s">
        <v>12</v>
      </c>
      <c r="K26" s="12" t="s">
        <v>80</v>
      </c>
      <c r="L26" s="16">
        <v>5504</v>
      </c>
    </row>
    <row r="27" spans="1:12" s="2" customFormat="1" ht="41.45" customHeight="1" outlineLevel="2" x14ac:dyDescent="0.25">
      <c r="A27" s="4"/>
      <c r="B27" s="22" t="str">
        <f t="shared" si="0"/>
        <v>КУХНЯ-ELP</v>
      </c>
      <c r="C27" s="12" t="s">
        <v>84</v>
      </c>
      <c r="D27" s="12" t="s">
        <v>85</v>
      </c>
      <c r="E27" s="21" t="s">
        <v>86</v>
      </c>
      <c r="F27" s="34">
        <v>306</v>
      </c>
      <c r="G27" s="8">
        <f>F27*1</f>
        <v>306</v>
      </c>
      <c r="H27" s="16">
        <f t="shared" si="12"/>
        <v>1224</v>
      </c>
      <c r="I27" s="26">
        <v>4</v>
      </c>
      <c r="J27" s="27" t="s">
        <v>12</v>
      </c>
      <c r="K27" s="12" t="s">
        <v>80</v>
      </c>
      <c r="L27" s="16">
        <v>1224</v>
      </c>
    </row>
    <row r="28" spans="1:12" s="2" customFormat="1" ht="41.45" customHeight="1" outlineLevel="2" x14ac:dyDescent="0.25">
      <c r="A28" s="4"/>
      <c r="B28" s="22" t="str">
        <f t="shared" si="0"/>
        <v>КУХНЯ-ELP</v>
      </c>
      <c r="C28" s="12" t="s">
        <v>84</v>
      </c>
      <c r="D28" s="12" t="s">
        <v>87</v>
      </c>
      <c r="E28" s="21" t="s">
        <v>88</v>
      </c>
      <c r="F28" s="34">
        <v>453</v>
      </c>
      <c r="G28" s="8">
        <f t="shared" ref="G28:G29" si="13">F28*0.6</f>
        <v>271.8</v>
      </c>
      <c r="H28" s="16">
        <f t="shared" ref="H28:H29" si="14">G28*I28</f>
        <v>3261.6000000000004</v>
      </c>
      <c r="I28" s="26">
        <v>12</v>
      </c>
      <c r="J28" s="27" t="s">
        <v>12</v>
      </c>
      <c r="K28" s="12" t="s">
        <v>80</v>
      </c>
      <c r="L28" s="16">
        <v>3261.6000000000004</v>
      </c>
    </row>
    <row r="29" spans="1:12" s="2" customFormat="1" ht="41.45" customHeight="1" outlineLevel="2" x14ac:dyDescent="0.25">
      <c r="A29" s="4"/>
      <c r="B29" s="22" t="str">
        <f t="shared" si="0"/>
        <v>КУХНЯ-ELP</v>
      </c>
      <c r="C29" s="12" t="s">
        <v>91</v>
      </c>
      <c r="D29" s="12" t="s">
        <v>89</v>
      </c>
      <c r="E29" s="21" t="s">
        <v>90</v>
      </c>
      <c r="F29" s="34">
        <v>665</v>
      </c>
      <c r="G29" s="8">
        <f t="shared" si="13"/>
        <v>399</v>
      </c>
      <c r="H29" s="16">
        <f t="shared" si="14"/>
        <v>1596</v>
      </c>
      <c r="I29" s="26">
        <v>4</v>
      </c>
      <c r="J29" s="27" t="s">
        <v>12</v>
      </c>
      <c r="K29" s="12" t="s">
        <v>80</v>
      </c>
      <c r="L29" s="16">
        <v>1596</v>
      </c>
    </row>
    <row r="30" spans="1:12" s="2" customFormat="1" ht="49.5" customHeight="1" outlineLevel="2" x14ac:dyDescent="0.25">
      <c r="A30" s="4"/>
      <c r="B30" s="22" t="str">
        <f t="shared" si="0"/>
        <v>КУХНЯ-ELP</v>
      </c>
      <c r="C30" s="12" t="s">
        <v>10</v>
      </c>
      <c r="D30" s="12" t="s">
        <v>10</v>
      </c>
      <c r="E30" s="12" t="s">
        <v>10</v>
      </c>
      <c r="F30" s="33">
        <f>H31</f>
        <v>60000</v>
      </c>
      <c r="G30" s="8">
        <f>F30</f>
        <v>60000</v>
      </c>
      <c r="H30" s="16">
        <f t="shared" si="2"/>
        <v>60000</v>
      </c>
      <c r="I30" s="13">
        <v>1</v>
      </c>
      <c r="J30" s="7" t="s">
        <v>12</v>
      </c>
      <c r="K30" s="7" t="s">
        <v>10</v>
      </c>
      <c r="L30" s="16">
        <v>60000</v>
      </c>
    </row>
    <row r="31" spans="1:12" ht="54.75" customHeight="1" outlineLevel="2" x14ac:dyDescent="0.25">
      <c r="A31" s="4"/>
      <c r="B31" s="22" t="str">
        <f t="shared" si="0"/>
        <v>КУХНЯ-ELP</v>
      </c>
      <c r="C31" s="12" t="s">
        <v>11</v>
      </c>
      <c r="D31" s="12" t="s">
        <v>11</v>
      </c>
      <c r="E31" s="12" t="s">
        <v>11</v>
      </c>
      <c r="F31" s="31">
        <v>10</v>
      </c>
      <c r="G31" s="8">
        <v>100</v>
      </c>
      <c r="H31" s="16">
        <f t="shared" si="2"/>
        <v>60000</v>
      </c>
      <c r="I31" s="13">
        <f>60*F31</f>
        <v>600</v>
      </c>
      <c r="J31" s="7" t="s">
        <v>12</v>
      </c>
      <c r="K31" s="7" t="s">
        <v>11</v>
      </c>
      <c r="L31" s="16">
        <v>60000</v>
      </c>
    </row>
    <row r="32" spans="1:12" ht="54.75" customHeight="1" outlineLevel="1" x14ac:dyDescent="0.25">
      <c r="A32" s="4"/>
      <c r="B32" s="49" t="s">
        <v>175</v>
      </c>
      <c r="C32" s="12"/>
      <c r="D32" s="12"/>
      <c r="E32" s="12"/>
      <c r="F32" s="31"/>
      <c r="G32" s="8"/>
      <c r="H32" s="16">
        <f>SUBTOTAL(9,H2:H31)</f>
        <v>623260.39999999991</v>
      </c>
      <c r="I32" s="13"/>
      <c r="J32" s="7"/>
      <c r="K32" s="7"/>
      <c r="L32" s="16">
        <v>626284.39999999991</v>
      </c>
    </row>
    <row r="33" spans="1:12" s="2" customFormat="1" ht="39" customHeight="1" outlineLevel="2" x14ac:dyDescent="0.25">
      <c r="A33" s="15"/>
      <c r="B33" s="14" t="str">
        <f>E33</f>
        <v>BK-ELP</v>
      </c>
      <c r="C33" s="15"/>
      <c r="D33" s="47"/>
      <c r="E33" s="15" t="s">
        <v>35</v>
      </c>
      <c r="F33" s="28"/>
      <c r="G33" s="18"/>
      <c r="H33" s="19"/>
      <c r="I33" s="20">
        <v>1</v>
      </c>
      <c r="J33" s="17" t="s">
        <v>7</v>
      </c>
      <c r="K33" s="15" t="s">
        <v>9</v>
      </c>
      <c r="L33" s="19"/>
    </row>
    <row r="34" spans="1:12" s="2" customFormat="1" ht="39" customHeight="1" outlineLevel="2" x14ac:dyDescent="0.25">
      <c r="A34" s="4"/>
      <c r="B34" s="4" t="str">
        <f>B33</f>
        <v>BK-ELP</v>
      </c>
      <c r="C34" s="12" t="s">
        <v>8</v>
      </c>
      <c r="D34" s="48"/>
      <c r="E34" s="21" t="s">
        <v>171</v>
      </c>
      <c r="F34" s="29">
        <v>100000</v>
      </c>
      <c r="G34" s="8">
        <f>F34*1</f>
        <v>100000</v>
      </c>
      <c r="H34" s="16">
        <f>G34*I34</f>
        <v>100000</v>
      </c>
      <c r="I34" s="9">
        <v>1</v>
      </c>
      <c r="J34" s="7" t="s">
        <v>12</v>
      </c>
      <c r="K34" s="12" t="s">
        <v>15</v>
      </c>
      <c r="L34" s="16">
        <v>100000</v>
      </c>
    </row>
    <row r="35" spans="1:12" s="2" customFormat="1" ht="39" customHeight="1" outlineLevel="2" x14ac:dyDescent="0.25">
      <c r="A35" s="4"/>
      <c r="B35" s="4" t="str">
        <f t="shared" ref="B35:B52" si="15">B34</f>
        <v>BK-ELP</v>
      </c>
      <c r="C35" s="23" t="s">
        <v>17</v>
      </c>
      <c r="D35" s="35">
        <v>814173</v>
      </c>
      <c r="E35" s="21" t="s">
        <v>71</v>
      </c>
      <c r="F35" s="34">
        <v>6060</v>
      </c>
      <c r="G35" s="24">
        <f t="shared" ref="G35:G47" si="16">F35*0.6</f>
        <v>3636</v>
      </c>
      <c r="H35" s="25">
        <f t="shared" ref="H35:H52" si="17">G35*I35</f>
        <v>3636</v>
      </c>
      <c r="I35" s="26">
        <v>1</v>
      </c>
      <c r="J35" s="27" t="s">
        <v>12</v>
      </c>
      <c r="K35" s="23" t="s">
        <v>18</v>
      </c>
      <c r="L35" s="25">
        <v>3636</v>
      </c>
    </row>
    <row r="36" spans="1:12" s="2" customFormat="1" ht="39" customHeight="1" outlineLevel="2" x14ac:dyDescent="0.25">
      <c r="A36" s="4"/>
      <c r="B36" s="22" t="str">
        <f t="shared" si="15"/>
        <v>BK-ELP</v>
      </c>
      <c r="C36" s="23" t="s">
        <v>17</v>
      </c>
      <c r="D36" s="23" t="s">
        <v>19</v>
      </c>
      <c r="E36" s="21" t="s">
        <v>20</v>
      </c>
      <c r="F36" s="30">
        <v>947</v>
      </c>
      <c r="G36" s="24">
        <f t="shared" si="16"/>
        <v>568.19999999999993</v>
      </c>
      <c r="H36" s="25">
        <f t="shared" si="17"/>
        <v>1704.6</v>
      </c>
      <c r="I36" s="26">
        <v>3</v>
      </c>
      <c r="J36" s="27" t="s">
        <v>12</v>
      </c>
      <c r="K36" s="23" t="s">
        <v>18</v>
      </c>
      <c r="L36" s="25">
        <v>1704.6</v>
      </c>
    </row>
    <row r="37" spans="1:12" s="2" customFormat="1" ht="39" customHeight="1" outlineLevel="2" x14ac:dyDescent="0.25">
      <c r="A37" s="4"/>
      <c r="B37" s="22" t="str">
        <f t="shared" si="15"/>
        <v>BK-ELP</v>
      </c>
      <c r="C37" s="23" t="s">
        <v>16</v>
      </c>
      <c r="D37" s="23" t="s">
        <v>21</v>
      </c>
      <c r="E37" s="21" t="s">
        <v>22</v>
      </c>
      <c r="F37" s="30">
        <v>571</v>
      </c>
      <c r="G37" s="24">
        <f t="shared" si="16"/>
        <v>342.59999999999997</v>
      </c>
      <c r="H37" s="25">
        <f t="shared" si="17"/>
        <v>685.19999999999993</v>
      </c>
      <c r="I37" s="26">
        <v>2</v>
      </c>
      <c r="J37" s="27" t="s">
        <v>12</v>
      </c>
      <c r="K37" s="23" t="s">
        <v>18</v>
      </c>
      <c r="L37" s="25">
        <v>685.19999999999993</v>
      </c>
    </row>
    <row r="38" spans="1:12" s="2" customFormat="1" ht="39" customHeight="1" outlineLevel="2" x14ac:dyDescent="0.25">
      <c r="A38" s="4"/>
      <c r="B38" s="22" t="str">
        <f t="shared" si="15"/>
        <v>BK-ELP</v>
      </c>
      <c r="C38" s="23" t="s">
        <v>16</v>
      </c>
      <c r="D38" s="23" t="s">
        <v>23</v>
      </c>
      <c r="E38" s="21" t="s">
        <v>24</v>
      </c>
      <c r="F38" s="30">
        <v>589</v>
      </c>
      <c r="G38" s="24">
        <f t="shared" si="16"/>
        <v>353.4</v>
      </c>
      <c r="H38" s="25">
        <f t="shared" si="17"/>
        <v>706.8</v>
      </c>
      <c r="I38" s="26">
        <v>2</v>
      </c>
      <c r="J38" s="27" t="s">
        <v>12</v>
      </c>
      <c r="K38" s="23" t="s">
        <v>18</v>
      </c>
      <c r="L38" s="25">
        <v>706.8</v>
      </c>
    </row>
    <row r="39" spans="1:12" s="2" customFormat="1" ht="39" customHeight="1" outlineLevel="2" x14ac:dyDescent="0.25">
      <c r="A39" s="4"/>
      <c r="B39" s="22" t="str">
        <f t="shared" si="15"/>
        <v>BK-ELP</v>
      </c>
      <c r="C39" s="23" t="s">
        <v>16</v>
      </c>
      <c r="D39" s="23" t="s">
        <v>25</v>
      </c>
      <c r="E39" s="21" t="s">
        <v>26</v>
      </c>
      <c r="F39" s="30">
        <v>571</v>
      </c>
      <c r="G39" s="24">
        <f t="shared" si="16"/>
        <v>342.59999999999997</v>
      </c>
      <c r="H39" s="25">
        <f t="shared" si="17"/>
        <v>342.59999999999997</v>
      </c>
      <c r="I39" s="26">
        <v>1</v>
      </c>
      <c r="J39" s="27" t="s">
        <v>12</v>
      </c>
      <c r="K39" s="23" t="s">
        <v>18</v>
      </c>
      <c r="L39" s="25">
        <v>342.59999999999997</v>
      </c>
    </row>
    <row r="40" spans="1:12" s="2" customFormat="1" ht="39" customHeight="1" outlineLevel="2" x14ac:dyDescent="0.25">
      <c r="A40" s="4"/>
      <c r="B40" s="4" t="str">
        <f t="shared" si="15"/>
        <v>BK-ELP</v>
      </c>
      <c r="C40" s="23" t="s">
        <v>53</v>
      </c>
      <c r="D40" s="35" t="s">
        <v>55</v>
      </c>
      <c r="E40" s="21" t="s">
        <v>56</v>
      </c>
      <c r="F40" s="34">
        <v>6747</v>
      </c>
      <c r="G40" s="24">
        <f t="shared" si="16"/>
        <v>4048.2</v>
      </c>
      <c r="H40" s="25">
        <f t="shared" si="17"/>
        <v>12144.599999999999</v>
      </c>
      <c r="I40" s="26">
        <v>3</v>
      </c>
      <c r="J40" s="27" t="s">
        <v>12</v>
      </c>
      <c r="K40" s="23" t="s">
        <v>18</v>
      </c>
      <c r="L40" s="25">
        <v>12144.599999999999</v>
      </c>
    </row>
    <row r="41" spans="1:12" s="2" customFormat="1" ht="39" customHeight="1" outlineLevel="2" x14ac:dyDescent="0.25">
      <c r="A41" s="4"/>
      <c r="B41" s="4" t="str">
        <f t="shared" si="15"/>
        <v>BK-ELP</v>
      </c>
      <c r="C41" s="23" t="s">
        <v>53</v>
      </c>
      <c r="D41" s="35">
        <v>280791</v>
      </c>
      <c r="E41" s="21" t="s">
        <v>54</v>
      </c>
      <c r="F41" s="34">
        <v>12143</v>
      </c>
      <c r="G41" s="24">
        <f t="shared" si="16"/>
        <v>7285.8</v>
      </c>
      <c r="H41" s="25">
        <f t="shared" si="17"/>
        <v>21857.4</v>
      </c>
      <c r="I41" s="26">
        <v>3</v>
      </c>
      <c r="J41" s="27" t="s">
        <v>12</v>
      </c>
      <c r="K41" s="23" t="s">
        <v>18</v>
      </c>
      <c r="L41" s="25">
        <v>21857.4</v>
      </c>
    </row>
    <row r="42" spans="1:12" s="2" customFormat="1" ht="39" customHeight="1" outlineLevel="2" x14ac:dyDescent="0.25">
      <c r="A42" s="4"/>
      <c r="B42" s="4" t="str">
        <f t="shared" si="15"/>
        <v>BK-ELP</v>
      </c>
      <c r="C42" s="23" t="s">
        <v>53</v>
      </c>
      <c r="D42" s="35" t="s">
        <v>57</v>
      </c>
      <c r="E42" s="21" t="s">
        <v>58</v>
      </c>
      <c r="F42" s="34">
        <v>12143</v>
      </c>
      <c r="G42" s="24">
        <f t="shared" si="16"/>
        <v>7285.8</v>
      </c>
      <c r="H42" s="25">
        <f t="shared" si="17"/>
        <v>14571.6</v>
      </c>
      <c r="I42" s="26">
        <v>2</v>
      </c>
      <c r="J42" s="27" t="s">
        <v>12</v>
      </c>
      <c r="K42" s="23" t="s">
        <v>18</v>
      </c>
      <c r="L42" s="25">
        <v>14571.6</v>
      </c>
    </row>
    <row r="43" spans="1:12" s="2" customFormat="1" ht="39" customHeight="1" outlineLevel="2" x14ac:dyDescent="0.25">
      <c r="A43" s="22"/>
      <c r="B43" s="22" t="str">
        <f t="shared" si="15"/>
        <v>BK-ELP</v>
      </c>
      <c r="C43" s="23" t="s">
        <v>17</v>
      </c>
      <c r="D43" s="35">
        <v>296710</v>
      </c>
      <c r="E43" s="21" t="s">
        <v>42</v>
      </c>
      <c r="F43" s="34">
        <v>760</v>
      </c>
      <c r="G43" s="24">
        <f t="shared" si="16"/>
        <v>456</v>
      </c>
      <c r="H43" s="25">
        <f t="shared" si="17"/>
        <v>12768</v>
      </c>
      <c r="I43" s="26">
        <v>28</v>
      </c>
      <c r="J43" s="27" t="s">
        <v>12</v>
      </c>
      <c r="K43" s="23" t="s">
        <v>18</v>
      </c>
      <c r="L43" s="25">
        <v>12768</v>
      </c>
    </row>
    <row r="44" spans="1:12" s="2" customFormat="1" ht="39" customHeight="1" outlineLevel="2" x14ac:dyDescent="0.25">
      <c r="A44" s="4"/>
      <c r="B44" s="4" t="str">
        <f t="shared" si="15"/>
        <v>BK-ELP</v>
      </c>
      <c r="C44" s="23" t="s">
        <v>17</v>
      </c>
      <c r="D44" s="23" t="s">
        <v>59</v>
      </c>
      <c r="E44" s="21" t="s">
        <v>60</v>
      </c>
      <c r="F44" s="34">
        <v>871</v>
      </c>
      <c r="G44" s="24">
        <f t="shared" si="16"/>
        <v>522.6</v>
      </c>
      <c r="H44" s="25">
        <f t="shared" si="17"/>
        <v>11497.2</v>
      </c>
      <c r="I44" s="26">
        <v>22</v>
      </c>
      <c r="J44" s="27" t="s">
        <v>12</v>
      </c>
      <c r="K44" s="23" t="s">
        <v>18</v>
      </c>
      <c r="L44" s="25">
        <v>11497.2</v>
      </c>
    </row>
    <row r="45" spans="1:12" s="2" customFormat="1" ht="39" customHeight="1" outlineLevel="2" x14ac:dyDescent="0.25">
      <c r="A45" s="4"/>
      <c r="B45" s="4" t="str">
        <f t="shared" si="15"/>
        <v>BK-ELP</v>
      </c>
      <c r="C45" s="23" t="s">
        <v>105</v>
      </c>
      <c r="D45" s="23" t="s">
        <v>61</v>
      </c>
      <c r="E45" s="21" t="s">
        <v>62</v>
      </c>
      <c r="F45" s="34">
        <v>4419</v>
      </c>
      <c r="G45" s="24">
        <f t="shared" si="16"/>
        <v>2651.4</v>
      </c>
      <c r="H45" s="25">
        <f t="shared" si="17"/>
        <v>5302.8</v>
      </c>
      <c r="I45" s="26">
        <v>2</v>
      </c>
      <c r="J45" s="27" t="s">
        <v>12</v>
      </c>
      <c r="K45" s="23" t="s">
        <v>18</v>
      </c>
      <c r="L45" s="25">
        <v>5302.8</v>
      </c>
    </row>
    <row r="46" spans="1:12" s="2" customFormat="1" ht="39" customHeight="1" outlineLevel="2" x14ac:dyDescent="0.25">
      <c r="A46" s="4"/>
      <c r="B46" s="4" t="str">
        <f t="shared" si="15"/>
        <v>BK-ELP</v>
      </c>
      <c r="C46" s="23" t="s">
        <v>65</v>
      </c>
      <c r="D46" s="23" t="s">
        <v>63</v>
      </c>
      <c r="E46" s="21" t="s">
        <v>64</v>
      </c>
      <c r="F46" s="34">
        <v>4315</v>
      </c>
      <c r="G46" s="24">
        <f t="shared" si="16"/>
        <v>2589</v>
      </c>
      <c r="H46" s="25">
        <f t="shared" si="17"/>
        <v>5178</v>
      </c>
      <c r="I46" s="26">
        <v>2</v>
      </c>
      <c r="J46" s="27" t="s">
        <v>12</v>
      </c>
      <c r="K46" s="23" t="s">
        <v>18</v>
      </c>
      <c r="L46" s="25">
        <v>5178</v>
      </c>
    </row>
    <row r="47" spans="1:12" s="2" customFormat="1" ht="39" customHeight="1" outlineLevel="2" x14ac:dyDescent="0.25">
      <c r="A47" s="4"/>
      <c r="B47" s="4" t="str">
        <f t="shared" si="15"/>
        <v>BK-ELP</v>
      </c>
      <c r="C47" s="23" t="s">
        <v>70</v>
      </c>
      <c r="D47" s="23" t="s">
        <v>68</v>
      </c>
      <c r="E47" s="21" t="s">
        <v>69</v>
      </c>
      <c r="F47" s="34">
        <v>1455</v>
      </c>
      <c r="G47" s="24">
        <f t="shared" si="16"/>
        <v>873</v>
      </c>
      <c r="H47" s="25">
        <f t="shared" si="17"/>
        <v>1746</v>
      </c>
      <c r="I47" s="26">
        <v>2</v>
      </c>
      <c r="J47" s="27" t="s">
        <v>12</v>
      </c>
      <c r="K47" s="23" t="s">
        <v>18</v>
      </c>
      <c r="L47" s="25">
        <v>1746</v>
      </c>
    </row>
    <row r="48" spans="1:12" s="2" customFormat="1" ht="46.9" customHeight="1" outlineLevel="2" x14ac:dyDescent="0.25">
      <c r="A48" s="4"/>
      <c r="B48" s="4" t="str">
        <f>B46</f>
        <v>BK-ELP</v>
      </c>
      <c r="C48" s="12" t="s">
        <v>73</v>
      </c>
      <c r="D48" s="12" t="s">
        <v>186</v>
      </c>
      <c r="E48" s="21" t="s">
        <v>187</v>
      </c>
      <c r="F48" s="34">
        <v>5561.6975013600013</v>
      </c>
      <c r="G48" s="8">
        <f>F48</f>
        <v>5561.6975013600013</v>
      </c>
      <c r="H48" s="16">
        <f t="shared" si="17"/>
        <v>5561.6975013600013</v>
      </c>
      <c r="I48" s="26">
        <v>1</v>
      </c>
      <c r="J48" s="27" t="s">
        <v>12</v>
      </c>
      <c r="K48" s="12" t="s">
        <v>188</v>
      </c>
      <c r="L48" s="16">
        <v>8502</v>
      </c>
    </row>
    <row r="49" spans="1:12" s="2" customFormat="1" ht="41.45" customHeight="1" outlineLevel="2" x14ac:dyDescent="0.25">
      <c r="A49" s="4"/>
      <c r="B49" s="4" t="str">
        <f>B40</f>
        <v>BK-ELP</v>
      </c>
      <c r="C49" s="12" t="s">
        <v>84</v>
      </c>
      <c r="D49" s="12" t="s">
        <v>82</v>
      </c>
      <c r="E49" s="21" t="s">
        <v>83</v>
      </c>
      <c r="F49" s="34">
        <v>172</v>
      </c>
      <c r="G49" s="8">
        <f>F49*1</f>
        <v>172</v>
      </c>
      <c r="H49" s="16">
        <f t="shared" si="17"/>
        <v>8600</v>
      </c>
      <c r="I49" s="26">
        <v>50</v>
      </c>
      <c r="J49" s="27" t="s">
        <v>12</v>
      </c>
      <c r="K49" s="12" t="s">
        <v>80</v>
      </c>
      <c r="L49" s="16">
        <v>8600</v>
      </c>
    </row>
    <row r="50" spans="1:12" s="2" customFormat="1" ht="41.45" customHeight="1" outlineLevel="2" x14ac:dyDescent="0.25">
      <c r="A50" s="4"/>
      <c r="B50" s="4" t="str">
        <f>B37</f>
        <v>BK-ELP</v>
      </c>
      <c r="C50" s="12" t="s">
        <v>91</v>
      </c>
      <c r="D50" s="12" t="s">
        <v>89</v>
      </c>
      <c r="E50" s="21" t="s">
        <v>90</v>
      </c>
      <c r="F50" s="34">
        <v>665</v>
      </c>
      <c r="G50" s="8">
        <f t="shared" ref="G50" si="18">F50*0.6</f>
        <v>399</v>
      </c>
      <c r="H50" s="16">
        <f t="shared" si="17"/>
        <v>1596</v>
      </c>
      <c r="I50" s="26">
        <v>4</v>
      </c>
      <c r="J50" s="27" t="s">
        <v>12</v>
      </c>
      <c r="K50" s="12" t="s">
        <v>80</v>
      </c>
      <c r="L50" s="16">
        <v>1596</v>
      </c>
    </row>
    <row r="51" spans="1:12" s="2" customFormat="1" ht="49.5" customHeight="1" outlineLevel="2" x14ac:dyDescent="0.25">
      <c r="A51" s="4"/>
      <c r="B51" s="4" t="str">
        <f t="shared" si="15"/>
        <v>BK-ELP</v>
      </c>
      <c r="C51" s="12" t="s">
        <v>10</v>
      </c>
      <c r="D51" s="12" t="s">
        <v>10</v>
      </c>
      <c r="E51" s="12" t="s">
        <v>10</v>
      </c>
      <c r="F51" s="33">
        <f>H52</f>
        <v>36000</v>
      </c>
      <c r="G51" s="8">
        <f>F51</f>
        <v>36000</v>
      </c>
      <c r="H51" s="16">
        <f t="shared" si="17"/>
        <v>36000</v>
      </c>
      <c r="I51" s="13">
        <v>1</v>
      </c>
      <c r="J51" s="7" t="s">
        <v>12</v>
      </c>
      <c r="K51" s="7" t="s">
        <v>10</v>
      </c>
      <c r="L51" s="16">
        <v>36000</v>
      </c>
    </row>
    <row r="52" spans="1:12" ht="54.75" customHeight="1" outlineLevel="2" x14ac:dyDescent="0.25">
      <c r="A52" s="4"/>
      <c r="B52" s="4" t="str">
        <f t="shared" si="15"/>
        <v>BK-ELP</v>
      </c>
      <c r="C52" s="12" t="s">
        <v>11</v>
      </c>
      <c r="D52" s="12" t="s">
        <v>11</v>
      </c>
      <c r="E52" s="12" t="s">
        <v>11</v>
      </c>
      <c r="F52" s="31">
        <v>6</v>
      </c>
      <c r="G52" s="8">
        <v>100</v>
      </c>
      <c r="H52" s="16">
        <f t="shared" si="17"/>
        <v>36000</v>
      </c>
      <c r="I52" s="13">
        <f>60*F52</f>
        <v>360</v>
      </c>
      <c r="J52" s="7" t="s">
        <v>12</v>
      </c>
      <c r="K52" s="7" t="s">
        <v>11</v>
      </c>
      <c r="L52" s="16">
        <v>36000</v>
      </c>
    </row>
    <row r="53" spans="1:12" ht="54.75" customHeight="1" outlineLevel="1" x14ac:dyDescent="0.25">
      <c r="A53" s="4"/>
      <c r="B53" s="4" t="s">
        <v>176</v>
      </c>
      <c r="C53" s="12"/>
      <c r="D53" s="12"/>
      <c r="E53" s="12"/>
      <c r="F53" s="31"/>
      <c r="G53" s="8"/>
      <c r="H53" s="16">
        <f>SUBTOTAL(9,H33:H52)</f>
        <v>279898.49750136002</v>
      </c>
      <c r="I53" s="13"/>
      <c r="J53" s="7"/>
      <c r="K53" s="7"/>
      <c r="L53" s="16">
        <v>282838.80000000005</v>
      </c>
    </row>
    <row r="54" spans="1:12" s="2" customFormat="1" ht="39" customHeight="1" outlineLevel="2" x14ac:dyDescent="0.25">
      <c r="A54" s="15"/>
      <c r="B54" s="14" t="str">
        <f>E54</f>
        <v>1K-ELP</v>
      </c>
      <c r="C54" s="15"/>
      <c r="D54" s="47"/>
      <c r="E54" s="15" t="s">
        <v>36</v>
      </c>
      <c r="F54" s="28"/>
      <c r="G54" s="18"/>
      <c r="H54" s="19"/>
      <c r="I54" s="20">
        <v>1</v>
      </c>
      <c r="J54" s="17" t="s">
        <v>7</v>
      </c>
      <c r="K54" s="15" t="s">
        <v>9</v>
      </c>
      <c r="L54" s="19"/>
    </row>
    <row r="55" spans="1:12" s="2" customFormat="1" ht="39" customHeight="1" outlineLevel="2" x14ac:dyDescent="0.25">
      <c r="A55" s="4"/>
      <c r="B55" s="4" t="str">
        <f>B54</f>
        <v>1K-ELP</v>
      </c>
      <c r="C55" s="12" t="s">
        <v>8</v>
      </c>
      <c r="D55" s="48"/>
      <c r="E55" s="21" t="s">
        <v>171</v>
      </c>
      <c r="F55" s="29">
        <v>100000</v>
      </c>
      <c r="G55" s="8">
        <f>F55*1</f>
        <v>100000</v>
      </c>
      <c r="H55" s="16">
        <f>G55*I55</f>
        <v>100000</v>
      </c>
      <c r="I55" s="9">
        <v>1</v>
      </c>
      <c r="J55" s="7" t="s">
        <v>12</v>
      </c>
      <c r="K55" s="12" t="s">
        <v>15</v>
      </c>
      <c r="L55" s="16">
        <v>100000</v>
      </c>
    </row>
    <row r="56" spans="1:12" s="2" customFormat="1" ht="39" customHeight="1" outlineLevel="2" x14ac:dyDescent="0.25">
      <c r="A56" s="22"/>
      <c r="B56" s="22" t="str">
        <f t="shared" ref="B56:B73" si="19">B55</f>
        <v>1K-ELP</v>
      </c>
      <c r="C56" s="23" t="s">
        <v>17</v>
      </c>
      <c r="D56" s="35">
        <v>814173</v>
      </c>
      <c r="E56" s="21" t="s">
        <v>71</v>
      </c>
      <c r="F56" s="34">
        <v>6060</v>
      </c>
      <c r="G56" s="24">
        <f t="shared" ref="G56:G68" si="20">F56*0.6</f>
        <v>3636</v>
      </c>
      <c r="H56" s="25">
        <f t="shared" ref="H56:H73" si="21">G56*I56</f>
        <v>3636</v>
      </c>
      <c r="I56" s="26">
        <v>1</v>
      </c>
      <c r="J56" s="27" t="s">
        <v>12</v>
      </c>
      <c r="K56" s="23" t="s">
        <v>18</v>
      </c>
      <c r="L56" s="25">
        <v>3636</v>
      </c>
    </row>
    <row r="57" spans="1:12" s="2" customFormat="1" ht="39" customHeight="1" outlineLevel="2" x14ac:dyDescent="0.25">
      <c r="A57" s="22"/>
      <c r="B57" s="22" t="str">
        <f t="shared" si="19"/>
        <v>1K-ELP</v>
      </c>
      <c r="C57" s="23" t="s">
        <v>17</v>
      </c>
      <c r="D57" s="23" t="s">
        <v>19</v>
      </c>
      <c r="E57" s="21" t="s">
        <v>20</v>
      </c>
      <c r="F57" s="30">
        <v>947</v>
      </c>
      <c r="G57" s="24">
        <f t="shared" si="20"/>
        <v>568.19999999999993</v>
      </c>
      <c r="H57" s="25">
        <f t="shared" si="21"/>
        <v>1704.6</v>
      </c>
      <c r="I57" s="26">
        <v>3</v>
      </c>
      <c r="J57" s="27" t="s">
        <v>12</v>
      </c>
      <c r="K57" s="23" t="s">
        <v>18</v>
      </c>
      <c r="L57" s="25">
        <v>1704.6</v>
      </c>
    </row>
    <row r="58" spans="1:12" s="2" customFormat="1" ht="39" customHeight="1" outlineLevel="2" x14ac:dyDescent="0.25">
      <c r="A58" s="22"/>
      <c r="B58" s="22" t="str">
        <f t="shared" si="19"/>
        <v>1K-ELP</v>
      </c>
      <c r="C58" s="23" t="s">
        <v>16</v>
      </c>
      <c r="D58" s="23" t="s">
        <v>21</v>
      </c>
      <c r="E58" s="21" t="s">
        <v>22</v>
      </c>
      <c r="F58" s="30">
        <v>571</v>
      </c>
      <c r="G58" s="24">
        <f t="shared" si="20"/>
        <v>342.59999999999997</v>
      </c>
      <c r="H58" s="25">
        <f t="shared" si="21"/>
        <v>1370.3999999999999</v>
      </c>
      <c r="I58" s="26">
        <v>4</v>
      </c>
      <c r="J58" s="27" t="s">
        <v>12</v>
      </c>
      <c r="K58" s="23" t="s">
        <v>18</v>
      </c>
      <c r="L58" s="25">
        <v>1370.3999999999999</v>
      </c>
    </row>
    <row r="59" spans="1:12" s="2" customFormat="1" ht="39" customHeight="1" outlineLevel="2" x14ac:dyDescent="0.25">
      <c r="A59" s="22"/>
      <c r="B59" s="22" t="str">
        <f t="shared" si="19"/>
        <v>1K-ELP</v>
      </c>
      <c r="C59" s="23" t="s">
        <v>16</v>
      </c>
      <c r="D59" s="23" t="s">
        <v>23</v>
      </c>
      <c r="E59" s="21" t="s">
        <v>24</v>
      </c>
      <c r="F59" s="30">
        <v>589</v>
      </c>
      <c r="G59" s="24">
        <f t="shared" si="20"/>
        <v>353.4</v>
      </c>
      <c r="H59" s="25">
        <f t="shared" si="21"/>
        <v>1413.6</v>
      </c>
      <c r="I59" s="26">
        <v>4</v>
      </c>
      <c r="J59" s="27" t="s">
        <v>12</v>
      </c>
      <c r="K59" s="23" t="s">
        <v>18</v>
      </c>
      <c r="L59" s="25">
        <v>1413.6</v>
      </c>
    </row>
    <row r="60" spans="1:12" s="2" customFormat="1" ht="39" customHeight="1" outlineLevel="2" x14ac:dyDescent="0.25">
      <c r="A60" s="22"/>
      <c r="B60" s="22" t="str">
        <f t="shared" si="19"/>
        <v>1K-ELP</v>
      </c>
      <c r="C60" s="23" t="s">
        <v>16</v>
      </c>
      <c r="D60" s="23" t="s">
        <v>25</v>
      </c>
      <c r="E60" s="21" t="s">
        <v>26</v>
      </c>
      <c r="F60" s="30">
        <v>571</v>
      </c>
      <c r="G60" s="24">
        <f t="shared" si="20"/>
        <v>342.59999999999997</v>
      </c>
      <c r="H60" s="25">
        <f t="shared" si="21"/>
        <v>342.59999999999997</v>
      </c>
      <c r="I60" s="26">
        <v>1</v>
      </c>
      <c r="J60" s="27" t="s">
        <v>12</v>
      </c>
      <c r="K60" s="23" t="s">
        <v>18</v>
      </c>
      <c r="L60" s="25">
        <v>342.59999999999997</v>
      </c>
    </row>
    <row r="61" spans="1:12" s="2" customFormat="1" ht="39" customHeight="1" outlineLevel="2" x14ac:dyDescent="0.25">
      <c r="A61" s="22"/>
      <c r="B61" s="22" t="str">
        <f t="shared" si="19"/>
        <v>1K-ELP</v>
      </c>
      <c r="C61" s="23" t="s">
        <v>53</v>
      </c>
      <c r="D61" s="35" t="s">
        <v>55</v>
      </c>
      <c r="E61" s="21" t="s">
        <v>56</v>
      </c>
      <c r="F61" s="34">
        <v>6747</v>
      </c>
      <c r="G61" s="24">
        <f t="shared" si="20"/>
        <v>4048.2</v>
      </c>
      <c r="H61" s="25">
        <f t="shared" si="21"/>
        <v>4048.2</v>
      </c>
      <c r="I61" s="26">
        <v>1</v>
      </c>
      <c r="J61" s="27" t="s">
        <v>12</v>
      </c>
      <c r="K61" s="23" t="s">
        <v>18</v>
      </c>
      <c r="L61" s="25">
        <v>4048.2</v>
      </c>
    </row>
    <row r="62" spans="1:12" s="2" customFormat="1" ht="39" customHeight="1" outlineLevel="2" x14ac:dyDescent="0.25">
      <c r="A62" s="22"/>
      <c r="B62" s="22" t="str">
        <f t="shared" si="19"/>
        <v>1K-ELP</v>
      </c>
      <c r="C62" s="23" t="s">
        <v>53</v>
      </c>
      <c r="D62" s="35">
        <v>280791</v>
      </c>
      <c r="E62" s="21" t="s">
        <v>54</v>
      </c>
      <c r="F62" s="34">
        <v>12143</v>
      </c>
      <c r="G62" s="24">
        <f t="shared" si="20"/>
        <v>7285.8</v>
      </c>
      <c r="H62" s="25">
        <f t="shared" si="21"/>
        <v>36429</v>
      </c>
      <c r="I62" s="26">
        <v>5</v>
      </c>
      <c r="J62" s="27" t="s">
        <v>12</v>
      </c>
      <c r="K62" s="23" t="s">
        <v>18</v>
      </c>
      <c r="L62" s="25">
        <v>36429</v>
      </c>
    </row>
    <row r="63" spans="1:12" s="2" customFormat="1" ht="39" customHeight="1" outlineLevel="2" x14ac:dyDescent="0.25">
      <c r="A63" s="22"/>
      <c r="B63" s="22" t="str">
        <f t="shared" si="19"/>
        <v>1K-ELP</v>
      </c>
      <c r="C63" s="23" t="s">
        <v>53</v>
      </c>
      <c r="D63" s="35" t="s">
        <v>57</v>
      </c>
      <c r="E63" s="21" t="s">
        <v>58</v>
      </c>
      <c r="F63" s="34">
        <v>12143</v>
      </c>
      <c r="G63" s="24">
        <f t="shared" si="20"/>
        <v>7285.8</v>
      </c>
      <c r="H63" s="25">
        <f t="shared" si="21"/>
        <v>14571.6</v>
      </c>
      <c r="I63" s="26">
        <v>2</v>
      </c>
      <c r="J63" s="27" t="s">
        <v>12</v>
      </c>
      <c r="K63" s="23" t="s">
        <v>18</v>
      </c>
      <c r="L63" s="25">
        <v>14571.6</v>
      </c>
    </row>
    <row r="64" spans="1:12" s="2" customFormat="1" ht="39" customHeight="1" outlineLevel="2" x14ac:dyDescent="0.25">
      <c r="A64" s="22"/>
      <c r="B64" s="22" t="str">
        <f t="shared" si="19"/>
        <v>1K-ELP</v>
      </c>
      <c r="C64" s="23" t="s">
        <v>17</v>
      </c>
      <c r="D64" s="35">
        <v>296710</v>
      </c>
      <c r="E64" s="21" t="s">
        <v>42</v>
      </c>
      <c r="F64" s="34">
        <v>760</v>
      </c>
      <c r="G64" s="24">
        <f t="shared" si="20"/>
        <v>456</v>
      </c>
      <c r="H64" s="25">
        <f t="shared" si="21"/>
        <v>14136</v>
      </c>
      <c r="I64" s="26">
        <v>31</v>
      </c>
      <c r="J64" s="27" t="s">
        <v>12</v>
      </c>
      <c r="K64" s="23" t="s">
        <v>18</v>
      </c>
      <c r="L64" s="25">
        <v>14136</v>
      </c>
    </row>
    <row r="65" spans="1:12" s="2" customFormat="1" ht="39" customHeight="1" outlineLevel="2" x14ac:dyDescent="0.25">
      <c r="A65" s="22"/>
      <c r="B65" s="22" t="str">
        <f t="shared" si="19"/>
        <v>1K-ELP</v>
      </c>
      <c r="C65" s="23" t="s">
        <v>17</v>
      </c>
      <c r="D65" s="23" t="s">
        <v>59</v>
      </c>
      <c r="E65" s="21" t="s">
        <v>60</v>
      </c>
      <c r="F65" s="34">
        <v>871</v>
      </c>
      <c r="G65" s="24">
        <f t="shared" si="20"/>
        <v>522.6</v>
      </c>
      <c r="H65" s="25">
        <f t="shared" si="21"/>
        <v>17245.8</v>
      </c>
      <c r="I65" s="26">
        <v>33</v>
      </c>
      <c r="J65" s="27" t="s">
        <v>12</v>
      </c>
      <c r="K65" s="23" t="s">
        <v>18</v>
      </c>
      <c r="L65" s="25">
        <v>17245.8</v>
      </c>
    </row>
    <row r="66" spans="1:12" s="2" customFormat="1" ht="39" customHeight="1" outlineLevel="2" x14ac:dyDescent="0.25">
      <c r="A66" s="4"/>
      <c r="B66" s="4" t="str">
        <f t="shared" si="19"/>
        <v>1K-ELP</v>
      </c>
      <c r="C66" s="23" t="s">
        <v>105</v>
      </c>
      <c r="D66" s="23" t="s">
        <v>61</v>
      </c>
      <c r="E66" s="21" t="s">
        <v>62</v>
      </c>
      <c r="F66" s="34">
        <v>4419</v>
      </c>
      <c r="G66" s="24">
        <f t="shared" si="20"/>
        <v>2651.4</v>
      </c>
      <c r="H66" s="25">
        <f t="shared" si="21"/>
        <v>7954.2000000000007</v>
      </c>
      <c r="I66" s="26">
        <v>3</v>
      </c>
      <c r="J66" s="27" t="s">
        <v>12</v>
      </c>
      <c r="K66" s="23" t="s">
        <v>18</v>
      </c>
      <c r="L66" s="25">
        <v>7954.2000000000007</v>
      </c>
    </row>
    <row r="67" spans="1:12" s="2" customFormat="1" ht="39" customHeight="1" outlineLevel="2" x14ac:dyDescent="0.25">
      <c r="A67" s="4"/>
      <c r="B67" s="4" t="str">
        <f t="shared" si="19"/>
        <v>1K-ELP</v>
      </c>
      <c r="C67" s="23" t="s">
        <v>65</v>
      </c>
      <c r="D67" s="23" t="s">
        <v>63</v>
      </c>
      <c r="E67" s="21" t="s">
        <v>64</v>
      </c>
      <c r="F67" s="34">
        <v>4315</v>
      </c>
      <c r="G67" s="24">
        <f t="shared" si="20"/>
        <v>2589</v>
      </c>
      <c r="H67" s="25">
        <f t="shared" si="21"/>
        <v>7767</v>
      </c>
      <c r="I67" s="26">
        <v>3</v>
      </c>
      <c r="J67" s="27" t="s">
        <v>12</v>
      </c>
      <c r="K67" s="23" t="s">
        <v>18</v>
      </c>
      <c r="L67" s="25">
        <v>7767</v>
      </c>
    </row>
    <row r="68" spans="1:12" s="2" customFormat="1" ht="39" customHeight="1" outlineLevel="2" x14ac:dyDescent="0.25">
      <c r="A68" s="4"/>
      <c r="B68" s="4" t="str">
        <f t="shared" si="19"/>
        <v>1K-ELP</v>
      </c>
      <c r="C68" s="23" t="s">
        <v>70</v>
      </c>
      <c r="D68" s="23" t="s">
        <v>68</v>
      </c>
      <c r="E68" s="21" t="s">
        <v>69</v>
      </c>
      <c r="F68" s="34">
        <v>1455</v>
      </c>
      <c r="G68" s="24">
        <f t="shared" si="20"/>
        <v>873</v>
      </c>
      <c r="H68" s="25">
        <f t="shared" si="21"/>
        <v>2619</v>
      </c>
      <c r="I68" s="26">
        <v>3</v>
      </c>
      <c r="J68" s="27" t="s">
        <v>12</v>
      </c>
      <c r="K68" s="23" t="s">
        <v>18</v>
      </c>
      <c r="L68" s="25">
        <v>2619</v>
      </c>
    </row>
    <row r="69" spans="1:12" s="2" customFormat="1" ht="46.9" customHeight="1" outlineLevel="2" x14ac:dyDescent="0.25">
      <c r="A69" s="4"/>
      <c r="B69" s="4" t="str">
        <f>B67</f>
        <v>1K-ELP</v>
      </c>
      <c r="C69" s="12" t="s">
        <v>73</v>
      </c>
      <c r="D69" s="12" t="s">
        <v>186</v>
      </c>
      <c r="E69" s="21" t="s">
        <v>187</v>
      </c>
      <c r="F69" s="34">
        <v>5561.6975013600013</v>
      </c>
      <c r="G69" s="8">
        <f>F69</f>
        <v>5561.6975013600013</v>
      </c>
      <c r="H69" s="16">
        <f t="shared" si="21"/>
        <v>5561.6975013600013</v>
      </c>
      <c r="I69" s="26">
        <v>1</v>
      </c>
      <c r="J69" s="27" t="s">
        <v>12</v>
      </c>
      <c r="K69" s="12" t="s">
        <v>188</v>
      </c>
      <c r="L69" s="16">
        <v>8502</v>
      </c>
    </row>
    <row r="70" spans="1:12" s="2" customFormat="1" ht="41.45" customHeight="1" outlineLevel="2" x14ac:dyDescent="0.25">
      <c r="A70" s="4"/>
      <c r="B70" s="4" t="str">
        <f>B61</f>
        <v>1K-ELP</v>
      </c>
      <c r="C70" s="12" t="s">
        <v>84</v>
      </c>
      <c r="D70" s="12" t="s">
        <v>82</v>
      </c>
      <c r="E70" s="21" t="s">
        <v>83</v>
      </c>
      <c r="F70" s="34">
        <v>172</v>
      </c>
      <c r="G70" s="8">
        <f>F70*1</f>
        <v>172</v>
      </c>
      <c r="H70" s="16">
        <f t="shared" si="21"/>
        <v>11008</v>
      </c>
      <c r="I70" s="26">
        <v>64</v>
      </c>
      <c r="J70" s="27" t="s">
        <v>12</v>
      </c>
      <c r="K70" s="12" t="s">
        <v>80</v>
      </c>
      <c r="L70" s="16">
        <v>11008</v>
      </c>
    </row>
    <row r="71" spans="1:12" s="2" customFormat="1" ht="41.45" customHeight="1" outlineLevel="2" x14ac:dyDescent="0.25">
      <c r="A71" s="4"/>
      <c r="B71" s="4" t="str">
        <f>B58</f>
        <v>1K-ELP</v>
      </c>
      <c r="C71" s="12" t="s">
        <v>91</v>
      </c>
      <c r="D71" s="12" t="s">
        <v>89</v>
      </c>
      <c r="E71" s="21" t="s">
        <v>90</v>
      </c>
      <c r="F71" s="34">
        <v>665</v>
      </c>
      <c r="G71" s="8">
        <f t="shared" ref="G71" si="22">F71*0.6</f>
        <v>399</v>
      </c>
      <c r="H71" s="16">
        <f t="shared" si="21"/>
        <v>1596</v>
      </c>
      <c r="I71" s="26">
        <v>4</v>
      </c>
      <c r="J71" s="27" t="s">
        <v>12</v>
      </c>
      <c r="K71" s="12" t="s">
        <v>80</v>
      </c>
      <c r="L71" s="16">
        <v>1596</v>
      </c>
    </row>
    <row r="72" spans="1:12" s="2" customFormat="1" ht="49.5" customHeight="1" outlineLevel="2" x14ac:dyDescent="0.25">
      <c r="A72" s="4"/>
      <c r="B72" s="4" t="str">
        <f t="shared" si="19"/>
        <v>1K-ELP</v>
      </c>
      <c r="C72" s="12" t="s">
        <v>10</v>
      </c>
      <c r="D72" s="12" t="s">
        <v>10</v>
      </c>
      <c r="E72" s="12" t="s">
        <v>10</v>
      </c>
      <c r="F72" s="33">
        <f>H73</f>
        <v>36000</v>
      </c>
      <c r="G72" s="8">
        <f>F72</f>
        <v>36000</v>
      </c>
      <c r="H72" s="16">
        <f t="shared" si="21"/>
        <v>36000</v>
      </c>
      <c r="I72" s="13">
        <v>1</v>
      </c>
      <c r="J72" s="7" t="s">
        <v>12</v>
      </c>
      <c r="K72" s="7" t="s">
        <v>10</v>
      </c>
      <c r="L72" s="16">
        <v>36000</v>
      </c>
    </row>
    <row r="73" spans="1:12" ht="54.75" customHeight="1" outlineLevel="2" x14ac:dyDescent="0.25">
      <c r="A73" s="4"/>
      <c r="B73" s="4" t="str">
        <f t="shared" si="19"/>
        <v>1K-ELP</v>
      </c>
      <c r="C73" s="12" t="s">
        <v>11</v>
      </c>
      <c r="D73" s="12" t="s">
        <v>11</v>
      </c>
      <c r="E73" s="12" t="s">
        <v>11</v>
      </c>
      <c r="F73" s="31">
        <v>6</v>
      </c>
      <c r="G73" s="8">
        <v>100</v>
      </c>
      <c r="H73" s="16">
        <f t="shared" si="21"/>
        <v>36000</v>
      </c>
      <c r="I73" s="13">
        <f>60*F73</f>
        <v>360</v>
      </c>
      <c r="J73" s="7" t="s">
        <v>12</v>
      </c>
      <c r="K73" s="7" t="s">
        <v>11</v>
      </c>
      <c r="L73" s="16">
        <v>36000</v>
      </c>
    </row>
    <row r="74" spans="1:12" ht="54.75" customHeight="1" outlineLevel="1" x14ac:dyDescent="0.25">
      <c r="A74" s="4"/>
      <c r="B74" s="4" t="s">
        <v>177</v>
      </c>
      <c r="C74" s="12"/>
      <c r="D74" s="12"/>
      <c r="E74" s="12"/>
      <c r="F74" s="31"/>
      <c r="G74" s="8"/>
      <c r="H74" s="16">
        <f>SUBTOTAL(9,H54:H73)</f>
        <v>303403.69750136003</v>
      </c>
      <c r="I74" s="13"/>
      <c r="J74" s="7"/>
      <c r="K74" s="7"/>
      <c r="L74" s="16">
        <v>306344</v>
      </c>
    </row>
    <row r="75" spans="1:12" s="2" customFormat="1" ht="39" customHeight="1" outlineLevel="2" x14ac:dyDescent="0.25">
      <c r="A75" s="15"/>
      <c r="B75" s="14" t="str">
        <f>E75</f>
        <v>2K-ELP</v>
      </c>
      <c r="C75" s="15"/>
      <c r="D75" s="47"/>
      <c r="E75" s="15" t="s">
        <v>37</v>
      </c>
      <c r="F75" s="28"/>
      <c r="G75" s="18"/>
      <c r="H75" s="19"/>
      <c r="I75" s="20">
        <v>1</v>
      </c>
      <c r="J75" s="17" t="s">
        <v>7</v>
      </c>
      <c r="K75" s="15" t="s">
        <v>9</v>
      </c>
      <c r="L75" s="19"/>
    </row>
    <row r="76" spans="1:12" s="2" customFormat="1" ht="39" customHeight="1" outlineLevel="2" x14ac:dyDescent="0.25">
      <c r="A76" s="4"/>
      <c r="B76" s="4" t="str">
        <f>B75</f>
        <v>2K-ELP</v>
      </c>
      <c r="C76" s="12" t="s">
        <v>8</v>
      </c>
      <c r="D76" s="48"/>
      <c r="E76" s="21" t="s">
        <v>171</v>
      </c>
      <c r="F76" s="29">
        <v>100000</v>
      </c>
      <c r="G76" s="8">
        <f>F76*1</f>
        <v>100000</v>
      </c>
      <c r="H76" s="16">
        <f>G76*I76</f>
        <v>100000</v>
      </c>
      <c r="I76" s="9">
        <v>1</v>
      </c>
      <c r="J76" s="7" t="s">
        <v>12</v>
      </c>
      <c r="K76" s="12" t="s">
        <v>15</v>
      </c>
      <c r="L76" s="16">
        <v>100000</v>
      </c>
    </row>
    <row r="77" spans="1:12" s="2" customFormat="1" ht="39" customHeight="1" outlineLevel="2" x14ac:dyDescent="0.25">
      <c r="A77" s="22"/>
      <c r="B77" s="22" t="str">
        <f t="shared" ref="B77:B94" si="23">B76</f>
        <v>2K-ELP</v>
      </c>
      <c r="C77" s="23" t="s">
        <v>17</v>
      </c>
      <c r="D77" s="35">
        <v>814173</v>
      </c>
      <c r="E77" s="21" t="s">
        <v>71</v>
      </c>
      <c r="F77" s="34">
        <v>6060</v>
      </c>
      <c r="G77" s="24">
        <f t="shared" ref="G77:G89" si="24">F77*0.6</f>
        <v>3636</v>
      </c>
      <c r="H77" s="25">
        <f t="shared" ref="H77:H94" si="25">G77*I77</f>
        <v>3636</v>
      </c>
      <c r="I77" s="26">
        <v>1</v>
      </c>
      <c r="J77" s="27" t="s">
        <v>12</v>
      </c>
      <c r="K77" s="23" t="s">
        <v>18</v>
      </c>
      <c r="L77" s="25">
        <v>3636</v>
      </c>
    </row>
    <row r="78" spans="1:12" s="2" customFormat="1" ht="39" customHeight="1" outlineLevel="2" x14ac:dyDescent="0.25">
      <c r="A78" s="22"/>
      <c r="B78" s="22" t="str">
        <f t="shared" si="23"/>
        <v>2K-ELP</v>
      </c>
      <c r="C78" s="23" t="s">
        <v>17</v>
      </c>
      <c r="D78" s="23" t="s">
        <v>19</v>
      </c>
      <c r="E78" s="21" t="s">
        <v>20</v>
      </c>
      <c r="F78" s="30">
        <v>947</v>
      </c>
      <c r="G78" s="24">
        <f t="shared" si="24"/>
        <v>568.19999999999993</v>
      </c>
      <c r="H78" s="25">
        <f t="shared" si="25"/>
        <v>1704.6</v>
      </c>
      <c r="I78" s="26">
        <v>3</v>
      </c>
      <c r="J78" s="27" t="s">
        <v>12</v>
      </c>
      <c r="K78" s="23" t="s">
        <v>18</v>
      </c>
      <c r="L78" s="25">
        <v>1704.6</v>
      </c>
    </row>
    <row r="79" spans="1:12" s="2" customFormat="1" ht="39" customHeight="1" outlineLevel="2" x14ac:dyDescent="0.25">
      <c r="A79" s="22"/>
      <c r="B79" s="22" t="str">
        <f t="shared" si="23"/>
        <v>2K-ELP</v>
      </c>
      <c r="C79" s="23" t="s">
        <v>16</v>
      </c>
      <c r="D79" s="23" t="s">
        <v>21</v>
      </c>
      <c r="E79" s="21" t="s">
        <v>22</v>
      </c>
      <c r="F79" s="30">
        <v>571</v>
      </c>
      <c r="G79" s="24">
        <f t="shared" si="24"/>
        <v>342.59999999999997</v>
      </c>
      <c r="H79" s="25">
        <f t="shared" si="25"/>
        <v>1370.3999999999999</v>
      </c>
      <c r="I79" s="26">
        <v>4</v>
      </c>
      <c r="J79" s="27" t="s">
        <v>12</v>
      </c>
      <c r="K79" s="23" t="s">
        <v>18</v>
      </c>
      <c r="L79" s="25">
        <v>1370.3999999999999</v>
      </c>
    </row>
    <row r="80" spans="1:12" s="2" customFormat="1" ht="39" customHeight="1" outlineLevel="2" x14ac:dyDescent="0.25">
      <c r="A80" s="22"/>
      <c r="B80" s="22" t="str">
        <f t="shared" si="23"/>
        <v>2K-ELP</v>
      </c>
      <c r="C80" s="23" t="s">
        <v>16</v>
      </c>
      <c r="D80" s="23" t="s">
        <v>23</v>
      </c>
      <c r="E80" s="21" t="s">
        <v>24</v>
      </c>
      <c r="F80" s="30">
        <v>589</v>
      </c>
      <c r="G80" s="24">
        <f t="shared" si="24"/>
        <v>353.4</v>
      </c>
      <c r="H80" s="25">
        <f t="shared" si="25"/>
        <v>1413.6</v>
      </c>
      <c r="I80" s="26">
        <v>4</v>
      </c>
      <c r="J80" s="27" t="s">
        <v>12</v>
      </c>
      <c r="K80" s="23" t="s">
        <v>18</v>
      </c>
      <c r="L80" s="25">
        <v>1413.6</v>
      </c>
    </row>
    <row r="81" spans="1:12" s="2" customFormat="1" ht="39" customHeight="1" outlineLevel="2" x14ac:dyDescent="0.25">
      <c r="A81" s="22"/>
      <c r="B81" s="22" t="str">
        <f t="shared" si="23"/>
        <v>2K-ELP</v>
      </c>
      <c r="C81" s="23" t="s">
        <v>16</v>
      </c>
      <c r="D81" s="23" t="s">
        <v>25</v>
      </c>
      <c r="E81" s="21" t="s">
        <v>26</v>
      </c>
      <c r="F81" s="30">
        <v>571</v>
      </c>
      <c r="G81" s="24">
        <f t="shared" si="24"/>
        <v>342.59999999999997</v>
      </c>
      <c r="H81" s="25">
        <f t="shared" si="25"/>
        <v>342.59999999999997</v>
      </c>
      <c r="I81" s="26">
        <v>1</v>
      </c>
      <c r="J81" s="27" t="s">
        <v>12</v>
      </c>
      <c r="K81" s="23" t="s">
        <v>18</v>
      </c>
      <c r="L81" s="25">
        <v>342.59999999999997</v>
      </c>
    </row>
    <row r="82" spans="1:12" s="2" customFormat="1" ht="39" customHeight="1" outlineLevel="2" x14ac:dyDescent="0.25">
      <c r="A82" s="22"/>
      <c r="B82" s="22" t="str">
        <f t="shared" si="23"/>
        <v>2K-ELP</v>
      </c>
      <c r="C82" s="23" t="s">
        <v>53</v>
      </c>
      <c r="D82" s="35" t="s">
        <v>55</v>
      </c>
      <c r="E82" s="21" t="s">
        <v>56</v>
      </c>
      <c r="F82" s="34">
        <v>6747</v>
      </c>
      <c r="G82" s="24">
        <f t="shared" si="24"/>
        <v>4048.2</v>
      </c>
      <c r="H82" s="25">
        <f t="shared" si="25"/>
        <v>4048.2</v>
      </c>
      <c r="I82" s="26">
        <v>1</v>
      </c>
      <c r="J82" s="27" t="s">
        <v>12</v>
      </c>
      <c r="K82" s="23" t="s">
        <v>18</v>
      </c>
      <c r="L82" s="25">
        <v>4048.2</v>
      </c>
    </row>
    <row r="83" spans="1:12" s="2" customFormat="1" ht="39" customHeight="1" outlineLevel="2" x14ac:dyDescent="0.25">
      <c r="A83" s="22"/>
      <c r="B83" s="22" t="str">
        <f t="shared" si="23"/>
        <v>2K-ELP</v>
      </c>
      <c r="C83" s="23" t="s">
        <v>53</v>
      </c>
      <c r="D83" s="35">
        <v>280791</v>
      </c>
      <c r="E83" s="21" t="s">
        <v>54</v>
      </c>
      <c r="F83" s="34">
        <v>12143</v>
      </c>
      <c r="G83" s="24">
        <f t="shared" si="24"/>
        <v>7285.8</v>
      </c>
      <c r="H83" s="25">
        <f t="shared" si="25"/>
        <v>29143.200000000001</v>
      </c>
      <c r="I83" s="26">
        <v>4</v>
      </c>
      <c r="J83" s="27" t="s">
        <v>12</v>
      </c>
      <c r="K83" s="23" t="s">
        <v>18</v>
      </c>
      <c r="L83" s="25">
        <v>29143.200000000001</v>
      </c>
    </row>
    <row r="84" spans="1:12" s="2" customFormat="1" ht="39" customHeight="1" outlineLevel="2" x14ac:dyDescent="0.25">
      <c r="A84" s="22"/>
      <c r="B84" s="22" t="str">
        <f t="shared" si="23"/>
        <v>2K-ELP</v>
      </c>
      <c r="C84" s="23" t="s">
        <v>53</v>
      </c>
      <c r="D84" s="35" t="s">
        <v>57</v>
      </c>
      <c r="E84" s="21" t="s">
        <v>58</v>
      </c>
      <c r="F84" s="34">
        <v>12143</v>
      </c>
      <c r="G84" s="24">
        <f t="shared" si="24"/>
        <v>7285.8</v>
      </c>
      <c r="H84" s="25">
        <f t="shared" si="25"/>
        <v>14571.6</v>
      </c>
      <c r="I84" s="26">
        <v>2</v>
      </c>
      <c r="J84" s="27" t="s">
        <v>12</v>
      </c>
      <c r="K84" s="23" t="s">
        <v>18</v>
      </c>
      <c r="L84" s="25">
        <v>14571.6</v>
      </c>
    </row>
    <row r="85" spans="1:12" s="2" customFormat="1" ht="39" customHeight="1" outlineLevel="2" x14ac:dyDescent="0.25">
      <c r="A85" s="22"/>
      <c r="B85" s="22" t="str">
        <f t="shared" si="23"/>
        <v>2K-ELP</v>
      </c>
      <c r="C85" s="23" t="s">
        <v>17</v>
      </c>
      <c r="D85" s="35">
        <v>296710</v>
      </c>
      <c r="E85" s="21" t="s">
        <v>42</v>
      </c>
      <c r="F85" s="34">
        <v>760</v>
      </c>
      <c r="G85" s="24">
        <f t="shared" si="24"/>
        <v>456</v>
      </c>
      <c r="H85" s="25">
        <f t="shared" si="25"/>
        <v>9120</v>
      </c>
      <c r="I85" s="26">
        <v>20</v>
      </c>
      <c r="J85" s="27" t="s">
        <v>12</v>
      </c>
      <c r="K85" s="23" t="s">
        <v>18</v>
      </c>
      <c r="L85" s="25">
        <v>9120</v>
      </c>
    </row>
    <row r="86" spans="1:12" s="2" customFormat="1" ht="39" customHeight="1" outlineLevel="2" x14ac:dyDescent="0.25">
      <c r="A86" s="22"/>
      <c r="B86" s="22" t="str">
        <f t="shared" si="23"/>
        <v>2K-ELP</v>
      </c>
      <c r="C86" s="23" t="s">
        <v>17</v>
      </c>
      <c r="D86" s="23" t="s">
        <v>59</v>
      </c>
      <c r="E86" s="21" t="s">
        <v>60</v>
      </c>
      <c r="F86" s="34">
        <v>871</v>
      </c>
      <c r="G86" s="24">
        <f t="shared" si="24"/>
        <v>522.6</v>
      </c>
      <c r="H86" s="25">
        <f t="shared" si="25"/>
        <v>15155.400000000001</v>
      </c>
      <c r="I86" s="26">
        <v>29</v>
      </c>
      <c r="J86" s="27" t="s">
        <v>12</v>
      </c>
      <c r="K86" s="23" t="s">
        <v>18</v>
      </c>
      <c r="L86" s="25">
        <v>15155.400000000001</v>
      </c>
    </row>
    <row r="87" spans="1:12" s="2" customFormat="1" ht="39" customHeight="1" outlineLevel="2" x14ac:dyDescent="0.25">
      <c r="A87" s="22"/>
      <c r="B87" s="22" t="str">
        <f t="shared" si="23"/>
        <v>2K-ELP</v>
      </c>
      <c r="C87" s="23" t="s">
        <v>105</v>
      </c>
      <c r="D87" s="23" t="s">
        <v>61</v>
      </c>
      <c r="E87" s="21" t="s">
        <v>62</v>
      </c>
      <c r="F87" s="34">
        <v>4419</v>
      </c>
      <c r="G87" s="24">
        <f t="shared" si="24"/>
        <v>2651.4</v>
      </c>
      <c r="H87" s="25">
        <f t="shared" si="25"/>
        <v>5302.8</v>
      </c>
      <c r="I87" s="26">
        <v>2</v>
      </c>
      <c r="J87" s="27" t="s">
        <v>12</v>
      </c>
      <c r="K87" s="23" t="s">
        <v>18</v>
      </c>
      <c r="L87" s="25">
        <v>5302.8</v>
      </c>
    </row>
    <row r="88" spans="1:12" s="2" customFormat="1" ht="39" customHeight="1" outlineLevel="2" x14ac:dyDescent="0.25">
      <c r="A88" s="4"/>
      <c r="B88" s="4" t="str">
        <f t="shared" si="23"/>
        <v>2K-ELP</v>
      </c>
      <c r="C88" s="23" t="s">
        <v>65</v>
      </c>
      <c r="D88" s="23" t="s">
        <v>63</v>
      </c>
      <c r="E88" s="21" t="s">
        <v>64</v>
      </c>
      <c r="F88" s="34">
        <v>4315</v>
      </c>
      <c r="G88" s="24">
        <f t="shared" si="24"/>
        <v>2589</v>
      </c>
      <c r="H88" s="25">
        <f t="shared" si="25"/>
        <v>5178</v>
      </c>
      <c r="I88" s="26">
        <v>2</v>
      </c>
      <c r="J88" s="27" t="s">
        <v>12</v>
      </c>
      <c r="K88" s="23" t="s">
        <v>18</v>
      </c>
      <c r="L88" s="25">
        <v>5178</v>
      </c>
    </row>
    <row r="89" spans="1:12" s="2" customFormat="1" ht="39" customHeight="1" outlineLevel="2" x14ac:dyDescent="0.25">
      <c r="A89" s="4"/>
      <c r="B89" s="4" t="str">
        <f t="shared" si="23"/>
        <v>2K-ELP</v>
      </c>
      <c r="C89" s="23" t="s">
        <v>70</v>
      </c>
      <c r="D89" s="23" t="s">
        <v>68</v>
      </c>
      <c r="E89" s="21" t="s">
        <v>69</v>
      </c>
      <c r="F89" s="34">
        <v>1455</v>
      </c>
      <c r="G89" s="24">
        <f t="shared" si="24"/>
        <v>873</v>
      </c>
      <c r="H89" s="25">
        <f t="shared" si="25"/>
        <v>3492</v>
      </c>
      <c r="I89" s="26">
        <v>4</v>
      </c>
      <c r="J89" s="27" t="s">
        <v>12</v>
      </c>
      <c r="K89" s="23" t="s">
        <v>18</v>
      </c>
      <c r="L89" s="25">
        <v>3492</v>
      </c>
    </row>
    <row r="90" spans="1:12" s="2" customFormat="1" ht="46.9" customHeight="1" outlineLevel="2" x14ac:dyDescent="0.25">
      <c r="A90" s="4"/>
      <c r="B90" s="4" t="str">
        <f>B88</f>
        <v>2K-ELP</v>
      </c>
      <c r="C90" s="12" t="s">
        <v>73</v>
      </c>
      <c r="D90" s="12" t="s">
        <v>186</v>
      </c>
      <c r="E90" s="21" t="s">
        <v>187</v>
      </c>
      <c r="F90" s="34">
        <v>5561.6975013600013</v>
      </c>
      <c r="G90" s="8">
        <f>F90</f>
        <v>5561.6975013600013</v>
      </c>
      <c r="H90" s="16">
        <f t="shared" si="25"/>
        <v>5561.6975013600013</v>
      </c>
      <c r="I90" s="26">
        <v>1</v>
      </c>
      <c r="J90" s="27" t="s">
        <v>12</v>
      </c>
      <c r="K90" s="12" t="s">
        <v>188</v>
      </c>
      <c r="L90" s="16">
        <v>8502</v>
      </c>
    </row>
    <row r="91" spans="1:12" s="2" customFormat="1" ht="41.45" customHeight="1" outlineLevel="2" x14ac:dyDescent="0.25">
      <c r="A91" s="4"/>
      <c r="B91" s="4" t="str">
        <f>B82</f>
        <v>2K-ELP</v>
      </c>
      <c r="C91" s="12" t="s">
        <v>84</v>
      </c>
      <c r="D91" s="12" t="s">
        <v>82</v>
      </c>
      <c r="E91" s="21" t="s">
        <v>83</v>
      </c>
      <c r="F91" s="34">
        <v>172</v>
      </c>
      <c r="G91" s="8">
        <f>F91*1</f>
        <v>172</v>
      </c>
      <c r="H91" s="16">
        <f t="shared" si="25"/>
        <v>8428</v>
      </c>
      <c r="I91" s="26">
        <v>49</v>
      </c>
      <c r="J91" s="27" t="s">
        <v>12</v>
      </c>
      <c r="K91" s="12" t="s">
        <v>80</v>
      </c>
      <c r="L91" s="16">
        <v>8428</v>
      </c>
    </row>
    <row r="92" spans="1:12" s="2" customFormat="1" ht="41.45" customHeight="1" outlineLevel="2" x14ac:dyDescent="0.25">
      <c r="A92" s="4"/>
      <c r="B92" s="4" t="str">
        <f>B79</f>
        <v>2K-ELP</v>
      </c>
      <c r="C92" s="12" t="s">
        <v>91</v>
      </c>
      <c r="D92" s="12" t="s">
        <v>89</v>
      </c>
      <c r="E92" s="21" t="s">
        <v>90</v>
      </c>
      <c r="F92" s="34">
        <v>665</v>
      </c>
      <c r="G92" s="8">
        <f t="shared" ref="G92" si="26">F92*0.6</f>
        <v>399</v>
      </c>
      <c r="H92" s="16">
        <f t="shared" si="25"/>
        <v>1596</v>
      </c>
      <c r="I92" s="26">
        <v>4</v>
      </c>
      <c r="J92" s="27" t="s">
        <v>12</v>
      </c>
      <c r="K92" s="12" t="s">
        <v>80</v>
      </c>
      <c r="L92" s="16">
        <v>1596</v>
      </c>
    </row>
    <row r="93" spans="1:12" s="2" customFormat="1" ht="49.5" customHeight="1" outlineLevel="2" x14ac:dyDescent="0.25">
      <c r="A93" s="4"/>
      <c r="B93" s="4" t="str">
        <f t="shared" si="23"/>
        <v>2K-ELP</v>
      </c>
      <c r="C93" s="12" t="s">
        <v>10</v>
      </c>
      <c r="D93" s="12" t="s">
        <v>10</v>
      </c>
      <c r="E93" s="12" t="s">
        <v>10</v>
      </c>
      <c r="F93" s="33">
        <f>H94</f>
        <v>36000</v>
      </c>
      <c r="G93" s="8">
        <f>F93</f>
        <v>36000</v>
      </c>
      <c r="H93" s="16">
        <f t="shared" si="25"/>
        <v>36000</v>
      </c>
      <c r="I93" s="13">
        <v>1</v>
      </c>
      <c r="J93" s="7" t="s">
        <v>12</v>
      </c>
      <c r="K93" s="7" t="s">
        <v>10</v>
      </c>
      <c r="L93" s="16">
        <v>36000</v>
      </c>
    </row>
    <row r="94" spans="1:12" ht="54.75" customHeight="1" outlineLevel="2" x14ac:dyDescent="0.25">
      <c r="A94" s="4"/>
      <c r="B94" s="4" t="str">
        <f t="shared" si="23"/>
        <v>2K-ELP</v>
      </c>
      <c r="C94" s="12" t="s">
        <v>11</v>
      </c>
      <c r="D94" s="12" t="s">
        <v>11</v>
      </c>
      <c r="E94" s="12" t="s">
        <v>11</v>
      </c>
      <c r="F94" s="31">
        <v>6</v>
      </c>
      <c r="G94" s="8">
        <v>100</v>
      </c>
      <c r="H94" s="16">
        <f t="shared" si="25"/>
        <v>36000</v>
      </c>
      <c r="I94" s="13">
        <f>60*F94</f>
        <v>360</v>
      </c>
      <c r="J94" s="7" t="s">
        <v>12</v>
      </c>
      <c r="K94" s="7" t="s">
        <v>11</v>
      </c>
      <c r="L94" s="16">
        <v>36000</v>
      </c>
    </row>
    <row r="95" spans="1:12" ht="54.75" customHeight="1" outlineLevel="1" x14ac:dyDescent="0.25">
      <c r="A95" s="4"/>
      <c r="B95" s="4" t="s">
        <v>178</v>
      </c>
      <c r="C95" s="12"/>
      <c r="D95" s="12"/>
      <c r="E95" s="12"/>
      <c r="F95" s="31"/>
      <c r="G95" s="8"/>
      <c r="H95" s="16">
        <f>SUBTOTAL(9,H75:H94)</f>
        <v>282064.09750136</v>
      </c>
      <c r="I95" s="13"/>
      <c r="J95" s="7"/>
      <c r="K95" s="7"/>
      <c r="L95" s="16">
        <v>285004.40000000002</v>
      </c>
    </row>
    <row r="96" spans="1:12" s="2" customFormat="1" ht="39" customHeight="1" outlineLevel="2" x14ac:dyDescent="0.25">
      <c r="A96" s="15"/>
      <c r="B96" s="14" t="str">
        <f>E96</f>
        <v>3K-ELP</v>
      </c>
      <c r="C96" s="15"/>
      <c r="D96" s="47"/>
      <c r="E96" s="15" t="s">
        <v>81</v>
      </c>
      <c r="F96" s="28"/>
      <c r="G96" s="18"/>
      <c r="H96" s="19"/>
      <c r="I96" s="20">
        <v>1</v>
      </c>
      <c r="J96" s="17" t="s">
        <v>7</v>
      </c>
      <c r="K96" s="15" t="s">
        <v>9</v>
      </c>
      <c r="L96" s="19"/>
    </row>
    <row r="97" spans="1:12" s="2" customFormat="1" ht="39" customHeight="1" outlineLevel="2" x14ac:dyDescent="0.25">
      <c r="A97" s="4"/>
      <c r="B97" s="4" t="str">
        <f>B96</f>
        <v>3K-ELP</v>
      </c>
      <c r="C97" s="12" t="s">
        <v>8</v>
      </c>
      <c r="D97" s="48"/>
      <c r="E97" s="21" t="s">
        <v>171</v>
      </c>
      <c r="F97" s="29">
        <v>100000</v>
      </c>
      <c r="G97" s="8">
        <f>F97*1</f>
        <v>100000</v>
      </c>
      <c r="H97" s="16">
        <f>G97*I97</f>
        <v>100000</v>
      </c>
      <c r="I97" s="9">
        <v>1</v>
      </c>
      <c r="J97" s="7" t="s">
        <v>12</v>
      </c>
      <c r="K97" s="12" t="s">
        <v>15</v>
      </c>
      <c r="L97" s="16">
        <v>100000</v>
      </c>
    </row>
    <row r="98" spans="1:12" s="2" customFormat="1" ht="39" customHeight="1" outlineLevel="2" x14ac:dyDescent="0.25">
      <c r="A98" s="22"/>
      <c r="B98" s="4" t="str">
        <f t="shared" ref="B98:B116" si="27">B97</f>
        <v>3K-ELP</v>
      </c>
      <c r="C98" s="23" t="s">
        <v>72</v>
      </c>
      <c r="D98" s="35" t="s">
        <v>51</v>
      </c>
      <c r="E98" s="21" t="s">
        <v>52</v>
      </c>
      <c r="F98" s="34">
        <v>4761</v>
      </c>
      <c r="G98" s="24">
        <f t="shared" ref="G98:G111" si="28">F98*0.6</f>
        <v>2856.6</v>
      </c>
      <c r="H98" s="25">
        <f t="shared" ref="H98:H116" si="29">G98*I98</f>
        <v>2856.6</v>
      </c>
      <c r="I98" s="26">
        <v>1</v>
      </c>
      <c r="J98" s="27" t="s">
        <v>12</v>
      </c>
      <c r="K98" s="23" t="s">
        <v>18</v>
      </c>
      <c r="L98" s="25">
        <v>2856.6</v>
      </c>
    </row>
    <row r="99" spans="1:12" s="2" customFormat="1" ht="39" customHeight="1" outlineLevel="2" x14ac:dyDescent="0.25">
      <c r="A99" s="22"/>
      <c r="B99" s="4" t="str">
        <f t="shared" si="27"/>
        <v>3K-ELP</v>
      </c>
      <c r="C99" s="23" t="s">
        <v>17</v>
      </c>
      <c r="D99" s="23" t="s">
        <v>19</v>
      </c>
      <c r="E99" s="21" t="s">
        <v>20</v>
      </c>
      <c r="F99" s="30">
        <v>947</v>
      </c>
      <c r="G99" s="24">
        <f t="shared" si="28"/>
        <v>568.19999999999993</v>
      </c>
      <c r="H99" s="25">
        <f t="shared" si="29"/>
        <v>1704.6</v>
      </c>
      <c r="I99" s="26">
        <v>3</v>
      </c>
      <c r="J99" s="27" t="s">
        <v>12</v>
      </c>
      <c r="K99" s="23" t="s">
        <v>18</v>
      </c>
      <c r="L99" s="25">
        <v>1704.6</v>
      </c>
    </row>
    <row r="100" spans="1:12" s="2" customFormat="1" ht="39" customHeight="1" outlineLevel="2" x14ac:dyDescent="0.25">
      <c r="A100" s="22"/>
      <c r="B100" s="4" t="str">
        <f t="shared" si="27"/>
        <v>3K-ELP</v>
      </c>
      <c r="C100" s="23" t="s">
        <v>16</v>
      </c>
      <c r="D100" s="23" t="s">
        <v>21</v>
      </c>
      <c r="E100" s="21" t="s">
        <v>22</v>
      </c>
      <c r="F100" s="30">
        <v>571</v>
      </c>
      <c r="G100" s="24">
        <f t="shared" si="28"/>
        <v>342.59999999999997</v>
      </c>
      <c r="H100" s="25">
        <f t="shared" si="29"/>
        <v>2055.6</v>
      </c>
      <c r="I100" s="26">
        <v>6</v>
      </c>
      <c r="J100" s="27" t="s">
        <v>12</v>
      </c>
      <c r="K100" s="23" t="s">
        <v>18</v>
      </c>
      <c r="L100" s="25">
        <v>2055.6</v>
      </c>
    </row>
    <row r="101" spans="1:12" s="2" customFormat="1" ht="39" customHeight="1" outlineLevel="2" x14ac:dyDescent="0.25">
      <c r="A101" s="22"/>
      <c r="B101" s="4" t="str">
        <f t="shared" si="27"/>
        <v>3K-ELP</v>
      </c>
      <c r="C101" s="23" t="s">
        <v>16</v>
      </c>
      <c r="D101" s="23" t="s">
        <v>23</v>
      </c>
      <c r="E101" s="21" t="s">
        <v>24</v>
      </c>
      <c r="F101" s="30">
        <v>589</v>
      </c>
      <c r="G101" s="24">
        <f t="shared" si="28"/>
        <v>353.4</v>
      </c>
      <c r="H101" s="25">
        <f t="shared" si="29"/>
        <v>2120.3999999999996</v>
      </c>
      <c r="I101" s="26">
        <v>6</v>
      </c>
      <c r="J101" s="27" t="s">
        <v>12</v>
      </c>
      <c r="K101" s="23" t="s">
        <v>18</v>
      </c>
      <c r="L101" s="25">
        <v>2120.3999999999996</v>
      </c>
    </row>
    <row r="102" spans="1:12" s="2" customFormat="1" ht="39" customHeight="1" outlineLevel="2" x14ac:dyDescent="0.25">
      <c r="A102" s="22"/>
      <c r="B102" s="4" t="str">
        <f t="shared" si="27"/>
        <v>3K-ELP</v>
      </c>
      <c r="C102" s="23" t="s">
        <v>16</v>
      </c>
      <c r="D102" s="23" t="s">
        <v>25</v>
      </c>
      <c r="E102" s="21" t="s">
        <v>26</v>
      </c>
      <c r="F102" s="30">
        <v>571</v>
      </c>
      <c r="G102" s="24">
        <f t="shared" si="28"/>
        <v>342.59999999999997</v>
      </c>
      <c r="H102" s="25">
        <f t="shared" si="29"/>
        <v>342.59999999999997</v>
      </c>
      <c r="I102" s="26">
        <v>1</v>
      </c>
      <c r="J102" s="27" t="s">
        <v>12</v>
      </c>
      <c r="K102" s="23" t="s">
        <v>18</v>
      </c>
      <c r="L102" s="25">
        <v>342.59999999999997</v>
      </c>
    </row>
    <row r="103" spans="1:12" s="2" customFormat="1" ht="39" customHeight="1" outlineLevel="2" x14ac:dyDescent="0.25">
      <c r="A103" s="22"/>
      <c r="B103" s="4" t="str">
        <f t="shared" si="27"/>
        <v>3K-ELP</v>
      </c>
      <c r="C103" s="23" t="s">
        <v>53</v>
      </c>
      <c r="D103" s="35" t="s">
        <v>55</v>
      </c>
      <c r="E103" s="21" t="s">
        <v>56</v>
      </c>
      <c r="F103" s="34">
        <v>6747</v>
      </c>
      <c r="G103" s="24">
        <f t="shared" si="28"/>
        <v>4048.2</v>
      </c>
      <c r="H103" s="25">
        <f t="shared" si="29"/>
        <v>4048.2</v>
      </c>
      <c r="I103" s="26">
        <v>1</v>
      </c>
      <c r="J103" s="27" t="s">
        <v>12</v>
      </c>
      <c r="K103" s="23" t="s">
        <v>18</v>
      </c>
      <c r="L103" s="25">
        <v>4048.2</v>
      </c>
    </row>
    <row r="104" spans="1:12" s="2" customFormat="1" ht="39" customHeight="1" outlineLevel="2" x14ac:dyDescent="0.25">
      <c r="A104" s="22"/>
      <c r="B104" s="4" t="str">
        <f t="shared" si="27"/>
        <v>3K-ELP</v>
      </c>
      <c r="C104" s="23" t="s">
        <v>53</v>
      </c>
      <c r="D104" s="35">
        <v>280791</v>
      </c>
      <c r="E104" s="21" t="s">
        <v>54</v>
      </c>
      <c r="F104" s="34">
        <v>12143</v>
      </c>
      <c r="G104" s="24">
        <f t="shared" si="28"/>
        <v>7285.8</v>
      </c>
      <c r="H104" s="25">
        <f t="shared" si="29"/>
        <v>14571.6</v>
      </c>
      <c r="I104" s="26">
        <v>2</v>
      </c>
      <c r="J104" s="27" t="s">
        <v>12</v>
      </c>
      <c r="K104" s="23" t="s">
        <v>18</v>
      </c>
      <c r="L104" s="25">
        <v>14571.6</v>
      </c>
    </row>
    <row r="105" spans="1:12" s="2" customFormat="1" ht="39" customHeight="1" outlineLevel="2" x14ac:dyDescent="0.25">
      <c r="A105" s="22"/>
      <c r="B105" s="4" t="str">
        <f t="shared" si="27"/>
        <v>3K-ELP</v>
      </c>
      <c r="C105" s="23" t="s">
        <v>53</v>
      </c>
      <c r="D105" s="35" t="s">
        <v>57</v>
      </c>
      <c r="E105" s="21" t="s">
        <v>58</v>
      </c>
      <c r="F105" s="34">
        <v>12143</v>
      </c>
      <c r="G105" s="24">
        <f t="shared" si="28"/>
        <v>7285.8</v>
      </c>
      <c r="H105" s="25">
        <f t="shared" si="29"/>
        <v>21857.4</v>
      </c>
      <c r="I105" s="26">
        <v>3</v>
      </c>
      <c r="J105" s="27" t="s">
        <v>12</v>
      </c>
      <c r="K105" s="23" t="s">
        <v>18</v>
      </c>
      <c r="L105" s="25">
        <v>21857.4</v>
      </c>
    </row>
    <row r="106" spans="1:12" s="2" customFormat="1" ht="39" customHeight="1" outlineLevel="2" x14ac:dyDescent="0.25">
      <c r="A106" s="22"/>
      <c r="B106" s="4" t="str">
        <f t="shared" si="27"/>
        <v>3K-ELP</v>
      </c>
      <c r="C106" s="23" t="s">
        <v>17</v>
      </c>
      <c r="D106" s="35">
        <v>296710</v>
      </c>
      <c r="E106" s="21" t="s">
        <v>42</v>
      </c>
      <c r="F106" s="34">
        <v>760</v>
      </c>
      <c r="G106" s="24">
        <f t="shared" si="28"/>
        <v>456</v>
      </c>
      <c r="H106" s="25">
        <f t="shared" si="29"/>
        <v>9120</v>
      </c>
      <c r="I106" s="26">
        <v>20</v>
      </c>
      <c r="J106" s="27" t="s">
        <v>12</v>
      </c>
      <c r="K106" s="23" t="s">
        <v>18</v>
      </c>
      <c r="L106" s="25">
        <v>9120</v>
      </c>
    </row>
    <row r="107" spans="1:12" s="2" customFormat="1" ht="39" customHeight="1" outlineLevel="2" x14ac:dyDescent="0.25">
      <c r="A107" s="22"/>
      <c r="B107" s="4" t="str">
        <f t="shared" si="27"/>
        <v>3K-ELP</v>
      </c>
      <c r="C107" s="23" t="s">
        <v>17</v>
      </c>
      <c r="D107" s="23" t="s">
        <v>59</v>
      </c>
      <c r="E107" s="21" t="s">
        <v>60</v>
      </c>
      <c r="F107" s="34">
        <v>871</v>
      </c>
      <c r="G107" s="24">
        <f t="shared" si="28"/>
        <v>522.6</v>
      </c>
      <c r="H107" s="25">
        <f t="shared" si="29"/>
        <v>10452</v>
      </c>
      <c r="I107" s="26">
        <v>20</v>
      </c>
      <c r="J107" s="27" t="s">
        <v>12</v>
      </c>
      <c r="K107" s="23" t="s">
        <v>18</v>
      </c>
      <c r="L107" s="25">
        <v>10452</v>
      </c>
    </row>
    <row r="108" spans="1:12" s="2" customFormat="1" ht="39" customHeight="1" outlineLevel="2" x14ac:dyDescent="0.25">
      <c r="A108" s="22"/>
      <c r="B108" s="4" t="str">
        <f t="shared" si="27"/>
        <v>3K-ELP</v>
      </c>
      <c r="C108" s="23" t="s">
        <v>105</v>
      </c>
      <c r="D108" s="23" t="s">
        <v>61</v>
      </c>
      <c r="E108" s="21" t="s">
        <v>62</v>
      </c>
      <c r="F108" s="34">
        <v>4419</v>
      </c>
      <c r="G108" s="24">
        <f t="shared" si="28"/>
        <v>2651.4</v>
      </c>
      <c r="H108" s="25">
        <f t="shared" si="29"/>
        <v>13257</v>
      </c>
      <c r="I108" s="26">
        <v>5</v>
      </c>
      <c r="J108" s="27" t="s">
        <v>12</v>
      </c>
      <c r="K108" s="23" t="s">
        <v>18</v>
      </c>
      <c r="L108" s="25">
        <v>13257</v>
      </c>
    </row>
    <row r="109" spans="1:12" s="2" customFormat="1" ht="39" customHeight="1" outlineLevel="2" x14ac:dyDescent="0.25">
      <c r="A109" s="4"/>
      <c r="B109" s="4" t="str">
        <f t="shared" si="27"/>
        <v>3K-ELP</v>
      </c>
      <c r="C109" s="23" t="s">
        <v>65</v>
      </c>
      <c r="D109" s="23" t="s">
        <v>66</v>
      </c>
      <c r="E109" s="21" t="s">
        <v>67</v>
      </c>
      <c r="F109" s="34">
        <v>4315</v>
      </c>
      <c r="G109" s="24">
        <f t="shared" si="28"/>
        <v>2589</v>
      </c>
      <c r="H109" s="25">
        <f t="shared" si="29"/>
        <v>2589</v>
      </c>
      <c r="I109" s="26">
        <v>1</v>
      </c>
      <c r="J109" s="27" t="s">
        <v>12</v>
      </c>
      <c r="K109" s="23" t="s">
        <v>18</v>
      </c>
      <c r="L109" s="25">
        <v>2589</v>
      </c>
    </row>
    <row r="110" spans="1:12" s="2" customFormat="1" ht="39" customHeight="1" outlineLevel="2" x14ac:dyDescent="0.25">
      <c r="A110" s="4"/>
      <c r="B110" s="4" t="str">
        <f t="shared" si="27"/>
        <v>3K-ELP</v>
      </c>
      <c r="C110" s="23" t="s">
        <v>65</v>
      </c>
      <c r="D110" s="23" t="s">
        <v>63</v>
      </c>
      <c r="E110" s="21" t="s">
        <v>64</v>
      </c>
      <c r="F110" s="34">
        <v>4315</v>
      </c>
      <c r="G110" s="24">
        <f t="shared" si="28"/>
        <v>2589</v>
      </c>
      <c r="H110" s="25">
        <f t="shared" ref="H110" si="30">G110*I110</f>
        <v>10356</v>
      </c>
      <c r="I110" s="26">
        <v>4</v>
      </c>
      <c r="J110" s="27" t="s">
        <v>12</v>
      </c>
      <c r="K110" s="23" t="s">
        <v>18</v>
      </c>
      <c r="L110" s="25">
        <v>10356</v>
      </c>
    </row>
    <row r="111" spans="1:12" s="2" customFormat="1" ht="39" customHeight="1" outlineLevel="2" x14ac:dyDescent="0.25">
      <c r="A111" s="4"/>
      <c r="B111" s="4" t="str">
        <f t="shared" si="27"/>
        <v>3K-ELP</v>
      </c>
      <c r="C111" s="23" t="s">
        <v>70</v>
      </c>
      <c r="D111" s="23" t="s">
        <v>68</v>
      </c>
      <c r="E111" s="21" t="s">
        <v>69</v>
      </c>
      <c r="F111" s="34">
        <v>1455</v>
      </c>
      <c r="G111" s="24">
        <f t="shared" si="28"/>
        <v>873</v>
      </c>
      <c r="H111" s="25">
        <f t="shared" si="29"/>
        <v>4365</v>
      </c>
      <c r="I111" s="26">
        <v>5</v>
      </c>
      <c r="J111" s="27" t="s">
        <v>12</v>
      </c>
      <c r="K111" s="23" t="s">
        <v>18</v>
      </c>
      <c r="L111" s="25">
        <v>4365</v>
      </c>
    </row>
    <row r="112" spans="1:12" s="2" customFormat="1" ht="46.9" customHeight="1" outlineLevel="2" x14ac:dyDescent="0.25">
      <c r="A112" s="4"/>
      <c r="B112" s="4" t="str">
        <f t="shared" si="27"/>
        <v>3K-ELP</v>
      </c>
      <c r="C112" s="12" t="s">
        <v>73</v>
      </c>
      <c r="D112" s="12" t="s">
        <v>186</v>
      </c>
      <c r="E112" s="21" t="s">
        <v>187</v>
      </c>
      <c r="F112" s="34">
        <v>5561.6975013600013</v>
      </c>
      <c r="G112" s="8">
        <f>F112</f>
        <v>5561.6975013600013</v>
      </c>
      <c r="H112" s="16">
        <f t="shared" si="29"/>
        <v>11123.395002720003</v>
      </c>
      <c r="I112" s="26">
        <v>2</v>
      </c>
      <c r="J112" s="27" t="s">
        <v>12</v>
      </c>
      <c r="K112" s="12" t="s">
        <v>188</v>
      </c>
      <c r="L112" s="16">
        <v>17004</v>
      </c>
    </row>
    <row r="113" spans="1:12" s="2" customFormat="1" ht="41.45" customHeight="1" outlineLevel="2" x14ac:dyDescent="0.25">
      <c r="A113" s="4"/>
      <c r="B113" s="4" t="str">
        <f t="shared" si="27"/>
        <v>3K-ELP</v>
      </c>
      <c r="C113" s="12" t="s">
        <v>84</v>
      </c>
      <c r="D113" s="12" t="s">
        <v>82</v>
      </c>
      <c r="E113" s="21" t="s">
        <v>83</v>
      </c>
      <c r="F113" s="34">
        <v>172</v>
      </c>
      <c r="G113" s="8">
        <f>F113*1</f>
        <v>172</v>
      </c>
      <c r="H113" s="16">
        <f t="shared" si="29"/>
        <v>8428</v>
      </c>
      <c r="I113" s="26">
        <v>49</v>
      </c>
      <c r="J113" s="27" t="s">
        <v>12</v>
      </c>
      <c r="K113" s="12" t="s">
        <v>80</v>
      </c>
      <c r="L113" s="16">
        <v>8428</v>
      </c>
    </row>
    <row r="114" spans="1:12" s="2" customFormat="1" ht="41.45" customHeight="1" outlineLevel="2" x14ac:dyDescent="0.25">
      <c r="A114" s="4"/>
      <c r="B114" s="4" t="str">
        <f t="shared" si="27"/>
        <v>3K-ELP</v>
      </c>
      <c r="C114" s="12" t="s">
        <v>91</v>
      </c>
      <c r="D114" s="12" t="s">
        <v>89</v>
      </c>
      <c r="E114" s="21" t="s">
        <v>90</v>
      </c>
      <c r="F114" s="34">
        <v>665</v>
      </c>
      <c r="G114" s="8">
        <f t="shared" ref="G114" si="31">F114*0.6</f>
        <v>399</v>
      </c>
      <c r="H114" s="16">
        <f t="shared" si="29"/>
        <v>1596</v>
      </c>
      <c r="I114" s="26">
        <v>4</v>
      </c>
      <c r="J114" s="27" t="s">
        <v>12</v>
      </c>
      <c r="K114" s="12" t="s">
        <v>80</v>
      </c>
      <c r="L114" s="16">
        <v>1596</v>
      </c>
    </row>
    <row r="115" spans="1:12" s="2" customFormat="1" ht="49.5" customHeight="1" outlineLevel="2" x14ac:dyDescent="0.25">
      <c r="A115" s="4"/>
      <c r="B115" s="4" t="str">
        <f t="shared" si="27"/>
        <v>3K-ELP</v>
      </c>
      <c r="C115" s="12" t="s">
        <v>10</v>
      </c>
      <c r="D115" s="12" t="s">
        <v>10</v>
      </c>
      <c r="E115" s="12" t="s">
        <v>10</v>
      </c>
      <c r="F115" s="33">
        <f>H116</f>
        <v>36000</v>
      </c>
      <c r="G115" s="8">
        <f>F115</f>
        <v>36000</v>
      </c>
      <c r="H115" s="16">
        <f t="shared" si="29"/>
        <v>36000</v>
      </c>
      <c r="I115" s="13">
        <v>1</v>
      </c>
      <c r="J115" s="7" t="s">
        <v>12</v>
      </c>
      <c r="K115" s="7" t="s">
        <v>10</v>
      </c>
      <c r="L115" s="16">
        <v>36000</v>
      </c>
    </row>
    <row r="116" spans="1:12" ht="54.75" customHeight="1" outlineLevel="2" x14ac:dyDescent="0.25">
      <c r="A116" s="4"/>
      <c r="B116" s="4" t="str">
        <f t="shared" si="27"/>
        <v>3K-ELP</v>
      </c>
      <c r="C116" s="12" t="s">
        <v>11</v>
      </c>
      <c r="D116" s="12" t="s">
        <v>11</v>
      </c>
      <c r="E116" s="12" t="s">
        <v>11</v>
      </c>
      <c r="F116" s="31">
        <v>6</v>
      </c>
      <c r="G116" s="8">
        <v>100</v>
      </c>
      <c r="H116" s="16">
        <f t="shared" si="29"/>
        <v>36000</v>
      </c>
      <c r="I116" s="13">
        <f>60*F116</f>
        <v>360</v>
      </c>
      <c r="J116" s="7" t="s">
        <v>12</v>
      </c>
      <c r="K116" s="7" t="s">
        <v>11</v>
      </c>
      <c r="L116" s="16">
        <v>36000</v>
      </c>
    </row>
    <row r="117" spans="1:12" ht="54.75" customHeight="1" outlineLevel="1" x14ac:dyDescent="0.25">
      <c r="A117" s="4"/>
      <c r="B117" s="4" t="s">
        <v>179</v>
      </c>
      <c r="C117" s="12"/>
      <c r="D117" s="12"/>
      <c r="E117" s="12"/>
      <c r="F117" s="31"/>
      <c r="G117" s="8"/>
      <c r="H117" s="16">
        <f>SUBTOTAL(9,H96:H116)</f>
        <v>292843.39500272006</v>
      </c>
      <c r="I117" s="13"/>
      <c r="J117" s="7"/>
      <c r="K117" s="7"/>
      <c r="L117" s="16">
        <v>298724</v>
      </c>
    </row>
    <row r="118" spans="1:12" s="2" customFormat="1" ht="39" customHeight="1" outlineLevel="2" x14ac:dyDescent="0.25">
      <c r="A118" s="15"/>
      <c r="B118" s="14" t="str">
        <f>E118</f>
        <v>KAZAN-ELP</v>
      </c>
      <c r="C118" s="15"/>
      <c r="D118" s="47"/>
      <c r="E118" s="15" t="s">
        <v>158</v>
      </c>
      <c r="F118" s="28"/>
      <c r="G118" s="18"/>
      <c r="H118" s="19"/>
      <c r="I118" s="20">
        <v>1</v>
      </c>
      <c r="J118" s="17" t="s">
        <v>7</v>
      </c>
      <c r="K118" s="15" t="s">
        <v>9</v>
      </c>
      <c r="L118" s="19"/>
    </row>
    <row r="119" spans="1:12" s="2" customFormat="1" ht="39" customHeight="1" outlineLevel="2" x14ac:dyDescent="0.25">
      <c r="A119" s="4"/>
      <c r="B119" s="4" t="str">
        <f>B118</f>
        <v>KAZAN-ELP</v>
      </c>
      <c r="C119" s="12" t="s">
        <v>8</v>
      </c>
      <c r="D119" s="48"/>
      <c r="E119" s="21" t="s">
        <v>171</v>
      </c>
      <c r="F119" s="29">
        <v>100000</v>
      </c>
      <c r="G119" s="8">
        <f>F119*1</f>
        <v>100000</v>
      </c>
      <c r="H119" s="16">
        <f>G119*I119</f>
        <v>100000</v>
      </c>
      <c r="I119" s="9">
        <v>1</v>
      </c>
      <c r="J119" s="7" t="s">
        <v>12</v>
      </c>
      <c r="K119" s="12" t="s">
        <v>15</v>
      </c>
      <c r="L119" s="16">
        <v>100000</v>
      </c>
    </row>
    <row r="120" spans="1:12" s="2" customFormat="1" ht="39" customHeight="1" outlineLevel="2" x14ac:dyDescent="0.25">
      <c r="A120" s="4"/>
      <c r="B120" s="4" t="str">
        <f t="shared" ref="B120:B138" si="32">B119</f>
        <v>KAZAN-ELP</v>
      </c>
      <c r="C120" s="23" t="s">
        <v>17</v>
      </c>
      <c r="D120" s="35" t="s">
        <v>51</v>
      </c>
      <c r="E120" s="21" t="s">
        <v>52</v>
      </c>
      <c r="F120" s="34">
        <v>4761</v>
      </c>
      <c r="G120" s="24">
        <f t="shared" ref="G120:G135" si="33">F120*0.6</f>
        <v>2856.6</v>
      </c>
      <c r="H120" s="25">
        <f t="shared" ref="H120:H138" si="34">G120*I120</f>
        <v>2856.6</v>
      </c>
      <c r="I120" s="26">
        <v>1</v>
      </c>
      <c r="J120" s="27" t="s">
        <v>12</v>
      </c>
      <c r="K120" s="23" t="s">
        <v>18</v>
      </c>
      <c r="L120" s="25">
        <v>2856.6</v>
      </c>
    </row>
    <row r="121" spans="1:12" s="2" customFormat="1" ht="39" customHeight="1" outlineLevel="2" x14ac:dyDescent="0.25">
      <c r="A121" s="4"/>
      <c r="B121" s="4" t="str">
        <f t="shared" si="32"/>
        <v>KAZAN-ELP</v>
      </c>
      <c r="C121" s="23" t="s">
        <v>17</v>
      </c>
      <c r="D121" s="23" t="s">
        <v>113</v>
      </c>
      <c r="E121" s="21" t="s">
        <v>42</v>
      </c>
      <c r="F121" s="30">
        <v>760</v>
      </c>
      <c r="G121" s="24">
        <f t="shared" si="33"/>
        <v>456</v>
      </c>
      <c r="H121" s="25">
        <f t="shared" si="34"/>
        <v>1824</v>
      </c>
      <c r="I121" s="26">
        <v>4</v>
      </c>
      <c r="J121" s="27" t="s">
        <v>12</v>
      </c>
      <c r="K121" s="23" t="s">
        <v>18</v>
      </c>
      <c r="L121" s="25">
        <v>1824</v>
      </c>
    </row>
    <row r="122" spans="1:12" s="2" customFormat="1" ht="39" customHeight="1" outlineLevel="2" x14ac:dyDescent="0.25">
      <c r="A122" s="4"/>
      <c r="B122" s="4" t="str">
        <f t="shared" si="32"/>
        <v>KAZAN-ELP</v>
      </c>
      <c r="C122" s="23" t="s">
        <v>17</v>
      </c>
      <c r="D122" s="23" t="s">
        <v>59</v>
      </c>
      <c r="E122" s="21" t="s">
        <v>60</v>
      </c>
      <c r="F122" s="30">
        <v>871</v>
      </c>
      <c r="G122" s="24">
        <f t="shared" si="33"/>
        <v>522.6</v>
      </c>
      <c r="H122" s="25">
        <f t="shared" si="34"/>
        <v>1045.2</v>
      </c>
      <c r="I122" s="26">
        <v>2</v>
      </c>
      <c r="J122" s="27" t="s">
        <v>12</v>
      </c>
      <c r="K122" s="23" t="s">
        <v>18</v>
      </c>
      <c r="L122" s="25">
        <v>1045.2</v>
      </c>
    </row>
    <row r="123" spans="1:12" s="2" customFormat="1" ht="39" customHeight="1" outlineLevel="2" x14ac:dyDescent="0.25">
      <c r="A123" s="4"/>
      <c r="B123" s="4" t="str">
        <f t="shared" si="32"/>
        <v>KAZAN-ELP</v>
      </c>
      <c r="C123" s="23" t="s">
        <v>53</v>
      </c>
      <c r="D123" s="23" t="s">
        <v>55</v>
      </c>
      <c r="E123" s="21" t="s">
        <v>56</v>
      </c>
      <c r="F123" s="30">
        <v>6747</v>
      </c>
      <c r="G123" s="24">
        <f t="shared" si="33"/>
        <v>4048.2</v>
      </c>
      <c r="H123" s="25">
        <f t="shared" si="34"/>
        <v>8096.4</v>
      </c>
      <c r="I123" s="26">
        <v>2</v>
      </c>
      <c r="J123" s="27" t="s">
        <v>12</v>
      </c>
      <c r="K123" s="23" t="s">
        <v>18</v>
      </c>
      <c r="L123" s="25">
        <v>8096.4</v>
      </c>
    </row>
    <row r="124" spans="1:12" s="2" customFormat="1" ht="39" customHeight="1" outlineLevel="2" x14ac:dyDescent="0.25">
      <c r="A124" s="4"/>
      <c r="B124" s="4" t="str">
        <f t="shared" si="32"/>
        <v>KAZAN-ELP</v>
      </c>
      <c r="C124" s="23" t="s">
        <v>53</v>
      </c>
      <c r="D124" s="23" t="s">
        <v>57</v>
      </c>
      <c r="E124" s="21" t="s">
        <v>58</v>
      </c>
      <c r="F124" s="30">
        <v>12143</v>
      </c>
      <c r="G124" s="24">
        <f t="shared" si="33"/>
        <v>7285.8</v>
      </c>
      <c r="H124" s="25">
        <f t="shared" si="34"/>
        <v>7285.8</v>
      </c>
      <c r="I124" s="26">
        <v>1</v>
      </c>
      <c r="J124" s="27" t="s">
        <v>12</v>
      </c>
      <c r="K124" s="23" t="s">
        <v>18</v>
      </c>
      <c r="L124" s="25">
        <v>7285.8</v>
      </c>
    </row>
    <row r="125" spans="1:12" s="2" customFormat="1" ht="39" customHeight="1" outlineLevel="2" x14ac:dyDescent="0.25">
      <c r="A125" s="4"/>
      <c r="B125" s="4" t="str">
        <f t="shared" si="32"/>
        <v>KAZAN-ELP</v>
      </c>
      <c r="C125" s="23" t="s">
        <v>53</v>
      </c>
      <c r="D125" s="23">
        <v>280791</v>
      </c>
      <c r="E125" s="21" t="s">
        <v>54</v>
      </c>
      <c r="F125" s="30">
        <v>12143</v>
      </c>
      <c r="G125" s="24">
        <f t="shared" si="33"/>
        <v>7285.8</v>
      </c>
      <c r="H125" s="25">
        <f t="shared" si="34"/>
        <v>7285.8</v>
      </c>
      <c r="I125" s="26">
        <v>1</v>
      </c>
      <c r="J125" s="27" t="s">
        <v>12</v>
      </c>
      <c r="K125" s="23" t="s">
        <v>18</v>
      </c>
      <c r="L125" s="25">
        <v>7285.8</v>
      </c>
    </row>
    <row r="126" spans="1:12" s="2" customFormat="1" ht="39" customHeight="1" outlineLevel="2" x14ac:dyDescent="0.25">
      <c r="A126" s="4"/>
      <c r="B126" s="4" t="str">
        <f t="shared" si="32"/>
        <v>KAZAN-ELP</v>
      </c>
      <c r="C126" s="23" t="s">
        <v>105</v>
      </c>
      <c r="D126" s="23" t="s">
        <v>116</v>
      </c>
      <c r="E126" s="21" t="s">
        <v>117</v>
      </c>
      <c r="F126" s="30">
        <v>12721</v>
      </c>
      <c r="G126" s="24">
        <f t="shared" si="33"/>
        <v>7632.5999999999995</v>
      </c>
      <c r="H126" s="25">
        <f t="shared" si="34"/>
        <v>7632.5999999999995</v>
      </c>
      <c r="I126" s="26">
        <v>1</v>
      </c>
      <c r="J126" s="27" t="s">
        <v>12</v>
      </c>
      <c r="K126" s="23" t="s">
        <v>18</v>
      </c>
      <c r="L126" s="25">
        <v>7632.5999999999995</v>
      </c>
    </row>
    <row r="127" spans="1:12" s="2" customFormat="1" ht="63" outlineLevel="2" x14ac:dyDescent="0.25">
      <c r="A127" s="4"/>
      <c r="B127" s="4" t="str">
        <f t="shared" si="32"/>
        <v>KAZAN-ELP</v>
      </c>
      <c r="C127" s="23" t="s">
        <v>118</v>
      </c>
      <c r="D127" s="23" t="s">
        <v>152</v>
      </c>
      <c r="E127" s="21" t="s">
        <v>153</v>
      </c>
      <c r="F127" s="30">
        <v>14175</v>
      </c>
      <c r="G127" s="24">
        <f t="shared" si="33"/>
        <v>8505</v>
      </c>
      <c r="H127" s="25">
        <f t="shared" si="34"/>
        <v>8505</v>
      </c>
      <c r="I127" s="26">
        <v>1</v>
      </c>
      <c r="J127" s="27" t="s">
        <v>12</v>
      </c>
      <c r="K127" s="23" t="s">
        <v>18</v>
      </c>
      <c r="L127" s="25">
        <v>8505</v>
      </c>
    </row>
    <row r="128" spans="1:12" s="2" customFormat="1" ht="39" customHeight="1" outlineLevel="2" x14ac:dyDescent="0.25">
      <c r="A128" s="4"/>
      <c r="B128" s="4" t="str">
        <f t="shared" si="32"/>
        <v>KAZAN-ELP</v>
      </c>
      <c r="C128" s="12" t="s">
        <v>73</v>
      </c>
      <c r="D128" s="12" t="s">
        <v>186</v>
      </c>
      <c r="E128" s="21" t="s">
        <v>187</v>
      </c>
      <c r="F128" s="34">
        <v>5561.6975013600013</v>
      </c>
      <c r="G128" s="8">
        <f>F128</f>
        <v>5561.6975013600013</v>
      </c>
      <c r="H128" s="25">
        <f t="shared" si="34"/>
        <v>5561.6975013600013</v>
      </c>
      <c r="I128" s="26">
        <v>1</v>
      </c>
      <c r="J128" s="27" t="s">
        <v>12</v>
      </c>
      <c r="K128" s="12" t="s">
        <v>188</v>
      </c>
      <c r="L128" s="25">
        <v>8502</v>
      </c>
    </row>
    <row r="129" spans="1:12" s="2" customFormat="1" ht="39" customHeight="1" outlineLevel="2" x14ac:dyDescent="0.25">
      <c r="A129" s="4"/>
      <c r="B129" s="4" t="str">
        <f t="shared" si="32"/>
        <v>KAZAN-ELP</v>
      </c>
      <c r="C129" s="23" t="s">
        <v>105</v>
      </c>
      <c r="D129" s="23">
        <v>836704</v>
      </c>
      <c r="E129" s="21" t="s">
        <v>62</v>
      </c>
      <c r="F129" s="30">
        <v>4419</v>
      </c>
      <c r="G129" s="24">
        <f t="shared" si="33"/>
        <v>2651.4</v>
      </c>
      <c r="H129" s="25">
        <f t="shared" si="34"/>
        <v>31816.800000000003</v>
      </c>
      <c r="I129" s="26">
        <v>12</v>
      </c>
      <c r="J129" s="27" t="s">
        <v>12</v>
      </c>
      <c r="K129" s="23" t="s">
        <v>18</v>
      </c>
      <c r="L129" s="25">
        <v>31816.800000000003</v>
      </c>
    </row>
    <row r="130" spans="1:12" s="2" customFormat="1" ht="39" customHeight="1" outlineLevel="2" x14ac:dyDescent="0.25">
      <c r="A130" s="4"/>
      <c r="B130" s="4" t="str">
        <f t="shared" si="32"/>
        <v>KAZAN-ELP</v>
      </c>
      <c r="C130" s="23" t="s">
        <v>106</v>
      </c>
      <c r="D130" s="23" t="s">
        <v>154</v>
      </c>
      <c r="E130" s="21" t="s">
        <v>155</v>
      </c>
      <c r="F130" s="30">
        <v>4315</v>
      </c>
      <c r="G130" s="24">
        <f t="shared" si="33"/>
        <v>2589</v>
      </c>
      <c r="H130" s="25">
        <f t="shared" si="34"/>
        <v>25890</v>
      </c>
      <c r="I130" s="26">
        <v>10</v>
      </c>
      <c r="J130" s="27" t="s">
        <v>12</v>
      </c>
      <c r="K130" s="23" t="s">
        <v>18</v>
      </c>
      <c r="L130" s="25">
        <v>25890</v>
      </c>
    </row>
    <row r="131" spans="1:12" s="2" customFormat="1" ht="39" customHeight="1" outlineLevel="2" x14ac:dyDescent="0.25">
      <c r="A131" s="4"/>
      <c r="B131" s="4" t="str">
        <f t="shared" si="32"/>
        <v>KAZAN-ELP</v>
      </c>
      <c r="C131" s="23" t="s">
        <v>106</v>
      </c>
      <c r="D131" s="23" t="s">
        <v>156</v>
      </c>
      <c r="E131" s="21" t="s">
        <v>157</v>
      </c>
      <c r="F131" s="30">
        <v>4315</v>
      </c>
      <c r="G131" s="24">
        <f t="shared" ref="G131" si="35">F131*0.6</f>
        <v>2589</v>
      </c>
      <c r="H131" s="25">
        <f t="shared" ref="H131" si="36">G131*I131</f>
        <v>5178</v>
      </c>
      <c r="I131" s="26">
        <v>2</v>
      </c>
      <c r="J131" s="27" t="s">
        <v>12</v>
      </c>
      <c r="K131" s="23" t="s">
        <v>18</v>
      </c>
      <c r="L131" s="25">
        <v>5178</v>
      </c>
    </row>
    <row r="132" spans="1:12" s="2" customFormat="1" ht="39" customHeight="1" outlineLevel="2" x14ac:dyDescent="0.25">
      <c r="A132" s="4"/>
      <c r="B132" s="4" t="str">
        <f t="shared" si="32"/>
        <v>KAZAN-ELP</v>
      </c>
      <c r="C132" s="23" t="s">
        <v>70</v>
      </c>
      <c r="D132" s="23" t="s">
        <v>68</v>
      </c>
      <c r="E132" s="21" t="s">
        <v>69</v>
      </c>
      <c r="F132" s="30">
        <v>1602</v>
      </c>
      <c r="G132" s="24">
        <f t="shared" si="33"/>
        <v>961.19999999999993</v>
      </c>
      <c r="H132" s="25">
        <f t="shared" si="34"/>
        <v>11534.4</v>
      </c>
      <c r="I132" s="26">
        <v>12</v>
      </c>
      <c r="J132" s="27" t="s">
        <v>12</v>
      </c>
      <c r="K132" s="23" t="s">
        <v>18</v>
      </c>
      <c r="L132" s="25">
        <v>11534.4</v>
      </c>
    </row>
    <row r="133" spans="1:12" s="2" customFormat="1" ht="39" customHeight="1" outlineLevel="2" x14ac:dyDescent="0.25">
      <c r="A133" s="4"/>
      <c r="B133" s="4" t="str">
        <f t="shared" si="32"/>
        <v>KAZAN-ELP</v>
      </c>
      <c r="C133" s="23" t="s">
        <v>17</v>
      </c>
      <c r="D133" s="23" t="s">
        <v>19</v>
      </c>
      <c r="E133" s="21" t="s">
        <v>20</v>
      </c>
      <c r="F133" s="30">
        <v>947</v>
      </c>
      <c r="G133" s="24">
        <f t="shared" si="33"/>
        <v>568.19999999999993</v>
      </c>
      <c r="H133" s="25">
        <f t="shared" si="34"/>
        <v>13636.8</v>
      </c>
      <c r="I133" s="26">
        <v>24</v>
      </c>
      <c r="J133" s="27" t="s">
        <v>12</v>
      </c>
      <c r="K133" s="23" t="s">
        <v>18</v>
      </c>
      <c r="L133" s="25">
        <v>13636.8</v>
      </c>
    </row>
    <row r="134" spans="1:12" s="2" customFormat="1" ht="39" customHeight="1" outlineLevel="2" x14ac:dyDescent="0.25">
      <c r="A134" s="4"/>
      <c r="B134" s="4" t="str">
        <f t="shared" si="32"/>
        <v>KAZAN-ELP</v>
      </c>
      <c r="C134" s="23" t="s">
        <v>16</v>
      </c>
      <c r="D134" s="23" t="s">
        <v>23</v>
      </c>
      <c r="E134" s="21" t="s">
        <v>24</v>
      </c>
      <c r="F134" s="30">
        <v>589</v>
      </c>
      <c r="G134" s="24">
        <f t="shared" si="33"/>
        <v>353.4</v>
      </c>
      <c r="H134" s="25">
        <f t="shared" si="34"/>
        <v>4240.7999999999993</v>
      </c>
      <c r="I134" s="26">
        <v>12</v>
      </c>
      <c r="J134" s="27" t="s">
        <v>12</v>
      </c>
      <c r="K134" s="23" t="s">
        <v>18</v>
      </c>
      <c r="L134" s="25">
        <v>4240.7999999999993</v>
      </c>
    </row>
    <row r="135" spans="1:12" s="2" customFormat="1" ht="39" customHeight="1" outlineLevel="2" x14ac:dyDescent="0.25">
      <c r="A135" s="4"/>
      <c r="B135" s="4" t="str">
        <f t="shared" si="32"/>
        <v>KAZAN-ELP</v>
      </c>
      <c r="C135" s="23" t="s">
        <v>16</v>
      </c>
      <c r="D135" s="23" t="s">
        <v>25</v>
      </c>
      <c r="E135" s="21" t="s">
        <v>26</v>
      </c>
      <c r="F135" s="30">
        <v>571</v>
      </c>
      <c r="G135" s="24">
        <f t="shared" si="33"/>
        <v>342.59999999999997</v>
      </c>
      <c r="H135" s="25">
        <f t="shared" si="34"/>
        <v>4111.2</v>
      </c>
      <c r="I135" s="26">
        <v>12</v>
      </c>
      <c r="J135" s="27" t="s">
        <v>12</v>
      </c>
      <c r="K135" s="23" t="s">
        <v>18</v>
      </c>
      <c r="L135" s="25">
        <v>4111.2</v>
      </c>
    </row>
    <row r="136" spans="1:12" s="2" customFormat="1" ht="39" customHeight="1" outlineLevel="2" x14ac:dyDescent="0.25">
      <c r="A136" s="4"/>
      <c r="B136" s="4" t="str">
        <f t="shared" si="32"/>
        <v>KAZAN-ELP</v>
      </c>
      <c r="C136" s="12" t="s">
        <v>109</v>
      </c>
      <c r="D136" s="12" t="s">
        <v>172</v>
      </c>
      <c r="E136" s="21" t="s">
        <v>173</v>
      </c>
      <c r="F136" s="31">
        <v>2432</v>
      </c>
      <c r="G136" s="8">
        <f>F136</f>
        <v>2432</v>
      </c>
      <c r="H136" s="16">
        <f t="shared" si="34"/>
        <v>2432</v>
      </c>
      <c r="I136" s="9">
        <v>1</v>
      </c>
      <c r="J136" s="7" t="s">
        <v>12</v>
      </c>
      <c r="K136" s="12" t="s">
        <v>80</v>
      </c>
      <c r="L136" s="16">
        <v>2432</v>
      </c>
    </row>
    <row r="137" spans="1:12" s="2" customFormat="1" ht="49.5" customHeight="1" outlineLevel="2" x14ac:dyDescent="0.25">
      <c r="A137" s="4"/>
      <c r="B137" s="4" t="str">
        <f t="shared" si="32"/>
        <v>KAZAN-ELP</v>
      </c>
      <c r="C137" s="12" t="s">
        <v>10</v>
      </c>
      <c r="D137" s="12" t="s">
        <v>10</v>
      </c>
      <c r="E137" s="12" t="s">
        <v>10</v>
      </c>
      <c r="F137" s="33">
        <f>H138</f>
        <v>60000</v>
      </c>
      <c r="G137" s="8">
        <f>F137</f>
        <v>60000</v>
      </c>
      <c r="H137" s="16">
        <f t="shared" si="34"/>
        <v>60000</v>
      </c>
      <c r="I137" s="13">
        <v>1</v>
      </c>
      <c r="J137" s="7" t="s">
        <v>12</v>
      </c>
      <c r="K137" s="7" t="s">
        <v>10</v>
      </c>
      <c r="L137" s="16">
        <v>60000</v>
      </c>
    </row>
    <row r="138" spans="1:12" ht="54.75" customHeight="1" outlineLevel="2" x14ac:dyDescent="0.25">
      <c r="A138" s="4"/>
      <c r="B138" s="4" t="str">
        <f t="shared" si="32"/>
        <v>KAZAN-ELP</v>
      </c>
      <c r="C138" s="12" t="s">
        <v>11</v>
      </c>
      <c r="D138" s="12" t="s">
        <v>11</v>
      </c>
      <c r="E138" s="12" t="s">
        <v>11</v>
      </c>
      <c r="F138" s="31">
        <v>10</v>
      </c>
      <c r="G138" s="8">
        <v>100</v>
      </c>
      <c r="H138" s="16">
        <f t="shared" si="34"/>
        <v>60000</v>
      </c>
      <c r="I138" s="13">
        <f>60*F138</f>
        <v>600</v>
      </c>
      <c r="J138" s="7" t="s">
        <v>12</v>
      </c>
      <c r="K138" s="7" t="s">
        <v>11</v>
      </c>
      <c r="L138" s="16">
        <v>60000</v>
      </c>
    </row>
    <row r="139" spans="1:12" ht="54.75" customHeight="1" outlineLevel="1" x14ac:dyDescent="0.25">
      <c r="A139" s="4"/>
      <c r="B139" s="4" t="s">
        <v>180</v>
      </c>
      <c r="C139" s="12"/>
      <c r="D139" s="12"/>
      <c r="E139" s="12"/>
      <c r="F139" s="31"/>
      <c r="G139" s="8"/>
      <c r="H139" s="16">
        <f>SUBTOTAL(9,H118:H138)</f>
        <v>368933.09750136</v>
      </c>
      <c r="I139" s="13"/>
      <c r="J139" s="7"/>
      <c r="K139" s="7"/>
      <c r="L139" s="16">
        <v>371873.4</v>
      </c>
    </row>
    <row r="140" spans="1:12" s="2" customFormat="1" ht="39" customHeight="1" outlineLevel="2" x14ac:dyDescent="0.25">
      <c r="A140" s="15"/>
      <c r="B140" s="14" t="str">
        <f>E140</f>
        <v>BODRUM KAT PANOSU</v>
      </c>
      <c r="C140" s="15"/>
      <c r="D140" s="47"/>
      <c r="E140" s="15" t="s">
        <v>120</v>
      </c>
      <c r="F140" s="28"/>
      <c r="G140" s="18"/>
      <c r="H140" s="19"/>
      <c r="I140" s="20">
        <v>1</v>
      </c>
      <c r="J140" s="17" t="s">
        <v>7</v>
      </c>
      <c r="K140" s="15" t="s">
        <v>9</v>
      </c>
      <c r="L140" s="19"/>
    </row>
    <row r="141" spans="1:12" s="2" customFormat="1" ht="39" customHeight="1" outlineLevel="2" x14ac:dyDescent="0.25">
      <c r="A141" s="4"/>
      <c r="B141" s="4" t="str">
        <f>B140</f>
        <v>BODRUM KAT PANOSU</v>
      </c>
      <c r="C141" s="12" t="s">
        <v>8</v>
      </c>
      <c r="D141" s="48" t="s">
        <v>168</v>
      </c>
      <c r="E141" s="21" t="s">
        <v>169</v>
      </c>
      <c r="F141" s="29">
        <v>154595</v>
      </c>
      <c r="G141" s="8">
        <f>F141*1</f>
        <v>154595</v>
      </c>
      <c r="H141" s="16">
        <f>G141*I141</f>
        <v>154595</v>
      </c>
      <c r="I141" s="9">
        <v>1</v>
      </c>
      <c r="J141" s="7" t="s">
        <v>12</v>
      </c>
      <c r="K141" s="12" t="s">
        <v>15</v>
      </c>
      <c r="L141" s="16">
        <v>154595</v>
      </c>
    </row>
    <row r="142" spans="1:12" s="2" customFormat="1" ht="39" customHeight="1" outlineLevel="2" x14ac:dyDescent="0.25">
      <c r="A142" s="4"/>
      <c r="B142" s="4" t="str">
        <f t="shared" ref="B142:B156" si="37">B141</f>
        <v>BODRUM KAT PANOSU</v>
      </c>
      <c r="C142" s="23" t="s">
        <v>98</v>
      </c>
      <c r="D142" s="35" t="s">
        <v>121</v>
      </c>
      <c r="E142" s="21" t="s">
        <v>122</v>
      </c>
      <c r="F142" s="34">
        <v>35113</v>
      </c>
      <c r="G142" s="24">
        <f t="shared" ref="G142:G153" si="38">F142*0.6</f>
        <v>21067.8</v>
      </c>
      <c r="H142" s="25">
        <f t="shared" ref="H142:H156" si="39">G142*I142</f>
        <v>21067.8</v>
      </c>
      <c r="I142" s="26">
        <v>1</v>
      </c>
      <c r="J142" s="27" t="s">
        <v>12</v>
      </c>
      <c r="K142" s="23" t="s">
        <v>18</v>
      </c>
      <c r="L142" s="25">
        <v>21067.8</v>
      </c>
    </row>
    <row r="143" spans="1:12" s="2" customFormat="1" ht="39" customHeight="1" outlineLevel="2" x14ac:dyDescent="0.25">
      <c r="A143" s="4"/>
      <c r="B143" s="4" t="str">
        <f t="shared" si="37"/>
        <v>BODRUM KAT PANOSU</v>
      </c>
      <c r="C143" s="23" t="s">
        <v>98</v>
      </c>
      <c r="D143" s="35" t="s">
        <v>38</v>
      </c>
      <c r="E143" s="21" t="s">
        <v>39</v>
      </c>
      <c r="F143" s="34">
        <v>30129</v>
      </c>
      <c r="G143" s="24">
        <f t="shared" si="38"/>
        <v>18077.399999999998</v>
      </c>
      <c r="H143" s="25">
        <f t="shared" si="39"/>
        <v>18077.399999999998</v>
      </c>
      <c r="I143" s="26">
        <v>1</v>
      </c>
      <c r="J143" s="27" t="s">
        <v>12</v>
      </c>
      <c r="K143" s="23" t="s">
        <v>18</v>
      </c>
      <c r="L143" s="25">
        <v>18077.399999999998</v>
      </c>
    </row>
    <row r="144" spans="1:12" s="2" customFormat="1" ht="39" customHeight="1" outlineLevel="2" x14ac:dyDescent="0.25">
      <c r="A144" s="4"/>
      <c r="B144" s="4" t="str">
        <f t="shared" si="37"/>
        <v>BODRUM KAT PANOSU</v>
      </c>
      <c r="C144" s="23" t="s">
        <v>123</v>
      </c>
      <c r="D144" s="35" t="s">
        <v>124</v>
      </c>
      <c r="E144" s="21" t="s">
        <v>125</v>
      </c>
      <c r="F144" s="34">
        <v>5878</v>
      </c>
      <c r="G144" s="24">
        <f t="shared" si="38"/>
        <v>3526.7999999999997</v>
      </c>
      <c r="H144" s="25">
        <f t="shared" si="39"/>
        <v>3526.7999999999997</v>
      </c>
      <c r="I144" s="26">
        <v>1</v>
      </c>
      <c r="J144" s="27" t="s">
        <v>12</v>
      </c>
      <c r="K144" s="23" t="s">
        <v>18</v>
      </c>
      <c r="L144" s="25">
        <v>3526.7999999999997</v>
      </c>
    </row>
    <row r="145" spans="1:12" s="2" customFormat="1" ht="39" customHeight="1" outlineLevel="2" x14ac:dyDescent="0.25">
      <c r="A145" s="4"/>
      <c r="B145" s="4" t="str">
        <f>B143</f>
        <v>BODRUM KAT PANOSU</v>
      </c>
      <c r="C145" s="23" t="s">
        <v>162</v>
      </c>
      <c r="D145" s="35" t="s">
        <v>160</v>
      </c>
      <c r="E145" s="39" t="s">
        <v>161</v>
      </c>
      <c r="F145" s="34">
        <v>1799</v>
      </c>
      <c r="G145" s="24">
        <f t="shared" ref="G145" si="40">F145*0.6</f>
        <v>1079.3999999999999</v>
      </c>
      <c r="H145" s="25">
        <f t="shared" ref="H145" si="41">G145*I145</f>
        <v>1079.3999999999999</v>
      </c>
      <c r="I145" s="26">
        <v>1</v>
      </c>
      <c r="J145" s="27" t="s">
        <v>12</v>
      </c>
      <c r="K145" s="23" t="s">
        <v>18</v>
      </c>
      <c r="L145" s="25">
        <v>1079.3999999999999</v>
      </c>
    </row>
    <row r="146" spans="1:12" s="2" customFormat="1" ht="39" customHeight="1" outlineLevel="2" x14ac:dyDescent="0.25">
      <c r="A146" s="4"/>
      <c r="B146" s="4" t="str">
        <f>B144</f>
        <v>BODRUM KAT PANOSU</v>
      </c>
      <c r="C146" s="23" t="s">
        <v>126</v>
      </c>
      <c r="D146" s="35">
        <v>403037</v>
      </c>
      <c r="E146" s="39" t="s">
        <v>151</v>
      </c>
      <c r="F146" s="34">
        <v>2070</v>
      </c>
      <c r="G146" s="24">
        <f t="shared" si="38"/>
        <v>1242</v>
      </c>
      <c r="H146" s="25">
        <f t="shared" si="39"/>
        <v>1242</v>
      </c>
      <c r="I146" s="26">
        <v>1</v>
      </c>
      <c r="J146" s="27" t="s">
        <v>12</v>
      </c>
      <c r="K146" s="23" t="s">
        <v>18</v>
      </c>
      <c r="L146" s="25">
        <v>1242</v>
      </c>
    </row>
    <row r="147" spans="1:12" s="2" customFormat="1" ht="39" customHeight="1" outlineLevel="2" x14ac:dyDescent="0.25">
      <c r="A147" s="4"/>
      <c r="B147" s="4" t="str">
        <f t="shared" si="37"/>
        <v>BODRUM KAT PANOSU</v>
      </c>
      <c r="C147" s="23" t="s">
        <v>126</v>
      </c>
      <c r="D147" s="35">
        <v>521257</v>
      </c>
      <c r="E147" s="21" t="s">
        <v>127</v>
      </c>
      <c r="F147" s="34">
        <v>1545</v>
      </c>
      <c r="G147" s="24">
        <f t="shared" si="38"/>
        <v>927</v>
      </c>
      <c r="H147" s="25">
        <f t="shared" si="39"/>
        <v>2781</v>
      </c>
      <c r="I147" s="26">
        <v>3</v>
      </c>
      <c r="J147" s="27" t="s">
        <v>12</v>
      </c>
      <c r="K147" s="23" t="s">
        <v>18</v>
      </c>
      <c r="L147" s="25">
        <v>2781</v>
      </c>
    </row>
    <row r="148" spans="1:12" s="2" customFormat="1" ht="39" customHeight="1" outlineLevel="2" x14ac:dyDescent="0.25">
      <c r="A148" s="4"/>
      <c r="B148" s="4" t="str">
        <f t="shared" si="37"/>
        <v>BODRUM KAT PANOSU</v>
      </c>
      <c r="C148" s="23" t="s">
        <v>128</v>
      </c>
      <c r="D148" s="35" t="s">
        <v>129</v>
      </c>
      <c r="E148" s="21" t="s">
        <v>130</v>
      </c>
      <c r="F148" s="34">
        <v>56704</v>
      </c>
      <c r="G148" s="24">
        <f t="shared" si="38"/>
        <v>34022.400000000001</v>
      </c>
      <c r="H148" s="25">
        <f t="shared" si="39"/>
        <v>34022.400000000001</v>
      </c>
      <c r="I148" s="26">
        <v>1</v>
      </c>
      <c r="J148" s="27" t="s">
        <v>12</v>
      </c>
      <c r="K148" s="23" t="s">
        <v>18</v>
      </c>
      <c r="L148" s="25">
        <v>34022.400000000001</v>
      </c>
    </row>
    <row r="149" spans="1:12" s="2" customFormat="1" ht="39" customHeight="1" outlineLevel="2" x14ac:dyDescent="0.25">
      <c r="A149" s="4"/>
      <c r="B149" s="4" t="str">
        <f t="shared" si="37"/>
        <v>BODRUM KAT PANOSU</v>
      </c>
      <c r="C149" s="23" t="s">
        <v>53</v>
      </c>
      <c r="D149" s="23" t="s">
        <v>102</v>
      </c>
      <c r="E149" s="21" t="s">
        <v>103</v>
      </c>
      <c r="F149" s="30">
        <v>14768</v>
      </c>
      <c r="G149" s="24">
        <f t="shared" si="38"/>
        <v>8860.7999999999993</v>
      </c>
      <c r="H149" s="25">
        <f t="shared" si="39"/>
        <v>8860.7999999999993</v>
      </c>
      <c r="I149" s="26">
        <v>1</v>
      </c>
      <c r="J149" s="27" t="s">
        <v>12</v>
      </c>
      <c r="K149" s="23" t="s">
        <v>18</v>
      </c>
      <c r="L149" s="25">
        <v>8860.7999999999993</v>
      </c>
    </row>
    <row r="150" spans="1:12" s="2" customFormat="1" ht="39" customHeight="1" outlineLevel="2" x14ac:dyDescent="0.25">
      <c r="A150" s="4"/>
      <c r="B150" s="4" t="str">
        <f t="shared" si="37"/>
        <v>BODRUM KAT PANOSU</v>
      </c>
      <c r="C150" s="23" t="s">
        <v>17</v>
      </c>
      <c r="D150" s="23" t="s">
        <v>131</v>
      </c>
      <c r="E150" s="21" t="s">
        <v>132</v>
      </c>
      <c r="F150" s="30">
        <v>11002</v>
      </c>
      <c r="G150" s="24">
        <f t="shared" si="38"/>
        <v>6601.2</v>
      </c>
      <c r="H150" s="25">
        <f t="shared" si="39"/>
        <v>59410.799999999996</v>
      </c>
      <c r="I150" s="26">
        <v>9</v>
      </c>
      <c r="J150" s="27" t="s">
        <v>12</v>
      </c>
      <c r="K150" s="23" t="s">
        <v>18</v>
      </c>
      <c r="L150" s="25">
        <v>59410.799999999996</v>
      </c>
    </row>
    <row r="151" spans="1:12" s="2" customFormat="1" ht="39" customHeight="1" outlineLevel="2" x14ac:dyDescent="0.25">
      <c r="A151" s="4"/>
      <c r="B151" s="4" t="str">
        <f t="shared" si="37"/>
        <v>BODRUM KAT PANOSU</v>
      </c>
      <c r="C151" s="23" t="s">
        <v>17</v>
      </c>
      <c r="D151" s="23" t="s">
        <v>133</v>
      </c>
      <c r="E151" s="21" t="s">
        <v>134</v>
      </c>
      <c r="F151" s="30">
        <v>11771</v>
      </c>
      <c r="G151" s="24">
        <f t="shared" si="38"/>
        <v>7062.5999999999995</v>
      </c>
      <c r="H151" s="25">
        <f t="shared" si="39"/>
        <v>28250.399999999998</v>
      </c>
      <c r="I151" s="26">
        <v>4</v>
      </c>
      <c r="J151" s="27" t="s">
        <v>12</v>
      </c>
      <c r="K151" s="23" t="s">
        <v>18</v>
      </c>
      <c r="L151" s="25">
        <v>28250.399999999998</v>
      </c>
    </row>
    <row r="152" spans="1:12" s="2" customFormat="1" ht="39" customHeight="1" outlineLevel="2" x14ac:dyDescent="0.25">
      <c r="A152" s="4"/>
      <c r="B152" s="4" t="str">
        <f t="shared" si="37"/>
        <v>BODRUM KAT PANOSU</v>
      </c>
      <c r="C152" s="23" t="s">
        <v>17</v>
      </c>
      <c r="D152" s="23" t="s">
        <v>135</v>
      </c>
      <c r="E152" s="21" t="s">
        <v>136</v>
      </c>
      <c r="F152" s="30">
        <v>10552</v>
      </c>
      <c r="G152" s="24">
        <f t="shared" si="38"/>
        <v>6331.2</v>
      </c>
      <c r="H152" s="25">
        <f t="shared" si="39"/>
        <v>6331.2</v>
      </c>
      <c r="I152" s="26">
        <v>1</v>
      </c>
      <c r="J152" s="27" t="s">
        <v>12</v>
      </c>
      <c r="K152" s="23" t="s">
        <v>18</v>
      </c>
      <c r="L152" s="25">
        <v>6331.2</v>
      </c>
    </row>
    <row r="153" spans="1:12" s="2" customFormat="1" ht="39" customHeight="1" outlineLevel="2" x14ac:dyDescent="0.25">
      <c r="A153" s="4"/>
      <c r="B153" s="4" t="str">
        <f t="shared" si="37"/>
        <v>BODRUM KAT PANOSU</v>
      </c>
      <c r="C153" s="23" t="s">
        <v>17</v>
      </c>
      <c r="D153" s="23" t="s">
        <v>137</v>
      </c>
      <c r="E153" s="21" t="s">
        <v>138</v>
      </c>
      <c r="F153" s="30">
        <v>10552</v>
      </c>
      <c r="G153" s="24">
        <f t="shared" si="38"/>
        <v>6331.2</v>
      </c>
      <c r="H153" s="25">
        <f t="shared" si="39"/>
        <v>6331.2</v>
      </c>
      <c r="I153" s="26">
        <v>1</v>
      </c>
      <c r="J153" s="27" t="s">
        <v>12</v>
      </c>
      <c r="K153" s="23" t="s">
        <v>18</v>
      </c>
      <c r="L153" s="25">
        <v>6331.2</v>
      </c>
    </row>
    <row r="154" spans="1:12" s="2" customFormat="1" ht="39" customHeight="1" outlineLevel="2" x14ac:dyDescent="0.25">
      <c r="A154" s="4"/>
      <c r="B154" s="4" t="str">
        <f t="shared" si="37"/>
        <v>BODRUM KAT PANOSU</v>
      </c>
      <c r="C154" s="12" t="s">
        <v>139</v>
      </c>
      <c r="D154" s="12" t="s">
        <v>165</v>
      </c>
      <c r="E154" s="21" t="s">
        <v>166</v>
      </c>
      <c r="F154" s="31">
        <v>5538</v>
      </c>
      <c r="G154" s="8">
        <f>F154</f>
        <v>5538</v>
      </c>
      <c r="H154" s="16">
        <f t="shared" si="39"/>
        <v>23259.599999999995</v>
      </c>
      <c r="I154" s="9">
        <f>0.7*3*2</f>
        <v>4.1999999999999993</v>
      </c>
      <c r="J154" s="7" t="s">
        <v>140</v>
      </c>
      <c r="K154" s="12" t="s">
        <v>167</v>
      </c>
      <c r="L154" s="16">
        <v>23259.599999999995</v>
      </c>
    </row>
    <row r="155" spans="1:12" s="2" customFormat="1" ht="49.5" customHeight="1" outlineLevel="2" x14ac:dyDescent="0.25">
      <c r="A155" s="4"/>
      <c r="B155" s="4" t="str">
        <f t="shared" si="37"/>
        <v>BODRUM KAT PANOSU</v>
      </c>
      <c r="C155" s="12" t="s">
        <v>10</v>
      </c>
      <c r="D155" s="12" t="s">
        <v>10</v>
      </c>
      <c r="E155" s="12" t="s">
        <v>10</v>
      </c>
      <c r="F155" s="33">
        <f>H156</f>
        <v>36000</v>
      </c>
      <c r="G155" s="8">
        <f>F155</f>
        <v>36000</v>
      </c>
      <c r="H155" s="16">
        <f t="shared" si="39"/>
        <v>36000</v>
      </c>
      <c r="I155" s="13">
        <v>1</v>
      </c>
      <c r="J155" s="7" t="s">
        <v>12</v>
      </c>
      <c r="K155" s="7" t="s">
        <v>10</v>
      </c>
      <c r="L155" s="16">
        <v>36000</v>
      </c>
    </row>
    <row r="156" spans="1:12" ht="54.75" customHeight="1" outlineLevel="2" x14ac:dyDescent="0.25">
      <c r="A156" s="4"/>
      <c r="B156" s="4" t="str">
        <f t="shared" si="37"/>
        <v>BODRUM KAT PANOSU</v>
      </c>
      <c r="C156" s="12" t="s">
        <v>11</v>
      </c>
      <c r="D156" s="12" t="s">
        <v>11</v>
      </c>
      <c r="E156" s="12" t="s">
        <v>11</v>
      </c>
      <c r="F156" s="31">
        <v>6</v>
      </c>
      <c r="G156" s="8">
        <v>100</v>
      </c>
      <c r="H156" s="16">
        <f t="shared" si="39"/>
        <v>36000</v>
      </c>
      <c r="I156" s="13">
        <f>60*F156</f>
        <v>360</v>
      </c>
      <c r="J156" s="7" t="s">
        <v>12</v>
      </c>
      <c r="K156" s="7" t="s">
        <v>11</v>
      </c>
      <c r="L156" s="16">
        <v>36000</v>
      </c>
    </row>
    <row r="157" spans="1:12" ht="54.75" customHeight="1" outlineLevel="1" x14ac:dyDescent="0.25">
      <c r="A157" s="4"/>
      <c r="B157" s="4" t="s">
        <v>181</v>
      </c>
      <c r="C157" s="12"/>
      <c r="D157" s="12"/>
      <c r="E157" s="12"/>
      <c r="F157" s="31"/>
      <c r="G157" s="8"/>
      <c r="H157" s="16">
        <f>SUBTOTAL(9,H140:H156)</f>
        <v>440835.8</v>
      </c>
      <c r="I157" s="13"/>
      <c r="J157" s="7"/>
      <c r="K157" s="7"/>
      <c r="L157" s="16">
        <v>440835.8</v>
      </c>
    </row>
    <row r="158" spans="1:12" s="2" customFormat="1" ht="39" customHeight="1" outlineLevel="2" x14ac:dyDescent="0.25">
      <c r="A158" s="15"/>
      <c r="B158" s="14" t="str">
        <f>E158</f>
        <v>САДОВЫЙ</v>
      </c>
      <c r="C158" s="15"/>
      <c r="D158" s="47"/>
      <c r="E158" s="15" t="s">
        <v>159</v>
      </c>
      <c r="F158" s="28"/>
      <c r="G158" s="18"/>
      <c r="H158" s="19"/>
      <c r="I158" s="20">
        <v>1</v>
      </c>
      <c r="J158" s="17" t="s">
        <v>7</v>
      </c>
      <c r="K158" s="15" t="s">
        <v>9</v>
      </c>
      <c r="L158" s="19"/>
    </row>
    <row r="159" spans="1:12" s="2" customFormat="1" ht="39" customHeight="1" outlineLevel="2" x14ac:dyDescent="0.25">
      <c r="A159" s="4"/>
      <c r="B159" s="4" t="str">
        <f t="shared" ref="B159:B170" si="42">B158</f>
        <v>САДОВЫЙ</v>
      </c>
      <c r="C159" s="12" t="s">
        <v>8</v>
      </c>
      <c r="D159" s="48" t="s">
        <v>163</v>
      </c>
      <c r="E159" s="21" t="s">
        <v>164</v>
      </c>
      <c r="F159" s="29">
        <v>46200</v>
      </c>
      <c r="G159" s="8">
        <f>F159*1</f>
        <v>46200</v>
      </c>
      <c r="H159" s="16">
        <f>G159*I159</f>
        <v>46200</v>
      </c>
      <c r="I159" s="9">
        <v>1</v>
      </c>
      <c r="J159" s="7" t="s">
        <v>12</v>
      </c>
      <c r="K159" s="12" t="s">
        <v>15</v>
      </c>
      <c r="L159" s="16">
        <v>46200</v>
      </c>
    </row>
    <row r="160" spans="1:12" s="2" customFormat="1" ht="39" customHeight="1" outlineLevel="2" x14ac:dyDescent="0.25">
      <c r="A160" s="4"/>
      <c r="B160" s="22" t="str">
        <f t="shared" si="42"/>
        <v>САДОВЫЙ</v>
      </c>
      <c r="C160" s="23" t="s">
        <v>17</v>
      </c>
      <c r="D160" s="35" t="s">
        <v>51</v>
      </c>
      <c r="E160" s="21" t="s">
        <v>52</v>
      </c>
      <c r="F160" s="34">
        <v>4761</v>
      </c>
      <c r="G160" s="24">
        <f t="shared" ref="G160:G169" si="43">F160*0.6</f>
        <v>2856.6</v>
      </c>
      <c r="H160" s="25">
        <f t="shared" ref="H160:H172" si="44">G160*I160</f>
        <v>2856.6</v>
      </c>
      <c r="I160" s="26">
        <v>1</v>
      </c>
      <c r="J160" s="27" t="s">
        <v>12</v>
      </c>
      <c r="K160" s="23" t="s">
        <v>18</v>
      </c>
      <c r="L160" s="25">
        <v>2856.6</v>
      </c>
    </row>
    <row r="161" spans="1:12" s="2" customFormat="1" ht="39" customHeight="1" outlineLevel="2" x14ac:dyDescent="0.25">
      <c r="A161" s="4"/>
      <c r="B161" s="22" t="str">
        <f t="shared" si="42"/>
        <v>САДОВЫЙ</v>
      </c>
      <c r="C161" s="23" t="s">
        <v>53</v>
      </c>
      <c r="D161" s="23">
        <v>280791</v>
      </c>
      <c r="E161" s="21" t="s">
        <v>54</v>
      </c>
      <c r="F161" s="30">
        <v>12143</v>
      </c>
      <c r="G161" s="24">
        <f t="shared" si="43"/>
        <v>7285.8</v>
      </c>
      <c r="H161" s="25">
        <f t="shared" si="44"/>
        <v>7285.8</v>
      </c>
      <c r="I161" s="26">
        <v>1</v>
      </c>
      <c r="J161" s="27" t="s">
        <v>12</v>
      </c>
      <c r="K161" s="23" t="s">
        <v>18</v>
      </c>
      <c r="L161" s="25">
        <v>7285.8</v>
      </c>
    </row>
    <row r="162" spans="1:12" s="2" customFormat="1" ht="39" customHeight="1" outlineLevel="2" x14ac:dyDescent="0.25">
      <c r="A162" s="4"/>
      <c r="B162" s="22" t="str">
        <f t="shared" si="42"/>
        <v>САДОВЫЙ</v>
      </c>
      <c r="C162" s="23" t="s">
        <v>53</v>
      </c>
      <c r="D162" s="23" t="s">
        <v>55</v>
      </c>
      <c r="E162" s="21" t="s">
        <v>56</v>
      </c>
      <c r="F162" s="30">
        <v>6747</v>
      </c>
      <c r="G162" s="24">
        <f t="shared" si="43"/>
        <v>4048.2</v>
      </c>
      <c r="H162" s="25">
        <f t="shared" si="44"/>
        <v>4048.2</v>
      </c>
      <c r="I162" s="26">
        <v>1</v>
      </c>
      <c r="J162" s="27" t="s">
        <v>12</v>
      </c>
      <c r="K162" s="23" t="s">
        <v>18</v>
      </c>
      <c r="L162" s="25">
        <v>4048.2</v>
      </c>
    </row>
    <row r="163" spans="1:12" s="2" customFormat="1" ht="39" customHeight="1" outlineLevel="2" x14ac:dyDescent="0.25">
      <c r="A163" s="4"/>
      <c r="B163" s="22" t="str">
        <f t="shared" si="42"/>
        <v>САДОВЫЙ</v>
      </c>
      <c r="C163" s="23" t="s">
        <v>17</v>
      </c>
      <c r="D163" s="23" t="s">
        <v>59</v>
      </c>
      <c r="E163" s="21" t="s">
        <v>60</v>
      </c>
      <c r="F163" s="34">
        <v>871</v>
      </c>
      <c r="G163" s="24">
        <f t="shared" si="43"/>
        <v>522.6</v>
      </c>
      <c r="H163" s="25">
        <f t="shared" si="44"/>
        <v>2613</v>
      </c>
      <c r="I163" s="26">
        <v>5</v>
      </c>
      <c r="J163" s="27" t="s">
        <v>12</v>
      </c>
      <c r="K163" s="23" t="s">
        <v>18</v>
      </c>
      <c r="L163" s="25">
        <v>2613</v>
      </c>
    </row>
    <row r="164" spans="1:12" s="2" customFormat="1" ht="39" customHeight="1" outlineLevel="2" x14ac:dyDescent="0.25">
      <c r="A164" s="4"/>
      <c r="B164" s="22" t="str">
        <f t="shared" si="42"/>
        <v>САДОВЫЙ</v>
      </c>
      <c r="C164" s="23" t="s">
        <v>17</v>
      </c>
      <c r="D164" s="35">
        <v>296710</v>
      </c>
      <c r="E164" s="21" t="s">
        <v>42</v>
      </c>
      <c r="F164" s="34">
        <v>760</v>
      </c>
      <c r="G164" s="24">
        <f t="shared" si="43"/>
        <v>456</v>
      </c>
      <c r="H164" s="25">
        <f t="shared" si="44"/>
        <v>3648</v>
      </c>
      <c r="I164" s="26">
        <v>8</v>
      </c>
      <c r="J164" s="27" t="s">
        <v>12</v>
      </c>
      <c r="K164" s="23" t="s">
        <v>18</v>
      </c>
      <c r="L164" s="25">
        <v>3648</v>
      </c>
    </row>
    <row r="165" spans="1:12" s="2" customFormat="1" ht="39" customHeight="1" outlineLevel="2" x14ac:dyDescent="0.25">
      <c r="A165" s="4"/>
      <c r="B165" s="22" t="str">
        <f t="shared" si="42"/>
        <v>САДОВЫЙ</v>
      </c>
      <c r="C165" s="23" t="s">
        <v>17</v>
      </c>
      <c r="D165" s="23" t="s">
        <v>49</v>
      </c>
      <c r="E165" s="21" t="s">
        <v>50</v>
      </c>
      <c r="F165" s="34">
        <v>5253</v>
      </c>
      <c r="G165" s="24">
        <f t="shared" si="43"/>
        <v>3151.7999999999997</v>
      </c>
      <c r="H165" s="25">
        <f t="shared" si="44"/>
        <v>3151.7999999999997</v>
      </c>
      <c r="I165" s="26">
        <v>1</v>
      </c>
      <c r="J165" s="27" t="s">
        <v>12</v>
      </c>
      <c r="K165" s="23" t="s">
        <v>18</v>
      </c>
      <c r="L165" s="25">
        <v>3151.7999999999997</v>
      </c>
    </row>
    <row r="166" spans="1:12" s="2" customFormat="1" ht="39" customHeight="1" outlineLevel="2" x14ac:dyDescent="0.25">
      <c r="A166" s="4"/>
      <c r="B166" s="22" t="str">
        <f t="shared" si="42"/>
        <v>САДОВЫЙ</v>
      </c>
      <c r="C166" s="23" t="s">
        <v>17</v>
      </c>
      <c r="D166" s="23" t="s">
        <v>19</v>
      </c>
      <c r="E166" s="21" t="s">
        <v>20</v>
      </c>
      <c r="F166" s="30">
        <v>947</v>
      </c>
      <c r="G166" s="24">
        <f t="shared" si="43"/>
        <v>568.19999999999993</v>
      </c>
      <c r="H166" s="25">
        <f t="shared" si="44"/>
        <v>1704.6</v>
      </c>
      <c r="I166" s="26">
        <v>3</v>
      </c>
      <c r="J166" s="27" t="s">
        <v>12</v>
      </c>
      <c r="K166" s="23" t="s">
        <v>18</v>
      </c>
      <c r="L166" s="25">
        <v>1704.6</v>
      </c>
    </row>
    <row r="167" spans="1:12" s="2" customFormat="1" ht="39" customHeight="1" outlineLevel="2" x14ac:dyDescent="0.25">
      <c r="A167" s="4"/>
      <c r="B167" s="22" t="str">
        <f t="shared" si="42"/>
        <v>САДОВЫЙ</v>
      </c>
      <c r="C167" s="23" t="s">
        <v>16</v>
      </c>
      <c r="D167" s="23" t="s">
        <v>21</v>
      </c>
      <c r="E167" s="21" t="s">
        <v>22</v>
      </c>
      <c r="F167" s="30">
        <v>571</v>
      </c>
      <c r="G167" s="24">
        <f t="shared" si="43"/>
        <v>342.59999999999997</v>
      </c>
      <c r="H167" s="25">
        <f t="shared" si="44"/>
        <v>342.59999999999997</v>
      </c>
      <c r="I167" s="26">
        <v>1</v>
      </c>
      <c r="J167" s="27" t="s">
        <v>12</v>
      </c>
      <c r="K167" s="23" t="s">
        <v>18</v>
      </c>
      <c r="L167" s="25">
        <v>342.59999999999997</v>
      </c>
    </row>
    <row r="168" spans="1:12" s="2" customFormat="1" ht="39" customHeight="1" outlineLevel="2" x14ac:dyDescent="0.25">
      <c r="A168" s="4"/>
      <c r="B168" s="22" t="str">
        <f t="shared" si="42"/>
        <v>САДОВЫЙ</v>
      </c>
      <c r="C168" s="23" t="s">
        <v>16</v>
      </c>
      <c r="D168" s="23" t="s">
        <v>23</v>
      </c>
      <c r="E168" s="21" t="s">
        <v>24</v>
      </c>
      <c r="F168" s="30">
        <v>589</v>
      </c>
      <c r="G168" s="24">
        <f t="shared" si="43"/>
        <v>353.4</v>
      </c>
      <c r="H168" s="25">
        <f t="shared" si="44"/>
        <v>353.4</v>
      </c>
      <c r="I168" s="26">
        <v>1</v>
      </c>
      <c r="J168" s="27" t="s">
        <v>12</v>
      </c>
      <c r="K168" s="23" t="s">
        <v>18</v>
      </c>
      <c r="L168" s="25">
        <v>353.4</v>
      </c>
    </row>
    <row r="169" spans="1:12" s="2" customFormat="1" ht="39" customHeight="1" outlineLevel="2" x14ac:dyDescent="0.25">
      <c r="A169" s="4"/>
      <c r="B169" s="22" t="str">
        <f t="shared" si="42"/>
        <v>САДОВЫЙ</v>
      </c>
      <c r="C169" s="23" t="s">
        <v>16</v>
      </c>
      <c r="D169" s="23" t="s">
        <v>25</v>
      </c>
      <c r="E169" s="21" t="s">
        <v>26</v>
      </c>
      <c r="F169" s="30">
        <v>571</v>
      </c>
      <c r="G169" s="24">
        <f t="shared" si="43"/>
        <v>342.59999999999997</v>
      </c>
      <c r="H169" s="25">
        <f t="shared" si="44"/>
        <v>342.59999999999997</v>
      </c>
      <c r="I169" s="26">
        <v>1</v>
      </c>
      <c r="J169" s="27" t="s">
        <v>12</v>
      </c>
      <c r="K169" s="23" t="s">
        <v>18</v>
      </c>
      <c r="L169" s="25">
        <v>342.59999999999997</v>
      </c>
    </row>
    <row r="170" spans="1:12" s="2" customFormat="1" ht="39" customHeight="1" outlineLevel="2" x14ac:dyDescent="0.25">
      <c r="A170" s="4"/>
      <c r="B170" s="22" t="str">
        <f t="shared" si="42"/>
        <v>САДОВЫЙ</v>
      </c>
      <c r="C170" s="12" t="s">
        <v>109</v>
      </c>
      <c r="D170" s="12" t="s">
        <v>172</v>
      </c>
      <c r="E170" s="21" t="s">
        <v>173</v>
      </c>
      <c r="F170" s="31">
        <v>2432</v>
      </c>
      <c r="G170" s="8">
        <f>F170</f>
        <v>2432</v>
      </c>
      <c r="H170" s="16">
        <f t="shared" si="44"/>
        <v>2432</v>
      </c>
      <c r="I170" s="9">
        <v>1</v>
      </c>
      <c r="J170" s="7" t="s">
        <v>12</v>
      </c>
      <c r="K170" s="12" t="s">
        <v>80</v>
      </c>
      <c r="L170" s="16">
        <v>2432</v>
      </c>
    </row>
    <row r="171" spans="1:12" s="2" customFormat="1" ht="49.5" customHeight="1" outlineLevel="2" x14ac:dyDescent="0.25">
      <c r="A171" s="4"/>
      <c r="B171" s="4" t="str">
        <f>B158</f>
        <v>САДОВЫЙ</v>
      </c>
      <c r="C171" s="12" t="s">
        <v>10</v>
      </c>
      <c r="D171" s="12" t="s">
        <v>10</v>
      </c>
      <c r="E171" s="12" t="s">
        <v>10</v>
      </c>
      <c r="F171" s="33">
        <f>H172</f>
        <v>18000</v>
      </c>
      <c r="G171" s="8">
        <f>F171</f>
        <v>18000</v>
      </c>
      <c r="H171" s="16">
        <f t="shared" si="44"/>
        <v>18000</v>
      </c>
      <c r="I171" s="13">
        <v>1</v>
      </c>
      <c r="J171" s="7" t="s">
        <v>12</v>
      </c>
      <c r="K171" s="7" t="s">
        <v>10</v>
      </c>
      <c r="L171" s="16">
        <v>18000</v>
      </c>
    </row>
    <row r="172" spans="1:12" ht="54.75" customHeight="1" outlineLevel="2" x14ac:dyDescent="0.25">
      <c r="A172" s="4"/>
      <c r="B172" s="4" t="str">
        <f t="shared" ref="B172" si="45">B171</f>
        <v>САДОВЫЙ</v>
      </c>
      <c r="C172" s="12" t="s">
        <v>11</v>
      </c>
      <c r="D172" s="12" t="s">
        <v>11</v>
      </c>
      <c r="E172" s="12" t="s">
        <v>11</v>
      </c>
      <c r="F172" s="31">
        <v>3</v>
      </c>
      <c r="G172" s="8">
        <v>100</v>
      </c>
      <c r="H172" s="16">
        <f t="shared" si="44"/>
        <v>18000</v>
      </c>
      <c r="I172" s="13">
        <f>60*F172</f>
        <v>180</v>
      </c>
      <c r="J172" s="7" t="s">
        <v>12</v>
      </c>
      <c r="K172" s="7" t="s">
        <v>11</v>
      </c>
      <c r="L172" s="16">
        <v>18000</v>
      </c>
    </row>
    <row r="173" spans="1:12" ht="54.75" customHeight="1" outlineLevel="1" x14ac:dyDescent="0.25">
      <c r="A173" s="40"/>
      <c r="B173" s="40" t="s">
        <v>182</v>
      </c>
      <c r="C173" s="41"/>
      <c r="D173" s="41"/>
      <c r="E173" s="41"/>
      <c r="F173" s="42"/>
      <c r="G173" s="43"/>
      <c r="H173" s="44">
        <f>SUBTOTAL(9,H158:H172)</f>
        <v>110978.60000000002</v>
      </c>
      <c r="I173" s="45"/>
      <c r="J173" s="46"/>
      <c r="K173" s="46"/>
      <c r="L173" s="44">
        <v>110978.60000000002</v>
      </c>
    </row>
    <row r="174" spans="1:12" ht="54.75" customHeight="1" x14ac:dyDescent="0.25">
      <c r="A174" s="40"/>
      <c r="B174" s="40" t="s">
        <v>183</v>
      </c>
      <c r="C174" s="41"/>
      <c r="D174" s="41"/>
      <c r="E174" s="41"/>
      <c r="F174" s="42"/>
      <c r="G174" s="43"/>
      <c r="H174" s="44">
        <f>SUBTOTAL(9,H2:H172)</f>
        <v>2702217.5850081593</v>
      </c>
      <c r="I174" s="45"/>
      <c r="J174" s="46"/>
      <c r="K174" s="46"/>
      <c r="L174" s="44">
        <v>2723563.8</v>
      </c>
    </row>
  </sheetData>
  <autoFilter ref="B1:K173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ED78-5D7E-4A83-ABC9-DDD00BBC13AE}">
  <dimension ref="A1:J9"/>
  <sheetViews>
    <sheetView workbookViewId="0">
      <selection activeCell="E2" sqref="E2:E9"/>
    </sheetView>
  </sheetViews>
  <sheetFormatPr defaultRowHeight="12.75" x14ac:dyDescent="0.2"/>
  <cols>
    <col min="1" max="2" width="9.140625" style="53"/>
    <col min="3" max="3" width="10" style="53" bestFit="1" customWidth="1"/>
    <col min="4" max="4" width="9.140625" style="53"/>
    <col min="5" max="5" width="12.42578125" style="53" bestFit="1" customWidth="1"/>
    <col min="6" max="6" width="9.28515625" style="53" bestFit="1" customWidth="1"/>
    <col min="7" max="8" width="9.140625" style="53"/>
    <col min="9" max="9" width="28.85546875" style="53" bestFit="1" customWidth="1"/>
    <col min="10" max="10" width="12.42578125" style="53" bestFit="1" customWidth="1"/>
    <col min="11" max="16384" width="9.140625" style="53"/>
  </cols>
  <sheetData>
    <row r="1" spans="1:10" ht="38.25" x14ac:dyDescent="0.2">
      <c r="A1" s="50" t="s">
        <v>1</v>
      </c>
      <c r="B1" s="50" t="s">
        <v>13</v>
      </c>
      <c r="C1" s="50" t="s">
        <v>174</v>
      </c>
      <c r="D1" s="50" t="s">
        <v>3</v>
      </c>
      <c r="E1" s="51" t="s">
        <v>6</v>
      </c>
      <c r="F1" s="52" t="s">
        <v>14</v>
      </c>
      <c r="G1" s="52" t="s">
        <v>4</v>
      </c>
      <c r="H1" s="52" t="s">
        <v>5</v>
      </c>
      <c r="I1" s="51" t="s">
        <v>184</v>
      </c>
      <c r="J1" s="53">
        <v>2.2999999999999998</v>
      </c>
    </row>
    <row r="2" spans="1:10" ht="25.5" x14ac:dyDescent="0.2">
      <c r="A2" s="54"/>
      <c r="B2" s="55" t="s">
        <v>34</v>
      </c>
      <c r="C2" s="56">
        <f>ROUNDDOWN(J2,-3)</f>
        <v>1440000</v>
      </c>
      <c r="D2" s="57">
        <f>0.65*C2</f>
        <v>936000</v>
      </c>
      <c r="E2" s="58">
        <f>D2*F2</f>
        <v>936000</v>
      </c>
      <c r="F2" s="59">
        <v>1</v>
      </c>
      <c r="G2" s="60" t="s">
        <v>7</v>
      </c>
      <c r="H2" s="55" t="s">
        <v>9</v>
      </c>
      <c r="I2" s="61">
        <v>626284.39999999991</v>
      </c>
      <c r="J2" s="63">
        <f>2.3*I2</f>
        <v>1440454.1199999996</v>
      </c>
    </row>
    <row r="3" spans="1:10" x14ac:dyDescent="0.2">
      <c r="A3" s="54"/>
      <c r="B3" s="55" t="s">
        <v>35</v>
      </c>
      <c r="C3" s="56">
        <f t="shared" ref="C3:C9" si="0">ROUNDDOWN(J3,-3)</f>
        <v>650000</v>
      </c>
      <c r="D3" s="57">
        <f t="shared" ref="D3:D9" si="1">0.65*C3</f>
        <v>422500</v>
      </c>
      <c r="E3" s="58">
        <f t="shared" ref="E3:E9" si="2">D3*F3</f>
        <v>422500</v>
      </c>
      <c r="F3" s="59">
        <v>1</v>
      </c>
      <c r="G3" s="60" t="s">
        <v>7</v>
      </c>
      <c r="H3" s="55" t="s">
        <v>9</v>
      </c>
      <c r="I3" s="61">
        <v>282838.80000000005</v>
      </c>
      <c r="J3" s="63">
        <f t="shared" ref="J3:J9" si="3">2.3*I3</f>
        <v>650529.24000000011</v>
      </c>
    </row>
    <row r="4" spans="1:10" x14ac:dyDescent="0.2">
      <c r="A4" s="54"/>
      <c r="B4" s="55" t="s">
        <v>36</v>
      </c>
      <c r="C4" s="56">
        <f t="shared" si="0"/>
        <v>704000</v>
      </c>
      <c r="D4" s="57">
        <f t="shared" si="1"/>
        <v>457600</v>
      </c>
      <c r="E4" s="58">
        <f t="shared" si="2"/>
        <v>457600</v>
      </c>
      <c r="F4" s="59">
        <v>1</v>
      </c>
      <c r="G4" s="60" t="s">
        <v>7</v>
      </c>
      <c r="H4" s="55" t="s">
        <v>9</v>
      </c>
      <c r="I4" s="61">
        <v>306344</v>
      </c>
      <c r="J4" s="63">
        <f t="shared" si="3"/>
        <v>704591.2</v>
      </c>
    </row>
    <row r="5" spans="1:10" x14ac:dyDescent="0.2">
      <c r="A5" s="54"/>
      <c r="B5" s="55" t="s">
        <v>37</v>
      </c>
      <c r="C5" s="56">
        <f t="shared" si="0"/>
        <v>655000</v>
      </c>
      <c r="D5" s="57">
        <f t="shared" si="1"/>
        <v>425750</v>
      </c>
      <c r="E5" s="58">
        <f t="shared" si="2"/>
        <v>425750</v>
      </c>
      <c r="F5" s="59">
        <v>1</v>
      </c>
      <c r="G5" s="60" t="s">
        <v>7</v>
      </c>
      <c r="H5" s="55" t="s">
        <v>9</v>
      </c>
      <c r="I5" s="61">
        <v>285004.40000000002</v>
      </c>
      <c r="J5" s="63">
        <f t="shared" si="3"/>
        <v>655510.12</v>
      </c>
    </row>
    <row r="6" spans="1:10" x14ac:dyDescent="0.2">
      <c r="A6" s="54"/>
      <c r="B6" s="55" t="s">
        <v>81</v>
      </c>
      <c r="C6" s="56">
        <f t="shared" si="0"/>
        <v>687000</v>
      </c>
      <c r="D6" s="57">
        <f t="shared" si="1"/>
        <v>446550</v>
      </c>
      <c r="E6" s="58">
        <f t="shared" si="2"/>
        <v>446550</v>
      </c>
      <c r="F6" s="59">
        <v>1</v>
      </c>
      <c r="G6" s="60" t="s">
        <v>7</v>
      </c>
      <c r="H6" s="55" t="s">
        <v>9</v>
      </c>
      <c r="I6" s="61">
        <v>298724</v>
      </c>
      <c r="J6" s="63">
        <f t="shared" si="3"/>
        <v>687065.2</v>
      </c>
    </row>
    <row r="7" spans="1:10" ht="25.5" x14ac:dyDescent="0.2">
      <c r="A7" s="54"/>
      <c r="B7" s="55" t="s">
        <v>158</v>
      </c>
      <c r="C7" s="56">
        <f t="shared" si="0"/>
        <v>855000</v>
      </c>
      <c r="D7" s="57">
        <f t="shared" si="1"/>
        <v>555750</v>
      </c>
      <c r="E7" s="58">
        <f t="shared" si="2"/>
        <v>555750</v>
      </c>
      <c r="F7" s="59">
        <v>1</v>
      </c>
      <c r="G7" s="60" t="s">
        <v>7</v>
      </c>
      <c r="H7" s="55" t="s">
        <v>9</v>
      </c>
      <c r="I7" s="61">
        <v>371873.4</v>
      </c>
      <c r="J7" s="63">
        <f t="shared" si="3"/>
        <v>855308.82</v>
      </c>
    </row>
    <row r="8" spans="1:10" ht="38.25" x14ac:dyDescent="0.2">
      <c r="A8" s="54"/>
      <c r="B8" s="55" t="s">
        <v>120</v>
      </c>
      <c r="C8" s="56">
        <f t="shared" si="0"/>
        <v>1013000</v>
      </c>
      <c r="D8" s="57">
        <f t="shared" si="1"/>
        <v>658450</v>
      </c>
      <c r="E8" s="58">
        <f t="shared" si="2"/>
        <v>658450</v>
      </c>
      <c r="F8" s="59">
        <v>1</v>
      </c>
      <c r="G8" s="60" t="s">
        <v>7</v>
      </c>
      <c r="H8" s="55" t="s">
        <v>9</v>
      </c>
      <c r="I8" s="61">
        <v>440835.8</v>
      </c>
      <c r="J8" s="63">
        <f t="shared" si="3"/>
        <v>1013922.3399999999</v>
      </c>
    </row>
    <row r="9" spans="1:10" ht="25.5" x14ac:dyDescent="0.2">
      <c r="A9" s="54"/>
      <c r="B9" s="55" t="s">
        <v>159</v>
      </c>
      <c r="C9" s="56">
        <f t="shared" si="0"/>
        <v>255000</v>
      </c>
      <c r="D9" s="57">
        <f t="shared" si="1"/>
        <v>165750</v>
      </c>
      <c r="E9" s="58">
        <f t="shared" si="2"/>
        <v>165750</v>
      </c>
      <c r="F9" s="59">
        <v>1</v>
      </c>
      <c r="G9" s="60" t="s">
        <v>7</v>
      </c>
      <c r="H9" s="55" t="s">
        <v>9</v>
      </c>
      <c r="I9" s="62">
        <v>110978.60000000002</v>
      </c>
      <c r="J9" s="63">
        <f t="shared" si="3"/>
        <v>255250.78000000003</v>
      </c>
    </row>
  </sheetData>
  <autoFilter ref="A1:I9" xr:uid="{CACAED78-5D7E-4A83-ABC9-DDD00BBC13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984A-046A-48B8-B8AF-916DCFF172A0}">
  <dimension ref="A1:K46"/>
  <sheetViews>
    <sheetView workbookViewId="0">
      <selection sqref="A1:XFD46"/>
    </sheetView>
  </sheetViews>
  <sheetFormatPr defaultRowHeight="15" x14ac:dyDescent="0.25"/>
  <sheetData>
    <row r="1" spans="1:11" s="2" customFormat="1" ht="39" customHeight="1" x14ac:dyDescent="0.25">
      <c r="A1" s="15"/>
      <c r="B1" s="14" t="str">
        <f>E1</f>
        <v>TK-КУХНЯ</v>
      </c>
      <c r="C1" s="15"/>
      <c r="D1" s="17"/>
      <c r="E1" s="15" t="s">
        <v>96</v>
      </c>
      <c r="F1" s="28"/>
      <c r="G1" s="18"/>
      <c r="H1" s="19"/>
      <c r="I1" s="20">
        <v>1</v>
      </c>
      <c r="J1" s="17" t="s">
        <v>7</v>
      </c>
      <c r="K1" s="15" t="s">
        <v>9</v>
      </c>
    </row>
    <row r="2" spans="1:11" s="2" customFormat="1" ht="39" customHeight="1" x14ac:dyDescent="0.25">
      <c r="A2" s="4"/>
      <c r="B2" s="4" t="str">
        <f t="shared" ref="B2:B7" si="0">B1</f>
        <v>TK-КУХНЯ</v>
      </c>
      <c r="C2" s="12" t="s">
        <v>8</v>
      </c>
      <c r="D2" s="7" t="s">
        <v>97</v>
      </c>
      <c r="E2" s="21" t="s">
        <v>141</v>
      </c>
      <c r="F2" s="29">
        <v>100000</v>
      </c>
      <c r="G2" s="8">
        <f>F2*1</f>
        <v>100000</v>
      </c>
      <c r="H2" s="16">
        <f>G2*I2</f>
        <v>100000</v>
      </c>
      <c r="I2" s="9">
        <v>1</v>
      </c>
      <c r="J2" s="7" t="s">
        <v>12</v>
      </c>
      <c r="K2" s="12" t="s">
        <v>15</v>
      </c>
    </row>
    <row r="3" spans="1:11" s="2" customFormat="1" ht="39" customHeight="1" x14ac:dyDescent="0.25">
      <c r="A3" s="4"/>
      <c r="B3" s="22" t="str">
        <f t="shared" si="0"/>
        <v>TK-КУХНЯ</v>
      </c>
      <c r="C3" s="23" t="s">
        <v>98</v>
      </c>
      <c r="D3" s="35">
        <v>131362</v>
      </c>
      <c r="E3" s="21" t="s">
        <v>99</v>
      </c>
      <c r="F3" s="34">
        <v>18517</v>
      </c>
      <c r="G3" s="24">
        <f t="shared" ref="G3:G22" si="1">F3*0.6</f>
        <v>11110.199999999999</v>
      </c>
      <c r="H3" s="25">
        <f t="shared" ref="H3:H24" si="2">G3*I3</f>
        <v>11110.199999999999</v>
      </c>
      <c r="I3" s="26">
        <v>1</v>
      </c>
      <c r="J3" s="27" t="s">
        <v>12</v>
      </c>
      <c r="K3" s="23" t="s">
        <v>18</v>
      </c>
    </row>
    <row r="4" spans="1:11" s="2" customFormat="1" ht="39" customHeight="1" x14ac:dyDescent="0.25">
      <c r="A4" s="4"/>
      <c r="B4" s="22" t="str">
        <f t="shared" si="0"/>
        <v>TK-КУХНЯ</v>
      </c>
      <c r="C4" s="23" t="s">
        <v>53</v>
      </c>
      <c r="D4" s="23" t="s">
        <v>57</v>
      </c>
      <c r="E4" s="21" t="s">
        <v>58</v>
      </c>
      <c r="F4" s="30">
        <v>12143</v>
      </c>
      <c r="G4" s="24">
        <f t="shared" si="1"/>
        <v>7285.8</v>
      </c>
      <c r="H4" s="25">
        <f t="shared" si="2"/>
        <v>36429</v>
      </c>
      <c r="I4" s="26">
        <v>5</v>
      </c>
      <c r="J4" s="27" t="s">
        <v>12</v>
      </c>
      <c r="K4" s="23" t="s">
        <v>18</v>
      </c>
    </row>
    <row r="5" spans="1:11" s="2" customFormat="1" ht="39" customHeight="1" x14ac:dyDescent="0.25">
      <c r="A5" s="4"/>
      <c r="B5" s="22" t="str">
        <f t="shared" si="0"/>
        <v>TK-КУХНЯ</v>
      </c>
      <c r="C5" s="23" t="s">
        <v>53</v>
      </c>
      <c r="D5" s="23">
        <v>280791</v>
      </c>
      <c r="E5" s="21" t="s">
        <v>54</v>
      </c>
      <c r="F5" s="30">
        <v>12143</v>
      </c>
      <c r="G5" s="24">
        <f t="shared" si="1"/>
        <v>7285.8</v>
      </c>
      <c r="H5" s="25">
        <f t="shared" si="2"/>
        <v>7285.8</v>
      </c>
      <c r="I5" s="26">
        <v>1</v>
      </c>
      <c r="J5" s="27" t="s">
        <v>12</v>
      </c>
      <c r="K5" s="23" t="s">
        <v>18</v>
      </c>
    </row>
    <row r="6" spans="1:11" s="2" customFormat="1" ht="39" customHeight="1" x14ac:dyDescent="0.25">
      <c r="A6" s="4"/>
      <c r="B6" s="22" t="str">
        <f t="shared" si="0"/>
        <v>TK-КУХНЯ</v>
      </c>
      <c r="C6" s="23" t="s">
        <v>53</v>
      </c>
      <c r="D6" s="23" t="s">
        <v>100</v>
      </c>
      <c r="E6" s="21" t="s">
        <v>101</v>
      </c>
      <c r="F6" s="30">
        <v>6133</v>
      </c>
      <c r="G6" s="24">
        <f t="shared" si="1"/>
        <v>3679.7999999999997</v>
      </c>
      <c r="H6" s="25">
        <f t="shared" si="2"/>
        <v>3679.7999999999997</v>
      </c>
      <c r="I6" s="26">
        <v>1</v>
      </c>
      <c r="J6" s="27" t="s">
        <v>12</v>
      </c>
      <c r="K6" s="23" t="s">
        <v>18</v>
      </c>
    </row>
    <row r="7" spans="1:11" s="2" customFormat="1" ht="39" customHeight="1" x14ac:dyDescent="0.25">
      <c r="A7" s="4"/>
      <c r="B7" s="22" t="str">
        <f t="shared" si="0"/>
        <v>TK-КУХНЯ</v>
      </c>
      <c r="C7" s="23" t="s">
        <v>53</v>
      </c>
      <c r="D7" s="23" t="s">
        <v>92</v>
      </c>
      <c r="E7" s="21" t="s">
        <v>93</v>
      </c>
      <c r="F7" s="30">
        <v>12724</v>
      </c>
      <c r="G7" s="24">
        <f t="shared" si="1"/>
        <v>7634.4</v>
      </c>
      <c r="H7" s="25">
        <f t="shared" si="2"/>
        <v>7634.4</v>
      </c>
      <c r="I7" s="26">
        <v>1</v>
      </c>
      <c r="J7" s="27" t="s">
        <v>12</v>
      </c>
      <c r="K7" s="23" t="s">
        <v>18</v>
      </c>
    </row>
    <row r="8" spans="1:11" s="2" customFormat="1" ht="39" customHeight="1" x14ac:dyDescent="0.25">
      <c r="A8" s="4"/>
      <c r="B8" s="22" t="str">
        <f>B6</f>
        <v>TK-КУХНЯ</v>
      </c>
      <c r="C8" s="23" t="s">
        <v>53</v>
      </c>
      <c r="D8" s="23" t="s">
        <v>102</v>
      </c>
      <c r="E8" s="21" t="s">
        <v>103</v>
      </c>
      <c r="F8" s="30">
        <v>14768</v>
      </c>
      <c r="G8" s="24">
        <f t="shared" si="1"/>
        <v>8860.7999999999993</v>
      </c>
      <c r="H8" s="25">
        <f t="shared" si="2"/>
        <v>8860.7999999999993</v>
      </c>
      <c r="I8" s="26">
        <v>1</v>
      </c>
      <c r="J8" s="27" t="s">
        <v>12</v>
      </c>
      <c r="K8" s="23" t="s">
        <v>18</v>
      </c>
    </row>
    <row r="9" spans="1:11" s="2" customFormat="1" ht="39" customHeight="1" x14ac:dyDescent="0.25">
      <c r="A9" s="4"/>
      <c r="B9" s="22" t="str">
        <f>B5</f>
        <v>TK-КУХНЯ</v>
      </c>
      <c r="C9" s="23" t="s">
        <v>17</v>
      </c>
      <c r="D9" s="23">
        <v>814173</v>
      </c>
      <c r="E9" s="21" t="s">
        <v>71</v>
      </c>
      <c r="F9" s="30">
        <v>6060</v>
      </c>
      <c r="G9" s="24">
        <f t="shared" si="1"/>
        <v>3636</v>
      </c>
      <c r="H9" s="25">
        <f t="shared" si="2"/>
        <v>3636</v>
      </c>
      <c r="I9" s="26">
        <v>1</v>
      </c>
      <c r="J9" s="27" t="s">
        <v>12</v>
      </c>
      <c r="K9" s="23" t="s">
        <v>18</v>
      </c>
    </row>
    <row r="10" spans="1:11" s="2" customFormat="1" ht="39" customHeight="1" x14ac:dyDescent="0.25">
      <c r="A10" s="4"/>
      <c r="B10" s="22" t="str">
        <f>B9</f>
        <v>TK-КУХНЯ</v>
      </c>
      <c r="C10" s="23" t="s">
        <v>17</v>
      </c>
      <c r="D10" s="35">
        <v>814174</v>
      </c>
      <c r="E10" s="21" t="s">
        <v>48</v>
      </c>
      <c r="F10" s="34">
        <v>5040</v>
      </c>
      <c r="G10" s="24">
        <f t="shared" si="1"/>
        <v>3024</v>
      </c>
      <c r="H10" s="25">
        <f t="shared" si="2"/>
        <v>3024</v>
      </c>
      <c r="I10" s="26">
        <v>1</v>
      </c>
      <c r="J10" s="27" t="s">
        <v>12</v>
      </c>
      <c r="K10" s="23" t="s">
        <v>18</v>
      </c>
    </row>
    <row r="11" spans="1:11" s="2" customFormat="1" ht="39" customHeight="1" x14ac:dyDescent="0.25">
      <c r="A11" s="4"/>
      <c r="B11" s="22" t="str">
        <f>B10</f>
        <v>TK-КУХНЯ</v>
      </c>
      <c r="C11" s="23" t="s">
        <v>17</v>
      </c>
      <c r="D11" s="23" t="s">
        <v>40</v>
      </c>
      <c r="E11" s="21" t="s">
        <v>41</v>
      </c>
      <c r="F11" s="30">
        <v>4875</v>
      </c>
      <c r="G11" s="24">
        <f t="shared" si="1"/>
        <v>2925</v>
      </c>
      <c r="H11" s="25">
        <f t="shared" si="2"/>
        <v>14625</v>
      </c>
      <c r="I11" s="26">
        <v>5</v>
      </c>
      <c r="J11" s="27" t="s">
        <v>12</v>
      </c>
      <c r="K11" s="23" t="s">
        <v>18</v>
      </c>
    </row>
    <row r="12" spans="1:11" s="2" customFormat="1" ht="39" customHeight="1" x14ac:dyDescent="0.25">
      <c r="A12" s="4"/>
      <c r="B12" s="22" t="str">
        <f>B1</f>
        <v>TK-КУХНЯ</v>
      </c>
      <c r="C12" s="23" t="s">
        <v>17</v>
      </c>
      <c r="D12" s="23" t="s">
        <v>43</v>
      </c>
      <c r="E12" s="21" t="s">
        <v>44</v>
      </c>
      <c r="F12" s="30">
        <v>769</v>
      </c>
      <c r="G12" s="24">
        <f t="shared" si="1"/>
        <v>461.4</v>
      </c>
      <c r="H12" s="25">
        <f t="shared" si="2"/>
        <v>1384.1999999999998</v>
      </c>
      <c r="I12" s="26">
        <v>3</v>
      </c>
      <c r="J12" s="27" t="s">
        <v>12</v>
      </c>
      <c r="K12" s="23" t="s">
        <v>18</v>
      </c>
    </row>
    <row r="13" spans="1:11" s="2" customFormat="1" ht="39" customHeight="1" x14ac:dyDescent="0.25">
      <c r="A13" s="4"/>
      <c r="B13" s="22" t="str">
        <f>B2</f>
        <v>TK-КУХНЯ</v>
      </c>
      <c r="C13" s="23" t="s">
        <v>17</v>
      </c>
      <c r="D13" s="23">
        <v>296710</v>
      </c>
      <c r="E13" s="21" t="s">
        <v>42</v>
      </c>
      <c r="F13" s="30">
        <v>760</v>
      </c>
      <c r="G13" s="24">
        <f t="shared" si="1"/>
        <v>456</v>
      </c>
      <c r="H13" s="25">
        <f t="shared" si="2"/>
        <v>2736</v>
      </c>
      <c r="I13" s="26">
        <v>6</v>
      </c>
      <c r="J13" s="27" t="s">
        <v>12</v>
      </c>
      <c r="K13" s="23" t="s">
        <v>18</v>
      </c>
    </row>
    <row r="14" spans="1:11" s="2" customFormat="1" ht="39" customHeight="1" x14ac:dyDescent="0.25">
      <c r="A14" s="4"/>
      <c r="B14" s="22" t="str">
        <f>B1</f>
        <v>TK-КУХНЯ</v>
      </c>
      <c r="C14" s="23" t="s">
        <v>104</v>
      </c>
      <c r="D14" s="12" t="s">
        <v>149</v>
      </c>
      <c r="E14" s="21" t="s">
        <v>148</v>
      </c>
      <c r="F14" s="34">
        <v>8502</v>
      </c>
      <c r="G14" s="8">
        <f>F14</f>
        <v>8502</v>
      </c>
      <c r="H14" s="25">
        <f t="shared" si="2"/>
        <v>8502</v>
      </c>
      <c r="I14" s="26">
        <v>1</v>
      </c>
      <c r="J14" s="27" t="s">
        <v>12</v>
      </c>
      <c r="K14" s="12" t="s">
        <v>150</v>
      </c>
    </row>
    <row r="15" spans="1:11" s="2" customFormat="1" ht="39" customHeight="1" x14ac:dyDescent="0.25">
      <c r="A15" s="4"/>
      <c r="B15" s="22" t="str">
        <f>B8</f>
        <v>TK-КУХНЯ</v>
      </c>
      <c r="C15" s="23" t="s">
        <v>105</v>
      </c>
      <c r="D15" s="23" t="s">
        <v>61</v>
      </c>
      <c r="E15" s="21" t="s">
        <v>62</v>
      </c>
      <c r="F15" s="30">
        <v>4419</v>
      </c>
      <c r="G15" s="24">
        <f t="shared" si="1"/>
        <v>2651.4</v>
      </c>
      <c r="H15" s="25">
        <f t="shared" si="2"/>
        <v>2651.4</v>
      </c>
      <c r="I15" s="26">
        <v>1</v>
      </c>
      <c r="J15" s="27" t="s">
        <v>12</v>
      </c>
      <c r="K15" s="23" t="s">
        <v>18</v>
      </c>
    </row>
    <row r="16" spans="1:11" s="2" customFormat="1" ht="39" customHeight="1" x14ac:dyDescent="0.25">
      <c r="A16" s="4"/>
      <c r="B16" s="22" t="str">
        <f>B9</f>
        <v>TK-КУХНЯ</v>
      </c>
      <c r="C16" s="23" t="s">
        <v>106</v>
      </c>
      <c r="D16" s="23" t="s">
        <v>107</v>
      </c>
      <c r="E16" s="21" t="s">
        <v>108</v>
      </c>
      <c r="F16" s="30">
        <v>4315</v>
      </c>
      <c r="G16" s="24">
        <f t="shared" si="1"/>
        <v>2589</v>
      </c>
      <c r="H16" s="25">
        <f t="shared" si="2"/>
        <v>2589</v>
      </c>
      <c r="I16" s="26">
        <v>1</v>
      </c>
      <c r="J16" s="27" t="s">
        <v>12</v>
      </c>
      <c r="K16" s="23" t="s">
        <v>18</v>
      </c>
    </row>
    <row r="17" spans="1:11" s="2" customFormat="1" ht="39" customHeight="1" x14ac:dyDescent="0.25">
      <c r="A17" s="4"/>
      <c r="B17" s="22" t="str">
        <f>B10</f>
        <v>TK-КУХНЯ</v>
      </c>
      <c r="C17" s="23" t="s">
        <v>70</v>
      </c>
      <c r="D17" s="23">
        <v>574847</v>
      </c>
      <c r="E17" s="21" t="s">
        <v>69</v>
      </c>
      <c r="F17" s="30">
        <v>1602</v>
      </c>
      <c r="G17" s="24">
        <f t="shared" si="1"/>
        <v>961.19999999999993</v>
      </c>
      <c r="H17" s="25">
        <f t="shared" si="2"/>
        <v>961.19999999999993</v>
      </c>
      <c r="I17" s="26">
        <v>1</v>
      </c>
      <c r="J17" s="27" t="s">
        <v>12</v>
      </c>
      <c r="K17" s="23" t="s">
        <v>18</v>
      </c>
    </row>
    <row r="18" spans="1:11" s="2" customFormat="1" ht="39" customHeight="1" x14ac:dyDescent="0.25">
      <c r="A18" s="4"/>
      <c r="B18" s="22" t="str">
        <f>B2</f>
        <v>TK-КУХНЯ</v>
      </c>
      <c r="C18" s="23" t="s">
        <v>17</v>
      </c>
      <c r="D18" s="23" t="s">
        <v>19</v>
      </c>
      <c r="E18" s="21" t="s">
        <v>20</v>
      </c>
      <c r="F18" s="30">
        <v>947</v>
      </c>
      <c r="G18" s="24">
        <f t="shared" si="1"/>
        <v>568.19999999999993</v>
      </c>
      <c r="H18" s="25">
        <f t="shared" si="2"/>
        <v>1704.6</v>
      </c>
      <c r="I18" s="26">
        <v>3</v>
      </c>
      <c r="J18" s="27" t="s">
        <v>12</v>
      </c>
      <c r="K18" s="23" t="s">
        <v>18</v>
      </c>
    </row>
    <row r="19" spans="1:11" s="2" customFormat="1" ht="39" customHeight="1" x14ac:dyDescent="0.25">
      <c r="A19" s="4"/>
      <c r="B19" s="22" t="str">
        <f>B3</f>
        <v>TK-КУХНЯ</v>
      </c>
      <c r="C19" s="23" t="s">
        <v>16</v>
      </c>
      <c r="D19" s="23" t="s">
        <v>21</v>
      </c>
      <c r="E19" s="21" t="s">
        <v>22</v>
      </c>
      <c r="F19" s="30">
        <v>571</v>
      </c>
      <c r="G19" s="24">
        <f t="shared" si="1"/>
        <v>342.59999999999997</v>
      </c>
      <c r="H19" s="25">
        <f t="shared" si="2"/>
        <v>342.59999999999997</v>
      </c>
      <c r="I19" s="26">
        <v>1</v>
      </c>
      <c r="J19" s="27" t="s">
        <v>12</v>
      </c>
      <c r="K19" s="23" t="s">
        <v>18</v>
      </c>
    </row>
    <row r="20" spans="1:11" s="2" customFormat="1" ht="39" customHeight="1" x14ac:dyDescent="0.25">
      <c r="A20" s="4"/>
      <c r="B20" s="22" t="str">
        <f>B4</f>
        <v>TK-КУХНЯ</v>
      </c>
      <c r="C20" s="23" t="s">
        <v>16</v>
      </c>
      <c r="D20" s="23" t="s">
        <v>23</v>
      </c>
      <c r="E20" s="21" t="s">
        <v>24</v>
      </c>
      <c r="F20" s="30">
        <v>589</v>
      </c>
      <c r="G20" s="24">
        <f t="shared" si="1"/>
        <v>353.4</v>
      </c>
      <c r="H20" s="25">
        <f t="shared" si="2"/>
        <v>706.8</v>
      </c>
      <c r="I20" s="26">
        <v>2</v>
      </c>
      <c r="J20" s="27" t="s">
        <v>12</v>
      </c>
      <c r="K20" s="23" t="s">
        <v>18</v>
      </c>
    </row>
    <row r="21" spans="1:11" s="2" customFormat="1" ht="39" customHeight="1" x14ac:dyDescent="0.25">
      <c r="A21" s="4"/>
      <c r="B21" s="22" t="str">
        <f>B5</f>
        <v>TK-КУХНЯ</v>
      </c>
      <c r="C21" s="23" t="s">
        <v>16</v>
      </c>
      <c r="D21" s="23" t="s">
        <v>25</v>
      </c>
      <c r="E21" s="21" t="s">
        <v>26</v>
      </c>
      <c r="F21" s="30">
        <v>571</v>
      </c>
      <c r="G21" s="24">
        <f t="shared" si="1"/>
        <v>342.59999999999997</v>
      </c>
      <c r="H21" s="25">
        <f t="shared" si="2"/>
        <v>685.19999999999993</v>
      </c>
      <c r="I21" s="26">
        <v>2</v>
      </c>
      <c r="J21" s="27" t="s">
        <v>12</v>
      </c>
      <c r="K21" s="23" t="s">
        <v>18</v>
      </c>
    </row>
    <row r="22" spans="1:11" s="2" customFormat="1" ht="39" customHeight="1" x14ac:dyDescent="0.25">
      <c r="A22" s="4"/>
      <c r="B22" s="4" t="str">
        <f>B12</f>
        <v>TK-КУХНЯ</v>
      </c>
      <c r="C22" s="12" t="s">
        <v>109</v>
      </c>
      <c r="D22" s="12" t="s">
        <v>109</v>
      </c>
      <c r="E22" s="21" t="s">
        <v>110</v>
      </c>
      <c r="F22" s="31">
        <v>0</v>
      </c>
      <c r="G22" s="8">
        <f t="shared" si="1"/>
        <v>0</v>
      </c>
      <c r="H22" s="16">
        <f t="shared" si="2"/>
        <v>0</v>
      </c>
      <c r="I22" s="9">
        <v>1</v>
      </c>
      <c r="J22" s="7" t="s">
        <v>12</v>
      </c>
      <c r="K22" s="12" t="s">
        <v>18</v>
      </c>
    </row>
    <row r="23" spans="1:11" s="2" customFormat="1" ht="49.5" customHeight="1" x14ac:dyDescent="0.25">
      <c r="A23" s="4"/>
      <c r="B23" s="4" t="str">
        <f>B1</f>
        <v>TK-КУХНЯ</v>
      </c>
      <c r="C23" s="12" t="s">
        <v>10</v>
      </c>
      <c r="D23" s="12" t="s">
        <v>10</v>
      </c>
      <c r="E23" s="12" t="s">
        <v>10</v>
      </c>
      <c r="F23" s="33">
        <f>H24</f>
        <v>36000</v>
      </c>
      <c r="G23" s="8">
        <f>F23</f>
        <v>36000</v>
      </c>
      <c r="H23" s="16">
        <f t="shared" si="2"/>
        <v>36000</v>
      </c>
      <c r="I23" s="13">
        <v>1</v>
      </c>
      <c r="J23" s="7" t="s">
        <v>12</v>
      </c>
      <c r="K23" s="7" t="s">
        <v>10</v>
      </c>
    </row>
    <row r="24" spans="1:11" s="1" customFormat="1" ht="54.75" customHeight="1" x14ac:dyDescent="0.25">
      <c r="A24" s="4"/>
      <c r="B24" s="4" t="str">
        <f t="shared" ref="B24" si="3">B23</f>
        <v>TK-КУХНЯ</v>
      </c>
      <c r="C24" s="12" t="s">
        <v>11</v>
      </c>
      <c r="D24" s="12" t="s">
        <v>11</v>
      </c>
      <c r="E24" s="12" t="s">
        <v>11</v>
      </c>
      <c r="F24" s="31">
        <v>6</v>
      </c>
      <c r="G24" s="8">
        <v>100</v>
      </c>
      <c r="H24" s="16">
        <f t="shared" si="2"/>
        <v>36000</v>
      </c>
      <c r="I24" s="13">
        <f>60*F24</f>
        <v>360</v>
      </c>
      <c r="J24" s="7" t="s">
        <v>12</v>
      </c>
      <c r="K24" s="7" t="s">
        <v>11</v>
      </c>
    </row>
    <row r="25" spans="1:11" s="2" customFormat="1" ht="39" customHeight="1" x14ac:dyDescent="0.25">
      <c r="A25" s="15"/>
      <c r="B25" s="14" t="str">
        <f>E25</f>
        <v>КОТЕЛЬНАЯ-ELP</v>
      </c>
      <c r="C25" s="15"/>
      <c r="D25" s="17"/>
      <c r="E25" s="15" t="s">
        <v>111</v>
      </c>
      <c r="F25" s="28"/>
      <c r="G25" s="18"/>
      <c r="H25" s="19"/>
      <c r="I25" s="20">
        <v>1</v>
      </c>
      <c r="J25" s="17" t="s">
        <v>7</v>
      </c>
      <c r="K25" s="15" t="s">
        <v>9</v>
      </c>
    </row>
    <row r="26" spans="1:11" s="2" customFormat="1" ht="39" customHeight="1" x14ac:dyDescent="0.25">
      <c r="A26" s="4"/>
      <c r="B26" s="4" t="str">
        <f>B25</f>
        <v>КОТЕЛЬНАЯ-ELP</v>
      </c>
      <c r="C26" s="12" t="s">
        <v>8</v>
      </c>
      <c r="D26" s="7" t="s">
        <v>97</v>
      </c>
      <c r="E26" s="21" t="s">
        <v>141</v>
      </c>
      <c r="F26" s="29">
        <v>100000</v>
      </c>
      <c r="G26" s="8">
        <f>F26*1</f>
        <v>100000</v>
      </c>
      <c r="H26" s="16">
        <f>G26*I26</f>
        <v>100000</v>
      </c>
      <c r="I26" s="9">
        <v>1</v>
      </c>
      <c r="J26" s="7" t="s">
        <v>12</v>
      </c>
      <c r="K26" s="12" t="s">
        <v>15</v>
      </c>
    </row>
    <row r="27" spans="1:11" s="2" customFormat="1" ht="39" customHeight="1" x14ac:dyDescent="0.25">
      <c r="A27" s="4"/>
      <c r="B27" s="22" t="str">
        <f t="shared" ref="B27" si="4">B26</f>
        <v>КОТЕЛЬНАЯ-ELP</v>
      </c>
      <c r="C27" s="23" t="s">
        <v>17</v>
      </c>
      <c r="D27" s="23" t="s">
        <v>112</v>
      </c>
      <c r="E27" s="21" t="s">
        <v>71</v>
      </c>
      <c r="F27" s="30">
        <v>6060</v>
      </c>
      <c r="G27" s="24">
        <f t="shared" ref="G27:G44" si="5">F27*0.6</f>
        <v>3636</v>
      </c>
      <c r="H27" s="25">
        <f t="shared" ref="H27:H46" si="6">G27*I27</f>
        <v>3636</v>
      </c>
      <c r="I27" s="26">
        <v>1</v>
      </c>
      <c r="J27" s="27" t="s">
        <v>12</v>
      </c>
      <c r="K27" s="23" t="s">
        <v>18</v>
      </c>
    </row>
    <row r="28" spans="1:11" s="2" customFormat="1" ht="39" customHeight="1" x14ac:dyDescent="0.25">
      <c r="A28" s="4"/>
      <c r="B28" s="22" t="str">
        <f>B26</f>
        <v>КОТЕЛЬНАЯ-ELP</v>
      </c>
      <c r="C28" s="23" t="s">
        <v>17</v>
      </c>
      <c r="D28" s="23" t="s">
        <v>113</v>
      </c>
      <c r="E28" s="21" t="s">
        <v>42</v>
      </c>
      <c r="F28" s="30">
        <v>760</v>
      </c>
      <c r="G28" s="24">
        <f t="shared" si="5"/>
        <v>456</v>
      </c>
      <c r="H28" s="25">
        <f t="shared" si="6"/>
        <v>3648</v>
      </c>
      <c r="I28" s="26">
        <v>8</v>
      </c>
      <c r="J28" s="27" t="s">
        <v>12</v>
      </c>
      <c r="K28" s="23" t="s">
        <v>18</v>
      </c>
    </row>
    <row r="29" spans="1:11" s="2" customFormat="1" ht="39" customHeight="1" x14ac:dyDescent="0.25">
      <c r="A29" s="4"/>
      <c r="B29" s="22" t="str">
        <f>B23</f>
        <v>TK-КУХНЯ</v>
      </c>
      <c r="C29" s="23" t="s">
        <v>17</v>
      </c>
      <c r="D29" s="23" t="s">
        <v>59</v>
      </c>
      <c r="E29" s="21" t="s">
        <v>60</v>
      </c>
      <c r="F29" s="30">
        <v>871</v>
      </c>
      <c r="G29" s="24">
        <f t="shared" si="5"/>
        <v>522.6</v>
      </c>
      <c r="H29" s="25">
        <f t="shared" si="6"/>
        <v>2613</v>
      </c>
      <c r="I29" s="26">
        <v>5</v>
      </c>
      <c r="J29" s="27" t="s">
        <v>12</v>
      </c>
      <c r="K29" s="23" t="s">
        <v>18</v>
      </c>
    </row>
    <row r="30" spans="1:11" s="2" customFormat="1" ht="39" customHeight="1" x14ac:dyDescent="0.25">
      <c r="A30" s="4"/>
      <c r="B30" s="22" t="str">
        <f>B26</f>
        <v>КОТЕЛЬНАЯ-ELP</v>
      </c>
      <c r="C30" s="23" t="s">
        <v>17</v>
      </c>
      <c r="D30" s="23" t="s">
        <v>45</v>
      </c>
      <c r="E30" s="21" t="s">
        <v>46</v>
      </c>
      <c r="F30" s="30">
        <v>2260</v>
      </c>
      <c r="G30" s="24">
        <f t="shared" si="5"/>
        <v>1356</v>
      </c>
      <c r="H30" s="25">
        <f t="shared" si="6"/>
        <v>1356</v>
      </c>
      <c r="I30" s="26">
        <v>1</v>
      </c>
      <c r="J30" s="27" t="s">
        <v>12</v>
      </c>
      <c r="K30" s="23" t="s">
        <v>18</v>
      </c>
    </row>
    <row r="31" spans="1:11" s="2" customFormat="1" ht="39" customHeight="1" x14ac:dyDescent="0.25">
      <c r="A31" s="4"/>
      <c r="B31" s="22" t="str">
        <f>B26</f>
        <v>КОТЕЛЬНАЯ-ELP</v>
      </c>
      <c r="C31" s="23" t="s">
        <v>17</v>
      </c>
      <c r="D31" s="23" t="s">
        <v>114</v>
      </c>
      <c r="E31" s="21" t="s">
        <v>115</v>
      </c>
      <c r="F31" s="30">
        <v>2007</v>
      </c>
      <c r="G31" s="24">
        <f t="shared" si="5"/>
        <v>1204.2</v>
      </c>
      <c r="H31" s="25">
        <f t="shared" si="6"/>
        <v>1204.2</v>
      </c>
      <c r="I31" s="26">
        <v>1</v>
      </c>
      <c r="J31" s="27" t="s">
        <v>12</v>
      </c>
      <c r="K31" s="23" t="s">
        <v>18</v>
      </c>
    </row>
    <row r="32" spans="1:11" s="2" customFormat="1" ht="39" customHeight="1" x14ac:dyDescent="0.25">
      <c r="A32" s="4"/>
      <c r="B32" s="22" t="str">
        <f>B31</f>
        <v>КОТЕЛЬНАЯ-ELP</v>
      </c>
      <c r="C32" s="23" t="s">
        <v>53</v>
      </c>
      <c r="D32" s="23" t="s">
        <v>55</v>
      </c>
      <c r="E32" s="21" t="s">
        <v>56</v>
      </c>
      <c r="F32" s="30">
        <v>6747</v>
      </c>
      <c r="G32" s="24">
        <f t="shared" si="5"/>
        <v>4048.2</v>
      </c>
      <c r="H32" s="25">
        <f t="shared" si="6"/>
        <v>8096.4</v>
      </c>
      <c r="I32" s="26">
        <v>2</v>
      </c>
      <c r="J32" s="27" t="s">
        <v>12</v>
      </c>
      <c r="K32" s="23" t="s">
        <v>18</v>
      </c>
    </row>
    <row r="33" spans="1:11" s="2" customFormat="1" ht="39" customHeight="1" x14ac:dyDescent="0.25">
      <c r="A33" s="4"/>
      <c r="B33" s="22" t="str">
        <f>B32</f>
        <v>КОТЕЛЬНАЯ-ELP</v>
      </c>
      <c r="C33" s="23" t="s">
        <v>53</v>
      </c>
      <c r="D33" s="23" t="s">
        <v>57</v>
      </c>
      <c r="E33" s="21" t="s">
        <v>58</v>
      </c>
      <c r="F33" s="30">
        <v>12143</v>
      </c>
      <c r="G33" s="24">
        <f t="shared" si="5"/>
        <v>7285.8</v>
      </c>
      <c r="H33" s="25">
        <f t="shared" si="6"/>
        <v>7285.8</v>
      </c>
      <c r="I33" s="26">
        <v>1</v>
      </c>
      <c r="J33" s="27" t="s">
        <v>12</v>
      </c>
      <c r="K33" s="23" t="s">
        <v>18</v>
      </c>
    </row>
    <row r="34" spans="1:11" s="2" customFormat="1" ht="39" customHeight="1" x14ac:dyDescent="0.25">
      <c r="A34" s="4"/>
      <c r="B34" s="22" t="str">
        <f>B33</f>
        <v>КОТЕЛЬНАЯ-ELP</v>
      </c>
      <c r="C34" s="23" t="s">
        <v>53</v>
      </c>
      <c r="D34" s="23">
        <v>280791</v>
      </c>
      <c r="E34" s="21" t="s">
        <v>54</v>
      </c>
      <c r="F34" s="30">
        <v>12143</v>
      </c>
      <c r="G34" s="24">
        <f t="shared" si="5"/>
        <v>7285.8</v>
      </c>
      <c r="H34" s="25">
        <f t="shared" si="6"/>
        <v>7285.8</v>
      </c>
      <c r="I34" s="26">
        <v>1</v>
      </c>
      <c r="J34" s="27" t="s">
        <v>12</v>
      </c>
      <c r="K34" s="23" t="s">
        <v>18</v>
      </c>
    </row>
    <row r="35" spans="1:11" s="2" customFormat="1" ht="39" customHeight="1" x14ac:dyDescent="0.25">
      <c r="A35" s="4"/>
      <c r="B35" s="22" t="str">
        <f>B33</f>
        <v>КОТЕЛЬНАЯ-ELP</v>
      </c>
      <c r="C35" s="23" t="s">
        <v>105</v>
      </c>
      <c r="D35" s="23" t="s">
        <v>116</v>
      </c>
      <c r="E35" s="21" t="s">
        <v>117</v>
      </c>
      <c r="F35" s="30">
        <v>12721</v>
      </c>
      <c r="G35" s="24">
        <f t="shared" si="5"/>
        <v>7632.5999999999995</v>
      </c>
      <c r="H35" s="25">
        <f t="shared" si="6"/>
        <v>7632.5999999999995</v>
      </c>
      <c r="I35" s="26">
        <v>1</v>
      </c>
      <c r="J35" s="27" t="s">
        <v>12</v>
      </c>
      <c r="K35" s="23" t="s">
        <v>18</v>
      </c>
    </row>
    <row r="36" spans="1:11" s="2" customFormat="1" ht="105" x14ac:dyDescent="0.25">
      <c r="A36" s="4"/>
      <c r="B36" s="22" t="str">
        <f t="shared" ref="B36:B46" si="7">B35</f>
        <v>КОТЕЛЬНАЯ-ELP</v>
      </c>
      <c r="C36" s="23" t="s">
        <v>118</v>
      </c>
      <c r="D36" s="23">
        <v>500317</v>
      </c>
      <c r="E36" s="21" t="s">
        <v>119</v>
      </c>
      <c r="F36" s="30">
        <v>18362.04</v>
      </c>
      <c r="G36" s="24">
        <f t="shared" si="5"/>
        <v>11017.224</v>
      </c>
      <c r="H36" s="25">
        <f t="shared" si="6"/>
        <v>11017.224</v>
      </c>
      <c r="I36" s="26">
        <v>1</v>
      </c>
      <c r="J36" s="27" t="s">
        <v>12</v>
      </c>
      <c r="K36" s="23" t="s">
        <v>18</v>
      </c>
    </row>
    <row r="37" spans="1:11" s="2" customFormat="1" ht="39" customHeight="1" x14ac:dyDescent="0.25">
      <c r="A37" s="4"/>
      <c r="B37" s="22" t="str">
        <f t="shared" si="7"/>
        <v>КОТЕЛЬНАЯ-ELP</v>
      </c>
      <c r="C37" s="23" t="s">
        <v>105</v>
      </c>
      <c r="D37" s="23">
        <v>836704</v>
      </c>
      <c r="E37" s="21" t="s">
        <v>62</v>
      </c>
      <c r="F37" s="30">
        <v>4419</v>
      </c>
      <c r="G37" s="24">
        <f t="shared" si="5"/>
        <v>2651.4</v>
      </c>
      <c r="H37" s="25">
        <f t="shared" si="6"/>
        <v>13257</v>
      </c>
      <c r="I37" s="26">
        <v>5</v>
      </c>
      <c r="J37" s="27" t="s">
        <v>12</v>
      </c>
      <c r="K37" s="23" t="s">
        <v>18</v>
      </c>
    </row>
    <row r="38" spans="1:11" s="2" customFormat="1" ht="39" customHeight="1" x14ac:dyDescent="0.25">
      <c r="A38" s="4"/>
      <c r="B38" s="22" t="str">
        <f t="shared" si="7"/>
        <v>КОТЕЛЬНАЯ-ELP</v>
      </c>
      <c r="C38" s="23" t="s">
        <v>106</v>
      </c>
      <c r="D38" s="23" t="s">
        <v>63</v>
      </c>
      <c r="E38" s="21" t="s">
        <v>64</v>
      </c>
      <c r="F38" s="30">
        <v>4315</v>
      </c>
      <c r="G38" s="24">
        <f t="shared" si="5"/>
        <v>2589</v>
      </c>
      <c r="H38" s="25">
        <f t="shared" si="6"/>
        <v>12945</v>
      </c>
      <c r="I38" s="26">
        <v>5</v>
      </c>
      <c r="J38" s="27" t="s">
        <v>12</v>
      </c>
      <c r="K38" s="23" t="s">
        <v>18</v>
      </c>
    </row>
    <row r="39" spans="1:11" s="2" customFormat="1" ht="39" customHeight="1" x14ac:dyDescent="0.25">
      <c r="A39" s="4"/>
      <c r="B39" s="22" t="str">
        <f t="shared" si="7"/>
        <v>КОТЕЛЬНАЯ-ELP</v>
      </c>
      <c r="C39" s="23" t="s">
        <v>70</v>
      </c>
      <c r="D39" s="23" t="s">
        <v>68</v>
      </c>
      <c r="E39" s="21" t="s">
        <v>69</v>
      </c>
      <c r="F39" s="30">
        <v>1602</v>
      </c>
      <c r="G39" s="24">
        <f t="shared" si="5"/>
        <v>961.19999999999993</v>
      </c>
      <c r="H39" s="25">
        <f t="shared" si="6"/>
        <v>3844.7999999999997</v>
      </c>
      <c r="I39" s="26">
        <v>4</v>
      </c>
      <c r="J39" s="27" t="s">
        <v>12</v>
      </c>
      <c r="K39" s="23" t="s">
        <v>18</v>
      </c>
    </row>
    <row r="40" spans="1:11" s="2" customFormat="1" ht="39" customHeight="1" x14ac:dyDescent="0.25">
      <c r="A40" s="4"/>
      <c r="B40" s="22" t="str">
        <f t="shared" si="7"/>
        <v>КОТЕЛЬНАЯ-ELP</v>
      </c>
      <c r="C40" s="23" t="s">
        <v>17</v>
      </c>
      <c r="D40" s="23" t="s">
        <v>19</v>
      </c>
      <c r="E40" s="21" t="s">
        <v>20</v>
      </c>
      <c r="F40" s="30">
        <v>947</v>
      </c>
      <c r="G40" s="24">
        <f t="shared" si="5"/>
        <v>568.19999999999993</v>
      </c>
      <c r="H40" s="25">
        <f t="shared" si="6"/>
        <v>6818.4</v>
      </c>
      <c r="I40" s="26">
        <v>12</v>
      </c>
      <c r="J40" s="27" t="s">
        <v>12</v>
      </c>
      <c r="K40" s="23" t="s">
        <v>18</v>
      </c>
    </row>
    <row r="41" spans="1:11" s="2" customFormat="1" ht="39" customHeight="1" x14ac:dyDescent="0.25">
      <c r="A41" s="4"/>
      <c r="B41" s="22" t="str">
        <f t="shared" si="7"/>
        <v>КОТЕЛЬНАЯ-ELP</v>
      </c>
      <c r="C41" s="23" t="s">
        <v>16</v>
      </c>
      <c r="D41" s="23" t="s">
        <v>21</v>
      </c>
      <c r="E41" s="21" t="s">
        <v>22</v>
      </c>
      <c r="F41" s="30">
        <v>571</v>
      </c>
      <c r="G41" s="24">
        <f t="shared" si="5"/>
        <v>342.59999999999997</v>
      </c>
      <c r="H41" s="25">
        <f t="shared" si="6"/>
        <v>342.59999999999997</v>
      </c>
      <c r="I41" s="26">
        <v>1</v>
      </c>
      <c r="J41" s="27" t="s">
        <v>12</v>
      </c>
      <c r="K41" s="23" t="s">
        <v>18</v>
      </c>
    </row>
    <row r="42" spans="1:11" s="2" customFormat="1" ht="39" customHeight="1" x14ac:dyDescent="0.25">
      <c r="A42" s="4"/>
      <c r="B42" s="22" t="str">
        <f t="shared" si="7"/>
        <v>КОТЕЛЬНАЯ-ELP</v>
      </c>
      <c r="C42" s="23" t="s">
        <v>16</v>
      </c>
      <c r="D42" s="23" t="s">
        <v>23</v>
      </c>
      <c r="E42" s="21" t="s">
        <v>24</v>
      </c>
      <c r="F42" s="30">
        <v>589</v>
      </c>
      <c r="G42" s="24">
        <f t="shared" si="5"/>
        <v>353.4</v>
      </c>
      <c r="H42" s="25">
        <f t="shared" si="6"/>
        <v>1413.6</v>
      </c>
      <c r="I42" s="26">
        <v>4</v>
      </c>
      <c r="J42" s="27" t="s">
        <v>12</v>
      </c>
      <c r="K42" s="23" t="s">
        <v>18</v>
      </c>
    </row>
    <row r="43" spans="1:11" s="2" customFormat="1" ht="39" customHeight="1" x14ac:dyDescent="0.25">
      <c r="A43" s="4"/>
      <c r="B43" s="22" t="str">
        <f t="shared" si="7"/>
        <v>КОТЕЛЬНАЯ-ELP</v>
      </c>
      <c r="C43" s="23" t="s">
        <v>16</v>
      </c>
      <c r="D43" s="23" t="s">
        <v>25</v>
      </c>
      <c r="E43" s="21" t="s">
        <v>26</v>
      </c>
      <c r="F43" s="30">
        <v>571</v>
      </c>
      <c r="G43" s="24">
        <f t="shared" si="5"/>
        <v>342.59999999999997</v>
      </c>
      <c r="H43" s="25">
        <f t="shared" si="6"/>
        <v>1370.3999999999999</v>
      </c>
      <c r="I43" s="26">
        <v>4</v>
      </c>
      <c r="J43" s="27" t="s">
        <v>12</v>
      </c>
      <c r="K43" s="23" t="s">
        <v>18</v>
      </c>
    </row>
    <row r="44" spans="1:11" s="2" customFormat="1" ht="39" customHeight="1" x14ac:dyDescent="0.25">
      <c r="A44" s="4"/>
      <c r="B44" s="22" t="str">
        <f t="shared" si="7"/>
        <v>КОТЕЛЬНАЯ-ELP</v>
      </c>
      <c r="C44" s="12" t="s">
        <v>109</v>
      </c>
      <c r="D44" s="12" t="s">
        <v>109</v>
      </c>
      <c r="E44" s="21" t="s">
        <v>110</v>
      </c>
      <c r="F44" s="31">
        <v>0</v>
      </c>
      <c r="G44" s="8">
        <f t="shared" si="5"/>
        <v>0</v>
      </c>
      <c r="H44" s="16">
        <f t="shared" si="6"/>
        <v>0</v>
      </c>
      <c r="I44" s="9">
        <v>1</v>
      </c>
      <c r="J44" s="7" t="s">
        <v>12</v>
      </c>
      <c r="K44" s="12" t="s">
        <v>18</v>
      </c>
    </row>
    <row r="45" spans="1:11" s="2" customFormat="1" ht="49.5" customHeight="1" x14ac:dyDescent="0.25">
      <c r="A45" s="4"/>
      <c r="B45" s="22" t="str">
        <f t="shared" si="7"/>
        <v>КОТЕЛЬНАЯ-ELP</v>
      </c>
      <c r="C45" s="12" t="s">
        <v>10</v>
      </c>
      <c r="D45" s="12" t="s">
        <v>10</v>
      </c>
      <c r="E45" s="12" t="s">
        <v>10</v>
      </c>
      <c r="F45" s="33">
        <f>H46</f>
        <v>36000</v>
      </c>
      <c r="G45" s="8">
        <f>F45</f>
        <v>36000</v>
      </c>
      <c r="H45" s="16">
        <f t="shared" si="6"/>
        <v>36000</v>
      </c>
      <c r="I45" s="13">
        <v>1</v>
      </c>
      <c r="J45" s="7" t="s">
        <v>12</v>
      </c>
      <c r="K45" s="7" t="s">
        <v>10</v>
      </c>
    </row>
    <row r="46" spans="1:11" s="1" customFormat="1" ht="54.75" customHeight="1" x14ac:dyDescent="0.25">
      <c r="A46" s="4"/>
      <c r="B46" s="22" t="str">
        <f t="shared" si="7"/>
        <v>КОТЕЛЬНАЯ-ELP</v>
      </c>
      <c r="C46" s="12" t="s">
        <v>11</v>
      </c>
      <c r="D46" s="12" t="s">
        <v>11</v>
      </c>
      <c r="E46" s="12" t="s">
        <v>11</v>
      </c>
      <c r="F46" s="31">
        <v>6</v>
      </c>
      <c r="G46" s="8">
        <v>100</v>
      </c>
      <c r="H46" s="16">
        <f t="shared" si="6"/>
        <v>36000</v>
      </c>
      <c r="I46" s="13">
        <f>60*F46</f>
        <v>360</v>
      </c>
      <c r="J46" s="7" t="s">
        <v>12</v>
      </c>
      <c r="K46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3"/>
  <sheetViews>
    <sheetView workbookViewId="0">
      <selection activeCell="G16" sqref="G16"/>
    </sheetView>
  </sheetViews>
  <sheetFormatPr defaultRowHeight="15" x14ac:dyDescent="0.25"/>
  <cols>
    <col min="2" max="2" width="13.7109375" bestFit="1" customWidth="1"/>
    <col min="3" max="3" width="11" bestFit="1" customWidth="1"/>
    <col min="7" max="7" width="11.28515625" bestFit="1" customWidth="1"/>
  </cols>
  <sheetData>
    <row r="4" spans="2:7" x14ac:dyDescent="0.25">
      <c r="D4">
        <f>100-45</f>
        <v>55</v>
      </c>
    </row>
    <row r="5" spans="2:7" x14ac:dyDescent="0.25">
      <c r="B5" t="s">
        <v>27</v>
      </c>
      <c r="C5">
        <f>561*0.48</f>
        <v>269.27999999999997</v>
      </c>
    </row>
    <row r="6" spans="2:7" x14ac:dyDescent="0.25">
      <c r="B6" t="s">
        <v>27</v>
      </c>
      <c r="C6">
        <f>561*0.55</f>
        <v>308.55</v>
      </c>
    </row>
    <row r="7" spans="2:7" x14ac:dyDescent="0.25">
      <c r="B7" t="s">
        <v>28</v>
      </c>
      <c r="C7">
        <f>136*0.55</f>
        <v>74.800000000000011</v>
      </c>
    </row>
    <row r="8" spans="2:7" x14ac:dyDescent="0.25">
      <c r="B8" t="s">
        <v>28</v>
      </c>
      <c r="C8">
        <f>136*0.5</f>
        <v>68</v>
      </c>
    </row>
    <row r="10" spans="2:7" x14ac:dyDescent="0.25">
      <c r="C10" t="s">
        <v>29</v>
      </c>
      <c r="E10" t="s">
        <v>30</v>
      </c>
      <c r="F10" t="s">
        <v>31</v>
      </c>
      <c r="G10" t="s">
        <v>33</v>
      </c>
    </row>
    <row r="11" spans="2:7" x14ac:dyDescent="0.25">
      <c r="B11" t="s">
        <v>27</v>
      </c>
      <c r="C11" s="37">
        <f>561*0.55</f>
        <v>308.55</v>
      </c>
      <c r="E11">
        <v>36</v>
      </c>
      <c r="F11" t="s">
        <v>32</v>
      </c>
      <c r="G11" s="36">
        <f>E11*C11</f>
        <v>11107.800000000001</v>
      </c>
    </row>
    <row r="12" spans="2:7" x14ac:dyDescent="0.25">
      <c r="B12" t="s">
        <v>28</v>
      </c>
      <c r="C12" s="37">
        <f>136*0.55</f>
        <v>74.800000000000011</v>
      </c>
      <c r="E12">
        <v>36</v>
      </c>
      <c r="F12" t="s">
        <v>32</v>
      </c>
      <c r="G12" s="36">
        <f>E12*C12</f>
        <v>2692.8</v>
      </c>
    </row>
    <row r="13" spans="2:7" x14ac:dyDescent="0.25">
      <c r="G13" s="36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fiyat calismasi burda</vt:lpstr>
      <vt:lpstr>FIYAT</vt:lpstr>
      <vt:lpstr>Sayfa2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2026-08-05T10:40:49Z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