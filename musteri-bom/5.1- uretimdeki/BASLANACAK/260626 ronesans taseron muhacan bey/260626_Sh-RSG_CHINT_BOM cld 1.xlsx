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626 ronesans taseron muhacan bey\"/>
    </mc:Choice>
  </mc:AlternateContent>
  <xr:revisionPtr revIDLastSave="0" documentId="13_ncr:1_{DAA77EA0-A715-40A5-A905-2A023440CCF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СВО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2" i="1" l="1"/>
  <c r="G22" i="1"/>
  <c r="G21" i="1"/>
  <c r="H21" i="1" s="1"/>
  <c r="G20" i="1"/>
  <c r="H20" i="1" s="1"/>
  <c r="G19" i="1"/>
  <c r="H19" i="1" s="1"/>
  <c r="G18" i="1"/>
  <c r="H18" i="1" s="1"/>
  <c r="H17" i="1"/>
  <c r="G17" i="1"/>
  <c r="G16" i="1"/>
  <c r="H16" i="1" s="1"/>
  <c r="G15" i="1"/>
  <c r="H15" i="1" s="1"/>
  <c r="G14" i="1"/>
  <c r="H14" i="1" s="1"/>
  <c r="G13" i="1"/>
  <c r="H13" i="1" s="1"/>
  <c r="G12" i="1"/>
  <c r="H12" i="1" s="1"/>
  <c r="H11" i="1"/>
  <c r="G11" i="1"/>
  <c r="H10" i="1"/>
  <c r="G10" i="1"/>
  <c r="G9" i="1"/>
  <c r="H9" i="1" s="1"/>
  <c r="H23" i="1" l="1"/>
  <c r="H24" i="1"/>
  <c r="H25" i="1"/>
  <c r="B4" i="2" s="1"/>
</calcChain>
</file>

<file path=xl/sharedStrings.xml><?xml version="1.0" encoding="utf-8"?>
<sst xmlns="http://schemas.openxmlformats.org/spreadsheetml/2006/main" count="153" uniqueCount="113">
  <si>
    <t>YSF HICH — Щ-РСГ DAĞITIM PANOSU BOM (CHINT bazlı)  |  Hastane 630 yatak, Kokşetau</t>
  </si>
  <si>
    <t>CHINT net katsayı (×0.60 = %40 ind.)</t>
  </si>
  <si>
    <t>EKT net katsayı  (⚠ indirim teyit edilmeli)</t>
  </si>
  <si>
    <t>Montaj malzeme %  (⚠ teyit)</t>
  </si>
  <si>
    <t>Montaj işçilik %  (⚠ teyit)</t>
  </si>
  <si>
    <t>Tüm fiyatlar KZT. CHINT &amp; EKT yerel KZT listesi — kur dönüşümü yok.</t>
  </si>
  <si>
    <t>ROW</t>
  </si>
  <si>
    <t>Наименование (TR)</t>
  </si>
  <si>
    <t>Tip</t>
  </si>
  <si>
    <t>Артикул</t>
  </si>
  <si>
    <t>Номенклатура (kat.)</t>
  </si>
  <si>
    <t>Liste KZT</t>
  </si>
  <si>
    <t>Net KZT</t>
  </si>
  <si>
    <t>Сумма KZT</t>
  </si>
  <si>
    <t>Qty</t>
  </si>
  <si>
    <t>Birim</t>
  </si>
  <si>
    <t>Marka</t>
  </si>
  <si>
    <t>Açıklama / ⚠</t>
  </si>
  <si>
    <t>Щ-РСГ — Dağıtım panosu komplekt</t>
  </si>
  <si>
    <t>—</t>
  </si>
  <si>
    <t>Щ-РСГ / IP31 / 328kW / In=1000A / Iк=22,29kA</t>
  </si>
  <si>
    <t>комплект</t>
  </si>
  <si>
    <t>Щ-РСГ</t>
  </si>
  <si>
    <t>Pano başlığı</t>
  </si>
  <si>
    <t>Korpus — zemin tipi boş pano 800</t>
  </si>
  <si>
    <t>korpus</t>
  </si>
  <si>
    <t>251000069_</t>
  </si>
  <si>
    <t>ЩО-70 пустой щит 800 (земин, IP31)</t>
  </si>
  <si>
    <t>шт</t>
  </si>
  <si>
    <t>EKT</t>
  </si>
  <si>
    <t>498A/630A ana dağıtım için ЩО-70</t>
  </si>
  <si>
    <t>Korpus — yan/uç panel</t>
  </si>
  <si>
    <t>251000056_</t>
  </si>
  <si>
    <t>Торцевая панель к ЩО-70</t>
  </si>
  <si>
    <t>Uç kapak (2 yan)</t>
  </si>
  <si>
    <t>Ana şalter-ayırıcı 3P 630A (QO1)</t>
  </si>
  <si>
    <t>rubilnik</t>
  </si>
  <si>
    <t>393267</t>
  </si>
  <si>
    <t>Выключатель-разъединитель NH40-630/3, 3P, 630А (OT630 muadili)</t>
  </si>
  <si>
    <t>CHINT</t>
  </si>
  <si>
    <t>OT 3x630A yerine NH40-630/3</t>
  </si>
  <si>
    <t>MCCB 3P 250A 36kA TMA (QF1–QF3)</t>
  </si>
  <si>
    <t>TMŞ</t>
  </si>
  <si>
    <t>271146</t>
  </si>
  <si>
    <t>Авт.выкл. NM8N-250C TM 3P 250А 36кА, рег. термомаг.</t>
  </si>
  <si>
    <t>I1 ayar~200A; 5x95 kablo; 25kA istendi→36kA</t>
  </si>
  <si>
    <t>MCCB 3P 40A 36kA (QF4–QF5)</t>
  </si>
  <si>
    <t>271535</t>
  </si>
  <si>
    <t>⚠ Çizimde 40A/In=80A çelişki; 10kA→36kA seçildi</t>
  </si>
  <si>
    <t>MCB 3P C25 6kA (QF6–QF8, rezerv)</t>
  </si>
  <si>
    <t>OTO</t>
  </si>
  <si>
    <t>814172</t>
  </si>
  <si>
    <t>Авт.выкл. NXB-63 3P 25A 6кА х-ка C</t>
  </si>
  <si>
    <t>4,5kA istendi→6kA</t>
  </si>
  <si>
    <t>MCB 3P C16 6kA (QF9–QF11, rezerv)</t>
  </si>
  <si>
    <t>814170</t>
  </si>
  <si>
    <t>Авт.выкл. NXB-63 3P 16A 6кА х-ка C</t>
  </si>
  <si>
    <t>Cu bara 4×50×4000 (faz dağıtım)</t>
  </si>
  <si>
    <t>LOOBAR</t>
  </si>
  <si>
    <t>130300324</t>
  </si>
  <si>
    <t>Шина медная 4х50х4000 (≈200мм², ~600A)</t>
  </si>
  <si>
    <t>⚠ 630A için kesit; layout'a göre teyit</t>
  </si>
  <si>
    <t>N barası 8×12 14 yollu</t>
  </si>
  <si>
    <t>130200359</t>
  </si>
  <si>
    <t>Шина "N" 8х12мм 14/1</t>
  </si>
  <si>
    <t>Nötr dağıtım</t>
  </si>
  <si>
    <t>PE barası 8×12 14 yollu</t>
  </si>
  <si>
    <t>130200360</t>
  </si>
  <si>
    <t>Шина "PE/PEN" 8х12мм 14/2</t>
  </si>
  <si>
    <t>Topraklama dağıtım</t>
  </si>
  <si>
    <t>Klemens 6мм² (QF4/QF5 çıkış)</t>
  </si>
  <si>
    <t>Klemens</t>
  </si>
  <si>
    <t>130500126</t>
  </si>
  <si>
    <t>Колодка клеммная 4P до 6 мм² 45А ТВ-450</t>
  </si>
  <si>
    <t>5x6 / 5x4 çıkış</t>
  </si>
  <si>
    <t>Klemens 2,5мм² (rezerv çıkış)</t>
  </si>
  <si>
    <t>130500125</t>
  </si>
  <si>
    <t>Колодка клеммная 4P до 4 мм² 25А ТВ-250</t>
  </si>
  <si>
    <t>⚠ Rezerv adetleri temsilî</t>
  </si>
  <si>
    <t>Kablo kanalı perf. 40×60</t>
  </si>
  <si>
    <t>kanal</t>
  </si>
  <si>
    <t>270300105_</t>
  </si>
  <si>
    <t>Кабель-канал перф. 40х60 IMPAKT</t>
  </si>
  <si>
    <t>Pano içi tesisat</t>
  </si>
  <si>
    <t>DIN ray TH35-7.5</t>
  </si>
  <si>
    <t>DİN ray</t>
  </si>
  <si>
    <t>570003</t>
  </si>
  <si>
    <t>DIN-рейка оцинкованная TH35-7.5</t>
  </si>
  <si>
    <t>Modüler cihazlar için</t>
  </si>
  <si>
    <t>Montaj malzemesi</t>
  </si>
  <si>
    <t>montajный материал</t>
  </si>
  <si>
    <t>Montaj malzemesi (klemens ucu, kablo pabucu, vida vb.)</t>
  </si>
  <si>
    <t>компл</t>
  </si>
  <si>
    <t>montaj: % × malzeme toplamı</t>
  </si>
  <si>
    <t>Montaj işçiliği</t>
  </si>
  <si>
    <t>montajная работа</t>
  </si>
  <si>
    <t>TOPLAM  Щ-РСГ</t>
  </si>
  <si>
    <t>Щ-РСГ — СВОД (özet)</t>
  </si>
  <si>
    <t>Pano</t>
  </si>
  <si>
    <t>Toplam KZT</t>
  </si>
  <si>
    <t>Açıklama</t>
  </si>
  <si>
    <t>11 çıkış + 630A ana ayırıcı; 6 rezerv (QF6–QF11)</t>
  </si>
  <si>
    <t>⚠ KONTROL EDİLECEK / TEYİT LİSTESİ</t>
  </si>
  <si>
    <t>1) QF4/QF5: çizimde çelişki — etiket 'MCB 3x40A' ama I1=1xIn=80A. Kablo 5x6/5x4 ve yük 14/10A → 40A doğru kabul edildi. 10kA istendi, NM8N-125C 40A (36kA) seçildi. TEYİT.</t>
  </si>
  <si>
    <t>2) Giriş koruması MCCB 3x630 50kA In=1000A şemada АВР5 panosunda görünüyor → Щ-РСГ kapsamı DIŞI kabul edildi (besleme 2x(5x240)). Bu pano içinde de gerekiyorsa belirtin.</t>
  </si>
  <si>
    <t>3) Ana ayırıcı 630A, pano In=1000A. Hesap akımı 498A &lt; 630A → ayırıcı yeterli. Ancak In=1000A baraj/etiket için teyit.</t>
  </si>
  <si>
    <t>4) EKT net katsayı = 1.00 (indirimsiz) varsayıldı. EKT iskontonuz varsa B3 hücresini güncelleyin.</t>
  </si>
  <si>
    <t>5) Montaj malzeme %3 / işçilik %10 varsayıldı (B4/B5). Gerçek oranlarınızı girin.</t>
  </si>
  <si>
    <t>6) Korpus ЩО-70 800 (EKT) seçildi. Verilen Teksan dosyası aydınlatma/perakende stok — pano korpusu içermiyor. Teksan korpus isteniyorsa korpus fiyat listesi gerekli.</t>
  </si>
  <si>
    <t>7) Cu bara kesiti 4×50 (~600A) varsayıldı. 630A için kesit ve N/PE bara fiziksel yerleşime göre teyit.</t>
  </si>
  <si>
    <t>8) Klemens &amp; kanal adetleri temsilî. Çıkış kablo pabuçları (5x95) doğrudan cihaz klemensine bağlanır; rezervlerde klemens opsiyonel.</t>
  </si>
  <si>
    <t>9) MCB 4,5kA istendi; CHINT NXB-63 = 6kA (≥4,5kA, uygun). MCCB 25kA istendi; NM8N-...C = 36kA (≥25kA, uygun).</t>
  </si>
  <si>
    <t>3*40 10kA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</si>
</sst>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\-"/>
  </numFmts>
  <fonts count="7" x14ac:knownFonts="1">
    <font>
      <sz val="11"/>
      <color theme="1"/>
      <name val="Calibri"/>
      <family val="2"/>
      <charset val="1"/>
    </font>
    <font>
      <b/>
      <sz val="12"/>
      <color rgb="FF1F3864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9"/>
      <color rgb="FFC00000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0" fillId="0" borderId="1" xfId="0" applyBorder="1"/>
    <xf numFmtId="165" fontId="0" fillId="0" borderId="1" xfId="0" applyNumberFormat="1" applyBorder="1" applyAlignment="1">
      <alignment horizontal="right" vertical="center"/>
    </xf>
    <xf numFmtId="0" fontId="6" fillId="0" borderId="0" xfId="0" applyFont="1"/>
    <xf numFmtId="0" fontId="4" fillId="0" borderId="0" xfId="0" applyFont="1" applyAlignment="1">
      <alignment horizontal="left" vertical="center" wrapText="1"/>
    </xf>
    <xf numFmtId="0" fontId="1" fillId="0" borderId="2" xfId="0" applyFont="1" applyBorder="1"/>
    <xf numFmtId="0" fontId="0" fillId="0" borderId="2" xfId="0" applyBorder="1"/>
    <xf numFmtId="0" fontId="2" fillId="0" borderId="2" xfId="0" applyFont="1" applyBorder="1"/>
    <xf numFmtId="2" fontId="3" fillId="2" borderId="2" xfId="0" applyNumberFormat="1" applyFont="1" applyFill="1" applyBorder="1"/>
    <xf numFmtId="164" fontId="3" fillId="2" borderId="2" xfId="0" applyNumberFormat="1" applyFont="1" applyFill="1" applyBorder="1"/>
    <xf numFmtId="0" fontId="4" fillId="0" borderId="2" xfId="0" applyFont="1" applyBorder="1"/>
    <xf numFmtId="0" fontId="5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165" fontId="6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Normal="100" workbookViewId="0">
      <pane ySplit="7" topLeftCell="A8" activePane="bottomLeft" state="frozen"/>
      <selection pane="bottomLeft" activeCell="E14" sqref="E14"/>
    </sheetView>
  </sheetViews>
  <sheetFormatPr defaultColWidth="8.7109375" defaultRowHeight="15" x14ac:dyDescent="0.25"/>
  <cols>
    <col min="1" max="1" width="6" customWidth="1"/>
    <col min="2" max="2" width="34" customWidth="1"/>
    <col min="3" max="3" width="13" customWidth="1"/>
    <col min="4" max="4" width="12" customWidth="1"/>
    <col min="5" max="5" width="69.5703125" customWidth="1"/>
    <col min="6" max="7" width="12" customWidth="1"/>
    <col min="8" max="8" width="14" customWidth="1"/>
    <col min="9" max="9" width="6" customWidth="1"/>
    <col min="10" max="11" width="9" customWidth="1"/>
    <col min="12" max="12" width="34" customWidth="1"/>
  </cols>
  <sheetData>
    <row r="1" spans="1:12" ht="19.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5" customHeight="1" x14ac:dyDescent="0.25">
      <c r="A2" s="10" t="s">
        <v>1</v>
      </c>
      <c r="B2" s="11">
        <v>0.6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15" customHeight="1" x14ac:dyDescent="0.25">
      <c r="A3" s="10" t="s">
        <v>2</v>
      </c>
      <c r="B3" s="11">
        <v>1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5" customHeight="1" x14ac:dyDescent="0.25">
      <c r="A4" s="10" t="s">
        <v>3</v>
      </c>
      <c r="B4" s="12">
        <v>0.03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5" customHeight="1" x14ac:dyDescent="0.25">
      <c r="A5" s="10" t="s">
        <v>4</v>
      </c>
      <c r="B5" s="12">
        <v>0.1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15" customHeight="1" x14ac:dyDescent="0.25">
      <c r="A6" s="13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ht="15" customHeight="1" x14ac:dyDescent="0.25">
      <c r="A7" s="14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  <c r="G7" s="14" t="s">
        <v>12</v>
      </c>
      <c r="H7" s="14" t="s">
        <v>13</v>
      </c>
      <c r="I7" s="14" t="s">
        <v>14</v>
      </c>
      <c r="J7" s="14" t="s">
        <v>15</v>
      </c>
      <c r="K7" s="14" t="s">
        <v>16</v>
      </c>
      <c r="L7" s="14" t="s">
        <v>17</v>
      </c>
    </row>
    <row r="8" spans="1:12" ht="15" customHeight="1" x14ac:dyDescent="0.25">
      <c r="A8" s="15">
        <v>1</v>
      </c>
      <c r="B8" s="16" t="s">
        <v>18</v>
      </c>
      <c r="C8" s="17" t="s">
        <v>19</v>
      </c>
      <c r="D8" s="17" t="s">
        <v>19</v>
      </c>
      <c r="E8" s="17" t="s">
        <v>20</v>
      </c>
      <c r="F8" s="18">
        <v>0</v>
      </c>
      <c r="G8" s="18">
        <v>0</v>
      </c>
      <c r="H8" s="18">
        <v>0</v>
      </c>
      <c r="I8" s="15">
        <v>1</v>
      </c>
      <c r="J8" s="15" t="s">
        <v>21</v>
      </c>
      <c r="K8" s="19" t="s">
        <v>22</v>
      </c>
      <c r="L8" s="17" t="s">
        <v>23</v>
      </c>
    </row>
    <row r="9" spans="1:12" ht="15" customHeight="1" x14ac:dyDescent="0.25">
      <c r="A9" s="15">
        <v>2</v>
      </c>
      <c r="B9" s="17" t="s">
        <v>24</v>
      </c>
      <c r="C9" s="17" t="s">
        <v>25</v>
      </c>
      <c r="D9" s="17" t="s">
        <v>26</v>
      </c>
      <c r="E9" s="17" t="s">
        <v>27</v>
      </c>
      <c r="F9" s="18">
        <v>87840</v>
      </c>
      <c r="G9" s="18">
        <f>F9*$B$3</f>
        <v>87840</v>
      </c>
      <c r="H9" s="18">
        <f t="shared" ref="H9:H22" si="0">G9*I9</f>
        <v>87840</v>
      </c>
      <c r="I9" s="15">
        <v>1</v>
      </c>
      <c r="J9" s="15" t="s">
        <v>28</v>
      </c>
      <c r="K9" s="15" t="s">
        <v>29</v>
      </c>
      <c r="L9" s="17" t="s">
        <v>30</v>
      </c>
    </row>
    <row r="10" spans="1:12" ht="15" customHeight="1" x14ac:dyDescent="0.25">
      <c r="A10" s="15">
        <v>3</v>
      </c>
      <c r="B10" s="17" t="s">
        <v>31</v>
      </c>
      <c r="C10" s="17" t="s">
        <v>25</v>
      </c>
      <c r="D10" s="17" t="s">
        <v>32</v>
      </c>
      <c r="E10" s="17" t="s">
        <v>33</v>
      </c>
      <c r="F10" s="18">
        <v>25890</v>
      </c>
      <c r="G10" s="18">
        <f>F10*$B$3</f>
        <v>25890</v>
      </c>
      <c r="H10" s="18">
        <f t="shared" si="0"/>
        <v>51780</v>
      </c>
      <c r="I10" s="15">
        <v>2</v>
      </c>
      <c r="J10" s="15" t="s">
        <v>28</v>
      </c>
      <c r="K10" s="15" t="s">
        <v>29</v>
      </c>
      <c r="L10" s="17" t="s">
        <v>34</v>
      </c>
    </row>
    <row r="11" spans="1:12" ht="23.25" customHeight="1" x14ac:dyDescent="0.25">
      <c r="A11" s="15">
        <v>4</v>
      </c>
      <c r="B11" s="17" t="s">
        <v>35</v>
      </c>
      <c r="C11" s="17" t="s">
        <v>36</v>
      </c>
      <c r="D11" s="17" t="s">
        <v>37</v>
      </c>
      <c r="E11" s="17" t="s">
        <v>38</v>
      </c>
      <c r="F11" s="18">
        <v>129712</v>
      </c>
      <c r="G11" s="18">
        <f>F11*$B$2</f>
        <v>77827.199999999997</v>
      </c>
      <c r="H11" s="18">
        <f t="shared" si="0"/>
        <v>77827.199999999997</v>
      </c>
      <c r="I11" s="15">
        <v>1</v>
      </c>
      <c r="J11" s="15" t="s">
        <v>28</v>
      </c>
      <c r="K11" s="15" t="s">
        <v>39</v>
      </c>
      <c r="L11" s="17" t="s">
        <v>40</v>
      </c>
    </row>
    <row r="12" spans="1:12" ht="23.25" customHeight="1" x14ac:dyDescent="0.25">
      <c r="A12" s="15">
        <v>5</v>
      </c>
      <c r="B12" s="17" t="s">
        <v>41</v>
      </c>
      <c r="C12" s="17" t="s">
        <v>42</v>
      </c>
      <c r="D12" s="17" t="s">
        <v>43</v>
      </c>
      <c r="E12" s="17" t="s">
        <v>44</v>
      </c>
      <c r="F12" s="18">
        <v>90077</v>
      </c>
      <c r="G12" s="18">
        <f>F12*$B$2</f>
        <v>54046.2</v>
      </c>
      <c r="H12" s="18">
        <f t="shared" si="0"/>
        <v>162138.59999999998</v>
      </c>
      <c r="I12" s="15">
        <v>3</v>
      </c>
      <c r="J12" s="15" t="s">
        <v>28</v>
      </c>
      <c r="K12" s="15" t="s">
        <v>39</v>
      </c>
      <c r="L12" s="17" t="s">
        <v>45</v>
      </c>
    </row>
    <row r="13" spans="1:12" ht="23.25" customHeight="1" x14ac:dyDescent="0.25">
      <c r="A13" s="15">
        <v>6</v>
      </c>
      <c r="B13" s="17" t="s">
        <v>46</v>
      </c>
      <c r="C13" s="17" t="s">
        <v>50</v>
      </c>
      <c r="D13" s="17" t="s">
        <v>47</v>
      </c>
      <c r="E13" s="17" t="s">
        <v>112</v>
      </c>
      <c r="F13" s="18">
        <v>68418</v>
      </c>
      <c r="G13" s="18">
        <f>F13*$B$2</f>
        <v>41050.799999999996</v>
      </c>
      <c r="H13" s="18">
        <f t="shared" si="0"/>
        <v>82101.599999999991</v>
      </c>
      <c r="I13" s="15">
        <v>2</v>
      </c>
      <c r="J13" s="15" t="s">
        <v>28</v>
      </c>
      <c r="K13" s="15" t="s">
        <v>39</v>
      </c>
      <c r="L13" s="17" t="s">
        <v>48</v>
      </c>
    </row>
    <row r="14" spans="1:12" ht="15" customHeight="1" x14ac:dyDescent="0.25">
      <c r="A14" s="15">
        <v>7</v>
      </c>
      <c r="B14" s="17" t="s">
        <v>49</v>
      </c>
      <c r="C14" s="17" t="s">
        <v>50</v>
      </c>
      <c r="D14" s="17" t="s">
        <v>51</v>
      </c>
      <c r="E14" s="17" t="s">
        <v>52</v>
      </c>
      <c r="F14" s="18">
        <v>5334</v>
      </c>
      <c r="G14" s="18">
        <f>F14*$B$2</f>
        <v>3200.4</v>
      </c>
      <c r="H14" s="18">
        <f t="shared" si="0"/>
        <v>9601.2000000000007</v>
      </c>
      <c r="I14" s="15">
        <v>3</v>
      </c>
      <c r="J14" s="15" t="s">
        <v>28</v>
      </c>
      <c r="K14" s="15" t="s">
        <v>39</v>
      </c>
      <c r="L14" s="17" t="s">
        <v>53</v>
      </c>
    </row>
    <row r="15" spans="1:12" ht="15" customHeight="1" x14ac:dyDescent="0.25">
      <c r="A15" s="15">
        <v>8</v>
      </c>
      <c r="B15" s="17" t="s">
        <v>54</v>
      </c>
      <c r="C15" s="17" t="s">
        <v>50</v>
      </c>
      <c r="D15" s="17" t="s">
        <v>55</v>
      </c>
      <c r="E15" s="17" t="s">
        <v>56</v>
      </c>
      <c r="F15" s="18">
        <v>5462</v>
      </c>
      <c r="G15" s="18">
        <f>F15*$B$2</f>
        <v>3277.2</v>
      </c>
      <c r="H15" s="18">
        <f t="shared" si="0"/>
        <v>9831.5999999999985</v>
      </c>
      <c r="I15" s="15">
        <v>3</v>
      </c>
      <c r="J15" s="15" t="s">
        <v>28</v>
      </c>
      <c r="K15" s="15" t="s">
        <v>39</v>
      </c>
      <c r="L15" s="17" t="s">
        <v>53</v>
      </c>
    </row>
    <row r="16" spans="1:12" ht="15" customHeight="1" x14ac:dyDescent="0.25">
      <c r="A16" s="15">
        <v>9</v>
      </c>
      <c r="B16" s="17" t="s">
        <v>57</v>
      </c>
      <c r="C16" s="17" t="s">
        <v>58</v>
      </c>
      <c r="D16" s="17" t="s">
        <v>59</v>
      </c>
      <c r="E16" s="17" t="s">
        <v>60</v>
      </c>
      <c r="F16" s="18">
        <v>56000</v>
      </c>
      <c r="G16" s="18">
        <f t="shared" ref="G16:G21" si="1">F16*$B$3</f>
        <v>56000</v>
      </c>
      <c r="H16" s="18">
        <f t="shared" si="0"/>
        <v>112000</v>
      </c>
      <c r="I16" s="15">
        <v>2</v>
      </c>
      <c r="J16" s="15" t="s">
        <v>28</v>
      </c>
      <c r="K16" s="15" t="s">
        <v>29</v>
      </c>
      <c r="L16" s="17" t="s">
        <v>61</v>
      </c>
    </row>
    <row r="17" spans="1:12" ht="15" customHeight="1" x14ac:dyDescent="0.25">
      <c r="A17" s="15">
        <v>10</v>
      </c>
      <c r="B17" s="17" t="s">
        <v>62</v>
      </c>
      <c r="C17" s="17" t="s">
        <v>58</v>
      </c>
      <c r="D17" s="17" t="s">
        <v>63</v>
      </c>
      <c r="E17" s="17" t="s">
        <v>64</v>
      </c>
      <c r="F17" s="18">
        <v>1147</v>
      </c>
      <c r="G17" s="18">
        <f t="shared" si="1"/>
        <v>1147</v>
      </c>
      <c r="H17" s="18">
        <f t="shared" si="0"/>
        <v>1147</v>
      </c>
      <c r="I17" s="15">
        <v>1</v>
      </c>
      <c r="J17" s="15" t="s">
        <v>28</v>
      </c>
      <c r="K17" s="15" t="s">
        <v>29</v>
      </c>
      <c r="L17" s="17" t="s">
        <v>65</v>
      </c>
    </row>
    <row r="18" spans="1:12" ht="15" customHeight="1" x14ac:dyDescent="0.25">
      <c r="A18" s="15">
        <v>11</v>
      </c>
      <c r="B18" s="17" t="s">
        <v>66</v>
      </c>
      <c r="C18" s="17" t="s">
        <v>58</v>
      </c>
      <c r="D18" s="17" t="s">
        <v>67</v>
      </c>
      <c r="E18" s="17" t="s">
        <v>68</v>
      </c>
      <c r="F18" s="18">
        <v>1194</v>
      </c>
      <c r="G18" s="18">
        <f t="shared" si="1"/>
        <v>1194</v>
      </c>
      <c r="H18" s="18">
        <f t="shared" si="0"/>
        <v>1194</v>
      </c>
      <c r="I18" s="15">
        <v>1</v>
      </c>
      <c r="J18" s="15" t="s">
        <v>28</v>
      </c>
      <c r="K18" s="15" t="s">
        <v>29</v>
      </c>
      <c r="L18" s="17" t="s">
        <v>69</v>
      </c>
    </row>
    <row r="19" spans="1:12" ht="15" customHeight="1" x14ac:dyDescent="0.25">
      <c r="A19" s="15">
        <v>12</v>
      </c>
      <c r="B19" s="17" t="s">
        <v>70</v>
      </c>
      <c r="C19" s="17" t="s">
        <v>71</v>
      </c>
      <c r="D19" s="17" t="s">
        <v>72</v>
      </c>
      <c r="E19" s="17" t="s">
        <v>73</v>
      </c>
      <c r="F19" s="18">
        <v>508</v>
      </c>
      <c r="G19" s="18">
        <f t="shared" si="1"/>
        <v>508</v>
      </c>
      <c r="H19" s="18">
        <f t="shared" si="0"/>
        <v>1016</v>
      </c>
      <c r="I19" s="15">
        <v>2</v>
      </c>
      <c r="J19" s="15" t="s">
        <v>28</v>
      </c>
      <c r="K19" s="15" t="s">
        <v>29</v>
      </c>
      <c r="L19" s="17" t="s">
        <v>74</v>
      </c>
    </row>
    <row r="20" spans="1:12" ht="15" customHeight="1" x14ac:dyDescent="0.25">
      <c r="A20" s="15">
        <v>13</v>
      </c>
      <c r="B20" s="17" t="s">
        <v>75</v>
      </c>
      <c r="C20" s="17" t="s">
        <v>71</v>
      </c>
      <c r="D20" s="17" t="s">
        <v>76</v>
      </c>
      <c r="E20" s="17" t="s">
        <v>77</v>
      </c>
      <c r="F20" s="18">
        <v>237</v>
      </c>
      <c r="G20" s="18">
        <f t="shared" si="1"/>
        <v>237</v>
      </c>
      <c r="H20" s="18">
        <f t="shared" si="0"/>
        <v>474</v>
      </c>
      <c r="I20" s="15">
        <v>2</v>
      </c>
      <c r="J20" s="15" t="s">
        <v>28</v>
      </c>
      <c r="K20" s="15" t="s">
        <v>29</v>
      </c>
      <c r="L20" s="17" t="s">
        <v>78</v>
      </c>
    </row>
    <row r="21" spans="1:12" ht="15" customHeight="1" x14ac:dyDescent="0.25">
      <c r="A21" s="15">
        <v>14</v>
      </c>
      <c r="B21" s="17" t="s">
        <v>79</v>
      </c>
      <c r="C21" s="17" t="s">
        <v>80</v>
      </c>
      <c r="D21" s="17" t="s">
        <v>81</v>
      </c>
      <c r="E21" s="17" t="s">
        <v>82</v>
      </c>
      <c r="F21" s="18">
        <v>1808</v>
      </c>
      <c r="G21" s="18">
        <f t="shared" si="1"/>
        <v>1808</v>
      </c>
      <c r="H21" s="18">
        <f t="shared" si="0"/>
        <v>7232</v>
      </c>
      <c r="I21" s="15">
        <v>4</v>
      </c>
      <c r="J21" s="15" t="s">
        <v>28</v>
      </c>
      <c r="K21" s="15" t="s">
        <v>29</v>
      </c>
      <c r="L21" s="17" t="s">
        <v>83</v>
      </c>
    </row>
    <row r="22" spans="1:12" ht="15" customHeight="1" x14ac:dyDescent="0.25">
      <c r="A22" s="15">
        <v>15</v>
      </c>
      <c r="B22" s="17" t="s">
        <v>84</v>
      </c>
      <c r="C22" s="17" t="s">
        <v>85</v>
      </c>
      <c r="D22" s="17" t="s">
        <v>86</v>
      </c>
      <c r="E22" s="17" t="s">
        <v>87</v>
      </c>
      <c r="F22" s="18">
        <v>869</v>
      </c>
      <c r="G22" s="18">
        <f>F22*$B$2</f>
        <v>521.4</v>
      </c>
      <c r="H22" s="18">
        <f t="shared" si="0"/>
        <v>1564.1999999999998</v>
      </c>
      <c r="I22" s="15">
        <v>3</v>
      </c>
      <c r="J22" s="15" t="s">
        <v>28</v>
      </c>
      <c r="K22" s="15" t="s">
        <v>39</v>
      </c>
      <c r="L22" s="17" t="s">
        <v>88</v>
      </c>
    </row>
    <row r="23" spans="1:12" ht="23.25" customHeight="1" x14ac:dyDescent="0.25">
      <c r="A23" s="15">
        <v>16</v>
      </c>
      <c r="B23" s="17" t="s">
        <v>89</v>
      </c>
      <c r="C23" s="17" t="s">
        <v>90</v>
      </c>
      <c r="D23" s="17"/>
      <c r="E23" s="17" t="s">
        <v>91</v>
      </c>
      <c r="F23" s="18"/>
      <c r="G23" s="18"/>
      <c r="H23" s="18">
        <f>SUM(H9:H22)*$B$4</f>
        <v>18172.421999999995</v>
      </c>
      <c r="I23" s="15">
        <v>1</v>
      </c>
      <c r="J23" s="15" t="s">
        <v>92</v>
      </c>
      <c r="K23" s="15" t="s">
        <v>19</v>
      </c>
      <c r="L23" s="17" t="s">
        <v>93</v>
      </c>
    </row>
    <row r="24" spans="1:12" ht="23.25" customHeight="1" x14ac:dyDescent="0.25">
      <c r="A24" s="15">
        <v>17</v>
      </c>
      <c r="B24" s="17" t="s">
        <v>94</v>
      </c>
      <c r="C24" s="17" t="s">
        <v>95</v>
      </c>
      <c r="D24" s="17"/>
      <c r="E24" s="17" t="s">
        <v>94</v>
      </c>
      <c r="F24" s="18"/>
      <c r="G24" s="18"/>
      <c r="H24" s="18">
        <f>SUM(H9:H22)*$B$5</f>
        <v>60574.739999999991</v>
      </c>
      <c r="I24" s="15">
        <v>1</v>
      </c>
      <c r="J24" s="15" t="s">
        <v>92</v>
      </c>
      <c r="K24" s="15" t="s">
        <v>19</v>
      </c>
      <c r="L24" s="17" t="s">
        <v>93</v>
      </c>
    </row>
    <row r="25" spans="1:12" ht="15" customHeight="1" x14ac:dyDescent="0.25">
      <c r="A25" s="20"/>
      <c r="B25" s="21" t="s">
        <v>96</v>
      </c>
      <c r="C25" s="21"/>
      <c r="D25" s="21"/>
      <c r="E25" s="21"/>
      <c r="F25" s="22"/>
      <c r="G25" s="22"/>
      <c r="H25" s="22">
        <f>SUM(H8:H24)</f>
        <v>684494.56199999992</v>
      </c>
      <c r="I25" s="20">
        <v>1</v>
      </c>
      <c r="J25" s="20" t="s">
        <v>92</v>
      </c>
      <c r="K25" s="20"/>
      <c r="L25" s="2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Normal="100" workbookViewId="0"/>
  </sheetViews>
  <sheetFormatPr defaultColWidth="8.7109375" defaultRowHeight="15" x14ac:dyDescent="0.25"/>
  <cols>
    <col min="1" max="1" width="120" customWidth="1"/>
    <col min="2" max="2" width="16" customWidth="1"/>
    <col min="3" max="3" width="46" customWidth="1"/>
  </cols>
  <sheetData>
    <row r="1" spans="1:3" ht="15" customHeight="1" x14ac:dyDescent="0.25">
      <c r="A1" s="1" t="s">
        <v>97</v>
      </c>
    </row>
    <row r="3" spans="1:3" ht="15" customHeight="1" x14ac:dyDescent="0.25">
      <c r="A3" s="3" t="s">
        <v>98</v>
      </c>
      <c r="B3" s="2" t="s">
        <v>99</v>
      </c>
      <c r="C3" s="3" t="s">
        <v>100</v>
      </c>
    </row>
    <row r="4" spans="1:3" ht="15" customHeight="1" x14ac:dyDescent="0.25">
      <c r="A4" s="4" t="s">
        <v>22</v>
      </c>
      <c r="B4" s="5">
        <f>BOM!H25</f>
        <v>684494.56199999992</v>
      </c>
      <c r="C4" s="4" t="s">
        <v>101</v>
      </c>
    </row>
    <row r="6" spans="1:3" ht="15" customHeight="1" x14ac:dyDescent="0.25">
      <c r="A6" s="6" t="s">
        <v>102</v>
      </c>
    </row>
    <row r="7" spans="1:3" ht="21.75" customHeight="1" x14ac:dyDescent="0.25">
      <c r="A7" s="7" t="s">
        <v>103</v>
      </c>
    </row>
    <row r="8" spans="1:3" ht="21.75" customHeight="1" x14ac:dyDescent="0.25">
      <c r="A8" s="7" t="s">
        <v>104</v>
      </c>
    </row>
    <row r="9" spans="1:3" ht="15" customHeight="1" x14ac:dyDescent="0.25">
      <c r="A9" s="7" t="s">
        <v>105</v>
      </c>
    </row>
    <row r="10" spans="1:3" ht="15" customHeight="1" x14ac:dyDescent="0.25">
      <c r="A10" s="7" t="s">
        <v>106</v>
      </c>
    </row>
    <row r="11" spans="1:3" ht="15" customHeight="1" x14ac:dyDescent="0.25">
      <c r="A11" s="7" t="s">
        <v>107</v>
      </c>
    </row>
    <row r="12" spans="1:3" ht="21.75" customHeight="1" x14ac:dyDescent="0.25">
      <c r="A12" s="7" t="s">
        <v>108</v>
      </c>
    </row>
    <row r="13" spans="1:3" ht="15" customHeight="1" x14ac:dyDescent="0.25">
      <c r="A13" s="7" t="s">
        <v>109</v>
      </c>
    </row>
    <row r="14" spans="1:3" ht="15" customHeight="1" x14ac:dyDescent="0.25">
      <c r="A14" s="7" t="s">
        <v>110</v>
      </c>
    </row>
    <row r="15" spans="1:3" ht="15" customHeight="1" x14ac:dyDescent="0.25">
      <c r="A15" s="7" t="s">
        <v>111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BOM</vt:lpstr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2026-06-26T06:47:31Z</dcterms:created>
  <dcterms:modified xsi:type="dcterms:W3CDTF">2026-06-29T13:34:21Z</dcterms:modified>
  <dc:language>en-US</dc:language>
</cp:coreProperties>
</file>