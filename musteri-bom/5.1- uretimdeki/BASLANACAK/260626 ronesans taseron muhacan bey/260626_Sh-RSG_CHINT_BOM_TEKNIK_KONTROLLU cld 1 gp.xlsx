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2eef9e6d544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c6f21aba56c34926"/>
    <x:sheet xmlns:r="http://schemas.openxmlformats.org/officeDocument/2006/relationships" name="СВОД" sheetId="2" r:id="Raa1baa16c4324e03"/>
    <x:sheet xmlns:r="http://schemas.openxmlformats.org/officeDocument/2006/relationships" name="DÜZELTİLMİŞ BOM" sheetId="3" r:id="R13e181632fa446d4"/>
    <x:sheet xmlns:r="http://schemas.openxmlformats.org/officeDocument/2006/relationships" name="KONTROL RAPORU" sheetId="4" r:id="R7f01e04e094c43ed"/>
    <x:sheet xmlns:r="http://schemas.openxmlformats.org/officeDocument/2006/relationships" name="PANO ÖLÇÜ" sheetId="5" r:id="Rbcfc35ab02eb47e5"/>
  </x:sheets>
</x:workbook>
</file>

<file path=xl/sharedStrings.xml><?xml version="1.0" encoding="utf-8"?>
<x:sst xmlns:x="http://schemas.openxmlformats.org/spreadsheetml/2006/main">
  <x:si>
    <x:t xml:space="preserve">YSF HICH — Щ-РСГ DAĞITIM PANOSU BOM (CHINT bazlı)  |  Hastane 630 yatak, Kokşetau</x:t>
  </x:si>
  <x:si>
    <x:t xml:space="preserve">CHINT net katsayı (×0.60 = %40 ind.)</x:t>
  </x:si>
  <x:si>
    <x:t xml:space="preserve">EKT net katsayı  (⚠ indirim teyit edilmeli)</x:t>
  </x:si>
  <x:si>
    <x:t xml:space="preserve">Montaj malzeme %  (⚠ teyit)</x:t>
  </x:si>
  <x:si>
    <x:t xml:space="preserve">Montaj işçilik %  (⚠ teyit)</x:t>
  </x:si>
  <x:si>
    <x:t xml:space="preserve">Tüm fiyatlar KZT. CHINT &amp; EKT yerel KZT listesi — kur dönüşümü yok.</x:t>
  </x:si>
  <x:si>
    <x:t xml:space="preserve">ROW</x:t>
  </x:si>
  <x:si>
    <x:t xml:space="preserve">Наименование (TR)</x:t>
  </x:si>
  <x:si>
    <x:t xml:space="preserve">Tip</x:t>
  </x:si>
  <x:si>
    <x:t xml:space="preserve">Артикул</x:t>
  </x:si>
  <x:si>
    <x:t xml:space="preserve">Номенклатура (kat.)</x:t>
  </x:si>
  <x:si>
    <x:t xml:space="preserve">Liste KZT</x:t>
  </x:si>
  <x:si>
    <x:t xml:space="preserve">Net KZT</x:t>
  </x:si>
  <x:si>
    <x:t xml:space="preserve">Сумма KZT</x:t>
  </x:si>
  <x:si>
    <x:t xml:space="preserve">Qty</x:t>
  </x:si>
  <x:si>
    <x:t xml:space="preserve">Birim</x:t>
  </x:si>
  <x:si>
    <x:t xml:space="preserve">Marka</x:t>
  </x:si>
  <x:si>
    <x:t xml:space="preserve">Açıklama / ⚠</x:t>
  </x:si>
  <x:si>
    <x:t xml:space="preserve">Щ-РСГ — Dağıtım panosu komplekt</x:t>
  </x:si>
  <x:si>
    <x:t xml:space="preserve">—</x:t>
  </x:si>
  <x:si>
    <x:t xml:space="preserve">Щ-РСГ / IP31 / 328kW / In=1000A / Iк=22,29kA</x:t>
  </x:si>
  <x:si>
    <x:t xml:space="preserve">комплект</x:t>
  </x:si>
  <x:si>
    <x:t xml:space="preserve">Щ-РСГ</x:t>
  </x:si>
  <x:si>
    <x:t xml:space="preserve">Pano başlığı</x:t>
  </x:si>
  <x:si>
    <x:t xml:space="preserve">Korpus — zemin tipi boş pano 800</x:t>
  </x:si>
  <x:si>
    <x:t xml:space="preserve">korpus</x:t>
  </x:si>
  <x:si>
    <x:t xml:space="preserve">251000069_</x:t>
  </x:si>
  <x:si>
    <x:t xml:space="preserve">ЩО-70 пустой щит 800 (земин, IP31)</x:t>
  </x:si>
  <x:si>
    <x:t xml:space="preserve">шт</x:t>
  </x:si>
  <x:si>
    <x:t xml:space="preserve">EKT</x:t>
  </x:si>
  <x:si>
    <x:t xml:space="preserve">498A/630A ana dağıtım için ЩО-70</x:t>
  </x:si>
  <x:si>
    <x:t xml:space="preserve">Korpus — yan/uç panel</x:t>
  </x:si>
  <x:si>
    <x:t xml:space="preserve">251000056_</x:t>
  </x:si>
  <x:si>
    <x:t xml:space="preserve">Торцевая панель к ЩО-70</x:t>
  </x:si>
  <x:si>
    <x:t xml:space="preserve">Uç kapak (2 yan)</x:t>
  </x:si>
  <x:si>
    <x:t xml:space="preserve">Ana şalter-ayırıcı 3P 630A (QO1)</x:t>
  </x:si>
  <x:si>
    <x:t xml:space="preserve">rubilnik</x:t>
  </x:si>
  <x:si>
    <x:t xml:space="preserve">393267</x:t>
  </x:si>
  <x:si>
    <x:t xml:space="preserve">Выключатель-разъединитель NH40-630/3, 3P, 630А (OT630 muadili)</x:t>
  </x:si>
  <x:si>
    <x:t xml:space="preserve">CHINT</x:t>
  </x:si>
  <x:si>
    <x:t xml:space="preserve">OT 3x630A yerine NH40-630/3</x:t>
  </x:si>
  <x:si>
    <x:t xml:space="preserve">MCCB 3P 250A 36kA TMA (QF1–QF3)</x:t>
  </x:si>
  <x:si>
    <x:t xml:space="preserve">TMŞ</x:t>
  </x:si>
  <x:si>
    <x:t xml:space="preserve">271146</x:t>
  </x:si>
  <x:si>
    <x:t xml:space="preserve">Авт.выкл. NM8N-250C TM 3P 250А 36кА, рег. термомаг.</x:t>
  </x:si>
  <x:si>
    <x:t xml:space="preserve">I1 ayar~200A; 5x95 kablo; 25kA istendi→36kA</x:t>
  </x:si>
  <x:si>
    <x:t xml:space="preserve">MCCB 3P 40A 36kA (QF4–QF5)</x:t>
  </x:si>
  <x:si>
    <x:t xml:space="preserve">271535</x:t>
  </x:si>
  <x:si>
    <x:t xml:space="preserve">Авт.выкл. NM8N-125C TM 3P 40А 36кА, рег. термомаг.</x:t>
  </x:si>
  <x:si>
    <x:t xml:space="preserve">⚠ Çizimde 40A/In=80A çelişki; 10kA→36kA seçildi</x:t>
  </x:si>
  <x:si>
    <x:t xml:space="preserve">MCB 3P C25 6kA (QF6–QF8, rezerv)</x:t>
  </x:si>
  <x:si>
    <x:t xml:space="preserve">OTO</x:t>
  </x:si>
  <x:si>
    <x:t xml:space="preserve">814172</x:t>
  </x:si>
  <x:si>
    <x:t xml:space="preserve">Авт.выкл. NXB-63 3P 25A 6кА х-ка C</x:t>
  </x:si>
  <x:si>
    <x:t xml:space="preserve">4,5kA istendi→6kA</x:t>
  </x:si>
  <x:si>
    <x:t xml:space="preserve">MCB 3P C16 6kA (QF9–QF11, rezerv)</x:t>
  </x:si>
  <x:si>
    <x:t xml:space="preserve">814170</x:t>
  </x:si>
  <x:si>
    <x:t xml:space="preserve">Авт.выкл. NXB-63 3P 16A 6кА х-ка C</x:t>
  </x:si>
  <x:si>
    <x:t xml:space="preserve">Cu bara 4×50×4000 (faz dağıtım)</x:t>
  </x:si>
  <x:si>
    <x:t xml:space="preserve">LOOBAR</x:t>
  </x:si>
  <x:si>
    <x:t xml:space="preserve">130300324</x:t>
  </x:si>
  <x:si>
    <x:t xml:space="preserve">Шина медная 4х50х4000 (≈200мм², ~600A)</x:t>
  </x:si>
  <x:si>
    <x:t xml:space="preserve">⚠ 630A için kesit; layout'a göre teyit</x:t>
  </x:si>
  <x:si>
    <x:t xml:space="preserve">N barası 8×12 14 yollu</x:t>
  </x:si>
  <x:si>
    <x:t xml:space="preserve">130200359</x:t>
  </x:si>
  <x:si>
    <x:t xml:space="preserve">Шина "N" 8х12мм 14/1</x:t>
  </x:si>
  <x:si>
    <x:t xml:space="preserve">Nötr dağıtım</x:t>
  </x:si>
  <x:si>
    <x:t xml:space="preserve">PE barası 8×12 14 yollu</x:t>
  </x:si>
  <x:si>
    <x:t xml:space="preserve">130200360</x:t>
  </x:si>
  <x:si>
    <x:t xml:space="preserve">Шина "PE/PEN" 8х12мм 14/2</x:t>
  </x:si>
  <x:si>
    <x:t xml:space="preserve">Topraklama dağıtım</x:t>
  </x:si>
  <x:si>
    <x:t xml:space="preserve">Klemens 6мм² (QF4/QF5 çıkış)</x:t>
  </x:si>
  <x:si>
    <x:t xml:space="preserve">Klemens</x:t>
  </x:si>
  <x:si>
    <x:t xml:space="preserve">130500126</x:t>
  </x:si>
  <x:si>
    <x:t xml:space="preserve">Колодка клеммная 4P до 6 мм² 45А ТВ-450</x:t>
  </x:si>
  <x:si>
    <x:t xml:space="preserve">5x6 / 5x4 çıkış</x:t>
  </x:si>
  <x:si>
    <x:t xml:space="preserve">Klemens 2,5мм² (rezerv çıkış)</x:t>
  </x:si>
  <x:si>
    <x:t xml:space="preserve">130500125</x:t>
  </x:si>
  <x:si>
    <x:t xml:space="preserve">Колодка клеммная 4P до 4 мм² 25А ТВ-250</x:t>
  </x:si>
  <x:si>
    <x:t xml:space="preserve">⚠ Rezerv adetleri temsilî</x:t>
  </x:si>
  <x:si>
    <x:t xml:space="preserve">Kablo kanalı perf. 40×60</x:t>
  </x:si>
  <x:si>
    <x:t xml:space="preserve">kanal</x:t>
  </x:si>
  <x:si>
    <x:t xml:space="preserve">270300105_</x:t>
  </x:si>
  <x:si>
    <x:t xml:space="preserve">Кабель-канал перф. 40х60 IMPAKT</x:t>
  </x:si>
  <x:si>
    <x:t xml:space="preserve">Pano içi tesisat</x:t>
  </x:si>
  <x:si>
    <x:t xml:space="preserve">DIN ray TH35-7.5</x:t>
  </x:si>
  <x:si>
    <x:t xml:space="preserve">DİN ray</x:t>
  </x:si>
  <x:si>
    <x:t xml:space="preserve">570003</x:t>
  </x:si>
  <x:si>
    <x:t xml:space="preserve">DIN-рейка оцинкованная TH35-7.5</x:t>
  </x:si>
  <x:si>
    <x:t xml:space="preserve">Modüler cihazlar için</x:t>
  </x:si>
  <x:si>
    <x:t xml:space="preserve">Montaj malzemesi</x:t>
  </x:si>
  <x:si>
    <x:t xml:space="preserve">montajный материал</x:t>
  </x:si>
  <x:si>
    <x:t xml:space="preserve">Montaj malzemesi (klemens ucu, kablo pabucu, vida vb.)</x:t>
  </x:si>
  <x:si>
    <x:t xml:space="preserve">компл</x:t>
  </x:si>
  <x:si>
    <x:t xml:space="preserve">montaj: % × malzeme toplamı</x:t>
  </x:si>
  <x:si>
    <x:t xml:space="preserve">Montaj işçiliği</x:t>
  </x:si>
  <x:si>
    <x:t xml:space="preserve">montajная работа</x:t>
  </x:si>
  <x:si>
    <x:t xml:space="preserve">TOPLAM  Щ-РСГ</x:t>
  </x:si>
  <x:si>
    <x:t xml:space="preserve">Щ-РСГ — СВОД (özet)</x:t>
  </x:si>
  <x:si>
    <x:t xml:space="preserve">Pano</x:t>
  </x:si>
  <x:si>
    <x:t xml:space="preserve">Toplam KZT</x:t>
  </x:si>
  <x:si>
    <x:t xml:space="preserve">Açıklama</x:t>
  </x:si>
  <x:si>
    <x:t xml:space="preserve">11 çıkış + 630A ana ayırıcı; 6 rezerv (QF6–QF11)</x:t>
  </x:si>
  <x:si>
    <x:t xml:space="preserve">⚠ KONTROL EDİLECEK / TEYİT LİSTESİ</x:t>
  </x:si>
  <x:si>
    <x:t xml:space="preserve">1) QF4/QF5: çizimde çelişki — etiket 'MCB 3x40A' ama I1=1xIn=80A. Kablo 5x6/5x4 ve yük 14/10A → 40A doğru kabul edildi. 10kA istendi, NM8N-125C 40A (36kA) seçildi. TEYİT.</x:t>
  </x:si>
  <x:si>
    <x:t xml:space="preserve">2) Giriş koruması MCCB 3x630 50kA In=1000A şemada АВР5 panosunda görünüyor → Щ-РСГ kapsamı DIŞI kabul edildi (besleme 2x(5x240)). Bu pano içinde de gerekiyorsa belirtin.</x:t>
  </x:si>
  <x:si>
    <x:t xml:space="preserve">3) Ana ayırıcı 630A, pano In=1000A. Hesap akımı 498A &lt; 630A → ayırıcı yeterli. Ancak In=1000A baraj/etiket için teyit.</x:t>
  </x:si>
  <x:si>
    <x:t xml:space="preserve">4) EKT net katsayı = 1.00 (indirimsiz) varsayıldı. EKT iskontonuz varsa B3 hücresini güncelleyin.</x:t>
  </x:si>
  <x:si>
    <x:t xml:space="preserve">5) Montaj malzeme %3 / işçilik %10 varsayıldı (B4/B5). Gerçek oranlarınızı girin.</x:t>
  </x:si>
  <x:si>
    <x:t xml:space="preserve">6) Korpus ЩО-70 800 (EKT) seçildi. Verilen Teksan dosyası aydınlatma/perakende stok — pano korpusu içermiyor. Teksan korpus isteniyorsa korpus fiyat listesi gerekli.</x:t>
  </x:si>
  <x:si>
    <x:t xml:space="preserve">7) Cu bara kesiti 4×50 (~600A) varsayıldı. 630A için kesit ve N/PE bara fiziksel yerleşime göre teyit.</x:t>
  </x:si>
  <x:si>
    <x:t xml:space="preserve">8) Klemens &amp; kanal adetleri temsilî. Çıkış kablo pabuçları (5x95) doğrudan cihaz klemensine bağlanır; rezervlerde klemens opsiyonel.</x:t>
  </x:si>
  <x:si>
    <x:t xml:space="preserve">9) MCB 4,5kA istendi; CHINT NXB-63 = 6kA (≥4,5kA, uygun). MCCB 25kA istendi; NM8N-...C = 36kA (≥25kA, uygun).</x:t>
  </x:si>
</x:sst>
</file>

<file path=xl/styles.xml><?xml version="1.0" encoding="utf-8"?>
<x:styleSheet xmlns:x="http://schemas.openxmlformats.org/spreadsheetml/2006/main">
  <x:numFmts count="2">
    <x:numFmt numFmtId="164" formatCode="0.0%"/>
    <x:numFmt numFmtId="165" formatCode="#,##0;\(#,##0\);\-"/>
  </x:numFmts>
  <x:fonts count="11">
    <x:font>
      <x:sz val="11"/>
      <x:color theme="1"/>
      <x:name val="Calibri"/>
    </x:font>
    <x:font>
      <x:b/>
      <x:sz val="12"/>
      <x:color rgb="FF1F3864"/>
      <x:name val="Arial"/>
    </x:font>
    <x:font>
      <x:sz val="10"/>
      <x:color rgb="FF000000"/>
      <x:name val="Arial"/>
    </x:font>
    <x:font>
      <x:b/>
      <x:sz val="10"/>
      <x:color rgb="FF0000FF"/>
      <x:name val="Arial"/>
    </x:font>
    <x:font>
      <x:sz val="9"/>
      <x:color rgb="FFC00000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sz val="11"/>
      <x:color rgb="FFFFFFFF"/>
      <x:name val="Calibri"/>
    </x:font>
    <x:font>
      <x:sz val="10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1F3864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5CD"/>
      </x:patternFill>
    </x:fill>
    <x:fill>
      <x:patternFill patternType="solid">
        <x:fgColor rgb="FFF4CCCC"/>
      </x:patternFill>
    </x:fill>
  </x:fills>
  <x:borders count="2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18">
    <x:xf numFmtId="0" fontId="0" fillId="0" borderId="0" xfId="0"/>
    <x:xf numFmtId="0" fontId="1" fillId="0" borderId="0" xfId="0" applyFont="1"/>
    <x:xf numFmtId="0" fontId="2" fillId="0" borderId="0" xfId="0" applyFont="1"/>
    <x:xf numFmtId="2" fontId="3" fillId="2" borderId="1" xfId="0" applyNumberFormat="1" applyFont="1" applyFill="1" applyBorder="1"/>
    <x:xf numFmtId="164" fontId="3" fillId="2" borderId="1" xfId="0" applyNumberFormat="1" applyFont="1" applyFill="1" applyBorder="1"/>
    <x:xf numFmtId="0" fontId="4" fillId="0" borderId="0" xfId="0" applyFont="1"/>
    <x:xf numFmtId="0" fontId="5" fillId="3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6" fillId="4" borderId="1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 wrapText="1"/>
    </x:xf>
    <x:xf numFmtId="165" fontId="2" fillId="0" borderId="1" xfId="0" applyNumberFormat="1" applyFont="1" applyBorder="1" applyAlignment="1">
      <x:alignment horizontal="right" vertical="center"/>
    </x:xf>
    <x:xf numFmtId="0" fontId="2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 wrapText="1"/>
    </x:xf>
    <x:xf numFmtId="0" fontId="6" fillId="0" borderId="1" xfId="0" applyFont="1" applyBorder="1" applyAlignment="1">
      <x:alignment horizontal="left" vertical="center" wrapText="1"/>
    </x:xf>
    <x:xf numFmtId="165" fontId="6" fillId="0" borderId="1" xfId="0" applyNumberFormat="1" applyFont="1" applyBorder="1" applyAlignment="1">
      <x:alignment horizontal="right" vertical="center"/>
    </x:xf>
    <x:xf numFmtId="0" fontId="5" fillId="3" borderId="1" xfId="0" applyFont="1" applyFill="1" applyBorder="1"/>
    <x:xf numFmtId="0" fontId="0" fillId="0" borderId="1" xfId="0" applyBorder="1"/>
    <x:xf numFmtId="165" fontId="0" fillId="0" borderId="1" xfId="0" applyNumberFormat="1" applyBorder="1" applyAlignment="1">
      <x:alignment horizontal="right" vertical="center"/>
    </x:xf>
    <x:xf numFmtId="0" fontId="6" fillId="0" borderId="0" xfId="0" applyFont="1"/>
    <x:xf numFmtId="0" fontId="4" fillId="0" borderId="0" xfId="0" applyFont="1" applyAlignment="1">
      <x:alignment horizontal="left" vertical="center" wrapText="1"/>
    </x:xf>
    <x:xf numFmtId="0" fontId="0" fillId="0" borderId="2" xfId="0" applyNumberFormat="1" applyFont="1" applyFill="1" applyBorder="1"/>
    <x:xf numFmtId="0" fontId="1" fillId="0" borderId="2" xfId="0" applyNumberFormat="1" applyFont="1" applyFill="1" applyBorder="1"/>
    <x:xf numFmtId="0" fontId="2" fillId="0" borderId="2" xfId="0" applyNumberFormat="1" applyFont="1" applyFill="1" applyBorder="1"/>
    <x:xf numFmtId="2" fontId="3" fillId="2" borderId="3" xfId="0" applyNumberFormat="1" applyFont="1" applyFill="1" applyBorder="1"/>
    <x:xf numFmtId="164" fontId="3" fillId="2" borderId="3" xfId="0" applyNumberFormat="1" applyFont="1" applyFill="1" applyBorder="1"/>
    <x:xf numFmtId="0" fontId="4" fillId="0" borderId="2" xfId="0" applyNumberFormat="1" applyFont="1" applyFill="1" applyBorder="1"/>
    <x:xf numFmtId="0" fontId="5" fillId="3" borderId="3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left" vertical="center" wrapText="1"/>
    </x:xf>
    <x:xf numFmtId="0" fontId="2" fillId="0" borderId="3" xfId="0" applyNumberFormat="1" applyFont="1" applyFill="1" applyBorder="1" applyAlignment="1">
      <x:alignment horizontal="left" vertical="center" wrapText="1"/>
    </x:xf>
    <x:xf numFmtId="165" fontId="2" fillId="0" borderId="3" xfId="0" applyNumberFormat="1" applyFont="1" applyFill="1" applyBorder="1" applyAlignment="1">
      <x:alignment horizontal="right" vertical="center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6" fillId="0" borderId="3" xfId="0" applyNumberFormat="1" applyFont="1" applyFill="1" applyBorder="1" applyAlignment="1">
      <x:alignment horizontal="center" vertical="center" wrapText="1"/>
    </x:xf>
    <x:xf numFmtId="0" fontId="6" fillId="0" borderId="3" xfId="0" applyNumberFormat="1" applyFont="1" applyFill="1" applyBorder="1" applyAlignment="1">
      <x:alignment horizontal="left" vertical="center" wrapText="1"/>
    </x:xf>
    <x:xf numFmtId="165" fontId="6" fillId="0" borderId="3" xfId="0" applyNumberFormat="1" applyFont="1" applyFill="1" applyBorder="1" applyAlignment="1">
      <x:alignment horizontal="right" vertical="center"/>
    </x:xf>
    <x:xf numFmtId="0" fontId="5" fillId="3" borderId="3" xfId="0" applyNumberFormat="1" applyFont="1" applyFill="1" applyBorder="1"/>
    <x:xf numFmtId="0" fontId="0" fillId="0" borderId="3" xfId="0" applyNumberFormat="1" applyFont="1" applyFill="1" applyBorder="1"/>
    <x:xf numFmtId="165" fontId="0" fillId="0" borderId="3" xfId="0" applyNumberFormat="1" applyFont="1" applyFill="1" applyBorder="1" applyAlignment="1">
      <x:alignment horizontal="right" vertical="center"/>
    </x:xf>
    <x:xf numFmtId="0" fontId="6" fillId="0" borderId="2" xfId="0" applyNumberFormat="1" applyFont="1" applyFill="1" applyBorder="1"/>
    <x:xf numFmtId="0" fontId="4" fillId="0" borderId="2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/>
    <x:xf numFmtId="0" fontId="7" fillId="5" borderId="2" xfId="0" applyNumberFormat="1" applyFont="1" applyFill="1" applyBorder="1"/>
    <x:xf numFmtId="0" fontId="7" fillId="5" borderId="2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horizontal="center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8" fillId="0" borderId="7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0" borderId="10" xfId="0" applyNumberFormat="1" applyFont="1" applyFill="1" applyBorder="1" applyAlignment="1">
      <x:alignment vertical="top" wrapText="1"/>
    </x:xf>
    <x:xf numFmtId="0" fontId="8" fillId="0" borderId="11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horizontal="center" vertical="center" wrapText="1"/>
    </x:xf>
    <x:xf numFmtId="0" fontId="5" fillId="5" borderId="14" xfId="0" applyNumberFormat="1" applyFont="1" applyFill="1" applyBorder="1" applyAlignment="1">
      <x:alignment horizontal="center" vertical="center" wrapText="1"/>
    </x:xf>
    <x:xf numFmtId="0" fontId="5" fillId="5" borderId="15" xfId="0" applyNumberFormat="1" applyFont="1" applyFill="1" applyBorder="1" applyAlignment="1">
      <x:alignment horizontal="center" vertical="center" wrapText="1"/>
    </x:xf>
    <x:xf numFmtId="0" fontId="8" fillId="0" borderId="16" xfId="0" applyNumberFormat="1" applyFont="1" applyFill="1" applyBorder="1" applyAlignment="1">
      <x:alignment vertical="top" wrapText="1"/>
    </x:xf>
    <x:xf numFmtId="0" fontId="8" fillId="0" borderId="17" xfId="0" applyNumberFormat="1" applyFont="1" applyFill="1" applyBorder="1" applyAlignment="1">
      <x:alignment vertical="top" wrapText="1"/>
    </x:xf>
    <x:xf numFmtId="0" fontId="8" fillId="0" borderId="18" xfId="0" applyNumberFormat="1" applyFont="1" applyFill="1" applyBorder="1" applyAlignment="1">
      <x:alignment vertical="top" wrapText="1"/>
    </x:xf>
    <x:xf numFmtId="0" fontId="8" fillId="0" borderId="19" xfId="0" applyNumberFormat="1" applyFont="1" applyFill="1" applyBorder="1" applyAlignment="1">
      <x:alignment vertical="top" wrapText="1"/>
    </x:xf>
    <x:xf numFmtId="0" fontId="8" fillId="0" borderId="20" xfId="0" applyNumberFormat="1" applyFont="1" applyFill="1" applyBorder="1" applyAlignment="1">
      <x:alignment vertical="top" wrapText="1"/>
    </x:xf>
    <x:xf numFmtId="0" fontId="8" fillId="0" borderId="21" xfId="0" applyNumberFormat="1" applyFont="1" applyFill="1" applyBorder="1" applyAlignment="1">
      <x:alignment vertical="top" wrapText="1"/>
    </x:xf>
    <x:xf numFmtId="0" fontId="8" fillId="6" borderId="8" xfId="0" applyNumberFormat="1" applyFont="1" applyFill="1" applyBorder="1" applyAlignment="1">
      <x:alignment vertical="top" wrapText="1"/>
    </x:xf>
    <x:xf numFmtId="0" fontId="8" fillId="6" borderId="17" xfId="0" applyNumberFormat="1" applyFont="1" applyFill="1" applyBorder="1" applyAlignment="1">
      <x:alignment vertical="top" wrapText="1"/>
    </x:xf>
    <x:xf numFmtId="0" fontId="8" fillId="7" borderId="7" xfId="0" applyNumberFormat="1" applyFont="1" applyFill="1" applyBorder="1" applyAlignment="1">
      <x:alignment vertical="top" wrapText="1"/>
    </x:xf>
    <x:xf numFmtId="0" fontId="8" fillId="7" borderId="8" xfId="0" applyNumberFormat="1" applyFont="1" applyFill="1" applyBorder="1" applyAlignment="1">
      <x:alignment vertical="top" wrapText="1"/>
    </x:xf>
    <x:xf numFmtId="0" fontId="8" fillId="7" borderId="9" xfId="0" applyNumberFormat="1" applyFont="1" applyFill="1" applyBorder="1" applyAlignment="1">
      <x:alignment vertical="top" wrapText="1"/>
    </x:xf>
    <x:xf numFmtId="0" fontId="8" fillId="7" borderId="16" xfId="0" applyNumberFormat="1" applyFont="1" applyFill="1" applyBorder="1" applyAlignment="1">
      <x:alignment vertical="top" wrapText="1"/>
    </x:xf>
    <x:xf numFmtId="0" fontId="8" fillId="7" borderId="17" xfId="0" applyNumberFormat="1" applyFont="1" applyFill="1" applyBorder="1" applyAlignment="1">
      <x:alignment vertical="top" wrapText="1"/>
    </x:xf>
    <x:xf numFmtId="0" fontId="8" fillId="7" borderId="18" xfId="0" applyNumberFormat="1" applyFont="1" applyFill="1" applyBorder="1" applyAlignment="1">
      <x:alignment vertical="top" wrapText="1"/>
    </x:xf>
    <x:xf numFmtId="0" fontId="9" fillId="7" borderId="7" xfId="0" applyNumberFormat="1" applyFont="1" applyFill="1" applyBorder="1" applyAlignment="1">
      <x:alignment vertical="top" wrapText="1"/>
    </x:xf>
    <x:xf numFmtId="0" fontId="9" fillId="7" borderId="8" xfId="0" applyNumberFormat="1" applyFont="1" applyFill="1" applyBorder="1" applyAlignment="1">
      <x:alignment vertical="top" wrapText="1"/>
    </x:xf>
    <x:xf numFmtId="0" fontId="9" fillId="7" borderId="9" xfId="0" applyNumberFormat="1" applyFont="1" applyFill="1" applyBorder="1" applyAlignment="1">
      <x:alignment vertical="top" wrapText="1"/>
    </x:xf>
    <x:xf numFmtId="0" fontId="9" fillId="7" borderId="16" xfId="0" applyNumberFormat="1" applyFont="1" applyFill="1" applyBorder="1" applyAlignment="1">
      <x:alignment vertical="top" wrapText="1"/>
    </x:xf>
    <x:xf numFmtId="0" fontId="9" fillId="7" borderId="17" xfId="0" applyNumberFormat="1" applyFont="1" applyFill="1" applyBorder="1" applyAlignment="1">
      <x:alignment vertical="top" wrapText="1"/>
    </x:xf>
    <x:xf numFmtId="0" fontId="9" fillId="7" borderId="18" xfId="0" applyNumberFormat="1" applyFont="1" applyFill="1" applyBorder="1" applyAlignment="1">
      <x:alignment vertical="top" wrapText="1"/>
    </x:xf>
    <x:xf numFmtId="0" fontId="8" fillId="8" borderId="7" xfId="0" applyNumberFormat="1" applyFont="1" applyFill="1" applyBorder="1" applyAlignment="1">
      <x:alignment vertical="top" wrapText="1"/>
    </x:xf>
    <x:xf numFmtId="0" fontId="8" fillId="8" borderId="8" xfId="0" applyNumberFormat="1" applyFont="1" applyFill="1" applyBorder="1" applyAlignment="1">
      <x:alignment vertical="top" wrapText="1"/>
    </x:xf>
    <x:xf numFmtId="0" fontId="8" fillId="8" borderId="9" xfId="0" applyNumberFormat="1" applyFont="1" applyFill="1" applyBorder="1" applyAlignment="1">
      <x:alignment vertical="top" wrapText="1"/>
    </x:xf>
    <x:xf numFmtId="0" fontId="8" fillId="8" borderId="16" xfId="0" applyNumberFormat="1" applyFont="1" applyFill="1" applyBorder="1" applyAlignment="1">
      <x:alignment vertical="top" wrapText="1"/>
    </x:xf>
    <x:xf numFmtId="0" fontId="8" fillId="8" borderId="17" xfId="0" applyNumberFormat="1" applyFont="1" applyFill="1" applyBorder="1" applyAlignment="1">
      <x:alignment vertical="top" wrapText="1"/>
    </x:xf>
    <x:xf numFmtId="0" fontId="8" fillId="8" borderId="18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2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wrapText="1"/>
    </x:xf>
    <x:xf numFmtId="0" fontId="8" fillId="9" borderId="9" xfId="0" applyNumberFormat="1" applyFont="1" applyFill="1" applyBorder="1" applyAlignment="1">
      <x:alignment vertical="top" wrapText="1"/>
    </x:xf>
    <x:xf numFmtId="0" fontId="8" fillId="9" borderId="18" xfId="0" applyNumberFormat="1" applyFont="1" applyFill="1" applyBorder="1" applyAlignment="1">
      <x:alignment vertical="top" wrapText="1"/>
    </x:xf>
    <x:xf numFmtId="0" fontId="9" fillId="9" borderId="9" xfId="0" applyNumberFormat="1" applyFont="1" applyFill="1" applyBorder="1" applyAlignment="1">
      <x:alignment vertical="top" wrapText="1"/>
    </x:xf>
    <x:xf numFmtId="0" fontId="9" fillId="9" borderId="18" xfId="0" applyNumberFormat="1" applyFont="1" applyFill="1" applyBorder="1" applyAlignment="1">
      <x:alignment vertical="top" wrapText="1"/>
    </x:xf>
    <x:xf numFmtId="0" fontId="8" fillId="6" borderId="9" xfId="0" applyNumberFormat="1" applyFont="1" applyFill="1" applyBorder="1" applyAlignment="1">
      <x:alignment vertical="top" wrapText="1"/>
    </x:xf>
    <x:xf numFmtId="0" fontId="8" fillId="6" borderId="18" xfId="0" applyNumberFormat="1" applyFont="1" applyFill="1" applyBorder="1" applyAlignment="1">
      <x:alignment vertical="top" wrapText="1"/>
    </x:xf>
    <x:xf numFmtId="0" fontId="9" fillId="6" borderId="9" xfId="0" applyNumberFormat="1" applyFont="1" applyFill="1" applyBorder="1" applyAlignment="1">
      <x:alignment vertical="top" wrapText="1"/>
    </x:xf>
    <x:xf numFmtId="0" fontId="9" fillId="6" borderId="18" xfId="0" applyNumberFormat="1" applyFont="1" applyFill="1" applyBorder="1" applyAlignment="1">
      <x:alignment vertical="top" wrapText="1"/>
    </x:xf>
    <x:xf numFmtId="0" fontId="8" fillId="10" borderId="9" xfId="0" applyNumberFormat="1" applyFont="1" applyFill="1" applyBorder="1" applyAlignment="1">
      <x:alignment vertical="top" wrapText="1"/>
    </x:xf>
    <x:xf numFmtId="0" fontId="8" fillId="10" borderId="18" xfId="0" applyNumberFormat="1" applyFont="1" applyFill="1" applyBorder="1" applyAlignment="1">
      <x:alignment vertical="top" wrapText="1"/>
    </x:xf>
    <x:xf numFmtId="0" fontId="9" fillId="10" borderId="9" xfId="0" applyNumberFormat="1" applyFont="1" applyFill="1" applyBorder="1" applyAlignment="1">
      <x:alignment vertical="top" wrapText="1"/>
    </x:xf>
    <x:xf numFmtId="0" fontId="9" fillId="10" borderId="18" xfId="0" applyNumberFormat="1" applyFont="1" applyFill="1" applyBorder="1" applyAlignment="1">
      <x:alignment vertical="top" wrapText="1"/>
    </x:xf>
    <x:xf numFmtId="0" fontId="8" fillId="6" borderId="12" xfId="0" applyNumberFormat="1" applyFont="1" applyFill="1" applyBorder="1" applyAlignment="1">
      <x:alignment vertical="top" wrapText="1"/>
    </x:xf>
    <x:xf numFmtId="0" fontId="8" fillId="6" borderId="21" xfId="0" applyNumberFormat="1" applyFont="1" applyFill="1" applyBorder="1" applyAlignment="1">
      <x:alignment vertical="top" wrapText="1"/>
    </x:xf>
    <x:xf numFmtId="0" fontId="9" fillId="6" borderId="12" xfId="0" applyNumberFormat="1" applyFont="1" applyFill="1" applyBorder="1" applyAlignment="1">
      <x:alignment vertical="top" wrapText="1"/>
    </x:xf>
    <x:xf numFmtId="0" fontId="9" fillId="6" borderId="21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af18b7b77457f" /><Relationship Type="http://schemas.openxmlformats.org/officeDocument/2006/relationships/theme" Target="/xl/theme/theme1.xml" Id="Rf72913a941b6433b" /><Relationship Type="http://schemas.openxmlformats.org/officeDocument/2006/relationships/sharedStrings" Target="/xl/sharedStrings.xml" Id="R750c18d7ed7d47c4" /><Relationship Type="http://schemas.openxmlformats.org/officeDocument/2006/relationships/worksheet" Target="/xl/worksheets/sheet1.xml" Id="Rc6f21aba56c34926" /><Relationship Type="http://schemas.openxmlformats.org/officeDocument/2006/relationships/worksheet" Target="/xl/worksheets/sheet2.xml" Id="Raa1baa16c4324e03" /><Relationship Type="http://schemas.openxmlformats.org/officeDocument/2006/relationships/worksheet" Target="/xl/worksheets/sheet3.xml" Id="R13e181632fa446d4" /><Relationship Type="http://schemas.openxmlformats.org/officeDocument/2006/relationships/worksheet" Target="/xl/worksheets/sheet4.xml" Id="R7f01e04e094c43ed" /><Relationship Type="http://schemas.openxmlformats.org/officeDocument/2006/relationships/worksheet" Target="/xl/worksheets/sheet5.xml" Id="Rbcfc35ab02eb47e5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109375" defaultRowHeight="15"/>
  <x:cols>
    <x:col min="1" max="1" width="6" customWidth="1"/>
    <x:col min="2" max="2" width="34" customWidth="1"/>
    <x:col min="3" max="3" width="13" customWidth="1"/>
    <x:col min="4" max="4" width="12" customWidth="1"/>
    <x:col min="5" max="5" width="46" customWidth="1"/>
    <x:col min="6" max="7" width="12" customWidth="1"/>
    <x:col min="8" max="8" width="14" customWidth="1"/>
    <x:col min="9" max="9" width="6" customWidth="1"/>
    <x:col min="10" max="11" width="9" customWidth="1"/>
    <x:col min="12" max="12" width="34" customWidth="1"/>
  </x:cols>
  <x:sheetData>
    <x:row r="1" ht="19.5" customHeight="1">
      <x:c r="A1" s="1" t="s">
        <x:v>0</x:v>
      </x:c>
    </x:row>
    <x:row r="2" ht="15" customHeight="1">
      <x:c r="A2" s="2" t="s">
        <x:v>1</x:v>
      </x:c>
      <x:c r="B2" s="3">
        <x:v>0.6</x:v>
      </x:c>
    </x:row>
    <x:row r="3" ht="15" customHeight="1">
      <x:c r="A3" s="2" t="s">
        <x:v>2</x:v>
      </x:c>
      <x:c r="B3" s="3">
        <x:v>1</x:v>
      </x:c>
    </x:row>
    <x:row r="4" ht="15" customHeight="1">
      <x:c r="A4" s="2" t="s">
        <x:v>3</x:v>
      </x:c>
      <x:c r="B4" s="4">
        <x:v>0.03</x:v>
      </x:c>
    </x:row>
    <x:row r="5" ht="15" customHeight="1">
      <x:c r="A5" s="2" t="s">
        <x:v>4</x:v>
      </x:c>
      <x:c r="B5" s="4">
        <x:v>0.1</x:v>
      </x:c>
    </x:row>
    <x:row r="6" ht="15" customHeight="1">
      <x:c r="A6" s="5" t="s">
        <x:v>5</x:v>
      </x:c>
    </x:row>
    <x:row r="7" ht="15" customHeight="1">
      <x:c r="A7" s="6" t="s">
        <x:v>6</x:v>
      </x:c>
      <x:c r="B7" s="6" t="s">
        <x:v>7</x:v>
      </x:c>
      <x:c r="C7" s="6" t="s">
        <x:v>8</x:v>
      </x:c>
      <x:c r="D7" s="6" t="s">
        <x:v>9</x:v>
      </x:c>
      <x:c r="E7" s="6" t="s">
        <x:v>10</x:v>
      </x:c>
      <x:c r="F7" s="6" t="s">
        <x:v>11</x:v>
      </x:c>
      <x:c r="G7" s="6" t="s">
        <x:v>12</x:v>
      </x:c>
      <x:c r="H7" s="6" t="s">
        <x:v>13</x:v>
      </x:c>
      <x:c r="I7" s="6" t="s">
        <x:v>14</x:v>
      </x:c>
      <x:c r="J7" s="6" t="s">
        <x:v>15</x:v>
      </x:c>
      <x:c r="K7" s="6" t="s">
        <x:v>16</x:v>
      </x:c>
      <x:c r="L7" s="6" t="s">
        <x:v>17</x:v>
      </x:c>
    </x:row>
    <x:row r="8" ht="15" customHeight="1">
      <x:c r="A8" s="7">
        <x:v>1</x:v>
      </x:c>
      <x:c r="B8" s="8" t="s">
        <x:v>18</x:v>
      </x:c>
      <x:c r="C8" s="9" t="s">
        <x:v>19</x:v>
      </x:c>
      <x:c r="D8" s="9" t="s">
        <x:v>19</x:v>
      </x:c>
      <x:c r="E8" s="9" t="s">
        <x:v>20</x:v>
      </x:c>
      <x:c r="F8" s="10">
        <x:v>0</x:v>
      </x:c>
      <x:c r="G8" s="10">
        <x:v>0</x:v>
      </x:c>
      <x:c r="H8" s="10">
        <x:v>0</x:v>
      </x:c>
      <x:c r="I8" s="7">
        <x:v>1</x:v>
      </x:c>
      <x:c r="J8" s="7" t="s">
        <x:v>21</x:v>
      </x:c>
      <x:c r="K8" s="11" t="s">
        <x:v>22</x:v>
      </x:c>
      <x:c r="L8" s="9" t="s">
        <x:v>23</x:v>
      </x:c>
    </x:row>
    <x:row r="9" ht="15" customHeight="1">
      <x:c r="A9" s="7">
        <x:v>2</x:v>
      </x:c>
      <x:c r="B9" s="9" t="s">
        <x:v>24</x:v>
      </x:c>
      <x:c r="C9" s="9" t="s">
        <x:v>25</x:v>
      </x:c>
      <x:c r="D9" s="9" t="s">
        <x:v>26</x:v>
      </x:c>
      <x:c r="E9" s="9" t="s">
        <x:v>27</x:v>
      </x:c>
      <x:c r="F9" s="10">
        <x:v>87840</x:v>
      </x:c>
      <x:c r="G9" s="10" t="n">
        <x:f>F9*$B$3</x:f>
        <x:v>87840</x:v>
      </x:c>
      <x:c r="H9" s="10" t="n">
        <x:f t="shared" ref="H9:H22" si="0">G9*I9</x:f>
        <x:v>87840</x:v>
      </x:c>
      <x:c r="I9" s="7">
        <x:v>1</x:v>
      </x:c>
      <x:c r="J9" s="7" t="s">
        <x:v>28</x:v>
      </x:c>
      <x:c r="K9" s="7" t="s">
        <x:v>29</x:v>
      </x:c>
      <x:c r="L9" s="9" t="s">
        <x:v>30</x:v>
      </x:c>
    </x:row>
    <x:row r="10" ht="15" customHeight="1">
      <x:c r="A10" s="7">
        <x:v>3</x:v>
      </x:c>
      <x:c r="B10" s="9" t="s">
        <x:v>31</x:v>
      </x:c>
      <x:c r="C10" s="9" t="s">
        <x:v>25</x:v>
      </x:c>
      <x:c r="D10" s="9" t="s">
        <x:v>32</x:v>
      </x:c>
      <x:c r="E10" s="9" t="s">
        <x:v>33</x:v>
      </x:c>
      <x:c r="F10" s="10">
        <x:v>25890</x:v>
      </x:c>
      <x:c r="G10" s="10" t="n">
        <x:f>F10*$B$3</x:f>
        <x:v>25890</x:v>
      </x:c>
      <x:c r="H10" s="10">
        <x:f t="shared" si="0"/>
        <x:v>51780</x:v>
      </x:c>
      <x:c r="I10" s="7">
        <x:v>2</x:v>
      </x:c>
      <x:c r="J10" s="7" t="s">
        <x:v>28</x:v>
      </x:c>
      <x:c r="K10" s="7" t="s">
        <x:v>29</x:v>
      </x:c>
      <x:c r="L10" s="9" t="s">
        <x:v>34</x:v>
      </x:c>
    </x:row>
    <x:row r="11" ht="23.25" customHeight="1">
      <x:c r="A11" s="7">
        <x:v>4</x:v>
      </x:c>
      <x:c r="B11" s="9" t="s">
        <x:v>35</x:v>
      </x:c>
      <x:c r="C11" s="9" t="s">
        <x:v>36</x:v>
      </x:c>
      <x:c r="D11" s="9" t="s">
        <x:v>37</x:v>
      </x:c>
      <x:c r="E11" s="9" t="s">
        <x:v>38</x:v>
      </x:c>
      <x:c r="F11" s="10">
        <x:v>129712</x:v>
      </x:c>
      <x:c r="G11" s="10" t="n">
        <x:f>F11*$B$2</x:f>
        <x:v>77827.2</x:v>
      </x:c>
      <x:c r="H11" s="10">
        <x:f t="shared" si="0"/>
        <x:v>77827.199999999997</x:v>
      </x:c>
      <x:c r="I11" s="7">
        <x:v>1</x:v>
      </x:c>
      <x:c r="J11" s="7" t="s">
        <x:v>28</x:v>
      </x:c>
      <x:c r="K11" s="7" t="s">
        <x:v>39</x:v>
      </x:c>
      <x:c r="L11" s="9" t="s">
        <x:v>40</x:v>
      </x:c>
    </x:row>
    <x:row r="12" ht="23.25" customHeight="1">
      <x:c r="A12" s="7">
        <x:v>5</x:v>
      </x:c>
      <x:c r="B12" s="9" t="s">
        <x:v>41</x:v>
      </x:c>
      <x:c r="C12" s="9" t="s">
        <x:v>42</x:v>
      </x:c>
      <x:c r="D12" s="9" t="s">
        <x:v>43</x:v>
      </x:c>
      <x:c r="E12" s="9" t="s">
        <x:v>44</x:v>
      </x:c>
      <x:c r="F12" s="10">
        <x:v>90077</x:v>
      </x:c>
      <x:c r="G12" s="10" t="n">
        <x:f>F12*$B$2</x:f>
        <x:v>54046.2</x:v>
      </x:c>
      <x:c r="H12" s="10">
        <x:f t="shared" si="0"/>
        <x:v>162138.59999999998</x:v>
      </x:c>
      <x:c r="I12" s="7">
        <x:v>3</x:v>
      </x:c>
      <x:c r="J12" s="7" t="s">
        <x:v>28</x:v>
      </x:c>
      <x:c r="K12" s="7" t="s">
        <x:v>39</x:v>
      </x:c>
      <x:c r="L12" s="9" t="s">
        <x:v>45</x:v>
      </x:c>
    </x:row>
    <x:row r="13" ht="23.25" customHeight="1">
      <x:c r="A13" s="7">
        <x:v>6</x:v>
      </x:c>
      <x:c r="B13" s="9" t="s">
        <x:v>46</x:v>
      </x:c>
      <x:c r="C13" s="9" t="s">
        <x:v>42</x:v>
      </x:c>
      <x:c r="D13" s="9" t="s">
        <x:v>47</x:v>
      </x:c>
      <x:c r="E13" s="9" t="s">
        <x:v>48</x:v>
      </x:c>
      <x:c r="F13" s="10">
        <x:v>68418</x:v>
      </x:c>
      <x:c r="G13" s="10" t="n">
        <x:f>F13*$B$2</x:f>
        <x:v>41050.799999999996</x:v>
      </x:c>
      <x:c r="H13" s="10">
        <x:f t="shared" si="0"/>
        <x:v>82101.599999999991</x:v>
      </x:c>
      <x:c r="I13" s="7">
        <x:v>2</x:v>
      </x:c>
      <x:c r="J13" s="7" t="s">
        <x:v>28</x:v>
      </x:c>
      <x:c r="K13" s="7" t="s">
        <x:v>39</x:v>
      </x:c>
      <x:c r="L13" s="9" t="s">
        <x:v>49</x:v>
      </x:c>
    </x:row>
    <x:row r="14" ht="15" customHeight="1">
      <x:c r="A14" s="7">
        <x:v>7</x:v>
      </x:c>
      <x:c r="B14" s="9" t="s">
        <x:v>50</x:v>
      </x:c>
      <x:c r="C14" s="9" t="s">
        <x:v>51</x:v>
      </x:c>
      <x:c r="D14" s="9" t="s">
        <x:v>52</x:v>
      </x:c>
      <x:c r="E14" s="9" t="s">
        <x:v>53</x:v>
      </x:c>
      <x:c r="F14" s="10">
        <x:v>5334</x:v>
      </x:c>
      <x:c r="G14" s="10" t="n">
        <x:f>F14*$B$2</x:f>
        <x:v>3200.4</x:v>
      </x:c>
      <x:c r="H14" s="10">
        <x:f t="shared" si="0"/>
        <x:v>9601.2000000000007</x:v>
      </x:c>
      <x:c r="I14" s="7">
        <x:v>3</x:v>
      </x:c>
      <x:c r="J14" s="7" t="s">
        <x:v>28</x:v>
      </x:c>
      <x:c r="K14" s="7" t="s">
        <x:v>39</x:v>
      </x:c>
      <x:c r="L14" s="9" t="s">
        <x:v>54</x:v>
      </x:c>
    </x:row>
    <x:row r="15" ht="15" customHeight="1">
      <x:c r="A15" s="7">
        <x:v>8</x:v>
      </x:c>
      <x:c r="B15" s="9" t="s">
        <x:v>55</x:v>
      </x:c>
      <x:c r="C15" s="9" t="s">
        <x:v>51</x:v>
      </x:c>
      <x:c r="D15" s="9" t="s">
        <x:v>56</x:v>
      </x:c>
      <x:c r="E15" s="9" t="s">
        <x:v>57</x:v>
      </x:c>
      <x:c r="F15" s="10">
        <x:v>5462</x:v>
      </x:c>
      <x:c r="G15" s="10" t="n">
        <x:f>F15*$B$2</x:f>
        <x:v>3277.2</x:v>
      </x:c>
      <x:c r="H15" s="10">
        <x:f t="shared" si="0"/>
        <x:v>9831.5999999999985</x:v>
      </x:c>
      <x:c r="I15" s="7">
        <x:v>3</x:v>
      </x:c>
      <x:c r="J15" s="7" t="s">
        <x:v>28</x:v>
      </x:c>
      <x:c r="K15" s="7" t="s">
        <x:v>39</x:v>
      </x:c>
      <x:c r="L15" s="9" t="s">
        <x:v>54</x:v>
      </x:c>
    </x:row>
    <x:row r="16" ht="15" customHeight="1">
      <x:c r="A16" s="7">
        <x:v>9</x:v>
      </x:c>
      <x:c r="B16" s="9" t="s">
        <x:v>58</x:v>
      </x:c>
      <x:c r="C16" s="9" t="s">
        <x:v>59</x:v>
      </x:c>
      <x:c r="D16" s="9" t="s">
        <x:v>60</x:v>
      </x:c>
      <x:c r="E16" s="9" t="s">
        <x:v>61</x:v>
      </x:c>
      <x:c r="F16" s="10">
        <x:v>13934</x:v>
      </x:c>
      <x:c r="G16" s="10" t="n">
        <x:f t="shared" ref="G16:G21" si="1">F16*$B$3</x:f>
        <x:v>13934</x:v>
      </x:c>
      <x:c r="H16" s="10">
        <x:f t="shared" si="0"/>
        <x:v>27868</x:v>
      </x:c>
      <x:c r="I16" s="7">
        <x:v>2</x:v>
      </x:c>
      <x:c r="J16" s="7" t="s">
        <x:v>28</x:v>
      </x:c>
      <x:c r="K16" s="7" t="s">
        <x:v>29</x:v>
      </x:c>
      <x:c r="L16" s="9" t="s">
        <x:v>62</x:v>
      </x:c>
    </x:row>
    <x:row r="17" ht="15" customHeight="1">
      <x:c r="A17" s="7">
        <x:v>10</x:v>
      </x:c>
      <x:c r="B17" s="9" t="s">
        <x:v>63</x:v>
      </x:c>
      <x:c r="C17" s="9" t="s">
        <x:v>59</x:v>
      </x:c>
      <x:c r="D17" s="9" t="s">
        <x:v>64</x:v>
      </x:c>
      <x:c r="E17" s="9" t="s">
        <x:v>65</x:v>
      </x:c>
      <x:c r="F17" s="10">
        <x:v>1147</x:v>
      </x:c>
      <x:c r="G17" s="10">
        <x:f t="shared" si="1"/>
        <x:v>1147</x:v>
      </x:c>
      <x:c r="H17" s="10">
        <x:f t="shared" si="0"/>
        <x:v>1147</x:v>
      </x:c>
      <x:c r="I17" s="7">
        <x:v>1</x:v>
      </x:c>
      <x:c r="J17" s="7" t="s">
        <x:v>28</x:v>
      </x:c>
      <x:c r="K17" s="7" t="s">
        <x:v>29</x:v>
      </x:c>
      <x:c r="L17" s="9" t="s">
        <x:v>66</x:v>
      </x:c>
    </x:row>
    <x:row r="18" ht="15" customHeight="1">
      <x:c r="A18" s="7">
        <x:v>11</x:v>
      </x:c>
      <x:c r="B18" s="9" t="s">
        <x:v>67</x:v>
      </x:c>
      <x:c r="C18" s="9" t="s">
        <x:v>59</x:v>
      </x:c>
      <x:c r="D18" s="9" t="s">
        <x:v>68</x:v>
      </x:c>
      <x:c r="E18" s="9" t="s">
        <x:v>69</x:v>
      </x:c>
      <x:c r="F18" s="10">
        <x:v>1194</x:v>
      </x:c>
      <x:c r="G18" s="10">
        <x:f t="shared" si="1"/>
        <x:v>1194</x:v>
      </x:c>
      <x:c r="H18" s="10">
        <x:f t="shared" si="0"/>
        <x:v>1194</x:v>
      </x:c>
      <x:c r="I18" s="7">
        <x:v>1</x:v>
      </x:c>
      <x:c r="J18" s="7" t="s">
        <x:v>28</x:v>
      </x:c>
      <x:c r="K18" s="7" t="s">
        <x:v>29</x:v>
      </x:c>
      <x:c r="L18" s="9" t="s">
        <x:v>70</x:v>
      </x:c>
    </x:row>
    <x:row r="19" ht="15" customHeight="1">
      <x:c r="A19" s="7">
        <x:v>12</x:v>
      </x:c>
      <x:c r="B19" s="9" t="s">
        <x:v>71</x:v>
      </x:c>
      <x:c r="C19" s="9" t="s">
        <x:v>72</x:v>
      </x:c>
      <x:c r="D19" s="9" t="s">
        <x:v>73</x:v>
      </x:c>
      <x:c r="E19" s="9" t="s">
        <x:v>74</x:v>
      </x:c>
      <x:c r="F19" s="10">
        <x:v>508</x:v>
      </x:c>
      <x:c r="G19" s="10">
        <x:f t="shared" si="1"/>
        <x:v>508</x:v>
      </x:c>
      <x:c r="H19" s="10">
        <x:f t="shared" si="0"/>
        <x:v>1016</x:v>
      </x:c>
      <x:c r="I19" s="7">
        <x:v>2</x:v>
      </x:c>
      <x:c r="J19" s="7" t="s">
        <x:v>28</x:v>
      </x:c>
      <x:c r="K19" s="7" t="s">
        <x:v>29</x:v>
      </x:c>
      <x:c r="L19" s="9" t="s">
        <x:v>75</x:v>
      </x:c>
    </x:row>
    <x:row r="20" ht="15" customHeight="1">
      <x:c r="A20" s="7">
        <x:v>13</x:v>
      </x:c>
      <x:c r="B20" s="9" t="s">
        <x:v>76</x:v>
      </x:c>
      <x:c r="C20" s="9" t="s">
        <x:v>72</x:v>
      </x:c>
      <x:c r="D20" s="9" t="s">
        <x:v>77</x:v>
      </x:c>
      <x:c r="E20" s="9" t="s">
        <x:v>78</x:v>
      </x:c>
      <x:c r="F20" s="10">
        <x:v>237</x:v>
      </x:c>
      <x:c r="G20" s="10">
        <x:f t="shared" si="1"/>
        <x:v>237</x:v>
      </x:c>
      <x:c r="H20" s="10">
        <x:f t="shared" si="0"/>
        <x:v>474</x:v>
      </x:c>
      <x:c r="I20" s="7">
        <x:v>2</x:v>
      </x:c>
      <x:c r="J20" s="7" t="s">
        <x:v>28</x:v>
      </x:c>
      <x:c r="K20" s="7" t="s">
        <x:v>29</x:v>
      </x:c>
      <x:c r="L20" s="9" t="s">
        <x:v>79</x:v>
      </x:c>
    </x:row>
    <x:row r="21" ht="15" customHeight="1">
      <x:c r="A21" s="7">
        <x:v>14</x:v>
      </x:c>
      <x:c r="B21" s="9" t="s">
        <x:v>80</x:v>
      </x:c>
      <x:c r="C21" s="9" t="s">
        <x:v>81</x:v>
      </x:c>
      <x:c r="D21" s="9" t="s">
        <x:v>82</x:v>
      </x:c>
      <x:c r="E21" s="9" t="s">
        <x:v>83</x:v>
      </x:c>
      <x:c r="F21" s="10">
        <x:v>1808</x:v>
      </x:c>
      <x:c r="G21" s="10">
        <x:f t="shared" si="1"/>
        <x:v>1808</x:v>
      </x:c>
      <x:c r="H21" s="10">
        <x:f t="shared" si="0"/>
        <x:v>7232</x:v>
      </x:c>
      <x:c r="I21" s="7">
        <x:v>4</x:v>
      </x:c>
      <x:c r="J21" s="7" t="s">
        <x:v>28</x:v>
      </x:c>
      <x:c r="K21" s="7" t="s">
        <x:v>29</x:v>
      </x:c>
      <x:c r="L21" s="9" t="s">
        <x:v>84</x:v>
      </x:c>
    </x:row>
    <x:row r="22" ht="15" customHeight="1">
      <x:c r="A22" s="7">
        <x:v>15</x:v>
      </x:c>
      <x:c r="B22" s="9" t="s">
        <x:v>85</x:v>
      </x:c>
      <x:c r="C22" s="9" t="s">
        <x:v>86</x:v>
      </x:c>
      <x:c r="D22" s="9" t="s">
        <x:v>87</x:v>
      </x:c>
      <x:c r="E22" s="9" t="s">
        <x:v>88</x:v>
      </x:c>
      <x:c r="F22" s="10">
        <x:v>869</x:v>
      </x:c>
      <x:c r="G22" s="10" t="n">
        <x:f>F22*$B$2</x:f>
        <x:v>521.4</x:v>
      </x:c>
      <x:c r="H22" s="10">
        <x:f t="shared" si="0"/>
        <x:v>1564.1999999999998</x:v>
      </x:c>
      <x:c r="I22" s="7">
        <x:v>3</x:v>
      </x:c>
      <x:c r="J22" s="7" t="s">
        <x:v>28</x:v>
      </x:c>
      <x:c r="K22" s="7" t="s">
        <x:v>39</x:v>
      </x:c>
      <x:c r="L22" s="9" t="s">
        <x:v>89</x:v>
      </x:c>
    </x:row>
    <x:row r="23" ht="23.25" customHeight="1">
      <x:c r="A23" s="7">
        <x:v>16</x:v>
      </x:c>
      <x:c r="B23" s="9" t="s">
        <x:v>90</x:v>
      </x:c>
      <x:c r="C23" s="9" t="s">
        <x:v>91</x:v>
      </x:c>
      <x:c r="D23" s="9"/>
      <x:c r="E23" s="9" t="s">
        <x:v>92</x:v>
      </x:c>
      <x:c r="F23" s="10"/>
      <x:c r="G23" s="10"/>
      <x:c r="H23" s="10" t="n">
        <x:f>SUM(H9:H22)*$B$4</x:f>
        <x:v>15648.461999999998</x:v>
      </x:c>
      <x:c r="I23" s="7">
        <x:v>1</x:v>
      </x:c>
      <x:c r="J23" s="7" t="s">
        <x:v>93</x:v>
      </x:c>
      <x:c r="K23" s="7" t="s">
        <x:v>19</x:v>
      </x:c>
      <x:c r="L23" s="9" t="s">
        <x:v>94</x:v>
      </x:c>
    </x:row>
    <x:row r="24" ht="23.25" customHeight="1">
      <x:c r="A24" s="7">
        <x:v>17</x:v>
      </x:c>
      <x:c r="B24" s="9" t="s">
        <x:v>95</x:v>
      </x:c>
      <x:c r="C24" s="9" t="s">
        <x:v>96</x:v>
      </x:c>
      <x:c r="D24" s="9"/>
      <x:c r="E24" s="9" t="s">
        <x:v>95</x:v>
      </x:c>
      <x:c r="F24" s="10"/>
      <x:c r="G24" s="10"/>
      <x:c r="H24" s="10" t="n">
        <x:f>SUM(H9:H22)*$B$5</x:f>
        <x:v>52161.54</x:v>
      </x:c>
      <x:c r="I24" s="7">
        <x:v>1</x:v>
      </x:c>
      <x:c r="J24" s="7" t="s">
        <x:v>93</x:v>
      </x:c>
      <x:c r="K24" s="7" t="s">
        <x:v>19</x:v>
      </x:c>
      <x:c r="L24" s="9" t="s">
        <x:v>94</x:v>
      </x:c>
    </x:row>
    <x:row r="25" ht="15" customHeight="1">
      <x:c r="A25" s="12"/>
      <x:c r="B25" s="13" t="s">
        <x:v>97</x:v>
      </x:c>
      <x:c r="C25" s="13"/>
      <x:c r="D25" s="13"/>
      <x:c r="E25" s="13"/>
      <x:c r="F25" s="14"/>
      <x:c r="G25" s="14"/>
      <x:c r="H25" s="14" t="n">
        <x:f>SUM(H8:H24)</x:f>
        <x:v>589425.402</x:v>
      </x:c>
      <x:c r="I25" s="12">
        <x:v>1</x:v>
      </x:c>
      <x:c r="J25" s="12" t="s">
        <x:v>93</x:v>
      </x:c>
      <x:c r="K25" s="12"/>
      <x:c r="L25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7109375" defaultRowHeight="15"/>
  <x:cols>
    <x:col min="1" max="1" width="120" customWidth="1"/>
    <x:col min="2" max="2" width="16" customWidth="1"/>
    <x:col min="3" max="3" width="46" customWidth="1"/>
  </x:cols>
  <x:sheetData>
    <x:row r="1" ht="15" customHeight="1">
      <x:c r="A1" s="1" t="s">
        <x:v>98</x:v>
      </x:c>
    </x:row>
    <x:row r="3" ht="15" customHeight="1">
      <x:c r="A3" s="15" t="s">
        <x:v>99</x:v>
      </x:c>
      <x:c r="B3" s="6" t="s">
        <x:v>100</x:v>
      </x:c>
      <x:c r="C3" s="15" t="s">
        <x:v>101</x:v>
      </x:c>
    </x:row>
    <x:row r="4" ht="15" customHeight="1">
      <x:c r="A4" s="16" t="s">
        <x:v>22</x:v>
      </x:c>
      <x:c r="B4" s="17" t="n">
        <x:f>BOM!H25</x:f>
        <x:v>589425.402</x:v>
      </x:c>
      <x:c r="C4" s="16" t="s">
        <x:v>102</x:v>
      </x:c>
    </x:row>
    <x:row r="6" ht="15" customHeight="1">
      <x:c r="A6" s="18" t="s">
        <x:v>103</x:v>
      </x:c>
    </x:row>
    <x:row r="7" ht="21.75" customHeight="1">
      <x:c r="A7" s="19" t="s">
        <x:v>104</x:v>
      </x:c>
    </x:row>
    <x:row r="8" ht="21.75" customHeight="1">
      <x:c r="A8" s="19" t="s">
        <x:v>105</x:v>
      </x:c>
    </x:row>
    <x:row r="9" ht="15" customHeight="1">
      <x:c r="A9" s="19" t="s">
        <x:v>106</x:v>
      </x:c>
    </x:row>
    <x:row r="10" ht="15" customHeight="1">
      <x:c r="A10" s="19" t="s">
        <x:v>107</x:v>
      </x:c>
    </x:row>
    <x:row r="11" ht="15" customHeight="1">
      <x:c r="A11" s="19" t="s">
        <x:v>108</x:v>
      </x:c>
    </x:row>
    <x:row r="12" ht="21.75" customHeight="1">
      <x:c r="A12" s="19" t="s">
        <x:v>109</x:v>
      </x:c>
    </x:row>
    <x:row r="13" ht="15" customHeight="1">
      <x:c r="A13" s="19" t="s">
        <x:v>110</x:v>
      </x:c>
    </x:row>
    <x:row r="14" ht="15" customHeight="1">
      <x:c r="A14" s="19" t="s">
        <x:v>111</x:v>
      </x:c>
    </x:row>
    <x:row r="15" ht="15" customHeight="1">
      <x:c r="A15" s="19" t="s">
        <x:v>112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31" hidden="0" customWidth="1"/>
    <x:col min="5" max="5" width="48" hidden="0" customWidth="1"/>
    <x:col min="6" max="6" width="10" hidden="0" customWidth="1"/>
    <x:col min="7" max="7" width="11" hidden="0" customWidth="1"/>
    <x:col min="8" max="8" width="20" hidden="0" customWidth="1"/>
    <x:col min="9" max="9" width="25" hidden="0" customWidth="1"/>
    <x:col min="10" max="10" width="43" hidden="0" customWidth="1"/>
    <x:col min="11" max="11" width="14" hidden="0" customWidth="1"/>
  </x:cols>
  <x:sheetData>
    <x:row r="1" ht="34" customHeight="1">
      <x:c r="A1" s="58" t="str">
        <x:v>Pano</x:v>
      </x:c>
      <x:c r="B1" s="59" t="str">
        <x:v>Kategori</x:v>
      </x:c>
      <x:c r="C1" s="59" t="str">
        <x:v>Ürün Kodu</x:v>
      </x:c>
      <x:c r="D1" s="59" t="str">
        <x:v>Ürün İsmi/Açıklama</x:v>
      </x:c>
      <x:c r="E1" s="59" t="str">
        <x:v>Teknik Özellik</x:v>
      </x:c>
      <x:c r="F1" s="59" t="str">
        <x:v>Miktar</x:v>
      </x:c>
      <x:c r="G1" s="59" t="str">
        <x:v>Birim</x:v>
      </x:c>
      <x:c r="H1" s="59" t="str">
        <x:v>Marka/Tedarikçi</x:v>
      </x:c>
      <x:c r="I1" s="59" t="str">
        <x:v>Kaynak</x:v>
      </x:c>
      <x:c r="J1" s="59" t="str">
        <x:v>Not</x:v>
      </x:c>
      <x:c r="K1" s="60" t="str">
        <x:v>Tahmini modül</x:v>
      </x:c>
    </x:row>
    <x:row r="2" ht="44" customHeight="1">
      <x:c r="A2" s="84" t="str">
        <x:v>Щ-РСГ</x:v>
      </x:c>
      <x:c r="B2" s="85" t="str">
        <x:v>Pano</x:v>
      </x:c>
      <x:c r="C2" s="85" t="str">
        <x:v>—</x:v>
      </x:c>
      <x:c r="D2" s="85" t="str">
        <x:v>Щ-РСГ dağıtım panosu komplekt</x:v>
      </x:c>
      <x:c r="E2" s="85" t="str">
        <x:v>400/230V, 50Hz; IP31; ana şalter 630A; proje etiketi In=1000A; Ik=22,29kA</x:v>
      </x:c>
      <x:c r="F2" s="85" t="n">
        <x:v>1</x:v>
      </x:c>
      <x:c r="G2" s="85" t="str">
        <x:v>компл.</x:v>
      </x:c>
      <x:c r="H2" s="85" t="str">
        <x:v>TEKLED</x:v>
      </x:c>
      <x:c r="I2" s="85" t="str">
        <x:v>SLD 37.1.3</x:v>
      </x:c>
      <x:c r="J2" s="85" t="str">
        <x:v>Pano iç malzemeleri 1 pano içindir.</x:v>
      </x:c>
      <x:c r="K2" s="86" t="n">
        <x:v>0</x:v>
      </x:c>
    </x:row>
    <x:row r="3" ht="44" customHeight="1">
      <x:c r="A3" s="90" t="str">
        <x:v>Щ-РСГ</x:v>
      </x:c>
      <x:c r="B3" s="91" t="str">
        <x:v>Корпус</x:v>
      </x:c>
      <x:c r="C3" s="91" t="str">
        <x:v>TEKLED-R1-2000x1600x800</x:v>
      </x:c>
      <x:c r="D3" s="91" t="str">
        <x:v>Zemin tipi iki bölmeli metal pano</x:v>
      </x:c>
      <x:c r="E3" s="91" t="str">
        <x:v>2000(H)×1600(W)×800(D) mm + 100 mm kaide; 800+800 mm; 2 kapı; RAL7035; IP31; alt kablo girişi; %20 yedek</x:v>
      </x:c>
      <x:c r="F3" s="91" t="n">
        <x:v>1</x:v>
      </x:c>
      <x:c r="G3" s="91" t="str">
        <x:v>шт.</x:v>
      </x:c>
      <x:c r="H3" s="91" t="str">
        <x:v>TEKLED</x:v>
      </x:c>
      <x:c r="I3" s="91" t="str">
        <x:v>TEKLED R1</x:v>
      </x:c>
      <x:c r="J3" s="91" t="str">
        <x:v>EKT ЩО-70 800 korpus iptal edildi.</x:v>
      </x:c>
      <x:c r="K3" s="92" t="n">
        <x:v>0</x:v>
      </x:c>
    </x:row>
    <x:row r="4" ht="44" customHeight="1">
      <x:c r="A4" s="61" t="str">
        <x:v>Щ-РСГ</x:v>
      </x:c>
      <x:c r="B4" s="62" t="str">
        <x:v>Монтажная плита</x:v>
      </x:c>
      <x:c r="C4" s="62" t="str">
        <x:v>TEKLED-MP-800</x:v>
      </x:c>
      <x:c r="D4" s="62" t="str">
        <x:v>Galvanizli montaj plakası</x:v>
      </x:c>
      <x:c r="E4" s="62" t="str">
        <x:v>2,5 mm; iki bölüm için</x:v>
      </x:c>
      <x:c r="F4" s="62" t="n">
        <x:v>2</x:v>
      </x:c>
      <x:c r="G4" s="62" t="str">
        <x:v>шт.</x:v>
      </x:c>
      <x:c r="H4" s="62" t="str">
        <x:v>TEKLED</x:v>
      </x:c>
      <x:c r="I4" s="62" t="str">
        <x:v>TEKLED R1</x:v>
      </x:c>
      <x:c r="J4" s="62" t="str">
        <x:v>Korpus komplektine dahil edilebilir.</x:v>
      </x:c>
      <x:c r="K4" s="63" t="n">
        <x:v>0</x:v>
      </x:c>
    </x:row>
    <x:row r="5" ht="44" customHeight="1">
      <x:c r="A5" s="61" t="str">
        <x:v>Щ-РСГ</x:v>
      </x:c>
      <x:c r="B5" s="62" t="str">
        <x:v>Перегородка</x:v>
      </x:c>
      <x:c r="C5" s="62" t="str">
        <x:v>TEKLED-FORM2B</x:v>
      </x:c>
      <x:c r="D5" s="62" t="str">
        <x:v>Bara ve cihaz bölme seti</x:v>
      </x:c>
      <x:c r="E5" s="62" t="str">
        <x:v>Minimum Form 2b; şeffaf bara koruması ve kablo bölmesi</x:v>
      </x:c>
      <x:c r="F5" s="62" t="n">
        <x:v>1</x:v>
      </x:c>
      <x:c r="G5" s="62" t="str">
        <x:v>компл.</x:v>
      </x:c>
      <x:c r="H5" s="62" t="str">
        <x:v>TEKLED</x:v>
      </x:c>
      <x:c r="I5" s="62" t="str">
        <x:v>TEKLED R1</x:v>
      </x:c>
      <x:c r="J5" s="62" t="str">
        <x:v>Hastane panosu için tavsiye edilen güvenlik seviyesi.</x:v>
      </x:c>
      <x:c r="K5" s="63" t="n">
        <x:v>0</x:v>
      </x:c>
    </x:row>
    <x:row r="6" ht="44" customHeight="1">
      <x:c r="A6" s="61" t="str">
        <x:v>Щ-РСГ</x:v>
      </x:c>
      <x:c r="B6" s="62" t="str">
        <x:v>Рубильник</x:v>
      </x:c>
      <x:c r="C6" s="62" t="str">
        <x:v>393267</x:v>
      </x:c>
      <x:c r="D6" s="62" t="str">
        <x:v>Ana yük ayırıcı QO1 / QS</x:v>
      </x:c>
      <x:c r="E6" s="62" t="str">
        <x:v>NH40-630/3; 3P; 630A; IEC 60947-3</x:v>
      </x:c>
      <x:c r="F6" s="62" t="n">
        <x:v>1</x:v>
      </x:c>
      <x:c r="G6" s="62" t="str">
        <x:v>шт.</x:v>
      </x:c>
      <x:c r="H6" s="62" t="str">
        <x:v>CHINT</x:v>
      </x:c>
      <x:c r="I6" s="62" t="str">
        <x:v>SLD 37.1.3 / CHINT NH40</x:v>
      </x:c>
      <x:c r="J6" s="62" t="str">
        <x:v>Kapıdan kumandalı döner kol ile.</x:v>
      </x:c>
      <x:c r="K6" s="63" t="n">
        <x:v>24</x:v>
      </x:c>
    </x:row>
    <x:row r="7" ht="44" customHeight="1">
      <x:c r="A7" s="61" t="str">
        <x:v>Щ-РСГ</x:v>
      </x:c>
      <x:c r="B7" s="62" t="str">
        <x:v>Аксессуар</x:v>
      </x:c>
      <x:c r="C7" s="62" t="str">
        <x:v>KONTROL</x:v>
      </x:c>
      <x:c r="D7" s="62" t="str">
        <x:v>NH40 uzatmalı döner kol ve mil</x:v>
      </x:c>
      <x:c r="E7" s="62" t="str">
        <x:v>630A ayırıcı için kapı kilitlemeli mekanizma</x:v>
      </x:c>
      <x:c r="F7" s="62" t="n">
        <x:v>1</x:v>
      </x:c>
      <x:c r="G7" s="62" t="str">
        <x:v>компл.</x:v>
      </x:c>
      <x:c r="H7" s="62" t="str">
        <x:v>CHINT</x:v>
      </x:c>
      <x:c r="I7" s="62" t="str">
        <x:v>CHINT NH40 katalog</x:v>
      </x:c>
      <x:c r="J7" s="62" t="str">
        <x:v>Kesin aksesuar kodu tedarikçi teyidi.</x:v>
      </x:c>
      <x:c r="K7" s="63" t="n">
        <x:v>0</x:v>
      </x:c>
    </x:row>
    <x:row r="8" ht="44" customHeight="1">
      <x:c r="A8" s="61" t="str">
        <x:v>Щ-РСГ</x:v>
      </x:c>
      <x:c r="B8" s="62" t="str">
        <x:v>ТМШ</x:v>
      </x:c>
      <x:c r="C8" s="62" t="str">
        <x:v>271144</x:v>
      </x:c>
      <x:c r="D8" s="62" t="str">
        <x:v>QF1-QF3 MCCB</x:v>
      </x:c>
      <x:c r="E8" s="62" t="str">
        <x:v>NM8N-250C TM; 3P; 200A; 36kA; ayarlanabilir termomanyetik</x:v>
      </x:c>
      <x:c r="F8" s="62" t="n">
        <x:v>3</x:v>
      </x:c>
      <x:c r="G8" s="62" t="str">
        <x:v>шт.</x:v>
      </x:c>
      <x:c r="H8" s="62" t="str">
        <x:v>CHINT</x:v>
      </x:c>
      <x:c r="I8" s="62" t="str">
        <x:v>SLD QF1-QF3 / CHINT NM8N</x:v>
      </x:c>
      <x:c r="J8" s="76" t="str">
        <x:v>Claude BOM'daki 250A seçim 200A olarak düzeltildi; 250AF gövde.</x:v>
      </x:c>
      <x:c r="K8" s="63" t="n">
        <x:v>36</x:v>
      </x:c>
    </x:row>
    <x:row r="9" ht="44" customHeight="1">
      <x:c r="A9" s="61" t="str">
        <x:v>Щ-РСГ</x:v>
      </x:c>
      <x:c r="B9" s="62" t="str">
        <x:v>ОТО</x:v>
      </x:c>
      <x:c r="C9" s="62" t="str">
        <x:v>179875</x:v>
      </x:c>
      <x:c r="D9" s="62" t="str">
        <x:v>QF4-QF5 MCB</x:v>
      </x:c>
      <x:c r="E9" s="62" t="str">
        <x:v>NB1-63H; 3P; C40A; 10kA</x:v>
      </x:c>
      <x:c r="F9" s="62" t="n">
        <x:v>2</x:v>
      </x:c>
      <x:c r="G9" s="62" t="str">
        <x:v>шт.</x:v>
      </x:c>
      <x:c r="H9" s="62" t="str">
        <x:v>CHINT</x:v>
      </x:c>
      <x:c r="I9" s="62" t="str">
        <x:v>SLD QF4-QF5 / CHINT NB1-63H</x:v>
      </x:c>
      <x:c r="J9" s="76" t="str">
        <x:v>SLD'de MCB'dir; Claude MCCB seçmiş. Ik/kaskad şartına bağlı.</x:v>
      </x:c>
      <x:c r="K9" s="63" t="n">
        <x:v>6</x:v>
      </x:c>
    </x:row>
    <x:row r="10" ht="44" customHeight="1">
      <x:c r="A10" s="61" t="str">
        <x:v>Щ-РСГ</x:v>
      </x:c>
      <x:c r="B10" s="62" t="str">
        <x:v>ОТО</x:v>
      </x:c>
      <x:c r="C10" s="62" t="str">
        <x:v>179871</x:v>
      </x:c>
      <x:c r="D10" s="62" t="str">
        <x:v>QF6-QF8 rezerv MCB</x:v>
      </x:c>
      <x:c r="E10" s="62" t="str">
        <x:v>NB1-63H; 3P; C25A; 10kA</x:v>
      </x:c>
      <x:c r="F10" s="62" t="n">
        <x:v>3</x:v>
      </x:c>
      <x:c r="G10" s="62" t="str">
        <x:v>шт.</x:v>
      </x:c>
      <x:c r="H10" s="62" t="str">
        <x:v>CHINT</x:v>
      </x:c>
      <x:c r="I10" s="62" t="str">
        <x:v>SLD QF6-QF8 / CHINT NB1-63H</x:v>
      </x:c>
      <x:c r="J10" s="76" t="str">
        <x:v>4,5/6kA yerine 10kA seçildi; kaskad teyidi şart.</x:v>
      </x:c>
      <x:c r="K10" s="63" t="n">
        <x:v>9</x:v>
      </x:c>
    </x:row>
    <x:row r="11" ht="44" customHeight="1">
      <x:c r="A11" s="61" t="str">
        <x:v>Щ-РСГ</x:v>
      </x:c>
      <x:c r="B11" s="62" t="str">
        <x:v>ОТО</x:v>
      </x:c>
      <x:c r="C11" s="62" t="str">
        <x:v>179868</x:v>
      </x:c>
      <x:c r="D11" s="62" t="str">
        <x:v>QF9-QF11 rezerv MCB</x:v>
      </x:c>
      <x:c r="E11" s="62" t="str">
        <x:v>NB1-63H; 3P; C16A; 10kA</x:v>
      </x:c>
      <x:c r="F11" s="62" t="n">
        <x:v>3</x:v>
      </x:c>
      <x:c r="G11" s="62" t="str">
        <x:v>шт.</x:v>
      </x:c>
      <x:c r="H11" s="62" t="str">
        <x:v>CHINT</x:v>
      </x:c>
      <x:c r="I11" s="62" t="str">
        <x:v>SLD QF9-QF11 / CHINT NB1-63H</x:v>
      </x:c>
      <x:c r="J11" s="76" t="str">
        <x:v>4,5/6kA yerine 10kA seçildi; kaskad teyidi şart.</x:v>
      </x:c>
      <x:c r="K11" s="63" t="n">
        <x:v>9</x:v>
      </x:c>
    </x:row>
    <x:row r="12" ht="44" customHeight="1">
      <x:c r="A12" s="61" t="str">
        <x:v>Щ-РСГ</x:v>
      </x:c>
      <x:c r="B12" s="62" t="str">
        <x:v>ОТО</x:v>
      </x:c>
      <x:c r="C12" s="62" t="str">
        <x:v>179877</x:v>
      </x:c>
      <x:c r="D12" s="62" t="str">
        <x:v>Faz lambaları koruma otomatiği</x:v>
      </x:c>
      <x:c r="E12" s="62" t="str">
        <x:v>NB1-63H; 3P; C6A; 10kA</x:v>
      </x:c>
      <x:c r="F12" s="62" t="n">
        <x:v>1</x:v>
      </x:c>
      <x:c r="G12" s="62" t="str">
        <x:v>шт.</x:v>
      </x:c>
      <x:c r="H12" s="62" t="str">
        <x:v>CHINT</x:v>
      </x:c>
      <x:c r="I12" s="62" t="str">
        <x:v>SLD L1-L2-L3 devresi</x:v>
      </x:c>
      <x:c r="J12" s="76" t="str">
        <x:v>Claude BOM'da eksikti.</x:v>
      </x:c>
      <x:c r="K12" s="63" t="n">
        <x:v>3</x:v>
      </x:c>
    </x:row>
    <x:row r="13" ht="44" customHeight="1">
      <x:c r="A13" s="61" t="str">
        <x:v>Щ-РСГ</x:v>
      </x:c>
      <x:c r="B13" s="62" t="str">
        <x:v>Лампа</x:v>
      </x:c>
      <x:c r="C13" s="62" t="str">
        <x:v>KONTROL</x:v>
      </x:c>
      <x:c r="D13" s="62" t="str">
        <x:v>L1 faz var lambası</x:v>
      </x:c>
      <x:c r="E13" s="62" t="str">
        <x:v>ND16-22DS/LC; Ø22 mm; AC230V; kırmızı</x:v>
      </x:c>
      <x:c r="F13" s="62" t="n">
        <x:v>1</x:v>
      </x:c>
      <x:c r="G13" s="62" t="str">
        <x:v>шт.</x:v>
      </x:c>
      <x:c r="H13" s="62" t="str">
        <x:v>CHINT</x:v>
      </x:c>
      <x:c r="I13" s="62" t="str">
        <x:v>SLD L1</x:v>
      </x:c>
      <x:c r="J13" s="76" t="str">
        <x:v>Kesin renk/kod müşteri standardına göre teyit.</x:v>
      </x:c>
      <x:c r="K13" s="63" t="n">
        <x:v>0</x:v>
      </x:c>
    </x:row>
    <x:row r="14" ht="44" customHeight="1">
      <x:c r="A14" s="61" t="str">
        <x:v>Щ-РСГ</x:v>
      </x:c>
      <x:c r="B14" s="62" t="str">
        <x:v>Лампа</x:v>
      </x:c>
      <x:c r="C14" s="62" t="str">
        <x:v>KONTROL</x:v>
      </x:c>
      <x:c r="D14" s="62" t="str">
        <x:v>L2 faz var lambası</x:v>
      </x:c>
      <x:c r="E14" s="62" t="str">
        <x:v>ND16-22DS/LC; Ø22 mm; AC230V; sarı</x:v>
      </x:c>
      <x:c r="F14" s="62" t="n">
        <x:v>1</x:v>
      </x:c>
      <x:c r="G14" s="62" t="str">
        <x:v>шт.</x:v>
      </x:c>
      <x:c r="H14" s="62" t="str">
        <x:v>CHINT</x:v>
      </x:c>
      <x:c r="I14" s="62" t="str">
        <x:v>SLD L2</x:v>
      </x:c>
      <x:c r="J14" s="76" t="str">
        <x:v>Claude BOM'da eksikti.</x:v>
      </x:c>
      <x:c r="K14" s="63" t="n">
        <x:v>0</x:v>
      </x:c>
    </x:row>
    <x:row r="15" ht="44" customHeight="1">
      <x:c r="A15" s="61" t="str">
        <x:v>Щ-РСГ</x:v>
      </x:c>
      <x:c r="B15" s="62" t="str">
        <x:v>Лампа</x:v>
      </x:c>
      <x:c r="C15" s="62" t="str">
        <x:v>KONTROL</x:v>
      </x:c>
      <x:c r="D15" s="62" t="str">
        <x:v>L3 faz var lambası</x:v>
      </x:c>
      <x:c r="E15" s="62" t="str">
        <x:v>ND16-22DS/LC; Ø22 mm; AC230V; yeşil</x:v>
      </x:c>
      <x:c r="F15" s="62" t="n">
        <x:v>1</x:v>
      </x:c>
      <x:c r="G15" s="62" t="str">
        <x:v>шт.</x:v>
      </x:c>
      <x:c r="H15" s="62" t="str">
        <x:v>CHINT</x:v>
      </x:c>
      <x:c r="I15" s="62" t="str">
        <x:v>SLD L3</x:v>
      </x:c>
      <x:c r="J15" s="76" t="str">
        <x:v>Claude BOM'da eksikti.</x:v>
      </x:c>
      <x:c r="K15" s="63" t="n">
        <x:v>0</x:v>
      </x:c>
    </x:row>
    <x:row r="16" ht="44" customHeight="1">
      <x:c r="A16" s="61" t="str">
        <x:v>Щ-РСГ</x:v>
      </x:c>
      <x:c r="B16" s="62" t="str">
        <x:v>Шина</x:v>
      </x:c>
      <x:c r="C16" s="62" t="str">
        <x:v>CU-80x10</x:v>
      </x:c>
      <x:c r="D16" s="62" t="str">
        <x:v>Ana faz ve nötr barası</x:v>
      </x:c>
      <x:c r="E16" s="62" t="str">
        <x:v>Elektrolitik Cu ETP; L1-L2-L3-N; 80×10 mm; hedef 1000A; toplam yaklaşık 5,6 m</x:v>
      </x:c>
      <x:c r="F16" s="62" t="n">
        <x:v>5.6</x:v>
      </x:c>
      <x:c r="G16" s="62" t="str">
        <x:v>м</x:v>
      </x:c>
      <x:c r="H16" s="62" t="str">
        <x:v>TEKLED / yerel Cu</x:v>
      </x:c>
      <x:c r="I16" s="62" t="str">
        <x:v>SLD In=1000A / TEKLED R1</x:v>
      </x:c>
      <x:c r="J16" s="76" t="str">
        <x:v>Kesin termik akım IEC 61439 sıcaklık artış hesabı ile doğrulanmalı.</x:v>
      </x:c>
      <x:c r="K16" s="63" t="n">
        <x:v>0</x:v>
      </x:c>
    </x:row>
    <x:row r="17" ht="44" customHeight="1">
      <x:c r="A17" s="61" t="str">
        <x:v>Щ-РСГ</x:v>
      </x:c>
      <x:c r="B17" s="62" t="str">
        <x:v>Шина</x:v>
      </x:c>
      <x:c r="C17" s="62" t="str">
        <x:v>CU-40x5</x:v>
      </x:c>
      <x:c r="D17" s="62" t="str">
        <x:v>PE barası</x:v>
      </x:c>
      <x:c r="E17" s="62" t="str">
        <x:v>Elektrolitik Cu; 40×5 mm; yaklaşık 1,4 m; çok delikli</x:v>
      </x:c>
      <x:c r="F17" s="62" t="n">
        <x:v>1.4</x:v>
      </x:c>
      <x:c r="G17" s="62" t="str">
        <x:v>м</x:v>
      </x:c>
      <x:c r="H17" s="62" t="str">
        <x:v>TEKLED / yerel Cu</x:v>
      </x:c>
      <x:c r="I17" s="62" t="str">
        <x:v>SLD PE / TEKLED R1</x:v>
      </x:c>
      <x:c r="J17" s="76" t="str">
        <x:v>8×12 mm 14 yollu küçük bara iptal.</x:v>
      </x:c>
      <x:c r="K17" s="63" t="n">
        <x:v>0</x:v>
      </x:c>
    </x:row>
    <x:row r="18" ht="44" customHeight="1">
      <x:c r="A18" s="61" t="str">
        <x:v>Щ-РСГ</x:v>
      </x:c>
      <x:c r="B18" s="62" t="str">
        <x:v>Изолятор</x:v>
      </x:c>
      <x:c r="C18" s="62" t="str">
        <x:v>BUS-SUPPORT-25KA</x:v>
      </x:c>
      <x:c r="D18" s="62" t="str">
        <x:v>Bara izolatörü ve taşıyıcı seti</x:v>
      </x:c>
      <x:c r="E18" s="62" t="str">
        <x:v>3P+N; hedef kısa süre dayanım ≥25kA/1s</x:v>
      </x:c>
      <x:c r="F18" s="62" t="n">
        <x:v>1</x:v>
      </x:c>
      <x:c r="G18" s="62" t="str">
        <x:v>компл.</x:v>
      </x:c>
      <x:c r="H18" s="62" t="str">
        <x:v>TEKLED / EKT</x:v>
      </x:c>
      <x:c r="I18" s="62" t="str">
        <x:v>TEKLED R1</x:v>
      </x:c>
      <x:c r="J18" s="76" t="str">
        <x:v>Bara açıklığı ve destek aralığı üretim hesabıyla sabitlenecek.</x:v>
      </x:c>
      <x:c r="K18" s="63" t="n">
        <x:v>0</x:v>
      </x:c>
    </x:row>
    <x:row r="19" ht="44" customHeight="1">
      <x:c r="A19" s="61" t="str">
        <x:v>Щ-РСГ</x:v>
      </x:c>
      <x:c r="B19" s="62" t="str">
        <x:v>Шина подключения</x:v>
      </x:c>
      <x:c r="C19" s="62" t="str">
        <x:v>LANDING-2x240</x:v>
      </x:c>
      <x:c r="D19" s="62" t="str">
        <x:v>Giriş kablosu bağlantı/landing bara seti</x:v>
      </x:c>
      <x:c r="E19" s="62" t="str">
        <x:v>L1-L2-L3-N-PE; her kutup için 2×240 mm² kablo pabucu bağlantısı</x:v>
      </x:c>
      <x:c r="F19" s="62" t="n">
        <x:v>1</x:v>
      </x:c>
      <x:c r="G19" s="62" t="str">
        <x:v>компл.</x:v>
      </x:c>
      <x:c r="H19" s="62" t="str">
        <x:v>TEKLED</x:v>
      </x:c>
      <x:c r="I19" s="62" t="str">
        <x:v>Kablo girişi talebi</x:v>
      </x:c>
      <x:c r="J19" s="76" t="str">
        <x:v>2 adet 5×240 kablo DIN klemense bağlanmaz.</x:v>
      </x:c>
      <x:c r="K19" s="63" t="n">
        <x:v>0</x:v>
      </x:c>
    </x:row>
    <x:row r="20" ht="44" customHeight="1">
      <x:c r="A20" s="61" t="str">
        <x:v>Щ-РСГ</x:v>
      </x:c>
      <x:c r="B20" s="62" t="str">
        <x:v>Гибкая шина</x:v>
      </x:c>
      <x:c r="C20" s="62" t="str">
        <x:v>FLEX-CU-630A</x:v>
      </x:c>
      <x:c r="D20" s="62" t="str">
        <x:v>Landing baradan QS'ye esnek bakır bağlantı</x:v>
      </x:c>
      <x:c r="E20" s="62" t="str">
        <x:v>L1-L2-L3; 630A; izoleli/lamine esnek bakır; N doğrudan N baraya, PE PE baraya</x:v>
      </x:c>
      <x:c r="F20" s="62" t="n">
        <x:v>1</x:v>
      </x:c>
      <x:c r="G20" s="62" t="str">
        <x:v>компл.</x:v>
      </x:c>
      <x:c r="H20" s="62" t="str">
        <x:v>TEKLED / yerel</x:v>
      </x:c>
      <x:c r="I20" s="62" t="str">
        <x:v>TEKLED R1</x:v>
      </x:c>
      <x:c r="J20" s="76" t="str">
        <x:v>Kabloyu doğrudan NH40 terminaline sıkıştırmak yerine servis edilebilir çözüm.</x:v>
      </x:c>
      <x:c r="K20" s="63" t="n">
        <x:v>0</x:v>
      </x:c>
    </x:row>
    <x:row r="21" ht="44" customHeight="1">
      <x:c r="A21" s="61" t="str">
        <x:v>Щ-РСГ</x:v>
      </x:c>
      <x:c r="B21" s="62" t="str">
        <x:v>Наконечник</x:v>
      </x:c>
      <x:c r="C21" s="62" t="str">
        <x:v>TML/TAM-240</x:v>
      </x:c>
      <x:c r="D21" s="62" t="str">
        <x:v>240 mm² giriş kablo pabucu</x:v>
      </x:c>
      <x:c r="E21" s="62" t="str">
        <x:v>2×(L1,L2,L3,N,PE)=10 adet; Cu ise TML, Al ise bimetal TAM</x:v>
      </x:c>
      <x:c r="F21" s="62" t="n">
        <x:v>10</x:v>
      </x:c>
      <x:c r="G21" s="62" t="str">
        <x:v>шт.</x:v>
      </x:c>
      <x:c r="H21" s="62" t="str">
        <x:v>Klemsan / yerel</x:v>
      </x:c>
      <x:c r="I21" s="62" t="str">
        <x:v>Kablo girişi talebi</x:v>
      </x:c>
      <x:c r="J21" s="62" t="str">
        <x:v>Kablo iletken malzemesi mutlaka teyit.</x:v>
      </x:c>
      <x:c r="K21" s="63" t="n">
        <x:v>0</x:v>
      </x:c>
    </x:row>
    <x:row r="22" ht="44" customHeight="1">
      <x:c r="A22" s="61" t="str">
        <x:v>Щ-РСГ</x:v>
      </x:c>
      <x:c r="B22" s="62" t="str">
        <x:v>Наконечник</x:v>
      </x:c>
      <x:c r="C22" s="62" t="str">
        <x:v>TML-95</x:v>
      </x:c>
      <x:c r="D22" s="62" t="str">
        <x:v>95 mm² çıkış kablo pabucu</x:v>
      </x:c>
      <x:c r="E22" s="62" t="str">
        <x:v>QF1-QF3 için 3×5 damarlı kablo = 15 uç</x:v>
      </x:c>
      <x:c r="F22" s="62" t="n">
        <x:v>15</x:v>
      </x:c>
      <x:c r="G22" s="62" t="str">
        <x:v>шт.</x:v>
      </x:c>
      <x:c r="H22" s="62" t="str">
        <x:v>Klemsan / yerel</x:v>
      </x:c>
      <x:c r="I22" s="62" t="str">
        <x:v>SLD QF1-QF3</x:v>
      </x:c>
      <x:c r="J22" s="62" t="str">
        <x:v>Cu kablo varsayımı; Al ise bimetal seçilecek.</x:v>
      </x:c>
      <x:c r="K22" s="63" t="n">
        <x:v>0</x:v>
      </x:c>
    </x:row>
    <x:row r="23" ht="44" customHeight="1">
      <x:c r="A23" s="61" t="str">
        <x:v>Щ-РСГ</x:v>
      </x:c>
      <x:c r="B23" s="62" t="str">
        <x:v>Наконечник</x:v>
      </x:c>
      <x:c r="C23" s="62" t="str">
        <x:v>PIN-6</x:v>
      </x:c>
      <x:c r="D23" s="62" t="str">
        <x:v>6 mm² izoleli pin uç</x:v>
      </x:c>
      <x:c r="E23" s="62" t="str">
        <x:v>QF4 çıkış 5×6 mm²</x:v>
      </x:c>
      <x:c r="F23" s="62" t="n">
        <x:v>5</x:v>
      </x:c>
      <x:c r="G23" s="62" t="str">
        <x:v>шт.</x:v>
      </x:c>
      <x:c r="H23" s="62" t="str">
        <x:v>Klemsan / Onka</x:v>
      </x:c>
      <x:c r="I23" s="62" t="str">
        <x:v>SLD QF4</x:v>
      </x:c>
      <x:c r="J23" s="62" t="str">
        <x:v>Kablo ucu hazırlığı.</x:v>
      </x:c>
      <x:c r="K23" s="63" t="n">
        <x:v>0</x:v>
      </x:c>
    </x:row>
    <x:row r="24" ht="44" customHeight="1">
      <x:c r="A24" s="61" t="str">
        <x:v>Щ-РСГ</x:v>
      </x:c>
      <x:c r="B24" s="62" t="str">
        <x:v>Наконечник</x:v>
      </x:c>
      <x:c r="C24" s="62" t="str">
        <x:v>PIN-4</x:v>
      </x:c>
      <x:c r="D24" s="62" t="str">
        <x:v>4 mm² izoleli pin uç</x:v>
      </x:c>
      <x:c r="E24" s="62" t="str">
        <x:v>QF5 çıkış 5×4 mm²</x:v>
      </x:c>
      <x:c r="F24" s="62" t="n">
        <x:v>5</x:v>
      </x:c>
      <x:c r="G24" s="62" t="str">
        <x:v>шт.</x:v>
      </x:c>
      <x:c r="H24" s="62" t="str">
        <x:v>Klemsan / Onka</x:v>
      </x:c>
      <x:c r="I24" s="62" t="str">
        <x:v>SLD QF5</x:v>
      </x:c>
      <x:c r="J24" s="62" t="str">
        <x:v>Kablo ucu hazırlığı.</x:v>
      </x:c>
      <x:c r="K24" s="63" t="n">
        <x:v>0</x:v>
      </x:c>
    </x:row>
    <x:row r="25" ht="44" customHeight="1">
      <x:c r="A25" s="61" t="str">
        <x:v>Щ-РСГ</x:v>
      </x:c>
      <x:c r="B25" s="62" t="str">
        <x:v>Клеммник</x:v>
      </x:c>
      <x:c r="C25" s="62" t="str">
        <x:v>PE/N-OUT</x:v>
      </x:c>
      <x:c r="D25" s="62" t="str">
        <x:v>Çıkış N ve PE bağlantı noktaları</x:v>
      </x:c>
      <x:c r="E25" s="62" t="str">
        <x:v>3×95 + 1×6 + 1×4 mm² aktif çıkışlar ve 6 rezerv için delikli Cu baralar</x:v>
      </x:c>
      <x:c r="F25" s="62" t="n">
        <x:v>1</x:v>
      </x:c>
      <x:c r="G25" s="62" t="str">
        <x:v>компл.</x:v>
      </x:c>
      <x:c r="H25" s="62" t="str">
        <x:v>TEKLED</x:v>
      </x:c>
      <x:c r="I25" s="62" t="str">
        <x:v>SLD çıkışlar</x:v>
      </x:c>
      <x:c r="J25" s="62" t="str">
        <x:v>Küçük 4P 6mm²/4mm² klemensler iptal.</x:v>
      </x:c>
      <x:c r="K25" s="63" t="n">
        <x:v>0</x:v>
      </x:c>
    </x:row>
    <x:row r="26" ht="44" customHeight="1">
      <x:c r="A26" s="61" t="str">
        <x:v>Щ-РСГ</x:v>
      </x:c>
      <x:c r="B26" s="62" t="str">
        <x:v>Кабельный канал</x:v>
      </x:c>
      <x:c r="C26" s="62" t="str">
        <x:v>KK-80x60</x:v>
      </x:c>
      <x:c r="D26" s="62" t="str">
        <x:v>Delikli kablo kanalı</x:v>
      </x:c>
      <x:c r="E26" s="62" t="str">
        <x:v>80×60 mm; pano güç/kumanda ayrımı</x:v>
      </x:c>
      <x:c r="F26" s="62" t="n">
        <x:v>6</x:v>
      </x:c>
      <x:c r="G26" s="62" t="str">
        <x:v>м</x:v>
      </x:c>
      <x:c r="H26" s="62" t="str">
        <x:v>EKT / Onka</x:v>
      </x:c>
      <x:c r="I26" s="62" t="str">
        <x:v>TEKLED R1</x:v>
      </x:c>
      <x:c r="J26" s="62" t="str">
        <x:v>Kesin metraj 3D yerleşim sonrası.</x:v>
      </x:c>
      <x:c r="K26" s="63" t="n">
        <x:v>0</x:v>
      </x:c>
    </x:row>
    <x:row r="27" ht="44" customHeight="1">
      <x:c r="A27" s="61" t="str">
        <x:v>Щ-РСГ</x:v>
      </x:c>
      <x:c r="B27" s="62" t="str">
        <x:v>Кабельный канал</x:v>
      </x:c>
      <x:c r="C27" s="62" t="str">
        <x:v>KK-60x40</x:v>
      </x:c>
      <x:c r="D27" s="62" t="str">
        <x:v>Delikli kablo kanalı</x:v>
      </x:c>
      <x:c r="E27" s="62" t="str">
        <x:v>60×40 mm; modüler cihaz bölümü</x:v>
      </x:c>
      <x:c r="F27" s="62" t="n">
        <x:v>4</x:v>
      </x:c>
      <x:c r="G27" s="62" t="str">
        <x:v>м</x:v>
      </x:c>
      <x:c r="H27" s="62" t="str">
        <x:v>EKT / Onka</x:v>
      </x:c>
      <x:c r="I27" s="62" t="str">
        <x:v>TEKLED R1</x:v>
      </x:c>
      <x:c r="J27" s="62" t="str">
        <x:v>Kesin metraj 3D yerleşim sonrası.</x:v>
      </x:c>
      <x:c r="K27" s="63" t="n">
        <x:v>0</x:v>
      </x:c>
    </x:row>
    <x:row r="28" ht="44" customHeight="1">
      <x:c r="A28" s="61" t="str">
        <x:v>Щ-РСГ</x:v>
      </x:c>
      <x:c r="B28" s="62" t="str">
        <x:v>DIN рейка</x:v>
      </x:c>
      <x:c r="C28" s="62" t="str">
        <x:v>TH35-7.5</x:v>
      </x:c>
      <x:c r="D28" s="62" t="str">
        <x:v>DIN ray</x:v>
      </x:c>
      <x:c r="E28" s="62" t="str">
        <x:v>TH35-7,5 galvanizli</x:v>
      </x:c>
      <x:c r="F28" s="62" t="n">
        <x:v>2</x:v>
      </x:c>
      <x:c r="G28" s="62" t="str">
        <x:v>м</x:v>
      </x:c>
      <x:c r="H28" s="62" t="str">
        <x:v>CHINT / EKT</x:v>
      </x:c>
      <x:c r="I28" s="62" t="str">
        <x:v>TEKLED R1</x:v>
      </x:c>
      <x:c r="J28" s="62" t="str">
        <x:v>MCB ve yardımcı elemanlar için.</x:v>
      </x:c>
      <x:c r="K28" s="63" t="n">
        <x:v>0</x:v>
      </x:c>
    </x:row>
    <x:row r="29" ht="44" customHeight="1">
      <x:c r="A29" s="61" t="str">
        <x:v>Щ-РСГ</x:v>
      </x:c>
      <x:c r="B29" s="62" t="str">
        <x:v>Крепление кабеля</x:v>
      </x:c>
      <x:c r="C29" s="62" t="str">
        <x:v>CABLE-CLAMP</x:v>
      </x:c>
      <x:c r="D29" s="62" t="str">
        <x:v>Güç kablosu sabitleme seti</x:v>
      </x:c>
      <x:c r="E29" s="62" t="str">
        <x:v>2 giriş + 5 aktif çıkış kablosu; ayarlanabilir kelepçe/travers</x:v>
      </x:c>
      <x:c r="F29" s="62" t="n">
        <x:v>7</x:v>
      </x:c>
      <x:c r="G29" s="62" t="str">
        <x:v>шт.</x:v>
      </x:c>
      <x:c r="H29" s="62" t="str">
        <x:v>TEKLED / yerel</x:v>
      </x:c>
      <x:c r="I29" s="62" t="str">
        <x:v>Kablo giriş planı</x:v>
      </x:c>
      <x:c r="J29" s="62" t="str">
        <x:v>Kablo ağırlığı cihaz terminallerine bindirilmemeli.</x:v>
      </x:c>
      <x:c r="K29" s="63" t="n">
        <x:v>0</x:v>
      </x:c>
    </x:row>
    <x:row r="30" ht="44" customHeight="1">
      <x:c r="A30" s="61" t="str">
        <x:v>Щ-РСГ</x:v>
      </x:c>
      <x:c r="B30" s="62" t="str">
        <x:v>Заземление двери</x:v>
      </x:c>
      <x:c r="C30" s="62" t="str">
        <x:v>BRAID-DOOR</x:v>
      </x:c>
      <x:c r="D30" s="62" t="str">
        <x:v>Kapı topraklama örgüsü</x:v>
      </x:c>
      <x:c r="E30" s="62" t="str">
        <x:v>Sarı-yeşil esnek örgü; iki kapı</x:v>
      </x:c>
      <x:c r="F30" s="62" t="n">
        <x:v>2</x:v>
      </x:c>
      <x:c r="G30" s="62" t="str">
        <x:v>шт.</x:v>
      </x:c>
      <x:c r="H30" s="62" t="str">
        <x:v>Klemsan / yerel</x:v>
      </x:c>
      <x:c r="I30" s="62" t="str">
        <x:v>TEKLED R1</x:v>
      </x:c>
      <x:c r="J30" s="62" t="str">
        <x:v>Korpus PE sürekliliği.</x:v>
      </x:c>
      <x:c r="K30" s="63" t="n">
        <x:v>0</x:v>
      </x:c>
    </x:row>
    <x:row r="31" ht="44" customHeight="1">
      <x:c r="A31" s="61" t="str">
        <x:v>Щ-РСГ</x:v>
      </x:c>
      <x:c r="B31" s="62" t="str">
        <x:v>Маркировка</x:v>
      </x:c>
      <x:c r="C31" s="62" t="str">
        <x:v>LABEL-SET</x:v>
      </x:c>
      <x:c r="D31" s="62" t="str">
        <x:v>Cihaz, kablo ve bara etiket seti</x:v>
      </x:c>
      <x:c r="E31" s="62" t="str">
        <x:v>QO1/QF1...QF11, L1-L2-L3, tehlike ve pano etiketi</x:v>
      </x:c>
      <x:c r="F31" s="62" t="n">
        <x:v>1</x:v>
      </x:c>
      <x:c r="G31" s="62" t="str">
        <x:v>компл.</x:v>
      </x:c>
      <x:c r="H31" s="62" t="str">
        <x:v>TEKLED</x:v>
      </x:c>
      <x:c r="I31" s="62" t="str">
        <x:v>TEKLED R1</x:v>
      </x:c>
      <x:c r="J31" s="62" t="str">
        <x:v>Rusça etiketleme.</x:v>
      </x:c>
      <x:c r="K31" s="63" t="n">
        <x:v>0</x:v>
      </x:c>
    </x:row>
    <x:row r="32" ht="44" customHeight="1">
      <x:c r="A32" s="61" t="str">
        <x:v>Щ-РСГ</x:v>
      </x:c>
      <x:c r="B32" s="62" t="str">
        <x:v>Монтажный материал</x:v>
      </x:c>
      <x:c r="C32" s="62" t="str">
        <x:v>—</x:v>
      </x:c>
      <x:c r="D32" s="62" t="str">
        <x:v>Montaj malzemesi</x:v>
      </x:c>
      <x:c r="E32" s="62" t="str">
        <x:v>Vida, somun, rondela, ısı makaronu, kablo bağı, yüksük, izolasyon ve bağlantı sarfı</x:v>
      </x:c>
      <x:c r="F32" s="62" t="n">
        <x:v>1</x:v>
      </x:c>
      <x:c r="G32" s="62" t="str">
        <x:v>компл.</x:v>
      </x:c>
      <x:c r="H32" s="62" t="str">
        <x:v>TEKLED</x:v>
      </x:c>
      <x:c r="I32" s="62" t="str">
        <x:v>TEKLED R1</x:v>
      </x:c>
      <x:c r="J32" s="62" t="str">
        <x:v>Her panelde zorunlu satır.</x:v>
      </x:c>
      <x:c r="K32" s="63" t="n">
        <x:v>0</x:v>
      </x:c>
    </x:row>
    <x:row r="33" ht="44" customHeight="1">
      <x:c r="A33" s="64" t="str">
        <x:v>Щ-РСГ</x:v>
      </x:c>
      <x:c r="B33" s="65" t="str">
        <x:v>Монтажные работы</x:v>
      </x:c>
      <x:c r="C33" s="65" t="str">
        <x:v>—</x:v>
      </x:c>
      <x:c r="D33" s="65" t="str">
        <x:v>Pano montaj ve test işçiliği</x:v>
      </x:c>
      <x:c r="E33" s="65" t="str">
        <x:v>Mekanik montaj, bara imalatı, kablaj, tork kontrolü, süreklilik ve fonksiyon testi</x:v>
      </x:c>
      <x:c r="F33" s="65" t="n">
        <x:v>1</x:v>
      </x:c>
      <x:c r="G33" s="65" t="str">
        <x:v>компл.</x:v>
      </x:c>
      <x:c r="H33" s="65" t="str">
        <x:v>TEKLED</x:v>
      </x:c>
      <x:c r="I33" s="65" t="str">
        <x:v>TEKLED R1</x:v>
      </x:c>
      <x:c r="J33" s="65" t="str">
        <x:v>Her panelde zorunlu satır.</x:v>
      </x:c>
      <x:c r="K33" s="66" t="n">
        <x:v>0</x:v>
      </x:c>
    </x:row>
    <x:row r="36">
      <x:c r="A36" s="44" t="str">
        <x:v>TEKNİK KAYNAKLAR</x:v>
      </x:c>
      <x:c r="B36" s="44" t="str"/>
      <x:c r="C36" s="44" t="str"/>
      <x:c r="D36" s="44" t="str"/>
      <x:c r="E36" s="44" t="str"/>
      <x:c r="F36" s="44" t="str"/>
      <x:c r="G36" s="44" t="str"/>
      <x:c r="H36" s="44" t="str"/>
      <x:c r="I36" s="44" t="str"/>
      <x:c r="J36" s="44" t="str"/>
      <x:c r="K36" s="44" t="str"/>
    </x:row>
    <x:row r="37">
      <x:c r="A37" s="96" t="str">
        <x:v>CHINT NM8N resmi katalog</x:v>
      </x:c>
      <x:c r="B37" s="96" t="str">
        <x:v>https://www.chintglobal.com/content/dam/chint/global/product-center/low-voltage/iec/secondary-power-distribution/mccb/nm8n/catalog/NM8N-MCCB-Catalog.pdf</x:v>
      </x:c>
    </x:row>
    <x:row r="38">
      <x:c r="A38" s="96" t="str">
        <x:v>CHINT NB1-63H resmi katalog</x:v>
      </x:c>
      <x:c r="B38" s="96" t="str">
        <x:v>https://www.chintglobal.com/content/dam/chint/global/product-center/low-voltage/iec/final-power-distribution/mcb/nb1-63h/catalog/NB1-63H-MCB-Catalog.pdf</x:v>
      </x:c>
    </x:row>
    <x:row r="39">
      <x:c r="A39" s="96" t="str">
        <x:v>CHINT NH40 resmi katalog</x:v>
      </x:c>
      <x:c r="B39" s="96" t="str">
        <x:v>https://www.chintglobal.com/content/dam/chint/global/product-center/low-voltage/iec/secondary-power-distribution/switch-disconnector/nh40/catalog/NH40-Switch-disconnector-Catalog.pdf</x:v>
      </x:c>
    </x:row>
    <x:row r="40">
      <x:c r="A40" s="96" t="str">
        <x:v>CHINT ND16 resmi katalog</x:v>
      </x:c>
      <x:c r="B40" s="96" t="str">
        <x:v>https://www.chintglobal.com/content/dam/chint/global/product-center/low-voltage/iec/industrial-control/indicator-light/nd16/catalog/ND16-INDICATOR-LIGHT-Catalog.pdf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5" hidden="0" customWidth="1"/>
    <x:col min="3" max="3" width="31" hidden="0" customWidth="1"/>
    <x:col min="4" max="4" width="52" hidden="0" customWidth="1"/>
    <x:col min="5" max="5" width="46" hidden="0" customWidth="1"/>
    <x:col min="6" max="6" width="12" hidden="0" customWidth="1"/>
  </x:cols>
  <x:sheetData>
    <x:row r="1" ht="34" customHeight="1">
      <x:c r="A1" s="58" t="str">
        <x:v>No</x:v>
      </x:c>
      <x:c r="B1" s="59" t="str">
        <x:v>Kontrol konusu</x:v>
      </x:c>
      <x:c r="C1" s="59" t="str">
        <x:v>Claude BOM durumu</x:v>
      </x:c>
      <x:c r="D1" s="59" t="str">
        <x:v>Doğru teknik değerlendirme</x:v>
      </x:c>
      <x:c r="E1" s="59" t="str">
        <x:v>Aksiyon</x:v>
      </x:c>
      <x:c r="F1" s="60" t="str">
        <x:v>Risk seviyesi</x:v>
      </x:c>
    </x:row>
    <x:row r="2" ht="58" customHeight="1">
      <x:c r="A2" s="61" t="n">
        <x:v>1</x:v>
      </x:c>
      <x:c r="B2" s="62" t="str">
        <x:v>QF1-QF3 nominal akımı</x:v>
      </x:c>
      <x:c r="C2" s="62" t="str">
        <x:v>250A seçilmiş</x:v>
      </x:c>
      <x:c r="D2" s="62" t="str">
        <x:v>Tek hat üzerinde 3×200A yazıyor; 250AF gövdede 200A termomanyetik seçilmeli veya Ir=200A belgelenmeli.</x:v>
      </x:c>
      <x:c r="E2" s="62" t="str">
        <x:v>NM8N-250C TM 200A olarak düzeltildi.</x:v>
      </x:c>
      <x:c r="F2" s="104" t="str">
        <x:v>Yüksek</x:v>
      </x:c>
    </x:row>
    <x:row r="3" ht="58" customHeight="1">
      <x:c r="A3" s="61" t="n">
        <x:v>2</x:v>
      </x:c>
      <x:c r="B3" s="62" t="str">
        <x:v>QF4-QF5 cihaz tipi</x:v>
      </x:c>
      <x:c r="C3" s="62" t="str">
        <x:v>40A MCCB seçilmiş</x:v>
      </x:c>
      <x:c r="D3" s="62" t="str">
        <x:v>Tek hat açıkça MCB 3×40A 10kA gösteriyor.</x:v>
      </x:c>
      <x:c r="E3" s="62" t="str">
        <x:v>NB1-63H 3P C40 10kA seçildi; fakat kısa devre koordinasyonu teyit edilecek.</x:v>
      </x:c>
      <x:c r="F3" s="104" t="str">
        <x:v>Yüksek</x:v>
      </x:c>
    </x:row>
    <x:row r="4" ht="58" customHeight="1">
      <x:c r="A4" s="61" t="n">
        <x:v>3</x:v>
      </x:c>
      <x:c r="B4" s="62" t="str">
        <x:v>Faz gösterge devresi</x:v>
      </x:c>
      <x:c r="C4" s="62" t="str">
        <x:v>Eksik</x:v>
      </x:c>
      <x:c r="D4" s="62" t="str">
        <x:v>L1-L2-L3 üç adet faz lambası ve 3P 6A koruma cihazı tek hatta mevcut.</x:v>
      </x:c>
      <x:c r="E4" s="62" t="str">
        <x:v>BOM'a eklendi.</x:v>
      </x:c>
      <x:c r="F4" s="108" t="str">
        <x:v>Orta</x:v>
      </x:c>
    </x:row>
    <x:row r="5" ht="58" customHeight="1">
      <x:c r="A5" s="61" t="n">
        <x:v>4</x:v>
      </x:c>
      <x:c r="B5" s="62" t="str">
        <x:v>Korpus</x:v>
      </x:c>
      <x:c r="C5" s="62" t="str">
        <x:v>EKT ЩО-70 800 mm</x:v>
      </x:c>
      <x:c r="D5" s="62" t="str">
        <x:v>2×(5×240) giriş, 3×5×95 çıkış, 630A ayırıcı ve 1000A bara için tek 800 mm bölüm servis/büküm alanı açısından yetersiz.</x:v>
      </x:c>
      <x:c r="E5" s="62" t="str">
        <x:v>TEKLED 2000×1600×800 +100 kaide, iki bölüm olarak düzeltildi.</x:v>
      </x:c>
      <x:c r="F5" s="112" t="str">
        <x:v>Kritik</x:v>
      </x:c>
    </x:row>
    <x:row r="6" ht="58" customHeight="1">
      <x:c r="A6" s="61" t="n">
        <x:v>5</x:v>
      </x:c>
      <x:c r="B6" s="62" t="str">
        <x:v>Ana bara</x:v>
      </x:c>
      <x:c r="C6" s="62" t="str">
        <x:v>4×50×4000, sadece 2 adet</x:v>
      </x:c>
      <x:c r="D6" s="62" t="str">
        <x:v>3P+N+PE sistemi için miktar ve kesit mantıksız; ayrıca proje etiketi In=1000A.</x:v>
      </x:c>
      <x:c r="E6" s="62" t="str">
        <x:v>L1-L2-L3-N 80×10 Cu, PE 40×5 Cu; termik doğrulama şartı eklendi.</x:v>
      </x:c>
      <x:c r="F6" s="112" t="str">
        <x:v>Kritik</x:v>
      </x:c>
    </x:row>
    <x:row r="7" ht="58" customHeight="1">
      <x:c r="A7" s="61" t="n">
        <x:v>6</x:v>
      </x:c>
      <x:c r="B7" s="62" t="str">
        <x:v>N/PE baraları</x:v>
      </x:c>
      <x:c r="C7" s="62" t="str">
        <x:v>8×12 mm 14 yollu</x:v>
      </x:c>
      <x:c r="D7" s="62" t="str">
        <x:v>240 ve 95 mm² kablolar için mekanik/termik olarak uygun değil.</x:v>
      </x:c>
      <x:c r="E7" s="62" t="str">
        <x:v>Delikli güçlü Cu N ve PE baraları + landing bar seti eklendi.</x:v>
      </x:c>
      <x:c r="F7" s="112" t="str">
        <x:v>Kritik</x:v>
      </x:c>
    </x:row>
    <x:row r="8" ht="58" customHeight="1">
      <x:c r="A8" s="61" t="n">
        <x:v>7</x:v>
      </x:c>
      <x:c r="B8" s="62" t="str">
        <x:v>Giriş kablosu bağlantısı</x:v>
      </x:c>
      <x:c r="C8" s="62" t="str">
        <x:v>Belirsiz</x:v>
      </x:c>
      <x:c r="D8" s="62" t="str">
        <x:v>2 adet 5×240 mm² kablo DIN klemense bağlanmaz; cihaz terminaline çift kablo sıkıştırmak servis ve tork açısından risklidir.</x:v>
      </x:c>
      <x:c r="E8" s="62" t="str">
        <x:v>Kablolar landing baraya, oradan QS'ye esnek bakır bağlantı ile bağlanacak.</x:v>
      </x:c>
      <x:c r="F8" s="112" t="str">
        <x:v>Kritik</x:v>
      </x:c>
    </x:row>
    <x:row r="9" ht="58" customHeight="1">
      <x:c r="A9" s="61" t="n">
        <x:v>8</x:v>
      </x:c>
      <x:c r="B9" s="62" t="str">
        <x:v>Kablo pabuçları</x:v>
      </x:c>
      <x:c r="C9" s="62" t="str">
        <x:v>Eksik</x:v>
      </x:c>
      <x:c r="D9" s="62" t="str">
        <x:v>Girişte 10 adet 240 mm²; aktif çıkışlarda 15 adet 95 mm² ve küçük kesit uçları gerekir.</x:v>
      </x:c>
      <x:c r="E9" s="62" t="str">
        <x:v>BOM'a eklendi; Cu/Al iletken teyidi şart.</x:v>
      </x:c>
      <x:c r="F9" s="104" t="str">
        <x:v>Yüksek</x:v>
      </x:c>
    </x:row>
    <x:row r="10" ht="58" customHeight="1">
      <x:c r="A10" s="61" t="n">
        <x:v>9</x:v>
      </x:c>
      <x:c r="B10" s="62" t="str">
        <x:v>Kısa devre kesme kapasitesi</x:v>
      </x:c>
      <x:c r="C10" s="62" t="str">
        <x:v>6kA/10kA cihazlar yeterli kabul edilmiş</x:v>
      </x:c>
      <x:c r="D10" s="62" t="str">
        <x:v>Pano karakteristiğinde 22,29kA ve 17,33kA değerleri var. MCB'ler için üretici kaskad/back-up tablosu olmadan 10kA yeterli kabul edilemez.</x:v>
      </x:c>
      <x:c r="E10" s="62" t="str">
        <x:v>Tüm MCB'ler 10kA'ya yükseltildi; nihai onay için AVR5 ana koruma marka/modeli ve kaskad tablosu istendi.</x:v>
      </x:c>
      <x:c r="F10" s="112" t="str">
        <x:v>Kritik</x:v>
      </x:c>
    </x:row>
    <x:row r="11" ht="58" customHeight="1">
      <x:c r="A11" s="61" t="n">
        <x:v>10</x:v>
      </x:c>
      <x:c r="B11" s="62" t="str">
        <x:v>In=1000A / ana QS=630A</x:v>
      </x:c>
      <x:c r="C11" s="62" t="str">
        <x:v>Sadece not düşülmüş</x:v>
      </x:c>
      <x:c r="D11" s="62" t="str">
        <x:v>Pano etiketi 1000A iken ana ayırıcı 630A olabilir; fakat pano işletme akımı fiilen 630A ile sınırlıdır. Etiket ve kabul kriteri netleştirilmeli.</x:v>
      </x:c>
      <x:c r="E11" s="62" t="str">
        <x:v>Bara 1000A hedefli; ana giriş 630A olarak açıkça yazıldı.</x:v>
      </x:c>
      <x:c r="F11" s="104" t="str">
        <x:v>Yüksek</x:v>
      </x:c>
    </x:row>
    <x:row r="12" ht="58" customHeight="1">
      <x:c r="A12" s="61" t="n">
        <x:v>11</x:v>
      </x:c>
      <x:c r="B12" s="62" t="str">
        <x:v>QF4/QF5 etiket çelişkisi</x:v>
      </x:c>
      <x:c r="C12" s="62" t="str">
        <x:v>40A seçimi varsayılmış</x:v>
      </x:c>
      <x:c r="D12" s="62" t="str">
        <x:v>Tek hatta 3×40A yazarken ayar satırında 80A görülüyor. 7,5/5,5kW ve 5×6/5×4 kablolar 40A seçimini destekliyor.</x:v>
      </x:c>
      <x:c r="E12" s="62" t="str">
        <x:v>40A korundu; proje müellifi yazılı teyidi istenmeli.</x:v>
      </x:c>
      <x:c r="F12" s="108" t="str">
        <x:v>Orta</x:v>
      </x:c>
    </x:row>
    <x:row r="13" ht="58" customHeight="1">
      <x:c r="A13" s="61" t="n">
        <x:v>12</x:v>
      </x:c>
      <x:c r="B13" s="62" t="str">
        <x:v>Kablo kanalı/DIN miktarı</x:v>
      </x:c>
      <x:c r="C13" s="62" t="str">
        <x:v>Temsilî</x:v>
      </x:c>
      <x:c r="D13" s="62" t="str">
        <x:v>800 mm korpusa göre yazılan miktarlar yeni 1600 mm panoya yetmez.</x:v>
      </x:c>
      <x:c r="E13" s="62" t="str">
        <x:v>Yeni ölçüye göre 80×60=6m, 60×40=4m, DIN=2m ön metraj verildi.</x:v>
      </x:c>
      <x:c r="F13" s="108" t="str">
        <x:v>Orta</x:v>
      </x:c>
    </x:row>
    <x:row r="14" ht="58" customHeight="1">
      <x:c r="A14" s="64" t="n">
        <x:v>13</x:v>
      </x:c>
      <x:c r="B14" s="65" t="str">
        <x:v>Montaj ve test kapsamı</x:v>
      </x:c>
      <x:c r="C14" s="65" t="str">
        <x:v>Yüzdeyle fiyatlanmış</x:v>
      </x:c>
      <x:c r="D14" s="65" t="str">
        <x:v>Bara imalatı, tork, izolasyon, PE süreklilik ve fonksiyon testleri ayrı teknik kapsam olmalı.</x:v>
      </x:c>
      <x:c r="E14" s="65" t="str">
        <x:v>Montaj ve test satırı teknik kapsamla düzenlendi.</x:v>
      </x:c>
      <x:c r="F14" s="116" t="str">
        <x:v>Orta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68" hidden="0" customWidth="1"/>
  </x:cols>
  <x:sheetData>
    <x:row r="1" ht="34" customHeight="1">
      <x:c r="A1" s="58" t="str">
        <x:v>Başlık</x:v>
      </x:c>
      <x:c r="B1" s="59" t="str">
        <x:v>TEKLED R1 kararı</x:v>
      </x:c>
      <x:c r="C1" s="60" t="str">
        <x:v>Teknik gerekçe / uygulama notu</x:v>
      </x:c>
    </x:row>
    <x:row r="2" ht="52" customHeight="1">
      <x:c r="A2" s="78" t="str">
        <x:v>Pano tipi</x:v>
      </x:c>
      <x:c r="B2" s="79" t="str">
        <x:v>Zemin tipi, iki bölmeli, önden servisli metal dağıtım panosu</x:v>
      </x:c>
      <x:c r="C2" s="80" t="str">
        <x:v>Hastane ana dağıtım alt panosu; IP31; doğal havalandırma, ısı kaybı kontrolünden sonra gerekirse filtreli menfez.</x:v>
      </x:c>
    </x:row>
    <x:row r="3" ht="52" customHeight="1">
      <x:c r="A3" s="90" t="str">
        <x:v>Dış ölçü</x:v>
      </x:c>
      <x:c r="B3" s="91" t="str">
        <x:v>2000(H) × 1600(W) × 800(D) mm + 100 mm kaide</x:v>
      </x:c>
      <x:c r="C3" s="92" t="str">
        <x:v>Toplam sevk yüksekliği 2100 mm. Kablo büküm ve 630A/1000A bara açıklığı için 800 mm derinlik.</x:v>
      </x:c>
    </x:row>
    <x:row r="4" ht="52" customHeight="1">
      <x:c r="A4" s="61" t="str">
        <x:v>Bölümleme</x:v>
      </x:c>
      <x:c r="B4" s="62" t="str">
        <x:v>Sol 800 mm giriş/bara; sağ 800 mm çıkış</x:v>
      </x:c>
      <x:c r="C4" s="63" t="str">
        <x:v>Sol bölüm: 2×5×240 landing baraları, NH40-630 ve ana bara. Sağ bölüm: QF1-QF11, N/PE çıkış noktaları.</x:v>
      </x:c>
    </x:row>
    <x:row r="5" ht="52" customHeight="1">
      <x:c r="A5" s="61" t="str">
        <x:v>Kapılar</x:v>
      </x:c>
      <x:c r="B5" s="62" t="str">
        <x:v>2 adet 800 mm kapı</x:v>
      </x:c>
      <x:c r="C5" s="63" t="str">
        <x:v>Kapı birleşim çizgisine cihaz konulmayacak. L1-L2-L3 lambaları aktif kapakta üst göz hizasında.</x:v>
      </x:c>
    </x:row>
    <x:row r="6" ht="52" customHeight="1">
      <x:c r="A6" s="61" t="str">
        <x:v>Kaide</x:v>
      </x:c>
      <x:c r="B6" s="62" t="str">
        <x:v>100 mm sökülebilir kaide</x:v>
      </x:c>
      <x:c r="C6" s="63" t="str">
        <x:v>Alt kablo girişi, kablo kelepçe traversi ve taşıma kolaylığı.</x:v>
      </x:c>
    </x:row>
    <x:row r="7" ht="52" customHeight="1">
      <x:c r="A7" s="61" t="str">
        <x:v>Kablo girişi</x:v>
      </x:c>
      <x:c r="B7" s="62" t="str">
        <x:v>Alttan, sökülebilir iki ayrı gland plate</x:v>
      </x:c>
      <x:c r="C7" s="63" t="str">
        <x:v>Giriş ve çıkış kabloları ayrılacak; 2×5×240 kablonun büküm yarıçapı için alt bölüm boşluğu korunacak.</x:v>
      </x:c>
    </x:row>
    <x:row r="8" ht="52" customHeight="1">
      <x:c r="A8" s="61" t="str">
        <x:v>Bara bölmesi</x:v>
      </x:c>
      <x:c r="B8" s="62" t="str">
        <x:v>Üst yatay, minimum 300 mm yüksek, ayrı kapalı</x:v>
      </x:c>
      <x:c r="C8" s="63" t="str">
        <x:v>L1-L2-L3-N 80×10 Cu; PE 40×5 Cu; şeffaf temas koruması.</x:v>
      </x:c>
    </x:row>
    <x:row r="9" ht="52" customHeight="1">
      <x:c r="A9" s="61" t="str">
        <x:v>Alt kablo bölmesi</x:v>
      </x:c>
      <x:c r="B9" s="62" t="str">
        <x:v>Minimum 550 mm net yükseklik</x:v>
      </x:c>
      <x:c r="C9" s="63" t="str">
        <x:v>Giriş/çıkış kablo başlıkları ve kelepçe traversleri için.</x:v>
      </x:c>
    </x:row>
    <x:row r="10" ht="52" customHeight="1">
      <x:c r="A10" s="61" t="str">
        <x:v>Ana cihaz yerleşimi</x:v>
      </x:c>
      <x:c r="B10" s="62" t="str">
        <x:v>NH40-630 sol orta; kapıdan döner kol</x:v>
      </x:c>
      <x:c r="C10" s="63" t="str">
        <x:v>Landing baradan kısa esnek bakır bağlantı; cihaz terminallerine kablo ağırlığı verilmez.</x:v>
      </x:c>
    </x:row>
    <x:row r="11" ht="52" customHeight="1">
      <x:c r="A11" s="61" t="str">
        <x:v>Çıkış cihaz yerleşimi</x:v>
      </x:c>
      <x:c r="B11" s="62" t="str">
        <x:v>QF1-QF3 üst/orta güç bölgesi; QF4-QF11 DIN bölgesi</x:v>
      </x:c>
      <x:c r="C11" s="63" t="str">
        <x:v>Büyük MCCB'ler arası ark mesafesi ve kablo çıkış yönü korunacak; %20 yedek alan.</x:v>
      </x:c>
    </x:row>
    <x:row r="12" ht="52" customHeight="1">
      <x:c r="A12" s="61" t="str">
        <x:v>Form sınıfı</x:v>
      </x:c>
      <x:c r="B12" s="62" t="str">
        <x:v>Minimum Form 2b</x:v>
      </x:c>
      <x:c r="C12" s="63" t="str">
        <x:v>Ana bara ile fonksiyonel cihazlar ayrılmış; terminal bölümü servis edilebilir.</x:v>
      </x:c>
    </x:row>
    <x:row r="13" ht="52" customHeight="1">
      <x:c r="A13" s="61" t="str">
        <x:v>Kısa devre hedefi</x:v>
      </x:c>
      <x:c r="B13" s="62" t="str">
        <x:v>Minimum 25kA / 1s yapısal hedef</x:v>
      </x:c>
      <x:c r="C13" s="63" t="str">
        <x:v>Proje Ik=22,29kA. Bara destek aralıkları ve panel sertifikasyon hesabıyla kesinleştirilecek.</x:v>
      </x:c>
    </x:row>
    <x:row r="14" ht="52" customHeight="1">
      <x:c r="A14" s="61" t="str">
        <x:v>Nominal akım</x:v>
      </x:c>
      <x:c r="B14" s="62" t="str">
        <x:v>Bara sistemi 1000A hedef; ana ayırıcı 630A</x:v>
      </x:c>
      <x:c r="C14" s="63" t="str">
        <x:v>Pano fiilî giriş akımı 630A ile sınırlı. Etiket metni müşteriden teyit edilecek.</x:v>
      </x:c>
    </x:row>
    <x:row r="15" ht="52" customHeight="1">
      <x:c r="A15" s="61" t="str">
        <x:v>Yedek alan</x:v>
      </x:c>
      <x:c r="B15" s="62" t="str">
        <x:v>Minimum %20</x:v>
      </x:c>
      <x:c r="C15" s="63" t="str">
        <x:v>Gelecekte koruma yükseltmesi veya kaskad çözümü için fiziksel rezerv.</x:v>
      </x:c>
    </x:row>
    <x:row r="16" ht="52" customHeight="1">
      <x:c r="A16" s="64" t="str">
        <x:v>Kablo bağlantı kararı</x:v>
      </x:c>
      <x:c r="B16" s="65" t="str">
        <x:v>2×5×240: landing bar + esnek Cu; DIN güç klemensi kullanılmaz</x:v>
      </x:c>
      <x:c r="C16" s="66" t="str">
        <x:v>Cu kablo için TML, Al kablo için bimetal TAM pabuç. N doğrudan N baraya, PE doğrudan PE baraya.</x:v>
      </x:c>
    </x:row>
  </x:sheetData>
  <x:pageMargins left="0.7" right="0.7" top="0.75" bottom="0.75" header="0.3" footer="0.3"/>
</x:worksheet>
</file>