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803 c.dogan celalabad\"/>
    </mc:Choice>
  </mc:AlternateContent>
  <xr:revisionPtr revIDLastSave="0" documentId="13_ncr:1_{AA0F3E30-1D32-483A-A861-6E8D85E894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OM" sheetId="1" r:id="rId1"/>
    <sheet name="FIYA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6" i="1" l="1"/>
  <c r="L136" i="1" s="1"/>
  <c r="H135" i="1"/>
  <c r="L135" i="1" s="1"/>
  <c r="H134" i="1"/>
  <c r="L134" i="1" s="1"/>
  <c r="H133" i="1"/>
  <c r="L133" i="1" s="1"/>
  <c r="H132" i="1"/>
  <c r="L132" i="1" s="1"/>
  <c r="H131" i="1"/>
  <c r="L131" i="1" s="1"/>
  <c r="H130" i="1"/>
  <c r="L130" i="1" s="1"/>
  <c r="H129" i="1"/>
  <c r="L129" i="1" s="1"/>
  <c r="H128" i="1"/>
  <c r="L128" i="1" s="1"/>
  <c r="H127" i="1"/>
  <c r="L127" i="1" s="1"/>
  <c r="H126" i="1"/>
  <c r="L126" i="1" s="1"/>
  <c r="H125" i="1"/>
  <c r="L125" i="1" s="1"/>
  <c r="H124" i="1"/>
  <c r="L124" i="1" s="1"/>
  <c r="H123" i="1"/>
  <c r="L123" i="1" s="1"/>
  <c r="H122" i="1"/>
  <c r="L122" i="1" s="1"/>
  <c r="H121" i="1"/>
  <c r="L121" i="1" s="1"/>
  <c r="H120" i="1"/>
  <c r="L120" i="1" s="1"/>
  <c r="H119" i="1"/>
  <c r="L119" i="1" s="1"/>
  <c r="H118" i="1"/>
  <c r="L118" i="1" s="1"/>
  <c r="H117" i="1"/>
  <c r="L117" i="1" s="1"/>
  <c r="H116" i="1"/>
  <c r="L116" i="1" s="1"/>
  <c r="H114" i="1"/>
  <c r="L114" i="1" s="1"/>
  <c r="H113" i="1"/>
  <c r="L113" i="1" s="1"/>
  <c r="H112" i="1"/>
  <c r="L112" i="1" s="1"/>
  <c r="H111" i="1"/>
  <c r="L111" i="1" s="1"/>
  <c r="H110" i="1"/>
  <c r="L110" i="1" s="1"/>
  <c r="H109" i="1"/>
  <c r="L109" i="1" s="1"/>
  <c r="H108" i="1"/>
  <c r="L108" i="1" s="1"/>
  <c r="H107" i="1"/>
  <c r="L107" i="1" s="1"/>
  <c r="H106" i="1"/>
  <c r="L106" i="1" s="1"/>
  <c r="H105" i="1"/>
  <c r="L105" i="1" s="1"/>
  <c r="H104" i="1"/>
  <c r="L104" i="1" s="1"/>
  <c r="H103" i="1"/>
  <c r="L103" i="1" s="1"/>
  <c r="H102" i="1"/>
  <c r="L102" i="1" s="1"/>
  <c r="H101" i="1"/>
  <c r="L101" i="1" s="1"/>
  <c r="H100" i="1"/>
  <c r="L100" i="1" s="1"/>
  <c r="H99" i="1"/>
  <c r="L99" i="1" s="1"/>
  <c r="H98" i="1"/>
  <c r="L98" i="1" s="1"/>
  <c r="H97" i="1"/>
  <c r="L97" i="1" s="1"/>
  <c r="H96" i="1"/>
  <c r="H94" i="1"/>
  <c r="L94" i="1" s="1"/>
  <c r="H93" i="1"/>
  <c r="L93" i="1" s="1"/>
  <c r="H92" i="1"/>
  <c r="L92" i="1" s="1"/>
  <c r="H91" i="1"/>
  <c r="L91" i="1" s="1"/>
  <c r="H90" i="1"/>
  <c r="L90" i="1" s="1"/>
  <c r="H89" i="1"/>
  <c r="L89" i="1" s="1"/>
  <c r="H88" i="1"/>
  <c r="L88" i="1" s="1"/>
  <c r="H87" i="1"/>
  <c r="L87" i="1" s="1"/>
  <c r="H86" i="1"/>
  <c r="L86" i="1" s="1"/>
  <c r="H85" i="1"/>
  <c r="L85" i="1" s="1"/>
  <c r="H84" i="1"/>
  <c r="L84" i="1" s="1"/>
  <c r="H83" i="1"/>
  <c r="L83" i="1" s="1"/>
  <c r="H82" i="1"/>
  <c r="L82" i="1" s="1"/>
  <c r="H81" i="1"/>
  <c r="L81" i="1" s="1"/>
  <c r="H80" i="1"/>
  <c r="L80" i="1" s="1"/>
  <c r="H79" i="1"/>
  <c r="L79" i="1" s="1"/>
  <c r="H78" i="1"/>
  <c r="L78" i="1" s="1"/>
  <c r="H77" i="1"/>
  <c r="L77" i="1" s="1"/>
  <c r="H76" i="1"/>
  <c r="L76" i="1" s="1"/>
  <c r="H74" i="1"/>
  <c r="L74" i="1" s="1"/>
  <c r="H73" i="1"/>
  <c r="L73" i="1" s="1"/>
  <c r="H72" i="1"/>
  <c r="L72" i="1" s="1"/>
  <c r="H71" i="1"/>
  <c r="L71" i="1" s="1"/>
  <c r="H70" i="1"/>
  <c r="L70" i="1" s="1"/>
  <c r="H69" i="1"/>
  <c r="L69" i="1" s="1"/>
  <c r="H68" i="1"/>
  <c r="L68" i="1" s="1"/>
  <c r="H67" i="1"/>
  <c r="L67" i="1" s="1"/>
  <c r="H66" i="1"/>
  <c r="L66" i="1" s="1"/>
  <c r="H65" i="1"/>
  <c r="L65" i="1" s="1"/>
  <c r="H64" i="1"/>
  <c r="L64" i="1" s="1"/>
  <c r="H63" i="1"/>
  <c r="L63" i="1" s="1"/>
  <c r="H62" i="1"/>
  <c r="L62" i="1" s="1"/>
  <c r="H61" i="1"/>
  <c r="L61" i="1" s="1"/>
  <c r="H60" i="1"/>
  <c r="H59" i="1"/>
  <c r="L59" i="1" s="1"/>
  <c r="H58" i="1"/>
  <c r="L58" i="1" s="1"/>
  <c r="H57" i="1"/>
  <c r="L57" i="1" s="1"/>
  <c r="H56" i="1"/>
  <c r="L56" i="1" s="1"/>
  <c r="H54" i="1"/>
  <c r="L54" i="1" s="1"/>
  <c r="H53" i="1"/>
  <c r="L53" i="1" s="1"/>
  <c r="H52" i="1"/>
  <c r="L52" i="1" s="1"/>
  <c r="H51" i="1"/>
  <c r="L51" i="1" s="1"/>
  <c r="H50" i="1"/>
  <c r="L50" i="1" s="1"/>
  <c r="H49" i="1"/>
  <c r="L49" i="1" s="1"/>
  <c r="H48" i="1"/>
  <c r="L48" i="1" s="1"/>
  <c r="H47" i="1"/>
  <c r="L47" i="1" s="1"/>
  <c r="H46" i="1"/>
  <c r="L46" i="1" s="1"/>
  <c r="H45" i="1"/>
  <c r="L45" i="1" s="1"/>
  <c r="H44" i="1"/>
  <c r="L44" i="1" s="1"/>
  <c r="H43" i="1"/>
  <c r="L43" i="1" s="1"/>
  <c r="H42" i="1"/>
  <c r="H41" i="1"/>
  <c r="L41" i="1" s="1"/>
  <c r="H39" i="1"/>
  <c r="L39" i="1" s="1"/>
  <c r="H38" i="1"/>
  <c r="L38" i="1" s="1"/>
  <c r="H37" i="1"/>
  <c r="L37" i="1" s="1"/>
  <c r="H36" i="1"/>
  <c r="L36" i="1" s="1"/>
  <c r="H35" i="1"/>
  <c r="L35" i="1" s="1"/>
  <c r="H34" i="1"/>
  <c r="L34" i="1" s="1"/>
  <c r="H33" i="1"/>
  <c r="L33" i="1" s="1"/>
  <c r="H32" i="1"/>
  <c r="L32" i="1" s="1"/>
  <c r="H31" i="1"/>
  <c r="L31" i="1" s="1"/>
  <c r="H30" i="1"/>
  <c r="L30" i="1" s="1"/>
  <c r="H29" i="1"/>
  <c r="L29" i="1" s="1"/>
  <c r="H28" i="1"/>
  <c r="L28" i="1" s="1"/>
  <c r="H27" i="1"/>
  <c r="L27" i="1" s="1"/>
  <c r="H26" i="1"/>
  <c r="L26" i="1" s="1"/>
  <c r="H25" i="1"/>
  <c r="L25" i="1" s="1"/>
  <c r="H24" i="1"/>
  <c r="L24" i="1" s="1"/>
  <c r="H22" i="1"/>
  <c r="L22" i="1" s="1"/>
  <c r="H21" i="1"/>
  <c r="L21" i="1" s="1"/>
  <c r="H20" i="1"/>
  <c r="L20" i="1" s="1"/>
  <c r="H19" i="1"/>
  <c r="L19" i="1" s="1"/>
  <c r="H18" i="1"/>
  <c r="L18" i="1" s="1"/>
  <c r="H17" i="1"/>
  <c r="L17" i="1" s="1"/>
  <c r="H16" i="1"/>
  <c r="L16" i="1" s="1"/>
  <c r="H15" i="1"/>
  <c r="L15" i="1" s="1"/>
  <c r="H14" i="1"/>
  <c r="L14" i="1" s="1"/>
  <c r="H13" i="1"/>
  <c r="L13" i="1" s="1"/>
  <c r="H12" i="1"/>
  <c r="L12" i="1" s="1"/>
  <c r="H11" i="1"/>
  <c r="L11" i="1" s="1"/>
  <c r="H10" i="1"/>
  <c r="L10" i="1" s="1"/>
  <c r="H9" i="1"/>
  <c r="L9" i="1" s="1"/>
  <c r="H8" i="1"/>
  <c r="L8" i="1" s="1"/>
  <c r="H7" i="1"/>
  <c r="L7" i="1" s="1"/>
  <c r="H6" i="1"/>
  <c r="H5" i="1"/>
  <c r="L5" i="1" s="1"/>
  <c r="H4" i="1"/>
  <c r="L4" i="1" s="1"/>
  <c r="H3" i="1"/>
  <c r="L3" i="1" s="1"/>
  <c r="H95" i="1" l="1"/>
  <c r="B7" i="2" s="1"/>
  <c r="H40" i="1"/>
  <c r="B4" i="2" s="1"/>
  <c r="H55" i="1"/>
  <c r="B5" i="2" s="1"/>
  <c r="H2" i="1"/>
  <c r="B2" i="2" s="1"/>
  <c r="L23" i="1"/>
  <c r="E3" i="2" s="1"/>
  <c r="L75" i="1"/>
  <c r="E6" i="2" s="1"/>
  <c r="L115" i="1"/>
  <c r="E8" i="2" s="1"/>
  <c r="H115" i="1"/>
  <c r="B8" i="2" s="1"/>
  <c r="L60" i="1"/>
  <c r="L55" i="1" s="1"/>
  <c r="E5" i="2" s="1"/>
  <c r="H75" i="1"/>
  <c r="B6" i="2" s="1"/>
  <c r="L6" i="1"/>
  <c r="L2" i="1" s="1"/>
  <c r="E2" i="2" s="1"/>
  <c r="L42" i="1"/>
  <c r="L40" i="1" s="1"/>
  <c r="E4" i="2" s="1"/>
  <c r="L96" i="1"/>
  <c r="L95" i="1" s="1"/>
  <c r="E7" i="2" s="1"/>
  <c r="H23" i="1"/>
  <c r="B3" i="2" s="1"/>
</calcChain>
</file>

<file path=xl/sharedStrings.xml><?xml version="1.0" encoding="utf-8"?>
<sst xmlns="http://schemas.openxmlformats.org/spreadsheetml/2006/main" count="821" uniqueCount="119">
  <si>
    <t>Наименование</t>
  </si>
  <si>
    <t>malzeme</t>
  </si>
  <si>
    <t>Артикул</t>
  </si>
  <si>
    <t>Номенклатура</t>
  </si>
  <si>
    <t>Цена,тг1</t>
  </si>
  <si>
    <t>Цена,тг</t>
  </si>
  <si>
    <t>СУММ.</t>
  </si>
  <si>
    <t>Кол- во</t>
  </si>
  <si>
    <t>Ед.изм</t>
  </si>
  <si>
    <t>завод изготовитель</t>
  </si>
  <si>
    <t>MALZ</t>
  </si>
  <si>
    <t>MAIN PANEL</t>
  </si>
  <si>
    <t>комплект</t>
  </si>
  <si>
    <t>TEKSAN</t>
  </si>
  <si>
    <t>korpus</t>
  </si>
  <si>
    <t>719-15085</t>
  </si>
  <si>
    <t>Мет. корпус ВРУ 1700x700x450 + база 100x700, IP31</t>
  </si>
  <si>
    <t>ШТ.</t>
  </si>
  <si>
    <t>teksan f</t>
  </si>
  <si>
    <t>tms</t>
  </si>
  <si>
    <t>131362</t>
  </si>
  <si>
    <t>Авт. выкл. NXM-125S/3Р 100A 25кА (R)</t>
  </si>
  <si>
    <t>chint</t>
  </si>
  <si>
    <t>PH</t>
  </si>
  <si>
    <t>KONTROL EDİLECEK</t>
  </si>
  <si>
    <t>Независимый расцепитель SHT для NXM-125 AC230V</t>
  </si>
  <si>
    <t>MANTAR BUTON</t>
  </si>
  <si>
    <t>574862</t>
  </si>
  <si>
    <t>Кнопка управления «Грибок» Φ40 с фиксацией NP2-BS542, красная 1НЗ IP40</t>
  </si>
  <si>
    <t>pp</t>
  </si>
  <si>
    <t>403037</t>
  </si>
  <si>
    <t>Откидной выключатель-разъединитель NHR17-125/3, 3P, 125А, с плавкими вставками</t>
  </si>
  <si>
    <t>521257</t>
  </si>
  <si>
    <t>Плавкая вставка предохранителя RT36-00-160, габарит 00, 125А</t>
  </si>
  <si>
    <t>opn</t>
  </si>
  <si>
    <t>308602</t>
  </si>
  <si>
    <t>Ограничитель имп. перенапр. NXU-I+II 4P In=25kA Uc=385В Im=50kA (R)</t>
  </si>
  <si>
    <t>uzo</t>
  </si>
  <si>
    <t>280934</t>
  </si>
  <si>
    <t>УЗО NXL-63 10kA 3P+N 63A 300mA AC (R)</t>
  </si>
  <si>
    <t>200229</t>
  </si>
  <si>
    <t>УЗО NL1-63 6kA 4P 25A 300mA тип AC (R)</t>
  </si>
  <si>
    <t>oto</t>
  </si>
  <si>
    <t>813875</t>
  </si>
  <si>
    <t>Авт. выкл. NXB-63H 3P 40A 10кА х-ка C (R)</t>
  </si>
  <si>
    <t>813874</t>
  </si>
  <si>
    <t>Авт. выкл. NXB-63H 3P 32A 10кА х-ка C (R)</t>
  </si>
  <si>
    <t>813873</t>
  </si>
  <si>
    <t>Авт. выкл. NXB-63H 3P 25A 10кА х-ка C (R)</t>
  </si>
  <si>
    <t>Авт. выкл. NXB-63H 3P 20A 10кА х-ка C (R)</t>
  </si>
  <si>
    <t>296708</t>
  </si>
  <si>
    <t>Авт. выкл. NXB-63S 1P 6А 4.5kA х-ка C (R)</t>
  </si>
  <si>
    <t>sinyal lamb</t>
  </si>
  <si>
    <t>593076</t>
  </si>
  <si>
    <t>Индикатор ND16-22D/2 желтый AC/DC230В (R)</t>
  </si>
  <si>
    <t>593077</t>
  </si>
  <si>
    <t>Индикатор ND16-22D/2 зеленый AC/DC230В (R)</t>
  </si>
  <si>
    <t>593075</t>
  </si>
  <si>
    <t>Индикатор ND16-22D/2 красный AC/DC230В (R)</t>
  </si>
  <si>
    <t>NÖTR TOPRAK</t>
  </si>
  <si>
    <t>130200399_</t>
  </si>
  <si>
    <t>Шина N нулевая ШНК 3L+PEN 4х7 100А на DIN-рейку UNIT</t>
  </si>
  <si>
    <t>pys</t>
  </si>
  <si>
    <t>Монтажный материал</t>
  </si>
  <si>
    <t>Монтажные работы</t>
  </si>
  <si>
    <t>ПОДВАЛ-ELP</t>
  </si>
  <si>
    <t>SHRV sıva altı 1400x700x180 mm</t>
  </si>
  <si>
    <t>814172</t>
  </si>
  <si>
    <t>Авт. выкл. NXB-63 3P 25A 6кА х-ка C (R)</t>
  </si>
  <si>
    <t>280721</t>
  </si>
  <si>
    <t>УЗО NXL-63 6kA 1P+N 25A 30mA AC (R)</t>
  </si>
  <si>
    <t>280789</t>
  </si>
  <si>
    <t>УЗО NXL-63 6kA 3P+N 25A 30mA AC (R)</t>
  </si>
  <si>
    <t>280791</t>
  </si>
  <si>
    <t>УЗО NXL-63 6kA 3P+N 40A 30mA AC (R)</t>
  </si>
  <si>
    <t>296696</t>
  </si>
  <si>
    <t>Авт. выкл. NXB-63S 1P 10А 4.5kA х-ка B (R)</t>
  </si>
  <si>
    <t>296710</t>
  </si>
  <si>
    <t>Авт. выкл. NXB-63S 1P 16А 4.5kA х-ка C (R)</t>
  </si>
  <si>
    <t>814170</t>
  </si>
  <si>
    <t>Авт. выкл. NXB-63 3P 16A 6кА х-ка C (R)</t>
  </si>
  <si>
    <t>KLEMENS</t>
  </si>
  <si>
    <t>130301144_</t>
  </si>
  <si>
    <t>ЗВИ 3 ПВХ (1,0-2,5мм² 3А) 12 пар UNIT</t>
  </si>
  <si>
    <t>АДМИНИСТРАЦИЯ-ELP</t>
  </si>
  <si>
    <t>ZK-ELP</t>
  </si>
  <si>
    <t>SHRV sıva altı + şaft 1650x700x180 mm</t>
  </si>
  <si>
    <t>Авт. выкл. NXM-125S/3Р 80A 25кА (R)</t>
  </si>
  <si>
    <t>Авт. выкл. NXB-63S 1P 25А 4.5kA х-ка C (R)</t>
  </si>
  <si>
    <t>814173</t>
  </si>
  <si>
    <t>Авт. выкл. NXB-63 3P 32A 6кА х-ка C (R)</t>
  </si>
  <si>
    <t>814174</t>
  </si>
  <si>
    <t>Авт. выкл. NXB-63 3P 40A 6кА х-ка C (R)</t>
  </si>
  <si>
    <t>2K-ELP</t>
  </si>
  <si>
    <t>kontaktor</t>
  </si>
  <si>
    <t>836704</t>
  </si>
  <si>
    <t>Контактор NXC-09 9A 220В/АС3 1НО+1НЗ 50Гц (R)</t>
  </si>
  <si>
    <t>teplo rele</t>
  </si>
  <si>
    <t>837097</t>
  </si>
  <si>
    <t>Тепловое реле NXR-12 1-1.6A (R)</t>
  </si>
  <si>
    <t>perekluchatel</t>
  </si>
  <si>
    <t>574847</t>
  </si>
  <si>
    <t>Переключатель NP2-BD21, 2 положения с фиксацией, 1НО IP40</t>
  </si>
  <si>
    <t>Zaman Rölesi</t>
  </si>
  <si>
    <t>130300302_</t>
  </si>
  <si>
    <t>Таймер ТЭМ 181 аналоговый 16А 230В на DIN-рейку IEK (100)</t>
  </si>
  <si>
    <t>iek</t>
  </si>
  <si>
    <t>КРЫША-ELP</t>
  </si>
  <si>
    <t>837100</t>
  </si>
  <si>
    <t>Тепловое реле NXR-12 2.5-4A (R)</t>
  </si>
  <si>
    <t>КОТЕЛЬНАЯ-ELP</t>
  </si>
  <si>
    <t>719-15926</t>
  </si>
  <si>
    <t>Щит наружный с козырьком 1400x700x250 mm IP54</t>
  </si>
  <si>
    <t>Контактор NXC-25 25A 220В/АС3 1НО+1НЗ 50Гц (R)</t>
  </si>
  <si>
    <t>Gerilim Koruma Rölesi</t>
  </si>
  <si>
    <t>697027</t>
  </si>
  <si>
    <t>Реле контроля фаз NJYB3-8 AC380V (R)</t>
  </si>
  <si>
    <t>Тепловое реле NXR-12 0.6-1A (R)</t>
  </si>
  <si>
    <t>Кол-во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</si>
</sst>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rgb="FF9C0006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200"/>
      </patternFill>
    </fill>
    <fill>
      <patternFill patternType="solid">
        <fgColor rgb="FFD9EAD3"/>
      </patternFill>
    </fill>
    <fill>
      <patternFill patternType="solid">
        <fgColor rgb="FFF4CCCC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rgb="FF548235"/>
      </left>
      <right style="medium">
        <color rgb="FF548235"/>
      </right>
      <top style="medium">
        <color rgb="FF548235"/>
      </top>
      <bottom style="medium">
        <color rgb="FF548235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4" fontId="1" fillId="0" borderId="2" xfId="0" applyNumberFormat="1" applyFont="1" applyBorder="1" applyAlignment="1">
      <alignment vertical="center" wrapText="1"/>
    </xf>
    <xf numFmtId="3" fontId="1" fillId="0" borderId="2" xfId="0" applyNumberFormat="1" applyFont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4" fontId="3" fillId="3" borderId="3" xfId="0" applyNumberFormat="1" applyFont="1" applyFill="1" applyBorder="1" applyAlignment="1">
      <alignment vertical="center" wrapText="1"/>
    </xf>
    <xf numFmtId="3" fontId="3" fillId="3" borderId="3" xfId="0" applyNumberFormat="1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1" fillId="0" borderId="4" xfId="0" applyFont="1" applyBorder="1"/>
    <xf numFmtId="0" fontId="3" fillId="2" borderId="4" xfId="0" applyFont="1" applyFill="1" applyBorder="1" applyAlignment="1">
      <alignment horizontal="center"/>
    </xf>
    <xf numFmtId="4" fontId="1" fillId="0" borderId="4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6"/>
  <sheetViews>
    <sheetView showGridLines="0" tabSelected="1" workbookViewId="0">
      <selection activeCell="E4" sqref="E4"/>
    </sheetView>
  </sheetViews>
  <sheetFormatPr defaultRowHeight="35.25" customHeight="1"/>
  <cols>
    <col min="1" max="1" width="3" customWidth="1"/>
    <col min="2" max="2" width="26" customWidth="1"/>
    <col min="3" max="4" width="22" customWidth="1"/>
    <col min="5" max="5" width="62" customWidth="1"/>
    <col min="6" max="7" width="15" customWidth="1"/>
    <col min="8" max="8" width="18" customWidth="1"/>
    <col min="9" max="9" width="12" customWidth="1"/>
    <col min="10" max="10" width="14" customWidth="1"/>
    <col min="11" max="11" width="20" customWidth="1"/>
    <col min="12" max="12" width="18" customWidth="1"/>
  </cols>
  <sheetData>
    <row r="1" spans="1:12" ht="35.25" customHeight="1" thickBo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35.25" customHeight="1" thickBot="1">
      <c r="A2" s="1"/>
      <c r="B2" s="7" t="s">
        <v>11</v>
      </c>
      <c r="C2" s="7"/>
      <c r="D2" s="7"/>
      <c r="E2" s="7" t="s">
        <v>11</v>
      </c>
      <c r="F2" s="8"/>
      <c r="G2" s="8"/>
      <c r="H2" s="8">
        <f>SUM(H3:H22)</f>
        <v>413312.79999999993</v>
      </c>
      <c r="I2" s="9">
        <v>1</v>
      </c>
      <c r="J2" s="8" t="s">
        <v>12</v>
      </c>
      <c r="K2" s="8" t="s">
        <v>13</v>
      </c>
      <c r="L2" s="8">
        <f>SUM(L3:L22)</f>
        <v>413312.79999999993</v>
      </c>
    </row>
    <row r="3" spans="1:12" ht="35.25" customHeight="1">
      <c r="A3" s="1"/>
      <c r="B3" s="4" t="s">
        <v>11</v>
      </c>
      <c r="C3" s="3" t="s">
        <v>14</v>
      </c>
      <c r="D3" s="3" t="s">
        <v>15</v>
      </c>
      <c r="E3" s="3" t="s">
        <v>16</v>
      </c>
      <c r="F3" s="5">
        <v>154595</v>
      </c>
      <c r="G3" s="5">
        <v>154595</v>
      </c>
      <c r="H3" s="5">
        <f t="shared" ref="H3:H22" si="0">G3*I3</f>
        <v>154595</v>
      </c>
      <c r="I3" s="6">
        <v>1</v>
      </c>
      <c r="J3" s="5" t="s">
        <v>17</v>
      </c>
      <c r="K3" s="5" t="s">
        <v>18</v>
      </c>
      <c r="L3" s="5">
        <f t="shared" ref="L3:L22" si="1">H3</f>
        <v>154595</v>
      </c>
    </row>
    <row r="4" spans="1:12" ht="35.25" customHeight="1">
      <c r="A4" s="1"/>
      <c r="B4" s="4" t="s">
        <v>11</v>
      </c>
      <c r="C4" s="3" t="s">
        <v>19</v>
      </c>
      <c r="D4" s="3" t="s">
        <v>20</v>
      </c>
      <c r="E4" s="3" t="s">
        <v>21</v>
      </c>
      <c r="F4" s="5">
        <v>18517</v>
      </c>
      <c r="G4" s="5">
        <v>11110.2</v>
      </c>
      <c r="H4" s="5">
        <f t="shared" si="0"/>
        <v>22220.400000000001</v>
      </c>
      <c r="I4" s="6">
        <v>2</v>
      </c>
      <c r="J4" s="5" t="s">
        <v>17</v>
      </c>
      <c r="K4" s="5" t="s">
        <v>22</v>
      </c>
      <c r="L4" s="5">
        <f t="shared" si="1"/>
        <v>22220.400000000001</v>
      </c>
    </row>
    <row r="5" spans="1:12" ht="35.25" customHeight="1">
      <c r="A5" s="1"/>
      <c r="B5" s="4" t="s">
        <v>11</v>
      </c>
      <c r="C5" s="3" t="s">
        <v>23</v>
      </c>
      <c r="D5" s="10" t="s">
        <v>24</v>
      </c>
      <c r="E5" s="10" t="s">
        <v>25</v>
      </c>
      <c r="F5" s="5">
        <v>0</v>
      </c>
      <c r="G5" s="5">
        <v>0</v>
      </c>
      <c r="H5" s="5">
        <f t="shared" si="0"/>
        <v>0</v>
      </c>
      <c r="I5" s="6">
        <v>1</v>
      </c>
      <c r="J5" s="5" t="s">
        <v>17</v>
      </c>
      <c r="K5" s="5" t="s">
        <v>22</v>
      </c>
      <c r="L5" s="5">
        <f t="shared" si="1"/>
        <v>0</v>
      </c>
    </row>
    <row r="6" spans="1:12" ht="35.25" customHeight="1">
      <c r="A6" s="1"/>
      <c r="B6" s="4" t="s">
        <v>11</v>
      </c>
      <c r="C6" s="3" t="s">
        <v>26</v>
      </c>
      <c r="D6" s="3" t="s">
        <v>27</v>
      </c>
      <c r="E6" s="3" t="s">
        <v>28</v>
      </c>
      <c r="F6" s="5">
        <v>1799</v>
      </c>
      <c r="G6" s="5">
        <v>1079.4000000000001</v>
      </c>
      <c r="H6" s="5">
        <f t="shared" si="0"/>
        <v>1079.4000000000001</v>
      </c>
      <c r="I6" s="6">
        <v>1</v>
      </c>
      <c r="J6" s="5" t="s">
        <v>17</v>
      </c>
      <c r="K6" s="5" t="s">
        <v>22</v>
      </c>
      <c r="L6" s="5">
        <f t="shared" si="1"/>
        <v>1079.4000000000001</v>
      </c>
    </row>
    <row r="7" spans="1:12" ht="35.25" customHeight="1">
      <c r="A7" s="1"/>
      <c r="B7" s="4" t="s">
        <v>11</v>
      </c>
      <c r="C7" s="3" t="s">
        <v>29</v>
      </c>
      <c r="D7" s="3" t="s">
        <v>30</v>
      </c>
      <c r="E7" s="3" t="s">
        <v>31</v>
      </c>
      <c r="F7" s="5">
        <v>2070</v>
      </c>
      <c r="G7" s="5">
        <v>1242</v>
      </c>
      <c r="H7" s="5">
        <f t="shared" si="0"/>
        <v>1242</v>
      </c>
      <c r="I7" s="6">
        <v>1</v>
      </c>
      <c r="J7" s="5" t="s">
        <v>17</v>
      </c>
      <c r="K7" s="5" t="s">
        <v>22</v>
      </c>
      <c r="L7" s="5">
        <f t="shared" si="1"/>
        <v>1242</v>
      </c>
    </row>
    <row r="8" spans="1:12" ht="35.25" customHeight="1">
      <c r="A8" s="1"/>
      <c r="B8" s="4" t="s">
        <v>11</v>
      </c>
      <c r="C8" s="3" t="s">
        <v>29</v>
      </c>
      <c r="D8" s="3" t="s">
        <v>32</v>
      </c>
      <c r="E8" s="3" t="s">
        <v>33</v>
      </c>
      <c r="F8" s="5">
        <v>1545</v>
      </c>
      <c r="G8" s="5">
        <v>927</v>
      </c>
      <c r="H8" s="5">
        <f t="shared" si="0"/>
        <v>2781</v>
      </c>
      <c r="I8" s="6">
        <v>3</v>
      </c>
      <c r="J8" s="5" t="s">
        <v>17</v>
      </c>
      <c r="K8" s="5" t="s">
        <v>22</v>
      </c>
      <c r="L8" s="5">
        <f t="shared" si="1"/>
        <v>2781</v>
      </c>
    </row>
    <row r="9" spans="1:12" ht="35.25" customHeight="1">
      <c r="A9" s="1"/>
      <c r="B9" s="4" t="s">
        <v>11</v>
      </c>
      <c r="C9" s="3" t="s">
        <v>34</v>
      </c>
      <c r="D9" s="3" t="s">
        <v>35</v>
      </c>
      <c r="E9" s="3" t="s">
        <v>36</v>
      </c>
      <c r="F9" s="5">
        <v>56704</v>
      </c>
      <c r="G9" s="5">
        <v>34022.400000000001</v>
      </c>
      <c r="H9" s="5">
        <f t="shared" si="0"/>
        <v>34022.400000000001</v>
      </c>
      <c r="I9" s="6">
        <v>1</v>
      </c>
      <c r="J9" s="5" t="s">
        <v>17</v>
      </c>
      <c r="K9" s="5" t="s">
        <v>22</v>
      </c>
      <c r="L9" s="5">
        <f t="shared" si="1"/>
        <v>34022.400000000001</v>
      </c>
    </row>
    <row r="10" spans="1:12" ht="35.25" customHeight="1">
      <c r="A10" s="1"/>
      <c r="B10" s="4" t="s">
        <v>11</v>
      </c>
      <c r="C10" s="3" t="s">
        <v>37</v>
      </c>
      <c r="D10" s="3" t="s">
        <v>38</v>
      </c>
      <c r="E10" s="3" t="s">
        <v>39</v>
      </c>
      <c r="F10" s="5">
        <v>15688</v>
      </c>
      <c r="G10" s="5">
        <v>9412.7999999999993</v>
      </c>
      <c r="H10" s="5">
        <f t="shared" si="0"/>
        <v>9412.7999999999993</v>
      </c>
      <c r="I10" s="6">
        <v>1</v>
      </c>
      <c r="J10" s="5" t="s">
        <v>17</v>
      </c>
      <c r="K10" s="5" t="s">
        <v>22</v>
      </c>
      <c r="L10" s="5">
        <f t="shared" si="1"/>
        <v>9412.7999999999993</v>
      </c>
    </row>
    <row r="11" spans="1:12" ht="35.25" customHeight="1">
      <c r="A11" s="1"/>
      <c r="B11" s="4" t="s">
        <v>11</v>
      </c>
      <c r="C11" s="3" t="s">
        <v>37</v>
      </c>
      <c r="D11" s="3" t="s">
        <v>40</v>
      </c>
      <c r="E11" s="3" t="s">
        <v>41</v>
      </c>
      <c r="F11" s="5">
        <v>14768</v>
      </c>
      <c r="G11" s="5">
        <v>8860.7999999999993</v>
      </c>
      <c r="H11" s="5">
        <f t="shared" si="0"/>
        <v>8860.7999999999993</v>
      </c>
      <c r="I11" s="6">
        <v>1</v>
      </c>
      <c r="J11" s="5" t="s">
        <v>17</v>
      </c>
      <c r="K11" s="5" t="s">
        <v>22</v>
      </c>
      <c r="L11" s="5">
        <f t="shared" si="1"/>
        <v>8860.7999999999993</v>
      </c>
    </row>
    <row r="12" spans="1:12" ht="35.25" customHeight="1">
      <c r="A12" s="1"/>
      <c r="B12" s="4" t="s">
        <v>11</v>
      </c>
      <c r="C12" s="3" t="s">
        <v>42</v>
      </c>
      <c r="D12" s="3" t="s">
        <v>43</v>
      </c>
      <c r="E12" s="3" t="s">
        <v>44</v>
      </c>
      <c r="F12" s="5">
        <v>11002</v>
      </c>
      <c r="G12" s="5">
        <v>6601.2</v>
      </c>
      <c r="H12" s="5">
        <f t="shared" si="0"/>
        <v>26404.799999999999</v>
      </c>
      <c r="I12" s="6">
        <v>4</v>
      </c>
      <c r="J12" s="5" t="s">
        <v>17</v>
      </c>
      <c r="K12" s="5" t="s">
        <v>22</v>
      </c>
      <c r="L12" s="5">
        <f t="shared" si="1"/>
        <v>26404.799999999999</v>
      </c>
    </row>
    <row r="13" spans="1:12" ht="35.25" customHeight="1">
      <c r="A13" s="1"/>
      <c r="B13" s="4" t="s">
        <v>11</v>
      </c>
      <c r="C13" s="3" t="s">
        <v>42</v>
      </c>
      <c r="D13" s="3" t="s">
        <v>45</v>
      </c>
      <c r="E13" s="3" t="s">
        <v>46</v>
      </c>
      <c r="F13" s="5">
        <v>11771</v>
      </c>
      <c r="G13" s="5">
        <v>7062.6</v>
      </c>
      <c r="H13" s="5">
        <f t="shared" si="0"/>
        <v>21187.800000000003</v>
      </c>
      <c r="I13" s="6">
        <v>3</v>
      </c>
      <c r="J13" s="5" t="s">
        <v>17</v>
      </c>
      <c r="K13" s="5" t="s">
        <v>22</v>
      </c>
      <c r="L13" s="5">
        <f t="shared" si="1"/>
        <v>21187.800000000003</v>
      </c>
    </row>
    <row r="14" spans="1:12" ht="35.25" customHeight="1">
      <c r="A14" s="1"/>
      <c r="B14" s="4" t="s">
        <v>11</v>
      </c>
      <c r="C14" s="3" t="s">
        <v>42</v>
      </c>
      <c r="D14" s="3" t="s">
        <v>47</v>
      </c>
      <c r="E14" s="3" t="s">
        <v>48</v>
      </c>
      <c r="F14" s="5">
        <v>10552</v>
      </c>
      <c r="G14" s="5">
        <v>6331.2</v>
      </c>
      <c r="H14" s="5">
        <f t="shared" si="0"/>
        <v>6331.2</v>
      </c>
      <c r="I14" s="6">
        <v>1</v>
      </c>
      <c r="J14" s="5" t="s">
        <v>17</v>
      </c>
      <c r="K14" s="5" t="s">
        <v>22</v>
      </c>
      <c r="L14" s="5">
        <f t="shared" si="1"/>
        <v>6331.2</v>
      </c>
    </row>
    <row r="15" spans="1:12" ht="35.25" customHeight="1">
      <c r="A15" s="1"/>
      <c r="B15" s="4" t="s">
        <v>11</v>
      </c>
      <c r="C15" s="3" t="s">
        <v>42</v>
      </c>
      <c r="D15" s="10" t="s">
        <v>24</v>
      </c>
      <c r="E15" s="10" t="s">
        <v>49</v>
      </c>
      <c r="F15" s="5">
        <v>0</v>
      </c>
      <c r="G15" s="5">
        <v>0</v>
      </c>
      <c r="H15" s="5">
        <f t="shared" si="0"/>
        <v>0</v>
      </c>
      <c r="I15" s="6">
        <v>1</v>
      </c>
      <c r="J15" s="5" t="s">
        <v>17</v>
      </c>
      <c r="K15" s="5" t="s">
        <v>22</v>
      </c>
      <c r="L15" s="5">
        <f t="shared" si="1"/>
        <v>0</v>
      </c>
    </row>
    <row r="16" spans="1:12" ht="35.25" customHeight="1">
      <c r="A16" s="1"/>
      <c r="B16" s="4" t="s">
        <v>11</v>
      </c>
      <c r="C16" s="3" t="s">
        <v>42</v>
      </c>
      <c r="D16" s="3" t="s">
        <v>50</v>
      </c>
      <c r="E16" s="3" t="s">
        <v>51</v>
      </c>
      <c r="F16" s="5">
        <v>947</v>
      </c>
      <c r="G16" s="5">
        <v>568.20000000000005</v>
      </c>
      <c r="H16" s="5">
        <f t="shared" si="0"/>
        <v>1704.6000000000001</v>
      </c>
      <c r="I16" s="6">
        <v>3</v>
      </c>
      <c r="J16" s="5" t="s">
        <v>17</v>
      </c>
      <c r="K16" s="5" t="s">
        <v>22</v>
      </c>
      <c r="L16" s="5">
        <f t="shared" si="1"/>
        <v>1704.6000000000001</v>
      </c>
    </row>
    <row r="17" spans="1:12" ht="35.25" customHeight="1">
      <c r="A17" s="1"/>
      <c r="B17" s="4" t="s">
        <v>11</v>
      </c>
      <c r="C17" s="3" t="s">
        <v>52</v>
      </c>
      <c r="D17" s="3" t="s">
        <v>53</v>
      </c>
      <c r="E17" s="3" t="s">
        <v>54</v>
      </c>
      <c r="F17" s="5">
        <v>571</v>
      </c>
      <c r="G17" s="5">
        <v>342.6</v>
      </c>
      <c r="H17" s="5">
        <f t="shared" si="0"/>
        <v>342.6</v>
      </c>
      <c r="I17" s="6">
        <v>1</v>
      </c>
      <c r="J17" s="5" t="s">
        <v>17</v>
      </c>
      <c r="K17" s="5" t="s">
        <v>22</v>
      </c>
      <c r="L17" s="5">
        <f t="shared" si="1"/>
        <v>342.6</v>
      </c>
    </row>
    <row r="18" spans="1:12" ht="35.25" customHeight="1">
      <c r="A18" s="1"/>
      <c r="B18" s="4" t="s">
        <v>11</v>
      </c>
      <c r="C18" s="3" t="s">
        <v>52</v>
      </c>
      <c r="D18" s="3" t="s">
        <v>55</v>
      </c>
      <c r="E18" s="3" t="s">
        <v>56</v>
      </c>
      <c r="F18" s="5">
        <v>589</v>
      </c>
      <c r="G18" s="5">
        <v>353.4</v>
      </c>
      <c r="H18" s="5">
        <f t="shared" si="0"/>
        <v>353.4</v>
      </c>
      <c r="I18" s="6">
        <v>1</v>
      </c>
      <c r="J18" s="5" t="s">
        <v>17</v>
      </c>
      <c r="K18" s="5" t="s">
        <v>22</v>
      </c>
      <c r="L18" s="5">
        <f t="shared" si="1"/>
        <v>353.4</v>
      </c>
    </row>
    <row r="19" spans="1:12" ht="35.25" customHeight="1">
      <c r="A19" s="1"/>
      <c r="B19" s="4" t="s">
        <v>11</v>
      </c>
      <c r="C19" s="3" t="s">
        <v>52</v>
      </c>
      <c r="D19" s="3" t="s">
        <v>57</v>
      </c>
      <c r="E19" s="3" t="s">
        <v>58</v>
      </c>
      <c r="F19" s="5">
        <v>571</v>
      </c>
      <c r="G19" s="5">
        <v>342.6</v>
      </c>
      <c r="H19" s="5">
        <f t="shared" si="0"/>
        <v>342.6</v>
      </c>
      <c r="I19" s="6">
        <v>1</v>
      </c>
      <c r="J19" s="5" t="s">
        <v>17</v>
      </c>
      <c r="K19" s="5" t="s">
        <v>22</v>
      </c>
      <c r="L19" s="5">
        <f t="shared" si="1"/>
        <v>342.6</v>
      </c>
    </row>
    <row r="20" spans="1:12" ht="35.25" customHeight="1">
      <c r="A20" s="1"/>
      <c r="B20" s="4" t="s">
        <v>11</v>
      </c>
      <c r="C20" s="3" t="s">
        <v>59</v>
      </c>
      <c r="D20" s="3" t="s">
        <v>60</v>
      </c>
      <c r="E20" s="3" t="s">
        <v>61</v>
      </c>
      <c r="F20" s="5">
        <v>2432</v>
      </c>
      <c r="G20" s="5">
        <v>2432</v>
      </c>
      <c r="H20" s="5">
        <f t="shared" si="0"/>
        <v>2432</v>
      </c>
      <c r="I20" s="6">
        <v>1</v>
      </c>
      <c r="J20" s="5" t="s">
        <v>17</v>
      </c>
      <c r="K20" s="5" t="s">
        <v>62</v>
      </c>
      <c r="L20" s="5">
        <f t="shared" si="1"/>
        <v>2432</v>
      </c>
    </row>
    <row r="21" spans="1:12" ht="35.25" customHeight="1">
      <c r="A21" s="1"/>
      <c r="B21" s="4" t="s">
        <v>11</v>
      </c>
      <c r="C21" s="3" t="s">
        <v>63</v>
      </c>
      <c r="D21" s="3" t="s">
        <v>63</v>
      </c>
      <c r="E21" s="3" t="s">
        <v>63</v>
      </c>
      <c r="F21" s="5">
        <v>60000</v>
      </c>
      <c r="G21" s="5">
        <v>60000</v>
      </c>
      <c r="H21" s="5">
        <f t="shared" si="0"/>
        <v>60000</v>
      </c>
      <c r="I21" s="6">
        <v>1</v>
      </c>
      <c r="J21" s="5" t="s">
        <v>17</v>
      </c>
      <c r="K21" s="5" t="s">
        <v>63</v>
      </c>
      <c r="L21" s="5">
        <f t="shared" si="1"/>
        <v>60000</v>
      </c>
    </row>
    <row r="22" spans="1:12" ht="35.25" customHeight="1">
      <c r="A22" s="1"/>
      <c r="B22" s="4" t="s">
        <v>11</v>
      </c>
      <c r="C22" s="3" t="s">
        <v>64</v>
      </c>
      <c r="D22" s="3" t="s">
        <v>64</v>
      </c>
      <c r="E22" s="3" t="s">
        <v>64</v>
      </c>
      <c r="F22" s="5">
        <v>10</v>
      </c>
      <c r="G22" s="5">
        <v>100</v>
      </c>
      <c r="H22" s="5">
        <f t="shared" si="0"/>
        <v>60000</v>
      </c>
      <c r="I22" s="6">
        <v>600</v>
      </c>
      <c r="J22" s="5" t="s">
        <v>17</v>
      </c>
      <c r="K22" s="5" t="s">
        <v>64</v>
      </c>
      <c r="L22" s="5">
        <f t="shared" si="1"/>
        <v>60000</v>
      </c>
    </row>
    <row r="23" spans="1:12" ht="35.25" customHeight="1">
      <c r="A23" s="1"/>
      <c r="B23" s="7" t="s">
        <v>65</v>
      </c>
      <c r="C23" s="7"/>
      <c r="D23" s="7"/>
      <c r="E23" s="7" t="s">
        <v>65</v>
      </c>
      <c r="F23" s="8"/>
      <c r="G23" s="8"/>
      <c r="H23" s="8">
        <f>SUM(H24:H39)</f>
        <v>231510</v>
      </c>
      <c r="I23" s="9">
        <v>1</v>
      </c>
      <c r="J23" s="8" t="s">
        <v>12</v>
      </c>
      <c r="K23" s="8" t="s">
        <v>13</v>
      </c>
      <c r="L23" s="8">
        <f>SUM(L24:L39)</f>
        <v>231510</v>
      </c>
    </row>
    <row r="24" spans="1:12" ht="35.25" customHeight="1">
      <c r="A24" s="1"/>
      <c r="B24" s="4" t="s">
        <v>65</v>
      </c>
      <c r="C24" s="3" t="s">
        <v>14</v>
      </c>
      <c r="D24" s="3"/>
      <c r="E24" s="3" t="s">
        <v>66</v>
      </c>
      <c r="F24" s="5">
        <v>100000</v>
      </c>
      <c r="G24" s="5">
        <v>100000</v>
      </c>
      <c r="H24" s="5">
        <f t="shared" ref="H24:H39" si="2">G24*I24</f>
        <v>100000</v>
      </c>
      <c r="I24" s="6">
        <v>1</v>
      </c>
      <c r="J24" s="5" t="s">
        <v>17</v>
      </c>
      <c r="K24" s="5" t="s">
        <v>18</v>
      </c>
      <c r="L24" s="5">
        <f t="shared" ref="L24:L39" si="3">H24</f>
        <v>100000</v>
      </c>
    </row>
    <row r="25" spans="1:12" ht="35.25" customHeight="1">
      <c r="A25" s="1"/>
      <c r="B25" s="4" t="s">
        <v>65</v>
      </c>
      <c r="C25" s="3" t="s">
        <v>42</v>
      </c>
      <c r="D25" s="3" t="s">
        <v>67</v>
      </c>
      <c r="E25" s="3" t="s">
        <v>68</v>
      </c>
      <c r="F25" s="5">
        <v>4761</v>
      </c>
      <c r="G25" s="5">
        <v>2856.6</v>
      </c>
      <c r="H25" s="5">
        <f t="shared" si="2"/>
        <v>2856.6</v>
      </c>
      <c r="I25" s="6">
        <v>1</v>
      </c>
      <c r="J25" s="5" t="s">
        <v>17</v>
      </c>
      <c r="K25" s="5" t="s">
        <v>22</v>
      </c>
      <c r="L25" s="5">
        <f t="shared" si="3"/>
        <v>2856.6</v>
      </c>
    </row>
    <row r="26" spans="1:12" ht="35.25" customHeight="1">
      <c r="A26" s="1"/>
      <c r="B26" s="4" t="s">
        <v>65</v>
      </c>
      <c r="C26" s="3" t="s">
        <v>42</v>
      </c>
      <c r="D26" s="3" t="s">
        <v>50</v>
      </c>
      <c r="E26" s="3" t="s">
        <v>51</v>
      </c>
      <c r="F26" s="5">
        <v>947</v>
      </c>
      <c r="G26" s="5">
        <v>568.20000000000005</v>
      </c>
      <c r="H26" s="5">
        <f t="shared" si="2"/>
        <v>1704.6000000000001</v>
      </c>
      <c r="I26" s="6">
        <v>3</v>
      </c>
      <c r="J26" s="5" t="s">
        <v>17</v>
      </c>
      <c r="K26" s="5" t="s">
        <v>22</v>
      </c>
      <c r="L26" s="5">
        <f t="shared" si="3"/>
        <v>1704.6000000000001</v>
      </c>
    </row>
    <row r="27" spans="1:12" ht="35.25" customHeight="1">
      <c r="A27" s="1"/>
      <c r="B27" s="4" t="s">
        <v>65</v>
      </c>
      <c r="C27" s="3" t="s">
        <v>52</v>
      </c>
      <c r="D27" s="3" t="s">
        <v>53</v>
      </c>
      <c r="E27" s="3" t="s">
        <v>54</v>
      </c>
      <c r="F27" s="5">
        <v>571</v>
      </c>
      <c r="G27" s="5">
        <v>342.6</v>
      </c>
      <c r="H27" s="5">
        <f t="shared" si="2"/>
        <v>342.6</v>
      </c>
      <c r="I27" s="6">
        <v>1</v>
      </c>
      <c r="J27" s="5" t="s">
        <v>17</v>
      </c>
      <c r="K27" s="5" t="s">
        <v>22</v>
      </c>
      <c r="L27" s="5">
        <f t="shared" si="3"/>
        <v>342.6</v>
      </c>
    </row>
    <row r="28" spans="1:12" ht="35.25" customHeight="1">
      <c r="A28" s="1"/>
      <c r="B28" s="4" t="s">
        <v>65</v>
      </c>
      <c r="C28" s="3" t="s">
        <v>52</v>
      </c>
      <c r="D28" s="3" t="s">
        <v>55</v>
      </c>
      <c r="E28" s="3" t="s">
        <v>56</v>
      </c>
      <c r="F28" s="5">
        <v>589</v>
      </c>
      <c r="G28" s="5">
        <v>353.4</v>
      </c>
      <c r="H28" s="5">
        <f t="shared" si="2"/>
        <v>353.4</v>
      </c>
      <c r="I28" s="6">
        <v>1</v>
      </c>
      <c r="J28" s="5" t="s">
        <v>17</v>
      </c>
      <c r="K28" s="5" t="s">
        <v>22</v>
      </c>
      <c r="L28" s="5">
        <f t="shared" si="3"/>
        <v>353.4</v>
      </c>
    </row>
    <row r="29" spans="1:12" ht="35.25" customHeight="1">
      <c r="A29" s="1"/>
      <c r="B29" s="4" t="s">
        <v>65</v>
      </c>
      <c r="C29" s="3" t="s">
        <v>52</v>
      </c>
      <c r="D29" s="3" t="s">
        <v>57</v>
      </c>
      <c r="E29" s="3" t="s">
        <v>58</v>
      </c>
      <c r="F29" s="5">
        <v>571</v>
      </c>
      <c r="G29" s="5">
        <v>342.6</v>
      </c>
      <c r="H29" s="5">
        <f t="shared" si="2"/>
        <v>342.6</v>
      </c>
      <c r="I29" s="6">
        <v>1</v>
      </c>
      <c r="J29" s="5" t="s">
        <v>17</v>
      </c>
      <c r="K29" s="5" t="s">
        <v>22</v>
      </c>
      <c r="L29" s="5">
        <f t="shared" si="3"/>
        <v>342.6</v>
      </c>
    </row>
    <row r="30" spans="1:12" ht="35.25" customHeight="1">
      <c r="A30" s="1"/>
      <c r="B30" s="4" t="s">
        <v>65</v>
      </c>
      <c r="C30" s="3" t="s">
        <v>37</v>
      </c>
      <c r="D30" s="3" t="s">
        <v>69</v>
      </c>
      <c r="E30" s="3" t="s">
        <v>70</v>
      </c>
      <c r="F30" s="5">
        <v>6747</v>
      </c>
      <c r="G30" s="5">
        <v>4048.2</v>
      </c>
      <c r="H30" s="5">
        <f t="shared" si="2"/>
        <v>8096.4</v>
      </c>
      <c r="I30" s="6">
        <v>2</v>
      </c>
      <c r="J30" s="5" t="s">
        <v>17</v>
      </c>
      <c r="K30" s="5" t="s">
        <v>22</v>
      </c>
      <c r="L30" s="5">
        <f t="shared" si="3"/>
        <v>8096.4</v>
      </c>
    </row>
    <row r="31" spans="1:12" ht="35.25" customHeight="1">
      <c r="A31" s="1"/>
      <c r="B31" s="4" t="s">
        <v>65</v>
      </c>
      <c r="C31" s="3" t="s">
        <v>37</v>
      </c>
      <c r="D31" s="3" t="s">
        <v>71</v>
      </c>
      <c r="E31" s="3" t="s">
        <v>72</v>
      </c>
      <c r="F31" s="5">
        <v>12143</v>
      </c>
      <c r="G31" s="5">
        <v>7285.8</v>
      </c>
      <c r="H31" s="5">
        <f t="shared" si="2"/>
        <v>14571.6</v>
      </c>
      <c r="I31" s="6">
        <v>2</v>
      </c>
      <c r="J31" s="5" t="s">
        <v>17</v>
      </c>
      <c r="K31" s="5" t="s">
        <v>22</v>
      </c>
      <c r="L31" s="5">
        <f t="shared" si="3"/>
        <v>14571.6</v>
      </c>
    </row>
    <row r="32" spans="1:12" ht="35.25" customHeight="1">
      <c r="A32" s="1"/>
      <c r="B32" s="4" t="s">
        <v>65</v>
      </c>
      <c r="C32" s="3" t="s">
        <v>37</v>
      </c>
      <c r="D32" s="3" t="s">
        <v>73</v>
      </c>
      <c r="E32" s="3" t="s">
        <v>74</v>
      </c>
      <c r="F32" s="5">
        <v>12143</v>
      </c>
      <c r="G32" s="5">
        <v>7285.8</v>
      </c>
      <c r="H32" s="5">
        <f t="shared" si="2"/>
        <v>7285.8</v>
      </c>
      <c r="I32" s="6">
        <v>1</v>
      </c>
      <c r="J32" s="5" t="s">
        <v>17</v>
      </c>
      <c r="K32" s="5" t="s">
        <v>22</v>
      </c>
      <c r="L32" s="5">
        <f t="shared" si="3"/>
        <v>7285.8</v>
      </c>
    </row>
    <row r="33" spans="1:12" ht="35.25" customHeight="1">
      <c r="A33" s="1"/>
      <c r="B33" s="4" t="s">
        <v>65</v>
      </c>
      <c r="C33" s="3" t="s">
        <v>42</v>
      </c>
      <c r="D33" s="3" t="s">
        <v>75</v>
      </c>
      <c r="E33" s="3" t="s">
        <v>76</v>
      </c>
      <c r="F33" s="5">
        <v>871</v>
      </c>
      <c r="G33" s="5">
        <v>522.6</v>
      </c>
      <c r="H33" s="5">
        <f t="shared" si="2"/>
        <v>2090.4</v>
      </c>
      <c r="I33" s="6">
        <v>4</v>
      </c>
      <c r="J33" s="5" t="s">
        <v>17</v>
      </c>
      <c r="K33" s="5" t="s">
        <v>22</v>
      </c>
      <c r="L33" s="5">
        <f t="shared" si="3"/>
        <v>2090.4</v>
      </c>
    </row>
    <row r="34" spans="1:12" ht="35.25" customHeight="1">
      <c r="A34" s="1"/>
      <c r="B34" s="4" t="s">
        <v>65</v>
      </c>
      <c r="C34" s="3" t="s">
        <v>42</v>
      </c>
      <c r="D34" s="3" t="s">
        <v>77</v>
      </c>
      <c r="E34" s="3" t="s">
        <v>78</v>
      </c>
      <c r="F34" s="5">
        <v>760</v>
      </c>
      <c r="G34" s="5">
        <v>456</v>
      </c>
      <c r="H34" s="5">
        <f t="shared" si="2"/>
        <v>3192</v>
      </c>
      <c r="I34" s="6">
        <v>7</v>
      </c>
      <c r="J34" s="5" t="s">
        <v>17</v>
      </c>
      <c r="K34" s="5" t="s">
        <v>22</v>
      </c>
      <c r="L34" s="5">
        <f t="shared" si="3"/>
        <v>3192</v>
      </c>
    </row>
    <row r="35" spans="1:12" ht="35.25" customHeight="1">
      <c r="A35" s="1"/>
      <c r="B35" s="4" t="s">
        <v>65</v>
      </c>
      <c r="C35" s="3" t="s">
        <v>42</v>
      </c>
      <c r="D35" s="3" t="s">
        <v>79</v>
      </c>
      <c r="E35" s="3" t="s">
        <v>80</v>
      </c>
      <c r="F35" s="5">
        <v>4875</v>
      </c>
      <c r="G35" s="5">
        <v>2925</v>
      </c>
      <c r="H35" s="5">
        <f t="shared" si="2"/>
        <v>5850</v>
      </c>
      <c r="I35" s="6">
        <v>2</v>
      </c>
      <c r="J35" s="5" t="s">
        <v>17</v>
      </c>
      <c r="K35" s="5" t="s">
        <v>22</v>
      </c>
      <c r="L35" s="5">
        <f t="shared" si="3"/>
        <v>5850</v>
      </c>
    </row>
    <row r="36" spans="1:12" ht="35.25" customHeight="1">
      <c r="A36" s="1"/>
      <c r="B36" s="4" t="s">
        <v>65</v>
      </c>
      <c r="C36" s="3" t="s">
        <v>81</v>
      </c>
      <c r="D36" s="3" t="s">
        <v>82</v>
      </c>
      <c r="E36" s="3" t="s">
        <v>83</v>
      </c>
      <c r="F36" s="5">
        <v>172</v>
      </c>
      <c r="G36" s="5">
        <v>172</v>
      </c>
      <c r="H36" s="5">
        <f t="shared" si="2"/>
        <v>3096</v>
      </c>
      <c r="I36" s="6">
        <v>18</v>
      </c>
      <c r="J36" s="5" t="s">
        <v>17</v>
      </c>
      <c r="K36" s="5" t="s">
        <v>62</v>
      </c>
      <c r="L36" s="5">
        <f t="shared" si="3"/>
        <v>3096</v>
      </c>
    </row>
    <row r="37" spans="1:12" ht="35.25" customHeight="1">
      <c r="A37" s="1"/>
      <c r="B37" s="4" t="s">
        <v>65</v>
      </c>
      <c r="C37" s="3" t="s">
        <v>59</v>
      </c>
      <c r="D37" s="3" t="s">
        <v>60</v>
      </c>
      <c r="E37" s="3" t="s">
        <v>61</v>
      </c>
      <c r="F37" s="5">
        <v>2432</v>
      </c>
      <c r="G37" s="5">
        <v>2432</v>
      </c>
      <c r="H37" s="5">
        <f t="shared" si="2"/>
        <v>9728</v>
      </c>
      <c r="I37" s="6">
        <v>4</v>
      </c>
      <c r="J37" s="5" t="s">
        <v>17</v>
      </c>
      <c r="K37" s="5" t="s">
        <v>62</v>
      </c>
      <c r="L37" s="5">
        <f t="shared" si="3"/>
        <v>9728</v>
      </c>
    </row>
    <row r="38" spans="1:12" ht="35.25" customHeight="1">
      <c r="A38" s="1"/>
      <c r="B38" s="4" t="s">
        <v>65</v>
      </c>
      <c r="C38" s="3" t="s">
        <v>63</v>
      </c>
      <c r="D38" s="3" t="s">
        <v>63</v>
      </c>
      <c r="E38" s="3" t="s">
        <v>63</v>
      </c>
      <c r="F38" s="5">
        <v>36000</v>
      </c>
      <c r="G38" s="5">
        <v>36000</v>
      </c>
      <c r="H38" s="5">
        <f t="shared" si="2"/>
        <v>36000</v>
      </c>
      <c r="I38" s="6">
        <v>1</v>
      </c>
      <c r="J38" s="5" t="s">
        <v>17</v>
      </c>
      <c r="K38" s="5" t="s">
        <v>63</v>
      </c>
      <c r="L38" s="5">
        <f t="shared" si="3"/>
        <v>36000</v>
      </c>
    </row>
    <row r="39" spans="1:12" ht="35.25" customHeight="1">
      <c r="A39" s="1"/>
      <c r="B39" s="4" t="s">
        <v>65</v>
      </c>
      <c r="C39" s="3" t="s">
        <v>64</v>
      </c>
      <c r="D39" s="3" t="s">
        <v>64</v>
      </c>
      <c r="E39" s="3" t="s">
        <v>64</v>
      </c>
      <c r="F39" s="5">
        <v>10</v>
      </c>
      <c r="G39" s="5">
        <v>100</v>
      </c>
      <c r="H39" s="5">
        <f t="shared" si="2"/>
        <v>36000</v>
      </c>
      <c r="I39" s="6">
        <v>360</v>
      </c>
      <c r="J39" s="5" t="s">
        <v>17</v>
      </c>
      <c r="K39" s="5" t="s">
        <v>64</v>
      </c>
      <c r="L39" s="5">
        <f t="shared" si="3"/>
        <v>36000</v>
      </c>
    </row>
    <row r="40" spans="1:12" ht="35.25" customHeight="1">
      <c r="A40" s="1"/>
      <c r="B40" s="7" t="s">
        <v>84</v>
      </c>
      <c r="C40" s="7"/>
      <c r="D40" s="7"/>
      <c r="E40" s="7" t="s">
        <v>84</v>
      </c>
      <c r="F40" s="8"/>
      <c r="G40" s="8"/>
      <c r="H40" s="8">
        <f>SUM(H41:H54)</f>
        <v>232963.60000000003</v>
      </c>
      <c r="I40" s="9">
        <v>1</v>
      </c>
      <c r="J40" s="8" t="s">
        <v>12</v>
      </c>
      <c r="K40" s="8" t="s">
        <v>13</v>
      </c>
      <c r="L40" s="8">
        <f>SUM(L41:L54)</f>
        <v>232963.60000000003</v>
      </c>
    </row>
    <row r="41" spans="1:12" ht="35.25" customHeight="1">
      <c r="A41" s="1"/>
      <c r="B41" s="4" t="s">
        <v>84</v>
      </c>
      <c r="C41" s="3" t="s">
        <v>14</v>
      </c>
      <c r="D41" s="3"/>
      <c r="E41" s="3" t="s">
        <v>66</v>
      </c>
      <c r="F41" s="5">
        <v>100000</v>
      </c>
      <c r="G41" s="5">
        <v>100000</v>
      </c>
      <c r="H41" s="5">
        <f t="shared" ref="H41:H54" si="4">G41*I41</f>
        <v>100000</v>
      </c>
      <c r="I41" s="6">
        <v>1</v>
      </c>
      <c r="J41" s="5" t="s">
        <v>17</v>
      </c>
      <c r="K41" s="5" t="s">
        <v>18</v>
      </c>
      <c r="L41" s="5">
        <f t="shared" ref="L41:L54" si="5">H41</f>
        <v>100000</v>
      </c>
    </row>
    <row r="42" spans="1:12" ht="35.25" customHeight="1">
      <c r="A42" s="1"/>
      <c r="B42" s="4" t="s">
        <v>84</v>
      </c>
      <c r="C42" s="3" t="s">
        <v>42</v>
      </c>
      <c r="D42" s="3" t="s">
        <v>67</v>
      </c>
      <c r="E42" s="3" t="s">
        <v>68</v>
      </c>
      <c r="F42" s="5">
        <v>4761</v>
      </c>
      <c r="G42" s="5">
        <v>2856.6</v>
      </c>
      <c r="H42" s="5">
        <f t="shared" si="4"/>
        <v>2856.6</v>
      </c>
      <c r="I42" s="6">
        <v>1</v>
      </c>
      <c r="J42" s="5" t="s">
        <v>17</v>
      </c>
      <c r="K42" s="5" t="s">
        <v>22</v>
      </c>
      <c r="L42" s="5">
        <f t="shared" si="5"/>
        <v>2856.6</v>
      </c>
    </row>
    <row r="43" spans="1:12" ht="35.25" customHeight="1">
      <c r="A43" s="1"/>
      <c r="B43" s="4" t="s">
        <v>84</v>
      </c>
      <c r="C43" s="3" t="s">
        <v>42</v>
      </c>
      <c r="D43" s="3" t="s">
        <v>50</v>
      </c>
      <c r="E43" s="3" t="s">
        <v>51</v>
      </c>
      <c r="F43" s="5">
        <v>947</v>
      </c>
      <c r="G43" s="5">
        <v>568.20000000000005</v>
      </c>
      <c r="H43" s="5">
        <f t="shared" si="4"/>
        <v>1704.6000000000001</v>
      </c>
      <c r="I43" s="6">
        <v>3</v>
      </c>
      <c r="J43" s="5" t="s">
        <v>17</v>
      </c>
      <c r="K43" s="5" t="s">
        <v>22</v>
      </c>
      <c r="L43" s="5">
        <f t="shared" si="5"/>
        <v>1704.6000000000001</v>
      </c>
    </row>
    <row r="44" spans="1:12" ht="35.25" customHeight="1">
      <c r="A44" s="1"/>
      <c r="B44" s="4" t="s">
        <v>84</v>
      </c>
      <c r="C44" s="3" t="s">
        <v>52</v>
      </c>
      <c r="D44" s="3" t="s">
        <v>53</v>
      </c>
      <c r="E44" s="3" t="s">
        <v>54</v>
      </c>
      <c r="F44" s="5">
        <v>571</v>
      </c>
      <c r="G44" s="5">
        <v>342.6</v>
      </c>
      <c r="H44" s="5">
        <f t="shared" si="4"/>
        <v>342.6</v>
      </c>
      <c r="I44" s="6">
        <v>1</v>
      </c>
      <c r="J44" s="5" t="s">
        <v>17</v>
      </c>
      <c r="K44" s="5" t="s">
        <v>22</v>
      </c>
      <c r="L44" s="5">
        <f t="shared" si="5"/>
        <v>342.6</v>
      </c>
    </row>
    <row r="45" spans="1:12" ht="35.25" customHeight="1">
      <c r="A45" s="1"/>
      <c r="B45" s="4" t="s">
        <v>84</v>
      </c>
      <c r="C45" s="3" t="s">
        <v>52</v>
      </c>
      <c r="D45" s="3" t="s">
        <v>55</v>
      </c>
      <c r="E45" s="3" t="s">
        <v>56</v>
      </c>
      <c r="F45" s="5">
        <v>589</v>
      </c>
      <c r="G45" s="5">
        <v>353.4</v>
      </c>
      <c r="H45" s="5">
        <f t="shared" si="4"/>
        <v>353.4</v>
      </c>
      <c r="I45" s="6">
        <v>1</v>
      </c>
      <c r="J45" s="5" t="s">
        <v>17</v>
      </c>
      <c r="K45" s="5" t="s">
        <v>22</v>
      </c>
      <c r="L45" s="5">
        <f t="shared" si="5"/>
        <v>353.4</v>
      </c>
    </row>
    <row r="46" spans="1:12" ht="35.25" customHeight="1">
      <c r="A46" s="1"/>
      <c r="B46" s="4" t="s">
        <v>84</v>
      </c>
      <c r="C46" s="3" t="s">
        <v>52</v>
      </c>
      <c r="D46" s="3" t="s">
        <v>57</v>
      </c>
      <c r="E46" s="3" t="s">
        <v>58</v>
      </c>
      <c r="F46" s="5">
        <v>571</v>
      </c>
      <c r="G46" s="5">
        <v>342.6</v>
      </c>
      <c r="H46" s="5">
        <f t="shared" si="4"/>
        <v>342.6</v>
      </c>
      <c r="I46" s="6">
        <v>1</v>
      </c>
      <c r="J46" s="5" t="s">
        <v>17</v>
      </c>
      <c r="K46" s="5" t="s">
        <v>22</v>
      </c>
      <c r="L46" s="5">
        <f t="shared" si="5"/>
        <v>342.6</v>
      </c>
    </row>
    <row r="47" spans="1:12" ht="35.25" customHeight="1">
      <c r="A47" s="1"/>
      <c r="B47" s="4" t="s">
        <v>84</v>
      </c>
      <c r="C47" s="3" t="s">
        <v>37</v>
      </c>
      <c r="D47" s="3" t="s">
        <v>71</v>
      </c>
      <c r="E47" s="3" t="s">
        <v>72</v>
      </c>
      <c r="F47" s="5">
        <v>12143</v>
      </c>
      <c r="G47" s="5">
        <v>7285.8</v>
      </c>
      <c r="H47" s="5">
        <f t="shared" si="4"/>
        <v>7285.8</v>
      </c>
      <c r="I47" s="6">
        <v>1</v>
      </c>
      <c r="J47" s="5" t="s">
        <v>17</v>
      </c>
      <c r="K47" s="5" t="s">
        <v>22</v>
      </c>
      <c r="L47" s="5">
        <f t="shared" si="5"/>
        <v>7285.8</v>
      </c>
    </row>
    <row r="48" spans="1:12" ht="35.25" customHeight="1">
      <c r="A48" s="1"/>
      <c r="B48" s="4" t="s">
        <v>84</v>
      </c>
      <c r="C48" s="3" t="s">
        <v>37</v>
      </c>
      <c r="D48" s="3" t="s">
        <v>73</v>
      </c>
      <c r="E48" s="3" t="s">
        <v>74</v>
      </c>
      <c r="F48" s="5">
        <v>12143</v>
      </c>
      <c r="G48" s="5">
        <v>7285.8</v>
      </c>
      <c r="H48" s="5">
        <f t="shared" si="4"/>
        <v>21857.4</v>
      </c>
      <c r="I48" s="6">
        <v>3</v>
      </c>
      <c r="J48" s="5" t="s">
        <v>17</v>
      </c>
      <c r="K48" s="5" t="s">
        <v>22</v>
      </c>
      <c r="L48" s="5">
        <f t="shared" si="5"/>
        <v>21857.4</v>
      </c>
    </row>
    <row r="49" spans="1:12" ht="35.25" customHeight="1">
      <c r="A49" s="1"/>
      <c r="B49" s="4" t="s">
        <v>84</v>
      </c>
      <c r="C49" s="3" t="s">
        <v>42</v>
      </c>
      <c r="D49" s="3" t="s">
        <v>75</v>
      </c>
      <c r="E49" s="3" t="s">
        <v>76</v>
      </c>
      <c r="F49" s="5">
        <v>871</v>
      </c>
      <c r="G49" s="5">
        <v>522.6</v>
      </c>
      <c r="H49" s="5">
        <f t="shared" si="4"/>
        <v>5748.6</v>
      </c>
      <c r="I49" s="6">
        <v>11</v>
      </c>
      <c r="J49" s="5" t="s">
        <v>17</v>
      </c>
      <c r="K49" s="5" t="s">
        <v>22</v>
      </c>
      <c r="L49" s="5">
        <f t="shared" si="5"/>
        <v>5748.6</v>
      </c>
    </row>
    <row r="50" spans="1:12" ht="35.25" customHeight="1">
      <c r="A50" s="1"/>
      <c r="B50" s="4" t="s">
        <v>84</v>
      </c>
      <c r="C50" s="3" t="s">
        <v>42</v>
      </c>
      <c r="D50" s="3" t="s">
        <v>77</v>
      </c>
      <c r="E50" s="3" t="s">
        <v>78</v>
      </c>
      <c r="F50" s="5">
        <v>760</v>
      </c>
      <c r="G50" s="5">
        <v>456</v>
      </c>
      <c r="H50" s="5">
        <f t="shared" si="4"/>
        <v>5928</v>
      </c>
      <c r="I50" s="6">
        <v>13</v>
      </c>
      <c r="J50" s="5" t="s">
        <v>17</v>
      </c>
      <c r="K50" s="5" t="s">
        <v>22</v>
      </c>
      <c r="L50" s="5">
        <f t="shared" si="5"/>
        <v>5928</v>
      </c>
    </row>
    <row r="51" spans="1:12" ht="35.25" customHeight="1">
      <c r="A51" s="1"/>
      <c r="B51" s="4" t="s">
        <v>84</v>
      </c>
      <c r="C51" s="3" t="s">
        <v>81</v>
      </c>
      <c r="D51" s="3" t="s">
        <v>82</v>
      </c>
      <c r="E51" s="3" t="s">
        <v>83</v>
      </c>
      <c r="F51" s="5">
        <v>172</v>
      </c>
      <c r="G51" s="5">
        <v>172</v>
      </c>
      <c r="H51" s="5">
        <f t="shared" si="4"/>
        <v>4816</v>
      </c>
      <c r="I51" s="6">
        <v>28</v>
      </c>
      <c r="J51" s="5" t="s">
        <v>17</v>
      </c>
      <c r="K51" s="5" t="s">
        <v>62</v>
      </c>
      <c r="L51" s="5">
        <f t="shared" si="5"/>
        <v>4816</v>
      </c>
    </row>
    <row r="52" spans="1:12" ht="35.25" customHeight="1">
      <c r="A52" s="1"/>
      <c r="B52" s="4" t="s">
        <v>84</v>
      </c>
      <c r="C52" s="3" t="s">
        <v>59</v>
      </c>
      <c r="D52" s="3" t="s">
        <v>60</v>
      </c>
      <c r="E52" s="3" t="s">
        <v>61</v>
      </c>
      <c r="F52" s="5">
        <v>2432</v>
      </c>
      <c r="G52" s="5">
        <v>2432</v>
      </c>
      <c r="H52" s="5">
        <f t="shared" si="4"/>
        <v>9728</v>
      </c>
      <c r="I52" s="6">
        <v>4</v>
      </c>
      <c r="J52" s="5" t="s">
        <v>17</v>
      </c>
      <c r="K52" s="5" t="s">
        <v>62</v>
      </c>
      <c r="L52" s="5">
        <f t="shared" si="5"/>
        <v>9728</v>
      </c>
    </row>
    <row r="53" spans="1:12" ht="35.25" customHeight="1">
      <c r="A53" s="1"/>
      <c r="B53" s="4" t="s">
        <v>84</v>
      </c>
      <c r="C53" s="3" t="s">
        <v>63</v>
      </c>
      <c r="D53" s="3" t="s">
        <v>63</v>
      </c>
      <c r="E53" s="3" t="s">
        <v>63</v>
      </c>
      <c r="F53" s="5">
        <v>36000</v>
      </c>
      <c r="G53" s="5">
        <v>36000</v>
      </c>
      <c r="H53" s="5">
        <f t="shared" si="4"/>
        <v>36000</v>
      </c>
      <c r="I53" s="6">
        <v>1</v>
      </c>
      <c r="J53" s="5" t="s">
        <v>17</v>
      </c>
      <c r="K53" s="5" t="s">
        <v>63</v>
      </c>
      <c r="L53" s="5">
        <f t="shared" si="5"/>
        <v>36000</v>
      </c>
    </row>
    <row r="54" spans="1:12" ht="35.25" customHeight="1">
      <c r="A54" s="1"/>
      <c r="B54" s="4" t="s">
        <v>84</v>
      </c>
      <c r="C54" s="3" t="s">
        <v>64</v>
      </c>
      <c r="D54" s="3" t="s">
        <v>64</v>
      </c>
      <c r="E54" s="3" t="s">
        <v>64</v>
      </c>
      <c r="F54" s="5">
        <v>10</v>
      </c>
      <c r="G54" s="5">
        <v>100</v>
      </c>
      <c r="H54" s="5">
        <f t="shared" si="4"/>
        <v>36000</v>
      </c>
      <c r="I54" s="6">
        <v>360</v>
      </c>
      <c r="J54" s="5" t="s">
        <v>17</v>
      </c>
      <c r="K54" s="5" t="s">
        <v>64</v>
      </c>
      <c r="L54" s="5">
        <f t="shared" si="5"/>
        <v>36000</v>
      </c>
    </row>
    <row r="55" spans="1:12" ht="35.25" customHeight="1">
      <c r="A55" s="1"/>
      <c r="B55" s="7" t="s">
        <v>85</v>
      </c>
      <c r="C55" s="7"/>
      <c r="D55" s="7"/>
      <c r="E55" s="7" t="s">
        <v>85</v>
      </c>
      <c r="F55" s="8"/>
      <c r="G55" s="8"/>
      <c r="H55" s="8">
        <f>SUM(H56:H74)</f>
        <v>376801.20000000007</v>
      </c>
      <c r="I55" s="9">
        <v>1</v>
      </c>
      <c r="J55" s="8" t="s">
        <v>12</v>
      </c>
      <c r="K55" s="8" t="s">
        <v>13</v>
      </c>
      <c r="L55" s="8">
        <f>SUM(L56:L74)</f>
        <v>376801.20000000007</v>
      </c>
    </row>
    <row r="56" spans="1:12" ht="35.25" customHeight="1">
      <c r="A56" s="1"/>
      <c r="B56" s="4" t="s">
        <v>85</v>
      </c>
      <c r="C56" s="3" t="s">
        <v>14</v>
      </c>
      <c r="D56" s="3"/>
      <c r="E56" s="3" t="s">
        <v>86</v>
      </c>
      <c r="F56" s="5">
        <v>135000</v>
      </c>
      <c r="G56" s="5">
        <v>135000</v>
      </c>
      <c r="H56" s="5">
        <f t="shared" ref="H56:H74" si="6">G56*I56</f>
        <v>135000</v>
      </c>
      <c r="I56" s="6">
        <v>1</v>
      </c>
      <c r="J56" s="5" t="s">
        <v>17</v>
      </c>
      <c r="K56" s="5" t="s">
        <v>18</v>
      </c>
      <c r="L56" s="5">
        <f t="shared" ref="L56:L74" si="7">H56</f>
        <v>135000</v>
      </c>
    </row>
    <row r="57" spans="1:12" ht="35.25" customHeight="1">
      <c r="A57" s="1"/>
      <c r="B57" s="4" t="s">
        <v>85</v>
      </c>
      <c r="C57" s="3" t="s">
        <v>19</v>
      </c>
      <c r="D57" s="10" t="s">
        <v>24</v>
      </c>
      <c r="E57" s="10" t="s">
        <v>87</v>
      </c>
      <c r="F57" s="5">
        <v>0</v>
      </c>
      <c r="G57" s="5">
        <v>0</v>
      </c>
      <c r="H57" s="5">
        <f t="shared" si="6"/>
        <v>0</v>
      </c>
      <c r="I57" s="6">
        <v>1</v>
      </c>
      <c r="J57" s="5" t="s">
        <v>17</v>
      </c>
      <c r="K57" s="5" t="s">
        <v>22</v>
      </c>
      <c r="L57" s="5">
        <f t="shared" si="7"/>
        <v>0</v>
      </c>
    </row>
    <row r="58" spans="1:12" ht="35.25" customHeight="1">
      <c r="A58" s="1"/>
      <c r="B58" s="4" t="s">
        <v>85</v>
      </c>
      <c r="C58" s="3" t="s">
        <v>42</v>
      </c>
      <c r="D58" s="3" t="s">
        <v>50</v>
      </c>
      <c r="E58" s="3" t="s">
        <v>51</v>
      </c>
      <c r="F58" s="5">
        <v>947</v>
      </c>
      <c r="G58" s="5">
        <v>568.20000000000005</v>
      </c>
      <c r="H58" s="5">
        <f t="shared" si="6"/>
        <v>1704.6000000000001</v>
      </c>
      <c r="I58" s="6">
        <v>3</v>
      </c>
      <c r="J58" s="5" t="s">
        <v>17</v>
      </c>
      <c r="K58" s="5" t="s">
        <v>22</v>
      </c>
      <c r="L58" s="5">
        <f t="shared" si="7"/>
        <v>1704.6000000000001</v>
      </c>
    </row>
    <row r="59" spans="1:12" ht="35.25" customHeight="1">
      <c r="A59" s="1"/>
      <c r="B59" s="4" t="s">
        <v>85</v>
      </c>
      <c r="C59" s="3" t="s">
        <v>52</v>
      </c>
      <c r="D59" s="3" t="s">
        <v>53</v>
      </c>
      <c r="E59" s="3" t="s">
        <v>54</v>
      </c>
      <c r="F59" s="5">
        <v>571</v>
      </c>
      <c r="G59" s="5">
        <v>342.6</v>
      </c>
      <c r="H59" s="5">
        <f t="shared" si="6"/>
        <v>342.6</v>
      </c>
      <c r="I59" s="6">
        <v>1</v>
      </c>
      <c r="J59" s="5" t="s">
        <v>17</v>
      </c>
      <c r="K59" s="5" t="s">
        <v>22</v>
      </c>
      <c r="L59" s="5">
        <f t="shared" si="7"/>
        <v>342.6</v>
      </c>
    </row>
    <row r="60" spans="1:12" ht="35.25" customHeight="1">
      <c r="A60" s="1"/>
      <c r="B60" s="4" t="s">
        <v>85</v>
      </c>
      <c r="C60" s="3" t="s">
        <v>52</v>
      </c>
      <c r="D60" s="3" t="s">
        <v>55</v>
      </c>
      <c r="E60" s="3" t="s">
        <v>56</v>
      </c>
      <c r="F60" s="5">
        <v>589</v>
      </c>
      <c r="G60" s="5">
        <v>353.4</v>
      </c>
      <c r="H60" s="5">
        <f t="shared" si="6"/>
        <v>353.4</v>
      </c>
      <c r="I60" s="6">
        <v>1</v>
      </c>
      <c r="J60" s="5" t="s">
        <v>17</v>
      </c>
      <c r="K60" s="5" t="s">
        <v>22</v>
      </c>
      <c r="L60" s="5">
        <f t="shared" si="7"/>
        <v>353.4</v>
      </c>
    </row>
    <row r="61" spans="1:12" ht="35.25" customHeight="1">
      <c r="A61" s="1"/>
      <c r="B61" s="4" t="s">
        <v>85</v>
      </c>
      <c r="C61" s="3" t="s">
        <v>52</v>
      </c>
      <c r="D61" s="3" t="s">
        <v>57</v>
      </c>
      <c r="E61" s="3" t="s">
        <v>58</v>
      </c>
      <c r="F61" s="5">
        <v>571</v>
      </c>
      <c r="G61" s="5">
        <v>342.6</v>
      </c>
      <c r="H61" s="5">
        <f t="shared" si="6"/>
        <v>342.6</v>
      </c>
      <c r="I61" s="6">
        <v>1</v>
      </c>
      <c r="J61" s="5" t="s">
        <v>17</v>
      </c>
      <c r="K61" s="5" t="s">
        <v>22</v>
      </c>
      <c r="L61" s="5">
        <f t="shared" si="7"/>
        <v>342.6</v>
      </c>
    </row>
    <row r="62" spans="1:12" ht="35.25" customHeight="1">
      <c r="A62" s="1"/>
      <c r="B62" s="4" t="s">
        <v>85</v>
      </c>
      <c r="C62" s="3" t="s">
        <v>37</v>
      </c>
      <c r="D62" s="3" t="s">
        <v>69</v>
      </c>
      <c r="E62" s="3" t="s">
        <v>70</v>
      </c>
      <c r="F62" s="5">
        <v>6747</v>
      </c>
      <c r="G62" s="5">
        <v>4048.2</v>
      </c>
      <c r="H62" s="5">
        <f t="shared" si="6"/>
        <v>4048.2</v>
      </c>
      <c r="I62" s="6">
        <v>1</v>
      </c>
      <c r="J62" s="5" t="s">
        <v>17</v>
      </c>
      <c r="K62" s="5" t="s">
        <v>22</v>
      </c>
      <c r="L62" s="5">
        <f t="shared" si="7"/>
        <v>4048.2</v>
      </c>
    </row>
    <row r="63" spans="1:12" ht="35.25" customHeight="1">
      <c r="A63" s="1"/>
      <c r="B63" s="4" t="s">
        <v>85</v>
      </c>
      <c r="C63" s="3" t="s">
        <v>37</v>
      </c>
      <c r="D63" s="3" t="s">
        <v>71</v>
      </c>
      <c r="E63" s="3" t="s">
        <v>72</v>
      </c>
      <c r="F63" s="5">
        <v>12143</v>
      </c>
      <c r="G63" s="5">
        <v>7285.8</v>
      </c>
      <c r="H63" s="5">
        <f t="shared" si="6"/>
        <v>36429</v>
      </c>
      <c r="I63" s="6">
        <v>5</v>
      </c>
      <c r="J63" s="5" t="s">
        <v>17</v>
      </c>
      <c r="K63" s="5" t="s">
        <v>22</v>
      </c>
      <c r="L63" s="5">
        <f t="shared" si="7"/>
        <v>36429</v>
      </c>
    </row>
    <row r="64" spans="1:12" ht="35.25" customHeight="1">
      <c r="A64" s="1"/>
      <c r="B64" s="4" t="s">
        <v>85</v>
      </c>
      <c r="C64" s="3" t="s">
        <v>37</v>
      </c>
      <c r="D64" s="3" t="s">
        <v>73</v>
      </c>
      <c r="E64" s="3" t="s">
        <v>74</v>
      </c>
      <c r="F64" s="5">
        <v>12143</v>
      </c>
      <c r="G64" s="5">
        <v>7285.8</v>
      </c>
      <c r="H64" s="5">
        <f t="shared" si="6"/>
        <v>29143.200000000001</v>
      </c>
      <c r="I64" s="6">
        <v>4</v>
      </c>
      <c r="J64" s="5" t="s">
        <v>17</v>
      </c>
      <c r="K64" s="5" t="s">
        <v>22</v>
      </c>
      <c r="L64" s="5">
        <f t="shared" si="7"/>
        <v>29143.200000000001</v>
      </c>
    </row>
    <row r="65" spans="1:12" ht="35.25" customHeight="1">
      <c r="A65" s="1"/>
      <c r="B65" s="4" t="s">
        <v>85</v>
      </c>
      <c r="C65" s="3" t="s">
        <v>42</v>
      </c>
      <c r="D65" s="3" t="s">
        <v>75</v>
      </c>
      <c r="E65" s="3" t="s">
        <v>76</v>
      </c>
      <c r="F65" s="5">
        <v>871</v>
      </c>
      <c r="G65" s="5">
        <v>522.6</v>
      </c>
      <c r="H65" s="5">
        <f t="shared" si="6"/>
        <v>5748.6</v>
      </c>
      <c r="I65" s="6">
        <v>11</v>
      </c>
      <c r="J65" s="5" t="s">
        <v>17</v>
      </c>
      <c r="K65" s="5" t="s">
        <v>22</v>
      </c>
      <c r="L65" s="5">
        <f t="shared" si="7"/>
        <v>5748.6</v>
      </c>
    </row>
    <row r="66" spans="1:12" ht="35.25" customHeight="1">
      <c r="A66" s="1"/>
      <c r="B66" s="4" t="s">
        <v>85</v>
      </c>
      <c r="C66" s="3" t="s">
        <v>42</v>
      </c>
      <c r="D66" s="3" t="s">
        <v>77</v>
      </c>
      <c r="E66" s="3" t="s">
        <v>78</v>
      </c>
      <c r="F66" s="5">
        <v>760</v>
      </c>
      <c r="G66" s="5">
        <v>456</v>
      </c>
      <c r="H66" s="5">
        <f t="shared" si="6"/>
        <v>3192</v>
      </c>
      <c r="I66" s="6">
        <v>7</v>
      </c>
      <c r="J66" s="5" t="s">
        <v>17</v>
      </c>
      <c r="K66" s="5" t="s">
        <v>22</v>
      </c>
      <c r="L66" s="5">
        <f t="shared" si="7"/>
        <v>3192</v>
      </c>
    </row>
    <row r="67" spans="1:12" ht="35.25" customHeight="1">
      <c r="A67" s="1"/>
      <c r="B67" s="4" t="s">
        <v>85</v>
      </c>
      <c r="C67" s="3" t="s">
        <v>42</v>
      </c>
      <c r="D67" s="10" t="s">
        <v>24</v>
      </c>
      <c r="E67" s="10" t="s">
        <v>88</v>
      </c>
      <c r="F67" s="5">
        <v>0</v>
      </c>
      <c r="G67" s="5">
        <v>0</v>
      </c>
      <c r="H67" s="5">
        <f t="shared" si="6"/>
        <v>0</v>
      </c>
      <c r="I67" s="6">
        <v>2</v>
      </c>
      <c r="J67" s="5" t="s">
        <v>17</v>
      </c>
      <c r="K67" s="5" t="s">
        <v>22</v>
      </c>
      <c r="L67" s="5">
        <f t="shared" si="7"/>
        <v>0</v>
      </c>
    </row>
    <row r="68" spans="1:12" ht="35.25" customHeight="1">
      <c r="A68" s="1"/>
      <c r="B68" s="4" t="s">
        <v>85</v>
      </c>
      <c r="C68" s="3" t="s">
        <v>42</v>
      </c>
      <c r="D68" s="3" t="s">
        <v>79</v>
      </c>
      <c r="E68" s="3" t="s">
        <v>80</v>
      </c>
      <c r="F68" s="5">
        <v>4875</v>
      </c>
      <c r="G68" s="5">
        <v>2925</v>
      </c>
      <c r="H68" s="5">
        <f t="shared" si="6"/>
        <v>14625</v>
      </c>
      <c r="I68" s="6">
        <v>5</v>
      </c>
      <c r="J68" s="5" t="s">
        <v>17</v>
      </c>
      <c r="K68" s="5" t="s">
        <v>22</v>
      </c>
      <c r="L68" s="5">
        <f t="shared" si="7"/>
        <v>14625</v>
      </c>
    </row>
    <row r="69" spans="1:12" ht="35.25" customHeight="1">
      <c r="A69" s="1"/>
      <c r="B69" s="4" t="s">
        <v>85</v>
      </c>
      <c r="C69" s="3" t="s">
        <v>42</v>
      </c>
      <c r="D69" s="3" t="s">
        <v>89</v>
      </c>
      <c r="E69" s="3" t="s">
        <v>90</v>
      </c>
      <c r="F69" s="5">
        <v>6060</v>
      </c>
      <c r="G69" s="5">
        <v>3636</v>
      </c>
      <c r="H69" s="5">
        <f t="shared" si="6"/>
        <v>7272</v>
      </c>
      <c r="I69" s="6">
        <v>2</v>
      </c>
      <c r="J69" s="5" t="s">
        <v>17</v>
      </c>
      <c r="K69" s="5" t="s">
        <v>22</v>
      </c>
      <c r="L69" s="5">
        <f t="shared" si="7"/>
        <v>7272</v>
      </c>
    </row>
    <row r="70" spans="1:12" ht="35.25" customHeight="1">
      <c r="A70" s="1"/>
      <c r="B70" s="4" t="s">
        <v>85</v>
      </c>
      <c r="C70" s="3" t="s">
        <v>42</v>
      </c>
      <c r="D70" s="3" t="s">
        <v>91</v>
      </c>
      <c r="E70" s="3" t="s">
        <v>92</v>
      </c>
      <c r="F70" s="5">
        <v>5040</v>
      </c>
      <c r="G70" s="5">
        <v>3024</v>
      </c>
      <c r="H70" s="5">
        <f t="shared" si="6"/>
        <v>3024</v>
      </c>
      <c r="I70" s="6">
        <v>1</v>
      </c>
      <c r="J70" s="5" t="s">
        <v>17</v>
      </c>
      <c r="K70" s="5" t="s">
        <v>22</v>
      </c>
      <c r="L70" s="5">
        <f t="shared" si="7"/>
        <v>3024</v>
      </c>
    </row>
    <row r="71" spans="1:12" ht="35.25" customHeight="1">
      <c r="A71" s="1"/>
      <c r="B71" s="4" t="s">
        <v>85</v>
      </c>
      <c r="C71" s="3" t="s">
        <v>81</v>
      </c>
      <c r="D71" s="3" t="s">
        <v>82</v>
      </c>
      <c r="E71" s="3" t="s">
        <v>83</v>
      </c>
      <c r="F71" s="5">
        <v>172</v>
      </c>
      <c r="G71" s="5">
        <v>172</v>
      </c>
      <c r="H71" s="5">
        <f t="shared" si="6"/>
        <v>5848</v>
      </c>
      <c r="I71" s="6">
        <v>34</v>
      </c>
      <c r="J71" s="5" t="s">
        <v>17</v>
      </c>
      <c r="K71" s="5" t="s">
        <v>62</v>
      </c>
      <c r="L71" s="5">
        <f t="shared" si="7"/>
        <v>5848</v>
      </c>
    </row>
    <row r="72" spans="1:12" ht="35.25" customHeight="1">
      <c r="A72" s="1"/>
      <c r="B72" s="4" t="s">
        <v>85</v>
      </c>
      <c r="C72" s="3" t="s">
        <v>59</v>
      </c>
      <c r="D72" s="3" t="s">
        <v>60</v>
      </c>
      <c r="E72" s="3" t="s">
        <v>61</v>
      </c>
      <c r="F72" s="5">
        <v>2432</v>
      </c>
      <c r="G72" s="5">
        <v>2432</v>
      </c>
      <c r="H72" s="5">
        <f t="shared" si="6"/>
        <v>9728</v>
      </c>
      <c r="I72" s="6">
        <v>4</v>
      </c>
      <c r="J72" s="5" t="s">
        <v>17</v>
      </c>
      <c r="K72" s="5" t="s">
        <v>62</v>
      </c>
      <c r="L72" s="5">
        <f t="shared" si="7"/>
        <v>9728</v>
      </c>
    </row>
    <row r="73" spans="1:12" ht="35.25" customHeight="1">
      <c r="A73" s="1"/>
      <c r="B73" s="4" t="s">
        <v>85</v>
      </c>
      <c r="C73" s="3" t="s">
        <v>63</v>
      </c>
      <c r="D73" s="3" t="s">
        <v>63</v>
      </c>
      <c r="E73" s="3" t="s">
        <v>63</v>
      </c>
      <c r="F73" s="5">
        <v>60000</v>
      </c>
      <c r="G73" s="5">
        <v>60000</v>
      </c>
      <c r="H73" s="5">
        <f t="shared" si="6"/>
        <v>60000</v>
      </c>
      <c r="I73" s="6">
        <v>1</v>
      </c>
      <c r="J73" s="5" t="s">
        <v>17</v>
      </c>
      <c r="K73" s="5" t="s">
        <v>63</v>
      </c>
      <c r="L73" s="5">
        <f t="shared" si="7"/>
        <v>60000</v>
      </c>
    </row>
    <row r="74" spans="1:12" ht="35.25" customHeight="1">
      <c r="A74" s="1"/>
      <c r="B74" s="4" t="s">
        <v>85</v>
      </c>
      <c r="C74" s="3" t="s">
        <v>64</v>
      </c>
      <c r="D74" s="3" t="s">
        <v>64</v>
      </c>
      <c r="E74" s="3" t="s">
        <v>64</v>
      </c>
      <c r="F74" s="5">
        <v>10</v>
      </c>
      <c r="G74" s="5">
        <v>100</v>
      </c>
      <c r="H74" s="5">
        <f t="shared" si="6"/>
        <v>60000</v>
      </c>
      <c r="I74" s="6">
        <v>600</v>
      </c>
      <c r="J74" s="5" t="s">
        <v>17</v>
      </c>
      <c r="K74" s="5" t="s">
        <v>64</v>
      </c>
      <c r="L74" s="5">
        <f t="shared" si="7"/>
        <v>60000</v>
      </c>
    </row>
    <row r="75" spans="1:12" ht="35.25" customHeight="1">
      <c r="A75" s="1"/>
      <c r="B75" s="7" t="s">
        <v>93</v>
      </c>
      <c r="C75" s="7"/>
      <c r="D75" s="7"/>
      <c r="E75" s="7" t="s">
        <v>93</v>
      </c>
      <c r="F75" s="8"/>
      <c r="G75" s="8"/>
      <c r="H75" s="8">
        <f>SUM(H76:H94)</f>
        <v>269323.80000000005</v>
      </c>
      <c r="I75" s="9">
        <v>1</v>
      </c>
      <c r="J75" s="8" t="s">
        <v>12</v>
      </c>
      <c r="K75" s="8" t="s">
        <v>13</v>
      </c>
      <c r="L75" s="8">
        <f>SUM(L76:L94)</f>
        <v>269323.80000000005</v>
      </c>
    </row>
    <row r="76" spans="1:12" ht="35.25" customHeight="1">
      <c r="A76" s="1"/>
      <c r="B76" s="4" t="s">
        <v>93</v>
      </c>
      <c r="C76" s="3" t="s">
        <v>14</v>
      </c>
      <c r="D76" s="3"/>
      <c r="E76" s="3" t="s">
        <v>66</v>
      </c>
      <c r="F76" s="5">
        <v>100000</v>
      </c>
      <c r="G76" s="5">
        <v>100000</v>
      </c>
      <c r="H76" s="5">
        <f t="shared" ref="H76:H94" si="8">G76*I76</f>
        <v>100000</v>
      </c>
      <c r="I76" s="6">
        <v>1</v>
      </c>
      <c r="J76" s="5" t="s">
        <v>17</v>
      </c>
      <c r="K76" s="5" t="s">
        <v>18</v>
      </c>
      <c r="L76" s="5">
        <f t="shared" ref="L76:L94" si="9">H76</f>
        <v>100000</v>
      </c>
    </row>
    <row r="77" spans="1:12" ht="35.25" customHeight="1">
      <c r="A77" s="1"/>
      <c r="B77" s="4" t="s">
        <v>93</v>
      </c>
      <c r="C77" s="3" t="s">
        <v>42</v>
      </c>
      <c r="D77" s="3" t="s">
        <v>89</v>
      </c>
      <c r="E77" s="3" t="s">
        <v>90</v>
      </c>
      <c r="F77" s="5">
        <v>6060</v>
      </c>
      <c r="G77" s="5">
        <v>3636</v>
      </c>
      <c r="H77" s="5">
        <f t="shared" si="8"/>
        <v>3636</v>
      </c>
      <c r="I77" s="6">
        <v>1</v>
      </c>
      <c r="J77" s="5" t="s">
        <v>17</v>
      </c>
      <c r="K77" s="5" t="s">
        <v>22</v>
      </c>
      <c r="L77" s="5">
        <f t="shared" si="9"/>
        <v>3636</v>
      </c>
    </row>
    <row r="78" spans="1:12" ht="35.25" customHeight="1">
      <c r="A78" s="1"/>
      <c r="B78" s="4" t="s">
        <v>93</v>
      </c>
      <c r="C78" s="3" t="s">
        <v>42</v>
      </c>
      <c r="D78" s="3" t="s">
        <v>50</v>
      </c>
      <c r="E78" s="3" t="s">
        <v>51</v>
      </c>
      <c r="F78" s="5">
        <v>947</v>
      </c>
      <c r="G78" s="5">
        <v>568.20000000000005</v>
      </c>
      <c r="H78" s="5">
        <f t="shared" si="8"/>
        <v>1704.6000000000001</v>
      </c>
      <c r="I78" s="6">
        <v>3</v>
      </c>
      <c r="J78" s="5" t="s">
        <v>17</v>
      </c>
      <c r="K78" s="5" t="s">
        <v>22</v>
      </c>
      <c r="L78" s="5">
        <f t="shared" si="9"/>
        <v>1704.6000000000001</v>
      </c>
    </row>
    <row r="79" spans="1:12" ht="35.25" customHeight="1">
      <c r="A79" s="1"/>
      <c r="B79" s="4" t="s">
        <v>93</v>
      </c>
      <c r="C79" s="3" t="s">
        <v>52</v>
      </c>
      <c r="D79" s="3" t="s">
        <v>53</v>
      </c>
      <c r="E79" s="3" t="s">
        <v>54</v>
      </c>
      <c r="F79" s="5">
        <v>571</v>
      </c>
      <c r="G79" s="5">
        <v>342.6</v>
      </c>
      <c r="H79" s="5">
        <f t="shared" si="8"/>
        <v>342.6</v>
      </c>
      <c r="I79" s="6">
        <v>1</v>
      </c>
      <c r="J79" s="5" t="s">
        <v>17</v>
      </c>
      <c r="K79" s="5" t="s">
        <v>22</v>
      </c>
      <c r="L79" s="5">
        <f t="shared" si="9"/>
        <v>342.6</v>
      </c>
    </row>
    <row r="80" spans="1:12" ht="35.25" customHeight="1">
      <c r="A80" s="1"/>
      <c r="B80" s="4" t="s">
        <v>93</v>
      </c>
      <c r="C80" s="3" t="s">
        <v>52</v>
      </c>
      <c r="D80" s="3" t="s">
        <v>55</v>
      </c>
      <c r="E80" s="3" t="s">
        <v>56</v>
      </c>
      <c r="F80" s="5">
        <v>589</v>
      </c>
      <c r="G80" s="5">
        <v>353.4</v>
      </c>
      <c r="H80" s="5">
        <f t="shared" si="8"/>
        <v>706.8</v>
      </c>
      <c r="I80" s="6">
        <v>2</v>
      </c>
      <c r="J80" s="5" t="s">
        <v>17</v>
      </c>
      <c r="K80" s="5" t="s">
        <v>22</v>
      </c>
      <c r="L80" s="5">
        <f t="shared" si="9"/>
        <v>706.8</v>
      </c>
    </row>
    <row r="81" spans="1:12" ht="35.25" customHeight="1">
      <c r="A81" s="1"/>
      <c r="B81" s="4" t="s">
        <v>93</v>
      </c>
      <c r="C81" s="3" t="s">
        <v>52</v>
      </c>
      <c r="D81" s="3" t="s">
        <v>57</v>
      </c>
      <c r="E81" s="3" t="s">
        <v>58</v>
      </c>
      <c r="F81" s="5">
        <v>571</v>
      </c>
      <c r="G81" s="5">
        <v>342.6</v>
      </c>
      <c r="H81" s="5">
        <f t="shared" si="8"/>
        <v>685.2</v>
      </c>
      <c r="I81" s="6">
        <v>2</v>
      </c>
      <c r="J81" s="5" t="s">
        <v>17</v>
      </c>
      <c r="K81" s="5" t="s">
        <v>22</v>
      </c>
      <c r="L81" s="5">
        <f t="shared" si="9"/>
        <v>685.2</v>
      </c>
    </row>
    <row r="82" spans="1:12" ht="35.25" customHeight="1">
      <c r="A82" s="1"/>
      <c r="B82" s="4" t="s">
        <v>93</v>
      </c>
      <c r="C82" s="3" t="s">
        <v>37</v>
      </c>
      <c r="D82" s="3" t="s">
        <v>69</v>
      </c>
      <c r="E82" s="3" t="s">
        <v>70</v>
      </c>
      <c r="F82" s="5">
        <v>6747</v>
      </c>
      <c r="G82" s="5">
        <v>4048.2</v>
      </c>
      <c r="H82" s="5">
        <f t="shared" si="8"/>
        <v>4048.2</v>
      </c>
      <c r="I82" s="6">
        <v>1</v>
      </c>
      <c r="J82" s="5" t="s">
        <v>17</v>
      </c>
      <c r="K82" s="5" t="s">
        <v>22</v>
      </c>
      <c r="L82" s="5">
        <f t="shared" si="9"/>
        <v>4048.2</v>
      </c>
    </row>
    <row r="83" spans="1:12" ht="35.25" customHeight="1">
      <c r="A83" s="1"/>
      <c r="B83" s="4" t="s">
        <v>93</v>
      </c>
      <c r="C83" s="3" t="s">
        <v>37</v>
      </c>
      <c r="D83" s="3" t="s">
        <v>71</v>
      </c>
      <c r="E83" s="3" t="s">
        <v>72</v>
      </c>
      <c r="F83" s="5">
        <v>12143</v>
      </c>
      <c r="G83" s="5">
        <v>7285.8</v>
      </c>
      <c r="H83" s="5">
        <f t="shared" si="8"/>
        <v>14571.6</v>
      </c>
      <c r="I83" s="6">
        <v>2</v>
      </c>
      <c r="J83" s="5" t="s">
        <v>17</v>
      </c>
      <c r="K83" s="5" t="s">
        <v>22</v>
      </c>
      <c r="L83" s="5">
        <f t="shared" si="9"/>
        <v>14571.6</v>
      </c>
    </row>
    <row r="84" spans="1:12" ht="35.25" customHeight="1">
      <c r="A84" s="1"/>
      <c r="B84" s="4" t="s">
        <v>93</v>
      </c>
      <c r="C84" s="3" t="s">
        <v>37</v>
      </c>
      <c r="D84" s="3" t="s">
        <v>73</v>
      </c>
      <c r="E84" s="3" t="s">
        <v>74</v>
      </c>
      <c r="F84" s="5">
        <v>12143</v>
      </c>
      <c r="G84" s="5">
        <v>7285.8</v>
      </c>
      <c r="H84" s="5">
        <f t="shared" si="8"/>
        <v>21857.4</v>
      </c>
      <c r="I84" s="6">
        <v>3</v>
      </c>
      <c r="J84" s="5" t="s">
        <v>17</v>
      </c>
      <c r="K84" s="5" t="s">
        <v>22</v>
      </c>
      <c r="L84" s="5">
        <f t="shared" si="9"/>
        <v>21857.4</v>
      </c>
    </row>
    <row r="85" spans="1:12" ht="35.25" customHeight="1">
      <c r="A85" s="1"/>
      <c r="B85" s="4" t="s">
        <v>93</v>
      </c>
      <c r="C85" s="3" t="s">
        <v>42</v>
      </c>
      <c r="D85" s="3" t="s">
        <v>75</v>
      </c>
      <c r="E85" s="3" t="s">
        <v>76</v>
      </c>
      <c r="F85" s="5">
        <v>871</v>
      </c>
      <c r="G85" s="5">
        <v>522.6</v>
      </c>
      <c r="H85" s="5">
        <f t="shared" si="8"/>
        <v>10452</v>
      </c>
      <c r="I85" s="6">
        <v>20</v>
      </c>
      <c r="J85" s="5" t="s">
        <v>17</v>
      </c>
      <c r="K85" s="5" t="s">
        <v>22</v>
      </c>
      <c r="L85" s="5">
        <f t="shared" si="9"/>
        <v>10452</v>
      </c>
    </row>
    <row r="86" spans="1:12" ht="35.25" customHeight="1">
      <c r="A86" s="1"/>
      <c r="B86" s="4" t="s">
        <v>93</v>
      </c>
      <c r="C86" s="3" t="s">
        <v>42</v>
      </c>
      <c r="D86" s="3" t="s">
        <v>77</v>
      </c>
      <c r="E86" s="3" t="s">
        <v>78</v>
      </c>
      <c r="F86" s="5">
        <v>760</v>
      </c>
      <c r="G86" s="5">
        <v>456</v>
      </c>
      <c r="H86" s="5">
        <f t="shared" si="8"/>
        <v>7752</v>
      </c>
      <c r="I86" s="6">
        <v>17</v>
      </c>
      <c r="J86" s="5" t="s">
        <v>17</v>
      </c>
      <c r="K86" s="5" t="s">
        <v>22</v>
      </c>
      <c r="L86" s="5">
        <f t="shared" si="9"/>
        <v>7752</v>
      </c>
    </row>
    <row r="87" spans="1:12" ht="35.25" customHeight="1">
      <c r="A87" s="1"/>
      <c r="B87" s="4" t="s">
        <v>93</v>
      </c>
      <c r="C87" s="3" t="s">
        <v>94</v>
      </c>
      <c r="D87" s="3" t="s">
        <v>95</v>
      </c>
      <c r="E87" s="3" t="s">
        <v>96</v>
      </c>
      <c r="F87" s="5">
        <v>4419</v>
      </c>
      <c r="G87" s="5">
        <v>2651.4</v>
      </c>
      <c r="H87" s="5">
        <f t="shared" si="8"/>
        <v>2651.4</v>
      </c>
      <c r="I87" s="6">
        <v>1</v>
      </c>
      <c r="J87" s="5" t="s">
        <v>17</v>
      </c>
      <c r="K87" s="5" t="s">
        <v>22</v>
      </c>
      <c r="L87" s="5">
        <f t="shared" si="9"/>
        <v>2651.4</v>
      </c>
    </row>
    <row r="88" spans="1:12" ht="35.25" customHeight="1">
      <c r="A88" s="1"/>
      <c r="B88" s="4" t="s">
        <v>93</v>
      </c>
      <c r="C88" s="3" t="s">
        <v>97</v>
      </c>
      <c r="D88" s="3" t="s">
        <v>98</v>
      </c>
      <c r="E88" s="3" t="s">
        <v>99</v>
      </c>
      <c r="F88" s="5">
        <v>4315</v>
      </c>
      <c r="G88" s="5">
        <v>2589</v>
      </c>
      <c r="H88" s="5">
        <f t="shared" si="8"/>
        <v>2589</v>
      </c>
      <c r="I88" s="6">
        <v>1</v>
      </c>
      <c r="J88" s="5" t="s">
        <v>17</v>
      </c>
      <c r="K88" s="5" t="s">
        <v>22</v>
      </c>
      <c r="L88" s="5">
        <f t="shared" si="9"/>
        <v>2589</v>
      </c>
    </row>
    <row r="89" spans="1:12" ht="35.25" customHeight="1">
      <c r="A89" s="1"/>
      <c r="B89" s="4" t="s">
        <v>93</v>
      </c>
      <c r="C89" s="3" t="s">
        <v>100</v>
      </c>
      <c r="D89" s="3" t="s">
        <v>101</v>
      </c>
      <c r="E89" s="3" t="s">
        <v>102</v>
      </c>
      <c r="F89" s="5">
        <v>1455</v>
      </c>
      <c r="G89" s="5">
        <v>873</v>
      </c>
      <c r="H89" s="5">
        <f t="shared" si="8"/>
        <v>873</v>
      </c>
      <c r="I89" s="6">
        <v>1</v>
      </c>
      <c r="J89" s="5" t="s">
        <v>17</v>
      </c>
      <c r="K89" s="5" t="s">
        <v>22</v>
      </c>
      <c r="L89" s="5">
        <f t="shared" si="9"/>
        <v>873</v>
      </c>
    </row>
    <row r="90" spans="1:12" ht="35.25" customHeight="1">
      <c r="A90" s="1"/>
      <c r="B90" s="4" t="s">
        <v>93</v>
      </c>
      <c r="C90" s="3" t="s">
        <v>103</v>
      </c>
      <c r="D90" s="3" t="s">
        <v>104</v>
      </c>
      <c r="E90" s="3" t="s">
        <v>105</v>
      </c>
      <c r="F90" s="5">
        <v>8502</v>
      </c>
      <c r="G90" s="5">
        <v>8502</v>
      </c>
      <c r="H90" s="5">
        <f t="shared" si="8"/>
        <v>8502</v>
      </c>
      <c r="I90" s="6">
        <v>1</v>
      </c>
      <c r="J90" s="5" t="s">
        <v>17</v>
      </c>
      <c r="K90" s="5" t="s">
        <v>106</v>
      </c>
      <c r="L90" s="5">
        <f t="shared" si="9"/>
        <v>8502</v>
      </c>
    </row>
    <row r="91" spans="1:12" ht="35.25" customHeight="1">
      <c r="A91" s="1"/>
      <c r="B91" s="4" t="s">
        <v>93</v>
      </c>
      <c r="C91" s="3" t="s">
        <v>81</v>
      </c>
      <c r="D91" s="3" t="s">
        <v>82</v>
      </c>
      <c r="E91" s="3" t="s">
        <v>83</v>
      </c>
      <c r="F91" s="5">
        <v>172</v>
      </c>
      <c r="G91" s="5">
        <v>172</v>
      </c>
      <c r="H91" s="5">
        <f t="shared" si="8"/>
        <v>7224</v>
      </c>
      <c r="I91" s="6">
        <v>42</v>
      </c>
      <c r="J91" s="5" t="s">
        <v>17</v>
      </c>
      <c r="K91" s="5" t="s">
        <v>62</v>
      </c>
      <c r="L91" s="5">
        <f t="shared" si="9"/>
        <v>7224</v>
      </c>
    </row>
    <row r="92" spans="1:12" ht="35.25" customHeight="1">
      <c r="A92" s="1"/>
      <c r="B92" s="4" t="s">
        <v>93</v>
      </c>
      <c r="C92" s="3" t="s">
        <v>59</v>
      </c>
      <c r="D92" s="3" t="s">
        <v>60</v>
      </c>
      <c r="E92" s="3" t="s">
        <v>61</v>
      </c>
      <c r="F92" s="5">
        <v>2432</v>
      </c>
      <c r="G92" s="5">
        <v>2432</v>
      </c>
      <c r="H92" s="5">
        <f t="shared" si="8"/>
        <v>9728</v>
      </c>
      <c r="I92" s="6">
        <v>4</v>
      </c>
      <c r="J92" s="5" t="s">
        <v>17</v>
      </c>
      <c r="K92" s="5" t="s">
        <v>62</v>
      </c>
      <c r="L92" s="5">
        <f t="shared" si="9"/>
        <v>9728</v>
      </c>
    </row>
    <row r="93" spans="1:12" ht="35.25" customHeight="1">
      <c r="A93" s="1"/>
      <c r="B93" s="4" t="s">
        <v>93</v>
      </c>
      <c r="C93" s="3" t="s">
        <v>63</v>
      </c>
      <c r="D93" s="3" t="s">
        <v>63</v>
      </c>
      <c r="E93" s="3" t="s">
        <v>63</v>
      </c>
      <c r="F93" s="5">
        <v>36000</v>
      </c>
      <c r="G93" s="5">
        <v>36000</v>
      </c>
      <c r="H93" s="5">
        <f t="shared" si="8"/>
        <v>36000</v>
      </c>
      <c r="I93" s="6">
        <v>1</v>
      </c>
      <c r="J93" s="5" t="s">
        <v>17</v>
      </c>
      <c r="K93" s="5" t="s">
        <v>63</v>
      </c>
      <c r="L93" s="5">
        <f t="shared" si="9"/>
        <v>36000</v>
      </c>
    </row>
    <row r="94" spans="1:12" ht="35.25" customHeight="1" thickBot="1">
      <c r="A94" s="1"/>
      <c r="B94" s="4" t="s">
        <v>93</v>
      </c>
      <c r="C94" s="3" t="s">
        <v>64</v>
      </c>
      <c r="D94" s="3" t="s">
        <v>64</v>
      </c>
      <c r="E94" s="3" t="s">
        <v>64</v>
      </c>
      <c r="F94" s="5">
        <v>10</v>
      </c>
      <c r="G94" s="5">
        <v>100</v>
      </c>
      <c r="H94" s="5">
        <f t="shared" si="8"/>
        <v>36000</v>
      </c>
      <c r="I94" s="6">
        <v>360</v>
      </c>
      <c r="J94" s="5" t="s">
        <v>17</v>
      </c>
      <c r="K94" s="5" t="s">
        <v>64</v>
      </c>
      <c r="L94" s="5">
        <f t="shared" si="9"/>
        <v>36000</v>
      </c>
    </row>
    <row r="95" spans="1:12" ht="35.25" customHeight="1" thickBot="1">
      <c r="A95" s="1"/>
      <c r="B95" s="7" t="s">
        <v>107</v>
      </c>
      <c r="C95" s="7"/>
      <c r="D95" s="7"/>
      <c r="E95" s="7" t="s">
        <v>107</v>
      </c>
      <c r="F95" s="8"/>
      <c r="G95" s="8"/>
      <c r="H95" s="8">
        <f>SUM(H96:H114)</f>
        <v>296133.60000000003</v>
      </c>
      <c r="I95" s="9">
        <v>1</v>
      </c>
      <c r="J95" s="8" t="s">
        <v>12</v>
      </c>
      <c r="K95" s="8" t="s">
        <v>13</v>
      </c>
      <c r="L95" s="8">
        <f>SUM(L96:L114)</f>
        <v>296133.60000000003</v>
      </c>
    </row>
    <row r="96" spans="1:12" ht="35.25" customHeight="1">
      <c r="A96" s="1"/>
      <c r="B96" s="4" t="s">
        <v>107</v>
      </c>
      <c r="C96" s="3" t="s">
        <v>14</v>
      </c>
      <c r="D96" s="3"/>
      <c r="E96" s="3" t="s">
        <v>66</v>
      </c>
      <c r="F96" s="5">
        <v>100000</v>
      </c>
      <c r="G96" s="5">
        <v>100000</v>
      </c>
      <c r="H96" s="5">
        <f>G96*I96</f>
        <v>100000</v>
      </c>
      <c r="I96" s="6">
        <v>1</v>
      </c>
      <c r="J96" s="5" t="s">
        <v>17</v>
      </c>
      <c r="K96" s="5" t="s">
        <v>18</v>
      </c>
      <c r="L96" s="5">
        <f>H96</f>
        <v>100000</v>
      </c>
    </row>
    <row r="97" spans="1:12" ht="35.25" customHeight="1">
      <c r="A97" s="1"/>
      <c r="B97" s="4" t="s">
        <v>107</v>
      </c>
      <c r="C97" s="3" t="s">
        <v>42</v>
      </c>
      <c r="D97" s="3" t="s">
        <v>89</v>
      </c>
      <c r="E97" s="3" t="s">
        <v>90</v>
      </c>
      <c r="F97" s="5">
        <v>6060</v>
      </c>
      <c r="G97" s="5">
        <v>3636</v>
      </c>
      <c r="H97" s="5">
        <f>G97*I97</f>
        <v>3636</v>
      </c>
      <c r="I97" s="6">
        <v>1</v>
      </c>
      <c r="J97" s="5" t="s">
        <v>17</v>
      </c>
      <c r="K97" s="5" t="s">
        <v>22</v>
      </c>
      <c r="L97" s="5">
        <f>H97</f>
        <v>3636</v>
      </c>
    </row>
    <row r="98" spans="1:12" ht="35.25" customHeight="1">
      <c r="A98" s="1"/>
      <c r="B98" s="4" t="s">
        <v>107</v>
      </c>
      <c r="C98" s="3" t="s">
        <v>42</v>
      </c>
      <c r="D98" s="3" t="s">
        <v>50</v>
      </c>
      <c r="E98" s="3" t="s">
        <v>51</v>
      </c>
      <c r="F98" s="5">
        <v>947</v>
      </c>
      <c r="G98" s="5">
        <v>568.20000000000005</v>
      </c>
      <c r="H98" s="5">
        <f>G98*I98</f>
        <v>1704.6000000000001</v>
      </c>
      <c r="I98" s="6">
        <v>3</v>
      </c>
      <c r="J98" s="5" t="s">
        <v>17</v>
      </c>
      <c r="K98" s="5" t="s">
        <v>22</v>
      </c>
      <c r="L98" s="5">
        <f>H98</f>
        <v>1704.6000000000001</v>
      </c>
    </row>
    <row r="99" spans="1:12" ht="35.25" customHeight="1">
      <c r="A99" s="1"/>
      <c r="B99" s="4" t="s">
        <v>107</v>
      </c>
      <c r="C99" s="3" t="s">
        <v>52</v>
      </c>
      <c r="D99" s="3" t="s">
        <v>53</v>
      </c>
      <c r="E99" s="3" t="s">
        <v>54</v>
      </c>
      <c r="F99" s="5">
        <v>571</v>
      </c>
      <c r="G99" s="5">
        <v>342.6</v>
      </c>
      <c r="H99" s="5">
        <f>G99*I99</f>
        <v>342.6</v>
      </c>
      <c r="I99" s="6">
        <v>1</v>
      </c>
      <c r="J99" s="5" t="s">
        <v>17</v>
      </c>
      <c r="K99" s="5" t="s">
        <v>22</v>
      </c>
      <c r="L99" s="5">
        <f>H99</f>
        <v>342.6</v>
      </c>
    </row>
    <row r="100" spans="1:12" ht="35.25" customHeight="1">
      <c r="A100" s="1"/>
      <c r="B100" s="4" t="s">
        <v>107</v>
      </c>
      <c r="C100" s="3" t="s">
        <v>52</v>
      </c>
      <c r="D100" s="3" t="s">
        <v>55</v>
      </c>
      <c r="E100" s="3" t="s">
        <v>56</v>
      </c>
      <c r="F100" s="5">
        <v>589</v>
      </c>
      <c r="G100" s="5">
        <v>353.4</v>
      </c>
      <c r="H100" s="5">
        <f>G100*I100</f>
        <v>1413.6</v>
      </c>
      <c r="I100" s="6">
        <v>4</v>
      </c>
      <c r="J100" s="5" t="s">
        <v>17</v>
      </c>
      <c r="K100" s="5" t="s">
        <v>22</v>
      </c>
      <c r="L100" s="5">
        <f>H100</f>
        <v>1413.6</v>
      </c>
    </row>
    <row r="101" spans="1:12" ht="35.25" customHeight="1">
      <c r="A101" s="1"/>
      <c r="B101" s="4" t="s">
        <v>107</v>
      </c>
      <c r="C101" s="3" t="s">
        <v>52</v>
      </c>
      <c r="D101" s="3" t="s">
        <v>57</v>
      </c>
      <c r="E101" s="3" t="s">
        <v>58</v>
      </c>
      <c r="F101" s="5">
        <v>571</v>
      </c>
      <c r="G101" s="5">
        <v>342.6</v>
      </c>
      <c r="H101" s="5">
        <f>G101*I101</f>
        <v>1370.4</v>
      </c>
      <c r="I101" s="6">
        <v>4</v>
      </c>
      <c r="J101" s="5" t="s">
        <v>17</v>
      </c>
      <c r="K101" s="5" t="s">
        <v>22</v>
      </c>
      <c r="L101" s="5">
        <f>H101</f>
        <v>1370.4</v>
      </c>
    </row>
    <row r="102" spans="1:12" ht="35.25" customHeight="1">
      <c r="A102" s="1"/>
      <c r="B102" s="4" t="s">
        <v>107</v>
      </c>
      <c r="C102" s="3" t="s">
        <v>37</v>
      </c>
      <c r="D102" s="3" t="s">
        <v>69</v>
      </c>
      <c r="E102" s="3" t="s">
        <v>70</v>
      </c>
      <c r="F102" s="5">
        <v>6747</v>
      </c>
      <c r="G102" s="5">
        <v>4048.2</v>
      </c>
      <c r="H102" s="5">
        <f>G102*I102</f>
        <v>12144.599999999999</v>
      </c>
      <c r="I102" s="6">
        <v>3</v>
      </c>
      <c r="J102" s="5" t="s">
        <v>17</v>
      </c>
      <c r="K102" s="5" t="s">
        <v>22</v>
      </c>
      <c r="L102" s="5">
        <f>H102</f>
        <v>12144.599999999999</v>
      </c>
    </row>
    <row r="103" spans="1:12" ht="35.25" customHeight="1">
      <c r="A103" s="1"/>
      <c r="B103" s="4" t="s">
        <v>107</v>
      </c>
      <c r="C103" s="3" t="s">
        <v>37</v>
      </c>
      <c r="D103" s="3" t="s">
        <v>71</v>
      </c>
      <c r="E103" s="3" t="s">
        <v>72</v>
      </c>
      <c r="F103" s="5">
        <v>12143</v>
      </c>
      <c r="G103" s="5">
        <v>7285.8</v>
      </c>
      <c r="H103" s="5">
        <f>G103*I103</f>
        <v>7285.8</v>
      </c>
      <c r="I103" s="6">
        <v>1</v>
      </c>
      <c r="J103" s="5" t="s">
        <v>17</v>
      </c>
      <c r="K103" s="5" t="s">
        <v>22</v>
      </c>
      <c r="L103" s="5">
        <f>H103</f>
        <v>7285.8</v>
      </c>
    </row>
    <row r="104" spans="1:12" ht="35.25" customHeight="1">
      <c r="A104" s="1"/>
      <c r="B104" s="4" t="s">
        <v>107</v>
      </c>
      <c r="C104" s="3" t="s">
        <v>37</v>
      </c>
      <c r="D104" s="3" t="s">
        <v>73</v>
      </c>
      <c r="E104" s="3" t="s">
        <v>74</v>
      </c>
      <c r="F104" s="5">
        <v>12143</v>
      </c>
      <c r="G104" s="5">
        <v>7285.8</v>
      </c>
      <c r="H104" s="5">
        <f>G104*I104</f>
        <v>21857.4</v>
      </c>
      <c r="I104" s="6">
        <v>3</v>
      </c>
      <c r="J104" s="5" t="s">
        <v>17</v>
      </c>
      <c r="K104" s="5" t="s">
        <v>22</v>
      </c>
      <c r="L104" s="5">
        <f>H104</f>
        <v>21857.4</v>
      </c>
    </row>
    <row r="105" spans="1:12" ht="35.25" customHeight="1">
      <c r="A105" s="1"/>
      <c r="B105" s="4" t="s">
        <v>107</v>
      </c>
      <c r="C105" s="3" t="s">
        <v>42</v>
      </c>
      <c r="D105" s="3" t="s">
        <v>75</v>
      </c>
      <c r="E105" s="3" t="s">
        <v>76</v>
      </c>
      <c r="F105" s="5">
        <v>871</v>
      </c>
      <c r="G105" s="5">
        <v>522.6</v>
      </c>
      <c r="H105" s="5">
        <f>G105*I105</f>
        <v>7316.4000000000005</v>
      </c>
      <c r="I105" s="6">
        <v>14</v>
      </c>
      <c r="J105" s="5" t="s">
        <v>17</v>
      </c>
      <c r="K105" s="5" t="s">
        <v>22</v>
      </c>
      <c r="L105" s="5">
        <f>H105</f>
        <v>7316.4000000000005</v>
      </c>
    </row>
    <row r="106" spans="1:12" ht="35.25" customHeight="1">
      <c r="A106" s="1"/>
      <c r="B106" s="4" t="s">
        <v>107</v>
      </c>
      <c r="C106" s="3" t="s">
        <v>42</v>
      </c>
      <c r="D106" s="3" t="s">
        <v>77</v>
      </c>
      <c r="E106" s="3" t="s">
        <v>78</v>
      </c>
      <c r="F106" s="5">
        <v>760</v>
      </c>
      <c r="G106" s="5">
        <v>456</v>
      </c>
      <c r="H106" s="5">
        <f>G106*I106</f>
        <v>7296</v>
      </c>
      <c r="I106" s="6">
        <v>16</v>
      </c>
      <c r="J106" s="5" t="s">
        <v>17</v>
      </c>
      <c r="K106" s="5" t="s">
        <v>22</v>
      </c>
      <c r="L106" s="5">
        <f>H106</f>
        <v>7296</v>
      </c>
    </row>
    <row r="107" spans="1:12" ht="35.25" customHeight="1">
      <c r="A107" s="1"/>
      <c r="B107" s="4" t="s">
        <v>107</v>
      </c>
      <c r="C107" s="3" t="s">
        <v>94</v>
      </c>
      <c r="D107" s="3" t="s">
        <v>95</v>
      </c>
      <c r="E107" s="3" t="s">
        <v>96</v>
      </c>
      <c r="F107" s="5">
        <v>4419</v>
      </c>
      <c r="G107" s="5">
        <v>2651.4</v>
      </c>
      <c r="H107" s="5">
        <f>G107*I107</f>
        <v>7954.2000000000007</v>
      </c>
      <c r="I107" s="6">
        <v>3</v>
      </c>
      <c r="J107" s="5" t="s">
        <v>17</v>
      </c>
      <c r="K107" s="5" t="s">
        <v>22</v>
      </c>
      <c r="L107" s="5">
        <f>H107</f>
        <v>7954.2000000000007</v>
      </c>
    </row>
    <row r="108" spans="1:12" ht="35.25" customHeight="1">
      <c r="A108" s="1"/>
      <c r="B108" s="4" t="s">
        <v>107</v>
      </c>
      <c r="C108" s="3" t="s">
        <v>97</v>
      </c>
      <c r="D108" s="3" t="s">
        <v>108</v>
      </c>
      <c r="E108" s="3" t="s">
        <v>109</v>
      </c>
      <c r="F108" s="5">
        <v>4315</v>
      </c>
      <c r="G108" s="5">
        <v>2589</v>
      </c>
      <c r="H108" s="5">
        <f>G108*I108</f>
        <v>7767</v>
      </c>
      <c r="I108" s="6">
        <v>3</v>
      </c>
      <c r="J108" s="5" t="s">
        <v>17</v>
      </c>
      <c r="K108" s="5" t="s">
        <v>22</v>
      </c>
      <c r="L108" s="5">
        <f>H108</f>
        <v>7767</v>
      </c>
    </row>
    <row r="109" spans="1:12" ht="35.25" customHeight="1">
      <c r="A109" s="1"/>
      <c r="B109" s="4" t="s">
        <v>107</v>
      </c>
      <c r="C109" s="3" t="s">
        <v>100</v>
      </c>
      <c r="D109" s="3" t="s">
        <v>101</v>
      </c>
      <c r="E109" s="3" t="s">
        <v>102</v>
      </c>
      <c r="F109" s="5">
        <v>1455</v>
      </c>
      <c r="G109" s="5">
        <v>873</v>
      </c>
      <c r="H109" s="5">
        <f>G109*I109</f>
        <v>2619</v>
      </c>
      <c r="I109" s="6">
        <v>3</v>
      </c>
      <c r="J109" s="5" t="s">
        <v>17</v>
      </c>
      <c r="K109" s="5" t="s">
        <v>22</v>
      </c>
      <c r="L109" s="5">
        <f>H109</f>
        <v>2619</v>
      </c>
    </row>
    <row r="110" spans="1:12" ht="35.25" customHeight="1">
      <c r="A110" s="1"/>
      <c r="B110" s="4" t="s">
        <v>107</v>
      </c>
      <c r="C110" s="3" t="s">
        <v>103</v>
      </c>
      <c r="D110" s="3" t="s">
        <v>104</v>
      </c>
      <c r="E110" s="3" t="s">
        <v>105</v>
      </c>
      <c r="F110" s="5">
        <v>8502</v>
      </c>
      <c r="G110" s="5">
        <v>8502</v>
      </c>
      <c r="H110" s="5">
        <f>G110*I110</f>
        <v>25506</v>
      </c>
      <c r="I110" s="6">
        <v>3</v>
      </c>
      <c r="J110" s="5" t="s">
        <v>17</v>
      </c>
      <c r="K110" s="5" t="s">
        <v>106</v>
      </c>
      <c r="L110" s="5">
        <f>H110</f>
        <v>25506</v>
      </c>
    </row>
    <row r="111" spans="1:12" ht="35.25" customHeight="1">
      <c r="A111" s="1"/>
      <c r="B111" s="4" t="s">
        <v>107</v>
      </c>
      <c r="C111" s="3" t="s">
        <v>81</v>
      </c>
      <c r="D111" s="3" t="s">
        <v>82</v>
      </c>
      <c r="E111" s="3" t="s">
        <v>83</v>
      </c>
      <c r="F111" s="5">
        <v>172</v>
      </c>
      <c r="G111" s="5">
        <v>172</v>
      </c>
      <c r="H111" s="5">
        <f>G111*I111</f>
        <v>6192</v>
      </c>
      <c r="I111" s="6">
        <v>36</v>
      </c>
      <c r="J111" s="5" t="s">
        <v>17</v>
      </c>
      <c r="K111" s="5" t="s">
        <v>62</v>
      </c>
      <c r="L111" s="5">
        <f>H111</f>
        <v>6192</v>
      </c>
    </row>
    <row r="112" spans="1:12" ht="35.25" customHeight="1">
      <c r="A112" s="1"/>
      <c r="B112" s="4" t="s">
        <v>107</v>
      </c>
      <c r="C112" s="3" t="s">
        <v>59</v>
      </c>
      <c r="D112" s="3" t="s">
        <v>60</v>
      </c>
      <c r="E112" s="3" t="s">
        <v>61</v>
      </c>
      <c r="F112" s="5">
        <v>2432</v>
      </c>
      <c r="G112" s="5">
        <v>2432</v>
      </c>
      <c r="H112" s="5">
        <f>G112*I112</f>
        <v>9728</v>
      </c>
      <c r="I112" s="6">
        <v>4</v>
      </c>
      <c r="J112" s="5" t="s">
        <v>17</v>
      </c>
      <c r="K112" s="5" t="s">
        <v>62</v>
      </c>
      <c r="L112" s="5">
        <f>H112</f>
        <v>9728</v>
      </c>
    </row>
    <row r="113" spans="1:12" ht="35.25" customHeight="1">
      <c r="A113" s="1"/>
      <c r="B113" s="4" t="s">
        <v>107</v>
      </c>
      <c r="C113" s="3" t="s">
        <v>63</v>
      </c>
      <c r="D113" s="3" t="s">
        <v>63</v>
      </c>
      <c r="E113" s="3" t="s">
        <v>63</v>
      </c>
      <c r="F113" s="5">
        <v>36000</v>
      </c>
      <c r="G113" s="5">
        <v>36000</v>
      </c>
      <c r="H113" s="5">
        <f>G113*I113</f>
        <v>36000</v>
      </c>
      <c r="I113" s="6">
        <v>1</v>
      </c>
      <c r="J113" s="5" t="s">
        <v>17</v>
      </c>
      <c r="K113" s="5" t="s">
        <v>63</v>
      </c>
      <c r="L113" s="5">
        <f>H113</f>
        <v>36000</v>
      </c>
    </row>
    <row r="114" spans="1:12" ht="35.25" customHeight="1" thickBot="1">
      <c r="A114" s="1"/>
      <c r="B114" s="4" t="s">
        <v>107</v>
      </c>
      <c r="C114" s="3" t="s">
        <v>64</v>
      </c>
      <c r="D114" s="3" t="s">
        <v>64</v>
      </c>
      <c r="E114" s="3" t="s">
        <v>64</v>
      </c>
      <c r="F114" s="5">
        <v>10</v>
      </c>
      <c r="G114" s="5">
        <v>100</v>
      </c>
      <c r="H114" s="5">
        <f>G114*I114</f>
        <v>36000</v>
      </c>
      <c r="I114" s="6">
        <v>360</v>
      </c>
      <c r="J114" s="5" t="s">
        <v>17</v>
      </c>
      <c r="K114" s="5" t="s">
        <v>64</v>
      </c>
      <c r="L114" s="5">
        <f>H114</f>
        <v>36000</v>
      </c>
    </row>
    <row r="115" spans="1:12" ht="35.25" customHeight="1" thickBot="1">
      <c r="A115" s="1"/>
      <c r="B115" s="7" t="s">
        <v>110</v>
      </c>
      <c r="C115" s="7"/>
      <c r="D115" s="7"/>
      <c r="E115" s="7" t="s">
        <v>110</v>
      </c>
      <c r="F115" s="8"/>
      <c r="G115" s="8"/>
      <c r="H115" s="8">
        <f>SUM(H116:H136)</f>
        <v>299945.8</v>
      </c>
      <c r="I115" s="9">
        <v>1</v>
      </c>
      <c r="J115" s="8" t="s">
        <v>12</v>
      </c>
      <c r="K115" s="8" t="s">
        <v>13</v>
      </c>
      <c r="L115" s="8">
        <f>SUM(L116:L136)</f>
        <v>299945.8</v>
      </c>
    </row>
    <row r="116" spans="1:12" ht="35.25" customHeight="1">
      <c r="A116" s="1"/>
      <c r="B116" s="4" t="s">
        <v>110</v>
      </c>
      <c r="C116" s="3" t="s">
        <v>14</v>
      </c>
      <c r="D116" s="3" t="s">
        <v>111</v>
      </c>
      <c r="E116" s="3" t="s">
        <v>112</v>
      </c>
      <c r="F116" s="5">
        <v>100000</v>
      </c>
      <c r="G116" s="5">
        <v>100000</v>
      </c>
      <c r="H116" s="5">
        <f t="shared" ref="H116:H136" si="10">G116*I116</f>
        <v>100000</v>
      </c>
      <c r="I116" s="6">
        <v>1</v>
      </c>
      <c r="J116" s="5" t="s">
        <v>17</v>
      </c>
      <c r="K116" s="5" t="s">
        <v>18</v>
      </c>
      <c r="L116" s="5">
        <f t="shared" ref="L116:L136" si="11">H116</f>
        <v>100000</v>
      </c>
    </row>
    <row r="117" spans="1:12" ht="35.25" customHeight="1">
      <c r="A117" s="1"/>
      <c r="B117" s="4" t="s">
        <v>110</v>
      </c>
      <c r="C117" s="3" t="s">
        <v>42</v>
      </c>
      <c r="D117" s="3" t="s">
        <v>89</v>
      </c>
      <c r="E117" s="3" t="s">
        <v>90</v>
      </c>
      <c r="F117" s="5">
        <v>6060</v>
      </c>
      <c r="G117" s="5">
        <v>3636</v>
      </c>
      <c r="H117" s="5">
        <f t="shared" si="10"/>
        <v>3636</v>
      </c>
      <c r="I117" s="6">
        <v>1</v>
      </c>
      <c r="J117" s="5" t="s">
        <v>17</v>
      </c>
      <c r="K117" s="5" t="s">
        <v>22</v>
      </c>
      <c r="L117" s="5">
        <f t="shared" si="11"/>
        <v>3636</v>
      </c>
    </row>
    <row r="118" spans="1:12" ht="35.25" customHeight="1">
      <c r="A118" s="1"/>
      <c r="B118" s="4" t="s">
        <v>110</v>
      </c>
      <c r="C118" s="3" t="s">
        <v>42</v>
      </c>
      <c r="D118" s="3" t="s">
        <v>50</v>
      </c>
      <c r="E118" s="3" t="s">
        <v>51</v>
      </c>
      <c r="F118" s="5">
        <v>947</v>
      </c>
      <c r="G118" s="5">
        <v>568.20000000000005</v>
      </c>
      <c r="H118" s="5">
        <f t="shared" si="10"/>
        <v>6250.2000000000007</v>
      </c>
      <c r="I118" s="6">
        <v>11</v>
      </c>
      <c r="J118" s="5" t="s">
        <v>17</v>
      </c>
      <c r="K118" s="5" t="s">
        <v>22</v>
      </c>
      <c r="L118" s="5">
        <f t="shared" si="11"/>
        <v>6250.2000000000007</v>
      </c>
    </row>
    <row r="119" spans="1:12" ht="35.25" customHeight="1">
      <c r="A119" s="1"/>
      <c r="B119" s="4" t="s">
        <v>110</v>
      </c>
      <c r="C119" s="3" t="s">
        <v>52</v>
      </c>
      <c r="D119" s="3" t="s">
        <v>53</v>
      </c>
      <c r="E119" s="3" t="s">
        <v>54</v>
      </c>
      <c r="F119" s="5">
        <v>571</v>
      </c>
      <c r="G119" s="5">
        <v>342.6</v>
      </c>
      <c r="H119" s="5">
        <f t="shared" si="10"/>
        <v>342.6</v>
      </c>
      <c r="I119" s="6">
        <v>1</v>
      </c>
      <c r="J119" s="5" t="s">
        <v>17</v>
      </c>
      <c r="K119" s="5" t="s">
        <v>22</v>
      </c>
      <c r="L119" s="5">
        <f t="shared" si="11"/>
        <v>342.6</v>
      </c>
    </row>
    <row r="120" spans="1:12" ht="35.25" customHeight="1">
      <c r="A120" s="1"/>
      <c r="B120" s="4" t="s">
        <v>110</v>
      </c>
      <c r="C120" s="3" t="s">
        <v>52</v>
      </c>
      <c r="D120" s="3" t="s">
        <v>55</v>
      </c>
      <c r="E120" s="3" t="s">
        <v>56</v>
      </c>
      <c r="F120" s="5">
        <v>589</v>
      </c>
      <c r="G120" s="5">
        <v>353.4</v>
      </c>
      <c r="H120" s="5">
        <f t="shared" si="10"/>
        <v>2120.3999999999996</v>
      </c>
      <c r="I120" s="6">
        <v>6</v>
      </c>
      <c r="J120" s="5" t="s">
        <v>17</v>
      </c>
      <c r="K120" s="5" t="s">
        <v>22</v>
      </c>
      <c r="L120" s="5">
        <f t="shared" si="11"/>
        <v>2120.3999999999996</v>
      </c>
    </row>
    <row r="121" spans="1:12" ht="35.25" customHeight="1">
      <c r="A121" s="1"/>
      <c r="B121" s="4" t="s">
        <v>110</v>
      </c>
      <c r="C121" s="3" t="s">
        <v>52</v>
      </c>
      <c r="D121" s="3" t="s">
        <v>57</v>
      </c>
      <c r="E121" s="3" t="s">
        <v>58</v>
      </c>
      <c r="F121" s="5">
        <v>571</v>
      </c>
      <c r="G121" s="5">
        <v>342.6</v>
      </c>
      <c r="H121" s="5">
        <f t="shared" si="10"/>
        <v>2055.6000000000004</v>
      </c>
      <c r="I121" s="6">
        <v>6</v>
      </c>
      <c r="J121" s="5" t="s">
        <v>17</v>
      </c>
      <c r="K121" s="5" t="s">
        <v>22</v>
      </c>
      <c r="L121" s="5">
        <f t="shared" si="11"/>
        <v>2055.6000000000004</v>
      </c>
    </row>
    <row r="122" spans="1:12" ht="35.25" customHeight="1">
      <c r="A122" s="1"/>
      <c r="B122" s="4" t="s">
        <v>110</v>
      </c>
      <c r="C122" s="3" t="s">
        <v>37</v>
      </c>
      <c r="D122" s="3" t="s">
        <v>71</v>
      </c>
      <c r="E122" s="3" t="s">
        <v>72</v>
      </c>
      <c r="F122" s="5">
        <v>12143</v>
      </c>
      <c r="G122" s="5">
        <v>7285.8</v>
      </c>
      <c r="H122" s="5">
        <f t="shared" si="10"/>
        <v>7285.8</v>
      </c>
      <c r="I122" s="6">
        <v>1</v>
      </c>
      <c r="J122" s="5" t="s">
        <v>17</v>
      </c>
      <c r="K122" s="5" t="s">
        <v>22</v>
      </c>
      <c r="L122" s="5">
        <f t="shared" si="11"/>
        <v>7285.8</v>
      </c>
    </row>
    <row r="123" spans="1:12" ht="35.25" customHeight="1">
      <c r="A123" s="1"/>
      <c r="B123" s="4" t="s">
        <v>110</v>
      </c>
      <c r="C123" s="3" t="s">
        <v>42</v>
      </c>
      <c r="D123" s="3" t="s">
        <v>75</v>
      </c>
      <c r="E123" s="3" t="s">
        <v>76</v>
      </c>
      <c r="F123" s="5">
        <v>871</v>
      </c>
      <c r="G123" s="5">
        <v>522.6</v>
      </c>
      <c r="H123" s="5">
        <f t="shared" si="10"/>
        <v>1045.2</v>
      </c>
      <c r="I123" s="6">
        <v>2</v>
      </c>
      <c r="J123" s="5" t="s">
        <v>17</v>
      </c>
      <c r="K123" s="5" t="s">
        <v>22</v>
      </c>
      <c r="L123" s="5">
        <f t="shared" si="11"/>
        <v>1045.2</v>
      </c>
    </row>
    <row r="124" spans="1:12" ht="35.25" customHeight="1">
      <c r="A124" s="1"/>
      <c r="B124" s="4" t="s">
        <v>110</v>
      </c>
      <c r="C124" s="3" t="s">
        <v>42</v>
      </c>
      <c r="D124" s="3" t="s">
        <v>77</v>
      </c>
      <c r="E124" s="3" t="s">
        <v>78</v>
      </c>
      <c r="F124" s="5">
        <v>760</v>
      </c>
      <c r="G124" s="5">
        <v>456</v>
      </c>
      <c r="H124" s="5">
        <f t="shared" si="10"/>
        <v>4104</v>
      </c>
      <c r="I124" s="6">
        <v>9</v>
      </c>
      <c r="J124" s="5" t="s">
        <v>17</v>
      </c>
      <c r="K124" s="5" t="s">
        <v>22</v>
      </c>
      <c r="L124" s="5">
        <f t="shared" si="11"/>
        <v>4104</v>
      </c>
    </row>
    <row r="125" spans="1:12" ht="35.25" customHeight="1">
      <c r="A125" s="1"/>
      <c r="B125" s="4" t="s">
        <v>110</v>
      </c>
      <c r="C125" s="3" t="s">
        <v>94</v>
      </c>
      <c r="D125" s="10" t="s">
        <v>24</v>
      </c>
      <c r="E125" s="10" t="s">
        <v>113</v>
      </c>
      <c r="F125" s="5">
        <v>0</v>
      </c>
      <c r="G125" s="5">
        <v>0</v>
      </c>
      <c r="H125" s="5">
        <f t="shared" si="10"/>
        <v>0</v>
      </c>
      <c r="I125" s="6">
        <v>1</v>
      </c>
      <c r="J125" s="5" t="s">
        <v>17</v>
      </c>
      <c r="K125" s="5" t="s">
        <v>22</v>
      </c>
      <c r="L125" s="5">
        <f t="shared" si="11"/>
        <v>0</v>
      </c>
    </row>
    <row r="126" spans="1:12" ht="35.25" customHeight="1">
      <c r="A126" s="1"/>
      <c r="B126" s="4" t="s">
        <v>110</v>
      </c>
      <c r="C126" s="3" t="s">
        <v>114</v>
      </c>
      <c r="D126" s="3" t="s">
        <v>115</v>
      </c>
      <c r="E126" s="3" t="s">
        <v>116</v>
      </c>
      <c r="F126" s="5">
        <v>14175</v>
      </c>
      <c r="G126" s="5">
        <v>8505</v>
      </c>
      <c r="H126" s="5">
        <f t="shared" si="10"/>
        <v>8505</v>
      </c>
      <c r="I126" s="6">
        <v>1</v>
      </c>
      <c r="J126" s="5" t="s">
        <v>17</v>
      </c>
      <c r="K126" s="5" t="s">
        <v>22</v>
      </c>
      <c r="L126" s="5">
        <f t="shared" si="11"/>
        <v>8505</v>
      </c>
    </row>
    <row r="127" spans="1:12" ht="35.25" customHeight="1">
      <c r="A127" s="1"/>
      <c r="B127" s="4" t="s">
        <v>110</v>
      </c>
      <c r="C127" s="3" t="s">
        <v>103</v>
      </c>
      <c r="D127" s="3" t="s">
        <v>104</v>
      </c>
      <c r="E127" s="3" t="s">
        <v>105</v>
      </c>
      <c r="F127" s="5">
        <v>8502</v>
      </c>
      <c r="G127" s="5">
        <v>8502</v>
      </c>
      <c r="H127" s="5">
        <f t="shared" si="10"/>
        <v>8502</v>
      </c>
      <c r="I127" s="6">
        <v>1</v>
      </c>
      <c r="J127" s="5" t="s">
        <v>17</v>
      </c>
      <c r="K127" s="5" t="s">
        <v>106</v>
      </c>
      <c r="L127" s="5">
        <f t="shared" si="11"/>
        <v>8502</v>
      </c>
    </row>
    <row r="128" spans="1:12" ht="35.25" customHeight="1">
      <c r="A128" s="1"/>
      <c r="B128" s="4" t="s">
        <v>110</v>
      </c>
      <c r="C128" s="3" t="s">
        <v>94</v>
      </c>
      <c r="D128" s="3" t="s">
        <v>95</v>
      </c>
      <c r="E128" s="3" t="s">
        <v>96</v>
      </c>
      <c r="F128" s="5">
        <v>4419</v>
      </c>
      <c r="G128" s="5">
        <v>2651.4</v>
      </c>
      <c r="H128" s="5">
        <f t="shared" si="10"/>
        <v>13257</v>
      </c>
      <c r="I128" s="6">
        <v>5</v>
      </c>
      <c r="J128" s="5" t="s">
        <v>17</v>
      </c>
      <c r="K128" s="5" t="s">
        <v>22</v>
      </c>
      <c r="L128" s="5">
        <f t="shared" si="11"/>
        <v>13257</v>
      </c>
    </row>
    <row r="129" spans="1:12" ht="35.25" customHeight="1">
      <c r="A129" s="1"/>
      <c r="B129" s="4" t="s">
        <v>110</v>
      </c>
      <c r="C129" s="3" t="s">
        <v>97</v>
      </c>
      <c r="D129" s="3" t="s">
        <v>108</v>
      </c>
      <c r="E129" s="3" t="s">
        <v>109</v>
      </c>
      <c r="F129" s="5">
        <v>4315</v>
      </c>
      <c r="G129" s="5">
        <v>2589</v>
      </c>
      <c r="H129" s="5">
        <f t="shared" si="10"/>
        <v>5178</v>
      </c>
      <c r="I129" s="6">
        <v>2</v>
      </c>
      <c r="J129" s="5" t="s">
        <v>17</v>
      </c>
      <c r="K129" s="5" t="s">
        <v>22</v>
      </c>
      <c r="L129" s="5">
        <f t="shared" si="11"/>
        <v>5178</v>
      </c>
    </row>
    <row r="130" spans="1:12" ht="35.25" customHeight="1">
      <c r="A130" s="1"/>
      <c r="B130" s="4" t="s">
        <v>110</v>
      </c>
      <c r="C130" s="3" t="s">
        <v>97</v>
      </c>
      <c r="D130" s="3" t="s">
        <v>98</v>
      </c>
      <c r="E130" s="3" t="s">
        <v>99</v>
      </c>
      <c r="F130" s="5">
        <v>4315</v>
      </c>
      <c r="G130" s="5">
        <v>2589</v>
      </c>
      <c r="H130" s="5">
        <f t="shared" si="10"/>
        <v>5178</v>
      </c>
      <c r="I130" s="6">
        <v>2</v>
      </c>
      <c r="J130" s="5" t="s">
        <v>17</v>
      </c>
      <c r="K130" s="5" t="s">
        <v>22</v>
      </c>
      <c r="L130" s="5">
        <f t="shared" si="11"/>
        <v>5178</v>
      </c>
    </row>
    <row r="131" spans="1:12" ht="35.25" customHeight="1">
      <c r="A131" s="1"/>
      <c r="B131" s="4" t="s">
        <v>110</v>
      </c>
      <c r="C131" s="3" t="s">
        <v>97</v>
      </c>
      <c r="D131" s="10" t="s">
        <v>24</v>
      </c>
      <c r="E131" s="10" t="s">
        <v>117</v>
      </c>
      <c r="F131" s="5">
        <v>0</v>
      </c>
      <c r="G131" s="5">
        <v>0</v>
      </c>
      <c r="H131" s="5">
        <f t="shared" si="10"/>
        <v>0</v>
      </c>
      <c r="I131" s="6">
        <v>1</v>
      </c>
      <c r="J131" s="5" t="s">
        <v>17</v>
      </c>
      <c r="K131" s="5" t="s">
        <v>22</v>
      </c>
      <c r="L131" s="5">
        <f t="shared" si="11"/>
        <v>0</v>
      </c>
    </row>
    <row r="132" spans="1:12" ht="35.25" customHeight="1">
      <c r="A132" s="1"/>
      <c r="B132" s="4" t="s">
        <v>110</v>
      </c>
      <c r="C132" s="3" t="s">
        <v>100</v>
      </c>
      <c r="D132" s="3" t="s">
        <v>101</v>
      </c>
      <c r="E132" s="3" t="s">
        <v>102</v>
      </c>
      <c r="F132" s="5">
        <v>1455</v>
      </c>
      <c r="G132" s="5">
        <v>873</v>
      </c>
      <c r="H132" s="5">
        <f t="shared" si="10"/>
        <v>5238</v>
      </c>
      <c r="I132" s="6">
        <v>6</v>
      </c>
      <c r="J132" s="5" t="s">
        <v>17</v>
      </c>
      <c r="K132" s="5" t="s">
        <v>22</v>
      </c>
      <c r="L132" s="5">
        <f t="shared" si="11"/>
        <v>5238</v>
      </c>
    </row>
    <row r="133" spans="1:12" ht="35.25" customHeight="1">
      <c r="A133" s="1"/>
      <c r="B133" s="4" t="s">
        <v>110</v>
      </c>
      <c r="C133" s="3" t="s">
        <v>81</v>
      </c>
      <c r="D133" s="3" t="s">
        <v>82</v>
      </c>
      <c r="E133" s="3" t="s">
        <v>83</v>
      </c>
      <c r="F133" s="5">
        <v>172</v>
      </c>
      <c r="G133" s="5">
        <v>172</v>
      </c>
      <c r="H133" s="5">
        <f t="shared" si="10"/>
        <v>4816</v>
      </c>
      <c r="I133" s="6">
        <v>28</v>
      </c>
      <c r="J133" s="5" t="s">
        <v>17</v>
      </c>
      <c r="K133" s="5" t="s">
        <v>62</v>
      </c>
      <c r="L133" s="5">
        <f t="shared" si="11"/>
        <v>4816</v>
      </c>
    </row>
    <row r="134" spans="1:12" ht="35.25" customHeight="1">
      <c r="A134" s="1"/>
      <c r="B134" s="4" t="s">
        <v>110</v>
      </c>
      <c r="C134" s="3" t="s">
        <v>59</v>
      </c>
      <c r="D134" s="3" t="s">
        <v>60</v>
      </c>
      <c r="E134" s="3" t="s">
        <v>61</v>
      </c>
      <c r="F134" s="5">
        <v>2432</v>
      </c>
      <c r="G134" s="5">
        <v>2432</v>
      </c>
      <c r="H134" s="5">
        <f t="shared" si="10"/>
        <v>2432</v>
      </c>
      <c r="I134" s="6">
        <v>1</v>
      </c>
      <c r="J134" s="5" t="s">
        <v>17</v>
      </c>
      <c r="K134" s="5" t="s">
        <v>62</v>
      </c>
      <c r="L134" s="5">
        <f t="shared" si="11"/>
        <v>2432</v>
      </c>
    </row>
    <row r="135" spans="1:12" ht="35.25" customHeight="1">
      <c r="A135" s="1"/>
      <c r="B135" s="4" t="s">
        <v>110</v>
      </c>
      <c r="C135" s="3" t="s">
        <v>63</v>
      </c>
      <c r="D135" s="3" t="s">
        <v>63</v>
      </c>
      <c r="E135" s="3" t="s">
        <v>63</v>
      </c>
      <c r="F135" s="5">
        <v>60000</v>
      </c>
      <c r="G135" s="5">
        <v>60000</v>
      </c>
      <c r="H135" s="5">
        <f t="shared" si="10"/>
        <v>60000</v>
      </c>
      <c r="I135" s="6">
        <v>1</v>
      </c>
      <c r="J135" s="5" t="s">
        <v>17</v>
      </c>
      <c r="K135" s="5" t="s">
        <v>63</v>
      </c>
      <c r="L135" s="5">
        <f t="shared" si="11"/>
        <v>60000</v>
      </c>
    </row>
    <row r="136" spans="1:12" ht="35.25" customHeight="1">
      <c r="A136" s="1"/>
      <c r="B136" s="4" t="s">
        <v>110</v>
      </c>
      <c r="C136" s="3" t="s">
        <v>64</v>
      </c>
      <c r="D136" s="3" t="s">
        <v>64</v>
      </c>
      <c r="E136" s="3" t="s">
        <v>64</v>
      </c>
      <c r="F136" s="5">
        <v>10</v>
      </c>
      <c r="G136" s="5">
        <v>100</v>
      </c>
      <c r="H136" s="5">
        <f t="shared" si="10"/>
        <v>60000</v>
      </c>
      <c r="I136" s="6">
        <v>600</v>
      </c>
      <c r="J136" s="5" t="s">
        <v>17</v>
      </c>
      <c r="K136" s="5" t="s">
        <v>64</v>
      </c>
      <c r="L136" s="5">
        <f t="shared" si="11"/>
        <v>60000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/>
  </sheetViews>
  <sheetFormatPr defaultRowHeight="14.25"/>
  <cols>
    <col min="1" max="1" width="30" customWidth="1"/>
    <col min="2" max="2" width="18" customWidth="1"/>
    <col min="3" max="3" width="12" customWidth="1"/>
    <col min="4" max="4" width="14" customWidth="1"/>
    <col min="5" max="5" width="18" customWidth="1"/>
  </cols>
  <sheetData>
    <row r="1" spans="1:5" ht="15">
      <c r="A1" s="12" t="s">
        <v>0</v>
      </c>
      <c r="B1" s="12" t="s">
        <v>6</v>
      </c>
      <c r="C1" s="12" t="s">
        <v>118</v>
      </c>
      <c r="D1" s="12" t="s">
        <v>8</v>
      </c>
      <c r="E1" s="12" t="s">
        <v>10</v>
      </c>
    </row>
    <row r="2" spans="1:5">
      <c r="A2" s="11" t="s">
        <v>11</v>
      </c>
      <c r="B2" s="13">
        <f>BOM!H2</f>
        <v>413312.79999999993</v>
      </c>
      <c r="C2" s="13">
        <v>1</v>
      </c>
      <c r="D2" s="13" t="s">
        <v>12</v>
      </c>
      <c r="E2" s="13">
        <f>BOM!L2</f>
        <v>413312.79999999993</v>
      </c>
    </row>
    <row r="3" spans="1:5">
      <c r="A3" s="11" t="s">
        <v>65</v>
      </c>
      <c r="B3" s="13">
        <f>BOM!H23</f>
        <v>231510</v>
      </c>
      <c r="C3" s="13">
        <v>1</v>
      </c>
      <c r="D3" s="13" t="s">
        <v>12</v>
      </c>
      <c r="E3" s="13">
        <f>BOM!L23</f>
        <v>231510</v>
      </c>
    </row>
    <row r="4" spans="1:5">
      <c r="A4" s="11" t="s">
        <v>84</v>
      </c>
      <c r="B4" s="13">
        <f>BOM!H40</f>
        <v>232963.60000000003</v>
      </c>
      <c r="C4" s="13">
        <v>1</v>
      </c>
      <c r="D4" s="13" t="s">
        <v>12</v>
      </c>
      <c r="E4" s="13">
        <f>BOM!L40</f>
        <v>232963.60000000003</v>
      </c>
    </row>
    <row r="5" spans="1:5">
      <c r="A5" s="11" t="s">
        <v>85</v>
      </c>
      <c r="B5" s="13">
        <f>BOM!H55</f>
        <v>376801.20000000007</v>
      </c>
      <c r="C5" s="13">
        <v>1</v>
      </c>
      <c r="D5" s="13" t="s">
        <v>12</v>
      </c>
      <c r="E5" s="13">
        <f>BOM!L55</f>
        <v>376801.20000000007</v>
      </c>
    </row>
    <row r="6" spans="1:5">
      <c r="A6" s="11" t="s">
        <v>93</v>
      </c>
      <c r="B6" s="13">
        <f>BOM!H75</f>
        <v>269323.80000000005</v>
      </c>
      <c r="C6" s="13">
        <v>1</v>
      </c>
      <c r="D6" s="13" t="s">
        <v>12</v>
      </c>
      <c r="E6" s="13">
        <f>BOM!L75</f>
        <v>269323.80000000005</v>
      </c>
    </row>
    <row r="7" spans="1:5">
      <c r="A7" s="11" t="s">
        <v>107</v>
      </c>
      <c r="B7" s="13">
        <f>BOM!H95</f>
        <v>296133.60000000003</v>
      </c>
      <c r="C7" s="13">
        <v>1</v>
      </c>
      <c r="D7" s="13" t="s">
        <v>12</v>
      </c>
      <c r="E7" s="13">
        <f>BOM!L95</f>
        <v>296133.60000000003</v>
      </c>
    </row>
    <row r="8" spans="1:5">
      <c r="A8" s="11" t="s">
        <v>110</v>
      </c>
      <c r="B8" s="13">
        <f>BOM!H115</f>
        <v>299945.8</v>
      </c>
      <c r="C8" s="13">
        <v>1</v>
      </c>
      <c r="D8" s="13" t="s">
        <v>12</v>
      </c>
      <c r="E8" s="13">
        <f>BOM!L115</f>
        <v>299945.8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BOM</vt:lpstr>
      <vt:lpstr>FIYAT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2026-08-03T15:11:25Z</dcterms:modified>
</cp:coreProperties>
</file>