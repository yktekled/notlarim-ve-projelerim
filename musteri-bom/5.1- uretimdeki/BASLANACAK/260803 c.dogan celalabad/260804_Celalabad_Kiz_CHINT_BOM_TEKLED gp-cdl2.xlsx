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03 c.dogan celalabad\"/>
    </mc:Choice>
  </mc:AlternateContent>
  <xr:revisionPtr revIDLastSave="0" documentId="13_ncr:1_{1209EDA0-020E-4D56-9E7F-982CAC010D00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  <sheet name="FIYAT" sheetId="4" r:id="rId2"/>
    <sheet name="Kurallar" sheetId="2" r:id="rId3"/>
    <sheet name="СВОД" sheetId="3" r:id="rId4"/>
  </sheets>
  <definedNames>
    <definedName name="_xlnm._FilterDatabase" localSheetId="0" hidden="1">BOM!$A$1:$L$165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3" i="1" l="1"/>
  <c r="G125" i="1"/>
  <c r="G101" i="1"/>
  <c r="I165" i="1" l="1"/>
  <c r="I136" i="1"/>
  <c r="I112" i="1"/>
  <c r="I88" i="1"/>
  <c r="I64" i="1"/>
  <c r="I28" i="1"/>
  <c r="F28" i="1" s="1"/>
  <c r="I47" i="1"/>
  <c r="F165" i="1" l="1"/>
  <c r="G165" i="1"/>
  <c r="G163" i="1"/>
  <c r="H163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H153" i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F137" i="1"/>
  <c r="G137" i="1" s="1"/>
  <c r="H137" i="1" s="1"/>
  <c r="G136" i="1"/>
  <c r="H136" i="1" s="1"/>
  <c r="F136" i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H125" i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F113" i="1"/>
  <c r="G113" i="1" s="1"/>
  <c r="H113" i="1" s="1"/>
  <c r="G112" i="1"/>
  <c r="H112" i="1" s="1"/>
  <c r="F112" i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H101" i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F89" i="1"/>
  <c r="G89" i="1" s="1"/>
  <c r="H89" i="1" s="1"/>
  <c r="F88" i="1"/>
  <c r="G88" i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F65" i="1"/>
  <c r="G65" i="1" s="1"/>
  <c r="H65" i="1" s="1"/>
  <c r="G64" i="1"/>
  <c r="H64" i="1" s="1"/>
  <c r="F64" i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F48" i="1"/>
  <c r="G48" i="1" s="1"/>
  <c r="H48" i="1" s="1"/>
  <c r="F47" i="1"/>
  <c r="G47" i="1"/>
  <c r="H47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F29" i="1"/>
  <c r="G29" i="1" s="1"/>
  <c r="H29" i="1" s="1"/>
  <c r="G28" i="1"/>
  <c r="H28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F2" i="1"/>
  <c r="G2" i="1" s="1"/>
  <c r="H2" i="1" s="1"/>
  <c r="H165" i="1" l="1"/>
  <c r="F8" i="3" s="1"/>
  <c r="H88" i="1"/>
  <c r="F164" i="1"/>
  <c r="G164" i="1" s="1"/>
  <c r="H164" i="1" s="1"/>
  <c r="F111" i="1"/>
  <c r="G111" i="1" s="1"/>
  <c r="H111" i="1" s="1"/>
  <c r="F135" i="1"/>
  <c r="G135" i="1" s="1"/>
  <c r="H135" i="1" s="1"/>
  <c r="C7" i="3" s="1"/>
  <c r="F46" i="1"/>
  <c r="G46" i="1" s="1"/>
  <c r="H46" i="1" s="1"/>
  <c r="F87" i="1"/>
  <c r="G87" i="1" s="1"/>
  <c r="H87" i="1" s="1"/>
  <c r="F63" i="1"/>
  <c r="G63" i="1" s="1"/>
  <c r="H63" i="1" s="1"/>
  <c r="F27" i="1"/>
  <c r="G27" i="1" s="1"/>
  <c r="H27" i="1" s="1"/>
  <c r="C8" i="3" l="1"/>
  <c r="F2" i="3"/>
  <c r="F7" i="3"/>
  <c r="C6" i="3"/>
  <c r="F3" i="3"/>
  <c r="F6" i="3"/>
  <c r="C2" i="3"/>
  <c r="C4" i="3"/>
  <c r="F5" i="3"/>
  <c r="C3" i="3"/>
  <c r="F4" i="3"/>
  <c r="C5" i="3"/>
  <c r="C9" i="3" l="1"/>
  <c r="F9" i="3"/>
</calcChain>
</file>

<file path=xl/sharedStrings.xml><?xml version="1.0" encoding="utf-8"?>
<sst xmlns="http://schemas.openxmlformats.org/spreadsheetml/2006/main" count="1187" uniqueCount="328">
  <si>
    <t>ROW</t>
  </si>
  <si>
    <t>Наименование1</t>
  </si>
  <si>
    <t>Тип</t>
  </si>
  <si>
    <t>Артикул</t>
  </si>
  <si>
    <t>Номенклатура</t>
  </si>
  <si>
    <t>Цена (прайс)</t>
  </si>
  <si>
    <t>Цена нетто</t>
  </si>
  <si>
    <t>Сумма</t>
  </si>
  <si>
    <t>Кол-во</t>
  </si>
  <si>
    <t>Ед.изм.</t>
  </si>
  <si>
    <t>Завод</t>
  </si>
  <si>
    <t>MALZ</t>
  </si>
  <si>
    <t>MAIN PANEL</t>
  </si>
  <si>
    <t>комплект</t>
  </si>
  <si>
    <t>TEKLED</t>
  </si>
  <si>
    <t>korpus</t>
  </si>
  <si>
    <t>719-15626</t>
  </si>
  <si>
    <t>Мет. Щит 2000x700x500 + 10 см база, IP54, dikili, dış ortam</t>
  </si>
  <si>
    <t>шт.</t>
  </si>
  <si>
    <t>TMŞ</t>
  </si>
  <si>
    <t>chint</t>
  </si>
  <si>
    <t>blok</t>
  </si>
  <si>
    <t>buton</t>
  </si>
  <si>
    <t>574862</t>
  </si>
  <si>
    <t>Кнопка управления «Грибок» Φ40 с фиксацией NP2-BS542, красная 1НЗ IP40</t>
  </si>
  <si>
    <t>OTO</t>
  </si>
  <si>
    <t>813875</t>
  </si>
  <si>
    <t>Авт. выкл. NXB-63H 3P 40A 10кА х-ка C (R)</t>
  </si>
  <si>
    <t>813874</t>
  </si>
  <si>
    <t>Авт. выкл. NXB-63H 3P 32A 10кА х-ка C (R)</t>
  </si>
  <si>
    <t>813873</t>
  </si>
  <si>
    <t>Авт. выкл. NXB-63H 3P 25A 10кА х-ка C (R)</t>
  </si>
  <si>
    <t>814171</t>
  </si>
  <si>
    <t>Авт. выкл. NXB-63 3P 20A 6кА х-ка C (R)  [шема: 10 кА]</t>
  </si>
  <si>
    <t>296695</t>
  </si>
  <si>
    <t>Авт. выкл. NXB-63S 1P 6А 4.5kA х-ка B (R)</t>
  </si>
  <si>
    <t>DİF</t>
  </si>
  <si>
    <t>280934</t>
  </si>
  <si>
    <t>УЗО NXL-63 10kA 3P+N 63A 300mA AC (R)</t>
  </si>
  <si>
    <t>280931</t>
  </si>
  <si>
    <t>УЗО NXL-63 10kA 3P+N 25A 300mA AC (R)</t>
  </si>
  <si>
    <t>opn</t>
  </si>
  <si>
    <t>308602</t>
  </si>
  <si>
    <t>Ограничитель имп. перенапр. NXU-I+II 4P In=25kA Uc=385В Iimp=12.5kA (R)</t>
  </si>
  <si>
    <t>fu</t>
  </si>
  <si>
    <t>521366</t>
  </si>
  <si>
    <t>Держатель плавкой вставки RT36-0-160, габарит 0, 160А</t>
  </si>
  <si>
    <t>521234</t>
  </si>
  <si>
    <t>Плавкая вставка предохранителя RT36-0-160, габарит 0, 125А</t>
  </si>
  <si>
    <t>520441</t>
  </si>
  <si>
    <t>Держатель плавких вставок с индикацией RT28N-32X 10х38 1П (R)</t>
  </si>
  <si>
    <t>520258</t>
  </si>
  <si>
    <t>Плавкая вставка цилиндрическая RT28-32 20A 10х38</t>
  </si>
  <si>
    <t>lamb</t>
  </si>
  <si>
    <t>593076</t>
  </si>
  <si>
    <t>Индикатор ND16-22D/2 желтый AC/DC230В (R)  [L1]</t>
  </si>
  <si>
    <t>593077</t>
  </si>
  <si>
    <t>Индикатор ND16-22D/2 зеленый AC/DC230В (R)  [L2]</t>
  </si>
  <si>
    <t>593075</t>
  </si>
  <si>
    <t>Индикатор ND16-22D/2 красный AC/DC230В (R)  [L3]</t>
  </si>
  <si>
    <t>LOOBAR</t>
  </si>
  <si>
    <t>718-42016</t>
  </si>
  <si>
    <t>Шина медная нулевая 8х12 мм, 1 м</t>
  </si>
  <si>
    <t>м</t>
  </si>
  <si>
    <t>Klemens</t>
  </si>
  <si>
    <t>718-42040</t>
  </si>
  <si>
    <t>Клеммник на DIN-рейку 35 мм²</t>
  </si>
  <si>
    <t>718-42033</t>
  </si>
  <si>
    <t>Клеммник на DIN-рейку 16 мм²</t>
  </si>
  <si>
    <t>718-42030</t>
  </si>
  <si>
    <t>Клеммник на DIN-рейку 6 мм²</t>
  </si>
  <si>
    <t>718-84009</t>
  </si>
  <si>
    <t>Шина «N» нулевая 4х11 групп на DIN-рейку в корпусе IEK</t>
  </si>
  <si>
    <t>IEK</t>
  </si>
  <si>
    <t>montaj</t>
  </si>
  <si>
    <t>408-15050</t>
  </si>
  <si>
    <t>Кабель-канал перфорированный 60x40</t>
  </si>
  <si>
    <t>montajный материал</t>
  </si>
  <si>
    <t>—</t>
  </si>
  <si>
    <t>Монтажный материал (клеммы NSHVI, маркировка, крепёж, провод)</t>
  </si>
  <si>
    <t>montajная работа</t>
  </si>
  <si>
    <t>Монтажные работы (сборка, маркировка, испытание)</t>
  </si>
  <si>
    <t>мин.</t>
  </si>
  <si>
    <t>ПОДВАЛ-ELP</t>
  </si>
  <si>
    <t>özel imalat</t>
  </si>
  <si>
    <t>Özel imalat sıva altı 500x800x180, üstten girişli, klemens bölmesi 30 cm</t>
  </si>
  <si>
    <t>814172</t>
  </si>
  <si>
    <t>Авт. выкл. NXB-63 3P 25A 6кА х-ка C (R)  [giriş]</t>
  </si>
  <si>
    <t>280721</t>
  </si>
  <si>
    <t>УЗО NXL-63 6kA 1P+N 25A 30mA AC (R)</t>
  </si>
  <si>
    <t>280789</t>
  </si>
  <si>
    <t>УЗО NXL-63 6kA 3P+N 25A 30mA AC (R)</t>
  </si>
  <si>
    <t>280791</t>
  </si>
  <si>
    <t>УЗО NXL-63 6kA 3P+N 40A 30mA AC (R)</t>
  </si>
  <si>
    <t>296696</t>
  </si>
  <si>
    <t>Авт. выкл. NXB-63S 1P 10А 4.5kA х-ка B (R)</t>
  </si>
  <si>
    <t>296710</t>
  </si>
  <si>
    <t>Авт. выкл. NXB-63S 1P 16А 4.5kA х-ка C (R)</t>
  </si>
  <si>
    <t>296827</t>
  </si>
  <si>
    <t>Авт. выкл. NXB-63S 3P 16А 4.5kA х-ка C (R)</t>
  </si>
  <si>
    <t>811000</t>
  </si>
  <si>
    <t>Шина соединительная типа PIN 1P, 63А, L=1000 мм (R)</t>
  </si>
  <si>
    <t>718-42025</t>
  </si>
  <si>
    <t>Клеммник на DIN-рейку 2,5 мм²</t>
  </si>
  <si>
    <t>Клеммник на DIN-рейку 6 мм²  [giriş 5x4 мм²]</t>
  </si>
  <si>
    <t>718-84018</t>
  </si>
  <si>
    <t>Шина «N» нулевая 4х7 групп на DIN-рейку в корпусе IEK</t>
  </si>
  <si>
    <t>408-15040</t>
  </si>
  <si>
    <t>Кабель-канал перфорированный 40x25</t>
  </si>
  <si>
    <t>АДМИНИСТРАЦИЯ-ELP</t>
  </si>
  <si>
    <t>Özel imalat sıva altı 500x900x180, üstten girişli, klemens bölmesi 30 cm</t>
  </si>
  <si>
    <t>ZK-ELP</t>
  </si>
  <si>
    <t>Özel imalat sıva altı 500x1300x180 + 500 mm şaft müdahale, alttan girişli</t>
  </si>
  <si>
    <t>131361</t>
  </si>
  <si>
    <t>Авт. выкл. NXM-125S/3Р 80A 25кА (R)  [giriş — şemada MCB 3x80A 6кА]</t>
  </si>
  <si>
    <t>296712</t>
  </si>
  <si>
    <t>Авт. выкл. NXB-63S 1P 25А 4.5kA х-ка C (R)</t>
  </si>
  <si>
    <t>296830</t>
  </si>
  <si>
    <t>Авт. выкл. NXB-63S 3P 32А 4.5kA х-ка C (R)</t>
  </si>
  <si>
    <t>296831</t>
  </si>
  <si>
    <t>Авт. выкл. NXB-63S 3P 40А 4.5kA х-ка C (R)</t>
  </si>
  <si>
    <t>VFD</t>
  </si>
  <si>
    <t>431225</t>
  </si>
  <si>
    <t>Преобразователь частоты NVF2G-S-1.5/PS4, 1.5 кВт, 380В 3Ф  [MEF-01 davlumbaz]</t>
  </si>
  <si>
    <t>Клеммник на DIN-рейку 35 мм²  [giriş 5x35 мм²]</t>
  </si>
  <si>
    <t>2K-ELP</t>
  </si>
  <si>
    <t>Özel imalat sıva altı 500x1400x180 + 500 mm şaft müdahale, alttan girişli</t>
  </si>
  <si>
    <t>814173</t>
  </si>
  <si>
    <t>Авт. выкл. NXB-63 3P 32A 6кА х-ка C (R)  [giriş]</t>
  </si>
  <si>
    <t>296709</t>
  </si>
  <si>
    <t>Авт. выкл. NXB-63S 1P 10А 4.5kA х-ка C (R)  [zaman saati devresi]</t>
  </si>
  <si>
    <t>296708</t>
  </si>
  <si>
    <t>Авт. выкл. NXB-63S 1P 6А 4.5kA х-ка C (R)  [fan devresi]</t>
  </si>
  <si>
    <t>kontaktör</t>
  </si>
  <si>
    <t>836704</t>
  </si>
  <si>
    <t>Контактор NXC-09 9A 220В/АС3 1НО+1НЗ 50Гц (R)</t>
  </si>
  <si>
    <t>Röle</t>
  </si>
  <si>
    <t>837097</t>
  </si>
  <si>
    <t>Тепловое реле NXR-12 1-1.6A (R)</t>
  </si>
  <si>
    <t>Zaman</t>
  </si>
  <si>
    <t>pako</t>
  </si>
  <si>
    <t>425192</t>
  </si>
  <si>
    <t>Кулачковый переключатель LW32-10/1, 10А, 1Р, «1-0-2»</t>
  </si>
  <si>
    <t>Индикатор ND16-22D/2 зеленый AC/DC230В (R)  [L2 + ÇALIŞIR]</t>
  </si>
  <si>
    <t>Индикатор ND16-22D/2 красный AC/DC230В (R)  [L3 + ARIZA]</t>
  </si>
  <si>
    <t>Клеммник на DIN-рейку 6 мм²  [giriş 5x6 мм²]</t>
  </si>
  <si>
    <t>КРЫША-ELP</t>
  </si>
  <si>
    <t>Авт. выкл. NXB-63S 1P 10А 4.5kA х-ка C (R)  [zaman saati devreleri]</t>
  </si>
  <si>
    <t>Авт. выкл. NXB-63S 1P 6А 4.5kA х-ка C (R)  [fan devreleri]</t>
  </si>
  <si>
    <t>837100</t>
  </si>
  <si>
    <t>Тепловое реле NXR-12 2.5-4A (R)</t>
  </si>
  <si>
    <t>Индикатор ND16-22D/2 зеленый AC/DC230В (R)  [L2 + 3x ÇALIŞIR]</t>
  </si>
  <si>
    <t>Индикатор ND16-22D/2 красный AC/DC230В (R)  [L3 + 3x ARIZA]</t>
  </si>
  <si>
    <t>КОТЕЛЬНАЯ-ELP</t>
  </si>
  <si>
    <t>Özel imalat sıva üstü şapkalı dış ortam 500x1000x250 IP54</t>
  </si>
  <si>
    <t>836851</t>
  </si>
  <si>
    <t>Контактор NXC-25 25A 220В/АС3 1НО+1НЗ 50Гц (R)  [ana kontaktör]</t>
  </si>
  <si>
    <t>697027</t>
  </si>
  <si>
    <t>Реле контроля фаз NJYB3-8 AC380V (R)  [FGKR / GKRC-02FA]</t>
  </si>
  <si>
    <t>Авт. выкл. NXB-63S 1P 6А 4.5kA х-ка B (R)  [2 x 3(1x6A) sinyal + FGKR]</t>
  </si>
  <si>
    <t>Авт. выкл. NXB-63 3P 25A 6кА х-ка C (R)  [KZN-02 boiler rezistans]</t>
  </si>
  <si>
    <t>Авт. выкл. NXB-63S 1P 6А 4.5kA х-ка C (R)</t>
  </si>
  <si>
    <t>Авт. выкл. NXB-63S 1P 10А 4.5kA х-ка B (R)  [aç-kapa pako devresi]</t>
  </si>
  <si>
    <t>Авт. выкл. NXB-63S 1P 10А 4.5kA х-ка C (R)  [resirkülasyon zaman saati]</t>
  </si>
  <si>
    <t>Контактор NXC-09 9A 220В/АС3 1НО+1НЗ 50Гц (R)  [pompalar]</t>
  </si>
  <si>
    <t>837096</t>
  </si>
  <si>
    <t>Тепловое реле NXR-12 0.63-1A (R)</t>
  </si>
  <si>
    <t>425058</t>
  </si>
  <si>
    <t>Кулачковый переключатель LW32-10/C01/1, 10А, 1Р, «0-1»  [AÇ-KAPA]</t>
  </si>
  <si>
    <t>Кулачковый переключатель LW32-10/1, 10А, 1Р, «1-0-2»  [MANUEL-OTOMATİK / ASIL-YEDEK]</t>
  </si>
  <si>
    <t>Индикатор ND16-22D/2 зеленый AC/DC230В (R)  [L2 + 5x ÇALIŞIR]</t>
  </si>
  <si>
    <t>Индикатор ND16-22D/2 красный AC/DC230В (R)  [L3 + 5x ARIZA]</t>
  </si>
  <si>
    <t>Клеммник на DIN-рейку 2,5 мм²  [güç + kumanda]</t>
  </si>
  <si>
    <t>KURALLAR / PARAMETRELER — Celalabad Kız Yurdu (CHINT)</t>
  </si>
  <si>
    <t>1. PROJE</t>
  </si>
  <si>
    <t>BOM tarihi</t>
  </si>
  <si>
    <t>04.08.2026</t>
  </si>
  <si>
    <t>Proje</t>
  </si>
  <si>
    <t>Celalabad Kız Yurdu — C.Doğan</t>
  </si>
  <si>
    <t>Marka</t>
  </si>
  <si>
    <t>CHINT (korpus: TEKLED / özel imalat)</t>
  </si>
  <si>
    <t>Kaynak şema</t>
  </si>
  <si>
    <t>Celalabad_Kiz_Tek_Hat_Semalari-01_08_2026</t>
  </si>
  <si>
    <t>2. FİYAT KATSAYILARI</t>
  </si>
  <si>
    <t>CHINT net katsayı</t>
  </si>
  <si>
    <t>liste × 0,60  (%40 indirim)</t>
  </si>
  <si>
    <t>TEKLED/IEK/MUTLUSAN katsayı</t>
  </si>
  <si>
    <t>liste × 1,00</t>
  </si>
  <si>
    <t>Montaj malzemesi oranı</t>
  </si>
  <si>
    <t>pano malzeme ara toplamının %3'ü</t>
  </si>
  <si>
    <t>İşçilik birim (KZT/dakika)</t>
  </si>
  <si>
    <t>3. FİYAT LİSTESİ YAŞ DURUMU</t>
  </si>
  <si>
    <t>Liste</t>
  </si>
  <si>
    <t>Tarih</t>
  </si>
  <si>
    <t>Yaş (ay)</t>
  </si>
  <si>
    <t>Durum</t>
  </si>
  <si>
    <t>CHINT stok+fiyat</t>
  </si>
  <si>
    <t>13.06.2026</t>
  </si>
  <si>
    <t>KULLANILDI — güncel</t>
  </si>
  <si>
    <t>Kaztek/TEKLED pano</t>
  </si>
  <si>
    <t>15.07.2026</t>
  </si>
  <si>
    <t>Sayman</t>
  </si>
  <si>
    <t>2026</t>
  </si>
  <si>
    <t>kullanılmadı</t>
  </si>
  <si>
    <t>ABB</t>
  </si>
  <si>
    <t>11.2025</t>
  </si>
  <si>
    <t>Legrand</t>
  </si>
  <si>
    <t>10.2025</t>
  </si>
  <si>
    <t>Schneider</t>
  </si>
  <si>
    <t>07.2025</t>
  </si>
  <si>
    <t>UYARI — kullanılmadı</t>
  </si>
  <si>
    <t>EKT</t>
  </si>
  <si>
    <t>06.2025</t>
  </si>
  <si>
    <t>CNC</t>
  </si>
  <si>
    <t>02.2025</t>
  </si>
  <si>
    <t>Klemsan</t>
  </si>
  <si>
    <t>11.2022</t>
  </si>
  <si>
    <t>YASAK — fiyatlamada kullanılamaz</t>
  </si>
  <si>
    <t>ONKA</t>
  </si>
  <si>
    <t>07.2022</t>
  </si>
  <si>
    <t>EKF</t>
  </si>
  <si>
    <t>02.2022</t>
  </si>
  <si>
    <t>4. İŞÇİLİK ZAMAN NORMLARI (dakika)</t>
  </si>
  <si>
    <t>MCB 1 kutup</t>
  </si>
  <si>
    <t>MCB 3 kutup</t>
  </si>
  <si>
    <t>MCCB / kompakt şalter ≤250A</t>
  </si>
  <si>
    <t>RCCB / UZO 2 kutup</t>
  </si>
  <si>
    <t>RCCB / UZO 4 kutup</t>
  </si>
  <si>
    <t>Parafudr (SPD)</t>
  </si>
  <si>
    <t>Sigorta yuvası + buşon</t>
  </si>
  <si>
    <t>yuva başına</t>
  </si>
  <si>
    <t>Kontaktör</t>
  </si>
  <si>
    <t>Termik röle</t>
  </si>
  <si>
    <t>Zaman saati / röle</t>
  </si>
  <si>
    <t>Pako şalter</t>
  </si>
  <si>
    <t>Sinyal lambası</t>
  </si>
  <si>
    <t>Buton (mantar/acil)</t>
  </si>
  <si>
    <t>Faz kontrol rölesi</t>
  </si>
  <si>
    <t>Frekans konvertörü (VFD)</t>
  </si>
  <si>
    <t>adet başına</t>
  </si>
  <si>
    <t>Tarak bara</t>
  </si>
  <si>
    <t>Nötr/topraklama barası</t>
  </si>
  <si>
    <t>DIN ray</t>
  </si>
  <si>
    <t>metre başına</t>
  </si>
  <si>
    <t>Kablo kanalı</t>
  </si>
  <si>
    <t>Bakır bara</t>
  </si>
  <si>
    <t>Korpus hazırlık — küçük</t>
  </si>
  <si>
    <t>Korpus hazırlık — orta</t>
  </si>
  <si>
    <t>Korpus hazırlık — dikili</t>
  </si>
  <si>
    <t>Test / etiket / kontrol çarpanı</t>
  </si>
  <si>
    <t>5. KORPUS FİYATLARI (KZT)</t>
  </si>
  <si>
    <t>Pano</t>
  </si>
  <si>
    <t>Tanım</t>
  </si>
  <si>
    <t>Fiyat</t>
  </si>
  <si>
    <t>Kaynak / not</t>
  </si>
  <si>
    <t>Kaztek 719-15626 (15.07.2026) — KATALOG FİYATI. Dış ortam için şapka ilavesi teyit edilmeli.</t>
  </si>
  <si>
    <t>TAHMİN — Kaztek 719-15644 (810x560x180 / 52.920) baz alındı. ATÖLYE TEYİDİ ŞART.</t>
  </si>
  <si>
    <t>TAHMİN — atölye teyidi şart.</t>
  </si>
  <si>
    <t>TAHMİN — şaft müdahale bölmesi dahil. ATÖLYE TEYİDİ ŞART.</t>
  </si>
  <si>
    <t>TAHMİN — Kaztek 719-15926 (800x600x220 şapkalı / 46.200) baz alındı. ATÖLYE TEYİDİ ŞART.</t>
  </si>
  <si>
    <t>6. ŞEMA / TASARIM UYARILARI — KONTROL EDİLECEK</t>
  </si>
  <si>
    <t>Kod</t>
  </si>
  <si>
    <t>Konu</t>
  </si>
  <si>
    <t>Açıklama</t>
  </si>
  <si>
    <t>K-01</t>
  </si>
  <si>
    <t>ZK-ELP giriş şalteri</t>
  </si>
  <si>
    <t>Şemada MCB 3x80 A 6 kA. Talep gücü 50.940 W = 96,8 A → 80 A YETERSİZ. Ayrıca CHINT NXB-63 serisinde 80 A yok. BOM'a MCCB NXM-125S/3P 80 A 25 kA konuldu. ÖNERİ: 3x100 A 25 kA. Onay gerekir.</t>
  </si>
  <si>
    <t>K-02</t>
  </si>
  <si>
    <t>ZK-ELP kesme kapasitesi</t>
  </si>
  <si>
    <t>Ana panoda ZK beslemesi MCCB 3x100 A 25 kA; ZK giriş şemada 6 kA isteniyor. Selektivite/kısa devre uyumsuzluğu — 25 kA seçildi.</t>
  </si>
  <si>
    <t>K-03</t>
  </si>
  <si>
    <t>MAIN PANEL К-ГИДРОФОР</t>
  </si>
  <si>
    <t>Şemada MCB 3x20 A C 10 kA. CHINT NXB-63H (10 kA) serisinde 3P 20 A ARTİKÜL YOK. NXB-63 3P 20 A 6 kA verildi. Onay gerekir.</t>
  </si>
  <si>
    <t>K-04</t>
  </si>
  <si>
    <t>MAIN PANEL parafudr sigortası</t>
  </si>
  <si>
    <t>Şemada NH Fuse 4x125 A. RT36-0-160 yuva (4 ad.) + 125 A buşon (4 ad.) verildi. CHINT'te 4 kutuplu NH ayırıcı 125 A yok; 4 adet tek kutuplu yuva kullanılacak.</t>
  </si>
  <si>
    <t>K-05</t>
  </si>
  <si>
    <t>MAIN PANEL П-ГИДРОФОР sigortası</t>
  </si>
  <si>
    <t>Şemada NH Fuse 4x20 A. 20 A için NH gabarit 00 buşon stokta yok; RT28N-32X 10x38 yuva + RT28-32 20 A buşon (4+4) verildi.</t>
  </si>
  <si>
    <t>K-06</t>
  </si>
  <si>
    <t>Zaman saatleri</t>
  </si>
  <si>
    <t>Şemada 2K-ELP ve КРЫША-ELP'de CHINT NKG4, КРЫША-ELP (НОЧНИКИ) ve КОТЕЛЬНАЯ-ELP'de LEGRAND 412790 yazıyor. CHINT stok listesinde NKG4 YOK; tümü için NKG3 AC230V verildi. Onay gerekir.</t>
  </si>
  <si>
    <t>K-07</t>
  </si>
  <si>
    <t>Pako şalter LW32-10/1</t>
  </si>
  <si>
    <t>Kulachkovy LW32-10/1 (1P «1-0-2») CHINT listesinde STOKTA YOK (доступно = 0). Alternatif: LW32-10/2 (2P). Tedarik teyidi gerekir.</t>
  </si>
  <si>
    <t>K-08</t>
  </si>
  <si>
    <t>Özel imalat korpuslar</t>
  </si>
  <si>
    <t>MAIN PANEL dışındaki 6 panonun korpusu şemada özel imalat olarak tarif edilmiş (sıva altı, menteşeli iç göğüs saci, contalı kapak, şaft müdahale bölmesi, sac kalınlığı dış 1,5 mm / iç 1,2 mm). Kurallar bölüm 5'teki fiyatlar TAHMİNDİR — atölye teyidi alınmadan teklif verilmemelidir.</t>
  </si>
  <si>
    <t>K-09</t>
  </si>
  <si>
    <t>MAIN PANEL dış ortam</t>
  </si>
  <si>
    <t>Şema notu: 'DIŞ ORTAM PANOSU'. Seçilen Kaztek korpus IP54; dış ortam için şapka/güneşlik ilavesi fiyata dahil DEĞİLDİR.</t>
  </si>
  <si>
    <t>K-10</t>
  </si>
  <si>
    <t>Sinyal lambası MCB tipi</t>
  </si>
  <si>
    <t>Tüm panolarda sinyal lambası beslemesi şemada 3(1x6 A) B TİPİ 4,5 kA. GPT BOM'unda C tipi girilmişti — düzeltildi.</t>
  </si>
  <si>
    <t>K-11</t>
  </si>
  <si>
    <t>2K-ELP / КРЫША-ELP fan devreleri</t>
  </si>
  <si>
    <t>Fan MCB'leri şemada 1x6 A C tipi, zaman saati devreleri 1x10 A C tipi. Ayrı satır olarak verildi.</t>
  </si>
  <si>
    <t>K-12</t>
  </si>
  <si>
    <t>КОТЕЛЬНАЯ-ELP MCB 3(1x6A) B</t>
  </si>
  <si>
    <t>Şemada İKİ ADET 3(1x6 A) B grubu var: (1) sinyal lambaları, (2) faz kontrol rölesi + acil stop + kontaktör kumandası. Toplam 6 adet 1P 6 A B.</t>
  </si>
  <si>
    <t>K-13</t>
  </si>
  <si>
    <t>Klemens adetleri</t>
  </si>
  <si>
    <t>Çıkış devresi × (faz + N + PE) esasına göre hesaplandı; 1F devre = 3 klemens, 3F devre = 5 klemens. Kumanda klemensleri КОТЕЛЬНАЯ-ELP'de ilave edildi.</t>
  </si>
  <si>
    <t>K-14</t>
  </si>
  <si>
    <t>Modül / korpus kapasitesi</t>
  </si>
  <si>
    <t>Modül sayıları: ПОДВАЛ 39, АДМИНИСТРАЦИЯ 46, ZK 60, 2K 66, КРЫША 62, КОТЕЛЬНАЯ 55. Şemadaki 50 cm pano eni ≈ 24 modül/sıra. Sigorta perde aralığı 15 cm şartı ile sıra sayıları korpus ölçülerine yansıtıldı; %20 yedek kapasite dahildir.</t>
  </si>
  <si>
    <t>K-15</t>
  </si>
  <si>
    <t>Kablo bilgisi</t>
  </si>
  <si>
    <t>Panolar arası besleme kabloları (N2XH) ve devre kabloları (NHXMH) BU BOM'A DAHİL DEĞİLDİR — kablo fiyat listesi (Harmony) taranmış PDF olduğundan okunamadı.</t>
  </si>
  <si>
    <t>K-16</t>
  </si>
  <si>
    <t>Fiyat esası</t>
  </si>
  <si>
    <t>CHINT kalemleri 13.06.2026 stok+fiyat listesinden, net = liste × 0,60. TEKLED/IEK/MUTLUSAN kalemleri Kaztek 15.07.2026 listesinden × 1,00.</t>
  </si>
  <si>
    <t>K-17</t>
  </si>
  <si>
    <t>Stok durumu düşük kalemler</t>
  </si>
  <si>
    <t>RT36-0-160 125 A buşon (stok 27), NXL-63 10kA 3P+N 25A 300mA (stok 21), NXB-63H 3P 40A (stok 24), NXB-63H 3P 25A (stok 28), VFD NVF2G-S-1.5 (stok 10). Sipariş öncesi teyit edilmeli.</t>
  </si>
  <si>
    <t>№</t>
  </si>
  <si>
    <t>Наименование</t>
  </si>
  <si>
    <t>ИТОГО</t>
  </si>
  <si>
    <t>ADP-CELALABAD/K</t>
  </si>
  <si>
    <t>Мет. Щит 1700x700x400 + 10 см база, IP54, dikili, dış ortam</t>
  </si>
  <si>
    <t>131367</t>
  </si>
  <si>
    <t>Авт. выкл. NXM-250S/3Р 200A 36кА (R)</t>
  </si>
  <si>
    <t>946972</t>
  </si>
  <si>
    <t>Независимый расцепитель SHT-M3 A1 L для NXM(LE)-320(250) AC230V (левый) (R)</t>
  </si>
  <si>
    <t>PYS</t>
  </si>
  <si>
    <t>130300302_</t>
  </si>
  <si>
    <t>Таймер ТЭМ 181 аналоговый 16А 230В на DIN-рейку IEK (100)</t>
  </si>
  <si>
    <t>KAZTEK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</si>
</sst>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sz val="10"/>
      <color rgb="FFC0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D9D9D9"/>
        <bgColor rgb="FFFFD9B3"/>
      </patternFill>
    </fill>
    <fill>
      <patternFill patternType="solid">
        <fgColor rgb="FFFFD9B3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3" fontId="2" fillId="3" borderId="1" xfId="0" applyNumberFormat="1" applyFont="1" applyFill="1" applyBorder="1"/>
    <xf numFmtId="0" fontId="3" fillId="0" borderId="1" xfId="0" applyFont="1" applyBorder="1"/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/>
    <xf numFmtId="3" fontId="3" fillId="4" borderId="1" xfId="0" applyNumberFormat="1" applyFont="1" applyFill="1" applyBorder="1"/>
    <xf numFmtId="0" fontId="4" fillId="0" borderId="0" xfId="0" applyFont="1"/>
    <xf numFmtId="4" fontId="0" fillId="0" borderId="0" xfId="0" applyNumberFormat="1"/>
    <xf numFmtId="0" fontId="2" fillId="0" borderId="0" xfId="0" applyFont="1"/>
    <xf numFmtId="0" fontId="3" fillId="0" borderId="0" xfId="0" applyFont="1"/>
    <xf numFmtId="4" fontId="3" fillId="5" borderId="1" xfId="0" applyNumberFormat="1" applyFont="1" applyFill="1" applyBorder="1"/>
    <xf numFmtId="4" fontId="3" fillId="0" borderId="1" xfId="0" applyNumberFormat="1" applyFont="1" applyBorder="1"/>
    <xf numFmtId="4" fontId="2" fillId="0" borderId="0" xfId="0" applyNumberFormat="1" applyFont="1"/>
    <xf numFmtId="4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vertical="top" wrapText="1"/>
    </xf>
    <xf numFmtId="0" fontId="2" fillId="2" borderId="1" xfId="0" applyFont="1" applyFill="1" applyBorder="1"/>
    <xf numFmtId="0" fontId="0" fillId="3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B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5"/>
  <sheetViews>
    <sheetView tabSelected="1" zoomScaleNormal="100" workbookViewId="0">
      <pane ySplit="1" topLeftCell="A101" activePane="bottomLeft" state="frozen"/>
      <selection pane="bottomLeft" activeCell="E25" sqref="E25"/>
    </sheetView>
  </sheetViews>
  <sheetFormatPr defaultColWidth="8.7109375" defaultRowHeight="15" x14ac:dyDescent="0.25"/>
  <cols>
    <col min="1" max="1" width="6" customWidth="1"/>
    <col min="2" max="2" width="22" customWidth="1"/>
    <col min="3" max="3" width="18" customWidth="1"/>
    <col min="4" max="4" width="14" customWidth="1"/>
    <col min="5" max="5" width="78" customWidth="1"/>
    <col min="6" max="7" width="13" customWidth="1"/>
    <col min="8" max="8" width="14" customWidth="1"/>
    <col min="9" max="9" width="9" customWidth="1"/>
    <col min="10" max="10" width="10" customWidth="1"/>
    <col min="11" max="11" width="18.85546875" customWidth="1"/>
    <col min="12" max="12" width="14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4">
        <v>1</v>
      </c>
      <c r="B2" s="4" t="s">
        <v>318</v>
      </c>
      <c r="C2" s="4" t="s">
        <v>15</v>
      </c>
      <c r="D2" s="4" t="s">
        <v>16</v>
      </c>
      <c r="E2" s="20" t="s">
        <v>319</v>
      </c>
      <c r="F2" s="6">
        <f>Kurallar!$C$58</f>
        <v>117250</v>
      </c>
      <c r="G2" s="6">
        <f>F2*Kurallar!$C$11</f>
        <v>117250</v>
      </c>
      <c r="H2" s="6">
        <f t="shared" ref="H2:H28" si="0">G2*I2</f>
        <v>117250</v>
      </c>
      <c r="I2" s="6">
        <v>1</v>
      </c>
      <c r="J2" s="4" t="s">
        <v>18</v>
      </c>
      <c r="K2" s="21" t="s">
        <v>327</v>
      </c>
      <c r="L2" s="6">
        <v>117250</v>
      </c>
    </row>
    <row r="3" spans="1:12" x14ac:dyDescent="0.25">
      <c r="A3" s="4">
        <v>2</v>
      </c>
      <c r="B3" s="4" t="s">
        <v>318</v>
      </c>
      <c r="C3" s="4" t="s">
        <v>19</v>
      </c>
      <c r="D3" s="4" t="s">
        <v>320</v>
      </c>
      <c r="E3" s="5" t="s">
        <v>321</v>
      </c>
      <c r="F3" s="6">
        <v>34800</v>
      </c>
      <c r="G3" s="6">
        <f>F3*Kurallar!$C$10</f>
        <v>20880</v>
      </c>
      <c r="H3" s="6">
        <f t="shared" si="0"/>
        <v>41760</v>
      </c>
      <c r="I3" s="6">
        <v>2</v>
      </c>
      <c r="J3" s="4" t="s">
        <v>18</v>
      </c>
      <c r="K3" s="4" t="s">
        <v>20</v>
      </c>
      <c r="L3" s="6">
        <v>41760</v>
      </c>
    </row>
    <row r="4" spans="1:12" x14ac:dyDescent="0.25">
      <c r="A4" s="4">
        <v>3</v>
      </c>
      <c r="B4" s="4" t="s">
        <v>318</v>
      </c>
      <c r="C4" s="4" t="s">
        <v>21</v>
      </c>
      <c r="D4" s="4" t="s">
        <v>322</v>
      </c>
      <c r="E4" s="5" t="s">
        <v>323</v>
      </c>
      <c r="F4" s="6">
        <v>6054</v>
      </c>
      <c r="G4" s="6">
        <f>F4*Kurallar!$C$10</f>
        <v>3632.4</v>
      </c>
      <c r="H4" s="6">
        <f t="shared" si="0"/>
        <v>3632.4</v>
      </c>
      <c r="I4" s="6">
        <v>1</v>
      </c>
      <c r="J4" s="4" t="s">
        <v>18</v>
      </c>
      <c r="K4" s="4" t="s">
        <v>20</v>
      </c>
      <c r="L4" s="6">
        <v>3632.4</v>
      </c>
    </row>
    <row r="5" spans="1:12" x14ac:dyDescent="0.25">
      <c r="A5" s="4">
        <v>4</v>
      </c>
      <c r="B5" s="4" t="s">
        <v>318</v>
      </c>
      <c r="C5" s="4" t="s">
        <v>22</v>
      </c>
      <c r="D5" s="4" t="s">
        <v>23</v>
      </c>
      <c r="E5" s="5" t="s">
        <v>24</v>
      </c>
      <c r="F5" s="6">
        <v>1799</v>
      </c>
      <c r="G5" s="6">
        <f>F5*Kurallar!$C$10</f>
        <v>1079.3999999999999</v>
      </c>
      <c r="H5" s="6">
        <f t="shared" si="0"/>
        <v>1079.3999999999999</v>
      </c>
      <c r="I5" s="6">
        <v>1</v>
      </c>
      <c r="J5" s="4" t="s">
        <v>18</v>
      </c>
      <c r="K5" s="4" t="s">
        <v>20</v>
      </c>
      <c r="L5" s="6">
        <v>1079.3999999999999</v>
      </c>
    </row>
    <row r="6" spans="1:12" x14ac:dyDescent="0.25">
      <c r="A6" s="4">
        <v>5</v>
      </c>
      <c r="B6" s="4" t="s">
        <v>318</v>
      </c>
      <c r="C6" s="4" t="s">
        <v>25</v>
      </c>
      <c r="D6" s="4" t="s">
        <v>26</v>
      </c>
      <c r="E6" s="5" t="s">
        <v>27</v>
      </c>
      <c r="F6" s="6">
        <v>11002</v>
      </c>
      <c r="G6" s="6">
        <f>F6*Kurallar!$C$10</f>
        <v>6601.2</v>
      </c>
      <c r="H6" s="6">
        <f t="shared" si="0"/>
        <v>26404.799999999999</v>
      </c>
      <c r="I6" s="6">
        <v>4</v>
      </c>
      <c r="J6" s="4" t="s">
        <v>18</v>
      </c>
      <c r="K6" s="4" t="s">
        <v>20</v>
      </c>
      <c r="L6" s="6">
        <v>26404.799999999999</v>
      </c>
    </row>
    <row r="7" spans="1:12" x14ac:dyDescent="0.25">
      <c r="A7" s="4">
        <v>6</v>
      </c>
      <c r="B7" s="4" t="s">
        <v>318</v>
      </c>
      <c r="C7" s="4" t="s">
        <v>25</v>
      </c>
      <c r="D7" s="4" t="s">
        <v>28</v>
      </c>
      <c r="E7" s="5" t="s">
        <v>29</v>
      </c>
      <c r="F7" s="6">
        <v>11771</v>
      </c>
      <c r="G7" s="6">
        <f>F7*Kurallar!$C$10</f>
        <v>7062.5999999999995</v>
      </c>
      <c r="H7" s="6">
        <f t="shared" si="0"/>
        <v>21187.8</v>
      </c>
      <c r="I7" s="6">
        <v>3</v>
      </c>
      <c r="J7" s="4" t="s">
        <v>18</v>
      </c>
      <c r="K7" s="4" t="s">
        <v>20</v>
      </c>
      <c r="L7" s="6">
        <v>21187.8</v>
      </c>
    </row>
    <row r="8" spans="1:12" x14ac:dyDescent="0.25">
      <c r="A8" s="4">
        <v>7</v>
      </c>
      <c r="B8" s="4" t="s">
        <v>318</v>
      </c>
      <c r="C8" s="4" t="s">
        <v>25</v>
      </c>
      <c r="D8" s="4" t="s">
        <v>30</v>
      </c>
      <c r="E8" s="5" t="s">
        <v>31</v>
      </c>
      <c r="F8" s="6">
        <v>10552</v>
      </c>
      <c r="G8" s="6">
        <f>F8*Kurallar!$C$10</f>
        <v>6331.2</v>
      </c>
      <c r="H8" s="6">
        <f t="shared" si="0"/>
        <v>6331.2</v>
      </c>
      <c r="I8" s="6">
        <v>1</v>
      </c>
      <c r="J8" s="4" t="s">
        <v>18</v>
      </c>
      <c r="K8" s="4" t="s">
        <v>20</v>
      </c>
      <c r="L8" s="6">
        <v>6331.2</v>
      </c>
    </row>
    <row r="9" spans="1:12" x14ac:dyDescent="0.25">
      <c r="A9" s="4">
        <v>8</v>
      </c>
      <c r="B9" s="4" t="s">
        <v>318</v>
      </c>
      <c r="C9" s="4" t="s">
        <v>25</v>
      </c>
      <c r="D9" s="4" t="s">
        <v>32</v>
      </c>
      <c r="E9" s="5" t="s">
        <v>33</v>
      </c>
      <c r="F9" s="6">
        <v>5884</v>
      </c>
      <c r="G9" s="6">
        <f>F9*Kurallar!$C$10</f>
        <v>3530.4</v>
      </c>
      <c r="H9" s="6">
        <f t="shared" si="0"/>
        <v>3530.4</v>
      </c>
      <c r="I9" s="6">
        <v>1</v>
      </c>
      <c r="J9" s="4" t="s">
        <v>18</v>
      </c>
      <c r="K9" s="4" t="s">
        <v>20</v>
      </c>
      <c r="L9" s="6">
        <v>3530.4</v>
      </c>
    </row>
    <row r="10" spans="1:12" x14ac:dyDescent="0.25">
      <c r="A10" s="4">
        <v>9</v>
      </c>
      <c r="B10" s="4" t="s">
        <v>318</v>
      </c>
      <c r="C10" s="4" t="s">
        <v>25</v>
      </c>
      <c r="D10" s="4" t="s">
        <v>34</v>
      </c>
      <c r="E10" s="5" t="s">
        <v>35</v>
      </c>
      <c r="F10" s="6">
        <v>1094</v>
      </c>
      <c r="G10" s="6">
        <f>F10*Kurallar!$C$10</f>
        <v>656.4</v>
      </c>
      <c r="H10" s="6">
        <f t="shared" si="0"/>
        <v>1969.1999999999998</v>
      </c>
      <c r="I10" s="6">
        <v>3</v>
      </c>
      <c r="J10" s="4" t="s">
        <v>18</v>
      </c>
      <c r="K10" s="4" t="s">
        <v>20</v>
      </c>
      <c r="L10" s="6">
        <v>1969.1999999999998</v>
      </c>
    </row>
    <row r="11" spans="1:12" x14ac:dyDescent="0.25">
      <c r="A11" s="4">
        <v>10</v>
      </c>
      <c r="B11" s="4" t="s">
        <v>318</v>
      </c>
      <c r="C11" s="4" t="s">
        <v>36</v>
      </c>
      <c r="D11" s="4" t="s">
        <v>37</v>
      </c>
      <c r="E11" s="5" t="s">
        <v>38</v>
      </c>
      <c r="F11" s="6">
        <v>15688</v>
      </c>
      <c r="G11" s="6">
        <f>F11*Kurallar!$C$10</f>
        <v>9412.7999999999993</v>
      </c>
      <c r="H11" s="6">
        <f t="shared" si="0"/>
        <v>9412.7999999999993</v>
      </c>
      <c r="I11" s="6">
        <v>1</v>
      </c>
      <c r="J11" s="4" t="s">
        <v>18</v>
      </c>
      <c r="K11" s="4" t="s">
        <v>20</v>
      </c>
      <c r="L11" s="6">
        <v>9412.7999999999993</v>
      </c>
    </row>
    <row r="12" spans="1:12" x14ac:dyDescent="0.25">
      <c r="A12" s="4">
        <v>11</v>
      </c>
      <c r="B12" s="4" t="s">
        <v>318</v>
      </c>
      <c r="C12" s="4" t="s">
        <v>36</v>
      </c>
      <c r="D12" s="4" t="s">
        <v>39</v>
      </c>
      <c r="E12" s="5" t="s">
        <v>40</v>
      </c>
      <c r="F12" s="6">
        <v>14942</v>
      </c>
      <c r="G12" s="6">
        <f>F12*Kurallar!$C$10</f>
        <v>8965.1999999999989</v>
      </c>
      <c r="H12" s="6">
        <f t="shared" si="0"/>
        <v>8965.1999999999989</v>
      </c>
      <c r="I12" s="6">
        <v>1</v>
      </c>
      <c r="J12" s="4" t="s">
        <v>18</v>
      </c>
      <c r="K12" s="4" t="s">
        <v>20</v>
      </c>
      <c r="L12" s="6">
        <v>8965.1999999999989</v>
      </c>
    </row>
    <row r="13" spans="1:12" x14ac:dyDescent="0.25">
      <c r="A13" s="4">
        <v>12</v>
      </c>
      <c r="B13" s="4" t="s">
        <v>318</v>
      </c>
      <c r="C13" s="4" t="s">
        <v>41</v>
      </c>
      <c r="D13" s="4" t="s">
        <v>42</v>
      </c>
      <c r="E13" s="5" t="s">
        <v>43</v>
      </c>
      <c r="F13" s="6">
        <v>56704</v>
      </c>
      <c r="G13" s="6">
        <f>F13*Kurallar!$C$10</f>
        <v>34022.400000000001</v>
      </c>
      <c r="H13" s="6">
        <f t="shared" si="0"/>
        <v>34022.400000000001</v>
      </c>
      <c r="I13" s="6">
        <v>1</v>
      </c>
      <c r="J13" s="4" t="s">
        <v>18</v>
      </c>
      <c r="K13" s="4" t="s">
        <v>20</v>
      </c>
      <c r="L13" s="6">
        <v>34022.400000000001</v>
      </c>
    </row>
    <row r="14" spans="1:12" x14ac:dyDescent="0.25">
      <c r="A14" s="4">
        <v>13</v>
      </c>
      <c r="B14" s="4" t="s">
        <v>318</v>
      </c>
      <c r="C14" s="4" t="s">
        <v>44</v>
      </c>
      <c r="D14" s="4" t="s">
        <v>45</v>
      </c>
      <c r="E14" s="5" t="s">
        <v>46</v>
      </c>
      <c r="F14" s="6">
        <v>3100</v>
      </c>
      <c r="G14" s="6">
        <f>F14*Kurallar!$C$10</f>
        <v>1860</v>
      </c>
      <c r="H14" s="6">
        <f t="shared" si="0"/>
        <v>7440</v>
      </c>
      <c r="I14" s="6">
        <v>4</v>
      </c>
      <c r="J14" s="4" t="s">
        <v>18</v>
      </c>
      <c r="K14" s="4" t="s">
        <v>20</v>
      </c>
      <c r="L14" s="6">
        <v>7440</v>
      </c>
    </row>
    <row r="15" spans="1:12" x14ac:dyDescent="0.25">
      <c r="A15" s="4">
        <v>14</v>
      </c>
      <c r="B15" s="4" t="s">
        <v>318</v>
      </c>
      <c r="C15" s="4" t="s">
        <v>44</v>
      </c>
      <c r="D15" s="4" t="s">
        <v>47</v>
      </c>
      <c r="E15" s="5" t="s">
        <v>48</v>
      </c>
      <c r="F15" s="6">
        <v>2225</v>
      </c>
      <c r="G15" s="6">
        <f>F15*Kurallar!$C$10</f>
        <v>1335</v>
      </c>
      <c r="H15" s="6">
        <f t="shared" si="0"/>
        <v>5340</v>
      </c>
      <c r="I15" s="6">
        <v>4</v>
      </c>
      <c r="J15" s="4" t="s">
        <v>18</v>
      </c>
      <c r="K15" s="4" t="s">
        <v>20</v>
      </c>
      <c r="L15" s="6">
        <v>5340</v>
      </c>
    </row>
    <row r="16" spans="1:12" x14ac:dyDescent="0.25">
      <c r="A16" s="4">
        <v>15</v>
      </c>
      <c r="B16" s="4" t="s">
        <v>318</v>
      </c>
      <c r="C16" s="4" t="s">
        <v>44</v>
      </c>
      <c r="D16" s="4" t="s">
        <v>49</v>
      </c>
      <c r="E16" s="5" t="s">
        <v>50</v>
      </c>
      <c r="F16" s="6">
        <v>750</v>
      </c>
      <c r="G16" s="6">
        <f>F16*Kurallar!$C$10</f>
        <v>450</v>
      </c>
      <c r="H16" s="6">
        <f t="shared" si="0"/>
        <v>1800</v>
      </c>
      <c r="I16" s="6">
        <v>4</v>
      </c>
      <c r="J16" s="4" t="s">
        <v>18</v>
      </c>
      <c r="K16" s="4" t="s">
        <v>20</v>
      </c>
      <c r="L16" s="6">
        <v>1800</v>
      </c>
    </row>
    <row r="17" spans="1:12" x14ac:dyDescent="0.25">
      <c r="A17" s="4">
        <v>16</v>
      </c>
      <c r="B17" s="4" t="s">
        <v>318</v>
      </c>
      <c r="C17" s="4" t="s">
        <v>44</v>
      </c>
      <c r="D17" s="4" t="s">
        <v>51</v>
      </c>
      <c r="E17" s="5" t="s">
        <v>52</v>
      </c>
      <c r="F17" s="6">
        <v>141</v>
      </c>
      <c r="G17" s="6">
        <f>F17*Kurallar!$C$10</f>
        <v>84.6</v>
      </c>
      <c r="H17" s="6">
        <f t="shared" si="0"/>
        <v>338.4</v>
      </c>
      <c r="I17" s="6">
        <v>4</v>
      </c>
      <c r="J17" s="4" t="s">
        <v>18</v>
      </c>
      <c r="K17" s="4" t="s">
        <v>20</v>
      </c>
      <c r="L17" s="6">
        <v>338.4</v>
      </c>
    </row>
    <row r="18" spans="1:12" x14ac:dyDescent="0.25">
      <c r="A18" s="4">
        <v>17</v>
      </c>
      <c r="B18" s="4" t="s">
        <v>318</v>
      </c>
      <c r="C18" s="4" t="s">
        <v>53</v>
      </c>
      <c r="D18" s="4" t="s">
        <v>54</v>
      </c>
      <c r="E18" s="5" t="s">
        <v>55</v>
      </c>
      <c r="F18" s="6">
        <v>571</v>
      </c>
      <c r="G18" s="6">
        <f>F18*Kurallar!$C$10</f>
        <v>342.59999999999997</v>
      </c>
      <c r="H18" s="6">
        <f t="shared" si="0"/>
        <v>342.59999999999997</v>
      </c>
      <c r="I18" s="6">
        <v>1</v>
      </c>
      <c r="J18" s="4" t="s">
        <v>18</v>
      </c>
      <c r="K18" s="4" t="s">
        <v>20</v>
      </c>
      <c r="L18" s="6">
        <v>342.59999999999997</v>
      </c>
    </row>
    <row r="19" spans="1:12" x14ac:dyDescent="0.25">
      <c r="A19" s="4">
        <v>18</v>
      </c>
      <c r="B19" s="4" t="s">
        <v>318</v>
      </c>
      <c r="C19" s="4" t="s">
        <v>53</v>
      </c>
      <c r="D19" s="4" t="s">
        <v>56</v>
      </c>
      <c r="E19" s="5" t="s">
        <v>57</v>
      </c>
      <c r="F19" s="6">
        <v>589</v>
      </c>
      <c r="G19" s="6">
        <f>F19*Kurallar!$C$10</f>
        <v>353.4</v>
      </c>
      <c r="H19" s="6">
        <f t="shared" si="0"/>
        <v>353.4</v>
      </c>
      <c r="I19" s="6">
        <v>1</v>
      </c>
      <c r="J19" s="4" t="s">
        <v>18</v>
      </c>
      <c r="K19" s="4" t="s">
        <v>20</v>
      </c>
      <c r="L19" s="6">
        <v>353.4</v>
      </c>
    </row>
    <row r="20" spans="1:12" x14ac:dyDescent="0.25">
      <c r="A20" s="4">
        <v>19</v>
      </c>
      <c r="B20" s="4" t="s">
        <v>318</v>
      </c>
      <c r="C20" s="4" t="s">
        <v>53</v>
      </c>
      <c r="D20" s="4" t="s">
        <v>58</v>
      </c>
      <c r="E20" s="5" t="s">
        <v>59</v>
      </c>
      <c r="F20" s="6">
        <v>571</v>
      </c>
      <c r="G20" s="6">
        <f>F20*Kurallar!$C$10</f>
        <v>342.59999999999997</v>
      </c>
      <c r="H20" s="6">
        <f t="shared" si="0"/>
        <v>342.59999999999997</v>
      </c>
      <c r="I20" s="6">
        <v>1</v>
      </c>
      <c r="J20" s="4" t="s">
        <v>18</v>
      </c>
      <c r="K20" s="4" t="s">
        <v>20</v>
      </c>
      <c r="L20" s="6">
        <v>342.59999999999997</v>
      </c>
    </row>
    <row r="21" spans="1:12" x14ac:dyDescent="0.25">
      <c r="A21" s="4">
        <v>20</v>
      </c>
      <c r="B21" s="4" t="s">
        <v>318</v>
      </c>
      <c r="C21" s="4" t="s">
        <v>60</v>
      </c>
      <c r="D21" s="4" t="s">
        <v>61</v>
      </c>
      <c r="E21" s="5" t="s">
        <v>62</v>
      </c>
      <c r="F21" s="6">
        <v>7415</v>
      </c>
      <c r="G21" s="6">
        <f>F21*Kurallar!$C$11</f>
        <v>7415</v>
      </c>
      <c r="H21" s="6">
        <f t="shared" si="0"/>
        <v>29660</v>
      </c>
      <c r="I21" s="6">
        <v>4</v>
      </c>
      <c r="J21" s="4" t="s">
        <v>63</v>
      </c>
      <c r="K21" s="21" t="s">
        <v>324</v>
      </c>
      <c r="L21" s="6">
        <v>29660</v>
      </c>
    </row>
    <row r="22" spans="1:12" x14ac:dyDescent="0.25">
      <c r="A22" s="4">
        <v>21</v>
      </c>
      <c r="B22" s="4" t="s">
        <v>318</v>
      </c>
      <c r="C22" s="4" t="s">
        <v>64</v>
      </c>
      <c r="D22" s="4" t="s">
        <v>65</v>
      </c>
      <c r="E22" s="5" t="s">
        <v>66</v>
      </c>
      <c r="F22" s="6">
        <v>825</v>
      </c>
      <c r="G22" s="6">
        <f>F22*Kurallar!$C$11</f>
        <v>825</v>
      </c>
      <c r="H22" s="6">
        <f t="shared" si="0"/>
        <v>4125</v>
      </c>
      <c r="I22" s="6">
        <v>5</v>
      </c>
      <c r="J22" s="4" t="s">
        <v>18</v>
      </c>
      <c r="K22" s="21" t="s">
        <v>324</v>
      </c>
      <c r="L22" s="6">
        <v>4125</v>
      </c>
    </row>
    <row r="23" spans="1:12" x14ac:dyDescent="0.25">
      <c r="A23" s="4">
        <v>22</v>
      </c>
      <c r="B23" s="4" t="s">
        <v>318</v>
      </c>
      <c r="C23" s="4" t="s">
        <v>64</v>
      </c>
      <c r="D23" s="4" t="s">
        <v>67</v>
      </c>
      <c r="E23" s="5" t="s">
        <v>68</v>
      </c>
      <c r="F23" s="6">
        <v>260</v>
      </c>
      <c r="G23" s="6">
        <f>F23*Kurallar!$C$11</f>
        <v>260</v>
      </c>
      <c r="H23" s="6">
        <f t="shared" si="0"/>
        <v>7800</v>
      </c>
      <c r="I23" s="6">
        <v>30</v>
      </c>
      <c r="J23" s="4" t="s">
        <v>18</v>
      </c>
      <c r="K23" s="21" t="s">
        <v>324</v>
      </c>
      <c r="L23" s="6">
        <v>7800</v>
      </c>
    </row>
    <row r="24" spans="1:12" x14ac:dyDescent="0.25">
      <c r="A24" s="4">
        <v>23</v>
      </c>
      <c r="B24" s="4" t="s">
        <v>318</v>
      </c>
      <c r="C24" s="4" t="s">
        <v>64</v>
      </c>
      <c r="D24" s="4" t="s">
        <v>69</v>
      </c>
      <c r="E24" s="5" t="s">
        <v>70</v>
      </c>
      <c r="F24" s="6">
        <v>445</v>
      </c>
      <c r="G24" s="6">
        <f>F24*Kurallar!$C$11</f>
        <v>445</v>
      </c>
      <c r="H24" s="6">
        <f t="shared" si="0"/>
        <v>11125</v>
      </c>
      <c r="I24" s="6">
        <v>25</v>
      </c>
      <c r="J24" s="4" t="s">
        <v>18</v>
      </c>
      <c r="K24" s="21" t="s">
        <v>324</v>
      </c>
      <c r="L24" s="6">
        <v>11125</v>
      </c>
    </row>
    <row r="25" spans="1:12" x14ac:dyDescent="0.25">
      <c r="A25" s="4">
        <v>24</v>
      </c>
      <c r="B25" s="4" t="s">
        <v>318</v>
      </c>
      <c r="C25" s="4" t="s">
        <v>60</v>
      </c>
      <c r="D25" s="4" t="s">
        <v>71</v>
      </c>
      <c r="E25" s="5" t="s">
        <v>72</v>
      </c>
      <c r="F25" s="6">
        <v>4610</v>
      </c>
      <c r="G25" s="6">
        <f>F25*Kurallar!$C$11</f>
        <v>4610</v>
      </c>
      <c r="H25" s="6">
        <f t="shared" si="0"/>
        <v>4610</v>
      </c>
      <c r="I25" s="6">
        <v>1</v>
      </c>
      <c r="J25" s="4" t="s">
        <v>18</v>
      </c>
      <c r="K25" s="4" t="s">
        <v>73</v>
      </c>
      <c r="L25" s="6">
        <v>4610</v>
      </c>
    </row>
    <row r="26" spans="1:12" x14ac:dyDescent="0.25">
      <c r="A26" s="4">
        <v>26</v>
      </c>
      <c r="B26" s="4" t="s">
        <v>318</v>
      </c>
      <c r="C26" s="4" t="s">
        <v>74</v>
      </c>
      <c r="D26" s="4" t="s">
        <v>75</v>
      </c>
      <c r="E26" s="5" t="s">
        <v>76</v>
      </c>
      <c r="F26" s="6">
        <v>385</v>
      </c>
      <c r="G26" s="6">
        <f>F26*Kurallar!$C$11</f>
        <v>385</v>
      </c>
      <c r="H26" s="6">
        <f t="shared" si="0"/>
        <v>770</v>
      </c>
      <c r="I26" s="6">
        <v>2</v>
      </c>
      <c r="J26" s="4" t="s">
        <v>63</v>
      </c>
      <c r="K26" s="21" t="s">
        <v>324</v>
      </c>
      <c r="L26" s="6">
        <v>770</v>
      </c>
    </row>
    <row r="27" spans="1:12" x14ac:dyDescent="0.25">
      <c r="A27" s="4">
        <v>27</v>
      </c>
      <c r="B27" s="4" t="s">
        <v>318</v>
      </c>
      <c r="C27" s="4" t="s">
        <v>77</v>
      </c>
      <c r="D27" s="4" t="s">
        <v>78</v>
      </c>
      <c r="E27" s="5" t="s">
        <v>79</v>
      </c>
      <c r="F27" s="6">
        <f>ROUND(SUM(H2:H26)*Kurallar!$C$12,0)</f>
        <v>10488</v>
      </c>
      <c r="G27" s="6">
        <f>F27</f>
        <v>10488</v>
      </c>
      <c r="H27" s="6">
        <f t="shared" si="0"/>
        <v>10.488</v>
      </c>
      <c r="I27" s="6">
        <v>1E-3</v>
      </c>
      <c r="J27" s="4" t="s">
        <v>18</v>
      </c>
      <c r="K27" s="4" t="s">
        <v>14</v>
      </c>
      <c r="L27" s="6">
        <v>10.488</v>
      </c>
    </row>
    <row r="28" spans="1:12" x14ac:dyDescent="0.25">
      <c r="A28" s="4">
        <v>28</v>
      </c>
      <c r="B28" s="4" t="s">
        <v>318</v>
      </c>
      <c r="C28" s="4" t="s">
        <v>80</v>
      </c>
      <c r="D28" s="4" t="s">
        <v>78</v>
      </c>
      <c r="E28" s="5" t="s">
        <v>81</v>
      </c>
      <c r="F28" s="7">
        <f>ROUND(I28/60,1)</f>
        <v>6.9</v>
      </c>
      <c r="G28" s="6">
        <f>Kurallar!$C$13</f>
        <v>100</v>
      </c>
      <c r="H28" s="6">
        <f t="shared" si="0"/>
        <v>41300</v>
      </c>
      <c r="I28" s="6">
        <f>ROUND((Kurallar!$C$53+Kurallar!$C$32*2+Kurallar!$C$42*1+Kurallar!$C$31*9+Kurallar!$C$30*3+Kurallar!$C$34*2+Kurallar!$C$35*1+Kurallar!$C$36*8+Kurallar!$C$41*3+Kurallar!$C$50*4+Kurallar!$C$45*60+Kurallar!$C$47*2+Kurallar!$C$48*4+Kurallar!$C$49*8)*Kurallar!$C$54,0)/3</f>
        <v>413</v>
      </c>
      <c r="J28" s="4" t="s">
        <v>82</v>
      </c>
      <c r="K28" s="21" t="s">
        <v>14</v>
      </c>
      <c r="L28" s="6">
        <v>61950</v>
      </c>
    </row>
    <row r="29" spans="1:12" x14ac:dyDescent="0.25">
      <c r="A29" s="4">
        <v>29</v>
      </c>
      <c r="B29" s="4" t="s">
        <v>83</v>
      </c>
      <c r="C29" s="4" t="s">
        <v>15</v>
      </c>
      <c r="D29" s="4" t="s">
        <v>84</v>
      </c>
      <c r="E29" s="5" t="s">
        <v>85</v>
      </c>
      <c r="F29" s="6">
        <f>Kurallar!$C$59</f>
        <v>55000</v>
      </c>
      <c r="G29" s="6">
        <f>F29*Kurallar!$C$11</f>
        <v>55000</v>
      </c>
      <c r="H29" s="6">
        <f t="shared" ref="H29:H47" si="1">G29*I29</f>
        <v>55000</v>
      </c>
      <c r="I29" s="6">
        <v>1</v>
      </c>
      <c r="J29" s="4" t="s">
        <v>18</v>
      </c>
      <c r="K29" s="21" t="s">
        <v>327</v>
      </c>
      <c r="L29" s="6">
        <v>55000</v>
      </c>
    </row>
    <row r="30" spans="1:12" x14ac:dyDescent="0.25">
      <c r="A30" s="4">
        <v>30</v>
      </c>
      <c r="B30" s="4" t="s">
        <v>83</v>
      </c>
      <c r="C30" s="4" t="s">
        <v>25</v>
      </c>
      <c r="D30" s="4" t="s">
        <v>86</v>
      </c>
      <c r="E30" s="5" t="s">
        <v>87</v>
      </c>
      <c r="F30" s="6">
        <v>5334</v>
      </c>
      <c r="G30" s="6">
        <f>F30*Kurallar!$C$10</f>
        <v>3200.4</v>
      </c>
      <c r="H30" s="6">
        <f t="shared" si="1"/>
        <v>3200.4</v>
      </c>
      <c r="I30" s="6">
        <v>1</v>
      </c>
      <c r="J30" s="4" t="s">
        <v>18</v>
      </c>
      <c r="K30" s="4" t="s">
        <v>20</v>
      </c>
      <c r="L30" s="6">
        <v>3200.4</v>
      </c>
    </row>
    <row r="31" spans="1:12" x14ac:dyDescent="0.25">
      <c r="A31" s="4">
        <v>31</v>
      </c>
      <c r="B31" s="4" t="s">
        <v>83</v>
      </c>
      <c r="C31" s="4" t="s">
        <v>25</v>
      </c>
      <c r="D31" s="4" t="s">
        <v>34</v>
      </c>
      <c r="E31" s="5" t="s">
        <v>35</v>
      </c>
      <c r="F31" s="6">
        <v>1094</v>
      </c>
      <c r="G31" s="6">
        <f>F31*Kurallar!$C$10</f>
        <v>656.4</v>
      </c>
      <c r="H31" s="6">
        <f t="shared" si="1"/>
        <v>1969.1999999999998</v>
      </c>
      <c r="I31" s="6">
        <v>3</v>
      </c>
      <c r="J31" s="4" t="s">
        <v>18</v>
      </c>
      <c r="K31" s="4" t="s">
        <v>20</v>
      </c>
      <c r="L31" s="6">
        <v>1969.1999999999998</v>
      </c>
    </row>
    <row r="32" spans="1:12" x14ac:dyDescent="0.25">
      <c r="A32" s="4">
        <v>32</v>
      </c>
      <c r="B32" s="4" t="s">
        <v>83</v>
      </c>
      <c r="C32" s="4" t="s">
        <v>36</v>
      </c>
      <c r="D32" s="4" t="s">
        <v>88</v>
      </c>
      <c r="E32" s="5" t="s">
        <v>89</v>
      </c>
      <c r="F32" s="6">
        <v>7422</v>
      </c>
      <c r="G32" s="6">
        <f>F32*Kurallar!$C$10</f>
        <v>4453.2</v>
      </c>
      <c r="H32" s="6">
        <f t="shared" si="1"/>
        <v>8906.4</v>
      </c>
      <c r="I32" s="6">
        <v>2</v>
      </c>
      <c r="J32" s="4" t="s">
        <v>18</v>
      </c>
      <c r="K32" s="4" t="s">
        <v>20</v>
      </c>
      <c r="L32" s="6">
        <v>8906.4</v>
      </c>
    </row>
    <row r="33" spans="1:12" x14ac:dyDescent="0.25">
      <c r="A33" s="4">
        <v>33</v>
      </c>
      <c r="B33" s="4" t="s">
        <v>83</v>
      </c>
      <c r="C33" s="4" t="s">
        <v>36</v>
      </c>
      <c r="D33" s="4" t="s">
        <v>90</v>
      </c>
      <c r="E33" s="5" t="s">
        <v>91</v>
      </c>
      <c r="F33" s="6">
        <v>13357</v>
      </c>
      <c r="G33" s="6">
        <f>F33*Kurallar!$C$10</f>
        <v>8014.2</v>
      </c>
      <c r="H33" s="6">
        <f t="shared" si="1"/>
        <v>16028.4</v>
      </c>
      <c r="I33" s="6">
        <v>2</v>
      </c>
      <c r="J33" s="4" t="s">
        <v>18</v>
      </c>
      <c r="K33" s="4" t="s">
        <v>20</v>
      </c>
      <c r="L33" s="6">
        <v>16028.4</v>
      </c>
    </row>
    <row r="34" spans="1:12" x14ac:dyDescent="0.25">
      <c r="A34" s="4">
        <v>34</v>
      </c>
      <c r="B34" s="4" t="s">
        <v>83</v>
      </c>
      <c r="C34" s="4" t="s">
        <v>36</v>
      </c>
      <c r="D34" s="4" t="s">
        <v>92</v>
      </c>
      <c r="E34" s="5" t="s">
        <v>93</v>
      </c>
      <c r="F34" s="6">
        <v>13357</v>
      </c>
      <c r="G34" s="6">
        <f>F34*Kurallar!$C$10</f>
        <v>8014.2</v>
      </c>
      <c r="H34" s="6">
        <f t="shared" si="1"/>
        <v>8014.2</v>
      </c>
      <c r="I34" s="6">
        <v>1</v>
      </c>
      <c r="J34" s="4" t="s">
        <v>18</v>
      </c>
      <c r="K34" s="4" t="s">
        <v>20</v>
      </c>
      <c r="L34" s="6">
        <v>8014.2</v>
      </c>
    </row>
    <row r="35" spans="1:12" x14ac:dyDescent="0.25">
      <c r="A35" s="4">
        <v>35</v>
      </c>
      <c r="B35" s="4" t="s">
        <v>83</v>
      </c>
      <c r="C35" s="4" t="s">
        <v>25</v>
      </c>
      <c r="D35" s="4" t="s">
        <v>94</v>
      </c>
      <c r="E35" s="5" t="s">
        <v>95</v>
      </c>
      <c r="F35" s="6">
        <v>897</v>
      </c>
      <c r="G35" s="6">
        <f>F35*Kurallar!$C$10</f>
        <v>538.19999999999993</v>
      </c>
      <c r="H35" s="6">
        <f t="shared" si="1"/>
        <v>2152.7999999999997</v>
      </c>
      <c r="I35" s="6">
        <v>4</v>
      </c>
      <c r="J35" s="4" t="s">
        <v>18</v>
      </c>
      <c r="K35" s="4" t="s">
        <v>20</v>
      </c>
      <c r="L35" s="6">
        <v>2152.7999999999997</v>
      </c>
    </row>
    <row r="36" spans="1:12" x14ac:dyDescent="0.25">
      <c r="A36" s="4">
        <v>36</v>
      </c>
      <c r="B36" s="4" t="s">
        <v>83</v>
      </c>
      <c r="C36" s="4" t="s">
        <v>25</v>
      </c>
      <c r="D36" s="4" t="s">
        <v>96</v>
      </c>
      <c r="E36" s="5" t="s">
        <v>97</v>
      </c>
      <c r="F36" s="6">
        <v>783</v>
      </c>
      <c r="G36" s="6">
        <f>F36*Kurallar!$C$10</f>
        <v>469.79999999999995</v>
      </c>
      <c r="H36" s="6">
        <f t="shared" si="1"/>
        <v>3288.5999999999995</v>
      </c>
      <c r="I36" s="6">
        <v>7</v>
      </c>
      <c r="J36" s="4" t="s">
        <v>18</v>
      </c>
      <c r="K36" s="4" t="s">
        <v>20</v>
      </c>
      <c r="L36" s="6">
        <v>3288.5999999999995</v>
      </c>
    </row>
    <row r="37" spans="1:12" x14ac:dyDescent="0.25">
      <c r="A37" s="4">
        <v>37</v>
      </c>
      <c r="B37" s="4" t="s">
        <v>83</v>
      </c>
      <c r="C37" s="4" t="s">
        <v>25</v>
      </c>
      <c r="D37" s="4" t="s">
        <v>98</v>
      </c>
      <c r="E37" s="5" t="s">
        <v>99</v>
      </c>
      <c r="F37" s="6">
        <v>2337</v>
      </c>
      <c r="G37" s="6">
        <f>F37*Kurallar!$C$10</f>
        <v>1402.2</v>
      </c>
      <c r="H37" s="6">
        <f t="shared" si="1"/>
        <v>2804.4</v>
      </c>
      <c r="I37" s="6">
        <v>2</v>
      </c>
      <c r="J37" s="4" t="s">
        <v>18</v>
      </c>
      <c r="K37" s="4" t="s">
        <v>20</v>
      </c>
      <c r="L37" s="6">
        <v>2804.4</v>
      </c>
    </row>
    <row r="38" spans="1:12" x14ac:dyDescent="0.25">
      <c r="A38" s="4">
        <v>38</v>
      </c>
      <c r="B38" s="4" t="s">
        <v>83</v>
      </c>
      <c r="C38" s="4" t="s">
        <v>53</v>
      </c>
      <c r="D38" s="4" t="s">
        <v>54</v>
      </c>
      <c r="E38" s="5" t="s">
        <v>55</v>
      </c>
      <c r="F38" s="6">
        <v>571</v>
      </c>
      <c r="G38" s="6">
        <f>F38*Kurallar!$C$10</f>
        <v>342.59999999999997</v>
      </c>
      <c r="H38" s="6">
        <f t="shared" si="1"/>
        <v>342.59999999999997</v>
      </c>
      <c r="I38" s="6">
        <v>1</v>
      </c>
      <c r="J38" s="4" t="s">
        <v>18</v>
      </c>
      <c r="K38" s="4" t="s">
        <v>20</v>
      </c>
      <c r="L38" s="6">
        <v>342.59999999999997</v>
      </c>
    </row>
    <row r="39" spans="1:12" x14ac:dyDescent="0.25">
      <c r="A39" s="4">
        <v>39</v>
      </c>
      <c r="B39" s="4" t="s">
        <v>83</v>
      </c>
      <c r="C39" s="4" t="s">
        <v>53</v>
      </c>
      <c r="D39" s="4" t="s">
        <v>56</v>
      </c>
      <c r="E39" s="5" t="s">
        <v>57</v>
      </c>
      <c r="F39" s="6">
        <v>589</v>
      </c>
      <c r="G39" s="6">
        <f>F39*Kurallar!$C$10</f>
        <v>353.4</v>
      </c>
      <c r="H39" s="6">
        <f t="shared" si="1"/>
        <v>353.4</v>
      </c>
      <c r="I39" s="6">
        <v>1</v>
      </c>
      <c r="J39" s="4" t="s">
        <v>18</v>
      </c>
      <c r="K39" s="4" t="s">
        <v>20</v>
      </c>
      <c r="L39" s="6">
        <v>353.4</v>
      </c>
    </row>
    <row r="40" spans="1:12" x14ac:dyDescent="0.25">
      <c r="A40" s="4">
        <v>40</v>
      </c>
      <c r="B40" s="4" t="s">
        <v>83</v>
      </c>
      <c r="C40" s="4" t="s">
        <v>53</v>
      </c>
      <c r="D40" s="4" t="s">
        <v>58</v>
      </c>
      <c r="E40" s="5" t="s">
        <v>59</v>
      </c>
      <c r="F40" s="6">
        <v>571</v>
      </c>
      <c r="G40" s="6">
        <f>F40*Kurallar!$C$10</f>
        <v>342.59999999999997</v>
      </c>
      <c r="H40" s="6">
        <f t="shared" si="1"/>
        <v>342.59999999999997</v>
      </c>
      <c r="I40" s="6">
        <v>1</v>
      </c>
      <c r="J40" s="4" t="s">
        <v>18</v>
      </c>
      <c r="K40" s="4" t="s">
        <v>20</v>
      </c>
      <c r="L40" s="6">
        <v>342.59999999999997</v>
      </c>
    </row>
    <row r="41" spans="1:12" x14ac:dyDescent="0.25">
      <c r="A41" s="4">
        <v>41</v>
      </c>
      <c r="B41" s="4" t="s">
        <v>83</v>
      </c>
      <c r="C41" s="4" t="s">
        <v>60</v>
      </c>
      <c r="D41" s="4" t="s">
        <v>100</v>
      </c>
      <c r="E41" s="5" t="s">
        <v>101</v>
      </c>
      <c r="F41" s="6">
        <v>4465</v>
      </c>
      <c r="G41" s="6">
        <f>F41*Kurallar!$C$10</f>
        <v>2679</v>
      </c>
      <c r="H41" s="6">
        <f t="shared" si="1"/>
        <v>2679</v>
      </c>
      <c r="I41" s="6">
        <v>1</v>
      </c>
      <c r="J41" s="4" t="s">
        <v>18</v>
      </c>
      <c r="K41" s="4" t="s">
        <v>20</v>
      </c>
      <c r="L41" s="6">
        <v>2679</v>
      </c>
    </row>
    <row r="42" spans="1:12" x14ac:dyDescent="0.25">
      <c r="A42" s="4">
        <v>42</v>
      </c>
      <c r="B42" s="4" t="s">
        <v>83</v>
      </c>
      <c r="C42" s="4" t="s">
        <v>64</v>
      </c>
      <c r="D42" s="4" t="s">
        <v>102</v>
      </c>
      <c r="E42" s="5" t="s">
        <v>103</v>
      </c>
      <c r="F42" s="6">
        <v>130</v>
      </c>
      <c r="G42" s="6">
        <f>F42*Kurallar!$C$11</f>
        <v>130</v>
      </c>
      <c r="H42" s="6">
        <f t="shared" si="1"/>
        <v>3900</v>
      </c>
      <c r="I42" s="6">
        <v>30</v>
      </c>
      <c r="J42" s="4" t="s">
        <v>18</v>
      </c>
      <c r="K42" s="21" t="s">
        <v>324</v>
      </c>
      <c r="L42" s="6">
        <v>5850</v>
      </c>
    </row>
    <row r="43" spans="1:12" x14ac:dyDescent="0.25">
      <c r="A43" s="4">
        <v>43</v>
      </c>
      <c r="B43" s="4" t="s">
        <v>83</v>
      </c>
      <c r="C43" s="4" t="s">
        <v>64</v>
      </c>
      <c r="D43" s="4" t="s">
        <v>69</v>
      </c>
      <c r="E43" s="5" t="s">
        <v>104</v>
      </c>
      <c r="F43" s="6">
        <v>445</v>
      </c>
      <c r="G43" s="6">
        <f>F43*Kurallar!$C$11</f>
        <v>445</v>
      </c>
      <c r="H43" s="6">
        <f t="shared" si="1"/>
        <v>2225</v>
      </c>
      <c r="I43" s="6">
        <v>5</v>
      </c>
      <c r="J43" s="4" t="s">
        <v>18</v>
      </c>
      <c r="K43" s="21" t="s">
        <v>324</v>
      </c>
      <c r="L43" s="6">
        <v>2225</v>
      </c>
    </row>
    <row r="44" spans="1:12" x14ac:dyDescent="0.25">
      <c r="A44" s="4">
        <v>44</v>
      </c>
      <c r="B44" s="4" t="s">
        <v>83</v>
      </c>
      <c r="C44" s="4" t="s">
        <v>60</v>
      </c>
      <c r="D44" s="4" t="s">
        <v>105</v>
      </c>
      <c r="E44" s="5" t="s">
        <v>106</v>
      </c>
      <c r="F44" s="6">
        <v>3610</v>
      </c>
      <c r="G44" s="6">
        <f>F44*Kurallar!$C$11</f>
        <v>3610</v>
      </c>
      <c r="H44" s="6">
        <f t="shared" si="1"/>
        <v>3610</v>
      </c>
      <c r="I44" s="6">
        <v>1</v>
      </c>
      <c r="J44" s="4" t="s">
        <v>18</v>
      </c>
      <c r="K44" s="4" t="s">
        <v>73</v>
      </c>
      <c r="L44" s="6">
        <v>7220</v>
      </c>
    </row>
    <row r="45" spans="1:12" x14ac:dyDescent="0.25">
      <c r="A45" s="4">
        <v>46</v>
      </c>
      <c r="B45" s="4" t="s">
        <v>83</v>
      </c>
      <c r="C45" s="4" t="s">
        <v>74</v>
      </c>
      <c r="D45" s="4" t="s">
        <v>107</v>
      </c>
      <c r="E45" s="5" t="s">
        <v>108</v>
      </c>
      <c r="F45" s="6">
        <v>210</v>
      </c>
      <c r="G45" s="6">
        <f>F45*Kurallar!$C$11</f>
        <v>210</v>
      </c>
      <c r="H45" s="6">
        <f t="shared" si="1"/>
        <v>1260</v>
      </c>
      <c r="I45" s="6">
        <v>6</v>
      </c>
      <c r="J45" s="4" t="s">
        <v>63</v>
      </c>
      <c r="K45" s="21" t="s">
        <v>324</v>
      </c>
      <c r="L45" s="6">
        <v>1260</v>
      </c>
    </row>
    <row r="46" spans="1:12" x14ac:dyDescent="0.25">
      <c r="A46" s="4">
        <v>47</v>
      </c>
      <c r="B46" s="4" t="s">
        <v>83</v>
      </c>
      <c r="C46" s="4" t="s">
        <v>77</v>
      </c>
      <c r="D46" s="4" t="s">
        <v>78</v>
      </c>
      <c r="E46" s="5" t="s">
        <v>79</v>
      </c>
      <c r="F46" s="6">
        <f>ROUND(SUM(H29:H45)*Kurallar!$C$12,0)</f>
        <v>3482</v>
      </c>
      <c r="G46" s="6">
        <f>F46</f>
        <v>3482</v>
      </c>
      <c r="H46" s="6">
        <f t="shared" si="1"/>
        <v>3482</v>
      </c>
      <c r="I46" s="6">
        <v>1</v>
      </c>
      <c r="J46" s="4" t="s">
        <v>18</v>
      </c>
      <c r="K46" s="4" t="s">
        <v>14</v>
      </c>
      <c r="L46" s="6">
        <v>3696</v>
      </c>
    </row>
    <row r="47" spans="1:12" x14ac:dyDescent="0.25">
      <c r="A47" s="4">
        <v>48</v>
      </c>
      <c r="B47" s="4" t="s">
        <v>83</v>
      </c>
      <c r="C47" s="4" t="s">
        <v>80</v>
      </c>
      <c r="D47" s="4" t="s">
        <v>78</v>
      </c>
      <c r="E47" s="5" t="s">
        <v>81</v>
      </c>
      <c r="F47" s="7">
        <f>ROUND(I47/60,1)</f>
        <v>4</v>
      </c>
      <c r="G47" s="6">
        <f>Kurallar!$C$13</f>
        <v>100</v>
      </c>
      <c r="H47" s="6">
        <f t="shared" si="1"/>
        <v>24166.666666666664</v>
      </c>
      <c r="I47" s="6">
        <f>ROUND((Kurallar!$C$52+Kurallar!$C$31*3+Kurallar!$C$30*14+Kurallar!$C$33*2+Kurallar!$C$34*3+Kurallar!$C$41*3+Kurallar!$C$46*1+Kurallar!$C$45*50+Kurallar!$C$47*2+Kurallar!$C$48*3+Kurallar!$C$49*6)*Kurallar!$C$54,0)/3</f>
        <v>241.66666666666666</v>
      </c>
      <c r="J47" s="4" t="s">
        <v>82</v>
      </c>
      <c r="K47" s="4" t="s">
        <v>14</v>
      </c>
      <c r="L47" s="6">
        <v>72500</v>
      </c>
    </row>
    <row r="48" spans="1:12" x14ac:dyDescent="0.25">
      <c r="A48" s="4">
        <v>49</v>
      </c>
      <c r="B48" s="4" t="s">
        <v>109</v>
      </c>
      <c r="C48" s="4" t="s">
        <v>15</v>
      </c>
      <c r="D48" s="4" t="s">
        <v>84</v>
      </c>
      <c r="E48" s="5" t="s">
        <v>110</v>
      </c>
      <c r="F48" s="6">
        <f>Kurallar!$C$60</f>
        <v>60000</v>
      </c>
      <c r="G48" s="6">
        <f>F48*Kurallar!$C$11</f>
        <v>60000</v>
      </c>
      <c r="H48" s="6">
        <f t="shared" ref="H48:H64" si="2">G48*I48</f>
        <v>60000</v>
      </c>
      <c r="I48" s="6">
        <v>1</v>
      </c>
      <c r="J48" s="4" t="s">
        <v>18</v>
      </c>
      <c r="K48" s="21" t="s">
        <v>327</v>
      </c>
      <c r="L48" s="6">
        <v>60000</v>
      </c>
    </row>
    <row r="49" spans="1:12" x14ac:dyDescent="0.25">
      <c r="A49" s="4">
        <v>50</v>
      </c>
      <c r="B49" s="4" t="s">
        <v>109</v>
      </c>
      <c r="C49" s="4" t="s">
        <v>25</v>
      </c>
      <c r="D49" s="4" t="s">
        <v>86</v>
      </c>
      <c r="E49" s="5" t="s">
        <v>87</v>
      </c>
      <c r="F49" s="6">
        <v>5334</v>
      </c>
      <c r="G49" s="6">
        <f>F49*Kurallar!$C$10</f>
        <v>3200.4</v>
      </c>
      <c r="H49" s="6">
        <f t="shared" si="2"/>
        <v>3200.4</v>
      </c>
      <c r="I49" s="6">
        <v>1</v>
      </c>
      <c r="J49" s="4" t="s">
        <v>18</v>
      </c>
      <c r="K49" s="4" t="s">
        <v>20</v>
      </c>
      <c r="L49" s="6">
        <v>3200.4</v>
      </c>
    </row>
    <row r="50" spans="1:12" x14ac:dyDescent="0.25">
      <c r="A50" s="4">
        <v>51</v>
      </c>
      <c r="B50" s="4" t="s">
        <v>109</v>
      </c>
      <c r="C50" s="4" t="s">
        <v>25</v>
      </c>
      <c r="D50" s="4" t="s">
        <v>34</v>
      </c>
      <c r="E50" s="5" t="s">
        <v>35</v>
      </c>
      <c r="F50" s="6">
        <v>1094</v>
      </c>
      <c r="G50" s="6">
        <f>F50*Kurallar!$C$10</f>
        <v>656.4</v>
      </c>
      <c r="H50" s="6">
        <f t="shared" si="2"/>
        <v>1969.1999999999998</v>
      </c>
      <c r="I50" s="6">
        <v>3</v>
      </c>
      <c r="J50" s="4" t="s">
        <v>18</v>
      </c>
      <c r="K50" s="4" t="s">
        <v>20</v>
      </c>
      <c r="L50" s="6">
        <v>1969.1999999999998</v>
      </c>
    </row>
    <row r="51" spans="1:12" x14ac:dyDescent="0.25">
      <c r="A51" s="4">
        <v>52</v>
      </c>
      <c r="B51" s="4" t="s">
        <v>109</v>
      </c>
      <c r="C51" s="4" t="s">
        <v>36</v>
      </c>
      <c r="D51" s="4" t="s">
        <v>90</v>
      </c>
      <c r="E51" s="5" t="s">
        <v>91</v>
      </c>
      <c r="F51" s="6">
        <v>13357</v>
      </c>
      <c r="G51" s="6">
        <f>F51*Kurallar!$C$10</f>
        <v>8014.2</v>
      </c>
      <c r="H51" s="6">
        <f t="shared" si="2"/>
        <v>8014.2</v>
      </c>
      <c r="I51" s="6">
        <v>1</v>
      </c>
      <c r="J51" s="4" t="s">
        <v>18</v>
      </c>
      <c r="K51" s="4" t="s">
        <v>20</v>
      </c>
      <c r="L51" s="6">
        <v>8014.2</v>
      </c>
    </row>
    <row r="52" spans="1:12" x14ac:dyDescent="0.25">
      <c r="A52" s="4">
        <v>53</v>
      </c>
      <c r="B52" s="4" t="s">
        <v>109</v>
      </c>
      <c r="C52" s="4" t="s">
        <v>36</v>
      </c>
      <c r="D52" s="4" t="s">
        <v>92</v>
      </c>
      <c r="E52" s="5" t="s">
        <v>93</v>
      </c>
      <c r="F52" s="6">
        <v>13357</v>
      </c>
      <c r="G52" s="6">
        <f>F52*Kurallar!$C$10</f>
        <v>8014.2</v>
      </c>
      <c r="H52" s="6">
        <f t="shared" si="2"/>
        <v>24042.6</v>
      </c>
      <c r="I52" s="6">
        <v>3</v>
      </c>
      <c r="J52" s="4" t="s">
        <v>18</v>
      </c>
      <c r="K52" s="4" t="s">
        <v>20</v>
      </c>
      <c r="L52" s="6">
        <v>24042.6</v>
      </c>
    </row>
    <row r="53" spans="1:12" x14ac:dyDescent="0.25">
      <c r="A53" s="4">
        <v>54</v>
      </c>
      <c r="B53" s="4" t="s">
        <v>109</v>
      </c>
      <c r="C53" s="4" t="s">
        <v>25</v>
      </c>
      <c r="D53" s="4" t="s">
        <v>94</v>
      </c>
      <c r="E53" s="5" t="s">
        <v>95</v>
      </c>
      <c r="F53" s="6">
        <v>897</v>
      </c>
      <c r="G53" s="6">
        <f>F53*Kurallar!$C$10</f>
        <v>538.19999999999993</v>
      </c>
      <c r="H53" s="6">
        <f t="shared" si="2"/>
        <v>5920.1999999999989</v>
      </c>
      <c r="I53" s="6">
        <v>11</v>
      </c>
      <c r="J53" s="4" t="s">
        <v>18</v>
      </c>
      <c r="K53" s="4" t="s">
        <v>20</v>
      </c>
      <c r="L53" s="6">
        <v>5920.1999999999989</v>
      </c>
    </row>
    <row r="54" spans="1:12" x14ac:dyDescent="0.25">
      <c r="A54" s="4">
        <v>55</v>
      </c>
      <c r="B54" s="4" t="s">
        <v>109</v>
      </c>
      <c r="C54" s="4" t="s">
        <v>25</v>
      </c>
      <c r="D54" s="4" t="s">
        <v>96</v>
      </c>
      <c r="E54" s="5" t="s">
        <v>97</v>
      </c>
      <c r="F54" s="6">
        <v>783</v>
      </c>
      <c r="G54" s="6">
        <f>F54*Kurallar!$C$10</f>
        <v>469.79999999999995</v>
      </c>
      <c r="H54" s="6">
        <f t="shared" si="2"/>
        <v>6107.4</v>
      </c>
      <c r="I54" s="6">
        <v>13</v>
      </c>
      <c r="J54" s="4" t="s">
        <v>18</v>
      </c>
      <c r="K54" s="4" t="s">
        <v>20</v>
      </c>
      <c r="L54" s="6">
        <v>6107.4</v>
      </c>
    </row>
    <row r="55" spans="1:12" x14ac:dyDescent="0.25">
      <c r="A55" s="4">
        <v>56</v>
      </c>
      <c r="B55" s="4" t="s">
        <v>109</v>
      </c>
      <c r="C55" s="4" t="s">
        <v>53</v>
      </c>
      <c r="D55" s="4" t="s">
        <v>54</v>
      </c>
      <c r="E55" s="5" t="s">
        <v>55</v>
      </c>
      <c r="F55" s="6">
        <v>571</v>
      </c>
      <c r="G55" s="6">
        <f>F55*Kurallar!$C$10</f>
        <v>342.59999999999997</v>
      </c>
      <c r="H55" s="6">
        <f t="shared" si="2"/>
        <v>342.59999999999997</v>
      </c>
      <c r="I55" s="6">
        <v>1</v>
      </c>
      <c r="J55" s="4" t="s">
        <v>18</v>
      </c>
      <c r="K55" s="4" t="s">
        <v>20</v>
      </c>
      <c r="L55" s="6">
        <v>342.59999999999997</v>
      </c>
    </row>
    <row r="56" spans="1:12" x14ac:dyDescent="0.25">
      <c r="A56" s="4">
        <v>57</v>
      </c>
      <c r="B56" s="4" t="s">
        <v>109</v>
      </c>
      <c r="C56" s="4" t="s">
        <v>53</v>
      </c>
      <c r="D56" s="4" t="s">
        <v>56</v>
      </c>
      <c r="E56" s="5" t="s">
        <v>57</v>
      </c>
      <c r="F56" s="6">
        <v>589</v>
      </c>
      <c r="G56" s="6">
        <f>F56*Kurallar!$C$10</f>
        <v>353.4</v>
      </c>
      <c r="H56" s="6">
        <f t="shared" si="2"/>
        <v>353.4</v>
      </c>
      <c r="I56" s="6">
        <v>1</v>
      </c>
      <c r="J56" s="4" t="s">
        <v>18</v>
      </c>
      <c r="K56" s="4" t="s">
        <v>20</v>
      </c>
      <c r="L56" s="6">
        <v>353.4</v>
      </c>
    </row>
    <row r="57" spans="1:12" x14ac:dyDescent="0.25">
      <c r="A57" s="4">
        <v>58</v>
      </c>
      <c r="B57" s="4" t="s">
        <v>109</v>
      </c>
      <c r="C57" s="4" t="s">
        <v>53</v>
      </c>
      <c r="D57" s="4" t="s">
        <v>58</v>
      </c>
      <c r="E57" s="5" t="s">
        <v>59</v>
      </c>
      <c r="F57" s="6">
        <v>571</v>
      </c>
      <c r="G57" s="6">
        <f>F57*Kurallar!$C$10</f>
        <v>342.59999999999997</v>
      </c>
      <c r="H57" s="6">
        <f t="shared" si="2"/>
        <v>342.59999999999997</v>
      </c>
      <c r="I57" s="6">
        <v>1</v>
      </c>
      <c r="J57" s="4" t="s">
        <v>18</v>
      </c>
      <c r="K57" s="4" t="s">
        <v>20</v>
      </c>
      <c r="L57" s="6">
        <v>342.59999999999997</v>
      </c>
    </row>
    <row r="58" spans="1:12" x14ac:dyDescent="0.25">
      <c r="A58" s="4">
        <v>59</v>
      </c>
      <c r="B58" s="4" t="s">
        <v>109</v>
      </c>
      <c r="C58" s="4" t="s">
        <v>60</v>
      </c>
      <c r="D58" s="4" t="s">
        <v>100</v>
      </c>
      <c r="E58" s="5" t="s">
        <v>101</v>
      </c>
      <c r="F58" s="6">
        <v>4465</v>
      </c>
      <c r="G58" s="6">
        <f>F58*Kurallar!$C$10</f>
        <v>2679</v>
      </c>
      <c r="H58" s="6">
        <f t="shared" si="2"/>
        <v>2679</v>
      </c>
      <c r="I58" s="6">
        <v>1</v>
      </c>
      <c r="J58" s="4" t="s">
        <v>18</v>
      </c>
      <c r="K58" s="4" t="s">
        <v>20</v>
      </c>
      <c r="L58" s="6">
        <v>5358</v>
      </c>
    </row>
    <row r="59" spans="1:12" x14ac:dyDescent="0.25">
      <c r="A59" s="4">
        <v>60</v>
      </c>
      <c r="B59" s="4" t="s">
        <v>109</v>
      </c>
      <c r="C59" s="4" t="s">
        <v>64</v>
      </c>
      <c r="D59" s="4" t="s">
        <v>102</v>
      </c>
      <c r="E59" s="5" t="s">
        <v>103</v>
      </c>
      <c r="F59" s="6">
        <v>130</v>
      </c>
      <c r="G59" s="6">
        <f>F59*Kurallar!$C$11</f>
        <v>130</v>
      </c>
      <c r="H59" s="6">
        <f t="shared" si="2"/>
        <v>3900</v>
      </c>
      <c r="I59" s="6">
        <v>30</v>
      </c>
      <c r="J59" s="4" t="s">
        <v>18</v>
      </c>
      <c r="K59" s="21" t="s">
        <v>324</v>
      </c>
      <c r="L59" s="6">
        <v>9750</v>
      </c>
    </row>
    <row r="60" spans="1:12" x14ac:dyDescent="0.25">
      <c r="A60" s="4">
        <v>61</v>
      </c>
      <c r="B60" s="4" t="s">
        <v>109</v>
      </c>
      <c r="C60" s="4" t="s">
        <v>64</v>
      </c>
      <c r="D60" s="4" t="s">
        <v>69</v>
      </c>
      <c r="E60" s="5" t="s">
        <v>104</v>
      </c>
      <c r="F60" s="6">
        <v>445</v>
      </c>
      <c r="G60" s="6">
        <f>F60*Kurallar!$C$11</f>
        <v>445</v>
      </c>
      <c r="H60" s="6">
        <f t="shared" si="2"/>
        <v>2225</v>
      </c>
      <c r="I60" s="6">
        <v>5</v>
      </c>
      <c r="J60" s="4" t="s">
        <v>18</v>
      </c>
      <c r="K60" s="21" t="s">
        <v>324</v>
      </c>
      <c r="L60" s="6">
        <v>2225</v>
      </c>
    </row>
    <row r="61" spans="1:12" x14ac:dyDescent="0.25">
      <c r="A61" s="4">
        <v>62</v>
      </c>
      <c r="B61" s="4" t="s">
        <v>109</v>
      </c>
      <c r="C61" s="4" t="s">
        <v>60</v>
      </c>
      <c r="D61" s="4" t="s">
        <v>71</v>
      </c>
      <c r="E61" s="5" t="s">
        <v>72</v>
      </c>
      <c r="F61" s="6">
        <v>4610</v>
      </c>
      <c r="G61" s="6">
        <f>F61*Kurallar!$C$11</f>
        <v>4610</v>
      </c>
      <c r="H61" s="6">
        <f t="shared" si="2"/>
        <v>4610</v>
      </c>
      <c r="I61" s="6">
        <v>1</v>
      </c>
      <c r="J61" s="4" t="s">
        <v>18</v>
      </c>
      <c r="K61" s="4" t="s">
        <v>73</v>
      </c>
      <c r="L61" s="6">
        <v>9220</v>
      </c>
    </row>
    <row r="62" spans="1:12" x14ac:dyDescent="0.25">
      <c r="A62" s="4">
        <v>64</v>
      </c>
      <c r="B62" s="4" t="s">
        <v>109</v>
      </c>
      <c r="C62" s="4" t="s">
        <v>74</v>
      </c>
      <c r="D62" s="4" t="s">
        <v>107</v>
      </c>
      <c r="E62" s="5" t="s">
        <v>108</v>
      </c>
      <c r="F62" s="6">
        <v>210</v>
      </c>
      <c r="G62" s="6">
        <f>F62*Kurallar!$C$11</f>
        <v>210</v>
      </c>
      <c r="H62" s="6">
        <f t="shared" si="2"/>
        <v>1680</v>
      </c>
      <c r="I62" s="6">
        <v>8</v>
      </c>
      <c r="J62" s="4" t="s">
        <v>63</v>
      </c>
      <c r="K62" s="21" t="s">
        <v>324</v>
      </c>
      <c r="L62" s="6">
        <v>1680</v>
      </c>
    </row>
    <row r="63" spans="1:12" x14ac:dyDescent="0.25">
      <c r="A63" s="4">
        <v>65</v>
      </c>
      <c r="B63" s="4" t="s">
        <v>109</v>
      </c>
      <c r="C63" s="4" t="s">
        <v>77</v>
      </c>
      <c r="D63" s="4" t="s">
        <v>78</v>
      </c>
      <c r="E63" s="5" t="s">
        <v>79</v>
      </c>
      <c r="F63" s="6">
        <f>ROUND(SUM(H48:H62)*Kurallar!$C$12,0)</f>
        <v>3762</v>
      </c>
      <c r="G63" s="6">
        <f>F63</f>
        <v>3762</v>
      </c>
      <c r="H63" s="6">
        <f t="shared" si="2"/>
        <v>3762</v>
      </c>
      <c r="I63" s="6">
        <v>1</v>
      </c>
      <c r="J63" s="4" t="s">
        <v>18</v>
      </c>
      <c r="K63" s="4" t="s">
        <v>14</v>
      </c>
      <c r="L63" s="6">
        <v>4218</v>
      </c>
    </row>
    <row r="64" spans="1:12" x14ac:dyDescent="0.25">
      <c r="A64" s="4">
        <v>66</v>
      </c>
      <c r="B64" s="4" t="s">
        <v>109</v>
      </c>
      <c r="C64" s="4" t="s">
        <v>80</v>
      </c>
      <c r="D64" s="4" t="s">
        <v>78</v>
      </c>
      <c r="E64" s="5" t="s">
        <v>81</v>
      </c>
      <c r="F64" s="7">
        <f>ROUND(I64/60,1)</f>
        <v>5.5</v>
      </c>
      <c r="G64" s="6">
        <f>Kurallar!$C$13</f>
        <v>100</v>
      </c>
      <c r="H64" s="6">
        <f t="shared" si="2"/>
        <v>32933.333333333328</v>
      </c>
      <c r="I64" s="6">
        <f>ROUND((Kurallar!$C$52+Kurallar!$C$31*1+Kurallar!$C$30*27+Kurallar!$C$34*4+Kurallar!$C$41*3+Kurallar!$C$46*2+Kurallar!$C$45*80+Kurallar!$C$47*2+Kurallar!$C$48*4+Kurallar!$C$49*8)*Kurallar!$C$54,0)/3</f>
        <v>329.33333333333331</v>
      </c>
      <c r="J64" s="4" t="s">
        <v>82</v>
      </c>
      <c r="K64" s="4" t="s">
        <v>14</v>
      </c>
      <c r="L64" s="6">
        <v>98800</v>
      </c>
    </row>
    <row r="65" spans="1:12" x14ac:dyDescent="0.25">
      <c r="A65" s="4">
        <v>67</v>
      </c>
      <c r="B65" s="4" t="s">
        <v>111</v>
      </c>
      <c r="C65" s="4" t="s">
        <v>15</v>
      </c>
      <c r="D65" s="4" t="s">
        <v>84</v>
      </c>
      <c r="E65" s="5" t="s">
        <v>112</v>
      </c>
      <c r="F65" s="6">
        <f>Kurallar!$C$61</f>
        <v>95000</v>
      </c>
      <c r="G65" s="6">
        <f>F65*Kurallar!$C$11</f>
        <v>95000</v>
      </c>
      <c r="H65" s="6">
        <f t="shared" ref="H65:H88" si="3">G65*I65</f>
        <v>95000</v>
      </c>
      <c r="I65" s="6">
        <v>1</v>
      </c>
      <c r="J65" s="4" t="s">
        <v>18</v>
      </c>
      <c r="K65" s="21" t="s">
        <v>327</v>
      </c>
      <c r="L65" s="6">
        <v>95000</v>
      </c>
    </row>
    <row r="66" spans="1:12" x14ac:dyDescent="0.25">
      <c r="A66" s="4">
        <v>68</v>
      </c>
      <c r="B66" s="4" t="s">
        <v>111</v>
      </c>
      <c r="C66" s="4" t="s">
        <v>19</v>
      </c>
      <c r="D66" s="4" t="s">
        <v>113</v>
      </c>
      <c r="E66" s="5" t="s">
        <v>114</v>
      </c>
      <c r="F66" s="6">
        <v>19418</v>
      </c>
      <c r="G66" s="6">
        <f>F66*Kurallar!$C$10</f>
        <v>11650.8</v>
      </c>
      <c r="H66" s="6">
        <f t="shared" si="3"/>
        <v>11650.8</v>
      </c>
      <c r="I66" s="6">
        <v>1</v>
      </c>
      <c r="J66" s="4" t="s">
        <v>18</v>
      </c>
      <c r="K66" s="4" t="s">
        <v>20</v>
      </c>
      <c r="L66" s="6">
        <v>11650.8</v>
      </c>
    </row>
    <row r="67" spans="1:12" x14ac:dyDescent="0.25">
      <c r="A67" s="4">
        <v>69</v>
      </c>
      <c r="B67" s="4" t="s">
        <v>111</v>
      </c>
      <c r="C67" s="4" t="s">
        <v>25</v>
      </c>
      <c r="D67" s="4" t="s">
        <v>34</v>
      </c>
      <c r="E67" s="5" t="s">
        <v>35</v>
      </c>
      <c r="F67" s="6">
        <v>1094</v>
      </c>
      <c r="G67" s="6">
        <f>F67*Kurallar!$C$10</f>
        <v>656.4</v>
      </c>
      <c r="H67" s="6">
        <f t="shared" si="3"/>
        <v>1969.1999999999998</v>
      </c>
      <c r="I67" s="6">
        <v>3</v>
      </c>
      <c r="J67" s="4" t="s">
        <v>18</v>
      </c>
      <c r="K67" s="4" t="s">
        <v>20</v>
      </c>
      <c r="L67" s="6">
        <v>1969.1999999999998</v>
      </c>
    </row>
    <row r="68" spans="1:12" x14ac:dyDescent="0.25">
      <c r="A68" s="4">
        <v>70</v>
      </c>
      <c r="B68" s="4" t="s">
        <v>111</v>
      </c>
      <c r="C68" s="4" t="s">
        <v>36</v>
      </c>
      <c r="D68" s="4" t="s">
        <v>88</v>
      </c>
      <c r="E68" s="5" t="s">
        <v>89</v>
      </c>
      <c r="F68" s="6">
        <v>7422</v>
      </c>
      <c r="G68" s="6">
        <f>F68*Kurallar!$C$10</f>
        <v>4453.2</v>
      </c>
      <c r="H68" s="6">
        <f t="shared" si="3"/>
        <v>4453.2</v>
      </c>
      <c r="I68" s="6">
        <v>1</v>
      </c>
      <c r="J68" s="4" t="s">
        <v>18</v>
      </c>
      <c r="K68" s="4" t="s">
        <v>20</v>
      </c>
      <c r="L68" s="6">
        <v>4453.2</v>
      </c>
    </row>
    <row r="69" spans="1:12" x14ac:dyDescent="0.25">
      <c r="A69" s="4">
        <v>71</v>
      </c>
      <c r="B69" s="4" t="s">
        <v>111</v>
      </c>
      <c r="C69" s="4" t="s">
        <v>36</v>
      </c>
      <c r="D69" s="4" t="s">
        <v>90</v>
      </c>
      <c r="E69" s="5" t="s">
        <v>91</v>
      </c>
      <c r="F69" s="6">
        <v>13357</v>
      </c>
      <c r="G69" s="6">
        <f>F69*Kurallar!$C$10</f>
        <v>8014.2</v>
      </c>
      <c r="H69" s="6">
        <f t="shared" si="3"/>
        <v>40071</v>
      </c>
      <c r="I69" s="6">
        <v>5</v>
      </c>
      <c r="J69" s="4" t="s">
        <v>18</v>
      </c>
      <c r="K69" s="4" t="s">
        <v>20</v>
      </c>
      <c r="L69" s="6">
        <v>40071</v>
      </c>
    </row>
    <row r="70" spans="1:12" x14ac:dyDescent="0.25">
      <c r="A70" s="4">
        <v>72</v>
      </c>
      <c r="B70" s="4" t="s">
        <v>111</v>
      </c>
      <c r="C70" s="4" t="s">
        <v>36</v>
      </c>
      <c r="D70" s="4" t="s">
        <v>92</v>
      </c>
      <c r="E70" s="5" t="s">
        <v>93</v>
      </c>
      <c r="F70" s="6">
        <v>13357</v>
      </c>
      <c r="G70" s="6">
        <f>F70*Kurallar!$C$10</f>
        <v>8014.2</v>
      </c>
      <c r="H70" s="6">
        <f t="shared" si="3"/>
        <v>32056.799999999999</v>
      </c>
      <c r="I70" s="6">
        <v>4</v>
      </c>
      <c r="J70" s="4" t="s">
        <v>18</v>
      </c>
      <c r="K70" s="4" t="s">
        <v>20</v>
      </c>
      <c r="L70" s="6">
        <v>32056.799999999999</v>
      </c>
    </row>
    <row r="71" spans="1:12" x14ac:dyDescent="0.25">
      <c r="A71" s="4">
        <v>73</v>
      </c>
      <c r="B71" s="4" t="s">
        <v>111</v>
      </c>
      <c r="C71" s="4" t="s">
        <v>25</v>
      </c>
      <c r="D71" s="4" t="s">
        <v>94</v>
      </c>
      <c r="E71" s="5" t="s">
        <v>95</v>
      </c>
      <c r="F71" s="6">
        <v>897</v>
      </c>
      <c r="G71" s="6">
        <f>F71*Kurallar!$C$10</f>
        <v>538.19999999999993</v>
      </c>
      <c r="H71" s="6">
        <f t="shared" si="3"/>
        <v>5920.1999999999989</v>
      </c>
      <c r="I71" s="6">
        <v>11</v>
      </c>
      <c r="J71" s="4" t="s">
        <v>18</v>
      </c>
      <c r="K71" s="4" t="s">
        <v>20</v>
      </c>
      <c r="L71" s="6">
        <v>5920.1999999999989</v>
      </c>
    </row>
    <row r="72" spans="1:12" x14ac:dyDescent="0.25">
      <c r="A72" s="4">
        <v>74</v>
      </c>
      <c r="B72" s="4" t="s">
        <v>111</v>
      </c>
      <c r="C72" s="4" t="s">
        <v>25</v>
      </c>
      <c r="D72" s="4" t="s">
        <v>96</v>
      </c>
      <c r="E72" s="5" t="s">
        <v>97</v>
      </c>
      <c r="F72" s="6">
        <v>783</v>
      </c>
      <c r="G72" s="6">
        <f>F72*Kurallar!$C$10</f>
        <v>469.79999999999995</v>
      </c>
      <c r="H72" s="6">
        <f t="shared" si="3"/>
        <v>3288.5999999999995</v>
      </c>
      <c r="I72" s="6">
        <v>7</v>
      </c>
      <c r="J72" s="4" t="s">
        <v>18</v>
      </c>
      <c r="K72" s="4" t="s">
        <v>20</v>
      </c>
      <c r="L72" s="6">
        <v>3288.5999999999995</v>
      </c>
    </row>
    <row r="73" spans="1:12" x14ac:dyDescent="0.25">
      <c r="A73" s="4">
        <v>75</v>
      </c>
      <c r="B73" s="4" t="s">
        <v>111</v>
      </c>
      <c r="C73" s="4" t="s">
        <v>25</v>
      </c>
      <c r="D73" s="4" t="s">
        <v>115</v>
      </c>
      <c r="E73" s="5" t="s">
        <v>116</v>
      </c>
      <c r="F73" s="6">
        <v>800</v>
      </c>
      <c r="G73" s="6">
        <f>F73*Kurallar!$C$10</f>
        <v>480</v>
      </c>
      <c r="H73" s="6">
        <f t="shared" si="3"/>
        <v>960</v>
      </c>
      <c r="I73" s="6">
        <v>2</v>
      </c>
      <c r="J73" s="4" t="s">
        <v>18</v>
      </c>
      <c r="K73" s="4" t="s">
        <v>20</v>
      </c>
      <c r="L73" s="6">
        <v>960</v>
      </c>
    </row>
    <row r="74" spans="1:12" x14ac:dyDescent="0.25">
      <c r="A74" s="4">
        <v>76</v>
      </c>
      <c r="B74" s="4" t="s">
        <v>111</v>
      </c>
      <c r="C74" s="4" t="s">
        <v>25</v>
      </c>
      <c r="D74" s="4" t="s">
        <v>98</v>
      </c>
      <c r="E74" s="5" t="s">
        <v>99</v>
      </c>
      <c r="F74" s="6">
        <v>2337</v>
      </c>
      <c r="G74" s="6">
        <f>F74*Kurallar!$C$10</f>
        <v>1402.2</v>
      </c>
      <c r="H74" s="6">
        <f t="shared" si="3"/>
        <v>7011</v>
      </c>
      <c r="I74" s="6">
        <v>5</v>
      </c>
      <c r="J74" s="4" t="s">
        <v>18</v>
      </c>
      <c r="K74" s="4" t="s">
        <v>20</v>
      </c>
      <c r="L74" s="6">
        <v>7011</v>
      </c>
    </row>
    <row r="75" spans="1:12" x14ac:dyDescent="0.25">
      <c r="A75" s="4">
        <v>77</v>
      </c>
      <c r="B75" s="4" t="s">
        <v>111</v>
      </c>
      <c r="C75" s="4" t="s">
        <v>25</v>
      </c>
      <c r="D75" s="4" t="s">
        <v>117</v>
      </c>
      <c r="E75" s="5" t="s">
        <v>118</v>
      </c>
      <c r="F75" s="6">
        <v>2606</v>
      </c>
      <c r="G75" s="6">
        <f>F75*Kurallar!$C$10</f>
        <v>1563.6</v>
      </c>
      <c r="H75" s="6">
        <f t="shared" si="3"/>
        <v>1563.6</v>
      </c>
      <c r="I75" s="6">
        <v>1</v>
      </c>
      <c r="J75" s="4" t="s">
        <v>18</v>
      </c>
      <c r="K75" s="4" t="s">
        <v>20</v>
      </c>
      <c r="L75" s="6">
        <v>1563.6</v>
      </c>
    </row>
    <row r="76" spans="1:12" x14ac:dyDescent="0.25">
      <c r="A76" s="4">
        <v>78</v>
      </c>
      <c r="B76" s="4" t="s">
        <v>111</v>
      </c>
      <c r="C76" s="4" t="s">
        <v>25</v>
      </c>
      <c r="D76" s="4" t="s">
        <v>119</v>
      </c>
      <c r="E76" s="5" t="s">
        <v>120</v>
      </c>
      <c r="F76" s="6">
        <v>2807</v>
      </c>
      <c r="G76" s="6">
        <f>F76*Kurallar!$C$10</f>
        <v>1684.2</v>
      </c>
      <c r="H76" s="6">
        <f t="shared" si="3"/>
        <v>1684.2</v>
      </c>
      <c r="I76" s="6">
        <v>1</v>
      </c>
      <c r="J76" s="4" t="s">
        <v>18</v>
      </c>
      <c r="K76" s="4" t="s">
        <v>20</v>
      </c>
      <c r="L76" s="6">
        <v>1684.2</v>
      </c>
    </row>
    <row r="77" spans="1:12" x14ac:dyDescent="0.25">
      <c r="A77" s="4">
        <v>79</v>
      </c>
      <c r="B77" s="4" t="s">
        <v>111</v>
      </c>
      <c r="C77" s="4" t="s">
        <v>121</v>
      </c>
      <c r="D77" s="4" t="s">
        <v>122</v>
      </c>
      <c r="E77" s="5" t="s">
        <v>123</v>
      </c>
      <c r="F77" s="6">
        <v>138858</v>
      </c>
      <c r="G77" s="6">
        <f>F77*Kurallar!$C$10</f>
        <v>83314.8</v>
      </c>
      <c r="H77" s="6">
        <f t="shared" si="3"/>
        <v>83314.8</v>
      </c>
      <c r="I77" s="6">
        <v>1</v>
      </c>
      <c r="J77" s="4" t="s">
        <v>18</v>
      </c>
      <c r="K77" s="4" t="s">
        <v>20</v>
      </c>
      <c r="L77" s="6">
        <v>83314.8</v>
      </c>
    </row>
    <row r="78" spans="1:12" x14ac:dyDescent="0.25">
      <c r="A78" s="4">
        <v>80</v>
      </c>
      <c r="B78" s="4" t="s">
        <v>111</v>
      </c>
      <c r="C78" s="4" t="s">
        <v>53</v>
      </c>
      <c r="D78" s="4" t="s">
        <v>54</v>
      </c>
      <c r="E78" s="5" t="s">
        <v>55</v>
      </c>
      <c r="F78" s="6">
        <v>571</v>
      </c>
      <c r="G78" s="6">
        <f>F78*Kurallar!$C$10</f>
        <v>342.59999999999997</v>
      </c>
      <c r="H78" s="6">
        <f t="shared" si="3"/>
        <v>342.59999999999997</v>
      </c>
      <c r="I78" s="6">
        <v>1</v>
      </c>
      <c r="J78" s="4" t="s">
        <v>18</v>
      </c>
      <c r="K78" s="4" t="s">
        <v>20</v>
      </c>
      <c r="L78" s="6">
        <v>342.59999999999997</v>
      </c>
    </row>
    <row r="79" spans="1:12" x14ac:dyDescent="0.25">
      <c r="A79" s="4">
        <v>81</v>
      </c>
      <c r="B79" s="4" t="s">
        <v>111</v>
      </c>
      <c r="C79" s="4" t="s">
        <v>53</v>
      </c>
      <c r="D79" s="4" t="s">
        <v>56</v>
      </c>
      <c r="E79" s="5" t="s">
        <v>57</v>
      </c>
      <c r="F79" s="6">
        <v>589</v>
      </c>
      <c r="G79" s="6">
        <f>F79*Kurallar!$C$10</f>
        <v>353.4</v>
      </c>
      <c r="H79" s="6">
        <f t="shared" si="3"/>
        <v>353.4</v>
      </c>
      <c r="I79" s="6">
        <v>1</v>
      </c>
      <c r="J79" s="4" t="s">
        <v>18</v>
      </c>
      <c r="K79" s="4" t="s">
        <v>20</v>
      </c>
      <c r="L79" s="6">
        <v>353.4</v>
      </c>
    </row>
    <row r="80" spans="1:12" x14ac:dyDescent="0.25">
      <c r="A80" s="4">
        <v>82</v>
      </c>
      <c r="B80" s="4" t="s">
        <v>111</v>
      </c>
      <c r="C80" s="4" t="s">
        <v>53</v>
      </c>
      <c r="D80" s="4" t="s">
        <v>58</v>
      </c>
      <c r="E80" s="5" t="s">
        <v>59</v>
      </c>
      <c r="F80" s="6">
        <v>571</v>
      </c>
      <c r="G80" s="6">
        <f>F80*Kurallar!$C$10</f>
        <v>342.59999999999997</v>
      </c>
      <c r="H80" s="6">
        <f t="shared" si="3"/>
        <v>342.59999999999997</v>
      </c>
      <c r="I80" s="6">
        <v>1</v>
      </c>
      <c r="J80" s="4" t="s">
        <v>18</v>
      </c>
      <c r="K80" s="4" t="s">
        <v>20</v>
      </c>
      <c r="L80" s="6">
        <v>342.59999999999997</v>
      </c>
    </row>
    <row r="81" spans="1:12" x14ac:dyDescent="0.25">
      <c r="A81" s="4">
        <v>83</v>
      </c>
      <c r="B81" s="4" t="s">
        <v>111</v>
      </c>
      <c r="C81" s="4" t="s">
        <v>60</v>
      </c>
      <c r="D81" s="4" t="s">
        <v>100</v>
      </c>
      <c r="E81" s="5" t="s">
        <v>101</v>
      </c>
      <c r="F81" s="6">
        <v>4465</v>
      </c>
      <c r="G81" s="6">
        <f>F81*Kurallar!$C$10</f>
        <v>2679</v>
      </c>
      <c r="H81" s="6">
        <f t="shared" si="3"/>
        <v>5358</v>
      </c>
      <c r="I81" s="6">
        <v>2</v>
      </c>
      <c r="J81" s="4" t="s">
        <v>18</v>
      </c>
      <c r="K81" s="4" t="s">
        <v>20</v>
      </c>
      <c r="L81" s="6">
        <v>5358</v>
      </c>
    </row>
    <row r="82" spans="1:12" x14ac:dyDescent="0.25">
      <c r="A82" s="4">
        <v>84</v>
      </c>
      <c r="B82" s="4" t="s">
        <v>111</v>
      </c>
      <c r="C82" s="4" t="s">
        <v>64</v>
      </c>
      <c r="D82" s="4" t="s">
        <v>102</v>
      </c>
      <c r="E82" s="5" t="s">
        <v>103</v>
      </c>
      <c r="F82" s="6">
        <v>130</v>
      </c>
      <c r="G82" s="6">
        <f>F82*Kurallar!$C$11</f>
        <v>130</v>
      </c>
      <c r="H82" s="6">
        <f t="shared" si="3"/>
        <v>3900</v>
      </c>
      <c r="I82" s="6">
        <v>30</v>
      </c>
      <c r="J82" s="4" t="s">
        <v>18</v>
      </c>
      <c r="K82" s="21" t="s">
        <v>324</v>
      </c>
      <c r="L82" s="6">
        <v>7800</v>
      </c>
    </row>
    <row r="83" spans="1:12" x14ac:dyDescent="0.25">
      <c r="A83" s="4">
        <v>85</v>
      </c>
      <c r="B83" s="4" t="s">
        <v>111</v>
      </c>
      <c r="C83" s="4" t="s">
        <v>64</v>
      </c>
      <c r="D83" s="4" t="s">
        <v>69</v>
      </c>
      <c r="E83" s="5" t="s">
        <v>70</v>
      </c>
      <c r="F83" s="6">
        <v>445</v>
      </c>
      <c r="G83" s="6">
        <f>F83*Kurallar!$C$11</f>
        <v>445</v>
      </c>
      <c r="H83" s="6">
        <f t="shared" si="3"/>
        <v>8900</v>
      </c>
      <c r="I83" s="6">
        <v>20</v>
      </c>
      <c r="J83" s="4" t="s">
        <v>18</v>
      </c>
      <c r="K83" s="21" t="s">
        <v>324</v>
      </c>
      <c r="L83" s="6">
        <v>8900</v>
      </c>
    </row>
    <row r="84" spans="1:12" x14ac:dyDescent="0.25">
      <c r="A84" s="4">
        <v>86</v>
      </c>
      <c r="B84" s="4" t="s">
        <v>111</v>
      </c>
      <c r="C84" s="4" t="s">
        <v>64</v>
      </c>
      <c r="D84" s="4" t="s">
        <v>65</v>
      </c>
      <c r="E84" s="5" t="s">
        <v>124</v>
      </c>
      <c r="F84" s="6">
        <v>825</v>
      </c>
      <c r="G84" s="6">
        <f>F84*Kurallar!$C$11</f>
        <v>825</v>
      </c>
      <c r="H84" s="6">
        <f t="shared" si="3"/>
        <v>4125</v>
      </c>
      <c r="I84" s="6">
        <v>5</v>
      </c>
      <c r="J84" s="4" t="s">
        <v>18</v>
      </c>
      <c r="K84" s="21" t="s">
        <v>324</v>
      </c>
      <c r="L84" s="6">
        <v>4125</v>
      </c>
    </row>
    <row r="85" spans="1:12" x14ac:dyDescent="0.25">
      <c r="A85" s="4">
        <v>87</v>
      </c>
      <c r="B85" s="4" t="s">
        <v>111</v>
      </c>
      <c r="C85" s="4" t="s">
        <v>60</v>
      </c>
      <c r="D85" s="4" t="s">
        <v>71</v>
      </c>
      <c r="E85" s="5" t="s">
        <v>72</v>
      </c>
      <c r="F85" s="6">
        <v>4610</v>
      </c>
      <c r="G85" s="6">
        <f>F85*Kurallar!$C$11</f>
        <v>4610</v>
      </c>
      <c r="H85" s="6">
        <f t="shared" si="3"/>
        <v>4610</v>
      </c>
      <c r="I85" s="6">
        <v>1</v>
      </c>
      <c r="J85" s="4" t="s">
        <v>18</v>
      </c>
      <c r="K85" s="4" t="s">
        <v>73</v>
      </c>
      <c r="L85" s="6">
        <v>13830</v>
      </c>
    </row>
    <row r="86" spans="1:12" x14ac:dyDescent="0.25">
      <c r="A86" s="4">
        <v>89</v>
      </c>
      <c r="B86" s="4" t="s">
        <v>111</v>
      </c>
      <c r="C86" s="4" t="s">
        <v>74</v>
      </c>
      <c r="D86" s="4" t="s">
        <v>107</v>
      </c>
      <c r="E86" s="5" t="s">
        <v>108</v>
      </c>
      <c r="F86" s="6">
        <v>210</v>
      </c>
      <c r="G86" s="6">
        <f>F86*Kurallar!$C$11</f>
        <v>210</v>
      </c>
      <c r="H86" s="6">
        <f t="shared" si="3"/>
        <v>2100</v>
      </c>
      <c r="I86" s="6">
        <v>10</v>
      </c>
      <c r="J86" s="4" t="s">
        <v>63</v>
      </c>
      <c r="K86" s="21" t="s">
        <v>324</v>
      </c>
      <c r="L86" s="6">
        <v>2100</v>
      </c>
    </row>
    <row r="87" spans="1:12" x14ac:dyDescent="0.25">
      <c r="A87" s="4">
        <v>90</v>
      </c>
      <c r="B87" s="4" t="s">
        <v>111</v>
      </c>
      <c r="C87" s="4" t="s">
        <v>77</v>
      </c>
      <c r="D87" s="4" t="s">
        <v>78</v>
      </c>
      <c r="E87" s="5" t="s">
        <v>79</v>
      </c>
      <c r="F87" s="6">
        <f>ROUND(SUM(H65:H86)*Kurallar!$C$12,0)</f>
        <v>9569</v>
      </c>
      <c r="G87" s="6">
        <f>F87</f>
        <v>9569</v>
      </c>
      <c r="H87" s="6">
        <f t="shared" si="3"/>
        <v>9569</v>
      </c>
      <c r="I87" s="6">
        <v>1</v>
      </c>
      <c r="J87" s="4" t="s">
        <v>18</v>
      </c>
      <c r="K87" s="4" t="s">
        <v>14</v>
      </c>
      <c r="L87" s="6">
        <v>10057</v>
      </c>
    </row>
    <row r="88" spans="1:12" x14ac:dyDescent="0.25">
      <c r="A88" s="4">
        <v>91</v>
      </c>
      <c r="B88" s="4" t="s">
        <v>111</v>
      </c>
      <c r="C88" s="4" t="s">
        <v>80</v>
      </c>
      <c r="D88" s="4" t="s">
        <v>78</v>
      </c>
      <c r="E88" s="5" t="s">
        <v>81</v>
      </c>
      <c r="F88" s="7">
        <f>ROUND(I88/60,1)</f>
        <v>7.7</v>
      </c>
      <c r="G88" s="6">
        <f>Kurallar!$C$13</f>
        <v>100</v>
      </c>
      <c r="H88" s="6">
        <f t="shared" si="3"/>
        <v>46233.333333333328</v>
      </c>
      <c r="I88" s="6">
        <f>ROUND((Kurallar!$C$52+Kurallar!$C$32*1+Kurallar!$C$30*23+Kurallar!$C$33*1+Kurallar!$C$34*9+Kurallar!$C$31*7+Kurallar!$C$44*1+Kurallar!$C$41*3+Kurallar!$C$46*2+Kurallar!$C$45*85+Kurallar!$C$47*3+Kurallar!$C$48*6+Kurallar!$C$49*10)*Kurallar!$C$54,0)/3</f>
        <v>462.33333333333331</v>
      </c>
      <c r="J88" s="4" t="s">
        <v>82</v>
      </c>
      <c r="K88" s="4" t="s">
        <v>14</v>
      </c>
      <c r="L88" s="6">
        <v>138700</v>
      </c>
    </row>
    <row r="89" spans="1:12" x14ac:dyDescent="0.25">
      <c r="A89" s="4">
        <v>92</v>
      </c>
      <c r="B89" s="4" t="s">
        <v>125</v>
      </c>
      <c r="C89" s="4" t="s">
        <v>15</v>
      </c>
      <c r="D89" s="4" t="s">
        <v>84</v>
      </c>
      <c r="E89" s="5" t="s">
        <v>126</v>
      </c>
      <c r="F89" s="6">
        <f>Kurallar!$C$62</f>
        <v>100000</v>
      </c>
      <c r="G89" s="6">
        <f>F89*Kurallar!$C$11</f>
        <v>100000</v>
      </c>
      <c r="H89" s="6">
        <f t="shared" ref="H89:H112" si="4">G89*I89</f>
        <v>100000</v>
      </c>
      <c r="I89" s="6">
        <v>1</v>
      </c>
      <c r="J89" s="4" t="s">
        <v>18</v>
      </c>
      <c r="K89" s="21" t="s">
        <v>327</v>
      </c>
      <c r="L89" s="6">
        <v>100000</v>
      </c>
    </row>
    <row r="90" spans="1:12" x14ac:dyDescent="0.25">
      <c r="A90" s="4">
        <v>93</v>
      </c>
      <c r="B90" s="4" t="s">
        <v>125</v>
      </c>
      <c r="C90" s="4" t="s">
        <v>25</v>
      </c>
      <c r="D90" s="4" t="s">
        <v>127</v>
      </c>
      <c r="E90" s="5" t="s">
        <v>128</v>
      </c>
      <c r="F90" s="6">
        <v>6060</v>
      </c>
      <c r="G90" s="6">
        <f>F90*Kurallar!$C$10</f>
        <v>3636</v>
      </c>
      <c r="H90" s="6">
        <f t="shared" si="4"/>
        <v>3636</v>
      </c>
      <c r="I90" s="6">
        <v>1</v>
      </c>
      <c r="J90" s="4" t="s">
        <v>18</v>
      </c>
      <c r="K90" s="4" t="s">
        <v>20</v>
      </c>
      <c r="L90" s="6">
        <v>3636</v>
      </c>
    </row>
    <row r="91" spans="1:12" x14ac:dyDescent="0.25">
      <c r="A91" s="4">
        <v>94</v>
      </c>
      <c r="B91" s="4" t="s">
        <v>125</v>
      </c>
      <c r="C91" s="4" t="s">
        <v>25</v>
      </c>
      <c r="D91" s="4" t="s">
        <v>34</v>
      </c>
      <c r="E91" s="5" t="s">
        <v>35</v>
      </c>
      <c r="F91" s="6">
        <v>1094</v>
      </c>
      <c r="G91" s="6">
        <f>F91*Kurallar!$C$10</f>
        <v>656.4</v>
      </c>
      <c r="H91" s="6">
        <f t="shared" si="4"/>
        <v>1969.1999999999998</v>
      </c>
      <c r="I91" s="6">
        <v>3</v>
      </c>
      <c r="J91" s="4" t="s">
        <v>18</v>
      </c>
      <c r="K91" s="4" t="s">
        <v>20</v>
      </c>
      <c r="L91" s="6">
        <v>1969.1999999999998</v>
      </c>
    </row>
    <row r="92" spans="1:12" x14ac:dyDescent="0.25">
      <c r="A92" s="4">
        <v>95</v>
      </c>
      <c r="B92" s="4" t="s">
        <v>125</v>
      </c>
      <c r="C92" s="4" t="s">
        <v>36</v>
      </c>
      <c r="D92" s="4" t="s">
        <v>88</v>
      </c>
      <c r="E92" s="5" t="s">
        <v>89</v>
      </c>
      <c r="F92" s="6">
        <v>7422</v>
      </c>
      <c r="G92" s="6">
        <f>F92*Kurallar!$C$10</f>
        <v>4453.2</v>
      </c>
      <c r="H92" s="6">
        <f t="shared" si="4"/>
        <v>4453.2</v>
      </c>
      <c r="I92" s="6">
        <v>1</v>
      </c>
      <c r="J92" s="4" t="s">
        <v>18</v>
      </c>
      <c r="K92" s="4" t="s">
        <v>20</v>
      </c>
      <c r="L92" s="6">
        <v>4453.2</v>
      </c>
    </row>
    <row r="93" spans="1:12" x14ac:dyDescent="0.25">
      <c r="A93" s="4">
        <v>96</v>
      </c>
      <c r="B93" s="4" t="s">
        <v>125</v>
      </c>
      <c r="C93" s="4" t="s">
        <v>36</v>
      </c>
      <c r="D93" s="4" t="s">
        <v>90</v>
      </c>
      <c r="E93" s="5" t="s">
        <v>91</v>
      </c>
      <c r="F93" s="6">
        <v>13357</v>
      </c>
      <c r="G93" s="6">
        <f>F93*Kurallar!$C$10</f>
        <v>8014.2</v>
      </c>
      <c r="H93" s="6">
        <f t="shared" si="4"/>
        <v>16028.4</v>
      </c>
      <c r="I93" s="6">
        <v>2</v>
      </c>
      <c r="J93" s="4" t="s">
        <v>18</v>
      </c>
      <c r="K93" s="4" t="s">
        <v>20</v>
      </c>
      <c r="L93" s="6">
        <v>16028.4</v>
      </c>
    </row>
    <row r="94" spans="1:12" x14ac:dyDescent="0.25">
      <c r="A94" s="4">
        <v>97</v>
      </c>
      <c r="B94" s="4" t="s">
        <v>125</v>
      </c>
      <c r="C94" s="4" t="s">
        <v>36</v>
      </c>
      <c r="D94" s="4" t="s">
        <v>92</v>
      </c>
      <c r="E94" s="5" t="s">
        <v>93</v>
      </c>
      <c r="F94" s="6">
        <v>13357</v>
      </c>
      <c r="G94" s="6">
        <f>F94*Kurallar!$C$10</f>
        <v>8014.2</v>
      </c>
      <c r="H94" s="6">
        <f t="shared" si="4"/>
        <v>24042.6</v>
      </c>
      <c r="I94" s="6">
        <v>3</v>
      </c>
      <c r="J94" s="4" t="s">
        <v>18</v>
      </c>
      <c r="K94" s="4" t="s">
        <v>20</v>
      </c>
      <c r="L94" s="6">
        <v>24042.6</v>
      </c>
    </row>
    <row r="95" spans="1:12" x14ac:dyDescent="0.25">
      <c r="A95" s="4">
        <v>98</v>
      </c>
      <c r="B95" s="4" t="s">
        <v>125</v>
      </c>
      <c r="C95" s="4" t="s">
        <v>25</v>
      </c>
      <c r="D95" s="4" t="s">
        <v>94</v>
      </c>
      <c r="E95" s="5" t="s">
        <v>95</v>
      </c>
      <c r="F95" s="6">
        <v>897</v>
      </c>
      <c r="G95" s="6">
        <f>F95*Kurallar!$C$10</f>
        <v>538.19999999999993</v>
      </c>
      <c r="H95" s="6">
        <f t="shared" si="4"/>
        <v>10225.799999999999</v>
      </c>
      <c r="I95" s="6">
        <v>19</v>
      </c>
      <c r="J95" s="4" t="s">
        <v>18</v>
      </c>
      <c r="K95" s="4" t="s">
        <v>20</v>
      </c>
      <c r="L95" s="6">
        <v>10225.799999999999</v>
      </c>
    </row>
    <row r="96" spans="1:12" x14ac:dyDescent="0.25">
      <c r="A96" s="4">
        <v>99</v>
      </c>
      <c r="B96" s="4" t="s">
        <v>125</v>
      </c>
      <c r="C96" s="4" t="s">
        <v>25</v>
      </c>
      <c r="D96" s="4" t="s">
        <v>96</v>
      </c>
      <c r="E96" s="5" t="s">
        <v>97</v>
      </c>
      <c r="F96" s="6">
        <v>783</v>
      </c>
      <c r="G96" s="6">
        <f>F96*Kurallar!$C$10</f>
        <v>469.79999999999995</v>
      </c>
      <c r="H96" s="6">
        <f t="shared" si="4"/>
        <v>7986.5999999999995</v>
      </c>
      <c r="I96" s="6">
        <v>17</v>
      </c>
      <c r="J96" s="4" t="s">
        <v>18</v>
      </c>
      <c r="K96" s="4" t="s">
        <v>20</v>
      </c>
      <c r="L96" s="6">
        <v>7986.5999999999995</v>
      </c>
    </row>
    <row r="97" spans="1:12" x14ac:dyDescent="0.25">
      <c r="A97" s="4">
        <v>100</v>
      </c>
      <c r="B97" s="4" t="s">
        <v>125</v>
      </c>
      <c r="C97" s="4" t="s">
        <v>25</v>
      </c>
      <c r="D97" s="4" t="s">
        <v>129</v>
      </c>
      <c r="E97" s="5" t="s">
        <v>130</v>
      </c>
      <c r="F97" s="6">
        <v>783</v>
      </c>
      <c r="G97" s="6">
        <f>F97*Kurallar!$C$10</f>
        <v>469.79999999999995</v>
      </c>
      <c r="H97" s="6">
        <f t="shared" si="4"/>
        <v>469.79999999999995</v>
      </c>
      <c r="I97" s="6">
        <v>1</v>
      </c>
      <c r="J97" s="4" t="s">
        <v>18</v>
      </c>
      <c r="K97" s="4" t="s">
        <v>20</v>
      </c>
      <c r="L97" s="6">
        <v>469.79999999999995</v>
      </c>
    </row>
    <row r="98" spans="1:12" x14ac:dyDescent="0.25">
      <c r="A98" s="4">
        <v>101</v>
      </c>
      <c r="B98" s="4" t="s">
        <v>125</v>
      </c>
      <c r="C98" s="4" t="s">
        <v>25</v>
      </c>
      <c r="D98" s="4" t="s">
        <v>131</v>
      </c>
      <c r="E98" s="5" t="s">
        <v>132</v>
      </c>
      <c r="F98" s="6">
        <v>975</v>
      </c>
      <c r="G98" s="6">
        <f>F98*Kurallar!$C$10</f>
        <v>585</v>
      </c>
      <c r="H98" s="6">
        <f t="shared" si="4"/>
        <v>585</v>
      </c>
      <c r="I98" s="6">
        <v>1</v>
      </c>
      <c r="J98" s="4" t="s">
        <v>18</v>
      </c>
      <c r="K98" s="4" t="s">
        <v>20</v>
      </c>
      <c r="L98" s="6">
        <v>585</v>
      </c>
    </row>
    <row r="99" spans="1:12" x14ac:dyDescent="0.25">
      <c r="A99" s="4">
        <v>102</v>
      </c>
      <c r="B99" s="4" t="s">
        <v>125</v>
      </c>
      <c r="C99" s="4" t="s">
        <v>133</v>
      </c>
      <c r="D99" s="4" t="s">
        <v>134</v>
      </c>
      <c r="E99" s="5" t="s">
        <v>135</v>
      </c>
      <c r="F99" s="6">
        <v>5214</v>
      </c>
      <c r="G99" s="6">
        <f>F99*Kurallar!$C$10</f>
        <v>3128.4</v>
      </c>
      <c r="H99" s="6">
        <f t="shared" si="4"/>
        <v>3128.4</v>
      </c>
      <c r="I99" s="6">
        <v>1</v>
      </c>
      <c r="J99" s="4" t="s">
        <v>18</v>
      </c>
      <c r="K99" s="4" t="s">
        <v>20</v>
      </c>
      <c r="L99" s="6">
        <v>3128.4</v>
      </c>
    </row>
    <row r="100" spans="1:12" x14ac:dyDescent="0.25">
      <c r="A100" s="4">
        <v>103</v>
      </c>
      <c r="B100" s="4" t="s">
        <v>125</v>
      </c>
      <c r="C100" s="4" t="s">
        <v>136</v>
      </c>
      <c r="D100" s="4" t="s">
        <v>137</v>
      </c>
      <c r="E100" s="5" t="s">
        <v>138</v>
      </c>
      <c r="F100" s="6">
        <v>4445</v>
      </c>
      <c r="G100" s="6">
        <f>F100*Kurallar!$C$10</f>
        <v>2667</v>
      </c>
      <c r="H100" s="6">
        <f t="shared" si="4"/>
        <v>2667</v>
      </c>
      <c r="I100" s="6">
        <v>1</v>
      </c>
      <c r="J100" s="4" t="s">
        <v>18</v>
      </c>
      <c r="K100" s="4" t="s">
        <v>20</v>
      </c>
      <c r="L100" s="6">
        <v>2667</v>
      </c>
    </row>
    <row r="101" spans="1:12" x14ac:dyDescent="0.25">
      <c r="A101" s="4">
        <v>104</v>
      </c>
      <c r="B101" s="4" t="s">
        <v>125</v>
      </c>
      <c r="C101" s="4" t="s">
        <v>139</v>
      </c>
      <c r="D101" s="4" t="s">
        <v>325</v>
      </c>
      <c r="E101" s="5" t="s">
        <v>326</v>
      </c>
      <c r="F101" s="6">
        <v>8502</v>
      </c>
      <c r="G101" s="6">
        <f>F101</f>
        <v>8502</v>
      </c>
      <c r="H101" s="6">
        <f t="shared" si="4"/>
        <v>8502</v>
      </c>
      <c r="I101" s="6">
        <v>1</v>
      </c>
      <c r="J101" s="4" t="s">
        <v>18</v>
      </c>
      <c r="K101" s="21" t="s">
        <v>73</v>
      </c>
      <c r="L101" s="6">
        <v>11308.199999999999</v>
      </c>
    </row>
    <row r="102" spans="1:12" x14ac:dyDescent="0.25">
      <c r="A102" s="4">
        <v>105</v>
      </c>
      <c r="B102" s="4" t="s">
        <v>125</v>
      </c>
      <c r="C102" s="4" t="s">
        <v>140</v>
      </c>
      <c r="D102" s="4" t="s">
        <v>141</v>
      </c>
      <c r="E102" s="5" t="s">
        <v>142</v>
      </c>
      <c r="F102" s="6">
        <v>3000</v>
      </c>
      <c r="G102" s="6">
        <f>F102*Kurallar!$C$10</f>
        <v>1800</v>
      </c>
      <c r="H102" s="6">
        <f t="shared" si="4"/>
        <v>1800</v>
      </c>
      <c r="I102" s="6">
        <v>1</v>
      </c>
      <c r="J102" s="4" t="s">
        <v>18</v>
      </c>
      <c r="K102" s="4" t="s">
        <v>20</v>
      </c>
      <c r="L102" s="6">
        <v>1800</v>
      </c>
    </row>
    <row r="103" spans="1:12" x14ac:dyDescent="0.25">
      <c r="A103" s="4">
        <v>106</v>
      </c>
      <c r="B103" s="4" t="s">
        <v>125</v>
      </c>
      <c r="C103" s="4" t="s">
        <v>53</v>
      </c>
      <c r="D103" s="4" t="s">
        <v>54</v>
      </c>
      <c r="E103" s="5" t="s">
        <v>55</v>
      </c>
      <c r="F103" s="6">
        <v>571</v>
      </c>
      <c r="G103" s="6">
        <f>F103*Kurallar!$C$10</f>
        <v>342.59999999999997</v>
      </c>
      <c r="H103" s="6">
        <f t="shared" si="4"/>
        <v>342.59999999999997</v>
      </c>
      <c r="I103" s="6">
        <v>1</v>
      </c>
      <c r="J103" s="4" t="s">
        <v>18</v>
      </c>
      <c r="K103" s="4" t="s">
        <v>20</v>
      </c>
      <c r="L103" s="6">
        <v>342.59999999999997</v>
      </c>
    </row>
    <row r="104" spans="1:12" x14ac:dyDescent="0.25">
      <c r="A104" s="4">
        <v>107</v>
      </c>
      <c r="B104" s="4" t="s">
        <v>125</v>
      </c>
      <c r="C104" s="4" t="s">
        <v>53</v>
      </c>
      <c r="D104" s="4" t="s">
        <v>56</v>
      </c>
      <c r="E104" s="5" t="s">
        <v>143</v>
      </c>
      <c r="F104" s="6">
        <v>589</v>
      </c>
      <c r="G104" s="6">
        <f>F104*Kurallar!$C$10</f>
        <v>353.4</v>
      </c>
      <c r="H104" s="6">
        <f t="shared" si="4"/>
        <v>706.8</v>
      </c>
      <c r="I104" s="6">
        <v>2</v>
      </c>
      <c r="J104" s="4" t="s">
        <v>18</v>
      </c>
      <c r="K104" s="4" t="s">
        <v>20</v>
      </c>
      <c r="L104" s="6">
        <v>706.8</v>
      </c>
    </row>
    <row r="105" spans="1:12" x14ac:dyDescent="0.25">
      <c r="A105" s="4">
        <v>108</v>
      </c>
      <c r="B105" s="4" t="s">
        <v>125</v>
      </c>
      <c r="C105" s="4" t="s">
        <v>53</v>
      </c>
      <c r="D105" s="4" t="s">
        <v>58</v>
      </c>
      <c r="E105" s="5" t="s">
        <v>144</v>
      </c>
      <c r="F105" s="6">
        <v>571</v>
      </c>
      <c r="G105" s="6">
        <f>F105*Kurallar!$C$10</f>
        <v>342.59999999999997</v>
      </c>
      <c r="H105" s="6">
        <f t="shared" si="4"/>
        <v>685.19999999999993</v>
      </c>
      <c r="I105" s="6">
        <v>2</v>
      </c>
      <c r="J105" s="4" t="s">
        <v>18</v>
      </c>
      <c r="K105" s="4" t="s">
        <v>20</v>
      </c>
      <c r="L105" s="6">
        <v>685.19999999999993</v>
      </c>
    </row>
    <row r="106" spans="1:12" x14ac:dyDescent="0.25">
      <c r="A106" s="4">
        <v>109</v>
      </c>
      <c r="B106" s="4" t="s">
        <v>125</v>
      </c>
      <c r="C106" s="4" t="s">
        <v>60</v>
      </c>
      <c r="D106" s="4" t="s">
        <v>100</v>
      </c>
      <c r="E106" s="5" t="s">
        <v>101</v>
      </c>
      <c r="F106" s="6">
        <v>4465</v>
      </c>
      <c r="G106" s="6">
        <f>F106*Kurallar!$C$10</f>
        <v>2679</v>
      </c>
      <c r="H106" s="6">
        <f t="shared" si="4"/>
        <v>8037</v>
      </c>
      <c r="I106" s="6">
        <v>3</v>
      </c>
      <c r="J106" s="4" t="s">
        <v>18</v>
      </c>
      <c r="K106" s="4" t="s">
        <v>20</v>
      </c>
      <c r="L106" s="6">
        <v>8037</v>
      </c>
    </row>
    <row r="107" spans="1:12" x14ac:dyDescent="0.25">
      <c r="A107" s="4">
        <v>110</v>
      </c>
      <c r="B107" s="4" t="s">
        <v>125</v>
      </c>
      <c r="C107" s="4" t="s">
        <v>64</v>
      </c>
      <c r="D107" s="4" t="s">
        <v>102</v>
      </c>
      <c r="E107" s="5" t="s">
        <v>103</v>
      </c>
      <c r="F107" s="6">
        <v>130</v>
      </c>
      <c r="G107" s="6">
        <f>F107*Kurallar!$C$11</f>
        <v>130</v>
      </c>
      <c r="H107" s="6">
        <f t="shared" si="4"/>
        <v>14950</v>
      </c>
      <c r="I107" s="6">
        <v>115</v>
      </c>
      <c r="J107" s="4" t="s">
        <v>18</v>
      </c>
      <c r="K107" s="21" t="s">
        <v>324</v>
      </c>
      <c r="L107" s="6">
        <v>14950</v>
      </c>
    </row>
    <row r="108" spans="1:12" x14ac:dyDescent="0.25">
      <c r="A108" s="4">
        <v>111</v>
      </c>
      <c r="B108" s="4" t="s">
        <v>125</v>
      </c>
      <c r="C108" s="4" t="s">
        <v>64</v>
      </c>
      <c r="D108" s="4" t="s">
        <v>69</v>
      </c>
      <c r="E108" s="5" t="s">
        <v>145</v>
      </c>
      <c r="F108" s="6">
        <v>445</v>
      </c>
      <c r="G108" s="6">
        <f>F108*Kurallar!$C$11</f>
        <v>445</v>
      </c>
      <c r="H108" s="6">
        <f t="shared" si="4"/>
        <v>2225</v>
      </c>
      <c r="I108" s="6">
        <v>5</v>
      </c>
      <c r="J108" s="4" t="s">
        <v>18</v>
      </c>
      <c r="K108" s="21" t="s">
        <v>324</v>
      </c>
      <c r="L108" s="6">
        <v>2225</v>
      </c>
    </row>
    <row r="109" spans="1:12" x14ac:dyDescent="0.25">
      <c r="A109" s="4">
        <v>112</v>
      </c>
      <c r="B109" s="4" t="s">
        <v>125</v>
      </c>
      <c r="C109" s="4" t="s">
        <v>60</v>
      </c>
      <c r="D109" s="4" t="s">
        <v>71</v>
      </c>
      <c r="E109" s="5" t="s">
        <v>72</v>
      </c>
      <c r="F109" s="6">
        <v>4610</v>
      </c>
      <c r="G109" s="6">
        <f>F109*Kurallar!$C$11</f>
        <v>4610</v>
      </c>
      <c r="H109" s="6">
        <f t="shared" si="4"/>
        <v>4610</v>
      </c>
      <c r="I109" s="6">
        <v>1</v>
      </c>
      <c r="J109" s="4" t="s">
        <v>18</v>
      </c>
      <c r="K109" s="4" t="s">
        <v>73</v>
      </c>
      <c r="L109" s="6">
        <v>13830</v>
      </c>
    </row>
    <row r="110" spans="1:12" x14ac:dyDescent="0.25">
      <c r="A110" s="4">
        <v>114</v>
      </c>
      <c r="B110" s="4" t="s">
        <v>125</v>
      </c>
      <c r="C110" s="4" t="s">
        <v>74</v>
      </c>
      <c r="D110" s="4" t="s">
        <v>107</v>
      </c>
      <c r="E110" s="5" t="s">
        <v>108</v>
      </c>
      <c r="F110" s="6">
        <v>210</v>
      </c>
      <c r="G110" s="6">
        <f>F110*Kurallar!$C$11</f>
        <v>210</v>
      </c>
      <c r="H110" s="6">
        <f t="shared" si="4"/>
        <v>2100</v>
      </c>
      <c r="I110" s="6">
        <v>10</v>
      </c>
      <c r="J110" s="4" t="s">
        <v>63</v>
      </c>
      <c r="K110" s="21" t="s">
        <v>324</v>
      </c>
      <c r="L110" s="6">
        <v>2100</v>
      </c>
    </row>
    <row r="111" spans="1:12" x14ac:dyDescent="0.25">
      <c r="A111" s="4">
        <v>115</v>
      </c>
      <c r="B111" s="4" t="s">
        <v>125</v>
      </c>
      <c r="C111" s="4" t="s">
        <v>77</v>
      </c>
      <c r="D111" s="4" t="s">
        <v>78</v>
      </c>
      <c r="E111" s="5" t="s">
        <v>79</v>
      </c>
      <c r="F111" s="6">
        <f>ROUND(SUM(H89:H110)*Kurallar!$C$12,0)</f>
        <v>6575</v>
      </c>
      <c r="G111" s="6">
        <f>F111</f>
        <v>6575</v>
      </c>
      <c r="H111" s="6">
        <f t="shared" si="4"/>
        <v>6575</v>
      </c>
      <c r="I111" s="6">
        <v>1</v>
      </c>
      <c r="J111" s="4" t="s">
        <v>18</v>
      </c>
      <c r="K111" s="4" t="s">
        <v>14</v>
      </c>
      <c r="L111" s="6">
        <v>7029</v>
      </c>
    </row>
    <row r="112" spans="1:12" x14ac:dyDescent="0.25">
      <c r="A112" s="4">
        <v>116</v>
      </c>
      <c r="B112" s="4" t="s">
        <v>125</v>
      </c>
      <c r="C112" s="4" t="s">
        <v>80</v>
      </c>
      <c r="D112" s="4" t="s">
        <v>78</v>
      </c>
      <c r="E112" s="5" t="s">
        <v>81</v>
      </c>
      <c r="F112" s="7">
        <f>ROUND(I112/60,1)</f>
        <v>8.4</v>
      </c>
      <c r="G112" s="6">
        <f>Kurallar!$C$13</f>
        <v>100</v>
      </c>
      <c r="H112" s="6">
        <f t="shared" si="4"/>
        <v>50566.666666666672</v>
      </c>
      <c r="I112" s="6">
        <f>ROUND((Kurallar!$C$52+Kurallar!$C$31*1+Kurallar!$C$30*41+Kurallar!$C$33*1+Kurallar!$C$34*5+Kurallar!$C$37*1+Kurallar!$C$38*1+Kurallar!$C$39*1+Kurallar!$C$40*1+Kurallar!$C$41*5+Kurallar!$C$46*3+Kurallar!$C$45*120+Kurallar!$C$47*3+Kurallar!$C$48*6+Kurallar!$C$49*10)*Kurallar!$C$54,0)/3</f>
        <v>505.66666666666669</v>
      </c>
      <c r="J112" s="4" t="s">
        <v>82</v>
      </c>
      <c r="K112" s="4" t="s">
        <v>14</v>
      </c>
      <c r="L112" s="6">
        <v>151700</v>
      </c>
    </row>
    <row r="113" spans="1:12" x14ac:dyDescent="0.25">
      <c r="A113" s="4">
        <v>117</v>
      </c>
      <c r="B113" s="4" t="s">
        <v>146</v>
      </c>
      <c r="C113" s="4" t="s">
        <v>15</v>
      </c>
      <c r="D113" s="4" t="s">
        <v>84</v>
      </c>
      <c r="E113" s="5" t="s">
        <v>112</v>
      </c>
      <c r="F113" s="6">
        <f>Kurallar!$C$63</f>
        <v>95000</v>
      </c>
      <c r="G113" s="6">
        <f>F113*Kurallar!$C$11</f>
        <v>95000</v>
      </c>
      <c r="H113" s="6">
        <f t="shared" ref="H113:H136" si="5">G113*I113</f>
        <v>95000</v>
      </c>
      <c r="I113" s="6">
        <v>1</v>
      </c>
      <c r="J113" s="4" t="s">
        <v>18</v>
      </c>
      <c r="K113" s="21" t="s">
        <v>327</v>
      </c>
      <c r="L113" s="6">
        <v>95000</v>
      </c>
    </row>
    <row r="114" spans="1:12" x14ac:dyDescent="0.25">
      <c r="A114" s="4">
        <v>118</v>
      </c>
      <c r="B114" s="4" t="s">
        <v>146</v>
      </c>
      <c r="C114" s="4" t="s">
        <v>25</v>
      </c>
      <c r="D114" s="4" t="s">
        <v>127</v>
      </c>
      <c r="E114" s="5" t="s">
        <v>128</v>
      </c>
      <c r="F114" s="6">
        <v>6060</v>
      </c>
      <c r="G114" s="6">
        <f>F114*Kurallar!$C$10</f>
        <v>3636</v>
      </c>
      <c r="H114" s="6">
        <f t="shared" si="5"/>
        <v>3636</v>
      </c>
      <c r="I114" s="6">
        <v>1</v>
      </c>
      <c r="J114" s="4" t="s">
        <v>18</v>
      </c>
      <c r="K114" s="4" t="s">
        <v>20</v>
      </c>
      <c r="L114" s="6">
        <v>3636</v>
      </c>
    </row>
    <row r="115" spans="1:12" x14ac:dyDescent="0.25">
      <c r="A115" s="4">
        <v>119</v>
      </c>
      <c r="B115" s="4" t="s">
        <v>146</v>
      </c>
      <c r="C115" s="4" t="s">
        <v>25</v>
      </c>
      <c r="D115" s="4" t="s">
        <v>34</v>
      </c>
      <c r="E115" s="5" t="s">
        <v>35</v>
      </c>
      <c r="F115" s="6">
        <v>1094</v>
      </c>
      <c r="G115" s="6">
        <f>F115*Kurallar!$C$10</f>
        <v>656.4</v>
      </c>
      <c r="H115" s="6">
        <f t="shared" si="5"/>
        <v>1969.1999999999998</v>
      </c>
      <c r="I115" s="6">
        <v>3</v>
      </c>
      <c r="J115" s="4" t="s">
        <v>18</v>
      </c>
      <c r="K115" s="4" t="s">
        <v>20</v>
      </c>
      <c r="L115" s="6">
        <v>1969.1999999999998</v>
      </c>
    </row>
    <row r="116" spans="1:12" x14ac:dyDescent="0.25">
      <c r="A116" s="4">
        <v>120</v>
      </c>
      <c r="B116" s="4" t="s">
        <v>146</v>
      </c>
      <c r="C116" s="4" t="s">
        <v>36</v>
      </c>
      <c r="D116" s="4" t="s">
        <v>88</v>
      </c>
      <c r="E116" s="5" t="s">
        <v>89</v>
      </c>
      <c r="F116" s="6">
        <v>7422</v>
      </c>
      <c r="G116" s="6">
        <f>F116*Kurallar!$C$10</f>
        <v>4453.2</v>
      </c>
      <c r="H116" s="6">
        <f t="shared" si="5"/>
        <v>13359.599999999999</v>
      </c>
      <c r="I116" s="6">
        <v>3</v>
      </c>
      <c r="J116" s="4" t="s">
        <v>18</v>
      </c>
      <c r="K116" s="4" t="s">
        <v>20</v>
      </c>
      <c r="L116" s="6">
        <v>13359.599999999999</v>
      </c>
    </row>
    <row r="117" spans="1:12" x14ac:dyDescent="0.25">
      <c r="A117" s="4">
        <v>121</v>
      </c>
      <c r="B117" s="4" t="s">
        <v>146</v>
      </c>
      <c r="C117" s="4" t="s">
        <v>36</v>
      </c>
      <c r="D117" s="4" t="s">
        <v>90</v>
      </c>
      <c r="E117" s="5" t="s">
        <v>91</v>
      </c>
      <c r="F117" s="6">
        <v>13357</v>
      </c>
      <c r="G117" s="6">
        <f>F117*Kurallar!$C$10</f>
        <v>8014.2</v>
      </c>
      <c r="H117" s="6">
        <f t="shared" si="5"/>
        <v>8014.2</v>
      </c>
      <c r="I117" s="6">
        <v>1</v>
      </c>
      <c r="J117" s="4" t="s">
        <v>18</v>
      </c>
      <c r="K117" s="4" t="s">
        <v>20</v>
      </c>
      <c r="L117" s="6">
        <v>8014.2</v>
      </c>
    </row>
    <row r="118" spans="1:12" x14ac:dyDescent="0.25">
      <c r="A118" s="4">
        <v>122</v>
      </c>
      <c r="B118" s="4" t="s">
        <v>146</v>
      </c>
      <c r="C118" s="4" t="s">
        <v>36</v>
      </c>
      <c r="D118" s="4" t="s">
        <v>92</v>
      </c>
      <c r="E118" s="5" t="s">
        <v>93</v>
      </c>
      <c r="F118" s="6">
        <v>13357</v>
      </c>
      <c r="G118" s="6">
        <f>F118*Kurallar!$C$10</f>
        <v>8014.2</v>
      </c>
      <c r="H118" s="6">
        <f t="shared" si="5"/>
        <v>24042.6</v>
      </c>
      <c r="I118" s="6">
        <v>3</v>
      </c>
      <c r="J118" s="4" t="s">
        <v>18</v>
      </c>
      <c r="K118" s="4" t="s">
        <v>20</v>
      </c>
      <c r="L118" s="6">
        <v>24042.6</v>
      </c>
    </row>
    <row r="119" spans="1:12" x14ac:dyDescent="0.25">
      <c r="A119" s="4">
        <v>123</v>
      </c>
      <c r="B119" s="4" t="s">
        <v>146</v>
      </c>
      <c r="C119" s="4" t="s">
        <v>25</v>
      </c>
      <c r="D119" s="4" t="s">
        <v>94</v>
      </c>
      <c r="E119" s="5" t="s">
        <v>95</v>
      </c>
      <c r="F119" s="6">
        <v>897</v>
      </c>
      <c r="G119" s="6">
        <f>F119*Kurallar!$C$10</f>
        <v>538.19999999999993</v>
      </c>
      <c r="H119" s="6">
        <f t="shared" si="5"/>
        <v>7534.7999999999993</v>
      </c>
      <c r="I119" s="6">
        <v>14</v>
      </c>
      <c r="J119" s="4" t="s">
        <v>18</v>
      </c>
      <c r="K119" s="4" t="s">
        <v>20</v>
      </c>
      <c r="L119" s="6">
        <v>7534.7999999999993</v>
      </c>
    </row>
    <row r="120" spans="1:12" x14ac:dyDescent="0.25">
      <c r="A120" s="4">
        <v>124</v>
      </c>
      <c r="B120" s="4" t="s">
        <v>146</v>
      </c>
      <c r="C120" s="4" t="s">
        <v>25</v>
      </c>
      <c r="D120" s="4" t="s">
        <v>96</v>
      </c>
      <c r="E120" s="5" t="s">
        <v>97</v>
      </c>
      <c r="F120" s="6">
        <v>783</v>
      </c>
      <c r="G120" s="6">
        <f>F120*Kurallar!$C$10</f>
        <v>469.79999999999995</v>
      </c>
      <c r="H120" s="6">
        <f t="shared" si="5"/>
        <v>7516.7999999999993</v>
      </c>
      <c r="I120" s="6">
        <v>16</v>
      </c>
      <c r="J120" s="4" t="s">
        <v>18</v>
      </c>
      <c r="K120" s="4" t="s">
        <v>20</v>
      </c>
      <c r="L120" s="6">
        <v>7516.7999999999993</v>
      </c>
    </row>
    <row r="121" spans="1:12" x14ac:dyDescent="0.25">
      <c r="A121" s="4">
        <v>125</v>
      </c>
      <c r="B121" s="4" t="s">
        <v>146</v>
      </c>
      <c r="C121" s="4" t="s">
        <v>25</v>
      </c>
      <c r="D121" s="4" t="s">
        <v>129</v>
      </c>
      <c r="E121" s="5" t="s">
        <v>147</v>
      </c>
      <c r="F121" s="6">
        <v>783</v>
      </c>
      <c r="G121" s="6">
        <f>F121*Kurallar!$C$10</f>
        <v>469.79999999999995</v>
      </c>
      <c r="H121" s="6">
        <f t="shared" si="5"/>
        <v>939.59999999999991</v>
      </c>
      <c r="I121" s="6">
        <v>2</v>
      </c>
      <c r="J121" s="4" t="s">
        <v>18</v>
      </c>
      <c r="K121" s="4" t="s">
        <v>20</v>
      </c>
      <c r="L121" s="6">
        <v>939.59999999999991</v>
      </c>
    </row>
    <row r="122" spans="1:12" x14ac:dyDescent="0.25">
      <c r="A122" s="4">
        <v>126</v>
      </c>
      <c r="B122" s="4" t="s">
        <v>146</v>
      </c>
      <c r="C122" s="4" t="s">
        <v>25</v>
      </c>
      <c r="D122" s="4" t="s">
        <v>131</v>
      </c>
      <c r="E122" s="5" t="s">
        <v>148</v>
      </c>
      <c r="F122" s="6">
        <v>975</v>
      </c>
      <c r="G122" s="6">
        <f>F122*Kurallar!$C$10</f>
        <v>585</v>
      </c>
      <c r="H122" s="6">
        <f t="shared" si="5"/>
        <v>1755</v>
      </c>
      <c r="I122" s="6">
        <v>3</v>
      </c>
      <c r="J122" s="4" t="s">
        <v>18</v>
      </c>
      <c r="K122" s="4" t="s">
        <v>20</v>
      </c>
      <c r="L122" s="6">
        <v>1755</v>
      </c>
    </row>
    <row r="123" spans="1:12" x14ac:dyDescent="0.25">
      <c r="A123" s="4">
        <v>127</v>
      </c>
      <c r="B123" s="4" t="s">
        <v>146</v>
      </c>
      <c r="C123" s="4" t="s">
        <v>133</v>
      </c>
      <c r="D123" s="4" t="s">
        <v>134</v>
      </c>
      <c r="E123" s="5" t="s">
        <v>135</v>
      </c>
      <c r="F123" s="6">
        <v>5214</v>
      </c>
      <c r="G123" s="6">
        <f>F123*Kurallar!$C$10</f>
        <v>3128.4</v>
      </c>
      <c r="H123" s="6">
        <f t="shared" si="5"/>
        <v>9385.2000000000007</v>
      </c>
      <c r="I123" s="6">
        <v>3</v>
      </c>
      <c r="J123" s="4" t="s">
        <v>18</v>
      </c>
      <c r="K123" s="4" t="s">
        <v>20</v>
      </c>
      <c r="L123" s="6">
        <v>9385.2000000000007</v>
      </c>
    </row>
    <row r="124" spans="1:12" x14ac:dyDescent="0.25">
      <c r="A124" s="4">
        <v>128</v>
      </c>
      <c r="B124" s="4" t="s">
        <v>146</v>
      </c>
      <c r="C124" s="4" t="s">
        <v>136</v>
      </c>
      <c r="D124" s="4" t="s">
        <v>149</v>
      </c>
      <c r="E124" s="5" t="s">
        <v>150</v>
      </c>
      <c r="F124" s="6">
        <v>4445</v>
      </c>
      <c r="G124" s="6">
        <f>F124*Kurallar!$C$10</f>
        <v>2667</v>
      </c>
      <c r="H124" s="6">
        <f t="shared" si="5"/>
        <v>8001</v>
      </c>
      <c r="I124" s="6">
        <v>3</v>
      </c>
      <c r="J124" s="4" t="s">
        <v>18</v>
      </c>
      <c r="K124" s="4" t="s">
        <v>20</v>
      </c>
      <c r="L124" s="6">
        <v>8001</v>
      </c>
    </row>
    <row r="125" spans="1:12" x14ac:dyDescent="0.25">
      <c r="A125" s="4">
        <v>129</v>
      </c>
      <c r="B125" s="4" t="s">
        <v>146</v>
      </c>
      <c r="C125" s="4" t="s">
        <v>139</v>
      </c>
      <c r="D125" s="4" t="s">
        <v>325</v>
      </c>
      <c r="E125" s="5" t="s">
        <v>326</v>
      </c>
      <c r="F125" s="6">
        <v>8502</v>
      </c>
      <c r="G125" s="6">
        <f>F125</f>
        <v>8502</v>
      </c>
      <c r="H125" s="6">
        <f t="shared" si="5"/>
        <v>25506</v>
      </c>
      <c r="I125" s="6">
        <v>3</v>
      </c>
      <c r="J125" s="4" t="s">
        <v>18</v>
      </c>
      <c r="K125" s="21" t="s">
        <v>73</v>
      </c>
      <c r="L125" s="6">
        <v>33924.6</v>
      </c>
    </row>
    <row r="126" spans="1:12" x14ac:dyDescent="0.25">
      <c r="A126" s="4">
        <v>130</v>
      </c>
      <c r="B126" s="4" t="s">
        <v>146</v>
      </c>
      <c r="C126" s="4" t="s">
        <v>140</v>
      </c>
      <c r="D126" s="4" t="s">
        <v>141</v>
      </c>
      <c r="E126" s="5" t="s">
        <v>142</v>
      </c>
      <c r="F126" s="6">
        <v>3000</v>
      </c>
      <c r="G126" s="6">
        <f>F126*Kurallar!$C$10</f>
        <v>1800</v>
      </c>
      <c r="H126" s="6">
        <f t="shared" si="5"/>
        <v>3600</v>
      </c>
      <c r="I126" s="6">
        <v>2</v>
      </c>
      <c r="J126" s="4" t="s">
        <v>18</v>
      </c>
      <c r="K126" s="4" t="s">
        <v>20</v>
      </c>
      <c r="L126" s="6">
        <v>3600</v>
      </c>
    </row>
    <row r="127" spans="1:12" x14ac:dyDescent="0.25">
      <c r="A127" s="4">
        <v>131</v>
      </c>
      <c r="B127" s="4" t="s">
        <v>146</v>
      </c>
      <c r="C127" s="4" t="s">
        <v>53</v>
      </c>
      <c r="D127" s="4" t="s">
        <v>54</v>
      </c>
      <c r="E127" s="5" t="s">
        <v>55</v>
      </c>
      <c r="F127" s="6">
        <v>571</v>
      </c>
      <c r="G127" s="6">
        <f>F127*Kurallar!$C$10</f>
        <v>342.59999999999997</v>
      </c>
      <c r="H127" s="6">
        <f t="shared" si="5"/>
        <v>342.59999999999997</v>
      </c>
      <c r="I127" s="6">
        <v>1</v>
      </c>
      <c r="J127" s="4" t="s">
        <v>18</v>
      </c>
      <c r="K127" s="4" t="s">
        <v>20</v>
      </c>
      <c r="L127" s="6">
        <v>342.59999999999997</v>
      </c>
    </row>
    <row r="128" spans="1:12" x14ac:dyDescent="0.25">
      <c r="A128" s="4">
        <v>132</v>
      </c>
      <c r="B128" s="4" t="s">
        <v>146</v>
      </c>
      <c r="C128" s="4" t="s">
        <v>53</v>
      </c>
      <c r="D128" s="4" t="s">
        <v>56</v>
      </c>
      <c r="E128" s="5" t="s">
        <v>151</v>
      </c>
      <c r="F128" s="6">
        <v>589</v>
      </c>
      <c r="G128" s="6">
        <f>F128*Kurallar!$C$10</f>
        <v>353.4</v>
      </c>
      <c r="H128" s="6">
        <f t="shared" si="5"/>
        <v>1413.6</v>
      </c>
      <c r="I128" s="6">
        <v>4</v>
      </c>
      <c r="J128" s="4" t="s">
        <v>18</v>
      </c>
      <c r="K128" s="4" t="s">
        <v>20</v>
      </c>
      <c r="L128" s="6">
        <v>1413.6</v>
      </c>
    </row>
    <row r="129" spans="1:12" x14ac:dyDescent="0.25">
      <c r="A129" s="4">
        <v>133</v>
      </c>
      <c r="B129" s="4" t="s">
        <v>146</v>
      </c>
      <c r="C129" s="4" t="s">
        <v>53</v>
      </c>
      <c r="D129" s="4" t="s">
        <v>58</v>
      </c>
      <c r="E129" s="5" t="s">
        <v>152</v>
      </c>
      <c r="F129" s="6">
        <v>571</v>
      </c>
      <c r="G129" s="6">
        <f>F129*Kurallar!$C$10</f>
        <v>342.59999999999997</v>
      </c>
      <c r="H129" s="6">
        <f t="shared" si="5"/>
        <v>1370.3999999999999</v>
      </c>
      <c r="I129" s="6">
        <v>4</v>
      </c>
      <c r="J129" s="4" t="s">
        <v>18</v>
      </c>
      <c r="K129" s="4" t="s">
        <v>20</v>
      </c>
      <c r="L129" s="6">
        <v>1370.3999999999999</v>
      </c>
    </row>
    <row r="130" spans="1:12" x14ac:dyDescent="0.25">
      <c r="A130" s="4">
        <v>134</v>
      </c>
      <c r="B130" s="4" t="s">
        <v>146</v>
      </c>
      <c r="C130" s="4" t="s">
        <v>60</v>
      </c>
      <c r="D130" s="4" t="s">
        <v>100</v>
      </c>
      <c r="E130" s="5" t="s">
        <v>101</v>
      </c>
      <c r="F130" s="6">
        <v>4465</v>
      </c>
      <c r="G130" s="6">
        <f>F130*Kurallar!$C$10</f>
        <v>2679</v>
      </c>
      <c r="H130" s="6">
        <f t="shared" si="5"/>
        <v>8037</v>
      </c>
      <c r="I130" s="6">
        <v>3</v>
      </c>
      <c r="J130" s="4" t="s">
        <v>18</v>
      </c>
      <c r="K130" s="4" t="s">
        <v>20</v>
      </c>
      <c r="L130" s="6">
        <v>8037</v>
      </c>
    </row>
    <row r="131" spans="1:12" x14ac:dyDescent="0.25">
      <c r="A131" s="4">
        <v>135</v>
      </c>
      <c r="B131" s="4" t="s">
        <v>146</v>
      </c>
      <c r="C131" s="4" t="s">
        <v>64</v>
      </c>
      <c r="D131" s="4" t="s">
        <v>102</v>
      </c>
      <c r="E131" s="5" t="s">
        <v>103</v>
      </c>
      <c r="F131" s="6">
        <v>130</v>
      </c>
      <c r="G131" s="6">
        <f>F131*Kurallar!$C$11</f>
        <v>130</v>
      </c>
      <c r="H131" s="6">
        <f t="shared" si="5"/>
        <v>12350</v>
      </c>
      <c r="I131" s="6">
        <v>95</v>
      </c>
      <c r="J131" s="4" t="s">
        <v>18</v>
      </c>
      <c r="K131" s="21" t="s">
        <v>324</v>
      </c>
      <c r="L131" s="6">
        <v>12350</v>
      </c>
    </row>
    <row r="132" spans="1:12" x14ac:dyDescent="0.25">
      <c r="A132" s="4">
        <v>136</v>
      </c>
      <c r="B132" s="4" t="s">
        <v>146</v>
      </c>
      <c r="C132" s="4" t="s">
        <v>64</v>
      </c>
      <c r="D132" s="4" t="s">
        <v>69</v>
      </c>
      <c r="E132" s="5" t="s">
        <v>145</v>
      </c>
      <c r="F132" s="6">
        <v>445</v>
      </c>
      <c r="G132" s="6">
        <f>F132*Kurallar!$C$11</f>
        <v>445</v>
      </c>
      <c r="H132" s="6">
        <f t="shared" si="5"/>
        <v>2225</v>
      </c>
      <c r="I132" s="6">
        <v>5</v>
      </c>
      <c r="J132" s="4" t="s">
        <v>18</v>
      </c>
      <c r="K132" s="21" t="s">
        <v>324</v>
      </c>
      <c r="L132" s="6">
        <v>2225</v>
      </c>
    </row>
    <row r="133" spans="1:12" x14ac:dyDescent="0.25">
      <c r="A133" s="4">
        <v>137</v>
      </c>
      <c r="B133" s="4" t="s">
        <v>146</v>
      </c>
      <c r="C133" s="4" t="s">
        <v>60</v>
      </c>
      <c r="D133" s="4" t="s">
        <v>71</v>
      </c>
      <c r="E133" s="5" t="s">
        <v>72</v>
      </c>
      <c r="F133" s="6">
        <v>4610</v>
      </c>
      <c r="G133" s="6">
        <f>F133*Kurallar!$C$11</f>
        <v>4610</v>
      </c>
      <c r="H133" s="6">
        <f t="shared" si="5"/>
        <v>4610</v>
      </c>
      <c r="I133" s="6">
        <v>1</v>
      </c>
      <c r="J133" s="4" t="s">
        <v>18</v>
      </c>
      <c r="K133" s="4" t="s">
        <v>73</v>
      </c>
      <c r="L133" s="6">
        <v>13830</v>
      </c>
    </row>
    <row r="134" spans="1:12" x14ac:dyDescent="0.25">
      <c r="A134" s="4">
        <v>139</v>
      </c>
      <c r="B134" s="4" t="s">
        <v>146</v>
      </c>
      <c r="C134" s="4" t="s">
        <v>74</v>
      </c>
      <c r="D134" s="4" t="s">
        <v>107</v>
      </c>
      <c r="E134" s="5" t="s">
        <v>108</v>
      </c>
      <c r="F134" s="6">
        <v>210</v>
      </c>
      <c r="G134" s="6">
        <f>F134*Kurallar!$C$11</f>
        <v>210</v>
      </c>
      <c r="H134" s="6">
        <f t="shared" si="5"/>
        <v>2100</v>
      </c>
      <c r="I134" s="6">
        <v>10</v>
      </c>
      <c r="J134" s="4" t="s">
        <v>63</v>
      </c>
      <c r="K134" s="21" t="s">
        <v>324</v>
      </c>
      <c r="L134" s="6">
        <v>2100</v>
      </c>
    </row>
    <row r="135" spans="1:12" x14ac:dyDescent="0.25">
      <c r="A135" s="4">
        <v>140</v>
      </c>
      <c r="B135" s="4" t="s">
        <v>146</v>
      </c>
      <c r="C135" s="4" t="s">
        <v>77</v>
      </c>
      <c r="D135" s="4" t="s">
        <v>78</v>
      </c>
      <c r="E135" s="5" t="s">
        <v>79</v>
      </c>
      <c r="F135" s="6">
        <f>ROUND(SUM(H113:H134)*Kurallar!$C$12,0)</f>
        <v>7281</v>
      </c>
      <c r="G135" s="6">
        <f>F135</f>
        <v>7281</v>
      </c>
      <c r="H135" s="6">
        <f t="shared" si="5"/>
        <v>7281</v>
      </c>
      <c r="I135" s="6">
        <v>1</v>
      </c>
      <c r="J135" s="4" t="s">
        <v>18</v>
      </c>
      <c r="K135" s="4" t="s">
        <v>14</v>
      </c>
      <c r="L135" s="6">
        <v>7904</v>
      </c>
    </row>
    <row r="136" spans="1:12" x14ac:dyDescent="0.25">
      <c r="A136" s="4">
        <v>141</v>
      </c>
      <c r="B136" s="4" t="s">
        <v>146</v>
      </c>
      <c r="C136" s="4" t="s">
        <v>80</v>
      </c>
      <c r="D136" s="4" t="s">
        <v>78</v>
      </c>
      <c r="E136" s="5" t="s">
        <v>81</v>
      </c>
      <c r="F136" s="7">
        <f>ROUND(I136/60,1)</f>
        <v>7.4</v>
      </c>
      <c r="G136" s="6">
        <f>Kurallar!$C$13</f>
        <v>100</v>
      </c>
      <c r="H136" s="6">
        <f t="shared" si="5"/>
        <v>44200</v>
      </c>
      <c r="I136" s="6">
        <f>ROUND((Kurallar!$C$52+Kurallar!$C$31*1+Kurallar!$C$30*36+Kurallar!$C$33*3+Kurallar!$C$34*4+Kurallar!$C$37*3+Kurallar!$C$38*3+Kurallar!$C$39*3+Kurallar!$C$40*2+Kurallar!$C$41*9+Kurallar!$C$46*3+Kurallar!$C$45*100+Kurallar!$C$47*3+Kurallar!$C$48*6+Kurallar!$C$49*10)*Kurallar!$C$54,0)/3.5</f>
        <v>442</v>
      </c>
      <c r="J136" s="4" t="s">
        <v>82</v>
      </c>
      <c r="K136" s="4" t="s">
        <v>14</v>
      </c>
      <c r="L136" s="6">
        <v>154700</v>
      </c>
    </row>
    <row r="137" spans="1:12" x14ac:dyDescent="0.25">
      <c r="A137" s="4">
        <v>142</v>
      </c>
      <c r="B137" s="4" t="s">
        <v>153</v>
      </c>
      <c r="C137" s="4" t="s">
        <v>15</v>
      </c>
      <c r="D137" s="4" t="s">
        <v>84</v>
      </c>
      <c r="E137" s="5" t="s">
        <v>154</v>
      </c>
      <c r="F137" s="6">
        <f>Kurallar!$C$64</f>
        <v>65000</v>
      </c>
      <c r="G137" s="6">
        <f>F137*Kurallar!$C$11</f>
        <v>65000</v>
      </c>
      <c r="H137" s="6">
        <f t="shared" ref="H137:H165" si="6">G137*I137</f>
        <v>65000</v>
      </c>
      <c r="I137" s="6">
        <v>1</v>
      </c>
      <c r="J137" s="4" t="s">
        <v>18</v>
      </c>
      <c r="K137" s="21" t="s">
        <v>327</v>
      </c>
      <c r="L137" s="6">
        <v>65000</v>
      </c>
    </row>
    <row r="138" spans="1:12" x14ac:dyDescent="0.25">
      <c r="A138" s="4">
        <v>143</v>
      </c>
      <c r="B138" s="4" t="s">
        <v>153</v>
      </c>
      <c r="C138" s="4" t="s">
        <v>25</v>
      </c>
      <c r="D138" s="4" t="s">
        <v>127</v>
      </c>
      <c r="E138" s="5" t="s">
        <v>128</v>
      </c>
      <c r="F138" s="6">
        <v>6060</v>
      </c>
      <c r="G138" s="6">
        <f>F138*Kurallar!$C$10</f>
        <v>3636</v>
      </c>
      <c r="H138" s="6">
        <f t="shared" si="6"/>
        <v>3636</v>
      </c>
      <c r="I138" s="6">
        <v>1</v>
      </c>
      <c r="J138" s="4" t="s">
        <v>18</v>
      </c>
      <c r="K138" s="4" t="s">
        <v>20</v>
      </c>
      <c r="L138" s="6">
        <v>3636</v>
      </c>
    </row>
    <row r="139" spans="1:12" x14ac:dyDescent="0.25">
      <c r="A139" s="4">
        <v>144</v>
      </c>
      <c r="B139" s="4" t="s">
        <v>153</v>
      </c>
      <c r="C139" s="4" t="s">
        <v>36</v>
      </c>
      <c r="D139" s="4" t="s">
        <v>90</v>
      </c>
      <c r="E139" s="5" t="s">
        <v>91</v>
      </c>
      <c r="F139" s="6">
        <v>13357</v>
      </c>
      <c r="G139" s="6">
        <f>F139*Kurallar!$C$10</f>
        <v>8014.2</v>
      </c>
      <c r="H139" s="6">
        <f t="shared" si="6"/>
        <v>8014.2</v>
      </c>
      <c r="I139" s="6">
        <v>1</v>
      </c>
      <c r="J139" s="4" t="s">
        <v>18</v>
      </c>
      <c r="K139" s="4" t="s">
        <v>20</v>
      </c>
      <c r="L139" s="6">
        <v>8014.2</v>
      </c>
    </row>
    <row r="140" spans="1:12" x14ac:dyDescent="0.25">
      <c r="A140" s="4">
        <v>145</v>
      </c>
      <c r="B140" s="4" t="s">
        <v>153</v>
      </c>
      <c r="C140" s="4" t="s">
        <v>133</v>
      </c>
      <c r="D140" s="4" t="s">
        <v>155</v>
      </c>
      <c r="E140" s="5" t="s">
        <v>156</v>
      </c>
      <c r="F140" s="6">
        <v>9149</v>
      </c>
      <c r="G140" s="6">
        <f>F140*Kurallar!$C$10</f>
        <v>5489.4</v>
      </c>
      <c r="H140" s="6">
        <f t="shared" si="6"/>
        <v>5489.4</v>
      </c>
      <c r="I140" s="6">
        <v>1</v>
      </c>
      <c r="J140" s="4" t="s">
        <v>18</v>
      </c>
      <c r="K140" s="4" t="s">
        <v>20</v>
      </c>
      <c r="L140" s="6">
        <v>5489.4</v>
      </c>
    </row>
    <row r="141" spans="1:12" x14ac:dyDescent="0.25">
      <c r="A141" s="4">
        <v>146</v>
      </c>
      <c r="B141" s="4" t="s">
        <v>153</v>
      </c>
      <c r="C141" s="4" t="s">
        <v>136</v>
      </c>
      <c r="D141" s="4" t="s">
        <v>157</v>
      </c>
      <c r="E141" s="5" t="s">
        <v>158</v>
      </c>
      <c r="F141" s="6">
        <v>14175</v>
      </c>
      <c r="G141" s="6">
        <f>F141*Kurallar!$C$10</f>
        <v>8505</v>
      </c>
      <c r="H141" s="6">
        <f t="shared" si="6"/>
        <v>8505</v>
      </c>
      <c r="I141" s="6">
        <v>1</v>
      </c>
      <c r="J141" s="4" t="s">
        <v>18</v>
      </c>
      <c r="K141" s="4" t="s">
        <v>20</v>
      </c>
      <c r="L141" s="6">
        <v>8505</v>
      </c>
    </row>
    <row r="142" spans="1:12" x14ac:dyDescent="0.25">
      <c r="A142" s="4">
        <v>147</v>
      </c>
      <c r="B142" s="4" t="s">
        <v>153</v>
      </c>
      <c r="C142" s="4" t="s">
        <v>22</v>
      </c>
      <c r="D142" s="4" t="s">
        <v>23</v>
      </c>
      <c r="E142" s="5" t="s">
        <v>24</v>
      </c>
      <c r="F142" s="6">
        <v>1799</v>
      </c>
      <c r="G142" s="6">
        <f>F142*Kurallar!$C$10</f>
        <v>1079.3999999999999</v>
      </c>
      <c r="H142" s="6">
        <f t="shared" si="6"/>
        <v>1079.3999999999999</v>
      </c>
      <c r="I142" s="6">
        <v>1</v>
      </c>
      <c r="J142" s="4" t="s">
        <v>18</v>
      </c>
      <c r="K142" s="4" t="s">
        <v>20</v>
      </c>
      <c r="L142" s="6">
        <v>1079.3999999999999</v>
      </c>
    </row>
    <row r="143" spans="1:12" x14ac:dyDescent="0.25">
      <c r="A143" s="4">
        <v>148</v>
      </c>
      <c r="B143" s="4" t="s">
        <v>153</v>
      </c>
      <c r="C143" s="4" t="s">
        <v>25</v>
      </c>
      <c r="D143" s="4" t="s">
        <v>34</v>
      </c>
      <c r="E143" s="5" t="s">
        <v>159</v>
      </c>
      <c r="F143" s="6">
        <v>1094</v>
      </c>
      <c r="G143" s="6">
        <f>F143*Kurallar!$C$10</f>
        <v>656.4</v>
      </c>
      <c r="H143" s="6">
        <f t="shared" si="6"/>
        <v>3938.3999999999996</v>
      </c>
      <c r="I143" s="6">
        <v>6</v>
      </c>
      <c r="J143" s="4" t="s">
        <v>18</v>
      </c>
      <c r="K143" s="4" t="s">
        <v>20</v>
      </c>
      <c r="L143" s="6">
        <v>3938.3999999999996</v>
      </c>
    </row>
    <row r="144" spans="1:12" x14ac:dyDescent="0.25">
      <c r="A144" s="4">
        <v>149</v>
      </c>
      <c r="B144" s="4" t="s">
        <v>153</v>
      </c>
      <c r="C144" s="4" t="s">
        <v>25</v>
      </c>
      <c r="D144" s="4" t="s">
        <v>86</v>
      </c>
      <c r="E144" s="5" t="s">
        <v>160</v>
      </c>
      <c r="F144" s="6">
        <v>5334</v>
      </c>
      <c r="G144" s="6">
        <f>F144*Kurallar!$C$10</f>
        <v>3200.4</v>
      </c>
      <c r="H144" s="6">
        <f t="shared" si="6"/>
        <v>3200.4</v>
      </c>
      <c r="I144" s="6">
        <v>1</v>
      </c>
      <c r="J144" s="4" t="s">
        <v>18</v>
      </c>
      <c r="K144" s="4" t="s">
        <v>20</v>
      </c>
      <c r="L144" s="6">
        <v>3200.4</v>
      </c>
    </row>
    <row r="145" spans="1:12" x14ac:dyDescent="0.25">
      <c r="A145" s="4">
        <v>150</v>
      </c>
      <c r="B145" s="4" t="s">
        <v>153</v>
      </c>
      <c r="C145" s="4" t="s">
        <v>25</v>
      </c>
      <c r="D145" s="4" t="s">
        <v>131</v>
      </c>
      <c r="E145" s="5" t="s">
        <v>161</v>
      </c>
      <c r="F145" s="6">
        <v>975</v>
      </c>
      <c r="G145" s="6">
        <f>F145*Kurallar!$C$10</f>
        <v>585</v>
      </c>
      <c r="H145" s="6">
        <f t="shared" si="6"/>
        <v>4680</v>
      </c>
      <c r="I145" s="6">
        <v>8</v>
      </c>
      <c r="J145" s="4" t="s">
        <v>18</v>
      </c>
      <c r="K145" s="4" t="s">
        <v>20</v>
      </c>
      <c r="L145" s="6">
        <v>4680</v>
      </c>
    </row>
    <row r="146" spans="1:12" x14ac:dyDescent="0.25">
      <c r="A146" s="4">
        <v>151</v>
      </c>
      <c r="B146" s="4" t="s">
        <v>153</v>
      </c>
      <c r="C146" s="4" t="s">
        <v>25</v>
      </c>
      <c r="D146" s="4" t="s">
        <v>94</v>
      </c>
      <c r="E146" s="5" t="s">
        <v>162</v>
      </c>
      <c r="F146" s="6">
        <v>897</v>
      </c>
      <c r="G146" s="6">
        <f>F146*Kurallar!$C$10</f>
        <v>538.19999999999993</v>
      </c>
      <c r="H146" s="6">
        <f t="shared" si="6"/>
        <v>538.19999999999993</v>
      </c>
      <c r="I146" s="6">
        <v>1</v>
      </c>
      <c r="J146" s="4" t="s">
        <v>18</v>
      </c>
      <c r="K146" s="4" t="s">
        <v>20</v>
      </c>
      <c r="L146" s="6">
        <v>538.19999999999993</v>
      </c>
    </row>
    <row r="147" spans="1:12" x14ac:dyDescent="0.25">
      <c r="A147" s="4">
        <v>152</v>
      </c>
      <c r="B147" s="4" t="s">
        <v>153</v>
      </c>
      <c r="C147" s="4" t="s">
        <v>25</v>
      </c>
      <c r="D147" s="4" t="s">
        <v>129</v>
      </c>
      <c r="E147" s="5" t="s">
        <v>163</v>
      </c>
      <c r="F147" s="6">
        <v>783</v>
      </c>
      <c r="G147" s="6">
        <f>F147*Kurallar!$C$10</f>
        <v>469.79999999999995</v>
      </c>
      <c r="H147" s="6">
        <f t="shared" si="6"/>
        <v>469.79999999999995</v>
      </c>
      <c r="I147" s="6">
        <v>1</v>
      </c>
      <c r="J147" s="4" t="s">
        <v>18</v>
      </c>
      <c r="K147" s="4" t="s">
        <v>20</v>
      </c>
      <c r="L147" s="6">
        <v>469.79999999999995</v>
      </c>
    </row>
    <row r="148" spans="1:12" x14ac:dyDescent="0.25">
      <c r="A148" s="4">
        <v>153</v>
      </c>
      <c r="B148" s="4" t="s">
        <v>153</v>
      </c>
      <c r="C148" s="4" t="s">
        <v>25</v>
      </c>
      <c r="D148" s="4" t="s">
        <v>96</v>
      </c>
      <c r="E148" s="5" t="s">
        <v>97</v>
      </c>
      <c r="F148" s="6">
        <v>783</v>
      </c>
      <c r="G148" s="6">
        <f>F148*Kurallar!$C$10</f>
        <v>469.79999999999995</v>
      </c>
      <c r="H148" s="6">
        <f t="shared" si="6"/>
        <v>5637.5999999999995</v>
      </c>
      <c r="I148" s="6">
        <v>12</v>
      </c>
      <c r="J148" s="4" t="s">
        <v>18</v>
      </c>
      <c r="K148" s="4" t="s">
        <v>20</v>
      </c>
      <c r="L148" s="6">
        <v>5637.5999999999995</v>
      </c>
    </row>
    <row r="149" spans="1:12" x14ac:dyDescent="0.25">
      <c r="A149" s="4">
        <v>154</v>
      </c>
      <c r="B149" s="4" t="s">
        <v>153</v>
      </c>
      <c r="C149" s="4" t="s">
        <v>133</v>
      </c>
      <c r="D149" s="4" t="s">
        <v>134</v>
      </c>
      <c r="E149" s="5" t="s">
        <v>164</v>
      </c>
      <c r="F149" s="6">
        <v>5214</v>
      </c>
      <c r="G149" s="6">
        <f>F149*Kurallar!$C$10</f>
        <v>3128.4</v>
      </c>
      <c r="H149" s="6">
        <f t="shared" si="6"/>
        <v>15642</v>
      </c>
      <c r="I149" s="6">
        <v>5</v>
      </c>
      <c r="J149" s="4" t="s">
        <v>18</v>
      </c>
      <c r="K149" s="4" t="s">
        <v>20</v>
      </c>
      <c r="L149" s="6">
        <v>15642</v>
      </c>
    </row>
    <row r="150" spans="1:12" x14ac:dyDescent="0.25">
      <c r="A150" s="4">
        <v>155</v>
      </c>
      <c r="B150" s="4" t="s">
        <v>153</v>
      </c>
      <c r="C150" s="4" t="s">
        <v>136</v>
      </c>
      <c r="D150" s="4" t="s">
        <v>149</v>
      </c>
      <c r="E150" s="5" t="s">
        <v>150</v>
      </c>
      <c r="F150" s="6">
        <v>4445</v>
      </c>
      <c r="G150" s="6">
        <f>F150*Kurallar!$C$10</f>
        <v>2667</v>
      </c>
      <c r="H150" s="6">
        <f t="shared" si="6"/>
        <v>5334</v>
      </c>
      <c r="I150" s="6">
        <v>2</v>
      </c>
      <c r="J150" s="4" t="s">
        <v>18</v>
      </c>
      <c r="K150" s="4" t="s">
        <v>20</v>
      </c>
      <c r="L150" s="6">
        <v>5334</v>
      </c>
    </row>
    <row r="151" spans="1:12" x14ac:dyDescent="0.25">
      <c r="A151" s="4">
        <v>156</v>
      </c>
      <c r="B151" s="4" t="s">
        <v>153</v>
      </c>
      <c r="C151" s="4" t="s">
        <v>136</v>
      </c>
      <c r="D151" s="4" t="s">
        <v>137</v>
      </c>
      <c r="E151" s="5" t="s">
        <v>138</v>
      </c>
      <c r="F151" s="6">
        <v>4445</v>
      </c>
      <c r="G151" s="6">
        <f>F151*Kurallar!$C$10</f>
        <v>2667</v>
      </c>
      <c r="H151" s="6">
        <f t="shared" si="6"/>
        <v>5334</v>
      </c>
      <c r="I151" s="6">
        <v>2</v>
      </c>
      <c r="J151" s="4" t="s">
        <v>18</v>
      </c>
      <c r="K151" s="4" t="s">
        <v>20</v>
      </c>
      <c r="L151" s="6">
        <v>5334</v>
      </c>
    </row>
    <row r="152" spans="1:12" x14ac:dyDescent="0.25">
      <c r="A152" s="4">
        <v>157</v>
      </c>
      <c r="B152" s="4" t="s">
        <v>153</v>
      </c>
      <c r="C152" s="4" t="s">
        <v>136</v>
      </c>
      <c r="D152" s="4" t="s">
        <v>165</v>
      </c>
      <c r="E152" s="5" t="s">
        <v>166</v>
      </c>
      <c r="F152" s="6">
        <v>4445</v>
      </c>
      <c r="G152" s="6">
        <f>F152*Kurallar!$C$10</f>
        <v>2667</v>
      </c>
      <c r="H152" s="6">
        <f t="shared" si="6"/>
        <v>2667</v>
      </c>
      <c r="I152" s="6">
        <v>1</v>
      </c>
      <c r="J152" s="4" t="s">
        <v>18</v>
      </c>
      <c r="K152" s="4" t="s">
        <v>20</v>
      </c>
      <c r="L152" s="6">
        <v>2667</v>
      </c>
    </row>
    <row r="153" spans="1:12" x14ac:dyDescent="0.25">
      <c r="A153" s="4">
        <v>158</v>
      </c>
      <c r="B153" s="4" t="s">
        <v>153</v>
      </c>
      <c r="C153" s="4" t="s">
        <v>139</v>
      </c>
      <c r="D153" s="4" t="s">
        <v>325</v>
      </c>
      <c r="E153" s="5" t="s">
        <v>326</v>
      </c>
      <c r="F153" s="6">
        <v>8502</v>
      </c>
      <c r="G153" s="6">
        <f>F153</f>
        <v>8502</v>
      </c>
      <c r="H153" s="6">
        <f t="shared" si="6"/>
        <v>8502</v>
      </c>
      <c r="I153" s="6">
        <v>1</v>
      </c>
      <c r="J153" s="4" t="s">
        <v>18</v>
      </c>
      <c r="K153" s="21" t="s">
        <v>73</v>
      </c>
      <c r="L153" s="6">
        <v>11308.199999999999</v>
      </c>
    </row>
    <row r="154" spans="1:12" x14ac:dyDescent="0.25">
      <c r="A154" s="4">
        <v>159</v>
      </c>
      <c r="B154" s="4" t="s">
        <v>153</v>
      </c>
      <c r="C154" s="4" t="s">
        <v>140</v>
      </c>
      <c r="D154" s="4" t="s">
        <v>167</v>
      </c>
      <c r="E154" s="5" t="s">
        <v>168</v>
      </c>
      <c r="F154" s="6">
        <v>3002</v>
      </c>
      <c r="G154" s="6">
        <f>F154*Kurallar!$C$10</f>
        <v>1801.2</v>
      </c>
      <c r="H154" s="6">
        <f t="shared" si="6"/>
        <v>1801.2</v>
      </c>
      <c r="I154" s="6">
        <v>1</v>
      </c>
      <c r="J154" s="4" t="s">
        <v>18</v>
      </c>
      <c r="K154" s="4" t="s">
        <v>20</v>
      </c>
      <c r="L154" s="6">
        <v>1801.2</v>
      </c>
    </row>
    <row r="155" spans="1:12" x14ac:dyDescent="0.25">
      <c r="A155" s="4">
        <v>160</v>
      </c>
      <c r="B155" s="4" t="s">
        <v>153</v>
      </c>
      <c r="C155" s="4" t="s">
        <v>140</v>
      </c>
      <c r="D155" s="4" t="s">
        <v>141</v>
      </c>
      <c r="E155" s="5" t="s">
        <v>169</v>
      </c>
      <c r="F155" s="6">
        <v>3000</v>
      </c>
      <c r="G155" s="6">
        <f>F155*Kurallar!$C$10</f>
        <v>1800</v>
      </c>
      <c r="H155" s="6">
        <f t="shared" si="6"/>
        <v>9000</v>
      </c>
      <c r="I155" s="6">
        <v>5</v>
      </c>
      <c r="J155" s="4" t="s">
        <v>18</v>
      </c>
      <c r="K155" s="4" t="s">
        <v>20</v>
      </c>
      <c r="L155" s="6">
        <v>9000</v>
      </c>
    </row>
    <row r="156" spans="1:12" x14ac:dyDescent="0.25">
      <c r="A156" s="4">
        <v>161</v>
      </c>
      <c r="B156" s="4" t="s">
        <v>153</v>
      </c>
      <c r="C156" s="4" t="s">
        <v>53</v>
      </c>
      <c r="D156" s="4" t="s">
        <v>54</v>
      </c>
      <c r="E156" s="5" t="s">
        <v>55</v>
      </c>
      <c r="F156" s="6">
        <v>571</v>
      </c>
      <c r="G156" s="6">
        <f>F156*Kurallar!$C$10</f>
        <v>342.59999999999997</v>
      </c>
      <c r="H156" s="6">
        <f t="shared" si="6"/>
        <v>342.59999999999997</v>
      </c>
      <c r="I156" s="6">
        <v>1</v>
      </c>
      <c r="J156" s="4" t="s">
        <v>18</v>
      </c>
      <c r="K156" s="4" t="s">
        <v>20</v>
      </c>
      <c r="L156" s="6">
        <v>342.59999999999997</v>
      </c>
    </row>
    <row r="157" spans="1:12" x14ac:dyDescent="0.25">
      <c r="A157" s="4">
        <v>162</v>
      </c>
      <c r="B157" s="4" t="s">
        <v>153</v>
      </c>
      <c r="C157" s="4" t="s">
        <v>53</v>
      </c>
      <c r="D157" s="4" t="s">
        <v>56</v>
      </c>
      <c r="E157" s="5" t="s">
        <v>170</v>
      </c>
      <c r="F157" s="6">
        <v>589</v>
      </c>
      <c r="G157" s="6">
        <f>F157*Kurallar!$C$10</f>
        <v>353.4</v>
      </c>
      <c r="H157" s="6">
        <f t="shared" si="6"/>
        <v>2120.3999999999996</v>
      </c>
      <c r="I157" s="6">
        <v>6</v>
      </c>
      <c r="J157" s="4" t="s">
        <v>18</v>
      </c>
      <c r="K157" s="4" t="s">
        <v>20</v>
      </c>
      <c r="L157" s="6">
        <v>2120.3999999999996</v>
      </c>
    </row>
    <row r="158" spans="1:12" x14ac:dyDescent="0.25">
      <c r="A158" s="4">
        <v>163</v>
      </c>
      <c r="B158" s="4" t="s">
        <v>153</v>
      </c>
      <c r="C158" s="4" t="s">
        <v>53</v>
      </c>
      <c r="D158" s="4" t="s">
        <v>58</v>
      </c>
      <c r="E158" s="5" t="s">
        <v>171</v>
      </c>
      <c r="F158" s="6">
        <v>571</v>
      </c>
      <c r="G158" s="6">
        <f>F158*Kurallar!$C$10</f>
        <v>342.59999999999997</v>
      </c>
      <c r="H158" s="6">
        <f t="shared" si="6"/>
        <v>2055.6</v>
      </c>
      <c r="I158" s="6">
        <v>6</v>
      </c>
      <c r="J158" s="4" t="s">
        <v>18</v>
      </c>
      <c r="K158" s="4" t="s">
        <v>20</v>
      </c>
      <c r="L158" s="6">
        <v>2055.6</v>
      </c>
    </row>
    <row r="159" spans="1:12" x14ac:dyDescent="0.25">
      <c r="A159" s="4">
        <v>164</v>
      </c>
      <c r="B159" s="4" t="s">
        <v>153</v>
      </c>
      <c r="C159" s="4" t="s">
        <v>60</v>
      </c>
      <c r="D159" s="4" t="s">
        <v>100</v>
      </c>
      <c r="E159" s="5" t="s">
        <v>101</v>
      </c>
      <c r="F159" s="6">
        <v>4465</v>
      </c>
      <c r="G159" s="6">
        <f>F159*Kurallar!$C$10</f>
        <v>2679</v>
      </c>
      <c r="H159" s="6">
        <f t="shared" si="6"/>
        <v>2679</v>
      </c>
      <c r="I159" s="6">
        <v>1</v>
      </c>
      <c r="J159" s="4" t="s">
        <v>18</v>
      </c>
      <c r="K159" s="4" t="s">
        <v>20</v>
      </c>
      <c r="L159" s="6">
        <v>2679</v>
      </c>
    </row>
    <row r="160" spans="1:12" x14ac:dyDescent="0.25">
      <c r="A160" s="4">
        <v>165</v>
      </c>
      <c r="B160" s="4" t="s">
        <v>153</v>
      </c>
      <c r="C160" s="4" t="s">
        <v>64</v>
      </c>
      <c r="D160" s="4" t="s">
        <v>102</v>
      </c>
      <c r="E160" s="5" t="s">
        <v>172</v>
      </c>
      <c r="F160" s="6">
        <v>130</v>
      </c>
      <c r="G160" s="6">
        <f>F160*Kurallar!$C$11</f>
        <v>130</v>
      </c>
      <c r="H160" s="6">
        <f t="shared" si="6"/>
        <v>3900</v>
      </c>
      <c r="I160" s="6">
        <v>30</v>
      </c>
      <c r="J160" s="4" t="s">
        <v>18</v>
      </c>
      <c r="K160" s="21" t="s">
        <v>324</v>
      </c>
      <c r="L160" s="6">
        <v>9750</v>
      </c>
    </row>
    <row r="161" spans="1:12" x14ac:dyDescent="0.25">
      <c r="A161" s="4">
        <v>166</v>
      </c>
      <c r="B161" s="4" t="s">
        <v>153</v>
      </c>
      <c r="C161" s="4" t="s">
        <v>64</v>
      </c>
      <c r="D161" s="4" t="s">
        <v>69</v>
      </c>
      <c r="E161" s="5" t="s">
        <v>145</v>
      </c>
      <c r="F161" s="6">
        <v>445</v>
      </c>
      <c r="G161" s="6">
        <f>F161*Kurallar!$C$11</f>
        <v>445</v>
      </c>
      <c r="H161" s="6">
        <f t="shared" si="6"/>
        <v>2225</v>
      </c>
      <c r="I161" s="6">
        <v>5</v>
      </c>
      <c r="J161" s="4" t="s">
        <v>18</v>
      </c>
      <c r="K161" s="21" t="s">
        <v>324</v>
      </c>
      <c r="L161" s="6">
        <v>2225</v>
      </c>
    </row>
    <row r="162" spans="1:12" x14ac:dyDescent="0.25">
      <c r="A162" s="4">
        <v>167</v>
      </c>
      <c r="B162" s="4" t="s">
        <v>153</v>
      </c>
      <c r="C162" s="4" t="s">
        <v>60</v>
      </c>
      <c r="D162" s="4" t="s">
        <v>105</v>
      </c>
      <c r="E162" s="5" t="s">
        <v>106</v>
      </c>
      <c r="F162" s="6">
        <v>3610</v>
      </c>
      <c r="G162" s="6">
        <f>F162*Kurallar!$C$11</f>
        <v>3610</v>
      </c>
      <c r="H162" s="6">
        <f t="shared" si="6"/>
        <v>3610</v>
      </c>
      <c r="I162" s="6">
        <v>1</v>
      </c>
      <c r="J162" s="4" t="s">
        <v>18</v>
      </c>
      <c r="K162" s="4" t="s">
        <v>73</v>
      </c>
      <c r="L162" s="6">
        <v>7220</v>
      </c>
    </row>
    <row r="163" spans="1:12" x14ac:dyDescent="0.25">
      <c r="A163" s="4">
        <v>169</v>
      </c>
      <c r="B163" s="4" t="s">
        <v>153</v>
      </c>
      <c r="C163" s="4" t="s">
        <v>74</v>
      </c>
      <c r="D163" s="4" t="s">
        <v>107</v>
      </c>
      <c r="E163" s="5" t="s">
        <v>108</v>
      </c>
      <c r="F163" s="6">
        <v>210</v>
      </c>
      <c r="G163" s="6">
        <f>F163*Kurallar!$C$11</f>
        <v>210</v>
      </c>
      <c r="H163" s="6">
        <f t="shared" si="6"/>
        <v>1680</v>
      </c>
      <c r="I163" s="6">
        <v>8</v>
      </c>
      <c r="J163" s="4" t="s">
        <v>63</v>
      </c>
      <c r="K163" s="21" t="s">
        <v>324</v>
      </c>
      <c r="L163" s="6">
        <v>1680</v>
      </c>
    </row>
    <row r="164" spans="1:12" x14ac:dyDescent="0.25">
      <c r="A164" s="4">
        <v>170</v>
      </c>
      <c r="B164" s="4" t="s">
        <v>153</v>
      </c>
      <c r="C164" s="4" t="s">
        <v>77</v>
      </c>
      <c r="D164" s="4" t="s">
        <v>78</v>
      </c>
      <c r="E164" s="5" t="s">
        <v>79</v>
      </c>
      <c r="F164" s="6">
        <f>ROUND(SUM(H137:H163)*Kurallar!$C$12,0)</f>
        <v>5312</v>
      </c>
      <c r="G164" s="6">
        <f>F164</f>
        <v>5312</v>
      </c>
      <c r="H164" s="6">
        <f t="shared" si="6"/>
        <v>5312</v>
      </c>
      <c r="I164" s="6">
        <v>1</v>
      </c>
      <c r="J164" s="4" t="s">
        <v>18</v>
      </c>
      <c r="K164" s="4" t="s">
        <v>14</v>
      </c>
      <c r="L164" s="6">
        <v>5759</v>
      </c>
    </row>
    <row r="165" spans="1:12" x14ac:dyDescent="0.25">
      <c r="A165" s="4">
        <v>171</v>
      </c>
      <c r="B165" s="4" t="s">
        <v>153</v>
      </c>
      <c r="C165" s="4" t="s">
        <v>80</v>
      </c>
      <c r="D165" s="4" t="s">
        <v>78</v>
      </c>
      <c r="E165" s="5" t="s">
        <v>81</v>
      </c>
      <c r="F165" s="7">
        <f>ROUND(I165/60,1)</f>
        <v>6.7</v>
      </c>
      <c r="G165" s="6">
        <f>Kurallar!$C$13</f>
        <v>100</v>
      </c>
      <c r="H165" s="6">
        <f t="shared" si="6"/>
        <v>40028.571428571428</v>
      </c>
      <c r="I165" s="6">
        <f>ROUND((Kurallar!$C$52+Kurallar!$C$31*2+Kurallar!$C$34*1+Kurallar!$C$37*6+Kurallar!$C$43*1+Kurallar!$C$42*1+Kurallar!$C$30*25+Kurallar!$C$38*5+Kurallar!$C$39*1+Kurallar!$C$40*6+Kurallar!$C$41*13+Kurallar!$C$46*1+Kurallar!$C$45*80+Kurallar!$C$47*2+Kurallar!$C$48*5+Kurallar!$C$49*8)*Kurallar!$C$54,0)/3.5</f>
        <v>400.28571428571428</v>
      </c>
      <c r="J165" s="4" t="s">
        <v>82</v>
      </c>
      <c r="K165" s="4" t="s">
        <v>14</v>
      </c>
      <c r="L165" s="6">
        <v>140100</v>
      </c>
    </row>
  </sheetData>
  <autoFilter ref="A1:L165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1AEF1-5F90-4843-8AC1-5CF9066B965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5"/>
  <sheetViews>
    <sheetView zoomScaleNormal="100" workbookViewId="0"/>
  </sheetViews>
  <sheetFormatPr defaultColWidth="8.7109375" defaultRowHeight="15" x14ac:dyDescent="0.25"/>
  <cols>
    <col min="1" max="1" width="34" customWidth="1"/>
    <col min="2" max="2" width="30" customWidth="1"/>
    <col min="3" max="3" width="16" customWidth="1"/>
    <col min="4" max="4" width="110" customWidth="1"/>
  </cols>
  <sheetData>
    <row r="1" spans="1:4" ht="15.75" x14ac:dyDescent="0.25">
      <c r="A1" s="8" t="s">
        <v>173</v>
      </c>
      <c r="C1" s="9"/>
    </row>
    <row r="2" spans="1:4" x14ac:dyDescent="0.25">
      <c r="C2" s="9"/>
    </row>
    <row r="3" spans="1:4" x14ac:dyDescent="0.25">
      <c r="A3" s="10" t="s">
        <v>174</v>
      </c>
      <c r="C3" s="9"/>
      <c r="D3" s="11"/>
    </row>
    <row r="4" spans="1:4" x14ac:dyDescent="0.25">
      <c r="A4" s="11" t="s">
        <v>175</v>
      </c>
      <c r="C4" s="12" t="s">
        <v>176</v>
      </c>
      <c r="D4" s="11"/>
    </row>
    <row r="5" spans="1:4" x14ac:dyDescent="0.25">
      <c r="A5" s="11" t="s">
        <v>177</v>
      </c>
      <c r="C5" s="13" t="s">
        <v>178</v>
      </c>
      <c r="D5" s="11"/>
    </row>
    <row r="6" spans="1:4" x14ac:dyDescent="0.25">
      <c r="A6" s="11" t="s">
        <v>179</v>
      </c>
      <c r="C6" s="13" t="s">
        <v>180</v>
      </c>
      <c r="D6" s="11"/>
    </row>
    <row r="7" spans="1:4" x14ac:dyDescent="0.25">
      <c r="A7" s="11" t="s">
        <v>181</v>
      </c>
      <c r="C7" s="13" t="s">
        <v>182</v>
      </c>
      <c r="D7" s="11"/>
    </row>
    <row r="8" spans="1:4" x14ac:dyDescent="0.25">
      <c r="C8" s="9"/>
    </row>
    <row r="9" spans="1:4" x14ac:dyDescent="0.25">
      <c r="A9" s="10" t="s">
        <v>183</v>
      </c>
      <c r="C9" s="9"/>
      <c r="D9" s="11"/>
    </row>
    <row r="10" spans="1:4" x14ac:dyDescent="0.25">
      <c r="A10" s="11" t="s">
        <v>184</v>
      </c>
      <c r="C10" s="12">
        <v>0.6</v>
      </c>
      <c r="D10" s="11" t="s">
        <v>185</v>
      </c>
    </row>
    <row r="11" spans="1:4" x14ac:dyDescent="0.25">
      <c r="A11" s="11" t="s">
        <v>186</v>
      </c>
      <c r="C11" s="12">
        <v>1</v>
      </c>
      <c r="D11" s="11" t="s">
        <v>187</v>
      </c>
    </row>
    <row r="12" spans="1:4" x14ac:dyDescent="0.25">
      <c r="A12" s="11" t="s">
        <v>188</v>
      </c>
      <c r="C12" s="12">
        <v>0.03</v>
      </c>
      <c r="D12" s="11" t="s">
        <v>189</v>
      </c>
    </row>
    <row r="13" spans="1:4" x14ac:dyDescent="0.25">
      <c r="A13" s="11" t="s">
        <v>190</v>
      </c>
      <c r="C13" s="12">
        <v>100</v>
      </c>
      <c r="D13" s="11"/>
    </row>
    <row r="14" spans="1:4" x14ac:dyDescent="0.25">
      <c r="C14" s="9"/>
    </row>
    <row r="15" spans="1:4" x14ac:dyDescent="0.25">
      <c r="A15" s="10" t="s">
        <v>191</v>
      </c>
      <c r="C15" s="9"/>
      <c r="D15" s="11"/>
    </row>
    <row r="16" spans="1:4" x14ac:dyDescent="0.25">
      <c r="A16" s="10" t="s">
        <v>192</v>
      </c>
      <c r="B16" s="10" t="s">
        <v>193</v>
      </c>
      <c r="C16" s="14" t="s">
        <v>194</v>
      </c>
      <c r="D16" s="10" t="s">
        <v>195</v>
      </c>
    </row>
    <row r="17" spans="1:4" x14ac:dyDescent="0.25">
      <c r="A17" s="11" t="s">
        <v>196</v>
      </c>
      <c r="B17" s="11" t="s">
        <v>197</v>
      </c>
      <c r="C17" s="15">
        <v>2</v>
      </c>
      <c r="D17" s="11" t="s">
        <v>198</v>
      </c>
    </row>
    <row r="18" spans="1:4" x14ac:dyDescent="0.25">
      <c r="A18" s="11" t="s">
        <v>199</v>
      </c>
      <c r="B18" s="11" t="s">
        <v>200</v>
      </c>
      <c r="C18" s="15">
        <v>1</v>
      </c>
      <c r="D18" s="11" t="s">
        <v>198</v>
      </c>
    </row>
    <row r="19" spans="1:4" x14ac:dyDescent="0.25">
      <c r="A19" s="11" t="s">
        <v>201</v>
      </c>
      <c r="B19" s="11" t="s">
        <v>202</v>
      </c>
      <c r="C19" s="15">
        <v>0</v>
      </c>
      <c r="D19" s="11" t="s">
        <v>203</v>
      </c>
    </row>
    <row r="20" spans="1:4" x14ac:dyDescent="0.25">
      <c r="A20" s="11" t="s">
        <v>204</v>
      </c>
      <c r="B20" s="11" t="s">
        <v>205</v>
      </c>
      <c r="C20" s="15">
        <v>9</v>
      </c>
      <c r="D20" s="11" t="s">
        <v>203</v>
      </c>
    </row>
    <row r="21" spans="1:4" x14ac:dyDescent="0.25">
      <c r="A21" s="11" t="s">
        <v>206</v>
      </c>
      <c r="B21" s="11" t="s">
        <v>207</v>
      </c>
      <c r="C21" s="15">
        <v>10</v>
      </c>
      <c r="D21" s="11" t="s">
        <v>203</v>
      </c>
    </row>
    <row r="22" spans="1:4" x14ac:dyDescent="0.25">
      <c r="A22" s="11" t="s">
        <v>208</v>
      </c>
      <c r="B22" s="11" t="s">
        <v>209</v>
      </c>
      <c r="C22" s="15">
        <v>13</v>
      </c>
      <c r="D22" s="16" t="s">
        <v>210</v>
      </c>
    </row>
    <row r="23" spans="1:4" x14ac:dyDescent="0.25">
      <c r="A23" s="11" t="s">
        <v>211</v>
      </c>
      <c r="B23" s="11" t="s">
        <v>212</v>
      </c>
      <c r="C23" s="15">
        <v>14</v>
      </c>
      <c r="D23" s="16" t="s">
        <v>210</v>
      </c>
    </row>
    <row r="24" spans="1:4" x14ac:dyDescent="0.25">
      <c r="A24" s="11" t="s">
        <v>213</v>
      </c>
      <c r="B24" s="11" t="s">
        <v>214</v>
      </c>
      <c r="C24" s="15">
        <v>18</v>
      </c>
      <c r="D24" s="16" t="s">
        <v>210</v>
      </c>
    </row>
    <row r="25" spans="1:4" x14ac:dyDescent="0.25">
      <c r="A25" s="11" t="s">
        <v>215</v>
      </c>
      <c r="B25" s="11" t="s">
        <v>216</v>
      </c>
      <c r="C25" s="15">
        <v>45</v>
      </c>
      <c r="D25" s="16" t="s">
        <v>217</v>
      </c>
    </row>
    <row r="26" spans="1:4" x14ac:dyDescent="0.25">
      <c r="A26" s="11" t="s">
        <v>218</v>
      </c>
      <c r="B26" s="11" t="s">
        <v>219</v>
      </c>
      <c r="C26" s="15">
        <v>49</v>
      </c>
      <c r="D26" s="16" t="s">
        <v>217</v>
      </c>
    </row>
    <row r="27" spans="1:4" x14ac:dyDescent="0.25">
      <c r="A27" s="11" t="s">
        <v>220</v>
      </c>
      <c r="B27" s="11" t="s">
        <v>221</v>
      </c>
      <c r="C27" s="15">
        <v>54</v>
      </c>
      <c r="D27" s="16" t="s">
        <v>217</v>
      </c>
    </row>
    <row r="28" spans="1:4" x14ac:dyDescent="0.25">
      <c r="C28" s="9"/>
    </row>
    <row r="29" spans="1:4" x14ac:dyDescent="0.25">
      <c r="A29" s="10" t="s">
        <v>222</v>
      </c>
      <c r="C29" s="9"/>
      <c r="D29" s="11"/>
    </row>
    <row r="30" spans="1:4" x14ac:dyDescent="0.25">
      <c r="A30" s="11" t="s">
        <v>223</v>
      </c>
      <c r="C30" s="12">
        <v>10</v>
      </c>
      <c r="D30" s="11"/>
    </row>
    <row r="31" spans="1:4" x14ac:dyDescent="0.25">
      <c r="A31" s="11" t="s">
        <v>224</v>
      </c>
      <c r="C31" s="12">
        <v>18</v>
      </c>
      <c r="D31" s="11"/>
    </row>
    <row r="32" spans="1:4" x14ac:dyDescent="0.25">
      <c r="A32" s="11" t="s">
        <v>225</v>
      </c>
      <c r="C32" s="12">
        <v>60</v>
      </c>
      <c r="D32" s="11"/>
    </row>
    <row r="33" spans="1:4" x14ac:dyDescent="0.25">
      <c r="A33" s="11" t="s">
        <v>226</v>
      </c>
      <c r="C33" s="12">
        <v>14</v>
      </c>
      <c r="D33" s="11"/>
    </row>
    <row r="34" spans="1:4" x14ac:dyDescent="0.25">
      <c r="A34" s="11" t="s">
        <v>227</v>
      </c>
      <c r="C34" s="12">
        <v>18</v>
      </c>
      <c r="D34" s="11"/>
    </row>
    <row r="35" spans="1:4" x14ac:dyDescent="0.25">
      <c r="A35" s="11" t="s">
        <v>228</v>
      </c>
      <c r="C35" s="12">
        <v>15</v>
      </c>
      <c r="D35" s="11"/>
    </row>
    <row r="36" spans="1:4" x14ac:dyDescent="0.25">
      <c r="A36" s="11" t="s">
        <v>229</v>
      </c>
      <c r="C36" s="12">
        <v>10</v>
      </c>
      <c r="D36" s="11" t="s">
        <v>230</v>
      </c>
    </row>
    <row r="37" spans="1:4" x14ac:dyDescent="0.25">
      <c r="A37" s="11" t="s">
        <v>231</v>
      </c>
      <c r="C37" s="12">
        <v>20</v>
      </c>
      <c r="D37" s="11"/>
    </row>
    <row r="38" spans="1:4" x14ac:dyDescent="0.25">
      <c r="A38" s="11" t="s">
        <v>232</v>
      </c>
      <c r="C38" s="12">
        <v>12</v>
      </c>
      <c r="D38" s="11"/>
    </row>
    <row r="39" spans="1:4" x14ac:dyDescent="0.25">
      <c r="A39" s="11" t="s">
        <v>233</v>
      </c>
      <c r="C39" s="12">
        <v>15</v>
      </c>
      <c r="D39" s="11"/>
    </row>
    <row r="40" spans="1:4" x14ac:dyDescent="0.25">
      <c r="A40" s="11" t="s">
        <v>234</v>
      </c>
      <c r="C40" s="12">
        <v>20</v>
      </c>
      <c r="D40" s="11"/>
    </row>
    <row r="41" spans="1:4" x14ac:dyDescent="0.25">
      <c r="A41" s="11" t="s">
        <v>235</v>
      </c>
      <c r="C41" s="12">
        <v>8</v>
      </c>
      <c r="D41" s="11"/>
    </row>
    <row r="42" spans="1:4" x14ac:dyDescent="0.25">
      <c r="A42" s="11" t="s">
        <v>236</v>
      </c>
      <c r="C42" s="12">
        <v>10</v>
      </c>
      <c r="D42" s="11"/>
    </row>
    <row r="43" spans="1:4" x14ac:dyDescent="0.25">
      <c r="A43" s="11" t="s">
        <v>237</v>
      </c>
      <c r="C43" s="12">
        <v>15</v>
      </c>
      <c r="D43" s="11"/>
    </row>
    <row r="44" spans="1:4" x14ac:dyDescent="0.25">
      <c r="A44" s="11" t="s">
        <v>238</v>
      </c>
      <c r="C44" s="12">
        <v>60</v>
      </c>
      <c r="D44" s="11"/>
    </row>
    <row r="45" spans="1:4" x14ac:dyDescent="0.25">
      <c r="A45" s="11" t="s">
        <v>64</v>
      </c>
      <c r="C45" s="12">
        <v>4</v>
      </c>
      <c r="D45" s="11" t="s">
        <v>239</v>
      </c>
    </row>
    <row r="46" spans="1:4" x14ac:dyDescent="0.25">
      <c r="A46" s="11" t="s">
        <v>240</v>
      </c>
      <c r="C46" s="12">
        <v>10</v>
      </c>
      <c r="D46" s="11" t="s">
        <v>239</v>
      </c>
    </row>
    <row r="47" spans="1:4" x14ac:dyDescent="0.25">
      <c r="A47" s="11" t="s">
        <v>241</v>
      </c>
      <c r="C47" s="12">
        <v>15</v>
      </c>
      <c r="D47" s="11" t="s">
        <v>239</v>
      </c>
    </row>
    <row r="48" spans="1:4" x14ac:dyDescent="0.25">
      <c r="A48" s="11" t="s">
        <v>242</v>
      </c>
      <c r="C48" s="12">
        <v>5</v>
      </c>
      <c r="D48" s="11" t="s">
        <v>243</v>
      </c>
    </row>
    <row r="49" spans="1:4" x14ac:dyDescent="0.25">
      <c r="A49" s="11" t="s">
        <v>244</v>
      </c>
      <c r="C49" s="12">
        <v>5</v>
      </c>
      <c r="D49" s="11" t="s">
        <v>243</v>
      </c>
    </row>
    <row r="50" spans="1:4" x14ac:dyDescent="0.25">
      <c r="A50" s="11" t="s">
        <v>245</v>
      </c>
      <c r="C50" s="12">
        <v>45</v>
      </c>
      <c r="D50" s="11" t="s">
        <v>243</v>
      </c>
    </row>
    <row r="51" spans="1:4" x14ac:dyDescent="0.25">
      <c r="A51" s="11" t="s">
        <v>246</v>
      </c>
      <c r="C51" s="12">
        <v>30</v>
      </c>
      <c r="D51" s="11"/>
    </row>
    <row r="52" spans="1:4" x14ac:dyDescent="0.25">
      <c r="A52" s="11" t="s">
        <v>247</v>
      </c>
      <c r="C52" s="12">
        <v>45</v>
      </c>
      <c r="D52" s="11"/>
    </row>
    <row r="53" spans="1:4" x14ac:dyDescent="0.25">
      <c r="A53" s="11" t="s">
        <v>248</v>
      </c>
      <c r="C53" s="12">
        <v>90</v>
      </c>
      <c r="D53" s="11"/>
    </row>
    <row r="54" spans="1:4" x14ac:dyDescent="0.25">
      <c r="A54" s="11" t="s">
        <v>249</v>
      </c>
      <c r="C54" s="12">
        <v>1.1499999999999999</v>
      </c>
      <c r="D54" s="11"/>
    </row>
    <row r="55" spans="1:4" x14ac:dyDescent="0.25">
      <c r="C55" s="9"/>
    </row>
    <row r="56" spans="1:4" x14ac:dyDescent="0.25">
      <c r="A56" s="10" t="s">
        <v>250</v>
      </c>
      <c r="C56" s="9"/>
      <c r="D56" s="11"/>
    </row>
    <row r="57" spans="1:4" x14ac:dyDescent="0.25">
      <c r="A57" s="10" t="s">
        <v>251</v>
      </c>
      <c r="B57" s="10" t="s">
        <v>252</v>
      </c>
      <c r="C57" s="14" t="s">
        <v>253</v>
      </c>
      <c r="D57" s="10" t="s">
        <v>254</v>
      </c>
    </row>
    <row r="58" spans="1:4" x14ac:dyDescent="0.25">
      <c r="A58" s="10" t="s">
        <v>12</v>
      </c>
      <c r="B58" s="11" t="s">
        <v>17</v>
      </c>
      <c r="C58" s="12">
        <v>117250</v>
      </c>
      <c r="D58" s="11" t="s">
        <v>255</v>
      </c>
    </row>
    <row r="59" spans="1:4" x14ac:dyDescent="0.25">
      <c r="A59" s="10" t="s">
        <v>83</v>
      </c>
      <c r="B59" s="11" t="s">
        <v>85</v>
      </c>
      <c r="C59" s="12">
        <v>55000</v>
      </c>
      <c r="D59" s="11" t="s">
        <v>256</v>
      </c>
    </row>
    <row r="60" spans="1:4" x14ac:dyDescent="0.25">
      <c r="A60" s="10" t="s">
        <v>109</v>
      </c>
      <c r="B60" s="11" t="s">
        <v>110</v>
      </c>
      <c r="C60" s="12">
        <v>60000</v>
      </c>
      <c r="D60" s="11" t="s">
        <v>257</v>
      </c>
    </row>
    <row r="61" spans="1:4" x14ac:dyDescent="0.25">
      <c r="A61" s="10" t="s">
        <v>111</v>
      </c>
      <c r="B61" s="11" t="s">
        <v>112</v>
      </c>
      <c r="C61" s="12">
        <v>95000</v>
      </c>
      <c r="D61" s="11" t="s">
        <v>258</v>
      </c>
    </row>
    <row r="62" spans="1:4" x14ac:dyDescent="0.25">
      <c r="A62" s="10" t="s">
        <v>125</v>
      </c>
      <c r="B62" s="11" t="s">
        <v>126</v>
      </c>
      <c r="C62" s="12">
        <v>100000</v>
      </c>
      <c r="D62" s="11" t="s">
        <v>257</v>
      </c>
    </row>
    <row r="63" spans="1:4" x14ac:dyDescent="0.25">
      <c r="A63" s="10" t="s">
        <v>146</v>
      </c>
      <c r="B63" s="11" t="s">
        <v>112</v>
      </c>
      <c r="C63" s="12">
        <v>95000</v>
      </c>
      <c r="D63" s="11" t="s">
        <v>257</v>
      </c>
    </row>
    <row r="64" spans="1:4" x14ac:dyDescent="0.25">
      <c r="A64" s="10" t="s">
        <v>153</v>
      </c>
      <c r="B64" s="11" t="s">
        <v>154</v>
      </c>
      <c r="C64" s="12">
        <v>65000</v>
      </c>
      <c r="D64" s="11" t="s">
        <v>259</v>
      </c>
    </row>
    <row r="65" spans="1:4" x14ac:dyDescent="0.25">
      <c r="C65" s="9"/>
    </row>
    <row r="66" spans="1:4" x14ac:dyDescent="0.25">
      <c r="C66" s="9"/>
    </row>
    <row r="67" spans="1:4" x14ac:dyDescent="0.25">
      <c r="A67" s="10" t="s">
        <v>260</v>
      </c>
      <c r="C67" s="9"/>
      <c r="D67" s="11"/>
    </row>
    <row r="68" spans="1:4" x14ac:dyDescent="0.25">
      <c r="A68" s="10" t="s">
        <v>261</v>
      </c>
      <c r="B68" s="10" t="s">
        <v>262</v>
      </c>
      <c r="C68" s="9"/>
      <c r="D68" s="10" t="s">
        <v>263</v>
      </c>
    </row>
    <row r="69" spans="1:4" ht="30" customHeight="1" x14ac:dyDescent="0.25">
      <c r="A69" s="10" t="s">
        <v>264</v>
      </c>
      <c r="B69" s="11" t="s">
        <v>265</v>
      </c>
      <c r="C69" s="9"/>
      <c r="D69" s="17" t="s">
        <v>266</v>
      </c>
    </row>
    <row r="70" spans="1:4" ht="30" customHeight="1" x14ac:dyDescent="0.25">
      <c r="A70" s="10" t="s">
        <v>267</v>
      </c>
      <c r="B70" s="11" t="s">
        <v>268</v>
      </c>
      <c r="C70" s="9"/>
      <c r="D70" s="17" t="s">
        <v>269</v>
      </c>
    </row>
    <row r="71" spans="1:4" ht="30" customHeight="1" x14ac:dyDescent="0.25">
      <c r="A71" s="10" t="s">
        <v>270</v>
      </c>
      <c r="B71" s="11" t="s">
        <v>271</v>
      </c>
      <c r="C71" s="9"/>
      <c r="D71" s="17" t="s">
        <v>272</v>
      </c>
    </row>
    <row r="72" spans="1:4" ht="30" customHeight="1" x14ac:dyDescent="0.25">
      <c r="A72" s="10" t="s">
        <v>273</v>
      </c>
      <c r="B72" s="11" t="s">
        <v>274</v>
      </c>
      <c r="C72" s="9"/>
      <c r="D72" s="17" t="s">
        <v>275</v>
      </c>
    </row>
    <row r="73" spans="1:4" ht="30" customHeight="1" x14ac:dyDescent="0.25">
      <c r="A73" s="10" t="s">
        <v>276</v>
      </c>
      <c r="B73" s="11" t="s">
        <v>277</v>
      </c>
      <c r="C73" s="9"/>
      <c r="D73" s="17" t="s">
        <v>278</v>
      </c>
    </row>
    <row r="74" spans="1:4" ht="30" customHeight="1" x14ac:dyDescent="0.25">
      <c r="A74" s="10" t="s">
        <v>279</v>
      </c>
      <c r="B74" s="11" t="s">
        <v>280</v>
      </c>
      <c r="C74" s="9"/>
      <c r="D74" s="17" t="s">
        <v>281</v>
      </c>
    </row>
    <row r="75" spans="1:4" ht="30" customHeight="1" x14ac:dyDescent="0.25">
      <c r="A75" s="10" t="s">
        <v>282</v>
      </c>
      <c r="B75" s="11" t="s">
        <v>283</v>
      </c>
      <c r="C75" s="9"/>
      <c r="D75" s="17" t="s">
        <v>284</v>
      </c>
    </row>
    <row r="76" spans="1:4" ht="30" customHeight="1" x14ac:dyDescent="0.25">
      <c r="A76" s="10" t="s">
        <v>285</v>
      </c>
      <c r="B76" s="11" t="s">
        <v>286</v>
      </c>
      <c r="C76" s="9"/>
      <c r="D76" s="17" t="s">
        <v>287</v>
      </c>
    </row>
    <row r="77" spans="1:4" ht="30" customHeight="1" x14ac:dyDescent="0.25">
      <c r="A77" s="10" t="s">
        <v>288</v>
      </c>
      <c r="B77" s="11" t="s">
        <v>289</v>
      </c>
      <c r="C77" s="9"/>
      <c r="D77" s="17" t="s">
        <v>290</v>
      </c>
    </row>
    <row r="78" spans="1:4" ht="30" customHeight="1" x14ac:dyDescent="0.25">
      <c r="A78" s="10" t="s">
        <v>291</v>
      </c>
      <c r="B78" s="11" t="s">
        <v>292</v>
      </c>
      <c r="C78" s="9"/>
      <c r="D78" s="17" t="s">
        <v>293</v>
      </c>
    </row>
    <row r="79" spans="1:4" ht="30" customHeight="1" x14ac:dyDescent="0.25">
      <c r="A79" s="10" t="s">
        <v>294</v>
      </c>
      <c r="B79" s="11" t="s">
        <v>295</v>
      </c>
      <c r="C79" s="9"/>
      <c r="D79" s="17" t="s">
        <v>296</v>
      </c>
    </row>
    <row r="80" spans="1:4" ht="30" customHeight="1" x14ac:dyDescent="0.25">
      <c r="A80" s="10" t="s">
        <v>297</v>
      </c>
      <c r="B80" s="11" t="s">
        <v>298</v>
      </c>
      <c r="C80" s="9"/>
      <c r="D80" s="17" t="s">
        <v>299</v>
      </c>
    </row>
    <row r="81" spans="1:4" ht="30" customHeight="1" x14ac:dyDescent="0.25">
      <c r="A81" s="10" t="s">
        <v>300</v>
      </c>
      <c r="B81" s="11" t="s">
        <v>301</v>
      </c>
      <c r="C81" s="9"/>
      <c r="D81" s="17" t="s">
        <v>302</v>
      </c>
    </row>
    <row r="82" spans="1:4" ht="30" customHeight="1" x14ac:dyDescent="0.25">
      <c r="A82" s="10" t="s">
        <v>303</v>
      </c>
      <c r="B82" s="11" t="s">
        <v>304</v>
      </c>
      <c r="C82" s="9"/>
      <c r="D82" s="17" t="s">
        <v>305</v>
      </c>
    </row>
    <row r="83" spans="1:4" ht="30" customHeight="1" x14ac:dyDescent="0.25">
      <c r="A83" s="10" t="s">
        <v>306</v>
      </c>
      <c r="B83" s="11" t="s">
        <v>307</v>
      </c>
      <c r="C83" s="9"/>
      <c r="D83" s="17" t="s">
        <v>308</v>
      </c>
    </row>
    <row r="84" spans="1:4" ht="30" customHeight="1" x14ac:dyDescent="0.25">
      <c r="A84" s="10" t="s">
        <v>309</v>
      </c>
      <c r="B84" s="11" t="s">
        <v>310</v>
      </c>
      <c r="C84" s="9"/>
      <c r="D84" s="17" t="s">
        <v>311</v>
      </c>
    </row>
    <row r="85" spans="1:4" ht="30" customHeight="1" x14ac:dyDescent="0.25">
      <c r="A85" s="10" t="s">
        <v>312</v>
      </c>
      <c r="B85" s="11" t="s">
        <v>313</v>
      </c>
      <c r="C85" s="9"/>
      <c r="D85" s="17" t="s">
        <v>314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zoomScaleNormal="100" workbookViewId="0"/>
  </sheetViews>
  <sheetFormatPr defaultColWidth="8.7109375" defaultRowHeight="15" x14ac:dyDescent="0.25"/>
  <cols>
    <col min="1" max="1" width="6" customWidth="1"/>
    <col min="2" max="2" width="26" customWidth="1"/>
    <col min="3" max="3" width="16" customWidth="1"/>
    <col min="4" max="4" width="9" customWidth="1"/>
    <col min="5" max="5" width="12" customWidth="1"/>
    <col min="6" max="6" width="16" customWidth="1"/>
  </cols>
  <sheetData>
    <row r="1" spans="1:6" x14ac:dyDescent="0.25">
      <c r="A1" s="18" t="s">
        <v>315</v>
      </c>
      <c r="B1" s="18" t="s">
        <v>316</v>
      </c>
      <c r="C1" s="18" t="s">
        <v>7</v>
      </c>
      <c r="D1" s="18" t="s">
        <v>8</v>
      </c>
      <c r="E1" s="18" t="s">
        <v>9</v>
      </c>
      <c r="F1" s="18" t="s">
        <v>11</v>
      </c>
    </row>
    <row r="2" spans="1:6" x14ac:dyDescent="0.25">
      <c r="A2" s="4">
        <v>1</v>
      </c>
      <c r="B2" s="4" t="s">
        <v>12</v>
      </c>
      <c r="C2" s="6" t="e">
        <f>BOM!#REF!</f>
        <v>#REF!</v>
      </c>
      <c r="D2" s="4">
        <v>1</v>
      </c>
      <c r="E2" s="4" t="s">
        <v>13</v>
      </c>
      <c r="F2" s="6" t="e">
        <f>BOM!#REF!</f>
        <v>#REF!</v>
      </c>
    </row>
    <row r="3" spans="1:6" x14ac:dyDescent="0.25">
      <c r="A3" s="4">
        <v>2</v>
      </c>
      <c r="B3" s="4" t="s">
        <v>83</v>
      </c>
      <c r="C3" s="6" t="e">
        <f>BOM!#REF!</f>
        <v>#REF!</v>
      </c>
      <c r="D3" s="4">
        <v>1</v>
      </c>
      <c r="E3" s="4" t="s">
        <v>13</v>
      </c>
      <c r="F3" s="6" t="e">
        <f>BOM!#REF!</f>
        <v>#REF!</v>
      </c>
    </row>
    <row r="4" spans="1:6" x14ac:dyDescent="0.25">
      <c r="A4" s="4">
        <v>3</v>
      </c>
      <c r="B4" s="4" t="s">
        <v>109</v>
      </c>
      <c r="C4" s="6" t="e">
        <f>BOM!#REF!</f>
        <v>#REF!</v>
      </c>
      <c r="D4" s="4">
        <v>1</v>
      </c>
      <c r="E4" s="4" t="s">
        <v>13</v>
      </c>
      <c r="F4" s="6" t="e">
        <f>BOM!#REF!</f>
        <v>#REF!</v>
      </c>
    </row>
    <row r="5" spans="1:6" x14ac:dyDescent="0.25">
      <c r="A5" s="4">
        <v>4</v>
      </c>
      <c r="B5" s="4" t="s">
        <v>111</v>
      </c>
      <c r="C5" s="6" t="e">
        <f>BOM!#REF!</f>
        <v>#REF!</v>
      </c>
      <c r="D5" s="4">
        <v>1</v>
      </c>
      <c r="E5" s="4" t="s">
        <v>13</v>
      </c>
      <c r="F5" s="6" t="e">
        <f>BOM!#REF!</f>
        <v>#REF!</v>
      </c>
    </row>
    <row r="6" spans="1:6" x14ac:dyDescent="0.25">
      <c r="A6" s="4">
        <v>5</v>
      </c>
      <c r="B6" s="4" t="s">
        <v>125</v>
      </c>
      <c r="C6" s="6" t="e">
        <f>BOM!#REF!</f>
        <v>#REF!</v>
      </c>
      <c r="D6" s="4">
        <v>1</v>
      </c>
      <c r="E6" s="4" t="s">
        <v>13</v>
      </c>
      <c r="F6" s="6" t="e">
        <f>BOM!#REF!</f>
        <v>#REF!</v>
      </c>
    </row>
    <row r="7" spans="1:6" x14ac:dyDescent="0.25">
      <c r="A7" s="4">
        <v>6</v>
      </c>
      <c r="B7" s="4" t="s">
        <v>146</v>
      </c>
      <c r="C7" s="6" t="e">
        <f>BOM!#REF!</f>
        <v>#REF!</v>
      </c>
      <c r="D7" s="4">
        <v>1</v>
      </c>
      <c r="E7" s="4" t="s">
        <v>13</v>
      </c>
      <c r="F7" s="6" t="e">
        <f>BOM!#REF!</f>
        <v>#REF!</v>
      </c>
    </row>
    <row r="8" spans="1:6" x14ac:dyDescent="0.25">
      <c r="A8" s="4">
        <v>7</v>
      </c>
      <c r="B8" s="4" t="s">
        <v>153</v>
      </c>
      <c r="C8" s="6" t="e">
        <f>BOM!#REF!</f>
        <v>#REF!</v>
      </c>
      <c r="D8" s="4">
        <v>1</v>
      </c>
      <c r="E8" s="4" t="s">
        <v>13</v>
      </c>
      <c r="F8" s="6" t="e">
        <f>BOM!#REF!</f>
        <v>#REF!</v>
      </c>
    </row>
    <row r="9" spans="1:6" x14ac:dyDescent="0.25">
      <c r="A9" s="19"/>
      <c r="B9" s="2" t="s">
        <v>317</v>
      </c>
      <c r="C9" s="3" t="e">
        <f>SUM(C2:C8)</f>
        <v>#REF!</v>
      </c>
      <c r="D9" s="19"/>
      <c r="E9" s="19"/>
      <c r="F9" s="3" t="e">
        <f>SUM(F2:F8)</f>
        <v>#REF!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BOM</vt:lpstr>
      <vt:lpstr>FIYAT</vt:lpstr>
      <vt:lpstr>Kurallar</vt:lpstr>
      <vt:lpstr>СВОД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2026-08-04T05:39:01Z</dcterms:created>
  <dcterms:modified xsi:type="dcterms:W3CDTF">2026-08-05T12:50:36Z</dcterms:modified>
  <dc:language>en-US</dc:language>
</cp:coreProperties>
</file>