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162a75584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6d86e20223bc4e87"/>
    <x:sheet xmlns:r="http://schemas.openxmlformats.org/officeDocument/2006/relationships" name="СВОД" sheetId="2" r:id="R0403ba5e537841f4"/>
    <x:sheet xmlns:r="http://schemas.openxmlformats.org/officeDocument/2006/relationships" name="SATINALMA" sheetId="3" r:id="R45af8c6ca45d4ccc"/>
    <x:sheet xmlns:r="http://schemas.openxmlformats.org/officeDocument/2006/relationships" name="Kurallar" sheetId="4" r:id="R6df8c286c9244665"/>
    <x:sheet xmlns:r="http://schemas.openxmlformats.org/officeDocument/2006/relationships" name="FIYAT_KAYNAK" sheetId="5" r:id="R22f8288e01f142fe"/>
    <x:sheet xmlns:r="http://schemas.openxmlformats.org/officeDocument/2006/relationships" name="QA_KONTROL" sheetId="6" r:id="R74c03a43ef3b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"/>
    <x:numFmt numFmtId="202" formatCode="0%"/>
    <x:numFmt numFmtId="203" formatCode="#,##0.00"/>
  </x:numFmts>
  <x:fonts count="9">
    <x:font>
      <x:sz val="11"/>
      <x:name val="Carlito"/>
    </x:font>
    <x:font>
      <x:b/>
      <x:sz val="15"/>
      <x:color rgb="FFFFFFFF"/>
      <x:name val="Carlito"/>
    </x:font>
    <x:font>
      <x:sz val="10"/>
      <x:name val="Aptos"/>
    </x:font>
    <x:font>
      <x:b/>
      <x:sz val="10"/>
      <x:color rgb="FF7F6000"/>
      <x:name val="Aptos"/>
    </x:font>
    <x:font>
      <x:b/>
      <x:sz val="10"/>
      <x:color rgb="FF375623"/>
      <x:name val="Aptos"/>
    </x:font>
    <x:font>
      <x:b/>
      <x:sz val="11"/>
      <x:color rgb="FF1F4E00"/>
      <x:name val="Aptos"/>
    </x:font>
    <x:font>
      <x:b/>
      <x:sz val="11"/>
      <x:color rgb="FFFFFFFF"/>
      <x:name val="Carlito"/>
    </x:font>
    <x:font>
      <x:b/>
      <x:sz val="10"/>
      <x:color rgb="FF1F4E00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  <x:xf numFmtId="201" fontId="2" fillId="0" borderId="4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200" fontId="2" fillId="4" borderId="2" xfId="0" applyNumberFormat="1" applyFont="1" applyFill="1" applyBorder="1" applyAlignment="1">
      <x:alignment vertical="center" wrapText="1"/>
    </x:xf>
    <x:xf numFmtId="201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3" fillId="4" borderId="2" xfId="0" applyNumberFormat="1" applyFont="1" applyFill="1" applyBorder="1" applyAlignment="1">
      <x:alignment vertical="center" wrapText="1"/>
    </x:xf>
    <x:xf numFmtId="201" fontId="3" fillId="4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200" fontId="2" fillId="5" borderId="3" xfId="0" applyNumberFormat="1" applyFont="1" applyFill="1" applyBorder="1" applyAlignment="1">
      <x:alignment vertical="center" wrapText="1"/>
    </x:xf>
    <x:xf numFmtId="201" fontId="2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200" fontId="4" fillId="5" borderId="3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200" fontId="2" fillId="4" borderId="3" xfId="0" applyNumberFormat="1" applyFont="1" applyFill="1" applyBorder="1" applyAlignment="1">
      <x:alignment vertical="center" wrapText="1"/>
    </x:xf>
    <x:xf numFmtId="201" fontId="2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1" fontId="3" fillId="4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200" fontId="2" fillId="6" borderId="4" xfId="0" applyNumberFormat="1" applyFont="1" applyFill="1" applyBorder="1" applyAlignment="1">
      <x:alignment vertical="center" wrapText="1"/>
    </x:xf>
    <x:xf numFmtId="201" fontId="2" fillId="6" borderId="4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200" fontId="5" fillId="6" borderId="4" xfId="0" applyNumberFormat="1" applyFont="1" applyFill="1" applyBorder="1" applyAlignment="1">
      <x:alignment vertical="center" wrapText="1"/>
    </x:xf>
    <x:xf numFmtId="201" fontId="5" fillId="6" borderId="4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200" fontId="2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3" fontId="2" fillId="0" borderId="2" xfId="0" applyNumberFormat="1" applyFont="1" applyFill="1" applyBorder="1" applyAlignment="1">
      <x:alignment vertical="center" wrapText="1"/>
    </x:xf>
    <x:xf numFmtId="203" fontId="2" fillId="0" borderId="3" xfId="0" applyNumberFormat="1" applyFont="1" applyFill="1" applyBorder="1" applyAlignment="1">
      <x:alignment vertical="center" wrapText="1"/>
    </x:xf>
    <x:xf numFmtId="203" fontId="2" fillId="0" borderId="4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ed06ed7104aba" /><Relationship Type="http://schemas.openxmlformats.org/officeDocument/2006/relationships/theme" Target="/xl/theme/theme1.xml" Id="R2c269aea4f584fd1" /><Relationship Type="http://schemas.openxmlformats.org/officeDocument/2006/relationships/sharedStrings" Target="/xl/sharedStrings.xml" Id="Rfc716138ca694b49" /><Relationship Type="http://schemas.openxmlformats.org/officeDocument/2006/relationships/worksheet" Target="/xl/worksheets/sheet1.xml" Id="R6d86e20223bc4e87" /><Relationship Type="http://schemas.openxmlformats.org/officeDocument/2006/relationships/worksheet" Target="/xl/worksheets/sheet2.xml" Id="R0403ba5e537841f4" /><Relationship Type="http://schemas.openxmlformats.org/officeDocument/2006/relationships/worksheet" Target="/xl/worksheets/sheet3.xml" Id="R45af8c6ca45d4ccc" /><Relationship Type="http://schemas.openxmlformats.org/officeDocument/2006/relationships/worksheet" Target="/xl/worksheets/sheet4.xml" Id="R6df8c286c9244665" /><Relationship Type="http://schemas.openxmlformats.org/officeDocument/2006/relationships/worksheet" Target="/xl/worksheets/sheet5.xml" Id="R22f8288e01f142fe" /><Relationship Type="http://schemas.openxmlformats.org/officeDocument/2006/relationships/worksheet" Target="/xl/worksheets/sheet6.xml" Id="R74c03a43ef3b4f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20" hidden="0" customWidth="1"/>
    <x:col min="4" max="4" width="20" hidden="0" customWidth="1"/>
    <x:col min="5" max="5" width="65" hidden="0" customWidth="1"/>
    <x:col min="6" max="6" width="14" hidden="0" customWidth="1"/>
    <x:col min="7" max="7" width="18" hidden="0" customWidth="1"/>
    <x:col min="8" max="8" width="18" hidden="0" customWidth="1"/>
    <x:col min="9" max="9" width="11" hidden="0" customWidth="1"/>
    <x:col min="10" max="10" width="11" hidden="0" customWidth="1"/>
    <x:col min="11" max="11" width="16" hidden="0" customWidth="1"/>
  </x:cols>
  <x:sheetData>
    <x:row r="1" ht="18" hidden="0" customHeight="1">
      <x:c r="A1" s="7" t="str">
        <x:v>ROW</x:v>
      </x:c>
      <x:c r="B1" s="7" t="str">
        <x:v>Наименование1</x:v>
      </x:c>
      <x:c r="C1" s="7" t="str">
        <x:v>Тип</x:v>
      </x:c>
      <x:c r="D1" s="7" t="str">
        <x:v>Артикул</x:v>
      </x:c>
      <x:c r="E1" s="7" t="str">
        <x:v>Номенклатура</x:v>
      </x:c>
      <x:c r="F1" s="7" t="str">
        <x:v>Цена (лист)</x:v>
      </x:c>
      <x:c r="G1" s="7" t="str">
        <x:v>Цена нетто KZT</x:v>
      </x:c>
      <x:c r="H1" s="7" t="str">
        <x:v>Сумма KZT</x:v>
      </x:c>
      <x:c r="I1" s="7" t="str">
        <x:v>Кол-во</x:v>
      </x:c>
      <x:c r="J1" s="7" t="str">
        <x:v>Ед.изм.</x:v>
      </x:c>
      <x:c r="K1" s="7" t="str">
        <x:v>Завод</x:v>
      </x:c>
    </x:row>
    <x:row r="2" ht="15" hidden="0" customHeight="1">
      <x:c r="A2" s="27" t="n">
        <x:v>1</x:v>
      </x:c>
      <x:c r="B2" s="27" t="str">
        <x:v>ЩУ-1 (нагрев 20 кВт + вентилятор 3 кВт)</x:v>
      </x:c>
      <x:c r="C2" s="27" t="str">
        <x:v>PANO</x:v>
      </x:c>
      <x:c r="D2" s="27"/>
      <x:c r="E2" s="27" t="str">
        <x:v>ЩУ-1 (нагрев 20 кВт + вентилятор 3 кВт)</x:v>
      </x:c>
      <x:c r="F2" s="28"/>
      <x:c r="G2" s="28"/>
      <x:c r="H2" s="28"/>
      <x:c r="I2" s="29" t="n">
        <x:v>4</x:v>
      </x:c>
      <x:c r="J2" s="27" t="str">
        <x:v>комплект</x:v>
      </x:c>
      <x:c r="K2" s="27" t="str">
        <x:v>TEKLED</x:v>
      </x:c>
    </x:row>
    <x:row r="3" ht="15" hidden="0" customHeight="1">
      <x:c r="A3" s="16" t="n">
        <x:v>2</x:v>
      </x:c>
      <x:c r="B3" s="16" t="str">
        <x:v>ЩУ-1 (нагрев 20 кВт + вентилятор 3 кВт)</x:v>
      </x:c>
      <x:c r="C3" s="16" t="str">
        <x:v>korpus</x:v>
      </x:c>
      <x:c r="D3" s="16" t="str">
        <x:v>714-15120</x:v>
      </x:c>
      <x:c r="E3" s="16" t="str">
        <x:v>Щит мет. ЩРн-3-2 PR 650×500×220 IP54, монтажная плата, 1 дверь</x:v>
      </x:c>
      <x:c r="F3" s="19" t="n">
        <x:v>29525</x:v>
      </x:c>
      <x:c r="G3" s="19" t="n">
        <x:f>IF(OR(F3="",F3=0),"",IF(K3="SCHNEIDER",F3*'Kurallar'!$B$48*'Kurallar'!$B$43,IF(K3="CHINT",F3*'Kurallar'!$B$47,IF(K3="EKT",F3*'Kurallar'!$B$49,IF(K3="KAZTEK",F3*'Kurallar'!$B$50,F3)))))</x:f>
        <x:v>29525</x:v>
      </x:c>
      <x:c r="H3" s="19" t="n">
        <x:f>IF(G3="","",G3*I3)</x:f>
        <x:v>29525</x:v>
      </x:c>
      <x:c r="I3" s="22" t="n">
        <x:v>1</x:v>
      </x:c>
      <x:c r="J3" s="16" t="str">
        <x:v>шт</x:v>
      </x:c>
      <x:c r="K3" s="16" t="str">
        <x:v>KAZTEK</x:v>
      </x:c>
    </x:row>
    <x:row r="4" ht="15" hidden="0" customHeight="1">
      <x:c r="A4" s="16" t="n">
        <x:v>3</x:v>
      </x:c>
      <x:c r="B4" s="16" t="str">
        <x:v>ЩУ-1 (нагрев 20 кВт + вентилятор 3 кВт)</x:v>
      </x:c>
      <x:c r="C4" s="16" t="str">
        <x:v>OTO</x:v>
      </x:c>
      <x:c r="D4" s="16" t="str">
        <x:v>A9F79340</x:v>
      </x:c>
      <x:c r="E4" s="16" t="str">
        <x:v>Вводной автомат Acti9 iC60N 3P C40, 6кА</x:v>
      </x:c>
      <x:c r="F4" s="19" t="n">
        <x:v>2247</x:v>
      </x:c>
      <x:c r="G4" s="19" t="n">
        <x:f>IF(OR(F4="",F4=0),"",IF(K4="SCHNEIDER",F4*'Kurallar'!$B$48*'Kurallar'!$B$43,IF(K4="CHINT",F4*'Kurallar'!$B$47,IF(K4="EKT",F4*'Kurallar'!$B$49,IF(K4="KAZTEK",F4*'Kurallar'!$B$50,F4)))))</x:f>
        <x:v>14695.380000000001</x:v>
      </x:c>
      <x:c r="H4" s="19" t="n">
        <x:f>IF(G4="","",G4*I4)</x:f>
        <x:v>14695.380000000001</x:v>
      </x:c>
      <x:c r="I4" s="22" t="n">
        <x:v>1</x:v>
      </x:c>
      <x:c r="J4" s="16" t="str">
        <x:v>шт</x:v>
      </x:c>
      <x:c r="K4" s="16" t="str">
        <x:v>SCHNEIDER</x:v>
      </x:c>
    </x:row>
    <x:row r="5" ht="15" hidden="0" customHeight="1">
      <x:c r="A5" s="16" t="n">
        <x:v>4</x:v>
      </x:c>
      <x:c r="B5" s="16" t="str">
        <x:v>ЩУ-1 (нагрев 20 кВт + вентилятор 3 кВт)</x:v>
      </x:c>
      <x:c r="C5" s="16" t="str">
        <x:v>OTO</x:v>
      </x:c>
      <x:c r="D5" s="16" t="str">
        <x:v>A9F79320</x:v>
      </x:c>
      <x:c r="E5" s="16" t="str">
        <x:v>Автомат Acti9 iC60N 3P — нагреватель, 2 × 10 кВт</x:v>
      </x:c>
      <x:c r="F5" s="19" t="n">
        <x:v>1884</x:v>
      </x:c>
      <x:c r="G5" s="19" t="n">
        <x:f>IF(OR(F5="",F5=0),"",IF(K5="SCHNEIDER",F5*'Kurallar'!$B$48*'Kurallar'!$B$43,IF(K5="CHINT",F5*'Kurallar'!$B$47,IF(K5="EKT",F5*'Kurallar'!$B$49,IF(K5="KAZTEK",F5*'Kurallar'!$B$50,F5)))))</x:f>
        <x:v>12321.359999999999</x:v>
      </x:c>
      <x:c r="H5" s="19" t="n">
        <x:f>IF(G5="","",G5*I5)</x:f>
        <x:v>24642.719999999998</x:v>
      </x:c>
      <x:c r="I5" s="22" t="n">
        <x:v>2</x:v>
      </x:c>
      <x:c r="J5" s="16" t="str">
        <x:v>шт</x:v>
      </x:c>
      <x:c r="K5" s="16" t="str">
        <x:v>SCHNEIDER</x:v>
      </x:c>
    </x:row>
    <x:row r="6" ht="15" hidden="0" customHeight="1">
      <x:c r="A6" s="16" t="n">
        <x:v>5</x:v>
      </x:c>
      <x:c r="B6" s="16" t="str">
        <x:v>ЩУ-1 (нагрев 20 кВт + вентилятор 3 кВт)</x:v>
      </x:c>
      <x:c r="C6" s="16" t="str">
        <x:v>kontaktör</x:v>
      </x:c>
      <x:c r="D6" s="16" t="str">
        <x:v>LC1E1810M5</x:v>
      </x:c>
      <x:c r="E6" s="16" t="str">
        <x:v>Контактор Easy TeSys, 220В AC — нагреватель, 2 × 10 кВт</x:v>
      </x:c>
      <x:c r="F6" s="19" t="n">
        <x:v>1628</x:v>
      </x:c>
      <x:c r="G6" s="19" t="n">
        <x:f>IF(OR(F6="",F6=0),"",IF(K6="SCHNEIDER",F6*'Kurallar'!$B$48*'Kurallar'!$B$43,IF(K6="CHINT",F6*'Kurallar'!$B$47,IF(K6="EKT",F6*'Kurallar'!$B$49,IF(K6="KAZTEK",F6*'Kurallar'!$B$50,F6)))))</x:f>
        <x:v>10647.119999999999</x:v>
      </x:c>
      <x:c r="H6" s="19" t="n">
        <x:f>IF(G6="","",G6*I6)</x:f>
        <x:v>21294.239999999998</x:v>
      </x:c>
      <x:c r="I6" s="22" t="n">
        <x:v>2</x:v>
      </x:c>
      <x:c r="J6" s="16" t="str">
        <x:v>шт</x:v>
      </x:c>
      <x:c r="K6" s="16" t="str">
        <x:v>SCHNEIDER</x:v>
      </x:c>
    </x:row>
    <x:row r="7" ht="15" hidden="0" customHeight="1">
      <x:c r="A7" s="16" t="n">
        <x:v>6</x:v>
      </x:c>
      <x:c r="B7" s="16" t="str">
        <x:v>ЩУ-1 (нагрев 20 кВт + вентилятор 3 кВт)</x:v>
      </x:c>
      <x:c r="C7" s="16" t="str">
        <x:v>Motor Koruma</x:v>
      </x:c>
      <x:c r="D7" s="16" t="str">
        <x:v>GV2ME14</x:v>
      </x:c>
      <x:c r="E7" s="16" t="str">
        <x:v>Автомат защиты двигателя TeSys GV2 — вентилятор 3 кВт · 6…10 A</x:v>
      </x:c>
      <x:c r="F7" s="19" t="n">
        <x:v>3634</x:v>
      </x:c>
      <x:c r="G7" s="19" t="n">
        <x:f>IF(OR(F7="",F7=0),"",IF(K7="SCHNEIDER",F7*'Kurallar'!$B$48*'Kurallar'!$B$43,IF(K7="CHINT",F7*'Kurallar'!$B$47,IF(K7="EKT",F7*'Kurallar'!$B$49,IF(K7="KAZTEK",F7*'Kurallar'!$B$50,F7)))))</x:f>
        <x:v>23766.36</x:v>
      </x:c>
      <x:c r="H7" s="19" t="n">
        <x:f>IF(G7="","",G7*I7)</x:f>
        <x:v>23766.36</x:v>
      </x:c>
      <x:c r="I7" s="22" t="n">
        <x:v>1</x:v>
      </x:c>
      <x:c r="J7" s="16" t="str">
        <x:v>шт</x:v>
      </x:c>
      <x:c r="K7" s="16" t="str">
        <x:v>SCHNEIDER</x:v>
      </x:c>
    </x:row>
    <x:row r="8" ht="15" hidden="0" customHeight="1">
      <x:c r="A8" s="16" t="n">
        <x:v>7</x:v>
      </x:c>
      <x:c r="B8" s="16" t="str">
        <x:v>ЩУ-1 (нагрев 20 кВт + вентилятор 3 кВт)</x:v>
      </x:c>
      <x:c r="C8" s="16" t="str">
        <x:v>kontaktör</x:v>
      </x:c>
      <x:c r="D8" s="16" t="str">
        <x:v>LC1E0910M5</x:v>
      </x:c>
      <x:c r="E8" s="16" t="str">
        <x:v>Контактор Easy TeSys, 220В AC — вентилятор 3 кВт</x:v>
      </x:c>
      <x:c r="F8" s="19" t="n">
        <x:v>1217</x:v>
      </x:c>
      <x:c r="G8" s="19" t="n">
        <x:f>IF(OR(F8="",F8=0),"",IF(K8="SCHNEIDER",F8*'Kurallar'!$B$48*'Kurallar'!$B$43,IF(K8="CHINT",F8*'Kurallar'!$B$47,IF(K8="EKT",F8*'Kurallar'!$B$49,IF(K8="KAZTEK",F8*'Kurallar'!$B$50,F8)))))</x:f>
        <x:v>7959.179999999999</x:v>
      </x:c>
      <x:c r="H8" s="19" t="n">
        <x:f>IF(G8="","",G8*I8)</x:f>
        <x:v>7959.179999999999</x:v>
      </x:c>
      <x:c r="I8" s="22" t="n">
        <x:v>1</x:v>
      </x:c>
      <x:c r="J8" s="16" t="str">
        <x:v>шт</x:v>
      </x:c>
      <x:c r="K8" s="16" t="str">
        <x:v>SCHNEIDER</x:v>
      </x:c>
    </x:row>
    <x:row r="9" ht="15" hidden="0" customHeight="1">
      <x:c r="A9" s="16" t="n">
        <x:v>8</x:v>
      </x:c>
      <x:c r="B9" s="16" t="str">
        <x:v>ЩУ-1 (нагрев 20 кВт + вентилятор 3 кВт)</x:v>
      </x:c>
      <x:c r="C9" s="16" t="str">
        <x:v>OTO</x:v>
      </x:c>
      <x:c r="D9" s="16" t="str">
        <x:v>A9F79110</x:v>
      </x:c>
      <x:c r="E9" s="16" t="str">
        <x:v>Автоматический выключатель Acti9 iC60N 1P C10 6кА — освещение</x:v>
      </x:c>
      <x:c r="F9" s="19" t="n">
        <x:v>446.8</x:v>
      </x:c>
      <x:c r="G9" s="19" t="n">
        <x:f>IF(OR(F9="",F9=0),"",IF(K9="SCHNEIDER",F9*'Kurallar'!$B$48*'Kurallar'!$B$43,IF(K9="CHINT",F9*'Kurallar'!$B$47,IF(K9="EKT",F9*'Kurallar'!$B$49,IF(K9="KAZTEK",F9*'Kurallar'!$B$50,F9)))))</x:f>
        <x:v>2922.072</x:v>
      </x:c>
      <x:c r="H9" s="19" t="n">
        <x:f>IF(G9="","",G9*I9)</x:f>
        <x:v>2922.072</x:v>
      </x:c>
      <x:c r="I9" s="22" t="n">
        <x:v>1</x:v>
      </x:c>
      <x:c r="J9" s="16" t="str">
        <x:v>шт</x:v>
      </x:c>
      <x:c r="K9" s="16" t="str">
        <x:v>SCHNEIDER</x:v>
      </x:c>
    </x:row>
    <x:row r="10" ht="15" hidden="0" customHeight="1">
      <x:c r="A10" s="16" t="n">
        <x:v>9</x:v>
      </x:c>
      <x:c r="B10" s="16" t="str">
        <x:v>ЩУ-1 (нагрев 20 кВт + вентилятор 3 кВт)</x:v>
      </x:c>
      <x:c r="C10" s="16" t="str">
        <x:v>OTO</x:v>
      </x:c>
      <x:c r="D10" s="16" t="str">
        <x:v>A9F79106</x:v>
      </x:c>
      <x:c r="E10" s="16" t="str">
        <x:v>Автоматический выключатель Acti9 iC60N 1P C6 6кА — обратный клапан</x:v>
      </x:c>
      <x:c r="F10" s="19" t="n">
        <x:v>446.8</x:v>
      </x:c>
      <x:c r="G10" s="19" t="n">
        <x:f>IF(OR(F10="",F10=0),"",IF(K10="SCHNEIDER",F10*'Kurallar'!$B$48*'Kurallar'!$B$43,IF(K10="CHINT",F10*'Kurallar'!$B$47,IF(K10="EKT",F10*'Kurallar'!$B$49,IF(K10="KAZTEK",F10*'Kurallar'!$B$50,F10)))))</x:f>
        <x:v>2922.072</x:v>
      </x:c>
      <x:c r="H10" s="19" t="n">
        <x:f>IF(G10="","",G10*I10)</x:f>
        <x:v>2922.072</x:v>
      </x:c>
      <x:c r="I10" s="22" t="n">
        <x:v>1</x:v>
      </x:c>
      <x:c r="J10" s="16" t="str">
        <x:v>шт</x:v>
      </x:c>
      <x:c r="K10" s="16" t="str">
        <x:v>SCHNEIDER</x:v>
      </x:c>
    </x:row>
    <x:row r="11" ht="15" hidden="0" customHeight="1">
      <x:c r="A11" s="16" t="n">
        <x:v>10</x:v>
      </x:c>
      <x:c r="B11" s="16" t="str">
        <x:v>ЩУ-1 (нагрев 20 кВт + вентилятор 3 кВт)</x:v>
      </x:c>
      <x:c r="C11" s="16" t="str">
        <x:v>OTO</x:v>
      </x:c>
      <x:c r="D11" s="16" t="str">
        <x:v>A9F79106</x:v>
      </x:c>
      <x:c r="E11" s="16" t="str">
        <x:v>Автоматический выключатель Acti9 iC60N 1P C6 6кА — термостат / цепь управления</x:v>
      </x:c>
      <x:c r="F11" s="19" t="n">
        <x:v>446.8</x:v>
      </x:c>
      <x:c r="G11" s="19" t="n">
        <x:f>IF(OR(F11="",F11=0),"",IF(K11="SCHNEIDER",F11*'Kurallar'!$B$48*'Kurallar'!$B$43,IF(K11="CHINT",F11*'Kurallar'!$B$47,IF(K11="EKT",F11*'Kurallar'!$B$49,IF(K11="KAZTEK",F11*'Kurallar'!$B$50,F11)))))</x:f>
        <x:v>2922.072</x:v>
      </x:c>
      <x:c r="H11" s="19" t="n">
        <x:f>IF(G11="","",G11*I11)</x:f>
        <x:v>2922.072</x:v>
      </x:c>
      <x:c r="I11" s="22" t="n">
        <x:v>1</x:v>
      </x:c>
      <x:c r="J11" s="16" t="str">
        <x:v>шт</x:v>
      </x:c>
      <x:c r="K11" s="16" t="str">
        <x:v>SCHNEIDER</x:v>
      </x:c>
    </x:row>
    <x:row r="12" ht="15" hidden="0" customHeight="1">
      <x:c r="A12" s="16" t="n">
        <x:v>11</x:v>
      </x:c>
      <x:c r="B12" s="16" t="str">
        <x:v>ЩУ-1 (нагрев 20 кВт + вентилятор 3 кВт)</x:v>
      </x:c>
      <x:c r="C12" s="16" t="str">
        <x:v>kontaktör</x:v>
      </x:c>
      <x:c r="D12" s="16" t="str">
        <x:v>LC1E0610M5</x:v>
      </x:c>
      <x:c r="E12" s="16" t="str">
        <x:v>Контактор Easy TeSys 3P 6A, катушка 220В AC 50Гц — лампа</x:v>
      </x:c>
      <x:c r="F12" s="19" t="n">
        <x:v>1154</x:v>
      </x:c>
      <x:c r="G12" s="19" t="n">
        <x:f>IF(OR(F12="",F12=0),"",IF(K12="SCHNEIDER",F12*'Kurallar'!$B$48*'Kurallar'!$B$43,IF(K12="CHINT",F12*'Kurallar'!$B$47,IF(K12="EKT",F12*'Kurallar'!$B$49,IF(K12="KAZTEK",F12*'Kurallar'!$B$50,F12)))))</x:f>
        <x:v>7547.16</x:v>
      </x:c>
      <x:c r="H12" s="19" t="n">
        <x:f>IF(G12="","",G12*I12)</x:f>
        <x:v>7547.16</x:v>
      </x:c>
      <x:c r="I12" s="22" t="n">
        <x:v>1</x:v>
      </x:c>
      <x:c r="J12" s="16" t="str">
        <x:v>шт</x:v>
      </x:c>
      <x:c r="K12" s="16" t="str">
        <x:v>SCHNEIDER</x:v>
      </x:c>
    </x:row>
    <x:row r="13" ht="15" hidden="0" customHeight="1">
      <x:c r="A13" s="16" t="n">
        <x:v>12</x:v>
      </x:c>
      <x:c r="B13" s="16" t="str">
        <x:v>ЩУ-1 (нагрев 20 кВт + вентилятор 3 кВт)</x:v>
      </x:c>
      <x:c r="C13" s="16" t="str">
        <x:v>kontaktör</x:v>
      </x:c>
      <x:c r="D13" s="16" t="str">
        <x:v>LC1E0610M5</x:v>
      </x:c>
      <x:c r="E13" s="16" t="str">
        <x:v>Контактор Easy TeSys 3P 6A, катушка 220В AC 50Гц — обратный клапан</x:v>
      </x:c>
      <x:c r="F13" s="19" t="n">
        <x:v>1154</x:v>
      </x:c>
      <x:c r="G13" s="19" t="n">
        <x:f>IF(OR(F13="",F13=0),"",IF(K13="SCHNEIDER",F13*'Kurallar'!$B$48*'Kurallar'!$B$43,IF(K13="CHINT",F13*'Kurallar'!$B$47,IF(K13="EKT",F13*'Kurallar'!$B$49,IF(K13="KAZTEK",F13*'Kurallar'!$B$50,F13)))))</x:f>
        <x:v>7547.16</x:v>
      </x:c>
      <x:c r="H13" s="19" t="n">
        <x:f>IF(G13="","",G13*I13)</x:f>
        <x:v>7547.16</x:v>
      </x:c>
      <x:c r="I13" s="22" t="n">
        <x:v>1</x:v>
      </x:c>
      <x:c r="J13" s="16" t="str">
        <x:v>шт</x:v>
      </x:c>
      <x:c r="K13" s="16" t="str">
        <x:v>SCHNEIDER</x:v>
      </x:c>
    </x:row>
    <x:row r="14" ht="15" hidden="0" customHeight="1">
      <x:c r="A14" s="16" t="n">
        <x:v>13</x:v>
      </x:c>
      <x:c r="B14" s="16" t="str">
        <x:v>ЩУ-1 (нагрев 20 кВт + вентилятор 3 кВт)</x:v>
      </x:c>
      <x:c r="C14" s="16" t="str">
        <x:v>Sinyal Lambası</x:v>
      </x:c>
      <x:c r="D14" s="16" t="str">
        <x:v>593012</x:v>
      </x:c>
      <x:c r="E14" s="16" t="str">
        <x:v>Индикатор ND16-22DS/4 красный AC230В Ø22 — на дверь</x:v>
      </x:c>
      <x:c r="F14" s="19" t="n">
        <x:v>836</x:v>
      </x:c>
      <x:c r="G14" s="19" t="n">
        <x:f>IF(OR(F14="",F14=0),"",IF(K14="SCHNEIDER",F14*'Kurallar'!$B$48*'Kurallar'!$B$43,IF(K14="CHINT",F14*'Kurallar'!$B$47,IF(K14="EKT",F14*'Kurallar'!$B$49,IF(K14="KAZTEK",F14*'Kurallar'!$B$50,F14)))))</x:f>
        <x:v>501.59999999999997</x:v>
      </x:c>
      <x:c r="H14" s="19" t="n">
        <x:f>IF(G14="","",G14*I14)</x:f>
        <x:v>1504.8</x:v>
      </x:c>
      <x:c r="I14" s="22" t="n">
        <x:v>3</x:v>
      </x:c>
      <x:c r="J14" s="16" t="str">
        <x:v>шт</x:v>
      </x:c>
      <x:c r="K14" s="16" t="str">
        <x:v>CHINT</x:v>
      </x:c>
    </x:row>
    <x:row r="15" ht="15" hidden="0" customHeight="1">
      <x:c r="A15" s="16" t="n">
        <x:v>14</x:v>
      </x:c>
      <x:c r="B15" s="16" t="str">
        <x:v>ЩУ-1 (нагрев 20 кВт + вентилятор 3 кВт)</x:v>
      </x:c>
      <x:c r="C15" s="16" t="str">
        <x:v>Klemens</x:v>
      </x:c>
      <x:c r="D15" s="16" t="str">
        <x:v>130301157_</x:v>
      </x:c>
      <x:c r="E15" s="16" t="str">
        <x:v>ЗНИ 16мм² 100А серый UNIT — ввод L1/L2/L3</x:v>
      </x:c>
      <x:c r="F15" s="19" t="n">
        <x:v>235</x:v>
      </x:c>
      <x:c r="G15" s="19" t="n">
        <x:f>IF(OR(F15="",F15=0),"",IF(K15="SCHNEIDER",F15*'Kurallar'!$B$48*'Kurallar'!$B$43,IF(K15="CHINT",F15*'Kurallar'!$B$47,IF(K15="EKT",F15*'Kurallar'!$B$49,IF(K15="KAZTEK",F15*'Kurallar'!$B$50,F15)))))</x:f>
        <x:v>235</x:v>
      </x:c>
      <x:c r="H15" s="19" t="n">
        <x:f>IF(G15="","",G15*I15)</x:f>
        <x:v>705</x:v>
      </x:c>
      <x:c r="I15" s="22" t="n">
        <x:v>3</x:v>
      </x:c>
      <x:c r="J15" s="16" t="str">
        <x:v>шт</x:v>
      </x:c>
      <x:c r="K15" s="16" t="str">
        <x:v>EKT</x:v>
      </x:c>
    </x:row>
    <x:row r="16" ht="15" hidden="0" customHeight="1">
      <x:c r="A16" s="16" t="n">
        <x:v>15</x:v>
      </x:c>
      <x:c r="B16" s="16" t="str">
        <x:v>ЩУ-1 (нагрев 20 кВт + вентилятор 3 кВт)</x:v>
      </x:c>
      <x:c r="C16" s="16" t="str">
        <x:v>Klemens</x:v>
      </x:c>
      <x:c r="D16" s="16" t="str">
        <x:v>130301158_</x:v>
      </x:c>
      <x:c r="E16" s="16" t="str">
        <x:v>ЗНИ 16мм² 100А синий UNIT — ввод N</x:v>
      </x:c>
      <x:c r="F16" s="19" t="n">
        <x:v>269</x:v>
      </x:c>
      <x:c r="G16" s="19" t="n">
        <x:f>IF(OR(F16="",F16=0),"",IF(K16="SCHNEIDER",F16*'Kurallar'!$B$48*'Kurallar'!$B$43,IF(K16="CHINT",F16*'Kurallar'!$B$47,IF(K16="EKT",F16*'Kurallar'!$B$49,IF(K16="KAZTEK",F16*'Kurallar'!$B$50,F16)))))</x:f>
        <x:v>269</x:v>
      </x:c>
      <x:c r="H16" s="19" t="n">
        <x:f>IF(G16="","",G16*I16)</x:f>
        <x:v>269</x:v>
      </x:c>
      <x:c r="I16" s="22" t="n">
        <x:v>1</x:v>
      </x:c>
      <x:c r="J16" s="16" t="str">
        <x:v>шт</x:v>
      </x:c>
      <x:c r="K16" s="16" t="str">
        <x:v>EKT</x:v>
      </x:c>
    </x:row>
    <x:row r="17" ht="15" hidden="0" customHeight="1">
      <x:c r="A17" s="16" t="n">
        <x:v>16</x:v>
      </x:c>
      <x:c r="B17" s="16" t="str">
        <x:v>ЩУ-1 (нагрев 20 кВт + вентилятор 3 кВт)</x:v>
      </x:c>
      <x:c r="C17" s="16" t="str">
        <x:v>Klemens</x:v>
      </x:c>
      <x:c r="D17" s="16" t="str">
        <x:v>130300227_</x:v>
      </x:c>
      <x:c r="E17" s="16" t="str">
        <x:v>ЗНИ 10PEN 10мм² — PE: ввод, 2 нагревателя, вентилятор, дверь</x:v>
      </x:c>
      <x:c r="F17" s="19" t="n">
        <x:v>155</x:v>
      </x:c>
      <x:c r="G17" s="19" t="n">
        <x:f>IF(OR(F17="",F17=0),"",IF(K17="SCHNEIDER",F17*'Kurallar'!$B$48*'Kurallar'!$B$43,IF(K17="CHINT",F17*'Kurallar'!$B$47,IF(K17="EKT",F17*'Kurallar'!$B$49,IF(K17="KAZTEK",F17*'Kurallar'!$B$50,F17)))))</x:f>
        <x:v>155</x:v>
      </x:c>
      <x:c r="H17" s="19" t="n">
        <x:f>IF(G17="","",G17*I17)</x:f>
        <x:v>775</x:v>
      </x:c>
      <x:c r="I17" s="22" t="n">
        <x:v>5</x:v>
      </x:c>
      <x:c r="J17" s="16" t="str">
        <x:v>шт</x:v>
      </x:c>
      <x:c r="K17" s="16" t="str">
        <x:v>EKT</x:v>
      </x:c>
    </x:row>
    <x:row r="18" ht="15" hidden="0" customHeight="1">
      <x:c r="A18" s="16" t="n">
        <x:v>17</x:v>
      </x:c>
      <x:c r="B18" s="16" t="str">
        <x:v>ЩУ-1 (нагрев 20 кВт + вентилятор 3 кВт)</x:v>
      </x:c>
      <x:c r="C18" s="16" t="str">
        <x:v>Klemens</x:v>
      </x:c>
      <x:c r="D18" s="16" t="str">
        <x:v>130301154_</x:v>
      </x:c>
      <x:c r="E18" s="16" t="str">
        <x:v>ЗНИ 6мм² серый UNIT — 2 выхода нагревателя × 4</x:v>
      </x:c>
      <x:c r="F18" s="19" t="n">
        <x:v>111</x:v>
      </x:c>
      <x:c r="G18" s="19" t="n">
        <x:f>IF(OR(F18="",F18=0),"",IF(K18="SCHNEIDER",F18*'Kurallar'!$B$48*'Kurallar'!$B$43,IF(K18="CHINT",F18*'Kurallar'!$B$47,IF(K18="EKT",F18*'Kurallar'!$B$49,IF(K18="KAZTEK",F18*'Kurallar'!$B$50,F18)))))</x:f>
        <x:v>111</x:v>
      </x:c>
      <x:c r="H18" s="19" t="n">
        <x:f>IF(G18="","",G18*I18)</x:f>
        <x:v>888</x:v>
      </x:c>
      <x:c r="I18" s="22" t="n">
        <x:v>8</x:v>
      </x:c>
      <x:c r="J18" s="16" t="str">
        <x:v>шт</x:v>
      </x:c>
      <x:c r="K18" s="16" t="str">
        <x:v>EKT</x:v>
      </x:c>
    </x:row>
    <x:row r="19" ht="15" hidden="0" customHeight="1">
      <x:c r="A19" s="16" t="n">
        <x:v>18</x:v>
      </x:c>
      <x:c r="B19" s="16" t="str">
        <x:v>ЩУ-1 (нагрев 20 кВт + вентилятор 3 кВт)</x:v>
      </x:c>
      <x:c r="C19" s="16" t="str">
        <x:v>Klemens</x:v>
      </x:c>
      <x:c r="D19" s="16" t="str">
        <x:v>130301153_</x:v>
      </x:c>
      <x:c r="E19" s="16" t="str">
        <x:v>ЗНИ 4мм² серый UNIT — выход вентилятора</x:v>
      </x:c>
      <x:c r="F19" s="19" t="n">
        <x:v>90</x:v>
      </x:c>
      <x:c r="G19" s="19" t="n">
        <x:f>IF(OR(F19="",F19=0),"",IF(K19="SCHNEIDER",F19*'Kurallar'!$B$48*'Kurallar'!$B$43,IF(K19="CHINT",F19*'Kurallar'!$B$47,IF(K19="EKT",F19*'Kurallar'!$B$49,IF(K19="KAZTEK",F19*'Kurallar'!$B$50,F19)))))</x:f>
        <x:v>90</x:v>
      </x:c>
      <x:c r="H19" s="19" t="n">
        <x:f>IF(G19="","",G19*I19)</x:f>
        <x:v>360</x:v>
      </x:c>
      <x:c r="I19" s="22" t="n">
        <x:v>4</x:v>
      </x:c>
      <x:c r="J19" s="16" t="str">
        <x:v>шт</x:v>
      </x:c>
      <x:c r="K19" s="16" t="str">
        <x:v>EKT</x:v>
      </x:c>
    </x:row>
    <x:row r="20" ht="15" hidden="0" customHeight="1">
      <x:c r="A20" s="16" t="n">
        <x:v>19</x:v>
      </x:c>
      <x:c r="B20" s="16" t="str">
        <x:v>ЩУ-1 (нагрев 20 кВт + вентилятор 3 кВт)</x:v>
      </x:c>
      <x:c r="C20" s="16" t="str">
        <x:v>Klemens</x:v>
      </x:c>
      <x:c r="D20" s="16" t="str">
        <x:v>130301152_</x:v>
      </x:c>
      <x:c r="E20" s="16" t="str">
        <x:v>ЗНИ 2,5мм² серый UNIT — управление/лампа/клапан/термостат/резерв</x:v>
      </x:c>
      <x:c r="F20" s="19" t="n">
        <x:v>90</x:v>
      </x:c>
      <x:c r="G20" s="19" t="n">
        <x:f>IF(OR(F20="",F20=0),"",IF(K20="SCHNEIDER",F20*'Kurallar'!$B$48*'Kurallar'!$B$43,IF(K20="CHINT",F20*'Kurallar'!$B$47,IF(K20="EKT",F20*'Kurallar'!$B$49,IF(K20="KAZTEK",F20*'Kurallar'!$B$50,F20)))))</x:f>
        <x:v>90</x:v>
      </x:c>
      <x:c r="H20" s="19" t="n">
        <x:f>IF(G20="","",G20*I20)</x:f>
        <x:v>2700</x:v>
      </x:c>
      <x:c r="I20" s="22" t="n">
        <x:v>30</x:v>
      </x:c>
      <x:c r="J20" s="16" t="str">
        <x:v>шт</x:v>
      </x:c>
      <x:c r="K20" s="16" t="str">
        <x:v>EKT</x:v>
      </x:c>
    </x:row>
    <x:row r="21" ht="15" hidden="0" customHeight="1">
      <x:c r="A21" s="16" t="n">
        <x:v>20</x:v>
      </x:c>
      <x:c r="B21" s="16" t="str">
        <x:v>ЩУ-1 (нагрев 20 кВт + вентилятор 3 кВт)</x:v>
      </x:c>
      <x:c r="C21" s="16" t="str">
        <x:v>montajный материал</x:v>
      </x:c>
      <x:c r="D21" s="16" t="str">
        <x:v>570002</x:v>
      </x:c>
      <x:c r="E21" s="16" t="str">
        <x:v>DIN-рейка TH35-7.5, длина 2000 мм</x:v>
      </x:c>
      <x:c r="F21" s="19" t="n">
        <x:v>2232</x:v>
      </x:c>
      <x:c r="G21" s="19" t="n">
        <x:f>IF(OR(F21="",F21=0),"",IF(K21="SCHNEIDER",F21*'Kurallar'!$B$48*'Kurallar'!$B$43,IF(K21="CHINT",F21*'Kurallar'!$B$47,IF(K21="EKT",F21*'Kurallar'!$B$49,IF(K21="KAZTEK",F21*'Kurallar'!$B$50,F21)))))</x:f>
        <x:v>1339.2</x:v>
      </x:c>
      <x:c r="H21" s="19" t="n">
        <x:f>IF(G21="","",G21*I21)</x:f>
        <x:v>1339.2</x:v>
      </x:c>
      <x:c r="I21" s="22" t="n">
        <x:v>1</x:v>
      </x:c>
      <x:c r="J21" s="16" t="str">
        <x:v>шт</x:v>
      </x:c>
      <x:c r="K21" s="16" t="str">
        <x:v>CHINT</x:v>
      </x:c>
    </x:row>
    <x:row r="22" ht="15" hidden="0" customHeight="1">
      <x:c r="A22" s="16" t="n">
        <x:v>21</x:v>
      </x:c>
      <x:c r="B22" s="16" t="str">
        <x:v>ЩУ-1 (нагрев 20 кВт + вентилятор 3 кВт)</x:v>
      </x:c>
      <x:c r="C22" s="16" t="str">
        <x:v>montajный материал</x:v>
      </x:c>
      <x:c r="D22" s="16" t="str">
        <x:v>280100020_</x:v>
      </x:c>
      <x:c r="E22" s="16" t="str">
        <x:v>Кабель-канал перфорированный 40×40, длина 2000 мм</x:v>
      </x:c>
      <x:c r="F22" s="19" t="n">
        <x:v>1486</x:v>
      </x:c>
      <x:c r="G22" s="19" t="n">
        <x:f>IF(OR(F22="",F22=0),"",IF(K22="SCHNEIDER",F22*'Kurallar'!$B$48*'Kurallar'!$B$43,IF(K22="CHINT",F22*'Kurallar'!$B$47,IF(K22="EKT",F22*'Kurallar'!$B$49,IF(K22="KAZTEK",F22*'Kurallar'!$B$50,F22)))))</x:f>
        <x:v>1486</x:v>
      </x:c>
      <x:c r="H22" s="19" t="n">
        <x:f>IF(G22="","",G22*I22)</x:f>
        <x:v>2972</x:v>
      </x:c>
      <x:c r="I22" s="22" t="n">
        <x:v>2</x:v>
      </x:c>
      <x:c r="J22" s="16" t="str">
        <x:v>шт</x:v>
      </x:c>
      <x:c r="K22" s="16" t="str">
        <x:v>EKT</x:v>
      </x:c>
    </x:row>
    <x:row r="23" ht="15" hidden="0" customHeight="1">
      <x:c r="A23" s="16" t="n">
        <x:v>22</x:v>
      </x:c>
      <x:c r="B23" s="16" t="str">
        <x:v>ЩУ-1 (нагрев 20 кВт + вентилятор 3 кВт)</x:v>
      </x:c>
      <x:c r="C23" s="16" t="str">
        <x:v>montajный материал</x:v>
      </x:c>
      <x:c r="D23" s="16" t="str">
        <x:v>270300079_</x:v>
      </x:c>
      <x:c r="E23" s="16" t="str">
        <x:v>Кабель-канал перфорированный 25×40, длина 2000 мм</x:v>
      </x:c>
      <x:c r="F23" s="19" t="n">
        <x:v>1094</x:v>
      </x:c>
      <x:c r="G23" s="19" t="n">
        <x:f>IF(OR(F23="",F23=0),"",IF(K23="SCHNEIDER",F23*'Kurallar'!$B$48*'Kurallar'!$B$43,IF(K23="CHINT",F23*'Kurallar'!$B$47,IF(K23="EKT",F23*'Kurallar'!$B$49,IF(K23="KAZTEK",F23*'Kurallar'!$B$50,F23)))))</x:f>
        <x:v>1094</x:v>
      </x:c>
      <x:c r="H23" s="19" t="n">
        <x:f>IF(G23="","",G23*I23)</x:f>
        <x:v>1094</x:v>
      </x:c>
      <x:c r="I23" s="22" t="n">
        <x:v>1</x:v>
      </x:c>
      <x:c r="J23" s="16" t="str">
        <x:v>шт</x:v>
      </x:c>
      <x:c r="K23" s="16" t="str">
        <x:v>EKT</x:v>
      </x:c>
    </x:row>
    <x:row r="24" ht="15" hidden="0" customHeight="1">
      <x:c r="A24" s="16" t="n">
        <x:v>23</x:v>
      </x:c>
      <x:c r="B24" s="16" t="str">
        <x:v>ЩУ-1 (нагрев 20 кВт + вентилятор 3 кВт)</x:v>
      </x:c>
      <x:c r="C24" s="16" t="str">
        <x:v>montajный материал</x:v>
      </x:c>
      <x:c r="D24" s="16"/>
      <x:c r="E24" s="16" t="str">
        <x:v>Монтажные материалы: провод, наконечники, маркировка, крепёж, 5 кабельных вводов</x:v>
      </x:c>
      <x:c r="F24" s="19"/>
      <x:c r="G24" s="19" t="n">
        <x:f>SUM(H3:H23)*'Kurallar'!$B$12</x:f>
        <x:v>4750.512479999999</x:v>
      </x:c>
      <x:c r="H24" s="19" t="n">
        <x:f>IF(G24="","",G24*I24)</x:f>
        <x:v>4750.512479999999</x:v>
      </x:c>
      <x:c r="I24" s="22" t="n">
        <x:v>1</x:v>
      </x:c>
      <x:c r="J24" s="16" t="str">
        <x:v>компл.</x:v>
      </x:c>
      <x:c r="K24" s="16" t="str">
        <x:v>TEKLED</x:v>
      </x:c>
    </x:row>
    <x:row r="25" ht="15" hidden="0" customHeight="1">
      <x:c r="A25" s="16" t="n">
        <x:v>24</x:v>
      </x:c>
      <x:c r="B25" s="16" t="str">
        <x:v>ЩУ-1 (нагрев 20 кВт + вентилятор 3 кВт)</x:v>
      </x:c>
      <x:c r="C25" s="16" t="str">
        <x:v>montajная работа</x:v>
      </x:c>
      <x:c r="D25" s="16"/>
      <x:c r="E25" s="16" t="str">
        <x:v>Сборка, каблировка, маркировка и функциональный тест</x:v>
      </x:c>
      <x:c r="F25" s="19"/>
      <x:c r="G25" s="19" t="n">
        <x:f>'Kurallar'!$B$10</x:f>
        <x:v>100</x:v>
      </x:c>
      <x:c r="H25" s="19" t="n">
        <x:f>IF(OR(G25="",I25=""),"",G25*I25)</x:f>
        <x:v>32717.499999999996</x:v>
      </x:c>
      <x:c r="I25" s="22" t="n">
        <x:f>'Kurallar'!$D$25</x:f>
        <x:v>327.17499999999995</x:v>
      </x:c>
      <x:c r="J25" s="16" t="str">
        <x:v>мин</x:v>
      </x:c>
      <x:c r="K25" s="16" t="str">
        <x:v>TEKLED</x:v>
      </x:c>
    </x:row>
    <x:row r="26" ht="24" hidden="0" customHeight="1">
      <x:c r="A26" s="33"/>
      <x:c r="B26" s="33" t="str">
        <x:v>Toplam ЩУ-1 (нагрев 20 кВт + вентилятор 3 кВт)</x:v>
      </x:c>
      <x:c r="C26" s="33"/>
      <x:c r="D26" s="33"/>
      <x:c r="E26" s="33"/>
      <x:c r="F26" s="34"/>
      <x:c r="G26" s="34"/>
      <x:c r="H26" s="34" t="n">
        <x:f>SUM(H3:H25)</x:f>
        <x:v>195818.42848</x:v>
      </x:c>
      <x:c r="I26" s="35" t="n">
        <x:v>4</x:v>
      </x:c>
      <x:c r="J26" s="33" t="str">
        <x:v>комплект</x:v>
      </x:c>
      <x:c r="K26" s="33"/>
    </x:row>
    <x:row r="27" ht="15" hidden="0" customHeight="1">
      <x:c r="A27" s="39" t="n">
        <x:v>25</x:v>
      </x:c>
      <x:c r="B27" s="39" t="str">
        <x:v>ЩУ-2 (нагрев 26 кВт + вентилятор 8 кВт)</x:v>
      </x:c>
      <x:c r="C27" s="39" t="str">
        <x:v>PANO</x:v>
      </x:c>
      <x:c r="D27" s="39"/>
      <x:c r="E27" s="39" t="str">
        <x:v>ЩУ-2 (нагрев 26 кВт + вентилятор 8 кВт)</x:v>
      </x:c>
      <x:c r="F27" s="40"/>
      <x:c r="G27" s="40"/>
      <x:c r="H27" s="40"/>
      <x:c r="I27" s="41" t="n">
        <x:v>10</x:v>
      </x:c>
      <x:c r="J27" s="39" t="str">
        <x:v>комплект</x:v>
      </x:c>
      <x:c r="K27" s="39" t="str">
        <x:v>TEKLED</x:v>
      </x:c>
    </x:row>
    <x:row r="28" ht="15" hidden="0" customHeight="1">
      <x:c r="A28" s="16" t="n">
        <x:v>26</x:v>
      </x:c>
      <x:c r="B28" s="16" t="str">
        <x:v>ЩУ-2 (нагрев 26 кВт + вентилятор 8 кВт)</x:v>
      </x:c>
      <x:c r="C28" s="16" t="str">
        <x:v>korpus</x:v>
      </x:c>
      <x:c r="D28" s="16" t="str">
        <x:v>714-15120</x:v>
      </x:c>
      <x:c r="E28" s="16" t="str">
        <x:v>Щит мет. ЩРн-3-2 PR 650×500×220 IP54, монтажная плата, 1 дверь</x:v>
      </x:c>
      <x:c r="F28" s="19" t="n">
        <x:v>29525</x:v>
      </x:c>
      <x:c r="G28" s="19" t="n">
        <x:f>IF(OR(F28="",F28=0),"",IF(K28="SCHNEIDER",F28*'Kurallar'!$B$48*'Kurallar'!$B$43,IF(K28="CHINT",F28*'Kurallar'!$B$47,IF(K28="EKT",F28*'Kurallar'!$B$49,IF(K28="KAZTEK",F28*'Kurallar'!$B$50,F28)))))</x:f>
        <x:v>29525</x:v>
      </x:c>
      <x:c r="H28" s="19" t="n">
        <x:f>IF(G28="","",G28*I28)</x:f>
        <x:v>29525</x:v>
      </x:c>
      <x:c r="I28" s="22" t="n">
        <x:v>1</x:v>
      </x:c>
      <x:c r="J28" s="16" t="str">
        <x:v>шт</x:v>
      </x:c>
      <x:c r="K28" s="16" t="str">
        <x:v>KAZTEK</x:v>
      </x:c>
    </x:row>
    <x:row r="29" ht="15" hidden="0" customHeight="1">
      <x:c r="A29" s="16" t="n">
        <x:v>27</x:v>
      </x:c>
      <x:c r="B29" s="16" t="str">
        <x:v>ЩУ-2 (нагрев 26 кВт + вентилятор 8 кВт)</x:v>
      </x:c>
      <x:c r="C29" s="16" t="str">
        <x:v>OTO</x:v>
      </x:c>
      <x:c r="D29" s="16" t="str">
        <x:v>A9F79363</x:v>
      </x:c>
      <x:c r="E29" s="16" t="str">
        <x:v>Вводной автомат Acti9 iC60N 3P C63, 6кА</x:v>
      </x:c>
      <x:c r="F29" s="19" t="n">
        <x:v>3335</x:v>
      </x:c>
      <x:c r="G29" s="19" t="n">
        <x:f>IF(OR(F29="",F29=0),"",IF(K29="SCHNEIDER",F29*'Kurallar'!$B$48*'Kurallar'!$B$43,IF(K29="CHINT",F29*'Kurallar'!$B$47,IF(K29="EKT",F29*'Kurallar'!$B$49,IF(K29="KAZTEK",F29*'Kurallar'!$B$50,F29)))))</x:f>
        <x:v>21810.9</x:v>
      </x:c>
      <x:c r="H29" s="19" t="n">
        <x:f>IF(G29="","",G29*I29)</x:f>
        <x:v>21810.9</x:v>
      </x:c>
      <x:c r="I29" s="22" t="n">
        <x:v>1</x:v>
      </x:c>
      <x:c r="J29" s="16" t="str">
        <x:v>шт</x:v>
      </x:c>
      <x:c r="K29" s="16" t="str">
        <x:v>SCHNEIDER</x:v>
      </x:c>
    </x:row>
    <x:row r="30" ht="15" hidden="0" customHeight="1">
      <x:c r="A30" s="16" t="n">
        <x:v>28</x:v>
      </x:c>
      <x:c r="B30" s="16" t="str">
        <x:v>ЩУ-2 (нагрев 26 кВт + вентилятор 8 кВт)</x:v>
      </x:c>
      <x:c r="C30" s="16" t="str">
        <x:v>OTO</x:v>
      </x:c>
      <x:c r="D30" s="16" t="str">
        <x:v>A9F79325</x:v>
      </x:c>
      <x:c r="E30" s="16" t="str">
        <x:v>Автомат Acti9 iC60N 3P — нагреватель, 2 × 13 кВт</x:v>
      </x:c>
      <x:c r="F30" s="19" t="n">
        <x:v>1884</x:v>
      </x:c>
      <x:c r="G30" s="19" t="n">
        <x:f>IF(OR(F30="",F30=0),"",IF(K30="SCHNEIDER",F30*'Kurallar'!$B$48*'Kurallar'!$B$43,IF(K30="CHINT",F30*'Kurallar'!$B$47,IF(K30="EKT",F30*'Kurallar'!$B$49,IF(K30="KAZTEK",F30*'Kurallar'!$B$50,F30)))))</x:f>
        <x:v>12321.359999999999</x:v>
      </x:c>
      <x:c r="H30" s="19" t="n">
        <x:f>IF(G30="","",G30*I30)</x:f>
        <x:v>24642.719999999998</x:v>
      </x:c>
      <x:c r="I30" s="22" t="n">
        <x:v>2</x:v>
      </x:c>
      <x:c r="J30" s="16" t="str">
        <x:v>шт</x:v>
      </x:c>
      <x:c r="K30" s="16" t="str">
        <x:v>SCHNEIDER</x:v>
      </x:c>
    </x:row>
    <x:row r="31" ht="15" hidden="0" customHeight="1">
      <x:c r="A31" s="16" t="n">
        <x:v>29</x:v>
      </x:c>
      <x:c r="B31" s="16" t="str">
        <x:v>ЩУ-2 (нагрев 26 кВт + вентилятор 8 кВт)</x:v>
      </x:c>
      <x:c r="C31" s="16" t="str">
        <x:v>kontaktör</x:v>
      </x:c>
      <x:c r="D31" s="16" t="str">
        <x:v>LC1E2510M5</x:v>
      </x:c>
      <x:c r="E31" s="16" t="str">
        <x:v>Контактор Easy TeSys, 220В AC — нагреватель, 2 × 13 кВт</x:v>
      </x:c>
      <x:c r="F31" s="19" t="n">
        <x:v>2182</x:v>
      </x:c>
      <x:c r="G31" s="19" t="n">
        <x:f>IF(OR(F31="",F31=0),"",IF(K31="SCHNEIDER",F31*'Kurallar'!$B$48*'Kurallar'!$B$43,IF(K31="CHINT",F31*'Kurallar'!$B$47,IF(K31="EKT",F31*'Kurallar'!$B$49,IF(K31="KAZTEK",F31*'Kurallar'!$B$50,F31)))))</x:f>
        <x:v>14270.28</x:v>
      </x:c>
      <x:c r="H31" s="19" t="n">
        <x:f>IF(G31="","",G31*I31)</x:f>
        <x:v>28540.56</x:v>
      </x:c>
      <x:c r="I31" s="22" t="n">
        <x:v>2</x:v>
      </x:c>
      <x:c r="J31" s="16" t="str">
        <x:v>шт</x:v>
      </x:c>
      <x:c r="K31" s="16" t="str">
        <x:v>SCHNEIDER</x:v>
      </x:c>
    </x:row>
    <x:row r="32" ht="15" hidden="0" customHeight="1">
      <x:c r="A32" s="16" t="n">
        <x:v>30</x:v>
      </x:c>
      <x:c r="B32" s="16" t="str">
        <x:v>ЩУ-2 (нагрев 26 кВт + вентилятор 8 кВт)</x:v>
      </x:c>
      <x:c r="C32" s="16" t="str">
        <x:v>Motor Koruma</x:v>
      </x:c>
      <x:c r="D32" s="16" t="str">
        <x:v>GV2ME20</x:v>
      </x:c>
      <x:c r="E32" s="16" t="str">
        <x:v>Автомат защиты двигателя TeSys GV2 — вентилятор 8 кВт · 13…18 A · КОНТРОЛЬ</x:v>
      </x:c>
      <x:c r="F32" s="19" t="n">
        <x:v>4163</x:v>
      </x:c>
      <x:c r="G32" s="19" t="n">
        <x:f>IF(OR(F32="",F32=0),"",IF(K32="SCHNEIDER",F32*'Kurallar'!$B$48*'Kurallar'!$B$43,IF(K32="CHINT",F32*'Kurallar'!$B$47,IF(K32="EKT",F32*'Kurallar'!$B$49,IF(K32="KAZTEK",F32*'Kurallar'!$B$50,F32)))))</x:f>
        <x:v>27226.019999999997</x:v>
      </x:c>
      <x:c r="H32" s="19" t="n">
        <x:f>IF(G32="","",G32*I32)</x:f>
        <x:v>27226.019999999997</x:v>
      </x:c>
      <x:c r="I32" s="22" t="n">
        <x:v>1</x:v>
      </x:c>
      <x:c r="J32" s="16" t="str">
        <x:v>шт</x:v>
      </x:c>
      <x:c r="K32" s="16" t="str">
        <x:v>SCHNEIDER</x:v>
      </x:c>
    </x:row>
    <x:row r="33" ht="15" hidden="0" customHeight="1">
      <x:c r="A33" s="16" t="n">
        <x:v>31</x:v>
      </x:c>
      <x:c r="B33" s="16" t="str">
        <x:v>ЩУ-2 (нагрев 26 кВт + вентилятор 8 кВт)</x:v>
      </x:c>
      <x:c r="C33" s="16" t="str">
        <x:v>kontaktör</x:v>
      </x:c>
      <x:c r="D33" s="16" t="str">
        <x:v>LC1E2510M5</x:v>
      </x:c>
      <x:c r="E33" s="16" t="str">
        <x:v>Контактор Easy TeSys, 220В AC — вентилятор 8 кВт</x:v>
      </x:c>
      <x:c r="F33" s="19" t="n">
        <x:v>2182</x:v>
      </x:c>
      <x:c r="G33" s="19" t="n">
        <x:f>IF(OR(F33="",F33=0),"",IF(K33="SCHNEIDER",F33*'Kurallar'!$B$48*'Kurallar'!$B$43,IF(K33="CHINT",F33*'Kurallar'!$B$47,IF(K33="EKT",F33*'Kurallar'!$B$49,IF(K33="KAZTEK",F33*'Kurallar'!$B$50,F33)))))</x:f>
        <x:v>14270.28</x:v>
      </x:c>
      <x:c r="H33" s="19" t="n">
        <x:f>IF(G33="","",G33*I33)</x:f>
        <x:v>14270.28</x:v>
      </x:c>
      <x:c r="I33" s="22" t="n">
        <x:v>1</x:v>
      </x:c>
      <x:c r="J33" s="16" t="str">
        <x:v>шт</x:v>
      </x:c>
      <x:c r="K33" s="16" t="str">
        <x:v>SCHNEIDER</x:v>
      </x:c>
    </x:row>
    <x:row r="34" ht="15" hidden="0" customHeight="1">
      <x:c r="A34" s="16" t="n">
        <x:v>32</x:v>
      </x:c>
      <x:c r="B34" s="16" t="str">
        <x:v>ЩУ-2 (нагрев 26 кВт + вентилятор 8 кВт)</x:v>
      </x:c>
      <x:c r="C34" s="16" t="str">
        <x:v>OTO</x:v>
      </x:c>
      <x:c r="D34" s="16" t="str">
        <x:v>A9F79110</x:v>
      </x:c>
      <x:c r="E34" s="16" t="str">
        <x:v>Автоматический выключатель Acti9 iC60N 1P C10 6кА — освещение</x:v>
      </x:c>
      <x:c r="F34" s="19" t="n">
        <x:v>446.8</x:v>
      </x:c>
      <x:c r="G34" s="19" t="n">
        <x:f>IF(OR(F34="",F34=0),"",IF(K34="SCHNEIDER",F34*'Kurallar'!$B$48*'Kurallar'!$B$43,IF(K34="CHINT",F34*'Kurallar'!$B$47,IF(K34="EKT",F34*'Kurallar'!$B$49,IF(K34="KAZTEK",F34*'Kurallar'!$B$50,F34)))))</x:f>
        <x:v>2922.072</x:v>
      </x:c>
      <x:c r="H34" s="19" t="n">
        <x:f>IF(G34="","",G34*I34)</x:f>
        <x:v>2922.072</x:v>
      </x:c>
      <x:c r="I34" s="22" t="n">
        <x:v>1</x:v>
      </x:c>
      <x:c r="J34" s="16" t="str">
        <x:v>шт</x:v>
      </x:c>
      <x:c r="K34" s="16" t="str">
        <x:v>SCHNEIDER</x:v>
      </x:c>
    </x:row>
    <x:row r="35" ht="15" hidden="0" customHeight="1">
      <x:c r="A35" s="16" t="n">
        <x:v>33</x:v>
      </x:c>
      <x:c r="B35" s="16" t="str">
        <x:v>ЩУ-2 (нагрев 26 кВт + вентилятор 8 кВт)</x:v>
      </x:c>
      <x:c r="C35" s="16" t="str">
        <x:v>OTO</x:v>
      </x:c>
      <x:c r="D35" s="16" t="str">
        <x:v>A9F79106</x:v>
      </x:c>
      <x:c r="E35" s="16" t="str">
        <x:v>Автоматический выключатель Acti9 iC60N 1P C6 6кА — обратный клапан</x:v>
      </x:c>
      <x:c r="F35" s="19" t="n">
        <x:v>446.8</x:v>
      </x:c>
      <x:c r="G35" s="19" t="n">
        <x:f>IF(OR(F35="",F35=0),"",IF(K35="SCHNEIDER",F35*'Kurallar'!$B$48*'Kurallar'!$B$43,IF(K35="CHINT",F35*'Kurallar'!$B$47,IF(K35="EKT",F35*'Kurallar'!$B$49,IF(K35="KAZTEK",F35*'Kurallar'!$B$50,F35)))))</x:f>
        <x:v>2922.072</x:v>
      </x:c>
      <x:c r="H35" s="19" t="n">
        <x:f>IF(G35="","",G35*I35)</x:f>
        <x:v>2922.072</x:v>
      </x:c>
      <x:c r="I35" s="22" t="n">
        <x:v>1</x:v>
      </x:c>
      <x:c r="J35" s="16" t="str">
        <x:v>шт</x:v>
      </x:c>
      <x:c r="K35" s="16" t="str">
        <x:v>SCHNEIDER</x:v>
      </x:c>
    </x:row>
    <x:row r="36" ht="15" hidden="0" customHeight="1">
      <x:c r="A36" s="16" t="n">
        <x:v>34</x:v>
      </x:c>
      <x:c r="B36" s="16" t="str">
        <x:v>ЩУ-2 (нагрев 26 кВт + вентилятор 8 кВт)</x:v>
      </x:c>
      <x:c r="C36" s="16" t="str">
        <x:v>OTO</x:v>
      </x:c>
      <x:c r="D36" s="16" t="str">
        <x:v>A9F79106</x:v>
      </x:c>
      <x:c r="E36" s="16" t="str">
        <x:v>Автоматический выключатель Acti9 iC60N 1P C6 6кА — термостат / цепь управления</x:v>
      </x:c>
      <x:c r="F36" s="19" t="n">
        <x:v>446.8</x:v>
      </x:c>
      <x:c r="G36" s="19" t="n">
        <x:f>IF(OR(F36="",F36=0),"",IF(K36="SCHNEIDER",F36*'Kurallar'!$B$48*'Kurallar'!$B$43,IF(K36="CHINT",F36*'Kurallar'!$B$47,IF(K36="EKT",F36*'Kurallar'!$B$49,IF(K36="KAZTEK",F36*'Kurallar'!$B$50,F36)))))</x:f>
        <x:v>2922.072</x:v>
      </x:c>
      <x:c r="H36" s="19" t="n">
        <x:f>IF(G36="","",G36*I36)</x:f>
        <x:v>2922.072</x:v>
      </x:c>
      <x:c r="I36" s="22" t="n">
        <x:v>1</x:v>
      </x:c>
      <x:c r="J36" s="16" t="str">
        <x:v>шт</x:v>
      </x:c>
      <x:c r="K36" s="16" t="str">
        <x:v>SCHNEIDER</x:v>
      </x:c>
    </x:row>
    <x:row r="37" ht="15" hidden="0" customHeight="1">
      <x:c r="A37" s="16" t="n">
        <x:v>35</x:v>
      </x:c>
      <x:c r="B37" s="16" t="str">
        <x:v>ЩУ-2 (нагрев 26 кВт + вентилятор 8 кВт)</x:v>
      </x:c>
      <x:c r="C37" s="16" t="str">
        <x:v>kontaktör</x:v>
      </x:c>
      <x:c r="D37" s="16" t="str">
        <x:v>LC1E0610M5</x:v>
      </x:c>
      <x:c r="E37" s="16" t="str">
        <x:v>Контактор Easy TeSys 3P 6A, катушка 220В AC 50Гц — лампа</x:v>
      </x:c>
      <x:c r="F37" s="19" t="n">
        <x:v>1154</x:v>
      </x:c>
      <x:c r="G37" s="19" t="n">
        <x:f>IF(OR(F37="",F37=0),"",IF(K37="SCHNEIDER",F37*'Kurallar'!$B$48*'Kurallar'!$B$43,IF(K37="CHINT",F37*'Kurallar'!$B$47,IF(K37="EKT",F37*'Kurallar'!$B$49,IF(K37="KAZTEK",F37*'Kurallar'!$B$50,F37)))))</x:f>
        <x:v>7547.16</x:v>
      </x:c>
      <x:c r="H37" s="19" t="n">
        <x:f>IF(G37="","",G37*I37)</x:f>
        <x:v>7547.16</x:v>
      </x:c>
      <x:c r="I37" s="22" t="n">
        <x:v>1</x:v>
      </x:c>
      <x:c r="J37" s="16" t="str">
        <x:v>шт</x:v>
      </x:c>
      <x:c r="K37" s="16" t="str">
        <x:v>SCHNEIDER</x:v>
      </x:c>
    </x:row>
    <x:row r="38" ht="15" hidden="0" customHeight="1">
      <x:c r="A38" s="16" t="n">
        <x:v>36</x:v>
      </x:c>
      <x:c r="B38" s="16" t="str">
        <x:v>ЩУ-2 (нагрев 26 кВт + вентилятор 8 кВт)</x:v>
      </x:c>
      <x:c r="C38" s="16" t="str">
        <x:v>kontaktör</x:v>
      </x:c>
      <x:c r="D38" s="16" t="str">
        <x:v>LC1E0610M5</x:v>
      </x:c>
      <x:c r="E38" s="16" t="str">
        <x:v>Контактор Easy TeSys 3P 6A, катушка 220В AC 50Гц — обратный клапан</x:v>
      </x:c>
      <x:c r="F38" s="19" t="n">
        <x:v>1154</x:v>
      </x:c>
      <x:c r="G38" s="19" t="n">
        <x:f>IF(OR(F38="",F38=0),"",IF(K38="SCHNEIDER",F38*'Kurallar'!$B$48*'Kurallar'!$B$43,IF(K38="CHINT",F38*'Kurallar'!$B$47,IF(K38="EKT",F38*'Kurallar'!$B$49,IF(K38="KAZTEK",F38*'Kurallar'!$B$50,F38)))))</x:f>
        <x:v>7547.16</x:v>
      </x:c>
      <x:c r="H38" s="19" t="n">
        <x:f>IF(G38="","",G38*I38)</x:f>
        <x:v>7547.16</x:v>
      </x:c>
      <x:c r="I38" s="22" t="n">
        <x:v>1</x:v>
      </x:c>
      <x:c r="J38" s="16" t="str">
        <x:v>шт</x:v>
      </x:c>
      <x:c r="K38" s="16" t="str">
        <x:v>SCHNEIDER</x:v>
      </x:c>
    </x:row>
    <x:row r="39" ht="15" hidden="0" customHeight="1">
      <x:c r="A39" s="16" t="n">
        <x:v>37</x:v>
      </x:c>
      <x:c r="B39" s="16" t="str">
        <x:v>ЩУ-2 (нагрев 26 кВт + вентилятор 8 кВт)</x:v>
      </x:c>
      <x:c r="C39" s="16" t="str">
        <x:v>Sinyal Lambası</x:v>
      </x:c>
      <x:c r="D39" s="16" t="str">
        <x:v>593012</x:v>
      </x:c>
      <x:c r="E39" s="16" t="str">
        <x:v>Индикатор ND16-22DS/4 красный AC230В Ø22 — на дверь</x:v>
      </x:c>
      <x:c r="F39" s="19" t="n">
        <x:v>836</x:v>
      </x:c>
      <x:c r="G39" s="19" t="n">
        <x:f>IF(OR(F39="",F39=0),"",IF(K39="SCHNEIDER",F39*'Kurallar'!$B$48*'Kurallar'!$B$43,IF(K39="CHINT",F39*'Kurallar'!$B$47,IF(K39="EKT",F39*'Kurallar'!$B$49,IF(K39="KAZTEK",F39*'Kurallar'!$B$50,F39)))))</x:f>
        <x:v>501.59999999999997</x:v>
      </x:c>
      <x:c r="H39" s="19" t="n">
        <x:f>IF(G39="","",G39*I39)</x:f>
        <x:v>1504.8</x:v>
      </x:c>
      <x:c r="I39" s="22" t="n">
        <x:v>3</x:v>
      </x:c>
      <x:c r="J39" s="16" t="str">
        <x:v>шт</x:v>
      </x:c>
      <x:c r="K39" s="16" t="str">
        <x:v>CHINT</x:v>
      </x:c>
    </x:row>
    <x:row r="40" ht="15" hidden="0" customHeight="1">
      <x:c r="A40" s="16" t="n">
        <x:v>38</x:v>
      </x:c>
      <x:c r="B40" s="16" t="str">
        <x:v>ЩУ-2 (нагрев 26 кВт + вентилятор 8 кВт)</x:v>
      </x:c>
      <x:c r="C40" s="16" t="str">
        <x:v>Klemens</x:v>
      </x:c>
      <x:c r="D40" s="16" t="str">
        <x:v>130301157_</x:v>
      </x:c>
      <x:c r="E40" s="16" t="str">
        <x:v>ЗНИ 16мм² 100А серый UNIT — ввод L1/L2/L3</x:v>
      </x:c>
      <x:c r="F40" s="19" t="n">
        <x:v>235</x:v>
      </x:c>
      <x:c r="G40" s="19" t="n">
        <x:f>IF(OR(F40="",F40=0),"",IF(K40="SCHNEIDER",F40*'Kurallar'!$B$48*'Kurallar'!$B$43,IF(K40="CHINT",F40*'Kurallar'!$B$47,IF(K40="EKT",F40*'Kurallar'!$B$49,IF(K40="KAZTEK",F40*'Kurallar'!$B$50,F40)))))</x:f>
        <x:v>235</x:v>
      </x:c>
      <x:c r="H40" s="19" t="n">
        <x:f>IF(G40="","",G40*I40)</x:f>
        <x:v>705</x:v>
      </x:c>
      <x:c r="I40" s="22" t="n">
        <x:v>3</x:v>
      </x:c>
      <x:c r="J40" s="16" t="str">
        <x:v>шт</x:v>
      </x:c>
      <x:c r="K40" s="16" t="str">
        <x:v>EKT</x:v>
      </x:c>
    </x:row>
    <x:row r="41" ht="15" hidden="0" customHeight="1">
      <x:c r="A41" s="16" t="n">
        <x:v>39</x:v>
      </x:c>
      <x:c r="B41" s="16" t="str">
        <x:v>ЩУ-2 (нагрев 26 кВт + вентилятор 8 кВт)</x:v>
      </x:c>
      <x:c r="C41" s="16" t="str">
        <x:v>Klemens</x:v>
      </x:c>
      <x:c r="D41" s="16" t="str">
        <x:v>130301158_</x:v>
      </x:c>
      <x:c r="E41" s="16" t="str">
        <x:v>ЗНИ 16мм² 100А синий UNIT — ввод N</x:v>
      </x:c>
      <x:c r="F41" s="19" t="n">
        <x:v>269</x:v>
      </x:c>
      <x:c r="G41" s="19" t="n">
        <x:f>IF(OR(F41="",F41=0),"",IF(K41="SCHNEIDER",F41*'Kurallar'!$B$48*'Kurallar'!$B$43,IF(K41="CHINT",F41*'Kurallar'!$B$47,IF(K41="EKT",F41*'Kurallar'!$B$49,IF(K41="KAZTEK",F41*'Kurallar'!$B$50,F41)))))</x:f>
        <x:v>269</x:v>
      </x:c>
      <x:c r="H41" s="19" t="n">
        <x:f>IF(G41="","",G41*I41)</x:f>
        <x:v>269</x:v>
      </x:c>
      <x:c r="I41" s="22" t="n">
        <x:v>1</x:v>
      </x:c>
      <x:c r="J41" s="16" t="str">
        <x:v>шт</x:v>
      </x:c>
      <x:c r="K41" s="16" t="str">
        <x:v>EKT</x:v>
      </x:c>
    </x:row>
    <x:row r="42" ht="15" hidden="0" customHeight="1">
      <x:c r="A42" s="16" t="n">
        <x:v>40</x:v>
      </x:c>
      <x:c r="B42" s="16" t="str">
        <x:v>ЩУ-2 (нагрев 26 кВт + вентилятор 8 кВт)</x:v>
      </x:c>
      <x:c r="C42" s="16" t="str">
        <x:v>Klemens</x:v>
      </x:c>
      <x:c r="D42" s="16" t="str">
        <x:v>130300227_</x:v>
      </x:c>
      <x:c r="E42" s="16" t="str">
        <x:v>ЗНИ 10PEN 10мм² — PE: ввод, 2 нагревателя, вентилятор, дверь</x:v>
      </x:c>
      <x:c r="F42" s="19" t="n">
        <x:v>155</x:v>
      </x:c>
      <x:c r="G42" s="19" t="n">
        <x:f>IF(OR(F42="",F42=0),"",IF(K42="SCHNEIDER",F42*'Kurallar'!$B$48*'Kurallar'!$B$43,IF(K42="CHINT",F42*'Kurallar'!$B$47,IF(K42="EKT",F42*'Kurallar'!$B$49,IF(K42="KAZTEK",F42*'Kurallar'!$B$50,F42)))))</x:f>
        <x:v>155</x:v>
      </x:c>
      <x:c r="H42" s="19" t="n">
        <x:f>IF(G42="","",G42*I42)</x:f>
        <x:v>775</x:v>
      </x:c>
      <x:c r="I42" s="22" t="n">
        <x:v>5</x:v>
      </x:c>
      <x:c r="J42" s="16" t="str">
        <x:v>шт</x:v>
      </x:c>
      <x:c r="K42" s="16" t="str">
        <x:v>EKT</x:v>
      </x:c>
    </x:row>
    <x:row r="43" ht="15" hidden="0" customHeight="1">
      <x:c r="A43" s="16" t="n">
        <x:v>41</x:v>
      </x:c>
      <x:c r="B43" s="16" t="str">
        <x:v>ЩУ-2 (нагрев 26 кВт + вентилятор 8 кВт)</x:v>
      </x:c>
      <x:c r="C43" s="16" t="str">
        <x:v>Klemens</x:v>
      </x:c>
      <x:c r="D43" s="16" t="str">
        <x:v>130301154_</x:v>
      </x:c>
      <x:c r="E43" s="16" t="str">
        <x:v>ЗНИ 6мм² серый UNIT — 2 выхода нагревателя × 4</x:v>
      </x:c>
      <x:c r="F43" s="19" t="n">
        <x:v>111</x:v>
      </x:c>
      <x:c r="G43" s="19" t="n">
        <x:f>IF(OR(F43="",F43=0),"",IF(K43="SCHNEIDER",F43*'Kurallar'!$B$48*'Kurallar'!$B$43,IF(K43="CHINT",F43*'Kurallar'!$B$47,IF(K43="EKT",F43*'Kurallar'!$B$49,IF(K43="KAZTEK",F43*'Kurallar'!$B$50,F43)))))</x:f>
        <x:v>111</x:v>
      </x:c>
      <x:c r="H43" s="19" t="n">
        <x:f>IF(G43="","",G43*I43)</x:f>
        <x:v>888</x:v>
      </x:c>
      <x:c r="I43" s="22" t="n">
        <x:v>8</x:v>
      </x:c>
      <x:c r="J43" s="16" t="str">
        <x:v>шт</x:v>
      </x:c>
      <x:c r="K43" s="16" t="str">
        <x:v>EKT</x:v>
      </x:c>
    </x:row>
    <x:row r="44" ht="15" hidden="0" customHeight="1">
      <x:c r="A44" s="16" t="n">
        <x:v>42</x:v>
      </x:c>
      <x:c r="B44" s="16" t="str">
        <x:v>ЩУ-2 (нагрев 26 кВт + вентилятор 8 кВт)</x:v>
      </x:c>
      <x:c r="C44" s="16" t="str">
        <x:v>Klemens</x:v>
      </x:c>
      <x:c r="D44" s="16" t="str">
        <x:v>130301153_</x:v>
      </x:c>
      <x:c r="E44" s="16" t="str">
        <x:v>ЗНИ 4мм² серый UNIT — выход вентилятора</x:v>
      </x:c>
      <x:c r="F44" s="19" t="n">
        <x:v>90</x:v>
      </x:c>
      <x:c r="G44" s="19" t="n">
        <x:f>IF(OR(F44="",F44=0),"",IF(K44="SCHNEIDER",F44*'Kurallar'!$B$48*'Kurallar'!$B$43,IF(K44="CHINT",F44*'Kurallar'!$B$47,IF(K44="EKT",F44*'Kurallar'!$B$49,IF(K44="KAZTEK",F44*'Kurallar'!$B$50,F44)))))</x:f>
        <x:v>90</x:v>
      </x:c>
      <x:c r="H44" s="19" t="n">
        <x:f>IF(G44="","",G44*I44)</x:f>
        <x:v>360</x:v>
      </x:c>
      <x:c r="I44" s="22" t="n">
        <x:v>4</x:v>
      </x:c>
      <x:c r="J44" s="16" t="str">
        <x:v>шт</x:v>
      </x:c>
      <x:c r="K44" s="16" t="str">
        <x:v>EKT</x:v>
      </x:c>
    </x:row>
    <x:row r="45" ht="15" hidden="0" customHeight="1">
      <x:c r="A45" s="16" t="n">
        <x:v>43</x:v>
      </x:c>
      <x:c r="B45" s="16" t="str">
        <x:v>ЩУ-2 (нагрев 26 кВт + вентилятор 8 кВт)</x:v>
      </x:c>
      <x:c r="C45" s="16" t="str">
        <x:v>Klemens</x:v>
      </x:c>
      <x:c r="D45" s="16" t="str">
        <x:v>130301152_</x:v>
      </x:c>
      <x:c r="E45" s="16" t="str">
        <x:v>ЗНИ 2,5мм² серый UNIT — управление/лампа/клапан/термостат/резерв</x:v>
      </x:c>
      <x:c r="F45" s="19" t="n">
        <x:v>90</x:v>
      </x:c>
      <x:c r="G45" s="19" t="n">
        <x:f>IF(OR(F45="",F45=0),"",IF(K45="SCHNEIDER",F45*'Kurallar'!$B$48*'Kurallar'!$B$43,IF(K45="CHINT",F45*'Kurallar'!$B$47,IF(K45="EKT",F45*'Kurallar'!$B$49,IF(K45="KAZTEK",F45*'Kurallar'!$B$50,F45)))))</x:f>
        <x:v>90</x:v>
      </x:c>
      <x:c r="H45" s="19" t="n">
        <x:f>IF(G45="","",G45*I45)</x:f>
        <x:v>2700</x:v>
      </x:c>
      <x:c r="I45" s="22" t="n">
        <x:v>30</x:v>
      </x:c>
      <x:c r="J45" s="16" t="str">
        <x:v>шт</x:v>
      </x:c>
      <x:c r="K45" s="16" t="str">
        <x:v>EKT</x:v>
      </x:c>
    </x:row>
    <x:row r="46" ht="15" hidden="0" customHeight="1">
      <x:c r="A46" s="16" t="n">
        <x:v>44</x:v>
      </x:c>
      <x:c r="B46" s="16" t="str">
        <x:v>ЩУ-2 (нагрев 26 кВт + вентилятор 8 кВт)</x:v>
      </x:c>
      <x:c r="C46" s="16" t="str">
        <x:v>montajный материал</x:v>
      </x:c>
      <x:c r="D46" s="16" t="str">
        <x:v>570002</x:v>
      </x:c>
      <x:c r="E46" s="16" t="str">
        <x:v>DIN-рейка TH35-7.5, длина 2000 мм</x:v>
      </x:c>
      <x:c r="F46" s="19" t="n">
        <x:v>2232</x:v>
      </x:c>
      <x:c r="G46" s="19" t="n">
        <x:f>IF(OR(F46="",F46=0),"",IF(K46="SCHNEIDER",F46*'Kurallar'!$B$48*'Kurallar'!$B$43,IF(K46="CHINT",F46*'Kurallar'!$B$47,IF(K46="EKT",F46*'Kurallar'!$B$49,IF(K46="KAZTEK",F46*'Kurallar'!$B$50,F46)))))</x:f>
        <x:v>1339.2</x:v>
      </x:c>
      <x:c r="H46" s="19" t="n">
        <x:f>IF(G46="","",G46*I46)</x:f>
        <x:v>1339.2</x:v>
      </x:c>
      <x:c r="I46" s="22" t="n">
        <x:v>1</x:v>
      </x:c>
      <x:c r="J46" s="16" t="str">
        <x:v>шт</x:v>
      </x:c>
      <x:c r="K46" s="16" t="str">
        <x:v>CHINT</x:v>
      </x:c>
    </x:row>
    <x:row r="47" ht="15" hidden="0" customHeight="1">
      <x:c r="A47" s="16" t="n">
        <x:v>45</x:v>
      </x:c>
      <x:c r="B47" s="16" t="str">
        <x:v>ЩУ-2 (нагрев 26 кВт + вентилятор 8 кВт)</x:v>
      </x:c>
      <x:c r="C47" s="16" t="str">
        <x:v>montajный материал</x:v>
      </x:c>
      <x:c r="D47" s="16" t="str">
        <x:v>280100020_</x:v>
      </x:c>
      <x:c r="E47" s="16" t="str">
        <x:v>Кабель-канал перфорированный 40×40, длина 2000 мм</x:v>
      </x:c>
      <x:c r="F47" s="19" t="n">
        <x:v>1486</x:v>
      </x:c>
      <x:c r="G47" s="19" t="n">
        <x:f>IF(OR(F47="",F47=0),"",IF(K47="SCHNEIDER",F47*'Kurallar'!$B$48*'Kurallar'!$B$43,IF(K47="CHINT",F47*'Kurallar'!$B$47,IF(K47="EKT",F47*'Kurallar'!$B$49,IF(K47="KAZTEK",F47*'Kurallar'!$B$50,F47)))))</x:f>
        <x:v>1486</x:v>
      </x:c>
      <x:c r="H47" s="19" t="n">
        <x:f>IF(G47="","",G47*I47)</x:f>
        <x:v>2972</x:v>
      </x:c>
      <x:c r="I47" s="22" t="n">
        <x:v>2</x:v>
      </x:c>
      <x:c r="J47" s="16" t="str">
        <x:v>шт</x:v>
      </x:c>
      <x:c r="K47" s="16" t="str">
        <x:v>EKT</x:v>
      </x:c>
    </x:row>
    <x:row r="48" ht="15" hidden="0" customHeight="1">
      <x:c r="A48" s="16" t="n">
        <x:v>46</x:v>
      </x:c>
      <x:c r="B48" s="16" t="str">
        <x:v>ЩУ-2 (нагрев 26 кВт + вентилятор 8 кВт)</x:v>
      </x:c>
      <x:c r="C48" s="16" t="str">
        <x:v>montajный материал</x:v>
      </x:c>
      <x:c r="D48" s="16" t="str">
        <x:v>270300079_</x:v>
      </x:c>
      <x:c r="E48" s="16" t="str">
        <x:v>Кабель-канал перфорированный 25×40, длина 2000 мм</x:v>
      </x:c>
      <x:c r="F48" s="19" t="n">
        <x:v>1094</x:v>
      </x:c>
      <x:c r="G48" s="19" t="n">
        <x:f>IF(OR(F48="",F48=0),"",IF(K48="SCHNEIDER",F48*'Kurallar'!$B$48*'Kurallar'!$B$43,IF(K48="CHINT",F48*'Kurallar'!$B$47,IF(K48="EKT",F48*'Kurallar'!$B$49,IF(K48="KAZTEK",F48*'Kurallar'!$B$50,F48)))))</x:f>
        <x:v>1094</x:v>
      </x:c>
      <x:c r="H48" s="19" t="n">
        <x:f>IF(G48="","",G48*I48)</x:f>
        <x:v>1094</x:v>
      </x:c>
      <x:c r="I48" s="22" t="n">
        <x:v>1</x:v>
      </x:c>
      <x:c r="J48" s="16" t="str">
        <x:v>шт</x:v>
      </x:c>
      <x:c r="K48" s="16" t="str">
        <x:v>EKT</x:v>
      </x:c>
    </x:row>
    <x:row r="49" ht="15" hidden="0" customHeight="1">
      <x:c r="A49" s="16" t="n">
        <x:v>47</x:v>
      </x:c>
      <x:c r="B49" s="16" t="str">
        <x:v>ЩУ-2 (нагрев 26 кВт + вентилятор 8 кВт)</x:v>
      </x:c>
      <x:c r="C49" s="16" t="str">
        <x:v>montajный материал</x:v>
      </x:c>
      <x:c r="D49" s="16"/>
      <x:c r="E49" s="16" t="str">
        <x:v>Монтажные материалы: провод, наконечники, маркировка, крепёж, 5 кабельных вводов</x:v>
      </x:c>
      <x:c r="F49" s="19"/>
      <x:c r="G49" s="19" t="n">
        <x:f>SUM(H28:H48)*'Kurallar'!$B$12</x:f>
        <x:v>5474.490479999999</x:v>
      </x:c>
      <x:c r="H49" s="19" t="n">
        <x:f>IF(G49="","",G49*I49)</x:f>
        <x:v>5474.490479999999</x:v>
      </x:c>
      <x:c r="I49" s="22" t="n">
        <x:v>1</x:v>
      </x:c>
      <x:c r="J49" s="16" t="str">
        <x:v>компл.</x:v>
      </x:c>
      <x:c r="K49" s="16" t="str">
        <x:v>TEKLED</x:v>
      </x:c>
    </x:row>
    <x:row r="50" ht="15" hidden="0" customHeight="1">
      <x:c r="A50" s="16" t="n">
        <x:v>48</x:v>
      </x:c>
      <x:c r="B50" s="16" t="str">
        <x:v>ЩУ-2 (нагрев 26 кВт + вентилятор 8 кВт)</x:v>
      </x:c>
      <x:c r="C50" s="16" t="str">
        <x:v>montajная работа</x:v>
      </x:c>
      <x:c r="D50" s="16"/>
      <x:c r="E50" s="16" t="str">
        <x:v>Сборка, каблировка, маркировка и функциональный тест</x:v>
      </x:c>
      <x:c r="F50" s="19"/>
      <x:c r="G50" s="19" t="n">
        <x:f>'Kurallar'!$B$10</x:f>
        <x:v>100</x:v>
      </x:c>
      <x:c r="H50" s="19" t="n">
        <x:f>IF(OR(G50="",I50=""),"",G50*I50)</x:f>
        <x:v>32717.499999999996</x:v>
      </x:c>
      <x:c r="I50" s="22" t="n">
        <x:f>'Kurallar'!$D$25</x:f>
        <x:v>327.17499999999995</x:v>
      </x:c>
      <x:c r="J50" s="16" t="str">
        <x:v>мин</x:v>
      </x:c>
      <x:c r="K50" s="16" t="str">
        <x:v>TEKLED</x:v>
      </x:c>
    </x:row>
    <x:row r="51" ht="24" hidden="0" customHeight="1">
      <x:c r="A51" s="33"/>
      <x:c r="B51" s="33" t="str">
        <x:v>Toplam ЩУ-2 (нагрев 26 кВт + вентилятор 8 кВт)</x:v>
      </x:c>
      <x:c r="C51" s="33"/>
      <x:c r="D51" s="33"/>
      <x:c r="E51" s="33"/>
      <x:c r="F51" s="34"/>
      <x:c r="G51" s="34"/>
      <x:c r="H51" s="34" t="n">
        <x:f>SUM(H28:H50)</x:f>
        <x:v>220675.00647999995</x:v>
      </x:c>
      <x:c r="I51" s="35" t="n">
        <x:v>10</x:v>
      </x:c>
      <x:c r="J51" s="33" t="str">
        <x:v>комплект</x:v>
      </x:c>
      <x:c r="K51" s="33"/>
    </x:row>
    <x:row r="52" ht="15" hidden="0" customHeight="1">
      <x:c r="A52" s="39" t="n">
        <x:v>49</x:v>
      </x:c>
      <x:c r="B52" s="39" t="str">
        <x:v>ЩУ-3 (нагрев 22 кВт + вентилятор 8 кВт)</x:v>
      </x:c>
      <x:c r="C52" s="39" t="str">
        <x:v>PANO</x:v>
      </x:c>
      <x:c r="D52" s="39"/>
      <x:c r="E52" s="39" t="str">
        <x:v>ЩУ-3 (нагрев 22 кВт + вентилятор 8 кВт)</x:v>
      </x:c>
      <x:c r="F52" s="40"/>
      <x:c r="G52" s="40"/>
      <x:c r="H52" s="40"/>
      <x:c r="I52" s="41" t="n">
        <x:v>1</x:v>
      </x:c>
      <x:c r="J52" s="39" t="str">
        <x:v>комплект</x:v>
      </x:c>
      <x:c r="K52" s="39" t="str">
        <x:v>TEKLED</x:v>
      </x:c>
    </x:row>
    <x:row r="53" ht="15" hidden="0" customHeight="1">
      <x:c r="A53" s="16" t="n">
        <x:v>50</x:v>
      </x:c>
      <x:c r="B53" s="16" t="str">
        <x:v>ЩУ-3 (нагрев 22 кВт + вентилятор 8 кВт)</x:v>
      </x:c>
      <x:c r="C53" s="16" t="str">
        <x:v>korpus</x:v>
      </x:c>
      <x:c r="D53" s="16" t="str">
        <x:v>714-15120</x:v>
      </x:c>
      <x:c r="E53" s="16" t="str">
        <x:v>Щит мет. ЩРн-3-2 PR 650×500×220 IP54, монтажная плата, 1 дверь</x:v>
      </x:c>
      <x:c r="F53" s="19" t="n">
        <x:v>29525</x:v>
      </x:c>
      <x:c r="G53" s="19" t="n">
        <x:f>IF(OR(F53="",F53=0),"",IF(K53="SCHNEIDER",F53*'Kurallar'!$B$48*'Kurallar'!$B$43,IF(K53="CHINT",F53*'Kurallar'!$B$47,IF(K53="EKT",F53*'Kurallar'!$B$49,IF(K53="KAZTEK",F53*'Kurallar'!$B$50,F53)))))</x:f>
        <x:v>29525</x:v>
      </x:c>
      <x:c r="H53" s="19" t="n">
        <x:f>IF(G53="","",G53*I53)</x:f>
        <x:v>29525</x:v>
      </x:c>
      <x:c r="I53" s="22" t="n">
        <x:v>1</x:v>
      </x:c>
      <x:c r="J53" s="16" t="str">
        <x:v>шт</x:v>
      </x:c>
      <x:c r="K53" s="16" t="str">
        <x:v>KAZTEK</x:v>
      </x:c>
    </x:row>
    <x:row r="54" ht="15" hidden="0" customHeight="1">
      <x:c r="A54" s="16" t="n">
        <x:v>51</x:v>
      </x:c>
      <x:c r="B54" s="16" t="str">
        <x:v>ЩУ-3 (нагрев 22 кВт + вентилятор 8 кВт)</x:v>
      </x:c>
      <x:c r="C54" s="16" t="str">
        <x:v>OTO</x:v>
      </x:c>
      <x:c r="D54" s="16" t="str">
        <x:v>A9F79350</x:v>
      </x:c>
      <x:c r="E54" s="16" t="str">
        <x:v>Вводной автомат Acti9 iC60N 3P C50, 6кА</x:v>
      </x:c>
      <x:c r="F54" s="19" t="n">
        <x:v>2836</x:v>
      </x:c>
      <x:c r="G54" s="19" t="n">
        <x:f>IF(OR(F54="",F54=0),"",IF(K54="SCHNEIDER",F54*'Kurallar'!$B$48*'Kurallar'!$B$43,IF(K54="CHINT",F54*'Kurallar'!$B$47,IF(K54="EKT",F54*'Kurallar'!$B$49,IF(K54="KAZTEK",F54*'Kurallar'!$B$50,F54)))))</x:f>
        <x:v>18547.44</x:v>
      </x:c>
      <x:c r="H54" s="19" t="n">
        <x:f>IF(G54="","",G54*I54)</x:f>
        <x:v>18547.44</x:v>
      </x:c>
      <x:c r="I54" s="22" t="n">
        <x:v>1</x:v>
      </x:c>
      <x:c r="J54" s="16" t="str">
        <x:v>шт</x:v>
      </x:c>
      <x:c r="K54" s="16" t="str">
        <x:v>SCHNEIDER</x:v>
      </x:c>
    </x:row>
    <x:row r="55" ht="15" hidden="0" customHeight="1">
      <x:c r="A55" s="16" t="n">
        <x:v>52</x:v>
      </x:c>
      <x:c r="B55" s="16" t="str">
        <x:v>ЩУ-3 (нагрев 22 кВт + вентилятор 8 кВт)</x:v>
      </x:c>
      <x:c r="C55" s="16" t="str">
        <x:v>OTO</x:v>
      </x:c>
      <x:c r="D55" s="16" t="str">
        <x:v>A9F79320</x:v>
      </x:c>
      <x:c r="E55" s="16" t="str">
        <x:v>Автомат Acti9 iC60N 3P — нагреватель, 2 × 11 кВт</x:v>
      </x:c>
      <x:c r="F55" s="19" t="n">
        <x:v>1884</x:v>
      </x:c>
      <x:c r="G55" s="19" t="n">
        <x:f>IF(OR(F55="",F55=0),"",IF(K55="SCHNEIDER",F55*'Kurallar'!$B$48*'Kurallar'!$B$43,IF(K55="CHINT",F55*'Kurallar'!$B$47,IF(K55="EKT",F55*'Kurallar'!$B$49,IF(K55="KAZTEK",F55*'Kurallar'!$B$50,F55)))))</x:f>
        <x:v>12321.359999999999</x:v>
      </x:c>
      <x:c r="H55" s="19" t="n">
        <x:f>IF(G55="","",G55*I55)</x:f>
        <x:v>24642.719999999998</x:v>
      </x:c>
      <x:c r="I55" s="22" t="n">
        <x:v>2</x:v>
      </x:c>
      <x:c r="J55" s="16" t="str">
        <x:v>шт</x:v>
      </x:c>
      <x:c r="K55" s="16" t="str">
        <x:v>SCHNEIDER</x:v>
      </x:c>
    </x:row>
    <x:row r="56" ht="15" hidden="0" customHeight="1">
      <x:c r="A56" s="16" t="n">
        <x:v>53</x:v>
      </x:c>
      <x:c r="B56" s="16" t="str">
        <x:v>ЩУ-3 (нагрев 22 кВт + вентилятор 8 кВт)</x:v>
      </x:c>
      <x:c r="C56" s="16" t="str">
        <x:v>kontaktör</x:v>
      </x:c>
      <x:c r="D56" s="16" t="str">
        <x:v>LC1E1810M5</x:v>
      </x:c>
      <x:c r="E56" s="16" t="str">
        <x:v>Контактор Easy TeSys, 220В AC — нагреватель, 2 × 11 кВт</x:v>
      </x:c>
      <x:c r="F56" s="19" t="n">
        <x:v>1628</x:v>
      </x:c>
      <x:c r="G56" s="19" t="n">
        <x:f>IF(OR(F56="",F56=0),"",IF(K56="SCHNEIDER",F56*'Kurallar'!$B$48*'Kurallar'!$B$43,IF(K56="CHINT",F56*'Kurallar'!$B$47,IF(K56="EKT",F56*'Kurallar'!$B$49,IF(K56="KAZTEK",F56*'Kurallar'!$B$50,F56)))))</x:f>
        <x:v>10647.119999999999</x:v>
      </x:c>
      <x:c r="H56" s="19" t="n">
        <x:f>IF(G56="","",G56*I56)</x:f>
        <x:v>21294.239999999998</x:v>
      </x:c>
      <x:c r="I56" s="22" t="n">
        <x:v>2</x:v>
      </x:c>
      <x:c r="J56" s="16" t="str">
        <x:v>шт</x:v>
      </x:c>
      <x:c r="K56" s="16" t="str">
        <x:v>SCHNEIDER</x:v>
      </x:c>
    </x:row>
    <x:row r="57" ht="15" hidden="0" customHeight="1">
      <x:c r="A57" s="16" t="n">
        <x:v>54</x:v>
      </x:c>
      <x:c r="B57" s="16" t="str">
        <x:v>ЩУ-3 (нагрев 22 кВт + вентилятор 8 кВт)</x:v>
      </x:c>
      <x:c r="C57" s="16" t="str">
        <x:v>Motor Koruma</x:v>
      </x:c>
      <x:c r="D57" s="16" t="str">
        <x:v>GV2ME20</x:v>
      </x:c>
      <x:c r="E57" s="16" t="str">
        <x:v>Автомат защиты двигателя TeSys GV2 — вентилятор 8 кВт · 13…18 A · КОНТРОЛЬ</x:v>
      </x:c>
      <x:c r="F57" s="19" t="n">
        <x:v>4163</x:v>
      </x:c>
      <x:c r="G57" s="19" t="n">
        <x:f>IF(OR(F57="",F57=0),"",IF(K57="SCHNEIDER",F57*'Kurallar'!$B$48*'Kurallar'!$B$43,IF(K57="CHINT",F57*'Kurallar'!$B$47,IF(K57="EKT",F57*'Kurallar'!$B$49,IF(K57="KAZTEK",F57*'Kurallar'!$B$50,F57)))))</x:f>
        <x:v>27226.019999999997</x:v>
      </x:c>
      <x:c r="H57" s="19" t="n">
        <x:f>IF(G57="","",G57*I57)</x:f>
        <x:v>27226.019999999997</x:v>
      </x:c>
      <x:c r="I57" s="22" t="n">
        <x:v>1</x:v>
      </x:c>
      <x:c r="J57" s="16" t="str">
        <x:v>шт</x:v>
      </x:c>
      <x:c r="K57" s="16" t="str">
        <x:v>SCHNEIDER</x:v>
      </x:c>
    </x:row>
    <x:row r="58" ht="15" hidden="0" customHeight="1">
      <x:c r="A58" s="16" t="n">
        <x:v>55</x:v>
      </x:c>
      <x:c r="B58" s="16" t="str">
        <x:v>ЩУ-3 (нагрев 22 кВт + вентилятор 8 кВт)</x:v>
      </x:c>
      <x:c r="C58" s="16" t="str">
        <x:v>kontaktör</x:v>
      </x:c>
      <x:c r="D58" s="16" t="str">
        <x:v>LC1E2510M5</x:v>
      </x:c>
      <x:c r="E58" s="16" t="str">
        <x:v>Контактор Easy TeSys, 220В AC — вентилятор 8 кВт</x:v>
      </x:c>
      <x:c r="F58" s="19" t="n">
        <x:v>2182</x:v>
      </x:c>
      <x:c r="G58" s="19" t="n">
        <x:f>IF(OR(F58="",F58=0),"",IF(K58="SCHNEIDER",F58*'Kurallar'!$B$48*'Kurallar'!$B$43,IF(K58="CHINT",F58*'Kurallar'!$B$47,IF(K58="EKT",F58*'Kurallar'!$B$49,IF(K58="KAZTEK",F58*'Kurallar'!$B$50,F58)))))</x:f>
        <x:v>14270.28</x:v>
      </x:c>
      <x:c r="H58" s="19" t="n">
        <x:f>IF(G58="","",G58*I58)</x:f>
        <x:v>14270.28</x:v>
      </x:c>
      <x:c r="I58" s="22" t="n">
        <x:v>1</x:v>
      </x:c>
      <x:c r="J58" s="16" t="str">
        <x:v>шт</x:v>
      </x:c>
      <x:c r="K58" s="16" t="str">
        <x:v>SCHNEIDER</x:v>
      </x:c>
    </x:row>
    <x:row r="59" ht="15" hidden="0" customHeight="1">
      <x:c r="A59" s="16" t="n">
        <x:v>56</x:v>
      </x:c>
      <x:c r="B59" s="16" t="str">
        <x:v>ЩУ-3 (нагрев 22 кВт + вентилятор 8 кВт)</x:v>
      </x:c>
      <x:c r="C59" s="16" t="str">
        <x:v>OTO</x:v>
      </x:c>
      <x:c r="D59" s="16" t="str">
        <x:v>A9F79110</x:v>
      </x:c>
      <x:c r="E59" s="16" t="str">
        <x:v>Автоматический выключатель Acti9 iC60N 1P C10 6кА — освещение</x:v>
      </x:c>
      <x:c r="F59" s="19" t="n">
        <x:v>446.8</x:v>
      </x:c>
      <x:c r="G59" s="19" t="n">
        <x:f>IF(OR(F59="",F59=0),"",IF(K59="SCHNEIDER",F59*'Kurallar'!$B$48*'Kurallar'!$B$43,IF(K59="CHINT",F59*'Kurallar'!$B$47,IF(K59="EKT",F59*'Kurallar'!$B$49,IF(K59="KAZTEK",F59*'Kurallar'!$B$50,F59)))))</x:f>
        <x:v>2922.072</x:v>
      </x:c>
      <x:c r="H59" s="19" t="n">
        <x:f>IF(G59="","",G59*I59)</x:f>
        <x:v>2922.072</x:v>
      </x:c>
      <x:c r="I59" s="22" t="n">
        <x:v>1</x:v>
      </x:c>
      <x:c r="J59" s="16" t="str">
        <x:v>шт</x:v>
      </x:c>
      <x:c r="K59" s="16" t="str">
        <x:v>SCHNEIDER</x:v>
      </x:c>
    </x:row>
    <x:row r="60" ht="15" hidden="0" customHeight="1">
      <x:c r="A60" s="16" t="n">
        <x:v>57</x:v>
      </x:c>
      <x:c r="B60" s="16" t="str">
        <x:v>ЩУ-3 (нагрев 22 кВт + вентилятор 8 кВт)</x:v>
      </x:c>
      <x:c r="C60" s="16" t="str">
        <x:v>OTO</x:v>
      </x:c>
      <x:c r="D60" s="16" t="str">
        <x:v>A9F79106</x:v>
      </x:c>
      <x:c r="E60" s="16" t="str">
        <x:v>Автоматический выключатель Acti9 iC60N 1P C6 6кА — обратный клапан</x:v>
      </x:c>
      <x:c r="F60" s="19" t="n">
        <x:v>446.8</x:v>
      </x:c>
      <x:c r="G60" s="19" t="n">
        <x:f>IF(OR(F60="",F60=0),"",IF(K60="SCHNEIDER",F60*'Kurallar'!$B$48*'Kurallar'!$B$43,IF(K60="CHINT",F60*'Kurallar'!$B$47,IF(K60="EKT",F60*'Kurallar'!$B$49,IF(K60="KAZTEK",F60*'Kurallar'!$B$50,F60)))))</x:f>
        <x:v>2922.072</x:v>
      </x:c>
      <x:c r="H60" s="19" t="n">
        <x:f>IF(G60="","",G60*I60)</x:f>
        <x:v>2922.072</x:v>
      </x:c>
      <x:c r="I60" s="22" t="n">
        <x:v>1</x:v>
      </x:c>
      <x:c r="J60" s="16" t="str">
        <x:v>шт</x:v>
      </x:c>
      <x:c r="K60" s="16" t="str">
        <x:v>SCHNEIDER</x:v>
      </x:c>
    </x:row>
    <x:row r="61" ht="15" hidden="0" customHeight="1">
      <x:c r="A61" s="16" t="n">
        <x:v>58</x:v>
      </x:c>
      <x:c r="B61" s="16" t="str">
        <x:v>ЩУ-3 (нагрев 22 кВт + вентилятор 8 кВт)</x:v>
      </x:c>
      <x:c r="C61" s="16" t="str">
        <x:v>OTO</x:v>
      </x:c>
      <x:c r="D61" s="16" t="str">
        <x:v>A9F79106</x:v>
      </x:c>
      <x:c r="E61" s="16" t="str">
        <x:v>Автоматический выключатель Acti9 iC60N 1P C6 6кА — термостат / цепь управления</x:v>
      </x:c>
      <x:c r="F61" s="19" t="n">
        <x:v>446.8</x:v>
      </x:c>
      <x:c r="G61" s="19" t="n">
        <x:f>IF(OR(F61="",F61=0),"",IF(K61="SCHNEIDER",F61*'Kurallar'!$B$48*'Kurallar'!$B$43,IF(K61="CHINT",F61*'Kurallar'!$B$47,IF(K61="EKT",F61*'Kurallar'!$B$49,IF(K61="KAZTEK",F61*'Kurallar'!$B$50,F61)))))</x:f>
        <x:v>2922.072</x:v>
      </x:c>
      <x:c r="H61" s="19" t="n">
        <x:f>IF(G61="","",G61*I61)</x:f>
        <x:v>2922.072</x:v>
      </x:c>
      <x:c r="I61" s="22" t="n">
        <x:v>1</x:v>
      </x:c>
      <x:c r="J61" s="16" t="str">
        <x:v>шт</x:v>
      </x:c>
      <x:c r="K61" s="16" t="str">
        <x:v>SCHNEIDER</x:v>
      </x:c>
    </x:row>
    <x:row r="62" ht="15" hidden="0" customHeight="1">
      <x:c r="A62" s="16" t="n">
        <x:v>59</x:v>
      </x:c>
      <x:c r="B62" s="16" t="str">
        <x:v>ЩУ-3 (нагрев 22 кВт + вентилятор 8 кВт)</x:v>
      </x:c>
      <x:c r="C62" s="16" t="str">
        <x:v>kontaktör</x:v>
      </x:c>
      <x:c r="D62" s="16" t="str">
        <x:v>LC1E0610M5</x:v>
      </x:c>
      <x:c r="E62" s="16" t="str">
        <x:v>Контактор Easy TeSys 3P 6A, катушка 220В AC 50Гц — лампа</x:v>
      </x:c>
      <x:c r="F62" s="19" t="n">
        <x:v>1154</x:v>
      </x:c>
      <x:c r="G62" s="19" t="n">
        <x:f>IF(OR(F62="",F62=0),"",IF(K62="SCHNEIDER",F62*'Kurallar'!$B$48*'Kurallar'!$B$43,IF(K62="CHINT",F62*'Kurallar'!$B$47,IF(K62="EKT",F62*'Kurallar'!$B$49,IF(K62="KAZTEK",F62*'Kurallar'!$B$50,F62)))))</x:f>
        <x:v>7547.16</x:v>
      </x:c>
      <x:c r="H62" s="19" t="n">
        <x:f>IF(G62="","",G62*I62)</x:f>
        <x:v>7547.16</x:v>
      </x:c>
      <x:c r="I62" s="22" t="n">
        <x:v>1</x:v>
      </x:c>
      <x:c r="J62" s="16" t="str">
        <x:v>шт</x:v>
      </x:c>
      <x:c r="K62" s="16" t="str">
        <x:v>SCHNEIDER</x:v>
      </x:c>
    </x:row>
    <x:row r="63" ht="15" hidden="0" customHeight="1">
      <x:c r="A63" s="16" t="n">
        <x:v>60</x:v>
      </x:c>
      <x:c r="B63" s="16" t="str">
        <x:v>ЩУ-3 (нагрев 22 кВт + вентилятор 8 кВт)</x:v>
      </x:c>
      <x:c r="C63" s="16" t="str">
        <x:v>kontaktör</x:v>
      </x:c>
      <x:c r="D63" s="16" t="str">
        <x:v>LC1E0610M5</x:v>
      </x:c>
      <x:c r="E63" s="16" t="str">
        <x:v>Контактор Easy TeSys 3P 6A, катушка 220В AC 50Гц — обратный клапан</x:v>
      </x:c>
      <x:c r="F63" s="19" t="n">
        <x:v>1154</x:v>
      </x:c>
      <x:c r="G63" s="19" t="n">
        <x:f>IF(OR(F63="",F63=0),"",IF(K63="SCHNEIDER",F63*'Kurallar'!$B$48*'Kurallar'!$B$43,IF(K63="CHINT",F63*'Kurallar'!$B$47,IF(K63="EKT",F63*'Kurallar'!$B$49,IF(K63="KAZTEK",F63*'Kurallar'!$B$50,F63)))))</x:f>
        <x:v>7547.16</x:v>
      </x:c>
      <x:c r="H63" s="19" t="n">
        <x:f>IF(G63="","",G63*I63)</x:f>
        <x:v>7547.16</x:v>
      </x:c>
      <x:c r="I63" s="22" t="n">
        <x:v>1</x:v>
      </x:c>
      <x:c r="J63" s="16" t="str">
        <x:v>шт</x:v>
      </x:c>
      <x:c r="K63" s="16" t="str">
        <x:v>SCHNEIDER</x:v>
      </x:c>
    </x:row>
    <x:row r="64" ht="15" hidden="0" customHeight="1">
      <x:c r="A64" s="16" t="n">
        <x:v>61</x:v>
      </x:c>
      <x:c r="B64" s="16" t="str">
        <x:v>ЩУ-3 (нагрев 22 кВт + вентилятор 8 кВт)</x:v>
      </x:c>
      <x:c r="C64" s="16" t="str">
        <x:v>Sinyal Lambası</x:v>
      </x:c>
      <x:c r="D64" s="16" t="str">
        <x:v>593012</x:v>
      </x:c>
      <x:c r="E64" s="16" t="str">
        <x:v>Индикатор ND16-22DS/4 красный AC230В Ø22 — на дверь</x:v>
      </x:c>
      <x:c r="F64" s="19" t="n">
        <x:v>836</x:v>
      </x:c>
      <x:c r="G64" s="19" t="n">
        <x:f>IF(OR(F64="",F64=0),"",IF(K64="SCHNEIDER",F64*'Kurallar'!$B$48*'Kurallar'!$B$43,IF(K64="CHINT",F64*'Kurallar'!$B$47,IF(K64="EKT",F64*'Kurallar'!$B$49,IF(K64="KAZTEK",F64*'Kurallar'!$B$50,F64)))))</x:f>
        <x:v>501.59999999999997</x:v>
      </x:c>
      <x:c r="H64" s="19" t="n">
        <x:f>IF(G64="","",G64*I64)</x:f>
        <x:v>1504.8</x:v>
      </x:c>
      <x:c r="I64" s="22" t="n">
        <x:v>3</x:v>
      </x:c>
      <x:c r="J64" s="16" t="str">
        <x:v>шт</x:v>
      </x:c>
      <x:c r="K64" s="16" t="str">
        <x:v>CHINT</x:v>
      </x:c>
    </x:row>
    <x:row r="65" ht="15" hidden="0" customHeight="1">
      <x:c r="A65" s="16" t="n">
        <x:v>62</x:v>
      </x:c>
      <x:c r="B65" s="16" t="str">
        <x:v>ЩУ-3 (нагрев 22 кВт + вентилятор 8 кВт)</x:v>
      </x:c>
      <x:c r="C65" s="16" t="str">
        <x:v>Klemens</x:v>
      </x:c>
      <x:c r="D65" s="16" t="str">
        <x:v>130301157_</x:v>
      </x:c>
      <x:c r="E65" s="16" t="str">
        <x:v>ЗНИ 16мм² 100А серый UNIT — ввод L1/L2/L3</x:v>
      </x:c>
      <x:c r="F65" s="19" t="n">
        <x:v>235</x:v>
      </x:c>
      <x:c r="G65" s="19" t="n">
        <x:f>IF(OR(F65="",F65=0),"",IF(K65="SCHNEIDER",F65*'Kurallar'!$B$48*'Kurallar'!$B$43,IF(K65="CHINT",F65*'Kurallar'!$B$47,IF(K65="EKT",F65*'Kurallar'!$B$49,IF(K65="KAZTEK",F65*'Kurallar'!$B$50,F65)))))</x:f>
        <x:v>235</x:v>
      </x:c>
      <x:c r="H65" s="19" t="n">
        <x:f>IF(G65="","",G65*I65)</x:f>
        <x:v>705</x:v>
      </x:c>
      <x:c r="I65" s="22" t="n">
        <x:v>3</x:v>
      </x:c>
      <x:c r="J65" s="16" t="str">
        <x:v>шт</x:v>
      </x:c>
      <x:c r="K65" s="16" t="str">
        <x:v>EKT</x:v>
      </x:c>
    </x:row>
    <x:row r="66" ht="15" hidden="0" customHeight="1">
      <x:c r="A66" s="16" t="n">
        <x:v>63</x:v>
      </x:c>
      <x:c r="B66" s="16" t="str">
        <x:v>ЩУ-3 (нагрев 22 кВт + вентилятор 8 кВт)</x:v>
      </x:c>
      <x:c r="C66" s="16" t="str">
        <x:v>Klemens</x:v>
      </x:c>
      <x:c r="D66" s="16" t="str">
        <x:v>130301158_</x:v>
      </x:c>
      <x:c r="E66" s="16" t="str">
        <x:v>ЗНИ 16мм² 100А синий UNIT — ввод N</x:v>
      </x:c>
      <x:c r="F66" s="19" t="n">
        <x:v>269</x:v>
      </x:c>
      <x:c r="G66" s="19" t="n">
        <x:f>IF(OR(F66="",F66=0),"",IF(K66="SCHNEIDER",F66*'Kurallar'!$B$48*'Kurallar'!$B$43,IF(K66="CHINT",F66*'Kurallar'!$B$47,IF(K66="EKT",F66*'Kurallar'!$B$49,IF(K66="KAZTEK",F66*'Kurallar'!$B$50,F66)))))</x:f>
        <x:v>269</x:v>
      </x:c>
      <x:c r="H66" s="19" t="n">
        <x:f>IF(G66="","",G66*I66)</x:f>
        <x:v>269</x:v>
      </x:c>
      <x:c r="I66" s="22" t="n">
        <x:v>1</x:v>
      </x:c>
      <x:c r="J66" s="16" t="str">
        <x:v>шт</x:v>
      </x:c>
      <x:c r="K66" s="16" t="str">
        <x:v>EKT</x:v>
      </x:c>
    </x:row>
    <x:row r="67" ht="15" hidden="0" customHeight="1">
      <x:c r="A67" s="16" t="n">
        <x:v>64</x:v>
      </x:c>
      <x:c r="B67" s="16" t="str">
        <x:v>ЩУ-3 (нагрев 22 кВт + вентилятор 8 кВт)</x:v>
      </x:c>
      <x:c r="C67" s="16" t="str">
        <x:v>Klemens</x:v>
      </x:c>
      <x:c r="D67" s="16" t="str">
        <x:v>130300227_</x:v>
      </x:c>
      <x:c r="E67" s="16" t="str">
        <x:v>ЗНИ 10PEN 10мм² — PE: ввод, 2 нагревателя, вентилятор, дверь</x:v>
      </x:c>
      <x:c r="F67" s="19" t="n">
        <x:v>155</x:v>
      </x:c>
      <x:c r="G67" s="19" t="n">
        <x:f>IF(OR(F67="",F67=0),"",IF(K67="SCHNEIDER",F67*'Kurallar'!$B$48*'Kurallar'!$B$43,IF(K67="CHINT",F67*'Kurallar'!$B$47,IF(K67="EKT",F67*'Kurallar'!$B$49,IF(K67="KAZTEK",F67*'Kurallar'!$B$50,F67)))))</x:f>
        <x:v>155</x:v>
      </x:c>
      <x:c r="H67" s="19" t="n">
        <x:f>IF(G67="","",G67*I67)</x:f>
        <x:v>775</x:v>
      </x:c>
      <x:c r="I67" s="22" t="n">
        <x:v>5</x:v>
      </x:c>
      <x:c r="J67" s="16" t="str">
        <x:v>шт</x:v>
      </x:c>
      <x:c r="K67" s="16" t="str">
        <x:v>EKT</x:v>
      </x:c>
    </x:row>
    <x:row r="68" ht="15" hidden="0" customHeight="1">
      <x:c r="A68" s="16" t="n">
        <x:v>65</x:v>
      </x:c>
      <x:c r="B68" s="16" t="str">
        <x:v>ЩУ-3 (нагрев 22 кВт + вентилятор 8 кВт)</x:v>
      </x:c>
      <x:c r="C68" s="16" t="str">
        <x:v>Klemens</x:v>
      </x:c>
      <x:c r="D68" s="16" t="str">
        <x:v>130301154_</x:v>
      </x:c>
      <x:c r="E68" s="16" t="str">
        <x:v>ЗНИ 6мм² серый UNIT — 2 выхода нагревателя × 4</x:v>
      </x:c>
      <x:c r="F68" s="19" t="n">
        <x:v>111</x:v>
      </x:c>
      <x:c r="G68" s="19" t="n">
        <x:f>IF(OR(F68="",F68=0),"",IF(K68="SCHNEIDER",F68*'Kurallar'!$B$48*'Kurallar'!$B$43,IF(K68="CHINT",F68*'Kurallar'!$B$47,IF(K68="EKT",F68*'Kurallar'!$B$49,IF(K68="KAZTEK",F68*'Kurallar'!$B$50,F68)))))</x:f>
        <x:v>111</x:v>
      </x:c>
      <x:c r="H68" s="19" t="n">
        <x:f>IF(G68="","",G68*I68)</x:f>
        <x:v>888</x:v>
      </x:c>
      <x:c r="I68" s="22" t="n">
        <x:v>8</x:v>
      </x:c>
      <x:c r="J68" s="16" t="str">
        <x:v>шт</x:v>
      </x:c>
      <x:c r="K68" s="16" t="str">
        <x:v>EKT</x:v>
      </x:c>
    </x:row>
    <x:row r="69" ht="15" hidden="0" customHeight="1">
      <x:c r="A69" s="16" t="n">
        <x:v>66</x:v>
      </x:c>
      <x:c r="B69" s="16" t="str">
        <x:v>ЩУ-3 (нагрев 22 кВт + вентилятор 8 кВт)</x:v>
      </x:c>
      <x:c r="C69" s="16" t="str">
        <x:v>Klemens</x:v>
      </x:c>
      <x:c r="D69" s="16" t="str">
        <x:v>130301153_</x:v>
      </x:c>
      <x:c r="E69" s="16" t="str">
        <x:v>ЗНИ 4мм² серый UNIT — выход вентилятора</x:v>
      </x:c>
      <x:c r="F69" s="19" t="n">
        <x:v>90</x:v>
      </x:c>
      <x:c r="G69" s="19" t="n">
        <x:f>IF(OR(F69="",F69=0),"",IF(K69="SCHNEIDER",F69*'Kurallar'!$B$48*'Kurallar'!$B$43,IF(K69="CHINT",F69*'Kurallar'!$B$47,IF(K69="EKT",F69*'Kurallar'!$B$49,IF(K69="KAZTEK",F69*'Kurallar'!$B$50,F69)))))</x:f>
        <x:v>90</x:v>
      </x:c>
      <x:c r="H69" s="19" t="n">
        <x:f>IF(G69="","",G69*I69)</x:f>
        <x:v>360</x:v>
      </x:c>
      <x:c r="I69" s="22" t="n">
        <x:v>4</x:v>
      </x:c>
      <x:c r="J69" s="16" t="str">
        <x:v>шт</x:v>
      </x:c>
      <x:c r="K69" s="16" t="str">
        <x:v>EKT</x:v>
      </x:c>
    </x:row>
    <x:row r="70" ht="15" hidden="0" customHeight="1">
      <x:c r="A70" s="16" t="n">
        <x:v>67</x:v>
      </x:c>
      <x:c r="B70" s="16" t="str">
        <x:v>ЩУ-3 (нагрев 22 кВт + вентилятор 8 кВт)</x:v>
      </x:c>
      <x:c r="C70" s="16" t="str">
        <x:v>Klemens</x:v>
      </x:c>
      <x:c r="D70" s="16" t="str">
        <x:v>130301152_</x:v>
      </x:c>
      <x:c r="E70" s="16" t="str">
        <x:v>ЗНИ 2,5мм² серый UNIT — управление/лампа/клапан/термостат/резерв</x:v>
      </x:c>
      <x:c r="F70" s="19" t="n">
        <x:v>90</x:v>
      </x:c>
      <x:c r="G70" s="19" t="n">
        <x:f>IF(OR(F70="",F70=0),"",IF(K70="SCHNEIDER",F70*'Kurallar'!$B$48*'Kurallar'!$B$43,IF(K70="CHINT",F70*'Kurallar'!$B$47,IF(K70="EKT",F70*'Kurallar'!$B$49,IF(K70="KAZTEK",F70*'Kurallar'!$B$50,F70)))))</x:f>
        <x:v>90</x:v>
      </x:c>
      <x:c r="H70" s="19" t="n">
        <x:f>IF(G70="","",G70*I70)</x:f>
        <x:v>2700</x:v>
      </x:c>
      <x:c r="I70" s="22" t="n">
        <x:v>30</x:v>
      </x:c>
      <x:c r="J70" s="16" t="str">
        <x:v>шт</x:v>
      </x:c>
      <x:c r="K70" s="16" t="str">
        <x:v>EKT</x:v>
      </x:c>
    </x:row>
    <x:row r="71" ht="15" hidden="0" customHeight="1">
      <x:c r="A71" s="16" t="n">
        <x:v>68</x:v>
      </x:c>
      <x:c r="B71" s="16" t="str">
        <x:v>ЩУ-3 (нагрев 22 кВт + вентилятор 8 кВт)</x:v>
      </x:c>
      <x:c r="C71" s="16" t="str">
        <x:v>montajный материал</x:v>
      </x:c>
      <x:c r="D71" s="16" t="str">
        <x:v>570002</x:v>
      </x:c>
      <x:c r="E71" s="16" t="str">
        <x:v>DIN-рейка TH35-7.5, длина 2000 мм</x:v>
      </x:c>
      <x:c r="F71" s="19" t="n">
        <x:v>2232</x:v>
      </x:c>
      <x:c r="G71" s="19" t="n">
        <x:f>IF(OR(F71="",F71=0),"",IF(K71="SCHNEIDER",F71*'Kurallar'!$B$48*'Kurallar'!$B$43,IF(K71="CHINT",F71*'Kurallar'!$B$47,IF(K71="EKT",F71*'Kurallar'!$B$49,IF(K71="KAZTEK",F71*'Kurallar'!$B$50,F71)))))</x:f>
        <x:v>1339.2</x:v>
      </x:c>
      <x:c r="H71" s="19" t="n">
        <x:f>IF(G71="","",G71*I71)</x:f>
        <x:v>1339.2</x:v>
      </x:c>
      <x:c r="I71" s="22" t="n">
        <x:v>1</x:v>
      </x:c>
      <x:c r="J71" s="16" t="str">
        <x:v>шт</x:v>
      </x:c>
      <x:c r="K71" s="16" t="str">
        <x:v>CHINT</x:v>
      </x:c>
    </x:row>
    <x:row r="72" ht="15" hidden="0" customHeight="1">
      <x:c r="A72" s="16" t="n">
        <x:v>69</x:v>
      </x:c>
      <x:c r="B72" s="16" t="str">
        <x:v>ЩУ-3 (нагрев 22 кВт + вентилятор 8 кВт)</x:v>
      </x:c>
      <x:c r="C72" s="16" t="str">
        <x:v>montajный материал</x:v>
      </x:c>
      <x:c r="D72" s="16" t="str">
        <x:v>280100020_</x:v>
      </x:c>
      <x:c r="E72" s="16" t="str">
        <x:v>Кабель-канал перфорированный 40×40, длина 2000 мм</x:v>
      </x:c>
      <x:c r="F72" s="19" t="n">
        <x:v>1486</x:v>
      </x:c>
      <x:c r="G72" s="19" t="n">
        <x:f>IF(OR(F72="",F72=0),"",IF(K72="SCHNEIDER",F72*'Kurallar'!$B$48*'Kurallar'!$B$43,IF(K72="CHINT",F72*'Kurallar'!$B$47,IF(K72="EKT",F72*'Kurallar'!$B$49,IF(K72="KAZTEK",F72*'Kurallar'!$B$50,F72)))))</x:f>
        <x:v>1486</x:v>
      </x:c>
      <x:c r="H72" s="19" t="n">
        <x:f>IF(G72="","",G72*I72)</x:f>
        <x:v>2972</x:v>
      </x:c>
      <x:c r="I72" s="22" t="n">
        <x:v>2</x:v>
      </x:c>
      <x:c r="J72" s="16" t="str">
        <x:v>шт</x:v>
      </x:c>
      <x:c r="K72" s="16" t="str">
        <x:v>EKT</x:v>
      </x:c>
    </x:row>
    <x:row r="73" ht="15" hidden="0" customHeight="1">
      <x:c r="A73" s="16" t="n">
        <x:v>70</x:v>
      </x:c>
      <x:c r="B73" s="16" t="str">
        <x:v>ЩУ-3 (нагрев 22 кВт + вентилятор 8 кВт)</x:v>
      </x:c>
      <x:c r="C73" s="16" t="str">
        <x:v>montajный материал</x:v>
      </x:c>
      <x:c r="D73" s="16" t="str">
        <x:v>270300079_</x:v>
      </x:c>
      <x:c r="E73" s="16" t="str">
        <x:v>Кабель-канал перфорированный 25×40, длина 2000 мм</x:v>
      </x:c>
      <x:c r="F73" s="19" t="n">
        <x:v>1094</x:v>
      </x:c>
      <x:c r="G73" s="19" t="n">
        <x:f>IF(OR(F73="",F73=0),"",IF(K73="SCHNEIDER",F73*'Kurallar'!$B$48*'Kurallar'!$B$43,IF(K73="CHINT",F73*'Kurallar'!$B$47,IF(K73="EKT",F73*'Kurallar'!$B$49,IF(K73="KAZTEK",F73*'Kurallar'!$B$50,F73)))))</x:f>
        <x:v>1094</x:v>
      </x:c>
      <x:c r="H73" s="19" t="n">
        <x:f>IF(G73="","",G73*I73)</x:f>
        <x:v>1094</x:v>
      </x:c>
      <x:c r="I73" s="22" t="n">
        <x:v>1</x:v>
      </x:c>
      <x:c r="J73" s="16" t="str">
        <x:v>шт</x:v>
      </x:c>
      <x:c r="K73" s="16" t="str">
        <x:v>EKT</x:v>
      </x:c>
    </x:row>
    <x:row r="74" ht="15" hidden="0" customHeight="1">
      <x:c r="A74" s="16" t="n">
        <x:v>71</x:v>
      </x:c>
      <x:c r="B74" s="16" t="str">
        <x:v>ЩУ-3 (нагрев 22 кВт + вентилятор 8 кВт)</x:v>
      </x:c>
      <x:c r="C74" s="16" t="str">
        <x:v>montajный материал</x:v>
      </x:c>
      <x:c r="D74" s="16"/>
      <x:c r="E74" s="16" t="str">
        <x:v>Монтажные материалы: провод, наконечники, маркировка, крепёж, 5 кабельных вводов</x:v>
      </x:c>
      <x:c r="F74" s="19"/>
      <x:c r="G74" s="19" t="n">
        <x:f>SUM(H53:H73)*'Kurallar'!$B$12</x:f>
        <x:v>5159.197079999999</x:v>
      </x:c>
      <x:c r="H74" s="19" t="n">
        <x:f>IF(G74="","",G74*I74)</x:f>
        <x:v>5159.197079999999</x:v>
      </x:c>
      <x:c r="I74" s="22" t="n">
        <x:v>1</x:v>
      </x:c>
      <x:c r="J74" s="16" t="str">
        <x:v>компл.</x:v>
      </x:c>
      <x:c r="K74" s="16" t="str">
        <x:v>TEKLED</x:v>
      </x:c>
    </x:row>
    <x:row r="75" ht="15" hidden="0" customHeight="1">
      <x:c r="A75" s="16" t="n">
        <x:v>72</x:v>
      </x:c>
      <x:c r="B75" s="16" t="str">
        <x:v>ЩУ-3 (нагрев 22 кВт + вентилятор 8 кВт)</x:v>
      </x:c>
      <x:c r="C75" s="16" t="str">
        <x:v>montajная работа</x:v>
      </x:c>
      <x:c r="D75" s="16"/>
      <x:c r="E75" s="16" t="str">
        <x:v>Сборка, каблировка, маркировка и функциональный тест</x:v>
      </x:c>
      <x:c r="F75" s="19"/>
      <x:c r="G75" s="19" t="n">
        <x:f>'Kurallar'!$B$10</x:f>
        <x:v>100</x:v>
      </x:c>
      <x:c r="H75" s="19" t="n">
        <x:f>IF(OR(G75="",I75=""),"",G75*I75)</x:f>
        <x:v>32717.499999999996</x:v>
      </x:c>
      <x:c r="I75" s="22" t="n">
        <x:f>'Kurallar'!$D$25</x:f>
        <x:v>327.17499999999995</x:v>
      </x:c>
      <x:c r="J75" s="16" t="str">
        <x:v>мин</x:v>
      </x:c>
      <x:c r="K75" s="16" t="str">
        <x:v>TEKLED</x:v>
      </x:c>
    </x:row>
    <x:row r="76" ht="24" hidden="0" customHeight="1">
      <x:c r="A76" s="33"/>
      <x:c r="B76" s="33" t="str">
        <x:v>Toplam ЩУ-3 (нагрев 22 кВт + вентилятор 8 кВт)</x:v>
      </x:c>
      <x:c r="C76" s="33"/>
      <x:c r="D76" s="33"/>
      <x:c r="E76" s="33"/>
      <x:c r="F76" s="34"/>
      <x:c r="G76" s="34"/>
      <x:c r="H76" s="34" t="n">
        <x:f>SUM(H53:H75)</x:f>
        <x:v>209849.93308</x:v>
      </x:c>
      <x:c r="I76" s="35" t="n">
        <x:v>1</x:v>
      </x:c>
      <x:c r="J76" s="33" t="str">
        <x:v>комплект</x:v>
      </x:c>
      <x:c r="K76" s="33"/>
    </x:row>
    <x:row r="77" ht="15" hidden="0" customHeight="1">
      <x:c r="A77" s="45"/>
      <x:c r="B77" s="45" t="str">
        <x:v>GENEL TOPLAM (15 pano)</x:v>
      </x:c>
      <x:c r="C77" s="45"/>
      <x:c r="D77" s="45"/>
      <x:c r="E77" s="45"/>
      <x:c r="F77" s="46"/>
      <x:c r="G77" s="46"/>
      <x:c r="H77" s="46" t="n">
        <x:f>H26*4+H51*10+H76*1</x:f>
        <x:v>3199873.7117999992</x:v>
      </x:c>
      <x:c r="I77" s="47"/>
      <x:c r="J77" s="45"/>
      <x:c r="K77" s="45"/>
    </x:row>
  </x:sheetData>
  <x:conditionalFormatting sqref="A2:K77">
    <x:cfRule type="containsText" dxfId="0" priority="1" operator="containsText" text="КОНТРОЛЬ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2" hidden="0" customWidth="1"/>
    <x:col min="3" max="3" width="20" hidden="0" customWidth="1"/>
    <x:col min="4" max="4" width="20" hidden="0" customWidth="1"/>
    <x:col min="5" max="5" width="18" hidden="0" customWidth="1"/>
    <x:col min="6" max="6" width="24" hidden="0" customWidth="1"/>
    <x:col min="7" max="7" width="12" hidden="0" customWidth="1"/>
    <x:col min="8" max="8" width="31" hidden="0" customWidth="1"/>
  </x:cols>
  <x:sheetData>
    <x:row r="1">
      <x:c r="A1" s="4" t="str">
        <x:v>ЩИТЫ УПРАВЛЕНИЯ НАГРЕВАТЕЛЯМИ — SCHNEIDER / EASY TESYS — СВОД</x:v>
      </x:c>
      <x:c r="B1" s="4"/>
      <x:c r="C1" s="4"/>
      <x:c r="D1" s="4"/>
      <x:c r="E1" s="4"/>
      <x:c r="F1" s="4"/>
      <x:c r="G1" s="4"/>
      <x:c r="H1" s="4"/>
    </x:row>
    <x:row r="3" ht="15" hidden="0" customHeight="1">
      <x:c r="A3" s="53" t="str">
        <x:v>Щит</x:v>
      </x:c>
      <x:c r="B3" s="53" t="str">
        <x:v>Кол-во</x:v>
      </x:c>
      <x:c r="C3" s="53" t="str">
        <x:v>Цена 1 компл. KZT</x:v>
      </x:c>
      <x:c r="D3" s="53" t="str">
        <x:v>Сумма KZT</x:v>
      </x:c>
      <x:c r="E3" s="53" t="str">
        <x:v>Клемм/панель</x:v>
      </x:c>
      <x:c r="F3" s="53" t="str">
        <x:v>Корпус</x:v>
      </x:c>
      <x:c r="G3" s="53" t="str">
        <x:v>Запас</x:v>
      </x:c>
      <x:c r="H3" s="53" t="str">
        <x:v>Статус</x:v>
      </x:c>
    </x:row>
    <x:row r="4" ht="15" hidden="0" customHeight="1">
      <x:c r="A4" s="54" t="str">
        <x:v>ЩУ-1 (нагрев 20 кВт + вентилятор 3 кВт)</x:v>
      </x:c>
      <x:c r="B4" s="54" t="n">
        <x:v>4</x:v>
      </x:c>
      <x:c r="C4" s="55" t="n">
        <x:f>'BOM'!H26</x:f>
        <x:v>195818.42848</x:v>
      </x:c>
      <x:c r="D4" s="55" t="n">
        <x:f>B4*C4</x:f>
        <x:v>783273.71392</x:v>
      </x:c>
      <x:c r="E4" s="54" t="n">
        <x:v>51</x:v>
      </x:c>
      <x:c r="F4" s="54" t="str">
        <x:v>650×500×220</x:v>
      </x:c>
      <x:c r="G4" s="56" t="n">
        <x:v>0.22</x:v>
      </x:c>
      <x:c r="H4" s="54" t="str">
        <x:v>OK</x:v>
      </x:c>
    </x:row>
    <x:row r="5" ht="15" hidden="0" customHeight="1">
      <x:c r="A5" s="54" t="str">
        <x:v>ЩУ-2 (нагрев 26 кВт + вентилятор 8 кВт)</x:v>
      </x:c>
      <x:c r="B5" s="54" t="n">
        <x:v>10</x:v>
      </x:c>
      <x:c r="C5" s="55" t="n">
        <x:f>'BOM'!H51</x:f>
        <x:v>220675.00647999995</x:v>
      </x:c>
      <x:c r="D5" s="55" t="n">
        <x:f>B5*C5</x:f>
        <x:v>2206750.0647999994</x:v>
      </x:c>
      <x:c r="E5" s="54" t="n">
        <x:v>51</x:v>
      </x:c>
      <x:c r="F5" s="54" t="str">
        <x:v>650×500×220</x:v>
      </x:c>
      <x:c r="G5" s="56" t="n">
        <x:v>0.22</x:v>
      </x:c>
      <x:c r="H5" s="54" t="str">
        <x:v>GV2ME20 — MOTOR ETİKETİ TEYİT</x:v>
      </x:c>
    </x:row>
    <x:row r="6" ht="15" hidden="0" customHeight="1">
      <x:c r="A6" s="54" t="str">
        <x:v>ЩУ-3 (нагрев 22 кВт + вентилятор 8 кВт)</x:v>
      </x:c>
      <x:c r="B6" s="54" t="n">
        <x:v>1</x:v>
      </x:c>
      <x:c r="C6" s="55" t="n">
        <x:f>'BOM'!H76</x:f>
        <x:v>209849.93308</x:v>
      </x:c>
      <x:c r="D6" s="55" t="n">
        <x:f>B6*C6</x:f>
        <x:v>209849.93308</x:v>
      </x:c>
      <x:c r="E6" s="54" t="n">
        <x:v>51</x:v>
      </x:c>
      <x:c r="F6" s="54" t="str">
        <x:v>650×500×220</x:v>
      </x:c>
      <x:c r="G6" s="56" t="n">
        <x:v>0.22</x:v>
      </x:c>
      <x:c r="H6" s="54" t="str">
        <x:v>GV2ME20 — MOTOR ETİKETİ TEYİT</x:v>
      </x:c>
    </x:row>
    <x:row r="7" ht="15" hidden="0" customHeight="1">
      <x:c r="A7" s="59" t="str">
        <x:v>ИТОГО</x:v>
      </x:c>
      <x:c r="B7" s="59"/>
      <x:c r="C7" s="60"/>
      <x:c r="D7" s="60" t="n">
        <x:f>SUM(D4:D6)</x:f>
        <x:v>3199873.7117999992</x:v>
      </x:c>
      <x:c r="E7" s="59"/>
      <x:c r="F7" s="59"/>
      <x:c r="G7" s="59"/>
      <x:c r="H7" s="59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15" hidden="0" customWidth="1"/>
    <x:col min="5" max="5" width="10" hidden="0" customWidth="1"/>
    <x:col min="6" max="6" width="16" hidden="0" customWidth="1"/>
    <x:col min="7" max="7" width="18" hidden="0" customWidth="1"/>
    <x:col min="8" max="8" width="20" hidden="0" customWidth="1"/>
  </x:cols>
  <x:sheetData>
    <x:row r="1">
      <x:c r="A1" s="4" t="str">
        <x:v>TOPLAM SATIN ALMA LİSTESİ · 15 PANO</x:v>
      </x:c>
      <x:c r="B1" s="4"/>
      <x:c r="C1" s="4"/>
      <x:c r="D1" s="4"/>
      <x:c r="E1" s="4"/>
      <x:c r="F1" s="4"/>
      <x:c r="G1" s="4"/>
      <x:c r="H1" s="4"/>
    </x:row>
    <x:row r="3" ht="15" hidden="0" customHeight="1">
      <x:c r="A3" s="53" t="str">
        <x:v>Marka</x:v>
      </x:c>
      <x:c r="B3" s="53" t="str">
        <x:v>Artikül</x:v>
      </x:c>
      <x:c r="C3" s="53" t="str">
        <x:v>Malzeme</x:v>
      </x:c>
      <x:c r="D3" s="53" t="str">
        <x:v>Toplam adet</x:v>
      </x:c>
      <x:c r="E3" s="53" t="str">
        <x:v>Birim</x:v>
      </x:c>
      <x:c r="F3" s="53" t="str">
        <x:v>Liste fiyat</x:v>
      </x:c>
      <x:c r="G3" s="53" t="str">
        <x:v>Net birim KZT</x:v>
      </x:c>
      <x:c r="H3" s="53" t="str">
        <x:v>Toplam KZT</x:v>
      </x:c>
    </x:row>
    <x:row r="4" ht="15" hidden="0" customHeight="1">
      <x:c r="A4" s="15" t="str">
        <x:v>KAZTEK</x:v>
      </x:c>
      <x:c r="B4" s="15" t="str">
        <x:v>714-15120</x:v>
      </x:c>
      <x:c r="C4" s="15" t="str">
        <x:v>Korpus</x:v>
      </x:c>
      <x:c r="D4" s="15" t="n">
        <x:v>15</x:v>
      </x:c>
      <x:c r="E4" s="15" t="str">
        <x:v>шт</x:v>
      </x:c>
      <x:c r="F4" s="18" t="n">
        <x:v>29525</x:v>
      </x:c>
      <x:c r="G4" s="18" t="n">
        <x:f>IF(OR(F4="",F4=0),"",IF(A4="SCHNEIDER",F4*'Kurallar'!$B$48*'Kurallar'!$B$43,IF(A4="CHINT",F4*'Kurallar'!$B$47,IF(A4="EKT",F4*'Kurallar'!$B$49,IF(A4="KAZTEK",F4*'Kurallar'!$B$50,F4)))))</x:f>
        <x:v>29525</x:v>
      </x:c>
      <x:c r="H4" s="18" t="n">
        <x:f>IF(G4="","",D4*G4)</x:f>
        <x:v>442875</x:v>
      </x:c>
    </x:row>
    <x:row r="5" ht="15" hidden="0" customHeight="1">
      <x:c r="A5" s="16" t="str">
        <x:v>SCHNEIDER</x:v>
      </x:c>
      <x:c r="B5" s="16" t="str">
        <x:v>A9F79340</x:v>
      </x:c>
      <x:c r="C5" s="16" t="str">
        <x:v>Ana OTO</x:v>
      </x:c>
      <x:c r="D5" s="16" t="n">
        <x:v>4</x:v>
      </x:c>
      <x:c r="E5" s="16" t="str">
        <x:v>шт</x:v>
      </x:c>
      <x:c r="F5" s="19" t="n">
        <x:v>2247</x:v>
      </x:c>
      <x:c r="G5" s="19" t="n">
        <x:f>IF(OR(F5="",F5=0),"",IF(A5="SCHNEIDER",F5*'Kurallar'!$B$48*'Kurallar'!$B$43,IF(A5="CHINT",F5*'Kurallar'!$B$47,IF(A5="EKT",F5*'Kurallar'!$B$49,IF(A5="KAZTEK",F5*'Kurallar'!$B$50,F5)))))</x:f>
        <x:v>14695.380000000001</x:v>
      </x:c>
      <x:c r="H5" s="19" t="n">
        <x:f>IF(G5="","",D5*G5)</x:f>
        <x:v>58781.520000000004</x:v>
      </x:c>
    </x:row>
    <x:row r="6" ht="15" hidden="0" customHeight="1">
      <x:c r="A6" s="16" t="str">
        <x:v>SCHNEIDER</x:v>
      </x:c>
      <x:c r="B6" s="16" t="str">
        <x:v>A9F79320</x:v>
      </x:c>
      <x:c r="C6" s="16" t="str">
        <x:v>Rezistans OTO</x:v>
      </x:c>
      <x:c r="D6" s="16" t="n">
        <x:v>10</x:v>
      </x:c>
      <x:c r="E6" s="16" t="str">
        <x:v>шт</x:v>
      </x:c>
      <x:c r="F6" s="19" t="n">
        <x:v>1884</x:v>
      </x:c>
      <x:c r="G6" s="19" t="n">
        <x:f>IF(OR(F6="",F6=0),"",IF(A6="SCHNEIDER",F6*'Kurallar'!$B$48*'Kurallar'!$B$43,IF(A6="CHINT",F6*'Kurallar'!$B$47,IF(A6="EKT",F6*'Kurallar'!$B$49,IF(A6="KAZTEK",F6*'Kurallar'!$B$50,F6)))))</x:f>
        <x:v>12321.359999999999</x:v>
      </x:c>
      <x:c r="H6" s="19" t="n">
        <x:f>IF(G6="","",D6*G6)</x:f>
        <x:v>123213.59999999999</x:v>
      </x:c>
    </x:row>
    <x:row r="7" ht="15" hidden="0" customHeight="1">
      <x:c r="A7" s="16" t="str">
        <x:v>SCHNEIDER</x:v>
      </x:c>
      <x:c r="B7" s="16" t="str">
        <x:v>LC1E1810M5</x:v>
      </x:c>
      <x:c r="C7" s="16" t="str">
        <x:v>Rezistans kontaktörü</x:v>
      </x:c>
      <x:c r="D7" s="16" t="n">
        <x:v>10</x:v>
      </x:c>
      <x:c r="E7" s="16" t="str">
        <x:v>шт</x:v>
      </x:c>
      <x:c r="F7" s="19" t="n">
        <x:v>1628</x:v>
      </x:c>
      <x:c r="G7" s="19" t="n">
        <x:f>IF(OR(F7="",F7=0),"",IF(A7="SCHNEIDER",F7*'Kurallar'!$B$48*'Kurallar'!$B$43,IF(A7="CHINT",F7*'Kurallar'!$B$47,IF(A7="EKT",F7*'Kurallar'!$B$49,IF(A7="KAZTEK",F7*'Kurallar'!$B$50,F7)))))</x:f>
        <x:v>10647.119999999999</x:v>
      </x:c>
      <x:c r="H7" s="19" t="n">
        <x:f>IF(G7="","",D7*G7)</x:f>
        <x:v>106471.19999999998</x:v>
      </x:c>
    </x:row>
    <x:row r="8" ht="15" hidden="0" customHeight="1">
      <x:c r="A8" s="16" t="str">
        <x:v>SCHNEIDER</x:v>
      </x:c>
      <x:c r="B8" s="16" t="str">
        <x:v>GV2ME14</x:v>
      </x:c>
      <x:c r="C8" s="16" t="str">
        <x:v>Motor koruma</x:v>
      </x:c>
      <x:c r="D8" s="16" t="n">
        <x:v>4</x:v>
      </x:c>
      <x:c r="E8" s="16" t="str">
        <x:v>шт</x:v>
      </x:c>
      <x:c r="F8" s="19" t="n">
        <x:v>3634</x:v>
      </x:c>
      <x:c r="G8" s="19" t="n">
        <x:f>IF(OR(F8="",F8=0),"",IF(A8="SCHNEIDER",F8*'Kurallar'!$B$48*'Kurallar'!$B$43,IF(A8="CHINT",F8*'Kurallar'!$B$47,IF(A8="EKT",F8*'Kurallar'!$B$49,IF(A8="KAZTEK",F8*'Kurallar'!$B$50,F8)))))</x:f>
        <x:v>23766.36</x:v>
      </x:c>
      <x:c r="H8" s="19" t="n">
        <x:f>IF(G8="","",D8*G8)</x:f>
        <x:v>95065.44</x:v>
      </x:c>
    </x:row>
    <x:row r="9" ht="15" hidden="0" customHeight="1">
      <x:c r="A9" s="16" t="str">
        <x:v>SCHNEIDER</x:v>
      </x:c>
      <x:c r="B9" s="16" t="str">
        <x:v>LC1E0910M5</x:v>
      </x:c>
      <x:c r="C9" s="16" t="str">
        <x:v>Fan kontaktörü</x:v>
      </x:c>
      <x:c r="D9" s="16" t="n">
        <x:v>4</x:v>
      </x:c>
      <x:c r="E9" s="16" t="str">
        <x:v>шт</x:v>
      </x:c>
      <x:c r="F9" s="19" t="n">
        <x:v>1217</x:v>
      </x:c>
      <x:c r="G9" s="19" t="n">
        <x:f>IF(OR(F9="",F9=0),"",IF(A9="SCHNEIDER",F9*'Kurallar'!$B$48*'Kurallar'!$B$43,IF(A9="CHINT",F9*'Kurallar'!$B$47,IF(A9="EKT",F9*'Kurallar'!$B$49,IF(A9="KAZTEK",F9*'Kurallar'!$B$50,F9)))))</x:f>
        <x:v>7959.179999999999</x:v>
      </x:c>
      <x:c r="H9" s="19" t="n">
        <x:f>IF(G9="","",D9*G9)</x:f>
        <x:v>31836.719999999998</x:v>
      </x:c>
    </x:row>
    <x:row r="10" ht="15" hidden="0" customHeight="1">
      <x:c r="A10" s="16" t="str">
        <x:v>SCHNEIDER</x:v>
      </x:c>
      <x:c r="B10" s="16" t="str">
        <x:v>A9F79110</x:v>
      </x:c>
      <x:c r="C10" s="16" t="str">
        <x:v>Автоматический выключатель Acti9 iC60N 1P C10 6кА — освещение</x:v>
      </x:c>
      <x:c r="D10" s="16" t="n">
        <x:v>15</x:v>
      </x:c>
      <x:c r="E10" s="16" t="str">
        <x:v>шт</x:v>
      </x:c>
      <x:c r="F10" s="19" t="n">
        <x:v>446.8</x:v>
      </x:c>
      <x:c r="G10" s="19" t="n">
        <x:f>IF(OR(F10="",F10=0),"",IF(A10="SCHNEIDER",F10*'Kurallar'!$B$48*'Kurallar'!$B$43,IF(A10="CHINT",F10*'Kurallar'!$B$47,IF(A10="EKT",F10*'Kurallar'!$B$49,IF(A10="KAZTEK",F10*'Kurallar'!$B$50,F10)))))</x:f>
        <x:v>2922.072</x:v>
      </x:c>
      <x:c r="H10" s="19" t="n">
        <x:f>IF(G10="","",D10*G10)</x:f>
        <x:v>43831.08</x:v>
      </x:c>
    </x:row>
    <x:row r="11" ht="15" hidden="0" customHeight="1">
      <x:c r="A11" s="16" t="str">
        <x:v>SCHNEIDER</x:v>
      </x:c>
      <x:c r="B11" s="16" t="str">
        <x:v>A9F79106</x:v>
      </x:c>
      <x:c r="C11" s="16" t="str">
        <x:v>Çekvalf + termostat/kumanda devresi otomatiği</x:v>
      </x:c>
      <x:c r="D11" s="16" t="n">
        <x:v>30</x:v>
      </x:c>
      <x:c r="E11" s="16" t="str">
        <x:v>шт</x:v>
      </x:c>
      <x:c r="F11" s="19" t="n">
        <x:v>446.8</x:v>
      </x:c>
      <x:c r="G11" s="19" t="n">
        <x:f>IF(OR(F11="",F11=0),"",IF(A11="SCHNEIDER",F11*'Kurallar'!$B$48*'Kurallar'!$B$43,IF(A11="CHINT",F11*'Kurallar'!$B$47,IF(A11="EKT",F11*'Kurallar'!$B$49,IF(A11="KAZTEK",F11*'Kurallar'!$B$50,F11)))))</x:f>
        <x:v>2922.072</x:v>
      </x:c>
      <x:c r="H11" s="19" t="n">
        <x:f>IF(G11="","",D11*G11)</x:f>
        <x:v>87662.16</x:v>
      </x:c>
    </x:row>
    <x:row r="12" ht="15" hidden="0" customHeight="1">
      <x:c r="A12" s="16" t="str">
        <x:v>SCHNEIDER</x:v>
      </x:c>
      <x:c r="B12" s="16" t="str">
        <x:v>LC1E0610M5</x:v>
      </x:c>
      <x:c r="C12" s="16" t="str">
        <x:v>Контактор Easy TeSys 3P 6A, катушка 220В AC 50Гц — лампа</x:v>
      </x:c>
      <x:c r="D12" s="16" t="n">
        <x:v>30</x:v>
      </x:c>
      <x:c r="E12" s="16" t="str">
        <x:v>шт</x:v>
      </x:c>
      <x:c r="F12" s="19" t="n">
        <x:v>1154</x:v>
      </x:c>
      <x:c r="G12" s="19" t="n">
        <x:f>IF(OR(F12="",F12=0),"",IF(A12="SCHNEIDER",F12*'Kurallar'!$B$48*'Kurallar'!$B$43,IF(A12="CHINT",F12*'Kurallar'!$B$47,IF(A12="EKT",F12*'Kurallar'!$B$49,IF(A12="KAZTEK",F12*'Kurallar'!$B$50,F12)))))</x:f>
        <x:v>7547.16</x:v>
      </x:c>
      <x:c r="H12" s="19" t="n">
        <x:f>IF(G12="","",D12*G12)</x:f>
        <x:v>226414.8</x:v>
      </x:c>
    </x:row>
    <x:row r="13" ht="15" hidden="0" customHeight="1">
      <x:c r="A13" s="16" t="str">
        <x:v>CHINT</x:v>
      </x:c>
      <x:c r="B13" s="16" t="str">
        <x:v>593012</x:v>
      </x:c>
      <x:c r="C13" s="16" t="str">
        <x:v>Индикатор ND16-22DS/4 красный AC230В Ø22 — на дверь</x:v>
      </x:c>
      <x:c r="D13" s="16" t="n">
        <x:v>45</x:v>
      </x:c>
      <x:c r="E13" s="16" t="str">
        <x:v>шт</x:v>
      </x:c>
      <x:c r="F13" s="19" t="n">
        <x:v>836</x:v>
      </x:c>
      <x:c r="G13" s="19" t="n">
        <x:f>IF(OR(F13="",F13=0),"",IF(A13="SCHNEIDER",F13*'Kurallar'!$B$48*'Kurallar'!$B$43,IF(A13="CHINT",F13*'Kurallar'!$B$47,IF(A13="EKT",F13*'Kurallar'!$B$49,IF(A13="KAZTEK",F13*'Kurallar'!$B$50,F13)))))</x:f>
        <x:v>501.59999999999997</x:v>
      </x:c>
      <x:c r="H13" s="19" t="n">
        <x:f>IF(G13="","",D13*G13)</x:f>
        <x:v>22572</x:v>
      </x:c>
    </x:row>
    <x:row r="14" ht="15" hidden="0" customHeight="1">
      <x:c r="A14" s="16" t="str">
        <x:v>EKT</x:v>
      </x:c>
      <x:c r="B14" s="16" t="str">
        <x:v>130301157_</x:v>
      </x:c>
      <x:c r="C14" s="16" t="str">
        <x:v>ЗНИ 16мм² 100А серый UNIT — ввод L1/L2/L3</x:v>
      </x:c>
      <x:c r="D14" s="16" t="n">
        <x:v>45</x:v>
      </x:c>
      <x:c r="E14" s="16" t="str">
        <x:v>шт</x:v>
      </x:c>
      <x:c r="F14" s="19" t="n">
        <x:v>235</x:v>
      </x:c>
      <x:c r="G14" s="19" t="n">
        <x:f>IF(OR(F14="",F14=0),"",IF(A14="SCHNEIDER",F14*'Kurallar'!$B$48*'Kurallar'!$B$43,IF(A14="CHINT",F14*'Kurallar'!$B$47,IF(A14="EKT",F14*'Kurallar'!$B$49,IF(A14="KAZTEK",F14*'Kurallar'!$B$50,F14)))))</x:f>
        <x:v>235</x:v>
      </x:c>
      <x:c r="H14" s="19" t="n">
        <x:f>IF(G14="","",D14*G14)</x:f>
        <x:v>10575</x:v>
      </x:c>
    </x:row>
    <x:row r="15" ht="15" hidden="0" customHeight="1">
      <x:c r="A15" s="16" t="str">
        <x:v>EKT</x:v>
      </x:c>
      <x:c r="B15" s="16" t="str">
        <x:v>130301158_</x:v>
      </x:c>
      <x:c r="C15" s="16" t="str">
        <x:v>ЗНИ 16мм² 100А синий UNIT — ввод N</x:v>
      </x:c>
      <x:c r="D15" s="16" t="n">
        <x:v>15</x:v>
      </x:c>
      <x:c r="E15" s="16" t="str">
        <x:v>шт</x:v>
      </x:c>
      <x:c r="F15" s="19" t="n">
        <x:v>269</x:v>
      </x:c>
      <x:c r="G15" s="19" t="n">
        <x:f>IF(OR(F15="",F15=0),"",IF(A15="SCHNEIDER",F15*'Kurallar'!$B$48*'Kurallar'!$B$43,IF(A15="CHINT",F15*'Kurallar'!$B$47,IF(A15="EKT",F15*'Kurallar'!$B$49,IF(A15="KAZTEK",F15*'Kurallar'!$B$50,F15)))))</x:f>
        <x:v>269</x:v>
      </x:c>
      <x:c r="H15" s="19" t="n">
        <x:f>IF(G15="","",D15*G15)</x:f>
        <x:v>4035</x:v>
      </x:c>
    </x:row>
    <x:row r="16" ht="15" hidden="0" customHeight="1">
      <x:c r="A16" s="16" t="str">
        <x:v>EKT</x:v>
      </x:c>
      <x:c r="B16" s="16" t="str">
        <x:v>130300227_</x:v>
      </x:c>
      <x:c r="C16" s="16" t="str">
        <x:v>ЗНИ 10PEN 10мм² — PE: ввод, 2 нагревателя, вентилятор, дверь</x:v>
      </x:c>
      <x:c r="D16" s="16" t="n">
        <x:v>75</x:v>
      </x:c>
      <x:c r="E16" s="16" t="str">
        <x:v>шт</x:v>
      </x:c>
      <x:c r="F16" s="19" t="n">
        <x:v>155</x:v>
      </x:c>
      <x:c r="G16" s="19" t="n">
        <x:f>IF(OR(F16="",F16=0),"",IF(A16="SCHNEIDER",F16*'Kurallar'!$B$48*'Kurallar'!$B$43,IF(A16="CHINT",F16*'Kurallar'!$B$47,IF(A16="EKT",F16*'Kurallar'!$B$49,IF(A16="KAZTEK",F16*'Kurallar'!$B$50,F16)))))</x:f>
        <x:v>155</x:v>
      </x:c>
      <x:c r="H16" s="19" t="n">
        <x:f>IF(G16="","",D16*G16)</x:f>
        <x:v>11625</x:v>
      </x:c>
    </x:row>
    <x:row r="17" ht="15" hidden="0" customHeight="1">
      <x:c r="A17" s="16" t="str">
        <x:v>EKT</x:v>
      </x:c>
      <x:c r="B17" s="16" t="str">
        <x:v>130301154_</x:v>
      </x:c>
      <x:c r="C17" s="16" t="str">
        <x:v>ЗНИ 6мм² серый UNIT — 2 выхода нагревателя × 4</x:v>
      </x:c>
      <x:c r="D17" s="16" t="n">
        <x:v>120</x:v>
      </x:c>
      <x:c r="E17" s="16" t="str">
        <x:v>шт</x:v>
      </x:c>
      <x:c r="F17" s="19" t="n">
        <x:v>111</x:v>
      </x:c>
      <x:c r="G17" s="19" t="n">
        <x:f>IF(OR(F17="",F17=0),"",IF(A17="SCHNEIDER",F17*'Kurallar'!$B$48*'Kurallar'!$B$43,IF(A17="CHINT",F17*'Kurallar'!$B$47,IF(A17="EKT",F17*'Kurallar'!$B$49,IF(A17="KAZTEK",F17*'Kurallar'!$B$50,F17)))))</x:f>
        <x:v>111</x:v>
      </x:c>
      <x:c r="H17" s="19" t="n">
        <x:f>IF(G17="","",D17*G17)</x:f>
        <x:v>13320</x:v>
      </x:c>
    </x:row>
    <x:row r="18" ht="15" hidden="0" customHeight="1">
      <x:c r="A18" s="16" t="str">
        <x:v>EKT</x:v>
      </x:c>
      <x:c r="B18" s="16" t="str">
        <x:v>130301153_</x:v>
      </x:c>
      <x:c r="C18" s="16" t="str">
        <x:v>ЗНИ 4мм² серый UNIT — выход вентилятора</x:v>
      </x:c>
      <x:c r="D18" s="16" t="n">
        <x:v>60</x:v>
      </x:c>
      <x:c r="E18" s="16" t="str">
        <x:v>шт</x:v>
      </x:c>
      <x:c r="F18" s="19" t="n">
        <x:v>90</x:v>
      </x:c>
      <x:c r="G18" s="19" t="n">
        <x:f>IF(OR(F18="",F18=0),"",IF(A18="SCHNEIDER",F18*'Kurallar'!$B$48*'Kurallar'!$B$43,IF(A18="CHINT",F18*'Kurallar'!$B$47,IF(A18="EKT",F18*'Kurallar'!$B$49,IF(A18="KAZTEK",F18*'Kurallar'!$B$50,F18)))))</x:f>
        <x:v>90</x:v>
      </x:c>
      <x:c r="H18" s="19" t="n">
        <x:f>IF(G18="","",D18*G18)</x:f>
        <x:v>5400</x:v>
      </x:c>
    </x:row>
    <x:row r="19" ht="15" hidden="0" customHeight="1">
      <x:c r="A19" s="16" t="str">
        <x:v>EKT</x:v>
      </x:c>
      <x:c r="B19" s="16" t="str">
        <x:v>130301152_</x:v>
      </x:c>
      <x:c r="C19" s="16" t="str">
        <x:v>ЗНИ 2,5мм² серый UNIT — управление/лампа/клапан/термостат/резерв</x:v>
      </x:c>
      <x:c r="D19" s="16" t="n">
        <x:v>450</x:v>
      </x:c>
      <x:c r="E19" s="16" t="str">
        <x:v>шт</x:v>
      </x:c>
      <x:c r="F19" s="19" t="n">
        <x:v>90</x:v>
      </x:c>
      <x:c r="G19" s="19" t="n">
        <x:f>IF(OR(F19="",F19=0),"",IF(A19="SCHNEIDER",F19*'Kurallar'!$B$48*'Kurallar'!$B$43,IF(A19="CHINT",F19*'Kurallar'!$B$47,IF(A19="EKT",F19*'Kurallar'!$B$49,IF(A19="KAZTEK",F19*'Kurallar'!$B$50,F19)))))</x:f>
        <x:v>90</x:v>
      </x:c>
      <x:c r="H19" s="19" t="n">
        <x:f>IF(G19="","",D19*G19)</x:f>
        <x:v>40500</x:v>
      </x:c>
    </x:row>
    <x:row r="20" ht="15" hidden="0" customHeight="1">
      <x:c r="A20" s="16" t="str">
        <x:v>CHINT</x:v>
      </x:c>
      <x:c r="B20" s="16" t="str">
        <x:v>570002</x:v>
      </x:c>
      <x:c r="C20" s="16" t="str">
        <x:v>DIN-рейка TH35-7.5, длина 2000 мм</x:v>
      </x:c>
      <x:c r="D20" s="16" t="n">
        <x:v>15</x:v>
      </x:c>
      <x:c r="E20" s="16" t="str">
        <x:v>шт</x:v>
      </x:c>
      <x:c r="F20" s="19" t="n">
        <x:v>2232</x:v>
      </x:c>
      <x:c r="G20" s="19" t="n">
        <x:f>IF(OR(F20="",F20=0),"",IF(A20="SCHNEIDER",F20*'Kurallar'!$B$48*'Kurallar'!$B$43,IF(A20="CHINT",F20*'Kurallar'!$B$47,IF(A20="EKT",F20*'Kurallar'!$B$49,IF(A20="KAZTEK",F20*'Kurallar'!$B$50,F20)))))</x:f>
        <x:v>1339.2</x:v>
      </x:c>
      <x:c r="H20" s="19" t="n">
        <x:f>IF(G20="","",D20*G20)</x:f>
        <x:v>20088</x:v>
      </x:c>
    </x:row>
    <x:row r="21" ht="15" hidden="0" customHeight="1">
      <x:c r="A21" s="16" t="str">
        <x:v>EKT</x:v>
      </x:c>
      <x:c r="B21" s="16" t="str">
        <x:v>280100020_</x:v>
      </x:c>
      <x:c r="C21" s="16" t="str">
        <x:v>Кабель-канал перфорированный 40×40, длина 2000 мм</x:v>
      </x:c>
      <x:c r="D21" s="16" t="n">
        <x:v>30</x:v>
      </x:c>
      <x:c r="E21" s="16" t="str">
        <x:v>шт</x:v>
      </x:c>
      <x:c r="F21" s="19" t="n">
        <x:v>1486</x:v>
      </x:c>
      <x:c r="G21" s="19" t="n">
        <x:f>IF(OR(F21="",F21=0),"",IF(A21="SCHNEIDER",F21*'Kurallar'!$B$48*'Kurallar'!$B$43,IF(A21="CHINT",F21*'Kurallar'!$B$47,IF(A21="EKT",F21*'Kurallar'!$B$49,IF(A21="KAZTEK",F21*'Kurallar'!$B$50,F21)))))</x:f>
        <x:v>1486</x:v>
      </x:c>
      <x:c r="H21" s="19" t="n">
        <x:f>IF(G21="","",D21*G21)</x:f>
        <x:v>44580</x:v>
      </x:c>
    </x:row>
    <x:row r="22" ht="15" hidden="0" customHeight="1">
      <x:c r="A22" s="16" t="str">
        <x:v>EKT</x:v>
      </x:c>
      <x:c r="B22" s="16" t="str">
        <x:v>270300079_</x:v>
      </x:c>
      <x:c r="C22" s="16" t="str">
        <x:v>Кабель-канал перфорированный 25×40, длина 2000 мм</x:v>
      </x:c>
      <x:c r="D22" s="16" t="n">
        <x:v>15</x:v>
      </x:c>
      <x:c r="E22" s="16" t="str">
        <x:v>шт</x:v>
      </x:c>
      <x:c r="F22" s="19" t="n">
        <x:v>1094</x:v>
      </x:c>
      <x:c r="G22" s="19" t="n">
        <x:f>IF(OR(F22="",F22=0),"",IF(A22="SCHNEIDER",F22*'Kurallar'!$B$48*'Kurallar'!$B$43,IF(A22="CHINT",F22*'Kurallar'!$B$47,IF(A22="EKT",F22*'Kurallar'!$B$49,IF(A22="KAZTEK",F22*'Kurallar'!$B$50,F22)))))</x:f>
        <x:v>1094</x:v>
      </x:c>
      <x:c r="H22" s="19" t="n">
        <x:f>IF(G22="","",D22*G22)</x:f>
        <x:v>16410</x:v>
      </x:c>
    </x:row>
    <x:row r="23" ht="15" hidden="0" customHeight="1">
      <x:c r="A23" s="16" t="str">
        <x:v>SCHNEIDER</x:v>
      </x:c>
      <x:c r="B23" s="16" t="str">
        <x:v>A9F79363</x:v>
      </x:c>
      <x:c r="C23" s="16" t="str">
        <x:v>Ana OTO</x:v>
      </x:c>
      <x:c r="D23" s="16" t="n">
        <x:v>10</x:v>
      </x:c>
      <x:c r="E23" s="16" t="str">
        <x:v>шт</x:v>
      </x:c>
      <x:c r="F23" s="19" t="n">
        <x:v>3335</x:v>
      </x:c>
      <x:c r="G23" s="19" t="n">
        <x:f>IF(OR(F23="",F23=0),"",IF(A23="SCHNEIDER",F23*'Kurallar'!$B$48*'Kurallar'!$B$43,IF(A23="CHINT",F23*'Kurallar'!$B$47,IF(A23="EKT",F23*'Kurallar'!$B$49,IF(A23="KAZTEK",F23*'Kurallar'!$B$50,F23)))))</x:f>
        <x:v>21810.9</x:v>
      </x:c>
      <x:c r="H23" s="19" t="n">
        <x:f>IF(G23="","",D23*G23)</x:f>
        <x:v>218109</x:v>
      </x:c>
    </x:row>
    <x:row r="24" ht="15" hidden="0" customHeight="1">
      <x:c r="A24" s="16" t="str">
        <x:v>SCHNEIDER</x:v>
      </x:c>
      <x:c r="B24" s="16" t="str">
        <x:v>A9F79325</x:v>
      </x:c>
      <x:c r="C24" s="16" t="str">
        <x:v>Rezistans OTO</x:v>
      </x:c>
      <x:c r="D24" s="16" t="n">
        <x:v>20</x:v>
      </x:c>
      <x:c r="E24" s="16" t="str">
        <x:v>шт</x:v>
      </x:c>
      <x:c r="F24" s="19" t="n">
        <x:v>1884</x:v>
      </x:c>
      <x:c r="G24" s="19" t="n">
        <x:f>IF(OR(F24="",F24=0),"",IF(A24="SCHNEIDER",F24*'Kurallar'!$B$48*'Kurallar'!$B$43,IF(A24="CHINT",F24*'Kurallar'!$B$47,IF(A24="EKT",F24*'Kurallar'!$B$49,IF(A24="KAZTEK",F24*'Kurallar'!$B$50,F24)))))</x:f>
        <x:v>12321.359999999999</x:v>
      </x:c>
      <x:c r="H24" s="19" t="n">
        <x:f>IF(G24="","",D24*G24)</x:f>
        <x:v>246427.19999999998</x:v>
      </x:c>
    </x:row>
    <x:row r="25" ht="15" hidden="0" customHeight="1">
      <x:c r="A25" s="16" t="str">
        <x:v>SCHNEIDER</x:v>
      </x:c>
      <x:c r="B25" s="16" t="str">
        <x:v>LC1E2510M5</x:v>
      </x:c>
      <x:c r="C25" s="16" t="str">
        <x:v>Rezistans kontaktörü</x:v>
      </x:c>
      <x:c r="D25" s="16" t="n">
        <x:v>31</x:v>
      </x:c>
      <x:c r="E25" s="16" t="str">
        <x:v>шт</x:v>
      </x:c>
      <x:c r="F25" s="19" t="n">
        <x:v>2182</x:v>
      </x:c>
      <x:c r="G25" s="19" t="n">
        <x:f>IF(OR(F25="",F25=0),"",IF(A25="SCHNEIDER",F25*'Kurallar'!$B$48*'Kurallar'!$B$43,IF(A25="CHINT",F25*'Kurallar'!$B$47,IF(A25="EKT",F25*'Kurallar'!$B$49,IF(A25="KAZTEK",F25*'Kurallar'!$B$50,F25)))))</x:f>
        <x:v>14270.28</x:v>
      </x:c>
      <x:c r="H25" s="19" t="n">
        <x:f>IF(G25="","",D25*G25)</x:f>
        <x:v>442378.68</x:v>
      </x:c>
    </x:row>
    <x:row r="26" ht="15" hidden="0" customHeight="1">
      <x:c r="A26" s="16" t="str">
        <x:v>SCHNEIDER</x:v>
      </x:c>
      <x:c r="B26" s="16" t="str">
        <x:v>GV2ME20</x:v>
      </x:c>
      <x:c r="C26" s="16" t="str">
        <x:v>Motor koruma</x:v>
      </x:c>
      <x:c r="D26" s="16" t="n">
        <x:v>11</x:v>
      </x:c>
      <x:c r="E26" s="16" t="str">
        <x:v>шт</x:v>
      </x:c>
      <x:c r="F26" s="19" t="n">
        <x:v>4163</x:v>
      </x:c>
      <x:c r="G26" s="19" t="n">
        <x:f>IF(OR(F26="",F26=0),"",IF(A26="SCHNEIDER",F26*'Kurallar'!$B$48*'Kurallar'!$B$43,IF(A26="CHINT",F26*'Kurallar'!$B$47,IF(A26="EKT",F26*'Kurallar'!$B$49,IF(A26="KAZTEK",F26*'Kurallar'!$B$50,F26)))))</x:f>
        <x:v>27226.019999999997</x:v>
      </x:c>
      <x:c r="H26" s="19" t="n">
        <x:f>IF(G26="","",D26*G26)</x:f>
        <x:v>299486.22</x:v>
      </x:c>
    </x:row>
    <x:row r="27" ht="15" hidden="0" customHeight="1">
      <x:c r="A27" s="16" t="str">
        <x:v>SCHNEIDER</x:v>
      </x:c>
      <x:c r="B27" s="16" t="str">
        <x:v>A9F79350</x:v>
      </x:c>
      <x:c r="C27" s="16" t="str">
        <x:v>Ana OTO</x:v>
      </x:c>
      <x:c r="D27" s="16" t="n">
        <x:v>1</x:v>
      </x:c>
      <x:c r="E27" s="16" t="str">
        <x:v>шт</x:v>
      </x:c>
      <x:c r="F27" s="19" t="n">
        <x:v>2836</x:v>
      </x:c>
      <x:c r="G27" s="19" t="n">
        <x:f>IF(OR(F27="",F27=0),"",IF(A27="SCHNEIDER",F27*'Kurallar'!$B$48*'Kurallar'!$B$43,IF(A27="CHINT",F27*'Kurallar'!$B$47,IF(A27="EKT",F27*'Kurallar'!$B$49,IF(A27="KAZTEK",F27*'Kurallar'!$B$50,F27)))))</x:f>
        <x:v>18547.44</x:v>
      </x:c>
      <x:c r="H27" s="19" t="n">
        <x:f>IF(G27="","",D27*G27)</x:f>
        <x:v>18547.44</x:v>
      </x:c>
    </x:row>
    <x:row r="28" ht="15" hidden="0" customHeight="1">
      <x:c r="A28" s="61" t="str">
        <x:v>MALZEME TOPLAMI</x:v>
      </x:c>
      <x:c r="B28" s="61"/>
      <x:c r="C28" s="61"/>
      <x:c r="D28" s="61"/>
      <x:c r="E28" s="61"/>
      <x:c r="F28" s="62"/>
      <x:c r="G28" s="62"/>
      <x:c r="H28" s="62" t="n">
        <x:f>SUM(H4:H27)</x:f>
        <x:v>2630205.06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38" hidden="0" customWidth="1"/>
    <x:col min="4" max="4" width="55" hidden="0" customWidth="1"/>
  </x:cols>
  <x:sheetData>
    <x:row r="1">
      <x:c r="A1" s="4" t="str">
        <x:v>KURAL VE PARAMETRE TABLOSU · R4</x:v>
      </x:c>
      <x:c r="B1" s="4"/>
      <x:c r="C1" s="4"/>
      <x:c r="D1" s="4"/>
    </x:row>
    <x:row r="3">
      <x:c r="A3" t="str">
        <x:v>Proje</x:v>
      </x:c>
      <x:c r="B3" t="str">
        <x:v>260814 YSF HICH Isıtıcı Kumanda Panoları</x:v>
      </x:c>
    </x:row>
    <x:row r="4">
      <x:c r="A4" t="str">
        <x:v>Revizyon</x:v>
      </x:c>
      <x:c r="B4" t="str">
        <x:v>R4</x:v>
      </x:c>
    </x:row>
    <x:row r="5">
      <x:c r="A5" t="str">
        <x:v>Tarih</x:v>
      </x:c>
      <x:c r="B5" t="str">
        <x:v>2026-08-14</x:v>
      </x:c>
    </x:row>
    <x:row r="6">
      <x:c r="A6" t="str">
        <x:v>Pano adedi</x:v>
      </x:c>
      <x:c r="B6" t="n">
        <x:v>15</x:v>
      </x:c>
    </x:row>
    <x:row r="7">
      <x:c r="A7" t="str">
        <x:v>Sistem</x:v>
      </x:c>
      <x:c r="B7" t="str">
        <x:v>3F+N+PE · 400/230V · 50Hz</x:v>
      </x:c>
    </x:row>
    <x:row r="8">
      <x:c r="A8" t="str"/>
      <x:c r="B8"/>
    </x:row>
    <x:row r="9">
      <x:c r="A9" t="str">
        <x:v>PARAMETRE</x:v>
      </x:c>
      <x:c r="B9" t="str">
        <x:v>DEĞER</x:v>
      </x:c>
    </x:row>
    <x:row r="10" ht="15" hidden="0" customHeight="1">
      <x:c r="A10" s="53" t="str">
        <x:v>İşçilik KZT/dk</x:v>
      </x:c>
      <x:c r="B10" s="53" t="n">
        <x:v>100</x:v>
      </x:c>
      <x:c r="C10" s="53"/>
      <x:c r="D10" s="53"/>
    </x:row>
    <x:row r="11" ht="15" hidden="0" customHeight="1">
      <x:c r="A11" s="15" t="str">
        <x:v>Test/etiket katsayısı</x:v>
      </x:c>
      <x:c r="B11" s="24" t="n">
        <x:v>1.15</x:v>
      </x:c>
      <x:c r="C11" s="15"/>
      <x:c r="D11" s="15"/>
    </x:row>
    <x:row r="12" ht="15" hidden="0" customHeight="1">
      <x:c r="A12" s="16" t="str">
        <x:v>Montaj malzemesi</x:v>
      </x:c>
      <x:c r="B12" s="36" t="n">
        <x:v>0.03</x:v>
      </x:c>
      <x:c r="C12" s="16"/>
      <x:c r="D12" s="16"/>
    </x:row>
    <x:row r="13" ht="15" hidden="0" customHeight="1">
      <x:c r="A13" s="16" t="str">
        <x:v>Klemens adedi/pano</x:v>
      </x:c>
      <x:c r="B13" s="36" t="n">
        <x:v>51</x:v>
      </x:c>
      <x:c r="C13" s="16"/>
      <x:c r="D13" s="16"/>
    </x:row>
    <x:row r="14" ht="15" hidden="0" customHeight="1">
      <x:c r="A14" s="16"/>
      <x:c r="B14" s="16"/>
      <x:c r="C14" s="16"/>
      <x:c r="D14" s="16"/>
    </x:row>
    <x:row r="15" ht="15" hidden="0" customHeight="1">
      <x:c r="A15" s="64" t="str">
        <x:v>İŞÇİLİK NORMU</x:v>
      </x:c>
      <x:c r="B15" s="64" t="str">
        <x:v>DK/ADET</x:v>
      </x:c>
      <x:c r="C15" s="64" t="str">
        <x:v>ADET/PANO</x:v>
      </x:c>
      <x:c r="D15" s="64" t="str">
        <x:v>TOPLAM DK</x:v>
      </x:c>
    </x:row>
    <x:row r="16" ht="15" hidden="0" customHeight="1">
      <x:c r="A16" s="16" t="str">
        <x:v>Korpus hazırlığı</x:v>
      </x:c>
      <x:c r="B16" s="16" t="n">
        <x:v>60</x:v>
      </x:c>
      <x:c r="C16" s="16" t="n">
        <x:v>1</x:v>
      </x:c>
      <x:c r="D16" s="16" t="n">
        <x:f>B16*C16</x:f>
        <x:v>60</x:v>
      </x:c>
    </x:row>
    <x:row r="17" ht="15" hidden="0" customHeight="1">
      <x:c r="A17" s="16" t="str">
        <x:v>Otomat montajı</x:v>
      </x:c>
      <x:c r="B17" s="16" t="n">
        <x:v>4</x:v>
      </x:c>
      <x:c r="C17" s="16" t="n">
        <x:v>6</x:v>
      </x:c>
      <x:c r="D17" s="16" t="n">
        <x:f>B17*C17</x:f>
        <x:v>24</x:v>
      </x:c>
    </x:row>
    <x:row r="18" ht="15" hidden="0" customHeight="1">
      <x:c r="A18" s="16" t="str">
        <x:v>3P otomat ek kutup</x:v>
      </x:c>
      <x:c r="B18" s="16" t="n">
        <x:v>2</x:v>
      </x:c>
      <x:c r="C18" s="16" t="n">
        <x:v>6</x:v>
      </x:c>
      <x:c r="D18" s="16" t="n">
        <x:f>B18*C18</x:f>
        <x:v>12</x:v>
      </x:c>
    </x:row>
    <x:row r="19" ht="15" hidden="0" customHeight="1">
      <x:c r="A19" s="16" t="str">
        <x:v>GV2 montaj ve kablolama</x:v>
      </x:c>
      <x:c r="B19" s="16" t="n">
        <x:v>25</x:v>
      </x:c>
      <x:c r="C19" s="16" t="n">
        <x:v>1</x:v>
      </x:c>
      <x:c r="D19" s="16" t="n">
        <x:f>B19*C19</x:f>
        <x:v>25</x:v>
      </x:c>
    </x:row>
    <x:row r="20" ht="15" hidden="0" customHeight="1">
      <x:c r="A20" s="16" t="str">
        <x:v>Kontaktör montajı</x:v>
      </x:c>
      <x:c r="B20" s="16" t="n">
        <x:v>12</x:v>
      </x:c>
      <x:c r="C20" s="16" t="n">
        <x:v>5</x:v>
      </x:c>
      <x:c r="D20" s="16" t="n">
        <x:f>B20*C20</x:f>
        <x:v>60</x:v>
      </x:c>
    </x:row>
    <x:row r="21" ht="15" hidden="0" customHeight="1">
      <x:c r="A21" s="16" t="str">
        <x:v>Kapak sinyal lambası</x:v>
      </x:c>
      <x:c r="B21" s="16" t="n">
        <x:v>5</x:v>
      </x:c>
      <x:c r="C21" s="16" t="n">
        <x:v>3</x:v>
      </x:c>
      <x:c r="D21" s="16" t="n">
        <x:f>B21*C21</x:f>
        <x:v>15</x:v>
      </x:c>
    </x:row>
    <x:row r="22" ht="15" hidden="0" customHeight="1">
      <x:c r="A22" s="16" t="str">
        <x:v>Klemens montaj/etiket</x:v>
      </x:c>
      <x:c r="B22" s="16" t="n">
        <x:v>1.5</x:v>
      </x:c>
      <x:c r="C22" s="16" t="n">
        <x:v>51</x:v>
      </x:c>
      <x:c r="D22" s="16" t="n">
        <x:f>B22*C22</x:f>
        <x:v>76.5</x:v>
      </x:c>
    </x:row>
    <x:row r="23" ht="15" hidden="0" customHeight="1">
      <x:c r="A23" s="16" t="str">
        <x:v>DIN rayı / kanal / sarf</x:v>
      </x:c>
      <x:c r="B23" s="16" t="n">
        <x:v>3</x:v>
      </x:c>
      <x:c r="C23" s="16" t="n">
        <x:v>4</x:v>
      </x:c>
      <x:c r="D23" s="16" t="n">
        <x:f>B23*C23</x:f>
        <x:v>12</x:v>
      </x:c>
    </x:row>
    <x:row r="24" ht="15" hidden="0" customHeight="1">
      <x:c r="A24" s="33" t="str">
        <x:v>Ara toplam</x:v>
      </x:c>
      <x:c r="B24" s="33"/>
      <x:c r="C24" s="33"/>
      <x:c r="D24" s="33" t="n">
        <x:f>SUM(D16:D23)</x:f>
        <x:v>284.5</x:v>
      </x:c>
    </x:row>
    <x:row r="25" ht="15" hidden="0" customHeight="1">
      <x:c r="A25" s="33" t="str">
        <x:v>Test ve etiket dahil</x:v>
      </x:c>
      <x:c r="B25" s="33"/>
      <x:c r="C25" s="33"/>
      <x:c r="D25" s="33" t="n">
        <x:f>D24*$B$11</x:f>
        <x:v>327.17499999999995</x:v>
      </x:c>
    </x:row>
    <x:row r="26" ht="15" hidden="0" customHeight="1">
      <x:c r="A26" s="16"/>
      <x:c r="B26" s="16"/>
      <x:c r="C26" s="16"/>
      <x:c r="D26" s="16"/>
    </x:row>
    <x:row r="27" ht="15" hidden="0" customHeight="1">
      <x:c r="A27" s="16"/>
      <x:c r="B27" s="16"/>
      <x:c r="C27" s="16"/>
      <x:c r="D27" s="16"/>
    </x:row>
    <x:row r="28" ht="15" hidden="0" customHeight="1">
      <x:c r="A28" s="16"/>
      <x:c r="B28" s="16"/>
      <x:c r="C28" s="16"/>
      <x:c r="D28" s="16"/>
    </x:row>
    <x:row r="29" ht="15" hidden="0" customHeight="1">
      <x:c r="A29" s="16"/>
      <x:c r="B29" s="16"/>
      <x:c r="C29" s="16"/>
      <x:c r="D29" s="16"/>
    </x:row>
    <x:row r="30" ht="15" hidden="0" customHeight="1">
      <x:c r="A30" s="16"/>
      <x:c r="B30" s="16"/>
      <x:c r="C30" s="16"/>
      <x:c r="D30" s="16"/>
    </x:row>
    <x:row r="31" ht="15" hidden="0" customHeight="1">
      <x:c r="A31" s="16"/>
      <x:c r="B31" s="16"/>
      <x:c r="C31" s="16"/>
      <x:c r="D31" s="16"/>
    </x:row>
    <x:row r="32" ht="15" hidden="0" customHeight="1">
      <x:c r="A32" s="16"/>
      <x:c r="B32" s="16"/>
      <x:c r="C32" s="16"/>
      <x:c r="D32" s="16"/>
    </x:row>
    <x:row r="33" ht="15" hidden="0" customHeight="1">
      <x:c r="A33" s="16"/>
      <x:c r="B33" s="16"/>
      <x:c r="C33" s="16"/>
      <x:c r="D33" s="16"/>
    </x:row>
    <x:row r="34" ht="15" hidden="0" customHeight="1">
      <x:c r="A34" s="16"/>
      <x:c r="B34" s="16"/>
      <x:c r="C34" s="16"/>
      <x:c r="D34" s="16"/>
    </x:row>
    <x:row r="35" ht="15" hidden="0" customHeight="1">
      <x:c r="A35" s="16"/>
      <x:c r="B35" s="16"/>
      <x:c r="C35" s="16"/>
      <x:c r="D35" s="16"/>
    </x:row>
    <x:row r="36" ht="15" hidden="0" customHeight="1">
      <x:c r="A36" s="16"/>
      <x:c r="B36" s="16"/>
      <x:c r="C36" s="16"/>
      <x:c r="D36" s="16"/>
    </x:row>
    <x:row r="37" ht="15" hidden="0" customHeight="1">
      <x:c r="A37" s="16"/>
      <x:c r="B37" s="16"/>
      <x:c r="C37" s="16"/>
      <x:c r="D37" s="16"/>
    </x:row>
    <x:row r="38" ht="15" hidden="0" customHeight="1">
      <x:c r="A38" s="16"/>
      <x:c r="B38" s="16"/>
      <x:c r="C38" s="16"/>
      <x:c r="D38" s="16"/>
    </x:row>
    <x:row r="39" ht="15" hidden="0" customHeight="1">
      <x:c r="A39" s="16"/>
      <x:c r="B39" s="16"/>
      <x:c r="C39" s="16"/>
      <x:c r="D39" s="16"/>
    </x:row>
    <x:row r="40" ht="15" hidden="0" customHeight="1">
      <x:c r="A40" s="16"/>
      <x:c r="B40" s="16"/>
      <x:c r="C40" s="16"/>
      <x:c r="D40" s="16"/>
    </x:row>
    <x:row r="41" ht="15" hidden="0" customHeight="1">
      <x:c r="A41" s="16"/>
      <x:c r="B41" s="16"/>
      <x:c r="C41" s="16"/>
      <x:c r="D41" s="16"/>
    </x:row>
    <x:row r="42" ht="15" hidden="0" customHeight="1">
      <x:c r="A42" s="16" t="str">
        <x:v>DÖVİZ / MARKA</x:v>
      </x:c>
      <x:c r="B42" s="16" t="str">
        <x:v>DEĞER</x:v>
      </x:c>
      <x:c r="C42" s="16" t="str">
        <x:v>AÇIKLAMA</x:v>
      </x:c>
      <x:c r="D42" s="16"/>
    </x:row>
    <x:row r="43" ht="15" hidden="0" customHeight="1">
      <x:c r="A43" s="16" t="str">
        <x:v>TL/KZT</x:v>
      </x:c>
      <x:c r="B43" s="36" t="n">
        <x:v>10.9</x:v>
      </x:c>
      <x:c r="C43" s="16" t="str">
        <x:v>Dosyadaki fiyat listesi kuru</x:v>
      </x:c>
      <x:c r="D43" s="16"/>
    </x:row>
    <x:row r="44" ht="15" hidden="0" customHeight="1">
      <x:c r="A44" s="16" t="str">
        <x:v>EUR/KZT</x:v>
      </x:c>
      <x:c r="B44" s="36" t="n">
        <x:v>590</x:v>
      </x:c>
      <x:c r="C44" s="16" t="str">
        <x:v>Bilgi</x:v>
      </x:c>
      <x:c r="D44" s="16"/>
    </x:row>
    <x:row r="45" ht="15" hidden="0" customHeight="1">
      <x:c r="A45" s="16" t="str">
        <x:v>KZT</x:v>
      </x:c>
      <x:c r="B45" s="36" t="n">
        <x:v>1</x:v>
      </x:c>
      <x:c r="C45" s="16" t="str">
        <x:v>Baz</x:v>
      </x:c>
      <x:c r="D45" s="16"/>
    </x:row>
    <x:row r="46" ht="15" hidden="0" customHeight="1">
      <x:c r="A46" s="16" t="str"/>
      <x:c r="B46" s="36"/>
      <x:c r="C46" s="16" t="str"/>
      <x:c r="D46" s="16"/>
    </x:row>
    <x:row r="47" ht="15" hidden="0" customHeight="1">
      <x:c r="A47" s="16" t="str">
        <x:v>CHINT katsayı</x:v>
      </x:c>
      <x:c r="B47" s="36" t="n">
        <x:v>0.6</x:v>
      </x:c>
      <x:c r="C47" s="16" t="str">
        <x:v>Liste × 0,60</x:v>
      </x:c>
      <x:c r="D47" s="16"/>
    </x:row>
    <x:row r="48" ht="15" hidden="0" customHeight="1">
      <x:c r="A48" s="16" t="str">
        <x:v>SCHNEIDER katsayı</x:v>
      </x:c>
      <x:c r="B48" s="36" t="n">
        <x:v>0.6</x:v>
      </x:c>
      <x:c r="C48" s="16" t="str">
        <x:v>Kullanıcı onayı · Liste × 0,60</x:v>
      </x:c>
      <x:c r="D48" s="16"/>
    </x:row>
    <x:row r="49" ht="15" hidden="0" customHeight="1">
      <x:c r="A49" s="16" t="str">
        <x:v>EKT katsayı</x:v>
      </x:c>
      <x:c r="B49" s="36" t="n">
        <x:v>1</x:v>
      </x:c>
      <x:c r="C49" s="16" t="str">
        <x:v>Net KZT</x:v>
      </x:c>
      <x:c r="D49" s="16"/>
    </x:row>
    <x:row r="50" ht="15" hidden="0" customHeight="1">
      <x:c r="A50" s="16" t="str">
        <x:v>KAZTEK katsayı</x:v>
      </x:c>
      <x:c r="B50" s="36" t="n">
        <x:v>1</x:v>
      </x:c>
      <x:c r="C50" s="16" t="str">
        <x:v>Net KZT</x:v>
      </x:c>
      <x:c r="D50" s="16"/>
    </x:row>
    <x:row r="51" ht="15" hidden="0" customHeight="1">
      <x:c r="A51" s="16"/>
      <x:c r="B51" s="16"/>
      <x:c r="C51" s="16"/>
      <x:c r="D51" s="16"/>
    </x:row>
    <x:row r="52" ht="15" hidden="0" customHeight="1">
      <x:c r="A52" s="16"/>
      <x:c r="B52" s="16"/>
      <x:c r="C52" s="16"/>
      <x:c r="D52" s="16"/>
    </x:row>
    <x:row r="53" ht="15" hidden="0" customHeight="1">
      <x:c r="A53" s="64" t="str">
        <x:v>KONTROL / KARAR</x:v>
      </x:c>
      <x:c r="B53" s="64" t="str">
        <x:v>DURUM</x:v>
      </x:c>
      <x:c r="C53" s="64" t="str">
        <x:v>ETKİ</x:v>
      </x:c>
      <x:c r="D53" s="64" t="str">
        <x:v>NOT</x:v>
      </x:c>
    </x:row>
    <x:row r="54" ht="15" hidden="0" customHeight="1">
      <x:c r="A54" s="16" t="str">
        <x:v>Rezistans iki kademe</x:v>
      </x:c>
      <x:c r="B54" s="16" t="str">
        <x:v>ONAYLI</x:v>
      </x:c>
      <x:c r="C54" s="16" t="str">
        <x:v>2 MCB + 2 kontaktör</x:v>
      </x:c>
      <x:c r="D54" s="16" t="str">
        <x:v>Fotoğrafla uyumlu</x:v>
      </x:c>
    </x:row>
    <x:row r="55" ht="15" hidden="0" customHeight="1">
      <x:c r="A55" s="16" t="str">
        <x:v>Ana giriş otomatiği</x:v>
      </x:c>
      <x:c r="B55" s="16" t="str">
        <x:v>EKLENDİ</x:v>
      </x:c>
      <x:c r="C55" s="16" t="str">
        <x:v>C40 / C63 / C50</x:v>
      </x:c>
      <x:c r="D55" s="16" t="str">
        <x:v>Üst koruma ve kablo kesiti teyit</x:v>
      </x:c>
    </x:row>
    <x:row r="56" ht="15" hidden="0" customHeight="1">
      <x:c r="A56" s="16" t="str">
        <x:v>Fan motor koruma</x:v>
      </x:c>
      <x:c r="B56" s="16" t="str">
        <x:v>GV2</x:v>
      </x:c>
      <x:c r="C56" s="16" t="str">
        <x:v>GV2ME14 / GV2ME20</x:v>
      </x:c>
      <x:c r="D56" s="16" t="str">
        <x:v>8 kW motor etiketi &gt;18 A ise GV2ME21</x:v>
      </x:c>
    </x:row>
    <x:row r="57" ht="15" hidden="0" customHeight="1">
      <x:c r="A57" s="16" t="str">
        <x:v>Kumanda otomatikleri</x:v>
      </x:c>
      <x:c r="B57" s="16" t="str">
        <x:v>AYRI</x:v>
      </x:c>
      <x:c r="C57" s="16" t="str">
        <x:v>Lamba + çekvalf + termostat</x:v>
      </x:c>
      <x:c r="D57" s="16" t="str">
        <x:v>Fotoğrafla uyumlu</x:v>
      </x:c>
    </x:row>
    <x:row r="58" ht="15" hidden="0" customHeight="1">
      <x:c r="A58" s="16" t="str">
        <x:v>Kapak lambaları</x:v>
      </x:c>
      <x:c r="B58" s="16" t="str">
        <x:v>3 × KIRMIZI</x:v>
      </x:c>
      <x:c r="C58" s="16" t="str">
        <x:v>CHINT 593012</x:v>
      </x:c>
      <x:c r="D58" s="16" t="str">
        <x:v>Fotoğrafla uyumlu</x:v>
      </x:c>
    </x:row>
    <x:row r="59" ht="15" hidden="0" customHeight="1">
      <x:c r="A59" s="16" t="str">
        <x:v>Korpus</x:v>
      </x:c>
      <x:c r="B59" s="16" t="str">
        <x:v>714-15120</x:v>
      </x:c>
      <x:c r="C59" s="16" t="str">
        <x:v>650×500×220 IP54</x:v>
      </x:c>
      <x:c r="D59" s="16" t="str">
        <x:v>Yerleşim çizimiyle teyit</x:v>
      </x:c>
    </x:row>
    <x:row r="60" ht="15" hidden="0" customHeight="1">
      <x:c r="A60" s="16" t="str">
        <x:v>Klemens</x:v>
      </x:c>
      <x:c r="B60" s="16" t="str">
        <x:v>51 adet/pano</x:v>
      </x:c>
      <x:c r="C60" s="16" t="str">
        <x:v>Artikül ve adetli</x:v>
      </x:c>
      <x:c r="D60" s="16" t="str">
        <x:v>İki sıra fotoğrafla uyumlu</x:v>
      </x:c>
    </x:row>
    <x:row r="61" ht="15" hidden="0" customHeight="1">
      <x:c r="A61" s="16" t="str">
        <x:v>Kablo rakoru</x:v>
      </x:c>
      <x:c r="B61" s="16" t="str">
        <x:v>5 adet/pano</x:v>
      </x:c>
      <x:c r="C61" s="16" t="str">
        <x:v>Montaj sarfına dahil</x:v>
      </x:c>
      <x:c r="D61" s="16" t="str">
        <x:v>Çap sahada teyit</x:v>
      </x:c>
    </x:row>
    <x:row r="62" ht="15" hidden="0" customHeight="1">
      <x:c r="A62" s="16" t="str">
        <x:v>Kumanda gerilimi</x:v>
      </x:c>
      <x:c r="B62" s="16" t="str">
        <x:v>220/230 V AC</x:v>
      </x:c>
      <x:c r="C62" s="16" t="str">
        <x:v>M5 bobin</x:v>
      </x:c>
      <x:c r="D62" s="16" t="str">
        <x:v>Sahada teyit</x:v>
      </x:c>
    </x:row>
    <x:row r="63" ht="15" hidden="0" customHeight="1">
      <x:c r="A63" s="16" t="str">
        <x:v>Fiyat kodu</x:v>
      </x:c>
      <x:c r="B63" s="16" t="str">
        <x:v>A9F79 KZ/CIS</x:v>
      </x:c>
      <x:c r="C63" s="16" t="str">
        <x:v>A9F74 fiyat eşdeğeri</x:v>
      </x:c>
      <x:c r="D63" s="16" t="str">
        <x:v>Siparişte stok/fiyat teyidi</x:v>
      </x:c>
    </x:row>
    <x:row r="64" ht="15" hidden="0" customHeight="1">
      <x:c r="A64" s="16"/>
      <x:c r="B64" s="16"/>
      <x:c r="C64" s="16"/>
      <x:c r="D64" s="16"/>
    </x:row>
    <x:row r="65" ht="15" hidden="0" customHeight="1">
      <x:c r="A65" s="64" t="str">
        <x:v>FİYAT LİSTESİ YAŞI</x:v>
      </x:c>
      <x:c r="B65" s="64" t="str">
        <x:v>TARİH</x:v>
      </x:c>
      <x:c r="C65" s="64" t="str">
        <x:v>DURUM</x:v>
      </x:c>
      <x:c r="D65" s="64" t="str">
        <x:v>KURAL</x:v>
      </x:c>
    </x:row>
    <x:row r="66" ht="15" hidden="0" customHeight="1">
      <x:c r="A66" s="16" t="str">
        <x:v>Schneider</x:v>
      </x:c>
      <x:c r="B66" s="16" t="str">
        <x:v>2025-07-23</x:v>
      </x:c>
      <x:c r="C66" s="16" t="str">
        <x:v>UYARILI</x:v>
      </x:c>
      <x:c r="D66" s="16" t="str">
        <x:v>13 ay · teklif öncesi teyit</x:v>
      </x:c>
    </x:row>
    <x:row r="67" ht="15" hidden="0" customHeight="1">
      <x:c r="A67" s="16" t="str">
        <x:v>EKT</x:v>
      </x:c>
      <x:c r="B67" s="16" t="str">
        <x:v>2025-06-19</x:v>
      </x:c>
      <x:c r="C67" s="16" t="str">
        <x:v>UYARILI</x:v>
      </x:c>
      <x:c r="D67" s="16" t="str">
        <x:v>13 ay · teklif öncesi teyit</x:v>
      </x:c>
    </x:row>
    <x:row r="68" ht="15" hidden="0" customHeight="1">
      <x:c r="A68" s="16" t="str">
        <x:v>CHINT</x:v>
      </x:c>
      <x:c r="B68" s="16" t="str">
        <x:v>2026-06-13</x:v>
      </x:c>
      <x:c r="C68" s="16" t="str">
        <x:v>GÜNCEL</x:v>
      </x:c>
      <x:c r="D68" s="16" t="str">
        <x:v>Kullanılabilir</x:v>
      </x:c>
    </x:row>
    <x:row r="69" ht="15" hidden="0" customHeight="1">
      <x:c r="A69" s="16" t="str">
        <x:v>KAZTEK</x:v>
      </x:c>
      <x:c r="B69" s="16" t="str">
        <x:v>2026-07-15</x:v>
      </x:c>
      <x:c r="C69" s="16" t="str">
        <x:v>GÜNCEL</x:v>
      </x:c>
      <x:c r="D69" s="16" t="str">
        <x:v>Kullanılabilir</x:v>
      </x:c>
    </x:row>
    <x:row r="70" ht="15" hidden="0" customHeight="1">
      <x:c r="A70" s="17" t="str">
        <x:v>EKF / Klemsan / ONKA</x:v>
      </x:c>
      <x:c r="B70" s="17" t="str">
        <x:v>—</x:v>
      </x:c>
      <x:c r="C70" s="17" t="str">
        <x:v>YASAK</x:v>
      </x:c>
      <x:c r="D70" s="17" t="str">
        <x:v>Eski liste · fiyatlamada kullanılmaz</x:v>
      </x:c>
    </x:row>
  </x:sheetData>
  <x:mergeCells>
    <x:mergeCell ref="A1:D1"/>
  </x:mergeCells>
  <x:conditionalFormatting sqref="A54:D63">
    <x:cfRule type="containsText" dxfId="1" priority="1" operator="containsText" text="teyit"/>
  </x:conditionalFormatting>
  <x:conditionalFormatting sqref="A66:D70">
    <x:cfRule type="containsText" dxfId="2" priority="2" operator="containsText" text="YASA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15" hidden="0" customWidth="1"/>
    <x:col min="5" max="5" width="10" hidden="0" customWidth="1"/>
    <x:col min="6" max="6" width="12" hidden="0" customWidth="1"/>
    <x:col min="7" max="7" width="12" hidden="0" customWidth="1"/>
    <x:col min="8" max="8" width="50" hidden="0" customWidth="1"/>
  </x:cols>
  <x:sheetData>
    <x:row r="1">
      <x:c r="A1" s="4" t="str">
        <x:v>FİYAT KAYNAĞI · R4</x:v>
      </x:c>
      <x:c r="B1" s="4"/>
      <x:c r="C1" s="4"/>
      <x:c r="D1" s="4"/>
      <x:c r="E1" s="4"/>
      <x:c r="F1" s="4"/>
      <x:c r="G1" s="4"/>
      <x:c r="H1" s="4"/>
    </x:row>
    <x:row r="3" ht="15" hidden="0" customHeight="1">
      <x:c r="A3" s="53" t="str">
        <x:v>Marka</x:v>
      </x:c>
      <x:c r="B3" s="53" t="str">
        <x:v>Artikül</x:v>
      </x:c>
      <x:c r="C3" s="53" t="str">
        <x:v>Açıklama</x:v>
      </x:c>
      <x:c r="D3" s="53" t="str">
        <x:v>Liste</x:v>
      </x:c>
      <x:c r="E3" s="53" t="str">
        <x:v>Para</x:v>
      </x:c>
      <x:c r="F3" s="53" t="str">
        <x:v>Katsayı</x:v>
      </x:c>
      <x:c r="G3" s="53" t="str">
        <x:v>Kur</x:v>
      </x:c>
      <x:c r="H3" s="53" t="str">
        <x:v>Kaynak</x:v>
      </x:c>
    </x:row>
    <x:row r="4" ht="15" hidden="0" customHeight="1">
      <x:c r="A4" s="15" t="str">
        <x:v>CHINT</x:v>
      </x:c>
      <x:c r="B4" s="15" t="str">
        <x:v>570002</x:v>
      </x:c>
      <x:c r="C4" s="15" t="str">
        <x:v>DIN ray TH35 2000 mm</x:v>
      </x:c>
      <x:c r="D4" s="65" t="n">
        <x:v>2232</x:v>
      </x:c>
      <x:c r="E4" s="65" t="str">
        <x:v>KZT</x:v>
      </x:c>
      <x:c r="F4" s="65" t="n">
        <x:v>0.6</x:v>
      </x:c>
      <x:c r="G4" s="65" t="n">
        <x:v>1</x:v>
      </x:c>
      <x:c r="H4" s="15" t="str">
        <x:v>CHINT 13.06.2026</x:v>
      </x:c>
    </x:row>
    <x:row r="5" ht="15" hidden="0" customHeight="1">
      <x:c r="A5" s="16" t="str">
        <x:v>CHINT</x:v>
      </x:c>
      <x:c r="B5" s="16" t="str">
        <x:v>593012</x:v>
      </x:c>
      <x:c r="C5" s="16" t="str">
        <x:v>ND16-22DS/4 kırmızı AC230V</x:v>
      </x:c>
      <x:c r="D5" s="66" t="n">
        <x:v>836</x:v>
      </x:c>
      <x:c r="E5" s="66" t="str">
        <x:v>KZT</x:v>
      </x:c>
      <x:c r="F5" s="66" t="n">
        <x:v>0.6</x:v>
      </x:c>
      <x:c r="G5" s="66" t="n">
        <x:v>1</x:v>
      </x:c>
      <x:c r="H5" s="16" t="str">
        <x:v>CHINT 13.06.2026</x:v>
      </x:c>
    </x:row>
    <x:row r="6" ht="15" hidden="0" customHeight="1">
      <x:c r="A6" s="16" t="str">
        <x:v>KAZTEK</x:v>
      </x:c>
      <x:c r="B6" s="16" t="str">
        <x:v>714-15120</x:v>
      </x:c>
      <x:c r="C6" s="16" t="str">
        <x:v>ЩРн-3-2 PR 650×500×220 IP54</x:v>
      </x:c>
      <x:c r="D6" s="66" t="n">
        <x:v>29525</x:v>
      </x:c>
      <x:c r="E6" s="66" t="str">
        <x:v>KZT</x:v>
      </x:c>
      <x:c r="F6" s="66" t="n">
        <x:v>1</x:v>
      </x:c>
      <x:c r="G6" s="66" t="n">
        <x:v>1</x:v>
      </x:c>
      <x:c r="H6" s="16" t="str">
        <x:v>Kaztek 15.07.2026</x:v>
      </x:c>
    </x:row>
    <x:row r="7" ht="15" hidden="0" customHeight="1">
      <x:c r="A7" s="16" t="str">
        <x:v>SCHNEIDER</x:v>
      </x:c>
      <x:c r="B7" s="16" t="str">
        <x:v>A9F79340</x:v>
      </x:c>
      <x:c r="C7" s="16" t="str">
        <x:v>Acti9 iC60N 3P C40 6кА</x:v>
      </x:c>
      <x:c r="D7" s="66" t="n">
        <x:v>2247</x:v>
      </x:c>
      <x:c r="E7" s="66" t="str">
        <x:v>TL</x:v>
      </x:c>
      <x:c r="F7" s="66" t="n">
        <x:v>0.6</x:v>
      </x:c>
      <x:c r="G7" s="66" t="n">
        <x:v>10.9</x:v>
      </x:c>
      <x:c r="H7" s="16" t="str">
        <x:v>Schneider A9F74340 eşdeğer fiyatı · 23.07.2025</x:v>
      </x:c>
    </x:row>
    <x:row r="8" ht="15" hidden="0" customHeight="1">
      <x:c r="A8" s="16" t="str">
        <x:v>SCHNEIDER</x:v>
      </x:c>
      <x:c r="B8" s="16" t="str">
        <x:v>A9F79363</x:v>
      </x:c>
      <x:c r="C8" s="16" t="str">
        <x:v>Acti9 iC60N 3P C63 6кА</x:v>
      </x:c>
      <x:c r="D8" s="66" t="n">
        <x:v>3335</x:v>
      </x:c>
      <x:c r="E8" s="66" t="str">
        <x:v>TL</x:v>
      </x:c>
      <x:c r="F8" s="66" t="n">
        <x:v>0.6</x:v>
      </x:c>
      <x:c r="G8" s="66" t="n">
        <x:v>10.9</x:v>
      </x:c>
      <x:c r="H8" s="16" t="str">
        <x:v>Schneider A9F74363 eşdeğer fiyatı · 23.07.2025</x:v>
      </x:c>
    </x:row>
    <x:row r="9" ht="15" hidden="0" customHeight="1">
      <x:c r="A9" s="16" t="str">
        <x:v>SCHNEIDER</x:v>
      </x:c>
      <x:c r="B9" s="16" t="str">
        <x:v>A9F79350</x:v>
      </x:c>
      <x:c r="C9" s="16" t="str">
        <x:v>Acti9 iC60N 3P C50 6кА</x:v>
      </x:c>
      <x:c r="D9" s="66" t="n">
        <x:v>2836</x:v>
      </x:c>
      <x:c r="E9" s="66" t="str">
        <x:v>TL</x:v>
      </x:c>
      <x:c r="F9" s="66" t="n">
        <x:v>0.6</x:v>
      </x:c>
      <x:c r="G9" s="66" t="n">
        <x:v>10.9</x:v>
      </x:c>
      <x:c r="H9" s="16" t="str">
        <x:v>Schneider A9F74350 eşdeğer fiyatı · 23.07.2025</x:v>
      </x:c>
    </x:row>
    <x:row r="10" ht="15" hidden="0" customHeight="1">
      <x:c r="A10" s="16" t="str">
        <x:v>SCHNEIDER</x:v>
      </x:c>
      <x:c r="B10" s="16" t="str">
        <x:v>A9F79320</x:v>
      </x:c>
      <x:c r="C10" s="16" t="str">
        <x:v>Acti9 iC60N 3P C20 6кА</x:v>
      </x:c>
      <x:c r="D10" s="66" t="n">
        <x:v>1884</x:v>
      </x:c>
      <x:c r="E10" s="66" t="str">
        <x:v>TL</x:v>
      </x:c>
      <x:c r="F10" s="66" t="n">
        <x:v>0.6</x:v>
      </x:c>
      <x:c r="G10" s="66" t="n">
        <x:v>10.9</x:v>
      </x:c>
      <x:c r="H10" s="16" t="str">
        <x:v>Schneider A9F74320 eşdeğer fiyatı · 23.07.2025</x:v>
      </x:c>
    </x:row>
    <x:row r="11" ht="15" hidden="0" customHeight="1">
      <x:c r="A11" s="16" t="str">
        <x:v>SCHNEIDER</x:v>
      </x:c>
      <x:c r="B11" s="16" t="str">
        <x:v>A9F79325</x:v>
      </x:c>
      <x:c r="C11" s="16" t="str">
        <x:v>Acti9 iC60N 3P C25 6кА</x:v>
      </x:c>
      <x:c r="D11" s="66" t="n">
        <x:v>1884</x:v>
      </x:c>
      <x:c r="E11" s="66" t="str">
        <x:v>TL</x:v>
      </x:c>
      <x:c r="F11" s="66" t="n">
        <x:v>0.6</x:v>
      </x:c>
      <x:c r="G11" s="66" t="n">
        <x:v>10.9</x:v>
      </x:c>
      <x:c r="H11" s="16" t="str">
        <x:v>Schneider A9F74325 eşdeğer fiyatı · 23.07.2025</x:v>
      </x:c>
    </x:row>
    <x:row r="12" ht="15" hidden="0" customHeight="1">
      <x:c r="A12" s="16" t="str">
        <x:v>SCHNEIDER</x:v>
      </x:c>
      <x:c r="B12" s="16" t="str">
        <x:v>A9F79110</x:v>
      </x:c>
      <x:c r="C12" s="16" t="str">
        <x:v>Acti9 iC60N 1P C10 6кА</x:v>
      </x:c>
      <x:c r="D12" s="66" t="n">
        <x:v>446.8</x:v>
      </x:c>
      <x:c r="E12" s="66" t="str">
        <x:v>TL</x:v>
      </x:c>
      <x:c r="F12" s="66" t="n">
        <x:v>0.6</x:v>
      </x:c>
      <x:c r="G12" s="66" t="n">
        <x:v>10.9</x:v>
      </x:c>
      <x:c r="H12" s="16" t="str">
        <x:v>Schneider A9F74110 eşdeğer fiyatı · 23.07.2025</x:v>
      </x:c>
    </x:row>
    <x:row r="13" ht="15" hidden="0" customHeight="1">
      <x:c r="A13" s="16" t="str">
        <x:v>SCHNEIDER</x:v>
      </x:c>
      <x:c r="B13" s="16" t="str">
        <x:v>A9F79106</x:v>
      </x:c>
      <x:c r="C13" s="16" t="str">
        <x:v>Acti9 iC60N 1P C6 6кА</x:v>
      </x:c>
      <x:c r="D13" s="66" t="n">
        <x:v>446.8</x:v>
      </x:c>
      <x:c r="E13" s="66" t="str">
        <x:v>TL</x:v>
      </x:c>
      <x:c r="F13" s="66" t="n">
        <x:v>0.6</x:v>
      </x:c>
      <x:c r="G13" s="66" t="n">
        <x:v>10.9</x:v>
      </x:c>
      <x:c r="H13" s="16" t="str">
        <x:v>Schneider A9F74106 eşdeğer fiyatı · 23.07.2025</x:v>
      </x:c>
    </x:row>
    <x:row r="14" ht="15" hidden="0" customHeight="1">
      <x:c r="A14" s="16" t="str">
        <x:v>SCHNEIDER</x:v>
      </x:c>
      <x:c r="B14" s="16" t="str">
        <x:v>LC1E1810M5</x:v>
      </x:c>
      <x:c r="C14" s="16" t="str">
        <x:v>Easy TeSys kontaktör 18A 220V AC</x:v>
      </x:c>
      <x:c r="D14" s="66" t="n">
        <x:v>1628</x:v>
      </x:c>
      <x:c r="E14" s="66" t="str">
        <x:v>TL</x:v>
      </x:c>
      <x:c r="F14" s="66" t="n">
        <x:v>0.6</x:v>
      </x:c>
      <x:c r="G14" s="66" t="n">
        <x:v>10.9</x:v>
      </x:c>
      <x:c r="H14" s="16" t="str">
        <x:v>Schneider TR 23.07.2025 s.064</x:v>
      </x:c>
    </x:row>
    <x:row r="15" ht="15" hidden="0" customHeight="1">
      <x:c r="A15" s="16" t="str">
        <x:v>SCHNEIDER</x:v>
      </x:c>
      <x:c r="B15" s="16" t="str">
        <x:v>LC1E2510M5</x:v>
      </x:c>
      <x:c r="C15" s="16" t="str">
        <x:v>Easy TeSys kontaktör 25A 220V AC</x:v>
      </x:c>
      <x:c r="D15" s="66" t="n">
        <x:v>2182</x:v>
      </x:c>
      <x:c r="E15" s="66" t="str">
        <x:v>TL</x:v>
      </x:c>
      <x:c r="F15" s="66" t="n">
        <x:v>0.6</x:v>
      </x:c>
      <x:c r="G15" s="66" t="n">
        <x:v>10.9</x:v>
      </x:c>
      <x:c r="H15" s="16" t="str">
        <x:v>Schneider TR 23.07.2025 s.064</x:v>
      </x:c>
    </x:row>
    <x:row r="16" ht="15" hidden="0" customHeight="1">
      <x:c r="A16" s="16" t="str">
        <x:v>SCHNEIDER</x:v>
      </x:c>
      <x:c r="B16" s="16" t="str">
        <x:v>LC1E0910M5</x:v>
      </x:c>
      <x:c r="C16" s="16" t="str">
        <x:v>Easy TeSys kontaktör 9A 220V AC</x:v>
      </x:c>
      <x:c r="D16" s="66" t="n">
        <x:v>1217</x:v>
      </x:c>
      <x:c r="E16" s="66" t="str">
        <x:v>TL</x:v>
      </x:c>
      <x:c r="F16" s="66" t="n">
        <x:v>0.6</x:v>
      </x:c>
      <x:c r="G16" s="66" t="n">
        <x:v>10.9</x:v>
      </x:c>
      <x:c r="H16" s="16" t="str">
        <x:v>Schneider TR 23.07.2025 s.064</x:v>
      </x:c>
    </x:row>
    <x:row r="17" ht="15" hidden="0" customHeight="1">
      <x:c r="A17" s="16" t="str">
        <x:v>SCHNEIDER</x:v>
      </x:c>
      <x:c r="B17" s="16" t="str">
        <x:v>LC1E0610M5</x:v>
      </x:c>
      <x:c r="C17" s="16" t="str">
        <x:v>Easy TeSys kontaktör 6A 220V AC</x:v>
      </x:c>
      <x:c r="D17" s="66" t="n">
        <x:v>1154</x:v>
      </x:c>
      <x:c r="E17" s="66" t="str">
        <x:v>TL</x:v>
      </x:c>
      <x:c r="F17" s="66" t="n">
        <x:v>0.6</x:v>
      </x:c>
      <x:c r="G17" s="66" t="n">
        <x:v>10.9</x:v>
      </x:c>
      <x:c r="H17" s="16" t="str">
        <x:v>Schneider TR 23.07.2025 s.064</x:v>
      </x:c>
    </x:row>
    <x:row r="18" ht="15" hidden="0" customHeight="1">
      <x:c r="A18" s="16" t="str">
        <x:v>SCHNEIDER</x:v>
      </x:c>
      <x:c r="B18" s="16" t="str">
        <x:v>GV2ME14</x:v>
      </x:c>
      <x:c r="C18" s="16" t="str">
        <x:v>TeSys GV2 6…10A</x:v>
      </x:c>
      <x:c r="D18" s="66" t="n">
        <x:v>3634</x:v>
      </x:c>
      <x:c r="E18" s="66" t="str">
        <x:v>TL</x:v>
      </x:c>
      <x:c r="F18" s="66" t="n">
        <x:v>0.6</x:v>
      </x:c>
      <x:c r="G18" s="66" t="n">
        <x:v>10.9</x:v>
      </x:c>
      <x:c r="H18" s="16" t="str">
        <x:v>Schneider TR fiyat listesi</x:v>
      </x:c>
    </x:row>
    <x:row r="19" ht="15" hidden="0" customHeight="1">
      <x:c r="A19" s="16" t="str">
        <x:v>SCHNEIDER</x:v>
      </x:c>
      <x:c r="B19" s="16" t="str">
        <x:v>GV2ME20</x:v>
      </x:c>
      <x:c r="C19" s="16" t="str">
        <x:v>TeSys GV2 13…18A</x:v>
      </x:c>
      <x:c r="D19" s="66" t="n">
        <x:v>4163</x:v>
      </x:c>
      <x:c r="E19" s="66" t="str">
        <x:v>TL</x:v>
      </x:c>
      <x:c r="F19" s="66" t="n">
        <x:v>0.6</x:v>
      </x:c>
      <x:c r="G19" s="66" t="n">
        <x:v>10.9</x:v>
      </x:c>
      <x:c r="H19" s="16" t="str">
        <x:v>Schneider TR fiyat listesi · motor etiketi teyit</x:v>
      </x:c>
    </x:row>
    <x:row r="20" ht="15" hidden="0" customHeight="1">
      <x:c r="A20" s="16" t="str">
        <x:v>EKT</x:v>
      </x:c>
      <x:c r="B20" s="16" t="str">
        <x:v>130301157_</x:v>
      </x:c>
      <x:c r="C20" s="16" t="str">
        <x:v>UNIT ЗНИ 16мм² gri</x:v>
      </x:c>
      <x:c r="D20" s="66" t="n">
        <x:v>235</x:v>
      </x:c>
      <x:c r="E20" s="66" t="str">
        <x:v>KZT</x:v>
      </x:c>
      <x:c r="F20" s="66" t="n">
        <x:v>1</x:v>
      </x:c>
      <x:c r="G20" s="66" t="n">
        <x:v>1</x:v>
      </x:c>
      <x:c r="H20" s="16" t="str">
        <x:v>EKT 19.06.2025</x:v>
      </x:c>
    </x:row>
    <x:row r="21" ht="15" hidden="0" customHeight="1">
      <x:c r="A21" s="16" t="str">
        <x:v>EKT</x:v>
      </x:c>
      <x:c r="B21" s="16" t="str">
        <x:v>130301158_</x:v>
      </x:c>
      <x:c r="C21" s="16" t="str">
        <x:v>UNIT ЗНИ 16мм² mavi</x:v>
      </x:c>
      <x:c r="D21" s="66" t="n">
        <x:v>269</x:v>
      </x:c>
      <x:c r="E21" s="66" t="str">
        <x:v>KZT</x:v>
      </x:c>
      <x:c r="F21" s="66" t="n">
        <x:v>1</x:v>
      </x:c>
      <x:c r="G21" s="66" t="n">
        <x:v>1</x:v>
      </x:c>
      <x:c r="H21" s="16" t="str">
        <x:v>EKT 19.06.2025</x:v>
      </x:c>
    </x:row>
    <x:row r="22" ht="15" hidden="0" customHeight="1">
      <x:c r="A22" s="16" t="str">
        <x:v>EKT</x:v>
      </x:c>
      <x:c r="B22" s="16" t="str">
        <x:v>130300227_</x:v>
      </x:c>
      <x:c r="C22" s="16" t="str">
        <x:v>ЗНИ 10PEN 10мм² PE</x:v>
      </x:c>
      <x:c r="D22" s="66" t="n">
        <x:v>155</x:v>
      </x:c>
      <x:c r="E22" s="66" t="str">
        <x:v>KZT</x:v>
      </x:c>
      <x:c r="F22" s="66" t="n">
        <x:v>1</x:v>
      </x:c>
      <x:c r="G22" s="66" t="n">
        <x:v>1</x:v>
      </x:c>
      <x:c r="H22" s="16" t="str">
        <x:v>EKT 19.06.2025</x:v>
      </x:c>
    </x:row>
    <x:row r="23" ht="15" hidden="0" customHeight="1">
      <x:c r="A23" s="16" t="str">
        <x:v>EKT</x:v>
      </x:c>
      <x:c r="B23" s="16" t="str">
        <x:v>130301154_</x:v>
      </x:c>
      <x:c r="C23" s="16" t="str">
        <x:v>UNIT ЗНИ 6мм² gri</x:v>
      </x:c>
      <x:c r="D23" s="66" t="n">
        <x:v>111</x:v>
      </x:c>
      <x:c r="E23" s="66" t="str">
        <x:v>KZT</x:v>
      </x:c>
      <x:c r="F23" s="66" t="n">
        <x:v>1</x:v>
      </x:c>
      <x:c r="G23" s="66" t="n">
        <x:v>1</x:v>
      </x:c>
      <x:c r="H23" s="16" t="str">
        <x:v>EKT 19.06.2025</x:v>
      </x:c>
    </x:row>
    <x:row r="24" ht="15" hidden="0" customHeight="1">
      <x:c r="A24" s="16" t="str">
        <x:v>EKT</x:v>
      </x:c>
      <x:c r="B24" s="16" t="str">
        <x:v>130301153_</x:v>
      </x:c>
      <x:c r="C24" s="16" t="str">
        <x:v>UNIT ЗНИ 4мм² gri</x:v>
      </x:c>
      <x:c r="D24" s="66" t="n">
        <x:v>90</x:v>
      </x:c>
      <x:c r="E24" s="66" t="str">
        <x:v>KZT</x:v>
      </x:c>
      <x:c r="F24" s="66" t="n">
        <x:v>1</x:v>
      </x:c>
      <x:c r="G24" s="66" t="n">
        <x:v>1</x:v>
      </x:c>
      <x:c r="H24" s="16" t="str">
        <x:v>EKT 19.06.2025</x:v>
      </x:c>
    </x:row>
    <x:row r="25" ht="15" hidden="0" customHeight="1">
      <x:c r="A25" s="16" t="str">
        <x:v>EKT</x:v>
      </x:c>
      <x:c r="B25" s="16" t="str">
        <x:v>130301152_</x:v>
      </x:c>
      <x:c r="C25" s="16" t="str">
        <x:v>UNIT ЗНИ 2,5мм² gri</x:v>
      </x:c>
      <x:c r="D25" s="66" t="n">
        <x:v>90</x:v>
      </x:c>
      <x:c r="E25" s="66" t="str">
        <x:v>KZT</x:v>
      </x:c>
      <x:c r="F25" s="66" t="n">
        <x:v>1</x:v>
      </x:c>
      <x:c r="G25" s="66" t="n">
        <x:v>1</x:v>
      </x:c>
      <x:c r="H25" s="16" t="str">
        <x:v>EKT 19.06.2025</x:v>
      </x:c>
    </x:row>
    <x:row r="26" ht="15" hidden="0" customHeight="1">
      <x:c r="A26" s="16" t="str">
        <x:v>EKT</x:v>
      </x:c>
      <x:c r="B26" s="16" t="str">
        <x:v>280100020_</x:v>
      </x:c>
      <x:c r="C26" s="16" t="str">
        <x:v>Kablo kanalı 40×40 2000 mm</x:v>
      </x:c>
      <x:c r="D26" s="66" t="n">
        <x:v>1486</x:v>
      </x:c>
      <x:c r="E26" s="66" t="str">
        <x:v>KZT</x:v>
      </x:c>
      <x:c r="F26" s="66" t="n">
        <x:v>1</x:v>
      </x:c>
      <x:c r="G26" s="66" t="n">
        <x:v>1</x:v>
      </x:c>
      <x:c r="H26" s="16" t="str">
        <x:v>EKT 19.06.2025</x:v>
      </x:c>
    </x:row>
    <x:row r="27" ht="15" hidden="0" customHeight="1">
      <x:c r="A27" s="17" t="str">
        <x:v>EKT</x:v>
      </x:c>
      <x:c r="B27" s="17" t="str">
        <x:v>270300079_</x:v>
      </x:c>
      <x:c r="C27" s="17" t="str">
        <x:v>Kablo kanalı 25×40 2000 mm</x:v>
      </x:c>
      <x:c r="D27" s="67" t="n">
        <x:v>1094</x:v>
      </x:c>
      <x:c r="E27" s="67" t="str">
        <x:v>KZT</x:v>
      </x:c>
      <x:c r="F27" s="67" t="n">
        <x:v>1</x:v>
      </x:c>
      <x:c r="G27" s="67" t="n">
        <x:v>1</x:v>
      </x:c>
      <x:c r="H27" s="17" t="str">
        <x:v>EKT 19.06.2025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48" hidden="0" customWidth="1"/>
  </x:cols>
  <x:sheetData>
    <x:row r="1">
      <x:c r="A1" s="4" t="str">
        <x:v>R4 QA KONTROLÜ</x:v>
      </x:c>
      <x:c r="B1" s="4"/>
      <x:c r="C1" s="4"/>
      <x:c r="D1" s="4"/>
    </x:row>
    <x:row r="3" ht="15" hidden="0" customHeight="1">
      <x:c r="A3" s="53" t="str">
        <x:v>KONTROL</x:v>
      </x:c>
      <x:c r="B3" s="53" t="str">
        <x:v>DEĞER</x:v>
      </x:c>
      <x:c r="C3" s="53" t="str">
        <x:v>SONUÇ</x:v>
      </x:c>
      <x:c r="D3" s="53" t="str">
        <x:v>NOT</x:v>
      </x:c>
    </x:row>
    <x:row r="4" ht="15" hidden="0" customHeight="1">
      <x:c r="A4" s="54" t="str">
        <x:v>Schneider katsayısı</x:v>
      </x:c>
      <x:c r="B4" s="54" t="n">
        <x:f>'Kurallar'!B48</x:f>
        <x:v>0.6</x:v>
      </x:c>
      <x:c r="C4" s="54" t="str">
        <x:f>IF(B4=0.6,"OK","HATA")</x:f>
        <x:v>OK</x:v>
      </x:c>
      <x:c r="D4" s="54" t="str">
        <x:v>0,60 olmalı</x:v>
      </x:c>
    </x:row>
    <x:row r="5" ht="15" hidden="0" customHeight="1">
      <x:c r="A5" s="54" t="str">
        <x:v>Canlı işçilik (dk/pano)</x:v>
      </x:c>
      <x:c r="B5" s="54" t="n">
        <x:f>'Kurallar'!D25</x:f>
        <x:v>327.17499999999995</x:v>
      </x:c>
      <x:c r="C5" s="54" t="str">
        <x:f>IF(B5=327.175,"OK","HATA")</x:f>
        <x:v>OK</x:v>
      </x:c>
      <x:c r="D5" s="54" t="str">
        <x:v>Norm tablosundan</x:v>
      </x:c>
    </x:row>
    <x:row r="6" ht="15" hidden="0" customHeight="1">
      <x:c r="A6" s="54" t="str">
        <x:v>Test/etiket katsayısı</x:v>
      </x:c>
      <x:c r="B6" s="54" t="n">
        <x:f>'Kurallar'!B11</x:f>
        <x:v>1.15</x:v>
      </x:c>
      <x:c r="C6" s="54" t="str">
        <x:f>IF(B6=1.15,"OK","HATA")</x:f>
        <x:v>OK</x:v>
      </x:c>
      <x:c r="D6" s="54" t="str">
        <x:v>1,15 olmalı</x:v>
      </x:c>
    </x:row>
    <x:row r="7" ht="15" hidden="0" customHeight="1">
      <x:c r="A7" s="54" t="str">
        <x:v>EKT + KAZTEK bağlantısı</x:v>
      </x:c>
      <x:c r="B7" s="54" t="n">
        <x:f>'Kurallar'!B49+'Kurallar'!B50</x:f>
        <x:v>2</x:v>
      </x:c>
      <x:c r="C7" s="54" t="str">
        <x:f>IF(B7=2,"OK","HATA")</x:f>
        <x:v>OK</x:v>
      </x:c>
      <x:c r="D7" s="54" t="str">
        <x:v>İki katsayı da formülde</x:v>
      </x:c>
    </x:row>
    <x:row r="8" ht="15" hidden="0" customHeight="1">
      <x:c r="A8" s="54" t="str">
        <x:v>Sıfır/boş liste fiyatı</x:v>
      </x:c>
      <x:c r="B8" s="54" t="n">
        <x:f>COUNTIF('FIYAT_KAYNAK'!D4:D27,0)</x:f>
        <x:v>0</x:v>
      </x:c>
      <x:c r="C8" s="54" t="str">
        <x:f>IF(B8=0,"OK","HATA")</x:f>
        <x:v>OK</x:v>
      </x:c>
      <x:c r="D8" s="54" t="str">
        <x:v>0 adet olmalı</x:v>
      </x:c>
    </x:row>
    <x:row r="9" ht="15" hidden="0" customHeight="1">
      <x:c r="A9" s="54" t="str">
        <x:v>SATINALMA malzeme toplamı</x:v>
      </x:c>
      <x:c r="B9" s="55" t="n">
        <x:f>'SATINALMA'!H28</x:f>
        <x:v>2630205.06</x:v>
      </x:c>
      <x:c r="C9" s="54" t="str">
        <x:f>IF(ABS(B9-(SUM('BOM'!H3:H23)*4+SUM('BOM'!H28:H48)*10+SUM('BOM'!H53:H73)*1))&lt;0.01,"OK","HATA")</x:f>
        <x:v>OK</x:v>
      </x:c>
      <x:c r="D9" s="54" t="str">
        <x:v>BOM ile mutabakat</x:v>
      </x:c>
    </x:row>
    <x:row r="10" ht="15" hidden="0" customHeight="1">
      <x:c r="A10" s="54" t="str">
        <x:v>BOM genel toplamı</x:v>
      </x:c>
      <x:c r="B10" s="55" t="n">
        <x:f>'BOM'!H77</x:f>
        <x:v>3199873.7117999992</x:v>
      </x:c>
      <x:c r="C10" s="54" t="str">
        <x:f>IF(B10&gt;B9,"OK","HATA")</x:f>
        <x:v>OK</x:v>
      </x:c>
      <x:c r="D10" s="54" t="str">
        <x:v>15 pano</x:v>
      </x:c>
    </x:row>
    <x:row r="11" ht="15" hidden="0" customHeight="1">
      <x:c r="A11" s="54" t="str">
        <x:v>Klemens toplamı</x:v>
      </x:c>
      <x:c r="B11" s="54" t="n">
        <x:v>765</x:v>
      </x:c>
      <x:c r="C11" s="54" t="str">
        <x:f>IF(B11=765,"OK","HATA")</x:f>
        <x:v>OK</x:v>
      </x:c>
      <x:c r="D11" s="54" t="str">
        <x:v>51 × 15</x:v>
      </x:c>
    </x:row>
    <x:row r="12" ht="15" hidden="0" customHeight="1">
      <x:c r="A12" s="69" t="str">
        <x:v>8 kW motor koruması</x:v>
      </x:c>
      <x:c r="B12" s="69" t="str">
        <x:v>GV2ME20</x:v>
      </x:c>
      <x:c r="C12" s="69" t="str">
        <x:v>KONTROL</x:v>
      </x:c>
      <x:c r="D12" s="69" t="str">
        <x:v>Etiket akımı &gt;18 A ise GV2ME21</x:v>
      </x:c>
    </x:row>
  </x:sheetData>
  <x:mergeCells>
    <x:mergeCell ref="A1:D1"/>
  </x:mergeCells>
  <x:conditionalFormatting sqref="A4:D11">
    <x:cfRule type="containsText" dxfId="3" priority="1" operator="containsText" text="HATA"/>
    <x:cfRule type="containsText" dxfId="4" priority="2" operator="containsText" text="OK"/>
  </x:conditionalFormatting>
  <x:pageMargins left="0.7" right="0.7" top="0.75" bottom="0.75" header="0.3" footer="0.3"/>
</x:worksheet>
</file>