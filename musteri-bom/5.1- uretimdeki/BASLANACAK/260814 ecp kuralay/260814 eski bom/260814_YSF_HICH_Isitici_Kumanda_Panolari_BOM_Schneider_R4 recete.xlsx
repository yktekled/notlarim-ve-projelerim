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7339EAEE-532C-460C-B1C5-6C6383AFCF6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BOM!$A$1:$K$69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1" l="1"/>
  <c r="G64" i="1"/>
  <c r="G62" i="1"/>
  <c r="G61" i="1"/>
  <c r="G60" i="1"/>
  <c r="G59" i="1"/>
  <c r="G58" i="1"/>
  <c r="G57" i="1"/>
  <c r="G55" i="1"/>
  <c r="G54" i="1"/>
  <c r="G53" i="1"/>
  <c r="G52" i="1"/>
  <c r="G51" i="1"/>
  <c r="G50" i="1"/>
  <c r="G49" i="1"/>
  <c r="G48" i="1"/>
  <c r="G42" i="1"/>
  <c r="G41" i="1"/>
  <c r="G39" i="1"/>
  <c r="G38" i="1"/>
  <c r="G37" i="1"/>
  <c r="G36" i="1"/>
  <c r="G35" i="1"/>
  <c r="G34" i="1"/>
  <c r="G32" i="1"/>
  <c r="G31" i="1"/>
  <c r="G30" i="1"/>
  <c r="G29" i="1"/>
  <c r="G28" i="1"/>
  <c r="G27" i="1"/>
  <c r="G26" i="1"/>
  <c r="G25" i="1"/>
  <c r="G19" i="1"/>
  <c r="G18" i="1"/>
  <c r="G16" i="1"/>
  <c r="G15" i="1"/>
  <c r="G14" i="1"/>
  <c r="G13" i="1"/>
  <c r="G12" i="1"/>
  <c r="G11" i="1"/>
  <c r="G9" i="1"/>
  <c r="G8" i="1"/>
  <c r="G7" i="1"/>
  <c r="G6" i="1"/>
  <c r="G5" i="1"/>
  <c r="G4" i="1"/>
  <c r="G63" i="1"/>
  <c r="G56" i="1"/>
  <c r="G47" i="1"/>
  <c r="G40" i="1"/>
  <c r="G33" i="1"/>
  <c r="G24" i="1"/>
  <c r="G17" i="1"/>
  <c r="G10" i="1"/>
  <c r="G3" i="1"/>
  <c r="H30" i="1" l="1"/>
  <c r="H48" i="1"/>
  <c r="H10" i="1"/>
  <c r="H56" i="1"/>
  <c r="H33" i="1"/>
  <c r="H54" i="1"/>
  <c r="H31" i="1"/>
  <c r="H6" i="1"/>
  <c r="H52" i="1"/>
  <c r="H29" i="1"/>
  <c r="H7" i="1"/>
  <c r="H53" i="1"/>
  <c r="H11" i="1"/>
  <c r="H57" i="1"/>
  <c r="H34" i="1"/>
  <c r="H59" i="1"/>
  <c r="H13" i="1"/>
  <c r="H36" i="1"/>
  <c r="H19" i="1"/>
  <c r="H65" i="1"/>
  <c r="H42" i="1"/>
  <c r="H39" i="1"/>
  <c r="H16" i="1"/>
  <c r="H62" i="1"/>
  <c r="H63" i="1"/>
  <c r="H17" i="1"/>
  <c r="H40" i="1"/>
  <c r="H24" i="1"/>
  <c r="H47" i="1"/>
  <c r="H25" i="1"/>
  <c r="H27" i="1"/>
  <c r="H50" i="1"/>
  <c r="H28" i="1"/>
  <c r="H51" i="1"/>
  <c r="H5" i="1"/>
  <c r="H35" i="1"/>
  <c r="H12" i="1"/>
  <c r="H58" i="1"/>
  <c r="H67" i="1"/>
  <c r="H8" i="1"/>
  <c r="H14" i="1"/>
  <c r="H60" i="1"/>
  <c r="H37" i="1"/>
  <c r="H44" i="1"/>
  <c r="H18" i="1"/>
  <c r="H64" i="1"/>
  <c r="H41" i="1"/>
  <c r="H4" i="1"/>
  <c r="H49" i="1"/>
  <c r="H32" i="1"/>
  <c r="H9" i="1"/>
  <c r="H55" i="1"/>
  <c r="H15" i="1"/>
  <c r="H61" i="1"/>
  <c r="H38" i="1"/>
  <c r="H26" i="1"/>
  <c r="H66" i="1" l="1"/>
  <c r="H68" i="1" s="1"/>
  <c r="H3" i="1"/>
  <c r="H43" i="1"/>
  <c r="H45" i="1" s="1"/>
  <c r="H21" i="1"/>
  <c r="H20" i="1" l="1"/>
  <c r="H22" i="1" l="1"/>
  <c r="H69" i="1" l="1"/>
</calcChain>
</file>

<file path=xl/sharedStrings.xml><?xml version="1.0" encoding="utf-8"?>
<sst xmlns="http://schemas.openxmlformats.org/spreadsheetml/2006/main" count="323" uniqueCount="81">
  <si>
    <t>ROW</t>
  </si>
  <si>
    <t>Наименование1</t>
  </si>
  <si>
    <t>Тип</t>
  </si>
  <si>
    <t>Артикул</t>
  </si>
  <si>
    <t>Номенклатура</t>
  </si>
  <si>
    <t>Цена (лист)</t>
  </si>
  <si>
    <t>Цена нетто KZT</t>
  </si>
  <si>
    <t>Сумма KZT</t>
  </si>
  <si>
    <t>Кол-во</t>
  </si>
  <si>
    <t>Ед.изм.</t>
  </si>
  <si>
    <t>Завод</t>
  </si>
  <si>
    <t>ЩУ-1 (нагрев 20 кВт + вентилятор 3 кВт)</t>
  </si>
  <si>
    <t>комплект</t>
  </si>
  <si>
    <t>korpus</t>
  </si>
  <si>
    <t>шт</t>
  </si>
  <si>
    <t>KAZTEK</t>
  </si>
  <si>
    <t>OTO</t>
  </si>
  <si>
    <t>SCHNEIDER</t>
  </si>
  <si>
    <t>A9F79320</t>
  </si>
  <si>
    <t>Автоматический выключатель Acti9 iC60N 3P 20A, характеристика C, 6кА — нагреватель, ступени 1 и 2</t>
  </si>
  <si>
    <t>Motor Koruma</t>
  </si>
  <si>
    <t>A9F79110</t>
  </si>
  <si>
    <t>Автоматический выключатель Acti9 iC60N 1P 10A, характеристика C, 6кА — освещение</t>
  </si>
  <si>
    <t>A9F79106</t>
  </si>
  <si>
    <t>Автоматический выключатель Acti9 iC60N 1P 6A, характеристика C, 6кА — обратный клапан и цепь термостата/управления</t>
  </si>
  <si>
    <t>kontaktör</t>
  </si>
  <si>
    <t>LC1E1810M5</t>
  </si>
  <si>
    <t>Контактор Easy TeSys LC1E1810M5 3P, катушка 220В AC 50Гц — ступени нагревателя 1 и 2 (10 кВт каждая)</t>
  </si>
  <si>
    <t>LC1E0910M5</t>
  </si>
  <si>
    <t>Контактор Easy TeSys LC1E0910M5 3P, катушка 220В AC 50Гц — вентилятор 3 кВт</t>
  </si>
  <si>
    <t>LC1E0610M5</t>
  </si>
  <si>
    <t>Контактор Easy TeSys LC1E0610M5 3P 6A, катушка 220В AC 50Гц — реле освещения и реле обратного клапана</t>
  </si>
  <si>
    <t>Sinyal Lambası</t>
  </si>
  <si>
    <t>593012</t>
  </si>
  <si>
    <t>Индикатор ND16-22DS/4 красный АС230В, Ø22 мм, на дверь</t>
  </si>
  <si>
    <t>CHINT</t>
  </si>
  <si>
    <t>Klemens</t>
  </si>
  <si>
    <t>130301157_</t>
  </si>
  <si>
    <t>ЗНИ 16мм² (100А) серый UNIT — ввод L1/L2/L3</t>
  </si>
  <si>
    <t>EKT</t>
  </si>
  <si>
    <t>130301158_</t>
  </si>
  <si>
    <t>ЗНИ 16мм² (100А) синий UNIT — ввод N</t>
  </si>
  <si>
    <t>130300227_</t>
  </si>
  <si>
    <t>ЗНИ 10PEN 10мм² (JXB-земля) IEK E-PRO — шина PE</t>
  </si>
  <si>
    <t>130301154_</t>
  </si>
  <si>
    <t>ЗНИ 6мм² серый UNIT — выход на нагреватели (2 ступени × 4)</t>
  </si>
  <si>
    <t>130301153_</t>
  </si>
  <si>
    <t>ЗНИ 4мм² (35А) серый UNIT — выход на вентилятор</t>
  </si>
  <si>
    <t>130301152_</t>
  </si>
  <si>
    <t>ЗНИ 2.5мм² (24А) серый UNIT — цепи управления, лампа, обратный клапан, термостат, резерв</t>
  </si>
  <si>
    <t>montajный материал</t>
  </si>
  <si>
    <t>570002</t>
  </si>
  <si>
    <t>DIN-рейка оцинкованная TH35-7.5, длина 2000 мм</t>
  </si>
  <si>
    <t>280100020_</t>
  </si>
  <si>
    <t>Кабель-канал перфорированный 40х40 ИМПАКТ IEK, длина 2000 мм</t>
  </si>
  <si>
    <t>270300079_</t>
  </si>
  <si>
    <t>Кабель-канал перфорированный 25х40 ИМПАКТ IEK, длина 2000 мм</t>
  </si>
  <si>
    <t>Монтажные материалы (крепёж, маркировка, наконечники)</t>
  </si>
  <si>
    <t>montajная работа</t>
  </si>
  <si>
    <t>Сборка щита (норма времени, см. лист «Kurallar»)</t>
  </si>
  <si>
    <t>мин</t>
  </si>
  <si>
    <t>Toplam ЩУ-1 (нагрев 20 кВт + вентилятор 3 кВт)</t>
  </si>
  <si>
    <t>ЩУ-2 (нагрев 26 кВт + вентилятор 8 кВт)</t>
  </si>
  <si>
    <t>A9F79363</t>
  </si>
  <si>
    <t>Автоматический выключатель Acti9 iC60N 3P 63A, характеристика C, 6кА — вводной</t>
  </si>
  <si>
    <t>A9F79325</t>
  </si>
  <si>
    <t>Автоматический выключатель Acti9 iC60N 3P 25A, характеристика C, 6кА — нагреватель, ступени 1 и 2</t>
  </si>
  <si>
    <t>GV2ME20</t>
  </si>
  <si>
    <t>Автоматический выключатель защиты двигателя TeSys GV2ME20 3P, диапазон уставки 13...18 А — вентилятор 8 кВт, тепловая + магнитная защита</t>
  </si>
  <si>
    <t>LC1E2510M5</t>
  </si>
  <si>
    <t>Контактор Easy TeSys LC1E2510M5 3P, катушка 220В AC 50Гц — ступени нагревателя 1 и 2 (13 кВт каждая)</t>
  </si>
  <si>
    <t>Контактор Easy TeSys LC1E2510M5 3P, катушка 220В AC 50Гц — вентилятор 8 кВт</t>
  </si>
  <si>
    <t>Toplam ЩУ-2 (нагрев 26 кВт + вентилятор 8 кВт)</t>
  </si>
  <si>
    <t>ЩУ-3 (нагрев 22 кВт + вентилятор 8 кВт)</t>
  </si>
  <si>
    <t>A9F79350</t>
  </si>
  <si>
    <t>Автоматический выключатель Acti9 iC60N 3P 50A, характеристика C, 6кА — вводной</t>
  </si>
  <si>
    <t>Контактор Easy TeSys LC1E1810M5 3P, катушка 220В AC 50Гц — ступени нагревателя 1 и 2 (11 кВт каждая)</t>
  </si>
  <si>
    <t>Toplam ЩУ-3 (нагрев 22 кВт + вентилятор 8 кВт)</t>
  </si>
  <si>
    <t>GENEL TOPLAM (tüm panolar, komplekt adedi dahil)</t>
  </si>
  <si>
    <t>719-15</t>
  </si>
  <si>
    <t>Мет. ЩМП-3 (650х500х220) IP54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</si>
</sst>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3" fillId="4" borderId="1" xfId="0" applyFont="1" applyFill="1" applyBorder="1"/>
    <xf numFmtId="0" fontId="0" fillId="3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3" fillId="3" borderId="1" xfId="0" applyNumberFormat="1" applyFont="1" applyFill="1" applyBorder="1"/>
    <xf numFmtId="0" fontId="0" fillId="0" borderId="1" xfId="0" applyBorder="1"/>
    <xf numFmtId="0" fontId="3" fillId="0" borderId="1" xfId="0" applyFont="1" applyBorder="1"/>
    <xf numFmtId="3" fontId="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zoomScaleNormal="100" workbookViewId="0">
      <pane ySplit="1" topLeftCell="A2" activePane="bottomLeft" state="frozen"/>
      <selection pane="bottomLeft" activeCell="H48" sqref="H48:I48"/>
    </sheetView>
  </sheetViews>
  <sheetFormatPr defaultColWidth="8.7109375" defaultRowHeight="15" x14ac:dyDescent="0.25"/>
  <cols>
    <col min="1" max="1" width="6" customWidth="1"/>
    <col min="2" max="2" width="20" customWidth="1"/>
    <col min="3" max="3" width="18" customWidth="1"/>
    <col min="4" max="4" width="16" customWidth="1"/>
    <col min="5" max="5" width="104.7109375" customWidth="1"/>
    <col min="6" max="6" width="13" customWidth="1"/>
    <col min="7" max="8" width="15" customWidth="1"/>
    <col min="9" max="10" width="10" customWidth="1"/>
    <col min="11" max="11" width="12" customWidth="1"/>
  </cols>
  <sheetData>
    <row r="1" spans="1:11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2">
        <v>1</v>
      </c>
      <c r="B2" s="3" t="s">
        <v>11</v>
      </c>
      <c r="C2" s="4"/>
      <c r="D2" s="4"/>
      <c r="E2" s="5" t="s">
        <v>11</v>
      </c>
      <c r="F2" s="4"/>
      <c r="G2" s="4"/>
      <c r="H2" s="4"/>
      <c r="I2" s="5">
        <v>4</v>
      </c>
      <c r="J2" s="5" t="s">
        <v>12</v>
      </c>
      <c r="K2" s="4"/>
    </row>
    <row r="3" spans="1:11" ht="15" customHeight="1" x14ac:dyDescent="0.25">
      <c r="A3" s="6">
        <v>2</v>
      </c>
      <c r="B3" s="6"/>
      <c r="C3" s="6" t="s">
        <v>13</v>
      </c>
      <c r="D3" s="6" t="s">
        <v>79</v>
      </c>
      <c r="E3" s="6" t="s">
        <v>80</v>
      </c>
      <c r="F3" s="7">
        <v>29525</v>
      </c>
      <c r="G3" s="8">
        <f>0.6*F3</f>
        <v>17715</v>
      </c>
      <c r="H3" s="8">
        <f t="shared" ref="H3:H19" si="0">IF(OR(G3="",I3=""),"",G3*I3)</f>
        <v>17715</v>
      </c>
      <c r="I3" s="9">
        <v>1</v>
      </c>
      <c r="J3" s="6" t="s">
        <v>14</v>
      </c>
      <c r="K3" s="6" t="s">
        <v>15</v>
      </c>
    </row>
    <row r="4" spans="1:11" ht="15" customHeight="1" x14ac:dyDescent="0.25">
      <c r="A4" s="6">
        <v>4</v>
      </c>
      <c r="B4" s="6"/>
      <c r="C4" s="6" t="s">
        <v>16</v>
      </c>
      <c r="D4" s="6" t="s">
        <v>18</v>
      </c>
      <c r="E4" s="6" t="s">
        <v>19</v>
      </c>
      <c r="F4" s="7">
        <v>1884</v>
      </c>
      <c r="G4" s="8">
        <f>F4</f>
        <v>1884</v>
      </c>
      <c r="H4" s="8">
        <f t="shared" si="0"/>
        <v>3768</v>
      </c>
      <c r="I4" s="9">
        <v>2</v>
      </c>
      <c r="J4" s="6" t="s">
        <v>14</v>
      </c>
      <c r="K4" s="6" t="s">
        <v>17</v>
      </c>
    </row>
    <row r="5" spans="1:11" ht="15" customHeight="1" x14ac:dyDescent="0.25">
      <c r="A5" s="6">
        <v>6</v>
      </c>
      <c r="B5" s="6"/>
      <c r="C5" s="6" t="s">
        <v>16</v>
      </c>
      <c r="D5" s="6" t="s">
        <v>21</v>
      </c>
      <c r="E5" s="6" t="s">
        <v>22</v>
      </c>
      <c r="F5" s="7">
        <v>446.8</v>
      </c>
      <c r="G5" s="8">
        <f t="shared" ref="G5:G9" si="1">F5</f>
        <v>446.8</v>
      </c>
      <c r="H5" s="8">
        <f t="shared" si="0"/>
        <v>446.8</v>
      </c>
      <c r="I5" s="9">
        <v>1</v>
      </c>
      <c r="J5" s="6" t="s">
        <v>14</v>
      </c>
      <c r="K5" s="6" t="s">
        <v>17</v>
      </c>
    </row>
    <row r="6" spans="1:11" ht="15" customHeight="1" x14ac:dyDescent="0.25">
      <c r="A6" s="6">
        <v>7</v>
      </c>
      <c r="B6" s="6"/>
      <c r="C6" s="6" t="s">
        <v>16</v>
      </c>
      <c r="D6" s="6" t="s">
        <v>23</v>
      </c>
      <c r="E6" s="6" t="s">
        <v>24</v>
      </c>
      <c r="F6" s="7">
        <v>446.8</v>
      </c>
      <c r="G6" s="8">
        <f t="shared" si="1"/>
        <v>446.8</v>
      </c>
      <c r="H6" s="8">
        <f t="shared" si="0"/>
        <v>893.6</v>
      </c>
      <c r="I6" s="9">
        <v>2</v>
      </c>
      <c r="J6" s="6" t="s">
        <v>14</v>
      </c>
      <c r="K6" s="6" t="s">
        <v>17</v>
      </c>
    </row>
    <row r="7" spans="1:11" ht="15" customHeight="1" x14ac:dyDescent="0.25">
      <c r="A7" s="6">
        <v>8</v>
      </c>
      <c r="B7" s="6"/>
      <c r="C7" s="6" t="s">
        <v>25</v>
      </c>
      <c r="D7" s="6" t="s">
        <v>26</v>
      </c>
      <c r="E7" s="6" t="s">
        <v>27</v>
      </c>
      <c r="F7" s="7">
        <v>1628</v>
      </c>
      <c r="G7" s="8">
        <f t="shared" si="1"/>
        <v>1628</v>
      </c>
      <c r="H7" s="8">
        <f t="shared" si="0"/>
        <v>3256</v>
      </c>
      <c r="I7" s="9">
        <v>2</v>
      </c>
      <c r="J7" s="6" t="s">
        <v>14</v>
      </c>
      <c r="K7" s="6" t="s">
        <v>17</v>
      </c>
    </row>
    <row r="8" spans="1:11" ht="15" customHeight="1" x14ac:dyDescent="0.25">
      <c r="A8" s="6">
        <v>9</v>
      </c>
      <c r="B8" s="6"/>
      <c r="C8" s="6" t="s">
        <v>25</v>
      </c>
      <c r="D8" s="6" t="s">
        <v>28</v>
      </c>
      <c r="E8" s="6" t="s">
        <v>29</v>
      </c>
      <c r="F8" s="7">
        <v>1217</v>
      </c>
      <c r="G8" s="8">
        <f t="shared" si="1"/>
        <v>1217</v>
      </c>
      <c r="H8" s="8">
        <f t="shared" si="0"/>
        <v>1217</v>
      </c>
      <c r="I8" s="9">
        <v>1</v>
      </c>
      <c r="J8" s="6" t="s">
        <v>14</v>
      </c>
      <c r="K8" s="6" t="s">
        <v>17</v>
      </c>
    </row>
    <row r="9" spans="1:11" ht="15" customHeight="1" x14ac:dyDescent="0.25">
      <c r="A9" s="6">
        <v>10</v>
      </c>
      <c r="B9" s="6"/>
      <c r="C9" s="6" t="s">
        <v>25</v>
      </c>
      <c r="D9" s="6" t="s">
        <v>30</v>
      </c>
      <c r="E9" s="6" t="s">
        <v>31</v>
      </c>
      <c r="F9" s="7">
        <v>1154</v>
      </c>
      <c r="G9" s="8">
        <f t="shared" si="1"/>
        <v>1154</v>
      </c>
      <c r="H9" s="8">
        <f t="shared" si="0"/>
        <v>2308</v>
      </c>
      <c r="I9" s="9">
        <v>2</v>
      </c>
      <c r="J9" s="6" t="s">
        <v>14</v>
      </c>
      <c r="K9" s="6" t="s">
        <v>17</v>
      </c>
    </row>
    <row r="10" spans="1:11" ht="15" customHeight="1" x14ac:dyDescent="0.25">
      <c r="A10" s="6">
        <v>11</v>
      </c>
      <c r="B10" s="6"/>
      <c r="C10" s="6" t="s">
        <v>32</v>
      </c>
      <c r="D10" s="6" t="s">
        <v>33</v>
      </c>
      <c r="E10" s="6" t="s">
        <v>34</v>
      </c>
      <c r="F10" s="7">
        <v>836</v>
      </c>
      <c r="G10" s="8">
        <f>0.6*F10</f>
        <v>501.59999999999997</v>
      </c>
      <c r="H10" s="8">
        <f t="shared" si="0"/>
        <v>1504.8</v>
      </c>
      <c r="I10" s="9">
        <v>3</v>
      </c>
      <c r="J10" s="6" t="s">
        <v>14</v>
      </c>
      <c r="K10" s="6" t="s">
        <v>35</v>
      </c>
    </row>
    <row r="11" spans="1:11" ht="15" customHeight="1" x14ac:dyDescent="0.25">
      <c r="A11" s="6">
        <v>12</v>
      </c>
      <c r="B11" s="6"/>
      <c r="C11" s="6" t="s">
        <v>36</v>
      </c>
      <c r="D11" s="6" t="s">
        <v>37</v>
      </c>
      <c r="E11" s="6" t="s">
        <v>38</v>
      </c>
      <c r="F11" s="7">
        <v>235</v>
      </c>
      <c r="G11" s="8">
        <f t="shared" ref="G11:G16" si="2">F11</f>
        <v>235</v>
      </c>
      <c r="H11" s="8">
        <f t="shared" si="0"/>
        <v>705</v>
      </c>
      <c r="I11" s="9">
        <v>3</v>
      </c>
      <c r="J11" s="6" t="s">
        <v>14</v>
      </c>
      <c r="K11" s="6" t="s">
        <v>39</v>
      </c>
    </row>
    <row r="12" spans="1:11" ht="15" customHeight="1" x14ac:dyDescent="0.25">
      <c r="A12" s="6">
        <v>13</v>
      </c>
      <c r="B12" s="6"/>
      <c r="C12" s="6" t="s">
        <v>36</v>
      </c>
      <c r="D12" s="6" t="s">
        <v>40</v>
      </c>
      <c r="E12" s="6" t="s">
        <v>41</v>
      </c>
      <c r="F12" s="7">
        <v>269</v>
      </c>
      <c r="G12" s="8">
        <f t="shared" si="2"/>
        <v>269</v>
      </c>
      <c r="H12" s="8">
        <f t="shared" si="0"/>
        <v>269</v>
      </c>
      <c r="I12" s="9">
        <v>1</v>
      </c>
      <c r="J12" s="6" t="s">
        <v>14</v>
      </c>
      <c r="K12" s="6" t="s">
        <v>39</v>
      </c>
    </row>
    <row r="13" spans="1:11" ht="15" customHeight="1" x14ac:dyDescent="0.25">
      <c r="A13" s="6">
        <v>14</v>
      </c>
      <c r="B13" s="6"/>
      <c r="C13" s="6" t="s">
        <v>36</v>
      </c>
      <c r="D13" s="6" t="s">
        <v>42</v>
      </c>
      <c r="E13" s="6" t="s">
        <v>43</v>
      </c>
      <c r="F13" s="7">
        <v>155</v>
      </c>
      <c r="G13" s="8">
        <f t="shared" si="2"/>
        <v>155</v>
      </c>
      <c r="H13" s="8">
        <f t="shared" si="0"/>
        <v>775</v>
      </c>
      <c r="I13" s="9">
        <v>5</v>
      </c>
      <c r="J13" s="6" t="s">
        <v>14</v>
      </c>
      <c r="K13" s="6" t="s">
        <v>39</v>
      </c>
    </row>
    <row r="14" spans="1:11" ht="15" customHeight="1" x14ac:dyDescent="0.25">
      <c r="A14" s="6">
        <v>15</v>
      </c>
      <c r="B14" s="6"/>
      <c r="C14" s="6" t="s">
        <v>36</v>
      </c>
      <c r="D14" s="6" t="s">
        <v>44</v>
      </c>
      <c r="E14" s="6" t="s">
        <v>45</v>
      </c>
      <c r="F14" s="7">
        <v>111</v>
      </c>
      <c r="G14" s="8">
        <f t="shared" si="2"/>
        <v>111</v>
      </c>
      <c r="H14" s="8">
        <f t="shared" si="0"/>
        <v>888</v>
      </c>
      <c r="I14" s="9">
        <v>8</v>
      </c>
      <c r="J14" s="6" t="s">
        <v>14</v>
      </c>
      <c r="K14" s="6" t="s">
        <v>39</v>
      </c>
    </row>
    <row r="15" spans="1:11" ht="15" customHeight="1" x14ac:dyDescent="0.25">
      <c r="A15" s="6">
        <v>16</v>
      </c>
      <c r="B15" s="6"/>
      <c r="C15" s="6" t="s">
        <v>36</v>
      </c>
      <c r="D15" s="6" t="s">
        <v>46</v>
      </c>
      <c r="E15" s="6" t="s">
        <v>47</v>
      </c>
      <c r="F15" s="7">
        <v>90</v>
      </c>
      <c r="G15" s="8">
        <f t="shared" si="2"/>
        <v>90</v>
      </c>
      <c r="H15" s="8">
        <f t="shared" si="0"/>
        <v>360</v>
      </c>
      <c r="I15" s="9">
        <v>4</v>
      </c>
      <c r="J15" s="6" t="s">
        <v>14</v>
      </c>
      <c r="K15" s="6" t="s">
        <v>39</v>
      </c>
    </row>
    <row r="16" spans="1:11" ht="15" customHeight="1" x14ac:dyDescent="0.25">
      <c r="A16" s="6">
        <v>17</v>
      </c>
      <c r="B16" s="6"/>
      <c r="C16" s="6" t="s">
        <v>36</v>
      </c>
      <c r="D16" s="6" t="s">
        <v>48</v>
      </c>
      <c r="E16" s="6" t="s">
        <v>49</v>
      </c>
      <c r="F16" s="7">
        <v>90</v>
      </c>
      <c r="G16" s="8">
        <f t="shared" si="2"/>
        <v>90</v>
      </c>
      <c r="H16" s="8">
        <f t="shared" si="0"/>
        <v>2700</v>
      </c>
      <c r="I16" s="9">
        <v>30</v>
      </c>
      <c r="J16" s="6" t="s">
        <v>14</v>
      </c>
      <c r="K16" s="6" t="s">
        <v>39</v>
      </c>
    </row>
    <row r="17" spans="1:11" ht="15" customHeight="1" x14ac:dyDescent="0.25">
      <c r="A17" s="6">
        <v>18</v>
      </c>
      <c r="B17" s="6"/>
      <c r="C17" s="6" t="s">
        <v>50</v>
      </c>
      <c r="D17" s="6" t="s">
        <v>51</v>
      </c>
      <c r="E17" s="6" t="s">
        <v>52</v>
      </c>
      <c r="F17" s="7">
        <v>2232</v>
      </c>
      <c r="G17" s="8">
        <f>0.6*F17</f>
        <v>1339.2</v>
      </c>
      <c r="H17" s="8">
        <f t="shared" si="0"/>
        <v>1339.2</v>
      </c>
      <c r="I17" s="9">
        <v>1</v>
      </c>
      <c r="J17" s="6" t="s">
        <v>14</v>
      </c>
      <c r="K17" s="6" t="s">
        <v>35</v>
      </c>
    </row>
    <row r="18" spans="1:11" ht="15" customHeight="1" x14ac:dyDescent="0.25">
      <c r="A18" s="6">
        <v>19</v>
      </c>
      <c r="B18" s="6"/>
      <c r="C18" s="6" t="s">
        <v>50</v>
      </c>
      <c r="D18" s="6" t="s">
        <v>53</v>
      </c>
      <c r="E18" s="6" t="s">
        <v>54</v>
      </c>
      <c r="F18" s="7">
        <v>1486</v>
      </c>
      <c r="G18" s="8">
        <f t="shared" ref="G18:G19" si="3">F18</f>
        <v>1486</v>
      </c>
      <c r="H18" s="8">
        <f t="shared" si="0"/>
        <v>2972</v>
      </c>
      <c r="I18" s="9">
        <v>2</v>
      </c>
      <c r="J18" s="6" t="s">
        <v>14</v>
      </c>
      <c r="K18" s="6" t="s">
        <v>39</v>
      </c>
    </row>
    <row r="19" spans="1:11" ht="15" customHeight="1" x14ac:dyDescent="0.25">
      <c r="A19" s="6">
        <v>20</v>
      </c>
      <c r="B19" s="6"/>
      <c r="C19" s="6" t="s">
        <v>50</v>
      </c>
      <c r="D19" s="6" t="s">
        <v>55</v>
      </c>
      <c r="E19" s="6" t="s">
        <v>56</v>
      </c>
      <c r="F19" s="7">
        <v>1094</v>
      </c>
      <c r="G19" s="8">
        <f t="shared" si="3"/>
        <v>1094</v>
      </c>
      <c r="H19" s="8">
        <f t="shared" si="0"/>
        <v>1094</v>
      </c>
      <c r="I19" s="9">
        <v>1</v>
      </c>
      <c r="J19" s="6" t="s">
        <v>14</v>
      </c>
      <c r="K19" s="6" t="s">
        <v>39</v>
      </c>
    </row>
    <row r="20" spans="1:11" ht="15" customHeight="1" x14ac:dyDescent="0.25">
      <c r="A20" s="6">
        <v>21</v>
      </c>
      <c r="B20" s="6"/>
      <c r="C20" s="6" t="s">
        <v>50</v>
      </c>
      <c r="D20" s="6"/>
      <c r="E20" s="6" t="s">
        <v>57</v>
      </c>
      <c r="F20" s="6"/>
      <c r="G20" s="8"/>
      <c r="H20" s="8">
        <f>G20*I20</f>
        <v>0</v>
      </c>
      <c r="I20" s="8">
        <v>1</v>
      </c>
      <c r="J20" s="6" t="s">
        <v>14</v>
      </c>
      <c r="K20" s="6" t="s">
        <v>50</v>
      </c>
    </row>
    <row r="21" spans="1:11" ht="15" customHeight="1" x14ac:dyDescent="0.25">
      <c r="A21" s="6">
        <v>22</v>
      </c>
      <c r="B21" s="6"/>
      <c r="C21" s="6" t="s">
        <v>58</v>
      </c>
      <c r="D21" s="6"/>
      <c r="E21" s="6" t="s">
        <v>59</v>
      </c>
      <c r="F21" s="10">
        <v>5.2612499999999995</v>
      </c>
      <c r="G21" s="8">
        <v>100</v>
      </c>
      <c r="H21" s="8">
        <f>G21*I21</f>
        <v>31567.499999999996</v>
      </c>
      <c r="I21" s="8">
        <v>315.67499999999995</v>
      </c>
      <c r="J21" s="6" t="s">
        <v>60</v>
      </c>
      <c r="K21" s="6" t="s">
        <v>58</v>
      </c>
    </row>
    <row r="22" spans="1:11" ht="15" customHeight="1" x14ac:dyDescent="0.25">
      <c r="A22" s="2"/>
      <c r="B22" s="5" t="s">
        <v>61</v>
      </c>
      <c r="C22" s="4"/>
      <c r="D22" s="4"/>
      <c r="E22" s="4"/>
      <c r="F22" s="4"/>
      <c r="G22" s="4"/>
      <c r="H22" s="11">
        <f>SUBTOTAL(9,H3:H21)</f>
        <v>73778.899999999994</v>
      </c>
      <c r="I22" s="5">
        <v>4</v>
      </c>
      <c r="J22" s="5"/>
      <c r="K22" s="4"/>
    </row>
    <row r="23" spans="1:11" ht="15" customHeight="1" x14ac:dyDescent="0.25">
      <c r="A23" s="2">
        <v>23</v>
      </c>
      <c r="B23" s="3" t="s">
        <v>62</v>
      </c>
      <c r="C23" s="4"/>
      <c r="D23" s="4"/>
      <c r="E23" s="5" t="s">
        <v>62</v>
      </c>
      <c r="F23" s="4"/>
      <c r="G23" s="4"/>
      <c r="H23" s="4"/>
      <c r="I23" s="5">
        <v>10</v>
      </c>
      <c r="J23" s="5" t="s">
        <v>12</v>
      </c>
      <c r="K23" s="4"/>
    </row>
    <row r="24" spans="1:11" ht="15" customHeight="1" x14ac:dyDescent="0.25">
      <c r="A24" s="6">
        <v>24</v>
      </c>
      <c r="B24" s="6"/>
      <c r="C24" s="6" t="s">
        <v>13</v>
      </c>
      <c r="D24" s="6" t="s">
        <v>79</v>
      </c>
      <c r="E24" s="6" t="s">
        <v>80</v>
      </c>
      <c r="F24" s="7">
        <v>29525</v>
      </c>
      <c r="G24" s="8">
        <f>0.6*F24</f>
        <v>17715</v>
      </c>
      <c r="H24" s="8">
        <f t="shared" ref="H24:H42" si="4">IF(OR(G24="",I24=""),"",G24*I24)</f>
        <v>17715</v>
      </c>
      <c r="I24" s="9">
        <v>1</v>
      </c>
      <c r="J24" s="6" t="s">
        <v>14</v>
      </c>
      <c r="K24" s="6" t="s">
        <v>15</v>
      </c>
    </row>
    <row r="25" spans="1:11" ht="15" customHeight="1" x14ac:dyDescent="0.25">
      <c r="A25" s="6">
        <v>25</v>
      </c>
      <c r="B25" s="6"/>
      <c r="C25" s="6" t="s">
        <v>16</v>
      </c>
      <c r="D25" s="6" t="s">
        <v>63</v>
      </c>
      <c r="E25" s="6" t="s">
        <v>64</v>
      </c>
      <c r="F25" s="7">
        <v>3335</v>
      </c>
      <c r="G25" s="8">
        <f t="shared" ref="G25:G32" si="5">F25</f>
        <v>3335</v>
      </c>
      <c r="H25" s="8">
        <f t="shared" si="4"/>
        <v>3335</v>
      </c>
      <c r="I25" s="9">
        <v>1</v>
      </c>
      <c r="J25" s="6" t="s">
        <v>14</v>
      </c>
      <c r="K25" s="6" t="s">
        <v>17</v>
      </c>
    </row>
    <row r="26" spans="1:11" ht="15" customHeight="1" x14ac:dyDescent="0.25">
      <c r="A26" s="6">
        <v>26</v>
      </c>
      <c r="B26" s="6"/>
      <c r="C26" s="6" t="s">
        <v>16</v>
      </c>
      <c r="D26" s="6" t="s">
        <v>65</v>
      </c>
      <c r="E26" s="6" t="s">
        <v>66</v>
      </c>
      <c r="F26" s="7">
        <v>1884</v>
      </c>
      <c r="G26" s="8">
        <f t="shared" si="5"/>
        <v>1884</v>
      </c>
      <c r="H26" s="8">
        <f t="shared" si="4"/>
        <v>3768</v>
      </c>
      <c r="I26" s="9">
        <v>2</v>
      </c>
      <c r="J26" s="6" t="s">
        <v>14</v>
      </c>
      <c r="K26" s="6" t="s">
        <v>17</v>
      </c>
    </row>
    <row r="27" spans="1:11" ht="15" customHeight="1" x14ac:dyDescent="0.25">
      <c r="A27" s="6">
        <v>27</v>
      </c>
      <c r="B27" s="6"/>
      <c r="C27" s="6" t="s">
        <v>20</v>
      </c>
      <c r="D27" s="6" t="s">
        <v>67</v>
      </c>
      <c r="E27" s="6" t="s">
        <v>68</v>
      </c>
      <c r="F27" s="7">
        <v>4163</v>
      </c>
      <c r="G27" s="8">
        <f t="shared" si="5"/>
        <v>4163</v>
      </c>
      <c r="H27" s="8">
        <f t="shared" si="4"/>
        <v>4163</v>
      </c>
      <c r="I27" s="9">
        <v>1</v>
      </c>
      <c r="J27" s="6" t="s">
        <v>14</v>
      </c>
      <c r="K27" s="6" t="s">
        <v>17</v>
      </c>
    </row>
    <row r="28" spans="1:11" ht="15" customHeight="1" x14ac:dyDescent="0.25">
      <c r="A28" s="6">
        <v>28</v>
      </c>
      <c r="B28" s="6"/>
      <c r="C28" s="6" t="s">
        <v>16</v>
      </c>
      <c r="D28" s="6" t="s">
        <v>21</v>
      </c>
      <c r="E28" s="6" t="s">
        <v>22</v>
      </c>
      <c r="F28" s="7">
        <v>446.8</v>
      </c>
      <c r="G28" s="8">
        <f t="shared" si="5"/>
        <v>446.8</v>
      </c>
      <c r="H28" s="8">
        <f t="shared" si="4"/>
        <v>446.8</v>
      </c>
      <c r="I28" s="9">
        <v>1</v>
      </c>
      <c r="J28" s="6" t="s">
        <v>14</v>
      </c>
      <c r="K28" s="6" t="s">
        <v>17</v>
      </c>
    </row>
    <row r="29" spans="1:11" ht="15" customHeight="1" x14ac:dyDescent="0.25">
      <c r="A29" s="6">
        <v>29</v>
      </c>
      <c r="B29" s="6"/>
      <c r="C29" s="6" t="s">
        <v>16</v>
      </c>
      <c r="D29" s="6" t="s">
        <v>23</v>
      </c>
      <c r="E29" s="6" t="s">
        <v>24</v>
      </c>
      <c r="F29" s="7">
        <v>446.8</v>
      </c>
      <c r="G29" s="8">
        <f t="shared" si="5"/>
        <v>446.8</v>
      </c>
      <c r="H29" s="8">
        <f t="shared" si="4"/>
        <v>893.6</v>
      </c>
      <c r="I29" s="9">
        <v>2</v>
      </c>
      <c r="J29" s="6" t="s">
        <v>14</v>
      </c>
      <c r="K29" s="6" t="s">
        <v>17</v>
      </c>
    </row>
    <row r="30" spans="1:11" ht="15" customHeight="1" x14ac:dyDescent="0.25">
      <c r="A30" s="6">
        <v>30</v>
      </c>
      <c r="B30" s="6"/>
      <c r="C30" s="6" t="s">
        <v>25</v>
      </c>
      <c r="D30" s="6" t="s">
        <v>69</v>
      </c>
      <c r="E30" s="6" t="s">
        <v>70</v>
      </c>
      <c r="F30" s="7">
        <v>2182</v>
      </c>
      <c r="G30" s="8">
        <f t="shared" si="5"/>
        <v>2182</v>
      </c>
      <c r="H30" s="8">
        <f t="shared" si="4"/>
        <v>4364</v>
      </c>
      <c r="I30" s="9">
        <v>2</v>
      </c>
      <c r="J30" s="6" t="s">
        <v>14</v>
      </c>
      <c r="K30" s="6" t="s">
        <v>17</v>
      </c>
    </row>
    <row r="31" spans="1:11" ht="15" customHeight="1" x14ac:dyDescent="0.25">
      <c r="A31" s="6">
        <v>31</v>
      </c>
      <c r="B31" s="6"/>
      <c r="C31" s="6" t="s">
        <v>25</v>
      </c>
      <c r="D31" s="6" t="s">
        <v>69</v>
      </c>
      <c r="E31" s="6" t="s">
        <v>71</v>
      </c>
      <c r="F31" s="7">
        <v>2182</v>
      </c>
      <c r="G31" s="8">
        <f t="shared" si="5"/>
        <v>2182</v>
      </c>
      <c r="H31" s="8">
        <f t="shared" si="4"/>
        <v>2182</v>
      </c>
      <c r="I31" s="9">
        <v>1</v>
      </c>
      <c r="J31" s="6" t="s">
        <v>14</v>
      </c>
      <c r="K31" s="6" t="s">
        <v>17</v>
      </c>
    </row>
    <row r="32" spans="1:11" ht="15" customHeight="1" x14ac:dyDescent="0.25">
      <c r="A32" s="6">
        <v>32</v>
      </c>
      <c r="B32" s="6"/>
      <c r="C32" s="6" t="s">
        <v>25</v>
      </c>
      <c r="D32" s="6" t="s">
        <v>30</v>
      </c>
      <c r="E32" s="6" t="s">
        <v>31</v>
      </c>
      <c r="F32" s="7">
        <v>1154</v>
      </c>
      <c r="G32" s="8">
        <f t="shared" si="5"/>
        <v>1154</v>
      </c>
      <c r="H32" s="8">
        <f t="shared" si="4"/>
        <v>2308</v>
      </c>
      <c r="I32" s="9">
        <v>2</v>
      </c>
      <c r="J32" s="6" t="s">
        <v>14</v>
      </c>
      <c r="K32" s="6" t="s">
        <v>17</v>
      </c>
    </row>
    <row r="33" spans="1:11" ht="15" customHeight="1" x14ac:dyDescent="0.25">
      <c r="A33" s="6">
        <v>33</v>
      </c>
      <c r="B33" s="6"/>
      <c r="C33" s="6" t="s">
        <v>32</v>
      </c>
      <c r="D33" s="6" t="s">
        <v>33</v>
      </c>
      <c r="E33" s="6" t="s">
        <v>34</v>
      </c>
      <c r="F33" s="7">
        <v>836</v>
      </c>
      <c r="G33" s="8">
        <f>0.6*F33</f>
        <v>501.59999999999997</v>
      </c>
      <c r="H33" s="8">
        <f t="shared" si="4"/>
        <v>1504.8</v>
      </c>
      <c r="I33" s="9">
        <v>3</v>
      </c>
      <c r="J33" s="6" t="s">
        <v>14</v>
      </c>
      <c r="K33" s="6" t="s">
        <v>35</v>
      </c>
    </row>
    <row r="34" spans="1:11" ht="15" customHeight="1" x14ac:dyDescent="0.25">
      <c r="A34" s="6">
        <v>34</v>
      </c>
      <c r="B34" s="6"/>
      <c r="C34" s="6" t="s">
        <v>36</v>
      </c>
      <c r="D34" s="6" t="s">
        <v>37</v>
      </c>
      <c r="E34" s="6" t="s">
        <v>38</v>
      </c>
      <c r="F34" s="7">
        <v>235</v>
      </c>
      <c r="G34" s="8">
        <f t="shared" ref="G34:G39" si="6">F34</f>
        <v>235</v>
      </c>
      <c r="H34" s="8">
        <f t="shared" si="4"/>
        <v>705</v>
      </c>
      <c r="I34" s="9">
        <v>3</v>
      </c>
      <c r="J34" s="6" t="s">
        <v>14</v>
      </c>
      <c r="K34" s="6" t="s">
        <v>39</v>
      </c>
    </row>
    <row r="35" spans="1:11" ht="15" customHeight="1" x14ac:dyDescent="0.25">
      <c r="A35" s="6">
        <v>35</v>
      </c>
      <c r="B35" s="6"/>
      <c r="C35" s="6" t="s">
        <v>36</v>
      </c>
      <c r="D35" s="6" t="s">
        <v>40</v>
      </c>
      <c r="E35" s="6" t="s">
        <v>41</v>
      </c>
      <c r="F35" s="7">
        <v>269</v>
      </c>
      <c r="G35" s="8">
        <f t="shared" si="6"/>
        <v>269</v>
      </c>
      <c r="H35" s="8">
        <f t="shared" si="4"/>
        <v>269</v>
      </c>
      <c r="I35" s="9">
        <v>1</v>
      </c>
      <c r="J35" s="6" t="s">
        <v>14</v>
      </c>
      <c r="K35" s="6" t="s">
        <v>39</v>
      </c>
    </row>
    <row r="36" spans="1:11" ht="15" customHeight="1" x14ac:dyDescent="0.25">
      <c r="A36" s="6">
        <v>36</v>
      </c>
      <c r="B36" s="6"/>
      <c r="C36" s="6" t="s">
        <v>36</v>
      </c>
      <c r="D36" s="6" t="s">
        <v>42</v>
      </c>
      <c r="E36" s="6" t="s">
        <v>43</v>
      </c>
      <c r="F36" s="7">
        <v>155</v>
      </c>
      <c r="G36" s="8">
        <f t="shared" si="6"/>
        <v>155</v>
      </c>
      <c r="H36" s="8">
        <f t="shared" si="4"/>
        <v>775</v>
      </c>
      <c r="I36" s="9">
        <v>5</v>
      </c>
      <c r="J36" s="6" t="s">
        <v>14</v>
      </c>
      <c r="K36" s="6" t="s">
        <v>39</v>
      </c>
    </row>
    <row r="37" spans="1:11" ht="15" customHeight="1" x14ac:dyDescent="0.25">
      <c r="A37" s="6">
        <v>37</v>
      </c>
      <c r="B37" s="6"/>
      <c r="C37" s="6" t="s">
        <v>36</v>
      </c>
      <c r="D37" s="6" t="s">
        <v>44</v>
      </c>
      <c r="E37" s="6" t="s">
        <v>45</v>
      </c>
      <c r="F37" s="7">
        <v>111</v>
      </c>
      <c r="G37" s="8">
        <f t="shared" si="6"/>
        <v>111</v>
      </c>
      <c r="H37" s="8">
        <f t="shared" si="4"/>
        <v>888</v>
      </c>
      <c r="I37" s="9">
        <v>8</v>
      </c>
      <c r="J37" s="6" t="s">
        <v>14</v>
      </c>
      <c r="K37" s="6" t="s">
        <v>39</v>
      </c>
    </row>
    <row r="38" spans="1:11" ht="15" customHeight="1" x14ac:dyDescent="0.25">
      <c r="A38" s="6">
        <v>38</v>
      </c>
      <c r="B38" s="6"/>
      <c r="C38" s="6" t="s">
        <v>36</v>
      </c>
      <c r="D38" s="6" t="s">
        <v>46</v>
      </c>
      <c r="E38" s="6" t="s">
        <v>47</v>
      </c>
      <c r="F38" s="7">
        <v>90</v>
      </c>
      <c r="G38" s="8">
        <f t="shared" si="6"/>
        <v>90</v>
      </c>
      <c r="H38" s="8">
        <f t="shared" si="4"/>
        <v>360</v>
      </c>
      <c r="I38" s="9">
        <v>4</v>
      </c>
      <c r="J38" s="6" t="s">
        <v>14</v>
      </c>
      <c r="K38" s="6" t="s">
        <v>39</v>
      </c>
    </row>
    <row r="39" spans="1:11" ht="15" customHeight="1" x14ac:dyDescent="0.25">
      <c r="A39" s="6">
        <v>39</v>
      </c>
      <c r="B39" s="6"/>
      <c r="C39" s="6" t="s">
        <v>36</v>
      </c>
      <c r="D39" s="6" t="s">
        <v>48</v>
      </c>
      <c r="E39" s="6" t="s">
        <v>49</v>
      </c>
      <c r="F39" s="7">
        <v>90</v>
      </c>
      <c r="G39" s="8">
        <f t="shared" si="6"/>
        <v>90</v>
      </c>
      <c r="H39" s="8">
        <f t="shared" si="4"/>
        <v>2700</v>
      </c>
      <c r="I39" s="9">
        <v>30</v>
      </c>
      <c r="J39" s="6" t="s">
        <v>14</v>
      </c>
      <c r="K39" s="6" t="s">
        <v>39</v>
      </c>
    </row>
    <row r="40" spans="1:11" ht="15" customHeight="1" x14ac:dyDescent="0.25">
      <c r="A40" s="6">
        <v>40</v>
      </c>
      <c r="B40" s="6"/>
      <c r="C40" s="6" t="s">
        <v>50</v>
      </c>
      <c r="D40" s="6" t="s">
        <v>51</v>
      </c>
      <c r="E40" s="6" t="s">
        <v>52</v>
      </c>
      <c r="F40" s="7">
        <v>2232</v>
      </c>
      <c r="G40" s="8">
        <f>0.6*F40</f>
        <v>1339.2</v>
      </c>
      <c r="H40" s="8">
        <f t="shared" si="4"/>
        <v>1339.2</v>
      </c>
      <c r="I40" s="9">
        <v>1</v>
      </c>
      <c r="J40" s="6" t="s">
        <v>14</v>
      </c>
      <c r="K40" s="6" t="s">
        <v>35</v>
      </c>
    </row>
    <row r="41" spans="1:11" ht="15" customHeight="1" x14ac:dyDescent="0.25">
      <c r="A41" s="6">
        <v>41</v>
      </c>
      <c r="B41" s="6"/>
      <c r="C41" s="6" t="s">
        <v>50</v>
      </c>
      <c r="D41" s="6" t="s">
        <v>53</v>
      </c>
      <c r="E41" s="6" t="s">
        <v>54</v>
      </c>
      <c r="F41" s="7">
        <v>1486</v>
      </c>
      <c r="G41" s="8">
        <f t="shared" ref="G41:G42" si="7">F41</f>
        <v>1486</v>
      </c>
      <c r="H41" s="8">
        <f t="shared" si="4"/>
        <v>2972</v>
      </c>
      <c r="I41" s="9">
        <v>2</v>
      </c>
      <c r="J41" s="6" t="s">
        <v>14</v>
      </c>
      <c r="K41" s="6" t="s">
        <v>39</v>
      </c>
    </row>
    <row r="42" spans="1:11" ht="15" customHeight="1" x14ac:dyDescent="0.25">
      <c r="A42" s="6">
        <v>42</v>
      </c>
      <c r="B42" s="6"/>
      <c r="C42" s="6" t="s">
        <v>50</v>
      </c>
      <c r="D42" s="6" t="s">
        <v>55</v>
      </c>
      <c r="E42" s="6" t="s">
        <v>56</v>
      </c>
      <c r="F42" s="7">
        <v>1094</v>
      </c>
      <c r="G42" s="8">
        <f t="shared" si="7"/>
        <v>1094</v>
      </c>
      <c r="H42" s="8">
        <f t="shared" si="4"/>
        <v>1094</v>
      </c>
      <c r="I42" s="9">
        <v>1</v>
      </c>
      <c r="J42" s="6" t="s">
        <v>14</v>
      </c>
      <c r="K42" s="6" t="s">
        <v>39</v>
      </c>
    </row>
    <row r="43" spans="1:11" ht="15" customHeight="1" x14ac:dyDescent="0.25">
      <c r="A43" s="6">
        <v>43</v>
      </c>
      <c r="B43" s="6"/>
      <c r="C43" s="6" t="s">
        <v>50</v>
      </c>
      <c r="D43" s="6"/>
      <c r="E43" s="6" t="s">
        <v>57</v>
      </c>
      <c r="F43" s="6"/>
      <c r="G43" s="8"/>
      <c r="H43" s="8">
        <f>G43*I43</f>
        <v>0</v>
      </c>
      <c r="I43" s="8">
        <v>1</v>
      </c>
      <c r="J43" s="6" t="s">
        <v>14</v>
      </c>
      <c r="K43" s="6" t="s">
        <v>50</v>
      </c>
    </row>
    <row r="44" spans="1:11" ht="15" customHeight="1" x14ac:dyDescent="0.25">
      <c r="A44" s="6">
        <v>44</v>
      </c>
      <c r="B44" s="6"/>
      <c r="C44" s="6" t="s">
        <v>58</v>
      </c>
      <c r="D44" s="6"/>
      <c r="E44" s="6" t="s">
        <v>59</v>
      </c>
      <c r="F44" s="10">
        <v>5.2612499999999995</v>
      </c>
      <c r="G44" s="8">
        <v>100</v>
      </c>
      <c r="H44" s="8">
        <f>G44*I44</f>
        <v>31567.499999999996</v>
      </c>
      <c r="I44" s="8">
        <v>315.67499999999995</v>
      </c>
      <c r="J44" s="6" t="s">
        <v>60</v>
      </c>
      <c r="K44" s="6" t="s">
        <v>58</v>
      </c>
    </row>
    <row r="45" spans="1:11" ht="15" customHeight="1" x14ac:dyDescent="0.25">
      <c r="A45" s="2"/>
      <c r="B45" s="5" t="s">
        <v>72</v>
      </c>
      <c r="C45" s="4"/>
      <c r="D45" s="4"/>
      <c r="E45" s="4"/>
      <c r="F45" s="4"/>
      <c r="G45" s="4"/>
      <c r="H45" s="11">
        <f>SUBTOTAL(9,H24:H44)</f>
        <v>83349.899999999994</v>
      </c>
      <c r="I45" s="5">
        <v>10</v>
      </c>
      <c r="J45" s="5"/>
      <c r="K45" s="4"/>
    </row>
    <row r="46" spans="1:11" ht="15" customHeight="1" x14ac:dyDescent="0.25">
      <c r="A46" s="2">
        <v>45</v>
      </c>
      <c r="B46" s="3" t="s">
        <v>73</v>
      </c>
      <c r="C46" s="4"/>
      <c r="D46" s="4"/>
      <c r="E46" s="5" t="s">
        <v>73</v>
      </c>
      <c r="F46" s="4"/>
      <c r="G46" s="4"/>
      <c r="H46" s="4"/>
      <c r="I46" s="5">
        <v>1</v>
      </c>
      <c r="J46" s="5" t="s">
        <v>12</v>
      </c>
      <c r="K46" s="4"/>
    </row>
    <row r="47" spans="1:11" ht="15" customHeight="1" x14ac:dyDescent="0.25">
      <c r="A47" s="6">
        <v>46</v>
      </c>
      <c r="B47" s="6"/>
      <c r="C47" s="6" t="s">
        <v>13</v>
      </c>
      <c r="D47" s="6" t="s">
        <v>79</v>
      </c>
      <c r="E47" s="6" t="s">
        <v>80</v>
      </c>
      <c r="F47" s="7">
        <v>29525</v>
      </c>
      <c r="G47" s="8">
        <f>0.6*F47</f>
        <v>17715</v>
      </c>
      <c r="H47" s="8">
        <f t="shared" ref="H47:H65" si="8">IF(OR(G47="",I47=""),"",G47*I47)</f>
        <v>17715</v>
      </c>
      <c r="I47" s="9">
        <v>1</v>
      </c>
      <c r="J47" s="6" t="s">
        <v>14</v>
      </c>
      <c r="K47" s="6" t="s">
        <v>15</v>
      </c>
    </row>
    <row r="48" spans="1:11" ht="15" customHeight="1" x14ac:dyDescent="0.25">
      <c r="A48" s="6">
        <v>47</v>
      </c>
      <c r="B48" s="6"/>
      <c r="C48" s="6" t="s">
        <v>16</v>
      </c>
      <c r="D48" s="6" t="s">
        <v>74</v>
      </c>
      <c r="E48" s="6" t="s">
        <v>75</v>
      </c>
      <c r="F48" s="7">
        <v>2836</v>
      </c>
      <c r="G48" s="8">
        <f t="shared" ref="G48:G55" si="9">F48</f>
        <v>2836</v>
      </c>
      <c r="H48" s="8">
        <f t="shared" si="8"/>
        <v>2836</v>
      </c>
      <c r="I48" s="9">
        <v>1</v>
      </c>
      <c r="J48" s="6" t="s">
        <v>14</v>
      </c>
      <c r="K48" s="6" t="s">
        <v>17</v>
      </c>
    </row>
    <row r="49" spans="1:11" ht="15" customHeight="1" x14ac:dyDescent="0.25">
      <c r="A49" s="6">
        <v>48</v>
      </c>
      <c r="B49" s="6"/>
      <c r="C49" s="6" t="s">
        <v>16</v>
      </c>
      <c r="D49" s="6" t="s">
        <v>18</v>
      </c>
      <c r="E49" s="6" t="s">
        <v>19</v>
      </c>
      <c r="F49" s="7">
        <v>1884</v>
      </c>
      <c r="G49" s="8">
        <f t="shared" si="9"/>
        <v>1884</v>
      </c>
      <c r="H49" s="8">
        <f t="shared" si="8"/>
        <v>3768</v>
      </c>
      <c r="I49" s="9">
        <v>2</v>
      </c>
      <c r="J49" s="6" t="s">
        <v>14</v>
      </c>
      <c r="K49" s="6" t="s">
        <v>17</v>
      </c>
    </row>
    <row r="50" spans="1:11" ht="15" customHeight="1" x14ac:dyDescent="0.25">
      <c r="A50" s="6">
        <v>49</v>
      </c>
      <c r="B50" s="6"/>
      <c r="C50" s="6" t="s">
        <v>20</v>
      </c>
      <c r="D50" s="6" t="s">
        <v>67</v>
      </c>
      <c r="E50" s="6" t="s">
        <v>68</v>
      </c>
      <c r="F50" s="7">
        <v>4163</v>
      </c>
      <c r="G50" s="8">
        <f t="shared" si="9"/>
        <v>4163</v>
      </c>
      <c r="H50" s="8">
        <f t="shared" si="8"/>
        <v>4163</v>
      </c>
      <c r="I50" s="9">
        <v>1</v>
      </c>
      <c r="J50" s="6" t="s">
        <v>14</v>
      </c>
      <c r="K50" s="6" t="s">
        <v>17</v>
      </c>
    </row>
    <row r="51" spans="1:11" ht="15" customHeight="1" x14ac:dyDescent="0.25">
      <c r="A51" s="6">
        <v>50</v>
      </c>
      <c r="B51" s="6"/>
      <c r="C51" s="6" t="s">
        <v>16</v>
      </c>
      <c r="D51" s="6" t="s">
        <v>21</v>
      </c>
      <c r="E51" s="6" t="s">
        <v>22</v>
      </c>
      <c r="F51" s="7">
        <v>446.8</v>
      </c>
      <c r="G51" s="8">
        <f t="shared" si="9"/>
        <v>446.8</v>
      </c>
      <c r="H51" s="8">
        <f t="shared" si="8"/>
        <v>446.8</v>
      </c>
      <c r="I51" s="9">
        <v>1</v>
      </c>
      <c r="J51" s="6" t="s">
        <v>14</v>
      </c>
      <c r="K51" s="6" t="s">
        <v>17</v>
      </c>
    </row>
    <row r="52" spans="1:11" ht="15" customHeight="1" x14ac:dyDescent="0.25">
      <c r="A52" s="6">
        <v>51</v>
      </c>
      <c r="B52" s="6"/>
      <c r="C52" s="6" t="s">
        <v>16</v>
      </c>
      <c r="D52" s="6" t="s">
        <v>23</v>
      </c>
      <c r="E52" s="6" t="s">
        <v>24</v>
      </c>
      <c r="F52" s="7">
        <v>446.8</v>
      </c>
      <c r="G52" s="8">
        <f t="shared" si="9"/>
        <v>446.8</v>
      </c>
      <c r="H52" s="8">
        <f t="shared" si="8"/>
        <v>893.6</v>
      </c>
      <c r="I52" s="9">
        <v>2</v>
      </c>
      <c r="J52" s="6" t="s">
        <v>14</v>
      </c>
      <c r="K52" s="6" t="s">
        <v>17</v>
      </c>
    </row>
    <row r="53" spans="1:11" ht="15" customHeight="1" x14ac:dyDescent="0.25">
      <c r="A53" s="6">
        <v>52</v>
      </c>
      <c r="B53" s="6"/>
      <c r="C53" s="6" t="s">
        <v>25</v>
      </c>
      <c r="D53" s="6" t="s">
        <v>26</v>
      </c>
      <c r="E53" s="6" t="s">
        <v>76</v>
      </c>
      <c r="F53" s="7">
        <v>1628</v>
      </c>
      <c r="G53" s="8">
        <f t="shared" si="9"/>
        <v>1628</v>
      </c>
      <c r="H53" s="8">
        <f t="shared" si="8"/>
        <v>3256</v>
      </c>
      <c r="I53" s="9">
        <v>2</v>
      </c>
      <c r="J53" s="6" t="s">
        <v>14</v>
      </c>
      <c r="K53" s="6" t="s">
        <v>17</v>
      </c>
    </row>
    <row r="54" spans="1:11" ht="15" customHeight="1" x14ac:dyDescent="0.25">
      <c r="A54" s="6">
        <v>53</v>
      </c>
      <c r="B54" s="6"/>
      <c r="C54" s="6" t="s">
        <v>25</v>
      </c>
      <c r="D54" s="6" t="s">
        <v>69</v>
      </c>
      <c r="E54" s="6" t="s">
        <v>71</v>
      </c>
      <c r="F54" s="7">
        <v>2182</v>
      </c>
      <c r="G54" s="8">
        <f t="shared" si="9"/>
        <v>2182</v>
      </c>
      <c r="H54" s="8">
        <f t="shared" si="8"/>
        <v>2182</v>
      </c>
      <c r="I54" s="9">
        <v>1</v>
      </c>
      <c r="J54" s="6" t="s">
        <v>14</v>
      </c>
      <c r="K54" s="6" t="s">
        <v>17</v>
      </c>
    </row>
    <row r="55" spans="1:11" ht="15" customHeight="1" x14ac:dyDescent="0.25">
      <c r="A55" s="6">
        <v>54</v>
      </c>
      <c r="B55" s="6"/>
      <c r="C55" s="6" t="s">
        <v>25</v>
      </c>
      <c r="D55" s="6" t="s">
        <v>30</v>
      </c>
      <c r="E55" s="6" t="s">
        <v>31</v>
      </c>
      <c r="F55" s="7">
        <v>1154</v>
      </c>
      <c r="G55" s="8">
        <f t="shared" si="9"/>
        <v>1154</v>
      </c>
      <c r="H55" s="8">
        <f t="shared" si="8"/>
        <v>2308</v>
      </c>
      <c r="I55" s="9">
        <v>2</v>
      </c>
      <c r="J55" s="6" t="s">
        <v>14</v>
      </c>
      <c r="K55" s="6" t="s">
        <v>17</v>
      </c>
    </row>
    <row r="56" spans="1:11" ht="15" customHeight="1" x14ac:dyDescent="0.25">
      <c r="A56" s="6">
        <v>55</v>
      </c>
      <c r="B56" s="6"/>
      <c r="C56" s="6" t="s">
        <v>32</v>
      </c>
      <c r="D56" s="6" t="s">
        <v>33</v>
      </c>
      <c r="E56" s="6" t="s">
        <v>34</v>
      </c>
      <c r="F56" s="7">
        <v>836</v>
      </c>
      <c r="G56" s="8">
        <f>0.6*F56</f>
        <v>501.59999999999997</v>
      </c>
      <c r="H56" s="8">
        <f t="shared" si="8"/>
        <v>1504.8</v>
      </c>
      <c r="I56" s="9">
        <v>3</v>
      </c>
      <c r="J56" s="6" t="s">
        <v>14</v>
      </c>
      <c r="K56" s="6" t="s">
        <v>35</v>
      </c>
    </row>
    <row r="57" spans="1:11" ht="15" customHeight="1" x14ac:dyDescent="0.25">
      <c r="A57" s="6">
        <v>56</v>
      </c>
      <c r="B57" s="6"/>
      <c r="C57" s="6" t="s">
        <v>36</v>
      </c>
      <c r="D57" s="6" t="s">
        <v>37</v>
      </c>
      <c r="E57" s="6" t="s">
        <v>38</v>
      </c>
      <c r="F57" s="7">
        <v>235</v>
      </c>
      <c r="G57" s="8">
        <f t="shared" ref="G57:G62" si="10">F57</f>
        <v>235</v>
      </c>
      <c r="H57" s="8">
        <f t="shared" si="8"/>
        <v>705</v>
      </c>
      <c r="I57" s="9">
        <v>3</v>
      </c>
      <c r="J57" s="6" t="s">
        <v>14</v>
      </c>
      <c r="K57" s="6" t="s">
        <v>39</v>
      </c>
    </row>
    <row r="58" spans="1:11" ht="15" customHeight="1" x14ac:dyDescent="0.25">
      <c r="A58" s="6">
        <v>57</v>
      </c>
      <c r="B58" s="6"/>
      <c r="C58" s="6" t="s">
        <v>36</v>
      </c>
      <c r="D58" s="6" t="s">
        <v>40</v>
      </c>
      <c r="E58" s="6" t="s">
        <v>41</v>
      </c>
      <c r="F58" s="7">
        <v>269</v>
      </c>
      <c r="G58" s="8">
        <f t="shared" si="10"/>
        <v>269</v>
      </c>
      <c r="H58" s="8">
        <f t="shared" si="8"/>
        <v>269</v>
      </c>
      <c r="I58" s="9">
        <v>1</v>
      </c>
      <c r="J58" s="6" t="s">
        <v>14</v>
      </c>
      <c r="K58" s="6" t="s">
        <v>39</v>
      </c>
    </row>
    <row r="59" spans="1:11" ht="15" customHeight="1" x14ac:dyDescent="0.25">
      <c r="A59" s="6">
        <v>58</v>
      </c>
      <c r="B59" s="6"/>
      <c r="C59" s="6" t="s">
        <v>36</v>
      </c>
      <c r="D59" s="6" t="s">
        <v>42</v>
      </c>
      <c r="E59" s="6" t="s">
        <v>43</v>
      </c>
      <c r="F59" s="7">
        <v>155</v>
      </c>
      <c r="G59" s="8">
        <f t="shared" si="10"/>
        <v>155</v>
      </c>
      <c r="H59" s="8">
        <f t="shared" si="8"/>
        <v>775</v>
      </c>
      <c r="I59" s="9">
        <v>5</v>
      </c>
      <c r="J59" s="6" t="s">
        <v>14</v>
      </c>
      <c r="K59" s="6" t="s">
        <v>39</v>
      </c>
    </row>
    <row r="60" spans="1:11" ht="15" customHeight="1" x14ac:dyDescent="0.25">
      <c r="A60" s="6">
        <v>59</v>
      </c>
      <c r="B60" s="6"/>
      <c r="C60" s="6" t="s">
        <v>36</v>
      </c>
      <c r="D60" s="6" t="s">
        <v>44</v>
      </c>
      <c r="E60" s="6" t="s">
        <v>45</v>
      </c>
      <c r="F60" s="7">
        <v>111</v>
      </c>
      <c r="G60" s="8">
        <f t="shared" si="10"/>
        <v>111</v>
      </c>
      <c r="H60" s="8">
        <f t="shared" si="8"/>
        <v>888</v>
      </c>
      <c r="I60" s="9">
        <v>8</v>
      </c>
      <c r="J60" s="6" t="s">
        <v>14</v>
      </c>
      <c r="K60" s="6" t="s">
        <v>39</v>
      </c>
    </row>
    <row r="61" spans="1:11" ht="15" customHeight="1" x14ac:dyDescent="0.25">
      <c r="A61" s="6">
        <v>60</v>
      </c>
      <c r="B61" s="6"/>
      <c r="C61" s="6" t="s">
        <v>36</v>
      </c>
      <c r="D61" s="6" t="s">
        <v>46</v>
      </c>
      <c r="E61" s="6" t="s">
        <v>47</v>
      </c>
      <c r="F61" s="7">
        <v>90</v>
      </c>
      <c r="G61" s="8">
        <f t="shared" si="10"/>
        <v>90</v>
      </c>
      <c r="H61" s="8">
        <f t="shared" si="8"/>
        <v>360</v>
      </c>
      <c r="I61" s="9">
        <v>4</v>
      </c>
      <c r="J61" s="6" t="s">
        <v>14</v>
      </c>
      <c r="K61" s="6" t="s">
        <v>39</v>
      </c>
    </row>
    <row r="62" spans="1:11" ht="15" customHeight="1" x14ac:dyDescent="0.25">
      <c r="A62" s="6">
        <v>61</v>
      </c>
      <c r="B62" s="6"/>
      <c r="C62" s="6" t="s">
        <v>36</v>
      </c>
      <c r="D62" s="6" t="s">
        <v>48</v>
      </c>
      <c r="E62" s="6" t="s">
        <v>49</v>
      </c>
      <c r="F62" s="7">
        <v>90</v>
      </c>
      <c r="G62" s="8">
        <f t="shared" si="10"/>
        <v>90</v>
      </c>
      <c r="H62" s="8">
        <f t="shared" si="8"/>
        <v>2700</v>
      </c>
      <c r="I62" s="9">
        <v>30</v>
      </c>
      <c r="J62" s="6" t="s">
        <v>14</v>
      </c>
      <c r="K62" s="6" t="s">
        <v>39</v>
      </c>
    </row>
    <row r="63" spans="1:11" ht="15" customHeight="1" x14ac:dyDescent="0.25">
      <c r="A63" s="6">
        <v>62</v>
      </c>
      <c r="B63" s="6"/>
      <c r="C63" s="6" t="s">
        <v>50</v>
      </c>
      <c r="D63" s="6" t="s">
        <v>51</v>
      </c>
      <c r="E63" s="6" t="s">
        <v>52</v>
      </c>
      <c r="F63" s="7">
        <v>2232</v>
      </c>
      <c r="G63" s="8">
        <f>0.6*F63</f>
        <v>1339.2</v>
      </c>
      <c r="H63" s="8">
        <f t="shared" si="8"/>
        <v>1339.2</v>
      </c>
      <c r="I63" s="9">
        <v>1</v>
      </c>
      <c r="J63" s="6" t="s">
        <v>14</v>
      </c>
      <c r="K63" s="6" t="s">
        <v>35</v>
      </c>
    </row>
    <row r="64" spans="1:11" ht="15" customHeight="1" x14ac:dyDescent="0.25">
      <c r="A64" s="6">
        <v>63</v>
      </c>
      <c r="B64" s="6"/>
      <c r="C64" s="6" t="s">
        <v>50</v>
      </c>
      <c r="D64" s="6" t="s">
        <v>53</v>
      </c>
      <c r="E64" s="6" t="s">
        <v>54</v>
      </c>
      <c r="F64" s="7">
        <v>1486</v>
      </c>
      <c r="G64" s="8">
        <f t="shared" ref="G64:G65" si="11">F64</f>
        <v>1486</v>
      </c>
      <c r="H64" s="8">
        <f t="shared" si="8"/>
        <v>2972</v>
      </c>
      <c r="I64" s="9">
        <v>2</v>
      </c>
      <c r="J64" s="6" t="s">
        <v>14</v>
      </c>
      <c r="K64" s="6" t="s">
        <v>39</v>
      </c>
    </row>
    <row r="65" spans="1:11" ht="15" customHeight="1" x14ac:dyDescent="0.25">
      <c r="A65" s="6">
        <v>64</v>
      </c>
      <c r="B65" s="6"/>
      <c r="C65" s="6" t="s">
        <v>50</v>
      </c>
      <c r="D65" s="6" t="s">
        <v>55</v>
      </c>
      <c r="E65" s="6" t="s">
        <v>56</v>
      </c>
      <c r="F65" s="7">
        <v>1094</v>
      </c>
      <c r="G65" s="8">
        <f t="shared" si="11"/>
        <v>1094</v>
      </c>
      <c r="H65" s="8">
        <f t="shared" si="8"/>
        <v>1094</v>
      </c>
      <c r="I65" s="9">
        <v>1</v>
      </c>
      <c r="J65" s="6" t="s">
        <v>14</v>
      </c>
      <c r="K65" s="6" t="s">
        <v>39</v>
      </c>
    </row>
    <row r="66" spans="1:11" ht="15" customHeight="1" x14ac:dyDescent="0.25">
      <c r="A66" s="6">
        <v>65</v>
      </c>
      <c r="B66" s="6"/>
      <c r="C66" s="6" t="s">
        <v>50</v>
      </c>
      <c r="D66" s="6"/>
      <c r="E66" s="6" t="s">
        <v>57</v>
      </c>
      <c r="F66" s="6"/>
      <c r="G66" s="8"/>
      <c r="H66" s="8">
        <f>G66*I66</f>
        <v>0</v>
      </c>
      <c r="I66" s="8">
        <v>1</v>
      </c>
      <c r="J66" s="6" t="s">
        <v>14</v>
      </c>
      <c r="K66" s="6" t="s">
        <v>50</v>
      </c>
    </row>
    <row r="67" spans="1:11" ht="15" customHeight="1" x14ac:dyDescent="0.25">
      <c r="A67" s="6">
        <v>66</v>
      </c>
      <c r="B67" s="6"/>
      <c r="C67" s="6" t="s">
        <v>58</v>
      </c>
      <c r="D67" s="6"/>
      <c r="E67" s="6" t="s">
        <v>59</v>
      </c>
      <c r="F67" s="10">
        <v>5.2612499999999995</v>
      </c>
      <c r="G67" s="8">
        <v>100</v>
      </c>
      <c r="H67" s="8">
        <f>G67*I67</f>
        <v>31567.499999999996</v>
      </c>
      <c r="I67" s="8">
        <v>315.67499999999995</v>
      </c>
      <c r="J67" s="6" t="s">
        <v>60</v>
      </c>
      <c r="K67" s="6" t="s">
        <v>58</v>
      </c>
    </row>
    <row r="68" spans="1:11" ht="15" customHeight="1" x14ac:dyDescent="0.25">
      <c r="A68" s="2"/>
      <c r="B68" s="5" t="s">
        <v>77</v>
      </c>
      <c r="C68" s="4"/>
      <c r="D68" s="4"/>
      <c r="E68" s="4"/>
      <c r="F68" s="4"/>
      <c r="G68" s="4"/>
      <c r="H68" s="11">
        <f>SUBTOTAL(9,H47:H67)</f>
        <v>81742.899999999994</v>
      </c>
      <c r="I68" s="5">
        <v>1</v>
      </c>
      <c r="J68" s="5"/>
      <c r="K68" s="4"/>
    </row>
    <row r="69" spans="1:11" ht="15" customHeight="1" x14ac:dyDescent="0.25">
      <c r="A69" s="12"/>
      <c r="B69" s="13" t="s">
        <v>78</v>
      </c>
      <c r="C69" s="12"/>
      <c r="D69" s="12"/>
      <c r="E69" s="12"/>
      <c r="F69" s="12"/>
      <c r="G69" s="12"/>
      <c r="H69" s="14">
        <f>H22*I22+H45*I45+H68*I68</f>
        <v>1210357.5</v>
      </c>
      <c r="I69" s="12"/>
      <c r="J69" s="12"/>
      <c r="K69" s="12"/>
    </row>
  </sheetData>
  <autoFilter ref="A1:K6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2026-08-14T11:02:44Z</dcterms:created>
  <dcterms:modified xsi:type="dcterms:W3CDTF">2026-09-28T09:20:32Z</dcterms:modified>
  <dc:language>en-US</dc:language>
</cp:coreProperties>
</file>