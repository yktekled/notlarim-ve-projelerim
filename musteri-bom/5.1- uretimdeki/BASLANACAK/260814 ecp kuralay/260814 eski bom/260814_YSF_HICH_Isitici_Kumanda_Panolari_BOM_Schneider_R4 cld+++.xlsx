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814 ecp kuralay\"/>
    </mc:Choice>
  </mc:AlternateContent>
  <xr:revisionPtr revIDLastSave="0" documentId="13_ncr:1_{2E0DD035-4B24-4831-B791-A826F35D315B}" xr6:coauthVersionLast="47" xr6:coauthVersionMax="47" xr10:uidLastSave="{00000000-0000-0000-0000-000000000000}"/>
  <bookViews>
    <workbookView xWindow="28680" yWindow="-120" windowWidth="29040" windowHeight="15720" tabRatio="500" activeTab="5" xr2:uid="{00000000-000D-0000-FFFF-FFFF00000000}"/>
  </bookViews>
  <sheets>
    <sheet name="BOM" sheetId="1" r:id="rId1"/>
    <sheet name="СВОД" sheetId="2" r:id="rId2"/>
    <sheet name="SATINALMA" sheetId="3" r:id="rId3"/>
    <sheet name="Kurallar" sheetId="4" r:id="rId4"/>
    <sheet name="FIYAT_KAYNAK" sheetId="5" r:id="rId5"/>
    <sheet name="QA_CANLI" sheetId="6" r:id="rId6"/>
  </sheets>
  <definedNames>
    <definedName name="_xlnm._FilterDatabase" localSheetId="0" hidden="1">BOM!$A$1:$K$69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7" i="1" l="1"/>
  <c r="G24" i="1"/>
  <c r="G3" i="1"/>
  <c r="C14" i="6"/>
  <c r="C13" i="6"/>
  <c r="C12" i="6"/>
  <c r="D8" i="6"/>
  <c r="C8" i="6"/>
  <c r="E8" i="6" s="1"/>
  <c r="I26" i="5"/>
  <c r="H26" i="5"/>
  <c r="J26" i="5" s="1"/>
  <c r="I25" i="5"/>
  <c r="H25" i="5"/>
  <c r="J25" i="5" s="1"/>
  <c r="I24" i="5"/>
  <c r="H24" i="5"/>
  <c r="J24" i="5" s="1"/>
  <c r="I23" i="5"/>
  <c r="H23" i="5"/>
  <c r="J23" i="5" s="1"/>
  <c r="I22" i="5"/>
  <c r="H22" i="5"/>
  <c r="J22" i="5" s="1"/>
  <c r="I21" i="5"/>
  <c r="H21" i="5"/>
  <c r="J21" i="5" s="1"/>
  <c r="I20" i="5"/>
  <c r="H20" i="5"/>
  <c r="J20" i="5" s="1"/>
  <c r="I19" i="5"/>
  <c r="H19" i="5"/>
  <c r="J19" i="5" s="1"/>
  <c r="I18" i="5"/>
  <c r="H18" i="5"/>
  <c r="J18" i="5" s="1"/>
  <c r="I17" i="5"/>
  <c r="H17" i="5"/>
  <c r="J17" i="5" s="1"/>
  <c r="I16" i="5"/>
  <c r="H16" i="5"/>
  <c r="J16" i="5" s="1"/>
  <c r="I15" i="5"/>
  <c r="H15" i="5"/>
  <c r="J15" i="5" s="1"/>
  <c r="I14" i="5"/>
  <c r="H14" i="5"/>
  <c r="J14" i="5" s="1"/>
  <c r="I13" i="5"/>
  <c r="H13" i="5"/>
  <c r="J13" i="5" s="1"/>
  <c r="I12" i="5"/>
  <c r="H12" i="5"/>
  <c r="J12" i="5" s="1"/>
  <c r="I11" i="5"/>
  <c r="H11" i="5"/>
  <c r="J11" i="5" s="1"/>
  <c r="I10" i="5"/>
  <c r="H10" i="5"/>
  <c r="J10" i="5" s="1"/>
  <c r="I9" i="5"/>
  <c r="H9" i="5"/>
  <c r="J9" i="5" s="1"/>
  <c r="I8" i="5"/>
  <c r="H8" i="5"/>
  <c r="J8" i="5" s="1"/>
  <c r="I7" i="5"/>
  <c r="H7" i="5"/>
  <c r="J7" i="5" s="1"/>
  <c r="I6" i="5"/>
  <c r="H6" i="5"/>
  <c r="J6" i="5" s="1"/>
  <c r="I5" i="5"/>
  <c r="H5" i="5"/>
  <c r="J5" i="5" s="1"/>
  <c r="I4" i="5"/>
  <c r="H4" i="5"/>
  <c r="J4" i="5" s="1"/>
  <c r="I3" i="5"/>
  <c r="J3" i="5"/>
  <c r="H38" i="4"/>
  <c r="F38" i="4"/>
  <c r="D38" i="4"/>
  <c r="H37" i="4"/>
  <c r="F37" i="4"/>
  <c r="D37" i="4"/>
  <c r="H36" i="4"/>
  <c r="F36" i="4"/>
  <c r="D36" i="4"/>
  <c r="H35" i="4"/>
  <c r="F35" i="4"/>
  <c r="D35" i="4"/>
  <c r="H34" i="4"/>
  <c r="F34" i="4"/>
  <c r="D34" i="4"/>
  <c r="H33" i="4"/>
  <c r="F33" i="4"/>
  <c r="D33" i="4"/>
  <c r="H32" i="4"/>
  <c r="F32" i="4"/>
  <c r="D32" i="4"/>
  <c r="H31" i="4"/>
  <c r="F31" i="4"/>
  <c r="D31" i="4"/>
  <c r="H30" i="4"/>
  <c r="F30" i="4"/>
  <c r="D30" i="4"/>
  <c r="H29" i="4"/>
  <c r="F29" i="4"/>
  <c r="D29" i="4"/>
  <c r="H28" i="4"/>
  <c r="F28" i="4"/>
  <c r="D28" i="4"/>
  <c r="H27" i="4"/>
  <c r="F27" i="4"/>
  <c r="D27" i="4"/>
  <c r="H26" i="4"/>
  <c r="F26" i="4"/>
  <c r="D26" i="4"/>
  <c r="H25" i="4"/>
  <c r="F25" i="4"/>
  <c r="D25" i="4"/>
  <c r="H24" i="4"/>
  <c r="F24" i="4"/>
  <c r="D24" i="4"/>
  <c r="H23" i="4"/>
  <c r="F23" i="4"/>
  <c r="D23" i="4"/>
  <c r="H22" i="4"/>
  <c r="F22" i="4"/>
  <c r="D22" i="4"/>
  <c r="H21" i="4"/>
  <c r="F21" i="4"/>
  <c r="D21" i="4"/>
  <c r="H20" i="4"/>
  <c r="F20" i="4"/>
  <c r="D20" i="4"/>
  <c r="H19" i="4"/>
  <c r="H40" i="4" s="1"/>
  <c r="H41" i="4" s="1"/>
  <c r="I67" i="1" s="1"/>
  <c r="F19" i="4"/>
  <c r="D19" i="4"/>
  <c r="D40" i="4" s="1"/>
  <c r="H18" i="4"/>
  <c r="F18" i="4"/>
  <c r="F40" i="4" s="1"/>
  <c r="F41" i="4" s="1"/>
  <c r="I44" i="1" s="1"/>
  <c r="D18" i="4"/>
  <c r="F28" i="3"/>
  <c r="E28" i="3"/>
  <c r="C28" i="3"/>
  <c r="F27" i="3"/>
  <c r="E27" i="3"/>
  <c r="C27" i="3"/>
  <c r="F26" i="3"/>
  <c r="E26" i="3"/>
  <c r="C26" i="3"/>
  <c r="F25" i="3"/>
  <c r="E25" i="3"/>
  <c r="C25" i="3"/>
  <c r="F24" i="3"/>
  <c r="E24" i="3"/>
  <c r="C24" i="3"/>
  <c r="F23" i="3"/>
  <c r="E23" i="3"/>
  <c r="C23" i="3"/>
  <c r="F22" i="3"/>
  <c r="E22" i="3"/>
  <c r="C22" i="3"/>
  <c r="F21" i="3"/>
  <c r="E21" i="3"/>
  <c r="C21" i="3"/>
  <c r="F20" i="3"/>
  <c r="E20" i="3"/>
  <c r="C20" i="3"/>
  <c r="F19" i="3"/>
  <c r="E19" i="3"/>
  <c r="C19" i="3"/>
  <c r="F18" i="3"/>
  <c r="E18" i="3"/>
  <c r="C18" i="3"/>
  <c r="F17" i="3"/>
  <c r="E17" i="3"/>
  <c r="C17" i="3"/>
  <c r="F16" i="3"/>
  <c r="E16" i="3"/>
  <c r="C16" i="3"/>
  <c r="F15" i="3"/>
  <c r="E15" i="3"/>
  <c r="C15" i="3"/>
  <c r="F14" i="3"/>
  <c r="E14" i="3"/>
  <c r="C14" i="3"/>
  <c r="F13" i="3"/>
  <c r="E13" i="3"/>
  <c r="C13" i="3"/>
  <c r="F12" i="3"/>
  <c r="E12" i="3"/>
  <c r="C12" i="3"/>
  <c r="F11" i="3"/>
  <c r="E11" i="3"/>
  <c r="C11" i="3"/>
  <c r="F10" i="3"/>
  <c r="E10" i="3"/>
  <c r="C10" i="3"/>
  <c r="F9" i="3"/>
  <c r="E9" i="3"/>
  <c r="C9" i="3"/>
  <c r="F8" i="3"/>
  <c r="E8" i="3"/>
  <c r="C8" i="3"/>
  <c r="F7" i="3"/>
  <c r="E7" i="3"/>
  <c r="C7" i="3"/>
  <c r="F6" i="3"/>
  <c r="E6" i="3"/>
  <c r="C6" i="3"/>
  <c r="F5" i="3"/>
  <c r="E5" i="3"/>
  <c r="C5" i="3"/>
  <c r="H7" i="2"/>
  <c r="G7" i="2"/>
  <c r="H6" i="2"/>
  <c r="G6" i="2"/>
  <c r="H5" i="2"/>
  <c r="G5" i="2"/>
  <c r="G67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B46" i="1"/>
  <c r="G44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B23" i="1"/>
  <c r="G21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B2" i="1"/>
  <c r="G28" i="3" l="1"/>
  <c r="H28" i="3" s="1"/>
  <c r="G48" i="1"/>
  <c r="H48" i="1" s="1"/>
  <c r="G14" i="3"/>
  <c r="H14" i="3" s="1"/>
  <c r="G10" i="1"/>
  <c r="H10" i="1" s="1"/>
  <c r="G56" i="1"/>
  <c r="H56" i="1" s="1"/>
  <c r="G33" i="1"/>
  <c r="H33" i="1" s="1"/>
  <c r="G54" i="1"/>
  <c r="H54" i="1" s="1"/>
  <c r="G31" i="1"/>
  <c r="H31" i="1" s="1"/>
  <c r="G30" i="1"/>
  <c r="H30" i="1" s="1"/>
  <c r="G27" i="3"/>
  <c r="H27" i="3" s="1"/>
  <c r="G10" i="3"/>
  <c r="H10" i="3" s="1"/>
  <c r="G6" i="1"/>
  <c r="H6" i="1" s="1"/>
  <c r="G52" i="1"/>
  <c r="H52" i="1" s="1"/>
  <c r="G29" i="1"/>
  <c r="H29" i="1" s="1"/>
  <c r="G7" i="1"/>
  <c r="H7" i="1" s="1"/>
  <c r="G53" i="1"/>
  <c r="H53" i="1" s="1"/>
  <c r="G11" i="3"/>
  <c r="H11" i="3" s="1"/>
  <c r="G8" i="3"/>
  <c r="H8" i="3" s="1"/>
  <c r="G11" i="1"/>
  <c r="H11" i="1" s="1"/>
  <c r="G57" i="1"/>
  <c r="H57" i="1" s="1"/>
  <c r="G34" i="1"/>
  <c r="H34" i="1" s="1"/>
  <c r="G15" i="3"/>
  <c r="H15" i="3" s="1"/>
  <c r="C9" i="6"/>
  <c r="D41" i="4"/>
  <c r="I21" i="1" s="1"/>
  <c r="G17" i="3"/>
  <c r="H17" i="3" s="1"/>
  <c r="G59" i="1"/>
  <c r="H59" i="1" s="1"/>
  <c r="G13" i="1"/>
  <c r="H13" i="1" s="1"/>
  <c r="G36" i="1"/>
  <c r="H36" i="1" s="1"/>
  <c r="G19" i="1"/>
  <c r="H19" i="1" s="1"/>
  <c r="G65" i="1"/>
  <c r="H65" i="1" s="1"/>
  <c r="G23" i="3"/>
  <c r="H23" i="3" s="1"/>
  <c r="G42" i="1"/>
  <c r="H42" i="1" s="1"/>
  <c r="G39" i="1"/>
  <c r="H39" i="1" s="1"/>
  <c r="G20" i="3"/>
  <c r="H20" i="3" s="1"/>
  <c r="G16" i="1"/>
  <c r="H16" i="1" s="1"/>
  <c r="G62" i="1"/>
  <c r="H62" i="1" s="1"/>
  <c r="G21" i="3"/>
  <c r="H21" i="3" s="1"/>
  <c r="G63" i="1"/>
  <c r="H63" i="1" s="1"/>
  <c r="G17" i="1"/>
  <c r="H17" i="1" s="1"/>
  <c r="G40" i="1"/>
  <c r="H40" i="1" s="1"/>
  <c r="G5" i="3"/>
  <c r="H5" i="3" s="1"/>
  <c r="H24" i="1"/>
  <c r="H47" i="1"/>
  <c r="D12" i="6"/>
  <c r="E12" i="6" s="1"/>
  <c r="G6" i="3"/>
  <c r="H6" i="3" s="1"/>
  <c r="G24" i="3"/>
  <c r="H24" i="3" s="1"/>
  <c r="G25" i="1"/>
  <c r="H25" i="1" s="1"/>
  <c r="G26" i="3"/>
  <c r="H26" i="3" s="1"/>
  <c r="G27" i="1"/>
  <c r="H27" i="1" s="1"/>
  <c r="G50" i="1"/>
  <c r="H50" i="1" s="1"/>
  <c r="G28" i="1"/>
  <c r="H28" i="1" s="1"/>
  <c r="G9" i="3"/>
  <c r="H9" i="3" s="1"/>
  <c r="G51" i="1"/>
  <c r="H51" i="1" s="1"/>
  <c r="G5" i="1"/>
  <c r="H5" i="1" s="1"/>
  <c r="G35" i="1"/>
  <c r="H35" i="1" s="1"/>
  <c r="G16" i="3"/>
  <c r="H16" i="3" s="1"/>
  <c r="G12" i="1"/>
  <c r="H12" i="1" s="1"/>
  <c r="G58" i="1"/>
  <c r="H58" i="1" s="1"/>
  <c r="H67" i="1"/>
  <c r="F67" i="1"/>
  <c r="G8" i="1"/>
  <c r="H8" i="1" s="1"/>
  <c r="G12" i="3"/>
  <c r="H12" i="3" s="1"/>
  <c r="G14" i="1"/>
  <c r="H14" i="1" s="1"/>
  <c r="G60" i="1"/>
  <c r="H60" i="1" s="1"/>
  <c r="G18" i="3"/>
  <c r="H18" i="3" s="1"/>
  <c r="G37" i="1"/>
  <c r="H37" i="1" s="1"/>
  <c r="H44" i="1"/>
  <c r="F44" i="1"/>
  <c r="G18" i="1"/>
  <c r="H18" i="1" s="1"/>
  <c r="G64" i="1"/>
  <c r="H64" i="1" s="1"/>
  <c r="G41" i="1"/>
  <c r="H41" i="1" s="1"/>
  <c r="G22" i="3"/>
  <c r="H22" i="3" s="1"/>
  <c r="G4" i="1"/>
  <c r="H4" i="1" s="1"/>
  <c r="G7" i="3"/>
  <c r="H7" i="3" s="1"/>
  <c r="G49" i="1"/>
  <c r="H49" i="1" s="1"/>
  <c r="G32" i="1"/>
  <c r="H32" i="1" s="1"/>
  <c r="G13" i="3"/>
  <c r="H13" i="3" s="1"/>
  <c r="G9" i="1"/>
  <c r="H9" i="1" s="1"/>
  <c r="G55" i="1"/>
  <c r="H55" i="1" s="1"/>
  <c r="G15" i="1"/>
  <c r="H15" i="1" s="1"/>
  <c r="G19" i="3"/>
  <c r="H19" i="3" s="1"/>
  <c r="G61" i="1"/>
  <c r="H61" i="1" s="1"/>
  <c r="G38" i="1"/>
  <c r="H38" i="1" s="1"/>
  <c r="G26" i="1"/>
  <c r="H26" i="1" s="1"/>
  <c r="G25" i="3"/>
  <c r="H25" i="3" s="1"/>
  <c r="G66" i="1" l="1"/>
  <c r="H66" i="1" s="1"/>
  <c r="H68" i="1"/>
  <c r="C7" i="2" s="1"/>
  <c r="D7" i="2" s="1"/>
  <c r="D14" i="6"/>
  <c r="E14" i="6" s="1"/>
  <c r="D13" i="6"/>
  <c r="E13" i="6" s="1"/>
  <c r="H3" i="1"/>
  <c r="G43" i="1"/>
  <c r="H43" i="1" s="1"/>
  <c r="H45" i="1" s="1"/>
  <c r="C6" i="2" s="1"/>
  <c r="D6" i="2" s="1"/>
  <c r="H29" i="3"/>
  <c r="D5" i="6" s="1"/>
  <c r="C10" i="6"/>
  <c r="D9" i="6"/>
  <c r="E9" i="6" s="1"/>
  <c r="H21" i="1"/>
  <c r="D10" i="6" s="1"/>
  <c r="F21" i="1"/>
  <c r="E10" i="6" l="1"/>
  <c r="C11" i="6"/>
  <c r="C5" i="6"/>
  <c r="E5" i="6" s="1"/>
  <c r="G20" i="1"/>
  <c r="H20" i="1" s="1"/>
  <c r="D11" i="6" s="1"/>
  <c r="H22" i="1" l="1"/>
  <c r="E11" i="6"/>
  <c r="C6" i="6" l="1"/>
  <c r="C5" i="2"/>
  <c r="D5" i="2" s="1"/>
  <c r="D8" i="2" s="1"/>
  <c r="D7" i="6" s="1"/>
  <c r="H69" i="1"/>
  <c r="C7" i="6" l="1"/>
  <c r="E7" i="6" s="1"/>
  <c r="D6" i="6"/>
  <c r="E6" i="6" s="1"/>
  <c r="E16" i="6" s="1"/>
</calcChain>
</file>

<file path=xl/sharedStrings.xml><?xml version="1.0" encoding="utf-8"?>
<sst xmlns="http://schemas.openxmlformats.org/spreadsheetml/2006/main" count="786" uniqueCount="368">
  <si>
    <t>ROW</t>
  </si>
  <si>
    <t>Наименование1</t>
  </si>
  <si>
    <t>Тип</t>
  </si>
  <si>
    <t>Артикул</t>
  </si>
  <si>
    <t>Номенклатура</t>
  </si>
  <si>
    <t>Цена (лист)</t>
  </si>
  <si>
    <t>Цена нетто KZT</t>
  </si>
  <si>
    <t>Сумма KZT</t>
  </si>
  <si>
    <t>Кол-во</t>
  </si>
  <si>
    <t>Ед.изм.</t>
  </si>
  <si>
    <t>Завод</t>
  </si>
  <si>
    <t>ЩУ-1 (нагрев 20 кВт + вентилятор 3 кВт)</t>
  </si>
  <si>
    <t>комплект</t>
  </si>
  <si>
    <t>korpus</t>
  </si>
  <si>
    <t>714-15120</t>
  </si>
  <si>
    <t>шт</t>
  </si>
  <si>
    <t>KAZTEK</t>
  </si>
  <si>
    <t>OTO</t>
  </si>
  <si>
    <t>A9F79340</t>
  </si>
  <si>
    <t>SCHNEIDER</t>
  </si>
  <si>
    <t>A9F79320</t>
  </si>
  <si>
    <t>Автоматический выключатель Acti9 iC60N 3P 20A, характеристика C, 6кА — нагреватель, ступени 1 и 2</t>
  </si>
  <si>
    <t>Motor Koruma</t>
  </si>
  <si>
    <t>GV2ME14</t>
  </si>
  <si>
    <t>A9F79110</t>
  </si>
  <si>
    <t>Автоматический выключатель Acti9 iC60N 1P 10A, характеристика C, 6кА — освещение</t>
  </si>
  <si>
    <t>A9F79106</t>
  </si>
  <si>
    <t>Автоматический выключатель Acti9 iC60N 1P 6A, характеристика C, 6кА — обратный клапан и цепь термостата/управления</t>
  </si>
  <si>
    <t>kontaktör</t>
  </si>
  <si>
    <t>LC1E1810M5</t>
  </si>
  <si>
    <t>Контактор Easy TeSys LC1E1810M5 3P, катушка 220В AC 50Гц — ступени нагревателя 1 и 2 (10 кВт каждая)</t>
  </si>
  <si>
    <t>LC1E0910M5</t>
  </si>
  <si>
    <t>Контактор Easy TeSys LC1E0910M5 3P, катушка 220В AC 50Гц — вентилятор 3 кВт</t>
  </si>
  <si>
    <t>LC1E0610M5</t>
  </si>
  <si>
    <t>Контактор Easy TeSys LC1E0610M5 3P 6A, катушка 220В AC 50Гц — реле освещения и реле обратного клапана</t>
  </si>
  <si>
    <t>Sinyal Lambası</t>
  </si>
  <si>
    <t>593012</t>
  </si>
  <si>
    <t>Индикатор ND16-22DS/4 красный АС230В, Ø22 мм, на дверь</t>
  </si>
  <si>
    <t>CHINT</t>
  </si>
  <si>
    <t>Klemens</t>
  </si>
  <si>
    <t>130301157_</t>
  </si>
  <si>
    <t>ЗНИ 16мм² (100А) серый UNIT — ввод L1/L2/L3</t>
  </si>
  <si>
    <t>EKT</t>
  </si>
  <si>
    <t>130301158_</t>
  </si>
  <si>
    <t>ЗНИ 16мм² (100А) синий UNIT — ввод N</t>
  </si>
  <si>
    <t>130300227_</t>
  </si>
  <si>
    <t>ЗНИ 10PEN 10мм² (JXB-земля) IEK E-PRO — шина PE</t>
  </si>
  <si>
    <t>130301154_</t>
  </si>
  <si>
    <t>ЗНИ 6мм² серый UNIT — выход на нагреватели (2 ступени × 4)</t>
  </si>
  <si>
    <t>130301153_</t>
  </si>
  <si>
    <t>ЗНИ 4мм² (35А) серый UNIT — выход на вентилятор</t>
  </si>
  <si>
    <t>130301152_</t>
  </si>
  <si>
    <t>ЗНИ 2.5мм² (24А) серый UNIT — цепи управления, лампа, обратный клапан, термостат, резерв</t>
  </si>
  <si>
    <t>montajный материал</t>
  </si>
  <si>
    <t>570002</t>
  </si>
  <si>
    <t>DIN-рейка оцинкованная TH35-7.5, длина 2000 мм</t>
  </si>
  <si>
    <t>280100020_</t>
  </si>
  <si>
    <t>Кабель-канал перфорированный 40х40 ИМПАКТ IEK, длина 2000 мм</t>
  </si>
  <si>
    <t>270300079_</t>
  </si>
  <si>
    <t>Кабель-канал перфорированный 25х40 ИМПАКТ IEK, длина 2000 мм</t>
  </si>
  <si>
    <t>Монтажные материалы (крепёж, маркировка, наконечники)</t>
  </si>
  <si>
    <t>компл.</t>
  </si>
  <si>
    <t>—</t>
  </si>
  <si>
    <t>montajная работа</t>
  </si>
  <si>
    <t>Сборка щита (норма времени, см. лист «Kurallar»)</t>
  </si>
  <si>
    <t>мин</t>
  </si>
  <si>
    <t>YSF</t>
  </si>
  <si>
    <t>Toplam ЩУ-1 (нагрев 20 кВт + вентилятор 3 кВт)</t>
  </si>
  <si>
    <t>ЩУ-2 (нагрев 26 кВт + вентилятор 8 кВт)</t>
  </si>
  <si>
    <t>A9F79363</t>
  </si>
  <si>
    <t>Автоматический выключатель Acti9 iC60N 3P 63A, характеристика C, 6кА — вводной</t>
  </si>
  <si>
    <t>A9F79325</t>
  </si>
  <si>
    <t>Автоматический выключатель Acti9 iC60N 3P 25A, характеристика C, 6кА — нагреватель, ступени 1 и 2</t>
  </si>
  <si>
    <t>GV2ME20</t>
  </si>
  <si>
    <t>Автоматический выключатель защиты двигателя TeSys GV2ME20 3P, диапазон уставки 13...18 А — вентилятор 8 кВт, тепловая + магнитная защита</t>
  </si>
  <si>
    <t>LC1E2510M5</t>
  </si>
  <si>
    <t>Контактор Easy TeSys LC1E2510M5 3P, катушка 220В AC 50Гц — ступени нагревателя 1 и 2 (13 кВт каждая)</t>
  </si>
  <si>
    <t>Контактор Easy TeSys LC1E2510M5 3P, катушка 220В AC 50Гц — вентилятор 8 кВт</t>
  </si>
  <si>
    <t>Toplam ЩУ-2 (нагрев 26 кВт + вентилятор 8 кВт)</t>
  </si>
  <si>
    <t>ЩУ-3 (нагрев 22 кВт + вентилятор 8 кВт)</t>
  </si>
  <si>
    <t>A9F79350</t>
  </si>
  <si>
    <t>Автоматический выключатель Acti9 iC60N 3P 50A, характеристика C, 6кА — вводной</t>
  </si>
  <si>
    <t>Контактор Easy TeSys LC1E1810M5 3P, катушка 220В AC 50Гц — ступени нагревателя 1 и 2 (11 кВт каждая)</t>
  </si>
  <si>
    <t>Toplam ЩУ-3 (нагрев 22 кВт + вентилятор 8 кВт)</t>
  </si>
  <si>
    <t>GENEL TOPLAM (tüm panolar, komplekt adedi dahil)</t>
  </si>
  <si>
    <t>Щиты управления электронагревателями (ЩУ-1 / ЩУ-2 / ЩУ-3) — Schneider Electric — СВОДНАЯ ВЕДОМОСТЬ</t>
  </si>
  <si>
    <t>Rev. R4 · 2026-08-14</t>
  </si>
  <si>
    <t>Щит</t>
  </si>
  <si>
    <t>Кол-во компл.</t>
  </si>
  <si>
    <t>Цена за 1 компл. KZT</t>
  </si>
  <si>
    <t>Модули исп.</t>
  </si>
  <si>
    <t>Модули всего</t>
  </si>
  <si>
    <t>Заполнение</t>
  </si>
  <si>
    <t>Статус</t>
  </si>
  <si>
    <t>ИТОГО</t>
  </si>
  <si>
    <t>ОБЩАЯ ПОТРЕБНОСТЬ НА ЗАКУПКУ — 15 ЩИТОВ (R4)</t>
  </si>
  <si>
    <t>Цены связаны с листами FIYAT_KAYNAK и Kurallar — изменение курса или коэффициента обновляет страницу автоматически. Монтажные материалы и работы сюда НЕ входят.</t>
  </si>
  <si>
    <t>ИТОГО МАТЕРИАЛ (без монтажных материалов и работ)</t>
  </si>
  <si>
    <t>Щиты управления электронагревателями (ЩУ-1 / ЩУ-2 / ЩУ-3) — Schneider Electric  —  KURAL VE PARAMETRE TABLOSU</t>
  </si>
  <si>
    <t>SARI hücreler düzenlenebilir. Değiştirince BOM ve СВОД otomatik güncellenir.</t>
  </si>
  <si>
    <t>Proje kodu</t>
  </si>
  <si>
    <t>260814_YSF_HICH_Isitici_Kumanda_Panolari</t>
  </si>
  <si>
    <t>Revizyon</t>
  </si>
  <si>
    <t>R4</t>
  </si>
  <si>
    <t>Tarih</t>
  </si>
  <si>
    <t>2026-08-14</t>
  </si>
  <si>
    <t>Sorumlu</t>
  </si>
  <si>
    <t>Yusuf</t>
  </si>
  <si>
    <t>Müşteri</t>
  </si>
  <si>
    <t>TEKLED Electric / YSF HICH</t>
  </si>
  <si>
    <t>PARAMETRELER</t>
  </si>
  <si>
    <t>ISCILIK_KZT_DK</t>
  </si>
  <si>
    <t>KZT / dakika (işveren yükü dahil)</t>
  </si>
  <si>
    <t>TEST_ETIKET_KATS</t>
  </si>
  <si>
    <t>Toplam işçilik dakikasına çarpan</t>
  </si>
  <si>
    <t>MONTAJ_MALZ_YUZDE</t>
  </si>
  <si>
    <t>Pano malzeme ara toplamının yüzdesi</t>
  </si>
  <si>
    <t>KUTUP_EK_DK</t>
  </si>
  <si>
    <t>Bilgi/tohum değeri. CANLI değer norm tablosundaki "OTO/DİF kutup eki" satırının NORM_DK hücresidir — değişiklik orada yapılır.</t>
  </si>
  <si>
    <t>İŞÇİLİK ZAMAN NORMLARI (dakika) — her pano için ayrı sütun</t>
  </si>
  <si>
    <t>TİP</t>
  </si>
  <si>
    <t>NORM_DK</t>
  </si>
  <si>
    <t>ЩУ-1 (нагрев 20 кВт + вентилятор 3 кВт) adet</t>
  </si>
  <si>
    <t>ЩУ-1 (нагрев 20 кВт + вентилятор 3 кВт) dk</t>
  </si>
  <si>
    <t>ЩУ-2 (нагрев 26 кВт + вентилятор 8 кВт) adet</t>
  </si>
  <si>
    <t>ЩУ-2 (нагрев 26 кВт + вентилятор 8 кВт) dk</t>
  </si>
  <si>
    <t>ЩУ-3 (нагрев 22 кВт + вентилятор 8 кВт) adet</t>
  </si>
  <si>
    <t>ЩУ-3 (нагрев 22 кВт + вентилятор 8 кВт) dk</t>
  </si>
  <si>
    <t>AÇIKLAMA</t>
  </si>
  <si>
    <t>Korpus hazırlık, DIN ray, montaj plakası</t>
  </si>
  <si>
    <t>TMŞ</t>
  </si>
  <si>
    <t>MCCB montaj + kablolama</t>
  </si>
  <si>
    <t>GV2/GV3 motor koruma şalteri: montaj, kablolama, akım ayarı</t>
  </si>
  <si>
    <t>MCB 1P; her ek kutup için +2 dk (kutup katsayısı)</t>
  </si>
  <si>
    <t>DİF</t>
  </si>
  <si>
    <t>RCBO / УЗО</t>
  </si>
  <si>
    <t>rubilnik</t>
  </si>
  <si>
    <t>Yük ayırıcı</t>
  </si>
  <si>
    <t>fu</t>
  </si>
  <si>
    <t>Sigorta + yuva</t>
  </si>
  <si>
    <t>blok</t>
  </si>
  <si>
    <t>Yardımcı kontak / interlok</t>
  </si>
  <si>
    <t>Röle</t>
  </si>
  <si>
    <t>Röle Altlığı</t>
  </si>
  <si>
    <t>İmpuls</t>
  </si>
  <si>
    <t>lamb</t>
  </si>
  <si>
    <t>Adet başına</t>
  </si>
  <si>
    <t>LOOBAR</t>
  </si>
  <si>
    <t>HAZIR DIN barası (ШНИ/ШНК) montaj + bağlantı, adet başına. ⚠ İMALAT bara (kesim, delme, bükme, kalaylama) için bu norm YETERSİZ — 30-45 dk/adet ayrıca hesaplanmalı</t>
  </si>
  <si>
    <t>tt</t>
  </si>
  <si>
    <t>Akım trafosu</t>
  </si>
  <si>
    <t>sayac</t>
  </si>
  <si>
    <t>Sayaç montaj + bağlantı</t>
  </si>
  <si>
    <t>opn</t>
  </si>
  <si>
    <t>Parafudr</t>
  </si>
  <si>
    <t>Kanal/DIN ray, metre başına</t>
  </si>
  <si>
    <t>OTO/DİF kutup eki</t>
  </si>
  <si>
    <t>Her EK kutup için. Adet = Σ(kutup−1)×adet. 1P=0, 3P=2 ek kutup</t>
  </si>
  <si>
    <t>TEST/ETİKET ÖNCESİ TOPLAM (dk)</t>
  </si>
  <si>
    <t>TEST/ETİKET KATSAYILI (dk)</t>
  </si>
  <si>
    <t>DÖVİZ KURLARI (BOM günü)</t>
  </si>
  <si>
    <t>EUR</t>
  </si>
  <si>
    <t>EUR/KZT</t>
  </si>
  <si>
    <t>TL</t>
  </si>
  <si>
    <t>TL/KZT</t>
  </si>
  <si>
    <t>USD</t>
  </si>
  <si>
    <t>USD/KZT</t>
  </si>
  <si>
    <t>KZT</t>
  </si>
  <si>
    <t>baz — değiştirmeyin</t>
  </si>
  <si>
    <t>MARKA KATSAYILARI (net = liste × katsayı × kur)</t>
  </si>
  <si>
    <t>MARKA</t>
  </si>
  <si>
    <t>KATSAYI</t>
  </si>
  <si>
    <t>%40 indirim</t>
  </si>
  <si>
    <t>Net fiyat</t>
  </si>
  <si>
    <t>Korpus — net fiyat</t>
  </si>
  <si>
    <t>Proje bazında teyit edilmeli</t>
  </si>
  <si>
    <t>NOTLAR, UYARILAR VE KONTROL MADDELERİ</t>
  </si>
  <si>
    <t>⛔ SCHNEIDER KATSAYISI = 0,60 (Yusuf onayı 14.08.2026). CHINT 0,60 · EKT 1,00 · KAZTEK 1,00. Dört katsayının tamamı MARKA KATSAYILARI tablosundaki sarı hücrelerden okunur ve BOM, СВОД, SATINALMA sayfalarına canlı bağlıdır — ölü hücre yoktur.</t>
  </si>
  <si>
    <t>⛔ KUR — TL/KZT = 10,90 (14.08.2026 piyasa aralığı ≈10,82–10,91). Teklif günü DÖVİZ KURLARI tablosundaki TL hücresi güncellenecek.</t>
  </si>
  <si>
    <t>⛔ FİYAT LİSTESİ YAŞI — Schneider TR 23.07.2025 (13 ay) ve EKT 19.06.2025 (13 ay) UYARILI kademede: kullanılır, sipariş öncesi fiyat teyidi gerekir. CHINT 13.06.2026 ve KAZTEK 15.07.2026 güncel. EKF (02.2022), Klemsan (11.2022), ONKA (07.2022) 18 ay üstü → fiyatlamada KULLANILMADI, yalnızca artikül referansı.</t>
  </si>
  <si>
    <t>⛔ ARTİKÜL KÖPRÜSÜ — Modüler otomatlarda SİPARİŞ kodu Kazakistan kataloğuna göre A9F79xxx, FİYAT ise Schneider Türkiye listesindeki birebir aynı ürünün (A9F74xxx) fiyatıdır. Resmi eşdeğerlik SE FAQ000234158: 79106↔74106 · 79110↔74110 · 79320↔74320 · 79325↔74325 · 79340↔74340 · 79350↔74350 · 79363↔74363. TR ve KZ liste fiyatları farklı olabilir; Schneider KZ listesi temin edilirse köprüye gerek kalmaz.</t>
  </si>
  <si>
    <t>⛔ SIFIR FİYAT KURALI — Liste fiyatı, katsayı veya kur eksikse Цена/Сумма hücresi BOŞ kalır, asla 0 yazılmaz; toplam görünür şekilde eksilir. QA_CANLI!K09 ve K10 bunu her açılışta denetler.</t>
  </si>
  <si>
    <t>ℹ R3→R4 DEĞİŞİKLİĞİ (yalnızca işçilik hesabı; malzeme, artikül ve adetler aynıdır):</t>
  </si>
  <si>
    <t xml:space="preserve">   (1) GV2 motor koruma şalteri için AYRI norm satırı açıldı: "Motor Koruma" = 15 dk/adet. Önceki sürümde MCCB normu (25 dk) kullanılıyordu, bu fazlaydı; 6 dk ise montaj+ayar için yetersizdir. Norm sarı hücrededir, değiştirilebilir.</t>
  </si>
  <si>
    <t xml:space="preserve">   (2) ÇOK KUTUPLU OTOMAT EK İŞÇİLİĞİ artık toplama DAHİL. Önceki sürümlerde hesaplanıp yalnızca not olarak yazılıyor, toplama girmiyordu. Yeni "OTO/DİF kutup eki" satırı: adet = Σ(kutup−1)×adet (1P=0, 3P=2 ek kutup), norm 2 dk/ek kutup. Pano başına 6 ek kutup × 2 dk = 12 dk.</t>
  </si>
  <si>
    <t xml:space="preserve">   (3) Sonuç: pano başına 274,5 dk ham → ×1,15 = 315,675 dk. R3'te 313,375 dk idi. Genel toplam 3 179 174 ₸ → 3 182 624 ₸ (+3 450 ₸).</t>
  </si>
  <si>
    <t>ℹ İŞÇİLİK OKUMA — BOM'da Кол-во sütunu DAKİKA, Цена нетто = KZT/dakika, Цена (лист) = saat karşılığıdır. Dakikalar norm tablosundaki adetlerden canlı hesaplanır; cihaz eklenip çıkarıldığında kendiliğinden güncellenir (adet sütunu formülle değil üretimde yazılır — revizyonda BOM yeniden üretilmelidir).</t>
  </si>
  <si>
    <t>ℹ QA_CANLI SAYFASI — 10 kontrolün her biri BOM verisinden BAĞIMSIZ yeniden hesaplanır (SATINALMA↔BOM mutabakatı, genel toplam, СВОД, klemens adedi, işçilik zinciri, montaj oranı, Schneider fiyat zinciri, boş/sıfır fiyat). Kurallar'da kur veya katsayı değiştirilirse bu sayfa da yeniden hesaplanır. Bir satır ✖ HATA gösterirse dosya teklife verilmez.</t>
  </si>
  <si>
    <t>ℹ SATINALMA SAYFASI — 15 pano için toplam malzeme ihtiyacı, (marka|artikül) bazında toplanmıştır; fiyatlar FIYAT_KAYNAK üzerinden canlıdır. Montaj sarfı ve işçilik bu sayfaya DAHİL DEĞİLDİR (onlar BOM ve СВОД toplamındadır).</t>
  </si>
  <si>
    <t>⚠ KESİNLEŞTİRİLECEK — GV2ME20 katalog gücü 7,5 kW'tır. 8 kW fanın etiket akımı 18 A'i aşarsa GV2ME21 (17…23 A, liste 4 409 TL) gerekir. Ayar değeri devreye almada etiket akımına göre kurulacak. 3 kW fan için GV2ME14 (6…10 A), hesap akımı ≈6,0 A.</t>
  </si>
  <si>
    <t>⚠ KESİNLEŞTİRİLECEK — AYDINLATMA: Lamba gücü (W), gerilimi ve devre sayısı bildirilmedi; LC1E0610M5 kontaktör varsayıldı. Yük 500 W altındaysa RXM ara röle + soket daha uygun ve daha ucuzdur.</t>
  </si>
  <si>
    <t>⚠ KESİNLEŞTİRİLECEK — ÇEKVALF: Bobin gerilimi, akımı ve tipi (solenoid mi, motorlu aktüatör mü) bildirilmedi; LC1E0610M5 kontaktör varsayıldı.</t>
  </si>
  <si>
    <t>⚠ KESİNLEŞTİRİLECEK — TERMOSTAT: Pano kapağında mı, saha tipi mi? Saha tipiyse kumanda klemensi ve kablo girişi, pano tipiyse kapak delme ve modül yeri gerekir.</t>
  </si>
  <si>
    <t>⚠ KESİNLEŞTİRİLECEK — KABLO RAKORLARI: Fotoğrafta 5 adet görülüyor; çapları (M20/M25/M32) kablo kesitleri belli olunca netleşir. Şu an "Монтажные материалы %3" içindedir.</t>
  </si>
  <si>
    <t>⚠ KESİNLEŞTİRİLECEK — SİNYAL LAMBASI: Fotoğrafta 3 adet KIRMIZI var, BOM da 3×kırmızı aldı. Faz göstergesi (kırmızı-sarı-yeşil) isteniyorsa artikül değişir.</t>
  </si>
  <si>
    <t>⚠ KESİNLEŞTİRİLECEK — KLEMENS KESİTLERİ: 16/6/4/2,5 mm² dağılımı varsayımdır (51 adet/pano). Saha kablo kesitleri gelince revize edilecek.</t>
  </si>
  <si>
    <t>⚠ KESİNLEŞTİRİLECEK — GİRİŞ: Ana şalter seçimi (C40/C63/C50) yalnızca yüke göredir. Üst pano koruması, giriş kablo kesiti ve kısa devre akımı (Ik) bilinmeden selektivite ve kA teyidi yapılamaz.</t>
  </si>
  <si>
    <t>⚠ KESİNLEŞTİRİLECEK — KORPUS: KAZTEK 714-15120, 650×500×220 (В×Ш×Г) IP54. Modül doluluğu %78 (77,7/100, 4 sıra DIN ray varsayımı). Yerleşim çizimi ve kablo bükülme yarıçapı ile teyit edilecek. Kapak: 3 delik Ø22 + kilit; gövde: 5 rakor deliği.</t>
  </si>
  <si>
    <t>ℹ KAYNAK — Tek hat şeması YOKTUR. Bu BOM 12.08.2026 tarihli 5 numune pano fotoğrafı + müşterinin yazılı güç listesinden (4×20/3 kW, 10×26/8 kW, 1×22/8 kW) üretilmiştir. Şema geldiğinde devices.json güncellenip diff.py ile fark alınacaktır.</t>
  </si>
  <si>
    <t>Fiyat kaynağı: 260806_YSF_HICH_Birlesik_Fiyat_Listesi_v2.xlsx. Fiyatlar bu dosyanın FIYAT_KAYNAK sayfasına kopyalanmıştır.</t>
  </si>
  <si>
    <t>Fiyatı bulunamayan kalemlerin Цена/Сумма hücreleri BİLİNÇLİ olarak boştur — sıfır yazılmaz, toplam görünür şekilde eksilir.</t>
  </si>
  <si>
    <t>KONTROL satırları kırmızı zeminlidir; adetleri gerçektir (atölye/tedarik için) ancak pano toplamına DAHİL DEĞİLDİR.</t>
  </si>
  <si>
    <t>İşçilik: Кол-во sütunu DAKİKA cinsindendir. Цена нетто = KZT/dakika. Цена (лист) sütunu saat karşılığını gösterir.</t>
  </si>
  <si>
    <t>[ЩУ-1 (нагрев 20 кВт + вентилятор 3 кВт)/QF1] Суммарная нагрузка 23 кВт → 33.2 А. Вводной аппарат добавлен по нормам НКУ; на фото образца отсутствует — подтвердить. Заказной код KZ: A9F79340 (TR-код A9F74340 — идентичный продукт, SE FAQ000234158). Цена взята по TR-прайсу 23.07.2025.</t>
  </si>
  <si>
    <t>[ЩУ-1 (нагрев 20 кВт + вентилятор 3 кВт)/QF2-QF3] Нагреватель 20 кВт разделён на 2 ступени по 10 кВт (14.4 А/ступень) — по образцу на фото 2 группы «Rezistans». Заказной код KZ: A9F79320 (TR-код A9F74320 — идентичный продукт, SE FAQ000234158). Цена взята по TR-прайсу 23.07.2025.</t>
  </si>
  <si>
    <t>[ЩУ-1 (нагрев 20 кВт + вентилятор 3 кВт)/QF4] R3: MCB + тепловое реле заменены одним автоматом защиты двигателя (GV2). Уставку выставить по паспортному току двигателя (расчёт ≈6,0 А).</t>
  </si>
  <si>
    <t>[ЩУ-1 (нагрев 20 кВт + вентилятор 3 кВт)/QF5] Заказной код KZ: A9F79110 (TR-код A9F74110 — идентичный продукт, SE FAQ000234158). Цена взята по TR-прайсу 23.07.2025.</t>
  </si>
  <si>
    <t>[ЩУ-1 (нагрев 20 кВт + вентилятор 3 кВт)/QF6-QF7] Заказной код KZ: A9F79106 (TR-код A9F74106 — идентичный продукт, SE FAQ000234158). Цена взята по TR-прайсу 23.07.2025.</t>
  </si>
  <si>
    <t>[ЩУ-1 (нагрев 20 кВт + вентилятор 3 кВт)/KM1-KM2] Режим AC-1 (резистивная нагрузка): I=14.4 А/ступень, выбран контактор с запасом ≥2× по AC-1. На фото образца стоят LC1E40M5 — подтвердить.</t>
  </si>
  <si>
    <t>[ЩУ-1 (нагрев 20 кВт + вентилятор 3 кВт)/HL1-HL3] Tek kaynaktan sayıldı (sema) — çift kaynak doğrulaması yapılmadı.</t>
  </si>
  <si>
    <t>[ЩУ-1 (нагрев 20 кВт + вентилятор 3 кВт)/XT1] Tek kaynaktan sayıldı (sema) — çift kaynak doğrulaması yapılmadı.</t>
  </si>
  <si>
    <t>[ЩУ-1 (нагрев 20 кВт + вентилятор 3 кВт)/XT2] Tek kaynaktan sayıldı (sema) — çift kaynak doğrulaması yapılmadı.</t>
  </si>
  <si>
    <t>[ЩУ-1 (нагрев 20 кВт + вентилятор 3 кВт)/XT3] Tek kaynaktan sayıldı (sema) — çift kaynak doğrulaması yapılmadı.</t>
  </si>
  <si>
    <t>[ЩУ-1 (нагрев 20 кВт + вентилятор 3 кВт)/XT4] Tek kaynaktan sayıldı (sema) — çift kaynak doğrulaması yapılmadı.</t>
  </si>
  <si>
    <t>[ЩУ-1 (нагрев 20 кВт + вентилятор 3 кВт)/XT5] Tek kaynaktan sayıldı (sema) — çift kaynak doğrulaması yapılmadı.</t>
  </si>
  <si>
    <t>[ЩУ-1 (нагрев 20 кВт + вентилятор 3 кВт)/XT6] Tek kaynaktan sayıldı (sema) — çift kaynak doğrulaması yapılmadı.</t>
  </si>
  <si>
    <t>[ЩУ-1 (нагрев 20 кВт + вентилятор 3 кВт)/DIN1] Tek kaynaktan sayıldı (sema) — çift kaynak doğrulaması yapılmadı.</t>
  </si>
  <si>
    <t>[ЩУ-1 (нагрев 20 кВт + вентилятор 3 кВт)/DIN1] 1 шт = 2 м. Норма труда в листе Kurallar задана на метр — при необходимости откорректировать.</t>
  </si>
  <si>
    <t>[ЩУ-1 (нагрев 20 кВт + вентилятор 3 кВт)/KK1] Tek kaynaktan sayıldı (sema) — çift kaynak doğrulaması yapılmadı.</t>
  </si>
  <si>
    <t>[ЩУ-1 (нагрев 20 кВт + вентилятор 3 кВт)/KK2] Tek kaynaktan sayıldı (sema) — çift kaynak doğrulaması yapılmadı.</t>
  </si>
  <si>
    <t>[ЩУ-1 (нагрев 20 кВт + вентилятор 3 кВт)] Çok kutuplu OTO/DİF ek işçiliği norm tablosuna AYRI SATIR olarak girildi: 6 ek kutup × 2 dk = 12 dk (toplama dahildir).</t>
  </si>
  <si>
    <t>[ЩУ-2 (нагрев 26 кВт + вентилятор 8 кВт)/QF1] Суммарная нагрузка 34 кВт → 49.1 А. Вводной аппарат добавлен по нормам НКУ; на фото образца отсутствует — подтвердить. Заказной код KZ: A9F79363 (TR-код A9F74363 — идентичный продукт, SE FAQ000234158). Цена взята по TR-прайсу 23.07.2025.</t>
  </si>
  <si>
    <t>[ЩУ-2 (нагрев 26 кВт + вентилятор 8 кВт)/QF2-QF3] Нагреватель 26 кВт разделён на 2 ступени по 13 кВт (18.8 А/ступень) — по образцу на фото 2 группы «Rezistans». Заказной код KZ: A9F79325 (TR-код A9F74325 — идентичный продукт, SE FAQ000234158). Цена взята по TR-прайсу 23.07.2025.</t>
  </si>
  <si>
    <t>[ЩУ-2 (нагрев 26 кВт + вентилятор 8 кВт)/QF4] R3: MCB + тепловое реле заменены одним автоматом защиты двигателя (GV2). Уставку выставить по паспортному току двигателя. Если Iн &gt; 18 А — требуется GV2ME21 (17…23 А).</t>
  </si>
  <si>
    <t>[ЩУ-2 (нагрев 26 кВт + вентилятор 8 кВт)/QF5] Заказной код KZ: A9F79110 (TR-код A9F74110 — идентичный продукт, SE FAQ000234158). Цена взята по TR-прайсу 23.07.2025.</t>
  </si>
  <si>
    <t>[ЩУ-2 (нагрев 26 кВт + вентилятор 8 кВт)/QF6-QF7] Заказной код KZ: A9F79106 (TR-код A9F74106 — идентичный продукт, SE FAQ000234158). Цена взята по TR-прайсу 23.07.2025.</t>
  </si>
  <si>
    <t>[ЩУ-2 (нагрев 26 кВт + вентилятор 8 кВт)/KM1-KM2] Режим AC-1 (резистивная нагрузка): I=18.8 А/ступень, выбран контактор с запасом ≥2× по AC-1. На фото образца стоят LC1E40M5 — подтвердить.</t>
  </si>
  <si>
    <t>[ЩУ-2 (нагрев 26 кВт + вентилятор 8 кВт)/HL1-HL3] Tek kaynaktan sayıldı (sema) — çift kaynak doğrulaması yapılmadı.</t>
  </si>
  <si>
    <t>[ЩУ-2 (нагрев 26 кВт + вентилятор 8 кВт)/XT1] Tek kaynaktan sayıldı (sema) — çift kaynak doğrulaması yapılmadı.</t>
  </si>
  <si>
    <t>[ЩУ-2 (нагрев 26 кВт + вентилятор 8 кВт)/XT2] Tek kaynaktan sayıldı (sema) — çift kaynak doğrulaması yapılmadı.</t>
  </si>
  <si>
    <t>[ЩУ-2 (нагрев 26 кВт + вентилятор 8 кВт)/XT3] Tek kaynaktan sayıldı (sema) — çift kaynak doğrulaması yapılmadı.</t>
  </si>
  <si>
    <t>[ЩУ-2 (нагрев 26 кВт + вентилятор 8 кВт)/XT4] Tek kaynaktan sayıldı (sema) — çift kaynak doğrulaması yapılmadı.</t>
  </si>
  <si>
    <t>[ЩУ-2 (нагрев 26 кВт + вентилятор 8 кВт)/XT5] Tek kaynaktan sayıldı (sema) — çift kaynak doğrulaması yapılmadı.</t>
  </si>
  <si>
    <t>[ЩУ-2 (нагрев 26 кВт + вентилятор 8 кВт)/XT6] Tek kaynaktan sayıldı (sema) — çift kaynak doğrulaması yapılmadı.</t>
  </si>
  <si>
    <t>[ЩУ-2 (нагрев 26 кВт + вентилятор 8 кВт)/DIN1] Tek kaynaktan sayıldı (sema) — çift kaynak doğrulaması yapılmadı.</t>
  </si>
  <si>
    <t>[ЩУ-2 (нагрев 26 кВт + вентилятор 8 кВт)/DIN1] 1 шт = 2 м. Норма труда в листе Kurallar задана на метр — при необходимости откорректировать.</t>
  </si>
  <si>
    <t>[ЩУ-2 (нагрев 26 кВт + вентилятор 8 кВт)/KK1] Tek kaynaktan sayıldı (sema) — çift kaynak doğrulaması yapılmadı.</t>
  </si>
  <si>
    <t>[ЩУ-2 (нагрев 26 кВт + вентилятор 8 кВт)/KK2] Tek kaynaktan sayıldı (sema) — çift kaynak doğrulaması yapılmadı.</t>
  </si>
  <si>
    <t>[ЩУ-2 (нагрев 26 кВт + вентилятор 8 кВт)] Çok kutuplu OTO/DİF ek işçiliği norm tablosuna AYRI SATIR olarak girildi: 6 ek kutup × 2 dk = 12 dk (toplama dahildir).</t>
  </si>
  <si>
    <t>[ЩУ-3 (нагрев 22 кВт + вентилятор 8 кВт)/QF1] Суммарная нагрузка 30 кВт → 43.3 А. Вводной аппарат добавлен по нормам НКУ; на фото образца отсутствует — подтвердить. Заказной код KZ: A9F79350 (TR-код A9F74350 — идентичный продукт, SE FAQ000234158). Цена взята по TR-прайсу 23.07.2025.</t>
  </si>
  <si>
    <t>[ЩУ-3 (нагрев 22 кВт + вентилятор 8 кВт)/QF2-QF3] Нагреватель 22 кВт разделён на 2 ступени по 11 кВт (15.9 А/ступень) — по образцу на фото 2 группы «Rezistans». Заказной код KZ: A9F79320 (TR-код A9F74320 — идентичный продукт, SE FAQ000234158). Цена взята по TR-прайсу 23.07.2025.</t>
  </si>
  <si>
    <t>[ЩУ-3 (нагрев 22 кВт + вентилятор 8 кВт)/QF4] R3: MCB + тепловое реле заменены одним автоматом защиты двигателя (GV2). Уставку выставить по паспортному току двигателя. Если Iн &gt; 18 А — требуется GV2ME21 (17…23 А).</t>
  </si>
  <si>
    <t>[ЩУ-3 (нагрев 22 кВт + вентилятор 8 кВт)/QF5] Заказной код KZ: A9F79110 (TR-код A9F74110 — идентичный продукт, SE FAQ000234158). Цена взята по TR-прайсу 23.07.2025.</t>
  </si>
  <si>
    <t>[ЩУ-3 (нагрев 22 кВт + вентилятор 8 кВт)/QF6-QF7] Заказной код KZ: A9F79106 (TR-код A9F74106 — идентичный продукт, SE FAQ000234158). Цена взята по TR-прайсу 23.07.2025.</t>
  </si>
  <si>
    <t>[ЩУ-3 (нагрев 22 кВт + вентилятор 8 кВт)/KM1-KM2] Режим AC-1 (резистивная нагрузка): I=15.9 А/ступень, выбран контактор с запасом ≥2× по AC-1. На фото образца стоят LC1E40M5 — подтвердить.</t>
  </si>
  <si>
    <t>[ЩУ-3 (нагрев 22 кВт + вентилятор 8 кВт)/HL1-HL3] Tek kaynaktan sayıldı (sema) — çift kaynak doğrulaması yapılmadı.</t>
  </si>
  <si>
    <t>[ЩУ-3 (нагрев 22 кВт + вентилятор 8 кВт)/XT1] Tek kaynaktan sayıldı (sema) — çift kaynak doğrulaması yapılmadı.</t>
  </si>
  <si>
    <t>[ЩУ-3 (нагрев 22 кВт + вентилятор 8 кВт)/XT2] Tek kaynaktan sayıldı (sema) — çift kaynak doğrulaması yapılmadı.</t>
  </si>
  <si>
    <t>[ЩУ-3 (нагрев 22 кВт + вентилятор 8 кВт)/XT3] Tek kaynaktan sayıldı (sema) — çift kaynak doğrulaması yapılmadı.</t>
  </si>
  <si>
    <t>[ЩУ-3 (нагрев 22 кВт + вентилятор 8 кВт)/XT4] Tek kaynaktan sayıldı (sema) — çift kaynak doğrulaması yapılmadı.</t>
  </si>
  <si>
    <t>[ЩУ-3 (нагрев 22 кВт + вентилятор 8 кВт)/XT5] Tek kaynaktan sayıldı (sema) — çift kaynak doğrulaması yapılmadı.</t>
  </si>
  <si>
    <t>[ЩУ-3 (нагрев 22 кВт + вентилятор 8 кВт)/XT6] Tek kaynaktan sayıldı (sema) — çift kaynak doğrulaması yapılmadı.</t>
  </si>
  <si>
    <t>[ЩУ-3 (нагрев 22 кВт + вентилятор 8 кВт)/DIN1] Tek kaynaktan sayıldı (sema) — çift kaynak doğrulaması yapılmadı.</t>
  </si>
  <si>
    <t>[ЩУ-3 (нагрев 22 кВт + вентилятор 8 кВт)/DIN1] 1 шт = 2 м. Норма труда в листе Kurallar задана на метр — при необходимости откорректировать.</t>
  </si>
  <si>
    <t>[ЩУ-3 (нагрев 22 кВт + вентилятор 8 кВт)/KK1] Tek kaynaktan sayıldı (sema) — çift kaynak doğrulaması yapılmadı.</t>
  </si>
  <si>
    <t>[ЩУ-3 (нагрев 22 кВт + вентилятор 8 кВт)/KK2] Tek kaynaktan sayıldı (sema) — çift kaynak doğrulaması yapılmadı.</t>
  </si>
  <si>
    <t>[ЩУ-3 (нагрев 22 кВт + вентилятор 8 кВт)] Çok kutuplu OTO/DİF ek işçiliği norm tablosuna AYRI SATIR olarak girildi: 6 ek kutup × 2 dk = 12 dk (toplama dahildir).</t>
  </si>
  <si>
    <t>Bu sayfa birleşik fiyat listesinden kopyalanmıştır. Elle değiştirmeyin.</t>
  </si>
  <si>
    <t>ANAHTAR</t>
  </si>
  <si>
    <t>ARTIKUL</t>
  </si>
  <si>
    <t>ACIKLAMA</t>
  </si>
  <si>
    <t>BIRIM</t>
  </si>
  <si>
    <t>LISTE</t>
  </si>
  <si>
    <t>PARA</t>
  </si>
  <si>
    <t>KUR</t>
  </si>
  <si>
    <t>NET_KZT</t>
  </si>
  <si>
    <t>KAYNAK</t>
  </si>
  <si>
    <t>KAZTEK|714-15120</t>
  </si>
  <si>
    <t>ШТ</t>
  </si>
  <si>
    <t>Kaztek 15.07.2026</t>
  </si>
  <si>
    <t>SCHNEIDER|A9F79340</t>
  </si>
  <si>
    <t>Автоматический выключатель Acti9 iC60N 3P 40A, характеристика C, 6кА [KZ/RU артикул; идентичен TR-коду A9F74340]</t>
  </si>
  <si>
    <t>Schneider TR 23.07.2025 (цена по A9F74340, SE FAQ000234158)</t>
  </si>
  <si>
    <t>SCHNEIDER|A9F79320</t>
  </si>
  <si>
    <t>Автоматический выключатель Acti9 iC60N 3P 20A, характеристика C, 6кА [KZ/RU артикул; идентичен TR-коду A9F74320]</t>
  </si>
  <si>
    <t>Schneider TR 23.07.2025 (цена по A9F74320, SE FAQ000234158)</t>
  </si>
  <si>
    <t>SCHNEIDER|GV2ME14</t>
  </si>
  <si>
    <t>Автоматический выключатель защиты двигателя TeSys GV2ME14 3P, диапазон уставки 6...10 А, Pn 4 кВт (380/400В), Icu 15…100кА</t>
  </si>
  <si>
    <t>Schneider TR 23.07.2025 s.073 (списке как "GV2-ME4")</t>
  </si>
  <si>
    <t>SCHNEIDER|A9F79110</t>
  </si>
  <si>
    <t>Автоматический выключатель Acti9 iC60N 1P 10A, характеристика C, 6кА [KZ/RU артикул; идентичен TR-коду A9F74110]</t>
  </si>
  <si>
    <t>Schneider TR 23.07.2025 (цена по A9F74110, SE FAQ000234158)</t>
  </si>
  <si>
    <t>SCHNEIDER|A9F79106</t>
  </si>
  <si>
    <t>Автоматический выключатель Acti9 iC60N 1P 6A, характеристика C, 6кА [KZ/RU артикул; идентичен TR-коду A9F74106]</t>
  </si>
  <si>
    <t>Schneider TR 23.07.2025 (цена по A9F74106, SE FAQ000234158)</t>
  </si>
  <si>
    <t>SCHNEIDER|LC1E1810M5</t>
  </si>
  <si>
    <t>Контактор Easy TeSys LC1E1810M5 3P 18A (AC-3) 7.5кВт 380/400В, доп.контакты 1NO+0NC, катушка 220В AC 50Гц</t>
  </si>
  <si>
    <t>Schneider TR 23.07.2025 s.064</t>
  </si>
  <si>
    <t>SCHNEIDER|LC1E0910M5</t>
  </si>
  <si>
    <t>Контактор Easy TeSys LC1E0910M5 3P 9A (AC-3) 4кВт 380/400В, доп.контакты 1NO+0NC, катушка 220В AC 50Гц</t>
  </si>
  <si>
    <t>SCHNEIDER|LC1E0610M5</t>
  </si>
  <si>
    <t>Контактор Easy TeSys LC1E0610M5 3P 6A (AC-3) 2.2кВт 380/400В, доп.контакты 1NO+0NC, катушка 220В AC 50Гц</t>
  </si>
  <si>
    <t>CHINT|593012</t>
  </si>
  <si>
    <t>Индикатор ND16-22DS/4 красный АС230В (R)</t>
  </si>
  <si>
    <t>CHINT 13.06.2026</t>
  </si>
  <si>
    <t>EKT|130301157_</t>
  </si>
  <si>
    <t>ЗНИ 16мм ² (100А) серый UNIT (50/1000)</t>
  </si>
  <si>
    <t>EKT 19.06.2025</t>
  </si>
  <si>
    <t>EKT|130301158_</t>
  </si>
  <si>
    <t>ЗНИ 16мм ² (100А) синий UNIT (50/1000)</t>
  </si>
  <si>
    <t>EKT|130300227_</t>
  </si>
  <si>
    <t>ЗНИ 10PEN 10мм2 (JXB-земля) IEK E-PRO</t>
  </si>
  <si>
    <t>EKT|130301154_</t>
  </si>
  <si>
    <t>ЗНИ 6мм ² серый UNIT (50/2000)</t>
  </si>
  <si>
    <t>EKT|130301153_</t>
  </si>
  <si>
    <t>ЗНИ 4мм ² (35А) серый UNIT (50/2500)</t>
  </si>
  <si>
    <t>EKT|130301152_</t>
  </si>
  <si>
    <t>ЗНИ 2.5мм ² (24А) серый UNIT (50/2500)</t>
  </si>
  <si>
    <t>CHINT|570002</t>
  </si>
  <si>
    <t>DIN-рейка оцинкованная TH35-7.5 200cm</t>
  </si>
  <si>
    <t>EKT|280100020_</t>
  </si>
  <si>
    <t>Кабель.канал перф. 40х40 ИМПАКТ IEK (36)</t>
  </si>
  <si>
    <t>EKT|270300079_</t>
  </si>
  <si>
    <t>Кабель.канал перф. 25х40 ИМПАКТ IEK (60)</t>
  </si>
  <si>
    <t>SCHNEIDER|A9F79363</t>
  </si>
  <si>
    <t>Автоматический выключатель Acti9 iC60N 3P 63A, характеристика C, 6кА [KZ/RU артикул; идентичен TR-коду A9F74363]</t>
  </si>
  <si>
    <t>Schneider TR 23.07.2025 (цена по A9F74363, SE FAQ000234158)</t>
  </si>
  <si>
    <t>SCHNEIDER|A9F79325</t>
  </si>
  <si>
    <t>Автоматический выключатель Acti9 iC60N 3P 25A, характеристика C, 6кА [KZ/RU артикул; идентичен TR-коду A9F74325]</t>
  </si>
  <si>
    <t>Schneider TR 23.07.2025 (цена по A9F74325, SE FAQ000234158)</t>
  </si>
  <si>
    <t>SCHNEIDER|GV2ME20</t>
  </si>
  <si>
    <t>Автоматический выключатель защиты двигателя TeSys GV2ME20 3P, диапазон уставки 13...18 А, Pn 7,5 кВт (380/400В), Icu 15…100кА</t>
  </si>
  <si>
    <t>Schneider TR 23.07.2025 s.073 (списке как "GV2-ME0")</t>
  </si>
  <si>
    <t>SCHNEIDER|LC1E2510M5</t>
  </si>
  <si>
    <t>Контактор Easy TeSys LC1E2510M5 3P 25A (AC-3) 11кВт 380/400В, доп.контакты 1NO+0NC, катушка 220В AC 50Гц</t>
  </si>
  <si>
    <t>SCHNEIDER|A9F79350</t>
  </si>
  <si>
    <t>Автоматический выключатель Acti9 iC60N 3P 50A, характеристика C, 6кА [KZ/RU артикул; идентичен TR-коду A9F74350]</t>
  </si>
  <si>
    <t>Schneider TR 23.07.2025 (цена по A9F74350, SE FAQ000234158)</t>
  </si>
  <si>
    <t>CANLI DENETİM — her kontrol BOM verisinden BAĞIMSIZ yeniden hesaplanır</t>
  </si>
  <si>
    <t>Kurallar sayfasında kur, katsayı veya norm değiştirilirse bu sayfa da yeniden hesaplanır. Herhangi bir satır HATA gösterirse dosya teklife verilmez.</t>
  </si>
  <si>
    <t>#</t>
  </si>
  <si>
    <t>KONTROL</t>
  </si>
  <si>
    <t>BEKLENEN (bağımsız hesap)</t>
  </si>
  <si>
    <t>DOSYADAKİ DEĞER</t>
  </si>
  <si>
    <t>SONUÇ</t>
  </si>
  <si>
    <t>K01</t>
  </si>
  <si>
    <t>SATINALMA ↔ BOM malzeme mutabakatı</t>
  </si>
  <si>
    <t>İki liste ayrı yoldan kurulur: BOM satır satır, SATINALMA artikül bazında toplanır. Eşit olmalı.</t>
  </si>
  <si>
    <t>K02</t>
  </si>
  <si>
    <t>GENEL TOPLAM = Σ(pano toplamı × komplekt)</t>
  </si>
  <si>
    <t>Genel toplam formülü bağımsız çarpımla karşılaştırılır.</t>
  </si>
  <si>
    <t>K03</t>
  </si>
  <si>
    <t>СВОД ↔ BOM tutarlılığı</t>
  </si>
  <si>
    <t>СВОД sayfasındaki İTOGO ile BOM genel toplamı aynı olmalı.</t>
  </si>
  <si>
    <t>K04</t>
  </si>
  <si>
    <t>Klemens adedi (1 pano × komplekt)</t>
  </si>
  <si>
    <t>BOM satırlarından SUMIF ile sayılır; beklenen 51 × 15 = 765.</t>
  </si>
  <si>
    <t>K05</t>
  </si>
  <si>
    <t>İşçilik dakikası = norm tablosu × test katsayısı</t>
  </si>
  <si>
    <t>Norm ara toplamı (Kurallar!D40) × TEST_ETIKET_KATS. Norm hücresi değişince BOM da değişir.</t>
  </si>
  <si>
    <t>K06</t>
  </si>
  <si>
    <t>İşçilik tutarı = dakika × KZT/dk</t>
  </si>
  <si>
    <t>ЩУ-1 satırı üzerinden doğrulanır.</t>
  </si>
  <si>
    <t>K07</t>
  </si>
  <si>
    <t>Montaj malzemesi = malzeme ara toplamı × oran</t>
  </si>
  <si>
    <t>ЩУ-1 satırı üzerinden doğrulanır (MONTAJ_MALZ_YUZDE).</t>
  </si>
  <si>
    <t>K08</t>
  </si>
  <si>
    <t>Schneider net fiyat zinciri (örnek: A9F79340)</t>
  </si>
  <si>
    <t>liste × marka katsayısı × kur. Katsayı veya kur değişince ikisi birlikte değişmeli.</t>
  </si>
  <si>
    <t>K09</t>
  </si>
  <si>
    <t>Boş fiyat hücresi (artikülü var, fiyatı yok)</t>
  </si>
  <si>
    <t>Artikülü olup net fiyatı boş kalan satır sayısı. 0 olmalı; değilse eksik fiyat vardır.</t>
  </si>
  <si>
    <t>K10</t>
  </si>
  <si>
    <t>Sıfır yazılmış fiyat hücresi</t>
  </si>
  <si>
    <t>Kural: fiyat yoksa hücre BOŞ kalır, asla 0 yazılmaz.</t>
  </si>
  <si>
    <t>GENEL SONUÇ</t>
  </si>
  <si>
    <t>719-15</t>
  </si>
  <si>
    <t>Мет. ЩМП-3 (650х500х220) IP54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</si>
</sst>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##"/>
    <numFmt numFmtId="165" formatCode="#,##0.0"/>
    <numFmt numFmtId="166" formatCode="0.0"/>
    <numFmt numFmtId="167" formatCode="0.0000"/>
    <numFmt numFmtId="168" formatCode="#,##0.####"/>
  </numFmts>
  <fonts count="10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3"/>
      <name val="Arial"/>
      <family val="2"/>
      <charset val="204"/>
    </font>
    <font>
      <i/>
      <sz val="9"/>
      <name val="Arial"/>
      <family val="2"/>
      <charset val="204"/>
    </font>
    <font>
      <b/>
      <sz val="12"/>
      <name val="Arial"/>
      <family val="2"/>
      <charset val="204"/>
    </font>
    <font>
      <sz val="10"/>
      <color rgb="FF0000FF"/>
      <name val="Arial"/>
      <family val="2"/>
      <charset val="204"/>
    </font>
    <font>
      <b/>
      <sz val="10"/>
      <color rgb="FFC0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D9D9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FFF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/>
    <xf numFmtId="0" fontId="3" fillId="4" borderId="1" xfId="0" applyFont="1" applyFill="1" applyBorder="1"/>
    <xf numFmtId="0" fontId="0" fillId="3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4" fontId="2" fillId="0" borderId="1" xfId="0" applyNumberFormat="1" applyFont="1" applyBorder="1"/>
    <xf numFmtId="3" fontId="2" fillId="0" borderId="1" xfId="0" applyNumberFormat="1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3" fontId="3" fillId="3" borderId="1" xfId="0" applyNumberFormat="1" applyFont="1" applyFill="1" applyBorder="1"/>
    <xf numFmtId="0" fontId="0" fillId="0" borderId="1" xfId="0" applyBorder="1"/>
    <xf numFmtId="0" fontId="3" fillId="0" borderId="1" xfId="0" applyFont="1" applyBorder="1"/>
    <xf numFmtId="3" fontId="4" fillId="5" borderId="1" xfId="0" applyNumberFormat="1" applyFont="1" applyFill="1" applyBorder="1"/>
    <xf numFmtId="0" fontId="5" fillId="0" borderId="0" xfId="0" applyFont="1"/>
    <xf numFmtId="0" fontId="6" fillId="0" borderId="0" xfId="0" applyFont="1"/>
    <xf numFmtId="9" fontId="2" fillId="0" borderId="1" xfId="0" applyNumberFormat="1" applyFont="1" applyBorder="1"/>
    <xf numFmtId="3" fontId="4" fillId="3" borderId="1" xfId="0" applyNumberFormat="1" applyFont="1" applyFill="1" applyBorder="1"/>
    <xf numFmtId="0" fontId="7" fillId="0" borderId="0" xfId="0" applyFont="1"/>
    <xf numFmtId="0" fontId="3" fillId="0" borderId="0" xfId="0" applyFont="1"/>
    <xf numFmtId="0" fontId="2" fillId="0" borderId="0" xfId="0" applyFont="1"/>
    <xf numFmtId="0" fontId="8" fillId="4" borderId="0" xfId="0" applyFont="1" applyFill="1"/>
    <xf numFmtId="9" fontId="8" fillId="4" borderId="0" xfId="0" applyNumberFormat="1" applyFont="1" applyFill="1"/>
    <xf numFmtId="0" fontId="1" fillId="2" borderId="0" xfId="0" applyFont="1" applyFill="1"/>
    <xf numFmtId="166" fontId="8" fillId="4" borderId="0" xfId="0" applyNumberFormat="1" applyFont="1" applyFill="1"/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3" fontId="3" fillId="5" borderId="0" xfId="0" applyNumberFormat="1" applyFont="1" applyFill="1"/>
    <xf numFmtId="4" fontId="8" fillId="4" borderId="0" xfId="0" applyNumberFormat="1" applyFont="1" applyFill="1"/>
    <xf numFmtId="167" fontId="8" fillId="4" borderId="0" xfId="0" applyNumberFormat="1" applyFont="1" applyFill="1"/>
    <xf numFmtId="0" fontId="9" fillId="6" borderId="0" xfId="0" applyFont="1" applyFill="1"/>
    <xf numFmtId="4" fontId="2" fillId="0" borderId="0" xfId="0" applyNumberFormat="1" applyFont="1"/>
    <xf numFmtId="167" fontId="2" fillId="0" borderId="0" xfId="0" applyNumberFormat="1" applyFont="1"/>
    <xf numFmtId="3" fontId="2" fillId="0" borderId="0" xfId="0" applyNumberFormat="1" applyFont="1"/>
    <xf numFmtId="168" fontId="2" fillId="0" borderId="1" xfId="0" applyNumberFormat="1" applyFont="1" applyBorder="1"/>
    <xf numFmtId="0" fontId="3" fillId="5" borderId="0" xfId="0" applyFont="1" applyFill="1"/>
  </cellXfs>
  <cellStyles count="1">
    <cellStyle name="Normal" xfId="0" builtinId="0"/>
  </cellStyles>
  <dxfs count="2">
    <dxf>
      <fill>
        <patternFill>
          <bgColor rgb="FFFFEB9C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69"/>
  <sheetViews>
    <sheetView zoomScaleNormal="100" workbookViewId="0">
      <pane ySplit="1" topLeftCell="A3" activePane="bottomLeft" state="frozen"/>
      <selection pane="bottomLeft" activeCell="D3" sqref="D3:E3"/>
    </sheetView>
  </sheetViews>
  <sheetFormatPr defaultColWidth="8.7109375" defaultRowHeight="15" x14ac:dyDescent="0.25"/>
  <cols>
    <col min="1" max="1" width="6" customWidth="1"/>
    <col min="2" max="2" width="20" customWidth="1"/>
    <col min="3" max="3" width="18" customWidth="1"/>
    <col min="4" max="4" width="16" customWidth="1"/>
    <col min="5" max="5" width="104.7109375" customWidth="1"/>
    <col min="6" max="6" width="13" customWidth="1"/>
    <col min="7" max="8" width="15" customWidth="1"/>
    <col min="9" max="10" width="10" customWidth="1"/>
    <col min="11" max="11" width="12" customWidth="1"/>
  </cols>
  <sheetData>
    <row r="1" spans="1:11" ht="23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" hidden="1" customHeight="1" x14ac:dyDescent="0.25">
      <c r="A2" s="2">
        <v>1</v>
      </c>
      <c r="B2" s="3" t="str">
        <f>E2</f>
        <v>ЩУ-1 (нагрев 20 кВт + вентилятор 3 кВт)</v>
      </c>
      <c r="C2" s="4"/>
      <c r="D2" s="4"/>
      <c r="E2" s="5" t="s">
        <v>11</v>
      </c>
      <c r="F2" s="4"/>
      <c r="G2" s="4"/>
      <c r="H2" s="4"/>
      <c r="I2" s="5">
        <v>4</v>
      </c>
      <c r="J2" s="5" t="s">
        <v>12</v>
      </c>
      <c r="K2" s="4"/>
    </row>
    <row r="3" spans="1:11" ht="15" customHeight="1" x14ac:dyDescent="0.25">
      <c r="A3" s="6">
        <v>2</v>
      </c>
      <c r="B3" s="6"/>
      <c r="C3" s="6" t="s">
        <v>13</v>
      </c>
      <c r="D3" s="6" t="s">
        <v>366</v>
      </c>
      <c r="E3" s="6" t="s">
        <v>367</v>
      </c>
      <c r="F3" s="7">
        <f>IFERROR(INDEX(FIYAT_KAYNAK!$F$3:$F$26,MATCH("KAZTEK|714-15120",FIYAT_KAYNAK!$A$3:$A$26,0)),"")</f>
        <v>29525</v>
      </c>
      <c r="G3" s="8">
        <f>0.6*F3</f>
        <v>17715</v>
      </c>
      <c r="H3" s="8">
        <f t="shared" ref="H3:H19" si="0">IF(OR(G3="",I3=""),"",G3*I3)</f>
        <v>17715</v>
      </c>
      <c r="I3" s="9">
        <v>1</v>
      </c>
      <c r="J3" s="6" t="s">
        <v>15</v>
      </c>
      <c r="K3" s="6" t="s">
        <v>16</v>
      </c>
    </row>
    <row r="4" spans="1:11" ht="15" hidden="1" customHeight="1" x14ac:dyDescent="0.25">
      <c r="A4" s="6">
        <v>4</v>
      </c>
      <c r="B4" s="6"/>
      <c r="C4" s="6" t="s">
        <v>17</v>
      </c>
      <c r="D4" s="6" t="s">
        <v>20</v>
      </c>
      <c r="E4" s="6" t="s">
        <v>21</v>
      </c>
      <c r="F4" s="7">
        <f>IFERROR(INDEX(FIYAT_KAYNAK!$F$3:$F$26,MATCH("SCHNEIDER|A9F79320",FIYAT_KAYNAK!$A$3:$A$26,0)),"")</f>
        <v>1884</v>
      </c>
      <c r="G4" s="8">
        <f>IFERROR(INDEX(FIYAT_KAYNAK!$J$3:$J$26,MATCH("SCHNEIDER|A9F79320",FIYAT_KAYNAK!$A$3:$A$26,0)),"")</f>
        <v>12321.359999999999</v>
      </c>
      <c r="H4" s="8">
        <f t="shared" si="0"/>
        <v>24642.719999999998</v>
      </c>
      <c r="I4" s="9">
        <v>2</v>
      </c>
      <c r="J4" s="6" t="s">
        <v>15</v>
      </c>
      <c r="K4" s="6" t="s">
        <v>19</v>
      </c>
    </row>
    <row r="5" spans="1:11" ht="15" hidden="1" customHeight="1" x14ac:dyDescent="0.25">
      <c r="A5" s="6">
        <v>6</v>
      </c>
      <c r="B5" s="6"/>
      <c r="C5" s="6" t="s">
        <v>17</v>
      </c>
      <c r="D5" s="6" t="s">
        <v>24</v>
      </c>
      <c r="E5" s="6" t="s">
        <v>25</v>
      </c>
      <c r="F5" s="7">
        <f>IFERROR(INDEX(FIYAT_KAYNAK!$F$3:$F$26,MATCH("SCHNEIDER|A9F79110",FIYAT_KAYNAK!$A$3:$A$26,0)),"")</f>
        <v>446.8</v>
      </c>
      <c r="G5" s="8">
        <f>IFERROR(INDEX(FIYAT_KAYNAK!$J$3:$J$26,MATCH("SCHNEIDER|A9F79110",FIYAT_KAYNAK!$A$3:$A$26,0)),"")</f>
        <v>2922.0720000000001</v>
      </c>
      <c r="H5" s="8">
        <f t="shared" si="0"/>
        <v>2922.0720000000001</v>
      </c>
      <c r="I5" s="9">
        <v>1</v>
      </c>
      <c r="J5" s="6" t="s">
        <v>15</v>
      </c>
      <c r="K5" s="6" t="s">
        <v>19</v>
      </c>
    </row>
    <row r="6" spans="1:11" ht="15" hidden="1" customHeight="1" x14ac:dyDescent="0.25">
      <c r="A6" s="6">
        <v>7</v>
      </c>
      <c r="B6" s="6"/>
      <c r="C6" s="6" t="s">
        <v>17</v>
      </c>
      <c r="D6" s="6" t="s">
        <v>26</v>
      </c>
      <c r="E6" s="6" t="s">
        <v>27</v>
      </c>
      <c r="F6" s="7">
        <f>IFERROR(INDEX(FIYAT_KAYNAK!$F$3:$F$26,MATCH("SCHNEIDER|A9F79106",FIYAT_KAYNAK!$A$3:$A$26,0)),"")</f>
        <v>446.8</v>
      </c>
      <c r="G6" s="8">
        <f>IFERROR(INDEX(FIYAT_KAYNAK!$J$3:$J$26,MATCH("SCHNEIDER|A9F79106",FIYAT_KAYNAK!$A$3:$A$26,0)),"")</f>
        <v>2922.0720000000001</v>
      </c>
      <c r="H6" s="8">
        <f t="shared" si="0"/>
        <v>5844.1440000000002</v>
      </c>
      <c r="I6" s="9">
        <v>2</v>
      </c>
      <c r="J6" s="6" t="s">
        <v>15</v>
      </c>
      <c r="K6" s="6" t="s">
        <v>19</v>
      </c>
    </row>
    <row r="7" spans="1:11" ht="15" hidden="1" customHeight="1" x14ac:dyDescent="0.25">
      <c r="A7" s="6">
        <v>8</v>
      </c>
      <c r="B7" s="6"/>
      <c r="C7" s="6" t="s">
        <v>28</v>
      </c>
      <c r="D7" s="6" t="s">
        <v>29</v>
      </c>
      <c r="E7" s="6" t="s">
        <v>30</v>
      </c>
      <c r="F7" s="7">
        <f>IFERROR(INDEX(FIYAT_KAYNAK!$F$3:$F$26,MATCH("SCHNEIDER|LC1E1810M5",FIYAT_KAYNAK!$A$3:$A$26,0)),"")</f>
        <v>1628</v>
      </c>
      <c r="G7" s="8">
        <f>IFERROR(INDEX(FIYAT_KAYNAK!$J$3:$J$26,MATCH("SCHNEIDER|LC1E1810M5",FIYAT_KAYNAK!$A$3:$A$26,0)),"")</f>
        <v>10647.119999999999</v>
      </c>
      <c r="H7" s="8">
        <f t="shared" si="0"/>
        <v>21294.239999999998</v>
      </c>
      <c r="I7" s="9">
        <v>2</v>
      </c>
      <c r="J7" s="6" t="s">
        <v>15</v>
      </c>
      <c r="K7" s="6" t="s">
        <v>19</v>
      </c>
    </row>
    <row r="8" spans="1:11" ht="15" hidden="1" customHeight="1" x14ac:dyDescent="0.25">
      <c r="A8" s="6">
        <v>9</v>
      </c>
      <c r="B8" s="6"/>
      <c r="C8" s="6" t="s">
        <v>28</v>
      </c>
      <c r="D8" s="6" t="s">
        <v>31</v>
      </c>
      <c r="E8" s="6" t="s">
        <v>32</v>
      </c>
      <c r="F8" s="7">
        <f>IFERROR(INDEX(FIYAT_KAYNAK!$F$3:$F$26,MATCH("SCHNEIDER|LC1E0910M5",FIYAT_KAYNAK!$A$3:$A$26,0)),"")</f>
        <v>1217</v>
      </c>
      <c r="G8" s="8">
        <f>IFERROR(INDEX(FIYAT_KAYNAK!$J$3:$J$26,MATCH("SCHNEIDER|LC1E0910M5",FIYAT_KAYNAK!$A$3:$A$26,0)),"")</f>
        <v>7959.1799999999994</v>
      </c>
      <c r="H8" s="8">
        <f t="shared" si="0"/>
        <v>7959.1799999999994</v>
      </c>
      <c r="I8" s="9">
        <v>1</v>
      </c>
      <c r="J8" s="6" t="s">
        <v>15</v>
      </c>
      <c r="K8" s="6" t="s">
        <v>19</v>
      </c>
    </row>
    <row r="9" spans="1:11" ht="15" hidden="1" customHeight="1" x14ac:dyDescent="0.25">
      <c r="A9" s="6">
        <v>10</v>
      </c>
      <c r="B9" s="6"/>
      <c r="C9" s="6" t="s">
        <v>28</v>
      </c>
      <c r="D9" s="6" t="s">
        <v>33</v>
      </c>
      <c r="E9" s="6" t="s">
        <v>34</v>
      </c>
      <c r="F9" s="7">
        <f>IFERROR(INDEX(FIYAT_KAYNAK!$F$3:$F$26,MATCH("SCHNEIDER|LC1E0610M5",FIYAT_KAYNAK!$A$3:$A$26,0)),"")</f>
        <v>1154</v>
      </c>
      <c r="G9" s="8">
        <f>IFERROR(INDEX(FIYAT_KAYNAK!$J$3:$J$26,MATCH("SCHNEIDER|LC1E0610M5",FIYAT_KAYNAK!$A$3:$A$26,0)),"")</f>
        <v>7547.16</v>
      </c>
      <c r="H9" s="8">
        <f t="shared" si="0"/>
        <v>15094.32</v>
      </c>
      <c r="I9" s="9">
        <v>2</v>
      </c>
      <c r="J9" s="6" t="s">
        <v>15</v>
      </c>
      <c r="K9" s="6" t="s">
        <v>19</v>
      </c>
    </row>
    <row r="10" spans="1:11" ht="15" hidden="1" customHeight="1" x14ac:dyDescent="0.25">
      <c r="A10" s="6">
        <v>11</v>
      </c>
      <c r="B10" s="6"/>
      <c r="C10" s="6" t="s">
        <v>35</v>
      </c>
      <c r="D10" s="6" t="s">
        <v>36</v>
      </c>
      <c r="E10" s="6" t="s">
        <v>37</v>
      </c>
      <c r="F10" s="7">
        <f>IFERROR(INDEX(FIYAT_KAYNAK!$F$3:$F$26,MATCH("CHINT|593012",FIYAT_KAYNAK!$A$3:$A$26,0)),"")</f>
        <v>836</v>
      </c>
      <c r="G10" s="8">
        <f>IFERROR(INDEX(FIYAT_KAYNAK!$J$3:$J$26,MATCH("CHINT|593012",FIYAT_KAYNAK!$A$3:$A$26,0)),"")</f>
        <v>501.59999999999997</v>
      </c>
      <c r="H10" s="8">
        <f t="shared" si="0"/>
        <v>1504.8</v>
      </c>
      <c r="I10" s="9">
        <v>3</v>
      </c>
      <c r="J10" s="6" t="s">
        <v>15</v>
      </c>
      <c r="K10" s="6" t="s">
        <v>38</v>
      </c>
    </row>
    <row r="11" spans="1:11" ht="15" hidden="1" customHeight="1" x14ac:dyDescent="0.25">
      <c r="A11" s="6">
        <v>12</v>
      </c>
      <c r="B11" s="6"/>
      <c r="C11" s="6" t="s">
        <v>39</v>
      </c>
      <c r="D11" s="6" t="s">
        <v>40</v>
      </c>
      <c r="E11" s="6" t="s">
        <v>41</v>
      </c>
      <c r="F11" s="7">
        <f>IFERROR(INDEX(FIYAT_KAYNAK!$F$3:$F$26,MATCH("EKT|130301157_",FIYAT_KAYNAK!$A$3:$A$26,0)),"")</f>
        <v>235</v>
      </c>
      <c r="G11" s="8">
        <f>IFERROR(INDEX(FIYAT_KAYNAK!$J$3:$J$26,MATCH("EKT|130301157_",FIYAT_KAYNAK!$A$3:$A$26,0)),"")</f>
        <v>235</v>
      </c>
      <c r="H11" s="8">
        <f t="shared" si="0"/>
        <v>705</v>
      </c>
      <c r="I11" s="9">
        <v>3</v>
      </c>
      <c r="J11" s="6" t="s">
        <v>15</v>
      </c>
      <c r="K11" s="6" t="s">
        <v>42</v>
      </c>
    </row>
    <row r="12" spans="1:11" ht="15" hidden="1" customHeight="1" x14ac:dyDescent="0.25">
      <c r="A12" s="6">
        <v>13</v>
      </c>
      <c r="B12" s="6"/>
      <c r="C12" s="6" t="s">
        <v>39</v>
      </c>
      <c r="D12" s="6" t="s">
        <v>43</v>
      </c>
      <c r="E12" s="6" t="s">
        <v>44</v>
      </c>
      <c r="F12" s="7">
        <f>IFERROR(INDEX(FIYAT_KAYNAK!$F$3:$F$26,MATCH("EKT|130301158_",FIYAT_KAYNAK!$A$3:$A$26,0)),"")</f>
        <v>269</v>
      </c>
      <c r="G12" s="8">
        <f>IFERROR(INDEX(FIYAT_KAYNAK!$J$3:$J$26,MATCH("EKT|130301158_",FIYAT_KAYNAK!$A$3:$A$26,0)),"")</f>
        <v>269</v>
      </c>
      <c r="H12" s="8">
        <f t="shared" si="0"/>
        <v>269</v>
      </c>
      <c r="I12" s="9">
        <v>1</v>
      </c>
      <c r="J12" s="6" t="s">
        <v>15</v>
      </c>
      <c r="K12" s="6" t="s">
        <v>42</v>
      </c>
    </row>
    <row r="13" spans="1:11" ht="15" hidden="1" customHeight="1" x14ac:dyDescent="0.25">
      <c r="A13" s="6">
        <v>14</v>
      </c>
      <c r="B13" s="6"/>
      <c r="C13" s="6" t="s">
        <v>39</v>
      </c>
      <c r="D13" s="6" t="s">
        <v>45</v>
      </c>
      <c r="E13" s="6" t="s">
        <v>46</v>
      </c>
      <c r="F13" s="7">
        <f>IFERROR(INDEX(FIYAT_KAYNAK!$F$3:$F$26,MATCH("EKT|130300227_",FIYAT_KAYNAK!$A$3:$A$26,0)),"")</f>
        <v>155</v>
      </c>
      <c r="G13" s="8">
        <f>IFERROR(INDEX(FIYAT_KAYNAK!$J$3:$J$26,MATCH("EKT|130300227_",FIYAT_KAYNAK!$A$3:$A$26,0)),"")</f>
        <v>155</v>
      </c>
      <c r="H13" s="8">
        <f t="shared" si="0"/>
        <v>775</v>
      </c>
      <c r="I13" s="9">
        <v>5</v>
      </c>
      <c r="J13" s="6" t="s">
        <v>15</v>
      </c>
      <c r="K13" s="6" t="s">
        <v>42</v>
      </c>
    </row>
    <row r="14" spans="1:11" ht="15" hidden="1" customHeight="1" x14ac:dyDescent="0.25">
      <c r="A14" s="6">
        <v>15</v>
      </c>
      <c r="B14" s="6"/>
      <c r="C14" s="6" t="s">
        <v>39</v>
      </c>
      <c r="D14" s="6" t="s">
        <v>47</v>
      </c>
      <c r="E14" s="6" t="s">
        <v>48</v>
      </c>
      <c r="F14" s="7">
        <f>IFERROR(INDEX(FIYAT_KAYNAK!$F$3:$F$26,MATCH("EKT|130301154_",FIYAT_KAYNAK!$A$3:$A$26,0)),"")</f>
        <v>111</v>
      </c>
      <c r="G14" s="8">
        <f>IFERROR(INDEX(FIYAT_KAYNAK!$J$3:$J$26,MATCH("EKT|130301154_",FIYAT_KAYNAK!$A$3:$A$26,0)),"")</f>
        <v>111</v>
      </c>
      <c r="H14" s="8">
        <f t="shared" si="0"/>
        <v>888</v>
      </c>
      <c r="I14" s="9">
        <v>8</v>
      </c>
      <c r="J14" s="6" t="s">
        <v>15</v>
      </c>
      <c r="K14" s="6" t="s">
        <v>42</v>
      </c>
    </row>
    <row r="15" spans="1:11" ht="15" hidden="1" customHeight="1" x14ac:dyDescent="0.25">
      <c r="A15" s="6">
        <v>16</v>
      </c>
      <c r="B15" s="6"/>
      <c r="C15" s="6" t="s">
        <v>39</v>
      </c>
      <c r="D15" s="6" t="s">
        <v>49</v>
      </c>
      <c r="E15" s="6" t="s">
        <v>50</v>
      </c>
      <c r="F15" s="7">
        <f>IFERROR(INDEX(FIYAT_KAYNAK!$F$3:$F$26,MATCH("EKT|130301153_",FIYAT_KAYNAK!$A$3:$A$26,0)),"")</f>
        <v>90</v>
      </c>
      <c r="G15" s="8">
        <f>IFERROR(INDEX(FIYAT_KAYNAK!$J$3:$J$26,MATCH("EKT|130301153_",FIYAT_KAYNAK!$A$3:$A$26,0)),"")</f>
        <v>90</v>
      </c>
      <c r="H15" s="8">
        <f t="shared" si="0"/>
        <v>360</v>
      </c>
      <c r="I15" s="9">
        <v>4</v>
      </c>
      <c r="J15" s="6" t="s">
        <v>15</v>
      </c>
      <c r="K15" s="6" t="s">
        <v>42</v>
      </c>
    </row>
    <row r="16" spans="1:11" ht="15" hidden="1" customHeight="1" x14ac:dyDescent="0.25">
      <c r="A16" s="6">
        <v>17</v>
      </c>
      <c r="B16" s="6"/>
      <c r="C16" s="6" t="s">
        <v>39</v>
      </c>
      <c r="D16" s="6" t="s">
        <v>51</v>
      </c>
      <c r="E16" s="6" t="s">
        <v>52</v>
      </c>
      <c r="F16" s="7">
        <f>IFERROR(INDEX(FIYAT_KAYNAK!$F$3:$F$26,MATCH("EKT|130301152_",FIYAT_KAYNAK!$A$3:$A$26,0)),"")</f>
        <v>90</v>
      </c>
      <c r="G16" s="8">
        <f>IFERROR(INDEX(FIYAT_KAYNAK!$J$3:$J$26,MATCH("EKT|130301152_",FIYAT_KAYNAK!$A$3:$A$26,0)),"")</f>
        <v>90</v>
      </c>
      <c r="H16" s="8">
        <f t="shared" si="0"/>
        <v>2700</v>
      </c>
      <c r="I16" s="9">
        <v>30</v>
      </c>
      <c r="J16" s="6" t="s">
        <v>15</v>
      </c>
      <c r="K16" s="6" t="s">
        <v>42</v>
      </c>
    </row>
    <row r="17" spans="1:11" ht="15" hidden="1" customHeight="1" x14ac:dyDescent="0.25">
      <c r="A17" s="6">
        <v>18</v>
      </c>
      <c r="B17" s="6"/>
      <c r="C17" s="6" t="s">
        <v>53</v>
      </c>
      <c r="D17" s="6" t="s">
        <v>54</v>
      </c>
      <c r="E17" s="6" t="s">
        <v>55</v>
      </c>
      <c r="F17" s="7">
        <f>IFERROR(INDEX(FIYAT_KAYNAK!$F$3:$F$26,MATCH("CHINT|570002",FIYAT_KAYNAK!$A$3:$A$26,0)),"")</f>
        <v>2232</v>
      </c>
      <c r="G17" s="8">
        <f>IFERROR(INDEX(FIYAT_KAYNAK!$J$3:$J$26,MATCH("CHINT|570002",FIYAT_KAYNAK!$A$3:$A$26,0)),"")</f>
        <v>1339.2</v>
      </c>
      <c r="H17" s="8">
        <f t="shared" si="0"/>
        <v>1339.2</v>
      </c>
      <c r="I17" s="9">
        <v>1</v>
      </c>
      <c r="J17" s="6" t="s">
        <v>15</v>
      </c>
      <c r="K17" s="6" t="s">
        <v>38</v>
      </c>
    </row>
    <row r="18" spans="1:11" ht="15" hidden="1" customHeight="1" x14ac:dyDescent="0.25">
      <c r="A18" s="6">
        <v>19</v>
      </c>
      <c r="B18" s="6"/>
      <c r="C18" s="6" t="s">
        <v>53</v>
      </c>
      <c r="D18" s="6" t="s">
        <v>56</v>
      </c>
      <c r="E18" s="6" t="s">
        <v>57</v>
      </c>
      <c r="F18" s="7">
        <f>IFERROR(INDEX(FIYAT_KAYNAK!$F$3:$F$26,MATCH("EKT|280100020_",FIYAT_KAYNAK!$A$3:$A$26,0)),"")</f>
        <v>1486</v>
      </c>
      <c r="G18" s="8">
        <f>IFERROR(INDEX(FIYAT_KAYNAK!$J$3:$J$26,MATCH("EKT|280100020_",FIYAT_KAYNAK!$A$3:$A$26,0)),"")</f>
        <v>1486</v>
      </c>
      <c r="H18" s="8">
        <f t="shared" si="0"/>
        <v>2972</v>
      </c>
      <c r="I18" s="9">
        <v>2</v>
      </c>
      <c r="J18" s="6" t="s">
        <v>15</v>
      </c>
      <c r="K18" s="6" t="s">
        <v>42</v>
      </c>
    </row>
    <row r="19" spans="1:11" ht="15" hidden="1" customHeight="1" x14ac:dyDescent="0.25">
      <c r="A19" s="6">
        <v>20</v>
      </c>
      <c r="B19" s="6"/>
      <c r="C19" s="6" t="s">
        <v>53</v>
      </c>
      <c r="D19" s="6" t="s">
        <v>58</v>
      </c>
      <c r="E19" s="6" t="s">
        <v>59</v>
      </c>
      <c r="F19" s="7">
        <f>IFERROR(INDEX(FIYAT_KAYNAK!$F$3:$F$26,MATCH("EKT|270300079_",FIYAT_KAYNAK!$A$3:$A$26,0)),"")</f>
        <v>1094</v>
      </c>
      <c r="G19" s="8">
        <f>IFERROR(INDEX(FIYAT_KAYNAK!$J$3:$J$26,MATCH("EKT|270300079_",FIYAT_KAYNAK!$A$3:$A$26,0)),"")</f>
        <v>1094</v>
      </c>
      <c r="H19" s="8">
        <f t="shared" si="0"/>
        <v>1094</v>
      </c>
      <c r="I19" s="9">
        <v>1</v>
      </c>
      <c r="J19" s="6" t="s">
        <v>15</v>
      </c>
      <c r="K19" s="6" t="s">
        <v>42</v>
      </c>
    </row>
    <row r="20" spans="1:11" ht="15" hidden="1" customHeight="1" x14ac:dyDescent="0.25">
      <c r="A20" s="6">
        <v>21</v>
      </c>
      <c r="B20" s="6"/>
      <c r="C20" s="6" t="s">
        <v>53</v>
      </c>
      <c r="D20" s="6"/>
      <c r="E20" s="6" t="s">
        <v>60</v>
      </c>
      <c r="F20" s="6"/>
      <c r="G20" s="8">
        <f>SUM(H3:H19)*Kurallar!$B$13</f>
        <v>3242.3602799999999</v>
      </c>
      <c r="H20" s="8">
        <f>G20*I20</f>
        <v>3242.3602799999999</v>
      </c>
      <c r="I20" s="8">
        <v>1</v>
      </c>
      <c r="J20" s="6" t="s">
        <v>61</v>
      </c>
      <c r="K20" s="6" t="s">
        <v>62</v>
      </c>
    </row>
    <row r="21" spans="1:11" ht="15" hidden="1" customHeight="1" x14ac:dyDescent="0.25">
      <c r="A21" s="6">
        <v>22</v>
      </c>
      <c r="B21" s="6"/>
      <c r="C21" s="6" t="s">
        <v>63</v>
      </c>
      <c r="D21" s="6"/>
      <c r="E21" s="6" t="s">
        <v>64</v>
      </c>
      <c r="F21" s="10">
        <f>I21/60</f>
        <v>5.2612499999999995</v>
      </c>
      <c r="G21" s="8">
        <f>Kurallar!$B$11</f>
        <v>100</v>
      </c>
      <c r="H21" s="8">
        <f>G21*I21</f>
        <v>31567.499999999996</v>
      </c>
      <c r="I21" s="8">
        <f>Kurallar!$D$41</f>
        <v>315.67499999999995</v>
      </c>
      <c r="J21" s="6" t="s">
        <v>65</v>
      </c>
      <c r="K21" s="6" t="s">
        <v>66</v>
      </c>
    </row>
    <row r="22" spans="1:11" ht="15" hidden="1" customHeight="1" x14ac:dyDescent="0.25">
      <c r="A22" s="2"/>
      <c r="B22" s="5" t="s">
        <v>67</v>
      </c>
      <c r="C22" s="4"/>
      <c r="D22" s="4"/>
      <c r="E22" s="4"/>
      <c r="F22" s="4"/>
      <c r="G22" s="4"/>
      <c r="H22" s="11">
        <f>SUBTOTAL(9,H3:H21)</f>
        <v>17715</v>
      </c>
      <c r="I22" s="5">
        <v>4</v>
      </c>
      <c r="J22" s="5" t="s">
        <v>61</v>
      </c>
      <c r="K22" s="4"/>
    </row>
    <row r="23" spans="1:11" ht="15" hidden="1" customHeight="1" x14ac:dyDescent="0.25">
      <c r="A23" s="2">
        <v>23</v>
      </c>
      <c r="B23" s="3" t="str">
        <f>E23</f>
        <v>ЩУ-2 (нагрев 26 кВт + вентилятор 8 кВт)</v>
      </c>
      <c r="C23" s="4"/>
      <c r="D23" s="4"/>
      <c r="E23" s="5" t="s">
        <v>68</v>
      </c>
      <c r="F23" s="4"/>
      <c r="G23" s="4"/>
      <c r="H23" s="4"/>
      <c r="I23" s="5">
        <v>10</v>
      </c>
      <c r="J23" s="5" t="s">
        <v>12</v>
      </c>
      <c r="K23" s="4"/>
    </row>
    <row r="24" spans="1:11" ht="15" customHeight="1" x14ac:dyDescent="0.25">
      <c r="A24" s="6">
        <v>24</v>
      </c>
      <c r="B24" s="6"/>
      <c r="C24" s="6" t="s">
        <v>13</v>
      </c>
      <c r="D24" s="6" t="s">
        <v>366</v>
      </c>
      <c r="E24" s="6" t="s">
        <v>367</v>
      </c>
      <c r="F24" s="7">
        <f>IFERROR(INDEX(FIYAT_KAYNAK!$F$3:$F$26,MATCH("KAZTEK|714-15120",FIYAT_KAYNAK!$A$3:$A$26,0)),"")</f>
        <v>29525</v>
      </c>
      <c r="G24" s="8">
        <f>0.6*F24</f>
        <v>17715</v>
      </c>
      <c r="H24" s="8">
        <f t="shared" ref="H24:H42" si="1">IF(OR(G24="",I24=""),"",G24*I24)</f>
        <v>17715</v>
      </c>
      <c r="I24" s="9">
        <v>1</v>
      </c>
      <c r="J24" s="6" t="s">
        <v>15</v>
      </c>
      <c r="K24" s="6" t="s">
        <v>16</v>
      </c>
    </row>
    <row r="25" spans="1:11" ht="15" hidden="1" customHeight="1" x14ac:dyDescent="0.25">
      <c r="A25" s="6">
        <v>25</v>
      </c>
      <c r="B25" s="6"/>
      <c r="C25" s="6" t="s">
        <v>17</v>
      </c>
      <c r="D25" s="6" t="s">
        <v>69</v>
      </c>
      <c r="E25" s="6" t="s">
        <v>70</v>
      </c>
      <c r="F25" s="7">
        <f>IFERROR(INDEX(FIYAT_KAYNAK!$F$3:$F$26,MATCH("SCHNEIDER|A9F79363",FIYAT_KAYNAK!$A$3:$A$26,0)),"")</f>
        <v>3335</v>
      </c>
      <c r="G25" s="8">
        <f>IFERROR(INDEX(FIYAT_KAYNAK!$J$3:$J$26,MATCH("SCHNEIDER|A9F79363",FIYAT_KAYNAK!$A$3:$A$26,0)),"")</f>
        <v>21810.9</v>
      </c>
      <c r="H25" s="8">
        <f t="shared" si="1"/>
        <v>21810.9</v>
      </c>
      <c r="I25" s="9">
        <v>1</v>
      </c>
      <c r="J25" s="6" t="s">
        <v>15</v>
      </c>
      <c r="K25" s="6" t="s">
        <v>19</v>
      </c>
    </row>
    <row r="26" spans="1:11" ht="15" hidden="1" customHeight="1" x14ac:dyDescent="0.25">
      <c r="A26" s="6">
        <v>26</v>
      </c>
      <c r="B26" s="6"/>
      <c r="C26" s="6" t="s">
        <v>17</v>
      </c>
      <c r="D26" s="6" t="s">
        <v>71</v>
      </c>
      <c r="E26" s="6" t="s">
        <v>72</v>
      </c>
      <c r="F26" s="7">
        <f>IFERROR(INDEX(FIYAT_KAYNAK!$F$3:$F$26,MATCH("SCHNEIDER|A9F79325",FIYAT_KAYNAK!$A$3:$A$26,0)),"")</f>
        <v>1884</v>
      </c>
      <c r="G26" s="8">
        <f>IFERROR(INDEX(FIYAT_KAYNAK!$J$3:$J$26,MATCH("SCHNEIDER|A9F79325",FIYAT_KAYNAK!$A$3:$A$26,0)),"")</f>
        <v>12321.359999999999</v>
      </c>
      <c r="H26" s="8">
        <f t="shared" si="1"/>
        <v>24642.719999999998</v>
      </c>
      <c r="I26" s="9">
        <v>2</v>
      </c>
      <c r="J26" s="6" t="s">
        <v>15</v>
      </c>
      <c r="K26" s="6" t="s">
        <v>19</v>
      </c>
    </row>
    <row r="27" spans="1:11" ht="15" hidden="1" customHeight="1" x14ac:dyDescent="0.25">
      <c r="A27" s="6">
        <v>27</v>
      </c>
      <c r="B27" s="6"/>
      <c r="C27" s="6" t="s">
        <v>22</v>
      </c>
      <c r="D27" s="6" t="s">
        <v>73</v>
      </c>
      <c r="E27" s="6" t="s">
        <v>74</v>
      </c>
      <c r="F27" s="7">
        <f>IFERROR(INDEX(FIYAT_KAYNAK!$F$3:$F$26,MATCH("SCHNEIDER|GV2ME20",FIYAT_KAYNAK!$A$3:$A$26,0)),"")</f>
        <v>4163</v>
      </c>
      <c r="G27" s="8">
        <f>IFERROR(INDEX(FIYAT_KAYNAK!$J$3:$J$26,MATCH("SCHNEIDER|GV2ME20",FIYAT_KAYNAK!$A$3:$A$26,0)),"")</f>
        <v>27226.019999999997</v>
      </c>
      <c r="H27" s="8">
        <f t="shared" si="1"/>
        <v>27226.019999999997</v>
      </c>
      <c r="I27" s="9">
        <v>1</v>
      </c>
      <c r="J27" s="6" t="s">
        <v>15</v>
      </c>
      <c r="K27" s="6" t="s">
        <v>19</v>
      </c>
    </row>
    <row r="28" spans="1:11" ht="15" hidden="1" customHeight="1" x14ac:dyDescent="0.25">
      <c r="A28" s="6">
        <v>28</v>
      </c>
      <c r="B28" s="6"/>
      <c r="C28" s="6" t="s">
        <v>17</v>
      </c>
      <c r="D28" s="6" t="s">
        <v>24</v>
      </c>
      <c r="E28" s="6" t="s">
        <v>25</v>
      </c>
      <c r="F28" s="7">
        <f>IFERROR(INDEX(FIYAT_KAYNAK!$F$3:$F$26,MATCH("SCHNEIDER|A9F79110",FIYAT_KAYNAK!$A$3:$A$26,0)),"")</f>
        <v>446.8</v>
      </c>
      <c r="G28" s="8">
        <f>IFERROR(INDEX(FIYAT_KAYNAK!$J$3:$J$26,MATCH("SCHNEIDER|A9F79110",FIYAT_KAYNAK!$A$3:$A$26,0)),"")</f>
        <v>2922.0720000000001</v>
      </c>
      <c r="H28" s="8">
        <f t="shared" si="1"/>
        <v>2922.0720000000001</v>
      </c>
      <c r="I28" s="9">
        <v>1</v>
      </c>
      <c r="J28" s="6" t="s">
        <v>15</v>
      </c>
      <c r="K28" s="6" t="s">
        <v>19</v>
      </c>
    </row>
    <row r="29" spans="1:11" ht="15" hidden="1" customHeight="1" x14ac:dyDescent="0.25">
      <c r="A29" s="6">
        <v>29</v>
      </c>
      <c r="B29" s="6"/>
      <c r="C29" s="6" t="s">
        <v>17</v>
      </c>
      <c r="D29" s="6" t="s">
        <v>26</v>
      </c>
      <c r="E29" s="6" t="s">
        <v>27</v>
      </c>
      <c r="F29" s="7">
        <f>IFERROR(INDEX(FIYAT_KAYNAK!$F$3:$F$26,MATCH("SCHNEIDER|A9F79106",FIYAT_KAYNAK!$A$3:$A$26,0)),"")</f>
        <v>446.8</v>
      </c>
      <c r="G29" s="8">
        <f>IFERROR(INDEX(FIYAT_KAYNAK!$J$3:$J$26,MATCH("SCHNEIDER|A9F79106",FIYAT_KAYNAK!$A$3:$A$26,0)),"")</f>
        <v>2922.0720000000001</v>
      </c>
      <c r="H29" s="8">
        <f t="shared" si="1"/>
        <v>5844.1440000000002</v>
      </c>
      <c r="I29" s="9">
        <v>2</v>
      </c>
      <c r="J29" s="6" t="s">
        <v>15</v>
      </c>
      <c r="K29" s="6" t="s">
        <v>19</v>
      </c>
    </row>
    <row r="30" spans="1:11" ht="15" hidden="1" customHeight="1" x14ac:dyDescent="0.25">
      <c r="A30" s="6">
        <v>30</v>
      </c>
      <c r="B30" s="6"/>
      <c r="C30" s="6" t="s">
        <v>28</v>
      </c>
      <c r="D30" s="6" t="s">
        <v>75</v>
      </c>
      <c r="E30" s="6" t="s">
        <v>76</v>
      </c>
      <c r="F30" s="7">
        <f>IFERROR(INDEX(FIYAT_KAYNAK!$F$3:$F$26,MATCH("SCHNEIDER|LC1E2510M5",FIYAT_KAYNAK!$A$3:$A$26,0)),"")</f>
        <v>2182</v>
      </c>
      <c r="G30" s="8">
        <f>IFERROR(INDEX(FIYAT_KAYNAK!$J$3:$J$26,MATCH("SCHNEIDER|LC1E2510M5",FIYAT_KAYNAK!$A$3:$A$26,0)),"")</f>
        <v>14270.28</v>
      </c>
      <c r="H30" s="8">
        <f t="shared" si="1"/>
        <v>28540.560000000001</v>
      </c>
      <c r="I30" s="9">
        <v>2</v>
      </c>
      <c r="J30" s="6" t="s">
        <v>15</v>
      </c>
      <c r="K30" s="6" t="s">
        <v>19</v>
      </c>
    </row>
    <row r="31" spans="1:11" ht="15" hidden="1" customHeight="1" x14ac:dyDescent="0.25">
      <c r="A31" s="6">
        <v>31</v>
      </c>
      <c r="B31" s="6"/>
      <c r="C31" s="6" t="s">
        <v>28</v>
      </c>
      <c r="D31" s="6" t="s">
        <v>75</v>
      </c>
      <c r="E31" s="6" t="s">
        <v>77</v>
      </c>
      <c r="F31" s="7">
        <f>IFERROR(INDEX(FIYAT_KAYNAK!$F$3:$F$26,MATCH("SCHNEIDER|LC1E2510M5",FIYAT_KAYNAK!$A$3:$A$26,0)),"")</f>
        <v>2182</v>
      </c>
      <c r="G31" s="8">
        <f>IFERROR(INDEX(FIYAT_KAYNAK!$J$3:$J$26,MATCH("SCHNEIDER|LC1E2510M5",FIYAT_KAYNAK!$A$3:$A$26,0)),"")</f>
        <v>14270.28</v>
      </c>
      <c r="H31" s="8">
        <f t="shared" si="1"/>
        <v>14270.28</v>
      </c>
      <c r="I31" s="9">
        <v>1</v>
      </c>
      <c r="J31" s="6" t="s">
        <v>15</v>
      </c>
      <c r="K31" s="6" t="s">
        <v>19</v>
      </c>
    </row>
    <row r="32" spans="1:11" ht="15" hidden="1" customHeight="1" x14ac:dyDescent="0.25">
      <c r="A32" s="6">
        <v>32</v>
      </c>
      <c r="B32" s="6"/>
      <c r="C32" s="6" t="s">
        <v>28</v>
      </c>
      <c r="D32" s="6" t="s">
        <v>33</v>
      </c>
      <c r="E32" s="6" t="s">
        <v>34</v>
      </c>
      <c r="F32" s="7">
        <f>IFERROR(INDEX(FIYAT_KAYNAK!$F$3:$F$26,MATCH("SCHNEIDER|LC1E0610M5",FIYAT_KAYNAK!$A$3:$A$26,0)),"")</f>
        <v>1154</v>
      </c>
      <c r="G32" s="8">
        <f>IFERROR(INDEX(FIYAT_KAYNAK!$J$3:$J$26,MATCH("SCHNEIDER|LC1E0610M5",FIYAT_KAYNAK!$A$3:$A$26,0)),"")</f>
        <v>7547.16</v>
      </c>
      <c r="H32" s="8">
        <f t="shared" si="1"/>
        <v>15094.32</v>
      </c>
      <c r="I32" s="9">
        <v>2</v>
      </c>
      <c r="J32" s="6" t="s">
        <v>15</v>
      </c>
      <c r="K32" s="6" t="s">
        <v>19</v>
      </c>
    </row>
    <row r="33" spans="1:11" ht="15" hidden="1" customHeight="1" x14ac:dyDescent="0.25">
      <c r="A33" s="6">
        <v>33</v>
      </c>
      <c r="B33" s="6"/>
      <c r="C33" s="6" t="s">
        <v>35</v>
      </c>
      <c r="D33" s="6" t="s">
        <v>36</v>
      </c>
      <c r="E33" s="6" t="s">
        <v>37</v>
      </c>
      <c r="F33" s="7">
        <f>IFERROR(INDEX(FIYAT_KAYNAK!$F$3:$F$26,MATCH("CHINT|593012",FIYAT_KAYNAK!$A$3:$A$26,0)),"")</f>
        <v>836</v>
      </c>
      <c r="G33" s="8">
        <f>IFERROR(INDEX(FIYAT_KAYNAK!$J$3:$J$26,MATCH("CHINT|593012",FIYAT_KAYNAK!$A$3:$A$26,0)),"")</f>
        <v>501.59999999999997</v>
      </c>
      <c r="H33" s="8">
        <f t="shared" si="1"/>
        <v>1504.8</v>
      </c>
      <c r="I33" s="9">
        <v>3</v>
      </c>
      <c r="J33" s="6" t="s">
        <v>15</v>
      </c>
      <c r="K33" s="6" t="s">
        <v>38</v>
      </c>
    </row>
    <row r="34" spans="1:11" ht="15" hidden="1" customHeight="1" x14ac:dyDescent="0.25">
      <c r="A34" s="6">
        <v>34</v>
      </c>
      <c r="B34" s="6"/>
      <c r="C34" s="6" t="s">
        <v>39</v>
      </c>
      <c r="D34" s="6" t="s">
        <v>40</v>
      </c>
      <c r="E34" s="6" t="s">
        <v>41</v>
      </c>
      <c r="F34" s="7">
        <f>IFERROR(INDEX(FIYAT_KAYNAK!$F$3:$F$26,MATCH("EKT|130301157_",FIYAT_KAYNAK!$A$3:$A$26,0)),"")</f>
        <v>235</v>
      </c>
      <c r="G34" s="8">
        <f>IFERROR(INDEX(FIYAT_KAYNAK!$J$3:$J$26,MATCH("EKT|130301157_",FIYAT_KAYNAK!$A$3:$A$26,0)),"")</f>
        <v>235</v>
      </c>
      <c r="H34" s="8">
        <f t="shared" si="1"/>
        <v>705</v>
      </c>
      <c r="I34" s="9">
        <v>3</v>
      </c>
      <c r="J34" s="6" t="s">
        <v>15</v>
      </c>
      <c r="K34" s="6" t="s">
        <v>42</v>
      </c>
    </row>
    <row r="35" spans="1:11" ht="15" hidden="1" customHeight="1" x14ac:dyDescent="0.25">
      <c r="A35" s="6">
        <v>35</v>
      </c>
      <c r="B35" s="6"/>
      <c r="C35" s="6" t="s">
        <v>39</v>
      </c>
      <c r="D35" s="6" t="s">
        <v>43</v>
      </c>
      <c r="E35" s="6" t="s">
        <v>44</v>
      </c>
      <c r="F35" s="7">
        <f>IFERROR(INDEX(FIYAT_KAYNAK!$F$3:$F$26,MATCH("EKT|130301158_",FIYAT_KAYNAK!$A$3:$A$26,0)),"")</f>
        <v>269</v>
      </c>
      <c r="G35" s="8">
        <f>IFERROR(INDEX(FIYAT_KAYNAK!$J$3:$J$26,MATCH("EKT|130301158_",FIYAT_KAYNAK!$A$3:$A$26,0)),"")</f>
        <v>269</v>
      </c>
      <c r="H35" s="8">
        <f t="shared" si="1"/>
        <v>269</v>
      </c>
      <c r="I35" s="9">
        <v>1</v>
      </c>
      <c r="J35" s="6" t="s">
        <v>15</v>
      </c>
      <c r="K35" s="6" t="s">
        <v>42</v>
      </c>
    </row>
    <row r="36" spans="1:11" ht="15" hidden="1" customHeight="1" x14ac:dyDescent="0.25">
      <c r="A36" s="6">
        <v>36</v>
      </c>
      <c r="B36" s="6"/>
      <c r="C36" s="6" t="s">
        <v>39</v>
      </c>
      <c r="D36" s="6" t="s">
        <v>45</v>
      </c>
      <c r="E36" s="6" t="s">
        <v>46</v>
      </c>
      <c r="F36" s="7">
        <f>IFERROR(INDEX(FIYAT_KAYNAK!$F$3:$F$26,MATCH("EKT|130300227_",FIYAT_KAYNAK!$A$3:$A$26,0)),"")</f>
        <v>155</v>
      </c>
      <c r="G36" s="8">
        <f>IFERROR(INDEX(FIYAT_KAYNAK!$J$3:$J$26,MATCH("EKT|130300227_",FIYAT_KAYNAK!$A$3:$A$26,0)),"")</f>
        <v>155</v>
      </c>
      <c r="H36" s="8">
        <f t="shared" si="1"/>
        <v>775</v>
      </c>
      <c r="I36" s="9">
        <v>5</v>
      </c>
      <c r="J36" s="6" t="s">
        <v>15</v>
      </c>
      <c r="K36" s="6" t="s">
        <v>42</v>
      </c>
    </row>
    <row r="37" spans="1:11" ht="15" hidden="1" customHeight="1" x14ac:dyDescent="0.25">
      <c r="A37" s="6">
        <v>37</v>
      </c>
      <c r="B37" s="6"/>
      <c r="C37" s="6" t="s">
        <v>39</v>
      </c>
      <c r="D37" s="6" t="s">
        <v>47</v>
      </c>
      <c r="E37" s="6" t="s">
        <v>48</v>
      </c>
      <c r="F37" s="7">
        <f>IFERROR(INDEX(FIYAT_KAYNAK!$F$3:$F$26,MATCH("EKT|130301154_",FIYAT_KAYNAK!$A$3:$A$26,0)),"")</f>
        <v>111</v>
      </c>
      <c r="G37" s="8">
        <f>IFERROR(INDEX(FIYAT_KAYNAK!$J$3:$J$26,MATCH("EKT|130301154_",FIYAT_KAYNAK!$A$3:$A$26,0)),"")</f>
        <v>111</v>
      </c>
      <c r="H37" s="8">
        <f t="shared" si="1"/>
        <v>888</v>
      </c>
      <c r="I37" s="9">
        <v>8</v>
      </c>
      <c r="J37" s="6" t="s">
        <v>15</v>
      </c>
      <c r="K37" s="6" t="s">
        <v>42</v>
      </c>
    </row>
    <row r="38" spans="1:11" ht="15" hidden="1" customHeight="1" x14ac:dyDescent="0.25">
      <c r="A38" s="6">
        <v>38</v>
      </c>
      <c r="B38" s="6"/>
      <c r="C38" s="6" t="s">
        <v>39</v>
      </c>
      <c r="D38" s="6" t="s">
        <v>49</v>
      </c>
      <c r="E38" s="6" t="s">
        <v>50</v>
      </c>
      <c r="F38" s="7">
        <f>IFERROR(INDEX(FIYAT_KAYNAK!$F$3:$F$26,MATCH("EKT|130301153_",FIYAT_KAYNAK!$A$3:$A$26,0)),"")</f>
        <v>90</v>
      </c>
      <c r="G38" s="8">
        <f>IFERROR(INDEX(FIYAT_KAYNAK!$J$3:$J$26,MATCH("EKT|130301153_",FIYAT_KAYNAK!$A$3:$A$26,0)),"")</f>
        <v>90</v>
      </c>
      <c r="H38" s="8">
        <f t="shared" si="1"/>
        <v>360</v>
      </c>
      <c r="I38" s="9">
        <v>4</v>
      </c>
      <c r="J38" s="6" t="s">
        <v>15</v>
      </c>
      <c r="K38" s="6" t="s">
        <v>42</v>
      </c>
    </row>
    <row r="39" spans="1:11" ht="15" hidden="1" customHeight="1" x14ac:dyDescent="0.25">
      <c r="A39" s="6">
        <v>39</v>
      </c>
      <c r="B39" s="6"/>
      <c r="C39" s="6" t="s">
        <v>39</v>
      </c>
      <c r="D39" s="6" t="s">
        <v>51</v>
      </c>
      <c r="E39" s="6" t="s">
        <v>52</v>
      </c>
      <c r="F39" s="7">
        <f>IFERROR(INDEX(FIYAT_KAYNAK!$F$3:$F$26,MATCH("EKT|130301152_",FIYAT_KAYNAK!$A$3:$A$26,0)),"")</f>
        <v>90</v>
      </c>
      <c r="G39" s="8">
        <f>IFERROR(INDEX(FIYAT_KAYNAK!$J$3:$J$26,MATCH("EKT|130301152_",FIYAT_KAYNAK!$A$3:$A$26,0)),"")</f>
        <v>90</v>
      </c>
      <c r="H39" s="8">
        <f t="shared" si="1"/>
        <v>2700</v>
      </c>
      <c r="I39" s="9">
        <v>30</v>
      </c>
      <c r="J39" s="6" t="s">
        <v>15</v>
      </c>
      <c r="K39" s="6" t="s">
        <v>42</v>
      </c>
    </row>
    <row r="40" spans="1:11" ht="15" hidden="1" customHeight="1" x14ac:dyDescent="0.25">
      <c r="A40" s="6">
        <v>40</v>
      </c>
      <c r="B40" s="6"/>
      <c r="C40" s="6" t="s">
        <v>53</v>
      </c>
      <c r="D40" s="6" t="s">
        <v>54</v>
      </c>
      <c r="E40" s="6" t="s">
        <v>55</v>
      </c>
      <c r="F40" s="7">
        <f>IFERROR(INDEX(FIYAT_KAYNAK!$F$3:$F$26,MATCH("CHINT|570002",FIYAT_KAYNAK!$A$3:$A$26,0)),"")</f>
        <v>2232</v>
      </c>
      <c r="G40" s="8">
        <f>IFERROR(INDEX(FIYAT_KAYNAK!$J$3:$J$26,MATCH("CHINT|570002",FIYAT_KAYNAK!$A$3:$A$26,0)),"")</f>
        <v>1339.2</v>
      </c>
      <c r="H40" s="8">
        <f t="shared" si="1"/>
        <v>1339.2</v>
      </c>
      <c r="I40" s="9">
        <v>1</v>
      </c>
      <c r="J40" s="6" t="s">
        <v>15</v>
      </c>
      <c r="K40" s="6" t="s">
        <v>38</v>
      </c>
    </row>
    <row r="41" spans="1:11" ht="15" hidden="1" customHeight="1" x14ac:dyDescent="0.25">
      <c r="A41" s="6">
        <v>41</v>
      </c>
      <c r="B41" s="6"/>
      <c r="C41" s="6" t="s">
        <v>53</v>
      </c>
      <c r="D41" s="6" t="s">
        <v>56</v>
      </c>
      <c r="E41" s="6" t="s">
        <v>57</v>
      </c>
      <c r="F41" s="7">
        <f>IFERROR(INDEX(FIYAT_KAYNAK!$F$3:$F$26,MATCH("EKT|280100020_",FIYAT_KAYNAK!$A$3:$A$26,0)),"")</f>
        <v>1486</v>
      </c>
      <c r="G41" s="8">
        <f>IFERROR(INDEX(FIYAT_KAYNAK!$J$3:$J$26,MATCH("EKT|280100020_",FIYAT_KAYNAK!$A$3:$A$26,0)),"")</f>
        <v>1486</v>
      </c>
      <c r="H41" s="8">
        <f t="shared" si="1"/>
        <v>2972</v>
      </c>
      <c r="I41" s="9">
        <v>2</v>
      </c>
      <c r="J41" s="6" t="s">
        <v>15</v>
      </c>
      <c r="K41" s="6" t="s">
        <v>42</v>
      </c>
    </row>
    <row r="42" spans="1:11" ht="15" hidden="1" customHeight="1" x14ac:dyDescent="0.25">
      <c r="A42" s="6">
        <v>42</v>
      </c>
      <c r="B42" s="6"/>
      <c r="C42" s="6" t="s">
        <v>53</v>
      </c>
      <c r="D42" s="6" t="s">
        <v>58</v>
      </c>
      <c r="E42" s="6" t="s">
        <v>59</v>
      </c>
      <c r="F42" s="7">
        <f>IFERROR(INDEX(FIYAT_KAYNAK!$F$3:$F$26,MATCH("EKT|270300079_",FIYAT_KAYNAK!$A$3:$A$26,0)),"")</f>
        <v>1094</v>
      </c>
      <c r="G42" s="8">
        <f>IFERROR(INDEX(FIYAT_KAYNAK!$J$3:$J$26,MATCH("EKT|270300079_",FIYAT_KAYNAK!$A$3:$A$26,0)),"")</f>
        <v>1094</v>
      </c>
      <c r="H42" s="8">
        <f t="shared" si="1"/>
        <v>1094</v>
      </c>
      <c r="I42" s="9">
        <v>1</v>
      </c>
      <c r="J42" s="6" t="s">
        <v>15</v>
      </c>
      <c r="K42" s="6" t="s">
        <v>42</v>
      </c>
    </row>
    <row r="43" spans="1:11" ht="15" hidden="1" customHeight="1" x14ac:dyDescent="0.25">
      <c r="A43" s="6">
        <v>43</v>
      </c>
      <c r="B43" s="6"/>
      <c r="C43" s="6" t="s">
        <v>53</v>
      </c>
      <c r="D43" s="6"/>
      <c r="E43" s="6" t="s">
        <v>60</v>
      </c>
      <c r="F43" s="6"/>
      <c r="G43" s="8">
        <f>SUM(H24:H42)*Kurallar!$B$13</f>
        <v>5120.1904800000002</v>
      </c>
      <c r="H43" s="8">
        <f>G43*I43</f>
        <v>5120.1904800000002</v>
      </c>
      <c r="I43" s="8">
        <v>1</v>
      </c>
      <c r="J43" s="6" t="s">
        <v>61</v>
      </c>
      <c r="K43" s="6" t="s">
        <v>62</v>
      </c>
    </row>
    <row r="44" spans="1:11" ht="15" hidden="1" customHeight="1" x14ac:dyDescent="0.25">
      <c r="A44" s="6">
        <v>44</v>
      </c>
      <c r="B44" s="6"/>
      <c r="C44" s="6" t="s">
        <v>63</v>
      </c>
      <c r="D44" s="6"/>
      <c r="E44" s="6" t="s">
        <v>64</v>
      </c>
      <c r="F44" s="10">
        <f>I44/60</f>
        <v>5.2612499999999995</v>
      </c>
      <c r="G44" s="8">
        <f>Kurallar!$B$11</f>
        <v>100</v>
      </c>
      <c r="H44" s="8">
        <f>G44*I44</f>
        <v>31567.499999999996</v>
      </c>
      <c r="I44" s="8">
        <f>Kurallar!$F$41</f>
        <v>315.67499999999995</v>
      </c>
      <c r="J44" s="6" t="s">
        <v>65</v>
      </c>
      <c r="K44" s="6" t="s">
        <v>66</v>
      </c>
    </row>
    <row r="45" spans="1:11" ht="15" hidden="1" customHeight="1" x14ac:dyDescent="0.25">
      <c r="A45" s="2"/>
      <c r="B45" s="5" t="s">
        <v>78</v>
      </c>
      <c r="C45" s="4"/>
      <c r="D45" s="4"/>
      <c r="E45" s="4"/>
      <c r="F45" s="4"/>
      <c r="G45" s="4"/>
      <c r="H45" s="11">
        <f>SUBTOTAL(9,H24:H44)</f>
        <v>17715</v>
      </c>
      <c r="I45" s="5">
        <v>10</v>
      </c>
      <c r="J45" s="5" t="s">
        <v>61</v>
      </c>
      <c r="K45" s="4"/>
    </row>
    <row r="46" spans="1:11" ht="15" hidden="1" customHeight="1" x14ac:dyDescent="0.25">
      <c r="A46" s="2">
        <v>45</v>
      </c>
      <c r="B46" s="3" t="str">
        <f>E46</f>
        <v>ЩУ-3 (нагрев 22 кВт + вентилятор 8 кВт)</v>
      </c>
      <c r="C46" s="4"/>
      <c r="D46" s="4"/>
      <c r="E46" s="5" t="s">
        <v>79</v>
      </c>
      <c r="F46" s="4"/>
      <c r="G46" s="4"/>
      <c r="H46" s="4"/>
      <c r="I46" s="5">
        <v>1</v>
      </c>
      <c r="J46" s="5" t="s">
        <v>12</v>
      </c>
      <c r="K46" s="4"/>
    </row>
    <row r="47" spans="1:11" ht="15" customHeight="1" x14ac:dyDescent="0.25">
      <c r="A47" s="6">
        <v>46</v>
      </c>
      <c r="B47" s="6"/>
      <c r="C47" s="6" t="s">
        <v>13</v>
      </c>
      <c r="D47" s="6" t="s">
        <v>366</v>
      </c>
      <c r="E47" s="6" t="s">
        <v>367</v>
      </c>
      <c r="F47" s="7">
        <f>IFERROR(INDEX(FIYAT_KAYNAK!$F$3:$F$26,MATCH("KAZTEK|714-15120",FIYAT_KAYNAK!$A$3:$A$26,0)),"")</f>
        <v>29525</v>
      </c>
      <c r="G47" s="8">
        <f>0.6*F47</f>
        <v>17715</v>
      </c>
      <c r="H47" s="8">
        <f t="shared" ref="H47:H65" si="2">IF(OR(G47="",I47=""),"",G47*I47)</f>
        <v>17715</v>
      </c>
      <c r="I47" s="9">
        <v>1</v>
      </c>
      <c r="J47" s="6" t="s">
        <v>15</v>
      </c>
      <c r="K47" s="6" t="s">
        <v>16</v>
      </c>
    </row>
    <row r="48" spans="1:11" ht="15" hidden="1" customHeight="1" x14ac:dyDescent="0.25">
      <c r="A48" s="6">
        <v>47</v>
      </c>
      <c r="B48" s="6"/>
      <c r="C48" s="6" t="s">
        <v>17</v>
      </c>
      <c r="D48" s="6" t="s">
        <v>80</v>
      </c>
      <c r="E48" s="6" t="s">
        <v>81</v>
      </c>
      <c r="F48" s="7">
        <f>IFERROR(INDEX(FIYAT_KAYNAK!$F$3:$F$26,MATCH("SCHNEIDER|A9F79350",FIYAT_KAYNAK!$A$3:$A$26,0)),"")</f>
        <v>2836</v>
      </c>
      <c r="G48" s="8">
        <f>IFERROR(INDEX(FIYAT_KAYNAK!$J$3:$J$26,MATCH("SCHNEIDER|A9F79350",FIYAT_KAYNAK!$A$3:$A$26,0)),"")</f>
        <v>18547.439999999999</v>
      </c>
      <c r="H48" s="8">
        <f t="shared" si="2"/>
        <v>18547.439999999999</v>
      </c>
      <c r="I48" s="9">
        <v>1</v>
      </c>
      <c r="J48" s="6" t="s">
        <v>15</v>
      </c>
      <c r="K48" s="6" t="s">
        <v>19</v>
      </c>
    </row>
    <row r="49" spans="1:11" ht="15" hidden="1" customHeight="1" x14ac:dyDescent="0.25">
      <c r="A49" s="6">
        <v>48</v>
      </c>
      <c r="B49" s="6"/>
      <c r="C49" s="6" t="s">
        <v>17</v>
      </c>
      <c r="D49" s="6" t="s">
        <v>20</v>
      </c>
      <c r="E49" s="6" t="s">
        <v>21</v>
      </c>
      <c r="F49" s="7">
        <f>IFERROR(INDEX(FIYAT_KAYNAK!$F$3:$F$26,MATCH("SCHNEIDER|A9F79320",FIYAT_KAYNAK!$A$3:$A$26,0)),"")</f>
        <v>1884</v>
      </c>
      <c r="G49" s="8">
        <f>IFERROR(INDEX(FIYAT_KAYNAK!$J$3:$J$26,MATCH("SCHNEIDER|A9F79320",FIYAT_KAYNAK!$A$3:$A$26,0)),"")</f>
        <v>12321.359999999999</v>
      </c>
      <c r="H49" s="8">
        <f t="shared" si="2"/>
        <v>24642.719999999998</v>
      </c>
      <c r="I49" s="9">
        <v>2</v>
      </c>
      <c r="J49" s="6" t="s">
        <v>15</v>
      </c>
      <c r="K49" s="6" t="s">
        <v>19</v>
      </c>
    </row>
    <row r="50" spans="1:11" ht="15" hidden="1" customHeight="1" x14ac:dyDescent="0.25">
      <c r="A50" s="6">
        <v>49</v>
      </c>
      <c r="B50" s="6"/>
      <c r="C50" s="6" t="s">
        <v>22</v>
      </c>
      <c r="D50" s="6" t="s">
        <v>73</v>
      </c>
      <c r="E50" s="6" t="s">
        <v>74</v>
      </c>
      <c r="F50" s="7">
        <f>IFERROR(INDEX(FIYAT_KAYNAK!$F$3:$F$26,MATCH("SCHNEIDER|GV2ME20",FIYAT_KAYNAK!$A$3:$A$26,0)),"")</f>
        <v>4163</v>
      </c>
      <c r="G50" s="8">
        <f>IFERROR(INDEX(FIYAT_KAYNAK!$J$3:$J$26,MATCH("SCHNEIDER|GV2ME20",FIYAT_KAYNAK!$A$3:$A$26,0)),"")</f>
        <v>27226.019999999997</v>
      </c>
      <c r="H50" s="8">
        <f t="shared" si="2"/>
        <v>27226.019999999997</v>
      </c>
      <c r="I50" s="9">
        <v>1</v>
      </c>
      <c r="J50" s="6" t="s">
        <v>15</v>
      </c>
      <c r="K50" s="6" t="s">
        <v>19</v>
      </c>
    </row>
    <row r="51" spans="1:11" ht="15" hidden="1" customHeight="1" x14ac:dyDescent="0.25">
      <c r="A51" s="6">
        <v>50</v>
      </c>
      <c r="B51" s="6"/>
      <c r="C51" s="6" t="s">
        <v>17</v>
      </c>
      <c r="D51" s="6" t="s">
        <v>24</v>
      </c>
      <c r="E51" s="6" t="s">
        <v>25</v>
      </c>
      <c r="F51" s="7">
        <f>IFERROR(INDEX(FIYAT_KAYNAK!$F$3:$F$26,MATCH("SCHNEIDER|A9F79110",FIYAT_KAYNAK!$A$3:$A$26,0)),"")</f>
        <v>446.8</v>
      </c>
      <c r="G51" s="8">
        <f>IFERROR(INDEX(FIYAT_KAYNAK!$J$3:$J$26,MATCH("SCHNEIDER|A9F79110",FIYAT_KAYNAK!$A$3:$A$26,0)),"")</f>
        <v>2922.0720000000001</v>
      </c>
      <c r="H51" s="8">
        <f t="shared" si="2"/>
        <v>2922.0720000000001</v>
      </c>
      <c r="I51" s="9">
        <v>1</v>
      </c>
      <c r="J51" s="6" t="s">
        <v>15</v>
      </c>
      <c r="K51" s="6" t="s">
        <v>19</v>
      </c>
    </row>
    <row r="52" spans="1:11" ht="15" hidden="1" customHeight="1" x14ac:dyDescent="0.25">
      <c r="A52" s="6">
        <v>51</v>
      </c>
      <c r="B52" s="6"/>
      <c r="C52" s="6" t="s">
        <v>17</v>
      </c>
      <c r="D52" s="6" t="s">
        <v>26</v>
      </c>
      <c r="E52" s="6" t="s">
        <v>27</v>
      </c>
      <c r="F52" s="7">
        <f>IFERROR(INDEX(FIYAT_KAYNAK!$F$3:$F$26,MATCH("SCHNEIDER|A9F79106",FIYAT_KAYNAK!$A$3:$A$26,0)),"")</f>
        <v>446.8</v>
      </c>
      <c r="G52" s="8">
        <f>IFERROR(INDEX(FIYAT_KAYNAK!$J$3:$J$26,MATCH("SCHNEIDER|A9F79106",FIYAT_KAYNAK!$A$3:$A$26,0)),"")</f>
        <v>2922.0720000000001</v>
      </c>
      <c r="H52" s="8">
        <f t="shared" si="2"/>
        <v>5844.1440000000002</v>
      </c>
      <c r="I52" s="9">
        <v>2</v>
      </c>
      <c r="J52" s="6" t="s">
        <v>15</v>
      </c>
      <c r="K52" s="6" t="s">
        <v>19</v>
      </c>
    </row>
    <row r="53" spans="1:11" ht="15" hidden="1" customHeight="1" x14ac:dyDescent="0.25">
      <c r="A53" s="6">
        <v>52</v>
      </c>
      <c r="B53" s="6"/>
      <c r="C53" s="6" t="s">
        <v>28</v>
      </c>
      <c r="D53" s="6" t="s">
        <v>29</v>
      </c>
      <c r="E53" s="6" t="s">
        <v>82</v>
      </c>
      <c r="F53" s="7">
        <f>IFERROR(INDEX(FIYAT_KAYNAK!$F$3:$F$26,MATCH("SCHNEIDER|LC1E1810M5",FIYAT_KAYNAK!$A$3:$A$26,0)),"")</f>
        <v>1628</v>
      </c>
      <c r="G53" s="8">
        <f>IFERROR(INDEX(FIYAT_KAYNAK!$J$3:$J$26,MATCH("SCHNEIDER|LC1E1810M5",FIYAT_KAYNAK!$A$3:$A$26,0)),"")</f>
        <v>10647.119999999999</v>
      </c>
      <c r="H53" s="8">
        <f t="shared" si="2"/>
        <v>21294.239999999998</v>
      </c>
      <c r="I53" s="9">
        <v>2</v>
      </c>
      <c r="J53" s="6" t="s">
        <v>15</v>
      </c>
      <c r="K53" s="6" t="s">
        <v>19</v>
      </c>
    </row>
    <row r="54" spans="1:11" ht="15" hidden="1" customHeight="1" x14ac:dyDescent="0.25">
      <c r="A54" s="6">
        <v>53</v>
      </c>
      <c r="B54" s="6"/>
      <c r="C54" s="6" t="s">
        <v>28</v>
      </c>
      <c r="D54" s="6" t="s">
        <v>75</v>
      </c>
      <c r="E54" s="6" t="s">
        <v>77</v>
      </c>
      <c r="F54" s="7">
        <f>IFERROR(INDEX(FIYAT_KAYNAK!$F$3:$F$26,MATCH("SCHNEIDER|LC1E2510M5",FIYAT_KAYNAK!$A$3:$A$26,0)),"")</f>
        <v>2182</v>
      </c>
      <c r="G54" s="8">
        <f>IFERROR(INDEX(FIYAT_KAYNAK!$J$3:$J$26,MATCH("SCHNEIDER|LC1E2510M5",FIYAT_KAYNAK!$A$3:$A$26,0)),"")</f>
        <v>14270.28</v>
      </c>
      <c r="H54" s="8">
        <f t="shared" si="2"/>
        <v>14270.28</v>
      </c>
      <c r="I54" s="9">
        <v>1</v>
      </c>
      <c r="J54" s="6" t="s">
        <v>15</v>
      </c>
      <c r="K54" s="6" t="s">
        <v>19</v>
      </c>
    </row>
    <row r="55" spans="1:11" ht="15" hidden="1" customHeight="1" x14ac:dyDescent="0.25">
      <c r="A55" s="6">
        <v>54</v>
      </c>
      <c r="B55" s="6"/>
      <c r="C55" s="6" t="s">
        <v>28</v>
      </c>
      <c r="D55" s="6" t="s">
        <v>33</v>
      </c>
      <c r="E55" s="6" t="s">
        <v>34</v>
      </c>
      <c r="F55" s="7">
        <f>IFERROR(INDEX(FIYAT_KAYNAK!$F$3:$F$26,MATCH("SCHNEIDER|LC1E0610M5",FIYAT_KAYNAK!$A$3:$A$26,0)),"")</f>
        <v>1154</v>
      </c>
      <c r="G55" s="8">
        <f>IFERROR(INDEX(FIYAT_KAYNAK!$J$3:$J$26,MATCH("SCHNEIDER|LC1E0610M5",FIYAT_KAYNAK!$A$3:$A$26,0)),"")</f>
        <v>7547.16</v>
      </c>
      <c r="H55" s="8">
        <f t="shared" si="2"/>
        <v>15094.32</v>
      </c>
      <c r="I55" s="9">
        <v>2</v>
      </c>
      <c r="J55" s="6" t="s">
        <v>15</v>
      </c>
      <c r="K55" s="6" t="s">
        <v>19</v>
      </c>
    </row>
    <row r="56" spans="1:11" ht="15" hidden="1" customHeight="1" x14ac:dyDescent="0.25">
      <c r="A56" s="6">
        <v>55</v>
      </c>
      <c r="B56" s="6"/>
      <c r="C56" s="6" t="s">
        <v>35</v>
      </c>
      <c r="D56" s="6" t="s">
        <v>36</v>
      </c>
      <c r="E56" s="6" t="s">
        <v>37</v>
      </c>
      <c r="F56" s="7">
        <f>IFERROR(INDEX(FIYAT_KAYNAK!$F$3:$F$26,MATCH("CHINT|593012",FIYAT_KAYNAK!$A$3:$A$26,0)),"")</f>
        <v>836</v>
      </c>
      <c r="G56" s="8">
        <f>IFERROR(INDEX(FIYAT_KAYNAK!$J$3:$J$26,MATCH("CHINT|593012",FIYAT_KAYNAK!$A$3:$A$26,0)),"")</f>
        <v>501.59999999999997</v>
      </c>
      <c r="H56" s="8">
        <f t="shared" si="2"/>
        <v>1504.8</v>
      </c>
      <c r="I56" s="9">
        <v>3</v>
      </c>
      <c r="J56" s="6" t="s">
        <v>15</v>
      </c>
      <c r="K56" s="6" t="s">
        <v>38</v>
      </c>
    </row>
    <row r="57" spans="1:11" ht="15" hidden="1" customHeight="1" x14ac:dyDescent="0.25">
      <c r="A57" s="6">
        <v>56</v>
      </c>
      <c r="B57" s="6"/>
      <c r="C57" s="6" t="s">
        <v>39</v>
      </c>
      <c r="D57" s="6" t="s">
        <v>40</v>
      </c>
      <c r="E57" s="6" t="s">
        <v>41</v>
      </c>
      <c r="F57" s="7">
        <f>IFERROR(INDEX(FIYAT_KAYNAK!$F$3:$F$26,MATCH("EKT|130301157_",FIYAT_KAYNAK!$A$3:$A$26,0)),"")</f>
        <v>235</v>
      </c>
      <c r="G57" s="8">
        <f>IFERROR(INDEX(FIYAT_KAYNAK!$J$3:$J$26,MATCH("EKT|130301157_",FIYAT_KAYNAK!$A$3:$A$26,0)),"")</f>
        <v>235</v>
      </c>
      <c r="H57" s="8">
        <f t="shared" si="2"/>
        <v>705</v>
      </c>
      <c r="I57" s="9">
        <v>3</v>
      </c>
      <c r="J57" s="6" t="s">
        <v>15</v>
      </c>
      <c r="K57" s="6" t="s">
        <v>42</v>
      </c>
    </row>
    <row r="58" spans="1:11" ht="15" hidden="1" customHeight="1" x14ac:dyDescent="0.25">
      <c r="A58" s="6">
        <v>57</v>
      </c>
      <c r="B58" s="6"/>
      <c r="C58" s="6" t="s">
        <v>39</v>
      </c>
      <c r="D58" s="6" t="s">
        <v>43</v>
      </c>
      <c r="E58" s="6" t="s">
        <v>44</v>
      </c>
      <c r="F58" s="7">
        <f>IFERROR(INDEX(FIYAT_KAYNAK!$F$3:$F$26,MATCH("EKT|130301158_",FIYAT_KAYNAK!$A$3:$A$26,0)),"")</f>
        <v>269</v>
      </c>
      <c r="G58" s="8">
        <f>IFERROR(INDEX(FIYAT_KAYNAK!$J$3:$J$26,MATCH("EKT|130301158_",FIYAT_KAYNAK!$A$3:$A$26,0)),"")</f>
        <v>269</v>
      </c>
      <c r="H58" s="8">
        <f t="shared" si="2"/>
        <v>269</v>
      </c>
      <c r="I58" s="9">
        <v>1</v>
      </c>
      <c r="J58" s="6" t="s">
        <v>15</v>
      </c>
      <c r="K58" s="6" t="s">
        <v>42</v>
      </c>
    </row>
    <row r="59" spans="1:11" ht="15" hidden="1" customHeight="1" x14ac:dyDescent="0.25">
      <c r="A59" s="6">
        <v>58</v>
      </c>
      <c r="B59" s="6"/>
      <c r="C59" s="6" t="s">
        <v>39</v>
      </c>
      <c r="D59" s="6" t="s">
        <v>45</v>
      </c>
      <c r="E59" s="6" t="s">
        <v>46</v>
      </c>
      <c r="F59" s="7">
        <f>IFERROR(INDEX(FIYAT_KAYNAK!$F$3:$F$26,MATCH("EKT|130300227_",FIYAT_KAYNAK!$A$3:$A$26,0)),"")</f>
        <v>155</v>
      </c>
      <c r="G59" s="8">
        <f>IFERROR(INDEX(FIYAT_KAYNAK!$J$3:$J$26,MATCH("EKT|130300227_",FIYAT_KAYNAK!$A$3:$A$26,0)),"")</f>
        <v>155</v>
      </c>
      <c r="H59" s="8">
        <f t="shared" si="2"/>
        <v>775</v>
      </c>
      <c r="I59" s="9">
        <v>5</v>
      </c>
      <c r="J59" s="6" t="s">
        <v>15</v>
      </c>
      <c r="K59" s="6" t="s">
        <v>42</v>
      </c>
    </row>
    <row r="60" spans="1:11" ht="15" hidden="1" customHeight="1" x14ac:dyDescent="0.25">
      <c r="A60" s="6">
        <v>59</v>
      </c>
      <c r="B60" s="6"/>
      <c r="C60" s="6" t="s">
        <v>39</v>
      </c>
      <c r="D60" s="6" t="s">
        <v>47</v>
      </c>
      <c r="E60" s="6" t="s">
        <v>48</v>
      </c>
      <c r="F60" s="7">
        <f>IFERROR(INDEX(FIYAT_KAYNAK!$F$3:$F$26,MATCH("EKT|130301154_",FIYAT_KAYNAK!$A$3:$A$26,0)),"")</f>
        <v>111</v>
      </c>
      <c r="G60" s="8">
        <f>IFERROR(INDEX(FIYAT_KAYNAK!$J$3:$J$26,MATCH("EKT|130301154_",FIYAT_KAYNAK!$A$3:$A$26,0)),"")</f>
        <v>111</v>
      </c>
      <c r="H60" s="8">
        <f t="shared" si="2"/>
        <v>888</v>
      </c>
      <c r="I60" s="9">
        <v>8</v>
      </c>
      <c r="J60" s="6" t="s">
        <v>15</v>
      </c>
      <c r="K60" s="6" t="s">
        <v>42</v>
      </c>
    </row>
    <row r="61" spans="1:11" ht="15" hidden="1" customHeight="1" x14ac:dyDescent="0.25">
      <c r="A61" s="6">
        <v>60</v>
      </c>
      <c r="B61" s="6"/>
      <c r="C61" s="6" t="s">
        <v>39</v>
      </c>
      <c r="D61" s="6" t="s">
        <v>49</v>
      </c>
      <c r="E61" s="6" t="s">
        <v>50</v>
      </c>
      <c r="F61" s="7">
        <f>IFERROR(INDEX(FIYAT_KAYNAK!$F$3:$F$26,MATCH("EKT|130301153_",FIYAT_KAYNAK!$A$3:$A$26,0)),"")</f>
        <v>90</v>
      </c>
      <c r="G61" s="8">
        <f>IFERROR(INDEX(FIYAT_KAYNAK!$J$3:$J$26,MATCH("EKT|130301153_",FIYAT_KAYNAK!$A$3:$A$26,0)),"")</f>
        <v>90</v>
      </c>
      <c r="H61" s="8">
        <f t="shared" si="2"/>
        <v>360</v>
      </c>
      <c r="I61" s="9">
        <v>4</v>
      </c>
      <c r="J61" s="6" t="s">
        <v>15</v>
      </c>
      <c r="K61" s="6" t="s">
        <v>42</v>
      </c>
    </row>
    <row r="62" spans="1:11" ht="15" hidden="1" customHeight="1" x14ac:dyDescent="0.25">
      <c r="A62" s="6">
        <v>61</v>
      </c>
      <c r="B62" s="6"/>
      <c r="C62" s="6" t="s">
        <v>39</v>
      </c>
      <c r="D62" s="6" t="s">
        <v>51</v>
      </c>
      <c r="E62" s="6" t="s">
        <v>52</v>
      </c>
      <c r="F62" s="7">
        <f>IFERROR(INDEX(FIYAT_KAYNAK!$F$3:$F$26,MATCH("EKT|130301152_",FIYAT_KAYNAK!$A$3:$A$26,0)),"")</f>
        <v>90</v>
      </c>
      <c r="G62" s="8">
        <f>IFERROR(INDEX(FIYAT_KAYNAK!$J$3:$J$26,MATCH("EKT|130301152_",FIYAT_KAYNAK!$A$3:$A$26,0)),"")</f>
        <v>90</v>
      </c>
      <c r="H62" s="8">
        <f t="shared" si="2"/>
        <v>2700</v>
      </c>
      <c r="I62" s="9">
        <v>30</v>
      </c>
      <c r="J62" s="6" t="s">
        <v>15</v>
      </c>
      <c r="K62" s="6" t="s">
        <v>42</v>
      </c>
    </row>
    <row r="63" spans="1:11" ht="15" hidden="1" customHeight="1" x14ac:dyDescent="0.25">
      <c r="A63" s="6">
        <v>62</v>
      </c>
      <c r="B63" s="6"/>
      <c r="C63" s="6" t="s">
        <v>53</v>
      </c>
      <c r="D63" s="6" t="s">
        <v>54</v>
      </c>
      <c r="E63" s="6" t="s">
        <v>55</v>
      </c>
      <c r="F63" s="7">
        <f>IFERROR(INDEX(FIYAT_KAYNAK!$F$3:$F$26,MATCH("CHINT|570002",FIYAT_KAYNAK!$A$3:$A$26,0)),"")</f>
        <v>2232</v>
      </c>
      <c r="G63" s="8">
        <f>IFERROR(INDEX(FIYAT_KAYNAK!$J$3:$J$26,MATCH("CHINT|570002",FIYAT_KAYNAK!$A$3:$A$26,0)),"")</f>
        <v>1339.2</v>
      </c>
      <c r="H63" s="8">
        <f t="shared" si="2"/>
        <v>1339.2</v>
      </c>
      <c r="I63" s="9">
        <v>1</v>
      </c>
      <c r="J63" s="6" t="s">
        <v>15</v>
      </c>
      <c r="K63" s="6" t="s">
        <v>38</v>
      </c>
    </row>
    <row r="64" spans="1:11" ht="15" hidden="1" customHeight="1" x14ac:dyDescent="0.25">
      <c r="A64" s="6">
        <v>63</v>
      </c>
      <c r="B64" s="6"/>
      <c r="C64" s="6" t="s">
        <v>53</v>
      </c>
      <c r="D64" s="6" t="s">
        <v>56</v>
      </c>
      <c r="E64" s="6" t="s">
        <v>57</v>
      </c>
      <c r="F64" s="7">
        <f>IFERROR(INDEX(FIYAT_KAYNAK!$F$3:$F$26,MATCH("EKT|280100020_",FIYAT_KAYNAK!$A$3:$A$26,0)),"")</f>
        <v>1486</v>
      </c>
      <c r="G64" s="8">
        <f>IFERROR(INDEX(FIYAT_KAYNAK!$J$3:$J$26,MATCH("EKT|280100020_",FIYAT_KAYNAK!$A$3:$A$26,0)),"")</f>
        <v>1486</v>
      </c>
      <c r="H64" s="8">
        <f t="shared" si="2"/>
        <v>2972</v>
      </c>
      <c r="I64" s="9">
        <v>2</v>
      </c>
      <c r="J64" s="6" t="s">
        <v>15</v>
      </c>
      <c r="K64" s="6" t="s">
        <v>42</v>
      </c>
    </row>
    <row r="65" spans="1:11" ht="15" hidden="1" customHeight="1" x14ac:dyDescent="0.25">
      <c r="A65" s="6">
        <v>64</v>
      </c>
      <c r="B65" s="6"/>
      <c r="C65" s="6" t="s">
        <v>53</v>
      </c>
      <c r="D65" s="6" t="s">
        <v>58</v>
      </c>
      <c r="E65" s="6" t="s">
        <v>59</v>
      </c>
      <c r="F65" s="7">
        <f>IFERROR(INDEX(FIYAT_KAYNAK!$F$3:$F$26,MATCH("EKT|270300079_",FIYAT_KAYNAK!$A$3:$A$26,0)),"")</f>
        <v>1094</v>
      </c>
      <c r="G65" s="8">
        <f>IFERROR(INDEX(FIYAT_KAYNAK!$J$3:$J$26,MATCH("EKT|270300079_",FIYAT_KAYNAK!$A$3:$A$26,0)),"")</f>
        <v>1094</v>
      </c>
      <c r="H65" s="8">
        <f t="shared" si="2"/>
        <v>1094</v>
      </c>
      <c r="I65" s="9">
        <v>1</v>
      </c>
      <c r="J65" s="6" t="s">
        <v>15</v>
      </c>
      <c r="K65" s="6" t="s">
        <v>42</v>
      </c>
    </row>
    <row r="66" spans="1:11" ht="15" hidden="1" customHeight="1" x14ac:dyDescent="0.25">
      <c r="A66" s="6">
        <v>65</v>
      </c>
      <c r="B66" s="6"/>
      <c r="C66" s="6" t="s">
        <v>53</v>
      </c>
      <c r="D66" s="6"/>
      <c r="E66" s="6" t="s">
        <v>60</v>
      </c>
      <c r="F66" s="6"/>
      <c r="G66" s="8">
        <f>SUM(H47:H65)*Kurallar!$B$13</f>
        <v>4804.8970799999997</v>
      </c>
      <c r="H66" s="8">
        <f>G66*I66</f>
        <v>4804.8970799999997</v>
      </c>
      <c r="I66" s="8">
        <v>1</v>
      </c>
      <c r="J66" s="6" t="s">
        <v>61</v>
      </c>
      <c r="K66" s="6" t="s">
        <v>62</v>
      </c>
    </row>
    <row r="67" spans="1:11" ht="15" hidden="1" customHeight="1" x14ac:dyDescent="0.25">
      <c r="A67" s="6">
        <v>66</v>
      </c>
      <c r="B67" s="6"/>
      <c r="C67" s="6" t="s">
        <v>63</v>
      </c>
      <c r="D67" s="6"/>
      <c r="E67" s="6" t="s">
        <v>64</v>
      </c>
      <c r="F67" s="10">
        <f>I67/60</f>
        <v>5.2612499999999995</v>
      </c>
      <c r="G67" s="8">
        <f>Kurallar!$B$11</f>
        <v>100</v>
      </c>
      <c r="H67" s="8">
        <f>G67*I67</f>
        <v>31567.499999999996</v>
      </c>
      <c r="I67" s="8">
        <f>Kurallar!$H$41</f>
        <v>315.67499999999995</v>
      </c>
      <c r="J67" s="6" t="s">
        <v>65</v>
      </c>
      <c r="K67" s="6" t="s">
        <v>66</v>
      </c>
    </row>
    <row r="68" spans="1:11" ht="15" hidden="1" customHeight="1" x14ac:dyDescent="0.25">
      <c r="A68" s="2"/>
      <c r="B68" s="5" t="s">
        <v>83</v>
      </c>
      <c r="C68" s="4"/>
      <c r="D68" s="4"/>
      <c r="E68" s="4"/>
      <c r="F68" s="4"/>
      <c r="G68" s="4"/>
      <c r="H68" s="11">
        <f>SUBTOTAL(9,H47:H67)</f>
        <v>17715</v>
      </c>
      <c r="I68" s="5">
        <v>1</v>
      </c>
      <c r="J68" s="5" t="s">
        <v>61</v>
      </c>
      <c r="K68" s="4"/>
    </row>
    <row r="69" spans="1:11" ht="15" hidden="1" customHeight="1" x14ac:dyDescent="0.25">
      <c r="A69" s="12"/>
      <c r="B69" s="13" t="s">
        <v>84</v>
      </c>
      <c r="C69" s="12"/>
      <c r="D69" s="12"/>
      <c r="E69" s="12"/>
      <c r="F69" s="12"/>
      <c r="G69" s="12"/>
      <c r="H69" s="14">
        <f>H22*I22+H45*I45+H68*I68</f>
        <v>265725</v>
      </c>
      <c r="I69" s="12"/>
      <c r="J69" s="12"/>
      <c r="K69" s="12"/>
    </row>
  </sheetData>
  <autoFilter ref="A1:K69" xr:uid="{00000000-0009-0000-0000-000000000000}">
    <filterColumn colId="2">
      <filters>
        <filter val="korpus"/>
      </filters>
    </filterColumn>
  </autoFilter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zoomScaleNormal="100" workbookViewId="0"/>
  </sheetViews>
  <sheetFormatPr defaultColWidth="8.7109375" defaultRowHeight="15" x14ac:dyDescent="0.25"/>
  <cols>
    <col min="1" max="1" width="22" customWidth="1"/>
    <col min="2" max="2" width="14" customWidth="1"/>
    <col min="3" max="3" width="20" customWidth="1"/>
    <col min="4" max="4" width="18" customWidth="1"/>
    <col min="5" max="6" width="13" customWidth="1"/>
    <col min="7" max="7" width="12" customWidth="1"/>
    <col min="8" max="8" width="20" customWidth="1"/>
  </cols>
  <sheetData>
    <row r="1" spans="1:8" ht="15.75" customHeight="1" x14ac:dyDescent="0.25">
      <c r="A1" s="15" t="s">
        <v>85</v>
      </c>
    </row>
    <row r="2" spans="1:8" ht="15" customHeight="1" x14ac:dyDescent="0.25">
      <c r="A2" s="16" t="s">
        <v>86</v>
      </c>
    </row>
    <row r="4" spans="1:8" ht="15" customHeight="1" x14ac:dyDescent="0.25">
      <c r="A4" s="1" t="s">
        <v>87</v>
      </c>
      <c r="B4" s="1" t="s">
        <v>88</v>
      </c>
      <c r="C4" s="1" t="s">
        <v>89</v>
      </c>
      <c r="D4" s="1" t="s">
        <v>7</v>
      </c>
      <c r="E4" s="1" t="s">
        <v>90</v>
      </c>
      <c r="F4" s="1" t="s">
        <v>91</v>
      </c>
      <c r="G4" s="1" t="s">
        <v>92</v>
      </c>
      <c r="H4" s="1" t="s">
        <v>93</v>
      </c>
    </row>
    <row r="5" spans="1:8" ht="15" customHeight="1" x14ac:dyDescent="0.25">
      <c r="A5" s="13" t="s">
        <v>11</v>
      </c>
      <c r="B5" s="8">
        <v>4</v>
      </c>
      <c r="C5" s="8">
        <f>BOM!H22</f>
        <v>17715</v>
      </c>
      <c r="D5" s="8">
        <f>B5*C5</f>
        <v>70860</v>
      </c>
      <c r="E5" s="8">
        <v>77.7</v>
      </c>
      <c r="F5" s="8">
        <v>100</v>
      </c>
      <c r="G5" s="17">
        <f>E5/F5</f>
        <v>0.77700000000000002</v>
      </c>
      <c r="H5" s="6" t="str">
        <f>IF(E5/F5&gt;1,"⛔ КОРПУС МАЛ",IF(E5/F5&gt;0.8,"⚠ РЕЗЕРВ &lt;20%","✅ OK"))</f>
        <v>✅ OK</v>
      </c>
    </row>
    <row r="6" spans="1:8" ht="15" customHeight="1" x14ac:dyDescent="0.25">
      <c r="A6" s="13" t="s">
        <v>68</v>
      </c>
      <c r="B6" s="8">
        <v>10</v>
      </c>
      <c r="C6" s="8">
        <f>BOM!H45</f>
        <v>17715</v>
      </c>
      <c r="D6" s="8">
        <f>B6*C6</f>
        <v>177150</v>
      </c>
      <c r="E6" s="8">
        <v>77.7</v>
      </c>
      <c r="F6" s="8">
        <v>100</v>
      </c>
      <c r="G6" s="17">
        <f>E6/F6</f>
        <v>0.77700000000000002</v>
      </c>
      <c r="H6" s="6" t="str">
        <f>IF(E6/F6&gt;1,"⛔ КОРПУС МАЛ",IF(E6/F6&gt;0.8,"⚠ РЕЗЕРВ &lt;20%","✅ OK"))</f>
        <v>✅ OK</v>
      </c>
    </row>
    <row r="7" spans="1:8" ht="15" customHeight="1" x14ac:dyDescent="0.25">
      <c r="A7" s="13" t="s">
        <v>79</v>
      </c>
      <c r="B7" s="8">
        <v>1</v>
      </c>
      <c r="C7" s="8">
        <f>BOM!H68</f>
        <v>17715</v>
      </c>
      <c r="D7" s="8">
        <f>B7*C7</f>
        <v>17715</v>
      </c>
      <c r="E7" s="8">
        <v>77.7</v>
      </c>
      <c r="F7" s="8">
        <v>100</v>
      </c>
      <c r="G7" s="17">
        <f>E7/F7</f>
        <v>0.77700000000000002</v>
      </c>
      <c r="H7" s="6" t="str">
        <f>IF(E7/F7&gt;1,"⛔ КОРПУС МАЛ",IF(E7/F7&gt;0.8,"⚠ РЕЗЕРВ &lt;20%","✅ OK"))</f>
        <v>✅ OK</v>
      </c>
    </row>
    <row r="8" spans="1:8" ht="15" customHeight="1" x14ac:dyDescent="0.25">
      <c r="A8" s="5" t="s">
        <v>94</v>
      </c>
      <c r="B8" s="4"/>
      <c r="C8" s="4"/>
      <c r="D8" s="18">
        <f>SUM(D5:D7)</f>
        <v>265725</v>
      </c>
      <c r="E8" s="4"/>
      <c r="F8" s="4"/>
      <c r="G8" s="4"/>
      <c r="H8" s="4"/>
    </row>
  </sheetData>
  <conditionalFormatting sqref="H5:H7">
    <cfRule type="cellIs" dxfId="1" priority="2" operator="equal">
      <formula>"⛔ КОРПУС МАЛ"</formula>
    </cfRule>
    <cfRule type="cellIs" dxfId="0" priority="3" operator="equal">
      <formula>"⚠ РЕЗЕРВ &lt;20%"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9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2" customWidth="1"/>
    <col min="2" max="2" width="16" customWidth="1"/>
    <col min="3" max="3" width="64" customWidth="1"/>
    <col min="4" max="4" width="10" customWidth="1"/>
    <col min="5" max="5" width="9" customWidth="1"/>
    <col min="6" max="6" width="13" customWidth="1"/>
    <col min="7" max="8" width="15" customWidth="1"/>
  </cols>
  <sheetData>
    <row r="1" spans="1:8" ht="15" customHeight="1" x14ac:dyDescent="0.25">
      <c r="A1" s="19" t="s">
        <v>95</v>
      </c>
    </row>
    <row r="2" spans="1:8" ht="15" customHeight="1" x14ac:dyDescent="0.25">
      <c r="A2" s="16" t="s">
        <v>96</v>
      </c>
    </row>
    <row r="4" spans="1:8" ht="15" customHeight="1" x14ac:dyDescent="0.25">
      <c r="A4" s="1" t="s">
        <v>10</v>
      </c>
      <c r="B4" s="1" t="s">
        <v>3</v>
      </c>
      <c r="C4" s="1" t="s">
        <v>4</v>
      </c>
      <c r="D4" s="1" t="s">
        <v>8</v>
      </c>
      <c r="E4" s="1" t="s">
        <v>9</v>
      </c>
      <c r="F4" s="1" t="s">
        <v>5</v>
      </c>
      <c r="G4" s="1" t="s">
        <v>6</v>
      </c>
      <c r="H4" s="1" t="s">
        <v>7</v>
      </c>
    </row>
    <row r="5" spans="1:8" ht="15" customHeight="1" x14ac:dyDescent="0.25">
      <c r="A5" s="6" t="s">
        <v>16</v>
      </c>
      <c r="B5" s="6" t="s">
        <v>14</v>
      </c>
      <c r="C5" s="6" t="str">
        <f>IFERROR(INDEX(FIYAT_KAYNAK!$D$3:$D$26,MATCH("KAZTEK|714-15120",FIYAT_KAYNAK!$A$3:$A$26,0)),"")</f>
        <v>Мет. ЩМП-3 (650х500х220) IP54</v>
      </c>
      <c r="D5" s="9">
        <v>15</v>
      </c>
      <c r="E5" s="6" t="str">
        <f>IFERROR(INDEX(FIYAT_KAYNAK!$E$3:$E$26,MATCH("KAZTEK|714-15120",FIYAT_KAYNAK!$A$3:$A$26,0)),"")</f>
        <v>ШТ</v>
      </c>
      <c r="F5" s="7">
        <f>IFERROR(INDEX(FIYAT_KAYNAK!$F$3:$F$26,MATCH("KAZTEK|714-15120",FIYAT_KAYNAK!$A$3:$A$26,0)),"")</f>
        <v>29525</v>
      </c>
      <c r="G5" s="8">
        <f>IFERROR(INDEX(FIYAT_KAYNAK!$J$3:$J$26,MATCH("KAZTEK|714-15120",FIYAT_KAYNAK!$A$3:$A$26,0)),"")</f>
        <v>17715</v>
      </c>
      <c r="H5" s="8">
        <f t="shared" ref="H5:H28" si="0">IF(OR(G5="",D5=""),"",G5*D5)</f>
        <v>265725</v>
      </c>
    </row>
    <row r="6" spans="1:8" ht="15" customHeight="1" x14ac:dyDescent="0.25">
      <c r="A6" s="6" t="s">
        <v>19</v>
      </c>
      <c r="B6" s="6" t="s">
        <v>18</v>
      </c>
      <c r="C6" s="6" t="str">
        <f>IFERROR(INDEX(FIYAT_KAYNAK!$D$3:$D$26,MATCH("SCHNEIDER|A9F79340",FIYAT_KAYNAK!$A$3:$A$26,0)),"")</f>
        <v>Автоматический выключатель Acti9 iC60N 3P 40A, характеристика C, 6кА [KZ/RU артикул; идентичен TR-коду A9F74340]</v>
      </c>
      <c r="D6" s="9">
        <v>4</v>
      </c>
      <c r="E6" s="6" t="str">
        <f>IFERROR(INDEX(FIYAT_KAYNAK!$E$3:$E$26,MATCH("SCHNEIDER|A9F79340",FIYAT_KAYNAK!$A$3:$A$26,0)),"")</f>
        <v>шт</v>
      </c>
      <c r="F6" s="7">
        <f>IFERROR(INDEX(FIYAT_KAYNAK!$F$3:$F$26,MATCH("SCHNEIDER|A9F79340",FIYAT_KAYNAK!$A$3:$A$26,0)),"")</f>
        <v>2247</v>
      </c>
      <c r="G6" s="8">
        <f>IFERROR(INDEX(FIYAT_KAYNAK!$J$3:$J$26,MATCH("SCHNEIDER|A9F79340",FIYAT_KAYNAK!$A$3:$A$26,0)),"")</f>
        <v>14695.380000000001</v>
      </c>
      <c r="H6" s="8">
        <f t="shared" si="0"/>
        <v>58781.520000000004</v>
      </c>
    </row>
    <row r="7" spans="1:8" ht="15" customHeight="1" x14ac:dyDescent="0.25">
      <c r="A7" s="6" t="s">
        <v>19</v>
      </c>
      <c r="B7" s="6" t="s">
        <v>20</v>
      </c>
      <c r="C7" s="6" t="str">
        <f>IFERROR(INDEX(FIYAT_KAYNAK!$D$3:$D$26,MATCH("SCHNEIDER|A9F79320",FIYAT_KAYNAK!$A$3:$A$26,0)),"")</f>
        <v>Автоматический выключатель Acti9 iC60N 3P 20A, характеристика C, 6кА [KZ/RU артикул; идентичен TR-коду A9F74320]</v>
      </c>
      <c r="D7" s="9">
        <v>10</v>
      </c>
      <c r="E7" s="6" t="str">
        <f>IFERROR(INDEX(FIYAT_KAYNAK!$E$3:$E$26,MATCH("SCHNEIDER|A9F79320",FIYAT_KAYNAK!$A$3:$A$26,0)),"")</f>
        <v>шт</v>
      </c>
      <c r="F7" s="7">
        <f>IFERROR(INDEX(FIYAT_KAYNAK!$F$3:$F$26,MATCH("SCHNEIDER|A9F79320",FIYAT_KAYNAK!$A$3:$A$26,0)),"")</f>
        <v>1884</v>
      </c>
      <c r="G7" s="8">
        <f>IFERROR(INDEX(FIYAT_KAYNAK!$J$3:$J$26,MATCH("SCHNEIDER|A9F79320",FIYAT_KAYNAK!$A$3:$A$26,0)),"")</f>
        <v>12321.359999999999</v>
      </c>
      <c r="H7" s="8">
        <f t="shared" si="0"/>
        <v>123213.59999999999</v>
      </c>
    </row>
    <row r="8" spans="1:8" ht="15" customHeight="1" x14ac:dyDescent="0.25">
      <c r="A8" s="6" t="s">
        <v>19</v>
      </c>
      <c r="B8" s="6" t="s">
        <v>23</v>
      </c>
      <c r="C8" s="6" t="str">
        <f>IFERROR(INDEX(FIYAT_KAYNAK!$D$3:$D$26,MATCH("SCHNEIDER|GV2ME14",FIYAT_KAYNAK!$A$3:$A$26,0)),"")</f>
        <v>Автоматический выключатель защиты двигателя TeSys GV2ME14 3P, диапазон уставки 6...10 А, Pn 4 кВт (380/400В), Icu 15…100кА</v>
      </c>
      <c r="D8" s="9">
        <v>4</v>
      </c>
      <c r="E8" s="6" t="str">
        <f>IFERROR(INDEX(FIYAT_KAYNAK!$E$3:$E$26,MATCH("SCHNEIDER|GV2ME14",FIYAT_KAYNAK!$A$3:$A$26,0)),"")</f>
        <v>шт</v>
      </c>
      <c r="F8" s="7">
        <f>IFERROR(INDEX(FIYAT_KAYNAK!$F$3:$F$26,MATCH("SCHNEIDER|GV2ME14",FIYAT_KAYNAK!$A$3:$A$26,0)),"")</f>
        <v>3634</v>
      </c>
      <c r="G8" s="8">
        <f>IFERROR(INDEX(FIYAT_KAYNAK!$J$3:$J$26,MATCH("SCHNEIDER|GV2ME14",FIYAT_KAYNAK!$A$3:$A$26,0)),"")</f>
        <v>23766.36</v>
      </c>
      <c r="H8" s="8">
        <f t="shared" si="0"/>
        <v>95065.44</v>
      </c>
    </row>
    <row r="9" spans="1:8" ht="15" customHeight="1" x14ac:dyDescent="0.25">
      <c r="A9" s="6" t="s">
        <v>19</v>
      </c>
      <c r="B9" s="6" t="s">
        <v>24</v>
      </c>
      <c r="C9" s="6" t="str">
        <f>IFERROR(INDEX(FIYAT_KAYNAK!$D$3:$D$26,MATCH("SCHNEIDER|A9F79110",FIYAT_KAYNAK!$A$3:$A$26,0)),"")</f>
        <v>Автоматический выключатель Acti9 iC60N 1P 10A, характеристика C, 6кА [KZ/RU артикул; идентичен TR-коду A9F74110]</v>
      </c>
      <c r="D9" s="9">
        <v>15</v>
      </c>
      <c r="E9" s="6" t="str">
        <f>IFERROR(INDEX(FIYAT_KAYNAK!$E$3:$E$26,MATCH("SCHNEIDER|A9F79110",FIYAT_KAYNAK!$A$3:$A$26,0)),"")</f>
        <v>шт</v>
      </c>
      <c r="F9" s="7">
        <f>IFERROR(INDEX(FIYAT_KAYNAK!$F$3:$F$26,MATCH("SCHNEIDER|A9F79110",FIYAT_KAYNAK!$A$3:$A$26,0)),"")</f>
        <v>446.8</v>
      </c>
      <c r="G9" s="8">
        <f>IFERROR(INDEX(FIYAT_KAYNAK!$J$3:$J$26,MATCH("SCHNEIDER|A9F79110",FIYAT_KAYNAK!$A$3:$A$26,0)),"")</f>
        <v>2922.0720000000001</v>
      </c>
      <c r="H9" s="8">
        <f t="shared" si="0"/>
        <v>43831.08</v>
      </c>
    </row>
    <row r="10" spans="1:8" ht="15" customHeight="1" x14ac:dyDescent="0.25">
      <c r="A10" s="6" t="s">
        <v>19</v>
      </c>
      <c r="B10" s="6" t="s">
        <v>26</v>
      </c>
      <c r="C10" s="6" t="str">
        <f>IFERROR(INDEX(FIYAT_KAYNAK!$D$3:$D$26,MATCH("SCHNEIDER|A9F79106",FIYAT_KAYNAK!$A$3:$A$26,0)),"")</f>
        <v>Автоматический выключатель Acti9 iC60N 1P 6A, характеристика C, 6кА [KZ/RU артикул; идентичен TR-коду A9F74106]</v>
      </c>
      <c r="D10" s="9">
        <v>30</v>
      </c>
      <c r="E10" s="6" t="str">
        <f>IFERROR(INDEX(FIYAT_KAYNAK!$E$3:$E$26,MATCH("SCHNEIDER|A9F79106",FIYAT_KAYNAK!$A$3:$A$26,0)),"")</f>
        <v>шт</v>
      </c>
      <c r="F10" s="7">
        <f>IFERROR(INDEX(FIYAT_KAYNAK!$F$3:$F$26,MATCH("SCHNEIDER|A9F79106",FIYAT_KAYNAK!$A$3:$A$26,0)),"")</f>
        <v>446.8</v>
      </c>
      <c r="G10" s="8">
        <f>IFERROR(INDEX(FIYAT_KAYNAK!$J$3:$J$26,MATCH("SCHNEIDER|A9F79106",FIYAT_KAYNAK!$A$3:$A$26,0)),"")</f>
        <v>2922.0720000000001</v>
      </c>
      <c r="H10" s="8">
        <f t="shared" si="0"/>
        <v>87662.16</v>
      </c>
    </row>
    <row r="11" spans="1:8" ht="15" customHeight="1" x14ac:dyDescent="0.25">
      <c r="A11" s="6" t="s">
        <v>19</v>
      </c>
      <c r="B11" s="6" t="s">
        <v>29</v>
      </c>
      <c r="C11" s="6" t="str">
        <f>IFERROR(INDEX(FIYAT_KAYNAK!$D$3:$D$26,MATCH("SCHNEIDER|LC1E1810M5",FIYAT_KAYNAK!$A$3:$A$26,0)),"")</f>
        <v>Контактор Easy TeSys LC1E1810M5 3P 18A (AC-3) 7.5кВт 380/400В, доп.контакты 1NO+0NC, катушка 220В AC 50Гц</v>
      </c>
      <c r="D11" s="9">
        <v>10</v>
      </c>
      <c r="E11" s="6" t="str">
        <f>IFERROR(INDEX(FIYAT_KAYNAK!$E$3:$E$26,MATCH("SCHNEIDER|LC1E1810M5",FIYAT_KAYNAK!$A$3:$A$26,0)),"")</f>
        <v>шт</v>
      </c>
      <c r="F11" s="7">
        <f>IFERROR(INDEX(FIYAT_KAYNAK!$F$3:$F$26,MATCH("SCHNEIDER|LC1E1810M5",FIYAT_KAYNAK!$A$3:$A$26,0)),"")</f>
        <v>1628</v>
      </c>
      <c r="G11" s="8">
        <f>IFERROR(INDEX(FIYAT_KAYNAK!$J$3:$J$26,MATCH("SCHNEIDER|LC1E1810M5",FIYAT_KAYNAK!$A$3:$A$26,0)),"")</f>
        <v>10647.119999999999</v>
      </c>
      <c r="H11" s="8">
        <f t="shared" si="0"/>
        <v>106471.19999999998</v>
      </c>
    </row>
    <row r="12" spans="1:8" ht="15" customHeight="1" x14ac:dyDescent="0.25">
      <c r="A12" s="6" t="s">
        <v>19</v>
      </c>
      <c r="B12" s="6" t="s">
        <v>31</v>
      </c>
      <c r="C12" s="6" t="str">
        <f>IFERROR(INDEX(FIYAT_KAYNAK!$D$3:$D$26,MATCH("SCHNEIDER|LC1E0910M5",FIYAT_KAYNAK!$A$3:$A$26,0)),"")</f>
        <v>Контактор Easy TeSys LC1E0910M5 3P 9A (AC-3) 4кВт 380/400В, доп.контакты 1NO+0NC, катушка 220В AC 50Гц</v>
      </c>
      <c r="D12" s="9">
        <v>4</v>
      </c>
      <c r="E12" s="6" t="str">
        <f>IFERROR(INDEX(FIYAT_KAYNAK!$E$3:$E$26,MATCH("SCHNEIDER|LC1E0910M5",FIYAT_KAYNAK!$A$3:$A$26,0)),"")</f>
        <v>шт</v>
      </c>
      <c r="F12" s="7">
        <f>IFERROR(INDEX(FIYAT_KAYNAK!$F$3:$F$26,MATCH("SCHNEIDER|LC1E0910M5",FIYAT_KAYNAK!$A$3:$A$26,0)),"")</f>
        <v>1217</v>
      </c>
      <c r="G12" s="8">
        <f>IFERROR(INDEX(FIYAT_KAYNAK!$J$3:$J$26,MATCH("SCHNEIDER|LC1E0910M5",FIYAT_KAYNAK!$A$3:$A$26,0)),"")</f>
        <v>7959.1799999999994</v>
      </c>
      <c r="H12" s="8">
        <f t="shared" si="0"/>
        <v>31836.719999999998</v>
      </c>
    </row>
    <row r="13" spans="1:8" ht="15" customHeight="1" x14ac:dyDescent="0.25">
      <c r="A13" s="6" t="s">
        <v>19</v>
      </c>
      <c r="B13" s="6" t="s">
        <v>33</v>
      </c>
      <c r="C13" s="6" t="str">
        <f>IFERROR(INDEX(FIYAT_KAYNAK!$D$3:$D$26,MATCH("SCHNEIDER|LC1E0610M5",FIYAT_KAYNAK!$A$3:$A$26,0)),"")</f>
        <v>Контактор Easy TeSys LC1E0610M5 3P 6A (AC-3) 2.2кВт 380/400В, доп.контакты 1NO+0NC, катушка 220В AC 50Гц</v>
      </c>
      <c r="D13" s="9">
        <v>30</v>
      </c>
      <c r="E13" s="6" t="str">
        <f>IFERROR(INDEX(FIYAT_KAYNAK!$E$3:$E$26,MATCH("SCHNEIDER|LC1E0610M5",FIYAT_KAYNAK!$A$3:$A$26,0)),"")</f>
        <v>шт</v>
      </c>
      <c r="F13" s="7">
        <f>IFERROR(INDEX(FIYAT_KAYNAK!$F$3:$F$26,MATCH("SCHNEIDER|LC1E0610M5",FIYAT_KAYNAK!$A$3:$A$26,0)),"")</f>
        <v>1154</v>
      </c>
      <c r="G13" s="8">
        <f>IFERROR(INDEX(FIYAT_KAYNAK!$J$3:$J$26,MATCH("SCHNEIDER|LC1E0610M5",FIYAT_KAYNAK!$A$3:$A$26,0)),"")</f>
        <v>7547.16</v>
      </c>
      <c r="H13" s="8">
        <f t="shared" si="0"/>
        <v>226414.8</v>
      </c>
    </row>
    <row r="14" spans="1:8" ht="15" customHeight="1" x14ac:dyDescent="0.25">
      <c r="A14" s="6" t="s">
        <v>38</v>
      </c>
      <c r="B14" s="6" t="s">
        <v>36</v>
      </c>
      <c r="C14" s="6" t="str">
        <f>IFERROR(INDEX(FIYAT_KAYNAK!$D$3:$D$26,MATCH("CHINT|593012",FIYAT_KAYNAK!$A$3:$A$26,0)),"")</f>
        <v>Индикатор ND16-22DS/4 красный АС230В (R)</v>
      </c>
      <c r="D14" s="9">
        <v>45</v>
      </c>
      <c r="E14" s="6" t="str">
        <f>IFERROR(INDEX(FIYAT_KAYNAK!$E$3:$E$26,MATCH("CHINT|593012",FIYAT_KAYNAK!$A$3:$A$26,0)),"")</f>
        <v>шт</v>
      </c>
      <c r="F14" s="7">
        <f>IFERROR(INDEX(FIYAT_KAYNAK!$F$3:$F$26,MATCH("CHINT|593012",FIYAT_KAYNAK!$A$3:$A$26,0)),"")</f>
        <v>836</v>
      </c>
      <c r="G14" s="8">
        <f>IFERROR(INDEX(FIYAT_KAYNAK!$J$3:$J$26,MATCH("CHINT|593012",FIYAT_KAYNAK!$A$3:$A$26,0)),"")</f>
        <v>501.59999999999997</v>
      </c>
      <c r="H14" s="8">
        <f t="shared" si="0"/>
        <v>22572</v>
      </c>
    </row>
    <row r="15" spans="1:8" ht="15" customHeight="1" x14ac:dyDescent="0.25">
      <c r="A15" s="6" t="s">
        <v>42</v>
      </c>
      <c r="B15" s="6" t="s">
        <v>40</v>
      </c>
      <c r="C15" s="6" t="str">
        <f>IFERROR(INDEX(FIYAT_KAYNAK!$D$3:$D$26,MATCH("EKT|130301157_",FIYAT_KAYNAK!$A$3:$A$26,0)),"")</f>
        <v>ЗНИ 16мм ² (100А) серый UNIT (50/1000)</v>
      </c>
      <c r="D15" s="9">
        <v>45</v>
      </c>
      <c r="E15" s="6" t="str">
        <f>IFERROR(INDEX(FIYAT_KAYNAK!$E$3:$E$26,MATCH("EKT|130301157_",FIYAT_KAYNAK!$A$3:$A$26,0)),"")</f>
        <v>шт</v>
      </c>
      <c r="F15" s="7">
        <f>IFERROR(INDEX(FIYAT_KAYNAK!$F$3:$F$26,MATCH("EKT|130301157_",FIYAT_KAYNAK!$A$3:$A$26,0)),"")</f>
        <v>235</v>
      </c>
      <c r="G15" s="8">
        <f>IFERROR(INDEX(FIYAT_KAYNAK!$J$3:$J$26,MATCH("EKT|130301157_",FIYAT_KAYNAK!$A$3:$A$26,0)),"")</f>
        <v>235</v>
      </c>
      <c r="H15" s="8">
        <f t="shared" si="0"/>
        <v>10575</v>
      </c>
    </row>
    <row r="16" spans="1:8" ht="15" customHeight="1" x14ac:dyDescent="0.25">
      <c r="A16" s="6" t="s">
        <v>42</v>
      </c>
      <c r="B16" s="6" t="s">
        <v>43</v>
      </c>
      <c r="C16" s="6" t="str">
        <f>IFERROR(INDEX(FIYAT_KAYNAK!$D$3:$D$26,MATCH("EKT|130301158_",FIYAT_KAYNAK!$A$3:$A$26,0)),"")</f>
        <v>ЗНИ 16мм ² (100А) синий UNIT (50/1000)</v>
      </c>
      <c r="D16" s="9">
        <v>15</v>
      </c>
      <c r="E16" s="6" t="str">
        <f>IFERROR(INDEX(FIYAT_KAYNAK!$E$3:$E$26,MATCH("EKT|130301158_",FIYAT_KAYNAK!$A$3:$A$26,0)),"")</f>
        <v>шт</v>
      </c>
      <c r="F16" s="7">
        <f>IFERROR(INDEX(FIYAT_KAYNAK!$F$3:$F$26,MATCH("EKT|130301158_",FIYAT_KAYNAK!$A$3:$A$26,0)),"")</f>
        <v>269</v>
      </c>
      <c r="G16" s="8">
        <f>IFERROR(INDEX(FIYAT_KAYNAK!$J$3:$J$26,MATCH("EKT|130301158_",FIYAT_KAYNAK!$A$3:$A$26,0)),"")</f>
        <v>269</v>
      </c>
      <c r="H16" s="8">
        <f t="shared" si="0"/>
        <v>4035</v>
      </c>
    </row>
    <row r="17" spans="1:8" ht="15" customHeight="1" x14ac:dyDescent="0.25">
      <c r="A17" s="6" t="s">
        <v>42</v>
      </c>
      <c r="B17" s="6" t="s">
        <v>45</v>
      </c>
      <c r="C17" s="6" t="str">
        <f>IFERROR(INDEX(FIYAT_KAYNAK!$D$3:$D$26,MATCH("EKT|130300227_",FIYAT_KAYNAK!$A$3:$A$26,0)),"")</f>
        <v>ЗНИ 10PEN 10мм2 (JXB-земля) IEK E-PRO</v>
      </c>
      <c r="D17" s="9">
        <v>75</v>
      </c>
      <c r="E17" s="6" t="str">
        <f>IFERROR(INDEX(FIYAT_KAYNAK!$E$3:$E$26,MATCH("EKT|130300227_",FIYAT_KAYNAK!$A$3:$A$26,0)),"")</f>
        <v>шт</v>
      </c>
      <c r="F17" s="7">
        <f>IFERROR(INDEX(FIYAT_KAYNAK!$F$3:$F$26,MATCH("EKT|130300227_",FIYAT_KAYNAK!$A$3:$A$26,0)),"")</f>
        <v>155</v>
      </c>
      <c r="G17" s="8">
        <f>IFERROR(INDEX(FIYAT_KAYNAK!$J$3:$J$26,MATCH("EKT|130300227_",FIYAT_KAYNAK!$A$3:$A$26,0)),"")</f>
        <v>155</v>
      </c>
      <c r="H17" s="8">
        <f t="shared" si="0"/>
        <v>11625</v>
      </c>
    </row>
    <row r="18" spans="1:8" ht="15" customHeight="1" x14ac:dyDescent="0.25">
      <c r="A18" s="6" t="s">
        <v>42</v>
      </c>
      <c r="B18" s="6" t="s">
        <v>47</v>
      </c>
      <c r="C18" s="6" t="str">
        <f>IFERROR(INDEX(FIYAT_KAYNAK!$D$3:$D$26,MATCH("EKT|130301154_",FIYAT_KAYNAK!$A$3:$A$26,0)),"")</f>
        <v>ЗНИ 6мм ² серый UNIT (50/2000)</v>
      </c>
      <c r="D18" s="9">
        <v>120</v>
      </c>
      <c r="E18" s="6" t="str">
        <f>IFERROR(INDEX(FIYAT_KAYNAK!$E$3:$E$26,MATCH("EKT|130301154_",FIYAT_KAYNAK!$A$3:$A$26,0)),"")</f>
        <v>шт</v>
      </c>
      <c r="F18" s="7">
        <f>IFERROR(INDEX(FIYAT_KAYNAK!$F$3:$F$26,MATCH("EKT|130301154_",FIYAT_KAYNAK!$A$3:$A$26,0)),"")</f>
        <v>111</v>
      </c>
      <c r="G18" s="8">
        <f>IFERROR(INDEX(FIYAT_KAYNAK!$J$3:$J$26,MATCH("EKT|130301154_",FIYAT_KAYNAK!$A$3:$A$26,0)),"")</f>
        <v>111</v>
      </c>
      <c r="H18" s="8">
        <f t="shared" si="0"/>
        <v>13320</v>
      </c>
    </row>
    <row r="19" spans="1:8" ht="15" customHeight="1" x14ac:dyDescent="0.25">
      <c r="A19" s="6" t="s">
        <v>42</v>
      </c>
      <c r="B19" s="6" t="s">
        <v>49</v>
      </c>
      <c r="C19" s="6" t="str">
        <f>IFERROR(INDEX(FIYAT_KAYNAK!$D$3:$D$26,MATCH("EKT|130301153_",FIYAT_KAYNAK!$A$3:$A$26,0)),"")</f>
        <v>ЗНИ 4мм ² (35А) серый UNIT (50/2500)</v>
      </c>
      <c r="D19" s="9">
        <v>60</v>
      </c>
      <c r="E19" s="6" t="str">
        <f>IFERROR(INDEX(FIYAT_KAYNAK!$E$3:$E$26,MATCH("EKT|130301153_",FIYAT_KAYNAK!$A$3:$A$26,0)),"")</f>
        <v>шт</v>
      </c>
      <c r="F19" s="7">
        <f>IFERROR(INDEX(FIYAT_KAYNAK!$F$3:$F$26,MATCH("EKT|130301153_",FIYAT_KAYNAK!$A$3:$A$26,0)),"")</f>
        <v>90</v>
      </c>
      <c r="G19" s="8">
        <f>IFERROR(INDEX(FIYAT_KAYNAK!$J$3:$J$26,MATCH("EKT|130301153_",FIYAT_KAYNAK!$A$3:$A$26,0)),"")</f>
        <v>90</v>
      </c>
      <c r="H19" s="8">
        <f t="shared" si="0"/>
        <v>5400</v>
      </c>
    </row>
    <row r="20" spans="1:8" ht="15" customHeight="1" x14ac:dyDescent="0.25">
      <c r="A20" s="6" t="s">
        <v>42</v>
      </c>
      <c r="B20" s="6" t="s">
        <v>51</v>
      </c>
      <c r="C20" s="6" t="str">
        <f>IFERROR(INDEX(FIYAT_KAYNAK!$D$3:$D$26,MATCH("EKT|130301152_",FIYAT_KAYNAK!$A$3:$A$26,0)),"")</f>
        <v>ЗНИ 2.5мм ² (24А) серый UNIT (50/2500)</v>
      </c>
      <c r="D20" s="9">
        <v>450</v>
      </c>
      <c r="E20" s="6" t="str">
        <f>IFERROR(INDEX(FIYAT_KAYNAK!$E$3:$E$26,MATCH("EKT|130301152_",FIYAT_KAYNAK!$A$3:$A$26,0)),"")</f>
        <v>шт</v>
      </c>
      <c r="F20" s="7">
        <f>IFERROR(INDEX(FIYAT_KAYNAK!$F$3:$F$26,MATCH("EKT|130301152_",FIYAT_KAYNAK!$A$3:$A$26,0)),"")</f>
        <v>90</v>
      </c>
      <c r="G20" s="8">
        <f>IFERROR(INDEX(FIYAT_KAYNAK!$J$3:$J$26,MATCH("EKT|130301152_",FIYAT_KAYNAK!$A$3:$A$26,0)),"")</f>
        <v>90</v>
      </c>
      <c r="H20" s="8">
        <f t="shared" si="0"/>
        <v>40500</v>
      </c>
    </row>
    <row r="21" spans="1:8" ht="15" customHeight="1" x14ac:dyDescent="0.25">
      <c r="A21" s="6" t="s">
        <v>38</v>
      </c>
      <c r="B21" s="6" t="s">
        <v>54</v>
      </c>
      <c r="C21" s="6" t="str">
        <f>IFERROR(INDEX(FIYAT_KAYNAK!$D$3:$D$26,MATCH("CHINT|570002",FIYAT_KAYNAK!$A$3:$A$26,0)),"")</f>
        <v>DIN-рейка оцинкованная TH35-7.5 200cm</v>
      </c>
      <c r="D21" s="9">
        <v>15</v>
      </c>
      <c r="E21" s="6" t="str">
        <f>IFERROR(INDEX(FIYAT_KAYNAK!$E$3:$E$26,MATCH("CHINT|570002",FIYAT_KAYNAK!$A$3:$A$26,0)),"")</f>
        <v>шт</v>
      </c>
      <c r="F21" s="7">
        <f>IFERROR(INDEX(FIYAT_KAYNAK!$F$3:$F$26,MATCH("CHINT|570002",FIYAT_KAYNAK!$A$3:$A$26,0)),"")</f>
        <v>2232</v>
      </c>
      <c r="G21" s="8">
        <f>IFERROR(INDEX(FIYAT_KAYNAK!$J$3:$J$26,MATCH("CHINT|570002",FIYAT_KAYNAK!$A$3:$A$26,0)),"")</f>
        <v>1339.2</v>
      </c>
      <c r="H21" s="8">
        <f t="shared" si="0"/>
        <v>20088</v>
      </c>
    </row>
    <row r="22" spans="1:8" ht="15" customHeight="1" x14ac:dyDescent="0.25">
      <c r="A22" s="6" t="s">
        <v>42</v>
      </c>
      <c r="B22" s="6" t="s">
        <v>56</v>
      </c>
      <c r="C22" s="6" t="str">
        <f>IFERROR(INDEX(FIYAT_KAYNAK!$D$3:$D$26,MATCH("EKT|280100020_",FIYAT_KAYNAK!$A$3:$A$26,0)),"")</f>
        <v>Кабель.канал перф. 40х40 ИМПАКТ IEK (36)</v>
      </c>
      <c r="D22" s="9">
        <v>30</v>
      </c>
      <c r="E22" s="6" t="str">
        <f>IFERROR(INDEX(FIYAT_KAYNAK!$E$3:$E$26,MATCH("EKT|280100020_",FIYAT_KAYNAK!$A$3:$A$26,0)),"")</f>
        <v>шт</v>
      </c>
      <c r="F22" s="7">
        <f>IFERROR(INDEX(FIYAT_KAYNAK!$F$3:$F$26,MATCH("EKT|280100020_",FIYAT_KAYNAK!$A$3:$A$26,0)),"")</f>
        <v>1486</v>
      </c>
      <c r="G22" s="8">
        <f>IFERROR(INDEX(FIYAT_KAYNAK!$J$3:$J$26,MATCH("EKT|280100020_",FIYAT_KAYNAK!$A$3:$A$26,0)),"")</f>
        <v>1486</v>
      </c>
      <c r="H22" s="8">
        <f t="shared" si="0"/>
        <v>44580</v>
      </c>
    </row>
    <row r="23" spans="1:8" ht="15" customHeight="1" x14ac:dyDescent="0.25">
      <c r="A23" s="6" t="s">
        <v>42</v>
      </c>
      <c r="B23" s="6" t="s">
        <v>58</v>
      </c>
      <c r="C23" s="6" t="str">
        <f>IFERROR(INDEX(FIYAT_KAYNAK!$D$3:$D$26,MATCH("EKT|270300079_",FIYAT_KAYNAK!$A$3:$A$26,0)),"")</f>
        <v>Кабель.канал перф. 25х40 ИМПАКТ IEK (60)</v>
      </c>
      <c r="D23" s="9">
        <v>15</v>
      </c>
      <c r="E23" s="6" t="str">
        <f>IFERROR(INDEX(FIYAT_KAYNAK!$E$3:$E$26,MATCH("EKT|270300079_",FIYAT_KAYNAK!$A$3:$A$26,0)),"")</f>
        <v>шт</v>
      </c>
      <c r="F23" s="7">
        <f>IFERROR(INDEX(FIYAT_KAYNAK!$F$3:$F$26,MATCH("EKT|270300079_",FIYAT_KAYNAK!$A$3:$A$26,0)),"")</f>
        <v>1094</v>
      </c>
      <c r="G23" s="8">
        <f>IFERROR(INDEX(FIYAT_KAYNAK!$J$3:$J$26,MATCH("EKT|270300079_",FIYAT_KAYNAK!$A$3:$A$26,0)),"")</f>
        <v>1094</v>
      </c>
      <c r="H23" s="8">
        <f t="shared" si="0"/>
        <v>16410</v>
      </c>
    </row>
    <row r="24" spans="1:8" ht="15" customHeight="1" x14ac:dyDescent="0.25">
      <c r="A24" s="6" t="s">
        <v>19</v>
      </c>
      <c r="B24" s="6" t="s">
        <v>69</v>
      </c>
      <c r="C24" s="6" t="str">
        <f>IFERROR(INDEX(FIYAT_KAYNAK!$D$3:$D$26,MATCH("SCHNEIDER|A9F79363",FIYAT_KAYNAK!$A$3:$A$26,0)),"")</f>
        <v>Автоматический выключатель Acti9 iC60N 3P 63A, характеристика C, 6кА [KZ/RU артикул; идентичен TR-коду A9F74363]</v>
      </c>
      <c r="D24" s="9">
        <v>10</v>
      </c>
      <c r="E24" s="6" t="str">
        <f>IFERROR(INDEX(FIYAT_KAYNAK!$E$3:$E$26,MATCH("SCHNEIDER|A9F79363",FIYAT_KAYNAK!$A$3:$A$26,0)),"")</f>
        <v>шт</v>
      </c>
      <c r="F24" s="7">
        <f>IFERROR(INDEX(FIYAT_KAYNAK!$F$3:$F$26,MATCH("SCHNEIDER|A9F79363",FIYAT_KAYNAK!$A$3:$A$26,0)),"")</f>
        <v>3335</v>
      </c>
      <c r="G24" s="8">
        <f>IFERROR(INDEX(FIYAT_KAYNAK!$J$3:$J$26,MATCH("SCHNEIDER|A9F79363",FIYAT_KAYNAK!$A$3:$A$26,0)),"")</f>
        <v>21810.9</v>
      </c>
      <c r="H24" s="8">
        <f t="shared" si="0"/>
        <v>218109</v>
      </c>
    </row>
    <row r="25" spans="1:8" ht="15" customHeight="1" x14ac:dyDescent="0.25">
      <c r="A25" s="6" t="s">
        <v>19</v>
      </c>
      <c r="B25" s="6" t="s">
        <v>71</v>
      </c>
      <c r="C25" s="6" t="str">
        <f>IFERROR(INDEX(FIYAT_KAYNAK!$D$3:$D$26,MATCH("SCHNEIDER|A9F79325",FIYAT_KAYNAK!$A$3:$A$26,0)),"")</f>
        <v>Автоматический выключатель Acti9 iC60N 3P 25A, характеристика C, 6кА [KZ/RU артикул; идентичен TR-коду A9F74325]</v>
      </c>
      <c r="D25" s="9">
        <v>20</v>
      </c>
      <c r="E25" s="6" t="str">
        <f>IFERROR(INDEX(FIYAT_KAYNAK!$E$3:$E$26,MATCH("SCHNEIDER|A9F79325",FIYAT_KAYNAK!$A$3:$A$26,0)),"")</f>
        <v>шт</v>
      </c>
      <c r="F25" s="7">
        <f>IFERROR(INDEX(FIYAT_KAYNAK!$F$3:$F$26,MATCH("SCHNEIDER|A9F79325",FIYAT_KAYNAK!$A$3:$A$26,0)),"")</f>
        <v>1884</v>
      </c>
      <c r="G25" s="8">
        <f>IFERROR(INDEX(FIYAT_KAYNAK!$J$3:$J$26,MATCH("SCHNEIDER|A9F79325",FIYAT_KAYNAK!$A$3:$A$26,0)),"")</f>
        <v>12321.359999999999</v>
      </c>
      <c r="H25" s="8">
        <f t="shared" si="0"/>
        <v>246427.19999999998</v>
      </c>
    </row>
    <row r="26" spans="1:8" ht="15" customHeight="1" x14ac:dyDescent="0.25">
      <c r="A26" s="6" t="s">
        <v>19</v>
      </c>
      <c r="B26" s="6" t="s">
        <v>73</v>
      </c>
      <c r="C26" s="6" t="str">
        <f>IFERROR(INDEX(FIYAT_KAYNAK!$D$3:$D$26,MATCH("SCHNEIDER|GV2ME20",FIYAT_KAYNAK!$A$3:$A$26,0)),"")</f>
        <v>Автоматический выключатель защиты двигателя TeSys GV2ME20 3P, диапазон уставки 13...18 А, Pn 7,5 кВт (380/400В), Icu 15…100кА</v>
      </c>
      <c r="D26" s="9">
        <v>11</v>
      </c>
      <c r="E26" s="6" t="str">
        <f>IFERROR(INDEX(FIYAT_KAYNAK!$E$3:$E$26,MATCH("SCHNEIDER|GV2ME20",FIYAT_KAYNAK!$A$3:$A$26,0)),"")</f>
        <v>шт</v>
      </c>
      <c r="F26" s="7">
        <f>IFERROR(INDEX(FIYAT_KAYNAK!$F$3:$F$26,MATCH("SCHNEIDER|GV2ME20",FIYAT_KAYNAK!$A$3:$A$26,0)),"")</f>
        <v>4163</v>
      </c>
      <c r="G26" s="8">
        <f>IFERROR(INDEX(FIYAT_KAYNAK!$J$3:$J$26,MATCH("SCHNEIDER|GV2ME20",FIYAT_KAYNAK!$A$3:$A$26,0)),"")</f>
        <v>27226.019999999997</v>
      </c>
      <c r="H26" s="8">
        <f t="shared" si="0"/>
        <v>299486.21999999997</v>
      </c>
    </row>
    <row r="27" spans="1:8" ht="15" customHeight="1" x14ac:dyDescent="0.25">
      <c r="A27" s="6" t="s">
        <v>19</v>
      </c>
      <c r="B27" s="6" t="s">
        <v>75</v>
      </c>
      <c r="C27" s="6" t="str">
        <f>IFERROR(INDEX(FIYAT_KAYNAK!$D$3:$D$26,MATCH("SCHNEIDER|LC1E2510M5",FIYAT_KAYNAK!$A$3:$A$26,0)),"")</f>
        <v>Контактор Easy TeSys LC1E2510M5 3P 25A (AC-3) 11кВт 380/400В, доп.контакты 1NO+0NC, катушка 220В AC 50Гц</v>
      </c>
      <c r="D27" s="9">
        <v>31</v>
      </c>
      <c r="E27" s="6" t="str">
        <f>IFERROR(INDEX(FIYAT_KAYNAK!$E$3:$E$26,MATCH("SCHNEIDER|LC1E2510M5",FIYAT_KAYNAK!$A$3:$A$26,0)),"")</f>
        <v>шт</v>
      </c>
      <c r="F27" s="7">
        <f>IFERROR(INDEX(FIYAT_KAYNAK!$F$3:$F$26,MATCH("SCHNEIDER|LC1E2510M5",FIYAT_KAYNAK!$A$3:$A$26,0)),"")</f>
        <v>2182</v>
      </c>
      <c r="G27" s="8">
        <f>IFERROR(INDEX(FIYAT_KAYNAK!$J$3:$J$26,MATCH("SCHNEIDER|LC1E2510M5",FIYAT_KAYNAK!$A$3:$A$26,0)),"")</f>
        <v>14270.28</v>
      </c>
      <c r="H27" s="8">
        <f t="shared" si="0"/>
        <v>442378.68</v>
      </c>
    </row>
    <row r="28" spans="1:8" ht="15" customHeight="1" x14ac:dyDescent="0.25">
      <c r="A28" s="6" t="s">
        <v>19</v>
      </c>
      <c r="B28" s="6" t="s">
        <v>80</v>
      </c>
      <c r="C28" s="6" t="str">
        <f>IFERROR(INDEX(FIYAT_KAYNAK!$D$3:$D$26,MATCH("SCHNEIDER|A9F79350",FIYAT_KAYNAK!$A$3:$A$26,0)),"")</f>
        <v>Автоматический выключатель Acti9 iC60N 3P 50A, характеристика C, 6кА [KZ/RU артикул; идентичен TR-коду A9F74350]</v>
      </c>
      <c r="D28" s="9">
        <v>1</v>
      </c>
      <c r="E28" s="6" t="str">
        <f>IFERROR(INDEX(FIYAT_KAYNAK!$E$3:$E$26,MATCH("SCHNEIDER|A9F79350",FIYAT_KAYNAK!$A$3:$A$26,0)),"")</f>
        <v>шт</v>
      </c>
      <c r="F28" s="7">
        <f>IFERROR(INDEX(FIYAT_KAYNAK!$F$3:$F$26,MATCH("SCHNEIDER|A9F79350",FIYAT_KAYNAK!$A$3:$A$26,0)),"")</f>
        <v>2836</v>
      </c>
      <c r="G28" s="8">
        <f>IFERROR(INDEX(FIYAT_KAYNAK!$J$3:$J$26,MATCH("SCHNEIDER|A9F79350",FIYAT_KAYNAK!$A$3:$A$26,0)),"")</f>
        <v>18547.439999999999</v>
      </c>
      <c r="H28" s="8">
        <f t="shared" si="0"/>
        <v>18547.439999999999</v>
      </c>
    </row>
    <row r="29" spans="1:8" ht="15" customHeight="1" x14ac:dyDescent="0.25">
      <c r="A29" s="5" t="s">
        <v>97</v>
      </c>
      <c r="B29" s="4"/>
      <c r="C29" s="4"/>
      <c r="D29" s="4"/>
      <c r="E29" s="4"/>
      <c r="F29" s="4"/>
      <c r="G29" s="4"/>
      <c r="H29" s="11">
        <f>SUM(H5:H28)</f>
        <v>2453055.06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37"/>
  <sheetViews>
    <sheetView zoomScaleNormal="100" workbookViewId="0"/>
  </sheetViews>
  <sheetFormatPr defaultColWidth="8.7109375" defaultRowHeight="15" x14ac:dyDescent="0.25"/>
  <cols>
    <col min="1" max="1" width="110" customWidth="1"/>
    <col min="2" max="10" width="11" customWidth="1"/>
  </cols>
  <sheetData>
    <row r="1" spans="1:3" ht="15.75" customHeight="1" x14ac:dyDescent="0.25">
      <c r="A1" s="15" t="s">
        <v>98</v>
      </c>
    </row>
    <row r="2" spans="1:3" ht="15" customHeight="1" x14ac:dyDescent="0.25">
      <c r="A2" s="16" t="s">
        <v>99</v>
      </c>
    </row>
    <row r="4" spans="1:3" ht="15" customHeight="1" x14ac:dyDescent="0.25">
      <c r="A4" s="20" t="s">
        <v>100</v>
      </c>
      <c r="B4" s="21" t="s">
        <v>101</v>
      </c>
    </row>
    <row r="5" spans="1:3" ht="15" customHeight="1" x14ac:dyDescent="0.25">
      <c r="A5" s="20" t="s">
        <v>102</v>
      </c>
      <c r="B5" s="21" t="s">
        <v>103</v>
      </c>
    </row>
    <row r="6" spans="1:3" ht="15" customHeight="1" x14ac:dyDescent="0.25">
      <c r="A6" s="20" t="s">
        <v>104</v>
      </c>
      <c r="B6" s="21" t="s">
        <v>105</v>
      </c>
    </row>
    <row r="7" spans="1:3" ht="15" customHeight="1" x14ac:dyDescent="0.25">
      <c r="A7" s="20" t="s">
        <v>106</v>
      </c>
      <c r="B7" s="21" t="s">
        <v>107</v>
      </c>
    </row>
    <row r="8" spans="1:3" ht="15" customHeight="1" x14ac:dyDescent="0.25">
      <c r="A8" s="20" t="s">
        <v>108</v>
      </c>
      <c r="B8" s="21" t="s">
        <v>109</v>
      </c>
    </row>
    <row r="10" spans="1:3" ht="15" customHeight="1" x14ac:dyDescent="0.25">
      <c r="A10" s="20" t="s">
        <v>110</v>
      </c>
    </row>
    <row r="11" spans="1:3" ht="15" customHeight="1" x14ac:dyDescent="0.25">
      <c r="A11" s="21" t="s">
        <v>111</v>
      </c>
      <c r="B11" s="22">
        <v>100</v>
      </c>
      <c r="C11" s="21" t="s">
        <v>112</v>
      </c>
    </row>
    <row r="12" spans="1:3" ht="15" customHeight="1" x14ac:dyDescent="0.25">
      <c r="A12" s="21" t="s">
        <v>113</v>
      </c>
      <c r="B12" s="22">
        <v>1.1499999999999999</v>
      </c>
      <c r="C12" s="21" t="s">
        <v>114</v>
      </c>
    </row>
    <row r="13" spans="1:3" ht="15" customHeight="1" x14ac:dyDescent="0.25">
      <c r="A13" s="21" t="s">
        <v>115</v>
      </c>
      <c r="B13" s="23">
        <v>0.03</v>
      </c>
      <c r="C13" s="21" t="s">
        <v>116</v>
      </c>
    </row>
    <row r="14" spans="1:3" ht="15" customHeight="1" x14ac:dyDescent="0.25">
      <c r="A14" s="21" t="s">
        <v>117</v>
      </c>
      <c r="B14" s="22">
        <v>2</v>
      </c>
      <c r="C14" s="21" t="s">
        <v>118</v>
      </c>
    </row>
    <row r="16" spans="1:3" ht="15" customHeight="1" x14ac:dyDescent="0.25">
      <c r="A16" s="20" t="s">
        <v>119</v>
      </c>
    </row>
    <row r="17" spans="1:9" ht="15" customHeight="1" x14ac:dyDescent="0.25">
      <c r="A17" s="24" t="s">
        <v>120</v>
      </c>
      <c r="B17" s="24" t="s">
        <v>121</v>
      </c>
      <c r="C17" s="24" t="s">
        <v>122</v>
      </c>
      <c r="D17" s="24" t="s">
        <v>123</v>
      </c>
      <c r="E17" s="24" t="s">
        <v>124</v>
      </c>
      <c r="F17" s="24" t="s">
        <v>125</v>
      </c>
      <c r="G17" s="24" t="s">
        <v>126</v>
      </c>
      <c r="H17" s="24" t="s">
        <v>127</v>
      </c>
      <c r="I17" s="24" t="s">
        <v>128</v>
      </c>
    </row>
    <row r="18" spans="1:9" ht="15" customHeight="1" x14ac:dyDescent="0.25">
      <c r="A18" s="21" t="s">
        <v>13</v>
      </c>
      <c r="B18" s="25">
        <v>60</v>
      </c>
      <c r="C18" s="26">
        <v>1</v>
      </c>
      <c r="D18" s="27">
        <f t="shared" ref="D18:D38" si="0">$B18*C18</f>
        <v>60</v>
      </c>
      <c r="E18" s="26">
        <v>1</v>
      </c>
      <c r="F18" s="27">
        <f t="shared" ref="F18:F38" si="1">$B18*E18</f>
        <v>60</v>
      </c>
      <c r="G18" s="26">
        <v>1</v>
      </c>
      <c r="H18" s="27">
        <f t="shared" ref="H18:H38" si="2">$B18*G18</f>
        <v>60</v>
      </c>
      <c r="I18" s="21" t="s">
        <v>129</v>
      </c>
    </row>
    <row r="19" spans="1:9" ht="15" customHeight="1" x14ac:dyDescent="0.25">
      <c r="A19" s="21" t="s">
        <v>130</v>
      </c>
      <c r="B19" s="25">
        <v>25</v>
      </c>
      <c r="C19" s="26">
        <v>0</v>
      </c>
      <c r="D19" s="27">
        <f t="shared" si="0"/>
        <v>0</v>
      </c>
      <c r="E19" s="26">
        <v>0</v>
      </c>
      <c r="F19" s="27">
        <f t="shared" si="1"/>
        <v>0</v>
      </c>
      <c r="G19" s="26">
        <v>0</v>
      </c>
      <c r="H19" s="27">
        <f t="shared" si="2"/>
        <v>0</v>
      </c>
      <c r="I19" s="21" t="s">
        <v>131</v>
      </c>
    </row>
    <row r="20" spans="1:9" ht="15" customHeight="1" x14ac:dyDescent="0.25">
      <c r="A20" s="21" t="s">
        <v>22</v>
      </c>
      <c r="B20" s="25">
        <v>15</v>
      </c>
      <c r="C20" s="26">
        <v>1</v>
      </c>
      <c r="D20" s="27">
        <f t="shared" si="0"/>
        <v>15</v>
      </c>
      <c r="E20" s="26">
        <v>1</v>
      </c>
      <c r="F20" s="27">
        <f t="shared" si="1"/>
        <v>15</v>
      </c>
      <c r="G20" s="26">
        <v>1</v>
      </c>
      <c r="H20" s="27">
        <f t="shared" si="2"/>
        <v>15</v>
      </c>
      <c r="I20" s="21" t="s">
        <v>132</v>
      </c>
    </row>
    <row r="21" spans="1:9" ht="15" customHeight="1" x14ac:dyDescent="0.25">
      <c r="A21" s="21" t="s">
        <v>17</v>
      </c>
      <c r="B21" s="25">
        <v>4</v>
      </c>
      <c r="C21" s="26">
        <v>6</v>
      </c>
      <c r="D21" s="27">
        <f t="shared" si="0"/>
        <v>24</v>
      </c>
      <c r="E21" s="26">
        <v>6</v>
      </c>
      <c r="F21" s="27">
        <f t="shared" si="1"/>
        <v>24</v>
      </c>
      <c r="G21" s="26">
        <v>6</v>
      </c>
      <c r="H21" s="27">
        <f t="shared" si="2"/>
        <v>24</v>
      </c>
      <c r="I21" s="21" t="s">
        <v>133</v>
      </c>
    </row>
    <row r="22" spans="1:9" ht="15" customHeight="1" x14ac:dyDescent="0.25">
      <c r="A22" s="21" t="s">
        <v>134</v>
      </c>
      <c r="B22" s="25">
        <v>6</v>
      </c>
      <c r="C22" s="26">
        <v>0</v>
      </c>
      <c r="D22" s="27">
        <f t="shared" si="0"/>
        <v>0</v>
      </c>
      <c r="E22" s="26">
        <v>0</v>
      </c>
      <c r="F22" s="27">
        <f t="shared" si="1"/>
        <v>0</v>
      </c>
      <c r="G22" s="26">
        <v>0</v>
      </c>
      <c r="H22" s="27">
        <f t="shared" si="2"/>
        <v>0</v>
      </c>
      <c r="I22" s="21" t="s">
        <v>135</v>
      </c>
    </row>
    <row r="23" spans="1:9" ht="15" customHeight="1" x14ac:dyDescent="0.25">
      <c r="A23" s="21" t="s">
        <v>136</v>
      </c>
      <c r="B23" s="25">
        <v>20</v>
      </c>
      <c r="C23" s="26">
        <v>0</v>
      </c>
      <c r="D23" s="27">
        <f t="shared" si="0"/>
        <v>0</v>
      </c>
      <c r="E23" s="26">
        <v>0</v>
      </c>
      <c r="F23" s="27">
        <f t="shared" si="1"/>
        <v>0</v>
      </c>
      <c r="G23" s="26">
        <v>0</v>
      </c>
      <c r="H23" s="27">
        <f t="shared" si="2"/>
        <v>0</v>
      </c>
      <c r="I23" s="21" t="s">
        <v>137</v>
      </c>
    </row>
    <row r="24" spans="1:9" ht="15" customHeight="1" x14ac:dyDescent="0.25">
      <c r="A24" s="21" t="s">
        <v>138</v>
      </c>
      <c r="B24" s="25">
        <v>5</v>
      </c>
      <c r="C24" s="26">
        <v>0</v>
      </c>
      <c r="D24" s="27">
        <f t="shared" si="0"/>
        <v>0</v>
      </c>
      <c r="E24" s="26">
        <v>0</v>
      </c>
      <c r="F24" s="27">
        <f t="shared" si="1"/>
        <v>0</v>
      </c>
      <c r="G24" s="26">
        <v>0</v>
      </c>
      <c r="H24" s="27">
        <f t="shared" si="2"/>
        <v>0</v>
      </c>
      <c r="I24" s="21" t="s">
        <v>139</v>
      </c>
    </row>
    <row r="25" spans="1:9" ht="15" customHeight="1" x14ac:dyDescent="0.25">
      <c r="A25" s="21" t="s">
        <v>28</v>
      </c>
      <c r="B25" s="25">
        <v>12</v>
      </c>
      <c r="C25" s="26">
        <v>5</v>
      </c>
      <c r="D25" s="27">
        <f t="shared" si="0"/>
        <v>60</v>
      </c>
      <c r="E25" s="26">
        <v>5</v>
      </c>
      <c r="F25" s="27">
        <f t="shared" si="1"/>
        <v>60</v>
      </c>
      <c r="G25" s="26">
        <v>5</v>
      </c>
      <c r="H25" s="27">
        <f t="shared" si="2"/>
        <v>60</v>
      </c>
      <c r="I25" s="21"/>
    </row>
    <row r="26" spans="1:9" ht="15" customHeight="1" x14ac:dyDescent="0.25">
      <c r="A26" s="21" t="s">
        <v>140</v>
      </c>
      <c r="B26" s="25">
        <v>3</v>
      </c>
      <c r="C26" s="26">
        <v>0</v>
      </c>
      <c r="D26" s="27">
        <f t="shared" si="0"/>
        <v>0</v>
      </c>
      <c r="E26" s="26">
        <v>0</v>
      </c>
      <c r="F26" s="27">
        <f t="shared" si="1"/>
        <v>0</v>
      </c>
      <c r="G26" s="26">
        <v>0</v>
      </c>
      <c r="H26" s="27">
        <f t="shared" si="2"/>
        <v>0</v>
      </c>
      <c r="I26" s="21" t="s">
        <v>141</v>
      </c>
    </row>
    <row r="27" spans="1:9" ht="15" customHeight="1" x14ac:dyDescent="0.25">
      <c r="A27" s="21" t="s">
        <v>142</v>
      </c>
      <c r="B27" s="25">
        <v>6</v>
      </c>
      <c r="C27" s="26">
        <v>0</v>
      </c>
      <c r="D27" s="27">
        <f t="shared" si="0"/>
        <v>0</v>
      </c>
      <c r="E27" s="26">
        <v>0</v>
      </c>
      <c r="F27" s="27">
        <f t="shared" si="1"/>
        <v>0</v>
      </c>
      <c r="G27" s="26">
        <v>0</v>
      </c>
      <c r="H27" s="27">
        <f t="shared" si="2"/>
        <v>0</v>
      </c>
      <c r="I27" s="21"/>
    </row>
    <row r="28" spans="1:9" ht="15" customHeight="1" x14ac:dyDescent="0.25">
      <c r="A28" s="21" t="s">
        <v>143</v>
      </c>
      <c r="B28" s="25">
        <v>3</v>
      </c>
      <c r="C28" s="26">
        <v>0</v>
      </c>
      <c r="D28" s="27">
        <f t="shared" si="0"/>
        <v>0</v>
      </c>
      <c r="E28" s="26">
        <v>0</v>
      </c>
      <c r="F28" s="27">
        <f t="shared" si="1"/>
        <v>0</v>
      </c>
      <c r="G28" s="26">
        <v>0</v>
      </c>
      <c r="H28" s="27">
        <f t="shared" si="2"/>
        <v>0</v>
      </c>
      <c r="I28" s="21"/>
    </row>
    <row r="29" spans="1:9" ht="15" customHeight="1" x14ac:dyDescent="0.25">
      <c r="A29" s="21" t="s">
        <v>144</v>
      </c>
      <c r="B29" s="25">
        <v>6</v>
      </c>
      <c r="C29" s="26">
        <v>0</v>
      </c>
      <c r="D29" s="27">
        <f t="shared" si="0"/>
        <v>0</v>
      </c>
      <c r="E29" s="26">
        <v>0</v>
      </c>
      <c r="F29" s="27">
        <f t="shared" si="1"/>
        <v>0</v>
      </c>
      <c r="G29" s="26">
        <v>0</v>
      </c>
      <c r="H29" s="27">
        <f t="shared" si="2"/>
        <v>0</v>
      </c>
      <c r="I29" s="21"/>
    </row>
    <row r="30" spans="1:9" ht="15" customHeight="1" x14ac:dyDescent="0.25">
      <c r="A30" s="21" t="s">
        <v>35</v>
      </c>
      <c r="B30" s="25">
        <v>5</v>
      </c>
      <c r="C30" s="26">
        <v>3</v>
      </c>
      <c r="D30" s="27">
        <f t="shared" si="0"/>
        <v>15</v>
      </c>
      <c r="E30" s="26">
        <v>3</v>
      </c>
      <c r="F30" s="27">
        <f t="shared" si="1"/>
        <v>15</v>
      </c>
      <c r="G30" s="26">
        <v>3</v>
      </c>
      <c r="H30" s="27">
        <f t="shared" si="2"/>
        <v>15</v>
      </c>
      <c r="I30" s="21"/>
    </row>
    <row r="31" spans="1:9" ht="15" customHeight="1" x14ac:dyDescent="0.25">
      <c r="A31" s="21" t="s">
        <v>145</v>
      </c>
      <c r="B31" s="25">
        <v>5</v>
      </c>
      <c r="C31" s="26">
        <v>0</v>
      </c>
      <c r="D31" s="27">
        <f t="shared" si="0"/>
        <v>0</v>
      </c>
      <c r="E31" s="26">
        <v>0</v>
      </c>
      <c r="F31" s="27">
        <f t="shared" si="1"/>
        <v>0</v>
      </c>
      <c r="G31" s="26">
        <v>0</v>
      </c>
      <c r="H31" s="27">
        <f t="shared" si="2"/>
        <v>0</v>
      </c>
      <c r="I31" s="21"/>
    </row>
    <row r="32" spans="1:9" ht="15" customHeight="1" x14ac:dyDescent="0.25">
      <c r="A32" s="21" t="s">
        <v>39</v>
      </c>
      <c r="B32" s="25">
        <v>1.5</v>
      </c>
      <c r="C32" s="26">
        <v>51</v>
      </c>
      <c r="D32" s="27">
        <f t="shared" si="0"/>
        <v>76.5</v>
      </c>
      <c r="E32" s="26">
        <v>51</v>
      </c>
      <c r="F32" s="27">
        <f t="shared" si="1"/>
        <v>76.5</v>
      </c>
      <c r="G32" s="26">
        <v>51</v>
      </c>
      <c r="H32" s="27">
        <f t="shared" si="2"/>
        <v>76.5</v>
      </c>
      <c r="I32" s="21" t="s">
        <v>146</v>
      </c>
    </row>
    <row r="33" spans="1:9" ht="15" customHeight="1" x14ac:dyDescent="0.25">
      <c r="A33" s="21" t="s">
        <v>147</v>
      </c>
      <c r="B33" s="25">
        <v>8</v>
      </c>
      <c r="C33" s="26">
        <v>0</v>
      </c>
      <c r="D33" s="27">
        <f t="shared" si="0"/>
        <v>0</v>
      </c>
      <c r="E33" s="26">
        <v>0</v>
      </c>
      <c r="F33" s="27">
        <f t="shared" si="1"/>
        <v>0</v>
      </c>
      <c r="G33" s="26">
        <v>0</v>
      </c>
      <c r="H33" s="27">
        <f t="shared" si="2"/>
        <v>0</v>
      </c>
      <c r="I33" s="21" t="s">
        <v>148</v>
      </c>
    </row>
    <row r="34" spans="1:9" ht="15" customHeight="1" x14ac:dyDescent="0.25">
      <c r="A34" s="21" t="s">
        <v>149</v>
      </c>
      <c r="B34" s="25">
        <v>10</v>
      </c>
      <c r="C34" s="26">
        <v>0</v>
      </c>
      <c r="D34" s="27">
        <f t="shared" si="0"/>
        <v>0</v>
      </c>
      <c r="E34" s="26">
        <v>0</v>
      </c>
      <c r="F34" s="27">
        <f t="shared" si="1"/>
        <v>0</v>
      </c>
      <c r="G34" s="26">
        <v>0</v>
      </c>
      <c r="H34" s="27">
        <f t="shared" si="2"/>
        <v>0</v>
      </c>
      <c r="I34" s="21" t="s">
        <v>150</v>
      </c>
    </row>
    <row r="35" spans="1:9" ht="15" customHeight="1" x14ac:dyDescent="0.25">
      <c r="A35" s="21" t="s">
        <v>151</v>
      </c>
      <c r="B35" s="25">
        <v>20</v>
      </c>
      <c r="C35" s="26">
        <v>0</v>
      </c>
      <c r="D35" s="27">
        <f t="shared" si="0"/>
        <v>0</v>
      </c>
      <c r="E35" s="26">
        <v>0</v>
      </c>
      <c r="F35" s="27">
        <f t="shared" si="1"/>
        <v>0</v>
      </c>
      <c r="G35" s="26">
        <v>0</v>
      </c>
      <c r="H35" s="27">
        <f t="shared" si="2"/>
        <v>0</v>
      </c>
      <c r="I35" s="21" t="s">
        <v>152</v>
      </c>
    </row>
    <row r="36" spans="1:9" ht="15" customHeight="1" x14ac:dyDescent="0.25">
      <c r="A36" s="21" t="s">
        <v>153</v>
      </c>
      <c r="B36" s="25">
        <v>8</v>
      </c>
      <c r="C36" s="26">
        <v>0</v>
      </c>
      <c r="D36" s="27">
        <f t="shared" si="0"/>
        <v>0</v>
      </c>
      <c r="E36" s="26">
        <v>0</v>
      </c>
      <c r="F36" s="27">
        <f t="shared" si="1"/>
        <v>0</v>
      </c>
      <c r="G36" s="26">
        <v>0</v>
      </c>
      <c r="H36" s="27">
        <f t="shared" si="2"/>
        <v>0</v>
      </c>
      <c r="I36" s="21" t="s">
        <v>154</v>
      </c>
    </row>
    <row r="37" spans="1:9" ht="15" customHeight="1" x14ac:dyDescent="0.25">
      <c r="A37" s="21" t="s">
        <v>53</v>
      </c>
      <c r="B37" s="25">
        <v>3</v>
      </c>
      <c r="C37" s="26">
        <v>4</v>
      </c>
      <c r="D37" s="27">
        <f t="shared" si="0"/>
        <v>12</v>
      </c>
      <c r="E37" s="26">
        <v>4</v>
      </c>
      <c r="F37" s="27">
        <f t="shared" si="1"/>
        <v>12</v>
      </c>
      <c r="G37" s="26">
        <v>4</v>
      </c>
      <c r="H37" s="27">
        <f t="shared" si="2"/>
        <v>12</v>
      </c>
      <c r="I37" s="21" t="s">
        <v>155</v>
      </c>
    </row>
    <row r="38" spans="1:9" ht="15" customHeight="1" x14ac:dyDescent="0.25">
      <c r="A38" s="21" t="s">
        <v>156</v>
      </c>
      <c r="B38" s="25">
        <v>2</v>
      </c>
      <c r="C38" s="26">
        <v>6</v>
      </c>
      <c r="D38" s="27">
        <f t="shared" si="0"/>
        <v>12</v>
      </c>
      <c r="E38" s="26">
        <v>6</v>
      </c>
      <c r="F38" s="27">
        <f t="shared" si="1"/>
        <v>12</v>
      </c>
      <c r="G38" s="26">
        <v>6</v>
      </c>
      <c r="H38" s="27">
        <f t="shared" si="2"/>
        <v>12</v>
      </c>
      <c r="I38" s="21" t="s">
        <v>157</v>
      </c>
    </row>
    <row r="40" spans="1:9" ht="15" customHeight="1" x14ac:dyDescent="0.25">
      <c r="A40" s="20" t="s">
        <v>158</v>
      </c>
      <c r="D40" s="28">
        <f>SUM(D18:D38)</f>
        <v>274.5</v>
      </c>
      <c r="F40" s="28">
        <f>SUM(F18:F38)</f>
        <v>274.5</v>
      </c>
      <c r="H40" s="28">
        <f>SUM(H18:H38)</f>
        <v>274.5</v>
      </c>
    </row>
    <row r="41" spans="1:9" ht="15" customHeight="1" x14ac:dyDescent="0.25">
      <c r="A41" s="20" t="s">
        <v>159</v>
      </c>
      <c r="D41" s="29">
        <f>Kurallar!$D$40*Kurallar!$B$12</f>
        <v>315.67499999999995</v>
      </c>
      <c r="F41" s="29">
        <f>Kurallar!$F$40*Kurallar!$B$12</f>
        <v>315.67499999999995</v>
      </c>
      <c r="H41" s="29">
        <f>Kurallar!$H$40*Kurallar!$B$12</f>
        <v>315.67499999999995</v>
      </c>
    </row>
    <row r="43" spans="1:9" ht="15" customHeight="1" x14ac:dyDescent="0.25">
      <c r="A43" s="20" t="s">
        <v>160</v>
      </c>
    </row>
    <row r="44" spans="1:9" ht="15" customHeight="1" x14ac:dyDescent="0.25">
      <c r="A44" s="21" t="s">
        <v>161</v>
      </c>
      <c r="B44" s="30">
        <v>590</v>
      </c>
      <c r="C44" s="21" t="s">
        <v>162</v>
      </c>
    </row>
    <row r="45" spans="1:9" ht="15" customHeight="1" x14ac:dyDescent="0.25">
      <c r="A45" s="21" t="s">
        <v>163</v>
      </c>
      <c r="B45" s="30">
        <v>10.9</v>
      </c>
      <c r="C45" s="21" t="s">
        <v>164</v>
      </c>
    </row>
    <row r="46" spans="1:9" ht="15" customHeight="1" x14ac:dyDescent="0.25">
      <c r="A46" s="21" t="s">
        <v>165</v>
      </c>
      <c r="B46" s="30">
        <v>505</v>
      </c>
      <c r="C46" s="21" t="s">
        <v>166</v>
      </c>
    </row>
    <row r="47" spans="1:9" ht="15" customHeight="1" x14ac:dyDescent="0.25">
      <c r="A47" s="21" t="s">
        <v>167</v>
      </c>
      <c r="B47" s="30">
        <v>1</v>
      </c>
      <c r="C47" s="21" t="s">
        <v>168</v>
      </c>
    </row>
    <row r="49" spans="1:3" ht="15" customHeight="1" x14ac:dyDescent="0.25">
      <c r="A49" s="20" t="s">
        <v>169</v>
      </c>
    </row>
    <row r="50" spans="1:3" ht="15" customHeight="1" x14ac:dyDescent="0.25">
      <c r="A50" s="24" t="s">
        <v>170</v>
      </c>
      <c r="B50" s="24" t="s">
        <v>171</v>
      </c>
      <c r="C50" s="24" t="s">
        <v>128</v>
      </c>
    </row>
    <row r="51" spans="1:3" ht="15" customHeight="1" x14ac:dyDescent="0.25">
      <c r="A51" s="21" t="s">
        <v>38</v>
      </c>
      <c r="B51" s="31">
        <v>0.6</v>
      </c>
      <c r="C51" s="21" t="s">
        <v>172</v>
      </c>
    </row>
    <row r="52" spans="1:3" ht="15" customHeight="1" x14ac:dyDescent="0.25">
      <c r="A52" s="21" t="s">
        <v>42</v>
      </c>
      <c r="B52" s="31">
        <v>1</v>
      </c>
      <c r="C52" s="21" t="s">
        <v>173</v>
      </c>
    </row>
    <row r="53" spans="1:3" ht="15" customHeight="1" x14ac:dyDescent="0.25">
      <c r="A53" s="21" t="s">
        <v>16</v>
      </c>
      <c r="B53" s="31">
        <v>1</v>
      </c>
      <c r="C53" s="21" t="s">
        <v>174</v>
      </c>
    </row>
    <row r="54" spans="1:3" ht="15" customHeight="1" x14ac:dyDescent="0.25">
      <c r="A54" s="21" t="s">
        <v>19</v>
      </c>
      <c r="B54" s="31">
        <v>0.6</v>
      </c>
      <c r="C54" s="21" t="s">
        <v>175</v>
      </c>
    </row>
    <row r="56" spans="1:3" ht="15" customHeight="1" x14ac:dyDescent="0.25">
      <c r="A56" s="20" t="s">
        <v>176</v>
      </c>
    </row>
    <row r="57" spans="1:3" ht="15" customHeight="1" x14ac:dyDescent="0.25">
      <c r="A57" s="32" t="s">
        <v>177</v>
      </c>
    </row>
    <row r="58" spans="1:3" ht="15" customHeight="1" x14ac:dyDescent="0.25">
      <c r="A58" s="32" t="s">
        <v>178</v>
      </c>
    </row>
    <row r="59" spans="1:3" ht="15" customHeight="1" x14ac:dyDescent="0.25">
      <c r="A59" s="32" t="s">
        <v>179</v>
      </c>
    </row>
    <row r="60" spans="1:3" ht="15" customHeight="1" x14ac:dyDescent="0.25">
      <c r="A60" s="32" t="s">
        <v>180</v>
      </c>
    </row>
    <row r="61" spans="1:3" ht="15" customHeight="1" x14ac:dyDescent="0.25">
      <c r="A61" s="32" t="s">
        <v>181</v>
      </c>
    </row>
    <row r="62" spans="1:3" ht="15" customHeight="1" x14ac:dyDescent="0.25">
      <c r="A62" s="21" t="s">
        <v>182</v>
      </c>
    </row>
    <row r="63" spans="1:3" ht="15" customHeight="1" x14ac:dyDescent="0.25">
      <c r="A63" s="21" t="s">
        <v>183</v>
      </c>
    </row>
    <row r="64" spans="1:3" ht="15" customHeight="1" x14ac:dyDescent="0.25">
      <c r="A64" s="21" t="s">
        <v>184</v>
      </c>
    </row>
    <row r="65" spans="1:1" ht="15" customHeight="1" x14ac:dyDescent="0.25">
      <c r="A65" s="21" t="s">
        <v>185</v>
      </c>
    </row>
    <row r="66" spans="1:1" ht="15" customHeight="1" x14ac:dyDescent="0.25">
      <c r="A66" s="21" t="s">
        <v>186</v>
      </c>
    </row>
    <row r="67" spans="1:1" ht="15" customHeight="1" x14ac:dyDescent="0.25">
      <c r="A67" s="21" t="s">
        <v>187</v>
      </c>
    </row>
    <row r="68" spans="1:1" ht="15" customHeight="1" x14ac:dyDescent="0.25">
      <c r="A68" s="21" t="s">
        <v>188</v>
      </c>
    </row>
    <row r="69" spans="1:1" ht="15" customHeight="1" x14ac:dyDescent="0.25">
      <c r="A69" s="21" t="s">
        <v>189</v>
      </c>
    </row>
    <row r="70" spans="1:1" ht="15" customHeight="1" x14ac:dyDescent="0.25">
      <c r="A70" s="21" t="s">
        <v>190</v>
      </c>
    </row>
    <row r="71" spans="1:1" ht="15" customHeight="1" x14ac:dyDescent="0.25">
      <c r="A71" s="21" t="s">
        <v>191</v>
      </c>
    </row>
    <row r="72" spans="1:1" ht="15" customHeight="1" x14ac:dyDescent="0.25">
      <c r="A72" s="21" t="s">
        <v>192</v>
      </c>
    </row>
    <row r="73" spans="1:1" ht="15" customHeight="1" x14ac:dyDescent="0.25">
      <c r="A73" s="21" t="s">
        <v>193</v>
      </c>
    </row>
    <row r="74" spans="1:1" ht="15" customHeight="1" x14ac:dyDescent="0.25">
      <c r="A74" s="21" t="s">
        <v>194</v>
      </c>
    </row>
    <row r="75" spans="1:1" ht="15" customHeight="1" x14ac:dyDescent="0.25">
      <c r="A75" s="21" t="s">
        <v>195</v>
      </c>
    </row>
    <row r="76" spans="1:1" ht="15" customHeight="1" x14ac:dyDescent="0.25">
      <c r="A76" s="21" t="s">
        <v>196</v>
      </c>
    </row>
    <row r="77" spans="1:1" ht="15" customHeight="1" x14ac:dyDescent="0.25">
      <c r="A77" s="21" t="s">
        <v>197</v>
      </c>
    </row>
    <row r="78" spans="1:1" ht="15" customHeight="1" x14ac:dyDescent="0.25">
      <c r="A78" s="21" t="s">
        <v>198</v>
      </c>
    </row>
    <row r="79" spans="1:1" ht="15" customHeight="1" x14ac:dyDescent="0.25">
      <c r="A79" s="21" t="s">
        <v>199</v>
      </c>
    </row>
    <row r="80" spans="1:1" ht="15" customHeight="1" x14ac:dyDescent="0.25">
      <c r="A80" s="21" t="s">
        <v>200</v>
      </c>
    </row>
    <row r="81" spans="1:1" ht="15" customHeight="1" x14ac:dyDescent="0.25">
      <c r="A81" s="21" t="s">
        <v>201</v>
      </c>
    </row>
    <row r="82" spans="1:1" ht="15" customHeight="1" x14ac:dyDescent="0.25">
      <c r="A82" s="21" t="s">
        <v>202</v>
      </c>
    </row>
    <row r="83" spans="1:1" ht="15" customHeight="1" x14ac:dyDescent="0.25">
      <c r="A83" s="21"/>
    </row>
    <row r="84" spans="1:1" ht="15" customHeight="1" x14ac:dyDescent="0.25">
      <c r="A84" s="21" t="s">
        <v>203</v>
      </c>
    </row>
    <row r="85" spans="1:1" ht="15" customHeight="1" x14ac:dyDescent="0.25">
      <c r="A85" s="21" t="s">
        <v>204</v>
      </c>
    </row>
    <row r="86" spans="1:1" ht="15" customHeight="1" x14ac:dyDescent="0.25">
      <c r="A86" s="21" t="s">
        <v>205</v>
      </c>
    </row>
    <row r="87" spans="1:1" ht="15" customHeight="1" x14ac:dyDescent="0.25">
      <c r="A87" s="21" t="s">
        <v>206</v>
      </c>
    </row>
    <row r="88" spans="1:1" ht="15" customHeight="1" x14ac:dyDescent="0.25">
      <c r="A88" s="21" t="s">
        <v>207</v>
      </c>
    </row>
    <row r="89" spans="1:1" ht="15" customHeight="1" x14ac:dyDescent="0.25">
      <c r="A89" s="21" t="s">
        <v>208</v>
      </c>
    </row>
    <row r="90" spans="1:1" ht="15" customHeight="1" x14ac:dyDescent="0.25">
      <c r="A90" s="21" t="s">
        <v>209</v>
      </c>
    </row>
    <row r="91" spans="1:1" ht="15" customHeight="1" x14ac:dyDescent="0.25">
      <c r="A91" s="21" t="s">
        <v>210</v>
      </c>
    </row>
    <row r="92" spans="1:1" ht="15" customHeight="1" x14ac:dyDescent="0.25">
      <c r="A92" s="21" t="s">
        <v>211</v>
      </c>
    </row>
    <row r="93" spans="1:1" ht="15" customHeight="1" x14ac:dyDescent="0.25">
      <c r="A93" s="21" t="s">
        <v>212</v>
      </c>
    </row>
    <row r="94" spans="1:1" ht="15" customHeight="1" x14ac:dyDescent="0.25">
      <c r="A94" s="21" t="s">
        <v>213</v>
      </c>
    </row>
    <row r="95" spans="1:1" ht="15" customHeight="1" x14ac:dyDescent="0.25">
      <c r="A95" s="21" t="s">
        <v>214</v>
      </c>
    </row>
    <row r="96" spans="1:1" ht="15" customHeight="1" x14ac:dyDescent="0.25">
      <c r="A96" s="21" t="s">
        <v>215</v>
      </c>
    </row>
    <row r="97" spans="1:1" ht="15" customHeight="1" x14ac:dyDescent="0.25">
      <c r="A97" s="21" t="s">
        <v>216</v>
      </c>
    </row>
    <row r="98" spans="1:1" ht="15" customHeight="1" x14ac:dyDescent="0.25">
      <c r="A98" s="21" t="s">
        <v>217</v>
      </c>
    </row>
    <row r="99" spans="1:1" ht="15" customHeight="1" x14ac:dyDescent="0.25">
      <c r="A99" s="21" t="s">
        <v>218</v>
      </c>
    </row>
    <row r="100" spans="1:1" ht="15" customHeight="1" x14ac:dyDescent="0.25">
      <c r="A100" s="21" t="s">
        <v>219</v>
      </c>
    </row>
    <row r="101" spans="1:1" ht="15" customHeight="1" x14ac:dyDescent="0.25">
      <c r="A101" s="21" t="s">
        <v>220</v>
      </c>
    </row>
    <row r="102" spans="1:1" ht="15" customHeight="1" x14ac:dyDescent="0.25">
      <c r="A102" s="21" t="s">
        <v>221</v>
      </c>
    </row>
    <row r="103" spans="1:1" ht="15" customHeight="1" x14ac:dyDescent="0.25">
      <c r="A103" s="21" t="s">
        <v>222</v>
      </c>
    </row>
    <row r="104" spans="1:1" ht="15" customHeight="1" x14ac:dyDescent="0.25">
      <c r="A104" s="21" t="s">
        <v>223</v>
      </c>
    </row>
    <row r="105" spans="1:1" ht="15" customHeight="1" x14ac:dyDescent="0.25">
      <c r="A105" s="21" t="s">
        <v>224</v>
      </c>
    </row>
    <row r="106" spans="1:1" ht="15" customHeight="1" x14ac:dyDescent="0.25">
      <c r="A106" s="21" t="s">
        <v>225</v>
      </c>
    </row>
    <row r="107" spans="1:1" ht="15" customHeight="1" x14ac:dyDescent="0.25">
      <c r="A107" s="21" t="s">
        <v>226</v>
      </c>
    </row>
    <row r="108" spans="1:1" ht="15" customHeight="1" x14ac:dyDescent="0.25">
      <c r="A108" s="21" t="s">
        <v>227</v>
      </c>
    </row>
    <row r="109" spans="1:1" ht="15" customHeight="1" x14ac:dyDescent="0.25">
      <c r="A109" s="21" t="s">
        <v>228</v>
      </c>
    </row>
    <row r="110" spans="1:1" ht="15" customHeight="1" x14ac:dyDescent="0.25">
      <c r="A110" s="21" t="s">
        <v>229</v>
      </c>
    </row>
    <row r="111" spans="1:1" ht="15" customHeight="1" x14ac:dyDescent="0.25">
      <c r="A111" s="21" t="s">
        <v>230</v>
      </c>
    </row>
    <row r="112" spans="1:1" ht="15" customHeight="1" x14ac:dyDescent="0.25">
      <c r="A112" s="21" t="s">
        <v>231</v>
      </c>
    </row>
    <row r="113" spans="1:1" ht="15" customHeight="1" x14ac:dyDescent="0.25">
      <c r="A113" s="21" t="s">
        <v>232</v>
      </c>
    </row>
    <row r="114" spans="1:1" ht="15" customHeight="1" x14ac:dyDescent="0.25">
      <c r="A114" s="21" t="s">
        <v>233</v>
      </c>
    </row>
    <row r="115" spans="1:1" ht="15" customHeight="1" x14ac:dyDescent="0.25">
      <c r="A115" s="21" t="s">
        <v>234</v>
      </c>
    </row>
    <row r="116" spans="1:1" ht="15" customHeight="1" x14ac:dyDescent="0.25">
      <c r="A116" s="21" t="s">
        <v>235</v>
      </c>
    </row>
    <row r="117" spans="1:1" ht="15" customHeight="1" x14ac:dyDescent="0.25">
      <c r="A117" s="21" t="s">
        <v>236</v>
      </c>
    </row>
    <row r="118" spans="1:1" ht="15" customHeight="1" x14ac:dyDescent="0.25">
      <c r="A118" s="21" t="s">
        <v>237</v>
      </c>
    </row>
    <row r="119" spans="1:1" ht="15" customHeight="1" x14ac:dyDescent="0.25">
      <c r="A119" s="21" t="s">
        <v>238</v>
      </c>
    </row>
    <row r="120" spans="1:1" ht="15" customHeight="1" x14ac:dyDescent="0.25">
      <c r="A120" s="21" t="s">
        <v>239</v>
      </c>
    </row>
    <row r="121" spans="1:1" ht="15" customHeight="1" x14ac:dyDescent="0.25">
      <c r="A121" s="21" t="s">
        <v>240</v>
      </c>
    </row>
    <row r="122" spans="1:1" ht="15" customHeight="1" x14ac:dyDescent="0.25">
      <c r="A122" s="21" t="s">
        <v>241</v>
      </c>
    </row>
    <row r="123" spans="1:1" ht="15" customHeight="1" x14ac:dyDescent="0.25">
      <c r="A123" s="21" t="s">
        <v>242</v>
      </c>
    </row>
    <row r="124" spans="1:1" ht="15" customHeight="1" x14ac:dyDescent="0.25">
      <c r="A124" s="21" t="s">
        <v>243</v>
      </c>
    </row>
    <row r="125" spans="1:1" ht="15" customHeight="1" x14ac:dyDescent="0.25">
      <c r="A125" s="21" t="s">
        <v>244</v>
      </c>
    </row>
    <row r="126" spans="1:1" ht="15" customHeight="1" x14ac:dyDescent="0.25">
      <c r="A126" s="21" t="s">
        <v>245</v>
      </c>
    </row>
    <row r="127" spans="1:1" ht="15" customHeight="1" x14ac:dyDescent="0.25">
      <c r="A127" s="21" t="s">
        <v>246</v>
      </c>
    </row>
    <row r="128" spans="1:1" ht="15" customHeight="1" x14ac:dyDescent="0.25">
      <c r="A128" s="21" t="s">
        <v>247</v>
      </c>
    </row>
    <row r="129" spans="1:1" ht="15" customHeight="1" x14ac:dyDescent="0.25">
      <c r="A129" s="21" t="s">
        <v>248</v>
      </c>
    </row>
    <row r="130" spans="1:1" ht="15" customHeight="1" x14ac:dyDescent="0.25">
      <c r="A130" s="21" t="s">
        <v>249</v>
      </c>
    </row>
    <row r="131" spans="1:1" ht="15" customHeight="1" x14ac:dyDescent="0.25">
      <c r="A131" s="21" t="s">
        <v>250</v>
      </c>
    </row>
    <row r="132" spans="1:1" ht="15" customHeight="1" x14ac:dyDescent="0.25">
      <c r="A132" s="21" t="s">
        <v>251</v>
      </c>
    </row>
    <row r="133" spans="1:1" ht="15" customHeight="1" x14ac:dyDescent="0.25">
      <c r="A133" s="21" t="s">
        <v>252</v>
      </c>
    </row>
    <row r="134" spans="1:1" ht="15" customHeight="1" x14ac:dyDescent="0.25">
      <c r="A134" s="21" t="s">
        <v>253</v>
      </c>
    </row>
    <row r="135" spans="1:1" ht="15" customHeight="1" x14ac:dyDescent="0.25">
      <c r="A135" s="21" t="s">
        <v>254</v>
      </c>
    </row>
    <row r="136" spans="1:1" ht="15" customHeight="1" x14ac:dyDescent="0.25">
      <c r="A136" s="21" t="s">
        <v>255</v>
      </c>
    </row>
    <row r="137" spans="1:1" ht="15" customHeight="1" x14ac:dyDescent="0.25">
      <c r="A137" s="21" t="s">
        <v>256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6"/>
  <sheetViews>
    <sheetView zoomScaleNormal="100" workbookViewId="0">
      <selection activeCell="I3" sqref="I3"/>
    </sheetView>
  </sheetViews>
  <sheetFormatPr defaultColWidth="8.7109375" defaultRowHeight="15" x14ac:dyDescent="0.25"/>
  <cols>
    <col min="1" max="1" width="26" customWidth="1"/>
    <col min="2" max="2" width="11" customWidth="1"/>
    <col min="3" max="3" width="18" customWidth="1"/>
    <col min="4" max="4" width="56" customWidth="1"/>
    <col min="5" max="5" width="8" customWidth="1"/>
    <col min="6" max="6" width="13" customWidth="1"/>
    <col min="7" max="7" width="6" customWidth="1"/>
    <col min="8" max="9" width="9" customWidth="1"/>
    <col min="10" max="10" width="13" customWidth="1"/>
    <col min="11" max="11" width="22" customWidth="1"/>
  </cols>
  <sheetData>
    <row r="1" spans="1:11" ht="15" customHeight="1" x14ac:dyDescent="0.25">
      <c r="A1" s="16" t="s">
        <v>257</v>
      </c>
    </row>
    <row r="2" spans="1:11" ht="15" customHeight="1" x14ac:dyDescent="0.25">
      <c r="A2" s="24" t="s">
        <v>258</v>
      </c>
      <c r="B2" s="24" t="s">
        <v>170</v>
      </c>
      <c r="C2" s="24" t="s">
        <v>259</v>
      </c>
      <c r="D2" s="24" t="s">
        <v>260</v>
      </c>
      <c r="E2" s="24" t="s">
        <v>261</v>
      </c>
      <c r="F2" s="24" t="s">
        <v>262</v>
      </c>
      <c r="G2" s="24" t="s">
        <v>263</v>
      </c>
      <c r="H2" s="24" t="s">
        <v>171</v>
      </c>
      <c r="I2" s="24" t="s">
        <v>264</v>
      </c>
      <c r="J2" s="24" t="s">
        <v>265</v>
      </c>
      <c r="K2" s="24" t="s">
        <v>266</v>
      </c>
    </row>
    <row r="3" spans="1:11" ht="15" customHeight="1" x14ac:dyDescent="0.25">
      <c r="A3" s="21" t="s">
        <v>267</v>
      </c>
      <c r="B3" s="21" t="s">
        <v>16</v>
      </c>
      <c r="C3" s="21" t="s">
        <v>366</v>
      </c>
      <c r="D3" s="21" t="s">
        <v>367</v>
      </c>
      <c r="E3" s="21" t="s">
        <v>268</v>
      </c>
      <c r="F3" s="33">
        <v>29525</v>
      </c>
      <c r="G3" s="21" t="s">
        <v>167</v>
      </c>
      <c r="H3" s="34">
        <v>0.6</v>
      </c>
      <c r="I3" s="33">
        <f>IFERROR(INDEX(Kurallar!$B$44:$B$47,MATCH(G3,Kurallar!$A$44:$A$47,0)),"")</f>
        <v>1</v>
      </c>
      <c r="J3" s="35">
        <f t="shared" ref="J3:J26" si="0">IF(OR(F3="",H3="",H3=0,I3=""),"",F3*H3*I3)</f>
        <v>17715</v>
      </c>
      <c r="K3" s="21" t="s">
        <v>269</v>
      </c>
    </row>
    <row r="4" spans="1:11" ht="15" customHeight="1" x14ac:dyDescent="0.25">
      <c r="A4" s="21" t="s">
        <v>270</v>
      </c>
      <c r="B4" s="21" t="s">
        <v>19</v>
      </c>
      <c r="C4" s="21" t="s">
        <v>18</v>
      </c>
      <c r="D4" s="21" t="s">
        <v>271</v>
      </c>
      <c r="E4" s="21" t="s">
        <v>15</v>
      </c>
      <c r="F4" s="33">
        <v>2247</v>
      </c>
      <c r="G4" s="21" t="s">
        <v>163</v>
      </c>
      <c r="H4" s="34">
        <f>IFERROR(INDEX(Kurallar!$B$51:$B$54,MATCH(B4,Kurallar!$A$51:$A$54,0)),"")</f>
        <v>0.6</v>
      </c>
      <c r="I4" s="33">
        <f>IFERROR(INDEX(Kurallar!$B$44:$B$47,MATCH(G4,Kurallar!$A$44:$A$47,0)),"")</f>
        <v>10.9</v>
      </c>
      <c r="J4" s="35">
        <f t="shared" si="0"/>
        <v>14695.380000000001</v>
      </c>
      <c r="K4" s="21" t="s">
        <v>272</v>
      </c>
    </row>
    <row r="5" spans="1:11" ht="15" customHeight="1" x14ac:dyDescent="0.25">
      <c r="A5" s="21" t="s">
        <v>273</v>
      </c>
      <c r="B5" s="21" t="s">
        <v>19</v>
      </c>
      <c r="C5" s="21" t="s">
        <v>20</v>
      </c>
      <c r="D5" s="21" t="s">
        <v>274</v>
      </c>
      <c r="E5" s="21" t="s">
        <v>15</v>
      </c>
      <c r="F5" s="33">
        <v>1884</v>
      </c>
      <c r="G5" s="21" t="s">
        <v>163</v>
      </c>
      <c r="H5" s="34">
        <f>IFERROR(INDEX(Kurallar!$B$51:$B$54,MATCH(B5,Kurallar!$A$51:$A$54,0)),"")</f>
        <v>0.6</v>
      </c>
      <c r="I5" s="33">
        <f>IFERROR(INDEX(Kurallar!$B$44:$B$47,MATCH(G5,Kurallar!$A$44:$A$47,0)),"")</f>
        <v>10.9</v>
      </c>
      <c r="J5" s="35">
        <f t="shared" si="0"/>
        <v>12321.359999999999</v>
      </c>
      <c r="K5" s="21" t="s">
        <v>275</v>
      </c>
    </row>
    <row r="6" spans="1:11" ht="15" customHeight="1" x14ac:dyDescent="0.25">
      <c r="A6" s="21" t="s">
        <v>276</v>
      </c>
      <c r="B6" s="21" t="s">
        <v>19</v>
      </c>
      <c r="C6" s="21" t="s">
        <v>23</v>
      </c>
      <c r="D6" s="21" t="s">
        <v>277</v>
      </c>
      <c r="E6" s="21" t="s">
        <v>15</v>
      </c>
      <c r="F6" s="33">
        <v>3634</v>
      </c>
      <c r="G6" s="21" t="s">
        <v>163</v>
      </c>
      <c r="H6" s="34">
        <f>IFERROR(INDEX(Kurallar!$B$51:$B$54,MATCH(B6,Kurallar!$A$51:$A$54,0)),"")</f>
        <v>0.6</v>
      </c>
      <c r="I6" s="33">
        <f>IFERROR(INDEX(Kurallar!$B$44:$B$47,MATCH(G6,Kurallar!$A$44:$A$47,0)),"")</f>
        <v>10.9</v>
      </c>
      <c r="J6" s="35">
        <f t="shared" si="0"/>
        <v>23766.36</v>
      </c>
      <c r="K6" s="21" t="s">
        <v>278</v>
      </c>
    </row>
    <row r="7" spans="1:11" ht="15" customHeight="1" x14ac:dyDescent="0.25">
      <c r="A7" s="21" t="s">
        <v>279</v>
      </c>
      <c r="B7" s="21" t="s">
        <v>19</v>
      </c>
      <c r="C7" s="21" t="s">
        <v>24</v>
      </c>
      <c r="D7" s="21" t="s">
        <v>280</v>
      </c>
      <c r="E7" s="21" t="s">
        <v>15</v>
      </c>
      <c r="F7" s="33">
        <v>446.8</v>
      </c>
      <c r="G7" s="21" t="s">
        <v>163</v>
      </c>
      <c r="H7" s="34">
        <f>IFERROR(INDEX(Kurallar!$B$51:$B$54,MATCH(B7,Kurallar!$A$51:$A$54,0)),"")</f>
        <v>0.6</v>
      </c>
      <c r="I7" s="33">
        <f>IFERROR(INDEX(Kurallar!$B$44:$B$47,MATCH(G7,Kurallar!$A$44:$A$47,0)),"")</f>
        <v>10.9</v>
      </c>
      <c r="J7" s="35">
        <f t="shared" si="0"/>
        <v>2922.0720000000001</v>
      </c>
      <c r="K7" s="21" t="s">
        <v>281</v>
      </c>
    </row>
    <row r="8" spans="1:11" ht="15" customHeight="1" x14ac:dyDescent="0.25">
      <c r="A8" s="21" t="s">
        <v>282</v>
      </c>
      <c r="B8" s="21" t="s">
        <v>19</v>
      </c>
      <c r="C8" s="21" t="s">
        <v>26</v>
      </c>
      <c r="D8" s="21" t="s">
        <v>283</v>
      </c>
      <c r="E8" s="21" t="s">
        <v>15</v>
      </c>
      <c r="F8" s="33">
        <v>446.8</v>
      </c>
      <c r="G8" s="21" t="s">
        <v>163</v>
      </c>
      <c r="H8" s="34">
        <f>IFERROR(INDEX(Kurallar!$B$51:$B$54,MATCH(B8,Kurallar!$A$51:$A$54,0)),"")</f>
        <v>0.6</v>
      </c>
      <c r="I8" s="33">
        <f>IFERROR(INDEX(Kurallar!$B$44:$B$47,MATCH(G8,Kurallar!$A$44:$A$47,0)),"")</f>
        <v>10.9</v>
      </c>
      <c r="J8" s="35">
        <f t="shared" si="0"/>
        <v>2922.0720000000001</v>
      </c>
      <c r="K8" s="21" t="s">
        <v>284</v>
      </c>
    </row>
    <row r="9" spans="1:11" ht="15" customHeight="1" x14ac:dyDescent="0.25">
      <c r="A9" s="21" t="s">
        <v>285</v>
      </c>
      <c r="B9" s="21" t="s">
        <v>19</v>
      </c>
      <c r="C9" s="21" t="s">
        <v>29</v>
      </c>
      <c r="D9" s="21" t="s">
        <v>286</v>
      </c>
      <c r="E9" s="21" t="s">
        <v>15</v>
      </c>
      <c r="F9" s="33">
        <v>1628</v>
      </c>
      <c r="G9" s="21" t="s">
        <v>163</v>
      </c>
      <c r="H9" s="34">
        <f>IFERROR(INDEX(Kurallar!$B$51:$B$54,MATCH(B9,Kurallar!$A$51:$A$54,0)),"")</f>
        <v>0.6</v>
      </c>
      <c r="I9" s="33">
        <f>IFERROR(INDEX(Kurallar!$B$44:$B$47,MATCH(G9,Kurallar!$A$44:$A$47,0)),"")</f>
        <v>10.9</v>
      </c>
      <c r="J9" s="35">
        <f t="shared" si="0"/>
        <v>10647.119999999999</v>
      </c>
      <c r="K9" s="21" t="s">
        <v>287</v>
      </c>
    </row>
    <row r="10" spans="1:11" ht="15" customHeight="1" x14ac:dyDescent="0.25">
      <c r="A10" s="21" t="s">
        <v>288</v>
      </c>
      <c r="B10" s="21" t="s">
        <v>19</v>
      </c>
      <c r="C10" s="21" t="s">
        <v>31</v>
      </c>
      <c r="D10" s="21" t="s">
        <v>289</v>
      </c>
      <c r="E10" s="21" t="s">
        <v>15</v>
      </c>
      <c r="F10" s="33">
        <v>1217</v>
      </c>
      <c r="G10" s="21" t="s">
        <v>163</v>
      </c>
      <c r="H10" s="34">
        <f>IFERROR(INDEX(Kurallar!$B$51:$B$54,MATCH(B10,Kurallar!$A$51:$A$54,0)),"")</f>
        <v>0.6</v>
      </c>
      <c r="I10" s="33">
        <f>IFERROR(INDEX(Kurallar!$B$44:$B$47,MATCH(G10,Kurallar!$A$44:$A$47,0)),"")</f>
        <v>10.9</v>
      </c>
      <c r="J10" s="35">
        <f t="shared" si="0"/>
        <v>7959.1799999999994</v>
      </c>
      <c r="K10" s="21" t="s">
        <v>287</v>
      </c>
    </row>
    <row r="11" spans="1:11" ht="15" customHeight="1" x14ac:dyDescent="0.25">
      <c r="A11" s="21" t="s">
        <v>290</v>
      </c>
      <c r="B11" s="21" t="s">
        <v>19</v>
      </c>
      <c r="C11" s="21" t="s">
        <v>33</v>
      </c>
      <c r="D11" s="21" t="s">
        <v>291</v>
      </c>
      <c r="E11" s="21" t="s">
        <v>15</v>
      </c>
      <c r="F11" s="33">
        <v>1154</v>
      </c>
      <c r="G11" s="21" t="s">
        <v>163</v>
      </c>
      <c r="H11" s="34">
        <f>IFERROR(INDEX(Kurallar!$B$51:$B$54,MATCH(B11,Kurallar!$A$51:$A$54,0)),"")</f>
        <v>0.6</v>
      </c>
      <c r="I11" s="33">
        <f>IFERROR(INDEX(Kurallar!$B$44:$B$47,MATCH(G11,Kurallar!$A$44:$A$47,0)),"")</f>
        <v>10.9</v>
      </c>
      <c r="J11" s="35">
        <f t="shared" si="0"/>
        <v>7547.16</v>
      </c>
      <c r="K11" s="21" t="s">
        <v>287</v>
      </c>
    </row>
    <row r="12" spans="1:11" ht="15" customHeight="1" x14ac:dyDescent="0.25">
      <c r="A12" s="21" t="s">
        <v>292</v>
      </c>
      <c r="B12" s="21" t="s">
        <v>38</v>
      </c>
      <c r="C12" s="21" t="s">
        <v>36</v>
      </c>
      <c r="D12" s="21" t="s">
        <v>293</v>
      </c>
      <c r="E12" s="21" t="s">
        <v>15</v>
      </c>
      <c r="F12" s="33">
        <v>836</v>
      </c>
      <c r="G12" s="21" t="s">
        <v>167</v>
      </c>
      <c r="H12" s="34">
        <f>IFERROR(INDEX(Kurallar!$B$51:$B$54,MATCH(B12,Kurallar!$A$51:$A$54,0)),"")</f>
        <v>0.6</v>
      </c>
      <c r="I12" s="33">
        <f>IFERROR(INDEX(Kurallar!$B$44:$B$47,MATCH(G12,Kurallar!$A$44:$A$47,0)),"")</f>
        <v>1</v>
      </c>
      <c r="J12" s="35">
        <f t="shared" si="0"/>
        <v>501.59999999999997</v>
      </c>
      <c r="K12" s="21" t="s">
        <v>294</v>
      </c>
    </row>
    <row r="13" spans="1:11" ht="15" customHeight="1" x14ac:dyDescent="0.25">
      <c r="A13" s="21" t="s">
        <v>295</v>
      </c>
      <c r="B13" s="21" t="s">
        <v>42</v>
      </c>
      <c r="C13" s="21" t="s">
        <v>40</v>
      </c>
      <c r="D13" s="21" t="s">
        <v>296</v>
      </c>
      <c r="E13" s="21" t="s">
        <v>15</v>
      </c>
      <c r="F13" s="33">
        <v>235</v>
      </c>
      <c r="G13" s="21" t="s">
        <v>167</v>
      </c>
      <c r="H13" s="34">
        <f>IFERROR(INDEX(Kurallar!$B$51:$B$54,MATCH(B13,Kurallar!$A$51:$A$54,0)),"")</f>
        <v>1</v>
      </c>
      <c r="I13" s="33">
        <f>IFERROR(INDEX(Kurallar!$B$44:$B$47,MATCH(G13,Kurallar!$A$44:$A$47,0)),"")</f>
        <v>1</v>
      </c>
      <c r="J13" s="35">
        <f t="shared" si="0"/>
        <v>235</v>
      </c>
      <c r="K13" s="21" t="s">
        <v>297</v>
      </c>
    </row>
    <row r="14" spans="1:11" ht="15" customHeight="1" x14ac:dyDescent="0.25">
      <c r="A14" s="21" t="s">
        <v>298</v>
      </c>
      <c r="B14" s="21" t="s">
        <v>42</v>
      </c>
      <c r="C14" s="21" t="s">
        <v>43</v>
      </c>
      <c r="D14" s="21" t="s">
        <v>299</v>
      </c>
      <c r="E14" s="21" t="s">
        <v>15</v>
      </c>
      <c r="F14" s="33">
        <v>269</v>
      </c>
      <c r="G14" s="21" t="s">
        <v>167</v>
      </c>
      <c r="H14" s="34">
        <f>IFERROR(INDEX(Kurallar!$B$51:$B$54,MATCH(B14,Kurallar!$A$51:$A$54,0)),"")</f>
        <v>1</v>
      </c>
      <c r="I14" s="33">
        <f>IFERROR(INDEX(Kurallar!$B$44:$B$47,MATCH(G14,Kurallar!$A$44:$A$47,0)),"")</f>
        <v>1</v>
      </c>
      <c r="J14" s="35">
        <f t="shared" si="0"/>
        <v>269</v>
      </c>
      <c r="K14" s="21" t="s">
        <v>297</v>
      </c>
    </row>
    <row r="15" spans="1:11" ht="15" customHeight="1" x14ac:dyDescent="0.25">
      <c r="A15" s="21" t="s">
        <v>300</v>
      </c>
      <c r="B15" s="21" t="s">
        <v>42</v>
      </c>
      <c r="C15" s="21" t="s">
        <v>45</v>
      </c>
      <c r="D15" s="21" t="s">
        <v>301</v>
      </c>
      <c r="E15" s="21" t="s">
        <v>15</v>
      </c>
      <c r="F15" s="33">
        <v>155</v>
      </c>
      <c r="G15" s="21" t="s">
        <v>167</v>
      </c>
      <c r="H15" s="34">
        <f>IFERROR(INDEX(Kurallar!$B$51:$B$54,MATCH(B15,Kurallar!$A$51:$A$54,0)),"")</f>
        <v>1</v>
      </c>
      <c r="I15" s="33">
        <f>IFERROR(INDEX(Kurallar!$B$44:$B$47,MATCH(G15,Kurallar!$A$44:$A$47,0)),"")</f>
        <v>1</v>
      </c>
      <c r="J15" s="35">
        <f t="shared" si="0"/>
        <v>155</v>
      </c>
      <c r="K15" s="21" t="s">
        <v>297</v>
      </c>
    </row>
    <row r="16" spans="1:11" ht="15" customHeight="1" x14ac:dyDescent="0.25">
      <c r="A16" s="21" t="s">
        <v>302</v>
      </c>
      <c r="B16" s="21" t="s">
        <v>42</v>
      </c>
      <c r="C16" s="21" t="s">
        <v>47</v>
      </c>
      <c r="D16" s="21" t="s">
        <v>303</v>
      </c>
      <c r="E16" s="21" t="s">
        <v>15</v>
      </c>
      <c r="F16" s="33">
        <v>111</v>
      </c>
      <c r="G16" s="21" t="s">
        <v>167</v>
      </c>
      <c r="H16" s="34">
        <f>IFERROR(INDEX(Kurallar!$B$51:$B$54,MATCH(B16,Kurallar!$A$51:$A$54,0)),"")</f>
        <v>1</v>
      </c>
      <c r="I16" s="33">
        <f>IFERROR(INDEX(Kurallar!$B$44:$B$47,MATCH(G16,Kurallar!$A$44:$A$47,0)),"")</f>
        <v>1</v>
      </c>
      <c r="J16" s="35">
        <f t="shared" si="0"/>
        <v>111</v>
      </c>
      <c r="K16" s="21" t="s">
        <v>297</v>
      </c>
    </row>
    <row r="17" spans="1:11" ht="15" customHeight="1" x14ac:dyDescent="0.25">
      <c r="A17" s="21" t="s">
        <v>304</v>
      </c>
      <c r="B17" s="21" t="s">
        <v>42</v>
      </c>
      <c r="C17" s="21" t="s">
        <v>49</v>
      </c>
      <c r="D17" s="21" t="s">
        <v>305</v>
      </c>
      <c r="E17" s="21" t="s">
        <v>15</v>
      </c>
      <c r="F17" s="33">
        <v>90</v>
      </c>
      <c r="G17" s="21" t="s">
        <v>167</v>
      </c>
      <c r="H17" s="34">
        <f>IFERROR(INDEX(Kurallar!$B$51:$B$54,MATCH(B17,Kurallar!$A$51:$A$54,0)),"")</f>
        <v>1</v>
      </c>
      <c r="I17" s="33">
        <f>IFERROR(INDEX(Kurallar!$B$44:$B$47,MATCH(G17,Kurallar!$A$44:$A$47,0)),"")</f>
        <v>1</v>
      </c>
      <c r="J17" s="35">
        <f t="shared" si="0"/>
        <v>90</v>
      </c>
      <c r="K17" s="21" t="s">
        <v>297</v>
      </c>
    </row>
    <row r="18" spans="1:11" ht="15" customHeight="1" x14ac:dyDescent="0.25">
      <c r="A18" s="21" t="s">
        <v>306</v>
      </c>
      <c r="B18" s="21" t="s">
        <v>42</v>
      </c>
      <c r="C18" s="21" t="s">
        <v>51</v>
      </c>
      <c r="D18" s="21" t="s">
        <v>307</v>
      </c>
      <c r="E18" s="21" t="s">
        <v>15</v>
      </c>
      <c r="F18" s="33">
        <v>90</v>
      </c>
      <c r="G18" s="21" t="s">
        <v>167</v>
      </c>
      <c r="H18" s="34">
        <f>IFERROR(INDEX(Kurallar!$B$51:$B$54,MATCH(B18,Kurallar!$A$51:$A$54,0)),"")</f>
        <v>1</v>
      </c>
      <c r="I18" s="33">
        <f>IFERROR(INDEX(Kurallar!$B$44:$B$47,MATCH(G18,Kurallar!$A$44:$A$47,0)),"")</f>
        <v>1</v>
      </c>
      <c r="J18" s="35">
        <f t="shared" si="0"/>
        <v>90</v>
      </c>
      <c r="K18" s="21" t="s">
        <v>297</v>
      </c>
    </row>
    <row r="19" spans="1:11" ht="15" customHeight="1" x14ac:dyDescent="0.25">
      <c r="A19" s="21" t="s">
        <v>308</v>
      </c>
      <c r="B19" s="21" t="s">
        <v>38</v>
      </c>
      <c r="C19" s="21" t="s">
        <v>54</v>
      </c>
      <c r="D19" s="21" t="s">
        <v>309</v>
      </c>
      <c r="E19" s="21" t="s">
        <v>15</v>
      </c>
      <c r="F19" s="33">
        <v>2232</v>
      </c>
      <c r="G19" s="21" t="s">
        <v>167</v>
      </c>
      <c r="H19" s="34">
        <f>IFERROR(INDEX(Kurallar!$B$51:$B$54,MATCH(B19,Kurallar!$A$51:$A$54,0)),"")</f>
        <v>0.6</v>
      </c>
      <c r="I19" s="33">
        <f>IFERROR(INDEX(Kurallar!$B$44:$B$47,MATCH(G19,Kurallar!$A$44:$A$47,0)),"")</f>
        <v>1</v>
      </c>
      <c r="J19" s="35">
        <f t="shared" si="0"/>
        <v>1339.2</v>
      </c>
      <c r="K19" s="21" t="s">
        <v>294</v>
      </c>
    </row>
    <row r="20" spans="1:11" ht="15" customHeight="1" x14ac:dyDescent="0.25">
      <c r="A20" s="21" t="s">
        <v>310</v>
      </c>
      <c r="B20" s="21" t="s">
        <v>42</v>
      </c>
      <c r="C20" s="21" t="s">
        <v>56</v>
      </c>
      <c r="D20" s="21" t="s">
        <v>311</v>
      </c>
      <c r="E20" s="21" t="s">
        <v>15</v>
      </c>
      <c r="F20" s="33">
        <v>1486</v>
      </c>
      <c r="G20" s="21" t="s">
        <v>167</v>
      </c>
      <c r="H20" s="34">
        <f>IFERROR(INDEX(Kurallar!$B$51:$B$54,MATCH(B20,Kurallar!$A$51:$A$54,0)),"")</f>
        <v>1</v>
      </c>
      <c r="I20" s="33">
        <f>IFERROR(INDEX(Kurallar!$B$44:$B$47,MATCH(G20,Kurallar!$A$44:$A$47,0)),"")</f>
        <v>1</v>
      </c>
      <c r="J20" s="35">
        <f t="shared" si="0"/>
        <v>1486</v>
      </c>
      <c r="K20" s="21" t="s">
        <v>297</v>
      </c>
    </row>
    <row r="21" spans="1:11" ht="15" customHeight="1" x14ac:dyDescent="0.25">
      <c r="A21" s="21" t="s">
        <v>312</v>
      </c>
      <c r="B21" s="21" t="s">
        <v>42</v>
      </c>
      <c r="C21" s="21" t="s">
        <v>58</v>
      </c>
      <c r="D21" s="21" t="s">
        <v>313</v>
      </c>
      <c r="E21" s="21" t="s">
        <v>15</v>
      </c>
      <c r="F21" s="33">
        <v>1094</v>
      </c>
      <c r="G21" s="21" t="s">
        <v>167</v>
      </c>
      <c r="H21" s="34">
        <f>IFERROR(INDEX(Kurallar!$B$51:$B$54,MATCH(B21,Kurallar!$A$51:$A$54,0)),"")</f>
        <v>1</v>
      </c>
      <c r="I21" s="33">
        <f>IFERROR(INDEX(Kurallar!$B$44:$B$47,MATCH(G21,Kurallar!$A$44:$A$47,0)),"")</f>
        <v>1</v>
      </c>
      <c r="J21" s="35">
        <f t="shared" si="0"/>
        <v>1094</v>
      </c>
      <c r="K21" s="21" t="s">
        <v>297</v>
      </c>
    </row>
    <row r="22" spans="1:11" ht="15" customHeight="1" x14ac:dyDescent="0.25">
      <c r="A22" s="21" t="s">
        <v>314</v>
      </c>
      <c r="B22" s="21" t="s">
        <v>19</v>
      </c>
      <c r="C22" s="21" t="s">
        <v>69</v>
      </c>
      <c r="D22" s="21" t="s">
        <v>315</v>
      </c>
      <c r="E22" s="21" t="s">
        <v>15</v>
      </c>
      <c r="F22" s="33">
        <v>3335</v>
      </c>
      <c r="G22" s="21" t="s">
        <v>163</v>
      </c>
      <c r="H22" s="34">
        <f>IFERROR(INDEX(Kurallar!$B$51:$B$54,MATCH(B22,Kurallar!$A$51:$A$54,0)),"")</f>
        <v>0.6</v>
      </c>
      <c r="I22" s="33">
        <f>IFERROR(INDEX(Kurallar!$B$44:$B$47,MATCH(G22,Kurallar!$A$44:$A$47,0)),"")</f>
        <v>10.9</v>
      </c>
      <c r="J22" s="35">
        <f t="shared" si="0"/>
        <v>21810.9</v>
      </c>
      <c r="K22" s="21" t="s">
        <v>316</v>
      </c>
    </row>
    <row r="23" spans="1:11" ht="15" customHeight="1" x14ac:dyDescent="0.25">
      <c r="A23" s="21" t="s">
        <v>317</v>
      </c>
      <c r="B23" s="21" t="s">
        <v>19</v>
      </c>
      <c r="C23" s="21" t="s">
        <v>71</v>
      </c>
      <c r="D23" s="21" t="s">
        <v>318</v>
      </c>
      <c r="E23" s="21" t="s">
        <v>15</v>
      </c>
      <c r="F23" s="33">
        <v>1884</v>
      </c>
      <c r="G23" s="21" t="s">
        <v>163</v>
      </c>
      <c r="H23" s="34">
        <f>IFERROR(INDEX(Kurallar!$B$51:$B$54,MATCH(B23,Kurallar!$A$51:$A$54,0)),"")</f>
        <v>0.6</v>
      </c>
      <c r="I23" s="33">
        <f>IFERROR(INDEX(Kurallar!$B$44:$B$47,MATCH(G23,Kurallar!$A$44:$A$47,0)),"")</f>
        <v>10.9</v>
      </c>
      <c r="J23" s="35">
        <f t="shared" si="0"/>
        <v>12321.359999999999</v>
      </c>
      <c r="K23" s="21" t="s">
        <v>319</v>
      </c>
    </row>
    <row r="24" spans="1:11" ht="15" customHeight="1" x14ac:dyDescent="0.25">
      <c r="A24" s="21" t="s">
        <v>320</v>
      </c>
      <c r="B24" s="21" t="s">
        <v>19</v>
      </c>
      <c r="C24" s="21" t="s">
        <v>73</v>
      </c>
      <c r="D24" s="21" t="s">
        <v>321</v>
      </c>
      <c r="E24" s="21" t="s">
        <v>15</v>
      </c>
      <c r="F24" s="33">
        <v>4163</v>
      </c>
      <c r="G24" s="21" t="s">
        <v>163</v>
      </c>
      <c r="H24" s="34">
        <f>IFERROR(INDEX(Kurallar!$B$51:$B$54,MATCH(B24,Kurallar!$A$51:$A$54,0)),"")</f>
        <v>0.6</v>
      </c>
      <c r="I24" s="33">
        <f>IFERROR(INDEX(Kurallar!$B$44:$B$47,MATCH(G24,Kurallar!$A$44:$A$47,0)),"")</f>
        <v>10.9</v>
      </c>
      <c r="J24" s="35">
        <f t="shared" si="0"/>
        <v>27226.019999999997</v>
      </c>
      <c r="K24" s="21" t="s">
        <v>322</v>
      </c>
    </row>
    <row r="25" spans="1:11" ht="15" customHeight="1" x14ac:dyDescent="0.25">
      <c r="A25" s="21" t="s">
        <v>323</v>
      </c>
      <c r="B25" s="21" t="s">
        <v>19</v>
      </c>
      <c r="C25" s="21" t="s">
        <v>75</v>
      </c>
      <c r="D25" s="21" t="s">
        <v>324</v>
      </c>
      <c r="E25" s="21" t="s">
        <v>15</v>
      </c>
      <c r="F25" s="33">
        <v>2182</v>
      </c>
      <c r="G25" s="21" t="s">
        <v>163</v>
      </c>
      <c r="H25" s="34">
        <f>IFERROR(INDEX(Kurallar!$B$51:$B$54,MATCH(B25,Kurallar!$A$51:$A$54,0)),"")</f>
        <v>0.6</v>
      </c>
      <c r="I25" s="33">
        <f>IFERROR(INDEX(Kurallar!$B$44:$B$47,MATCH(G25,Kurallar!$A$44:$A$47,0)),"")</f>
        <v>10.9</v>
      </c>
      <c r="J25" s="35">
        <f t="shared" si="0"/>
        <v>14270.28</v>
      </c>
      <c r="K25" s="21" t="s">
        <v>287</v>
      </c>
    </row>
    <row r="26" spans="1:11" ht="15" customHeight="1" x14ac:dyDescent="0.25">
      <c r="A26" s="21" t="s">
        <v>325</v>
      </c>
      <c r="B26" s="21" t="s">
        <v>19</v>
      </c>
      <c r="C26" s="21" t="s">
        <v>80</v>
      </c>
      <c r="D26" s="21" t="s">
        <v>326</v>
      </c>
      <c r="E26" s="21" t="s">
        <v>15</v>
      </c>
      <c r="F26" s="33">
        <v>2836</v>
      </c>
      <c r="G26" s="21" t="s">
        <v>163</v>
      </c>
      <c r="H26" s="34">
        <f>IFERROR(INDEX(Kurallar!$B$51:$B$54,MATCH(B26,Kurallar!$A$51:$A$54,0)),"")</f>
        <v>0.6</v>
      </c>
      <c r="I26" s="33">
        <f>IFERROR(INDEX(Kurallar!$B$44:$B$47,MATCH(G26,Kurallar!$A$44:$A$47,0)),"")</f>
        <v>10.9</v>
      </c>
      <c r="J26" s="35">
        <f t="shared" si="0"/>
        <v>18547.439999999999</v>
      </c>
      <c r="K26" s="21" t="s">
        <v>327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6"/>
  <sheetViews>
    <sheetView tabSelected="1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7" customWidth="1"/>
    <col min="2" max="2" width="46" customWidth="1"/>
    <col min="3" max="4" width="26" customWidth="1"/>
    <col min="5" max="5" width="20" customWidth="1"/>
    <col min="6" max="6" width="72" customWidth="1"/>
  </cols>
  <sheetData>
    <row r="1" spans="1:6" ht="15" customHeight="1" x14ac:dyDescent="0.25">
      <c r="A1" s="19" t="s">
        <v>328</v>
      </c>
    </row>
    <row r="2" spans="1:6" ht="15" customHeight="1" x14ac:dyDescent="0.25">
      <c r="A2" s="16" t="s">
        <v>329</v>
      </c>
    </row>
    <row r="4" spans="1:6" ht="15" customHeight="1" x14ac:dyDescent="0.25">
      <c r="A4" s="1" t="s">
        <v>330</v>
      </c>
      <c r="B4" s="1" t="s">
        <v>331</v>
      </c>
      <c r="C4" s="1" t="s">
        <v>332</v>
      </c>
      <c r="D4" s="1" t="s">
        <v>333</v>
      </c>
      <c r="E4" s="1" t="s">
        <v>334</v>
      </c>
      <c r="F4" s="1" t="s">
        <v>128</v>
      </c>
    </row>
    <row r="5" spans="1:6" ht="15" customHeight="1" x14ac:dyDescent="0.25">
      <c r="A5" s="13" t="s">
        <v>335</v>
      </c>
      <c r="B5" s="6" t="s">
        <v>336</v>
      </c>
      <c r="C5" s="36">
        <f>SUM(BOM!H3:H19)*4+SUM(BOM!H24:H42)*10+SUM(BOM!H47:H65)*1</f>
        <v>2299208.1</v>
      </c>
      <c r="D5" s="36">
        <f>SATINALMA!$H$29</f>
        <v>2453055.06</v>
      </c>
      <c r="E5" s="13" t="str">
        <f t="shared" ref="E5:E14" si="0">IF(OR(C5="",D5=""),"VERİ YOK",IF(ABS(N(C5)-N(D5))&lt;0.51,"✓ OK","✖ HATA"))</f>
        <v>✖ HATA</v>
      </c>
      <c r="F5" s="6" t="s">
        <v>337</v>
      </c>
    </row>
    <row r="6" spans="1:6" ht="15" customHeight="1" x14ac:dyDescent="0.25">
      <c r="A6" s="13" t="s">
        <v>338</v>
      </c>
      <c r="B6" s="6" t="s">
        <v>339</v>
      </c>
      <c r="C6" s="36">
        <f>BOM!H22*4+BOM!H45*10+BOM!H68*1</f>
        <v>265725</v>
      </c>
      <c r="D6" s="36">
        <f>BOM!H69</f>
        <v>265725</v>
      </c>
      <c r="E6" s="13" t="str">
        <f t="shared" si="0"/>
        <v>✓ OK</v>
      </c>
      <c r="F6" s="6" t="s">
        <v>340</v>
      </c>
    </row>
    <row r="7" spans="1:6" ht="15" customHeight="1" x14ac:dyDescent="0.25">
      <c r="A7" s="13" t="s">
        <v>341</v>
      </c>
      <c r="B7" s="6" t="s">
        <v>342</v>
      </c>
      <c r="C7" s="36">
        <f>BOM!H69</f>
        <v>265725</v>
      </c>
      <c r="D7" s="36">
        <f>СВОД!D8</f>
        <v>265725</v>
      </c>
      <c r="E7" s="13" t="str">
        <f t="shared" si="0"/>
        <v>✓ OK</v>
      </c>
      <c r="F7" s="6" t="s">
        <v>343</v>
      </c>
    </row>
    <row r="8" spans="1:6" ht="15" customHeight="1" x14ac:dyDescent="0.25">
      <c r="A8" s="13" t="s">
        <v>344</v>
      </c>
      <c r="B8" s="6" t="s">
        <v>345</v>
      </c>
      <c r="C8" s="36">
        <f>SUMIF(BOM!$C$3:$C$19,"Klemens",BOM!$I$3:$I$19)*4+SUMIF(BOM!$C$24:$C$42,"Klemens",BOM!$I$24:$I$42)*10+SUMIF(BOM!$C$47:$C$65,"Klemens",BOM!$I$47:$I$65)*1</f>
        <v>765</v>
      </c>
      <c r="D8" s="36">
        <f>765</f>
        <v>765</v>
      </c>
      <c r="E8" s="13" t="str">
        <f t="shared" si="0"/>
        <v>✓ OK</v>
      </c>
      <c r="F8" s="6" t="s">
        <v>346</v>
      </c>
    </row>
    <row r="9" spans="1:6" ht="15" customHeight="1" x14ac:dyDescent="0.25">
      <c r="A9" s="13" t="s">
        <v>347</v>
      </c>
      <c r="B9" s="6" t="s">
        <v>348</v>
      </c>
      <c r="C9" s="36">
        <f>Kurallar!D40*Kurallar!B12</f>
        <v>315.67499999999995</v>
      </c>
      <c r="D9" s="36">
        <f>BOM!I21</f>
        <v>315.67499999999995</v>
      </c>
      <c r="E9" s="13" t="str">
        <f t="shared" si="0"/>
        <v>✓ OK</v>
      </c>
      <c r="F9" s="6" t="s">
        <v>349</v>
      </c>
    </row>
    <row r="10" spans="1:6" ht="15" customHeight="1" x14ac:dyDescent="0.25">
      <c r="A10" s="13" t="s">
        <v>350</v>
      </c>
      <c r="B10" s="6" t="s">
        <v>351</v>
      </c>
      <c r="C10" s="36">
        <f>BOM!I21*Kurallar!B11</f>
        <v>31567.499999999996</v>
      </c>
      <c r="D10" s="36">
        <f>BOM!H21</f>
        <v>31567.499999999996</v>
      </c>
      <c r="E10" s="13" t="str">
        <f t="shared" si="0"/>
        <v>✓ OK</v>
      </c>
      <c r="F10" s="6" t="s">
        <v>352</v>
      </c>
    </row>
    <row r="11" spans="1:6" ht="15" customHeight="1" x14ac:dyDescent="0.25">
      <c r="A11" s="13" t="s">
        <v>353</v>
      </c>
      <c r="B11" s="6" t="s">
        <v>354</v>
      </c>
      <c r="C11" s="36">
        <f>SUM(BOM!H3:H19)*Kurallar!B13</f>
        <v>3242.3602799999999</v>
      </c>
      <c r="D11" s="36">
        <f>BOM!H20</f>
        <v>3242.3602799999999</v>
      </c>
      <c r="E11" s="13" t="str">
        <f t="shared" si="0"/>
        <v>✓ OK</v>
      </c>
      <c r="F11" s="6" t="s">
        <v>355</v>
      </c>
    </row>
    <row r="12" spans="1:6" ht="15" customHeight="1" x14ac:dyDescent="0.25">
      <c r="A12" s="13" t="s">
        <v>356</v>
      </c>
      <c r="B12" s="6" t="s">
        <v>357</v>
      </c>
      <c r="C12" s="36">
        <f>IFERROR(INDEX(FIYAT_KAYNAK!$F$3:$F$26,MATCH("SCHNEIDER|A9F79340",FIYAT_KAYNAK!$A$3:$A$26,0))*Kurallar!$B$54*Kurallar!$B$45,"")</f>
        <v>14695.380000000001</v>
      </c>
      <c r="D12" s="36">
        <f>IFERROR(INDEX(FIYAT_KAYNAK!$J$3:$J$26,MATCH("SCHNEIDER|A9F79340",FIYAT_KAYNAK!$A$3:$A$26,0)),"")</f>
        <v>14695.380000000001</v>
      </c>
      <c r="E12" s="13" t="str">
        <f t="shared" si="0"/>
        <v>✓ OK</v>
      </c>
      <c r="F12" s="6" t="s">
        <v>358</v>
      </c>
    </row>
    <row r="13" spans="1:6" ht="15" customHeight="1" x14ac:dyDescent="0.25">
      <c r="A13" s="13" t="s">
        <v>359</v>
      </c>
      <c r="B13" s="6" t="s">
        <v>360</v>
      </c>
      <c r="C13" s="36">
        <f>0</f>
        <v>0</v>
      </c>
      <c r="D13" s="36">
        <f>SUMPRODUCT((BOM!D3:D19&lt;&gt;"")*(BOM!G3:G19=""))+SUMPRODUCT((BOM!D24:D42&lt;&gt;"")*(BOM!G24:G42=""))+SUMPRODUCT((BOM!D47:D65&lt;&gt;"")*(BOM!G47:G65=""))</f>
        <v>0</v>
      </c>
      <c r="E13" s="13" t="str">
        <f t="shared" si="0"/>
        <v>✓ OK</v>
      </c>
      <c r="F13" s="6" t="s">
        <v>361</v>
      </c>
    </row>
    <row r="14" spans="1:6" ht="15" customHeight="1" x14ac:dyDescent="0.25">
      <c r="A14" s="13" t="s">
        <v>362</v>
      </c>
      <c r="B14" s="6" t="s">
        <v>363</v>
      </c>
      <c r="C14" s="36">
        <f>0</f>
        <v>0</v>
      </c>
      <c r="D14" s="36">
        <f>COUNTIF(BOM!G3:G19,0)+COUNTIF(BOM!G24:G42,0)+COUNTIF(BOM!G47:G65,0)</f>
        <v>0</v>
      </c>
      <c r="E14" s="13" t="str">
        <f t="shared" si="0"/>
        <v>✓ OK</v>
      </c>
      <c r="F14" s="6" t="s">
        <v>364</v>
      </c>
    </row>
    <row r="16" spans="1:6" ht="15" customHeight="1" x14ac:dyDescent="0.25">
      <c r="B16" s="20" t="s">
        <v>365</v>
      </c>
      <c r="E16" s="37" t="str">
        <f>IF(COUNTIF(E5:E14,"✓ OK")=10,"✅ TEMİZ — teslim edilebilir","⛔ BULGU VAR — teslim etme")</f>
        <v>⛔ BULGU VAR — teslim etme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BOM</vt:lpstr>
      <vt:lpstr>СВОД</vt:lpstr>
      <vt:lpstr>SATINALMA</vt:lpstr>
      <vt:lpstr>Kurallar</vt:lpstr>
      <vt:lpstr>FIYAT_KAYNAK</vt:lpstr>
      <vt:lpstr>QA_CANLI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2026-08-14T11:02:44Z</dcterms:created>
  <dcterms:modified xsi:type="dcterms:W3CDTF">2026-09-28T09:13:38Z</dcterms:modified>
  <dc:language>en-US</dc:language>
</cp:coreProperties>
</file>