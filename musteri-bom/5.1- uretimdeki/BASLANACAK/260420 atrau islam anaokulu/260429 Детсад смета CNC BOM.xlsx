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роект\260428 Электрооборудование CNC BOm\"/>
    </mc:Choice>
  </mc:AlternateContent>
  <xr:revisionPtr revIDLastSave="0" documentId="13_ncr:1_{1F2E1631-3134-4EFE-BFDD-464B4A8E0979}" xr6:coauthVersionLast="47" xr6:coauthVersionMax="47" xr10:uidLastSave="{00000000-0000-0000-0000-000000000000}"/>
  <bookViews>
    <workbookView xWindow="28680" yWindow="-75" windowWidth="29040" windowHeight="15720" tabRatio="500" xr2:uid="{00000000-000D-0000-FFFF-FFFF00000000}"/>
  </bookViews>
  <sheets>
    <sheet name="1" sheetId="3" r:id="rId1"/>
  </sheets>
  <definedNames>
    <definedName name="_xlnm._FilterDatabase" localSheetId="0" hidden="1">'1'!$A$1:$K$227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" i="3" l="1"/>
  <c r="G72" i="3"/>
  <c r="G117" i="3" l="1"/>
  <c r="H117" i="3" s="1"/>
  <c r="G116" i="3"/>
  <c r="H116" i="3" s="1"/>
  <c r="G115" i="3"/>
  <c r="H115" i="3" s="1"/>
  <c r="G106" i="3"/>
  <c r="H106" i="3" s="1"/>
  <c r="G105" i="3" l="1"/>
  <c r="H105" i="3" s="1"/>
  <c r="G104" i="3"/>
  <c r="H104" i="3" s="1"/>
  <c r="G107" i="3"/>
  <c r="H107" i="3" s="1"/>
  <c r="H38" i="3"/>
  <c r="G33" i="3"/>
  <c r="H33" i="3" s="1"/>
  <c r="G123" i="3" l="1"/>
  <c r="H123" i="3" s="1"/>
  <c r="G126" i="3"/>
  <c r="H126" i="3" s="1"/>
  <c r="G127" i="3"/>
  <c r="H127" i="3" s="1"/>
  <c r="G130" i="3"/>
  <c r="H130" i="3" s="1"/>
  <c r="G129" i="3"/>
  <c r="H129" i="3" s="1"/>
  <c r="G149" i="3"/>
  <c r="H149" i="3" s="1"/>
  <c r="G148" i="3"/>
  <c r="H148" i="3" s="1"/>
  <c r="G147" i="3"/>
  <c r="H147" i="3" s="1"/>
  <c r="G144" i="3"/>
  <c r="H144" i="3" s="1"/>
  <c r="G145" i="3"/>
  <c r="H145" i="3" s="1"/>
  <c r="G146" i="3"/>
  <c r="H146" i="3" s="1"/>
  <c r="G150" i="3"/>
  <c r="H150" i="3" s="1"/>
  <c r="G143" i="3"/>
  <c r="H143" i="3" s="1"/>
  <c r="G101" i="3" l="1"/>
  <c r="H101" i="3" s="1"/>
  <c r="G102" i="3"/>
  <c r="H102" i="3" s="1"/>
  <c r="G103" i="3"/>
  <c r="H103" i="3" s="1"/>
  <c r="G108" i="3"/>
  <c r="H108" i="3" s="1"/>
  <c r="G109" i="3"/>
  <c r="G111" i="3"/>
  <c r="H111" i="3" s="1"/>
  <c r="G112" i="3"/>
  <c r="H112" i="3" s="1"/>
  <c r="G113" i="3"/>
  <c r="H113" i="3" s="1"/>
  <c r="G114" i="3"/>
  <c r="H114" i="3" s="1"/>
  <c r="G118" i="3"/>
  <c r="H118" i="3" s="1"/>
  <c r="G119" i="3"/>
  <c r="H119" i="3" s="1"/>
  <c r="G120" i="3"/>
  <c r="G122" i="3"/>
  <c r="H122" i="3" s="1"/>
  <c r="G124" i="3"/>
  <c r="H124" i="3" s="1"/>
  <c r="G125" i="3"/>
  <c r="H125" i="3" s="1"/>
  <c r="G128" i="3"/>
  <c r="H128" i="3" s="1"/>
  <c r="G131" i="3"/>
  <c r="H131" i="3" s="1"/>
  <c r="G132" i="3"/>
  <c r="H132" i="3" s="1"/>
  <c r="G133" i="3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G142" i="3"/>
  <c r="H142" i="3" s="1"/>
  <c r="G151" i="3"/>
  <c r="G153" i="3"/>
  <c r="H153" i="3" s="1"/>
  <c r="G154" i="3"/>
  <c r="H154" i="3" s="1"/>
  <c r="G155" i="3"/>
  <c r="H155" i="3" s="1"/>
  <c r="G156" i="3"/>
  <c r="G158" i="3"/>
  <c r="H158" i="3" s="1"/>
  <c r="G159" i="3"/>
  <c r="H159" i="3" s="1"/>
  <c r="G160" i="3"/>
  <c r="H160" i="3" s="1"/>
  <c r="G161" i="3"/>
  <c r="G163" i="3"/>
  <c r="H163" i="3" s="1"/>
  <c r="G164" i="3"/>
  <c r="H164" i="3" s="1"/>
  <c r="G165" i="3"/>
  <c r="H165" i="3" s="1"/>
  <c r="G166" i="3"/>
  <c r="G168" i="3"/>
  <c r="H168" i="3" s="1"/>
  <c r="G169" i="3"/>
  <c r="H169" i="3" s="1"/>
  <c r="G170" i="3"/>
  <c r="H170" i="3" s="1"/>
  <c r="G171" i="3"/>
  <c r="G173" i="3"/>
  <c r="H173" i="3" s="1"/>
  <c r="G174" i="3"/>
  <c r="H174" i="3" s="1"/>
  <c r="G175" i="3"/>
  <c r="H175" i="3" s="1"/>
  <c r="G176" i="3"/>
  <c r="G178" i="3"/>
  <c r="H178" i="3" s="1"/>
  <c r="G179" i="3"/>
  <c r="H179" i="3" s="1"/>
  <c r="G180" i="3"/>
  <c r="H180" i="3" s="1"/>
  <c r="G181" i="3"/>
  <c r="G183" i="3"/>
  <c r="H183" i="3" s="1"/>
  <c r="G184" i="3"/>
  <c r="H184" i="3" s="1"/>
  <c r="G185" i="3"/>
  <c r="H185" i="3" s="1"/>
  <c r="G186" i="3"/>
  <c r="H186" i="3" s="1"/>
  <c r="G188" i="3"/>
  <c r="H188" i="3" s="1"/>
  <c r="G189" i="3"/>
  <c r="H189" i="3" s="1"/>
  <c r="G190" i="3"/>
  <c r="G192" i="3"/>
  <c r="H192" i="3" s="1"/>
  <c r="G193" i="3"/>
  <c r="H193" i="3" s="1"/>
  <c r="G194" i="3"/>
  <c r="H194" i="3" s="1"/>
  <c r="G195" i="3"/>
  <c r="H195" i="3" s="1"/>
  <c r="G197" i="3"/>
  <c r="H197" i="3" s="1"/>
  <c r="G198" i="3"/>
  <c r="H198" i="3" s="1"/>
  <c r="G199" i="3"/>
  <c r="G201" i="3"/>
  <c r="H201" i="3" s="1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G224" i="3"/>
  <c r="H224" i="3" s="1"/>
  <c r="G225" i="3"/>
  <c r="H225" i="3" s="1"/>
  <c r="G226" i="3"/>
  <c r="H226" i="3" s="1"/>
  <c r="G227" i="3"/>
  <c r="G100" i="3"/>
  <c r="H100" i="3" s="1"/>
  <c r="G91" i="3"/>
  <c r="H91" i="3" s="1"/>
  <c r="G92" i="3"/>
  <c r="H92" i="3" s="1"/>
  <c r="G93" i="3"/>
  <c r="G94" i="3"/>
  <c r="H94" i="3" s="1"/>
  <c r="G95" i="3"/>
  <c r="H95" i="3" s="1"/>
  <c r="G96" i="3"/>
  <c r="H96" i="3" s="1"/>
  <c r="G97" i="3"/>
  <c r="H97" i="3" s="1"/>
  <c r="G98" i="3"/>
  <c r="G90" i="3"/>
  <c r="H9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G80" i="3"/>
  <c r="H80" i="3" s="1"/>
  <c r="H72" i="3"/>
  <c r="H73" i="3"/>
  <c r="G74" i="3"/>
  <c r="H74" i="3" s="1"/>
  <c r="G75" i="3"/>
  <c r="H75" i="3" s="1"/>
  <c r="G76" i="3"/>
  <c r="H76" i="3" s="1"/>
  <c r="G77" i="3"/>
  <c r="H77" i="3" s="1"/>
  <c r="G78" i="3"/>
  <c r="G70" i="3"/>
  <c r="H70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G62" i="3"/>
  <c r="H6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G52" i="3"/>
  <c r="H52" i="3" s="1"/>
  <c r="G46" i="3"/>
  <c r="H46" i="3" s="1"/>
  <c r="G47" i="3"/>
  <c r="H47" i="3" s="1"/>
  <c r="G48" i="3"/>
  <c r="H48" i="3" s="1"/>
  <c r="G49" i="3"/>
  <c r="H49" i="3" s="1"/>
  <c r="G50" i="3"/>
  <c r="G45" i="3"/>
  <c r="H45" i="3" s="1"/>
  <c r="G40" i="3"/>
  <c r="H40" i="3" s="1"/>
  <c r="G41" i="3"/>
  <c r="H41" i="3" s="1"/>
  <c r="G42" i="3"/>
  <c r="H42" i="3" s="1"/>
  <c r="G43" i="3"/>
  <c r="G39" i="3"/>
  <c r="H39" i="3" s="1"/>
  <c r="G30" i="3"/>
  <c r="H30" i="3" s="1"/>
  <c r="G31" i="3"/>
  <c r="H31" i="3" s="1"/>
  <c r="G32" i="3"/>
  <c r="H32" i="3" s="1"/>
  <c r="G34" i="3"/>
  <c r="H34" i="3" s="1"/>
  <c r="G35" i="3"/>
  <c r="H35" i="3" s="1"/>
  <c r="G36" i="3"/>
  <c r="G29" i="3"/>
  <c r="H29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G18" i="3"/>
  <c r="H18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4" i="3"/>
  <c r="H4" i="3" s="1"/>
  <c r="B25" i="3"/>
  <c r="B26" i="3"/>
  <c r="B16" i="3"/>
  <c r="B17" i="3" s="1"/>
  <c r="B18" i="3" s="1"/>
  <c r="B19" i="3" s="1"/>
  <c r="B20" i="3" s="1"/>
  <c r="B21" i="3" s="1"/>
  <c r="B22" i="3" s="1"/>
  <c r="B23" i="3" s="1"/>
  <c r="B24" i="3" s="1"/>
  <c r="B27" i="3"/>
  <c r="B28" i="3" s="1"/>
  <c r="B29" i="3" s="1"/>
  <c r="B30" i="3" s="1"/>
  <c r="B31" i="3" s="1"/>
  <c r="B32" i="3" s="1"/>
  <c r="B37" i="3"/>
  <c r="B44" i="3"/>
  <c r="B46" i="3" s="1"/>
  <c r="B48" i="3" s="1"/>
  <c r="B50" i="3" s="1"/>
  <c r="B51" i="3"/>
  <c r="B52" i="3" s="1"/>
  <c r="B53" i="3" s="1"/>
  <c r="B54" i="3" s="1"/>
  <c r="B55" i="3" s="1"/>
  <c r="B56" i="3" s="1"/>
  <c r="B57" i="3" s="1"/>
  <c r="B58" i="3" s="1"/>
  <c r="B59" i="3" s="1"/>
  <c r="B60" i="3" s="1"/>
  <c r="B61" i="3"/>
  <c r="B62" i="3" s="1"/>
  <c r="B63" i="3" s="1"/>
  <c r="B64" i="3" s="1"/>
  <c r="B65" i="3" s="1"/>
  <c r="B66" i="3" s="1"/>
  <c r="B67" i="3" s="1"/>
  <c r="B68" i="3" s="1"/>
  <c r="B69" i="3"/>
  <c r="B70" i="3" s="1"/>
  <c r="B71" i="3" s="1"/>
  <c r="B72" i="3" s="1"/>
  <c r="B73" i="3" s="1"/>
  <c r="B74" i="3" s="1"/>
  <c r="B75" i="3" s="1"/>
  <c r="B76" i="3" s="1"/>
  <c r="B77" i="3" s="1"/>
  <c r="B78" i="3" s="1"/>
  <c r="B79" i="3"/>
  <c r="B80" i="3" s="1"/>
  <c r="B81" i="3" s="1"/>
  <c r="B82" i="3" s="1"/>
  <c r="B83" i="3" s="1"/>
  <c r="B84" i="3" s="1"/>
  <c r="B85" i="3" s="1"/>
  <c r="B86" i="3" s="1"/>
  <c r="B87" i="3" s="1"/>
  <c r="B88" i="3" s="1"/>
  <c r="B89" i="3"/>
  <c r="B90" i="3" s="1"/>
  <c r="B91" i="3" s="1"/>
  <c r="B92" i="3" s="1"/>
  <c r="B93" i="3" s="1"/>
  <c r="B94" i="3" s="1"/>
  <c r="B95" i="3" s="1"/>
  <c r="B96" i="3" s="1"/>
  <c r="B97" i="3" s="1"/>
  <c r="B98" i="3" s="1"/>
  <c r="B99" i="3"/>
  <c r="B100" i="3" s="1"/>
  <c r="B101" i="3" s="1"/>
  <c r="B102" i="3" s="1"/>
  <c r="B103" i="3" s="1"/>
  <c r="B110" i="3"/>
  <c r="B111" i="3" s="1"/>
  <c r="B112" i="3" s="1"/>
  <c r="B113" i="3" s="1"/>
  <c r="B114" i="3" s="1"/>
  <c r="B121" i="3"/>
  <c r="B122" i="3" s="1"/>
  <c r="B123" i="3" s="1"/>
  <c r="B124" i="3" s="1"/>
  <c r="B134" i="3"/>
  <c r="B135" i="3" s="1"/>
  <c r="B136" i="3" s="1"/>
  <c r="B137" i="3" s="1"/>
  <c r="B138" i="3" s="1"/>
  <c r="B139" i="3" s="1"/>
  <c r="B140" i="3" s="1"/>
  <c r="B141" i="3"/>
  <c r="B152" i="3"/>
  <c r="B153" i="3" s="1"/>
  <c r="B154" i="3" s="1"/>
  <c r="B155" i="3" s="1"/>
  <c r="B156" i="3" s="1"/>
  <c r="B157" i="3"/>
  <c r="B158" i="3" s="1"/>
  <c r="B159" i="3" s="1"/>
  <c r="B160" i="3" s="1"/>
  <c r="B161" i="3" s="1"/>
  <c r="B162" i="3"/>
  <c r="B163" i="3" s="1"/>
  <c r="B164" i="3" s="1"/>
  <c r="B165" i="3" s="1"/>
  <c r="B166" i="3" s="1"/>
  <c r="B167" i="3"/>
  <c r="B168" i="3" s="1"/>
  <c r="B169" i="3" s="1"/>
  <c r="B170" i="3" s="1"/>
  <c r="B171" i="3" s="1"/>
  <c r="B172" i="3"/>
  <c r="B173" i="3" s="1"/>
  <c r="B174" i="3" s="1"/>
  <c r="B175" i="3" s="1"/>
  <c r="B176" i="3" s="1"/>
  <c r="B177" i="3"/>
  <c r="B178" i="3" s="1"/>
  <c r="B179" i="3" s="1"/>
  <c r="B180" i="3" s="1"/>
  <c r="B181" i="3" s="1"/>
  <c r="B182" i="3"/>
  <c r="B183" i="3" s="1"/>
  <c r="B184" i="3" s="1"/>
  <c r="B185" i="3" s="1"/>
  <c r="B186" i="3" s="1"/>
  <c r="B191" i="3"/>
  <c r="B192" i="3" s="1"/>
  <c r="B193" i="3" s="1"/>
  <c r="B194" i="3" s="1"/>
  <c r="B195" i="3" s="1"/>
  <c r="B196" i="3" s="1"/>
  <c r="B197" i="3" s="1"/>
  <c r="B198" i="3" s="1"/>
  <c r="B199" i="3" s="1"/>
  <c r="B200" i="3"/>
  <c r="B201" i="3" s="1"/>
  <c r="B202" i="3" s="1"/>
  <c r="B203" i="3" s="1"/>
  <c r="B204" i="3" s="1"/>
  <c r="B205" i="3" s="1"/>
  <c r="B206" i="3" s="1"/>
  <c r="B207" i="3" s="1"/>
  <c r="B208" i="3"/>
  <c r="B209" i="3" s="1"/>
  <c r="B210" i="3" s="1"/>
  <c r="B211" i="3" s="1"/>
  <c r="B212" i="3" s="1"/>
  <c r="B213" i="3" s="1"/>
  <c r="B214" i="3" s="1"/>
  <c r="B215" i="3" s="1"/>
  <c r="B216" i="3"/>
  <c r="B217" i="3" s="1"/>
  <c r="B218" i="3" s="1"/>
  <c r="B219" i="3" s="1"/>
  <c r="B220" i="3" s="1"/>
  <c r="B221" i="3" s="1"/>
  <c r="B222" i="3" s="1"/>
  <c r="B223" i="3"/>
  <c r="B224" i="3" s="1"/>
  <c r="B225" i="3" s="1"/>
  <c r="B226" i="3" s="1"/>
  <c r="B227" i="3" s="1"/>
  <c r="B2" i="3"/>
  <c r="B3" i="3" s="1"/>
  <c r="H17" i="3"/>
  <c r="H28" i="3"/>
  <c r="G71" i="3"/>
  <c r="H71" i="3" s="1"/>
  <c r="B188" i="3" l="1"/>
  <c r="B189" i="3" s="1"/>
  <c r="B190" i="3" s="1"/>
  <c r="B187" i="3"/>
  <c r="B118" i="3"/>
  <c r="B119" i="3" s="1"/>
  <c r="B120" i="3" s="1"/>
  <c r="B115" i="3"/>
  <c r="B116" i="3" s="1"/>
  <c r="B117" i="3" s="1"/>
  <c r="B107" i="3"/>
  <c r="B108" i="3" s="1"/>
  <c r="B109" i="3" s="1"/>
  <c r="B104" i="3"/>
  <c r="B105" i="3" s="1"/>
  <c r="B106" i="3" s="1"/>
  <c r="B38" i="3"/>
  <c r="B39" i="3" s="1"/>
  <c r="B40" i="3" s="1"/>
  <c r="B41" i="3" s="1"/>
  <c r="B42" i="3" s="1"/>
  <c r="B43" i="3" s="1"/>
  <c r="B33" i="3"/>
  <c r="B34" i="3" s="1"/>
  <c r="B35" i="3" s="1"/>
  <c r="B36" i="3" s="1"/>
  <c r="B125" i="3"/>
  <c r="B126" i="3" s="1"/>
  <c r="B142" i="3"/>
  <c r="B145" i="3" s="1"/>
  <c r="B149" i="3" s="1"/>
  <c r="B144" i="3"/>
  <c r="B4" i="3"/>
  <c r="B6" i="3" s="1"/>
  <c r="B8" i="3" s="1"/>
  <c r="B9" i="3" s="1"/>
  <c r="B11" i="3" s="1"/>
  <c r="B5" i="3"/>
  <c r="B45" i="3"/>
  <c r="B47" i="3" s="1"/>
  <c r="B49" i="3" s="1"/>
  <c r="H156" i="3"/>
  <c r="H152" i="3" s="1"/>
  <c r="H181" i="3"/>
  <c r="H177" i="3" s="1"/>
  <c r="H60" i="3"/>
  <c r="H51" i="3" s="1"/>
  <c r="H140" i="3"/>
  <c r="H134" i="3" s="1"/>
  <c r="H88" i="3"/>
  <c r="H79" i="3" s="1"/>
  <c r="H161" i="3"/>
  <c r="H157" i="3" s="1"/>
  <c r="H109" i="3"/>
  <c r="H99" i="3" s="1"/>
  <c r="H98" i="3"/>
  <c r="H89" i="3" s="1"/>
  <c r="H199" i="3"/>
  <c r="H191" i="3" s="1"/>
  <c r="H133" i="3"/>
  <c r="H121" i="3" s="1"/>
  <c r="H222" i="3"/>
  <c r="H216" i="3" s="1"/>
  <c r="H215" i="3"/>
  <c r="H208" i="3" s="1"/>
  <c r="H190" i="3"/>
  <c r="H182" i="3" s="1"/>
  <c r="H151" i="3"/>
  <c r="H141" i="3" s="1"/>
  <c r="H176" i="3"/>
  <c r="H172" i="3" s="1"/>
  <c r="H120" i="3"/>
  <c r="H110" i="3" s="1"/>
  <c r="H15" i="3"/>
  <c r="H2" i="3" s="1"/>
  <c r="H36" i="3"/>
  <c r="H27" i="3" s="1"/>
  <c r="H166" i="3"/>
  <c r="H162" i="3" s="1"/>
  <c r="H171" i="3"/>
  <c r="H167" i="3" s="1"/>
  <c r="H26" i="3"/>
  <c r="H16" i="3" s="1"/>
  <c r="H227" i="3"/>
  <c r="H223" i="3" s="1"/>
  <c r="H78" i="3"/>
  <c r="H69" i="3" s="1"/>
  <c r="H207" i="3"/>
  <c r="H200" i="3" s="1"/>
  <c r="H43" i="3"/>
  <c r="H37" i="3" s="1"/>
  <c r="H68" i="3"/>
  <c r="H61" i="3" s="1"/>
  <c r="H50" i="3"/>
  <c r="H44" i="3" s="1"/>
  <c r="B127" i="3" l="1"/>
  <c r="B143" i="3"/>
  <c r="B150" i="3" s="1"/>
  <c r="B151" i="3" s="1"/>
  <c r="B10" i="3"/>
  <c r="B12" i="3" s="1"/>
  <c r="B13" i="3" s="1"/>
  <c r="B14" i="3" s="1"/>
  <c r="B15" i="3" s="1"/>
  <c r="B7" i="3"/>
  <c r="B147" i="3"/>
  <c r="B148" i="3"/>
  <c r="B146" i="3" l="1"/>
  <c r="B128" i="3"/>
  <c r="B129" i="3" l="1"/>
  <c r="B130" i="3" l="1"/>
  <c r="B131" i="3" s="1"/>
  <c r="B132" i="3" s="1"/>
  <c r="B133" i="3" s="1"/>
</calcChain>
</file>

<file path=xl/sharedStrings.xml><?xml version="1.0" encoding="utf-8"?>
<sst xmlns="http://schemas.openxmlformats.org/spreadsheetml/2006/main" count="829" uniqueCount="130">
  <si>
    <t>malzeme</t>
  </si>
  <si>
    <t>Артикул</t>
  </si>
  <si>
    <t>Наименование</t>
  </si>
  <si>
    <t>Цена,тг</t>
  </si>
  <si>
    <t>Ед.изм</t>
  </si>
  <si>
    <t>СУММ.</t>
  </si>
  <si>
    <t>комплект</t>
  </si>
  <si>
    <t>korpus</t>
  </si>
  <si>
    <t>монтажный материал</t>
  </si>
  <si>
    <t>монтажная работа</t>
  </si>
  <si>
    <t>oto</t>
  </si>
  <si>
    <t>шт.</t>
  </si>
  <si>
    <t>dif</t>
  </si>
  <si>
    <t>bh</t>
  </si>
  <si>
    <t>sayac</t>
  </si>
  <si>
    <t>rubilnik</t>
  </si>
  <si>
    <t>tms</t>
  </si>
  <si>
    <t>lamb</t>
  </si>
  <si>
    <t>количество</t>
  </si>
  <si>
    <t>Наименование1</t>
  </si>
  <si>
    <t>завод  из готовитель</t>
  </si>
  <si>
    <t>TEKSAN</t>
  </si>
  <si>
    <t>teksan f</t>
  </si>
  <si>
    <t xml:space="preserve">tekled </t>
  </si>
  <si>
    <t>pys</t>
  </si>
  <si>
    <t>sira no</t>
  </si>
  <si>
    <t xml:space="preserve">              Трансформатор Т-0,66  150\5 (18)</t>
  </si>
  <si>
    <t>kondencator</t>
  </si>
  <si>
    <t>tt</t>
  </si>
  <si>
    <t xml:space="preserve">              Трансформатор Т-0,66  200\5 (18)</t>
  </si>
  <si>
    <t>ВРУ1М-13-20УХЛ4</t>
  </si>
  <si>
    <t>Авт. выкл. YCM1-125L/3Р 160A 25кА</t>
  </si>
  <si>
    <t>Авт. выкл. YCM1-250L/3Р 200A 25кА</t>
  </si>
  <si>
    <t xml:space="preserve">ВРУ </t>
  </si>
  <si>
    <t>ВРУ  (I секция)</t>
  </si>
  <si>
    <t>ВРУ1М-44-00УХЛ4</t>
  </si>
  <si>
    <t>Авт. выкл. YCM1-125L/3Р 80A 25кА</t>
  </si>
  <si>
    <t xml:space="preserve">Авт. выкл. YCB9-80H 3P 63A 10кА х-ка C </t>
  </si>
  <si>
    <t xml:space="preserve">Авт. выкл. YCB9-80H 3P 50A 10кА х-ка C </t>
  </si>
  <si>
    <t xml:space="preserve">Авт. выкл. YCB9-80H 3P 40A 10кА х-ка C </t>
  </si>
  <si>
    <t xml:space="preserve">Авт. выкл. YCB9-80H 3P 25A 10кА х-ка C </t>
  </si>
  <si>
    <t>ВРУ  (II секция)</t>
  </si>
  <si>
    <t xml:space="preserve">Авт. выкл. YCB9-80H 3P 32A 10кА х-ка C </t>
  </si>
  <si>
    <t>ЯАВР</t>
  </si>
  <si>
    <t>ЯАВР3-40-2</t>
  </si>
  <si>
    <t>Счетчик «Салют» САР4-Э708 380В 10(100) А</t>
  </si>
  <si>
    <t>ШРС</t>
  </si>
  <si>
    <t>ЩРН-24з-0 74 У2</t>
  </si>
  <si>
    <t>ШР1</t>
  </si>
  <si>
    <t>ЩРн-36з-0 74 У2</t>
  </si>
  <si>
    <t xml:space="preserve">Выключатель нагрузки YCH7-125N 3P 100A </t>
  </si>
  <si>
    <t xml:space="preserve">Авт. выкл. YCB6-63H 3P 40А 4.5kA х-ка C </t>
  </si>
  <si>
    <t xml:space="preserve">Авт. выкл. YCB6-63H 3P 16А 4.5kA х-ка C </t>
  </si>
  <si>
    <t xml:space="preserve">Авт. выкл. YCB6-63H 1P 16А 4.5kA х-ка C </t>
  </si>
  <si>
    <t>Диф. авт. выкл.YCB7LE-63Y 1P+N 16А 30mA электронный тип AС, х-ка С, 4.5kA</t>
  </si>
  <si>
    <t>ШР2</t>
  </si>
  <si>
    <t>ЩРн-24з-0 74 У2</t>
  </si>
  <si>
    <t xml:space="preserve">Выключатель нагрузки YCH7-125N 3P 40A </t>
  </si>
  <si>
    <t>ШР3</t>
  </si>
  <si>
    <t xml:space="preserve">Авт. выкл. YCB6-63H 3P 32А 4.5kA х-ка C </t>
  </si>
  <si>
    <t xml:space="preserve">Авт. выкл. YCB6-63H 3P 25А 4.5kA х-ка C </t>
  </si>
  <si>
    <t>cnc</t>
  </si>
  <si>
    <t>ШР4</t>
  </si>
  <si>
    <t>Диф. авт. выкл. YCB7NLE 4P C16 30mA тип AC 6kA</t>
  </si>
  <si>
    <t>ШР5</t>
  </si>
  <si>
    <t xml:space="preserve">Авт. выкл. YCB6-63H 1P 32А 4.5kA х-ка C </t>
  </si>
  <si>
    <t>ШРВ-1</t>
  </si>
  <si>
    <t>КМПв 4/42</t>
  </si>
  <si>
    <t>ШРВ-2</t>
  </si>
  <si>
    <t>Я5411-3074</t>
  </si>
  <si>
    <t>Счетчик «Отан» САР4У-Э712.1-ТХ  3 * 220 / 380В 5(7,5)A</t>
  </si>
  <si>
    <t>ЩС</t>
  </si>
  <si>
    <t xml:space="preserve">Выключатель нагрузки YCH7-125N 3P 32A </t>
  </si>
  <si>
    <t>ЩРН-12з-1 36</t>
  </si>
  <si>
    <t>Я-Нц</t>
  </si>
  <si>
    <t>Я511-2274УХЛ4</t>
  </si>
  <si>
    <t>Я1, Я2</t>
  </si>
  <si>
    <t>ЯРП-25-У3</t>
  </si>
  <si>
    <t>КЗНА16-10-У3</t>
  </si>
  <si>
    <t>Коробка с наборными зажимами (1КК)</t>
  </si>
  <si>
    <t>Р2</t>
  </si>
  <si>
    <t>Реле промежуточное Пэ-37, 220В, 4з+4р</t>
  </si>
  <si>
    <t>ПК1-ПК11</t>
  </si>
  <si>
    <t xml:space="preserve">ПКЕ212-1 </t>
  </si>
  <si>
    <t>КУ-В1--КУ-В19, КУ-П1--КУ-П2</t>
  </si>
  <si>
    <t xml:space="preserve">ПКЕ712-1 </t>
  </si>
  <si>
    <t>ПКУ1</t>
  </si>
  <si>
    <t>ПКУ15-21, 131-40У3</t>
  </si>
  <si>
    <t>Щ0-1</t>
  </si>
  <si>
    <t>Щ0-2</t>
  </si>
  <si>
    <t>КМПв 4/28</t>
  </si>
  <si>
    <t>Щ0-3</t>
  </si>
  <si>
    <t>Щ0-4</t>
  </si>
  <si>
    <t>ЩАО-1, ЩАО-2</t>
  </si>
  <si>
    <t>КМПв 4/14</t>
  </si>
  <si>
    <t>ЯТП-0,25 220/36-3 36 УХЛ4</t>
  </si>
  <si>
    <t>Ящик с понижающим трансформатором</t>
  </si>
  <si>
    <t>priceta jok</t>
  </si>
  <si>
    <t>B060143</t>
  </si>
  <si>
    <t>rn</t>
  </si>
  <si>
    <t xml:space="preserve">Авт. выкл. YCB7-63N 3P 16A 6кА х-ка D </t>
  </si>
  <si>
    <t>Контактор CJX2S 12A (1NC+1NO) 220V</t>
  </si>
  <si>
    <t>contactor</t>
  </si>
  <si>
    <t>Кулачковый переключатель LW32-10/1, 10А, 1Р, "1-0-2"</t>
  </si>
  <si>
    <t>perekluchatel</t>
  </si>
  <si>
    <t>indicator</t>
  </si>
  <si>
    <t>CNC AD22-22DS/4 Красная 230V</t>
  </si>
  <si>
    <t>CNC AD22-22DS/4 Зеленая 230V</t>
  </si>
  <si>
    <t xml:space="preserve">Кнопка управления Двойная кнопка "Пуск-Стоп" LAY5-EL8325 1НО+1НЗ AC230В IP40 </t>
  </si>
  <si>
    <t>button</t>
  </si>
  <si>
    <t>Термостат АТ-10</t>
  </si>
  <si>
    <t>termostat</t>
  </si>
  <si>
    <t xml:space="preserve">Авт. выкл. YCB7-63N 3P 10A 6кА х-ка C </t>
  </si>
  <si>
    <t xml:space="preserve">Кнопка (зелёная) LAY5-BA31 (NO) </t>
  </si>
  <si>
    <t xml:space="preserve">Кнопка (красная) LAY5-BA42 (NC) </t>
  </si>
  <si>
    <t>Промежуточное реле LY 4 конт. с инд. LED 3А 220В AC </t>
  </si>
  <si>
    <t>rele</t>
  </si>
  <si>
    <t>Независимый расцепитель  AC230V/400V для YCB7-63N ?</t>
  </si>
  <si>
    <t xml:space="preserve">Авт. выкл. YCB6-63H 1P 6А 4.5kA х-ка C </t>
  </si>
  <si>
    <t>YCHGLC 400/3 400A?</t>
  </si>
  <si>
    <t>YCQ9Ms-63M 3P 40A</t>
  </si>
  <si>
    <t>ats</t>
  </si>
  <si>
    <t xml:space="preserve">Модульный контактор YCCH6 20/20 2NO AC 220V 18мм </t>
  </si>
  <si>
    <t>Модульная кнопка?</t>
  </si>
  <si>
    <t>ФОТО РЕЛЕ?</t>
  </si>
  <si>
    <t xml:space="preserve">Авт. выкл. YCB7-63N 3P 16A 6кА х-ка C </t>
  </si>
  <si>
    <t xml:space="preserve">Авт. выкл. YCB7-63N 3P 25A 6кА х-ка C </t>
  </si>
  <si>
    <t>Модульный контактор YCCH6-25/40 25A 4НО AC220/230В 50Гц ?</t>
  </si>
  <si>
    <t>Ящик управления задвижкой Яз1(Я5411-3074)?</t>
  </si>
  <si>
    <t>photorele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</si>
</sst>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b/>
      <sz val="9"/>
      <name val="Calibri"/>
      <family val="2"/>
      <charset val="204"/>
      <scheme val="minor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6" fillId="0" borderId="0"/>
  </cellStyleXfs>
  <cellXfs count="27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165" fontId="11" fillId="4" borderId="1" xfId="1" applyNumberFormat="1" applyFont="1" applyFill="1" applyBorder="1" applyAlignment="1" applyProtection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0" fillId="5" borderId="0" xfId="0" applyFill="1"/>
  </cellXfs>
  <cellStyles count="8">
    <cellStyle name="Normal 10 2" xfId="7" xr:uid="{216CBB1D-21B2-4D7D-873C-FB1CE12D25A2}"/>
    <cellStyle name="Normal 2" xfId="4" xr:uid="{58983704-5E2B-4916-A376-1020AEBA7112}"/>
    <cellStyle name="Обычный" xfId="0" builtinId="0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C445-D28C-4E55-8149-96BA8DFBC99C}">
  <dimension ref="A1:K227"/>
  <sheetViews>
    <sheetView tabSelected="1" zoomScale="115" zoomScaleNormal="115" workbookViewId="0">
      <pane ySplit="1" topLeftCell="A2" activePane="bottomLeft" state="frozen"/>
      <selection pane="bottomLeft" activeCell="D117" sqref="D117"/>
    </sheetView>
  </sheetViews>
  <sheetFormatPr defaultRowHeight="30" customHeight="1" x14ac:dyDescent="0.25"/>
  <cols>
    <col min="1" max="1" width="9.140625" style="26"/>
    <col min="2" max="2" width="42" customWidth="1"/>
    <col min="3" max="3" width="9.140625" customWidth="1"/>
    <col min="5" max="5" width="77.28515625" customWidth="1"/>
    <col min="8" max="8" width="14.42578125" customWidth="1"/>
    <col min="11" max="11" width="14.42578125" customWidth="1"/>
  </cols>
  <sheetData>
    <row r="1" spans="1:11" s="20" customFormat="1" ht="72" customHeight="1" x14ac:dyDescent="0.25">
      <c r="A1" s="1" t="s">
        <v>25</v>
      </c>
      <c r="B1" s="1" t="s">
        <v>19</v>
      </c>
      <c r="C1" s="1" t="s">
        <v>0</v>
      </c>
      <c r="D1" s="1" t="s">
        <v>1</v>
      </c>
      <c r="E1" s="1" t="s">
        <v>2</v>
      </c>
      <c r="F1" s="15" t="s">
        <v>3</v>
      </c>
      <c r="G1" s="15" t="s">
        <v>3</v>
      </c>
      <c r="H1" s="15" t="s">
        <v>5</v>
      </c>
      <c r="I1" s="2" t="s">
        <v>18</v>
      </c>
      <c r="J1" s="2" t="s">
        <v>4</v>
      </c>
      <c r="K1" s="2" t="s">
        <v>20</v>
      </c>
    </row>
    <row r="2" spans="1:11" ht="30" customHeight="1" x14ac:dyDescent="0.25">
      <c r="A2" s="3">
        <v>1</v>
      </c>
      <c r="B2" s="4" t="str">
        <f>E2</f>
        <v xml:space="preserve">ВРУ </v>
      </c>
      <c r="C2" s="3"/>
      <c r="D2" s="18"/>
      <c r="E2" s="3" t="s">
        <v>33</v>
      </c>
      <c r="F2" s="16"/>
      <c r="G2" s="16"/>
      <c r="H2" s="16">
        <f>I2*H15</f>
        <v>110568.7</v>
      </c>
      <c r="I2" s="6">
        <v>1</v>
      </c>
      <c r="J2" s="5" t="s">
        <v>6</v>
      </c>
      <c r="K2" s="5" t="s">
        <v>21</v>
      </c>
    </row>
    <row r="3" spans="1:11" ht="30" customHeight="1" x14ac:dyDescent="0.25">
      <c r="A3" s="7">
        <v>2</v>
      </c>
      <c r="B3" s="7" t="str">
        <f>B2</f>
        <v xml:space="preserve">ВРУ </v>
      </c>
      <c r="C3" s="8" t="s">
        <v>7</v>
      </c>
      <c r="D3" s="8"/>
      <c r="E3" s="9" t="s">
        <v>30</v>
      </c>
      <c r="F3" s="14"/>
      <c r="G3" s="14"/>
      <c r="H3" s="14"/>
      <c r="I3" s="8">
        <v>1</v>
      </c>
      <c r="J3" s="10" t="s">
        <v>11</v>
      </c>
      <c r="K3" s="10" t="s">
        <v>22</v>
      </c>
    </row>
    <row r="4" spans="1:11" ht="30" customHeight="1" x14ac:dyDescent="0.25">
      <c r="A4" s="7">
        <v>3</v>
      </c>
      <c r="B4" s="7" t="str">
        <f t="shared" ref="B4:B15" si="0">B3</f>
        <v xml:space="preserve">ВРУ </v>
      </c>
      <c r="C4" s="8" t="s">
        <v>15</v>
      </c>
      <c r="D4" s="8" t="s">
        <v>98</v>
      </c>
      <c r="E4" s="9" t="s">
        <v>119</v>
      </c>
      <c r="F4" s="14">
        <v>66430</v>
      </c>
      <c r="G4" s="14">
        <f>F4*0.55</f>
        <v>36536.5</v>
      </c>
      <c r="H4" s="14">
        <f>G4*I4</f>
        <v>73073</v>
      </c>
      <c r="I4" s="8">
        <v>2</v>
      </c>
      <c r="J4" s="10" t="s">
        <v>11</v>
      </c>
      <c r="K4" s="10" t="s">
        <v>61</v>
      </c>
    </row>
    <row r="5" spans="1:11" ht="30" customHeight="1" x14ac:dyDescent="0.25">
      <c r="A5" s="7">
        <v>4</v>
      </c>
      <c r="B5" s="7" t="str">
        <f>B3</f>
        <v xml:space="preserve">ВРУ </v>
      </c>
      <c r="C5" s="8" t="s">
        <v>16</v>
      </c>
      <c r="D5" s="8">
        <v>126586</v>
      </c>
      <c r="E5" s="9" t="s">
        <v>32</v>
      </c>
      <c r="F5" s="14">
        <v>29484</v>
      </c>
      <c r="G5" s="14">
        <f t="shared" ref="G5:G14" si="1">F5*0.55</f>
        <v>16216.2</v>
      </c>
      <c r="H5" s="14">
        <f t="shared" ref="H5" si="2">G5*I5</f>
        <v>16216.2</v>
      </c>
      <c r="I5" s="8">
        <v>1</v>
      </c>
      <c r="J5" s="10" t="s">
        <v>11</v>
      </c>
      <c r="K5" s="10" t="s">
        <v>61</v>
      </c>
    </row>
    <row r="6" spans="1:11" ht="30" customHeight="1" x14ac:dyDescent="0.25">
      <c r="A6" s="7">
        <v>5</v>
      </c>
      <c r="B6" s="7" t="str">
        <f>B4</f>
        <v xml:space="preserve">ВРУ </v>
      </c>
      <c r="C6" s="8" t="s">
        <v>16</v>
      </c>
      <c r="D6" s="8" t="s">
        <v>97</v>
      </c>
      <c r="E6" s="9" t="s">
        <v>31</v>
      </c>
      <c r="F6" s="14">
        <v>34034</v>
      </c>
      <c r="G6" s="14">
        <f t="shared" si="1"/>
        <v>18718.7</v>
      </c>
      <c r="H6" s="14">
        <f t="shared" ref="H6:H59" si="3">G6*I6</f>
        <v>18718.7</v>
      </c>
      <c r="I6" s="8">
        <v>1</v>
      </c>
      <c r="J6" s="10" t="s">
        <v>11</v>
      </c>
      <c r="K6" s="10" t="s">
        <v>61</v>
      </c>
    </row>
    <row r="7" spans="1:11" ht="30" customHeight="1" x14ac:dyDescent="0.25">
      <c r="A7" s="7">
        <v>6</v>
      </c>
      <c r="B7" s="7" t="str">
        <f>B4</f>
        <v xml:space="preserve">ВРУ </v>
      </c>
      <c r="C7" s="8" t="s">
        <v>28</v>
      </c>
      <c r="D7" s="8"/>
      <c r="E7" s="11" t="s">
        <v>29</v>
      </c>
      <c r="F7" s="14">
        <v>0</v>
      </c>
      <c r="G7" s="14">
        <f t="shared" si="1"/>
        <v>0</v>
      </c>
      <c r="H7" s="14">
        <f t="shared" ref="H7" si="4">G7*I7</f>
        <v>0</v>
      </c>
      <c r="I7" s="8">
        <v>3</v>
      </c>
      <c r="J7" s="10" t="s">
        <v>11</v>
      </c>
      <c r="K7" s="10" t="s">
        <v>24</v>
      </c>
    </row>
    <row r="8" spans="1:11" ht="30" customHeight="1" x14ac:dyDescent="0.25">
      <c r="A8" s="7">
        <v>7</v>
      </c>
      <c r="B8" s="7" t="str">
        <f>B6</f>
        <v xml:space="preserve">ВРУ </v>
      </c>
      <c r="C8" s="8" t="s">
        <v>28</v>
      </c>
      <c r="D8" s="8"/>
      <c r="E8" s="11" t="s">
        <v>26</v>
      </c>
      <c r="F8" s="14">
        <v>0</v>
      </c>
      <c r="G8" s="14">
        <f t="shared" si="1"/>
        <v>0</v>
      </c>
      <c r="H8" s="14">
        <f t="shared" si="3"/>
        <v>0</v>
      </c>
      <c r="I8" s="8">
        <v>3</v>
      </c>
      <c r="J8" s="10" t="s">
        <v>11</v>
      </c>
      <c r="K8" s="10" t="s">
        <v>24</v>
      </c>
    </row>
    <row r="9" spans="1:11" ht="30" customHeight="1" x14ac:dyDescent="0.25">
      <c r="A9" s="7">
        <v>8</v>
      </c>
      <c r="B9" s="7" t="str">
        <f t="shared" si="0"/>
        <v xml:space="preserve">ВРУ </v>
      </c>
      <c r="C9" s="8" t="s">
        <v>14</v>
      </c>
      <c r="D9" s="8"/>
      <c r="E9" s="9" t="s">
        <v>70</v>
      </c>
      <c r="F9" s="14">
        <v>0</v>
      </c>
      <c r="G9" s="14">
        <f t="shared" si="1"/>
        <v>0</v>
      </c>
      <c r="H9" s="14">
        <f t="shared" si="3"/>
        <v>0</v>
      </c>
      <c r="I9" s="8">
        <v>2</v>
      </c>
      <c r="J9" s="10" t="s">
        <v>11</v>
      </c>
      <c r="K9" s="10" t="s">
        <v>24</v>
      </c>
    </row>
    <row r="10" spans="1:11" ht="30" customHeight="1" x14ac:dyDescent="0.25">
      <c r="A10" s="7">
        <v>9</v>
      </c>
      <c r="B10" s="7" t="str">
        <f t="shared" si="0"/>
        <v xml:space="preserve">ВРУ </v>
      </c>
      <c r="C10" s="8" t="s">
        <v>10</v>
      </c>
      <c r="D10" s="8">
        <v>296708</v>
      </c>
      <c r="E10" s="9" t="s">
        <v>118</v>
      </c>
      <c r="F10" s="14">
        <v>828</v>
      </c>
      <c r="G10" s="14">
        <f t="shared" si="1"/>
        <v>455.40000000000003</v>
      </c>
      <c r="H10" s="14">
        <f t="shared" si="3"/>
        <v>910.80000000000007</v>
      </c>
      <c r="I10" s="8">
        <v>2</v>
      </c>
      <c r="J10" s="10" t="s">
        <v>11</v>
      </c>
      <c r="K10" s="10" t="s">
        <v>61</v>
      </c>
    </row>
    <row r="11" spans="1:11" ht="30" customHeight="1" x14ac:dyDescent="0.25">
      <c r="A11" s="7">
        <v>10</v>
      </c>
      <c r="B11" s="7" t="str">
        <f>B9</f>
        <v xml:space="preserve">ВРУ </v>
      </c>
      <c r="C11" s="9" t="s">
        <v>27</v>
      </c>
      <c r="D11" s="8"/>
      <c r="E11" s="9" t="s">
        <v>27</v>
      </c>
      <c r="F11" s="14">
        <v>1000</v>
      </c>
      <c r="G11" s="14">
        <f t="shared" si="1"/>
        <v>550</v>
      </c>
      <c r="H11" s="14">
        <f t="shared" ref="H11" si="5">G11*I11</f>
        <v>1100</v>
      </c>
      <c r="I11" s="8">
        <v>2</v>
      </c>
      <c r="J11" s="10" t="s">
        <v>11</v>
      </c>
      <c r="K11" s="10" t="s">
        <v>23</v>
      </c>
    </row>
    <row r="12" spans="1:11" ht="30" customHeight="1" x14ac:dyDescent="0.25">
      <c r="A12" s="7">
        <v>11</v>
      </c>
      <c r="B12" s="7" t="str">
        <f>B10</f>
        <v xml:space="preserve">ВРУ </v>
      </c>
      <c r="C12" s="9" t="s">
        <v>17</v>
      </c>
      <c r="D12" s="8"/>
      <c r="E12" s="9" t="s">
        <v>17</v>
      </c>
      <c r="F12" s="14">
        <v>1000</v>
      </c>
      <c r="G12" s="14">
        <f t="shared" si="1"/>
        <v>550</v>
      </c>
      <c r="H12" s="14">
        <f t="shared" si="3"/>
        <v>550</v>
      </c>
      <c r="I12" s="8">
        <v>1</v>
      </c>
      <c r="J12" s="10" t="s">
        <v>11</v>
      </c>
      <c r="K12" s="10" t="s">
        <v>23</v>
      </c>
    </row>
    <row r="13" spans="1:11" ht="30" customHeight="1" x14ac:dyDescent="0.25">
      <c r="A13" s="7">
        <v>12</v>
      </c>
      <c r="B13" s="7" t="str">
        <f t="shared" si="0"/>
        <v xml:space="preserve">ВРУ </v>
      </c>
      <c r="C13" s="8" t="s">
        <v>8</v>
      </c>
      <c r="D13" s="8" t="s">
        <v>8</v>
      </c>
      <c r="E13" s="9" t="s">
        <v>8</v>
      </c>
      <c r="F13" s="14"/>
      <c r="G13" s="14">
        <f t="shared" si="1"/>
        <v>0</v>
      </c>
      <c r="H13" s="14">
        <f>G13*I13</f>
        <v>0</v>
      </c>
      <c r="I13" s="8">
        <v>1</v>
      </c>
      <c r="J13" s="10" t="s">
        <v>11</v>
      </c>
      <c r="K13" s="8" t="s">
        <v>8</v>
      </c>
    </row>
    <row r="14" spans="1:11" ht="30" customHeight="1" x14ac:dyDescent="0.25">
      <c r="A14" s="7">
        <v>13</v>
      </c>
      <c r="B14" s="7" t="str">
        <f t="shared" si="0"/>
        <v xml:space="preserve">ВРУ </v>
      </c>
      <c r="C14" s="8" t="s">
        <v>9</v>
      </c>
      <c r="D14" s="8" t="s">
        <v>9</v>
      </c>
      <c r="E14" s="9" t="s">
        <v>9</v>
      </c>
      <c r="F14" s="14">
        <v>0</v>
      </c>
      <c r="G14" s="14">
        <f t="shared" si="1"/>
        <v>0</v>
      </c>
      <c r="H14" s="14">
        <f t="shared" si="3"/>
        <v>0</v>
      </c>
      <c r="I14" s="8">
        <v>540</v>
      </c>
      <c r="J14" s="10" t="s">
        <v>11</v>
      </c>
      <c r="K14" s="8" t="s">
        <v>9</v>
      </c>
    </row>
    <row r="15" spans="1:11" ht="30" customHeight="1" x14ac:dyDescent="0.25">
      <c r="A15" s="7">
        <v>14</v>
      </c>
      <c r="B15" s="7" t="str">
        <f t="shared" si="0"/>
        <v xml:space="preserve">ВРУ </v>
      </c>
      <c r="C15" s="8"/>
      <c r="D15" s="8"/>
      <c r="E15" s="9"/>
      <c r="F15" s="17"/>
      <c r="G15" s="14"/>
      <c r="H15" s="14">
        <f>SUM(H4:H14)</f>
        <v>110568.7</v>
      </c>
      <c r="I15" s="8"/>
      <c r="J15" s="10"/>
      <c r="K15" s="8"/>
    </row>
    <row r="16" spans="1:11" ht="30" customHeight="1" x14ac:dyDescent="0.25">
      <c r="A16" s="3">
        <v>15</v>
      </c>
      <c r="B16" s="4" t="str">
        <f>E16</f>
        <v>ВРУ  (I секция)</v>
      </c>
      <c r="C16" s="3"/>
      <c r="D16" s="18"/>
      <c r="E16" s="3" t="s">
        <v>34</v>
      </c>
      <c r="F16" s="16"/>
      <c r="G16" s="16"/>
      <c r="H16" s="16">
        <f>I16*H26</f>
        <v>55615.450000000012</v>
      </c>
      <c r="I16" s="6">
        <v>1</v>
      </c>
      <c r="J16" s="5" t="s">
        <v>6</v>
      </c>
      <c r="K16" s="5" t="s">
        <v>21</v>
      </c>
    </row>
    <row r="17" spans="1:11" ht="30" customHeight="1" x14ac:dyDescent="0.25">
      <c r="A17" s="7">
        <v>16</v>
      </c>
      <c r="B17" s="7" t="str">
        <f>B16</f>
        <v>ВРУ  (I секция)</v>
      </c>
      <c r="C17" s="8" t="s">
        <v>7</v>
      </c>
      <c r="D17" s="8"/>
      <c r="E17" s="9" t="s">
        <v>35</v>
      </c>
      <c r="F17" s="14"/>
      <c r="G17" s="14"/>
      <c r="H17" s="14">
        <f t="shared" si="3"/>
        <v>0</v>
      </c>
      <c r="I17" s="8">
        <v>1</v>
      </c>
      <c r="J17" s="10" t="s">
        <v>11</v>
      </c>
      <c r="K17" s="10" t="s">
        <v>22</v>
      </c>
    </row>
    <row r="18" spans="1:11" ht="30" customHeight="1" x14ac:dyDescent="0.25">
      <c r="A18" s="7">
        <v>17</v>
      </c>
      <c r="B18" s="7" t="str">
        <f t="shared" ref="B18:B24" si="6">B17</f>
        <v>ВРУ  (I секция)</v>
      </c>
      <c r="C18" s="8" t="s">
        <v>16</v>
      </c>
      <c r="D18" s="8">
        <v>126510</v>
      </c>
      <c r="E18" s="9" t="s">
        <v>36</v>
      </c>
      <c r="F18" s="14">
        <v>16562</v>
      </c>
      <c r="G18" s="14">
        <f>F18*0.55</f>
        <v>9109.1</v>
      </c>
      <c r="H18" s="14">
        <f t="shared" si="3"/>
        <v>18218.2</v>
      </c>
      <c r="I18" s="8">
        <v>2</v>
      </c>
      <c r="J18" s="10" t="s">
        <v>11</v>
      </c>
      <c r="K18" s="10" t="s">
        <v>61</v>
      </c>
    </row>
    <row r="19" spans="1:11" ht="30" customHeight="1" x14ac:dyDescent="0.25">
      <c r="A19" s="7">
        <v>18</v>
      </c>
      <c r="B19" s="7" t="str">
        <f t="shared" si="6"/>
        <v>ВРУ  (I секция)</v>
      </c>
      <c r="C19" s="8" t="s">
        <v>10</v>
      </c>
      <c r="D19" s="8">
        <v>813877</v>
      </c>
      <c r="E19" s="12" t="s">
        <v>37</v>
      </c>
      <c r="F19" s="14">
        <v>10356</v>
      </c>
      <c r="G19" s="14">
        <f t="shared" ref="G19:G26" si="7">F19*0.55</f>
        <v>5695.8</v>
      </c>
      <c r="H19" s="14">
        <f t="shared" si="3"/>
        <v>5695.8</v>
      </c>
      <c r="I19" s="8">
        <v>1</v>
      </c>
      <c r="J19" s="10" t="s">
        <v>11</v>
      </c>
      <c r="K19" s="10" t="s">
        <v>61</v>
      </c>
    </row>
    <row r="20" spans="1:11" ht="30" customHeight="1" x14ac:dyDescent="0.25">
      <c r="A20" s="7">
        <v>19</v>
      </c>
      <c r="B20" s="7" t="str">
        <f t="shared" si="6"/>
        <v>ВРУ  (I секция)</v>
      </c>
      <c r="C20" s="8" t="s">
        <v>10</v>
      </c>
      <c r="D20" s="8">
        <v>813876</v>
      </c>
      <c r="E20" s="12" t="s">
        <v>38</v>
      </c>
      <c r="F20" s="14">
        <v>9555</v>
      </c>
      <c r="G20" s="14">
        <f t="shared" si="7"/>
        <v>5255.25</v>
      </c>
      <c r="H20" s="14">
        <f t="shared" ref="H20" si="8">G20*I20</f>
        <v>5255.25</v>
      </c>
      <c r="I20" s="8">
        <v>1</v>
      </c>
      <c r="J20" s="10" t="s">
        <v>11</v>
      </c>
      <c r="K20" s="10" t="s">
        <v>61</v>
      </c>
    </row>
    <row r="21" spans="1:11" ht="30" customHeight="1" x14ac:dyDescent="0.25">
      <c r="A21" s="7">
        <v>20</v>
      </c>
      <c r="B21" s="7" t="str">
        <f t="shared" si="6"/>
        <v>ВРУ  (I секция)</v>
      </c>
      <c r="C21" s="8" t="s">
        <v>10</v>
      </c>
      <c r="D21" s="8">
        <v>813875</v>
      </c>
      <c r="E21" s="12" t="s">
        <v>39</v>
      </c>
      <c r="F21" s="14">
        <v>9373</v>
      </c>
      <c r="G21" s="14">
        <f t="shared" si="7"/>
        <v>5155.1500000000005</v>
      </c>
      <c r="H21" s="14">
        <f t="shared" ref="H21" si="9">G21*I21</f>
        <v>10310.300000000001</v>
      </c>
      <c r="I21" s="8">
        <v>2</v>
      </c>
      <c r="J21" s="10" t="s">
        <v>11</v>
      </c>
      <c r="K21" s="10" t="s">
        <v>61</v>
      </c>
    </row>
    <row r="22" spans="1:11" ht="30" customHeight="1" x14ac:dyDescent="0.25">
      <c r="A22" s="7">
        <v>21</v>
      </c>
      <c r="B22" s="7" t="str">
        <f t="shared" si="6"/>
        <v>ВРУ  (I секция)</v>
      </c>
      <c r="C22" s="8" t="s">
        <v>10</v>
      </c>
      <c r="D22" s="8">
        <v>813873</v>
      </c>
      <c r="E22" s="12" t="s">
        <v>40</v>
      </c>
      <c r="F22" s="14">
        <v>9009</v>
      </c>
      <c r="G22" s="14">
        <f t="shared" si="7"/>
        <v>4954.9500000000007</v>
      </c>
      <c r="H22" s="14">
        <f t="shared" ref="H22" si="10">G22*I22</f>
        <v>14864.850000000002</v>
      </c>
      <c r="I22" s="8">
        <v>3</v>
      </c>
      <c r="J22" s="10" t="s">
        <v>11</v>
      </c>
      <c r="K22" s="10" t="s">
        <v>61</v>
      </c>
    </row>
    <row r="23" spans="1:11" ht="30" customHeight="1" x14ac:dyDescent="0.25">
      <c r="A23" s="7">
        <v>22</v>
      </c>
      <c r="B23" s="7" t="str">
        <f t="shared" si="6"/>
        <v>ВРУ  (I секция)</v>
      </c>
      <c r="C23" s="8" t="s">
        <v>99</v>
      </c>
      <c r="D23" s="8">
        <v>814989</v>
      </c>
      <c r="E23" s="9" t="s">
        <v>117</v>
      </c>
      <c r="F23" s="14">
        <v>2311</v>
      </c>
      <c r="G23" s="14">
        <f t="shared" si="7"/>
        <v>1271.0500000000002</v>
      </c>
      <c r="H23" s="14">
        <f t="shared" si="3"/>
        <v>1271.0500000000002</v>
      </c>
      <c r="I23" s="8">
        <v>1</v>
      </c>
      <c r="J23" s="10" t="s">
        <v>11</v>
      </c>
      <c r="K23" s="10" t="s">
        <v>61</v>
      </c>
    </row>
    <row r="24" spans="1:11" ht="30" customHeight="1" x14ac:dyDescent="0.25">
      <c r="A24" s="7">
        <v>23</v>
      </c>
      <c r="B24" s="7" t="str">
        <f t="shared" si="6"/>
        <v>ВРУ  (I секция)</v>
      </c>
      <c r="C24" s="8" t="s">
        <v>8</v>
      </c>
      <c r="D24" s="8" t="s">
        <v>8</v>
      </c>
      <c r="E24" s="9" t="s">
        <v>8</v>
      </c>
      <c r="F24" s="14">
        <v>0</v>
      </c>
      <c r="G24" s="14">
        <f t="shared" si="7"/>
        <v>0</v>
      </c>
      <c r="H24" s="14">
        <f t="shared" si="3"/>
        <v>0</v>
      </c>
      <c r="I24" s="8">
        <v>1</v>
      </c>
      <c r="J24" s="10" t="s">
        <v>11</v>
      </c>
      <c r="K24" s="8" t="s">
        <v>8</v>
      </c>
    </row>
    <row r="25" spans="1:11" ht="30" customHeight="1" x14ac:dyDescent="0.25">
      <c r="A25" s="7">
        <v>24</v>
      </c>
      <c r="B25" s="7" t="str">
        <f t="shared" ref="B25:B26" si="11">E24</f>
        <v>монтажный материал</v>
      </c>
      <c r="C25" s="8" t="s">
        <v>9</v>
      </c>
      <c r="D25" s="8" t="s">
        <v>9</v>
      </c>
      <c r="E25" s="9" t="s">
        <v>9</v>
      </c>
      <c r="F25" s="14">
        <v>0</v>
      </c>
      <c r="G25" s="14">
        <f t="shared" si="7"/>
        <v>0</v>
      </c>
      <c r="H25" s="14">
        <f t="shared" si="3"/>
        <v>0</v>
      </c>
      <c r="I25" s="8">
        <v>840</v>
      </c>
      <c r="J25" s="10" t="s">
        <v>11</v>
      </c>
      <c r="K25" s="8" t="s">
        <v>9</v>
      </c>
    </row>
    <row r="26" spans="1:11" ht="30" customHeight="1" x14ac:dyDescent="0.25">
      <c r="A26" s="7">
        <v>25</v>
      </c>
      <c r="B26" s="7" t="str">
        <f t="shared" si="11"/>
        <v>монтажная работа</v>
      </c>
      <c r="C26" s="8"/>
      <c r="D26" s="8"/>
      <c r="E26" s="9"/>
      <c r="F26" s="17"/>
      <c r="G26" s="14">
        <f t="shared" si="7"/>
        <v>0</v>
      </c>
      <c r="H26" s="14">
        <f>SUM(H17:H25)</f>
        <v>55615.450000000012</v>
      </c>
      <c r="I26" s="8"/>
      <c r="J26" s="10"/>
      <c r="K26" s="8"/>
    </row>
    <row r="27" spans="1:11" ht="30" customHeight="1" x14ac:dyDescent="0.25">
      <c r="A27" s="3">
        <v>26</v>
      </c>
      <c r="B27" s="4" t="str">
        <f>E27</f>
        <v>ВРУ  (II секция)</v>
      </c>
      <c r="C27" s="3"/>
      <c r="D27" s="18"/>
      <c r="E27" s="3" t="s">
        <v>41</v>
      </c>
      <c r="F27" s="16"/>
      <c r="G27" s="16"/>
      <c r="H27" s="16">
        <f>I27*H36</f>
        <v>56776.5</v>
      </c>
      <c r="I27" s="6">
        <v>1</v>
      </c>
      <c r="J27" s="5" t="s">
        <v>6</v>
      </c>
      <c r="K27" s="5" t="s">
        <v>21</v>
      </c>
    </row>
    <row r="28" spans="1:11" ht="30" customHeight="1" x14ac:dyDescent="0.25">
      <c r="A28" s="7">
        <v>27</v>
      </c>
      <c r="B28" s="7" t="str">
        <f>B27</f>
        <v>ВРУ  (II секция)</v>
      </c>
      <c r="C28" s="8" t="s">
        <v>7</v>
      </c>
      <c r="D28" s="8"/>
      <c r="E28" s="9" t="s">
        <v>35</v>
      </c>
      <c r="F28" s="14"/>
      <c r="G28" s="14"/>
      <c r="H28" s="14">
        <f t="shared" ref="H28:H35" si="12">G28*I28</f>
        <v>0</v>
      </c>
      <c r="I28" s="8">
        <v>1</v>
      </c>
      <c r="J28" s="10" t="s">
        <v>11</v>
      </c>
      <c r="K28" s="10" t="s">
        <v>22</v>
      </c>
    </row>
    <row r="29" spans="1:11" ht="30" customHeight="1" x14ac:dyDescent="0.25">
      <c r="A29" s="7">
        <v>28</v>
      </c>
      <c r="B29" s="7" t="str">
        <f t="shared" ref="B29:B36" si="13">B28</f>
        <v>ВРУ  (II секция)</v>
      </c>
      <c r="C29" s="8" t="s">
        <v>16</v>
      </c>
      <c r="D29" s="8">
        <v>126510</v>
      </c>
      <c r="E29" s="9" t="s">
        <v>36</v>
      </c>
      <c r="F29" s="14">
        <v>16562</v>
      </c>
      <c r="G29" s="14">
        <f>F29*0.55</f>
        <v>9109.1</v>
      </c>
      <c r="H29" s="14">
        <f t="shared" si="12"/>
        <v>18218.2</v>
      </c>
      <c r="I29" s="8">
        <v>2</v>
      </c>
      <c r="J29" s="10" t="s">
        <v>11</v>
      </c>
      <c r="K29" s="10" t="s">
        <v>61</v>
      </c>
    </row>
    <row r="30" spans="1:11" ht="30" customHeight="1" x14ac:dyDescent="0.25">
      <c r="A30" s="7">
        <v>29</v>
      </c>
      <c r="B30" s="7" t="str">
        <f t="shared" si="13"/>
        <v>ВРУ  (II секция)</v>
      </c>
      <c r="C30" s="8" t="s">
        <v>10</v>
      </c>
      <c r="D30" s="8">
        <v>813874</v>
      </c>
      <c r="E30" s="12" t="s">
        <v>42</v>
      </c>
      <c r="F30" s="14">
        <v>10010</v>
      </c>
      <c r="G30" s="14">
        <f t="shared" ref="G30:G36" si="14">F30*0.55</f>
        <v>5505.5</v>
      </c>
      <c r="H30" s="14">
        <f t="shared" si="12"/>
        <v>22022</v>
      </c>
      <c r="I30" s="8">
        <v>4</v>
      </c>
      <c r="J30" s="10" t="s">
        <v>11</v>
      </c>
      <c r="K30" s="10" t="s">
        <v>61</v>
      </c>
    </row>
    <row r="31" spans="1:11" ht="30" customHeight="1" x14ac:dyDescent="0.25">
      <c r="A31" s="7">
        <v>30</v>
      </c>
      <c r="B31" s="7" t="str">
        <f t="shared" si="13"/>
        <v>ВРУ  (II секция)</v>
      </c>
      <c r="C31" s="8" t="s">
        <v>10</v>
      </c>
      <c r="D31" s="8">
        <v>813875</v>
      </c>
      <c r="E31" s="12" t="s">
        <v>39</v>
      </c>
      <c r="F31" s="14">
        <v>9373</v>
      </c>
      <c r="G31" s="14">
        <f t="shared" si="14"/>
        <v>5155.1500000000005</v>
      </c>
      <c r="H31" s="14">
        <f t="shared" si="12"/>
        <v>10310.300000000001</v>
      </c>
      <c r="I31" s="8">
        <v>2</v>
      </c>
      <c r="J31" s="10" t="s">
        <v>11</v>
      </c>
      <c r="K31" s="10" t="s">
        <v>61</v>
      </c>
    </row>
    <row r="32" spans="1:11" ht="30" customHeight="1" x14ac:dyDescent="0.25">
      <c r="A32" s="7">
        <v>31</v>
      </c>
      <c r="B32" s="7" t="str">
        <f t="shared" si="13"/>
        <v>ВРУ  (II секция)</v>
      </c>
      <c r="C32" s="8" t="s">
        <v>10</v>
      </c>
      <c r="D32" s="8">
        <v>813873</v>
      </c>
      <c r="E32" s="12" t="s">
        <v>40</v>
      </c>
      <c r="F32" s="14">
        <v>9009</v>
      </c>
      <c r="G32" s="14">
        <f t="shared" si="14"/>
        <v>4954.9500000000007</v>
      </c>
      <c r="H32" s="14">
        <f t="shared" si="12"/>
        <v>4954.9500000000007</v>
      </c>
      <c r="I32" s="8">
        <v>1</v>
      </c>
      <c r="J32" s="10" t="s">
        <v>11</v>
      </c>
      <c r="K32" s="10" t="s">
        <v>61</v>
      </c>
    </row>
    <row r="33" spans="1:11" ht="30" customHeight="1" x14ac:dyDescent="0.25">
      <c r="A33" s="7">
        <v>32</v>
      </c>
      <c r="B33" s="7" t="str">
        <f t="shared" si="13"/>
        <v>ВРУ  (II секция)</v>
      </c>
      <c r="C33" s="8" t="s">
        <v>99</v>
      </c>
      <c r="D33" s="8">
        <v>814989</v>
      </c>
      <c r="E33" s="9" t="s">
        <v>117</v>
      </c>
      <c r="F33" s="14">
        <v>2311</v>
      </c>
      <c r="G33" s="14">
        <f t="shared" si="14"/>
        <v>1271.0500000000002</v>
      </c>
      <c r="H33" s="14">
        <f t="shared" si="12"/>
        <v>1271.0500000000002</v>
      </c>
      <c r="I33" s="8">
        <v>1</v>
      </c>
      <c r="J33" s="10" t="s">
        <v>11</v>
      </c>
      <c r="K33" s="10" t="s">
        <v>61</v>
      </c>
    </row>
    <row r="34" spans="1:11" ht="30" customHeight="1" x14ac:dyDescent="0.25">
      <c r="A34" s="7">
        <v>33</v>
      </c>
      <c r="B34" s="7" t="str">
        <f t="shared" si="13"/>
        <v>ВРУ  (II секция)</v>
      </c>
      <c r="C34" s="8" t="s">
        <v>8</v>
      </c>
      <c r="D34" s="8" t="s">
        <v>8</v>
      </c>
      <c r="E34" s="9" t="s">
        <v>8</v>
      </c>
      <c r="F34" s="14">
        <v>0</v>
      </c>
      <c r="G34" s="14">
        <f t="shared" si="14"/>
        <v>0</v>
      </c>
      <c r="H34" s="14">
        <f t="shared" si="12"/>
        <v>0</v>
      </c>
      <c r="I34" s="8">
        <v>1</v>
      </c>
      <c r="J34" s="10" t="s">
        <v>11</v>
      </c>
      <c r="K34" s="8" t="s">
        <v>8</v>
      </c>
    </row>
    <row r="35" spans="1:11" ht="30" customHeight="1" x14ac:dyDescent="0.25">
      <c r="A35" s="7">
        <v>34</v>
      </c>
      <c r="B35" s="7" t="str">
        <f t="shared" si="13"/>
        <v>ВРУ  (II секция)</v>
      </c>
      <c r="C35" s="8" t="s">
        <v>9</v>
      </c>
      <c r="D35" s="8" t="s">
        <v>9</v>
      </c>
      <c r="E35" s="9" t="s">
        <v>9</v>
      </c>
      <c r="F35" s="14">
        <v>0</v>
      </c>
      <c r="G35" s="14">
        <f t="shared" si="14"/>
        <v>0</v>
      </c>
      <c r="H35" s="14">
        <f t="shared" si="12"/>
        <v>0</v>
      </c>
      <c r="I35" s="8">
        <v>840</v>
      </c>
      <c r="J35" s="10" t="s">
        <v>11</v>
      </c>
      <c r="K35" s="8" t="s">
        <v>9</v>
      </c>
    </row>
    <row r="36" spans="1:11" ht="30" customHeight="1" x14ac:dyDescent="0.25">
      <c r="A36" s="7">
        <v>35</v>
      </c>
      <c r="B36" s="7" t="str">
        <f t="shared" si="13"/>
        <v>ВРУ  (II секция)</v>
      </c>
      <c r="C36" s="8"/>
      <c r="D36" s="8"/>
      <c r="E36" s="9"/>
      <c r="F36" s="17"/>
      <c r="G36" s="14">
        <f t="shared" si="14"/>
        <v>0</v>
      </c>
      <c r="H36" s="14">
        <f>SUM(H28:H35)</f>
        <v>56776.5</v>
      </c>
      <c r="I36" s="8"/>
      <c r="J36" s="10"/>
      <c r="K36" s="8"/>
    </row>
    <row r="37" spans="1:11" ht="30" customHeight="1" x14ac:dyDescent="0.25">
      <c r="A37" s="3">
        <v>36</v>
      </c>
      <c r="B37" s="4" t="str">
        <f>E37</f>
        <v>ЯАВР</v>
      </c>
      <c r="C37" s="3"/>
      <c r="D37" s="18"/>
      <c r="E37" s="3" t="s">
        <v>43</v>
      </c>
      <c r="F37" s="16"/>
      <c r="G37" s="16"/>
      <c r="H37" s="16">
        <f>I37*H43</f>
        <v>98098.000000000015</v>
      </c>
      <c r="I37" s="6">
        <v>1</v>
      </c>
      <c r="J37" s="5" t="s">
        <v>6</v>
      </c>
      <c r="K37" s="5" t="s">
        <v>21</v>
      </c>
    </row>
    <row r="38" spans="1:11" ht="30" customHeight="1" x14ac:dyDescent="0.25">
      <c r="A38" s="7">
        <v>37</v>
      </c>
      <c r="B38" s="7" t="str">
        <f>B37</f>
        <v>ЯАВР</v>
      </c>
      <c r="C38" s="8" t="s">
        <v>7</v>
      </c>
      <c r="D38" s="8"/>
      <c r="E38" s="9" t="s">
        <v>44</v>
      </c>
      <c r="F38" s="14"/>
      <c r="G38" s="14"/>
      <c r="H38" s="14">
        <f t="shared" ref="H38" si="15">G38*I38</f>
        <v>0</v>
      </c>
      <c r="I38" s="8">
        <v>1</v>
      </c>
      <c r="J38" s="10" t="s">
        <v>11</v>
      </c>
      <c r="K38" s="10" t="s">
        <v>22</v>
      </c>
    </row>
    <row r="39" spans="1:11" ht="30" customHeight="1" x14ac:dyDescent="0.25">
      <c r="A39" s="7">
        <v>38</v>
      </c>
      <c r="B39" s="7" t="str">
        <f t="shared" ref="B39:B43" si="16">B38</f>
        <v>ЯАВР</v>
      </c>
      <c r="C39" s="8" t="s">
        <v>121</v>
      </c>
      <c r="D39" s="8">
        <v>256759</v>
      </c>
      <c r="E39" s="9" t="s">
        <v>120</v>
      </c>
      <c r="F39" s="14">
        <v>178360</v>
      </c>
      <c r="G39" s="14">
        <f>F39*0.55</f>
        <v>98098.000000000015</v>
      </c>
      <c r="H39" s="14">
        <f t="shared" si="3"/>
        <v>98098.000000000015</v>
      </c>
      <c r="I39" s="8">
        <v>1</v>
      </c>
      <c r="J39" s="10" t="s">
        <v>11</v>
      </c>
      <c r="K39" s="10" t="s">
        <v>61</v>
      </c>
    </row>
    <row r="40" spans="1:11" ht="30" customHeight="1" x14ac:dyDescent="0.25">
      <c r="A40" s="7">
        <v>39</v>
      </c>
      <c r="B40" s="7" t="str">
        <f t="shared" si="16"/>
        <v>ЯАВР</v>
      </c>
      <c r="C40" s="8" t="s">
        <v>14</v>
      </c>
      <c r="D40" s="8"/>
      <c r="E40" s="9" t="s">
        <v>45</v>
      </c>
      <c r="F40" s="14">
        <v>0</v>
      </c>
      <c r="G40" s="14">
        <f t="shared" ref="G40:G43" si="17">F40*0.55</f>
        <v>0</v>
      </c>
      <c r="H40" s="14">
        <f t="shared" ref="H40" si="18">G40*I40</f>
        <v>0</v>
      </c>
      <c r="I40" s="8">
        <v>1</v>
      </c>
      <c r="J40" s="10" t="s">
        <v>11</v>
      </c>
      <c r="K40" s="10" t="s">
        <v>24</v>
      </c>
    </row>
    <row r="41" spans="1:11" ht="30" customHeight="1" x14ac:dyDescent="0.25">
      <c r="A41" s="7">
        <v>40</v>
      </c>
      <c r="B41" s="7" t="str">
        <f t="shared" si="16"/>
        <v>ЯАВР</v>
      </c>
      <c r="C41" s="8" t="s">
        <v>8</v>
      </c>
      <c r="D41" s="8" t="s">
        <v>8</v>
      </c>
      <c r="E41" s="9" t="s">
        <v>8</v>
      </c>
      <c r="F41" s="14">
        <v>0</v>
      </c>
      <c r="G41" s="14">
        <f t="shared" si="17"/>
        <v>0</v>
      </c>
      <c r="H41" s="14">
        <f t="shared" si="3"/>
        <v>0</v>
      </c>
      <c r="I41" s="8">
        <v>1</v>
      </c>
      <c r="J41" s="10" t="s">
        <v>11</v>
      </c>
      <c r="K41" s="8" t="s">
        <v>8</v>
      </c>
    </row>
    <row r="42" spans="1:11" ht="30" customHeight="1" x14ac:dyDescent="0.25">
      <c r="A42" s="7">
        <v>41</v>
      </c>
      <c r="B42" s="7" t="str">
        <f t="shared" si="16"/>
        <v>ЯАВР</v>
      </c>
      <c r="C42" s="8" t="s">
        <v>9</v>
      </c>
      <c r="D42" s="8" t="s">
        <v>9</v>
      </c>
      <c r="E42" s="9" t="s">
        <v>9</v>
      </c>
      <c r="F42" s="14">
        <v>0</v>
      </c>
      <c r="G42" s="14">
        <f t="shared" si="17"/>
        <v>0</v>
      </c>
      <c r="H42" s="14">
        <f t="shared" si="3"/>
        <v>0</v>
      </c>
      <c r="I42" s="8">
        <v>420</v>
      </c>
      <c r="J42" s="10" t="s">
        <v>11</v>
      </c>
      <c r="K42" s="8" t="s">
        <v>9</v>
      </c>
    </row>
    <row r="43" spans="1:11" ht="30" customHeight="1" x14ac:dyDescent="0.25">
      <c r="A43" s="7">
        <v>42</v>
      </c>
      <c r="B43" s="7" t="str">
        <f t="shared" si="16"/>
        <v>ЯАВР</v>
      </c>
      <c r="C43" s="8"/>
      <c r="D43" s="8"/>
      <c r="E43" s="9"/>
      <c r="F43" s="17"/>
      <c r="G43" s="14">
        <f t="shared" si="17"/>
        <v>0</v>
      </c>
      <c r="H43" s="14">
        <f>SUM(H39:H42)</f>
        <v>98098.000000000015</v>
      </c>
      <c r="I43" s="8"/>
      <c r="J43" s="10"/>
      <c r="K43" s="8"/>
    </row>
    <row r="44" spans="1:11" ht="30" customHeight="1" x14ac:dyDescent="0.25">
      <c r="A44" s="3">
        <v>43</v>
      </c>
      <c r="B44" s="4" t="str">
        <f>E44</f>
        <v>ШРС</v>
      </c>
      <c r="C44" s="3"/>
      <c r="D44" s="18"/>
      <c r="E44" s="3" t="s">
        <v>46</v>
      </c>
      <c r="F44" s="16"/>
      <c r="G44" s="16"/>
      <c r="H44" s="16">
        <f>I44*H50</f>
        <v>10045.200000000001</v>
      </c>
      <c r="I44" s="6">
        <v>1</v>
      </c>
      <c r="J44" s="5" t="s">
        <v>6</v>
      </c>
      <c r="K44" s="5" t="s">
        <v>21</v>
      </c>
    </row>
    <row r="45" spans="1:11" ht="30" customHeight="1" x14ac:dyDescent="0.25">
      <c r="A45" s="7">
        <v>44</v>
      </c>
      <c r="B45" s="7" t="str">
        <f>B44</f>
        <v>ШРС</v>
      </c>
      <c r="C45" s="8" t="s">
        <v>7</v>
      </c>
      <c r="D45" s="8"/>
      <c r="E45" s="9" t="s">
        <v>47</v>
      </c>
      <c r="F45" s="14"/>
      <c r="G45" s="14">
        <f>F45*0.55</f>
        <v>0</v>
      </c>
      <c r="H45" s="14">
        <f t="shared" si="3"/>
        <v>0</v>
      </c>
      <c r="I45" s="8">
        <v>1</v>
      </c>
      <c r="J45" s="10" t="s">
        <v>11</v>
      </c>
      <c r="K45" s="10" t="s">
        <v>22</v>
      </c>
    </row>
    <row r="46" spans="1:11" ht="30" customHeight="1" x14ac:dyDescent="0.25">
      <c r="A46" s="7">
        <v>45</v>
      </c>
      <c r="B46" s="7" t="str">
        <f>B44</f>
        <v>ШРС</v>
      </c>
      <c r="C46" s="8" t="s">
        <v>10</v>
      </c>
      <c r="D46" s="8">
        <v>814172</v>
      </c>
      <c r="E46" s="13" t="s">
        <v>126</v>
      </c>
      <c r="F46" s="14">
        <v>4541</v>
      </c>
      <c r="G46" s="14">
        <f t="shared" ref="G46:G50" si="19">F46*0.55</f>
        <v>2497.5500000000002</v>
      </c>
      <c r="H46" s="14">
        <f t="shared" si="3"/>
        <v>7492.6500000000005</v>
      </c>
      <c r="I46" s="8">
        <v>3</v>
      </c>
      <c r="J46" s="10" t="s">
        <v>11</v>
      </c>
      <c r="K46" s="10" t="s">
        <v>61</v>
      </c>
    </row>
    <row r="47" spans="1:11" ht="30" customHeight="1" x14ac:dyDescent="0.25">
      <c r="A47" s="7">
        <v>46</v>
      </c>
      <c r="B47" s="7" t="str">
        <f t="shared" ref="B47:B50" si="20">B45</f>
        <v>ШРС</v>
      </c>
      <c r="C47" s="8" t="s">
        <v>10</v>
      </c>
      <c r="D47" s="12">
        <v>814170</v>
      </c>
      <c r="E47" s="12" t="s">
        <v>125</v>
      </c>
      <c r="F47" s="14">
        <v>4641</v>
      </c>
      <c r="G47" s="14">
        <f t="shared" si="19"/>
        <v>2552.5500000000002</v>
      </c>
      <c r="H47" s="14">
        <f t="shared" si="3"/>
        <v>2552.5500000000002</v>
      </c>
      <c r="I47" s="8">
        <v>1</v>
      </c>
      <c r="J47" s="10" t="s">
        <v>11</v>
      </c>
      <c r="K47" s="10" t="s">
        <v>61</v>
      </c>
    </row>
    <row r="48" spans="1:11" ht="30" customHeight="1" x14ac:dyDescent="0.25">
      <c r="A48" s="7">
        <v>47</v>
      </c>
      <c r="B48" s="7" t="str">
        <f t="shared" si="20"/>
        <v>ШРС</v>
      </c>
      <c r="C48" s="8" t="s">
        <v>8</v>
      </c>
      <c r="D48" s="8" t="s">
        <v>8</v>
      </c>
      <c r="E48" s="9" t="s">
        <v>8</v>
      </c>
      <c r="F48" s="14">
        <v>0</v>
      </c>
      <c r="G48" s="14">
        <f t="shared" si="19"/>
        <v>0</v>
      </c>
      <c r="H48" s="14">
        <f t="shared" si="3"/>
        <v>0</v>
      </c>
      <c r="I48" s="8">
        <v>1</v>
      </c>
      <c r="J48" s="10" t="s">
        <v>11</v>
      </c>
      <c r="K48" s="8" t="s">
        <v>8</v>
      </c>
    </row>
    <row r="49" spans="1:11" ht="30" customHeight="1" x14ac:dyDescent="0.25">
      <c r="A49" s="7">
        <v>48</v>
      </c>
      <c r="B49" s="7" t="str">
        <f t="shared" si="20"/>
        <v>ШРС</v>
      </c>
      <c r="C49" s="8" t="s">
        <v>9</v>
      </c>
      <c r="D49" s="8" t="s">
        <v>9</v>
      </c>
      <c r="E49" s="9" t="s">
        <v>9</v>
      </c>
      <c r="F49" s="14">
        <v>0</v>
      </c>
      <c r="G49" s="14">
        <f t="shared" si="19"/>
        <v>0</v>
      </c>
      <c r="H49" s="14">
        <f t="shared" si="3"/>
        <v>0</v>
      </c>
      <c r="I49" s="8">
        <v>540</v>
      </c>
      <c r="J49" s="10" t="s">
        <v>11</v>
      </c>
      <c r="K49" s="8" t="s">
        <v>9</v>
      </c>
    </row>
    <row r="50" spans="1:11" ht="30" customHeight="1" x14ac:dyDescent="0.25">
      <c r="A50" s="7">
        <v>49</v>
      </c>
      <c r="B50" s="7" t="str">
        <f t="shared" si="20"/>
        <v>ШРС</v>
      </c>
      <c r="C50" s="8"/>
      <c r="D50" s="8"/>
      <c r="E50" s="9"/>
      <c r="F50" s="17"/>
      <c r="G50" s="14">
        <f t="shared" si="19"/>
        <v>0</v>
      </c>
      <c r="H50" s="14">
        <f>SUM(H45:H49)</f>
        <v>10045.200000000001</v>
      </c>
      <c r="I50" s="8"/>
      <c r="J50" s="10"/>
      <c r="K50" s="8"/>
    </row>
    <row r="51" spans="1:11" ht="30" customHeight="1" x14ac:dyDescent="0.25">
      <c r="A51" s="3">
        <v>50</v>
      </c>
      <c r="B51" s="4" t="str">
        <f>E51</f>
        <v>ШР1</v>
      </c>
      <c r="C51" s="3"/>
      <c r="D51" s="18"/>
      <c r="E51" s="3" t="s">
        <v>48</v>
      </c>
      <c r="F51" s="16"/>
      <c r="G51" s="16"/>
      <c r="H51" s="16">
        <f>I51*H60</f>
        <v>11531.300000000001</v>
      </c>
      <c r="I51" s="6">
        <v>1</v>
      </c>
      <c r="J51" s="5" t="s">
        <v>6</v>
      </c>
      <c r="K51" s="5" t="s">
        <v>21</v>
      </c>
    </row>
    <row r="52" spans="1:11" ht="30" customHeight="1" x14ac:dyDescent="0.25">
      <c r="A52" s="7">
        <v>51</v>
      </c>
      <c r="B52" s="7" t="str">
        <f>B51</f>
        <v>ШР1</v>
      </c>
      <c r="C52" s="8" t="s">
        <v>7</v>
      </c>
      <c r="D52" s="8"/>
      <c r="E52" s="9" t="s">
        <v>49</v>
      </c>
      <c r="F52" s="14"/>
      <c r="G52" s="14">
        <f>F52*0.55</f>
        <v>0</v>
      </c>
      <c r="H52" s="14">
        <f t="shared" si="3"/>
        <v>0</v>
      </c>
      <c r="I52" s="8">
        <v>1</v>
      </c>
      <c r="J52" s="10" t="s">
        <v>11</v>
      </c>
      <c r="K52" s="10" t="s">
        <v>22</v>
      </c>
    </row>
    <row r="53" spans="1:11" ht="30" customHeight="1" x14ac:dyDescent="0.25">
      <c r="A53" s="7">
        <v>52</v>
      </c>
      <c r="B53" s="7" t="str">
        <f t="shared" ref="B53:B60" si="21">B52</f>
        <v>ШР1</v>
      </c>
      <c r="C53" s="8" t="s">
        <v>13</v>
      </c>
      <c r="D53" s="19">
        <v>193185</v>
      </c>
      <c r="E53" s="12" t="s">
        <v>50</v>
      </c>
      <c r="F53" s="14">
        <v>3203</v>
      </c>
      <c r="G53" s="14">
        <f t="shared" ref="G53:G60" si="22">F53*0.55</f>
        <v>1761.65</v>
      </c>
      <c r="H53" s="14">
        <f>G53*I53</f>
        <v>1761.65</v>
      </c>
      <c r="I53" s="8">
        <v>1</v>
      </c>
      <c r="J53" s="10" t="s">
        <v>11</v>
      </c>
      <c r="K53" s="10" t="s">
        <v>61</v>
      </c>
    </row>
    <row r="54" spans="1:11" ht="30" customHeight="1" x14ac:dyDescent="0.25">
      <c r="A54" s="7">
        <v>53</v>
      </c>
      <c r="B54" s="7" t="str">
        <f t="shared" si="21"/>
        <v>ШР1</v>
      </c>
      <c r="C54" s="8" t="s">
        <v>10</v>
      </c>
      <c r="D54" s="19">
        <v>296831</v>
      </c>
      <c r="E54" s="12" t="s">
        <v>51</v>
      </c>
      <c r="F54" s="14">
        <v>2402</v>
      </c>
      <c r="G54" s="14">
        <f t="shared" si="22"/>
        <v>1321.1000000000001</v>
      </c>
      <c r="H54" s="14">
        <f t="shared" si="3"/>
        <v>3963.3</v>
      </c>
      <c r="I54" s="8">
        <v>3</v>
      </c>
      <c r="J54" s="10" t="s">
        <v>11</v>
      </c>
      <c r="K54" s="10" t="s">
        <v>61</v>
      </c>
    </row>
    <row r="55" spans="1:11" ht="30" customHeight="1" x14ac:dyDescent="0.25">
      <c r="A55" s="7">
        <v>54</v>
      </c>
      <c r="B55" s="7" t="str">
        <f t="shared" si="21"/>
        <v>ШР1</v>
      </c>
      <c r="C55" s="8" t="s">
        <v>10</v>
      </c>
      <c r="D55" s="8">
        <v>296827</v>
      </c>
      <c r="E55" s="9" t="s">
        <v>52</v>
      </c>
      <c r="F55" s="14">
        <v>2129</v>
      </c>
      <c r="G55" s="14">
        <f t="shared" si="22"/>
        <v>1170.95</v>
      </c>
      <c r="H55" s="14">
        <f t="shared" si="3"/>
        <v>1170.95</v>
      </c>
      <c r="I55" s="8">
        <v>1</v>
      </c>
      <c r="J55" s="10" t="s">
        <v>11</v>
      </c>
      <c r="K55" s="10" t="s">
        <v>61</v>
      </c>
    </row>
    <row r="56" spans="1:11" ht="30" customHeight="1" x14ac:dyDescent="0.25">
      <c r="A56" s="7">
        <v>55</v>
      </c>
      <c r="B56" s="7" t="str">
        <f t="shared" si="21"/>
        <v>ШР1</v>
      </c>
      <c r="C56" s="8" t="s">
        <v>10</v>
      </c>
      <c r="D56" s="19">
        <v>296710</v>
      </c>
      <c r="E56" s="12" t="s">
        <v>53</v>
      </c>
      <c r="F56" s="14">
        <v>701</v>
      </c>
      <c r="G56" s="14">
        <f t="shared" si="22"/>
        <v>385.55</v>
      </c>
      <c r="H56" s="14">
        <f t="shared" si="3"/>
        <v>771.1</v>
      </c>
      <c r="I56" s="8">
        <v>2</v>
      </c>
      <c r="J56" s="10" t="s">
        <v>11</v>
      </c>
      <c r="K56" s="10" t="s">
        <v>61</v>
      </c>
    </row>
    <row r="57" spans="1:11" ht="30" customHeight="1" x14ac:dyDescent="0.25">
      <c r="A57" s="7">
        <v>56</v>
      </c>
      <c r="B57" s="7" t="str">
        <f t="shared" si="21"/>
        <v>ШР1</v>
      </c>
      <c r="C57" s="8" t="s">
        <v>12</v>
      </c>
      <c r="D57" s="19">
        <v>105542</v>
      </c>
      <c r="E57" s="12" t="s">
        <v>54</v>
      </c>
      <c r="F57" s="14">
        <v>3513</v>
      </c>
      <c r="G57" s="14">
        <f t="shared" si="22"/>
        <v>1932.15</v>
      </c>
      <c r="H57" s="14">
        <f t="shared" si="3"/>
        <v>3864.3</v>
      </c>
      <c r="I57" s="8">
        <v>2</v>
      </c>
      <c r="J57" s="10" t="s">
        <v>11</v>
      </c>
      <c r="K57" s="10" t="s">
        <v>61</v>
      </c>
    </row>
    <row r="58" spans="1:11" ht="30" customHeight="1" x14ac:dyDescent="0.25">
      <c r="A58" s="7">
        <v>57</v>
      </c>
      <c r="B58" s="7" t="str">
        <f t="shared" si="21"/>
        <v>ШР1</v>
      </c>
      <c r="C58" s="8" t="s">
        <v>8</v>
      </c>
      <c r="D58" s="8" t="s">
        <v>8</v>
      </c>
      <c r="E58" s="9" t="s">
        <v>8</v>
      </c>
      <c r="F58" s="14">
        <v>0</v>
      </c>
      <c r="G58" s="14">
        <f t="shared" si="22"/>
        <v>0</v>
      </c>
      <c r="H58" s="14">
        <f t="shared" si="3"/>
        <v>0</v>
      </c>
      <c r="I58" s="8">
        <v>1</v>
      </c>
      <c r="J58" s="10" t="s">
        <v>11</v>
      </c>
      <c r="K58" s="8" t="s">
        <v>8</v>
      </c>
    </row>
    <row r="59" spans="1:11" ht="30" customHeight="1" x14ac:dyDescent="0.25">
      <c r="A59" s="7">
        <v>58</v>
      </c>
      <c r="B59" s="7" t="str">
        <f t="shared" si="21"/>
        <v>ШР1</v>
      </c>
      <c r="C59" s="8" t="s">
        <v>9</v>
      </c>
      <c r="D59" s="8" t="s">
        <v>9</v>
      </c>
      <c r="E59" s="9" t="s">
        <v>9</v>
      </c>
      <c r="F59" s="14">
        <v>0</v>
      </c>
      <c r="G59" s="14">
        <f t="shared" si="22"/>
        <v>0</v>
      </c>
      <c r="H59" s="14">
        <f t="shared" si="3"/>
        <v>0</v>
      </c>
      <c r="I59" s="8">
        <v>720</v>
      </c>
      <c r="J59" s="10" t="s">
        <v>11</v>
      </c>
      <c r="K59" s="8" t="s">
        <v>9</v>
      </c>
    </row>
    <row r="60" spans="1:11" ht="30" customHeight="1" x14ac:dyDescent="0.25">
      <c r="A60" s="7">
        <v>59</v>
      </c>
      <c r="B60" s="7" t="str">
        <f t="shared" si="21"/>
        <v>ШР1</v>
      </c>
      <c r="C60" s="8"/>
      <c r="D60" s="8"/>
      <c r="E60" s="9"/>
      <c r="F60" s="17"/>
      <c r="G60" s="14">
        <f t="shared" si="22"/>
        <v>0</v>
      </c>
      <c r="H60" s="14">
        <f>SUM(H52:H59)</f>
        <v>11531.300000000001</v>
      </c>
      <c r="I60" s="8"/>
      <c r="J60" s="10"/>
      <c r="K60" s="8"/>
    </row>
    <row r="61" spans="1:11" ht="30" customHeight="1" x14ac:dyDescent="0.25">
      <c r="A61" s="3">
        <v>60</v>
      </c>
      <c r="B61" s="4" t="str">
        <f>E61</f>
        <v>ШР2</v>
      </c>
      <c r="C61" s="3"/>
      <c r="D61" s="18"/>
      <c r="E61" s="3" t="s">
        <v>55</v>
      </c>
      <c r="F61" s="16"/>
      <c r="G61" s="16"/>
      <c r="H61" s="16">
        <f>I61*H68</f>
        <v>6406.4000000000005</v>
      </c>
      <c r="I61" s="6">
        <v>1</v>
      </c>
      <c r="J61" s="5" t="s">
        <v>6</v>
      </c>
      <c r="K61" s="5" t="s">
        <v>21</v>
      </c>
    </row>
    <row r="62" spans="1:11" ht="30" customHeight="1" x14ac:dyDescent="0.25">
      <c r="A62" s="7">
        <v>61</v>
      </c>
      <c r="B62" s="7" t="str">
        <f>B61</f>
        <v>ШР2</v>
      </c>
      <c r="C62" s="8" t="s">
        <v>7</v>
      </c>
      <c r="D62" s="8"/>
      <c r="E62" s="9" t="s">
        <v>56</v>
      </c>
      <c r="F62" s="14"/>
      <c r="G62" s="14">
        <f>F62*0.55</f>
        <v>0</v>
      </c>
      <c r="H62" s="14">
        <f t="shared" ref="H62" si="23">G62*I62</f>
        <v>0</v>
      </c>
      <c r="I62" s="8">
        <v>1</v>
      </c>
      <c r="J62" s="10" t="s">
        <v>11</v>
      </c>
      <c r="K62" s="10" t="s">
        <v>22</v>
      </c>
    </row>
    <row r="63" spans="1:11" ht="30" customHeight="1" x14ac:dyDescent="0.25">
      <c r="A63" s="7">
        <v>62</v>
      </c>
      <c r="B63" s="7" t="str">
        <f t="shared" ref="B63:B68" si="24">B62</f>
        <v>ШР2</v>
      </c>
      <c r="C63" s="8" t="s">
        <v>13</v>
      </c>
      <c r="D63" s="19">
        <v>193182</v>
      </c>
      <c r="E63" s="12" t="s">
        <v>57</v>
      </c>
      <c r="F63" s="14">
        <v>2493</v>
      </c>
      <c r="G63" s="14">
        <f t="shared" ref="G63:G68" si="25">F63*0.55</f>
        <v>1371.15</v>
      </c>
      <c r="H63" s="14">
        <f>G63*I63</f>
        <v>1371.15</v>
      </c>
      <c r="I63" s="8">
        <v>1</v>
      </c>
      <c r="J63" s="10" t="s">
        <v>11</v>
      </c>
      <c r="K63" s="10" t="s">
        <v>61</v>
      </c>
    </row>
    <row r="64" spans="1:11" ht="30" customHeight="1" x14ac:dyDescent="0.25">
      <c r="A64" s="7">
        <v>63</v>
      </c>
      <c r="B64" s="7" t="str">
        <f t="shared" si="24"/>
        <v>ШР2</v>
      </c>
      <c r="C64" s="8" t="s">
        <v>10</v>
      </c>
      <c r="D64" s="8">
        <v>296827</v>
      </c>
      <c r="E64" s="9" t="s">
        <v>52</v>
      </c>
      <c r="F64" s="14">
        <v>2129</v>
      </c>
      <c r="G64" s="14">
        <f t="shared" si="25"/>
        <v>1170.95</v>
      </c>
      <c r="H64" s="14">
        <f t="shared" ref="H64:H67" si="26">G64*I64</f>
        <v>1170.95</v>
      </c>
      <c r="I64" s="8">
        <v>1</v>
      </c>
      <c r="J64" s="10" t="s">
        <v>11</v>
      </c>
      <c r="K64" s="10" t="s">
        <v>61</v>
      </c>
    </row>
    <row r="65" spans="1:11" ht="43.5" customHeight="1" x14ac:dyDescent="0.25">
      <c r="A65" s="7">
        <v>64</v>
      </c>
      <c r="B65" s="7" t="str">
        <f t="shared" si="24"/>
        <v>ШР2</v>
      </c>
      <c r="C65" s="8" t="s">
        <v>12</v>
      </c>
      <c r="D65" s="19">
        <v>105542</v>
      </c>
      <c r="E65" s="12" t="s">
        <v>54</v>
      </c>
      <c r="F65" s="14">
        <v>3513</v>
      </c>
      <c r="G65" s="14">
        <f t="shared" si="25"/>
        <v>1932.15</v>
      </c>
      <c r="H65" s="14">
        <f t="shared" si="26"/>
        <v>3864.3</v>
      </c>
      <c r="I65" s="8">
        <v>2</v>
      </c>
      <c r="J65" s="10" t="s">
        <v>11</v>
      </c>
      <c r="K65" s="10" t="s">
        <v>61</v>
      </c>
    </row>
    <row r="66" spans="1:11" ht="30" customHeight="1" x14ac:dyDescent="0.25">
      <c r="A66" s="7">
        <v>65</v>
      </c>
      <c r="B66" s="7" t="str">
        <f t="shared" si="24"/>
        <v>ШР2</v>
      </c>
      <c r="C66" s="8" t="s">
        <v>8</v>
      </c>
      <c r="D66" s="8" t="s">
        <v>8</v>
      </c>
      <c r="E66" s="9" t="s">
        <v>8</v>
      </c>
      <c r="F66" s="14">
        <v>0</v>
      </c>
      <c r="G66" s="14">
        <f t="shared" si="25"/>
        <v>0</v>
      </c>
      <c r="H66" s="14">
        <f t="shared" si="26"/>
        <v>0</v>
      </c>
      <c r="I66" s="8">
        <v>1</v>
      </c>
      <c r="J66" s="10" t="s">
        <v>11</v>
      </c>
      <c r="K66" s="8" t="s">
        <v>8</v>
      </c>
    </row>
    <row r="67" spans="1:11" ht="30" customHeight="1" x14ac:dyDescent="0.25">
      <c r="A67" s="7">
        <v>66</v>
      </c>
      <c r="B67" s="7" t="str">
        <f t="shared" si="24"/>
        <v>ШР2</v>
      </c>
      <c r="C67" s="8" t="s">
        <v>9</v>
      </c>
      <c r="D67" s="8" t="s">
        <v>9</v>
      </c>
      <c r="E67" s="9" t="s">
        <v>9</v>
      </c>
      <c r="F67" s="14">
        <v>0</v>
      </c>
      <c r="G67" s="14">
        <f t="shared" si="25"/>
        <v>0</v>
      </c>
      <c r="H67" s="14">
        <f t="shared" si="26"/>
        <v>0</v>
      </c>
      <c r="I67" s="8">
        <v>720</v>
      </c>
      <c r="J67" s="10" t="s">
        <v>11</v>
      </c>
      <c r="K67" s="8" t="s">
        <v>9</v>
      </c>
    </row>
    <row r="68" spans="1:11" ht="30" customHeight="1" x14ac:dyDescent="0.25">
      <c r="A68" s="7">
        <v>67</v>
      </c>
      <c r="B68" s="7" t="str">
        <f t="shared" si="24"/>
        <v>ШР2</v>
      </c>
      <c r="C68" s="8"/>
      <c r="D68" s="8"/>
      <c r="E68" s="9"/>
      <c r="F68" s="17"/>
      <c r="G68" s="14">
        <f t="shared" si="25"/>
        <v>0</v>
      </c>
      <c r="H68" s="14">
        <f>SUM(H62:H67)</f>
        <v>6406.4000000000005</v>
      </c>
      <c r="I68" s="8"/>
      <c r="J68" s="10"/>
      <c r="K68" s="8"/>
    </row>
    <row r="69" spans="1:11" ht="30" customHeight="1" x14ac:dyDescent="0.25">
      <c r="A69" s="3">
        <v>68</v>
      </c>
      <c r="B69" s="4" t="str">
        <f>E69</f>
        <v>ШР3</v>
      </c>
      <c r="C69" s="3"/>
      <c r="D69" s="18"/>
      <c r="E69" s="3" t="s">
        <v>58</v>
      </c>
      <c r="F69" s="16"/>
      <c r="G69" s="16"/>
      <c r="H69" s="16">
        <f>I69*H78</f>
        <v>8860.9000000000015</v>
      </c>
      <c r="I69" s="6">
        <v>1</v>
      </c>
      <c r="J69" s="5" t="s">
        <v>6</v>
      </c>
      <c r="K69" s="5" t="s">
        <v>21</v>
      </c>
    </row>
    <row r="70" spans="1:11" ht="30" customHeight="1" x14ac:dyDescent="0.25">
      <c r="A70" s="7">
        <v>69</v>
      </c>
      <c r="B70" s="7" t="str">
        <f>B69</f>
        <v>ШР3</v>
      </c>
      <c r="C70" s="8" t="s">
        <v>7</v>
      </c>
      <c r="D70" s="8"/>
      <c r="E70" s="9" t="s">
        <v>56</v>
      </c>
      <c r="F70" s="14"/>
      <c r="G70" s="14">
        <f>F70*0.55</f>
        <v>0</v>
      </c>
      <c r="H70" s="14">
        <f t="shared" ref="H70" si="27">G70*I70</f>
        <v>0</v>
      </c>
      <c r="I70" s="8">
        <v>1</v>
      </c>
      <c r="J70" s="10" t="s">
        <v>11</v>
      </c>
      <c r="K70" s="10" t="s">
        <v>22</v>
      </c>
    </row>
    <row r="71" spans="1:11" ht="30" customHeight="1" x14ac:dyDescent="0.25">
      <c r="A71" s="7">
        <v>70</v>
      </c>
      <c r="B71" s="7" t="str">
        <f t="shared" ref="B71:B78" si="28">B70</f>
        <v>ШР3</v>
      </c>
      <c r="C71" s="8" t="s">
        <v>13</v>
      </c>
      <c r="D71" s="19">
        <v>193185</v>
      </c>
      <c r="E71" s="12" t="s">
        <v>50</v>
      </c>
      <c r="F71" s="14">
        <v>3203</v>
      </c>
      <c r="G71" s="14">
        <f t="shared" ref="G71:G78" si="29">F71*0.6</f>
        <v>1921.8</v>
      </c>
      <c r="H71" s="14">
        <f>G71*I71</f>
        <v>1921.8</v>
      </c>
      <c r="I71" s="8">
        <v>1</v>
      </c>
      <c r="J71" s="10" t="s">
        <v>11</v>
      </c>
      <c r="K71" s="10" t="s">
        <v>61</v>
      </c>
    </row>
    <row r="72" spans="1:11" ht="30" customHeight="1" x14ac:dyDescent="0.25">
      <c r="A72" s="7">
        <v>71</v>
      </c>
      <c r="B72" s="7" t="str">
        <f t="shared" si="28"/>
        <v>ШР3</v>
      </c>
      <c r="C72" s="8" t="s">
        <v>10</v>
      </c>
      <c r="D72" s="19">
        <v>296830</v>
      </c>
      <c r="E72" s="12" t="s">
        <v>59</v>
      </c>
      <c r="F72" s="14">
        <v>2220</v>
      </c>
      <c r="G72" s="14">
        <f>F72*0.55</f>
        <v>1221</v>
      </c>
      <c r="H72" s="14">
        <f>G72*I72</f>
        <v>1221</v>
      </c>
      <c r="I72" s="8">
        <v>1</v>
      </c>
      <c r="J72" s="10" t="s">
        <v>11</v>
      </c>
      <c r="K72" s="10" t="s">
        <v>61</v>
      </c>
    </row>
    <row r="73" spans="1:11" ht="30" customHeight="1" x14ac:dyDescent="0.25">
      <c r="A73" s="7">
        <v>72</v>
      </c>
      <c r="B73" s="7" t="str">
        <f t="shared" si="28"/>
        <v>ШР3</v>
      </c>
      <c r="C73" s="8" t="s">
        <v>10</v>
      </c>
      <c r="D73" s="19">
        <v>296829</v>
      </c>
      <c r="E73" s="12" t="s">
        <v>60</v>
      </c>
      <c r="F73" s="14">
        <v>2111</v>
      </c>
      <c r="G73" s="14">
        <f>F73*0.55</f>
        <v>1161.0500000000002</v>
      </c>
      <c r="H73" s="14">
        <f t="shared" ref="H73:H77" si="30">G73*I73</f>
        <v>2322.1000000000004</v>
      </c>
      <c r="I73" s="8">
        <v>2</v>
      </c>
      <c r="J73" s="10" t="s">
        <v>11</v>
      </c>
      <c r="K73" s="10" t="s">
        <v>61</v>
      </c>
    </row>
    <row r="74" spans="1:11" ht="30" customHeight="1" x14ac:dyDescent="0.25">
      <c r="A74" s="7">
        <v>73</v>
      </c>
      <c r="B74" s="7" t="str">
        <f t="shared" si="28"/>
        <v>ШР3</v>
      </c>
      <c r="C74" s="8" t="s">
        <v>10</v>
      </c>
      <c r="D74" s="8">
        <v>296827</v>
      </c>
      <c r="E74" s="9" t="s">
        <v>52</v>
      </c>
      <c r="F74" s="14">
        <v>2129</v>
      </c>
      <c r="G74" s="14">
        <f t="shared" si="29"/>
        <v>1277.3999999999999</v>
      </c>
      <c r="H74" s="14">
        <f t="shared" si="30"/>
        <v>2554.7999999999997</v>
      </c>
      <c r="I74" s="8">
        <v>2</v>
      </c>
      <c r="J74" s="10" t="s">
        <v>11</v>
      </c>
      <c r="K74" s="10" t="s">
        <v>61</v>
      </c>
    </row>
    <row r="75" spans="1:11" ht="30" customHeight="1" x14ac:dyDescent="0.25">
      <c r="A75" s="7">
        <v>74</v>
      </c>
      <c r="B75" s="7" t="str">
        <f t="shared" si="28"/>
        <v>ШР3</v>
      </c>
      <c r="C75" s="8" t="s">
        <v>10</v>
      </c>
      <c r="D75" s="19">
        <v>296710</v>
      </c>
      <c r="E75" s="12" t="s">
        <v>53</v>
      </c>
      <c r="F75" s="14">
        <v>701</v>
      </c>
      <c r="G75" s="14">
        <f t="shared" si="29"/>
        <v>420.59999999999997</v>
      </c>
      <c r="H75" s="14">
        <f t="shared" si="30"/>
        <v>841.19999999999993</v>
      </c>
      <c r="I75" s="8">
        <v>2</v>
      </c>
      <c r="J75" s="10" t="s">
        <v>11</v>
      </c>
      <c r="K75" s="10" t="s">
        <v>61</v>
      </c>
    </row>
    <row r="76" spans="1:11" ht="30" customHeight="1" x14ac:dyDescent="0.25">
      <c r="A76" s="7">
        <v>75</v>
      </c>
      <c r="B76" s="7" t="str">
        <f t="shared" si="28"/>
        <v>ШР3</v>
      </c>
      <c r="C76" s="8" t="s">
        <v>8</v>
      </c>
      <c r="D76" s="8" t="s">
        <v>8</v>
      </c>
      <c r="E76" s="9" t="s">
        <v>8</v>
      </c>
      <c r="F76" s="14">
        <v>0</v>
      </c>
      <c r="G76" s="14">
        <f t="shared" si="29"/>
        <v>0</v>
      </c>
      <c r="H76" s="14">
        <f t="shared" si="30"/>
        <v>0</v>
      </c>
      <c r="I76" s="8">
        <v>1</v>
      </c>
      <c r="J76" s="10" t="s">
        <v>11</v>
      </c>
      <c r="K76" s="8" t="s">
        <v>8</v>
      </c>
    </row>
    <row r="77" spans="1:11" ht="30" customHeight="1" x14ac:dyDescent="0.25">
      <c r="A77" s="7">
        <v>76</v>
      </c>
      <c r="B77" s="7" t="str">
        <f t="shared" si="28"/>
        <v>ШР3</v>
      </c>
      <c r="C77" s="8" t="s">
        <v>9</v>
      </c>
      <c r="D77" s="8" t="s">
        <v>9</v>
      </c>
      <c r="E77" s="9" t="s">
        <v>9</v>
      </c>
      <c r="F77" s="14">
        <v>0</v>
      </c>
      <c r="G77" s="14">
        <f t="shared" si="29"/>
        <v>0</v>
      </c>
      <c r="H77" s="14">
        <f t="shared" si="30"/>
        <v>0</v>
      </c>
      <c r="I77" s="8">
        <v>720</v>
      </c>
      <c r="J77" s="10" t="s">
        <v>11</v>
      </c>
      <c r="K77" s="8" t="s">
        <v>9</v>
      </c>
    </row>
    <row r="78" spans="1:11" ht="30" customHeight="1" x14ac:dyDescent="0.25">
      <c r="A78" s="7">
        <v>77</v>
      </c>
      <c r="B78" s="7" t="str">
        <f t="shared" si="28"/>
        <v>ШР3</v>
      </c>
      <c r="C78" s="8"/>
      <c r="D78" s="8"/>
      <c r="E78" s="9"/>
      <c r="F78" s="17"/>
      <c r="G78" s="14">
        <f t="shared" si="29"/>
        <v>0</v>
      </c>
      <c r="H78" s="14">
        <f>SUM(H70:H77)</f>
        <v>8860.9000000000015</v>
      </c>
      <c r="I78" s="8"/>
      <c r="J78" s="10"/>
      <c r="K78" s="8"/>
    </row>
    <row r="79" spans="1:11" ht="30" customHeight="1" x14ac:dyDescent="0.25">
      <c r="A79" s="3">
        <v>78</v>
      </c>
      <c r="B79" s="4" t="str">
        <f>E79</f>
        <v>ШР4</v>
      </c>
      <c r="C79" s="3"/>
      <c r="D79" s="18"/>
      <c r="E79" s="3" t="s">
        <v>62</v>
      </c>
      <c r="F79" s="16"/>
      <c r="G79" s="16"/>
      <c r="H79" s="16">
        <f>I79*H88</f>
        <v>14064.6</v>
      </c>
      <c r="I79" s="6">
        <v>1</v>
      </c>
      <c r="J79" s="5" t="s">
        <v>6</v>
      </c>
      <c r="K79" s="5" t="s">
        <v>21</v>
      </c>
    </row>
    <row r="80" spans="1:11" ht="30" customHeight="1" x14ac:dyDescent="0.25">
      <c r="A80" s="7">
        <v>79</v>
      </c>
      <c r="B80" s="7" t="str">
        <f>B79</f>
        <v>ШР4</v>
      </c>
      <c r="C80" s="8" t="s">
        <v>7</v>
      </c>
      <c r="D80" s="8"/>
      <c r="E80" s="9" t="s">
        <v>49</v>
      </c>
      <c r="F80" s="14"/>
      <c r="G80" s="14">
        <f>F80*0.55</f>
        <v>0</v>
      </c>
      <c r="H80" s="14">
        <f t="shared" ref="H80" si="31">G80*I80</f>
        <v>0</v>
      </c>
      <c r="I80" s="8">
        <v>1</v>
      </c>
      <c r="J80" s="10" t="s">
        <v>11</v>
      </c>
      <c r="K80" s="10" t="s">
        <v>22</v>
      </c>
    </row>
    <row r="81" spans="1:11" ht="30" customHeight="1" x14ac:dyDescent="0.25">
      <c r="A81" s="7">
        <v>80</v>
      </c>
      <c r="B81" s="7" t="str">
        <f t="shared" ref="B81:B88" si="32">B80</f>
        <v>ШР4</v>
      </c>
      <c r="C81" s="8" t="s">
        <v>13</v>
      </c>
      <c r="D81" s="19">
        <v>193182</v>
      </c>
      <c r="E81" s="12" t="s">
        <v>57</v>
      </c>
      <c r="F81" s="14">
        <v>2493</v>
      </c>
      <c r="G81" s="14">
        <f t="shared" ref="G81:G88" si="33">F81*0.55</f>
        <v>1371.15</v>
      </c>
      <c r="H81" s="14">
        <f>G81*I81</f>
        <v>1371.15</v>
      </c>
      <c r="I81" s="8">
        <v>1</v>
      </c>
      <c r="J81" s="10" t="s">
        <v>11</v>
      </c>
      <c r="K81" s="10" t="s">
        <v>61</v>
      </c>
    </row>
    <row r="82" spans="1:11" ht="30" customHeight="1" x14ac:dyDescent="0.25">
      <c r="A82" s="7">
        <v>81</v>
      </c>
      <c r="B82" s="7" t="str">
        <f t="shared" si="32"/>
        <v>ШР4</v>
      </c>
      <c r="C82" s="8" t="s">
        <v>12</v>
      </c>
      <c r="D82" s="21">
        <v>982157</v>
      </c>
      <c r="E82" s="12" t="s">
        <v>63</v>
      </c>
      <c r="F82" s="14">
        <v>9009</v>
      </c>
      <c r="G82" s="14">
        <f t="shared" si="33"/>
        <v>4954.9500000000007</v>
      </c>
      <c r="H82" s="14">
        <f>G82*I82</f>
        <v>4954.9500000000007</v>
      </c>
      <c r="I82" s="8">
        <v>1</v>
      </c>
      <c r="J82" s="10" t="s">
        <v>11</v>
      </c>
      <c r="K82" s="10" t="s">
        <v>61</v>
      </c>
    </row>
    <row r="83" spans="1:11" ht="30" customHeight="1" x14ac:dyDescent="0.25">
      <c r="A83" s="7">
        <v>82</v>
      </c>
      <c r="B83" s="7" t="str">
        <f t="shared" si="32"/>
        <v>ШР4</v>
      </c>
      <c r="C83" s="8" t="s">
        <v>10</v>
      </c>
      <c r="D83" s="8">
        <v>296827</v>
      </c>
      <c r="E83" s="9" t="s">
        <v>52</v>
      </c>
      <c r="F83" s="14">
        <v>2129</v>
      </c>
      <c r="G83" s="14">
        <f t="shared" si="33"/>
        <v>1170.95</v>
      </c>
      <c r="H83" s="14">
        <f t="shared" ref="H83:H87" si="34">G83*I83</f>
        <v>1170.95</v>
      </c>
      <c r="I83" s="8">
        <v>1</v>
      </c>
      <c r="J83" s="10" t="s">
        <v>11</v>
      </c>
      <c r="K83" s="10" t="s">
        <v>61</v>
      </c>
    </row>
    <row r="84" spans="1:11" ht="30" customHeight="1" x14ac:dyDescent="0.25">
      <c r="A84" s="7">
        <v>83</v>
      </c>
      <c r="B84" s="7" t="str">
        <f t="shared" si="32"/>
        <v>ШР4</v>
      </c>
      <c r="C84" s="8" t="s">
        <v>10</v>
      </c>
      <c r="D84" s="19">
        <v>296710</v>
      </c>
      <c r="E84" s="12" t="s">
        <v>53</v>
      </c>
      <c r="F84" s="14">
        <v>701</v>
      </c>
      <c r="G84" s="14">
        <f t="shared" si="33"/>
        <v>385.55</v>
      </c>
      <c r="H84" s="14">
        <f t="shared" si="34"/>
        <v>771.1</v>
      </c>
      <c r="I84" s="8">
        <v>2</v>
      </c>
      <c r="J84" s="10" t="s">
        <v>11</v>
      </c>
      <c r="K84" s="10" t="s">
        <v>61</v>
      </c>
    </row>
    <row r="85" spans="1:11" ht="30" customHeight="1" x14ac:dyDescent="0.25">
      <c r="A85" s="7">
        <v>84</v>
      </c>
      <c r="B85" s="7" t="str">
        <f t="shared" si="32"/>
        <v>ШР4</v>
      </c>
      <c r="C85" s="8" t="s">
        <v>12</v>
      </c>
      <c r="D85" s="19">
        <v>105542</v>
      </c>
      <c r="E85" s="12" t="s">
        <v>54</v>
      </c>
      <c r="F85" s="14">
        <v>3513</v>
      </c>
      <c r="G85" s="14">
        <f t="shared" si="33"/>
        <v>1932.15</v>
      </c>
      <c r="H85" s="14">
        <f t="shared" si="34"/>
        <v>5796.4500000000007</v>
      </c>
      <c r="I85" s="8">
        <v>3</v>
      </c>
      <c r="J85" s="10" t="s">
        <v>11</v>
      </c>
      <c r="K85" s="10" t="s">
        <v>61</v>
      </c>
    </row>
    <row r="86" spans="1:11" ht="30" customHeight="1" x14ac:dyDescent="0.25">
      <c r="A86" s="7">
        <v>85</v>
      </c>
      <c r="B86" s="7" t="str">
        <f t="shared" si="32"/>
        <v>ШР4</v>
      </c>
      <c r="C86" s="8" t="s">
        <v>8</v>
      </c>
      <c r="D86" s="8" t="s">
        <v>8</v>
      </c>
      <c r="E86" s="9" t="s">
        <v>8</v>
      </c>
      <c r="F86" s="14">
        <v>0</v>
      </c>
      <c r="G86" s="14">
        <f t="shared" si="33"/>
        <v>0</v>
      </c>
      <c r="H86" s="14">
        <f t="shared" si="34"/>
        <v>0</v>
      </c>
      <c r="I86" s="8">
        <v>1</v>
      </c>
      <c r="J86" s="10" t="s">
        <v>11</v>
      </c>
      <c r="K86" s="8" t="s">
        <v>8</v>
      </c>
    </row>
    <row r="87" spans="1:11" ht="30" customHeight="1" x14ac:dyDescent="0.25">
      <c r="A87" s="7">
        <v>86</v>
      </c>
      <c r="B87" s="7" t="str">
        <f t="shared" si="32"/>
        <v>ШР4</v>
      </c>
      <c r="C87" s="8" t="s">
        <v>9</v>
      </c>
      <c r="D87" s="8" t="s">
        <v>9</v>
      </c>
      <c r="E87" s="9" t="s">
        <v>9</v>
      </c>
      <c r="F87" s="14">
        <v>0</v>
      </c>
      <c r="G87" s="14">
        <f t="shared" si="33"/>
        <v>0</v>
      </c>
      <c r="H87" s="14">
        <f t="shared" si="34"/>
        <v>0</v>
      </c>
      <c r="I87" s="8">
        <v>720</v>
      </c>
      <c r="J87" s="10" t="s">
        <v>11</v>
      </c>
      <c r="K87" s="8" t="s">
        <v>9</v>
      </c>
    </row>
    <row r="88" spans="1:11" ht="30" customHeight="1" x14ac:dyDescent="0.25">
      <c r="A88" s="7">
        <v>87</v>
      </c>
      <c r="B88" s="7" t="str">
        <f t="shared" si="32"/>
        <v>ШР4</v>
      </c>
      <c r="C88" s="8"/>
      <c r="D88" s="8"/>
      <c r="E88" s="9"/>
      <c r="F88" s="17"/>
      <c r="G88" s="14">
        <f t="shared" si="33"/>
        <v>0</v>
      </c>
      <c r="H88" s="14">
        <f>SUM(H80:H87)</f>
        <v>14064.6</v>
      </c>
      <c r="I88" s="8"/>
      <c r="J88" s="10"/>
      <c r="K88" s="8"/>
    </row>
    <row r="89" spans="1:11" ht="30" customHeight="1" x14ac:dyDescent="0.25">
      <c r="A89" s="3">
        <v>88</v>
      </c>
      <c r="B89" s="4" t="str">
        <f>E89</f>
        <v>ШР5</v>
      </c>
      <c r="C89" s="3"/>
      <c r="D89" s="18"/>
      <c r="E89" s="3" t="s">
        <v>64</v>
      </c>
      <c r="F89" s="16"/>
      <c r="G89" s="16"/>
      <c r="H89" s="16">
        <f>I89*H98</f>
        <v>7972.7999999999993</v>
      </c>
      <c r="I89" s="6">
        <v>1</v>
      </c>
      <c r="J89" s="5" t="s">
        <v>6</v>
      </c>
      <c r="K89" s="5" t="s">
        <v>21</v>
      </c>
    </row>
    <row r="90" spans="1:11" ht="30" customHeight="1" x14ac:dyDescent="0.25">
      <c r="A90" s="7">
        <v>89</v>
      </c>
      <c r="B90" s="7" t="str">
        <f>B89</f>
        <v>ШР5</v>
      </c>
      <c r="C90" s="8" t="s">
        <v>7</v>
      </c>
      <c r="D90" s="8"/>
      <c r="E90" s="9" t="s">
        <v>49</v>
      </c>
      <c r="F90" s="14"/>
      <c r="G90" s="14">
        <f>F90*0.55</f>
        <v>0</v>
      </c>
      <c r="H90" s="14">
        <f t="shared" ref="H90" si="35">G90*I90</f>
        <v>0</v>
      </c>
      <c r="I90" s="8">
        <v>1</v>
      </c>
      <c r="J90" s="10" t="s">
        <v>11</v>
      </c>
      <c r="K90" s="10" t="s">
        <v>22</v>
      </c>
    </row>
    <row r="91" spans="1:11" ht="30" customHeight="1" x14ac:dyDescent="0.25">
      <c r="A91" s="7">
        <v>90</v>
      </c>
      <c r="B91" s="7" t="str">
        <f t="shared" ref="B91:B98" si="36">B90</f>
        <v>ШР5</v>
      </c>
      <c r="C91" s="8" t="s">
        <v>13</v>
      </c>
      <c r="D91" s="19">
        <v>193182</v>
      </c>
      <c r="E91" s="12" t="s">
        <v>57</v>
      </c>
      <c r="F91" s="14">
        <v>2493</v>
      </c>
      <c r="G91" s="14">
        <f t="shared" ref="G91:G98" si="37">F91*0.55</f>
        <v>1371.15</v>
      </c>
      <c r="H91" s="14">
        <f>G91*I91</f>
        <v>1371.15</v>
      </c>
      <c r="I91" s="8">
        <v>1</v>
      </c>
      <c r="J91" s="10" t="s">
        <v>11</v>
      </c>
      <c r="K91" s="10" t="s">
        <v>61</v>
      </c>
    </row>
    <row r="92" spans="1:11" ht="30" customHeight="1" x14ac:dyDescent="0.25">
      <c r="A92" s="7">
        <v>91</v>
      </c>
      <c r="B92" s="7" t="str">
        <f t="shared" si="36"/>
        <v>ШР5</v>
      </c>
      <c r="C92" s="8" t="s">
        <v>10</v>
      </c>
      <c r="D92" s="8">
        <v>296827</v>
      </c>
      <c r="E92" s="9" t="s">
        <v>52</v>
      </c>
      <c r="F92" s="14">
        <v>2129</v>
      </c>
      <c r="G92" s="14">
        <f t="shared" si="37"/>
        <v>1170.95</v>
      </c>
      <c r="H92" s="14">
        <f t="shared" ref="H92:H97" si="38">G92*I92</f>
        <v>3512.8500000000004</v>
      </c>
      <c r="I92" s="8">
        <v>3</v>
      </c>
      <c r="J92" s="10" t="s">
        <v>11</v>
      </c>
      <c r="K92" s="10" t="s">
        <v>61</v>
      </c>
    </row>
    <row r="93" spans="1:11" ht="30" customHeight="1" x14ac:dyDescent="0.25">
      <c r="A93" s="7">
        <v>92</v>
      </c>
      <c r="B93" s="7" t="str">
        <f t="shared" si="36"/>
        <v>ШР5</v>
      </c>
      <c r="C93" s="8" t="s">
        <v>10</v>
      </c>
      <c r="D93" s="22">
        <v>296713</v>
      </c>
      <c r="E93" s="9" t="s">
        <v>65</v>
      </c>
      <c r="F93" s="14">
        <v>764</v>
      </c>
      <c r="G93" s="14">
        <f t="shared" si="37"/>
        <v>420.20000000000005</v>
      </c>
      <c r="H93" s="14"/>
      <c r="I93" s="8">
        <v>1</v>
      </c>
      <c r="J93" s="10" t="s">
        <v>11</v>
      </c>
      <c r="K93" s="10" t="s">
        <v>61</v>
      </c>
    </row>
    <row r="94" spans="1:11" ht="30" customHeight="1" x14ac:dyDescent="0.25">
      <c r="A94" s="7">
        <v>93</v>
      </c>
      <c r="B94" s="7" t="str">
        <f t="shared" si="36"/>
        <v>ШР5</v>
      </c>
      <c r="C94" s="8" t="s">
        <v>10</v>
      </c>
      <c r="D94" s="19">
        <v>296710</v>
      </c>
      <c r="E94" s="12" t="s">
        <v>53</v>
      </c>
      <c r="F94" s="14">
        <v>701</v>
      </c>
      <c r="G94" s="14">
        <f t="shared" si="37"/>
        <v>385.55</v>
      </c>
      <c r="H94" s="14">
        <f t="shared" si="38"/>
        <v>1156.6500000000001</v>
      </c>
      <c r="I94" s="8">
        <v>3</v>
      </c>
      <c r="J94" s="10" t="s">
        <v>11</v>
      </c>
      <c r="K94" s="10" t="s">
        <v>61</v>
      </c>
    </row>
    <row r="95" spans="1:11" ht="30" customHeight="1" x14ac:dyDescent="0.25">
      <c r="A95" s="7">
        <v>94</v>
      </c>
      <c r="B95" s="7" t="str">
        <f t="shared" si="36"/>
        <v>ШР5</v>
      </c>
      <c r="C95" s="8" t="s">
        <v>12</v>
      </c>
      <c r="D95" s="19">
        <v>105542</v>
      </c>
      <c r="E95" s="12" t="s">
        <v>54</v>
      </c>
      <c r="F95" s="14">
        <v>3513</v>
      </c>
      <c r="G95" s="14">
        <f t="shared" si="37"/>
        <v>1932.15</v>
      </c>
      <c r="H95" s="14">
        <f t="shared" si="38"/>
        <v>1932.15</v>
      </c>
      <c r="I95" s="8">
        <v>1</v>
      </c>
      <c r="J95" s="10" t="s">
        <v>11</v>
      </c>
      <c r="K95" s="10" t="s">
        <v>61</v>
      </c>
    </row>
    <row r="96" spans="1:11" ht="30" customHeight="1" x14ac:dyDescent="0.25">
      <c r="A96" s="7">
        <v>95</v>
      </c>
      <c r="B96" s="7" t="str">
        <f t="shared" si="36"/>
        <v>ШР5</v>
      </c>
      <c r="C96" s="8" t="s">
        <v>8</v>
      </c>
      <c r="D96" s="8" t="s">
        <v>8</v>
      </c>
      <c r="E96" s="9" t="s">
        <v>8</v>
      </c>
      <c r="F96" s="14">
        <v>0</v>
      </c>
      <c r="G96" s="14">
        <f t="shared" si="37"/>
        <v>0</v>
      </c>
      <c r="H96" s="14">
        <f t="shared" si="38"/>
        <v>0</v>
      </c>
      <c r="I96" s="8">
        <v>1</v>
      </c>
      <c r="J96" s="10" t="s">
        <v>11</v>
      </c>
      <c r="K96" s="8" t="s">
        <v>8</v>
      </c>
    </row>
    <row r="97" spans="1:11" ht="30" customHeight="1" x14ac:dyDescent="0.25">
      <c r="A97" s="7">
        <v>96</v>
      </c>
      <c r="B97" s="7" t="str">
        <f t="shared" si="36"/>
        <v>ШР5</v>
      </c>
      <c r="C97" s="8" t="s">
        <v>9</v>
      </c>
      <c r="D97" s="8" t="s">
        <v>9</v>
      </c>
      <c r="E97" s="9" t="s">
        <v>9</v>
      </c>
      <c r="F97" s="14">
        <v>0</v>
      </c>
      <c r="G97" s="14">
        <f t="shared" si="37"/>
        <v>0</v>
      </c>
      <c r="H97" s="14">
        <f t="shared" si="38"/>
        <v>0</v>
      </c>
      <c r="I97" s="8">
        <v>720</v>
      </c>
      <c r="J97" s="10" t="s">
        <v>11</v>
      </c>
      <c r="K97" s="8" t="s">
        <v>9</v>
      </c>
    </row>
    <row r="98" spans="1:11" ht="30" customHeight="1" x14ac:dyDescent="0.25">
      <c r="A98" s="7">
        <v>97</v>
      </c>
      <c r="B98" s="7" t="str">
        <f t="shared" si="36"/>
        <v>ШР5</v>
      </c>
      <c r="C98" s="8"/>
      <c r="D98" s="8"/>
      <c r="E98" s="9"/>
      <c r="F98" s="17"/>
      <c r="G98" s="14">
        <f t="shared" si="37"/>
        <v>0</v>
      </c>
      <c r="H98" s="14">
        <f>SUM(H90:H97)</f>
        <v>7972.7999999999993</v>
      </c>
      <c r="I98" s="8"/>
      <c r="J98" s="10"/>
      <c r="K98" s="8"/>
    </row>
    <row r="99" spans="1:11" ht="30" customHeight="1" x14ac:dyDescent="0.25">
      <c r="A99" s="3">
        <v>98</v>
      </c>
      <c r="B99" s="4" t="str">
        <f>E99</f>
        <v>ШРВ-1</v>
      </c>
      <c r="C99" s="3"/>
      <c r="D99" s="18"/>
      <c r="E99" s="3" t="s">
        <v>66</v>
      </c>
      <c r="F99" s="16"/>
      <c r="G99" s="16"/>
      <c r="H99" s="16">
        <f>I99*H109</f>
        <v>27445.000000000007</v>
      </c>
      <c r="I99" s="6">
        <v>1</v>
      </c>
      <c r="J99" s="5" t="s">
        <v>6</v>
      </c>
      <c r="K99" s="5" t="s">
        <v>21</v>
      </c>
    </row>
    <row r="100" spans="1:11" ht="30" customHeight="1" x14ac:dyDescent="0.25">
      <c r="A100" s="7">
        <v>99</v>
      </c>
      <c r="B100" s="7" t="str">
        <f>B99</f>
        <v>ШРВ-1</v>
      </c>
      <c r="C100" s="8" t="s">
        <v>7</v>
      </c>
      <c r="D100" s="8"/>
      <c r="E100" s="9" t="s">
        <v>67</v>
      </c>
      <c r="F100" s="14"/>
      <c r="G100" s="14">
        <f>F100*0.55</f>
        <v>0</v>
      </c>
      <c r="H100" s="14">
        <f t="shared" ref="H100" si="39">G100*I100</f>
        <v>0</v>
      </c>
      <c r="I100" s="8">
        <v>1</v>
      </c>
      <c r="J100" s="10" t="s">
        <v>11</v>
      </c>
      <c r="K100" s="10" t="s">
        <v>22</v>
      </c>
    </row>
    <row r="101" spans="1:11" ht="30" customHeight="1" x14ac:dyDescent="0.25">
      <c r="A101" s="7">
        <v>100</v>
      </c>
      <c r="B101" s="7" t="str">
        <f t="shared" ref="B101:B109" si="40">B100</f>
        <v>ШРВ-1</v>
      </c>
      <c r="C101" s="8" t="s">
        <v>13</v>
      </c>
      <c r="D101" s="19">
        <v>193182</v>
      </c>
      <c r="E101" s="12" t="s">
        <v>57</v>
      </c>
      <c r="F101" s="14">
        <v>2493</v>
      </c>
      <c r="G101" s="14">
        <f t="shared" ref="G101:G176" si="41">F101*0.55</f>
        <v>1371.15</v>
      </c>
      <c r="H101" s="14">
        <f>G101*I101</f>
        <v>1371.15</v>
      </c>
      <c r="I101" s="8">
        <v>1</v>
      </c>
      <c r="J101" s="10" t="s">
        <v>11</v>
      </c>
      <c r="K101" s="10" t="s">
        <v>61</v>
      </c>
    </row>
    <row r="102" spans="1:11" ht="30" customHeight="1" x14ac:dyDescent="0.25">
      <c r="A102" s="7">
        <v>101</v>
      </c>
      <c r="B102" s="7" t="str">
        <f t="shared" si="40"/>
        <v>ШРВ-1</v>
      </c>
      <c r="C102" s="8" t="s">
        <v>10</v>
      </c>
      <c r="D102" s="8">
        <v>296827</v>
      </c>
      <c r="E102" s="9" t="s">
        <v>52</v>
      </c>
      <c r="F102" s="14">
        <v>2129</v>
      </c>
      <c r="G102" s="14">
        <f t="shared" si="41"/>
        <v>1170.95</v>
      </c>
      <c r="H102" s="14">
        <f t="shared" ref="H102" si="42">G102*I102</f>
        <v>1170.95</v>
      </c>
      <c r="I102" s="8">
        <v>1</v>
      </c>
      <c r="J102" s="10" t="s">
        <v>11</v>
      </c>
      <c r="K102" s="10" t="s">
        <v>61</v>
      </c>
    </row>
    <row r="103" spans="1:11" ht="30" customHeight="1" x14ac:dyDescent="0.25">
      <c r="A103" s="7">
        <v>102</v>
      </c>
      <c r="B103" s="7" t="str">
        <f t="shared" si="40"/>
        <v>ШРВ-1</v>
      </c>
      <c r="C103" s="8" t="s">
        <v>10</v>
      </c>
      <c r="D103" s="19">
        <v>296710</v>
      </c>
      <c r="E103" s="12" t="s">
        <v>53</v>
      </c>
      <c r="F103" s="14">
        <v>701</v>
      </c>
      <c r="G103" s="14">
        <f t="shared" si="41"/>
        <v>385.55</v>
      </c>
      <c r="H103" s="14">
        <f t="shared" ref="H103:H108" si="43">G103*I103</f>
        <v>2313.3000000000002</v>
      </c>
      <c r="I103" s="8">
        <v>6</v>
      </c>
      <c r="J103" s="10" t="s">
        <v>11</v>
      </c>
      <c r="K103" s="10" t="s">
        <v>61</v>
      </c>
    </row>
    <row r="104" spans="1:11" ht="27.75" customHeight="1" x14ac:dyDescent="0.25">
      <c r="A104" s="7">
        <v>103</v>
      </c>
      <c r="B104" s="7" t="str">
        <f t="shared" si="40"/>
        <v>ШРВ-1</v>
      </c>
      <c r="C104" s="8" t="s">
        <v>102</v>
      </c>
      <c r="D104" s="19"/>
      <c r="E104" s="12" t="s">
        <v>122</v>
      </c>
      <c r="F104" s="14">
        <v>3505</v>
      </c>
      <c r="G104" s="14">
        <f t="shared" ref="G104" si="44">F104*0.55</f>
        <v>1927.7500000000002</v>
      </c>
      <c r="H104" s="14">
        <f t="shared" ref="H104" si="45">G104*I104</f>
        <v>19277.500000000004</v>
      </c>
      <c r="I104" s="8">
        <v>10</v>
      </c>
      <c r="J104" s="10" t="s">
        <v>11</v>
      </c>
      <c r="K104" s="10" t="s">
        <v>61</v>
      </c>
    </row>
    <row r="105" spans="1:11" ht="25.5" customHeight="1" x14ac:dyDescent="0.25">
      <c r="A105" s="7">
        <v>104</v>
      </c>
      <c r="B105" s="7" t="str">
        <f t="shared" si="40"/>
        <v>ШРВ-1</v>
      </c>
      <c r="C105" s="8" t="s">
        <v>102</v>
      </c>
      <c r="D105" s="19">
        <v>256089</v>
      </c>
      <c r="E105" s="12" t="s">
        <v>127</v>
      </c>
      <c r="F105" s="14">
        <v>6022</v>
      </c>
      <c r="G105" s="14">
        <f t="shared" ref="G105" si="46">F105*0.55</f>
        <v>3312.1000000000004</v>
      </c>
      <c r="H105" s="14">
        <f t="shared" ref="H105" si="47">G105*I105</f>
        <v>3312.1000000000004</v>
      </c>
      <c r="I105" s="8">
        <v>1</v>
      </c>
      <c r="J105" s="10" t="s">
        <v>11</v>
      </c>
      <c r="K105" s="10" t="s">
        <v>61</v>
      </c>
    </row>
    <row r="106" spans="1:11" ht="30" customHeight="1" x14ac:dyDescent="0.25">
      <c r="A106" s="7">
        <v>105</v>
      </c>
      <c r="B106" s="7" t="str">
        <f t="shared" si="40"/>
        <v>ШРВ-1</v>
      </c>
      <c r="C106" s="8" t="s">
        <v>102</v>
      </c>
      <c r="D106" s="19"/>
      <c r="E106" s="12" t="s">
        <v>123</v>
      </c>
      <c r="F106" s="14"/>
      <c r="G106" s="14">
        <f t="shared" ref="G106" si="48">F106*0.55</f>
        <v>0</v>
      </c>
      <c r="H106" s="14">
        <f t="shared" ref="H106" si="49">G106*I106</f>
        <v>0</v>
      </c>
      <c r="I106" s="8">
        <v>11</v>
      </c>
      <c r="J106" s="10" t="s">
        <v>11</v>
      </c>
      <c r="K106" s="10" t="s">
        <v>61</v>
      </c>
    </row>
    <row r="107" spans="1:11" ht="30" customHeight="1" x14ac:dyDescent="0.25">
      <c r="A107" s="7">
        <v>106</v>
      </c>
      <c r="B107" s="7" t="str">
        <f>B103</f>
        <v>ШРВ-1</v>
      </c>
      <c r="C107" s="8" t="s">
        <v>8</v>
      </c>
      <c r="D107" s="8" t="s">
        <v>8</v>
      </c>
      <c r="E107" s="9" t="s">
        <v>8</v>
      </c>
      <c r="F107" s="14">
        <v>0</v>
      </c>
      <c r="G107" s="14">
        <f t="shared" si="41"/>
        <v>0</v>
      </c>
      <c r="H107" s="14">
        <f t="shared" si="43"/>
        <v>0</v>
      </c>
      <c r="I107" s="8">
        <v>1</v>
      </c>
      <c r="J107" s="10" t="s">
        <v>11</v>
      </c>
      <c r="K107" s="8" t="s">
        <v>8</v>
      </c>
    </row>
    <row r="108" spans="1:11" ht="30" customHeight="1" x14ac:dyDescent="0.25">
      <c r="A108" s="7">
        <v>107</v>
      </c>
      <c r="B108" s="7" t="str">
        <f t="shared" si="40"/>
        <v>ШРВ-1</v>
      </c>
      <c r="C108" s="8" t="s">
        <v>9</v>
      </c>
      <c r="D108" s="8" t="s">
        <v>9</v>
      </c>
      <c r="E108" s="9" t="s">
        <v>9</v>
      </c>
      <c r="F108" s="14">
        <v>0</v>
      </c>
      <c r="G108" s="14">
        <f t="shared" si="41"/>
        <v>0</v>
      </c>
      <c r="H108" s="14">
        <f t="shared" si="43"/>
        <v>0</v>
      </c>
      <c r="I108" s="8">
        <v>720</v>
      </c>
      <c r="J108" s="10" t="s">
        <v>11</v>
      </c>
      <c r="K108" s="8" t="s">
        <v>9</v>
      </c>
    </row>
    <row r="109" spans="1:11" ht="30" customHeight="1" x14ac:dyDescent="0.25">
      <c r="A109" s="7">
        <v>108</v>
      </c>
      <c r="B109" s="7" t="str">
        <f t="shared" si="40"/>
        <v>ШРВ-1</v>
      </c>
      <c r="C109" s="8"/>
      <c r="D109" s="8"/>
      <c r="E109" s="9"/>
      <c r="F109" s="17"/>
      <c r="G109" s="14">
        <f t="shared" si="41"/>
        <v>0</v>
      </c>
      <c r="H109" s="14">
        <f>SUM(H100:H108)</f>
        <v>27445.000000000007</v>
      </c>
      <c r="I109" s="8"/>
      <c r="J109" s="10"/>
      <c r="K109" s="8"/>
    </row>
    <row r="110" spans="1:11" ht="30" customHeight="1" x14ac:dyDescent="0.25">
      <c r="A110" s="3">
        <v>109</v>
      </c>
      <c r="B110" s="4" t="str">
        <f>E110</f>
        <v>ШРВ-2</v>
      </c>
      <c r="C110" s="3"/>
      <c r="D110" s="18"/>
      <c r="E110" s="3" t="s">
        <v>68</v>
      </c>
      <c r="F110" s="16"/>
      <c r="G110" s="16"/>
      <c r="H110" s="16">
        <f>I110*H120</f>
        <v>19348.450000000004</v>
      </c>
      <c r="I110" s="6">
        <v>1</v>
      </c>
      <c r="J110" s="5" t="s">
        <v>6</v>
      </c>
      <c r="K110" s="5" t="s">
        <v>21</v>
      </c>
    </row>
    <row r="111" spans="1:11" ht="30" customHeight="1" x14ac:dyDescent="0.25">
      <c r="A111" s="7">
        <v>110</v>
      </c>
      <c r="B111" s="7" t="str">
        <f>B110</f>
        <v>ШРВ-2</v>
      </c>
      <c r="C111" s="8" t="s">
        <v>7</v>
      </c>
      <c r="D111" s="8"/>
      <c r="E111" s="9" t="s">
        <v>67</v>
      </c>
      <c r="F111" s="14"/>
      <c r="G111" s="14">
        <f t="shared" si="41"/>
        <v>0</v>
      </c>
      <c r="H111" s="14">
        <f t="shared" ref="H111" si="50">G111*I111</f>
        <v>0</v>
      </c>
      <c r="I111" s="8">
        <v>1</v>
      </c>
      <c r="J111" s="10" t="s">
        <v>11</v>
      </c>
      <c r="K111" s="10" t="s">
        <v>22</v>
      </c>
    </row>
    <row r="112" spans="1:11" ht="30" customHeight="1" x14ac:dyDescent="0.25">
      <c r="A112" s="7">
        <v>111</v>
      </c>
      <c r="B112" s="7" t="str">
        <f t="shared" ref="B112:B120" si="51">B111</f>
        <v>ШРВ-2</v>
      </c>
      <c r="C112" s="8" t="s">
        <v>13</v>
      </c>
      <c r="D112" s="19">
        <v>193182</v>
      </c>
      <c r="E112" s="12" t="s">
        <v>57</v>
      </c>
      <c r="F112" s="14">
        <v>2493</v>
      </c>
      <c r="G112" s="14">
        <f t="shared" si="41"/>
        <v>1371.15</v>
      </c>
      <c r="H112" s="14">
        <f>G112*I112</f>
        <v>1371.15</v>
      </c>
      <c r="I112" s="8">
        <v>1</v>
      </c>
      <c r="J112" s="10" t="s">
        <v>11</v>
      </c>
      <c r="K112" s="10" t="s">
        <v>61</v>
      </c>
    </row>
    <row r="113" spans="1:11" ht="30" customHeight="1" x14ac:dyDescent="0.25">
      <c r="A113" s="7">
        <v>112</v>
      </c>
      <c r="B113" s="7" t="str">
        <f t="shared" si="51"/>
        <v>ШРВ-2</v>
      </c>
      <c r="C113" s="8" t="s">
        <v>10</v>
      </c>
      <c r="D113" s="8">
        <v>296827</v>
      </c>
      <c r="E113" s="9" t="s">
        <v>52</v>
      </c>
      <c r="F113" s="14">
        <v>2129</v>
      </c>
      <c r="G113" s="14">
        <f t="shared" si="41"/>
        <v>1170.95</v>
      </c>
      <c r="H113" s="14">
        <f t="shared" ref="H113:H119" si="52">G113*I113</f>
        <v>1170.95</v>
      </c>
      <c r="I113" s="8">
        <v>1</v>
      </c>
      <c r="J113" s="10" t="s">
        <v>11</v>
      </c>
      <c r="K113" s="10" t="s">
        <v>61</v>
      </c>
    </row>
    <row r="114" spans="1:11" ht="30" customHeight="1" x14ac:dyDescent="0.25">
      <c r="A114" s="7">
        <v>113</v>
      </c>
      <c r="B114" s="7" t="str">
        <f t="shared" si="51"/>
        <v>ШРВ-2</v>
      </c>
      <c r="C114" s="8" t="s">
        <v>10</v>
      </c>
      <c r="D114" s="19">
        <v>296710</v>
      </c>
      <c r="E114" s="12" t="s">
        <v>53</v>
      </c>
      <c r="F114" s="14">
        <v>701</v>
      </c>
      <c r="G114" s="14">
        <f t="shared" si="41"/>
        <v>385.55</v>
      </c>
      <c r="H114" s="14">
        <f t="shared" si="52"/>
        <v>1927.75</v>
      </c>
      <c r="I114" s="8">
        <v>5</v>
      </c>
      <c r="J114" s="10" t="s">
        <v>11</v>
      </c>
      <c r="K114" s="10" t="s">
        <v>61</v>
      </c>
    </row>
    <row r="115" spans="1:11" ht="27.75" customHeight="1" x14ac:dyDescent="0.25">
      <c r="A115" s="7">
        <v>114</v>
      </c>
      <c r="B115" s="7" t="str">
        <f t="shared" si="51"/>
        <v>ШРВ-2</v>
      </c>
      <c r="C115" s="8" t="s">
        <v>102</v>
      </c>
      <c r="D115" s="19"/>
      <c r="E115" s="12" t="s">
        <v>122</v>
      </c>
      <c r="F115" s="14">
        <v>3505</v>
      </c>
      <c r="G115" s="14">
        <f t="shared" si="41"/>
        <v>1927.7500000000002</v>
      </c>
      <c r="H115" s="14">
        <f t="shared" si="52"/>
        <v>11566.500000000002</v>
      </c>
      <c r="I115" s="8">
        <v>6</v>
      </c>
      <c r="J115" s="10" t="s">
        <v>11</v>
      </c>
      <c r="K115" s="10" t="s">
        <v>61</v>
      </c>
    </row>
    <row r="116" spans="1:11" ht="25.5" customHeight="1" x14ac:dyDescent="0.25">
      <c r="A116" s="7">
        <v>115</v>
      </c>
      <c r="B116" s="7" t="str">
        <f t="shared" si="51"/>
        <v>ШРВ-2</v>
      </c>
      <c r="C116" s="8" t="s">
        <v>102</v>
      </c>
      <c r="D116" s="19">
        <v>256089</v>
      </c>
      <c r="E116" s="12" t="s">
        <v>127</v>
      </c>
      <c r="F116" s="14">
        <v>6022</v>
      </c>
      <c r="G116" s="14">
        <f t="shared" si="41"/>
        <v>3312.1000000000004</v>
      </c>
      <c r="H116" s="14">
        <f t="shared" si="52"/>
        <v>3312.1000000000004</v>
      </c>
      <c r="I116" s="8">
        <v>1</v>
      </c>
      <c r="J116" s="10" t="s">
        <v>11</v>
      </c>
      <c r="K116" s="10" t="s">
        <v>61</v>
      </c>
    </row>
    <row r="117" spans="1:11" ht="30" customHeight="1" x14ac:dyDescent="0.25">
      <c r="A117" s="7">
        <v>116</v>
      </c>
      <c r="B117" s="7" t="str">
        <f t="shared" si="51"/>
        <v>ШРВ-2</v>
      </c>
      <c r="C117" s="8" t="s">
        <v>102</v>
      </c>
      <c r="D117" s="19"/>
      <c r="E117" s="12" t="s">
        <v>123</v>
      </c>
      <c r="F117" s="14"/>
      <c r="G117" s="14">
        <f t="shared" si="41"/>
        <v>0</v>
      </c>
      <c r="H117" s="14">
        <f t="shared" si="52"/>
        <v>0</v>
      </c>
      <c r="I117" s="8">
        <v>7</v>
      </c>
      <c r="J117" s="10" t="s">
        <v>11</v>
      </c>
      <c r="K117" s="10" t="s">
        <v>61</v>
      </c>
    </row>
    <row r="118" spans="1:11" ht="30" customHeight="1" x14ac:dyDescent="0.25">
      <c r="A118" s="7">
        <v>117</v>
      </c>
      <c r="B118" s="7" t="str">
        <f>B114</f>
        <v>ШРВ-2</v>
      </c>
      <c r="C118" s="8" t="s">
        <v>8</v>
      </c>
      <c r="D118" s="8" t="s">
        <v>8</v>
      </c>
      <c r="E118" s="9" t="s">
        <v>8</v>
      </c>
      <c r="F118" s="14">
        <v>0</v>
      </c>
      <c r="G118" s="14">
        <f t="shared" si="41"/>
        <v>0</v>
      </c>
      <c r="H118" s="14">
        <f t="shared" si="52"/>
        <v>0</v>
      </c>
      <c r="I118" s="8">
        <v>1</v>
      </c>
      <c r="J118" s="10" t="s">
        <v>11</v>
      </c>
      <c r="K118" s="8" t="s">
        <v>8</v>
      </c>
    </row>
    <row r="119" spans="1:11" ht="30" customHeight="1" x14ac:dyDescent="0.25">
      <c r="A119" s="7">
        <v>118</v>
      </c>
      <c r="B119" s="7" t="str">
        <f t="shared" si="51"/>
        <v>ШРВ-2</v>
      </c>
      <c r="C119" s="8" t="s">
        <v>9</v>
      </c>
      <c r="D119" s="8" t="s">
        <v>9</v>
      </c>
      <c r="E119" s="9" t="s">
        <v>9</v>
      </c>
      <c r="F119" s="14">
        <v>0</v>
      </c>
      <c r="G119" s="14">
        <f t="shared" si="41"/>
        <v>0</v>
      </c>
      <c r="H119" s="14">
        <f t="shared" si="52"/>
        <v>0</v>
      </c>
      <c r="I119" s="8">
        <v>720</v>
      </c>
      <c r="J119" s="10" t="s">
        <v>11</v>
      </c>
      <c r="K119" s="8" t="s">
        <v>9</v>
      </c>
    </row>
    <row r="120" spans="1:11" ht="30" customHeight="1" x14ac:dyDescent="0.25">
      <c r="A120" s="7">
        <v>119</v>
      </c>
      <c r="B120" s="7" t="str">
        <f t="shared" si="51"/>
        <v>ШРВ-2</v>
      </c>
      <c r="C120" s="8"/>
      <c r="D120" s="8"/>
      <c r="E120" s="9"/>
      <c r="F120" s="17"/>
      <c r="G120" s="14">
        <f t="shared" si="41"/>
        <v>0</v>
      </c>
      <c r="H120" s="14">
        <f>SUM(H111:H119)</f>
        <v>19348.450000000004</v>
      </c>
      <c r="I120" s="8"/>
      <c r="J120" s="10"/>
      <c r="K120" s="8"/>
    </row>
    <row r="121" spans="1:11" ht="30" customHeight="1" x14ac:dyDescent="0.25">
      <c r="A121" s="3">
        <v>120</v>
      </c>
      <c r="B121" s="4" t="str">
        <f>E121</f>
        <v>Ящик управления задвижкой Яз1(Я5411-3074)?</v>
      </c>
      <c r="C121" s="3"/>
      <c r="D121" s="18"/>
      <c r="E121" s="3" t="s">
        <v>128</v>
      </c>
      <c r="F121" s="16"/>
      <c r="G121" s="16"/>
      <c r="H121" s="16">
        <f>I121*H133</f>
        <v>11976.800000000003</v>
      </c>
      <c r="I121" s="6">
        <v>1</v>
      </c>
      <c r="J121" s="5" t="s">
        <v>6</v>
      </c>
      <c r="K121" s="5" t="s">
        <v>21</v>
      </c>
    </row>
    <row r="122" spans="1:11" ht="30" customHeight="1" x14ac:dyDescent="0.25">
      <c r="A122" s="7">
        <v>121</v>
      </c>
      <c r="B122" s="7" t="str">
        <f>B121</f>
        <v>Ящик управления задвижкой Яз1(Я5411-3074)?</v>
      </c>
      <c r="C122" s="8" t="s">
        <v>7</v>
      </c>
      <c r="D122" s="8"/>
      <c r="E122" s="9" t="s">
        <v>69</v>
      </c>
      <c r="F122" s="14"/>
      <c r="G122" s="14">
        <f t="shared" si="41"/>
        <v>0</v>
      </c>
      <c r="H122" s="14">
        <f t="shared" ref="H122:H123" si="53">G122*I122</f>
        <v>0</v>
      </c>
      <c r="I122" s="8">
        <v>1</v>
      </c>
      <c r="J122" s="10" t="s">
        <v>11</v>
      </c>
      <c r="K122" s="10" t="s">
        <v>22</v>
      </c>
    </row>
    <row r="123" spans="1:11" ht="30" customHeight="1" x14ac:dyDescent="0.25">
      <c r="A123" s="7">
        <v>122</v>
      </c>
      <c r="B123" s="7" t="str">
        <f t="shared" ref="B123:B133" si="54">B122</f>
        <v>Ящик управления задвижкой Яз1(Я5411-3074)?</v>
      </c>
      <c r="C123" s="8" t="s">
        <v>10</v>
      </c>
      <c r="D123" s="24">
        <v>814169</v>
      </c>
      <c r="E123" s="9" t="s">
        <v>112</v>
      </c>
      <c r="F123" s="14">
        <v>5005</v>
      </c>
      <c r="G123" s="14">
        <f t="shared" si="41"/>
        <v>2752.75</v>
      </c>
      <c r="H123" s="14">
        <f t="shared" si="53"/>
        <v>2752.75</v>
      </c>
      <c r="I123" s="8">
        <v>1</v>
      </c>
      <c r="J123" s="10" t="s">
        <v>11</v>
      </c>
      <c r="K123" s="10"/>
    </row>
    <row r="124" spans="1:11" ht="30" customHeight="1" x14ac:dyDescent="0.25">
      <c r="A124" s="7">
        <v>123</v>
      </c>
      <c r="B124" s="7" t="str">
        <f t="shared" si="54"/>
        <v>Ящик управления задвижкой Яз1(Я5411-3074)?</v>
      </c>
      <c r="C124" s="8" t="s">
        <v>102</v>
      </c>
      <c r="D124" s="8"/>
      <c r="E124" s="9" t="s">
        <v>101</v>
      </c>
      <c r="F124" s="14">
        <v>4277</v>
      </c>
      <c r="G124" s="14">
        <f t="shared" si="41"/>
        <v>2352.3500000000004</v>
      </c>
      <c r="H124" s="14">
        <f t="shared" ref="H124:H132" si="55">G124*I124</f>
        <v>4704.7000000000007</v>
      </c>
      <c r="I124" s="8">
        <v>2</v>
      </c>
      <c r="J124" s="10" t="s">
        <v>11</v>
      </c>
      <c r="K124" s="10" t="s">
        <v>61</v>
      </c>
    </row>
    <row r="125" spans="1:11" ht="30" customHeight="1" x14ac:dyDescent="0.25">
      <c r="A125" s="7">
        <v>124</v>
      </c>
      <c r="B125" s="7" t="str">
        <f t="shared" si="54"/>
        <v>Ящик управления задвижкой Яз1(Я5411-3074)?</v>
      </c>
      <c r="C125" s="8" t="s">
        <v>116</v>
      </c>
      <c r="D125" s="23">
        <v>285448</v>
      </c>
      <c r="E125" s="9" t="s">
        <v>115</v>
      </c>
      <c r="F125" s="14">
        <v>1763</v>
      </c>
      <c r="G125" s="14">
        <f t="shared" si="41"/>
        <v>969.65000000000009</v>
      </c>
      <c r="H125" s="14">
        <f t="shared" si="55"/>
        <v>969.65000000000009</v>
      </c>
      <c r="I125" s="8">
        <v>1</v>
      </c>
      <c r="J125" s="10" t="s">
        <v>11</v>
      </c>
      <c r="K125" s="10"/>
    </row>
    <row r="126" spans="1:11" ht="30" customHeight="1" x14ac:dyDescent="0.25">
      <c r="A126" s="7">
        <v>125</v>
      </c>
      <c r="B126" s="7" t="str">
        <f t="shared" si="54"/>
        <v>Ящик управления задвижкой Яз1(Я5411-3074)?</v>
      </c>
      <c r="C126" s="8" t="s">
        <v>104</v>
      </c>
      <c r="D126" s="23">
        <v>425192</v>
      </c>
      <c r="E126" s="9" t="s">
        <v>103</v>
      </c>
      <c r="F126" s="14">
        <v>2696</v>
      </c>
      <c r="G126" s="14">
        <f t="shared" si="41"/>
        <v>1482.8000000000002</v>
      </c>
      <c r="H126" s="14">
        <f>G126*I126</f>
        <v>1482.8000000000002</v>
      </c>
      <c r="I126" s="8">
        <v>1</v>
      </c>
      <c r="J126" s="10" t="s">
        <v>11</v>
      </c>
      <c r="K126" s="10"/>
    </row>
    <row r="127" spans="1:11" ht="32.25" customHeight="1" x14ac:dyDescent="0.25">
      <c r="A127" s="7">
        <v>126</v>
      </c>
      <c r="B127" s="7" t="str">
        <f t="shared" si="54"/>
        <v>Ящик управления задвижкой Яз1(Я5411-3074)?</v>
      </c>
      <c r="C127" s="8" t="s">
        <v>109</v>
      </c>
      <c r="D127" s="23">
        <v>574842</v>
      </c>
      <c r="E127" s="9" t="s">
        <v>113</v>
      </c>
      <c r="F127" s="14">
        <v>960</v>
      </c>
      <c r="G127" s="14">
        <f t="shared" si="41"/>
        <v>528</v>
      </c>
      <c r="H127" s="14">
        <f>G127*I127</f>
        <v>1056</v>
      </c>
      <c r="I127" s="8">
        <v>2</v>
      </c>
      <c r="J127" s="10" t="s">
        <v>11</v>
      </c>
      <c r="K127" s="10"/>
    </row>
    <row r="128" spans="1:11" ht="32.25" customHeight="1" x14ac:dyDescent="0.25">
      <c r="A128" s="7">
        <v>127</v>
      </c>
      <c r="B128" s="7" t="str">
        <f t="shared" si="54"/>
        <v>Ящик управления задвижкой Яз1(Я5411-3074)?</v>
      </c>
      <c r="C128" s="8" t="s">
        <v>109</v>
      </c>
      <c r="D128" s="23">
        <v>574843</v>
      </c>
      <c r="E128" s="9" t="s">
        <v>114</v>
      </c>
      <c r="F128" s="14">
        <v>960</v>
      </c>
      <c r="G128" s="14">
        <f t="shared" si="41"/>
        <v>528</v>
      </c>
      <c r="H128" s="14">
        <f>G128*I128</f>
        <v>528</v>
      </c>
      <c r="I128" s="8">
        <v>1</v>
      </c>
      <c r="J128" s="10" t="s">
        <v>11</v>
      </c>
      <c r="K128" s="10"/>
    </row>
    <row r="129" spans="1:11" ht="30" customHeight="1" x14ac:dyDescent="0.25">
      <c r="A129" s="7">
        <v>128</v>
      </c>
      <c r="B129" s="7" t="str">
        <f t="shared" si="54"/>
        <v>Ящик управления задвижкой Яз1(Я5411-3074)?</v>
      </c>
      <c r="C129" s="8" t="s">
        <v>105</v>
      </c>
      <c r="D129" s="8">
        <v>593071</v>
      </c>
      <c r="E129" s="9" t="s">
        <v>107</v>
      </c>
      <c r="F129" s="14">
        <v>439</v>
      </c>
      <c r="G129" s="14">
        <f t="shared" si="41"/>
        <v>241.45000000000002</v>
      </c>
      <c r="H129" s="14">
        <f t="shared" ref="H129:H130" si="56">G129*I129</f>
        <v>241.45000000000002</v>
      </c>
      <c r="I129" s="8">
        <v>1</v>
      </c>
      <c r="J129" s="10" t="s">
        <v>11</v>
      </c>
      <c r="K129" s="10" t="s">
        <v>61</v>
      </c>
    </row>
    <row r="130" spans="1:11" ht="30" customHeight="1" x14ac:dyDescent="0.25">
      <c r="A130" s="7">
        <v>129</v>
      </c>
      <c r="B130" s="7" t="str">
        <f t="shared" si="54"/>
        <v>Ящик управления задвижкой Яз1(Я5411-3074)?</v>
      </c>
      <c r="C130" s="8" t="s">
        <v>105</v>
      </c>
      <c r="D130" s="8">
        <v>593012</v>
      </c>
      <c r="E130" s="9" t="s">
        <v>106</v>
      </c>
      <c r="F130" s="14">
        <v>439</v>
      </c>
      <c r="G130" s="14">
        <f t="shared" si="41"/>
        <v>241.45000000000002</v>
      </c>
      <c r="H130" s="14">
        <f t="shared" si="56"/>
        <v>241.45000000000002</v>
      </c>
      <c r="I130" s="8">
        <v>1</v>
      </c>
      <c r="J130" s="10" t="s">
        <v>11</v>
      </c>
      <c r="K130" s="10" t="s">
        <v>61</v>
      </c>
    </row>
    <row r="131" spans="1:11" ht="30" customHeight="1" x14ac:dyDescent="0.25">
      <c r="A131" s="7">
        <v>130</v>
      </c>
      <c r="B131" s="7" t="str">
        <f>B130</f>
        <v>Ящик управления задвижкой Яз1(Я5411-3074)?</v>
      </c>
      <c r="C131" s="8" t="s">
        <v>8</v>
      </c>
      <c r="D131" s="8" t="s">
        <v>8</v>
      </c>
      <c r="E131" s="9" t="s">
        <v>8</v>
      </c>
      <c r="F131" s="14">
        <v>0</v>
      </c>
      <c r="G131" s="14">
        <f t="shared" si="41"/>
        <v>0</v>
      </c>
      <c r="H131" s="14">
        <f t="shared" si="55"/>
        <v>0</v>
      </c>
      <c r="I131" s="8">
        <v>1</v>
      </c>
      <c r="J131" s="10" t="s">
        <v>11</v>
      </c>
      <c r="K131" s="8" t="s">
        <v>8</v>
      </c>
    </row>
    <row r="132" spans="1:11" ht="30" customHeight="1" x14ac:dyDescent="0.25">
      <c r="A132" s="7">
        <v>131</v>
      </c>
      <c r="B132" s="7" t="str">
        <f t="shared" si="54"/>
        <v>Ящик управления задвижкой Яз1(Я5411-3074)?</v>
      </c>
      <c r="C132" s="8" t="s">
        <v>9</v>
      </c>
      <c r="D132" s="8" t="s">
        <v>9</v>
      </c>
      <c r="E132" s="9" t="s">
        <v>9</v>
      </c>
      <c r="F132" s="14">
        <v>0</v>
      </c>
      <c r="G132" s="14">
        <f t="shared" si="41"/>
        <v>0</v>
      </c>
      <c r="H132" s="14">
        <f t="shared" si="55"/>
        <v>0</v>
      </c>
      <c r="I132" s="8">
        <v>720</v>
      </c>
      <c r="J132" s="10" t="s">
        <v>11</v>
      </c>
      <c r="K132" s="8" t="s">
        <v>9</v>
      </c>
    </row>
    <row r="133" spans="1:11" ht="30" customHeight="1" x14ac:dyDescent="0.25">
      <c r="A133" s="7">
        <v>132</v>
      </c>
      <c r="B133" s="7" t="str">
        <f t="shared" si="54"/>
        <v>Ящик управления задвижкой Яз1(Я5411-3074)?</v>
      </c>
      <c r="C133" s="8"/>
      <c r="D133" s="8"/>
      <c r="E133" s="9"/>
      <c r="F133" s="17"/>
      <c r="G133" s="14">
        <f t="shared" si="41"/>
        <v>0</v>
      </c>
      <c r="H133" s="14">
        <f>SUM(H122:H132)</f>
        <v>11976.800000000003</v>
      </c>
      <c r="I133" s="8"/>
      <c r="J133" s="10"/>
      <c r="K133" s="8"/>
    </row>
    <row r="134" spans="1:11" ht="30" customHeight="1" x14ac:dyDescent="0.25">
      <c r="A134" s="3">
        <v>133</v>
      </c>
      <c r="B134" s="4" t="str">
        <f>E134</f>
        <v>ЩС</v>
      </c>
      <c r="C134" s="3"/>
      <c r="D134" s="18"/>
      <c r="E134" s="3" t="s">
        <v>71</v>
      </c>
      <c r="F134" s="16"/>
      <c r="G134" s="16"/>
      <c r="H134" s="16">
        <f>I134*H140</f>
        <v>3684.4500000000003</v>
      </c>
      <c r="I134" s="6">
        <v>1</v>
      </c>
      <c r="J134" s="5" t="s">
        <v>6</v>
      </c>
      <c r="K134" s="5" t="s">
        <v>21</v>
      </c>
    </row>
    <row r="135" spans="1:11" ht="30" customHeight="1" x14ac:dyDescent="0.25">
      <c r="A135" s="7">
        <v>134</v>
      </c>
      <c r="B135" s="7" t="str">
        <f>B134</f>
        <v>ЩС</v>
      </c>
      <c r="C135" s="8" t="s">
        <v>7</v>
      </c>
      <c r="D135" s="8"/>
      <c r="E135" s="9" t="s">
        <v>73</v>
      </c>
      <c r="F135" s="14"/>
      <c r="G135" s="14">
        <f t="shared" si="41"/>
        <v>0</v>
      </c>
      <c r="H135" s="14">
        <f t="shared" ref="H135" si="57">G135*I135</f>
        <v>0</v>
      </c>
      <c r="I135" s="8">
        <v>1</v>
      </c>
      <c r="J135" s="10" t="s">
        <v>11</v>
      </c>
      <c r="K135" s="10" t="s">
        <v>22</v>
      </c>
    </row>
    <row r="136" spans="1:11" ht="30" customHeight="1" x14ac:dyDescent="0.25">
      <c r="A136" s="7">
        <v>135</v>
      </c>
      <c r="B136" s="7" t="str">
        <f t="shared" ref="B136:B140" si="58">B135</f>
        <v>ЩС</v>
      </c>
      <c r="C136" s="8" t="s">
        <v>13</v>
      </c>
      <c r="D136" s="19">
        <v>398043</v>
      </c>
      <c r="E136" s="12" t="s">
        <v>72</v>
      </c>
      <c r="F136" s="14">
        <v>2493</v>
      </c>
      <c r="G136" s="14">
        <f t="shared" si="41"/>
        <v>1371.15</v>
      </c>
      <c r="H136" s="14">
        <f>G136*I136</f>
        <v>1371.15</v>
      </c>
      <c r="I136" s="8">
        <v>1</v>
      </c>
      <c r="J136" s="10" t="s">
        <v>11</v>
      </c>
      <c r="K136" s="10" t="s">
        <v>61</v>
      </c>
    </row>
    <row r="137" spans="1:11" ht="30" customHeight="1" x14ac:dyDescent="0.25">
      <c r="A137" s="7">
        <v>136</v>
      </c>
      <c r="B137" s="7" t="str">
        <f t="shared" si="58"/>
        <v>ЩС</v>
      </c>
      <c r="C137" s="8" t="s">
        <v>10</v>
      </c>
      <c r="D137" s="8">
        <v>296710</v>
      </c>
      <c r="E137" s="9" t="s">
        <v>53</v>
      </c>
      <c r="F137" s="14">
        <v>701</v>
      </c>
      <c r="G137" s="14">
        <f t="shared" si="41"/>
        <v>385.55</v>
      </c>
      <c r="H137" s="14">
        <f t="shared" ref="H137" si="59">G137*I137</f>
        <v>2313.3000000000002</v>
      </c>
      <c r="I137" s="8">
        <v>6</v>
      </c>
      <c r="J137" s="10" t="s">
        <v>11</v>
      </c>
      <c r="K137" s="10" t="s">
        <v>61</v>
      </c>
    </row>
    <row r="138" spans="1:11" ht="30" customHeight="1" x14ac:dyDescent="0.25">
      <c r="A138" s="7">
        <v>137</v>
      </c>
      <c r="B138" s="7" t="str">
        <f t="shared" si="58"/>
        <v>ЩС</v>
      </c>
      <c r="C138" s="8" t="s">
        <v>8</v>
      </c>
      <c r="D138" s="8" t="s">
        <v>8</v>
      </c>
      <c r="E138" s="9" t="s">
        <v>8</v>
      </c>
      <c r="F138" s="14">
        <v>0</v>
      </c>
      <c r="G138" s="14">
        <f t="shared" si="41"/>
        <v>0</v>
      </c>
      <c r="H138" s="14">
        <f t="shared" ref="H138:H139" si="60">G138*I138</f>
        <v>0</v>
      </c>
      <c r="I138" s="8">
        <v>1</v>
      </c>
      <c r="J138" s="10" t="s">
        <v>11</v>
      </c>
      <c r="K138" s="8" t="s">
        <v>8</v>
      </c>
    </row>
    <row r="139" spans="1:11" ht="30" customHeight="1" x14ac:dyDescent="0.25">
      <c r="A139" s="7">
        <v>138</v>
      </c>
      <c r="B139" s="7" t="str">
        <f t="shared" si="58"/>
        <v>ЩС</v>
      </c>
      <c r="C139" s="8" t="s">
        <v>9</v>
      </c>
      <c r="D139" s="8" t="s">
        <v>9</v>
      </c>
      <c r="E139" s="9" t="s">
        <v>9</v>
      </c>
      <c r="F139" s="14">
        <v>0</v>
      </c>
      <c r="G139" s="14">
        <f t="shared" si="41"/>
        <v>0</v>
      </c>
      <c r="H139" s="14">
        <f t="shared" si="60"/>
        <v>0</v>
      </c>
      <c r="I139" s="8">
        <v>720</v>
      </c>
      <c r="J139" s="10" t="s">
        <v>11</v>
      </c>
      <c r="K139" s="8" t="s">
        <v>9</v>
      </c>
    </row>
    <row r="140" spans="1:11" ht="30" customHeight="1" x14ac:dyDescent="0.25">
      <c r="A140" s="7">
        <v>139</v>
      </c>
      <c r="B140" s="7" t="str">
        <f t="shared" si="58"/>
        <v>ЩС</v>
      </c>
      <c r="C140" s="8"/>
      <c r="D140" s="8"/>
      <c r="E140" s="9"/>
      <c r="F140" s="17"/>
      <c r="G140" s="14">
        <f t="shared" si="41"/>
        <v>0</v>
      </c>
      <c r="H140" s="14">
        <f>SUM(H135:H139)</f>
        <v>3684.4500000000003</v>
      </c>
      <c r="I140" s="8"/>
      <c r="J140" s="10"/>
      <c r="K140" s="8"/>
    </row>
    <row r="141" spans="1:11" ht="30" customHeight="1" x14ac:dyDescent="0.25">
      <c r="A141" s="3">
        <v>140</v>
      </c>
      <c r="B141" s="4" t="str">
        <f>E141</f>
        <v>Я-Нц</v>
      </c>
      <c r="C141" s="3"/>
      <c r="D141" s="18"/>
      <c r="E141" s="3" t="s">
        <v>74</v>
      </c>
      <c r="F141" s="16"/>
      <c r="G141" s="16"/>
      <c r="H141" s="16">
        <f>I141*H151</f>
        <v>99843.700000000012</v>
      </c>
      <c r="I141" s="6">
        <v>1</v>
      </c>
      <c r="J141" s="5" t="s">
        <v>6</v>
      </c>
      <c r="K141" s="5" t="s">
        <v>21</v>
      </c>
    </row>
    <row r="142" spans="1:11" ht="30" customHeight="1" x14ac:dyDescent="0.25">
      <c r="A142" s="7">
        <v>141</v>
      </c>
      <c r="B142" s="7" t="str">
        <f>B141</f>
        <v>Я-Нц</v>
      </c>
      <c r="C142" s="8" t="s">
        <v>7</v>
      </c>
      <c r="D142" s="8"/>
      <c r="E142" s="9" t="s">
        <v>75</v>
      </c>
      <c r="F142" s="14">
        <v>166830</v>
      </c>
      <c r="G142" s="14">
        <f t="shared" si="41"/>
        <v>91756.500000000015</v>
      </c>
      <c r="H142" s="14">
        <f t="shared" ref="H142" si="61">G142*I142</f>
        <v>91756.500000000015</v>
      </c>
      <c r="I142" s="8">
        <v>1</v>
      </c>
      <c r="J142" s="10" t="s">
        <v>11</v>
      </c>
      <c r="K142" s="10" t="s">
        <v>22</v>
      </c>
    </row>
    <row r="143" spans="1:11" ht="30" customHeight="1" x14ac:dyDescent="0.25">
      <c r="A143" s="7">
        <v>142</v>
      </c>
      <c r="B143" s="7" t="str">
        <f>B142</f>
        <v>Я-Нц</v>
      </c>
      <c r="C143" s="8" t="s">
        <v>10</v>
      </c>
      <c r="D143" s="8">
        <v>814183</v>
      </c>
      <c r="E143" s="9" t="s">
        <v>100</v>
      </c>
      <c r="F143" s="14">
        <v>4950</v>
      </c>
      <c r="G143" s="14">
        <f t="shared" si="41"/>
        <v>2722.5</v>
      </c>
      <c r="H143" s="14">
        <f t="shared" ref="H143" si="62">G143*I143</f>
        <v>2722.5</v>
      </c>
      <c r="I143" s="8">
        <v>1</v>
      </c>
      <c r="J143" s="10" t="s">
        <v>11</v>
      </c>
      <c r="K143" s="10" t="s">
        <v>61</v>
      </c>
    </row>
    <row r="144" spans="1:11" ht="30" customHeight="1" x14ac:dyDescent="0.25">
      <c r="A144" s="7">
        <v>143</v>
      </c>
      <c r="B144" s="7" t="str">
        <f>B141</f>
        <v>Я-Нц</v>
      </c>
      <c r="C144" s="8" t="s">
        <v>102</v>
      </c>
      <c r="D144" s="8" t="s">
        <v>97</v>
      </c>
      <c r="E144" s="9" t="s">
        <v>101</v>
      </c>
      <c r="F144" s="14">
        <v>4277</v>
      </c>
      <c r="G144" s="14">
        <f t="shared" si="41"/>
        <v>2352.3500000000004</v>
      </c>
      <c r="H144" s="14">
        <f t="shared" ref="H144" si="63">G144*I144</f>
        <v>2352.3500000000004</v>
      </c>
      <c r="I144" s="8">
        <v>1</v>
      </c>
      <c r="J144" s="10" t="s">
        <v>11</v>
      </c>
      <c r="K144" s="10" t="s">
        <v>61</v>
      </c>
    </row>
    <row r="145" spans="1:11" ht="30" customHeight="1" x14ac:dyDescent="0.25">
      <c r="A145" s="7">
        <v>144</v>
      </c>
      <c r="B145" s="7" t="str">
        <f>B142</f>
        <v>Я-Нц</v>
      </c>
      <c r="C145" s="8" t="s">
        <v>104</v>
      </c>
      <c r="D145" s="8">
        <v>425192</v>
      </c>
      <c r="E145" s="9" t="s">
        <v>103</v>
      </c>
      <c r="F145" s="14">
        <v>2696</v>
      </c>
      <c r="G145" s="14">
        <f t="shared" si="41"/>
        <v>1482.8000000000002</v>
      </c>
      <c r="H145" s="14">
        <f>G145*I145</f>
        <v>1482.8000000000002</v>
      </c>
      <c r="I145" s="8">
        <v>1</v>
      </c>
      <c r="J145" s="10" t="s">
        <v>11</v>
      </c>
      <c r="K145" s="10" t="s">
        <v>61</v>
      </c>
    </row>
    <row r="146" spans="1:11" ht="30" customHeight="1" x14ac:dyDescent="0.25">
      <c r="A146" s="7">
        <v>145</v>
      </c>
      <c r="B146" s="7" t="str">
        <f>B143</f>
        <v>Я-Нц</v>
      </c>
      <c r="C146" s="8" t="s">
        <v>105</v>
      </c>
      <c r="D146" s="8">
        <v>593071</v>
      </c>
      <c r="E146" s="9" t="s">
        <v>107</v>
      </c>
      <c r="F146" s="14">
        <v>439</v>
      </c>
      <c r="G146" s="14">
        <f t="shared" si="41"/>
        <v>241.45000000000002</v>
      </c>
      <c r="H146" s="14">
        <f t="shared" ref="H146" si="64">G146*I146</f>
        <v>241.45000000000002</v>
      </c>
      <c r="I146" s="8">
        <v>1</v>
      </c>
      <c r="J146" s="10" t="s">
        <v>11</v>
      </c>
      <c r="K146" s="10" t="s">
        <v>61</v>
      </c>
    </row>
    <row r="147" spans="1:11" ht="32.25" customHeight="1" x14ac:dyDescent="0.25">
      <c r="A147" s="7">
        <v>146</v>
      </c>
      <c r="B147" s="7" t="str">
        <f>B144</f>
        <v>Я-Нц</v>
      </c>
      <c r="C147" s="8" t="s">
        <v>105</v>
      </c>
      <c r="D147" s="8">
        <v>593012</v>
      </c>
      <c r="E147" s="9" t="s">
        <v>106</v>
      </c>
      <c r="F147" s="14">
        <v>439</v>
      </c>
      <c r="G147" s="14">
        <f t="shared" si="41"/>
        <v>241.45000000000002</v>
      </c>
      <c r="H147" s="14">
        <f t="shared" ref="H147" si="65">G147*I147</f>
        <v>241.45000000000002</v>
      </c>
      <c r="I147" s="8">
        <v>1</v>
      </c>
      <c r="J147" s="10" t="s">
        <v>11</v>
      </c>
      <c r="K147" s="10" t="s">
        <v>61</v>
      </c>
    </row>
    <row r="148" spans="1:11" ht="32.25" customHeight="1" x14ac:dyDescent="0.25">
      <c r="A148" s="7">
        <v>147</v>
      </c>
      <c r="B148" s="7" t="str">
        <f>B144</f>
        <v>Я-Нц</v>
      </c>
      <c r="C148" s="8" t="s">
        <v>109</v>
      </c>
      <c r="D148" s="8">
        <v>574003</v>
      </c>
      <c r="E148" s="9" t="s">
        <v>108</v>
      </c>
      <c r="F148" s="14">
        <v>1464</v>
      </c>
      <c r="G148" s="14">
        <f t="shared" si="41"/>
        <v>805.2</v>
      </c>
      <c r="H148" s="14">
        <f>G148*I148</f>
        <v>805.2</v>
      </c>
      <c r="I148" s="8">
        <v>1</v>
      </c>
      <c r="J148" s="10" t="s">
        <v>11</v>
      </c>
      <c r="K148" s="10" t="s">
        <v>61</v>
      </c>
    </row>
    <row r="149" spans="1:11" ht="32.25" customHeight="1" x14ac:dyDescent="0.25">
      <c r="A149" s="7">
        <v>148</v>
      </c>
      <c r="B149" s="7" t="str">
        <f>B145</f>
        <v>Я-Нц</v>
      </c>
      <c r="C149" s="8" t="s">
        <v>111</v>
      </c>
      <c r="D149" s="8"/>
      <c r="E149" s="9" t="s">
        <v>110</v>
      </c>
      <c r="F149" s="14">
        <v>439</v>
      </c>
      <c r="G149" s="14">
        <f t="shared" si="41"/>
        <v>241.45000000000002</v>
      </c>
      <c r="H149" s="14">
        <f t="shared" ref="H149" si="66">G149*I149</f>
        <v>241.45000000000002</v>
      </c>
      <c r="I149" s="8">
        <v>1</v>
      </c>
      <c r="J149" s="10" t="s">
        <v>11</v>
      </c>
      <c r="K149" s="10" t="s">
        <v>24</v>
      </c>
    </row>
    <row r="150" spans="1:11" ht="32.25" customHeight="1" x14ac:dyDescent="0.25">
      <c r="A150" s="7">
        <v>149</v>
      </c>
      <c r="B150" s="7" t="str">
        <f>B143</f>
        <v>Я-Нц</v>
      </c>
      <c r="C150" s="8" t="s">
        <v>9</v>
      </c>
      <c r="D150" s="8" t="s">
        <v>9</v>
      </c>
      <c r="E150" s="9" t="s">
        <v>9</v>
      </c>
      <c r="F150" s="14">
        <v>0</v>
      </c>
      <c r="G150" s="14">
        <f t="shared" si="41"/>
        <v>0</v>
      </c>
      <c r="H150" s="14">
        <f t="shared" ref="H150" si="67">G150*I150</f>
        <v>0</v>
      </c>
      <c r="I150" s="8">
        <v>720</v>
      </c>
      <c r="J150" s="10" t="s">
        <v>11</v>
      </c>
      <c r="K150" s="8" t="s">
        <v>9</v>
      </c>
    </row>
    <row r="151" spans="1:11" ht="32.25" customHeight="1" x14ac:dyDescent="0.25">
      <c r="A151" s="7">
        <v>150</v>
      </c>
      <c r="B151" s="7" t="str">
        <f t="shared" ref="B151" si="68">B150</f>
        <v>Я-Нц</v>
      </c>
      <c r="C151" s="8"/>
      <c r="D151" s="8"/>
      <c r="E151" s="9"/>
      <c r="F151" s="17"/>
      <c r="G151" s="14">
        <f t="shared" si="41"/>
        <v>0</v>
      </c>
      <c r="H151" s="14">
        <f>SUM(H142:H150)</f>
        <v>99843.700000000012</v>
      </c>
      <c r="I151" s="8"/>
      <c r="J151" s="10"/>
      <c r="K151" s="8"/>
    </row>
    <row r="152" spans="1:11" ht="32.25" customHeight="1" x14ac:dyDescent="0.25">
      <c r="A152" s="3">
        <v>151</v>
      </c>
      <c r="B152" s="4" t="str">
        <f>E152</f>
        <v>Я1, Я2</v>
      </c>
      <c r="C152" s="3"/>
      <c r="D152" s="18"/>
      <c r="E152" s="3" t="s">
        <v>76</v>
      </c>
      <c r="F152" s="16"/>
      <c r="G152" s="16"/>
      <c r="H152" s="16">
        <f>I152*H156</f>
        <v>0</v>
      </c>
      <c r="I152" s="6">
        <v>2</v>
      </c>
      <c r="J152" s="5" t="s">
        <v>6</v>
      </c>
      <c r="K152" s="5" t="s">
        <v>21</v>
      </c>
    </row>
    <row r="153" spans="1:11" ht="32.25" customHeight="1" x14ac:dyDescent="0.25">
      <c r="A153" s="7">
        <v>152</v>
      </c>
      <c r="B153" s="7" t="str">
        <f>B152</f>
        <v>Я1, Я2</v>
      </c>
      <c r="C153" s="8" t="s">
        <v>7</v>
      </c>
      <c r="D153" s="8"/>
      <c r="E153" s="9" t="s">
        <v>77</v>
      </c>
      <c r="F153" s="14"/>
      <c r="G153" s="14">
        <f t="shared" si="41"/>
        <v>0</v>
      </c>
      <c r="H153" s="14">
        <f t="shared" ref="H153:H155" si="69">G153*I153</f>
        <v>0</v>
      </c>
      <c r="I153" s="8">
        <v>1</v>
      </c>
      <c r="J153" s="10" t="s">
        <v>11</v>
      </c>
      <c r="K153" s="10" t="s">
        <v>22</v>
      </c>
    </row>
    <row r="154" spans="1:11" ht="30" customHeight="1" x14ac:dyDescent="0.25">
      <c r="A154" s="7">
        <v>153</v>
      </c>
      <c r="B154" s="7" t="str">
        <f t="shared" ref="B154:B156" si="70">B153</f>
        <v>Я1, Я2</v>
      </c>
      <c r="C154" s="8" t="s">
        <v>8</v>
      </c>
      <c r="D154" s="8" t="s">
        <v>8</v>
      </c>
      <c r="E154" s="9" t="s">
        <v>8</v>
      </c>
      <c r="F154" s="14">
        <v>0</v>
      </c>
      <c r="G154" s="14">
        <f t="shared" si="41"/>
        <v>0</v>
      </c>
      <c r="H154" s="14">
        <f t="shared" si="69"/>
        <v>0</v>
      </c>
      <c r="I154" s="8">
        <v>1</v>
      </c>
      <c r="J154" s="10" t="s">
        <v>11</v>
      </c>
      <c r="K154" s="8" t="s">
        <v>8</v>
      </c>
    </row>
    <row r="155" spans="1:11" ht="30" customHeight="1" x14ac:dyDescent="0.25">
      <c r="A155" s="7">
        <v>154</v>
      </c>
      <c r="B155" s="7" t="str">
        <f t="shared" si="70"/>
        <v>Я1, Я2</v>
      </c>
      <c r="C155" s="8" t="s">
        <v>9</v>
      </c>
      <c r="D155" s="8" t="s">
        <v>9</v>
      </c>
      <c r="E155" s="9" t="s">
        <v>9</v>
      </c>
      <c r="F155" s="14">
        <v>0</v>
      </c>
      <c r="G155" s="14">
        <f t="shared" si="41"/>
        <v>0</v>
      </c>
      <c r="H155" s="14">
        <f t="shared" si="69"/>
        <v>0</v>
      </c>
      <c r="I155" s="8">
        <v>720</v>
      </c>
      <c r="J155" s="10" t="s">
        <v>11</v>
      </c>
      <c r="K155" s="8" t="s">
        <v>9</v>
      </c>
    </row>
    <row r="156" spans="1:11" ht="30" customHeight="1" x14ac:dyDescent="0.25">
      <c r="A156" s="7">
        <v>155</v>
      </c>
      <c r="B156" s="7" t="str">
        <f t="shared" si="70"/>
        <v>Я1, Я2</v>
      </c>
      <c r="C156" s="8"/>
      <c r="D156" s="8"/>
      <c r="E156" s="9"/>
      <c r="F156" s="17"/>
      <c r="G156" s="14">
        <f t="shared" si="41"/>
        <v>0</v>
      </c>
      <c r="H156" s="14">
        <f>SUM(H153:H155)</f>
        <v>0</v>
      </c>
      <c r="I156" s="8"/>
      <c r="J156" s="10"/>
      <c r="K156" s="8"/>
    </row>
    <row r="157" spans="1:11" ht="30" customHeight="1" x14ac:dyDescent="0.25">
      <c r="A157" s="3">
        <v>156</v>
      </c>
      <c r="B157" s="4" t="str">
        <f>E157</f>
        <v>Коробка с наборными зажимами (1КК)</v>
      </c>
      <c r="C157" s="3"/>
      <c r="D157" s="18"/>
      <c r="E157" s="3" t="s">
        <v>79</v>
      </c>
      <c r="F157" s="16"/>
      <c r="G157" s="16"/>
      <c r="H157" s="16">
        <f>I157*H161</f>
        <v>91756.500000000015</v>
      </c>
      <c r="I157" s="6">
        <v>1</v>
      </c>
      <c r="J157" s="5" t="s">
        <v>6</v>
      </c>
      <c r="K157" s="5" t="s">
        <v>21</v>
      </c>
    </row>
    <row r="158" spans="1:11" ht="30" customHeight="1" x14ac:dyDescent="0.25">
      <c r="A158" s="7">
        <v>157</v>
      </c>
      <c r="B158" s="7" t="str">
        <f>B157</f>
        <v>Коробка с наборными зажимами (1КК)</v>
      </c>
      <c r="C158" s="8" t="s">
        <v>7</v>
      </c>
      <c r="D158" s="8"/>
      <c r="E158" s="9" t="s">
        <v>78</v>
      </c>
      <c r="F158" s="14">
        <v>166830</v>
      </c>
      <c r="G158" s="14">
        <f t="shared" si="41"/>
        <v>91756.500000000015</v>
      </c>
      <c r="H158" s="14">
        <f t="shared" ref="H158:H160" si="71">G158*I158</f>
        <v>91756.500000000015</v>
      </c>
      <c r="I158" s="8">
        <v>1</v>
      </c>
      <c r="J158" s="10" t="s">
        <v>11</v>
      </c>
      <c r="K158" s="10" t="s">
        <v>22</v>
      </c>
    </row>
    <row r="159" spans="1:11" ht="30" customHeight="1" x14ac:dyDescent="0.25">
      <c r="A159" s="7">
        <v>158</v>
      </c>
      <c r="B159" s="7" t="str">
        <f t="shared" ref="B159:B161" si="72">B158</f>
        <v>Коробка с наборными зажимами (1КК)</v>
      </c>
      <c r="C159" s="8" t="s">
        <v>8</v>
      </c>
      <c r="D159" s="8" t="s">
        <v>8</v>
      </c>
      <c r="E159" s="9" t="s">
        <v>8</v>
      </c>
      <c r="F159" s="14">
        <v>0</v>
      </c>
      <c r="G159" s="14">
        <f t="shared" si="41"/>
        <v>0</v>
      </c>
      <c r="H159" s="14">
        <f t="shared" si="71"/>
        <v>0</v>
      </c>
      <c r="I159" s="8">
        <v>1</v>
      </c>
      <c r="J159" s="10" t="s">
        <v>11</v>
      </c>
      <c r="K159" s="8" t="s">
        <v>8</v>
      </c>
    </row>
    <row r="160" spans="1:11" ht="30" customHeight="1" x14ac:dyDescent="0.25">
      <c r="A160" s="7">
        <v>159</v>
      </c>
      <c r="B160" s="7" t="str">
        <f t="shared" si="72"/>
        <v>Коробка с наборными зажимами (1КК)</v>
      </c>
      <c r="C160" s="8" t="s">
        <v>9</v>
      </c>
      <c r="D160" s="8" t="s">
        <v>9</v>
      </c>
      <c r="E160" s="9" t="s">
        <v>9</v>
      </c>
      <c r="F160" s="14">
        <v>0</v>
      </c>
      <c r="G160" s="14">
        <f t="shared" si="41"/>
        <v>0</v>
      </c>
      <c r="H160" s="14">
        <f t="shared" si="71"/>
        <v>0</v>
      </c>
      <c r="I160" s="8">
        <v>720</v>
      </c>
      <c r="J160" s="10" t="s">
        <v>11</v>
      </c>
      <c r="K160" s="8" t="s">
        <v>9</v>
      </c>
    </row>
    <row r="161" spans="1:11" ht="30" customHeight="1" x14ac:dyDescent="0.25">
      <c r="A161" s="7">
        <v>160</v>
      </c>
      <c r="B161" s="7" t="str">
        <f t="shared" si="72"/>
        <v>Коробка с наборными зажимами (1КК)</v>
      </c>
      <c r="C161" s="8"/>
      <c r="D161" s="8"/>
      <c r="E161" s="9"/>
      <c r="F161" s="17"/>
      <c r="G161" s="14">
        <f t="shared" si="41"/>
        <v>0</v>
      </c>
      <c r="H161" s="14">
        <f>SUM(H158:H160)</f>
        <v>91756.500000000015</v>
      </c>
      <c r="I161" s="8"/>
      <c r="J161" s="10"/>
      <c r="K161" s="8"/>
    </row>
    <row r="162" spans="1:11" ht="30" customHeight="1" x14ac:dyDescent="0.25">
      <c r="A162" s="3">
        <v>161</v>
      </c>
      <c r="B162" s="4" t="str">
        <f>E162</f>
        <v>Р2</v>
      </c>
      <c r="C162" s="3"/>
      <c r="D162" s="18"/>
      <c r="E162" s="3" t="s">
        <v>80</v>
      </c>
      <c r="F162" s="16"/>
      <c r="G162" s="16"/>
      <c r="H162" s="16">
        <f>I162*H166</f>
        <v>0</v>
      </c>
      <c r="I162" s="6">
        <v>1</v>
      </c>
      <c r="J162" s="5" t="s">
        <v>6</v>
      </c>
      <c r="K162" s="5" t="s">
        <v>21</v>
      </c>
    </row>
    <row r="163" spans="1:11" ht="30" customHeight="1" x14ac:dyDescent="0.25">
      <c r="A163" s="7">
        <v>162</v>
      </c>
      <c r="B163" s="7" t="str">
        <f>B162</f>
        <v>Р2</v>
      </c>
      <c r="C163" s="8" t="s">
        <v>7</v>
      </c>
      <c r="D163" s="8"/>
      <c r="E163" s="9" t="s">
        <v>81</v>
      </c>
      <c r="F163" s="14"/>
      <c r="G163" s="14">
        <f t="shared" si="41"/>
        <v>0</v>
      </c>
      <c r="H163" s="14">
        <f t="shared" ref="H163:H165" si="73">G163*I163</f>
        <v>0</v>
      </c>
      <c r="I163" s="8">
        <v>1</v>
      </c>
      <c r="J163" s="10" t="s">
        <v>11</v>
      </c>
      <c r="K163" s="10" t="s">
        <v>22</v>
      </c>
    </row>
    <row r="164" spans="1:11" ht="30" customHeight="1" x14ac:dyDescent="0.25">
      <c r="A164" s="7">
        <v>163</v>
      </c>
      <c r="B164" s="7" t="str">
        <f t="shared" ref="B164:B166" si="74">B163</f>
        <v>Р2</v>
      </c>
      <c r="C164" s="8" t="s">
        <v>8</v>
      </c>
      <c r="D164" s="8" t="s">
        <v>8</v>
      </c>
      <c r="E164" s="9" t="s">
        <v>8</v>
      </c>
      <c r="F164" s="14">
        <v>0</v>
      </c>
      <c r="G164" s="14">
        <f t="shared" si="41"/>
        <v>0</v>
      </c>
      <c r="H164" s="14">
        <f t="shared" si="73"/>
        <v>0</v>
      </c>
      <c r="I164" s="8">
        <v>1</v>
      </c>
      <c r="J164" s="10" t="s">
        <v>11</v>
      </c>
      <c r="K164" s="8" t="s">
        <v>8</v>
      </c>
    </row>
    <row r="165" spans="1:11" ht="30" customHeight="1" x14ac:dyDescent="0.25">
      <c r="A165" s="7">
        <v>164</v>
      </c>
      <c r="B165" s="7" t="str">
        <f t="shared" si="74"/>
        <v>Р2</v>
      </c>
      <c r="C165" s="8" t="s">
        <v>9</v>
      </c>
      <c r="D165" s="8" t="s">
        <v>9</v>
      </c>
      <c r="E165" s="9" t="s">
        <v>9</v>
      </c>
      <c r="F165" s="14">
        <v>0</v>
      </c>
      <c r="G165" s="14">
        <f t="shared" si="41"/>
        <v>0</v>
      </c>
      <c r="H165" s="14">
        <f t="shared" si="73"/>
        <v>0</v>
      </c>
      <c r="I165" s="8">
        <v>720</v>
      </c>
      <c r="J165" s="10" t="s">
        <v>11</v>
      </c>
      <c r="K165" s="8" t="s">
        <v>9</v>
      </c>
    </row>
    <row r="166" spans="1:11" ht="30" customHeight="1" x14ac:dyDescent="0.25">
      <c r="A166" s="7">
        <v>165</v>
      </c>
      <c r="B166" s="7" t="str">
        <f t="shared" si="74"/>
        <v>Р2</v>
      </c>
      <c r="C166" s="8"/>
      <c r="D166" s="8"/>
      <c r="E166" s="9"/>
      <c r="F166" s="17"/>
      <c r="G166" s="14">
        <f t="shared" si="41"/>
        <v>0</v>
      </c>
      <c r="H166" s="14">
        <f>SUM(H163:H165)</f>
        <v>0</v>
      </c>
      <c r="I166" s="8"/>
      <c r="J166" s="10"/>
      <c r="K166" s="8"/>
    </row>
    <row r="167" spans="1:11" ht="30" customHeight="1" x14ac:dyDescent="0.25">
      <c r="A167" s="3">
        <v>166</v>
      </c>
      <c r="B167" s="4" t="str">
        <f>E167</f>
        <v>ПК1-ПК11</v>
      </c>
      <c r="C167" s="3"/>
      <c r="D167" s="18"/>
      <c r="E167" s="3" t="s">
        <v>82</v>
      </c>
      <c r="F167" s="16"/>
      <c r="G167" s="16"/>
      <c r="H167" s="16">
        <f>I167*H171</f>
        <v>0</v>
      </c>
      <c r="I167" s="6">
        <v>11</v>
      </c>
      <c r="J167" s="5" t="s">
        <v>6</v>
      </c>
      <c r="K167" s="5" t="s">
        <v>21</v>
      </c>
    </row>
    <row r="168" spans="1:11" ht="30" customHeight="1" x14ac:dyDescent="0.25">
      <c r="A168" s="7">
        <v>167</v>
      </c>
      <c r="B168" s="7" t="str">
        <f>B167</f>
        <v>ПК1-ПК11</v>
      </c>
      <c r="C168" s="8" t="s">
        <v>7</v>
      </c>
      <c r="D168" s="8"/>
      <c r="E168" s="9" t="s">
        <v>83</v>
      </c>
      <c r="F168" s="14"/>
      <c r="G168" s="14">
        <f t="shared" si="41"/>
        <v>0</v>
      </c>
      <c r="H168" s="14">
        <f t="shared" ref="H168:H170" si="75">G168*I168</f>
        <v>0</v>
      </c>
      <c r="I168" s="8">
        <v>1</v>
      </c>
      <c r="J168" s="10" t="s">
        <v>11</v>
      </c>
      <c r="K168" s="10" t="s">
        <v>22</v>
      </c>
    </row>
    <row r="169" spans="1:11" ht="30" customHeight="1" x14ac:dyDescent="0.25">
      <c r="A169" s="7">
        <v>168</v>
      </c>
      <c r="B169" s="7" t="str">
        <f t="shared" ref="B169:B171" si="76">B168</f>
        <v>ПК1-ПК11</v>
      </c>
      <c r="C169" s="8" t="s">
        <v>8</v>
      </c>
      <c r="D169" s="8" t="s">
        <v>8</v>
      </c>
      <c r="E169" s="9" t="s">
        <v>8</v>
      </c>
      <c r="F169" s="14">
        <v>0</v>
      </c>
      <c r="G169" s="14">
        <f t="shared" si="41"/>
        <v>0</v>
      </c>
      <c r="H169" s="14">
        <f t="shared" si="75"/>
        <v>0</v>
      </c>
      <c r="I169" s="8">
        <v>1</v>
      </c>
      <c r="J169" s="10" t="s">
        <v>11</v>
      </c>
      <c r="K169" s="8" t="s">
        <v>8</v>
      </c>
    </row>
    <row r="170" spans="1:11" ht="30" customHeight="1" x14ac:dyDescent="0.25">
      <c r="A170" s="7">
        <v>169</v>
      </c>
      <c r="B170" s="7" t="str">
        <f t="shared" si="76"/>
        <v>ПК1-ПК11</v>
      </c>
      <c r="C170" s="8" t="s">
        <v>9</v>
      </c>
      <c r="D170" s="8" t="s">
        <v>9</v>
      </c>
      <c r="E170" s="9" t="s">
        <v>9</v>
      </c>
      <c r="F170" s="14">
        <v>0</v>
      </c>
      <c r="G170" s="14">
        <f t="shared" si="41"/>
        <v>0</v>
      </c>
      <c r="H170" s="14">
        <f t="shared" si="75"/>
        <v>0</v>
      </c>
      <c r="I170" s="8">
        <v>720</v>
      </c>
      <c r="J170" s="10" t="s">
        <v>11</v>
      </c>
      <c r="K170" s="8" t="s">
        <v>9</v>
      </c>
    </row>
    <row r="171" spans="1:11" ht="30" customHeight="1" x14ac:dyDescent="0.25">
      <c r="A171" s="7">
        <v>170</v>
      </c>
      <c r="B171" s="7" t="str">
        <f t="shared" si="76"/>
        <v>ПК1-ПК11</v>
      </c>
      <c r="C171" s="8"/>
      <c r="D171" s="8"/>
      <c r="E171" s="9"/>
      <c r="F171" s="17"/>
      <c r="G171" s="14">
        <f t="shared" si="41"/>
        <v>0</v>
      </c>
      <c r="H171" s="14">
        <f>SUM(H168:H170)</f>
        <v>0</v>
      </c>
      <c r="I171" s="8"/>
      <c r="J171" s="10"/>
      <c r="K171" s="8"/>
    </row>
    <row r="172" spans="1:11" ht="30" customHeight="1" x14ac:dyDescent="0.25">
      <c r="A172" s="3">
        <v>171</v>
      </c>
      <c r="B172" s="4" t="str">
        <f>E172</f>
        <v>КУ-В1--КУ-В19, КУ-П1--КУ-П2</v>
      </c>
      <c r="C172" s="3"/>
      <c r="D172" s="18"/>
      <c r="E172" s="3" t="s">
        <v>84</v>
      </c>
      <c r="F172" s="16"/>
      <c r="G172" s="16"/>
      <c r="H172" s="16">
        <f>I172*H176</f>
        <v>0</v>
      </c>
      <c r="I172" s="6">
        <v>21</v>
      </c>
      <c r="J172" s="5" t="s">
        <v>6</v>
      </c>
      <c r="K172" s="5" t="s">
        <v>21</v>
      </c>
    </row>
    <row r="173" spans="1:11" ht="30" customHeight="1" x14ac:dyDescent="0.25">
      <c r="A173" s="7">
        <v>172</v>
      </c>
      <c r="B173" s="7" t="str">
        <f>B172</f>
        <v>КУ-В1--КУ-В19, КУ-П1--КУ-П2</v>
      </c>
      <c r="C173" s="8" t="s">
        <v>7</v>
      </c>
      <c r="D173" s="8"/>
      <c r="E173" s="9" t="s">
        <v>85</v>
      </c>
      <c r="F173" s="14"/>
      <c r="G173" s="14">
        <f t="shared" si="41"/>
        <v>0</v>
      </c>
      <c r="H173" s="14">
        <f t="shared" ref="H173:H175" si="77">G173*I173</f>
        <v>0</v>
      </c>
      <c r="I173" s="8">
        <v>1</v>
      </c>
      <c r="J173" s="10" t="s">
        <v>11</v>
      </c>
      <c r="K173" s="10" t="s">
        <v>22</v>
      </c>
    </row>
    <row r="174" spans="1:11" ht="30" customHeight="1" x14ac:dyDescent="0.25">
      <c r="A174" s="7">
        <v>173</v>
      </c>
      <c r="B174" s="7" t="str">
        <f t="shared" ref="B174:B176" si="78">B173</f>
        <v>КУ-В1--КУ-В19, КУ-П1--КУ-П2</v>
      </c>
      <c r="C174" s="8" t="s">
        <v>8</v>
      </c>
      <c r="D174" s="8" t="s">
        <v>8</v>
      </c>
      <c r="E174" s="9" t="s">
        <v>8</v>
      </c>
      <c r="F174" s="14">
        <v>0</v>
      </c>
      <c r="G174" s="14">
        <f t="shared" si="41"/>
        <v>0</v>
      </c>
      <c r="H174" s="14">
        <f t="shared" si="77"/>
        <v>0</v>
      </c>
      <c r="I174" s="8">
        <v>1</v>
      </c>
      <c r="J174" s="10" t="s">
        <v>11</v>
      </c>
      <c r="K174" s="8" t="s">
        <v>8</v>
      </c>
    </row>
    <row r="175" spans="1:11" ht="30" customHeight="1" x14ac:dyDescent="0.25">
      <c r="A175" s="7">
        <v>174</v>
      </c>
      <c r="B175" s="7" t="str">
        <f t="shared" si="78"/>
        <v>КУ-В1--КУ-В19, КУ-П1--КУ-П2</v>
      </c>
      <c r="C175" s="8" t="s">
        <v>9</v>
      </c>
      <c r="D175" s="8" t="s">
        <v>9</v>
      </c>
      <c r="E175" s="9" t="s">
        <v>9</v>
      </c>
      <c r="F175" s="14">
        <v>0</v>
      </c>
      <c r="G175" s="14">
        <f t="shared" si="41"/>
        <v>0</v>
      </c>
      <c r="H175" s="14">
        <f t="shared" si="77"/>
        <v>0</v>
      </c>
      <c r="I175" s="8">
        <v>720</v>
      </c>
      <c r="J175" s="10" t="s">
        <v>11</v>
      </c>
      <c r="K175" s="8" t="s">
        <v>9</v>
      </c>
    </row>
    <row r="176" spans="1:11" ht="30" customHeight="1" x14ac:dyDescent="0.25">
      <c r="A176" s="7">
        <v>175</v>
      </c>
      <c r="B176" s="7" t="str">
        <f t="shared" si="78"/>
        <v>КУ-В1--КУ-В19, КУ-П1--КУ-П2</v>
      </c>
      <c r="C176" s="8"/>
      <c r="D176" s="8"/>
      <c r="E176" s="9"/>
      <c r="F176" s="17"/>
      <c r="G176" s="14">
        <f t="shared" si="41"/>
        <v>0</v>
      </c>
      <c r="H176" s="14">
        <f>SUM(H173:H175)</f>
        <v>0</v>
      </c>
      <c r="I176" s="8"/>
      <c r="J176" s="10"/>
      <c r="K176" s="8"/>
    </row>
    <row r="177" spans="1:11" ht="30" customHeight="1" x14ac:dyDescent="0.25">
      <c r="A177" s="3">
        <v>176</v>
      </c>
      <c r="B177" s="4" t="str">
        <f>E177</f>
        <v>ПКУ1</v>
      </c>
      <c r="C177" s="3"/>
      <c r="D177" s="18"/>
      <c r="E177" s="3" t="s">
        <v>86</v>
      </c>
      <c r="F177" s="16"/>
      <c r="G177" s="16"/>
      <c r="H177" s="16">
        <f>I177*H181</f>
        <v>0</v>
      </c>
      <c r="I177" s="6">
        <v>21</v>
      </c>
      <c r="J177" s="5" t="s">
        <v>6</v>
      </c>
      <c r="K177" s="5" t="s">
        <v>21</v>
      </c>
    </row>
    <row r="178" spans="1:11" ht="30" customHeight="1" x14ac:dyDescent="0.25">
      <c r="A178" s="7">
        <v>177</v>
      </c>
      <c r="B178" s="7" t="str">
        <f>B177</f>
        <v>ПКУ1</v>
      </c>
      <c r="C178" s="8" t="s">
        <v>7</v>
      </c>
      <c r="D178" s="8"/>
      <c r="E178" s="9" t="s">
        <v>87</v>
      </c>
      <c r="F178" s="14"/>
      <c r="G178" s="14">
        <f t="shared" ref="G178:G227" si="79">F178*0.55</f>
        <v>0</v>
      </c>
      <c r="H178" s="14">
        <f t="shared" ref="H178:H180" si="80">G178*I178</f>
        <v>0</v>
      </c>
      <c r="I178" s="8">
        <v>1</v>
      </c>
      <c r="J178" s="10" t="s">
        <v>11</v>
      </c>
      <c r="K178" s="10" t="s">
        <v>22</v>
      </c>
    </row>
    <row r="179" spans="1:11" ht="30" customHeight="1" x14ac:dyDescent="0.25">
      <c r="A179" s="7">
        <v>178</v>
      </c>
      <c r="B179" s="7" t="str">
        <f t="shared" ref="B179:B181" si="81">B178</f>
        <v>ПКУ1</v>
      </c>
      <c r="C179" s="8" t="s">
        <v>8</v>
      </c>
      <c r="D179" s="8" t="s">
        <v>8</v>
      </c>
      <c r="E179" s="9" t="s">
        <v>8</v>
      </c>
      <c r="F179" s="14">
        <v>0</v>
      </c>
      <c r="G179" s="14">
        <f t="shared" si="79"/>
        <v>0</v>
      </c>
      <c r="H179" s="14">
        <f t="shared" si="80"/>
        <v>0</v>
      </c>
      <c r="I179" s="8">
        <v>1</v>
      </c>
      <c r="J179" s="10" t="s">
        <v>11</v>
      </c>
      <c r="K179" s="8" t="s">
        <v>8</v>
      </c>
    </row>
    <row r="180" spans="1:11" ht="30" customHeight="1" x14ac:dyDescent="0.25">
      <c r="A180" s="7">
        <v>179</v>
      </c>
      <c r="B180" s="7" t="str">
        <f t="shared" si="81"/>
        <v>ПКУ1</v>
      </c>
      <c r="C180" s="8" t="s">
        <v>9</v>
      </c>
      <c r="D180" s="8" t="s">
        <v>9</v>
      </c>
      <c r="E180" s="9" t="s">
        <v>9</v>
      </c>
      <c r="F180" s="14">
        <v>0</v>
      </c>
      <c r="G180" s="14">
        <f t="shared" si="79"/>
        <v>0</v>
      </c>
      <c r="H180" s="14">
        <f t="shared" si="80"/>
        <v>0</v>
      </c>
      <c r="I180" s="8">
        <v>720</v>
      </c>
      <c r="J180" s="10" t="s">
        <v>11</v>
      </c>
      <c r="K180" s="8" t="s">
        <v>9</v>
      </c>
    </row>
    <row r="181" spans="1:11" ht="30" customHeight="1" x14ac:dyDescent="0.25">
      <c r="A181" s="7">
        <v>180</v>
      </c>
      <c r="B181" s="7" t="str">
        <f t="shared" si="81"/>
        <v>ПКУ1</v>
      </c>
      <c r="C181" s="8"/>
      <c r="D181" s="8"/>
      <c r="E181" s="9"/>
      <c r="F181" s="17"/>
      <c r="G181" s="14">
        <f t="shared" si="79"/>
        <v>0</v>
      </c>
      <c r="H181" s="14">
        <f>SUM(H178:H180)</f>
        <v>0</v>
      </c>
      <c r="I181" s="8"/>
      <c r="J181" s="10"/>
      <c r="K181" s="8"/>
    </row>
    <row r="182" spans="1:11" ht="30" customHeight="1" x14ac:dyDescent="0.25">
      <c r="A182" s="3">
        <v>181</v>
      </c>
      <c r="B182" s="4" t="str">
        <f>E182</f>
        <v>Щ0-1</v>
      </c>
      <c r="C182" s="3"/>
      <c r="D182" s="18"/>
      <c r="E182" s="3" t="s">
        <v>88</v>
      </c>
      <c r="F182" s="16"/>
      <c r="G182" s="16"/>
      <c r="H182" s="16">
        <f>I182*H190</f>
        <v>16044.050000000001</v>
      </c>
      <c r="I182" s="6">
        <v>1</v>
      </c>
      <c r="J182" s="5" t="s">
        <v>6</v>
      </c>
      <c r="K182" s="5" t="s">
        <v>21</v>
      </c>
    </row>
    <row r="183" spans="1:11" ht="30" customHeight="1" x14ac:dyDescent="0.25">
      <c r="A183" s="7">
        <v>182</v>
      </c>
      <c r="B183" s="7" t="str">
        <f>B182</f>
        <v>Щ0-1</v>
      </c>
      <c r="C183" s="8" t="s">
        <v>7</v>
      </c>
      <c r="D183" s="8"/>
      <c r="E183" s="9" t="s">
        <v>67</v>
      </c>
      <c r="F183" s="14"/>
      <c r="G183" s="14">
        <f t="shared" si="79"/>
        <v>0</v>
      </c>
      <c r="H183" s="14">
        <f t="shared" ref="H183" si="82">G183*I183</f>
        <v>0</v>
      </c>
      <c r="I183" s="8">
        <v>1</v>
      </c>
      <c r="J183" s="10" t="s">
        <v>11</v>
      </c>
      <c r="K183" s="10" t="s">
        <v>22</v>
      </c>
    </row>
    <row r="184" spans="1:11" ht="30" customHeight="1" x14ac:dyDescent="0.25">
      <c r="A184" s="7">
        <v>183</v>
      </c>
      <c r="B184" s="7" t="str">
        <f t="shared" ref="B184:B190" si="83">B183</f>
        <v>Щ0-1</v>
      </c>
      <c r="C184" s="8" t="s">
        <v>13</v>
      </c>
      <c r="D184" s="19">
        <v>193182</v>
      </c>
      <c r="E184" s="12" t="s">
        <v>57</v>
      </c>
      <c r="F184" s="14">
        <v>2493</v>
      </c>
      <c r="G184" s="14">
        <f t="shared" si="79"/>
        <v>1371.15</v>
      </c>
      <c r="H184" s="14">
        <f>G184*I184</f>
        <v>1371.15</v>
      </c>
      <c r="I184" s="8">
        <v>1</v>
      </c>
      <c r="J184" s="10" t="s">
        <v>11</v>
      </c>
      <c r="K184" s="10" t="s">
        <v>61</v>
      </c>
    </row>
    <row r="185" spans="1:11" ht="30" customHeight="1" x14ac:dyDescent="0.25">
      <c r="A185" s="7">
        <v>184</v>
      </c>
      <c r="B185" s="7" t="str">
        <f t="shared" si="83"/>
        <v>Щ0-1</v>
      </c>
      <c r="C185" s="8" t="s">
        <v>10</v>
      </c>
      <c r="D185" s="19">
        <v>296710</v>
      </c>
      <c r="E185" s="12" t="s">
        <v>53</v>
      </c>
      <c r="F185" s="14">
        <v>701</v>
      </c>
      <c r="G185" s="14">
        <f t="shared" si="79"/>
        <v>385.55</v>
      </c>
      <c r="H185" s="14">
        <f t="shared" ref="H185:H189" si="84">G185*I185</f>
        <v>5012.1500000000005</v>
      </c>
      <c r="I185" s="8">
        <v>13</v>
      </c>
      <c r="J185" s="10" t="s">
        <v>11</v>
      </c>
      <c r="K185" s="10" t="s">
        <v>61</v>
      </c>
    </row>
    <row r="186" spans="1:11" ht="30" customHeight="1" x14ac:dyDescent="0.25">
      <c r="A186" s="7">
        <v>185</v>
      </c>
      <c r="B186" s="7" t="str">
        <f t="shared" si="83"/>
        <v>Щ0-1</v>
      </c>
      <c r="C186" s="8" t="s">
        <v>12</v>
      </c>
      <c r="D186" s="19">
        <v>105542</v>
      </c>
      <c r="E186" s="12" t="s">
        <v>54</v>
      </c>
      <c r="F186" s="14">
        <v>3513</v>
      </c>
      <c r="G186" s="14">
        <f t="shared" si="79"/>
        <v>1932.15</v>
      </c>
      <c r="H186" s="14">
        <f t="shared" si="84"/>
        <v>9660.75</v>
      </c>
      <c r="I186" s="8">
        <v>5</v>
      </c>
      <c r="J186" s="10" t="s">
        <v>11</v>
      </c>
      <c r="K186" s="10" t="s">
        <v>61</v>
      </c>
    </row>
    <row r="187" spans="1:11" ht="30" customHeight="1" x14ac:dyDescent="0.25">
      <c r="A187" s="7">
        <v>186</v>
      </c>
      <c r="B187" s="7" t="str">
        <f t="shared" si="83"/>
        <v>Щ0-1</v>
      </c>
      <c r="C187" s="8" t="s">
        <v>129</v>
      </c>
      <c r="D187" s="25"/>
      <c r="E187" s="12" t="s">
        <v>124</v>
      </c>
      <c r="F187" s="14"/>
      <c r="G187" s="14"/>
      <c r="H187" s="14"/>
      <c r="I187" s="8">
        <v>1</v>
      </c>
      <c r="J187" s="10" t="s">
        <v>11</v>
      </c>
      <c r="K187" s="10"/>
    </row>
    <row r="188" spans="1:11" ht="30" customHeight="1" x14ac:dyDescent="0.25">
      <c r="A188" s="7">
        <v>187</v>
      </c>
      <c r="B188" s="7" t="str">
        <f>B186</f>
        <v>Щ0-1</v>
      </c>
      <c r="C188" s="8" t="s">
        <v>8</v>
      </c>
      <c r="D188" s="8" t="s">
        <v>8</v>
      </c>
      <c r="E188" s="9" t="s">
        <v>8</v>
      </c>
      <c r="F188" s="14">
        <v>0</v>
      </c>
      <c r="G188" s="14">
        <f t="shared" si="79"/>
        <v>0</v>
      </c>
      <c r="H188" s="14">
        <f t="shared" si="84"/>
        <v>0</v>
      </c>
      <c r="I188" s="8">
        <v>1</v>
      </c>
      <c r="J188" s="10" t="s">
        <v>11</v>
      </c>
      <c r="K188" s="8" t="s">
        <v>8</v>
      </c>
    </row>
    <row r="189" spans="1:11" ht="30" customHeight="1" x14ac:dyDescent="0.25">
      <c r="A189" s="7">
        <v>188</v>
      </c>
      <c r="B189" s="7" t="str">
        <f t="shared" si="83"/>
        <v>Щ0-1</v>
      </c>
      <c r="C189" s="8" t="s">
        <v>9</v>
      </c>
      <c r="D189" s="8" t="s">
        <v>9</v>
      </c>
      <c r="E189" s="9" t="s">
        <v>9</v>
      </c>
      <c r="F189" s="14">
        <v>0</v>
      </c>
      <c r="G189" s="14">
        <f t="shared" si="79"/>
        <v>0</v>
      </c>
      <c r="H189" s="14">
        <f t="shared" si="84"/>
        <v>0</v>
      </c>
      <c r="I189" s="8">
        <v>720</v>
      </c>
      <c r="J189" s="10" t="s">
        <v>11</v>
      </c>
      <c r="K189" s="8" t="s">
        <v>9</v>
      </c>
    </row>
    <row r="190" spans="1:11" ht="30" customHeight="1" x14ac:dyDescent="0.25">
      <c r="A190" s="7">
        <v>189</v>
      </c>
      <c r="B190" s="7" t="str">
        <f t="shared" si="83"/>
        <v>Щ0-1</v>
      </c>
      <c r="C190" s="8"/>
      <c r="D190" s="8"/>
      <c r="E190" s="9"/>
      <c r="F190" s="17"/>
      <c r="G190" s="14">
        <f t="shared" si="79"/>
        <v>0</v>
      </c>
      <c r="H190" s="14">
        <f>SUM(H183:H189)</f>
        <v>16044.050000000001</v>
      </c>
      <c r="I190" s="8"/>
      <c r="J190" s="10"/>
      <c r="K190" s="8"/>
    </row>
    <row r="191" spans="1:11" ht="30" customHeight="1" x14ac:dyDescent="0.25">
      <c r="A191" s="3">
        <v>190</v>
      </c>
      <c r="B191" s="4" t="str">
        <f>E191</f>
        <v>Щ0-2</v>
      </c>
      <c r="C191" s="3"/>
      <c r="D191" s="18"/>
      <c r="E191" s="3" t="s">
        <v>89</v>
      </c>
      <c r="F191" s="16"/>
      <c r="G191" s="16"/>
      <c r="H191" s="16">
        <f>I191*H199</f>
        <v>11794.2</v>
      </c>
      <c r="I191" s="6">
        <v>1</v>
      </c>
      <c r="J191" s="5" t="s">
        <v>6</v>
      </c>
      <c r="K191" s="5" t="s">
        <v>21</v>
      </c>
    </row>
    <row r="192" spans="1:11" ht="30" customHeight="1" x14ac:dyDescent="0.25">
      <c r="A192" s="7">
        <v>191</v>
      </c>
      <c r="B192" s="7" t="str">
        <f>B191</f>
        <v>Щ0-2</v>
      </c>
      <c r="C192" s="8" t="s">
        <v>7</v>
      </c>
      <c r="D192" s="8"/>
      <c r="E192" s="9" t="s">
        <v>90</v>
      </c>
      <c r="F192" s="14"/>
      <c r="G192" s="14">
        <f t="shared" si="79"/>
        <v>0</v>
      </c>
      <c r="H192" s="14">
        <f t="shared" ref="H192" si="85">G192*I192</f>
        <v>0</v>
      </c>
      <c r="I192" s="8">
        <v>1</v>
      </c>
      <c r="J192" s="10" t="s">
        <v>11</v>
      </c>
      <c r="K192" s="10" t="s">
        <v>22</v>
      </c>
    </row>
    <row r="193" spans="1:11" ht="30" customHeight="1" x14ac:dyDescent="0.25">
      <c r="A193" s="7">
        <v>192</v>
      </c>
      <c r="B193" s="7" t="str">
        <f t="shared" ref="B193:B199" si="86">B192</f>
        <v>Щ0-2</v>
      </c>
      <c r="C193" s="8" t="s">
        <v>13</v>
      </c>
      <c r="D193" s="19">
        <v>398043</v>
      </c>
      <c r="E193" s="12" t="s">
        <v>72</v>
      </c>
      <c r="F193" s="14">
        <v>2493</v>
      </c>
      <c r="G193" s="14">
        <f t="shared" si="79"/>
        <v>1371.15</v>
      </c>
      <c r="H193" s="14">
        <f>G193*I193</f>
        <v>1371.15</v>
      </c>
      <c r="I193" s="8">
        <v>1</v>
      </c>
      <c r="J193" s="10" t="s">
        <v>11</v>
      </c>
      <c r="K193" s="10" t="s">
        <v>61</v>
      </c>
    </row>
    <row r="194" spans="1:11" ht="30" customHeight="1" x14ac:dyDescent="0.25">
      <c r="A194" s="7">
        <v>193</v>
      </c>
      <c r="B194" s="7" t="str">
        <f t="shared" si="86"/>
        <v>Щ0-2</v>
      </c>
      <c r="C194" s="8" t="s">
        <v>10</v>
      </c>
      <c r="D194" s="19">
        <v>296710</v>
      </c>
      <c r="E194" s="12" t="s">
        <v>53</v>
      </c>
      <c r="F194" s="14">
        <v>701</v>
      </c>
      <c r="G194" s="14">
        <f t="shared" si="79"/>
        <v>385.55</v>
      </c>
      <c r="H194" s="14">
        <f t="shared" ref="H194:H198" si="87">G194*I194</f>
        <v>4626.6000000000004</v>
      </c>
      <c r="I194" s="8">
        <v>12</v>
      </c>
      <c r="J194" s="10" t="s">
        <v>11</v>
      </c>
      <c r="K194" s="10" t="s">
        <v>61</v>
      </c>
    </row>
    <row r="195" spans="1:11" ht="30" customHeight="1" x14ac:dyDescent="0.25">
      <c r="A195" s="7">
        <v>194</v>
      </c>
      <c r="B195" s="7" t="str">
        <f t="shared" si="86"/>
        <v>Щ0-2</v>
      </c>
      <c r="C195" s="8" t="s">
        <v>12</v>
      </c>
      <c r="D195" s="19">
        <v>105542</v>
      </c>
      <c r="E195" s="12" t="s">
        <v>54</v>
      </c>
      <c r="F195" s="14">
        <v>3513</v>
      </c>
      <c r="G195" s="14">
        <f t="shared" si="79"/>
        <v>1932.15</v>
      </c>
      <c r="H195" s="14">
        <f t="shared" si="87"/>
        <v>5796.4500000000007</v>
      </c>
      <c r="I195" s="8">
        <v>3</v>
      </c>
      <c r="J195" s="10" t="s">
        <v>11</v>
      </c>
      <c r="K195" s="10" t="s">
        <v>61</v>
      </c>
    </row>
    <row r="196" spans="1:11" ht="30" customHeight="1" x14ac:dyDescent="0.25">
      <c r="A196" s="7">
        <v>195</v>
      </c>
      <c r="B196" s="7" t="str">
        <f t="shared" si="86"/>
        <v>Щ0-2</v>
      </c>
      <c r="C196" s="8" t="s">
        <v>129</v>
      </c>
      <c r="D196" s="25"/>
      <c r="E196" s="12" t="s">
        <v>124</v>
      </c>
      <c r="F196" s="14"/>
      <c r="G196" s="14"/>
      <c r="H196" s="14"/>
      <c r="I196" s="8">
        <v>1</v>
      </c>
      <c r="J196" s="10" t="s">
        <v>11</v>
      </c>
      <c r="K196" s="10"/>
    </row>
    <row r="197" spans="1:11" ht="30" customHeight="1" x14ac:dyDescent="0.25">
      <c r="A197" s="7">
        <v>196</v>
      </c>
      <c r="B197" s="7" t="str">
        <f t="shared" si="86"/>
        <v>Щ0-2</v>
      </c>
      <c r="C197" s="8" t="s">
        <v>8</v>
      </c>
      <c r="D197" s="8" t="s">
        <v>8</v>
      </c>
      <c r="E197" s="9" t="s">
        <v>8</v>
      </c>
      <c r="F197" s="14">
        <v>0</v>
      </c>
      <c r="G197" s="14">
        <f t="shared" si="79"/>
        <v>0</v>
      </c>
      <c r="H197" s="14">
        <f t="shared" si="87"/>
        <v>0</v>
      </c>
      <c r="I197" s="8">
        <v>1</v>
      </c>
      <c r="J197" s="10" t="s">
        <v>11</v>
      </c>
      <c r="K197" s="8" t="s">
        <v>8</v>
      </c>
    </row>
    <row r="198" spans="1:11" ht="30" customHeight="1" x14ac:dyDescent="0.25">
      <c r="A198" s="7">
        <v>197</v>
      </c>
      <c r="B198" s="7" t="str">
        <f t="shared" si="86"/>
        <v>Щ0-2</v>
      </c>
      <c r="C198" s="8" t="s">
        <v>9</v>
      </c>
      <c r="D198" s="8" t="s">
        <v>9</v>
      </c>
      <c r="E198" s="9" t="s">
        <v>9</v>
      </c>
      <c r="F198" s="14">
        <v>0</v>
      </c>
      <c r="G198" s="14">
        <f t="shared" si="79"/>
        <v>0</v>
      </c>
      <c r="H198" s="14">
        <f t="shared" si="87"/>
        <v>0</v>
      </c>
      <c r="I198" s="8">
        <v>720</v>
      </c>
      <c r="J198" s="10" t="s">
        <v>11</v>
      </c>
      <c r="K198" s="8" t="s">
        <v>9</v>
      </c>
    </row>
    <row r="199" spans="1:11" ht="30" customHeight="1" x14ac:dyDescent="0.25">
      <c r="A199" s="7">
        <v>198</v>
      </c>
      <c r="B199" s="7" t="str">
        <f t="shared" si="86"/>
        <v>Щ0-2</v>
      </c>
      <c r="C199" s="8"/>
      <c r="D199" s="8"/>
      <c r="E199" s="9"/>
      <c r="F199" s="17"/>
      <c r="G199" s="14">
        <f t="shared" si="79"/>
        <v>0</v>
      </c>
      <c r="H199" s="14">
        <f>SUM(H192:H198)</f>
        <v>11794.2</v>
      </c>
      <c r="I199" s="8"/>
      <c r="J199" s="10"/>
      <c r="K199" s="8"/>
    </row>
    <row r="200" spans="1:11" ht="30" customHeight="1" x14ac:dyDescent="0.25">
      <c r="A200" s="3">
        <v>199</v>
      </c>
      <c r="B200" s="4" t="str">
        <f>E200</f>
        <v>Щ0-3</v>
      </c>
      <c r="C200" s="3"/>
      <c r="D200" s="18"/>
      <c r="E200" s="3" t="s">
        <v>91</v>
      </c>
      <c r="F200" s="16"/>
      <c r="G200" s="16"/>
      <c r="H200" s="16">
        <f>I200*H207</f>
        <v>16044.050000000001</v>
      </c>
      <c r="I200" s="6">
        <v>1</v>
      </c>
      <c r="J200" s="5" t="s">
        <v>6</v>
      </c>
      <c r="K200" s="5" t="s">
        <v>21</v>
      </c>
    </row>
    <row r="201" spans="1:11" ht="30" customHeight="1" x14ac:dyDescent="0.25">
      <c r="A201" s="7">
        <v>200</v>
      </c>
      <c r="B201" s="7" t="str">
        <f>B200</f>
        <v>Щ0-3</v>
      </c>
      <c r="C201" s="8" t="s">
        <v>7</v>
      </c>
      <c r="D201" s="8"/>
      <c r="E201" s="9" t="s">
        <v>67</v>
      </c>
      <c r="F201" s="14"/>
      <c r="G201" s="14">
        <f t="shared" si="79"/>
        <v>0</v>
      </c>
      <c r="H201" s="14">
        <f t="shared" ref="H201" si="88">G201*I201</f>
        <v>0</v>
      </c>
      <c r="I201" s="8">
        <v>1</v>
      </c>
      <c r="J201" s="10" t="s">
        <v>11</v>
      </c>
      <c r="K201" s="10" t="s">
        <v>22</v>
      </c>
    </row>
    <row r="202" spans="1:11" ht="30" customHeight="1" x14ac:dyDescent="0.25">
      <c r="A202" s="7">
        <v>201</v>
      </c>
      <c r="B202" s="7" t="str">
        <f t="shared" ref="B202:B207" si="89">B201</f>
        <v>Щ0-3</v>
      </c>
      <c r="C202" s="8" t="s">
        <v>13</v>
      </c>
      <c r="D202" s="19">
        <v>193182</v>
      </c>
      <c r="E202" s="12" t="s">
        <v>57</v>
      </c>
      <c r="F202" s="14">
        <v>2493</v>
      </c>
      <c r="G202" s="14">
        <f t="shared" si="79"/>
        <v>1371.15</v>
      </c>
      <c r="H202" s="14">
        <f>G202*I202</f>
        <v>1371.15</v>
      </c>
      <c r="I202" s="8">
        <v>1</v>
      </c>
      <c r="J202" s="10" t="s">
        <v>11</v>
      </c>
      <c r="K202" s="10" t="s">
        <v>61</v>
      </c>
    </row>
    <row r="203" spans="1:11" ht="30" customHeight="1" x14ac:dyDescent="0.25">
      <c r="A203" s="7">
        <v>202</v>
      </c>
      <c r="B203" s="7" t="str">
        <f t="shared" si="89"/>
        <v>Щ0-3</v>
      </c>
      <c r="C203" s="8" t="s">
        <v>10</v>
      </c>
      <c r="D203" s="19">
        <v>296710</v>
      </c>
      <c r="E203" s="12" t="s">
        <v>53</v>
      </c>
      <c r="F203" s="14">
        <v>701</v>
      </c>
      <c r="G203" s="14">
        <f t="shared" si="79"/>
        <v>385.55</v>
      </c>
      <c r="H203" s="14">
        <f t="shared" ref="H203:H206" si="90">G203*I203</f>
        <v>5012.1500000000005</v>
      </c>
      <c r="I203" s="8">
        <v>13</v>
      </c>
      <c r="J203" s="10" t="s">
        <v>11</v>
      </c>
      <c r="K203" s="10" t="s">
        <v>61</v>
      </c>
    </row>
    <row r="204" spans="1:11" ht="30" customHeight="1" x14ac:dyDescent="0.25">
      <c r="A204" s="7">
        <v>203</v>
      </c>
      <c r="B204" s="7" t="str">
        <f t="shared" si="89"/>
        <v>Щ0-3</v>
      </c>
      <c r="C204" s="8" t="s">
        <v>12</v>
      </c>
      <c r="D204" s="19">
        <v>105542</v>
      </c>
      <c r="E204" s="12" t="s">
        <v>54</v>
      </c>
      <c r="F204" s="14">
        <v>3513</v>
      </c>
      <c r="G204" s="14">
        <f t="shared" si="79"/>
        <v>1932.15</v>
      </c>
      <c r="H204" s="14">
        <f t="shared" si="90"/>
        <v>9660.75</v>
      </c>
      <c r="I204" s="8">
        <v>5</v>
      </c>
      <c r="J204" s="10" t="s">
        <v>11</v>
      </c>
      <c r="K204" s="10" t="s">
        <v>24</v>
      </c>
    </row>
    <row r="205" spans="1:11" ht="30" customHeight="1" x14ac:dyDescent="0.25">
      <c r="A205" s="7">
        <v>204</v>
      </c>
      <c r="B205" s="7" t="str">
        <f>B204</f>
        <v>Щ0-3</v>
      </c>
      <c r="C205" s="8" t="s">
        <v>8</v>
      </c>
      <c r="D205" s="8" t="s">
        <v>8</v>
      </c>
      <c r="E205" s="9" t="s">
        <v>8</v>
      </c>
      <c r="F205" s="14">
        <v>0</v>
      </c>
      <c r="G205" s="14">
        <f t="shared" si="79"/>
        <v>0</v>
      </c>
      <c r="H205" s="14">
        <f t="shared" si="90"/>
        <v>0</v>
      </c>
      <c r="I205" s="8">
        <v>1</v>
      </c>
      <c r="J205" s="10" t="s">
        <v>11</v>
      </c>
      <c r="K205" s="8" t="s">
        <v>8</v>
      </c>
    </row>
    <row r="206" spans="1:11" ht="30" customHeight="1" x14ac:dyDescent="0.25">
      <c r="A206" s="7">
        <v>205</v>
      </c>
      <c r="B206" s="7" t="str">
        <f t="shared" si="89"/>
        <v>Щ0-3</v>
      </c>
      <c r="C206" s="8" t="s">
        <v>9</v>
      </c>
      <c r="D206" s="8" t="s">
        <v>9</v>
      </c>
      <c r="E206" s="9" t="s">
        <v>9</v>
      </c>
      <c r="F206" s="14">
        <v>0</v>
      </c>
      <c r="G206" s="14">
        <f t="shared" si="79"/>
        <v>0</v>
      </c>
      <c r="H206" s="14">
        <f t="shared" si="90"/>
        <v>0</v>
      </c>
      <c r="I206" s="8">
        <v>720</v>
      </c>
      <c r="J206" s="10" t="s">
        <v>11</v>
      </c>
      <c r="K206" s="8" t="s">
        <v>9</v>
      </c>
    </row>
    <row r="207" spans="1:11" ht="30" customHeight="1" x14ac:dyDescent="0.25">
      <c r="A207" s="7">
        <v>206</v>
      </c>
      <c r="B207" s="7" t="str">
        <f t="shared" si="89"/>
        <v>Щ0-3</v>
      </c>
      <c r="C207" s="8"/>
      <c r="D207" s="8"/>
      <c r="E207" s="9"/>
      <c r="F207" s="17"/>
      <c r="G207" s="14">
        <f t="shared" si="79"/>
        <v>0</v>
      </c>
      <c r="H207" s="14">
        <f>SUM(H201:H206)</f>
        <v>16044.050000000001</v>
      </c>
      <c r="I207" s="8"/>
      <c r="J207" s="10"/>
      <c r="K207" s="8"/>
    </row>
    <row r="208" spans="1:11" ht="30" customHeight="1" x14ac:dyDescent="0.25">
      <c r="A208" s="3">
        <v>207</v>
      </c>
      <c r="B208" s="4" t="str">
        <f>E208</f>
        <v>Щ0-4</v>
      </c>
      <c r="C208" s="3"/>
      <c r="D208" s="18"/>
      <c r="E208" s="3" t="s">
        <v>92</v>
      </c>
      <c r="F208" s="16"/>
      <c r="G208" s="16"/>
      <c r="H208" s="16">
        <f>I208*H215</f>
        <v>17590.650000000001</v>
      </c>
      <c r="I208" s="6">
        <v>1</v>
      </c>
      <c r="J208" s="5" t="s">
        <v>6</v>
      </c>
      <c r="K208" s="5" t="s">
        <v>21</v>
      </c>
    </row>
    <row r="209" spans="1:11" ht="30" customHeight="1" x14ac:dyDescent="0.25">
      <c r="A209" s="7">
        <v>208</v>
      </c>
      <c r="B209" s="7" t="str">
        <f>B208</f>
        <v>Щ0-4</v>
      </c>
      <c r="C209" s="8" t="s">
        <v>7</v>
      </c>
      <c r="D209" s="8"/>
      <c r="E209" s="9" t="s">
        <v>67</v>
      </c>
      <c r="F209" s="14"/>
      <c r="G209" s="14">
        <f t="shared" si="79"/>
        <v>0</v>
      </c>
      <c r="H209" s="14">
        <f t="shared" ref="H209" si="91">G209*I209</f>
        <v>0</v>
      </c>
      <c r="I209" s="8">
        <v>1</v>
      </c>
      <c r="J209" s="10" t="s">
        <v>11</v>
      </c>
      <c r="K209" s="10" t="s">
        <v>22</v>
      </c>
    </row>
    <row r="210" spans="1:11" ht="30" customHeight="1" x14ac:dyDescent="0.25">
      <c r="A210" s="7">
        <v>209</v>
      </c>
      <c r="B210" s="7" t="str">
        <f t="shared" ref="B210:B215" si="92">B209</f>
        <v>Щ0-4</v>
      </c>
      <c r="C210" s="8" t="s">
        <v>13</v>
      </c>
      <c r="D210" s="19">
        <v>398043</v>
      </c>
      <c r="E210" s="12" t="s">
        <v>72</v>
      </c>
      <c r="F210" s="14">
        <v>2493</v>
      </c>
      <c r="G210" s="14">
        <f t="shared" si="79"/>
        <v>1371.15</v>
      </c>
      <c r="H210" s="14">
        <f>G210*I210</f>
        <v>1371.15</v>
      </c>
      <c r="I210" s="8">
        <v>1</v>
      </c>
      <c r="J210" s="10" t="s">
        <v>11</v>
      </c>
      <c r="K210" s="10" t="s">
        <v>61</v>
      </c>
    </row>
    <row r="211" spans="1:11" ht="30" customHeight="1" x14ac:dyDescent="0.25">
      <c r="A211" s="7">
        <v>210</v>
      </c>
      <c r="B211" s="7" t="str">
        <f t="shared" si="92"/>
        <v>Щ0-4</v>
      </c>
      <c r="C211" s="8" t="s">
        <v>10</v>
      </c>
      <c r="D211" s="19">
        <v>296710</v>
      </c>
      <c r="E211" s="12" t="s">
        <v>53</v>
      </c>
      <c r="F211" s="14">
        <v>701</v>
      </c>
      <c r="G211" s="14">
        <f t="shared" si="79"/>
        <v>385.55</v>
      </c>
      <c r="H211" s="14">
        <f t="shared" ref="H211:H214" si="93">G211*I211</f>
        <v>4626.6000000000004</v>
      </c>
      <c r="I211" s="8">
        <v>12</v>
      </c>
      <c r="J211" s="10" t="s">
        <v>11</v>
      </c>
      <c r="K211" s="10" t="s">
        <v>61</v>
      </c>
    </row>
    <row r="212" spans="1:11" ht="30" customHeight="1" x14ac:dyDescent="0.25">
      <c r="A212" s="7">
        <v>211</v>
      </c>
      <c r="B212" s="7" t="str">
        <f t="shared" si="92"/>
        <v>Щ0-4</v>
      </c>
      <c r="C212" s="8" t="s">
        <v>12</v>
      </c>
      <c r="D212" s="19">
        <v>105542</v>
      </c>
      <c r="E212" s="12" t="s">
        <v>54</v>
      </c>
      <c r="F212" s="14">
        <v>3513</v>
      </c>
      <c r="G212" s="14">
        <f t="shared" si="79"/>
        <v>1932.15</v>
      </c>
      <c r="H212" s="14">
        <f t="shared" si="93"/>
        <v>11592.900000000001</v>
      </c>
      <c r="I212" s="8">
        <v>6</v>
      </c>
      <c r="J212" s="10" t="s">
        <v>11</v>
      </c>
      <c r="K212" s="10" t="s">
        <v>61</v>
      </c>
    </row>
    <row r="213" spans="1:11" ht="30" customHeight="1" x14ac:dyDescent="0.25">
      <c r="A213" s="7">
        <v>212</v>
      </c>
      <c r="B213" s="7" t="str">
        <f t="shared" si="92"/>
        <v>Щ0-4</v>
      </c>
      <c r="C213" s="8" t="s">
        <v>8</v>
      </c>
      <c r="D213" s="8" t="s">
        <v>8</v>
      </c>
      <c r="E213" s="9" t="s">
        <v>8</v>
      </c>
      <c r="F213" s="14">
        <v>0</v>
      </c>
      <c r="G213" s="14">
        <f t="shared" si="79"/>
        <v>0</v>
      </c>
      <c r="H213" s="14">
        <f t="shared" si="93"/>
        <v>0</v>
      </c>
      <c r="I213" s="8">
        <v>1</v>
      </c>
      <c r="J213" s="10" t="s">
        <v>11</v>
      </c>
      <c r="K213" s="8" t="s">
        <v>8</v>
      </c>
    </row>
    <row r="214" spans="1:11" ht="30" customHeight="1" x14ac:dyDescent="0.25">
      <c r="A214" s="7">
        <v>213</v>
      </c>
      <c r="B214" s="7" t="str">
        <f t="shared" si="92"/>
        <v>Щ0-4</v>
      </c>
      <c r="C214" s="8" t="s">
        <v>9</v>
      </c>
      <c r="D214" s="8" t="s">
        <v>9</v>
      </c>
      <c r="E214" s="9" t="s">
        <v>9</v>
      </c>
      <c r="F214" s="14">
        <v>0</v>
      </c>
      <c r="G214" s="14">
        <f t="shared" si="79"/>
        <v>0</v>
      </c>
      <c r="H214" s="14">
        <f t="shared" si="93"/>
        <v>0</v>
      </c>
      <c r="I214" s="8">
        <v>720</v>
      </c>
      <c r="J214" s="10" t="s">
        <v>11</v>
      </c>
      <c r="K214" s="8" t="s">
        <v>9</v>
      </c>
    </row>
    <row r="215" spans="1:11" ht="30" customHeight="1" x14ac:dyDescent="0.25">
      <c r="A215" s="7">
        <v>214</v>
      </c>
      <c r="B215" s="7" t="str">
        <f t="shared" si="92"/>
        <v>Щ0-4</v>
      </c>
      <c r="C215" s="8"/>
      <c r="D215" s="8"/>
      <c r="E215" s="9"/>
      <c r="F215" s="17"/>
      <c r="G215" s="14">
        <f t="shared" si="79"/>
        <v>0</v>
      </c>
      <c r="H215" s="14">
        <f>SUM(H209:H214)</f>
        <v>17590.650000000001</v>
      </c>
      <c r="I215" s="8"/>
      <c r="J215" s="10"/>
      <c r="K215" s="8"/>
    </row>
    <row r="216" spans="1:11" ht="30" customHeight="1" x14ac:dyDescent="0.25">
      <c r="A216" s="3">
        <v>215</v>
      </c>
      <c r="B216" s="4" t="str">
        <f>E216</f>
        <v>ЩАО-1, ЩАО-2</v>
      </c>
      <c r="C216" s="3"/>
      <c r="D216" s="18"/>
      <c r="E216" s="3" t="s">
        <v>93</v>
      </c>
      <c r="F216" s="16"/>
      <c r="G216" s="16"/>
      <c r="H216" s="16">
        <f>I216*H222</f>
        <v>9682.2000000000007</v>
      </c>
      <c r="I216" s="6">
        <v>2</v>
      </c>
      <c r="J216" s="5" t="s">
        <v>6</v>
      </c>
      <c r="K216" s="5" t="s">
        <v>21</v>
      </c>
    </row>
    <row r="217" spans="1:11" ht="30" customHeight="1" x14ac:dyDescent="0.25">
      <c r="A217" s="7">
        <v>216</v>
      </c>
      <c r="B217" s="7" t="str">
        <f>B216</f>
        <v>ЩАО-1, ЩАО-2</v>
      </c>
      <c r="C217" s="8" t="s">
        <v>7</v>
      </c>
      <c r="D217" s="8"/>
      <c r="E217" s="9" t="s">
        <v>94</v>
      </c>
      <c r="F217" s="14"/>
      <c r="G217" s="14">
        <f t="shared" si="79"/>
        <v>0</v>
      </c>
      <c r="H217" s="14">
        <f t="shared" ref="H217" si="94">G217*I217</f>
        <v>0</v>
      </c>
      <c r="I217" s="8">
        <v>1</v>
      </c>
      <c r="J217" s="10" t="s">
        <v>11</v>
      </c>
      <c r="K217" s="10" t="s">
        <v>22</v>
      </c>
    </row>
    <row r="218" spans="1:11" ht="30" customHeight="1" x14ac:dyDescent="0.25">
      <c r="A218" s="7">
        <v>217</v>
      </c>
      <c r="B218" s="7" t="str">
        <f t="shared" ref="B218:B222" si="95">B217</f>
        <v>ЩАО-1, ЩАО-2</v>
      </c>
      <c r="C218" s="8" t="s">
        <v>13</v>
      </c>
      <c r="D218" s="19">
        <v>398043</v>
      </c>
      <c r="E218" s="12" t="s">
        <v>72</v>
      </c>
      <c r="F218" s="14">
        <v>2493</v>
      </c>
      <c r="G218" s="14">
        <f t="shared" si="79"/>
        <v>1371.15</v>
      </c>
      <c r="H218" s="14">
        <f>G218*I218</f>
        <v>1371.15</v>
      </c>
      <c r="I218" s="8">
        <v>1</v>
      </c>
      <c r="J218" s="10" t="s">
        <v>11</v>
      </c>
      <c r="K218" s="10" t="s">
        <v>61</v>
      </c>
    </row>
    <row r="219" spans="1:11" ht="30" customHeight="1" x14ac:dyDescent="0.25">
      <c r="A219" s="7">
        <v>218</v>
      </c>
      <c r="B219" s="7" t="str">
        <f t="shared" si="95"/>
        <v>ЩАО-1, ЩАО-2</v>
      </c>
      <c r="C219" s="8" t="s">
        <v>10</v>
      </c>
      <c r="D219" s="19">
        <v>296710</v>
      </c>
      <c r="E219" s="12" t="s">
        <v>53</v>
      </c>
      <c r="F219" s="14">
        <v>701</v>
      </c>
      <c r="G219" s="14">
        <f t="shared" si="79"/>
        <v>385.55</v>
      </c>
      <c r="H219" s="14">
        <f t="shared" ref="H219:H221" si="96">G219*I219</f>
        <v>3469.9500000000003</v>
      </c>
      <c r="I219" s="8">
        <v>9</v>
      </c>
      <c r="J219" s="10" t="s">
        <v>11</v>
      </c>
      <c r="K219" s="10" t="s">
        <v>61</v>
      </c>
    </row>
    <row r="220" spans="1:11" ht="30" customHeight="1" x14ac:dyDescent="0.25">
      <c r="A220" s="7">
        <v>219</v>
      </c>
      <c r="B220" s="7" t="str">
        <f t="shared" si="95"/>
        <v>ЩАО-1, ЩАО-2</v>
      </c>
      <c r="C220" s="8" t="s">
        <v>8</v>
      </c>
      <c r="D220" s="8" t="s">
        <v>8</v>
      </c>
      <c r="E220" s="9" t="s">
        <v>8</v>
      </c>
      <c r="F220" s="14">
        <v>0</v>
      </c>
      <c r="G220" s="14">
        <f t="shared" si="79"/>
        <v>0</v>
      </c>
      <c r="H220" s="14">
        <f t="shared" si="96"/>
        <v>0</v>
      </c>
      <c r="I220" s="8">
        <v>1</v>
      </c>
      <c r="J220" s="10" t="s">
        <v>11</v>
      </c>
      <c r="K220" s="8" t="s">
        <v>8</v>
      </c>
    </row>
    <row r="221" spans="1:11" ht="30" customHeight="1" x14ac:dyDescent="0.25">
      <c r="A221" s="7">
        <v>220</v>
      </c>
      <c r="B221" s="7" t="str">
        <f t="shared" si="95"/>
        <v>ЩАО-1, ЩАО-2</v>
      </c>
      <c r="C221" s="8" t="s">
        <v>9</v>
      </c>
      <c r="D221" s="8" t="s">
        <v>9</v>
      </c>
      <c r="E221" s="9" t="s">
        <v>9</v>
      </c>
      <c r="F221" s="14">
        <v>0</v>
      </c>
      <c r="G221" s="14">
        <f t="shared" si="79"/>
        <v>0</v>
      </c>
      <c r="H221" s="14">
        <f t="shared" si="96"/>
        <v>0</v>
      </c>
      <c r="I221" s="8">
        <v>720</v>
      </c>
      <c r="J221" s="10" t="s">
        <v>11</v>
      </c>
      <c r="K221" s="8" t="s">
        <v>9</v>
      </c>
    </row>
    <row r="222" spans="1:11" ht="30" customHeight="1" x14ac:dyDescent="0.25">
      <c r="A222" s="7">
        <v>221</v>
      </c>
      <c r="B222" s="7" t="str">
        <f t="shared" si="95"/>
        <v>ЩАО-1, ЩАО-2</v>
      </c>
      <c r="C222" s="8"/>
      <c r="D222" s="8"/>
      <c r="E222" s="9"/>
      <c r="F222" s="17"/>
      <c r="G222" s="14">
        <f t="shared" si="79"/>
        <v>0</v>
      </c>
      <c r="H222" s="14">
        <f>SUM(H217:H221)</f>
        <v>4841.1000000000004</v>
      </c>
      <c r="I222" s="8"/>
      <c r="J222" s="10"/>
      <c r="K222" s="8"/>
    </row>
    <row r="223" spans="1:11" ht="30" customHeight="1" x14ac:dyDescent="0.25">
      <c r="A223" s="3">
        <v>222</v>
      </c>
      <c r="B223" s="4" t="str">
        <f>E223</f>
        <v>Ящик с понижающим трансформатором</v>
      </c>
      <c r="C223" s="3"/>
      <c r="D223" s="18"/>
      <c r="E223" s="3" t="s">
        <v>96</v>
      </c>
      <c r="F223" s="16"/>
      <c r="G223" s="16"/>
      <c r="H223" s="16">
        <f>I223*H227</f>
        <v>0</v>
      </c>
      <c r="I223" s="6">
        <v>3</v>
      </c>
      <c r="J223" s="5" t="s">
        <v>6</v>
      </c>
      <c r="K223" s="5" t="s">
        <v>21</v>
      </c>
    </row>
    <row r="224" spans="1:11" ht="30" customHeight="1" x14ac:dyDescent="0.25">
      <c r="A224" s="7">
        <v>223</v>
      </c>
      <c r="B224" s="7" t="str">
        <f>B223</f>
        <v>Ящик с понижающим трансформатором</v>
      </c>
      <c r="C224" s="8" t="s">
        <v>7</v>
      </c>
      <c r="D224" s="8"/>
      <c r="E224" s="9" t="s">
        <v>95</v>
      </c>
      <c r="F224" s="14"/>
      <c r="G224" s="14">
        <f t="shared" si="79"/>
        <v>0</v>
      </c>
      <c r="H224" s="14">
        <f t="shared" ref="H224" si="97">G224*I224</f>
        <v>0</v>
      </c>
      <c r="I224" s="8">
        <v>1</v>
      </c>
      <c r="J224" s="10" t="s">
        <v>11</v>
      </c>
      <c r="K224" s="10" t="s">
        <v>22</v>
      </c>
    </row>
    <row r="225" spans="1:11" ht="30" customHeight="1" x14ac:dyDescent="0.25">
      <c r="A225" s="7">
        <v>224</v>
      </c>
      <c r="B225" s="7" t="str">
        <f t="shared" ref="B225:B227" si="98">B224</f>
        <v>Ящик с понижающим трансформатором</v>
      </c>
      <c r="C225" s="8" t="s">
        <v>8</v>
      </c>
      <c r="D225" s="8" t="s">
        <v>8</v>
      </c>
      <c r="E225" s="9" t="s">
        <v>8</v>
      </c>
      <c r="F225" s="14">
        <v>0</v>
      </c>
      <c r="G225" s="14">
        <f t="shared" si="79"/>
        <v>0</v>
      </c>
      <c r="H225" s="14">
        <f t="shared" ref="H225:H226" si="99">G225*I225</f>
        <v>0</v>
      </c>
      <c r="I225" s="8">
        <v>1</v>
      </c>
      <c r="J225" s="10" t="s">
        <v>11</v>
      </c>
      <c r="K225" s="8" t="s">
        <v>8</v>
      </c>
    </row>
    <row r="226" spans="1:11" ht="30" customHeight="1" x14ac:dyDescent="0.25">
      <c r="A226" s="7">
        <v>225</v>
      </c>
      <c r="B226" s="7" t="str">
        <f t="shared" si="98"/>
        <v>Ящик с понижающим трансформатором</v>
      </c>
      <c r="C226" s="8" t="s">
        <v>9</v>
      </c>
      <c r="D226" s="8" t="s">
        <v>9</v>
      </c>
      <c r="E226" s="9" t="s">
        <v>9</v>
      </c>
      <c r="F226" s="14">
        <v>0</v>
      </c>
      <c r="G226" s="14">
        <f t="shared" si="79"/>
        <v>0</v>
      </c>
      <c r="H226" s="14">
        <f t="shared" si="99"/>
        <v>0</v>
      </c>
      <c r="I226" s="8">
        <v>720</v>
      </c>
      <c r="J226" s="10" t="s">
        <v>11</v>
      </c>
      <c r="K226" s="8" t="s">
        <v>9</v>
      </c>
    </row>
    <row r="227" spans="1:11" ht="30" customHeight="1" x14ac:dyDescent="0.25">
      <c r="A227" s="7">
        <v>226</v>
      </c>
      <c r="B227" s="7" t="str">
        <f t="shared" si="98"/>
        <v>Ящик с понижающим трансформатором</v>
      </c>
      <c r="C227" s="8"/>
      <c r="D227" s="8"/>
      <c r="E227" s="9"/>
      <c r="F227" s="17"/>
      <c r="G227" s="14">
        <f t="shared" si="79"/>
        <v>0</v>
      </c>
      <c r="H227" s="14">
        <f>SUM(H224:H226)</f>
        <v>0</v>
      </c>
      <c r="I227" s="8"/>
      <c r="J227" s="10"/>
      <c r="K227" s="8"/>
    </row>
  </sheetData>
  <autoFilter ref="A1:K227" xr:uid="{6390C445-D28C-4E55-8149-96BA8DFBC99C}"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Tilepi Abilay</cp:lastModifiedBy>
  <cp:revision>3</cp:revision>
  <dcterms:created xsi:type="dcterms:W3CDTF">2015-06-05T18:19:34Z</dcterms:created>
  <dcterms:modified xsi:type="dcterms:W3CDTF">2026-04-29T06:26:08Z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