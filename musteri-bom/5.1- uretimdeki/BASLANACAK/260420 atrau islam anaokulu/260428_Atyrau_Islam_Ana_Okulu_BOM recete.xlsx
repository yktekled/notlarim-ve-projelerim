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0 atrau islam anaokulu\"/>
    </mc:Choice>
  </mc:AlternateContent>
  <xr:revisionPtr revIDLastSave="0" documentId="13_ncr:1_{CFD0FF01-E490-47C6-A859-6462DF88BA9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1" sheetId="1" r:id="rId1"/>
  </sheets>
  <definedNames>
    <definedName name="_xlnm._FilterDatabase" localSheetId="0" hidden="1">'1'!$A$1:$H$160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2" i="1"/>
  <c r="B160" i="1"/>
  <c r="B155" i="1"/>
  <c r="B156" i="1" s="1"/>
  <c r="B157" i="1" s="1"/>
  <c r="B158" i="1" s="1"/>
  <c r="B159" i="1" s="1"/>
  <c r="B149" i="1"/>
  <c r="B150" i="1" s="1"/>
  <c r="B151" i="1" s="1"/>
  <c r="B152" i="1" s="1"/>
  <c r="B153" i="1" s="1"/>
  <c r="B154" i="1" s="1"/>
  <c r="B143" i="1"/>
  <c r="B144" i="1" s="1"/>
  <c r="B145" i="1" s="1"/>
  <c r="B146" i="1" s="1"/>
  <c r="B147" i="1" s="1"/>
  <c r="B148" i="1" s="1"/>
  <c r="B136" i="1"/>
  <c r="B137" i="1" s="1"/>
  <c r="B138" i="1" s="1"/>
  <c r="B139" i="1" s="1"/>
  <c r="B140" i="1" s="1"/>
  <c r="B141" i="1" s="1"/>
  <c r="B142" i="1" s="1"/>
  <c r="B129" i="1"/>
  <c r="B130" i="1" s="1"/>
  <c r="B131" i="1" s="1"/>
  <c r="B132" i="1" s="1"/>
  <c r="B133" i="1" s="1"/>
  <c r="B134" i="1" s="1"/>
  <c r="B135" i="1" s="1"/>
  <c r="B123" i="1"/>
  <c r="B124" i="1" s="1"/>
  <c r="B125" i="1" s="1"/>
  <c r="B126" i="1" s="1"/>
  <c r="B127" i="1" s="1"/>
  <c r="B128" i="1" s="1"/>
  <c r="B113" i="1"/>
  <c r="B114" i="1" s="1"/>
  <c r="B115" i="1" s="1"/>
  <c r="B116" i="1" s="1"/>
  <c r="B117" i="1" s="1"/>
  <c r="B118" i="1" s="1"/>
  <c r="B119" i="1" s="1"/>
  <c r="B120" i="1" s="1"/>
  <c r="B121" i="1" s="1"/>
  <c r="B122" i="1" s="1"/>
  <c r="B108" i="1"/>
  <c r="B109" i="1" s="1"/>
  <c r="B110" i="1" s="1"/>
  <c r="B111" i="1" s="1"/>
  <c r="B112" i="1" s="1"/>
  <c r="B97" i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88" i="1"/>
  <c r="B89" i="1" s="1"/>
  <c r="B90" i="1" s="1"/>
  <c r="B91" i="1" s="1"/>
  <c r="B92" i="1" s="1"/>
  <c r="B93" i="1" s="1"/>
  <c r="B94" i="1" s="1"/>
  <c r="B95" i="1" s="1"/>
  <c r="B96" i="1" s="1"/>
  <c r="B79" i="1"/>
  <c r="B80" i="1" s="1"/>
  <c r="B81" i="1" s="1"/>
  <c r="B82" i="1" s="1"/>
  <c r="B83" i="1" s="1"/>
  <c r="B84" i="1" s="1"/>
  <c r="B85" i="1" s="1"/>
  <c r="B86" i="1" s="1"/>
  <c r="B87" i="1" s="1"/>
  <c r="B71" i="1"/>
  <c r="B72" i="1" s="1"/>
  <c r="B73" i="1" s="1"/>
  <c r="B74" i="1" s="1"/>
  <c r="B75" i="1" s="1"/>
  <c r="B76" i="1" s="1"/>
  <c r="B77" i="1" s="1"/>
  <c r="B78" i="1" s="1"/>
  <c r="B63" i="1"/>
  <c r="B64" i="1" s="1"/>
  <c r="B65" i="1" s="1"/>
  <c r="B66" i="1" s="1"/>
  <c r="B67" i="1" s="1"/>
  <c r="B68" i="1" s="1"/>
  <c r="B69" i="1" s="1"/>
  <c r="B70" i="1" s="1"/>
  <c r="B55" i="1"/>
  <c r="B56" i="1" s="1"/>
  <c r="B57" i="1" s="1"/>
  <c r="B58" i="1" s="1"/>
  <c r="B59" i="1" s="1"/>
  <c r="B60" i="1" s="1"/>
  <c r="B61" i="1" s="1"/>
  <c r="B62" i="1" s="1"/>
  <c r="B49" i="1"/>
  <c r="B50" i="1" s="1"/>
  <c r="B51" i="1" s="1"/>
  <c r="B52" i="1" s="1"/>
  <c r="B53" i="1" s="1"/>
  <c r="B54" i="1" s="1"/>
  <c r="B41" i="1"/>
  <c r="B42" i="1" s="1"/>
  <c r="B43" i="1" s="1"/>
  <c r="B44" i="1" s="1"/>
  <c r="B45" i="1" s="1"/>
  <c r="B46" i="1" s="1"/>
  <c r="B47" i="1" s="1"/>
  <c r="B48" i="1" s="1"/>
  <c r="B36" i="1"/>
  <c r="B37" i="1" s="1"/>
  <c r="B38" i="1" s="1"/>
  <c r="B39" i="1" s="1"/>
  <c r="B40" i="1" s="1"/>
  <c r="B31" i="1"/>
  <c r="B32" i="1" s="1"/>
  <c r="B33" i="1" s="1"/>
  <c r="B34" i="1" s="1"/>
  <c r="B35" i="1" s="1"/>
  <c r="B23" i="1"/>
  <c r="B24" i="1" s="1"/>
  <c r="B25" i="1" s="1"/>
  <c r="B26" i="1" s="1"/>
  <c r="B27" i="1" s="1"/>
  <c r="B28" i="1" s="1"/>
  <c r="B29" i="1" s="1"/>
  <c r="B30" i="1" s="1"/>
  <c r="B14" i="1"/>
  <c r="B15" i="1" s="1"/>
  <c r="B16" i="1" s="1"/>
  <c r="B17" i="1" s="1"/>
  <c r="B18" i="1" s="1"/>
  <c r="B19" i="1" s="1"/>
  <c r="B20" i="1" s="1"/>
  <c r="B21" i="1" s="1"/>
  <c r="B22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<sst xmlns="http://schemas.openxmlformats.org/spreadsheetml/2006/main" count="676" uniqueCount="140">
  <si>
    <t>sira no</t>
  </si>
  <si>
    <t>Наименование1</t>
  </si>
  <si>
    <t>malzeme</t>
  </si>
  <si>
    <t>Артикул</t>
  </si>
  <si>
    <t>Наименование</t>
  </si>
  <si>
    <t>количество</t>
  </si>
  <si>
    <t>Ед.изм</t>
  </si>
  <si>
    <t>завод  из готовитель</t>
  </si>
  <si>
    <t>комплект</t>
  </si>
  <si>
    <t>TEKSAN</t>
  </si>
  <si>
    <t>korpus</t>
  </si>
  <si>
    <t>шт.</t>
  </si>
  <si>
    <t>teksan f</t>
  </si>
  <si>
    <t>rubilnik</t>
  </si>
  <si>
    <t>B060143</t>
  </si>
  <si>
    <t>cnc</t>
  </si>
  <si>
    <t>tms</t>
  </si>
  <si>
    <t>Авт. выкл. YCM1-250L/3Р 200A 25кА</t>
  </si>
  <si>
    <t>priceta jok</t>
  </si>
  <si>
    <t>Авт. выкл. YCM1-125L/3Р 160A 25кА</t>
  </si>
  <si>
    <t>tt</t>
  </si>
  <si>
    <t>pys</t>
  </si>
  <si>
    <t>sayac</t>
  </si>
  <si>
    <t>Счетчик «Отан» САР4У-Э712.1-ТХ  3 * 220 / 380В 5(7,5)A</t>
  </si>
  <si>
    <t>oto</t>
  </si>
  <si>
    <t xml:space="preserve">Авт. выкл. YCB6-63H 1P 6А 4.5kA х-ка C </t>
  </si>
  <si>
    <t>kondencator</t>
  </si>
  <si>
    <t xml:space="preserve">tekled </t>
  </si>
  <si>
    <t>lamb</t>
  </si>
  <si>
    <t>монтажный материал</t>
  </si>
  <si>
    <t>Авт. выкл. YCM1-125L/3Р 80A 25кА</t>
  </si>
  <si>
    <t xml:space="preserve">Авт. выкл. YCB9-80H 3P 63A 10кА х-ка C </t>
  </si>
  <si>
    <t xml:space="preserve">Авт. выкл. YCB9-80H 3P 50A 10кА х-ка C </t>
  </si>
  <si>
    <t xml:space="preserve">Авт. выкл. YCB9-80H 3P 40A 10кА х-ка C </t>
  </si>
  <si>
    <t xml:space="preserve">Авт. выкл. YCB9-80H 3P 25A 10кА х-ка C </t>
  </si>
  <si>
    <t>rn</t>
  </si>
  <si>
    <t>Независимый расцепитель AC230V/400V для YCB7-63N</t>
  </si>
  <si>
    <t xml:space="preserve">Авт. выкл. YCB9-80H 3P 32A 10кА х-ка C </t>
  </si>
  <si>
    <t>Независимый расцепитель  AC230V/400V для YCB7-63N ?</t>
  </si>
  <si>
    <t>ЯАВР3-40-2</t>
  </si>
  <si>
    <t>ats</t>
  </si>
  <si>
    <t>YCQ9Ms-63M 3P 40A</t>
  </si>
  <si>
    <t>Счетчик «Салют» САР4-Э708 380В 10(100) А</t>
  </si>
  <si>
    <t>ШРС</t>
  </si>
  <si>
    <t xml:space="preserve">Авт. выкл. YCB7-63N 3P 25A 6кА х-ка C </t>
  </si>
  <si>
    <t xml:space="preserve">Авт. выкл. YCB7-63N 3P 16A 6кА х-ка C </t>
  </si>
  <si>
    <t>ШР1</t>
  </si>
  <si>
    <t>bh</t>
  </si>
  <si>
    <t xml:space="preserve">Выключатель нагрузки YCH7-125N 3P 100A </t>
  </si>
  <si>
    <t xml:space="preserve">Авт. выкл. YCB6-63H 3P 40А 4.5kA х-ка C </t>
  </si>
  <si>
    <t xml:space="preserve">Авт. выкл. YCB6-63H 3P 16А 4.5kA х-ка C </t>
  </si>
  <si>
    <t xml:space="preserve">Авт. выкл. YCB6-63H 1P 16А 4.5kA х-ка C </t>
  </si>
  <si>
    <t>dif</t>
  </si>
  <si>
    <t>Диф. авт. выкл.YCB7LE-63Y 1P+N 16А 30mA электронный тип AС, х-ка С, 4.5kA</t>
  </si>
  <si>
    <t>ШР2</t>
  </si>
  <si>
    <t xml:space="preserve">Выключатель нагрузки YCH7-125N 3P 40A </t>
  </si>
  <si>
    <t>ШР3</t>
  </si>
  <si>
    <t xml:space="preserve">Авт. выкл. YCB6-63H 3P 32А 4.5kA х-ка C </t>
  </si>
  <si>
    <t xml:space="preserve">Авт. выкл. YCB6-63H 3P 25А 4.5kA х-ка C </t>
  </si>
  <si>
    <t>ШР4</t>
  </si>
  <si>
    <t>Диф. авт. выкл. YCB7NLE 4P C16 30mA тип AC 6kA</t>
  </si>
  <si>
    <t>ШР5</t>
  </si>
  <si>
    <t xml:space="preserve">Авт. выкл. YCB6-63H 1P 32А 4.5kA х-ка C </t>
  </si>
  <si>
    <t>ШРВ-1</t>
  </si>
  <si>
    <t>contactor</t>
  </si>
  <si>
    <t>A060386</t>
  </si>
  <si>
    <t xml:space="preserve">Модульный контактор YCCH6 20/20 2NO AC 220V 18мм </t>
  </si>
  <si>
    <t>Модульный контактор YCCH6-25/40 25A 4НО AC220/230В 50Гц</t>
  </si>
  <si>
    <t>ШРВ-2</t>
  </si>
  <si>
    <t>Модульный контактор YCCH6-25/40 25A 4НО AC220/230В 50Гц ?</t>
  </si>
  <si>
    <t>C000186</t>
  </si>
  <si>
    <t xml:space="preserve">Авт. выкл. YCB7-63N 3P 10A 6кА х-ка C </t>
  </si>
  <si>
    <t>Контактор CJX2S 12A (1NC+1NO) 220V</t>
  </si>
  <si>
    <t>rele</t>
  </si>
  <si>
    <t>Промежуточное реле LY 4 конт. с инд. LED 3А 220В AC </t>
  </si>
  <si>
    <t>perekluchatel</t>
  </si>
  <si>
    <t>Кулачковый переключатель LW32-10/1, 10А, 1Р, "1-0-2"</t>
  </si>
  <si>
    <t>button</t>
  </si>
  <si>
    <t xml:space="preserve">Кнопка (зелёная) LAY5-BA31 (NO) </t>
  </si>
  <si>
    <t xml:space="preserve">Кнопка (красная) LAY5-BA42 (NC) </t>
  </si>
  <si>
    <t>indicator</t>
  </si>
  <si>
    <t>CNC AD22-22DS/4 Зеленая 230V</t>
  </si>
  <si>
    <t>CNC AD22-22DS/4 Красная 230V</t>
  </si>
  <si>
    <t>ЩС</t>
  </si>
  <si>
    <t xml:space="preserve">Выключатель нагрузки YCH7-125N 3P 32A </t>
  </si>
  <si>
    <t xml:space="preserve">Авт. выкл. YCB7-63N 3P 16A 6кА х-ка D </t>
  </si>
  <si>
    <t xml:space="preserve">Кнопка управления Двойная кнопка "Пуск-Стоп" LAY5-EL8325 1НО+1НЗ AC230В IP40 </t>
  </si>
  <si>
    <t>termostat</t>
  </si>
  <si>
    <t>Термостат АТ-10</t>
  </si>
  <si>
    <t>Щ0-1</t>
  </si>
  <si>
    <t>photorele</t>
  </si>
  <si>
    <t>ФОТО РЕЛЕ?</t>
  </si>
  <si>
    <t>Щ0-2</t>
  </si>
  <si>
    <t>Щ0-3</t>
  </si>
  <si>
    <t>Щ0-4</t>
  </si>
  <si>
    <t>ЩАО-1, ЩАО-2</t>
  </si>
  <si>
    <t>ЯТП-0,25 220/36-3 36 УХЛ4</t>
  </si>
  <si>
    <t>ВРУ (ВРУ1М-13-20УХЛ4)</t>
  </si>
  <si>
    <t>400a</t>
  </si>
  <si>
    <t>ВРУ  (I секция) (ВРУ1М-44-00УХЛ4)</t>
  </si>
  <si>
    <t>ВРУ  (II секция) (ВРУ1М-44-00УХЛ4)</t>
  </si>
  <si>
    <t>Яз1 (Я5411-3074)</t>
  </si>
  <si>
    <t>Я-Нц (Я511-2274УХЛ4)</t>
  </si>
  <si>
    <t>Я1, Я2 (ЯРП-25-У3)</t>
  </si>
  <si>
    <t>420*245*150</t>
  </si>
  <si>
    <t>buson</t>
  </si>
  <si>
    <t>buson yuva</t>
  </si>
  <si>
    <t>521340</t>
  </si>
  <si>
    <t>Плавкая вставка предохранителя RT36-00-160, габарит 00, 25А</t>
  </si>
  <si>
    <t>521260</t>
  </si>
  <si>
    <t>Держатель плавкой вставки RT36-00-160, габарит 00, 160А</t>
  </si>
  <si>
    <t>chint</t>
  </si>
  <si>
    <t>cnc+</t>
  </si>
  <si>
    <t>719-15437</t>
  </si>
  <si>
    <t>Мет.Корпус Щит (1600x600x400+10см база)</t>
  </si>
  <si>
    <t>719-15043</t>
  </si>
  <si>
    <t>Мет. Щит ВРУ 1700х800х450+10CM База</t>
  </si>
  <si>
    <t>719-15435</t>
  </si>
  <si>
    <t>Мет.Корпус ЩМП-1-0 (395x310x220) IP31</t>
  </si>
  <si>
    <t>719-15901</t>
  </si>
  <si>
    <t>Мет. ЩМП-3 (650х500х220) IP31</t>
  </si>
  <si>
    <t>711-03008</t>
  </si>
  <si>
    <t>DX10-A16SWB V10  Щит пластиковый c/у Х16 (крышка прозрачная) NEXUS (TEKLED ELECTR)</t>
  </si>
  <si>
    <t>711-03014</t>
  </si>
  <si>
    <t>DX10-A32SWB V10 Щит пластиковый c/у Х32 (крышка прозрачная) NEXUS (TEKLED ELECTR)</t>
  </si>
  <si>
    <t>711-03016</t>
  </si>
  <si>
    <t>DX10-A48TWB V10 Щит пластиковый c/у Х48 (крышка прозрачная) NEXUS (TEKLED ELECTR)</t>
  </si>
  <si>
    <t>tekled</t>
  </si>
  <si>
    <t>714-15005</t>
  </si>
  <si>
    <t>Щит мет.ЩРн-12 б/o (313х268х120)S/U 36 IP31 (TS)</t>
  </si>
  <si>
    <t>714-15010</t>
  </si>
  <si>
    <t>Щит мет.ЩРн-24 б/o (398х312х120)S/U 36 IP31 (TS)</t>
  </si>
  <si>
    <t>714-15015</t>
  </si>
  <si>
    <t>Щит мет.ЩРн-36 б/o (312х540х120)S/U 36 IP31 (TS)</t>
  </si>
  <si>
    <t>ITT20-2-05-0200</t>
  </si>
  <si>
    <t xml:space="preserve">             Трансформатор тока ТТИ-30  200/5А 5ВА 0,5 IEK E-PRO</t>
  </si>
  <si>
    <t>270300100_</t>
  </si>
  <si>
    <t xml:space="preserve">            Трансформатор тока ТТИ-А  150/5А  5ВА  класс 0,5  IEK</t>
  </si>
  <si>
    <t>270100156_</t>
  </si>
  <si>
    <t xml:space="preserve">                    Рубильник ВР-32-31  А31220-100А на 1 направаление (+6камер) UNIT (1/18)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</si>
</sst>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7" tint="0.39988402966399123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8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10 2" xfId="2" xr:uid="{00000000-0005-0000-0000-000006000000}"/>
    <cellStyle name="Normal 2" xfId="3" xr:uid="{00000000-0005-0000-0000-000007000000}"/>
    <cellStyle name="Virgül" xfId="1" builtinId="3"/>
    <cellStyle name="Обычный 2" xfId="4" xr:uid="{00000000-0005-0000-0000-000008000000}"/>
    <cellStyle name="Обычный 2 2" xfId="5" xr:uid="{00000000-0005-0000-0000-000009000000}"/>
    <cellStyle name="Обычный 2 2 2" xfId="6" xr:uid="{00000000-0005-0000-0000-00000A000000}"/>
    <cellStyle name="Обычный 2 3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tabSelected="1" zoomScale="115" zoomScaleNormal="115" workbookViewId="0">
      <pane ySplit="1" topLeftCell="A88" activePane="bottomLeft" state="frozen"/>
      <selection pane="bottomLeft" activeCell="E160" sqref="E160"/>
    </sheetView>
  </sheetViews>
  <sheetFormatPr defaultColWidth="8.7109375" defaultRowHeight="15" outlineLevelRow="2" x14ac:dyDescent="0.25"/>
  <cols>
    <col min="1" max="2" width="9.140625" style="1" customWidth="1"/>
    <col min="3" max="3" width="9.140625" customWidth="1"/>
    <col min="5" max="5" width="55" customWidth="1"/>
    <col min="8" max="8" width="14.42578125" customWidth="1"/>
  </cols>
  <sheetData>
    <row r="1" spans="1:8" s="5" customFormat="1" ht="72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ht="30" customHeight="1" outlineLevel="2" x14ac:dyDescent="0.25">
      <c r="A2" s="6">
        <f>ROW()</f>
        <v>2</v>
      </c>
      <c r="B2" s="14" t="str">
        <f>E2</f>
        <v>ВРУ (ВРУ1М-13-20УХЛ4)</v>
      </c>
      <c r="C2" s="6"/>
      <c r="D2" s="8"/>
      <c r="E2" s="7" t="s">
        <v>97</v>
      </c>
      <c r="F2" s="8">
        <v>1</v>
      </c>
      <c r="G2" s="9" t="s">
        <v>8</v>
      </c>
      <c r="H2" s="9" t="s">
        <v>9</v>
      </c>
    </row>
    <row r="3" spans="1:8" ht="30" customHeight="1" outlineLevel="2" x14ac:dyDescent="0.25">
      <c r="A3" s="10">
        <f>ROW()</f>
        <v>3</v>
      </c>
      <c r="B3" s="15" t="str">
        <f t="shared" ref="B3:B13" si="0">B2</f>
        <v>ВРУ (ВРУ1М-13-20УХЛ4)</v>
      </c>
      <c r="C3" s="10" t="s">
        <v>10</v>
      </c>
      <c r="D3" s="10" t="s">
        <v>115</v>
      </c>
      <c r="E3" s="12" t="s">
        <v>116</v>
      </c>
      <c r="F3" s="10">
        <v>1</v>
      </c>
      <c r="G3" s="13" t="s">
        <v>11</v>
      </c>
      <c r="H3" s="13" t="s">
        <v>12</v>
      </c>
    </row>
    <row r="4" spans="1:8" ht="30" customHeight="1" outlineLevel="2" x14ac:dyDescent="0.25">
      <c r="A4" s="10">
        <f>ROW()</f>
        <v>4</v>
      </c>
      <c r="B4" s="15" t="str">
        <f t="shared" si="0"/>
        <v>ВРУ (ВРУ1М-13-20УХЛ4)</v>
      </c>
      <c r="C4" s="10" t="s">
        <v>13</v>
      </c>
      <c r="D4" s="10" t="s">
        <v>14</v>
      </c>
      <c r="E4" s="12" t="s">
        <v>98</v>
      </c>
      <c r="F4" s="10">
        <v>2</v>
      </c>
      <c r="G4" s="13" t="s">
        <v>11</v>
      </c>
      <c r="H4" s="13" t="s">
        <v>21</v>
      </c>
    </row>
    <row r="5" spans="1:8" ht="30" customHeight="1" outlineLevel="2" x14ac:dyDescent="0.25">
      <c r="A5" s="10">
        <f>ROW()</f>
        <v>5</v>
      </c>
      <c r="B5" s="15" t="str">
        <f t="shared" si="0"/>
        <v>ВРУ (ВРУ1М-13-20УХЛ4)</v>
      </c>
      <c r="C5" s="10" t="s">
        <v>16</v>
      </c>
      <c r="D5" s="10">
        <v>126586</v>
      </c>
      <c r="E5" s="12" t="s">
        <v>17</v>
      </c>
      <c r="F5" s="10">
        <v>1</v>
      </c>
      <c r="G5" s="13" t="s">
        <v>11</v>
      </c>
      <c r="H5" s="13" t="s">
        <v>15</v>
      </c>
    </row>
    <row r="6" spans="1:8" ht="30" customHeight="1" outlineLevel="2" x14ac:dyDescent="0.25">
      <c r="A6" s="10">
        <f>ROW()</f>
        <v>6</v>
      </c>
      <c r="B6" s="15" t="str">
        <f t="shared" si="0"/>
        <v>ВРУ (ВРУ1М-13-20УХЛ4)</v>
      </c>
      <c r="C6" s="10" t="s">
        <v>16</v>
      </c>
      <c r="D6" s="10" t="s">
        <v>18</v>
      </c>
      <c r="E6" s="12" t="s">
        <v>19</v>
      </c>
      <c r="F6" s="10">
        <v>1</v>
      </c>
      <c r="G6" s="13" t="s">
        <v>11</v>
      </c>
      <c r="H6" s="13" t="s">
        <v>15</v>
      </c>
    </row>
    <row r="7" spans="1:8" ht="30" customHeight="1" outlineLevel="2" x14ac:dyDescent="0.25">
      <c r="A7" s="10">
        <f>ROW()</f>
        <v>7</v>
      </c>
      <c r="B7" s="15" t="str">
        <f t="shared" si="0"/>
        <v>ВРУ (ВРУ1М-13-20УХЛ4)</v>
      </c>
      <c r="C7" s="10" t="s">
        <v>20</v>
      </c>
      <c r="D7" s="10" t="s">
        <v>134</v>
      </c>
      <c r="E7" s="12" t="s">
        <v>135</v>
      </c>
      <c r="F7" s="10">
        <v>3</v>
      </c>
      <c r="G7" s="13" t="s">
        <v>11</v>
      </c>
      <c r="H7" s="13" t="s">
        <v>21</v>
      </c>
    </row>
    <row r="8" spans="1:8" ht="30" customHeight="1" outlineLevel="2" x14ac:dyDescent="0.25">
      <c r="A8" s="10">
        <f>ROW()</f>
        <v>8</v>
      </c>
      <c r="B8" s="15" t="str">
        <f t="shared" si="0"/>
        <v>ВРУ (ВРУ1М-13-20УХЛ4)</v>
      </c>
      <c r="C8" s="10" t="s">
        <v>20</v>
      </c>
      <c r="D8" s="10" t="s">
        <v>136</v>
      </c>
      <c r="E8" s="12" t="s">
        <v>137</v>
      </c>
      <c r="F8" s="10">
        <v>3</v>
      </c>
      <c r="G8" s="13" t="s">
        <v>11</v>
      </c>
      <c r="H8" s="13" t="s">
        <v>21</v>
      </c>
    </row>
    <row r="9" spans="1:8" ht="30" customHeight="1" outlineLevel="2" x14ac:dyDescent="0.25">
      <c r="A9" s="10">
        <f>ROW()</f>
        <v>9</v>
      </c>
      <c r="B9" s="15" t="str">
        <f t="shared" si="0"/>
        <v>ВРУ (ВРУ1М-13-20УХЛ4)</v>
      </c>
      <c r="C9" s="10" t="s">
        <v>22</v>
      </c>
      <c r="D9" s="10"/>
      <c r="E9" s="12" t="s">
        <v>23</v>
      </c>
      <c r="F9" s="10">
        <v>2</v>
      </c>
      <c r="G9" s="13" t="s">
        <v>11</v>
      </c>
      <c r="H9" s="13" t="s">
        <v>21</v>
      </c>
    </row>
    <row r="10" spans="1:8" ht="30" customHeight="1" outlineLevel="2" x14ac:dyDescent="0.25">
      <c r="A10" s="10">
        <f>ROW()</f>
        <v>10</v>
      </c>
      <c r="B10" s="15" t="str">
        <f t="shared" si="0"/>
        <v>ВРУ (ВРУ1М-13-20УХЛ4)</v>
      </c>
      <c r="C10" s="10" t="s">
        <v>24</v>
      </c>
      <c r="D10" s="10">
        <v>296708</v>
      </c>
      <c r="E10" s="12" t="s">
        <v>25</v>
      </c>
      <c r="F10" s="10">
        <v>2</v>
      </c>
      <c r="G10" s="13" t="s">
        <v>11</v>
      </c>
      <c r="H10" s="13" t="s">
        <v>15</v>
      </c>
    </row>
    <row r="11" spans="1:8" ht="30" customHeight="1" outlineLevel="2" x14ac:dyDescent="0.25">
      <c r="A11" s="10">
        <f>ROW()</f>
        <v>11</v>
      </c>
      <c r="B11" s="15" t="str">
        <f t="shared" si="0"/>
        <v>ВРУ (ВРУ1М-13-20УХЛ4)</v>
      </c>
      <c r="C11" s="11" t="s">
        <v>26</v>
      </c>
      <c r="D11" s="10"/>
      <c r="E11" s="12" t="s">
        <v>26</v>
      </c>
      <c r="F11" s="10">
        <v>2</v>
      </c>
      <c r="G11" s="13" t="s">
        <v>11</v>
      </c>
      <c r="H11" s="13" t="s">
        <v>21</v>
      </c>
    </row>
    <row r="12" spans="1:8" ht="30" customHeight="1" outlineLevel="2" x14ac:dyDescent="0.25">
      <c r="A12" s="10">
        <f>ROW()</f>
        <v>12</v>
      </c>
      <c r="B12" s="15" t="str">
        <f t="shared" si="0"/>
        <v>ВРУ (ВРУ1М-13-20УХЛ4)</v>
      </c>
      <c r="C12" s="11" t="s">
        <v>28</v>
      </c>
      <c r="D12" s="10"/>
      <c r="E12" s="12" t="s">
        <v>28</v>
      </c>
      <c r="F12" s="10">
        <v>1</v>
      </c>
      <c r="G12" s="13" t="s">
        <v>11</v>
      </c>
      <c r="H12" s="13" t="s">
        <v>27</v>
      </c>
    </row>
    <row r="13" spans="1:8" ht="30" customHeight="1" outlineLevel="2" x14ac:dyDescent="0.25">
      <c r="A13" s="10">
        <f>ROW()</f>
        <v>13</v>
      </c>
      <c r="B13" s="15" t="str">
        <f t="shared" si="0"/>
        <v>ВРУ (ВРУ1М-13-20УХЛ4)</v>
      </c>
      <c r="C13" s="10" t="s">
        <v>29</v>
      </c>
      <c r="D13" s="10" t="s">
        <v>29</v>
      </c>
      <c r="E13" s="12" t="s">
        <v>29</v>
      </c>
      <c r="F13" s="10">
        <v>1</v>
      </c>
      <c r="G13" s="13" t="s">
        <v>11</v>
      </c>
      <c r="H13" s="10" t="s">
        <v>29</v>
      </c>
    </row>
    <row r="14" spans="1:8" ht="30" customHeight="1" outlineLevel="2" x14ac:dyDescent="0.25">
      <c r="A14" s="6">
        <f>ROW()</f>
        <v>14</v>
      </c>
      <c r="B14" s="14" t="str">
        <f>E14</f>
        <v>ВРУ  (I секция) (ВРУ1М-44-00УХЛ4)</v>
      </c>
      <c r="C14" s="6"/>
      <c r="D14" s="8"/>
      <c r="E14" s="7" t="s">
        <v>99</v>
      </c>
      <c r="F14" s="8">
        <v>1</v>
      </c>
      <c r="G14" s="9" t="s">
        <v>8</v>
      </c>
      <c r="H14" s="9" t="s">
        <v>9</v>
      </c>
    </row>
    <row r="15" spans="1:8" ht="30" customHeight="1" outlineLevel="2" x14ac:dyDescent="0.25">
      <c r="A15" s="10">
        <f>ROW()</f>
        <v>15</v>
      </c>
      <c r="B15" s="15" t="str">
        <f t="shared" ref="B15:B22" si="1">B14</f>
        <v>ВРУ  (I секция) (ВРУ1М-44-00УХЛ4)</v>
      </c>
      <c r="C15" s="10" t="s">
        <v>10</v>
      </c>
      <c r="D15" s="10" t="s">
        <v>113</v>
      </c>
      <c r="E15" s="12" t="s">
        <v>114</v>
      </c>
      <c r="F15" s="10">
        <v>1</v>
      </c>
      <c r="G15" s="13" t="s">
        <v>11</v>
      </c>
      <c r="H15" s="13" t="s">
        <v>12</v>
      </c>
    </row>
    <row r="16" spans="1:8" ht="30" customHeight="1" outlineLevel="2" x14ac:dyDescent="0.25">
      <c r="A16" s="10">
        <f>ROW()</f>
        <v>16</v>
      </c>
      <c r="B16" s="15" t="str">
        <f t="shared" si="1"/>
        <v>ВРУ  (I секция) (ВРУ1М-44-00УХЛ4)</v>
      </c>
      <c r="C16" s="10" t="s">
        <v>16</v>
      </c>
      <c r="D16" s="10">
        <v>126510</v>
      </c>
      <c r="E16" s="12" t="s">
        <v>30</v>
      </c>
      <c r="F16" s="10">
        <v>2</v>
      </c>
      <c r="G16" s="13" t="s">
        <v>11</v>
      </c>
      <c r="H16" s="13" t="s">
        <v>15</v>
      </c>
    </row>
    <row r="17" spans="1:8" ht="30" customHeight="1" outlineLevel="2" x14ac:dyDescent="0.25">
      <c r="A17" s="10">
        <f>ROW()</f>
        <v>17</v>
      </c>
      <c r="B17" s="15" t="str">
        <f t="shared" si="1"/>
        <v>ВРУ  (I секция) (ВРУ1М-44-00УХЛ4)</v>
      </c>
      <c r="C17" s="10" t="s">
        <v>24</v>
      </c>
      <c r="D17" s="10">
        <v>813877</v>
      </c>
      <c r="E17" s="12" t="s">
        <v>31</v>
      </c>
      <c r="F17" s="10">
        <v>1</v>
      </c>
      <c r="G17" s="13" t="s">
        <v>11</v>
      </c>
      <c r="H17" s="13" t="s">
        <v>15</v>
      </c>
    </row>
    <row r="18" spans="1:8" ht="30" customHeight="1" outlineLevel="2" x14ac:dyDescent="0.25">
      <c r="A18" s="10">
        <f>ROW()</f>
        <v>18</v>
      </c>
      <c r="B18" s="15" t="str">
        <f t="shared" si="1"/>
        <v>ВРУ  (I секция) (ВРУ1М-44-00УХЛ4)</v>
      </c>
      <c r="C18" s="10" t="s">
        <v>24</v>
      </c>
      <c r="D18" s="10">
        <v>813876</v>
      </c>
      <c r="E18" s="12" t="s">
        <v>32</v>
      </c>
      <c r="F18" s="10">
        <v>1</v>
      </c>
      <c r="G18" s="13" t="s">
        <v>11</v>
      </c>
      <c r="H18" s="13" t="s">
        <v>15</v>
      </c>
    </row>
    <row r="19" spans="1:8" ht="30" customHeight="1" outlineLevel="2" x14ac:dyDescent="0.25">
      <c r="A19" s="10">
        <f>ROW()</f>
        <v>19</v>
      </c>
      <c r="B19" s="15" t="str">
        <f t="shared" si="1"/>
        <v>ВРУ  (I секция) (ВРУ1М-44-00УХЛ4)</v>
      </c>
      <c r="C19" s="10" t="s">
        <v>24</v>
      </c>
      <c r="D19" s="10">
        <v>813875</v>
      </c>
      <c r="E19" s="12" t="s">
        <v>33</v>
      </c>
      <c r="F19" s="10">
        <v>2</v>
      </c>
      <c r="G19" s="13" t="s">
        <v>11</v>
      </c>
      <c r="H19" s="13" t="s">
        <v>15</v>
      </c>
    </row>
    <row r="20" spans="1:8" ht="30" customHeight="1" outlineLevel="2" x14ac:dyDescent="0.25">
      <c r="A20" s="10">
        <f>ROW()</f>
        <v>20</v>
      </c>
      <c r="B20" s="15" t="str">
        <f t="shared" si="1"/>
        <v>ВРУ  (I секция) (ВРУ1М-44-00УХЛ4)</v>
      </c>
      <c r="C20" s="10" t="s">
        <v>24</v>
      </c>
      <c r="D20" s="10">
        <v>813873</v>
      </c>
      <c r="E20" s="12" t="s">
        <v>34</v>
      </c>
      <c r="F20" s="10">
        <v>3</v>
      </c>
      <c r="G20" s="13" t="s">
        <v>11</v>
      </c>
      <c r="H20" s="13" t="s">
        <v>15</v>
      </c>
    </row>
    <row r="21" spans="1:8" ht="30" customHeight="1" outlineLevel="2" x14ac:dyDescent="0.25">
      <c r="A21" s="10">
        <f>ROW()</f>
        <v>21</v>
      </c>
      <c r="B21" s="15" t="str">
        <f t="shared" si="1"/>
        <v>ВРУ  (I секция) (ВРУ1М-44-00УХЛ4)</v>
      </c>
      <c r="C21" s="10" t="s">
        <v>35</v>
      </c>
      <c r="D21" s="10">
        <v>814989</v>
      </c>
      <c r="E21" s="12" t="s">
        <v>36</v>
      </c>
      <c r="F21" s="10">
        <v>1</v>
      </c>
      <c r="G21" s="13" t="s">
        <v>11</v>
      </c>
      <c r="H21" s="13" t="s">
        <v>15</v>
      </c>
    </row>
    <row r="22" spans="1:8" ht="30" customHeight="1" outlineLevel="2" x14ac:dyDescent="0.25">
      <c r="A22" s="10">
        <f>ROW()</f>
        <v>22</v>
      </c>
      <c r="B22" s="15" t="str">
        <f t="shared" si="1"/>
        <v>ВРУ  (I секция) (ВРУ1М-44-00УХЛ4)</v>
      </c>
      <c r="C22" s="10" t="s">
        <v>29</v>
      </c>
      <c r="D22" s="10" t="s">
        <v>29</v>
      </c>
      <c r="E22" s="12" t="s">
        <v>29</v>
      </c>
      <c r="F22" s="10">
        <v>1</v>
      </c>
      <c r="G22" s="13" t="s">
        <v>11</v>
      </c>
      <c r="H22" s="10" t="s">
        <v>29</v>
      </c>
    </row>
    <row r="23" spans="1:8" ht="30" customHeight="1" outlineLevel="2" x14ac:dyDescent="0.25">
      <c r="A23" s="6">
        <f>ROW()</f>
        <v>23</v>
      </c>
      <c r="B23" s="14" t="str">
        <f>E23</f>
        <v>ВРУ  (II секция) (ВРУ1М-44-00УХЛ4)</v>
      </c>
      <c r="C23" s="6"/>
      <c r="D23" s="8"/>
      <c r="E23" s="7" t="s">
        <v>100</v>
      </c>
      <c r="F23" s="8">
        <v>1</v>
      </c>
      <c r="G23" s="9" t="s">
        <v>8</v>
      </c>
      <c r="H23" s="9" t="s">
        <v>9</v>
      </c>
    </row>
    <row r="24" spans="1:8" ht="30" customHeight="1" outlineLevel="2" x14ac:dyDescent="0.25">
      <c r="A24" s="10">
        <f>ROW()</f>
        <v>24</v>
      </c>
      <c r="B24" s="15" t="str">
        <f t="shared" ref="B24:B30" si="2">B23</f>
        <v>ВРУ  (II секция) (ВРУ1М-44-00УХЛ4)</v>
      </c>
      <c r="C24" s="10" t="s">
        <v>10</v>
      </c>
      <c r="D24" s="10" t="s">
        <v>113</v>
      </c>
      <c r="E24" s="12" t="s">
        <v>114</v>
      </c>
      <c r="F24" s="10">
        <v>1</v>
      </c>
      <c r="G24" s="13" t="s">
        <v>11</v>
      </c>
      <c r="H24" s="13" t="s">
        <v>12</v>
      </c>
    </row>
    <row r="25" spans="1:8" ht="30" customHeight="1" outlineLevel="2" x14ac:dyDescent="0.25">
      <c r="A25" s="10">
        <f>ROW()</f>
        <v>25</v>
      </c>
      <c r="B25" s="15" t="str">
        <f t="shared" si="2"/>
        <v>ВРУ  (II секция) (ВРУ1М-44-00УХЛ4)</v>
      </c>
      <c r="C25" s="10" t="s">
        <v>16</v>
      </c>
      <c r="D25" s="10">
        <v>126510</v>
      </c>
      <c r="E25" s="12" t="s">
        <v>30</v>
      </c>
      <c r="F25" s="10">
        <v>2</v>
      </c>
      <c r="G25" s="13" t="s">
        <v>11</v>
      </c>
      <c r="H25" s="13" t="s">
        <v>15</v>
      </c>
    </row>
    <row r="26" spans="1:8" ht="30" customHeight="1" outlineLevel="2" x14ac:dyDescent="0.25">
      <c r="A26" s="10">
        <f>ROW()</f>
        <v>26</v>
      </c>
      <c r="B26" s="15" t="str">
        <f t="shared" si="2"/>
        <v>ВРУ  (II секция) (ВРУ1М-44-00УХЛ4)</v>
      </c>
      <c r="C26" s="10" t="s">
        <v>24</v>
      </c>
      <c r="D26" s="10">
        <v>813874</v>
      </c>
      <c r="E26" s="12" t="s">
        <v>37</v>
      </c>
      <c r="F26" s="10">
        <v>4</v>
      </c>
      <c r="G26" s="13" t="s">
        <v>11</v>
      </c>
      <c r="H26" s="13" t="s">
        <v>15</v>
      </c>
    </row>
    <row r="27" spans="1:8" ht="30" customHeight="1" outlineLevel="2" x14ac:dyDescent="0.25">
      <c r="A27" s="10">
        <f>ROW()</f>
        <v>27</v>
      </c>
      <c r="B27" s="15" t="str">
        <f t="shared" si="2"/>
        <v>ВРУ  (II секция) (ВРУ1М-44-00УХЛ4)</v>
      </c>
      <c r="C27" s="10" t="s">
        <v>24</v>
      </c>
      <c r="D27" s="10">
        <v>813875</v>
      </c>
      <c r="E27" s="12" t="s">
        <v>33</v>
      </c>
      <c r="F27" s="10">
        <v>2</v>
      </c>
      <c r="G27" s="13" t="s">
        <v>11</v>
      </c>
      <c r="H27" s="13" t="s">
        <v>15</v>
      </c>
    </row>
    <row r="28" spans="1:8" ht="30" customHeight="1" outlineLevel="2" x14ac:dyDescent="0.25">
      <c r="A28" s="10">
        <f>ROW()</f>
        <v>28</v>
      </c>
      <c r="B28" s="15" t="str">
        <f t="shared" si="2"/>
        <v>ВРУ  (II секция) (ВРУ1М-44-00УХЛ4)</v>
      </c>
      <c r="C28" s="10" t="s">
        <v>24</v>
      </c>
      <c r="D28" s="10">
        <v>813873</v>
      </c>
      <c r="E28" s="12" t="s">
        <v>36</v>
      </c>
      <c r="F28" s="10">
        <v>1</v>
      </c>
      <c r="G28" s="13" t="s">
        <v>11</v>
      </c>
      <c r="H28" s="13" t="s">
        <v>15</v>
      </c>
    </row>
    <row r="29" spans="1:8" ht="30" customHeight="1" outlineLevel="2" x14ac:dyDescent="0.25">
      <c r="A29" s="10">
        <f>ROW()</f>
        <v>29</v>
      </c>
      <c r="B29" s="15" t="str">
        <f t="shared" si="2"/>
        <v>ВРУ  (II секция) (ВРУ1М-44-00УХЛ4)</v>
      </c>
      <c r="C29" s="10" t="s">
        <v>35</v>
      </c>
      <c r="D29" s="10">
        <v>814989</v>
      </c>
      <c r="E29" s="12" t="s">
        <v>38</v>
      </c>
      <c r="F29" s="10">
        <v>1</v>
      </c>
      <c r="G29" s="13" t="s">
        <v>11</v>
      </c>
      <c r="H29" s="13" t="s">
        <v>15</v>
      </c>
    </row>
    <row r="30" spans="1:8" ht="30" customHeight="1" outlineLevel="2" x14ac:dyDescent="0.25">
      <c r="A30" s="10">
        <f>ROW()</f>
        <v>30</v>
      </c>
      <c r="B30" s="15" t="str">
        <f t="shared" si="2"/>
        <v>ВРУ  (II секция) (ВРУ1М-44-00УХЛ4)</v>
      </c>
      <c r="C30" s="10" t="s">
        <v>29</v>
      </c>
      <c r="D30" s="10" t="s">
        <v>29</v>
      </c>
      <c r="E30" s="12" t="s">
        <v>29</v>
      </c>
      <c r="F30" s="10">
        <v>1</v>
      </c>
      <c r="G30" s="13" t="s">
        <v>11</v>
      </c>
      <c r="H30" s="10" t="s">
        <v>29</v>
      </c>
    </row>
    <row r="31" spans="1:8" ht="30" customHeight="1" outlineLevel="2" x14ac:dyDescent="0.25">
      <c r="A31" s="6">
        <f>ROW()</f>
        <v>31</v>
      </c>
      <c r="B31" s="14" t="str">
        <f>E31</f>
        <v>ЯАВР3-40-2</v>
      </c>
      <c r="C31" s="6"/>
      <c r="D31" s="8"/>
      <c r="E31" s="7" t="s">
        <v>39</v>
      </c>
      <c r="F31" s="8">
        <v>1</v>
      </c>
      <c r="G31" s="9" t="s">
        <v>8</v>
      </c>
      <c r="H31" s="9" t="s">
        <v>9</v>
      </c>
    </row>
    <row r="32" spans="1:8" ht="30" customHeight="1" outlineLevel="2" x14ac:dyDescent="0.25">
      <c r="A32" s="10">
        <f>ROW()</f>
        <v>32</v>
      </c>
      <c r="B32" s="15" t="str">
        <f t="shared" ref="B32:B35" si="3">B31</f>
        <v>ЯАВР3-40-2</v>
      </c>
      <c r="C32" s="10" t="s">
        <v>10</v>
      </c>
      <c r="D32" s="10" t="s">
        <v>119</v>
      </c>
      <c r="E32" s="12" t="s">
        <v>120</v>
      </c>
      <c r="F32" s="10">
        <v>1</v>
      </c>
      <c r="G32" s="13" t="s">
        <v>11</v>
      </c>
      <c r="H32" s="13" t="s">
        <v>12</v>
      </c>
    </row>
    <row r="33" spans="1:8" ht="30" customHeight="1" outlineLevel="2" x14ac:dyDescent="0.25">
      <c r="A33" s="10">
        <f>ROW()</f>
        <v>33</v>
      </c>
      <c r="B33" s="15" t="str">
        <f t="shared" si="3"/>
        <v>ЯАВР3-40-2</v>
      </c>
      <c r="C33" s="10" t="s">
        <v>40</v>
      </c>
      <c r="D33" s="10">
        <v>256759</v>
      </c>
      <c r="E33" s="12" t="s">
        <v>41</v>
      </c>
      <c r="F33" s="10">
        <v>1</v>
      </c>
      <c r="G33" s="13" t="s">
        <v>11</v>
      </c>
      <c r="H33" s="13" t="s">
        <v>15</v>
      </c>
    </row>
    <row r="34" spans="1:8" ht="30" customHeight="1" outlineLevel="2" x14ac:dyDescent="0.25">
      <c r="A34" s="10">
        <f>ROW()</f>
        <v>34</v>
      </c>
      <c r="B34" s="15" t="str">
        <f t="shared" si="3"/>
        <v>ЯАВР3-40-2</v>
      </c>
      <c r="C34" s="10" t="s">
        <v>22</v>
      </c>
      <c r="D34" s="10"/>
      <c r="E34" s="12" t="s">
        <v>42</v>
      </c>
      <c r="F34" s="10">
        <v>1</v>
      </c>
      <c r="G34" s="13" t="s">
        <v>11</v>
      </c>
      <c r="H34" s="13" t="s">
        <v>21</v>
      </c>
    </row>
    <row r="35" spans="1:8" ht="30" customHeight="1" outlineLevel="2" x14ac:dyDescent="0.25">
      <c r="A35" s="10">
        <f>ROW()</f>
        <v>35</v>
      </c>
      <c r="B35" s="15" t="str">
        <f t="shared" si="3"/>
        <v>ЯАВР3-40-2</v>
      </c>
      <c r="C35" s="10" t="s">
        <v>29</v>
      </c>
      <c r="D35" s="10" t="s">
        <v>29</v>
      </c>
      <c r="E35" s="12" t="s">
        <v>29</v>
      </c>
      <c r="F35" s="10">
        <v>1</v>
      </c>
      <c r="G35" s="13" t="s">
        <v>11</v>
      </c>
      <c r="H35" s="10" t="s">
        <v>29</v>
      </c>
    </row>
    <row r="36" spans="1:8" ht="30" customHeight="1" outlineLevel="2" x14ac:dyDescent="0.25">
      <c r="A36" s="6">
        <f>ROW()</f>
        <v>36</v>
      </c>
      <c r="B36" s="14" t="str">
        <f>E36</f>
        <v>ШРС</v>
      </c>
      <c r="C36" s="6"/>
      <c r="D36" s="8"/>
      <c r="E36" s="7" t="s">
        <v>43</v>
      </c>
      <c r="F36" s="8">
        <v>1</v>
      </c>
      <c r="G36" s="9" t="s">
        <v>8</v>
      </c>
      <c r="H36" s="9" t="s">
        <v>9</v>
      </c>
    </row>
    <row r="37" spans="1:8" ht="30" customHeight="1" outlineLevel="2" x14ac:dyDescent="0.25">
      <c r="A37" s="10">
        <f>ROW()</f>
        <v>37</v>
      </c>
      <c r="B37" s="15" t="str">
        <f t="shared" ref="B37:B40" si="4">B36</f>
        <v>ШРС</v>
      </c>
      <c r="C37" s="10" t="s">
        <v>10</v>
      </c>
      <c r="D37" s="10" t="s">
        <v>130</v>
      </c>
      <c r="E37" s="12" t="s">
        <v>131</v>
      </c>
      <c r="F37" s="10">
        <v>1</v>
      </c>
      <c r="G37" s="13" t="s">
        <v>11</v>
      </c>
      <c r="H37" s="13" t="s">
        <v>12</v>
      </c>
    </row>
    <row r="38" spans="1:8" ht="30" customHeight="1" outlineLevel="2" x14ac:dyDescent="0.25">
      <c r="A38" s="10">
        <f>ROW()</f>
        <v>38</v>
      </c>
      <c r="B38" s="15" t="str">
        <f t="shared" si="4"/>
        <v>ШРС</v>
      </c>
      <c r="C38" s="10" t="s">
        <v>24</v>
      </c>
      <c r="D38" s="10">
        <v>814172</v>
      </c>
      <c r="E38" s="12" t="s">
        <v>44</v>
      </c>
      <c r="F38" s="10">
        <v>3</v>
      </c>
      <c r="G38" s="13" t="s">
        <v>11</v>
      </c>
      <c r="H38" s="13" t="s">
        <v>15</v>
      </c>
    </row>
    <row r="39" spans="1:8" ht="30" customHeight="1" outlineLevel="2" x14ac:dyDescent="0.25">
      <c r="A39" s="10">
        <f>ROW()</f>
        <v>39</v>
      </c>
      <c r="B39" s="15" t="str">
        <f t="shared" si="4"/>
        <v>ШРС</v>
      </c>
      <c r="C39" s="10" t="s">
        <v>24</v>
      </c>
      <c r="D39" s="10">
        <v>814170</v>
      </c>
      <c r="E39" s="12" t="s">
        <v>45</v>
      </c>
      <c r="F39" s="10">
        <v>1</v>
      </c>
      <c r="G39" s="13" t="s">
        <v>11</v>
      </c>
      <c r="H39" s="13" t="s">
        <v>15</v>
      </c>
    </row>
    <row r="40" spans="1:8" ht="30" customHeight="1" outlineLevel="2" x14ac:dyDescent="0.25">
      <c r="A40" s="10">
        <f>ROW()</f>
        <v>40</v>
      </c>
      <c r="B40" s="15" t="str">
        <f t="shared" si="4"/>
        <v>ШРС</v>
      </c>
      <c r="C40" s="10" t="s">
        <v>29</v>
      </c>
      <c r="D40" s="10" t="s">
        <v>29</v>
      </c>
      <c r="E40" s="12" t="s">
        <v>29</v>
      </c>
      <c r="F40" s="10">
        <v>1</v>
      </c>
      <c r="G40" s="13" t="s">
        <v>11</v>
      </c>
      <c r="H40" s="10" t="s">
        <v>29</v>
      </c>
    </row>
    <row r="41" spans="1:8" ht="30" customHeight="1" outlineLevel="2" x14ac:dyDescent="0.25">
      <c r="A41" s="6">
        <f>ROW()</f>
        <v>41</v>
      </c>
      <c r="B41" s="14" t="str">
        <f>E41</f>
        <v>ШР1</v>
      </c>
      <c r="C41" s="6"/>
      <c r="D41" s="8"/>
      <c r="E41" s="7" t="s">
        <v>46</v>
      </c>
      <c r="F41" s="8">
        <v>1</v>
      </c>
      <c r="G41" s="9" t="s">
        <v>8</v>
      </c>
      <c r="H41" s="9" t="s">
        <v>9</v>
      </c>
    </row>
    <row r="42" spans="1:8" ht="30" customHeight="1" outlineLevel="2" x14ac:dyDescent="0.25">
      <c r="A42" s="10">
        <f>ROW()</f>
        <v>42</v>
      </c>
      <c r="B42" s="15" t="str">
        <f t="shared" ref="B42:B48" si="5">B41</f>
        <v>ШР1</v>
      </c>
      <c r="C42" s="10" t="s">
        <v>10</v>
      </c>
      <c r="D42" s="10" t="s">
        <v>132</v>
      </c>
      <c r="E42" s="12" t="s">
        <v>133</v>
      </c>
      <c r="F42" s="10">
        <v>1</v>
      </c>
      <c r="G42" s="13" t="s">
        <v>11</v>
      </c>
      <c r="H42" s="13" t="s">
        <v>12</v>
      </c>
    </row>
    <row r="43" spans="1:8" ht="30" customHeight="1" outlineLevel="2" x14ac:dyDescent="0.25">
      <c r="A43" s="10">
        <f>ROW()</f>
        <v>43</v>
      </c>
      <c r="B43" s="15" t="str">
        <f t="shared" si="5"/>
        <v>ШР1</v>
      </c>
      <c r="C43" s="10" t="s">
        <v>47</v>
      </c>
      <c r="D43" s="10">
        <v>193185</v>
      </c>
      <c r="E43" s="12" t="s">
        <v>48</v>
      </c>
      <c r="F43" s="10">
        <v>1</v>
      </c>
      <c r="G43" s="13" t="s">
        <v>11</v>
      </c>
      <c r="H43" s="13" t="s">
        <v>15</v>
      </c>
    </row>
    <row r="44" spans="1:8" ht="30" customHeight="1" outlineLevel="2" x14ac:dyDescent="0.25">
      <c r="A44" s="10">
        <f>ROW()</f>
        <v>44</v>
      </c>
      <c r="B44" s="15" t="str">
        <f t="shared" si="5"/>
        <v>ШР1</v>
      </c>
      <c r="C44" s="10" t="s">
        <v>24</v>
      </c>
      <c r="D44" s="10">
        <v>296831</v>
      </c>
      <c r="E44" s="12" t="s">
        <v>49</v>
      </c>
      <c r="F44" s="10">
        <v>3</v>
      </c>
      <c r="G44" s="13" t="s">
        <v>11</v>
      </c>
      <c r="H44" s="13" t="s">
        <v>15</v>
      </c>
    </row>
    <row r="45" spans="1:8" ht="30" customHeight="1" outlineLevel="2" x14ac:dyDescent="0.25">
      <c r="A45" s="10">
        <f>ROW()</f>
        <v>45</v>
      </c>
      <c r="B45" s="15" t="str">
        <f t="shared" si="5"/>
        <v>ШР1</v>
      </c>
      <c r="C45" s="10" t="s">
        <v>24</v>
      </c>
      <c r="D45" s="10">
        <v>296827</v>
      </c>
      <c r="E45" s="12" t="s">
        <v>50</v>
      </c>
      <c r="F45" s="10">
        <v>1</v>
      </c>
      <c r="G45" s="13" t="s">
        <v>11</v>
      </c>
      <c r="H45" s="13" t="s">
        <v>15</v>
      </c>
    </row>
    <row r="46" spans="1:8" ht="30" customHeight="1" outlineLevel="2" x14ac:dyDescent="0.25">
      <c r="A46" s="10">
        <f>ROW()</f>
        <v>46</v>
      </c>
      <c r="B46" s="15" t="str">
        <f t="shared" si="5"/>
        <v>ШР1</v>
      </c>
      <c r="C46" s="10" t="s">
        <v>24</v>
      </c>
      <c r="D46" s="10">
        <v>296710</v>
      </c>
      <c r="E46" s="12" t="s">
        <v>51</v>
      </c>
      <c r="F46" s="10">
        <v>2</v>
      </c>
      <c r="G46" s="13" t="s">
        <v>11</v>
      </c>
      <c r="H46" s="13" t="s">
        <v>15</v>
      </c>
    </row>
    <row r="47" spans="1:8" ht="30" customHeight="1" outlineLevel="2" x14ac:dyDescent="0.25">
      <c r="A47" s="10">
        <f>ROW()</f>
        <v>47</v>
      </c>
      <c r="B47" s="15" t="str">
        <f t="shared" si="5"/>
        <v>ШР1</v>
      </c>
      <c r="C47" s="10" t="s">
        <v>52</v>
      </c>
      <c r="D47" s="10">
        <v>105542</v>
      </c>
      <c r="E47" s="12" t="s">
        <v>53</v>
      </c>
      <c r="F47" s="10">
        <v>2</v>
      </c>
      <c r="G47" s="13" t="s">
        <v>11</v>
      </c>
      <c r="H47" s="13" t="s">
        <v>15</v>
      </c>
    </row>
    <row r="48" spans="1:8" ht="30" customHeight="1" outlineLevel="2" x14ac:dyDescent="0.25">
      <c r="A48" s="10">
        <f>ROW()</f>
        <v>48</v>
      </c>
      <c r="B48" s="15" t="str">
        <f t="shared" si="5"/>
        <v>ШР1</v>
      </c>
      <c r="C48" s="10" t="s">
        <v>29</v>
      </c>
      <c r="D48" s="10" t="s">
        <v>29</v>
      </c>
      <c r="E48" s="12" t="s">
        <v>29</v>
      </c>
      <c r="F48" s="10">
        <v>1</v>
      </c>
      <c r="G48" s="13" t="s">
        <v>11</v>
      </c>
      <c r="H48" s="10" t="s">
        <v>29</v>
      </c>
    </row>
    <row r="49" spans="1:8" ht="30" customHeight="1" outlineLevel="2" x14ac:dyDescent="0.25">
      <c r="A49" s="6">
        <f>ROW()</f>
        <v>49</v>
      </c>
      <c r="B49" s="14" t="str">
        <f>E49</f>
        <v>ШР2</v>
      </c>
      <c r="C49" s="6"/>
      <c r="D49" s="8"/>
      <c r="E49" s="7" t="s">
        <v>54</v>
      </c>
      <c r="F49" s="8">
        <v>1</v>
      </c>
      <c r="G49" s="9" t="s">
        <v>8</v>
      </c>
      <c r="H49" s="9" t="s">
        <v>9</v>
      </c>
    </row>
    <row r="50" spans="1:8" ht="30" customHeight="1" outlineLevel="2" x14ac:dyDescent="0.25">
      <c r="A50" s="10">
        <f>ROW()</f>
        <v>50</v>
      </c>
      <c r="B50" s="15" t="str">
        <f t="shared" ref="B50:B54" si="6">B49</f>
        <v>ШР2</v>
      </c>
      <c r="C50" s="10" t="s">
        <v>10</v>
      </c>
      <c r="D50" s="10" t="s">
        <v>130</v>
      </c>
      <c r="E50" s="12" t="s">
        <v>131</v>
      </c>
      <c r="F50" s="10">
        <v>1</v>
      </c>
      <c r="G50" s="13" t="s">
        <v>11</v>
      </c>
      <c r="H50" s="13" t="s">
        <v>12</v>
      </c>
    </row>
    <row r="51" spans="1:8" ht="30" customHeight="1" outlineLevel="2" x14ac:dyDescent="0.25">
      <c r="A51" s="10">
        <f>ROW()</f>
        <v>51</v>
      </c>
      <c r="B51" s="15" t="str">
        <f t="shared" si="6"/>
        <v>ШР2</v>
      </c>
      <c r="C51" s="10" t="s">
        <v>47</v>
      </c>
      <c r="D51" s="10">
        <v>193182</v>
      </c>
      <c r="E51" s="12" t="s">
        <v>55</v>
      </c>
      <c r="F51" s="10">
        <v>1</v>
      </c>
      <c r="G51" s="13" t="s">
        <v>11</v>
      </c>
      <c r="H51" s="13" t="s">
        <v>15</v>
      </c>
    </row>
    <row r="52" spans="1:8" ht="30" customHeight="1" outlineLevel="2" x14ac:dyDescent="0.25">
      <c r="A52" s="10">
        <f>ROW()</f>
        <v>52</v>
      </c>
      <c r="B52" s="15" t="str">
        <f t="shared" si="6"/>
        <v>ШР2</v>
      </c>
      <c r="C52" s="10" t="s">
        <v>24</v>
      </c>
      <c r="D52" s="10">
        <v>296827</v>
      </c>
      <c r="E52" s="12" t="s">
        <v>50</v>
      </c>
      <c r="F52" s="10">
        <v>1</v>
      </c>
      <c r="G52" s="13" t="s">
        <v>11</v>
      </c>
      <c r="H52" s="13" t="s">
        <v>15</v>
      </c>
    </row>
    <row r="53" spans="1:8" ht="43.5" customHeight="1" outlineLevel="2" x14ac:dyDescent="0.25">
      <c r="A53" s="10">
        <f>ROW()</f>
        <v>53</v>
      </c>
      <c r="B53" s="15" t="str">
        <f t="shared" si="6"/>
        <v>ШР2</v>
      </c>
      <c r="C53" s="10" t="s">
        <v>52</v>
      </c>
      <c r="D53" s="10">
        <v>105542</v>
      </c>
      <c r="E53" s="12" t="s">
        <v>53</v>
      </c>
      <c r="F53" s="10">
        <v>2</v>
      </c>
      <c r="G53" s="13" t="s">
        <v>11</v>
      </c>
      <c r="H53" s="13" t="s">
        <v>15</v>
      </c>
    </row>
    <row r="54" spans="1:8" ht="30" customHeight="1" outlineLevel="2" x14ac:dyDescent="0.25">
      <c r="A54" s="10">
        <f>ROW()</f>
        <v>54</v>
      </c>
      <c r="B54" s="15" t="str">
        <f t="shared" si="6"/>
        <v>ШР2</v>
      </c>
      <c r="C54" s="10" t="s">
        <v>29</v>
      </c>
      <c r="D54" s="10" t="s">
        <v>29</v>
      </c>
      <c r="E54" s="12" t="s">
        <v>29</v>
      </c>
      <c r="F54" s="10">
        <v>1</v>
      </c>
      <c r="G54" s="13" t="s">
        <v>11</v>
      </c>
      <c r="H54" s="10" t="s">
        <v>29</v>
      </c>
    </row>
    <row r="55" spans="1:8" ht="30" customHeight="1" outlineLevel="2" x14ac:dyDescent="0.25">
      <c r="A55" s="6">
        <f>ROW()</f>
        <v>55</v>
      </c>
      <c r="B55" s="14" t="str">
        <f>E55</f>
        <v>ШР3</v>
      </c>
      <c r="C55" s="6"/>
      <c r="D55" s="8"/>
      <c r="E55" s="7" t="s">
        <v>56</v>
      </c>
      <c r="F55" s="8">
        <v>1</v>
      </c>
      <c r="G55" s="9" t="s">
        <v>8</v>
      </c>
      <c r="H55" s="9" t="s">
        <v>9</v>
      </c>
    </row>
    <row r="56" spans="1:8" ht="30" customHeight="1" outlineLevel="2" x14ac:dyDescent="0.25">
      <c r="A56" s="10">
        <f>ROW()</f>
        <v>56</v>
      </c>
      <c r="B56" s="15" t="str">
        <f t="shared" ref="B56:B62" si="7">B55</f>
        <v>ШР3</v>
      </c>
      <c r="C56" s="10" t="s">
        <v>10</v>
      </c>
      <c r="D56" s="10" t="s">
        <v>130</v>
      </c>
      <c r="E56" s="12" t="s">
        <v>131</v>
      </c>
      <c r="F56" s="10">
        <v>1</v>
      </c>
      <c r="G56" s="13" t="s">
        <v>11</v>
      </c>
      <c r="H56" s="13" t="s">
        <v>12</v>
      </c>
    </row>
    <row r="57" spans="1:8" ht="30" customHeight="1" outlineLevel="2" x14ac:dyDescent="0.25">
      <c r="A57" s="10">
        <f>ROW()</f>
        <v>57</v>
      </c>
      <c r="B57" s="15" t="str">
        <f t="shared" si="7"/>
        <v>ШР3</v>
      </c>
      <c r="C57" s="10" t="s">
        <v>47</v>
      </c>
      <c r="D57" s="10">
        <v>193185</v>
      </c>
      <c r="E57" s="12" t="s">
        <v>48</v>
      </c>
      <c r="F57" s="10">
        <v>1</v>
      </c>
      <c r="G57" s="13" t="s">
        <v>11</v>
      </c>
      <c r="H57" s="13" t="s">
        <v>15</v>
      </c>
    </row>
    <row r="58" spans="1:8" ht="30" customHeight="1" outlineLevel="2" x14ac:dyDescent="0.25">
      <c r="A58" s="10">
        <f>ROW()</f>
        <v>58</v>
      </c>
      <c r="B58" s="15" t="str">
        <f t="shared" si="7"/>
        <v>ШР3</v>
      </c>
      <c r="C58" s="10" t="s">
        <v>24</v>
      </c>
      <c r="D58" s="10">
        <v>296830</v>
      </c>
      <c r="E58" s="12" t="s">
        <v>57</v>
      </c>
      <c r="F58" s="10">
        <v>1</v>
      </c>
      <c r="G58" s="13" t="s">
        <v>11</v>
      </c>
      <c r="H58" s="13" t="s">
        <v>15</v>
      </c>
    </row>
    <row r="59" spans="1:8" ht="30" customHeight="1" outlineLevel="2" x14ac:dyDescent="0.25">
      <c r="A59" s="10">
        <f>ROW()</f>
        <v>59</v>
      </c>
      <c r="B59" s="15" t="str">
        <f t="shared" si="7"/>
        <v>ШР3</v>
      </c>
      <c r="C59" s="10" t="s">
        <v>24</v>
      </c>
      <c r="D59" s="10">
        <v>296829</v>
      </c>
      <c r="E59" s="12" t="s">
        <v>58</v>
      </c>
      <c r="F59" s="10">
        <v>2</v>
      </c>
      <c r="G59" s="13" t="s">
        <v>11</v>
      </c>
      <c r="H59" s="13" t="s">
        <v>15</v>
      </c>
    </row>
    <row r="60" spans="1:8" ht="30" customHeight="1" outlineLevel="2" x14ac:dyDescent="0.25">
      <c r="A60" s="10">
        <f>ROW()</f>
        <v>60</v>
      </c>
      <c r="B60" s="15" t="str">
        <f t="shared" si="7"/>
        <v>ШР3</v>
      </c>
      <c r="C60" s="10" t="s">
        <v>24</v>
      </c>
      <c r="D60" s="10">
        <v>296827</v>
      </c>
      <c r="E60" s="12" t="s">
        <v>50</v>
      </c>
      <c r="F60" s="10">
        <v>2</v>
      </c>
      <c r="G60" s="13" t="s">
        <v>11</v>
      </c>
      <c r="H60" s="13" t="s">
        <v>15</v>
      </c>
    </row>
    <row r="61" spans="1:8" ht="30" customHeight="1" outlineLevel="2" x14ac:dyDescent="0.25">
      <c r="A61" s="10">
        <f>ROW()</f>
        <v>61</v>
      </c>
      <c r="B61" s="15" t="str">
        <f t="shared" si="7"/>
        <v>ШР3</v>
      </c>
      <c r="C61" s="10" t="s">
        <v>24</v>
      </c>
      <c r="D61" s="10">
        <v>296710</v>
      </c>
      <c r="E61" s="12" t="s">
        <v>51</v>
      </c>
      <c r="F61" s="10">
        <v>2</v>
      </c>
      <c r="G61" s="13" t="s">
        <v>11</v>
      </c>
      <c r="H61" s="13" t="s">
        <v>15</v>
      </c>
    </row>
    <row r="62" spans="1:8" ht="30" customHeight="1" outlineLevel="2" x14ac:dyDescent="0.25">
      <c r="A62" s="10">
        <f>ROW()</f>
        <v>62</v>
      </c>
      <c r="B62" s="15" t="str">
        <f t="shared" si="7"/>
        <v>ШР3</v>
      </c>
      <c r="C62" s="10" t="s">
        <v>29</v>
      </c>
      <c r="D62" s="10" t="s">
        <v>29</v>
      </c>
      <c r="E62" s="12" t="s">
        <v>29</v>
      </c>
      <c r="F62" s="10">
        <v>1</v>
      </c>
      <c r="G62" s="13" t="s">
        <v>11</v>
      </c>
      <c r="H62" s="10" t="s">
        <v>29</v>
      </c>
    </row>
    <row r="63" spans="1:8" ht="30" customHeight="1" outlineLevel="2" x14ac:dyDescent="0.25">
      <c r="A63" s="6">
        <f>ROW()</f>
        <v>63</v>
      </c>
      <c r="B63" s="14" t="str">
        <f>E63</f>
        <v>ШР4</v>
      </c>
      <c r="C63" s="6"/>
      <c r="D63" s="8"/>
      <c r="E63" s="7" t="s">
        <v>59</v>
      </c>
      <c r="F63" s="8">
        <v>1</v>
      </c>
      <c r="G63" s="9" t="s">
        <v>8</v>
      </c>
      <c r="H63" s="9" t="s">
        <v>9</v>
      </c>
    </row>
    <row r="64" spans="1:8" ht="30" customHeight="1" outlineLevel="2" x14ac:dyDescent="0.25">
      <c r="A64" s="10">
        <f>ROW()</f>
        <v>64</v>
      </c>
      <c r="B64" s="15" t="str">
        <f t="shared" ref="B64:B70" si="8">B63</f>
        <v>ШР4</v>
      </c>
      <c r="C64" s="10" t="s">
        <v>10</v>
      </c>
      <c r="D64" s="10" t="s">
        <v>132</v>
      </c>
      <c r="E64" s="12" t="s">
        <v>133</v>
      </c>
      <c r="F64" s="10">
        <v>1</v>
      </c>
      <c r="G64" s="13" t="s">
        <v>11</v>
      </c>
      <c r="H64" s="13" t="s">
        <v>12</v>
      </c>
    </row>
    <row r="65" spans="1:8" ht="30" customHeight="1" outlineLevel="2" x14ac:dyDescent="0.25">
      <c r="A65" s="10">
        <f>ROW()</f>
        <v>65</v>
      </c>
      <c r="B65" s="15" t="str">
        <f t="shared" si="8"/>
        <v>ШР4</v>
      </c>
      <c r="C65" s="10" t="s">
        <v>47</v>
      </c>
      <c r="D65" s="10">
        <v>193182</v>
      </c>
      <c r="E65" s="12" t="s">
        <v>55</v>
      </c>
      <c r="F65" s="10">
        <v>1</v>
      </c>
      <c r="G65" s="13" t="s">
        <v>11</v>
      </c>
      <c r="H65" s="13" t="s">
        <v>15</v>
      </c>
    </row>
    <row r="66" spans="1:8" ht="30" customHeight="1" outlineLevel="2" x14ac:dyDescent="0.25">
      <c r="A66" s="10">
        <f>ROW()</f>
        <v>66</v>
      </c>
      <c r="B66" s="15" t="str">
        <f t="shared" si="8"/>
        <v>ШР4</v>
      </c>
      <c r="C66" s="10" t="s">
        <v>52</v>
      </c>
      <c r="D66" s="10">
        <v>982157</v>
      </c>
      <c r="E66" s="12" t="s">
        <v>60</v>
      </c>
      <c r="F66" s="10">
        <v>1</v>
      </c>
      <c r="G66" s="13" t="s">
        <v>11</v>
      </c>
      <c r="H66" s="13" t="s">
        <v>15</v>
      </c>
    </row>
    <row r="67" spans="1:8" ht="30" customHeight="1" outlineLevel="2" x14ac:dyDescent="0.25">
      <c r="A67" s="10">
        <f>ROW()</f>
        <v>67</v>
      </c>
      <c r="B67" s="15" t="str">
        <f t="shared" si="8"/>
        <v>ШР4</v>
      </c>
      <c r="C67" s="10" t="s">
        <v>24</v>
      </c>
      <c r="D67" s="10">
        <v>296827</v>
      </c>
      <c r="E67" s="12" t="s">
        <v>50</v>
      </c>
      <c r="F67" s="10">
        <v>1</v>
      </c>
      <c r="G67" s="13" t="s">
        <v>11</v>
      </c>
      <c r="H67" s="13" t="s">
        <v>15</v>
      </c>
    </row>
    <row r="68" spans="1:8" ht="30" customHeight="1" outlineLevel="2" x14ac:dyDescent="0.25">
      <c r="A68" s="10">
        <f>ROW()</f>
        <v>68</v>
      </c>
      <c r="B68" s="15" t="str">
        <f t="shared" si="8"/>
        <v>ШР4</v>
      </c>
      <c r="C68" s="10" t="s">
        <v>24</v>
      </c>
      <c r="D68" s="10">
        <v>296710</v>
      </c>
      <c r="E68" s="12" t="s">
        <v>51</v>
      </c>
      <c r="F68" s="10">
        <v>2</v>
      </c>
      <c r="G68" s="13" t="s">
        <v>11</v>
      </c>
      <c r="H68" s="13" t="s">
        <v>15</v>
      </c>
    </row>
    <row r="69" spans="1:8" ht="30" customHeight="1" outlineLevel="2" x14ac:dyDescent="0.25">
      <c r="A69" s="10">
        <f>ROW()</f>
        <v>69</v>
      </c>
      <c r="B69" s="15" t="str">
        <f t="shared" si="8"/>
        <v>ШР4</v>
      </c>
      <c r="C69" s="10" t="s">
        <v>52</v>
      </c>
      <c r="D69" s="10">
        <v>105542</v>
      </c>
      <c r="E69" s="12" t="s">
        <v>53</v>
      </c>
      <c r="F69" s="10">
        <v>3</v>
      </c>
      <c r="G69" s="13" t="s">
        <v>11</v>
      </c>
      <c r="H69" s="13" t="s">
        <v>15</v>
      </c>
    </row>
    <row r="70" spans="1:8" ht="30" customHeight="1" outlineLevel="2" x14ac:dyDescent="0.25">
      <c r="A70" s="10">
        <f>ROW()</f>
        <v>70</v>
      </c>
      <c r="B70" s="15" t="str">
        <f t="shared" si="8"/>
        <v>ШР4</v>
      </c>
      <c r="C70" s="10" t="s">
        <v>29</v>
      </c>
      <c r="D70" s="10" t="s">
        <v>29</v>
      </c>
      <c r="E70" s="12" t="s">
        <v>29</v>
      </c>
      <c r="F70" s="10">
        <v>1</v>
      </c>
      <c r="G70" s="13" t="s">
        <v>11</v>
      </c>
      <c r="H70" s="10" t="s">
        <v>29</v>
      </c>
    </row>
    <row r="71" spans="1:8" ht="30" customHeight="1" outlineLevel="2" x14ac:dyDescent="0.25">
      <c r="A71" s="6">
        <f>ROW()</f>
        <v>71</v>
      </c>
      <c r="B71" s="14" t="str">
        <f>E71</f>
        <v>ШР5</v>
      </c>
      <c r="C71" s="6"/>
      <c r="D71" s="8"/>
      <c r="E71" s="7" t="s">
        <v>61</v>
      </c>
      <c r="F71" s="8">
        <v>1</v>
      </c>
      <c r="G71" s="9" t="s">
        <v>8</v>
      </c>
      <c r="H71" s="9" t="s">
        <v>9</v>
      </c>
    </row>
    <row r="72" spans="1:8" ht="30" customHeight="1" outlineLevel="2" x14ac:dyDescent="0.25">
      <c r="A72" s="10">
        <f>ROW()</f>
        <v>72</v>
      </c>
      <c r="B72" s="15" t="str">
        <f t="shared" ref="B72:B78" si="9">B71</f>
        <v>ШР5</v>
      </c>
      <c r="C72" s="10" t="s">
        <v>10</v>
      </c>
      <c r="D72" s="10" t="s">
        <v>132</v>
      </c>
      <c r="E72" s="12" t="s">
        <v>133</v>
      </c>
      <c r="F72" s="10">
        <v>1</v>
      </c>
      <c r="G72" s="13" t="s">
        <v>11</v>
      </c>
      <c r="H72" s="13" t="s">
        <v>12</v>
      </c>
    </row>
    <row r="73" spans="1:8" ht="30" customHeight="1" outlineLevel="2" x14ac:dyDescent="0.25">
      <c r="A73" s="10">
        <f>ROW()</f>
        <v>73</v>
      </c>
      <c r="B73" s="15" t="str">
        <f t="shared" si="9"/>
        <v>ШР5</v>
      </c>
      <c r="C73" s="10" t="s">
        <v>47</v>
      </c>
      <c r="D73" s="10">
        <v>193182</v>
      </c>
      <c r="E73" s="12" t="s">
        <v>55</v>
      </c>
      <c r="F73" s="10">
        <v>1</v>
      </c>
      <c r="G73" s="13" t="s">
        <v>11</v>
      </c>
      <c r="H73" s="13" t="s">
        <v>15</v>
      </c>
    </row>
    <row r="74" spans="1:8" ht="30" customHeight="1" outlineLevel="2" x14ac:dyDescent="0.25">
      <c r="A74" s="10">
        <f>ROW()</f>
        <v>74</v>
      </c>
      <c r="B74" s="15" t="str">
        <f t="shared" si="9"/>
        <v>ШР5</v>
      </c>
      <c r="C74" s="10" t="s">
        <v>24</v>
      </c>
      <c r="D74" s="10">
        <v>296827</v>
      </c>
      <c r="E74" s="12" t="s">
        <v>50</v>
      </c>
      <c r="F74" s="10">
        <v>3</v>
      </c>
      <c r="G74" s="13" t="s">
        <v>11</v>
      </c>
      <c r="H74" s="13" t="s">
        <v>15</v>
      </c>
    </row>
    <row r="75" spans="1:8" ht="30" customHeight="1" outlineLevel="2" x14ac:dyDescent="0.25">
      <c r="A75" s="10">
        <f>ROW()</f>
        <v>75</v>
      </c>
      <c r="B75" s="15" t="str">
        <f t="shared" si="9"/>
        <v>ШР5</v>
      </c>
      <c r="C75" s="10" t="s">
        <v>24</v>
      </c>
      <c r="D75" s="10">
        <v>296713</v>
      </c>
      <c r="E75" s="12" t="s">
        <v>62</v>
      </c>
      <c r="F75" s="10">
        <v>1</v>
      </c>
      <c r="G75" s="13" t="s">
        <v>11</v>
      </c>
      <c r="H75" s="13" t="s">
        <v>15</v>
      </c>
    </row>
    <row r="76" spans="1:8" ht="30" customHeight="1" outlineLevel="2" x14ac:dyDescent="0.25">
      <c r="A76" s="10">
        <f>ROW()</f>
        <v>76</v>
      </c>
      <c r="B76" s="15" t="str">
        <f t="shared" si="9"/>
        <v>ШР5</v>
      </c>
      <c r="C76" s="10" t="s">
        <v>24</v>
      </c>
      <c r="D76" s="10">
        <v>296710</v>
      </c>
      <c r="E76" s="12" t="s">
        <v>51</v>
      </c>
      <c r="F76" s="10">
        <v>3</v>
      </c>
      <c r="G76" s="13" t="s">
        <v>11</v>
      </c>
      <c r="H76" s="13" t="s">
        <v>15</v>
      </c>
    </row>
    <row r="77" spans="1:8" ht="30" customHeight="1" outlineLevel="2" x14ac:dyDescent="0.25">
      <c r="A77" s="10">
        <f>ROW()</f>
        <v>77</v>
      </c>
      <c r="B77" s="15" t="str">
        <f t="shared" si="9"/>
        <v>ШР5</v>
      </c>
      <c r="C77" s="10" t="s">
        <v>52</v>
      </c>
      <c r="D77" s="10">
        <v>105542</v>
      </c>
      <c r="E77" s="12" t="s">
        <v>53</v>
      </c>
      <c r="F77" s="10">
        <v>1</v>
      </c>
      <c r="G77" s="13" t="s">
        <v>11</v>
      </c>
      <c r="H77" s="13" t="s">
        <v>15</v>
      </c>
    </row>
    <row r="78" spans="1:8" ht="30" customHeight="1" outlineLevel="2" x14ac:dyDescent="0.25">
      <c r="A78" s="10">
        <f>ROW()</f>
        <v>78</v>
      </c>
      <c r="B78" s="15" t="str">
        <f t="shared" si="9"/>
        <v>ШР5</v>
      </c>
      <c r="C78" s="10" t="s">
        <v>29</v>
      </c>
      <c r="D78" s="10" t="s">
        <v>29</v>
      </c>
      <c r="E78" s="12" t="s">
        <v>29</v>
      </c>
      <c r="F78" s="10">
        <v>1</v>
      </c>
      <c r="G78" s="13" t="s">
        <v>11</v>
      </c>
      <c r="H78" s="10" t="s">
        <v>29</v>
      </c>
    </row>
    <row r="79" spans="1:8" ht="30" customHeight="1" outlineLevel="2" x14ac:dyDescent="0.25">
      <c r="A79" s="6">
        <f>ROW()</f>
        <v>79</v>
      </c>
      <c r="B79" s="14" t="str">
        <f>E79</f>
        <v>ШРВ-1</v>
      </c>
      <c r="C79" s="6"/>
      <c r="D79" s="8"/>
      <c r="E79" s="7" t="s">
        <v>63</v>
      </c>
      <c r="F79" s="8">
        <v>1</v>
      </c>
      <c r="G79" s="9" t="s">
        <v>8</v>
      </c>
      <c r="H79" s="9" t="s">
        <v>9</v>
      </c>
    </row>
    <row r="80" spans="1:8" ht="30" customHeight="1" outlineLevel="2" x14ac:dyDescent="0.25">
      <c r="A80" s="10">
        <f>ROW()</f>
        <v>80</v>
      </c>
      <c r="B80" s="15" t="str">
        <f t="shared" ref="B80:B87" si="10">B79</f>
        <v>ШРВ-1</v>
      </c>
      <c r="C80" s="10" t="s">
        <v>10</v>
      </c>
      <c r="D80" s="10" t="s">
        <v>125</v>
      </c>
      <c r="E80" s="12" t="s">
        <v>126</v>
      </c>
      <c r="F80" s="10">
        <v>1</v>
      </c>
      <c r="G80" s="13" t="s">
        <v>11</v>
      </c>
      <c r="H80" s="13" t="s">
        <v>127</v>
      </c>
    </row>
    <row r="81" spans="1:8" ht="30" customHeight="1" outlineLevel="2" x14ac:dyDescent="0.25">
      <c r="A81" s="10">
        <f>ROW()</f>
        <v>81</v>
      </c>
      <c r="B81" s="15" t="str">
        <f t="shared" si="10"/>
        <v>ШРВ-1</v>
      </c>
      <c r="C81" s="10" t="s">
        <v>47</v>
      </c>
      <c r="D81" s="10">
        <v>193182</v>
      </c>
      <c r="E81" s="12" t="s">
        <v>55</v>
      </c>
      <c r="F81" s="10">
        <v>1</v>
      </c>
      <c r="G81" s="13" t="s">
        <v>11</v>
      </c>
      <c r="H81" s="13" t="s">
        <v>15</v>
      </c>
    </row>
    <row r="82" spans="1:8" ht="30" customHeight="1" outlineLevel="2" x14ac:dyDescent="0.25">
      <c r="A82" s="10">
        <f>ROW()</f>
        <v>82</v>
      </c>
      <c r="B82" s="15" t="str">
        <f t="shared" si="10"/>
        <v>ШРВ-1</v>
      </c>
      <c r="C82" s="10" t="s">
        <v>24</v>
      </c>
      <c r="D82" s="10">
        <v>296827</v>
      </c>
      <c r="E82" s="12" t="s">
        <v>50</v>
      </c>
      <c r="F82" s="10">
        <v>1</v>
      </c>
      <c r="G82" s="13" t="s">
        <v>11</v>
      </c>
      <c r="H82" s="13" t="s">
        <v>15</v>
      </c>
    </row>
    <row r="83" spans="1:8" ht="30" customHeight="1" outlineLevel="2" x14ac:dyDescent="0.25">
      <c r="A83" s="10">
        <f>ROW()</f>
        <v>83</v>
      </c>
      <c r="B83" s="15" t="str">
        <f t="shared" si="10"/>
        <v>ШРВ-1</v>
      </c>
      <c r="C83" s="10" t="s">
        <v>24</v>
      </c>
      <c r="D83" s="10">
        <v>296710</v>
      </c>
      <c r="E83" s="12" t="s">
        <v>51</v>
      </c>
      <c r="F83" s="10">
        <v>6</v>
      </c>
      <c r="G83" s="13" t="s">
        <v>11</v>
      </c>
      <c r="H83" s="13" t="s">
        <v>15</v>
      </c>
    </row>
    <row r="84" spans="1:8" ht="27.75" customHeight="1" outlineLevel="2" x14ac:dyDescent="0.25">
      <c r="A84" s="10">
        <f>ROW()</f>
        <v>84</v>
      </c>
      <c r="B84" s="15" t="str">
        <f t="shared" si="10"/>
        <v>ШРВ-1</v>
      </c>
      <c r="C84" s="10" t="s">
        <v>64</v>
      </c>
      <c r="D84" s="10" t="s">
        <v>65</v>
      </c>
      <c r="E84" s="12" t="s">
        <v>66</v>
      </c>
      <c r="F84" s="10">
        <v>10</v>
      </c>
      <c r="G84" s="13" t="s">
        <v>11</v>
      </c>
      <c r="H84" s="13" t="s">
        <v>15</v>
      </c>
    </row>
    <row r="85" spans="1:8" ht="25.5" customHeight="1" outlineLevel="2" x14ac:dyDescent="0.25">
      <c r="A85" s="10">
        <f>ROW()</f>
        <v>85</v>
      </c>
      <c r="B85" s="15" t="str">
        <f t="shared" si="10"/>
        <v>ШРВ-1</v>
      </c>
      <c r="C85" s="10" t="s">
        <v>64</v>
      </c>
      <c r="D85" s="10">
        <v>256089</v>
      </c>
      <c r="E85" s="12" t="s">
        <v>67</v>
      </c>
      <c r="F85" s="10">
        <v>1</v>
      </c>
      <c r="G85" s="13" t="s">
        <v>11</v>
      </c>
      <c r="H85" s="13" t="s">
        <v>15</v>
      </c>
    </row>
    <row r="86" spans="1:8" ht="30" customHeight="1" outlineLevel="2" x14ac:dyDescent="0.25">
      <c r="A86" s="10">
        <f>ROW()</f>
        <v>86</v>
      </c>
      <c r="B86" s="15" t="str">
        <f t="shared" si="10"/>
        <v>ШРВ-1</v>
      </c>
      <c r="C86" s="10" t="s">
        <v>64</v>
      </c>
      <c r="D86" s="10" t="s">
        <v>65</v>
      </c>
      <c r="E86" s="12" t="s">
        <v>66</v>
      </c>
      <c r="F86" s="10">
        <v>11</v>
      </c>
      <c r="G86" s="13" t="s">
        <v>11</v>
      </c>
      <c r="H86" s="13" t="s">
        <v>112</v>
      </c>
    </row>
    <row r="87" spans="1:8" ht="30" customHeight="1" outlineLevel="2" x14ac:dyDescent="0.25">
      <c r="A87" s="10">
        <f>ROW()</f>
        <v>87</v>
      </c>
      <c r="B87" s="15" t="str">
        <f t="shared" si="10"/>
        <v>ШРВ-1</v>
      </c>
      <c r="C87" s="10" t="s">
        <v>29</v>
      </c>
      <c r="D87" s="10" t="s">
        <v>29</v>
      </c>
      <c r="E87" s="12" t="s">
        <v>29</v>
      </c>
      <c r="F87" s="10">
        <v>1</v>
      </c>
      <c r="G87" s="13" t="s">
        <v>11</v>
      </c>
      <c r="H87" s="10" t="s">
        <v>29</v>
      </c>
    </row>
    <row r="88" spans="1:8" ht="30" customHeight="1" outlineLevel="2" x14ac:dyDescent="0.25">
      <c r="A88" s="6">
        <f>ROW()</f>
        <v>88</v>
      </c>
      <c r="B88" s="14" t="str">
        <f>E88</f>
        <v>ШРВ-2</v>
      </c>
      <c r="C88" s="6"/>
      <c r="D88" s="8"/>
      <c r="E88" s="7" t="s">
        <v>68</v>
      </c>
      <c r="F88" s="8">
        <v>1</v>
      </c>
      <c r="G88" s="9" t="s">
        <v>8</v>
      </c>
      <c r="H88" s="9" t="s">
        <v>9</v>
      </c>
    </row>
    <row r="89" spans="1:8" ht="30" customHeight="1" outlineLevel="2" x14ac:dyDescent="0.25">
      <c r="A89" s="10">
        <f>ROW()</f>
        <v>89</v>
      </c>
      <c r="B89" s="15" t="str">
        <f t="shared" ref="B89:B96" si="11">B88</f>
        <v>ШРВ-2</v>
      </c>
      <c r="C89" s="10" t="s">
        <v>10</v>
      </c>
      <c r="D89" s="10" t="s">
        <v>125</v>
      </c>
      <c r="E89" s="12" t="s">
        <v>126</v>
      </c>
      <c r="F89" s="10">
        <v>1</v>
      </c>
      <c r="G89" s="13" t="s">
        <v>11</v>
      </c>
      <c r="H89" s="13" t="s">
        <v>127</v>
      </c>
    </row>
    <row r="90" spans="1:8" ht="30" customHeight="1" outlineLevel="2" x14ac:dyDescent="0.25">
      <c r="A90" s="10">
        <f>ROW()</f>
        <v>90</v>
      </c>
      <c r="B90" s="15" t="str">
        <f t="shared" si="11"/>
        <v>ШРВ-2</v>
      </c>
      <c r="C90" s="10" t="s">
        <v>47</v>
      </c>
      <c r="D90" s="10">
        <v>193182</v>
      </c>
      <c r="E90" s="12" t="s">
        <v>55</v>
      </c>
      <c r="F90" s="10">
        <v>1</v>
      </c>
      <c r="G90" s="13" t="s">
        <v>11</v>
      </c>
      <c r="H90" s="13" t="s">
        <v>15</v>
      </c>
    </row>
    <row r="91" spans="1:8" ht="30" customHeight="1" outlineLevel="2" x14ac:dyDescent="0.25">
      <c r="A91" s="10">
        <f>ROW()</f>
        <v>91</v>
      </c>
      <c r="B91" s="15" t="str">
        <f t="shared" si="11"/>
        <v>ШРВ-2</v>
      </c>
      <c r="C91" s="10" t="s">
        <v>24</v>
      </c>
      <c r="D91" s="10">
        <v>296827</v>
      </c>
      <c r="E91" s="12" t="s">
        <v>50</v>
      </c>
      <c r="F91" s="10">
        <v>1</v>
      </c>
      <c r="G91" s="13" t="s">
        <v>11</v>
      </c>
      <c r="H91" s="13" t="s">
        <v>15</v>
      </c>
    </row>
    <row r="92" spans="1:8" ht="30" customHeight="1" outlineLevel="2" x14ac:dyDescent="0.25">
      <c r="A92" s="10">
        <f>ROW()</f>
        <v>92</v>
      </c>
      <c r="B92" s="15" t="str">
        <f t="shared" si="11"/>
        <v>ШРВ-2</v>
      </c>
      <c r="C92" s="10" t="s">
        <v>24</v>
      </c>
      <c r="D92" s="10">
        <v>296710</v>
      </c>
      <c r="E92" s="12" t="s">
        <v>51</v>
      </c>
      <c r="F92" s="10">
        <v>5</v>
      </c>
      <c r="G92" s="13" t="s">
        <v>11</v>
      </c>
      <c r="H92" s="13" t="s">
        <v>15</v>
      </c>
    </row>
    <row r="93" spans="1:8" ht="27.75" customHeight="1" outlineLevel="2" x14ac:dyDescent="0.25">
      <c r="A93" s="10">
        <f>ROW()</f>
        <v>93</v>
      </c>
      <c r="B93" s="15" t="str">
        <f t="shared" si="11"/>
        <v>ШРВ-2</v>
      </c>
      <c r="C93" s="10" t="s">
        <v>64</v>
      </c>
      <c r="D93" s="10"/>
      <c r="E93" s="12" t="s">
        <v>67</v>
      </c>
      <c r="F93" s="10">
        <v>6</v>
      </c>
      <c r="G93" s="13" t="s">
        <v>11</v>
      </c>
      <c r="H93" s="13" t="s">
        <v>15</v>
      </c>
    </row>
    <row r="94" spans="1:8" ht="25.5" customHeight="1" outlineLevel="2" x14ac:dyDescent="0.25">
      <c r="A94" s="10">
        <f>ROW()</f>
        <v>94</v>
      </c>
      <c r="B94" s="15" t="str">
        <f t="shared" si="11"/>
        <v>ШРВ-2</v>
      </c>
      <c r="C94" s="10" t="s">
        <v>64</v>
      </c>
      <c r="D94" s="10">
        <v>256089</v>
      </c>
      <c r="E94" s="12" t="s">
        <v>69</v>
      </c>
      <c r="F94" s="10">
        <v>1</v>
      </c>
      <c r="G94" s="13" t="s">
        <v>11</v>
      </c>
      <c r="H94" s="13" t="s">
        <v>15</v>
      </c>
    </row>
    <row r="95" spans="1:8" ht="30" customHeight="1" outlineLevel="2" x14ac:dyDescent="0.25">
      <c r="A95" s="10">
        <f>ROW()</f>
        <v>95</v>
      </c>
      <c r="B95" s="15" t="str">
        <f t="shared" si="11"/>
        <v>ШРВ-2</v>
      </c>
      <c r="C95" s="10" t="s">
        <v>64</v>
      </c>
      <c r="D95" s="10" t="s">
        <v>65</v>
      </c>
      <c r="E95" s="12" t="s">
        <v>66</v>
      </c>
      <c r="F95" s="10">
        <v>7</v>
      </c>
      <c r="G95" s="13" t="s">
        <v>11</v>
      </c>
      <c r="H95" s="13" t="s">
        <v>112</v>
      </c>
    </row>
    <row r="96" spans="1:8" ht="30" customHeight="1" outlineLevel="2" x14ac:dyDescent="0.25">
      <c r="A96" s="10">
        <f>ROW()</f>
        <v>96</v>
      </c>
      <c r="B96" s="15" t="str">
        <f t="shared" si="11"/>
        <v>ШРВ-2</v>
      </c>
      <c r="C96" s="10" t="s">
        <v>29</v>
      </c>
      <c r="D96" s="10" t="s">
        <v>29</v>
      </c>
      <c r="E96" s="12" t="s">
        <v>29</v>
      </c>
      <c r="F96" s="10">
        <v>1</v>
      </c>
      <c r="G96" s="13" t="s">
        <v>11</v>
      </c>
      <c r="H96" s="10" t="s">
        <v>29</v>
      </c>
    </row>
    <row r="97" spans="1:8" ht="30" customHeight="1" outlineLevel="2" x14ac:dyDescent="0.25">
      <c r="A97" s="6">
        <f>ROW()</f>
        <v>97</v>
      </c>
      <c r="B97" s="14" t="str">
        <f>E97</f>
        <v>Яз1 (Я5411-3074)</v>
      </c>
      <c r="C97" s="6"/>
      <c r="D97" s="8"/>
      <c r="E97" s="7" t="s">
        <v>101</v>
      </c>
      <c r="F97" s="8">
        <v>1</v>
      </c>
      <c r="G97" s="9" t="s">
        <v>8</v>
      </c>
      <c r="H97" s="9" t="s">
        <v>9</v>
      </c>
    </row>
    <row r="98" spans="1:8" ht="30" customHeight="1" outlineLevel="2" x14ac:dyDescent="0.25">
      <c r="A98" s="10">
        <f>ROW()</f>
        <v>98</v>
      </c>
      <c r="B98" s="15" t="str">
        <f t="shared" ref="B98:B107" si="12">B97</f>
        <v>Яз1 (Я5411-3074)</v>
      </c>
      <c r="C98" s="10" t="s">
        <v>10</v>
      </c>
      <c r="D98" s="10" t="s">
        <v>117</v>
      </c>
      <c r="E98" s="12" t="s">
        <v>118</v>
      </c>
      <c r="F98" s="10">
        <v>1</v>
      </c>
      <c r="G98" s="13" t="s">
        <v>11</v>
      </c>
      <c r="H98" s="13" t="s">
        <v>12</v>
      </c>
    </row>
    <row r="99" spans="1:8" ht="30" customHeight="1" outlineLevel="2" x14ac:dyDescent="0.25">
      <c r="A99" s="10">
        <f>ROW()</f>
        <v>99</v>
      </c>
      <c r="B99" s="15" t="str">
        <f t="shared" si="12"/>
        <v>Яз1 (Я5411-3074)</v>
      </c>
      <c r="C99" s="10" t="s">
        <v>24</v>
      </c>
      <c r="D99" s="10" t="s">
        <v>70</v>
      </c>
      <c r="E99" s="12" t="s">
        <v>71</v>
      </c>
      <c r="F99" s="10">
        <v>1</v>
      </c>
      <c r="G99" s="13" t="s">
        <v>11</v>
      </c>
      <c r="H99" s="13" t="s">
        <v>15</v>
      </c>
    </row>
    <row r="100" spans="1:8" ht="30" customHeight="1" outlineLevel="2" x14ac:dyDescent="0.25">
      <c r="A100" s="10">
        <f>ROW()</f>
        <v>100</v>
      </c>
      <c r="B100" s="15" t="str">
        <f t="shared" si="12"/>
        <v>Яз1 (Я5411-3074)</v>
      </c>
      <c r="C100" s="10" t="s">
        <v>64</v>
      </c>
      <c r="D100" s="10" t="s">
        <v>70</v>
      </c>
      <c r="E100" s="12" t="s">
        <v>72</v>
      </c>
      <c r="F100" s="10">
        <v>2</v>
      </c>
      <c r="G100" s="13" t="s">
        <v>11</v>
      </c>
      <c r="H100" s="13" t="s">
        <v>15</v>
      </c>
    </row>
    <row r="101" spans="1:8" ht="30" customHeight="1" outlineLevel="2" x14ac:dyDescent="0.25">
      <c r="A101" s="10">
        <f>ROW()</f>
        <v>101</v>
      </c>
      <c r="B101" s="15" t="str">
        <f t="shared" si="12"/>
        <v>Яз1 (Я5411-3074)</v>
      </c>
      <c r="C101" s="10" t="s">
        <v>73</v>
      </c>
      <c r="D101" s="10">
        <v>285448</v>
      </c>
      <c r="E101" s="12" t="s">
        <v>74</v>
      </c>
      <c r="F101" s="10">
        <v>1</v>
      </c>
      <c r="G101" s="13" t="s">
        <v>11</v>
      </c>
      <c r="H101" s="13" t="s">
        <v>15</v>
      </c>
    </row>
    <row r="102" spans="1:8" ht="30" customHeight="1" outlineLevel="2" x14ac:dyDescent="0.25">
      <c r="A102" s="10">
        <f>ROW()</f>
        <v>102</v>
      </c>
      <c r="B102" s="15" t="str">
        <f t="shared" si="12"/>
        <v>Яз1 (Я5411-3074)</v>
      </c>
      <c r="C102" s="10" t="s">
        <v>75</v>
      </c>
      <c r="D102" s="10">
        <v>425192</v>
      </c>
      <c r="E102" s="12" t="s">
        <v>76</v>
      </c>
      <c r="F102" s="10">
        <v>1</v>
      </c>
      <c r="G102" s="13" t="s">
        <v>11</v>
      </c>
      <c r="H102" s="13" t="s">
        <v>15</v>
      </c>
    </row>
    <row r="103" spans="1:8" ht="32.25" customHeight="1" outlineLevel="2" x14ac:dyDescent="0.25">
      <c r="A103" s="10">
        <f>ROW()</f>
        <v>103</v>
      </c>
      <c r="B103" s="15" t="str">
        <f t="shared" si="12"/>
        <v>Яз1 (Я5411-3074)</v>
      </c>
      <c r="C103" s="10" t="s">
        <v>77</v>
      </c>
      <c r="D103" s="10">
        <v>574842</v>
      </c>
      <c r="E103" s="12" t="s">
        <v>78</v>
      </c>
      <c r="F103" s="10">
        <v>2</v>
      </c>
      <c r="G103" s="13" t="s">
        <v>11</v>
      </c>
      <c r="H103" s="13" t="s">
        <v>15</v>
      </c>
    </row>
    <row r="104" spans="1:8" ht="32.25" customHeight="1" outlineLevel="2" x14ac:dyDescent="0.25">
      <c r="A104" s="10">
        <f>ROW()</f>
        <v>104</v>
      </c>
      <c r="B104" s="15" t="str">
        <f t="shared" si="12"/>
        <v>Яз1 (Я5411-3074)</v>
      </c>
      <c r="C104" s="10" t="s">
        <v>77</v>
      </c>
      <c r="D104" s="10">
        <v>574843</v>
      </c>
      <c r="E104" s="12" t="s">
        <v>79</v>
      </c>
      <c r="F104" s="10">
        <v>1</v>
      </c>
      <c r="G104" s="13" t="s">
        <v>11</v>
      </c>
      <c r="H104" s="13" t="s">
        <v>15</v>
      </c>
    </row>
    <row r="105" spans="1:8" ht="30" customHeight="1" outlineLevel="2" x14ac:dyDescent="0.25">
      <c r="A105" s="10">
        <f>ROW()</f>
        <v>105</v>
      </c>
      <c r="B105" s="15" t="str">
        <f t="shared" si="12"/>
        <v>Яз1 (Я5411-3074)</v>
      </c>
      <c r="C105" s="10" t="s">
        <v>80</v>
      </c>
      <c r="D105" s="10">
        <v>593071</v>
      </c>
      <c r="E105" s="12" t="s">
        <v>81</v>
      </c>
      <c r="F105" s="10">
        <v>1</v>
      </c>
      <c r="G105" s="13" t="s">
        <v>11</v>
      </c>
      <c r="H105" s="13" t="s">
        <v>15</v>
      </c>
    </row>
    <row r="106" spans="1:8" ht="30" customHeight="1" outlineLevel="2" x14ac:dyDescent="0.25">
      <c r="A106" s="10">
        <f>ROW()</f>
        <v>106</v>
      </c>
      <c r="B106" s="15" t="str">
        <f t="shared" si="12"/>
        <v>Яз1 (Я5411-3074)</v>
      </c>
      <c r="C106" s="10" t="s">
        <v>80</v>
      </c>
      <c r="D106" s="10">
        <v>593012</v>
      </c>
      <c r="E106" s="12" t="s">
        <v>82</v>
      </c>
      <c r="F106" s="10">
        <v>1</v>
      </c>
      <c r="G106" s="13" t="s">
        <v>11</v>
      </c>
      <c r="H106" s="13" t="s">
        <v>15</v>
      </c>
    </row>
    <row r="107" spans="1:8" ht="30" customHeight="1" outlineLevel="2" x14ac:dyDescent="0.25">
      <c r="A107" s="10">
        <f>ROW()</f>
        <v>107</v>
      </c>
      <c r="B107" s="15" t="str">
        <f t="shared" si="12"/>
        <v>Яз1 (Я5411-3074)</v>
      </c>
      <c r="C107" s="10" t="s">
        <v>29</v>
      </c>
      <c r="D107" s="10" t="s">
        <v>29</v>
      </c>
      <c r="E107" s="12" t="s">
        <v>29</v>
      </c>
      <c r="F107" s="10">
        <v>1</v>
      </c>
      <c r="G107" s="13" t="s">
        <v>11</v>
      </c>
      <c r="H107" s="10" t="s">
        <v>29</v>
      </c>
    </row>
    <row r="108" spans="1:8" ht="30" customHeight="1" outlineLevel="2" x14ac:dyDescent="0.25">
      <c r="A108" s="6">
        <f>ROW()</f>
        <v>108</v>
      </c>
      <c r="B108" s="14" t="str">
        <f>E108</f>
        <v>ЩС</v>
      </c>
      <c r="C108" s="6"/>
      <c r="D108" s="8"/>
      <c r="E108" s="7" t="s">
        <v>83</v>
      </c>
      <c r="F108" s="8">
        <v>1</v>
      </c>
      <c r="G108" s="9" t="s">
        <v>8</v>
      </c>
      <c r="H108" s="9" t="s">
        <v>9</v>
      </c>
    </row>
    <row r="109" spans="1:8" ht="30" customHeight="1" outlineLevel="2" x14ac:dyDescent="0.25">
      <c r="A109" s="10">
        <f>ROW()</f>
        <v>109</v>
      </c>
      <c r="B109" s="15" t="str">
        <f t="shared" ref="B109:B112" si="13">B108</f>
        <v>ЩС</v>
      </c>
      <c r="C109" s="10" t="s">
        <v>10</v>
      </c>
      <c r="D109" s="10" t="s">
        <v>128</v>
      </c>
      <c r="E109" s="12" t="s">
        <v>129</v>
      </c>
      <c r="F109" s="10">
        <v>1</v>
      </c>
      <c r="G109" s="13" t="s">
        <v>11</v>
      </c>
      <c r="H109" s="13" t="s">
        <v>12</v>
      </c>
    </row>
    <row r="110" spans="1:8" ht="30" customHeight="1" outlineLevel="2" x14ac:dyDescent="0.25">
      <c r="A110" s="10">
        <f>ROW()</f>
        <v>110</v>
      </c>
      <c r="B110" s="15" t="str">
        <f t="shared" si="13"/>
        <v>ЩС</v>
      </c>
      <c r="C110" s="10" t="s">
        <v>47</v>
      </c>
      <c r="D110" s="10">
        <v>398043</v>
      </c>
      <c r="E110" s="12" t="s">
        <v>84</v>
      </c>
      <c r="F110" s="10">
        <v>1</v>
      </c>
      <c r="G110" s="13" t="s">
        <v>11</v>
      </c>
      <c r="H110" s="13" t="s">
        <v>15</v>
      </c>
    </row>
    <row r="111" spans="1:8" ht="30" customHeight="1" outlineLevel="2" x14ac:dyDescent="0.25">
      <c r="A111" s="10">
        <f>ROW()</f>
        <v>111</v>
      </c>
      <c r="B111" s="15" t="str">
        <f t="shared" si="13"/>
        <v>ЩС</v>
      </c>
      <c r="C111" s="10" t="s">
        <v>24</v>
      </c>
      <c r="D111" s="10">
        <v>296710</v>
      </c>
      <c r="E111" s="12" t="s">
        <v>51</v>
      </c>
      <c r="F111" s="10">
        <v>6</v>
      </c>
      <c r="G111" s="13" t="s">
        <v>11</v>
      </c>
      <c r="H111" s="13" t="s">
        <v>15</v>
      </c>
    </row>
    <row r="112" spans="1:8" ht="30" customHeight="1" outlineLevel="2" x14ac:dyDescent="0.25">
      <c r="A112" s="10">
        <f>ROW()</f>
        <v>112</v>
      </c>
      <c r="B112" s="15" t="str">
        <f t="shared" si="13"/>
        <v>ЩС</v>
      </c>
      <c r="C112" s="10" t="s">
        <v>29</v>
      </c>
      <c r="D112" s="10" t="s">
        <v>29</v>
      </c>
      <c r="E112" s="12" t="s">
        <v>29</v>
      </c>
      <c r="F112" s="10">
        <v>1</v>
      </c>
      <c r="G112" s="13" t="s">
        <v>11</v>
      </c>
      <c r="H112" s="10" t="s">
        <v>29</v>
      </c>
    </row>
    <row r="113" spans="1:8" ht="30" customHeight="1" outlineLevel="2" x14ac:dyDescent="0.25">
      <c r="A113" s="6">
        <f>ROW()</f>
        <v>113</v>
      </c>
      <c r="B113" s="14" t="str">
        <f>E113</f>
        <v>Я-Нц (Я511-2274УХЛ4)</v>
      </c>
      <c r="C113" s="6"/>
      <c r="D113" s="8"/>
      <c r="E113" s="7" t="s">
        <v>102</v>
      </c>
      <c r="F113" s="8">
        <v>1</v>
      </c>
      <c r="G113" s="9" t="s">
        <v>8</v>
      </c>
      <c r="H113" s="9" t="s">
        <v>9</v>
      </c>
    </row>
    <row r="114" spans="1:8" ht="30" customHeight="1" outlineLevel="2" x14ac:dyDescent="0.25">
      <c r="A114" s="10">
        <f>ROW()</f>
        <v>114</v>
      </c>
      <c r="B114" s="15" t="str">
        <f t="shared" ref="B114:B122" si="14">B113</f>
        <v>Я-Нц (Я511-2274УХЛ4)</v>
      </c>
      <c r="C114" s="10" t="s">
        <v>10</v>
      </c>
      <c r="D114" s="10" t="s">
        <v>117</v>
      </c>
      <c r="E114" s="12" t="s">
        <v>118</v>
      </c>
      <c r="F114" s="10">
        <v>1</v>
      </c>
      <c r="G114" s="13" t="s">
        <v>11</v>
      </c>
      <c r="H114" s="13" t="s">
        <v>12</v>
      </c>
    </row>
    <row r="115" spans="1:8" ht="30" customHeight="1" outlineLevel="2" x14ac:dyDescent="0.25">
      <c r="A115" s="10">
        <f>ROW()</f>
        <v>115</v>
      </c>
      <c r="B115" s="15" t="str">
        <f t="shared" si="14"/>
        <v>Я-Нц (Я511-2274УХЛ4)</v>
      </c>
      <c r="C115" s="10" t="s">
        <v>24</v>
      </c>
      <c r="D115" s="10">
        <v>814183</v>
      </c>
      <c r="E115" s="12" t="s">
        <v>85</v>
      </c>
      <c r="F115" s="10">
        <v>1</v>
      </c>
      <c r="G115" s="13" t="s">
        <v>11</v>
      </c>
      <c r="H115" s="13" t="s">
        <v>15</v>
      </c>
    </row>
    <row r="116" spans="1:8" ht="30" customHeight="1" outlineLevel="2" x14ac:dyDescent="0.25">
      <c r="A116" s="10">
        <f>ROW()</f>
        <v>116</v>
      </c>
      <c r="B116" s="15" t="str">
        <f t="shared" si="14"/>
        <v>Я-Нц (Я511-2274УХЛ4)</v>
      </c>
      <c r="C116" s="10" t="s">
        <v>64</v>
      </c>
      <c r="D116" s="10" t="s">
        <v>70</v>
      </c>
      <c r="E116" s="12" t="s">
        <v>72</v>
      </c>
      <c r="F116" s="10">
        <v>1</v>
      </c>
      <c r="G116" s="13" t="s">
        <v>11</v>
      </c>
      <c r="H116" s="13" t="s">
        <v>15</v>
      </c>
    </row>
    <row r="117" spans="1:8" ht="30" customHeight="1" outlineLevel="2" x14ac:dyDescent="0.25">
      <c r="A117" s="10">
        <f>ROW()</f>
        <v>117</v>
      </c>
      <c r="B117" s="15" t="str">
        <f t="shared" si="14"/>
        <v>Я-Нц (Я511-2274УХЛ4)</v>
      </c>
      <c r="C117" s="10" t="s">
        <v>75</v>
      </c>
      <c r="D117" s="10">
        <v>425192</v>
      </c>
      <c r="E117" s="12" t="s">
        <v>76</v>
      </c>
      <c r="F117" s="10">
        <v>1</v>
      </c>
      <c r="G117" s="13" t="s">
        <v>11</v>
      </c>
      <c r="H117" s="13" t="s">
        <v>15</v>
      </c>
    </row>
    <row r="118" spans="1:8" ht="30" customHeight="1" outlineLevel="2" x14ac:dyDescent="0.25">
      <c r="A118" s="10">
        <f>ROW()</f>
        <v>118</v>
      </c>
      <c r="B118" s="15" t="str">
        <f t="shared" si="14"/>
        <v>Я-Нц (Я511-2274УХЛ4)</v>
      </c>
      <c r="C118" s="10" t="s">
        <v>80</v>
      </c>
      <c r="D118" s="10">
        <v>593071</v>
      </c>
      <c r="E118" s="12" t="s">
        <v>81</v>
      </c>
      <c r="F118" s="10">
        <v>1</v>
      </c>
      <c r="G118" s="13" t="s">
        <v>11</v>
      </c>
      <c r="H118" s="13" t="s">
        <v>15</v>
      </c>
    </row>
    <row r="119" spans="1:8" ht="32.25" customHeight="1" outlineLevel="2" x14ac:dyDescent="0.25">
      <c r="A119" s="10">
        <f>ROW()</f>
        <v>119</v>
      </c>
      <c r="B119" s="15" t="str">
        <f t="shared" si="14"/>
        <v>Я-Нц (Я511-2274УХЛ4)</v>
      </c>
      <c r="C119" s="10" t="s">
        <v>80</v>
      </c>
      <c r="D119" s="10">
        <v>593012</v>
      </c>
      <c r="E119" s="12" t="s">
        <v>82</v>
      </c>
      <c r="F119" s="10">
        <v>1</v>
      </c>
      <c r="G119" s="13" t="s">
        <v>11</v>
      </c>
      <c r="H119" s="13" t="s">
        <v>15</v>
      </c>
    </row>
    <row r="120" spans="1:8" ht="32.25" customHeight="1" outlineLevel="2" x14ac:dyDescent="0.25">
      <c r="A120" s="10">
        <f>ROW()</f>
        <v>120</v>
      </c>
      <c r="B120" s="15" t="str">
        <f t="shared" si="14"/>
        <v>Я-Нц (Я511-2274УХЛ4)</v>
      </c>
      <c r="C120" s="10" t="s">
        <v>77</v>
      </c>
      <c r="D120" s="10">
        <v>574003</v>
      </c>
      <c r="E120" s="12" t="s">
        <v>86</v>
      </c>
      <c r="F120" s="10">
        <v>1</v>
      </c>
      <c r="G120" s="13" t="s">
        <v>11</v>
      </c>
      <c r="H120" s="13" t="s">
        <v>15</v>
      </c>
    </row>
    <row r="121" spans="1:8" ht="32.25" customHeight="1" outlineLevel="2" x14ac:dyDescent="0.25">
      <c r="A121" s="10">
        <f>ROW()</f>
        <v>121</v>
      </c>
      <c r="B121" s="15" t="str">
        <f t="shared" si="14"/>
        <v>Я-Нц (Я511-2274УХЛ4)</v>
      </c>
      <c r="C121" s="10" t="s">
        <v>87</v>
      </c>
      <c r="D121" s="10"/>
      <c r="E121" s="12" t="s">
        <v>88</v>
      </c>
      <c r="F121" s="10">
        <v>1</v>
      </c>
      <c r="G121" s="13" t="s">
        <v>11</v>
      </c>
      <c r="H121" s="13" t="s">
        <v>21</v>
      </c>
    </row>
    <row r="122" spans="1:8" ht="30" customHeight="1" outlineLevel="2" x14ac:dyDescent="0.25">
      <c r="A122" s="10">
        <f>ROW()</f>
        <v>122</v>
      </c>
      <c r="B122" s="15" t="str">
        <f t="shared" si="14"/>
        <v>Я-Нц (Я511-2274УХЛ4)</v>
      </c>
      <c r="C122" s="10" t="s">
        <v>29</v>
      </c>
      <c r="D122" s="10" t="s">
        <v>29</v>
      </c>
      <c r="E122" s="12" t="s">
        <v>29</v>
      </c>
      <c r="F122" s="10">
        <v>1</v>
      </c>
      <c r="G122" s="13" t="s">
        <v>11</v>
      </c>
      <c r="H122" s="10" t="s">
        <v>29</v>
      </c>
    </row>
    <row r="123" spans="1:8" ht="32.25" customHeight="1" outlineLevel="2" x14ac:dyDescent="0.25">
      <c r="A123" s="6">
        <f>ROW()</f>
        <v>123</v>
      </c>
      <c r="B123" s="14" t="str">
        <f>E123</f>
        <v>Я1, Я2 (ЯРП-25-У3)</v>
      </c>
      <c r="C123" s="6"/>
      <c r="D123" s="8"/>
      <c r="E123" s="7" t="s">
        <v>103</v>
      </c>
      <c r="F123" s="8">
        <v>2</v>
      </c>
      <c r="G123" s="9" t="s">
        <v>8</v>
      </c>
      <c r="H123" s="9" t="s">
        <v>9</v>
      </c>
    </row>
    <row r="124" spans="1:8" ht="32.25" customHeight="1" outlineLevel="2" x14ac:dyDescent="0.25">
      <c r="A124" s="10">
        <f>ROW()</f>
        <v>124</v>
      </c>
      <c r="B124" s="15" t="str">
        <f t="shared" ref="B124:B128" si="15">B123</f>
        <v>Я1, Я2 (ЯРП-25-У3)</v>
      </c>
      <c r="C124" s="10" t="s">
        <v>10</v>
      </c>
      <c r="D124" s="10"/>
      <c r="E124" s="12" t="s">
        <v>104</v>
      </c>
      <c r="F124" s="10">
        <v>1</v>
      </c>
      <c r="G124" s="13" t="s">
        <v>11</v>
      </c>
      <c r="H124" s="13" t="s">
        <v>12</v>
      </c>
    </row>
    <row r="125" spans="1:8" ht="32.25" customHeight="1" outlineLevel="2" x14ac:dyDescent="0.25">
      <c r="A125" s="10">
        <f>ROW()</f>
        <v>125</v>
      </c>
      <c r="B125" s="15" t="str">
        <f t="shared" si="15"/>
        <v>Я1, Я2 (ЯРП-25-У3)</v>
      </c>
      <c r="C125" s="10" t="s">
        <v>13</v>
      </c>
      <c r="D125" s="10" t="s">
        <v>138</v>
      </c>
      <c r="E125" s="12" t="s">
        <v>139</v>
      </c>
      <c r="F125" s="10">
        <v>1</v>
      </c>
      <c r="G125" s="13" t="s">
        <v>11</v>
      </c>
      <c r="H125" s="13" t="s">
        <v>21</v>
      </c>
    </row>
    <row r="126" spans="1:8" ht="32.25" customHeight="1" outlineLevel="2" x14ac:dyDescent="0.25">
      <c r="A126" s="10">
        <f>ROW()</f>
        <v>126</v>
      </c>
      <c r="B126" s="15" t="str">
        <f t="shared" si="15"/>
        <v>Я1, Я2 (ЯРП-25-У3)</v>
      </c>
      <c r="C126" s="10" t="s">
        <v>105</v>
      </c>
      <c r="D126" s="10" t="s">
        <v>107</v>
      </c>
      <c r="E126" s="12" t="s">
        <v>108</v>
      </c>
      <c r="F126" s="10">
        <v>1</v>
      </c>
      <c r="G126" s="13" t="s">
        <v>11</v>
      </c>
      <c r="H126" s="13" t="s">
        <v>111</v>
      </c>
    </row>
    <row r="127" spans="1:8" ht="32.25" customHeight="1" outlineLevel="2" x14ac:dyDescent="0.25">
      <c r="A127" s="10">
        <f>ROW()</f>
        <v>127</v>
      </c>
      <c r="B127" s="15" t="str">
        <f t="shared" si="15"/>
        <v>Я1, Я2 (ЯРП-25-У3)</v>
      </c>
      <c r="C127" s="10" t="s">
        <v>106</v>
      </c>
      <c r="D127" s="10" t="s">
        <v>109</v>
      </c>
      <c r="E127" s="12" t="s">
        <v>110</v>
      </c>
      <c r="F127" s="10">
        <v>1</v>
      </c>
      <c r="G127" s="13" t="s">
        <v>11</v>
      </c>
      <c r="H127" s="13" t="s">
        <v>111</v>
      </c>
    </row>
    <row r="128" spans="1:8" ht="30" customHeight="1" outlineLevel="2" x14ac:dyDescent="0.25">
      <c r="A128" s="10">
        <f>ROW()</f>
        <v>128</v>
      </c>
      <c r="B128" s="15" t="str">
        <f t="shared" si="15"/>
        <v>Я1, Я2 (ЯРП-25-У3)</v>
      </c>
      <c r="C128" s="10" t="s">
        <v>29</v>
      </c>
      <c r="D128" s="10" t="s">
        <v>29</v>
      </c>
      <c r="E128" s="12" t="s">
        <v>29</v>
      </c>
      <c r="F128" s="10">
        <v>1</v>
      </c>
      <c r="G128" s="13" t="s">
        <v>11</v>
      </c>
      <c r="H128" s="10" t="s">
        <v>29</v>
      </c>
    </row>
    <row r="129" spans="1:8" ht="30" customHeight="1" outlineLevel="2" x14ac:dyDescent="0.25">
      <c r="A129" s="6">
        <f>ROW()</f>
        <v>129</v>
      </c>
      <c r="B129" s="14" t="str">
        <f>E129</f>
        <v>Щ0-1</v>
      </c>
      <c r="C129" s="6"/>
      <c r="D129" s="8"/>
      <c r="E129" s="7" t="s">
        <v>89</v>
      </c>
      <c r="F129" s="8">
        <v>1</v>
      </c>
      <c r="G129" s="9" t="s">
        <v>8</v>
      </c>
      <c r="H129" s="9" t="s">
        <v>9</v>
      </c>
    </row>
    <row r="130" spans="1:8" ht="30" customHeight="1" outlineLevel="2" x14ac:dyDescent="0.25">
      <c r="A130" s="10">
        <f>ROW()</f>
        <v>130</v>
      </c>
      <c r="B130" s="15" t="str">
        <f t="shared" ref="B130:B135" si="16">B129</f>
        <v>Щ0-1</v>
      </c>
      <c r="C130" s="10" t="s">
        <v>10</v>
      </c>
      <c r="D130" s="10" t="s">
        <v>125</v>
      </c>
      <c r="E130" s="12" t="s">
        <v>126</v>
      </c>
      <c r="F130" s="10">
        <v>1</v>
      </c>
      <c r="G130" s="13" t="s">
        <v>11</v>
      </c>
      <c r="H130" s="13" t="s">
        <v>127</v>
      </c>
    </row>
    <row r="131" spans="1:8" ht="30" customHeight="1" outlineLevel="2" x14ac:dyDescent="0.25">
      <c r="A131" s="10">
        <f>ROW()</f>
        <v>131</v>
      </c>
      <c r="B131" s="15" t="str">
        <f t="shared" si="16"/>
        <v>Щ0-1</v>
      </c>
      <c r="C131" s="10" t="s">
        <v>47</v>
      </c>
      <c r="D131" s="10">
        <v>193182</v>
      </c>
      <c r="E131" s="12" t="s">
        <v>55</v>
      </c>
      <c r="F131" s="10">
        <v>1</v>
      </c>
      <c r="G131" s="13" t="s">
        <v>11</v>
      </c>
      <c r="H131" s="13" t="s">
        <v>15</v>
      </c>
    </row>
    <row r="132" spans="1:8" ht="30" customHeight="1" outlineLevel="2" x14ac:dyDescent="0.25">
      <c r="A132" s="10">
        <f>ROW()</f>
        <v>132</v>
      </c>
      <c r="B132" s="15" t="str">
        <f t="shared" si="16"/>
        <v>Щ0-1</v>
      </c>
      <c r="C132" s="10" t="s">
        <v>24</v>
      </c>
      <c r="D132" s="10">
        <v>296710</v>
      </c>
      <c r="E132" s="12" t="s">
        <v>51</v>
      </c>
      <c r="F132" s="10">
        <v>13</v>
      </c>
      <c r="G132" s="13" t="s">
        <v>11</v>
      </c>
      <c r="H132" s="13" t="s">
        <v>15</v>
      </c>
    </row>
    <row r="133" spans="1:8" ht="30" customHeight="1" outlineLevel="2" x14ac:dyDescent="0.25">
      <c r="A133" s="10">
        <f>ROW()</f>
        <v>133</v>
      </c>
      <c r="B133" s="15" t="str">
        <f t="shared" si="16"/>
        <v>Щ0-1</v>
      </c>
      <c r="C133" s="10" t="s">
        <v>52</v>
      </c>
      <c r="D133" s="10">
        <v>105542</v>
      </c>
      <c r="E133" s="12" t="s">
        <v>53</v>
      </c>
      <c r="F133" s="10">
        <v>5</v>
      </c>
      <c r="G133" s="13" t="s">
        <v>11</v>
      </c>
      <c r="H133" s="13" t="s">
        <v>15</v>
      </c>
    </row>
    <row r="134" spans="1:8" ht="30" customHeight="1" outlineLevel="2" x14ac:dyDescent="0.25">
      <c r="A134" s="10">
        <f>ROW()</f>
        <v>134</v>
      </c>
      <c r="B134" s="15" t="str">
        <f t="shared" si="16"/>
        <v>Щ0-1</v>
      </c>
      <c r="C134" s="10" t="s">
        <v>90</v>
      </c>
      <c r="D134" s="10"/>
      <c r="E134" s="12" t="s">
        <v>91</v>
      </c>
      <c r="F134" s="10">
        <v>1</v>
      </c>
      <c r="G134" s="13" t="s">
        <v>11</v>
      </c>
      <c r="H134" s="13" t="s">
        <v>21</v>
      </c>
    </row>
    <row r="135" spans="1:8" ht="30" customHeight="1" outlineLevel="2" x14ac:dyDescent="0.25">
      <c r="A135" s="10">
        <f>ROW()</f>
        <v>135</v>
      </c>
      <c r="B135" s="15" t="str">
        <f t="shared" si="16"/>
        <v>Щ0-1</v>
      </c>
      <c r="C135" s="10" t="s">
        <v>29</v>
      </c>
      <c r="D135" s="10" t="s">
        <v>29</v>
      </c>
      <c r="E135" s="12" t="s">
        <v>29</v>
      </c>
      <c r="F135" s="10">
        <v>1</v>
      </c>
      <c r="G135" s="13" t="s">
        <v>11</v>
      </c>
      <c r="H135" s="10" t="s">
        <v>29</v>
      </c>
    </row>
    <row r="136" spans="1:8" ht="30" customHeight="1" outlineLevel="2" x14ac:dyDescent="0.25">
      <c r="A136" s="6">
        <f>ROW()</f>
        <v>136</v>
      </c>
      <c r="B136" s="14" t="str">
        <f>E136</f>
        <v>Щ0-2</v>
      </c>
      <c r="C136" s="6"/>
      <c r="D136" s="8"/>
      <c r="E136" s="7" t="s">
        <v>92</v>
      </c>
      <c r="F136" s="8">
        <v>1</v>
      </c>
      <c r="G136" s="9" t="s">
        <v>8</v>
      </c>
      <c r="H136" s="9" t="s">
        <v>9</v>
      </c>
    </row>
    <row r="137" spans="1:8" ht="30" customHeight="1" outlineLevel="2" x14ac:dyDescent="0.25">
      <c r="A137" s="10">
        <f>ROW()</f>
        <v>137</v>
      </c>
      <c r="B137" s="15" t="str">
        <f t="shared" ref="B137:B142" si="17">B136</f>
        <v>Щ0-2</v>
      </c>
      <c r="C137" s="10" t="s">
        <v>10</v>
      </c>
      <c r="D137" s="10" t="s">
        <v>123</v>
      </c>
      <c r="E137" s="12" t="s">
        <v>124</v>
      </c>
      <c r="F137" s="10">
        <v>1</v>
      </c>
      <c r="G137" s="13" t="s">
        <v>11</v>
      </c>
      <c r="H137" s="13" t="s">
        <v>127</v>
      </c>
    </row>
    <row r="138" spans="1:8" ht="30" customHeight="1" outlineLevel="2" x14ac:dyDescent="0.25">
      <c r="A138" s="10">
        <f>ROW()</f>
        <v>138</v>
      </c>
      <c r="B138" s="15" t="str">
        <f t="shared" si="17"/>
        <v>Щ0-2</v>
      </c>
      <c r="C138" s="10" t="s">
        <v>47</v>
      </c>
      <c r="D138" s="10">
        <v>398043</v>
      </c>
      <c r="E138" s="12" t="s">
        <v>84</v>
      </c>
      <c r="F138" s="10">
        <v>1</v>
      </c>
      <c r="G138" s="13" t="s">
        <v>11</v>
      </c>
      <c r="H138" s="13" t="s">
        <v>15</v>
      </c>
    </row>
    <row r="139" spans="1:8" ht="30" customHeight="1" outlineLevel="2" x14ac:dyDescent="0.25">
      <c r="A139" s="10">
        <f>ROW()</f>
        <v>139</v>
      </c>
      <c r="B139" s="15" t="str">
        <f t="shared" si="17"/>
        <v>Щ0-2</v>
      </c>
      <c r="C139" s="10" t="s">
        <v>24</v>
      </c>
      <c r="D139" s="10">
        <v>296710</v>
      </c>
      <c r="E139" s="12" t="s">
        <v>51</v>
      </c>
      <c r="F139" s="10">
        <v>12</v>
      </c>
      <c r="G139" s="13" t="s">
        <v>11</v>
      </c>
      <c r="H139" s="13" t="s">
        <v>15</v>
      </c>
    </row>
    <row r="140" spans="1:8" ht="30" customHeight="1" outlineLevel="2" x14ac:dyDescent="0.25">
      <c r="A140" s="10">
        <f>ROW()</f>
        <v>140</v>
      </c>
      <c r="B140" s="15" t="str">
        <f t="shared" si="17"/>
        <v>Щ0-2</v>
      </c>
      <c r="C140" s="10" t="s">
        <v>52</v>
      </c>
      <c r="D140" s="10">
        <v>105542</v>
      </c>
      <c r="E140" s="12" t="s">
        <v>53</v>
      </c>
      <c r="F140" s="10">
        <v>3</v>
      </c>
      <c r="G140" s="13" t="s">
        <v>11</v>
      </c>
      <c r="H140" s="13" t="s">
        <v>15</v>
      </c>
    </row>
    <row r="141" spans="1:8" ht="30" customHeight="1" outlineLevel="2" x14ac:dyDescent="0.25">
      <c r="A141" s="10">
        <f>ROW()</f>
        <v>141</v>
      </c>
      <c r="B141" s="15" t="str">
        <f t="shared" si="17"/>
        <v>Щ0-2</v>
      </c>
      <c r="C141" s="10" t="s">
        <v>90</v>
      </c>
      <c r="D141" s="10"/>
      <c r="E141" s="12" t="s">
        <v>91</v>
      </c>
      <c r="F141" s="10">
        <v>1</v>
      </c>
      <c r="G141" s="13" t="s">
        <v>11</v>
      </c>
      <c r="H141" s="13" t="s">
        <v>21</v>
      </c>
    </row>
    <row r="142" spans="1:8" ht="30" customHeight="1" outlineLevel="2" x14ac:dyDescent="0.25">
      <c r="A142" s="10">
        <f>ROW()</f>
        <v>142</v>
      </c>
      <c r="B142" s="15" t="str">
        <f t="shared" si="17"/>
        <v>Щ0-2</v>
      </c>
      <c r="C142" s="10" t="s">
        <v>29</v>
      </c>
      <c r="D142" s="10" t="s">
        <v>29</v>
      </c>
      <c r="E142" s="12" t="s">
        <v>29</v>
      </c>
      <c r="F142" s="10">
        <v>1</v>
      </c>
      <c r="G142" s="13" t="s">
        <v>11</v>
      </c>
      <c r="H142" s="10" t="s">
        <v>29</v>
      </c>
    </row>
    <row r="143" spans="1:8" ht="30" customHeight="1" outlineLevel="2" x14ac:dyDescent="0.25">
      <c r="A143" s="6">
        <f>ROW()</f>
        <v>143</v>
      </c>
      <c r="B143" s="14" t="str">
        <f>E143</f>
        <v>Щ0-3</v>
      </c>
      <c r="C143" s="6"/>
      <c r="D143" s="8"/>
      <c r="E143" s="7" t="s">
        <v>93</v>
      </c>
      <c r="F143" s="8">
        <v>1</v>
      </c>
      <c r="G143" s="9" t="s">
        <v>8</v>
      </c>
      <c r="H143" s="9" t="s">
        <v>9</v>
      </c>
    </row>
    <row r="144" spans="1:8" ht="30" customHeight="1" outlineLevel="2" x14ac:dyDescent="0.25">
      <c r="A144" s="10">
        <f>ROW()</f>
        <v>144</v>
      </c>
      <c r="B144" s="15" t="str">
        <f t="shared" ref="B144:B148" si="18">B143</f>
        <v>Щ0-3</v>
      </c>
      <c r="C144" s="10" t="s">
        <v>10</v>
      </c>
      <c r="D144" s="10" t="s">
        <v>125</v>
      </c>
      <c r="E144" s="12" t="s">
        <v>126</v>
      </c>
      <c r="F144" s="10">
        <v>1</v>
      </c>
      <c r="G144" s="13" t="s">
        <v>11</v>
      </c>
      <c r="H144" s="13" t="s">
        <v>127</v>
      </c>
    </row>
    <row r="145" spans="1:8" ht="30" customHeight="1" outlineLevel="2" x14ac:dyDescent="0.25">
      <c r="A145" s="10">
        <f>ROW()</f>
        <v>145</v>
      </c>
      <c r="B145" s="15" t="str">
        <f t="shared" si="18"/>
        <v>Щ0-3</v>
      </c>
      <c r="C145" s="10" t="s">
        <v>47</v>
      </c>
      <c r="D145" s="10">
        <v>193182</v>
      </c>
      <c r="E145" s="12" t="s">
        <v>55</v>
      </c>
      <c r="F145" s="10">
        <v>1</v>
      </c>
      <c r="G145" s="13" t="s">
        <v>11</v>
      </c>
      <c r="H145" s="13" t="s">
        <v>15</v>
      </c>
    </row>
    <row r="146" spans="1:8" ht="30" customHeight="1" outlineLevel="2" x14ac:dyDescent="0.25">
      <c r="A146" s="10">
        <f>ROW()</f>
        <v>146</v>
      </c>
      <c r="B146" s="15" t="str">
        <f t="shared" si="18"/>
        <v>Щ0-3</v>
      </c>
      <c r="C146" s="10" t="s">
        <v>24</v>
      </c>
      <c r="D146" s="10">
        <v>296710</v>
      </c>
      <c r="E146" s="12" t="s">
        <v>51</v>
      </c>
      <c r="F146" s="10">
        <v>13</v>
      </c>
      <c r="G146" s="13" t="s">
        <v>11</v>
      </c>
      <c r="H146" s="13" t="s">
        <v>15</v>
      </c>
    </row>
    <row r="147" spans="1:8" ht="30" customHeight="1" outlineLevel="2" x14ac:dyDescent="0.25">
      <c r="A147" s="10">
        <f>ROW()</f>
        <v>147</v>
      </c>
      <c r="B147" s="15" t="str">
        <f t="shared" si="18"/>
        <v>Щ0-3</v>
      </c>
      <c r="C147" s="10" t="s">
        <v>52</v>
      </c>
      <c r="D147" s="10">
        <v>105542</v>
      </c>
      <c r="E147" s="12" t="s">
        <v>53</v>
      </c>
      <c r="F147" s="10">
        <v>5</v>
      </c>
      <c r="G147" s="13" t="s">
        <v>11</v>
      </c>
      <c r="H147" s="13" t="s">
        <v>21</v>
      </c>
    </row>
    <row r="148" spans="1:8" ht="30" customHeight="1" outlineLevel="2" x14ac:dyDescent="0.25">
      <c r="A148" s="10">
        <f>ROW()</f>
        <v>148</v>
      </c>
      <c r="B148" s="15" t="str">
        <f t="shared" si="18"/>
        <v>Щ0-3</v>
      </c>
      <c r="C148" s="10" t="s">
        <v>29</v>
      </c>
      <c r="D148" s="10" t="s">
        <v>29</v>
      </c>
      <c r="E148" s="12" t="s">
        <v>29</v>
      </c>
      <c r="F148" s="10">
        <v>1</v>
      </c>
      <c r="G148" s="13" t="s">
        <v>11</v>
      </c>
      <c r="H148" s="10" t="s">
        <v>29</v>
      </c>
    </row>
    <row r="149" spans="1:8" ht="30" customHeight="1" outlineLevel="2" x14ac:dyDescent="0.25">
      <c r="A149" s="6">
        <f>ROW()</f>
        <v>149</v>
      </c>
      <c r="B149" s="14" t="str">
        <f>E149</f>
        <v>Щ0-4</v>
      </c>
      <c r="C149" s="6"/>
      <c r="D149" s="8"/>
      <c r="E149" s="7" t="s">
        <v>94</v>
      </c>
      <c r="F149" s="8">
        <v>1</v>
      </c>
      <c r="G149" s="9" t="s">
        <v>8</v>
      </c>
      <c r="H149" s="9" t="s">
        <v>9</v>
      </c>
    </row>
    <row r="150" spans="1:8" ht="30" customHeight="1" outlineLevel="2" x14ac:dyDescent="0.25">
      <c r="A150" s="10">
        <f>ROW()</f>
        <v>150</v>
      </c>
      <c r="B150" s="15" t="str">
        <f t="shared" ref="B150:B154" si="19">B149</f>
        <v>Щ0-4</v>
      </c>
      <c r="C150" s="10" t="s">
        <v>10</v>
      </c>
      <c r="D150" s="10" t="s">
        <v>125</v>
      </c>
      <c r="E150" s="12" t="s">
        <v>126</v>
      </c>
      <c r="F150" s="10">
        <v>1</v>
      </c>
      <c r="G150" s="13" t="s">
        <v>11</v>
      </c>
      <c r="H150" s="13" t="s">
        <v>127</v>
      </c>
    </row>
    <row r="151" spans="1:8" ht="30" customHeight="1" outlineLevel="2" x14ac:dyDescent="0.25">
      <c r="A151" s="10">
        <f>ROW()</f>
        <v>151</v>
      </c>
      <c r="B151" s="15" t="str">
        <f t="shared" si="19"/>
        <v>Щ0-4</v>
      </c>
      <c r="C151" s="10" t="s">
        <v>47</v>
      </c>
      <c r="D151" s="10">
        <v>398043</v>
      </c>
      <c r="E151" s="12" t="s">
        <v>84</v>
      </c>
      <c r="F151" s="10">
        <v>1</v>
      </c>
      <c r="G151" s="13" t="s">
        <v>11</v>
      </c>
      <c r="H151" s="13" t="s">
        <v>15</v>
      </c>
    </row>
    <row r="152" spans="1:8" ht="30" customHeight="1" outlineLevel="2" x14ac:dyDescent="0.25">
      <c r="A152" s="10">
        <f>ROW()</f>
        <v>152</v>
      </c>
      <c r="B152" s="15" t="str">
        <f t="shared" si="19"/>
        <v>Щ0-4</v>
      </c>
      <c r="C152" s="10" t="s">
        <v>24</v>
      </c>
      <c r="D152" s="10">
        <v>296710</v>
      </c>
      <c r="E152" s="12" t="s">
        <v>51</v>
      </c>
      <c r="F152" s="10">
        <v>12</v>
      </c>
      <c r="G152" s="13" t="s">
        <v>11</v>
      </c>
      <c r="H152" s="13" t="s">
        <v>15</v>
      </c>
    </row>
    <row r="153" spans="1:8" ht="30" customHeight="1" outlineLevel="2" x14ac:dyDescent="0.25">
      <c r="A153" s="10">
        <f>ROW()</f>
        <v>153</v>
      </c>
      <c r="B153" s="15" t="str">
        <f t="shared" si="19"/>
        <v>Щ0-4</v>
      </c>
      <c r="C153" s="10" t="s">
        <v>52</v>
      </c>
      <c r="D153" s="10">
        <v>105542</v>
      </c>
      <c r="E153" s="12" t="s">
        <v>53</v>
      </c>
      <c r="F153" s="10">
        <v>6</v>
      </c>
      <c r="G153" s="13" t="s">
        <v>11</v>
      </c>
      <c r="H153" s="13" t="s">
        <v>15</v>
      </c>
    </row>
    <row r="154" spans="1:8" ht="30" customHeight="1" outlineLevel="2" x14ac:dyDescent="0.25">
      <c r="A154" s="10">
        <f>ROW()</f>
        <v>154</v>
      </c>
      <c r="B154" s="15" t="str">
        <f t="shared" si="19"/>
        <v>Щ0-4</v>
      </c>
      <c r="C154" s="10" t="s">
        <v>29</v>
      </c>
      <c r="D154" s="10" t="s">
        <v>29</v>
      </c>
      <c r="E154" s="12" t="s">
        <v>29</v>
      </c>
      <c r="F154" s="10">
        <v>1</v>
      </c>
      <c r="G154" s="13" t="s">
        <v>11</v>
      </c>
      <c r="H154" s="10" t="s">
        <v>29</v>
      </c>
    </row>
    <row r="155" spans="1:8" ht="30" customHeight="1" outlineLevel="2" x14ac:dyDescent="0.25">
      <c r="A155" s="6">
        <f>ROW()</f>
        <v>155</v>
      </c>
      <c r="B155" s="14" t="str">
        <f>E155</f>
        <v>ЩАО-1, ЩАО-2</v>
      </c>
      <c r="C155" s="6"/>
      <c r="D155" s="8"/>
      <c r="E155" s="7" t="s">
        <v>95</v>
      </c>
      <c r="F155" s="8">
        <v>2</v>
      </c>
      <c r="G155" s="9" t="s">
        <v>8</v>
      </c>
      <c r="H155" s="9" t="s">
        <v>9</v>
      </c>
    </row>
    <row r="156" spans="1:8" ht="30" customHeight="1" outlineLevel="2" x14ac:dyDescent="0.25">
      <c r="A156" s="10">
        <f>ROW()</f>
        <v>156</v>
      </c>
      <c r="B156" s="15" t="str">
        <f t="shared" ref="B156:B159" si="20">B155</f>
        <v>ЩАО-1, ЩАО-2</v>
      </c>
      <c r="C156" s="10" t="s">
        <v>10</v>
      </c>
      <c r="D156" s="10" t="s">
        <v>121</v>
      </c>
      <c r="E156" s="12" t="s">
        <v>122</v>
      </c>
      <c r="F156" s="10">
        <v>1</v>
      </c>
      <c r="G156" s="13" t="s">
        <v>11</v>
      </c>
      <c r="H156" s="13" t="s">
        <v>127</v>
      </c>
    </row>
    <row r="157" spans="1:8" ht="30" customHeight="1" outlineLevel="2" x14ac:dyDescent="0.25">
      <c r="A157" s="10">
        <f>ROW()</f>
        <v>157</v>
      </c>
      <c r="B157" s="15" t="str">
        <f t="shared" si="20"/>
        <v>ЩАО-1, ЩАО-2</v>
      </c>
      <c r="C157" s="10" t="s">
        <v>47</v>
      </c>
      <c r="D157" s="10">
        <v>398043</v>
      </c>
      <c r="E157" s="12" t="s">
        <v>84</v>
      </c>
      <c r="F157" s="10">
        <v>1</v>
      </c>
      <c r="G157" s="13" t="s">
        <v>11</v>
      </c>
      <c r="H157" s="13" t="s">
        <v>15</v>
      </c>
    </row>
    <row r="158" spans="1:8" ht="30" customHeight="1" outlineLevel="2" x14ac:dyDescent="0.25">
      <c r="A158" s="10">
        <f>ROW()</f>
        <v>158</v>
      </c>
      <c r="B158" s="15" t="str">
        <f t="shared" si="20"/>
        <v>ЩАО-1, ЩАО-2</v>
      </c>
      <c r="C158" s="10" t="s">
        <v>24</v>
      </c>
      <c r="D158" s="10">
        <v>296710</v>
      </c>
      <c r="E158" s="12" t="s">
        <v>51</v>
      </c>
      <c r="F158" s="10">
        <v>9</v>
      </c>
      <c r="G158" s="13" t="s">
        <v>11</v>
      </c>
      <c r="H158" s="13" t="s">
        <v>15</v>
      </c>
    </row>
    <row r="159" spans="1:8" ht="30" customHeight="1" outlineLevel="2" x14ac:dyDescent="0.25">
      <c r="A159" s="10">
        <f>ROW()</f>
        <v>159</v>
      </c>
      <c r="B159" s="15" t="str">
        <f t="shared" si="20"/>
        <v>ЩАО-1, ЩАО-2</v>
      </c>
      <c r="C159" s="10" t="s">
        <v>29</v>
      </c>
      <c r="D159" s="10" t="s">
        <v>29</v>
      </c>
      <c r="E159" s="12" t="s">
        <v>29</v>
      </c>
      <c r="F159" s="10">
        <v>1</v>
      </c>
      <c r="G159" s="13" t="s">
        <v>11</v>
      </c>
      <c r="H159" s="10" t="s">
        <v>29</v>
      </c>
    </row>
    <row r="160" spans="1:8" ht="30" customHeight="1" outlineLevel="2" x14ac:dyDescent="0.25">
      <c r="A160" s="6">
        <f>ROW()</f>
        <v>160</v>
      </c>
      <c r="B160" s="14" t="str">
        <f>E160</f>
        <v>ЯТП-0,25 220/36-3 36 УХЛ4</v>
      </c>
      <c r="C160" s="6"/>
      <c r="D160" s="8"/>
      <c r="E160" s="7" t="s">
        <v>96</v>
      </c>
      <c r="F160" s="8">
        <v>3</v>
      </c>
      <c r="G160" s="9" t="s">
        <v>8</v>
      </c>
      <c r="H160" s="9" t="s">
        <v>9</v>
      </c>
    </row>
  </sheetData>
  <autoFilter ref="A1:H160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2026-06-18T06:31:49Z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