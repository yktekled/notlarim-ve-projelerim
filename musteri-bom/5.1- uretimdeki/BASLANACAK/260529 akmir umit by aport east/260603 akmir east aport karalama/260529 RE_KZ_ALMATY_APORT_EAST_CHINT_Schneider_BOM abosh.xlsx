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29 akmir umit by aport east\"/>
    </mc:Choice>
  </mc:AlternateContent>
  <xr:revisionPtr revIDLastSave="0" documentId="13_ncr:1_{A332842D-8000-4CDC-8901-B80F346D964B}" xr6:coauthVersionLast="47" xr6:coauthVersionMax="47" xr10:uidLastSave="{00000000-0000-0000-0000-000000000000}"/>
  <bookViews>
    <workbookView xWindow="28680" yWindow="-120" windowWidth="29040" windowHeight="15720" tabRatio="500" firstSheet="1" activeTab="1" xr2:uid="{00000000-000D-0000-FFFF-FFFF00000000}"/>
  </bookViews>
  <sheets>
    <sheet name="fiyat calismasi burda" sheetId="1" r:id="rId1"/>
    <sheet name="chint" sheetId="2" r:id="rId2"/>
    <sheet name="schneider" sheetId="4" r:id="rId3"/>
  </sheets>
  <definedNames>
    <definedName name="_xlnm._FilterDatabase" localSheetId="1" hidden="1">chint!$A$1:$L$97</definedName>
    <definedName name="_xlnm._FilterDatabase" localSheetId="0" hidden="1">'fiyat calismasi burda'!$A$1:$K$68</definedName>
    <definedName name="sayac">chint!#REF!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4" l="1"/>
  <c r="H17" i="4" s="1"/>
  <c r="G58" i="4"/>
  <c r="H58" i="4" s="1"/>
  <c r="H49" i="4"/>
  <c r="G49" i="4"/>
  <c r="G42" i="4"/>
  <c r="H42" i="4" s="1"/>
  <c r="A42" i="4"/>
  <c r="A43" i="4" s="1"/>
  <c r="G35" i="4"/>
  <c r="H35" i="4" s="1"/>
  <c r="G73" i="4"/>
  <c r="H73" i="4" s="1"/>
  <c r="G59" i="4"/>
  <c r="H59" i="4" s="1"/>
  <c r="G50" i="4"/>
  <c r="H50" i="4" s="1"/>
  <c r="G36" i="4"/>
  <c r="H36" i="4" s="1"/>
  <c r="G51" i="4"/>
  <c r="H51" i="4" s="1"/>
  <c r="G72" i="4"/>
  <c r="H72" i="4" s="1"/>
  <c r="H96" i="4"/>
  <c r="G96" i="4"/>
  <c r="G43" i="4"/>
  <c r="H43" i="4" s="1"/>
  <c r="F98" i="4"/>
  <c r="G98" i="4" s="1"/>
  <c r="H98" i="4" s="1"/>
  <c r="G97" i="4"/>
  <c r="H97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A88" i="4"/>
  <c r="A91" i="4" s="1"/>
  <c r="F87" i="4"/>
  <c r="G87" i="4" s="1"/>
  <c r="H87" i="4" s="1"/>
  <c r="G86" i="4"/>
  <c r="H86" i="4" s="1"/>
  <c r="G85" i="4"/>
  <c r="H85" i="4" s="1"/>
  <c r="G84" i="4"/>
  <c r="H84" i="4" s="1"/>
  <c r="A84" i="4"/>
  <c r="A85" i="4" s="1"/>
  <c r="A86" i="4" s="1"/>
  <c r="A87" i="4" s="1"/>
  <c r="A83" i="4"/>
  <c r="F82" i="4"/>
  <c r="G82" i="4" s="1"/>
  <c r="H82" i="4" s="1"/>
  <c r="G81" i="4"/>
  <c r="H81" i="4" s="1"/>
  <c r="G80" i="4"/>
  <c r="H80" i="4" s="1"/>
  <c r="G79" i="4"/>
  <c r="H79" i="4" s="1"/>
  <c r="A78" i="4"/>
  <c r="A79" i="4" s="1"/>
  <c r="A80" i="4" s="1"/>
  <c r="A81" i="4" s="1"/>
  <c r="A82" i="4" s="1"/>
  <c r="F77" i="4"/>
  <c r="G77" i="4" s="1"/>
  <c r="H77" i="4" s="1"/>
  <c r="G76" i="4"/>
  <c r="H76" i="4" s="1"/>
  <c r="G75" i="4"/>
  <c r="H75" i="4" s="1"/>
  <c r="G74" i="4"/>
  <c r="H74" i="4" s="1"/>
  <c r="G71" i="4"/>
  <c r="H71" i="4" s="1"/>
  <c r="G70" i="4"/>
  <c r="H70" i="4" s="1"/>
  <c r="A69" i="4"/>
  <c r="A70" i="4" s="1"/>
  <c r="F68" i="4"/>
  <c r="G68" i="4" s="1"/>
  <c r="H68" i="4" s="1"/>
  <c r="G67" i="4"/>
  <c r="H67" i="4" s="1"/>
  <c r="G66" i="4"/>
  <c r="H66" i="4" s="1"/>
  <c r="G65" i="4"/>
  <c r="H65" i="4" s="1"/>
  <c r="G64" i="4"/>
  <c r="H64" i="4" s="1"/>
  <c r="G63" i="4"/>
  <c r="H63" i="4" s="1"/>
  <c r="A62" i="4"/>
  <c r="A63" i="4" s="1"/>
  <c r="F61" i="4"/>
  <c r="G61" i="4" s="1"/>
  <c r="H61" i="4" s="1"/>
  <c r="G60" i="4"/>
  <c r="H60" i="4" s="1"/>
  <c r="G57" i="4"/>
  <c r="H57" i="4" s="1"/>
  <c r="G56" i="4"/>
  <c r="H56" i="4" s="1"/>
  <c r="G55" i="4"/>
  <c r="H55" i="4" s="1"/>
  <c r="A54" i="4"/>
  <c r="A55" i="4" s="1"/>
  <c r="A57" i="4" s="1"/>
  <c r="A58" i="4" s="1"/>
  <c r="A59" i="4" s="1"/>
  <c r="F53" i="4"/>
  <c r="G53" i="4" s="1"/>
  <c r="H53" i="4" s="1"/>
  <c r="G52" i="4"/>
  <c r="H52" i="4" s="1"/>
  <c r="G48" i="4"/>
  <c r="H48" i="4" s="1"/>
  <c r="G47" i="4"/>
  <c r="H47" i="4" s="1"/>
  <c r="A46" i="4"/>
  <c r="A47" i="4" s="1"/>
  <c r="A48" i="4" s="1"/>
  <c r="A49" i="4" s="1"/>
  <c r="A50" i="4" s="1"/>
  <c r="A51" i="4" s="1"/>
  <c r="F45" i="4"/>
  <c r="G45" i="4" s="1"/>
  <c r="H45" i="4" s="1"/>
  <c r="G44" i="4"/>
  <c r="H44" i="4" s="1"/>
  <c r="G41" i="4"/>
  <c r="H41" i="4" s="1"/>
  <c r="G40" i="4"/>
  <c r="H40" i="4" s="1"/>
  <c r="A39" i="4"/>
  <c r="A40" i="4" s="1"/>
  <c r="A41" i="4" s="1"/>
  <c r="F38" i="4"/>
  <c r="G38" i="4" s="1"/>
  <c r="H38" i="4" s="1"/>
  <c r="G37" i="4"/>
  <c r="H37" i="4" s="1"/>
  <c r="G34" i="4"/>
  <c r="H34" i="4" s="1"/>
  <c r="G33" i="4"/>
  <c r="H33" i="4" s="1"/>
  <c r="H32" i="4"/>
  <c r="G32" i="4"/>
  <c r="A31" i="4"/>
  <c r="A32" i="4" s="1"/>
  <c r="A33" i="4" s="1"/>
  <c r="A34" i="4" s="1"/>
  <c r="A35" i="4" s="1"/>
  <c r="A36" i="4" s="1"/>
  <c r="F30" i="4"/>
  <c r="G30" i="4" s="1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G9" i="2"/>
  <c r="H9" i="2" s="1"/>
  <c r="G11" i="2"/>
  <c r="H11" i="2" s="1"/>
  <c r="G4" i="2"/>
  <c r="G5" i="2"/>
  <c r="G6" i="2"/>
  <c r="G7" i="2"/>
  <c r="H7" i="2" s="1"/>
  <c r="G8" i="2"/>
  <c r="H8" i="2" s="1"/>
  <c r="G10" i="2"/>
  <c r="G12" i="2"/>
  <c r="H12" i="2" s="1"/>
  <c r="G13" i="2"/>
  <c r="H13" i="2" s="1"/>
  <c r="G14" i="2"/>
  <c r="G15" i="2"/>
  <c r="H15" i="2" s="1"/>
  <c r="G16" i="2"/>
  <c r="H16" i="2" s="1"/>
  <c r="G17" i="2"/>
  <c r="G18" i="2"/>
  <c r="H18" i="2" s="1"/>
  <c r="G19" i="2"/>
  <c r="G20" i="2"/>
  <c r="G21" i="2"/>
  <c r="H21" i="2" s="1"/>
  <c r="G22" i="2"/>
  <c r="H22" i="2" s="1"/>
  <c r="G23" i="2"/>
  <c r="G24" i="2"/>
  <c r="G25" i="2"/>
  <c r="G26" i="2"/>
  <c r="G27" i="2"/>
  <c r="G28" i="2"/>
  <c r="G3" i="2"/>
  <c r="G90" i="2"/>
  <c r="H90" i="2" s="1"/>
  <c r="G95" i="2"/>
  <c r="H95" i="2" s="1"/>
  <c r="F97" i="2"/>
  <c r="G97" i="2" s="1"/>
  <c r="H97" i="2" s="1"/>
  <c r="G96" i="2"/>
  <c r="H96" i="2" s="1"/>
  <c r="G94" i="2"/>
  <c r="H94" i="2" s="1"/>
  <c r="G93" i="2"/>
  <c r="H93" i="2" s="1"/>
  <c r="G92" i="2"/>
  <c r="H92" i="2" s="1"/>
  <c r="G91" i="2"/>
  <c r="H91" i="2" s="1"/>
  <c r="G89" i="2"/>
  <c r="H89" i="2" s="1"/>
  <c r="G88" i="2"/>
  <c r="H88" i="2" s="1"/>
  <c r="A87" i="2"/>
  <c r="A88" i="2" s="1"/>
  <c r="A91" i="2" s="1"/>
  <c r="F86" i="2"/>
  <c r="G86" i="2" s="1"/>
  <c r="H86" i="2" s="1"/>
  <c r="G85" i="2"/>
  <c r="H85" i="2" s="1"/>
  <c r="G84" i="2"/>
  <c r="H84" i="2" s="1"/>
  <c r="G83" i="2"/>
  <c r="H83" i="2" s="1"/>
  <c r="A82" i="2"/>
  <c r="A83" i="2" s="1"/>
  <c r="A84" i="2" s="1"/>
  <c r="A85" i="2" s="1"/>
  <c r="A86" i="2" s="1"/>
  <c r="F81" i="2"/>
  <c r="G81" i="2" s="1"/>
  <c r="H81" i="2" s="1"/>
  <c r="G80" i="2"/>
  <c r="H80" i="2" s="1"/>
  <c r="G79" i="2"/>
  <c r="H79" i="2" s="1"/>
  <c r="G78" i="2"/>
  <c r="H78" i="2" s="1"/>
  <c r="A77" i="2"/>
  <c r="A78" i="2" s="1"/>
  <c r="A79" i="2" s="1"/>
  <c r="A80" i="2" s="1"/>
  <c r="A81" i="2" s="1"/>
  <c r="G71" i="2"/>
  <c r="H71" i="2" s="1"/>
  <c r="G72" i="2"/>
  <c r="H72" i="2" s="1"/>
  <c r="F76" i="2"/>
  <c r="G76" i="2" s="1"/>
  <c r="H76" i="2" s="1"/>
  <c r="G75" i="2"/>
  <c r="H75" i="2" s="1"/>
  <c r="G74" i="2"/>
  <c r="H74" i="2" s="1"/>
  <c r="G73" i="2"/>
  <c r="H73" i="2" s="1"/>
  <c r="G70" i="2"/>
  <c r="H70" i="2" s="1"/>
  <c r="G69" i="2"/>
  <c r="H69" i="2" s="1"/>
  <c r="A68" i="2"/>
  <c r="A70" i="2" s="1"/>
  <c r="A73" i="2" s="1"/>
  <c r="G65" i="2"/>
  <c r="H65" i="2" s="1"/>
  <c r="G64" i="2"/>
  <c r="H64" i="2" s="1"/>
  <c r="F67" i="2"/>
  <c r="G67" i="2" s="1"/>
  <c r="H67" i="2" s="1"/>
  <c r="G66" i="2"/>
  <c r="H66" i="2" s="1"/>
  <c r="G63" i="2"/>
  <c r="H63" i="2" s="1"/>
  <c r="G62" i="2"/>
  <c r="H62" i="2" s="1"/>
  <c r="A61" i="2"/>
  <c r="A63" i="2" s="1"/>
  <c r="A64" i="2" s="1"/>
  <c r="A65" i="2" s="1"/>
  <c r="G55" i="2"/>
  <c r="H55" i="2" s="1"/>
  <c r="F60" i="2"/>
  <c r="G60" i="2" s="1"/>
  <c r="H60" i="2" s="1"/>
  <c r="G59" i="2"/>
  <c r="H59" i="2" s="1"/>
  <c r="G58" i="2"/>
  <c r="H58" i="2" s="1"/>
  <c r="G57" i="2"/>
  <c r="H57" i="2" s="1"/>
  <c r="G56" i="2"/>
  <c r="H56" i="2" s="1"/>
  <c r="G54" i="2"/>
  <c r="H54" i="2" s="1"/>
  <c r="A53" i="2"/>
  <c r="A54" i="2" s="1"/>
  <c r="A56" i="2" s="1"/>
  <c r="A57" i="2" s="1"/>
  <c r="A58" i="2" s="1"/>
  <c r="G50" i="2"/>
  <c r="H50" i="2" s="1"/>
  <c r="F52" i="2"/>
  <c r="G52" i="2" s="1"/>
  <c r="H52" i="2" s="1"/>
  <c r="G51" i="2"/>
  <c r="H51" i="2" s="1"/>
  <c r="G49" i="2"/>
  <c r="H49" i="2" s="1"/>
  <c r="G48" i="2"/>
  <c r="H48" i="2" s="1"/>
  <c r="G47" i="2"/>
  <c r="H47" i="2" s="1"/>
  <c r="G46" i="2"/>
  <c r="H46" i="2" s="1"/>
  <c r="A45" i="2"/>
  <c r="A46" i="2" s="1"/>
  <c r="A47" i="2" s="1"/>
  <c r="A48" i="2" s="1"/>
  <c r="A49" i="2" s="1"/>
  <c r="A51" i="2" s="1"/>
  <c r="A52" i="2" s="1"/>
  <c r="F44" i="2"/>
  <c r="G44" i="2" s="1"/>
  <c r="H44" i="2" s="1"/>
  <c r="G43" i="2"/>
  <c r="H43" i="2" s="1"/>
  <c r="G42" i="2"/>
  <c r="H42" i="2" s="1"/>
  <c r="G41" i="2"/>
  <c r="H41" i="2" s="1"/>
  <c r="G40" i="2"/>
  <c r="H40" i="2" s="1"/>
  <c r="G39" i="2"/>
  <c r="H39" i="2" s="1"/>
  <c r="A38" i="2"/>
  <c r="A39" i="2" s="1"/>
  <c r="A40" i="2" s="1"/>
  <c r="A41" i="2" s="1"/>
  <c r="A42" i="2" s="1"/>
  <c r="A43" i="2" s="1"/>
  <c r="A44" i="2" s="1"/>
  <c r="G35" i="2"/>
  <c r="H35" i="2" s="1"/>
  <c r="A64" i="4" l="1"/>
  <c r="A65" i="4" s="1"/>
  <c r="A17" i="4"/>
  <c r="A60" i="4"/>
  <c r="A61" i="4" s="1"/>
  <c r="A44" i="4"/>
  <c r="A45" i="4" s="1"/>
  <c r="A67" i="4"/>
  <c r="A68" i="4" s="1"/>
  <c r="A66" i="4"/>
  <c r="A37" i="4"/>
  <c r="A38" i="4" s="1"/>
  <c r="A52" i="4"/>
  <c r="A53" i="4" s="1"/>
  <c r="A56" i="4"/>
  <c r="A71" i="4"/>
  <c r="A72" i="4" s="1"/>
  <c r="A73" i="4" s="1"/>
  <c r="A89" i="4"/>
  <c r="A92" i="4" s="1"/>
  <c r="A90" i="4"/>
  <c r="A90" i="2"/>
  <c r="A89" i="2"/>
  <c r="A93" i="2" s="1"/>
  <c r="A96" i="2" s="1"/>
  <c r="A97" i="2" s="1"/>
  <c r="A72" i="2"/>
  <c r="A75" i="2"/>
  <c r="A76" i="2" s="1"/>
  <c r="A74" i="2"/>
  <c r="A69" i="2"/>
  <c r="A71" i="2" s="1"/>
  <c r="A62" i="2"/>
  <c r="A66" i="2" s="1"/>
  <c r="A67" i="2" s="1"/>
  <c r="A55" i="2"/>
  <c r="A59" i="2"/>
  <c r="A60" i="2" s="1"/>
  <c r="A50" i="2"/>
  <c r="A94" i="4" l="1"/>
  <c r="A93" i="4"/>
  <c r="A74" i="4"/>
  <c r="A92" i="2"/>
  <c r="A94" i="2"/>
  <c r="A95" i="2" s="1"/>
  <c r="F37" i="2"/>
  <c r="G37" i="2" s="1"/>
  <c r="H37" i="2" s="1"/>
  <c r="G36" i="2"/>
  <c r="H36" i="2" s="1"/>
  <c r="G34" i="2"/>
  <c r="H34" i="2" s="1"/>
  <c r="G33" i="2"/>
  <c r="H33" i="2" s="1"/>
  <c r="G32" i="2"/>
  <c r="H32" i="2" s="1"/>
  <c r="G31" i="2"/>
  <c r="H31" i="2" s="1"/>
  <c r="A30" i="2"/>
  <c r="A31" i="2" s="1"/>
  <c r="A32" i="2" s="1"/>
  <c r="A33" i="2" s="1"/>
  <c r="A34" i="2" s="1"/>
  <c r="F29" i="2"/>
  <c r="H28" i="2"/>
  <c r="H27" i="2"/>
  <c r="H26" i="2"/>
  <c r="H25" i="2"/>
  <c r="H24" i="2"/>
  <c r="H23" i="2"/>
  <c r="A76" i="4" l="1"/>
  <c r="A77" i="4" s="1"/>
  <c r="A75" i="4"/>
  <c r="A95" i="4"/>
  <c r="A96" i="4" s="1"/>
  <c r="A97" i="4"/>
  <c r="A98" i="4" s="1"/>
  <c r="G29" i="2"/>
  <c r="H29" i="2" s="1"/>
  <c r="A36" i="2"/>
  <c r="A37" i="2" s="1"/>
  <c r="A35" i="2"/>
  <c r="H6" i="2" l="1"/>
  <c r="H10" i="2"/>
  <c r="H14" i="2"/>
  <c r="H17" i="2"/>
  <c r="H19" i="2"/>
  <c r="H20" i="2"/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H3" i="2"/>
  <c r="H4" i="2"/>
  <c r="H5" i="2"/>
  <c r="H67" i="1" l="1"/>
  <c r="G44" i="1"/>
  <c r="H44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7" i="1"/>
  <c r="H7" i="1" s="1"/>
  <c r="G6" i="1"/>
  <c r="H6" i="1" s="1"/>
  <c r="G9" i="1" l="1"/>
  <c r="H9" i="1" s="1"/>
  <c r="G66" i="1"/>
  <c r="H66" i="1" s="1"/>
  <c r="F67" i="1"/>
  <c r="G64" i="1"/>
  <c r="H64" i="1" s="1"/>
  <c r="G4" i="1"/>
  <c r="H4" i="1" s="1"/>
  <c r="G3" i="1"/>
  <c r="H3" i="1" s="1"/>
  <c r="G65" i="1"/>
  <c r="H65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3" i="1"/>
  <c r="H43" i="1" s="1"/>
  <c r="G31" i="1"/>
  <c r="H31" i="1" s="1"/>
  <c r="G11" i="1"/>
  <c r="H11" i="1" s="1"/>
  <c r="G10" i="1"/>
  <c r="H10" i="1" s="1"/>
  <c r="G8" i="1"/>
  <c r="H8" i="1" s="1"/>
  <c r="G5" i="1"/>
  <c r="H5" i="1" s="1"/>
  <c r="H68" i="1" l="1"/>
  <c r="A2" i="1"/>
  <c r="A3" i="1" s="1"/>
  <c r="G2" i="1" l="1"/>
  <c r="H2" i="1" s="1"/>
  <c r="F2" i="1"/>
  <c r="A5" i="1"/>
  <c r="A4" i="1"/>
  <c r="A6" i="1" s="1"/>
  <c r="A9" i="1" s="1"/>
  <c r="A7" i="1" l="1"/>
  <c r="A10" i="1" s="1"/>
  <c r="A12" i="1" s="1"/>
  <c r="A8" i="1"/>
  <c r="A13" i="1" l="1"/>
  <c r="A15" i="1" s="1"/>
  <c r="A11" i="1"/>
  <c r="A14" i="1" s="1"/>
  <c r="A17" i="1" l="1"/>
  <c r="A22" i="1" s="1"/>
  <c r="A24" i="1" s="1"/>
  <c r="A26" i="1" s="1"/>
  <c r="A16" i="1"/>
  <c r="A18" i="1" s="1"/>
  <c r="A19" i="1" l="1"/>
  <c r="A20" i="1"/>
  <c r="A23" i="1" s="1"/>
  <c r="A27" i="1"/>
  <c r="A29" i="1" s="1"/>
  <c r="A31" i="1"/>
  <c r="A32" i="1" s="1"/>
  <c r="A33" i="1" s="1"/>
  <c r="A34" i="1" s="1"/>
  <c r="A35" i="1" s="1"/>
  <c r="A36" i="1" s="1"/>
  <c r="A21" i="1" l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37" i="1"/>
  <c r="A28" i="1"/>
  <c r="A30" i="1" s="1"/>
  <c r="A25" i="1"/>
</calcChain>
</file>

<file path=xl/sharedStrings.xml><?xml version="1.0" encoding="utf-8"?>
<sst xmlns="http://schemas.openxmlformats.org/spreadsheetml/2006/main" count="1254" uniqueCount="338">
  <si>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</si>
  <si>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</si>
  <si>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</si>
  <si>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</si>
  <si>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</si>
  <si>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</si>
  <si>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</si>
  <si>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</si>
  <si>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</si>
  <si>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</si>
  <si>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</si>
  <si>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</si>
  <si>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</si>
  <si>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</si>
  <si>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</si>
  <si>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</si>
  <si>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</si>
  <si>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</si>
  <si>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296710</t>
  </si>
  <si>
    <t>Авт. выкл. NXB-63S 1P 16А 4.5kA х-ка C (R)</t>
  </si>
  <si>
    <t>tms</t>
  </si>
  <si>
    <t>at</t>
  </si>
  <si>
    <t>faza</t>
  </si>
  <si>
    <t>sinyal lamb</t>
  </si>
  <si>
    <t>sayac</t>
  </si>
  <si>
    <t>opn</t>
  </si>
  <si>
    <t>kontaktor</t>
  </si>
  <si>
    <t>perekluchatel</t>
  </si>
  <si>
    <t>modul pere</t>
  </si>
  <si>
    <t>transformator</t>
  </si>
  <si>
    <t>taimer</t>
  </si>
  <si>
    <t>preomzhutochny rele</t>
  </si>
  <si>
    <t>rozetka</t>
  </si>
  <si>
    <t>296709</t>
  </si>
  <si>
    <t>Авт. выкл. NXB-63S 1P 10А 4.5kA х-ка C (R)</t>
  </si>
  <si>
    <t>296713</t>
  </si>
  <si>
    <t>Авт. выкл. NXB-63S 1P 32А 4.5kA х-ка C (R)</t>
  </si>
  <si>
    <t>296708</t>
  </si>
  <si>
    <t>Авт. выкл. NXB-63S 1P 6А 4.5kA х-ка C (R)</t>
  </si>
  <si>
    <t>296825</t>
  </si>
  <si>
    <t>Авт. выкл. NXB-63S 3P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</si>
  <si>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</si>
  <si>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</si>
  <si>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</si>
  <si>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</si>
  <si>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296833</t>
  </si>
  <si>
    <t>Авт. выкл. NXB-63S 3P 63А 4.5kA х-ка C (R)</t>
  </si>
  <si>
    <t>643001</t>
  </si>
  <si>
    <t>Модульный переключатель NZK1-32 2P 32А 3 положения (R)</t>
  </si>
  <si>
    <t>256101</t>
  </si>
  <si>
    <t>Контактор модульный NCH8-63/40 63A 4НО AC220/230В 50Гц (R)</t>
  </si>
  <si>
    <t>256089</t>
  </si>
  <si>
    <t>Контактор модульный NCH8-25/40 25A 4НО AC220/230В 50Гц (R)</t>
  </si>
  <si>
    <t>105542</t>
  </si>
  <si>
    <t>Диф. авт. выкл. NXBLE-63Y 1P+N 16А 30mA электронный тип AС, х-ка С, 4.5kA (R)</t>
  </si>
  <si>
    <t>Таймер электронный NKG3 AC230В (R)</t>
  </si>
  <si>
    <t>pyc</t>
  </si>
  <si>
    <t>YM01976</t>
  </si>
  <si>
    <t>Shit  2100x800x400mm</t>
  </si>
  <si>
    <t>YM01977</t>
  </si>
  <si>
    <t>Shit  2100x500x400mm</t>
  </si>
  <si>
    <t>dif</t>
  </si>
  <si>
    <t>kutu buson</t>
  </si>
  <si>
    <t>D004141</t>
  </si>
  <si>
    <t>saiman</t>
  </si>
  <si>
    <t>NF Дала TX П СА4У-Э720 (3x220/380V 5-7,5A)</t>
  </si>
  <si>
    <t>NF</t>
  </si>
  <si>
    <t>multimetre</t>
  </si>
  <si>
    <t>D003581</t>
  </si>
  <si>
    <t>EMM-04 MULTIMETER</t>
  </si>
  <si>
    <t>285127</t>
  </si>
  <si>
    <t>Промежуточное реле JZX-22F 2 конт. 5А 220В AC</t>
  </si>
  <si>
    <t>285978</t>
  </si>
  <si>
    <t>Розетка CZY08B-01 для NJDC-17/2ZS, JZX-22F/(D)  и JSZ6.  2 конт. 5А (R)</t>
  </si>
  <si>
    <t>Промежуточное реле JZX-22F(B) 4 конт. с инд. LED и подавителем перенапр. 3А 24В DC (R)</t>
  </si>
  <si>
    <t>Розетка CZY14A для JZX-22F(D) 4 контакта</t>
  </si>
  <si>
    <t>D005041</t>
  </si>
  <si>
    <t>Однофазный трансформатор  NDK-50VA 400 230/24 0 24 IEC (R)</t>
  </si>
  <si>
    <t>Индикатор ND16-22D/2 зеленый AC/DC230В (R)</t>
  </si>
  <si>
    <t>D002865</t>
  </si>
  <si>
    <t>574847</t>
  </si>
  <si>
    <t>Переключатель NP2-BD21, 2 положения с фиксацией, 1НО IP40</t>
  </si>
  <si>
    <t>D002868</t>
  </si>
  <si>
    <t>Переключатель NP2-BD33, 3 положения с фиксацией, 2НО IP40</t>
  </si>
  <si>
    <t>Реле контроля фаз NJB1-X AC380V (R)</t>
  </si>
  <si>
    <t>310008</t>
  </si>
  <si>
    <t>D003469</t>
  </si>
  <si>
    <t xml:space="preserve">                Шина "N" нулевая ШНК  L+PEN  2х7  100А на DIN-рейку в корпусе  UNIT NEW</t>
  </si>
  <si>
    <t>130200397_</t>
  </si>
  <si>
    <t>D004385</t>
  </si>
  <si>
    <t>dagitim kutusu</t>
  </si>
  <si>
    <t>faz kontrol</t>
  </si>
  <si>
    <t>bara</t>
  </si>
  <si>
    <t>D002808</t>
  </si>
  <si>
    <t>130300473_</t>
  </si>
  <si>
    <t xml:space="preserve">                Шина медн.3х20х4000</t>
  </si>
  <si>
    <t>kablo</t>
  </si>
  <si>
    <t>D000703</t>
  </si>
  <si>
    <t>KABLO PVZ (NYAF -KAHVERENGI) 1*0,75 (PROJEKTOR ICI</t>
  </si>
  <si>
    <t>M</t>
  </si>
  <si>
    <t>D000710</t>
  </si>
  <si>
    <t>KABLO PVZ 1*2,5(KAHVERENGI)</t>
  </si>
  <si>
    <t>D002794</t>
  </si>
  <si>
    <t>Kablo PVZ 1*4</t>
  </si>
  <si>
    <t>D001688</t>
  </si>
  <si>
    <t>KABLO PV3 1*6</t>
  </si>
  <si>
    <t>D002721</t>
  </si>
  <si>
    <t>PROVOD PVZ 1X10</t>
  </si>
  <si>
    <t>D002720</t>
  </si>
  <si>
    <t>PROVOD PVZ 1X25</t>
  </si>
  <si>
    <t>pabuc</t>
  </si>
  <si>
    <t>D002925</t>
  </si>
  <si>
    <t>311100816_</t>
  </si>
  <si>
    <t xml:space="preserve">                 Наконечник НШВИ 1,0-12 изолированный 79439 (100шт) КВТ NEW</t>
  </si>
  <si>
    <t>D002924</t>
  </si>
  <si>
    <t>311100821_</t>
  </si>
  <si>
    <t xml:space="preserve">                 Наконечник НШВИ 2,5-12 изолированный 79444 (100шт) КВТ NEW</t>
  </si>
  <si>
    <t>D002923</t>
  </si>
  <si>
    <t>260100138_</t>
  </si>
  <si>
    <t xml:space="preserve">                 Наконечник медно-луженный JG -   6  IEK (600)</t>
  </si>
  <si>
    <t>D002922</t>
  </si>
  <si>
    <t>D002784</t>
  </si>
  <si>
    <t>311100828_</t>
  </si>
  <si>
    <t xml:space="preserve">                 Наконечник НШВИ 10-12 изолированный 79451 (100шт) КВТ NEW</t>
  </si>
  <si>
    <t>D002785</t>
  </si>
  <si>
    <t>260100167_</t>
  </si>
  <si>
    <t xml:space="preserve">                 Наконечник медно-луженный JG -  25  IEK (200)</t>
  </si>
  <si>
    <t>yuzuk</t>
  </si>
  <si>
    <t>D002927</t>
  </si>
  <si>
    <t>311101120_</t>
  </si>
  <si>
    <t xml:space="preserve">                Наконечник кольцевой НКИ 6,0- 6 серия ПРОФИ (100шт) 47482 КВТ NEW</t>
  </si>
  <si>
    <t>D002741</t>
  </si>
  <si>
    <t>130301505_</t>
  </si>
  <si>
    <t xml:space="preserve">                    Наконечник ТА  25- 8-7 44845 КВТ NEW </t>
  </si>
  <si>
    <t>kablo kanali</t>
  </si>
  <si>
    <t>D003722</t>
  </si>
  <si>
    <t>270300079_</t>
  </si>
  <si>
    <t xml:space="preserve">                Кабель.канал перф.  25х40 ИМПАКТ IEK (60)</t>
  </si>
  <si>
    <t>D003721</t>
  </si>
  <si>
    <t>270300105_</t>
  </si>
  <si>
    <t xml:space="preserve">                Кабель.канал перф.  40х60 ИМПАКТ IEK (24)</t>
  </si>
  <si>
    <t>D002834</t>
  </si>
  <si>
    <t>270300150_</t>
  </si>
  <si>
    <t xml:space="preserve">                Кабель.канал перф.  60х60 ИМПАКТ IEK (16)</t>
  </si>
  <si>
    <t>sm izol</t>
  </si>
  <si>
    <t>D002791</t>
  </si>
  <si>
    <t>130500106_</t>
  </si>
  <si>
    <t xml:space="preserve">                Изолятор SM40 с болтом (М8) 475А 12кВ UNIT (10/200)</t>
  </si>
  <si>
    <t>lamba</t>
  </si>
  <si>
    <t>117-03300</t>
  </si>
  <si>
    <t>Sv-k LED FX T5 5W 6500K + aksessuary (TEKLED) 25</t>
  </si>
  <si>
    <t>teksan m</t>
  </si>
  <si>
    <t>switch</t>
  </si>
  <si>
    <t>D004444</t>
  </si>
  <si>
    <t>WS-1011B 1NC KAPI SWITCH</t>
  </si>
  <si>
    <t>WS-1011B 1NC KAPI SWITCH-KAHVERENGI</t>
  </si>
  <si>
    <t>D kodu</t>
  </si>
  <si>
    <t>256052</t>
  </si>
  <si>
    <t>Контактор модульный NCH8-20/11 20A 1НО+1НЗ AC220/230В 50Гц (R)</t>
  </si>
  <si>
    <t>308602</t>
  </si>
  <si>
    <t>Ограничитель имп. перенапр. NXU-I+II 4P In=25kA Uc=385B Im=50kA (R)</t>
  </si>
  <si>
    <t>257418</t>
  </si>
  <si>
    <t>Контактор модульный с ручн. упр. NCH8-25M/20 AC220-240V 50/60Гц (R)</t>
  </si>
  <si>
    <t>Переключатель фаз автоматический PF-431</t>
  </si>
  <si>
    <t>000-00-9-305</t>
  </si>
  <si>
    <t>f&amp;f</t>
  </si>
  <si>
    <t>296705</t>
  </si>
  <si>
    <t>Авт. выкл. NXB-63S 1P 2А 4.5kA х-ка C (R)</t>
  </si>
  <si>
    <t>105540</t>
  </si>
  <si>
    <t>Диф. авт. выкл. NXBLE-63Y 1P+N 6А 30mA электронный тип AС, х-ка С, 4.5kA (R)</t>
  </si>
  <si>
    <t>539872</t>
  </si>
  <si>
    <t>Диф. авт. выкл. NXBLE-63YH 3P+N C40 30mA тип A, 6kA (R)</t>
  </si>
  <si>
    <t>539890</t>
  </si>
  <si>
    <t>Диф. авт. выкл. NXBLE-63YH 3P+N C63 30mA тип A, 6kA (R)</t>
  </si>
  <si>
    <t>296909</t>
  </si>
  <si>
    <t>Авт. выкл. NXB-63S 4P 40А 4.5kA х-ка C (R)</t>
  </si>
  <si>
    <t>bobin</t>
  </si>
  <si>
    <t>ЩС (260108 AKMIR SULTANRABAT)</t>
  </si>
  <si>
    <t>131362</t>
  </si>
  <si>
    <t>Авт. выкл. NXM-125S/3Р 100A 25кА (R)</t>
  </si>
  <si>
    <t>946996</t>
  </si>
  <si>
    <t>Независимый расцепитель SHT-M1 A1 L для NXM-125(63)/NXMLE-125 AC230V (левый) (R)</t>
  </si>
  <si>
    <t>403017</t>
  </si>
  <si>
    <t>Откидной выключатель-разъединитель NHR17, 3P, 100А, с вспомогательными контактами</t>
  </si>
  <si>
    <t>270300099_</t>
  </si>
  <si>
    <t xml:space="preserve">              Трансформатор тока ТТИ-А  100/5А  5ВА  класс 0,5  IEK</t>
  </si>
  <si>
    <t>Дала TX П СА4-Э720 (3x220/380V 10-100A)</t>
  </si>
  <si>
    <t>NY</t>
  </si>
  <si>
    <t>296831</t>
  </si>
  <si>
    <t>Авт. выкл. NXB-63S 3P 40А 4.5kA х-ка C (R)</t>
  </si>
  <si>
    <t>ШТ.</t>
  </si>
  <si>
    <t>pys</t>
  </si>
  <si>
    <t>tt</t>
  </si>
  <si>
    <t>rubilnik</t>
  </si>
  <si>
    <t>bh</t>
  </si>
  <si>
    <t>Трансформатор тока Т-66 200/5А</t>
  </si>
  <si>
    <t>393263</t>
  </si>
  <si>
    <t>Выключатель-разъединитель NH40-200/3, 3P, 200А, стандартная рукоятка управления</t>
  </si>
  <si>
    <t>593076</t>
  </si>
  <si>
    <t>Индикатор ND16-22D/2 желтый AC/DC230В (R)</t>
  </si>
  <si>
    <t>593077</t>
  </si>
  <si>
    <t>593075</t>
  </si>
  <si>
    <t>Индикатор ND16-22D/2 красный AC/DC230В (R)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</si>
  <si>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</si>
  <si>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</si>
  <si>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</si>
  <si>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</si>
  <si>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521338</t>
  </si>
  <si>
    <t>Плавкая вставка предохранителя RT36-00-160, габарит 00, 16А</t>
  </si>
  <si>
    <t>521345</t>
  </si>
  <si>
    <t>Плавкая вставка предохранителя RT36-00-160, габарит 00, 50А</t>
  </si>
  <si>
    <t>521340</t>
  </si>
  <si>
    <t>Плавкая вставка предохранителя RT36-00-160, габарит 00, 25А</t>
  </si>
  <si>
    <t>521347</t>
  </si>
  <si>
    <t>Плавкая вставка предохранителя RT36-00-160, габарит 00, 63А</t>
  </si>
  <si>
    <t>252578</t>
  </si>
  <si>
    <t>Ограничитель имп. перенапр. NU6-IIG 4Р In=25kA Uc=440B Im=65kA (R)</t>
  </si>
  <si>
    <t>266985</t>
  </si>
  <si>
    <t>256051</t>
  </si>
  <si>
    <t>Контактор модульный NCH8-20/20 20A 2НО AC24В 50Гц (R)</t>
  </si>
  <si>
    <t>814038</t>
  </si>
  <si>
    <t>Авт. выкл. NXB-63 1P 6A 6кА х-ка B (R)</t>
  </si>
  <si>
    <t>F&amp;F LE-03MW</t>
  </si>
  <si>
    <t>256235</t>
  </si>
  <si>
    <t>Контактор модульный NCH8-25/20 25A 2НО AC220/230В 50Гц (R)</t>
  </si>
  <si>
    <t>573835</t>
  </si>
  <si>
    <t>Кнопка управления "Грибок" Φ30мм (2) с фиксации NP2-BS445 без подсветки красная 1НЗ +1НО IP40</t>
  </si>
  <si>
    <t>Е4</t>
  </si>
  <si>
    <t>MPR10-2-025</t>
  </si>
  <si>
    <t xml:space="preserve">                Рубильник  трехпозиционный ВРТ-63 2P 25А IEK !!!</t>
  </si>
  <si>
    <t>B01</t>
  </si>
  <si>
    <t>982161</t>
  </si>
  <si>
    <t>Диф. авт. выкл. NXBLE-63 4P C40 30mA тип AC 6kA (R)</t>
  </si>
  <si>
    <t>836796</t>
  </si>
  <si>
    <t>Контактор NXC-65 65A 220В/АС3 1НО+1НЗ 50Гц (R)</t>
  </si>
  <si>
    <t>836780</t>
  </si>
  <si>
    <t>Контактор NXC-40 40A 220В/АС3 1НО+1НЗ 50Гц (R)</t>
  </si>
  <si>
    <t>B1</t>
  </si>
  <si>
    <t>B2</t>
  </si>
  <si>
    <t>296826</t>
  </si>
  <si>
    <t>Авт. выкл. NXB-63S 3P 10А 4.5kA х-ка C (R)</t>
  </si>
  <si>
    <t>B3</t>
  </si>
  <si>
    <t>819981</t>
  </si>
  <si>
    <t>Диф. авт. выкл. NXBLE-63 2P C40 30mA тип AC 6kA (R)</t>
  </si>
  <si>
    <t>B4</t>
  </si>
  <si>
    <t>296813</t>
  </si>
  <si>
    <t>Авт. выкл. NXB-63S 3P 10А 4.5kA х-ка B (R)</t>
  </si>
  <si>
    <t>B5</t>
  </si>
  <si>
    <t>296814</t>
  </si>
  <si>
    <t>Авт. выкл. NXB-63S 3P 16А 4.5kA х-ка B (R)</t>
  </si>
  <si>
    <t>819977</t>
  </si>
  <si>
    <t>Диф. авт. выкл. NXBLE-63 2P C16 30mA тип AC 6kA (R)</t>
  </si>
  <si>
    <t>B6</t>
  </si>
  <si>
    <t>B7</t>
  </si>
  <si>
    <t>B8</t>
  </si>
  <si>
    <t>296696</t>
  </si>
  <si>
    <t>Авт. выкл. NXB-63S 1P 10А 4.5kA х-ка B (R)</t>
  </si>
  <si>
    <t>280792</t>
  </si>
  <si>
    <t>УЗО NXL-63 6kA 3P+N 63A 30mA AC (R)</t>
  </si>
  <si>
    <t>Промежуточное реле JZX-22F(D) 4 конт. с инд. LED 3А 220В AC (R)</t>
  </si>
  <si>
    <t>521341</t>
  </si>
  <si>
    <t>Плавкая вставка предохранителя RT36-00-160, габарит 00, 32А</t>
  </si>
  <si>
    <t>131364</t>
  </si>
  <si>
    <t>Авт. выкл. NXM-160S/3Р 160A 36кА (R)</t>
  </si>
  <si>
    <t>indicator</t>
  </si>
  <si>
    <t>pp</t>
  </si>
  <si>
    <t>ogranichitel</t>
  </si>
  <si>
    <t>contactor</t>
  </si>
  <si>
    <t>button</t>
  </si>
  <si>
    <t>697034</t>
  </si>
  <si>
    <t>Реле контроля фаз NJYB3-15 AC220V (R)</t>
  </si>
  <si>
    <t>rele</t>
  </si>
  <si>
    <t>G20B3A160</t>
  </si>
  <si>
    <t>Автоматический выключатель SE G20B3A160 GoPacT 3P 160A 25kA</t>
  </si>
  <si>
    <t>Автоматический выключатель SE A9F79306 Acti9 iC60N 3П 6А C 6кА</t>
  </si>
  <si>
    <t>A9F79306</t>
  </si>
  <si>
    <t>Автоматический выключатель SE A9F74102 Acti9 iC60N 1P 2А C 6кА</t>
  </si>
  <si>
    <t>A9F74102</t>
  </si>
  <si>
    <t>Автоматический выключатель SE A9F79106 Acti9 iC60N 1П 6А C 6кА</t>
  </si>
  <si>
    <t>A9F79106</t>
  </si>
  <si>
    <t>Выключатель дифференциального тока SE EASY9 4P 63А 30мА</t>
  </si>
  <si>
    <t>EZ9R34463</t>
  </si>
  <si>
    <t>Дифференциальный автоматический выключатель SE EASY9 1P+N C 10А 30мА AC</t>
  </si>
  <si>
    <t>EZ9D34610</t>
  </si>
  <si>
    <t>Дифференциальный автоматический выключатель SE EASY9 1P+N C 16А 30мА AC</t>
  </si>
  <si>
    <t>EZ9D34616</t>
  </si>
  <si>
    <t>Автоматический выключатель SE EZ9F34310 EASY 9 3П 10А С 4.5кА 400В</t>
  </si>
  <si>
    <t>EZ9F34310</t>
  </si>
  <si>
    <t>Автоматический выключатель SE EZ9F34316 EASY 9 3П 16А С 4.5кА 400В</t>
  </si>
  <si>
    <t>EZ9F34316</t>
  </si>
  <si>
    <t>Автоматический выключатель SE EZ9F14106 EASY 9 1П 6А В 4.5кА 230В</t>
  </si>
  <si>
    <t>EZ9F14106</t>
  </si>
  <si>
    <t>Автоматический выключатель SE EZ9F34116 EASY 9 1П 16А С 4.5кА 230В</t>
  </si>
  <si>
    <t>EZ9F34116</t>
  </si>
  <si>
    <t>Автоматический выключатель SE EZ9F34110 EASY 9 1П 10А С 4.5кА 230В</t>
  </si>
  <si>
    <t>EZ9F34110</t>
  </si>
  <si>
    <t>Контактор модульный SE A9C20532 iCT25A 2НО 220В АС</t>
  </si>
  <si>
    <t>A9C20532</t>
  </si>
  <si>
    <t>Контактор модульный SE EZ9C32220 20A 2НО 230/250В АС 50ГЦ</t>
  </si>
  <si>
    <t>EZ9C32220</t>
  </si>
  <si>
    <t>Реле мультифункциональное SE RM35TF30 контроля фаз</t>
  </si>
  <si>
    <t>RM35TF30</t>
  </si>
  <si>
    <t>Сигнальная лампа SE XB7EV04BP 22мм 24В красная</t>
  </si>
  <si>
    <t>XB7EV04BP</t>
  </si>
  <si>
    <t>Сигнальная лампа SE XB7EV03MP 22мм 230В зелёная</t>
  </si>
  <si>
    <t>XB7EV03MP</t>
  </si>
  <si>
    <t>Сигнальная лампа SE XB7EV05MP 22мм 230В жёлтая</t>
  </si>
  <si>
    <t>XB7EV05MP</t>
  </si>
  <si>
    <t>Контактор SE LC1E65M5 65А 1НО+1НЗ 220В 50ГЦ</t>
  </si>
  <si>
    <t>LC1E65M5</t>
  </si>
  <si>
    <t>Контактор SE LC1E40M5 40А 1НО+1НЗ 220В 50ГЦ</t>
  </si>
  <si>
    <t>LC1E40M5</t>
  </si>
  <si>
    <t>Реле интерфейсное RXM SE RXM4AB2P7 светодиод 6А 230В перем. тока 4CO</t>
  </si>
  <si>
    <t>RXM4AB2P7</t>
  </si>
  <si>
    <t>Автоматический выключатель SE EZ9F34340 EASY 9 3П 40А С 4.5кА 400В</t>
  </si>
  <si>
    <t>EZ9F34340</t>
  </si>
  <si>
    <t>Автоматический выключатель SE A9F79363 Acti9 iC60N 3P 63А C 6кА</t>
  </si>
  <si>
    <t>A9F79363</t>
  </si>
  <si>
    <t>Автоматический выключатель SE A9F79350 Acti9 iC60N 3П 50А C 6кА</t>
  </si>
  <si>
    <t>A9F79350</t>
  </si>
  <si>
    <t>Автоматический выключатель SE A9F79332 Acti9 iC60N 3П 32А C 6кА</t>
  </si>
  <si>
    <t>A9F79332</t>
  </si>
  <si>
    <t>Автоматический выключатель SE G20B3A100 GoPacT 3P 100A 25kA</t>
  </si>
  <si>
    <t>G20B3A100</t>
  </si>
  <si>
    <t>Автоматический выключатель SE R9F12316 (АВ) 3P С 16А 6 kA</t>
  </si>
  <si>
    <t>R9F12316</t>
  </si>
  <si>
    <t>Автоматический выключатель SE R9F12116 (АВ) 1P С 16А 6 kA</t>
  </si>
  <si>
    <t xml:space="preserve"> R9F12116</t>
  </si>
  <si>
    <t>Автоматический выключатель SE R9F12325 (АВ) 3P С 25А 6 kA</t>
  </si>
  <si>
    <t> R9F12325</t>
  </si>
  <si>
    <t>Автоматический выключатель SE R9F12125 (АВ) 1P С 25А 6 kA</t>
  </si>
  <si>
    <t>R9F12125</t>
  </si>
  <si>
    <t>schneider</t>
  </si>
  <si>
    <t>uzo</t>
  </si>
  <si>
    <t>Кнопка аварийного останова SE XB5AS8445 22 мм с возвратом</t>
  </si>
  <si>
    <t>XB5AS8445</t>
  </si>
  <si>
    <t>105523</t>
  </si>
  <si>
    <t>Диф. авт. выкл. NXBLE-63Y 1P+N 10А 10mA электронный тип AС, х-ка С, 4.5kA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</si>
</sst>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2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8"/>
      <color rgb="FF000000"/>
      <name val="Arial"/>
      <family val="2"/>
      <charset val="204"/>
    </font>
    <font>
      <sz val="18"/>
      <color theme="0"/>
      <name val="Arial"/>
      <family val="2"/>
      <charset val="204"/>
    </font>
    <font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204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vertical="top"/>
    </xf>
    <xf numFmtId="0" fontId="14" fillId="5" borderId="0" xfId="0" applyFont="1" applyFill="1"/>
    <xf numFmtId="165" fontId="15" fillId="5" borderId="0" xfId="0" applyNumberFormat="1" applyFont="1" applyFill="1"/>
    <xf numFmtId="3" fontId="9" fillId="2" borderId="1" xfId="0" applyNumberFormat="1" applyFont="1" applyFill="1" applyBorder="1" applyAlignment="1">
      <alignment horizontal="center" vertical="center" wrapText="1"/>
    </xf>
    <xf numFmtId="3" fontId="10" fillId="6" borderId="1" xfId="1" applyNumberFormat="1" applyFont="1" applyFill="1" applyBorder="1" applyAlignment="1" applyProtection="1">
      <alignment horizontal="center" vertical="center" wrapText="1"/>
    </xf>
    <xf numFmtId="3" fontId="10" fillId="4" borderId="1" xfId="1" applyNumberFormat="1" applyFont="1" applyFill="1" applyBorder="1" applyAlignment="1" applyProtection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/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 applyProtection="1">
      <alignment horizontal="center" vertical="center" wrapText="1"/>
    </xf>
    <xf numFmtId="0" fontId="16" fillId="2" borderId="1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16" fillId="6" borderId="1" xfId="1" applyNumberFormat="1" applyFont="1" applyFill="1" applyBorder="1" applyAlignment="1" applyProtection="1">
      <alignment horizontal="center" vertical="center" wrapText="1"/>
    </xf>
    <xf numFmtId="165" fontId="16" fillId="6" borderId="1" xfId="1" applyNumberFormat="1" applyFont="1" applyFill="1" applyBorder="1" applyAlignment="1" applyProtection="1">
      <alignment horizontal="center" vertical="center"/>
    </xf>
    <xf numFmtId="166" fontId="16" fillId="6" borderId="1" xfId="1" applyNumberFormat="1" applyFont="1" applyFill="1" applyBorder="1" applyAlignment="1" applyProtection="1">
      <alignment horizontal="center" vertical="center" wrapText="1"/>
    </xf>
    <xf numFmtId="0" fontId="16" fillId="6" borderId="1" xfId="1" applyNumberFormat="1" applyFont="1" applyFill="1" applyBorder="1" applyAlignment="1" applyProtection="1">
      <alignment horizontal="center" vertical="center"/>
    </xf>
    <xf numFmtId="165" fontId="16" fillId="6" borderId="1" xfId="1" applyNumberFormat="1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3" fontId="16" fillId="4" borderId="1" xfId="1" applyNumberFormat="1" applyFont="1" applyFill="1" applyBorder="1" applyAlignment="1" applyProtection="1">
      <alignment horizontal="center" vertical="center" wrapText="1"/>
    </xf>
    <xf numFmtId="165" fontId="16" fillId="4" borderId="1" xfId="1" applyNumberFormat="1" applyFont="1" applyFill="1" applyBorder="1" applyAlignment="1" applyProtection="1">
      <alignment horizontal="center" vertical="center"/>
    </xf>
    <xf numFmtId="0" fontId="16" fillId="4" borderId="1" xfId="1" applyNumberFormat="1" applyFont="1" applyFill="1" applyBorder="1" applyAlignment="1" applyProtection="1">
      <alignment horizontal="center" vertical="center"/>
    </xf>
    <xf numFmtId="165" fontId="16" fillId="4" borderId="1" xfId="1" applyNumberFormat="1" applyFont="1" applyFill="1" applyBorder="1" applyAlignment="1" applyProtection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20" fillId="0" borderId="1" xfId="0" quotePrefix="1" applyNumberFormat="1" applyFont="1" applyBorder="1" applyAlignment="1">
      <alignment horizontal="center" vertical="center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3" fontId="17" fillId="5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zoomScale="55" zoomScaleNormal="55" workbookViewId="0">
      <pane ySplit="1" topLeftCell="A2" activePane="bottomLeft" state="frozen"/>
      <selection pane="bottomLeft" activeCell="A7" sqref="A1:L68"/>
    </sheetView>
  </sheetViews>
  <sheetFormatPr defaultColWidth="8.42578125" defaultRowHeight="21" x14ac:dyDescent="0.25"/>
  <cols>
    <col min="1" max="1" width="33.140625" style="1" customWidth="1"/>
    <col min="2" max="2" width="17.28515625" style="1" customWidth="1"/>
    <col min="3" max="3" width="27.7109375" style="1" customWidth="1"/>
    <col min="4" max="4" width="24.7109375" style="27" customWidth="1"/>
    <col min="5" max="5" width="126.5703125" style="2" customWidth="1"/>
    <col min="6" max="6" width="32.42578125" style="1" customWidth="1"/>
    <col min="7" max="7" width="24.5703125" style="10" customWidth="1"/>
    <col min="8" max="8" width="24.7109375" style="1" customWidth="1"/>
    <col min="9" max="9" width="13" style="11" customWidth="1"/>
    <col min="10" max="10" width="23.140625" style="1" bestFit="1" customWidth="1"/>
    <col min="11" max="11" width="32.42578125" style="1" bestFit="1" customWidth="1"/>
    <col min="12" max="12" width="13" style="11" customWidth="1"/>
    <col min="13" max="16384" width="8.42578125" style="1"/>
  </cols>
  <sheetData>
    <row r="1" spans="1:12" s="2" customFormat="1" ht="93" customHeight="1" x14ac:dyDescent="0.25">
      <c r="A1" s="3" t="s">
        <v>2</v>
      </c>
      <c r="B1" s="3" t="s">
        <v>0</v>
      </c>
      <c r="C1" s="3" t="s">
        <v>156</v>
      </c>
      <c r="D1" s="23" t="s">
        <v>1</v>
      </c>
      <c r="E1" s="3" t="s">
        <v>14</v>
      </c>
      <c r="F1" s="3" t="s">
        <v>3</v>
      </c>
      <c r="G1" s="3" t="s">
        <v>3</v>
      </c>
      <c r="H1" s="5" t="s">
        <v>6</v>
      </c>
      <c r="I1" s="6" t="s">
        <v>15</v>
      </c>
      <c r="J1" s="6" t="s">
        <v>4</v>
      </c>
      <c r="K1" s="6" t="s">
        <v>5</v>
      </c>
      <c r="L1" s="6"/>
    </row>
    <row r="2" spans="1:12" s="2" customFormat="1" ht="39" customHeight="1" x14ac:dyDescent="0.25">
      <c r="A2" s="13" t="str">
        <f>E2</f>
        <v>ЩС (260108 AKMIR SULTANRABAT)</v>
      </c>
      <c r="B2" s="14"/>
      <c r="C2" s="13"/>
      <c r="D2" s="24"/>
      <c r="E2" s="14" t="s">
        <v>177</v>
      </c>
      <c r="F2" s="16">
        <f>2.145*H68</f>
        <v>2949498.7128750002</v>
      </c>
      <c r="G2" s="16">
        <f>2.145*H68</f>
        <v>2949498.7128750002</v>
      </c>
      <c r="H2" s="17">
        <f>G2*I2</f>
        <v>2949498.7128750002</v>
      </c>
      <c r="I2" s="18">
        <v>1</v>
      </c>
      <c r="J2" s="15" t="s">
        <v>7</v>
      </c>
      <c r="K2" s="14" t="s">
        <v>9</v>
      </c>
      <c r="L2" s="18"/>
    </row>
    <row r="3" spans="1:12" s="2" customFormat="1" ht="39" customHeight="1" x14ac:dyDescent="0.25">
      <c r="A3" s="4" t="str">
        <f>A2</f>
        <v>ЩС (260108 AKMIR SULTANRABAT)</v>
      </c>
      <c r="B3" s="12" t="s">
        <v>8</v>
      </c>
      <c r="C3" s="4"/>
      <c r="D3" s="25" t="s">
        <v>57</v>
      </c>
      <c r="E3" s="4" t="s">
        <v>58</v>
      </c>
      <c r="F3" s="12">
        <v>181700</v>
      </c>
      <c r="G3" s="8">
        <f>0.6*F3</f>
        <v>109020</v>
      </c>
      <c r="H3" s="8">
        <f t="shared" ref="H3:H66" si="0">I3*G3</f>
        <v>109020</v>
      </c>
      <c r="I3" s="9">
        <v>1</v>
      </c>
      <c r="J3" s="7" t="s">
        <v>13</v>
      </c>
      <c r="K3" s="12" t="s">
        <v>16</v>
      </c>
      <c r="L3" s="9"/>
    </row>
    <row r="4" spans="1:12" s="2" customFormat="1" ht="39" customHeight="1" x14ac:dyDescent="0.25">
      <c r="A4" s="4" t="str">
        <f>A3</f>
        <v>ЩС (260108 AKMIR SULTANRABAT)</v>
      </c>
      <c r="B4" s="12" t="s">
        <v>8</v>
      </c>
      <c r="C4" s="4"/>
      <c r="D4" s="25" t="s">
        <v>59</v>
      </c>
      <c r="E4" s="4" t="s">
        <v>60</v>
      </c>
      <c r="F4" s="12">
        <v>122010</v>
      </c>
      <c r="G4" s="8">
        <f>0.6*F4</f>
        <v>73206</v>
      </c>
      <c r="H4" s="8">
        <f t="shared" si="0"/>
        <v>73206</v>
      </c>
      <c r="I4" s="9">
        <v>1</v>
      </c>
      <c r="J4" s="7" t="s">
        <v>13</v>
      </c>
      <c r="K4" s="12" t="s">
        <v>16</v>
      </c>
      <c r="L4" s="9"/>
    </row>
    <row r="5" spans="1:12" s="2" customFormat="1" ht="39" customHeight="1" x14ac:dyDescent="0.25">
      <c r="A5" s="4" t="str">
        <f>A3</f>
        <v>ЩС (260108 AKMIR SULTANRABAT)</v>
      </c>
      <c r="B5" s="12" t="s">
        <v>20</v>
      </c>
      <c r="C5" s="4"/>
      <c r="D5" s="25" t="s">
        <v>178</v>
      </c>
      <c r="E5" s="4" t="s">
        <v>179</v>
      </c>
      <c r="F5" s="12">
        <v>18517</v>
      </c>
      <c r="G5" s="8">
        <f>0.6*F5</f>
        <v>11110.199999999999</v>
      </c>
      <c r="H5" s="8">
        <f t="shared" si="0"/>
        <v>11110.199999999999</v>
      </c>
      <c r="I5" s="9">
        <v>1</v>
      </c>
      <c r="J5" s="7" t="s">
        <v>13</v>
      </c>
      <c r="K5" s="12" t="s">
        <v>17</v>
      </c>
      <c r="L5" s="9"/>
    </row>
    <row r="6" spans="1:12" s="2" customFormat="1" ht="39" customHeight="1" x14ac:dyDescent="0.25">
      <c r="A6" s="4" t="str">
        <f>A4</f>
        <v>ЩС (260108 AKMIR SULTANRABAT)</v>
      </c>
      <c r="B6" s="12" t="s">
        <v>176</v>
      </c>
      <c r="C6" s="4"/>
      <c r="D6" s="25" t="s">
        <v>180</v>
      </c>
      <c r="E6" s="4" t="s">
        <v>181</v>
      </c>
      <c r="F6" s="12">
        <v>5878</v>
      </c>
      <c r="G6" s="8">
        <f t="shared" ref="G6:G7" si="1">0.6*F6</f>
        <v>3526.7999999999997</v>
      </c>
      <c r="H6" s="8">
        <f t="shared" si="0"/>
        <v>3526.7999999999997</v>
      </c>
      <c r="I6" s="9">
        <v>1</v>
      </c>
      <c r="J6" s="7" t="s">
        <v>13</v>
      </c>
      <c r="K6" s="12" t="s">
        <v>17</v>
      </c>
      <c r="L6" s="9"/>
    </row>
    <row r="7" spans="1:12" s="19" customFormat="1" ht="44.25" customHeight="1" x14ac:dyDescent="0.35">
      <c r="A7" s="4" t="str">
        <f>A4</f>
        <v>ЩС (260108 AKMIR SULTANRABAT)</v>
      </c>
      <c r="B7" s="4" t="s">
        <v>62</v>
      </c>
      <c r="C7" s="4" t="s">
        <v>63</v>
      </c>
      <c r="D7" s="26" t="s">
        <v>182</v>
      </c>
      <c r="E7" s="4" t="s">
        <v>183</v>
      </c>
      <c r="F7" s="12">
        <v>30049</v>
      </c>
      <c r="G7" s="8">
        <f t="shared" si="1"/>
        <v>18029.399999999998</v>
      </c>
      <c r="H7" s="8">
        <f t="shared" si="0"/>
        <v>18029.399999999998</v>
      </c>
      <c r="I7" s="4">
        <v>1</v>
      </c>
      <c r="J7" s="4" t="s">
        <v>13</v>
      </c>
      <c r="K7" s="12" t="s">
        <v>17</v>
      </c>
      <c r="L7" s="4">
        <v>1</v>
      </c>
    </row>
    <row r="8" spans="1:12" s="19" customFormat="1" ht="44.25" customHeight="1" x14ac:dyDescent="0.35">
      <c r="A8" s="4" t="str">
        <f>A5</f>
        <v>ЩС (260108 AKMIR SULTANRABAT)</v>
      </c>
      <c r="B8" s="4" t="s">
        <v>24</v>
      </c>
      <c r="C8" s="4"/>
      <c r="D8" s="26" t="s">
        <v>66</v>
      </c>
      <c r="E8" s="4" t="s">
        <v>65</v>
      </c>
      <c r="F8" s="4">
        <v>40000</v>
      </c>
      <c r="G8" s="8">
        <f>F8</f>
        <v>40000</v>
      </c>
      <c r="H8" s="8">
        <f t="shared" si="0"/>
        <v>40000</v>
      </c>
      <c r="I8" s="4">
        <v>1</v>
      </c>
      <c r="J8" s="4" t="s">
        <v>13</v>
      </c>
      <c r="K8" s="4" t="s">
        <v>64</v>
      </c>
      <c r="L8" s="4"/>
    </row>
    <row r="9" spans="1:12" s="19" customFormat="1" ht="44.25" customHeight="1" x14ac:dyDescent="0.35">
      <c r="A9" s="4" t="str">
        <f>A6</f>
        <v>ЩС (260108 AKMIR SULTANRABAT)</v>
      </c>
      <c r="B9" s="4" t="s">
        <v>24</v>
      </c>
      <c r="C9" s="4"/>
      <c r="D9" s="26" t="s">
        <v>187</v>
      </c>
      <c r="E9" s="4" t="s">
        <v>186</v>
      </c>
      <c r="F9" s="4">
        <v>45000</v>
      </c>
      <c r="G9" s="8">
        <f>F9</f>
        <v>45000</v>
      </c>
      <c r="H9" s="8">
        <f t="shared" si="0"/>
        <v>90000</v>
      </c>
      <c r="I9" s="4">
        <v>2</v>
      </c>
      <c r="J9" s="4" t="s">
        <v>13</v>
      </c>
      <c r="K9" s="4" t="s">
        <v>64</v>
      </c>
      <c r="L9" s="4">
        <v>2</v>
      </c>
    </row>
    <row r="10" spans="1:12" s="2" customFormat="1" ht="39" customHeight="1" x14ac:dyDescent="0.25">
      <c r="A10" s="4" t="str">
        <f>A7</f>
        <v>ЩС (260108 AKMIR SULTANRABAT)</v>
      </c>
      <c r="B10" s="4" t="s">
        <v>21</v>
      </c>
      <c r="C10" s="4"/>
      <c r="D10" s="25" t="s">
        <v>184</v>
      </c>
      <c r="E10" s="4" t="s">
        <v>185</v>
      </c>
      <c r="F10" s="12">
        <v>5300</v>
      </c>
      <c r="G10" s="8">
        <f t="shared" ref="G10:G11" si="2">F10</f>
        <v>5300</v>
      </c>
      <c r="H10" s="8">
        <f t="shared" si="0"/>
        <v>15900</v>
      </c>
      <c r="I10" s="9">
        <v>3</v>
      </c>
      <c r="J10" s="7" t="s">
        <v>13</v>
      </c>
      <c r="K10" s="4" t="s">
        <v>56</v>
      </c>
      <c r="L10" s="9"/>
    </row>
    <row r="11" spans="1:12" s="2" customFormat="1" ht="39" customHeight="1" x14ac:dyDescent="0.25">
      <c r="A11" s="4" t="str">
        <f>A8</f>
        <v>ЩС (260108 AKMIR SULTANRABAT)</v>
      </c>
      <c r="B11" s="4" t="s">
        <v>67</v>
      </c>
      <c r="C11" s="4"/>
      <c r="D11" s="25" t="s">
        <v>68</v>
      </c>
      <c r="E11" s="4" t="s">
        <v>69</v>
      </c>
      <c r="F11" s="12">
        <v>30000</v>
      </c>
      <c r="G11" s="8">
        <f t="shared" si="2"/>
        <v>30000</v>
      </c>
      <c r="H11" s="8">
        <f t="shared" si="0"/>
        <v>30000</v>
      </c>
      <c r="I11" s="9">
        <v>1</v>
      </c>
      <c r="J11" s="7" t="s">
        <v>13</v>
      </c>
      <c r="K11" s="4" t="s">
        <v>56</v>
      </c>
      <c r="L11" s="9"/>
    </row>
    <row r="12" spans="1:12" s="2" customFormat="1" ht="39" customHeight="1" x14ac:dyDescent="0.25">
      <c r="A12" s="4" t="str">
        <f>A10</f>
        <v>ЩС (260108 AKMIR SULTANRABAT)</v>
      </c>
      <c r="B12" s="12" t="s">
        <v>12</v>
      </c>
      <c r="C12" s="4"/>
      <c r="D12" s="25" t="s">
        <v>174</v>
      </c>
      <c r="E12" s="4" t="s">
        <v>175</v>
      </c>
      <c r="F12" s="12">
        <v>3632</v>
      </c>
      <c r="G12" s="8">
        <f t="shared" ref="G12:G30" si="3">0.6*F12</f>
        <v>2179.1999999999998</v>
      </c>
      <c r="H12" s="8">
        <f t="shared" si="0"/>
        <v>2179.1999999999998</v>
      </c>
      <c r="I12" s="9">
        <v>1</v>
      </c>
      <c r="J12" s="7" t="s">
        <v>13</v>
      </c>
      <c r="K12" s="12" t="s">
        <v>17</v>
      </c>
      <c r="L12" s="9">
        <v>1</v>
      </c>
    </row>
    <row r="13" spans="1:12" s="2" customFormat="1" ht="39" customHeight="1" x14ac:dyDescent="0.25">
      <c r="A13" s="4" t="str">
        <f>A10</f>
        <v>ЩС (260108 AKMIR SULTANRABAT)</v>
      </c>
      <c r="B13" s="12" t="s">
        <v>12</v>
      </c>
      <c r="C13" s="4"/>
      <c r="D13" s="25" t="s">
        <v>45</v>
      </c>
      <c r="E13" s="4" t="s">
        <v>46</v>
      </c>
      <c r="F13" s="12">
        <v>3280</v>
      </c>
      <c r="G13" s="8">
        <f t="shared" si="3"/>
        <v>1968</v>
      </c>
      <c r="H13" s="8">
        <f t="shared" si="0"/>
        <v>1968</v>
      </c>
      <c r="I13" s="9">
        <v>1</v>
      </c>
      <c r="J13" s="7" t="s">
        <v>13</v>
      </c>
      <c r="K13" s="12" t="s">
        <v>17</v>
      </c>
      <c r="L13" s="9">
        <v>1</v>
      </c>
    </row>
    <row r="14" spans="1:12" s="2" customFormat="1" ht="39" customHeight="1" x14ac:dyDescent="0.25">
      <c r="A14" s="4" t="str">
        <f>A11</f>
        <v>ЩС (260108 AKMIR SULTANRABAT)</v>
      </c>
      <c r="B14" s="12" t="s">
        <v>12</v>
      </c>
      <c r="C14" s="4"/>
      <c r="D14" s="25" t="s">
        <v>188</v>
      </c>
      <c r="E14" s="4" t="s">
        <v>189</v>
      </c>
      <c r="F14" s="12">
        <v>2725</v>
      </c>
      <c r="G14" s="8">
        <f t="shared" si="3"/>
        <v>1635</v>
      </c>
      <c r="H14" s="8">
        <f t="shared" si="0"/>
        <v>1635</v>
      </c>
      <c r="I14" s="9">
        <v>1</v>
      </c>
      <c r="J14" s="7" t="s">
        <v>13</v>
      </c>
      <c r="K14" s="12" t="s">
        <v>17</v>
      </c>
      <c r="L14" s="9">
        <v>1</v>
      </c>
    </row>
    <row r="15" spans="1:12" s="2" customFormat="1" ht="39" customHeight="1" x14ac:dyDescent="0.25">
      <c r="A15" s="4" t="str">
        <f>A13</f>
        <v>ЩС (260108 AKMIR SULTANRABAT)</v>
      </c>
      <c r="B15" s="12" t="s">
        <v>12</v>
      </c>
      <c r="C15" s="4"/>
      <c r="D15" s="25" t="s">
        <v>43</v>
      </c>
      <c r="E15" s="4" t="s">
        <v>44</v>
      </c>
      <c r="F15" s="12">
        <v>2358</v>
      </c>
      <c r="G15" s="8">
        <f t="shared" si="3"/>
        <v>1414.8</v>
      </c>
      <c r="H15" s="8">
        <f t="shared" si="0"/>
        <v>7074</v>
      </c>
      <c r="I15" s="9">
        <v>5</v>
      </c>
      <c r="J15" s="7" t="s">
        <v>13</v>
      </c>
      <c r="K15" s="12" t="s">
        <v>17</v>
      </c>
      <c r="L15" s="9">
        <v>5</v>
      </c>
    </row>
    <row r="16" spans="1:12" s="2" customFormat="1" ht="39" customHeight="1" x14ac:dyDescent="0.25">
      <c r="A16" s="4" t="str">
        <f>A15</f>
        <v>ЩС (260108 AKMIR SULTANRABAT)</v>
      </c>
      <c r="B16" s="12" t="s">
        <v>12</v>
      </c>
      <c r="C16" s="4"/>
      <c r="D16" s="25" t="s">
        <v>41</v>
      </c>
      <c r="E16" s="4" t="s">
        <v>42</v>
      </c>
      <c r="F16" s="12">
        <v>2269</v>
      </c>
      <c r="G16" s="8">
        <f t="shared" si="3"/>
        <v>1361.3999999999999</v>
      </c>
      <c r="H16" s="8">
        <f t="shared" si="0"/>
        <v>6806.9999999999991</v>
      </c>
      <c r="I16" s="9">
        <v>5</v>
      </c>
      <c r="J16" s="7" t="s">
        <v>13</v>
      </c>
      <c r="K16" s="12" t="s">
        <v>17</v>
      </c>
      <c r="L16" s="9">
        <v>5</v>
      </c>
    </row>
    <row r="17" spans="1:12" s="2" customFormat="1" ht="39" customHeight="1" x14ac:dyDescent="0.25">
      <c r="A17" s="4" t="str">
        <f>A15</f>
        <v>ЩС (260108 AKMIR SULTANRABAT)</v>
      </c>
      <c r="B17" s="12" t="s">
        <v>12</v>
      </c>
      <c r="C17" s="4"/>
      <c r="D17" s="25" t="s">
        <v>39</v>
      </c>
      <c r="E17" s="4" t="s">
        <v>40</v>
      </c>
      <c r="F17" s="12">
        <v>2789</v>
      </c>
      <c r="G17" s="8">
        <f t="shared" si="3"/>
        <v>1673.3999999999999</v>
      </c>
      <c r="H17" s="8">
        <f t="shared" si="0"/>
        <v>3346.7999999999997</v>
      </c>
      <c r="I17" s="9">
        <v>2</v>
      </c>
      <c r="J17" s="7" t="s">
        <v>13</v>
      </c>
      <c r="K17" s="12" t="s">
        <v>17</v>
      </c>
      <c r="L17" s="9">
        <v>2</v>
      </c>
    </row>
    <row r="18" spans="1:12" s="2" customFormat="1" ht="39" customHeight="1" x14ac:dyDescent="0.25">
      <c r="A18" s="4" t="str">
        <f>A16</f>
        <v>ЩС (260108 AKMIR SULTANRABAT)</v>
      </c>
      <c r="B18" s="12" t="s">
        <v>12</v>
      </c>
      <c r="C18" s="4"/>
      <c r="D18" s="25" t="s">
        <v>166</v>
      </c>
      <c r="E18" s="4" t="s">
        <v>167</v>
      </c>
      <c r="F18" s="12">
        <v>1054</v>
      </c>
      <c r="G18" s="8">
        <f t="shared" si="3"/>
        <v>632.4</v>
      </c>
      <c r="H18" s="8">
        <f t="shared" si="0"/>
        <v>632.4</v>
      </c>
      <c r="I18" s="9">
        <v>1</v>
      </c>
      <c r="J18" s="7" t="s">
        <v>13</v>
      </c>
      <c r="K18" s="12" t="s">
        <v>17</v>
      </c>
      <c r="L18" s="9">
        <v>1</v>
      </c>
    </row>
    <row r="19" spans="1:12" s="2" customFormat="1" ht="39" customHeight="1" x14ac:dyDescent="0.25">
      <c r="A19" s="4" t="str">
        <f>A17</f>
        <v>ЩС (260108 AKMIR SULTANRABAT)</v>
      </c>
      <c r="B19" s="12" t="s">
        <v>12</v>
      </c>
      <c r="C19" s="4"/>
      <c r="D19" s="25" t="s">
        <v>35</v>
      </c>
      <c r="E19" s="4" t="s">
        <v>36</v>
      </c>
      <c r="F19" s="12">
        <v>876</v>
      </c>
      <c r="G19" s="8">
        <f t="shared" si="3"/>
        <v>525.6</v>
      </c>
      <c r="H19" s="8">
        <f t="shared" si="0"/>
        <v>1051.2</v>
      </c>
      <c r="I19" s="9">
        <v>2</v>
      </c>
      <c r="J19" s="7" t="s">
        <v>13</v>
      </c>
      <c r="K19" s="12" t="s">
        <v>17</v>
      </c>
      <c r="L19" s="9">
        <v>2</v>
      </c>
    </row>
    <row r="20" spans="1:12" s="2" customFormat="1" ht="39" customHeight="1" x14ac:dyDescent="0.25">
      <c r="A20" s="4" t="str">
        <f>A16</f>
        <v>ЩС (260108 AKMIR SULTANRABAT)</v>
      </c>
      <c r="B20" s="12" t="s">
        <v>12</v>
      </c>
      <c r="C20" s="4"/>
      <c r="D20" s="25" t="s">
        <v>18</v>
      </c>
      <c r="E20" s="4" t="s">
        <v>19</v>
      </c>
      <c r="F20" s="12">
        <v>760</v>
      </c>
      <c r="G20" s="8">
        <f t="shared" si="3"/>
        <v>456</v>
      </c>
      <c r="H20" s="8">
        <f t="shared" si="0"/>
        <v>7296</v>
      </c>
      <c r="I20" s="9">
        <v>16</v>
      </c>
      <c r="J20" s="7" t="s">
        <v>13</v>
      </c>
      <c r="K20" s="12" t="s">
        <v>17</v>
      </c>
      <c r="L20" s="9">
        <v>16</v>
      </c>
    </row>
    <row r="21" spans="1:12" s="2" customFormat="1" ht="39" customHeight="1" x14ac:dyDescent="0.25">
      <c r="A21" s="4" t="str">
        <f>A20</f>
        <v>ЩС (260108 AKMIR SULTANRABAT)</v>
      </c>
      <c r="B21" s="12" t="s">
        <v>12</v>
      </c>
      <c r="C21" s="4"/>
      <c r="D21" s="25" t="s">
        <v>33</v>
      </c>
      <c r="E21" s="4" t="s">
        <v>34</v>
      </c>
      <c r="F21" s="12">
        <v>760</v>
      </c>
      <c r="G21" s="8">
        <f t="shared" si="3"/>
        <v>456</v>
      </c>
      <c r="H21" s="8">
        <f t="shared" si="0"/>
        <v>3648</v>
      </c>
      <c r="I21" s="9">
        <v>8</v>
      </c>
      <c r="J21" s="7" t="s">
        <v>13</v>
      </c>
      <c r="K21" s="12" t="s">
        <v>17</v>
      </c>
      <c r="L21" s="9">
        <v>8</v>
      </c>
    </row>
    <row r="22" spans="1:12" s="2" customFormat="1" ht="39" customHeight="1" x14ac:dyDescent="0.25">
      <c r="A22" s="4" t="str">
        <f>A17</f>
        <v>ЩС (260108 AKMIR SULTANRABAT)</v>
      </c>
      <c r="B22" s="12" t="s">
        <v>12</v>
      </c>
      <c r="C22" s="4"/>
      <c r="D22" s="25" t="s">
        <v>37</v>
      </c>
      <c r="E22" s="4" t="s">
        <v>38</v>
      </c>
      <c r="F22" s="12">
        <v>947</v>
      </c>
      <c r="G22" s="8">
        <f t="shared" si="3"/>
        <v>568.19999999999993</v>
      </c>
      <c r="H22" s="8">
        <f t="shared" si="0"/>
        <v>1136.3999999999999</v>
      </c>
      <c r="I22" s="9">
        <v>2</v>
      </c>
      <c r="J22" s="7" t="s">
        <v>13</v>
      </c>
      <c r="K22" s="12" t="s">
        <v>17</v>
      </c>
      <c r="L22" s="9">
        <v>2</v>
      </c>
    </row>
    <row r="23" spans="1:12" s="2" customFormat="1" ht="39" customHeight="1" x14ac:dyDescent="0.25">
      <c r="A23" s="4" t="str">
        <f>A20</f>
        <v>ЩС (260108 AKMIR SULTANRABAT)</v>
      </c>
      <c r="B23" s="12" t="s">
        <v>61</v>
      </c>
      <c r="C23" s="4"/>
      <c r="D23" s="25" t="s">
        <v>172</v>
      </c>
      <c r="E23" s="4" t="s">
        <v>173</v>
      </c>
      <c r="F23" s="12">
        <v>9917</v>
      </c>
      <c r="G23" s="8">
        <f t="shared" si="3"/>
        <v>5950.2</v>
      </c>
      <c r="H23" s="8">
        <f t="shared" si="0"/>
        <v>17850.599999999999</v>
      </c>
      <c r="I23" s="9">
        <v>3</v>
      </c>
      <c r="J23" s="7" t="s">
        <v>13</v>
      </c>
      <c r="K23" s="12" t="s">
        <v>17</v>
      </c>
      <c r="L23" s="9">
        <v>3</v>
      </c>
    </row>
    <row r="24" spans="1:12" s="2" customFormat="1" ht="39" customHeight="1" x14ac:dyDescent="0.25">
      <c r="A24" s="4" t="str">
        <f>A22</f>
        <v>ЩС (260108 AKMIR SULTANRABAT)</v>
      </c>
      <c r="B24" s="12" t="s">
        <v>61</v>
      </c>
      <c r="C24" s="4"/>
      <c r="D24" s="25" t="s">
        <v>170</v>
      </c>
      <c r="E24" s="4" t="s">
        <v>171</v>
      </c>
      <c r="F24" s="12">
        <v>11071</v>
      </c>
      <c r="G24" s="8">
        <f t="shared" si="3"/>
        <v>6642.5999999999995</v>
      </c>
      <c r="H24" s="8">
        <f t="shared" si="0"/>
        <v>6642.5999999999995</v>
      </c>
      <c r="I24" s="9">
        <v>1</v>
      </c>
      <c r="J24" s="7" t="s">
        <v>13</v>
      </c>
      <c r="K24" s="12" t="s">
        <v>17</v>
      </c>
      <c r="L24" s="9">
        <v>1</v>
      </c>
    </row>
    <row r="25" spans="1:12" s="2" customFormat="1" ht="39" customHeight="1" x14ac:dyDescent="0.25">
      <c r="A25" s="4" t="str">
        <f>A23</f>
        <v>ЩС (260108 AKMIR SULTANRABAT)</v>
      </c>
      <c r="B25" s="12" t="s">
        <v>61</v>
      </c>
      <c r="C25" s="4"/>
      <c r="D25" s="25" t="s">
        <v>53</v>
      </c>
      <c r="E25" s="4" t="s">
        <v>54</v>
      </c>
      <c r="F25" s="12">
        <v>4945</v>
      </c>
      <c r="G25" s="8">
        <f t="shared" si="3"/>
        <v>2967</v>
      </c>
      <c r="H25" s="8">
        <f t="shared" si="0"/>
        <v>53406</v>
      </c>
      <c r="I25" s="9">
        <v>18</v>
      </c>
      <c r="J25" s="7" t="s">
        <v>13</v>
      </c>
      <c r="K25" s="12" t="s">
        <v>17</v>
      </c>
      <c r="L25" s="9">
        <v>18</v>
      </c>
    </row>
    <row r="26" spans="1:12" s="2" customFormat="1" ht="39" customHeight="1" x14ac:dyDescent="0.25">
      <c r="A26" s="4" t="str">
        <f>A24</f>
        <v>ЩС (260108 AKMIR SULTANRABAT)</v>
      </c>
      <c r="B26" s="12" t="s">
        <v>61</v>
      </c>
      <c r="C26" s="4"/>
      <c r="D26" s="25" t="s">
        <v>168</v>
      </c>
      <c r="E26" s="4" t="s">
        <v>169</v>
      </c>
      <c r="F26" s="12">
        <v>5821</v>
      </c>
      <c r="G26" s="8">
        <f t="shared" si="3"/>
        <v>3492.6</v>
      </c>
      <c r="H26" s="8">
        <f t="shared" si="0"/>
        <v>27940.799999999999</v>
      </c>
      <c r="I26" s="9">
        <v>8</v>
      </c>
      <c r="J26" s="7" t="s">
        <v>13</v>
      </c>
      <c r="K26" s="12" t="s">
        <v>17</v>
      </c>
      <c r="L26" s="9">
        <v>8</v>
      </c>
    </row>
    <row r="27" spans="1:12" s="2" customFormat="1" ht="39" customHeight="1" x14ac:dyDescent="0.25">
      <c r="A27" s="4" t="str">
        <f>A22</f>
        <v>ЩС (260108 AKMIR SULTANRABAT)</v>
      </c>
      <c r="B27" s="12" t="s">
        <v>26</v>
      </c>
      <c r="C27" s="4"/>
      <c r="D27" s="25" t="s">
        <v>49</v>
      </c>
      <c r="E27" s="4" t="s">
        <v>50</v>
      </c>
      <c r="F27" s="12">
        <v>13919</v>
      </c>
      <c r="G27" s="8">
        <f t="shared" si="3"/>
        <v>8351.4</v>
      </c>
      <c r="H27" s="8">
        <f t="shared" si="0"/>
        <v>16702.8</v>
      </c>
      <c r="I27" s="9">
        <v>2</v>
      </c>
      <c r="J27" s="7" t="s">
        <v>13</v>
      </c>
      <c r="K27" s="12" t="s">
        <v>17</v>
      </c>
      <c r="L27" s="9">
        <v>2</v>
      </c>
    </row>
    <row r="28" spans="1:12" s="2" customFormat="1" ht="39" customHeight="1" x14ac:dyDescent="0.25">
      <c r="A28" s="4" t="str">
        <f>A23</f>
        <v>ЩС (260108 AKMIR SULTANRABAT)</v>
      </c>
      <c r="B28" s="12" t="s">
        <v>26</v>
      </c>
      <c r="C28" s="4"/>
      <c r="D28" s="25" t="s">
        <v>51</v>
      </c>
      <c r="E28" s="4" t="s">
        <v>52</v>
      </c>
      <c r="F28" s="12">
        <v>11041</v>
      </c>
      <c r="G28" s="8">
        <f t="shared" si="3"/>
        <v>6624.5999999999995</v>
      </c>
      <c r="H28" s="8">
        <f t="shared" si="0"/>
        <v>39747.599999999999</v>
      </c>
      <c r="I28" s="9">
        <v>6</v>
      </c>
      <c r="J28" s="7" t="s">
        <v>13</v>
      </c>
      <c r="K28" s="12" t="s">
        <v>17</v>
      </c>
      <c r="L28" s="9">
        <v>6</v>
      </c>
    </row>
    <row r="29" spans="1:12" s="2" customFormat="1" ht="39" customHeight="1" x14ac:dyDescent="0.25">
      <c r="A29" s="4" t="str">
        <f>A27</f>
        <v>ЩС (260108 AKMIR SULTANRABAT)</v>
      </c>
      <c r="B29" s="12" t="s">
        <v>26</v>
      </c>
      <c r="C29" s="4"/>
      <c r="D29" s="25" t="s">
        <v>161</v>
      </c>
      <c r="E29" s="4" t="s">
        <v>162</v>
      </c>
      <c r="F29" s="12">
        <v>8550</v>
      </c>
      <c r="G29" s="8">
        <f t="shared" si="3"/>
        <v>5130</v>
      </c>
      <c r="H29" s="8">
        <f t="shared" si="0"/>
        <v>25650</v>
      </c>
      <c r="I29" s="9">
        <v>5</v>
      </c>
      <c r="J29" s="7" t="s">
        <v>13</v>
      </c>
      <c r="K29" s="12" t="s">
        <v>17</v>
      </c>
      <c r="L29" s="9">
        <v>5</v>
      </c>
    </row>
    <row r="30" spans="1:12" s="2" customFormat="1" ht="39" customHeight="1" x14ac:dyDescent="0.25">
      <c r="A30" s="4" t="str">
        <f>A28</f>
        <v>ЩС (260108 AKMIR SULTANRABAT)</v>
      </c>
      <c r="B30" s="12" t="s">
        <v>26</v>
      </c>
      <c r="C30" s="4"/>
      <c r="D30" s="25" t="s">
        <v>157</v>
      </c>
      <c r="E30" s="4" t="s">
        <v>158</v>
      </c>
      <c r="F30" s="12">
        <v>5388</v>
      </c>
      <c r="G30" s="8">
        <f t="shared" si="3"/>
        <v>3232.7999999999997</v>
      </c>
      <c r="H30" s="8">
        <f t="shared" si="0"/>
        <v>6465.5999999999995</v>
      </c>
      <c r="I30" s="9">
        <v>2</v>
      </c>
      <c r="J30" s="7" t="s">
        <v>13</v>
      </c>
      <c r="K30" s="12" t="s">
        <v>17</v>
      </c>
      <c r="L30" s="9">
        <v>3</v>
      </c>
    </row>
    <row r="31" spans="1:12" s="2" customFormat="1" ht="39" customHeight="1" x14ac:dyDescent="0.25">
      <c r="A31" s="4" t="str">
        <f>A22</f>
        <v>ЩС (260108 AKMIR SULTANRABAT)</v>
      </c>
      <c r="B31" s="12" t="s">
        <v>22</v>
      </c>
      <c r="C31" s="4"/>
      <c r="D31" s="25" t="s">
        <v>164</v>
      </c>
      <c r="E31" s="4" t="s">
        <v>163</v>
      </c>
      <c r="F31" s="12">
        <v>30000</v>
      </c>
      <c r="G31" s="8">
        <f>F31</f>
        <v>30000</v>
      </c>
      <c r="H31" s="8">
        <f t="shared" si="0"/>
        <v>30000</v>
      </c>
      <c r="I31" s="9">
        <v>1</v>
      </c>
      <c r="J31" s="7" t="s">
        <v>13</v>
      </c>
      <c r="K31" s="12" t="s">
        <v>165</v>
      </c>
      <c r="L31" s="9">
        <v>1</v>
      </c>
    </row>
    <row r="32" spans="1:12" s="2" customFormat="1" ht="39" customHeight="1" x14ac:dyDescent="0.25">
      <c r="A32" s="4" t="str">
        <f t="shared" ref="A32:A67" si="4">A31</f>
        <v>ЩС (260108 AKMIR SULTANRABAT)</v>
      </c>
      <c r="B32" s="12" t="s">
        <v>23</v>
      </c>
      <c r="C32" s="4"/>
      <c r="D32" s="25">
        <v>593077</v>
      </c>
      <c r="E32" s="4" t="s">
        <v>78</v>
      </c>
      <c r="F32" s="12">
        <v>589</v>
      </c>
      <c r="G32" s="8">
        <f t="shared" ref="G32:G42" si="5">0.6*F32</f>
        <v>353.4</v>
      </c>
      <c r="H32" s="8">
        <f t="shared" si="0"/>
        <v>7774.7999999999993</v>
      </c>
      <c r="I32" s="9">
        <v>22</v>
      </c>
      <c r="J32" s="7" t="s">
        <v>13</v>
      </c>
      <c r="K32" s="12" t="s">
        <v>17</v>
      </c>
      <c r="L32" s="9"/>
    </row>
    <row r="33" spans="1:12" s="2" customFormat="1" ht="39" customHeight="1" x14ac:dyDescent="0.25">
      <c r="A33" s="4" t="str">
        <f t="shared" si="4"/>
        <v>ЩС (260108 AKMIR SULTANRABAT)</v>
      </c>
      <c r="B33" s="12" t="s">
        <v>25</v>
      </c>
      <c r="C33" s="4"/>
      <c r="D33" s="25" t="s">
        <v>159</v>
      </c>
      <c r="E33" s="4" t="s">
        <v>160</v>
      </c>
      <c r="F33" s="12">
        <v>56704</v>
      </c>
      <c r="G33" s="8">
        <f t="shared" si="5"/>
        <v>34022.400000000001</v>
      </c>
      <c r="H33" s="8">
        <f t="shared" si="0"/>
        <v>34022.400000000001</v>
      </c>
      <c r="I33" s="9">
        <v>1</v>
      </c>
      <c r="J33" s="7" t="s">
        <v>13</v>
      </c>
      <c r="K33" s="12" t="s">
        <v>17</v>
      </c>
      <c r="L33" s="9">
        <v>2</v>
      </c>
    </row>
    <row r="34" spans="1:12" s="2" customFormat="1" ht="39" customHeight="1" x14ac:dyDescent="0.25">
      <c r="A34" s="4" t="str">
        <f t="shared" si="4"/>
        <v>ЩС (260108 AKMIR SULTANRABAT)</v>
      </c>
      <c r="B34" s="12" t="s">
        <v>28</v>
      </c>
      <c r="C34" s="4"/>
      <c r="D34" s="25" t="s">
        <v>47</v>
      </c>
      <c r="E34" s="4" t="s">
        <v>48</v>
      </c>
      <c r="F34" s="12">
        <v>5852</v>
      </c>
      <c r="G34" s="8">
        <f t="shared" si="5"/>
        <v>3511.2</v>
      </c>
      <c r="H34" s="8">
        <f t="shared" si="0"/>
        <v>3511.2</v>
      </c>
      <c r="I34" s="9">
        <v>1</v>
      </c>
      <c r="J34" s="7" t="s">
        <v>13</v>
      </c>
      <c r="K34" s="12" t="s">
        <v>17</v>
      </c>
      <c r="L34" s="9">
        <v>1</v>
      </c>
    </row>
    <row r="35" spans="1:12" s="2" customFormat="1" ht="39" customHeight="1" x14ac:dyDescent="0.25">
      <c r="A35" s="4" t="str">
        <f t="shared" si="4"/>
        <v>ЩС (260108 AKMIR SULTANRABAT)</v>
      </c>
      <c r="B35" s="12" t="s">
        <v>29</v>
      </c>
      <c r="C35" s="4" t="s">
        <v>76</v>
      </c>
      <c r="D35" s="25">
        <v>266985</v>
      </c>
      <c r="E35" s="4" t="s">
        <v>77</v>
      </c>
      <c r="F35" s="12">
        <v>12515</v>
      </c>
      <c r="G35" s="8">
        <f t="shared" si="5"/>
        <v>7509</v>
      </c>
      <c r="H35" s="8">
        <f t="shared" si="0"/>
        <v>7509</v>
      </c>
      <c r="I35" s="9">
        <v>1</v>
      </c>
      <c r="J35" s="7" t="s">
        <v>13</v>
      </c>
      <c r="K35" s="12" t="s">
        <v>17</v>
      </c>
      <c r="L35" s="9">
        <v>1</v>
      </c>
    </row>
    <row r="36" spans="1:12" s="2" customFormat="1" ht="39" customHeight="1" x14ac:dyDescent="0.25">
      <c r="A36" s="4" t="str">
        <f t="shared" si="4"/>
        <v>ЩС (260108 AKMIR SULTANRABAT)</v>
      </c>
      <c r="B36" s="4" t="s">
        <v>30</v>
      </c>
      <c r="C36" s="4"/>
      <c r="D36" s="25">
        <v>310024</v>
      </c>
      <c r="E36" s="4" t="s">
        <v>55</v>
      </c>
      <c r="F36" s="12">
        <v>18847</v>
      </c>
      <c r="G36" s="8">
        <f t="shared" si="5"/>
        <v>11308.199999999999</v>
      </c>
      <c r="H36" s="8">
        <f t="shared" si="0"/>
        <v>33924.6</v>
      </c>
      <c r="I36" s="9">
        <v>3</v>
      </c>
      <c r="J36" s="7" t="s">
        <v>13</v>
      </c>
      <c r="K36" s="12" t="s">
        <v>17</v>
      </c>
      <c r="L36" s="9"/>
    </row>
    <row r="37" spans="1:12" s="2" customFormat="1" ht="39" customHeight="1" x14ac:dyDescent="0.25">
      <c r="A37" s="4" t="str">
        <f t="shared" si="4"/>
        <v>ЩС (260108 AKMIR SULTANRABAT)</v>
      </c>
      <c r="B37" s="12" t="s">
        <v>27</v>
      </c>
      <c r="C37" s="4" t="s">
        <v>82</v>
      </c>
      <c r="D37" s="26">
        <v>574849</v>
      </c>
      <c r="E37" s="4" t="s">
        <v>83</v>
      </c>
      <c r="F37" s="4">
        <v>1836</v>
      </c>
      <c r="G37" s="8">
        <f t="shared" si="5"/>
        <v>1101.5999999999999</v>
      </c>
      <c r="H37" s="8">
        <f t="shared" si="0"/>
        <v>7711.1999999999989</v>
      </c>
      <c r="I37" s="4">
        <v>7</v>
      </c>
      <c r="J37" s="4" t="s">
        <v>13</v>
      </c>
      <c r="K37" s="4" t="s">
        <v>17</v>
      </c>
      <c r="L37" s="4"/>
    </row>
    <row r="38" spans="1:12" s="2" customFormat="1" ht="39" customHeight="1" x14ac:dyDescent="0.25">
      <c r="A38" s="4" t="str">
        <f>A36</f>
        <v>ЩС (260108 AKMIR SULTANRABAT)</v>
      </c>
      <c r="B38" s="12" t="s">
        <v>27</v>
      </c>
      <c r="C38" s="4" t="s">
        <v>79</v>
      </c>
      <c r="D38" s="26" t="s">
        <v>80</v>
      </c>
      <c r="E38" s="4" t="s">
        <v>81</v>
      </c>
      <c r="F38" s="4">
        <v>1602</v>
      </c>
      <c r="G38" s="8">
        <f t="shared" si="5"/>
        <v>961.19999999999993</v>
      </c>
      <c r="H38" s="8">
        <f t="shared" si="0"/>
        <v>11534.4</v>
      </c>
      <c r="I38" s="4">
        <v>12</v>
      </c>
      <c r="J38" s="4" t="s">
        <v>13</v>
      </c>
      <c r="K38" s="4" t="s">
        <v>17</v>
      </c>
      <c r="L38" s="4"/>
    </row>
    <row r="39" spans="1:12" s="2" customFormat="1" ht="39" customHeight="1" x14ac:dyDescent="0.25">
      <c r="A39" s="4" t="str">
        <f t="shared" si="4"/>
        <v>ЩС (260108 AKMIR SULTANRABAT)</v>
      </c>
      <c r="B39" s="4" t="s">
        <v>31</v>
      </c>
      <c r="C39" s="4"/>
      <c r="D39" s="25">
        <v>285250</v>
      </c>
      <c r="E39" s="4" t="s">
        <v>74</v>
      </c>
      <c r="F39" s="12">
        <v>1571</v>
      </c>
      <c r="G39" s="8">
        <f t="shared" si="5"/>
        <v>942.59999999999991</v>
      </c>
      <c r="H39" s="8">
        <f t="shared" si="0"/>
        <v>4713</v>
      </c>
      <c r="I39" s="9">
        <v>5</v>
      </c>
      <c r="J39" s="7" t="s">
        <v>13</v>
      </c>
      <c r="K39" s="12" t="s">
        <v>17</v>
      </c>
      <c r="L39" s="9">
        <v>1</v>
      </c>
    </row>
    <row r="40" spans="1:12" s="2" customFormat="1" ht="39" customHeight="1" x14ac:dyDescent="0.25">
      <c r="A40" s="4" t="str">
        <f t="shared" si="4"/>
        <v>ЩС (260108 AKMIR SULTANRABAT)</v>
      </c>
      <c r="B40" s="4" t="s">
        <v>32</v>
      </c>
      <c r="C40" s="4"/>
      <c r="D40" s="26">
        <v>285976</v>
      </c>
      <c r="E40" s="4" t="s">
        <v>75</v>
      </c>
      <c r="F40" s="12">
        <v>682</v>
      </c>
      <c r="G40" s="8">
        <f t="shared" si="5"/>
        <v>409.2</v>
      </c>
      <c r="H40" s="8">
        <f t="shared" si="0"/>
        <v>2046</v>
      </c>
      <c r="I40" s="9">
        <v>5</v>
      </c>
      <c r="J40" s="7" t="s">
        <v>13</v>
      </c>
      <c r="K40" s="12" t="s">
        <v>17</v>
      </c>
      <c r="L40" s="9">
        <v>1</v>
      </c>
    </row>
    <row r="41" spans="1:12" s="2" customFormat="1" ht="39" customHeight="1" x14ac:dyDescent="0.25">
      <c r="A41" s="4" t="str">
        <f t="shared" si="4"/>
        <v>ЩС (260108 AKMIR SULTANRABAT)</v>
      </c>
      <c r="B41" s="4" t="s">
        <v>31</v>
      </c>
      <c r="C41" s="4"/>
      <c r="D41" s="25" t="s">
        <v>70</v>
      </c>
      <c r="E41" s="4" t="s">
        <v>71</v>
      </c>
      <c r="F41" s="12">
        <v>1229</v>
      </c>
      <c r="G41" s="8">
        <f t="shared" si="5"/>
        <v>737.4</v>
      </c>
      <c r="H41" s="8">
        <f t="shared" si="0"/>
        <v>1474.8</v>
      </c>
      <c r="I41" s="9">
        <v>2</v>
      </c>
      <c r="J41" s="7" t="s">
        <v>13</v>
      </c>
      <c r="K41" s="12" t="s">
        <v>17</v>
      </c>
      <c r="L41" s="9"/>
    </row>
    <row r="42" spans="1:12" s="2" customFormat="1" ht="39" customHeight="1" x14ac:dyDescent="0.25">
      <c r="A42" s="4" t="str">
        <f>A41</f>
        <v>ЩС (260108 AKMIR SULTANRABAT)</v>
      </c>
      <c r="B42" s="4" t="s">
        <v>32</v>
      </c>
      <c r="C42" s="4"/>
      <c r="D42" s="26" t="s">
        <v>72</v>
      </c>
      <c r="E42" s="4" t="s">
        <v>73</v>
      </c>
      <c r="F42" s="12">
        <v>1154</v>
      </c>
      <c r="G42" s="8">
        <f t="shared" si="5"/>
        <v>692.4</v>
      </c>
      <c r="H42" s="8">
        <f t="shared" si="0"/>
        <v>1384.8</v>
      </c>
      <c r="I42" s="9">
        <v>2</v>
      </c>
      <c r="J42" s="7" t="s">
        <v>13</v>
      </c>
      <c r="K42" s="12" t="s">
        <v>17</v>
      </c>
      <c r="L42" s="9"/>
    </row>
    <row r="43" spans="1:12" s="2" customFormat="1" ht="39" customHeight="1" x14ac:dyDescent="0.25">
      <c r="A43" s="4" t="str">
        <f t="shared" ref="A43:A66" si="6">A42</f>
        <v>ЩС (260108 AKMIR SULTANRABAT)</v>
      </c>
      <c r="B43" s="20" t="s">
        <v>90</v>
      </c>
      <c r="C43" s="4" t="s">
        <v>89</v>
      </c>
      <c r="D43" s="26" t="s">
        <v>88</v>
      </c>
      <c r="E43" s="4" t="s">
        <v>87</v>
      </c>
      <c r="F43" s="4">
        <v>1432</v>
      </c>
      <c r="G43" s="8">
        <f>F43</f>
        <v>1432</v>
      </c>
      <c r="H43" s="8">
        <f t="shared" si="0"/>
        <v>4296</v>
      </c>
      <c r="I43" s="4">
        <v>3</v>
      </c>
      <c r="J43" s="4" t="s">
        <v>13</v>
      </c>
      <c r="K43" s="4" t="s">
        <v>56</v>
      </c>
      <c r="L43" s="4"/>
    </row>
    <row r="44" spans="1:12" s="2" customFormat="1" ht="39" customHeight="1" x14ac:dyDescent="0.25">
      <c r="A44" s="4" t="str">
        <f t="shared" si="6"/>
        <v>ЩС (260108 AKMIR SULTANRABAT)</v>
      </c>
      <c r="B44" s="20" t="s">
        <v>91</v>
      </c>
      <c r="C44" s="4" t="s">
        <v>86</v>
      </c>
      <c r="D44" s="26" t="s">
        <v>85</v>
      </c>
      <c r="E44" s="4" t="s">
        <v>84</v>
      </c>
      <c r="F44" s="4">
        <v>16808</v>
      </c>
      <c r="G44" s="8">
        <f>0.6*F44</f>
        <v>10084.799999999999</v>
      </c>
      <c r="H44" s="8">
        <f t="shared" si="0"/>
        <v>40339.199999999997</v>
      </c>
      <c r="I44" s="4">
        <v>4</v>
      </c>
      <c r="J44" s="4" t="s">
        <v>13</v>
      </c>
      <c r="K44" s="4" t="s">
        <v>17</v>
      </c>
      <c r="L44" s="4"/>
    </row>
    <row r="45" spans="1:12" s="2" customFormat="1" ht="39" customHeight="1" x14ac:dyDescent="0.25">
      <c r="A45" s="4" t="str">
        <f t="shared" si="6"/>
        <v>ЩС (260108 AKMIR SULTANRABAT)</v>
      </c>
      <c r="B45" s="4" t="s">
        <v>92</v>
      </c>
      <c r="C45" s="4" t="s">
        <v>93</v>
      </c>
      <c r="D45" s="26" t="s">
        <v>94</v>
      </c>
      <c r="E45" s="4" t="s">
        <v>95</v>
      </c>
      <c r="F45" s="4">
        <v>5133</v>
      </c>
      <c r="G45" s="8">
        <f t="shared" ref="G45:G66" si="7">F45</f>
        <v>5133</v>
      </c>
      <c r="H45" s="8">
        <f t="shared" si="0"/>
        <v>1924.875</v>
      </c>
      <c r="I45" s="4">
        <v>0.375</v>
      </c>
      <c r="J45" s="4" t="s">
        <v>13</v>
      </c>
      <c r="K45" s="4" t="s">
        <v>56</v>
      </c>
      <c r="L45" s="4"/>
    </row>
    <row r="46" spans="1:12" s="2" customFormat="1" ht="39" customHeight="1" x14ac:dyDescent="0.25">
      <c r="A46" s="4" t="str">
        <f t="shared" si="6"/>
        <v>ЩС (260108 AKMIR SULTANRABAT)</v>
      </c>
      <c r="B46" s="4" t="s">
        <v>96</v>
      </c>
      <c r="C46" s="4" t="s">
        <v>97</v>
      </c>
      <c r="D46" s="26"/>
      <c r="E46" s="4" t="s">
        <v>98</v>
      </c>
      <c r="F46" s="4">
        <v>60</v>
      </c>
      <c r="G46" s="8">
        <f t="shared" si="7"/>
        <v>60</v>
      </c>
      <c r="H46" s="8">
        <f t="shared" si="0"/>
        <v>12000</v>
      </c>
      <c r="I46" s="4">
        <v>200</v>
      </c>
      <c r="J46" s="4" t="s">
        <v>99</v>
      </c>
      <c r="K46" s="4" t="s">
        <v>56</v>
      </c>
      <c r="L46" s="4"/>
    </row>
    <row r="47" spans="1:12" s="2" customFormat="1" ht="39" customHeight="1" x14ac:dyDescent="0.25">
      <c r="A47" s="4" t="str">
        <f t="shared" si="6"/>
        <v>ЩС (260108 AKMIR SULTANRABAT)</v>
      </c>
      <c r="B47" s="4" t="s">
        <v>96</v>
      </c>
      <c r="C47" s="4" t="s">
        <v>100</v>
      </c>
      <c r="D47" s="26"/>
      <c r="E47" s="4" t="s">
        <v>101</v>
      </c>
      <c r="F47" s="4">
        <v>185</v>
      </c>
      <c r="G47" s="8">
        <f t="shared" si="7"/>
        <v>185</v>
      </c>
      <c r="H47" s="8">
        <f t="shared" si="0"/>
        <v>74000</v>
      </c>
      <c r="I47" s="4">
        <v>400</v>
      </c>
      <c r="J47" s="4" t="s">
        <v>99</v>
      </c>
      <c r="K47" s="4" t="s">
        <v>56</v>
      </c>
      <c r="L47" s="4"/>
    </row>
    <row r="48" spans="1:12" s="2" customFormat="1" ht="39" customHeight="1" x14ac:dyDescent="0.25">
      <c r="A48" s="4" t="str">
        <f t="shared" si="6"/>
        <v>ЩС (260108 AKMIR SULTANRABAT)</v>
      </c>
      <c r="B48" s="4" t="s">
        <v>96</v>
      </c>
      <c r="C48" s="4" t="s">
        <v>102</v>
      </c>
      <c r="D48" s="26"/>
      <c r="E48" s="4" t="s">
        <v>103</v>
      </c>
      <c r="F48" s="4">
        <v>305</v>
      </c>
      <c r="G48" s="8">
        <f t="shared" si="7"/>
        <v>305</v>
      </c>
      <c r="H48" s="8">
        <f t="shared" si="0"/>
        <v>4575</v>
      </c>
      <c r="I48" s="4">
        <v>15</v>
      </c>
      <c r="J48" s="4" t="s">
        <v>99</v>
      </c>
      <c r="K48" s="4" t="s">
        <v>56</v>
      </c>
      <c r="L48" s="4"/>
    </row>
    <row r="49" spans="1:12" s="2" customFormat="1" ht="39" customHeight="1" x14ac:dyDescent="0.25">
      <c r="A49" s="4" t="str">
        <f t="shared" si="6"/>
        <v>ЩС (260108 AKMIR SULTANRABAT)</v>
      </c>
      <c r="B49" s="4" t="s">
        <v>96</v>
      </c>
      <c r="C49" s="4" t="s">
        <v>104</v>
      </c>
      <c r="D49" s="26"/>
      <c r="E49" s="4" t="s">
        <v>105</v>
      </c>
      <c r="F49" s="4">
        <v>440</v>
      </c>
      <c r="G49" s="8">
        <f t="shared" si="7"/>
        <v>440</v>
      </c>
      <c r="H49" s="8">
        <f t="shared" si="0"/>
        <v>3520</v>
      </c>
      <c r="I49" s="4">
        <v>8</v>
      </c>
      <c r="J49" s="4" t="s">
        <v>99</v>
      </c>
      <c r="K49" s="4" t="s">
        <v>56</v>
      </c>
      <c r="L49" s="4"/>
    </row>
    <row r="50" spans="1:12" s="2" customFormat="1" ht="39" customHeight="1" x14ac:dyDescent="0.25">
      <c r="A50" s="4" t="str">
        <f t="shared" si="6"/>
        <v>ЩС (260108 AKMIR SULTANRABAT)</v>
      </c>
      <c r="B50" s="4" t="s">
        <v>96</v>
      </c>
      <c r="C50" s="4" t="s">
        <v>106</v>
      </c>
      <c r="D50" s="26"/>
      <c r="E50" s="4" t="s">
        <v>107</v>
      </c>
      <c r="F50" s="4">
        <v>770</v>
      </c>
      <c r="G50" s="8">
        <f t="shared" si="7"/>
        <v>770</v>
      </c>
      <c r="H50" s="8">
        <f t="shared" si="0"/>
        <v>19250</v>
      </c>
      <c r="I50" s="4">
        <v>25</v>
      </c>
      <c r="J50" s="4" t="s">
        <v>99</v>
      </c>
      <c r="K50" s="4" t="s">
        <v>56</v>
      </c>
      <c r="L50" s="4"/>
    </row>
    <row r="51" spans="1:12" s="2" customFormat="1" ht="39" customHeight="1" x14ac:dyDescent="0.25">
      <c r="A51" s="4" t="str">
        <f t="shared" si="6"/>
        <v>ЩС (260108 AKMIR SULTANRABAT)</v>
      </c>
      <c r="B51" s="4" t="s">
        <v>96</v>
      </c>
      <c r="C51" s="4" t="s">
        <v>108</v>
      </c>
      <c r="D51" s="26"/>
      <c r="E51" s="4" t="s">
        <v>109</v>
      </c>
      <c r="F51" s="4">
        <v>1900</v>
      </c>
      <c r="G51" s="8">
        <f t="shared" si="7"/>
        <v>1900</v>
      </c>
      <c r="H51" s="8">
        <f t="shared" si="0"/>
        <v>47500</v>
      </c>
      <c r="I51" s="4">
        <v>25</v>
      </c>
      <c r="J51" s="4" t="s">
        <v>99</v>
      </c>
      <c r="K51" s="4" t="s">
        <v>56</v>
      </c>
      <c r="L51" s="4"/>
    </row>
    <row r="52" spans="1:12" s="2" customFormat="1" ht="39" customHeight="1" x14ac:dyDescent="0.25">
      <c r="A52" s="4" t="str">
        <f t="shared" si="6"/>
        <v>ЩС (260108 AKMIR SULTANRABAT)</v>
      </c>
      <c r="B52" s="4" t="s">
        <v>110</v>
      </c>
      <c r="C52" s="4" t="s">
        <v>111</v>
      </c>
      <c r="D52" s="26" t="s">
        <v>112</v>
      </c>
      <c r="E52" s="4" t="s">
        <v>113</v>
      </c>
      <c r="F52" s="4">
        <v>6</v>
      </c>
      <c r="G52" s="8">
        <f t="shared" si="7"/>
        <v>6</v>
      </c>
      <c r="H52" s="8">
        <f t="shared" si="0"/>
        <v>2400</v>
      </c>
      <c r="I52" s="4">
        <v>400</v>
      </c>
      <c r="J52" s="4" t="s">
        <v>13</v>
      </c>
      <c r="K52" s="4" t="s">
        <v>56</v>
      </c>
      <c r="L52" s="4"/>
    </row>
    <row r="53" spans="1:12" s="2" customFormat="1" ht="39" customHeight="1" x14ac:dyDescent="0.25">
      <c r="A53" s="4" t="str">
        <f t="shared" si="6"/>
        <v>ЩС (260108 AKMIR SULTANRABAT)</v>
      </c>
      <c r="B53" s="4" t="s">
        <v>110</v>
      </c>
      <c r="C53" s="4" t="s">
        <v>114</v>
      </c>
      <c r="D53" s="26" t="s">
        <v>115</v>
      </c>
      <c r="E53" s="4" t="s">
        <v>116</v>
      </c>
      <c r="F53" s="4">
        <v>8</v>
      </c>
      <c r="G53" s="8">
        <f t="shared" si="7"/>
        <v>8</v>
      </c>
      <c r="H53" s="8">
        <f t="shared" si="0"/>
        <v>3600</v>
      </c>
      <c r="I53" s="4">
        <v>450</v>
      </c>
      <c r="J53" s="4" t="s">
        <v>13</v>
      </c>
      <c r="K53" s="4" t="s">
        <v>56</v>
      </c>
      <c r="L53" s="4"/>
    </row>
    <row r="54" spans="1:12" s="2" customFormat="1" ht="39" customHeight="1" x14ac:dyDescent="0.25">
      <c r="A54" s="4" t="str">
        <f t="shared" si="6"/>
        <v>ЩС (260108 AKMIR SULTANRABAT)</v>
      </c>
      <c r="B54" s="4" t="s">
        <v>110</v>
      </c>
      <c r="C54" s="4" t="s">
        <v>117</v>
      </c>
      <c r="D54" s="26" t="s">
        <v>118</v>
      </c>
      <c r="E54" s="4" t="s">
        <v>119</v>
      </c>
      <c r="F54" s="4">
        <v>100</v>
      </c>
      <c r="G54" s="8">
        <f t="shared" si="7"/>
        <v>100</v>
      </c>
      <c r="H54" s="8">
        <f t="shared" si="0"/>
        <v>5000</v>
      </c>
      <c r="I54" s="4">
        <v>50</v>
      </c>
      <c r="J54" s="4" t="s">
        <v>13</v>
      </c>
      <c r="K54" s="4" t="s">
        <v>56</v>
      </c>
      <c r="L54" s="4"/>
    </row>
    <row r="55" spans="1:12" s="2" customFormat="1" ht="39" customHeight="1" x14ac:dyDescent="0.25">
      <c r="A55" s="4" t="str">
        <f t="shared" si="6"/>
        <v>ЩС (260108 AKMIR SULTANRABAT)</v>
      </c>
      <c r="B55" s="4" t="s">
        <v>110</v>
      </c>
      <c r="C55" s="4" t="s">
        <v>120</v>
      </c>
      <c r="D55" s="26" t="s">
        <v>118</v>
      </c>
      <c r="E55" s="4" t="s">
        <v>119</v>
      </c>
      <c r="F55" s="4">
        <v>100</v>
      </c>
      <c r="G55" s="8">
        <f t="shared" si="7"/>
        <v>100</v>
      </c>
      <c r="H55" s="8">
        <f t="shared" si="0"/>
        <v>3000</v>
      </c>
      <c r="I55" s="4">
        <v>30</v>
      </c>
      <c r="J55" s="4" t="s">
        <v>13</v>
      </c>
      <c r="K55" s="4" t="s">
        <v>56</v>
      </c>
      <c r="L55" s="4"/>
    </row>
    <row r="56" spans="1:12" s="2" customFormat="1" ht="39" customHeight="1" x14ac:dyDescent="0.25">
      <c r="A56" s="4" t="str">
        <f t="shared" si="6"/>
        <v>ЩС (260108 AKMIR SULTANRABAT)</v>
      </c>
      <c r="B56" s="4" t="s">
        <v>110</v>
      </c>
      <c r="C56" s="4" t="s">
        <v>121</v>
      </c>
      <c r="D56" s="26" t="s">
        <v>122</v>
      </c>
      <c r="E56" s="4" t="s">
        <v>123</v>
      </c>
      <c r="F56" s="4">
        <v>20</v>
      </c>
      <c r="G56" s="8">
        <f t="shared" si="7"/>
        <v>20</v>
      </c>
      <c r="H56" s="8">
        <f t="shared" si="0"/>
        <v>720</v>
      </c>
      <c r="I56" s="4">
        <v>36</v>
      </c>
      <c r="J56" s="4" t="s">
        <v>13</v>
      </c>
      <c r="K56" s="4" t="s">
        <v>56</v>
      </c>
      <c r="L56" s="4"/>
    </row>
    <row r="57" spans="1:12" s="2" customFormat="1" ht="39" customHeight="1" x14ac:dyDescent="0.25">
      <c r="A57" s="4" t="str">
        <f t="shared" si="6"/>
        <v>ЩС (260108 AKMIR SULTANRABAT)</v>
      </c>
      <c r="B57" s="4" t="s">
        <v>110</v>
      </c>
      <c r="C57" s="4" t="s">
        <v>124</v>
      </c>
      <c r="D57" s="26" t="s">
        <v>125</v>
      </c>
      <c r="E57" s="4" t="s">
        <v>126</v>
      </c>
      <c r="F57" s="4">
        <v>240</v>
      </c>
      <c r="G57" s="8">
        <f t="shared" si="7"/>
        <v>240</v>
      </c>
      <c r="H57" s="8">
        <f t="shared" si="0"/>
        <v>3600</v>
      </c>
      <c r="I57" s="4">
        <v>15</v>
      </c>
      <c r="J57" s="4" t="s">
        <v>13</v>
      </c>
      <c r="K57" s="4" t="s">
        <v>56</v>
      </c>
      <c r="L57" s="4"/>
    </row>
    <row r="58" spans="1:12" s="2" customFormat="1" ht="39" customHeight="1" x14ac:dyDescent="0.25">
      <c r="A58" s="4" t="str">
        <f t="shared" si="6"/>
        <v>ЩС (260108 AKMIR SULTANRABAT)</v>
      </c>
      <c r="B58" s="4" t="s">
        <v>127</v>
      </c>
      <c r="C58" s="4" t="s">
        <v>128</v>
      </c>
      <c r="D58" s="26" t="s">
        <v>129</v>
      </c>
      <c r="E58" s="4" t="s">
        <v>130</v>
      </c>
      <c r="F58" s="4">
        <v>62</v>
      </c>
      <c r="G58" s="8">
        <f t="shared" si="7"/>
        <v>62</v>
      </c>
      <c r="H58" s="8">
        <f t="shared" si="0"/>
        <v>744</v>
      </c>
      <c r="I58" s="4">
        <v>12</v>
      </c>
      <c r="J58" s="4" t="s">
        <v>13</v>
      </c>
      <c r="K58" s="4" t="s">
        <v>56</v>
      </c>
      <c r="L58" s="4"/>
    </row>
    <row r="59" spans="1:12" s="2" customFormat="1" ht="39" customHeight="1" x14ac:dyDescent="0.25">
      <c r="A59" s="4" t="str">
        <f t="shared" si="6"/>
        <v>ЩС (260108 AKMIR SULTANRABAT)</v>
      </c>
      <c r="B59" s="4" t="s">
        <v>110</v>
      </c>
      <c r="C59" s="4" t="s">
        <v>131</v>
      </c>
      <c r="D59" s="26" t="s">
        <v>132</v>
      </c>
      <c r="E59" s="4" t="s">
        <v>133</v>
      </c>
      <c r="F59" s="4">
        <v>170</v>
      </c>
      <c r="G59" s="8">
        <f t="shared" si="7"/>
        <v>170</v>
      </c>
      <c r="H59" s="8">
        <f t="shared" si="0"/>
        <v>3400</v>
      </c>
      <c r="I59" s="4">
        <v>20</v>
      </c>
      <c r="J59" s="4" t="s">
        <v>13</v>
      </c>
      <c r="K59" s="4" t="s">
        <v>56</v>
      </c>
      <c r="L59" s="4"/>
    </row>
    <row r="60" spans="1:12" s="2" customFormat="1" ht="39" customHeight="1" x14ac:dyDescent="0.25">
      <c r="A60" s="4" t="str">
        <f t="shared" si="6"/>
        <v>ЩС (260108 AKMIR SULTANRABAT)</v>
      </c>
      <c r="B60" s="4" t="s">
        <v>134</v>
      </c>
      <c r="C60" s="4" t="s">
        <v>135</v>
      </c>
      <c r="D60" s="26" t="s">
        <v>136</v>
      </c>
      <c r="E60" s="4" t="s">
        <v>137</v>
      </c>
      <c r="F60" s="4">
        <v>1372</v>
      </c>
      <c r="G60" s="8">
        <f t="shared" si="7"/>
        <v>1372</v>
      </c>
      <c r="H60" s="8">
        <f t="shared" si="0"/>
        <v>5488</v>
      </c>
      <c r="I60" s="4">
        <v>4</v>
      </c>
      <c r="J60" s="4" t="s">
        <v>99</v>
      </c>
      <c r="K60" s="4" t="s">
        <v>56</v>
      </c>
      <c r="L60" s="4"/>
    </row>
    <row r="61" spans="1:12" s="2" customFormat="1" ht="39" customHeight="1" x14ac:dyDescent="0.25">
      <c r="A61" s="4" t="str">
        <f t="shared" si="6"/>
        <v>ЩС (260108 AKMIR SULTANRABAT)</v>
      </c>
      <c r="B61" s="4" t="s">
        <v>134</v>
      </c>
      <c r="C61" s="4" t="s">
        <v>138</v>
      </c>
      <c r="D61" s="26" t="s">
        <v>139</v>
      </c>
      <c r="E61" s="4" t="s">
        <v>140</v>
      </c>
      <c r="F61" s="4">
        <v>2267</v>
      </c>
      <c r="G61" s="8">
        <f t="shared" si="7"/>
        <v>2267</v>
      </c>
      <c r="H61" s="8">
        <f t="shared" si="0"/>
        <v>13602</v>
      </c>
      <c r="I61" s="4">
        <v>6</v>
      </c>
      <c r="J61" s="4" t="s">
        <v>99</v>
      </c>
      <c r="K61" s="4" t="s">
        <v>56</v>
      </c>
      <c r="L61" s="4"/>
    </row>
    <row r="62" spans="1:12" s="2" customFormat="1" ht="39" customHeight="1" x14ac:dyDescent="0.25">
      <c r="A62" s="4" t="str">
        <f t="shared" si="6"/>
        <v>ЩС (260108 AKMIR SULTANRABAT)</v>
      </c>
      <c r="B62" s="4" t="s">
        <v>134</v>
      </c>
      <c r="C62" s="4" t="s">
        <v>141</v>
      </c>
      <c r="D62" s="26" t="s">
        <v>142</v>
      </c>
      <c r="E62" s="4" t="s">
        <v>143</v>
      </c>
      <c r="F62" s="4">
        <v>2900</v>
      </c>
      <c r="G62" s="8">
        <f t="shared" si="7"/>
        <v>2900</v>
      </c>
      <c r="H62" s="8">
        <f t="shared" si="0"/>
        <v>11600</v>
      </c>
      <c r="I62" s="4">
        <v>4</v>
      </c>
      <c r="J62" s="4" t="s">
        <v>99</v>
      </c>
      <c r="K62" s="4" t="s">
        <v>56</v>
      </c>
      <c r="L62" s="4"/>
    </row>
    <row r="63" spans="1:12" s="2" customFormat="1" ht="39" customHeight="1" x14ac:dyDescent="0.25">
      <c r="A63" s="4" t="str">
        <f t="shared" si="6"/>
        <v>ЩС (260108 AKMIR SULTANRABAT)</v>
      </c>
      <c r="B63" s="4" t="s">
        <v>144</v>
      </c>
      <c r="C63" s="4" t="s">
        <v>145</v>
      </c>
      <c r="D63" s="26" t="s">
        <v>146</v>
      </c>
      <c r="E63" s="4" t="s">
        <v>147</v>
      </c>
      <c r="F63" s="4">
        <v>460</v>
      </c>
      <c r="G63" s="8">
        <f t="shared" si="7"/>
        <v>460</v>
      </c>
      <c r="H63" s="8">
        <f t="shared" si="0"/>
        <v>3680</v>
      </c>
      <c r="I63" s="4">
        <v>8</v>
      </c>
      <c r="J63" s="4" t="s">
        <v>13</v>
      </c>
      <c r="K63" s="4" t="s">
        <v>56</v>
      </c>
      <c r="L63" s="4"/>
    </row>
    <row r="64" spans="1:12" s="2" customFormat="1" ht="39" customHeight="1" x14ac:dyDescent="0.25">
      <c r="A64" s="4" t="str">
        <f t="shared" si="6"/>
        <v>ЩС (260108 AKMIR SULTANRABAT)</v>
      </c>
      <c r="B64" s="4" t="s">
        <v>148</v>
      </c>
      <c r="C64" s="4" t="s">
        <v>149</v>
      </c>
      <c r="D64" s="26" t="s">
        <v>149</v>
      </c>
      <c r="E64" s="4" t="s">
        <v>150</v>
      </c>
      <c r="F64" s="4">
        <v>1700</v>
      </c>
      <c r="G64" s="8">
        <f>0.6*F64</f>
        <v>1020</v>
      </c>
      <c r="H64" s="8">
        <f t="shared" si="0"/>
        <v>2040</v>
      </c>
      <c r="I64" s="4">
        <v>2</v>
      </c>
      <c r="J64" s="4" t="s">
        <v>13</v>
      </c>
      <c r="K64" s="4" t="s">
        <v>151</v>
      </c>
      <c r="L64" s="4"/>
    </row>
    <row r="65" spans="1:12" s="2" customFormat="1" ht="39" customHeight="1" x14ac:dyDescent="0.25">
      <c r="A65" s="4" t="str">
        <f t="shared" si="6"/>
        <v>ЩС (260108 AKMIR SULTANRABAT)</v>
      </c>
      <c r="B65" s="4" t="s">
        <v>152</v>
      </c>
      <c r="C65" s="4" t="s">
        <v>153</v>
      </c>
      <c r="D65" s="26" t="s">
        <v>154</v>
      </c>
      <c r="E65" s="4" t="s">
        <v>155</v>
      </c>
      <c r="F65" s="4">
        <v>600</v>
      </c>
      <c r="G65" s="8">
        <f t="shared" si="7"/>
        <v>600</v>
      </c>
      <c r="H65" s="8">
        <f t="shared" si="0"/>
        <v>1200</v>
      </c>
      <c r="I65" s="4">
        <v>2</v>
      </c>
      <c r="J65" s="4" t="s">
        <v>13</v>
      </c>
      <c r="K65" s="4" t="s">
        <v>56</v>
      </c>
      <c r="L65" s="4"/>
    </row>
    <row r="66" spans="1:12" s="2" customFormat="1" ht="49.5" customHeight="1" x14ac:dyDescent="0.25">
      <c r="A66" s="4" t="str">
        <f t="shared" si="6"/>
        <v>ЩС (260108 AKMIR SULTANRABAT)</v>
      </c>
      <c r="B66" s="4" t="s">
        <v>10</v>
      </c>
      <c r="C66" s="4"/>
      <c r="D66" s="26" t="s">
        <v>10</v>
      </c>
      <c r="E66" s="4" t="s">
        <v>10</v>
      </c>
      <c r="F66" s="4">
        <v>100</v>
      </c>
      <c r="G66" s="8">
        <f t="shared" si="7"/>
        <v>100</v>
      </c>
      <c r="H66" s="8">
        <f t="shared" si="0"/>
        <v>100000</v>
      </c>
      <c r="I66" s="4">
        <v>1000</v>
      </c>
      <c r="J66" s="4" t="s">
        <v>13</v>
      </c>
      <c r="K66" s="4" t="s">
        <v>10</v>
      </c>
      <c r="L66" s="4"/>
    </row>
    <row r="67" spans="1:12" ht="54.75" customHeight="1" x14ac:dyDescent="0.25">
      <c r="A67" s="4" t="str">
        <f t="shared" si="4"/>
        <v>ЩС (260108 AKMIR SULTANRABAT)</v>
      </c>
      <c r="B67" s="4" t="s">
        <v>11</v>
      </c>
      <c r="C67" s="4"/>
      <c r="D67" s="26" t="s">
        <v>11</v>
      </c>
      <c r="E67" s="4" t="s">
        <v>11</v>
      </c>
      <c r="F67" s="4">
        <f>I67/60</f>
        <v>40</v>
      </c>
      <c r="G67" s="8">
        <v>100</v>
      </c>
      <c r="H67" s="8">
        <f t="shared" ref="H67" si="8">I67*G67</f>
        <v>240000</v>
      </c>
      <c r="I67" s="4">
        <v>2400</v>
      </c>
      <c r="J67" s="4" t="s">
        <v>13</v>
      </c>
      <c r="K67" s="4" t="s">
        <v>11</v>
      </c>
      <c r="L67" s="4"/>
    </row>
    <row r="68" spans="1:12" ht="28.5" x14ac:dyDescent="0.45">
      <c r="H68" s="22">
        <f>SUM(H3:H67)</f>
        <v>1375057.675</v>
      </c>
    </row>
    <row r="69" spans="1:12" ht="26.25" x14ac:dyDescent="0.4">
      <c r="H69" s="21"/>
    </row>
  </sheetData>
  <autoFilter ref="A1:K68" xr:uid="{00000000-0001-0000-0000-000000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97"/>
  <sheetViews>
    <sheetView tabSelected="1" zoomScale="115" zoomScaleNormal="115" workbookViewId="0">
      <pane ySplit="1" topLeftCell="A2" activePane="bottomLeft" state="frozen"/>
      <selection pane="bottomLeft" activeCell="E6" sqref="E6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9.75" customHeight="1" x14ac:dyDescent="0.25">
      <c r="A1" s="28" t="s">
        <v>2</v>
      </c>
      <c r="B1" s="28" t="s">
        <v>0</v>
      </c>
      <c r="C1" s="28" t="s">
        <v>156</v>
      </c>
      <c r="D1" s="29" t="s">
        <v>1</v>
      </c>
      <c r="E1" s="28" t="s">
        <v>14</v>
      </c>
      <c r="F1" s="28" t="s">
        <v>3</v>
      </c>
      <c r="G1" s="28" t="s">
        <v>3</v>
      </c>
      <c r="H1" s="30" t="s">
        <v>6</v>
      </c>
      <c r="I1" s="31" t="s">
        <v>15</v>
      </c>
      <c r="J1" s="31" t="s">
        <v>4</v>
      </c>
      <c r="K1" s="31" t="s">
        <v>5</v>
      </c>
      <c r="L1" s="31"/>
    </row>
    <row r="2" spans="1:12" ht="39.75" customHeight="1" x14ac:dyDescent="0.25">
      <c r="A2" s="32" t="str">
        <f>E2</f>
        <v>Е4</v>
      </c>
      <c r="B2" s="33"/>
      <c r="C2" s="32"/>
      <c r="D2" s="34"/>
      <c r="E2" s="33" t="s">
        <v>227</v>
      </c>
      <c r="F2" s="35"/>
      <c r="G2" s="35"/>
      <c r="H2" s="36"/>
      <c r="I2" s="37">
        <v>1</v>
      </c>
      <c r="J2" s="38" t="s">
        <v>7</v>
      </c>
      <c r="K2" s="33" t="s">
        <v>9</v>
      </c>
      <c r="L2" s="37"/>
    </row>
    <row r="3" spans="1:12" ht="21" customHeight="1" x14ac:dyDescent="0.25">
      <c r="A3" s="39" t="str">
        <f>A2</f>
        <v>Е4</v>
      </c>
      <c r="B3" s="40" t="s">
        <v>8</v>
      </c>
      <c r="C3" s="39"/>
      <c r="D3" s="41"/>
      <c r="E3" s="39"/>
      <c r="F3" s="40"/>
      <c r="G3" s="42">
        <f>F3*0.6</f>
        <v>0</v>
      </c>
      <c r="H3" s="42">
        <f>I3*G3</f>
        <v>0</v>
      </c>
      <c r="I3" s="43">
        <v>1</v>
      </c>
      <c r="J3" s="44" t="s">
        <v>13</v>
      </c>
      <c r="K3" s="40" t="s">
        <v>16</v>
      </c>
      <c r="L3" s="43"/>
    </row>
    <row r="4" spans="1:12" ht="21" customHeight="1" x14ac:dyDescent="0.25">
      <c r="A4" s="39" t="str">
        <f t="shared" ref="A4:A29" si="0">A3</f>
        <v>Е4</v>
      </c>
      <c r="B4" s="40" t="s">
        <v>20</v>
      </c>
      <c r="C4" s="39"/>
      <c r="D4" s="41" t="s">
        <v>262</v>
      </c>
      <c r="E4" s="39" t="s">
        <v>263</v>
      </c>
      <c r="F4" s="40">
        <v>27169</v>
      </c>
      <c r="G4" s="42">
        <f t="shared" ref="G4:G29" si="1">F4*0.6</f>
        <v>16301.4</v>
      </c>
      <c r="H4" s="42">
        <f>G4*I4</f>
        <v>32602.799999999999</v>
      </c>
      <c r="I4" s="43">
        <v>2</v>
      </c>
      <c r="J4" s="44" t="s">
        <v>13</v>
      </c>
      <c r="K4" s="40" t="s">
        <v>17</v>
      </c>
      <c r="L4" s="43"/>
    </row>
    <row r="5" spans="1:12" ht="21" customHeight="1" x14ac:dyDescent="0.25">
      <c r="A5" s="39" t="str">
        <f t="shared" si="0"/>
        <v>Е4</v>
      </c>
      <c r="B5" s="40" t="s">
        <v>192</v>
      </c>
      <c r="C5" s="39"/>
      <c r="D5" s="41"/>
      <c r="E5" s="39" t="s">
        <v>195</v>
      </c>
      <c r="F5" s="40"/>
      <c r="G5" s="42">
        <f t="shared" si="1"/>
        <v>0</v>
      </c>
      <c r="H5" s="42">
        <f t="shared" ref="H5:H20" si="2">G5*I5</f>
        <v>0</v>
      </c>
      <c r="I5" s="43">
        <v>6</v>
      </c>
      <c r="J5" s="44" t="s">
        <v>13</v>
      </c>
      <c r="K5" s="40" t="s">
        <v>191</v>
      </c>
      <c r="L5" s="43"/>
    </row>
    <row r="6" spans="1:12" ht="21" customHeight="1" x14ac:dyDescent="0.25">
      <c r="A6" s="39" t="str">
        <f t="shared" si="0"/>
        <v>Е4</v>
      </c>
      <c r="B6" s="40" t="s">
        <v>194</v>
      </c>
      <c r="C6" s="39"/>
      <c r="D6" s="41" t="s">
        <v>196</v>
      </c>
      <c r="E6" s="39" t="s">
        <v>197</v>
      </c>
      <c r="F6" s="40">
        <v>63263</v>
      </c>
      <c r="G6" s="42">
        <f t="shared" si="1"/>
        <v>37957.799999999996</v>
      </c>
      <c r="H6" s="42">
        <f>G6*I6</f>
        <v>37957.799999999996</v>
      </c>
      <c r="I6" s="43">
        <v>1</v>
      </c>
      <c r="J6" s="44" t="s">
        <v>13</v>
      </c>
      <c r="K6" s="40" t="s">
        <v>17</v>
      </c>
      <c r="L6" s="43"/>
    </row>
    <row r="7" spans="1:12" ht="21" customHeight="1" x14ac:dyDescent="0.25">
      <c r="A7" s="39" t="str">
        <f t="shared" si="0"/>
        <v>Е4</v>
      </c>
      <c r="B7" s="40" t="s">
        <v>264</v>
      </c>
      <c r="C7" s="39"/>
      <c r="D7" s="41" t="s">
        <v>200</v>
      </c>
      <c r="E7" s="39" t="s">
        <v>78</v>
      </c>
      <c r="F7" s="40">
        <v>589</v>
      </c>
      <c r="G7" s="42">
        <f t="shared" si="1"/>
        <v>353.4</v>
      </c>
      <c r="H7" s="42">
        <f t="shared" ref="H7" si="3">G7*I7</f>
        <v>706.8</v>
      </c>
      <c r="I7" s="43">
        <v>2</v>
      </c>
      <c r="J7" s="44" t="s">
        <v>13</v>
      </c>
      <c r="K7" s="40" t="s">
        <v>17</v>
      </c>
      <c r="L7" s="43"/>
    </row>
    <row r="8" spans="1:12" ht="21" customHeight="1" x14ac:dyDescent="0.25">
      <c r="A8" s="39" t="str">
        <f t="shared" si="0"/>
        <v>Е4</v>
      </c>
      <c r="B8" s="40" t="s">
        <v>264</v>
      </c>
      <c r="C8" s="39"/>
      <c r="D8" s="45" t="s">
        <v>201</v>
      </c>
      <c r="E8" s="39" t="s">
        <v>202</v>
      </c>
      <c r="F8" s="39">
        <v>571</v>
      </c>
      <c r="G8" s="42">
        <f t="shared" si="1"/>
        <v>342.59999999999997</v>
      </c>
      <c r="H8" s="42">
        <f t="shared" ref="H8" si="4">G8*I8</f>
        <v>685.19999999999993</v>
      </c>
      <c r="I8" s="43">
        <v>2</v>
      </c>
      <c r="J8" s="44" t="s">
        <v>13</v>
      </c>
      <c r="K8" s="40" t="s">
        <v>17</v>
      </c>
      <c r="L8" s="43"/>
    </row>
    <row r="9" spans="1:12" ht="21" customHeight="1" x14ac:dyDescent="0.25">
      <c r="A9" s="39" t="str">
        <f t="shared" si="0"/>
        <v>Е4</v>
      </c>
      <c r="B9" s="40" t="s">
        <v>264</v>
      </c>
      <c r="C9" s="39"/>
      <c r="D9" s="45" t="s">
        <v>198</v>
      </c>
      <c r="E9" s="39" t="s">
        <v>199</v>
      </c>
      <c r="F9" s="39">
        <v>571</v>
      </c>
      <c r="G9" s="42">
        <f t="shared" si="1"/>
        <v>342.59999999999997</v>
      </c>
      <c r="H9" s="42">
        <f t="shared" ref="H9" si="5">G9*I9</f>
        <v>342.59999999999997</v>
      </c>
      <c r="I9" s="43">
        <v>1</v>
      </c>
      <c r="J9" s="44" t="s">
        <v>13</v>
      </c>
      <c r="K9" s="40" t="s">
        <v>17</v>
      </c>
      <c r="L9" s="43"/>
    </row>
    <row r="10" spans="1:12" ht="24" customHeight="1" x14ac:dyDescent="0.25">
      <c r="A10" s="39" t="str">
        <f t="shared" si="0"/>
        <v>Е4</v>
      </c>
      <c r="B10" s="39" t="s">
        <v>12</v>
      </c>
      <c r="C10" s="39"/>
      <c r="D10" s="45" t="s">
        <v>39</v>
      </c>
      <c r="E10" s="39" t="s">
        <v>40</v>
      </c>
      <c r="F10" s="39">
        <v>2873</v>
      </c>
      <c r="G10" s="42">
        <f t="shared" si="1"/>
        <v>1723.8</v>
      </c>
      <c r="H10" s="42">
        <f t="shared" si="2"/>
        <v>1723.8</v>
      </c>
      <c r="I10" s="39">
        <v>1</v>
      </c>
      <c r="J10" s="39" t="s">
        <v>13</v>
      </c>
      <c r="K10" s="40" t="s">
        <v>17</v>
      </c>
      <c r="L10" s="39"/>
    </row>
    <row r="11" spans="1:12" ht="24" customHeight="1" x14ac:dyDescent="0.25">
      <c r="A11" s="39" t="str">
        <f t="shared" si="0"/>
        <v>Е4</v>
      </c>
      <c r="B11" s="39" t="s">
        <v>271</v>
      </c>
      <c r="C11" s="39"/>
      <c r="D11" s="45" t="s">
        <v>269</v>
      </c>
      <c r="E11" s="39" t="s">
        <v>270</v>
      </c>
      <c r="F11" s="39">
        <v>14767</v>
      </c>
      <c r="G11" s="42">
        <f t="shared" si="1"/>
        <v>8860.1999999999989</v>
      </c>
      <c r="H11" s="42">
        <f t="shared" ref="H11" si="6">G11*I11</f>
        <v>8860.1999999999989</v>
      </c>
      <c r="I11" s="39">
        <v>1</v>
      </c>
      <c r="J11" s="39" t="s">
        <v>13</v>
      </c>
      <c r="K11" s="40" t="s">
        <v>17</v>
      </c>
      <c r="L11" s="39"/>
    </row>
    <row r="12" spans="1:12" ht="24" customHeight="1" x14ac:dyDescent="0.25">
      <c r="A12" s="39" t="str">
        <f t="shared" si="0"/>
        <v>Е4</v>
      </c>
      <c r="B12" s="39" t="s">
        <v>265</v>
      </c>
      <c r="C12" s="39"/>
      <c r="D12" s="45" t="s">
        <v>203</v>
      </c>
      <c r="E12" s="39" t="s">
        <v>204</v>
      </c>
      <c r="F12" s="39">
        <v>1545</v>
      </c>
      <c r="G12" s="42">
        <f t="shared" si="1"/>
        <v>927</v>
      </c>
      <c r="H12" s="42">
        <f t="shared" ref="H12" si="7">G12*I12</f>
        <v>2781</v>
      </c>
      <c r="I12" s="39">
        <v>3</v>
      </c>
      <c r="J12" s="39" t="s">
        <v>13</v>
      </c>
      <c r="K12" s="40" t="s">
        <v>17</v>
      </c>
      <c r="L12" s="39"/>
    </row>
    <row r="13" spans="1:12" ht="24" customHeight="1" x14ac:dyDescent="0.25">
      <c r="A13" s="39" t="str">
        <f t="shared" si="0"/>
        <v>Е4</v>
      </c>
      <c r="B13" s="39" t="s">
        <v>265</v>
      </c>
      <c r="C13" s="39"/>
      <c r="D13" s="45" t="s">
        <v>205</v>
      </c>
      <c r="E13" s="39" t="s">
        <v>206</v>
      </c>
      <c r="F13" s="39">
        <v>2038</v>
      </c>
      <c r="G13" s="42">
        <f t="shared" si="1"/>
        <v>1222.8</v>
      </c>
      <c r="H13" s="42">
        <f t="shared" ref="H13" si="8">G13*I13</f>
        <v>48912</v>
      </c>
      <c r="I13" s="39">
        <v>40</v>
      </c>
      <c r="J13" s="39" t="s">
        <v>13</v>
      </c>
      <c r="K13" s="40" t="s">
        <v>17</v>
      </c>
      <c r="L13" s="39"/>
    </row>
    <row r="14" spans="1:12" ht="21" customHeight="1" x14ac:dyDescent="0.25">
      <c r="A14" s="39" t="str">
        <f t="shared" si="0"/>
        <v>Е4</v>
      </c>
      <c r="B14" s="40" t="s">
        <v>265</v>
      </c>
      <c r="C14" s="39"/>
      <c r="D14" s="41" t="s">
        <v>207</v>
      </c>
      <c r="E14" s="39" t="s">
        <v>208</v>
      </c>
      <c r="F14" s="40">
        <v>1510</v>
      </c>
      <c r="G14" s="42">
        <f t="shared" si="1"/>
        <v>906</v>
      </c>
      <c r="H14" s="42">
        <f t="shared" si="2"/>
        <v>4530</v>
      </c>
      <c r="I14" s="43">
        <v>5</v>
      </c>
      <c r="J14" s="44" t="s">
        <v>190</v>
      </c>
      <c r="K14" s="40" t="s">
        <v>17</v>
      </c>
      <c r="L14" s="43"/>
    </row>
    <row r="15" spans="1:12" ht="21" customHeight="1" x14ac:dyDescent="0.25">
      <c r="A15" s="39" t="str">
        <f t="shared" si="0"/>
        <v>Е4</v>
      </c>
      <c r="B15" s="40" t="s">
        <v>265</v>
      </c>
      <c r="C15" s="39"/>
      <c r="D15" s="41" t="s">
        <v>209</v>
      </c>
      <c r="E15" s="39" t="s">
        <v>210</v>
      </c>
      <c r="F15" s="40">
        <v>1525</v>
      </c>
      <c r="G15" s="42">
        <f t="shared" si="1"/>
        <v>915</v>
      </c>
      <c r="H15" s="42">
        <f t="shared" ref="H15:H16" si="9">G15*I15</f>
        <v>2745</v>
      </c>
      <c r="I15" s="43">
        <v>3</v>
      </c>
      <c r="J15" s="44" t="s">
        <v>190</v>
      </c>
      <c r="K15" s="40" t="s">
        <v>17</v>
      </c>
      <c r="L15" s="43"/>
    </row>
    <row r="16" spans="1:12" ht="21" customHeight="1" x14ac:dyDescent="0.25">
      <c r="A16" s="39" t="str">
        <f t="shared" si="0"/>
        <v>Е4</v>
      </c>
      <c r="B16" s="40" t="s">
        <v>265</v>
      </c>
      <c r="C16" s="39"/>
      <c r="D16" s="41" t="s">
        <v>260</v>
      </c>
      <c r="E16" s="39" t="s">
        <v>261</v>
      </c>
      <c r="F16" s="40">
        <v>1510</v>
      </c>
      <c r="G16" s="42">
        <f t="shared" si="1"/>
        <v>906</v>
      </c>
      <c r="H16" s="42">
        <f t="shared" si="9"/>
        <v>5436</v>
      </c>
      <c r="I16" s="43">
        <v>6</v>
      </c>
      <c r="J16" s="44" t="s">
        <v>190</v>
      </c>
      <c r="K16" s="40" t="s">
        <v>17</v>
      </c>
      <c r="L16" s="43"/>
    </row>
    <row r="17" spans="1:12" ht="21" customHeight="1" x14ac:dyDescent="0.25">
      <c r="A17" s="39" t="str">
        <f t="shared" si="0"/>
        <v>Е4</v>
      </c>
      <c r="B17" s="40" t="s">
        <v>265</v>
      </c>
      <c r="C17" s="39"/>
      <c r="D17" s="41" t="s">
        <v>211</v>
      </c>
      <c r="E17" s="39" t="s">
        <v>212</v>
      </c>
      <c r="F17" s="40">
        <v>1510</v>
      </c>
      <c r="G17" s="42">
        <f t="shared" si="1"/>
        <v>906</v>
      </c>
      <c r="H17" s="42">
        <f t="shared" si="2"/>
        <v>18120</v>
      </c>
      <c r="I17" s="43">
        <v>20</v>
      </c>
      <c r="J17" s="44" t="s">
        <v>190</v>
      </c>
      <c r="K17" s="40" t="s">
        <v>17</v>
      </c>
      <c r="L17" s="43"/>
    </row>
    <row r="18" spans="1:12" ht="21" customHeight="1" x14ac:dyDescent="0.25">
      <c r="A18" s="39" t="str">
        <f t="shared" si="0"/>
        <v>Е4</v>
      </c>
      <c r="B18" s="40" t="s">
        <v>265</v>
      </c>
      <c r="C18" s="39"/>
      <c r="D18" s="41" t="s">
        <v>213</v>
      </c>
      <c r="E18" s="39" t="s">
        <v>214</v>
      </c>
      <c r="F18" s="40">
        <v>1525</v>
      </c>
      <c r="G18" s="42">
        <f t="shared" si="1"/>
        <v>915</v>
      </c>
      <c r="H18" s="42">
        <f t="shared" ref="H18" si="10">G18*I18</f>
        <v>2745</v>
      </c>
      <c r="I18" s="43">
        <v>3</v>
      </c>
      <c r="J18" s="44" t="s">
        <v>190</v>
      </c>
      <c r="K18" s="40" t="s">
        <v>17</v>
      </c>
      <c r="L18" s="43"/>
    </row>
    <row r="19" spans="1:12" ht="21" customHeight="1" x14ac:dyDescent="0.25">
      <c r="A19" s="39" t="str">
        <f t="shared" si="0"/>
        <v>Е4</v>
      </c>
      <c r="B19" s="39" t="s">
        <v>12</v>
      </c>
      <c r="C19" s="39"/>
      <c r="D19" s="45" t="s">
        <v>220</v>
      </c>
      <c r="E19" s="39" t="s">
        <v>221</v>
      </c>
      <c r="F19" s="39">
        <v>1419</v>
      </c>
      <c r="G19" s="42">
        <f t="shared" si="1"/>
        <v>851.4</v>
      </c>
      <c r="H19" s="42">
        <f t="shared" si="2"/>
        <v>851.4</v>
      </c>
      <c r="I19" s="39">
        <v>1</v>
      </c>
      <c r="J19" s="39" t="s">
        <v>13</v>
      </c>
      <c r="K19" s="40" t="s">
        <v>17</v>
      </c>
      <c r="L19" s="39"/>
    </row>
    <row r="20" spans="1:12" ht="29.25" customHeight="1" x14ac:dyDescent="0.25">
      <c r="A20" s="39" t="str">
        <f t="shared" si="0"/>
        <v>Е4</v>
      </c>
      <c r="B20" s="39" t="s">
        <v>266</v>
      </c>
      <c r="C20" s="39"/>
      <c r="D20" s="45" t="s">
        <v>215</v>
      </c>
      <c r="E20" s="39" t="s">
        <v>216</v>
      </c>
      <c r="F20" s="39">
        <v>33208</v>
      </c>
      <c r="G20" s="42">
        <f t="shared" si="1"/>
        <v>19924.8</v>
      </c>
      <c r="H20" s="42">
        <f t="shared" si="2"/>
        <v>19924.8</v>
      </c>
      <c r="I20" s="39">
        <v>1</v>
      </c>
      <c r="J20" s="39" t="s">
        <v>13</v>
      </c>
      <c r="K20" s="40" t="s">
        <v>17</v>
      </c>
      <c r="L20" s="39"/>
    </row>
    <row r="21" spans="1:12" ht="21" customHeight="1" x14ac:dyDescent="0.25">
      <c r="A21" s="39" t="str">
        <f t="shared" si="0"/>
        <v>Е4</v>
      </c>
      <c r="B21" s="39" t="s">
        <v>12</v>
      </c>
      <c r="C21" s="39"/>
      <c r="D21" s="45" t="s">
        <v>166</v>
      </c>
      <c r="E21" s="39" t="s">
        <v>167</v>
      </c>
      <c r="F21" s="39">
        <v>1086</v>
      </c>
      <c r="G21" s="42">
        <f t="shared" si="1"/>
        <v>651.6</v>
      </c>
      <c r="H21" s="42">
        <f t="shared" ref="H21:H22" si="11">G21*I21</f>
        <v>651.6</v>
      </c>
      <c r="I21" s="39">
        <v>1</v>
      </c>
      <c r="J21" s="39" t="s">
        <v>13</v>
      </c>
      <c r="K21" s="40" t="s">
        <v>17</v>
      </c>
      <c r="L21" s="39"/>
    </row>
    <row r="22" spans="1:12" ht="30" customHeight="1" x14ac:dyDescent="0.25">
      <c r="A22" s="39" t="str">
        <f t="shared" si="0"/>
        <v>Е4</v>
      </c>
      <c r="B22" s="46" t="s">
        <v>29</v>
      </c>
      <c r="C22" s="47"/>
      <c r="D22" s="47" t="s">
        <v>217</v>
      </c>
      <c r="E22" s="48" t="s">
        <v>77</v>
      </c>
      <c r="F22" s="50">
        <v>12515</v>
      </c>
      <c r="G22" s="42">
        <f t="shared" si="1"/>
        <v>7509</v>
      </c>
      <c r="H22" s="42">
        <f t="shared" si="11"/>
        <v>7509</v>
      </c>
      <c r="I22" s="47">
        <v>1</v>
      </c>
      <c r="J22" s="49"/>
      <c r="K22" s="40" t="s">
        <v>17</v>
      </c>
      <c r="L22" s="47"/>
    </row>
    <row r="23" spans="1:12" ht="21" customHeight="1" x14ac:dyDescent="0.25">
      <c r="A23" s="39" t="str">
        <f t="shared" si="0"/>
        <v>Е4</v>
      </c>
      <c r="B23" s="40" t="s">
        <v>267</v>
      </c>
      <c r="C23" s="39"/>
      <c r="D23" s="41" t="s">
        <v>218</v>
      </c>
      <c r="E23" s="39" t="s">
        <v>219</v>
      </c>
      <c r="F23" s="40">
        <v>7025</v>
      </c>
      <c r="G23" s="42">
        <f t="shared" si="1"/>
        <v>4215</v>
      </c>
      <c r="H23" s="42">
        <f>G23*I23</f>
        <v>4215</v>
      </c>
      <c r="I23" s="43">
        <v>1</v>
      </c>
      <c r="J23" s="44" t="s">
        <v>13</v>
      </c>
      <c r="K23" s="40" t="s">
        <v>17</v>
      </c>
      <c r="L23" s="43"/>
    </row>
    <row r="24" spans="1:12" ht="21" customHeight="1" x14ac:dyDescent="0.25">
      <c r="A24" s="39" t="str">
        <f t="shared" si="0"/>
        <v>Е4</v>
      </c>
      <c r="B24" s="40" t="s">
        <v>24</v>
      </c>
      <c r="C24" s="39"/>
      <c r="D24" s="41"/>
      <c r="E24" s="39" t="s">
        <v>222</v>
      </c>
      <c r="F24" s="40"/>
      <c r="G24" s="42">
        <f t="shared" si="1"/>
        <v>0</v>
      </c>
      <c r="H24" s="42">
        <f t="shared" ref="H24" si="12">G24*I24</f>
        <v>0</v>
      </c>
      <c r="I24" s="43">
        <v>2</v>
      </c>
      <c r="J24" s="44" t="s">
        <v>13</v>
      </c>
      <c r="K24" s="40" t="s">
        <v>191</v>
      </c>
      <c r="L24" s="43"/>
    </row>
    <row r="25" spans="1:12" ht="42" customHeight="1" x14ac:dyDescent="0.25">
      <c r="A25" s="39" t="str">
        <f t="shared" si="0"/>
        <v>Е4</v>
      </c>
      <c r="B25" s="40" t="s">
        <v>268</v>
      </c>
      <c r="C25" s="39"/>
      <c r="D25" s="41" t="s">
        <v>225</v>
      </c>
      <c r="E25" s="39" t="s">
        <v>226</v>
      </c>
      <c r="F25" s="40">
        <v>2180</v>
      </c>
      <c r="G25" s="42">
        <f t="shared" si="1"/>
        <v>1308</v>
      </c>
      <c r="H25" s="42">
        <f>G25*I25</f>
        <v>1308</v>
      </c>
      <c r="I25" s="43">
        <v>1</v>
      </c>
      <c r="J25" s="44" t="s">
        <v>13</v>
      </c>
      <c r="K25" s="40" t="s">
        <v>17</v>
      </c>
      <c r="L25" s="43"/>
    </row>
    <row r="26" spans="1:12" ht="21" customHeight="1" x14ac:dyDescent="0.25">
      <c r="A26" s="39" t="str">
        <f t="shared" si="0"/>
        <v>Е4</v>
      </c>
      <c r="B26" s="40" t="s">
        <v>267</v>
      </c>
      <c r="C26" s="39"/>
      <c r="D26" s="41" t="s">
        <v>223</v>
      </c>
      <c r="E26" s="39" t="s">
        <v>224</v>
      </c>
      <c r="F26" s="40">
        <v>6032</v>
      </c>
      <c r="G26" s="42">
        <f t="shared" si="1"/>
        <v>3619.2</v>
      </c>
      <c r="H26" s="42">
        <f>G26*I26</f>
        <v>3619.2</v>
      </c>
      <c r="I26" s="43">
        <v>1</v>
      </c>
      <c r="J26" s="44" t="s">
        <v>13</v>
      </c>
      <c r="K26" s="40" t="s">
        <v>17</v>
      </c>
      <c r="L26" s="43"/>
    </row>
    <row r="27" spans="1:12" ht="21" customHeight="1" x14ac:dyDescent="0.25">
      <c r="A27" s="39" t="str">
        <f t="shared" si="0"/>
        <v>Е4</v>
      </c>
      <c r="B27" s="40" t="s">
        <v>193</v>
      </c>
      <c r="C27" s="39"/>
      <c r="D27" s="41" t="s">
        <v>228</v>
      </c>
      <c r="E27" s="39" t="s">
        <v>229</v>
      </c>
      <c r="F27" s="40">
        <v>3340</v>
      </c>
      <c r="G27" s="42">
        <f t="shared" si="1"/>
        <v>2004</v>
      </c>
      <c r="H27" s="42">
        <f t="shared" ref="H27:H29" si="13">G27*I27</f>
        <v>4008</v>
      </c>
      <c r="I27" s="43">
        <v>2</v>
      </c>
      <c r="J27" s="44" t="s">
        <v>13</v>
      </c>
      <c r="K27" s="40" t="s">
        <v>17</v>
      </c>
      <c r="L27" s="43"/>
    </row>
    <row r="28" spans="1:12" ht="24" customHeight="1" x14ac:dyDescent="0.25">
      <c r="A28" s="39" t="str">
        <f t="shared" si="0"/>
        <v>Е4</v>
      </c>
      <c r="B28" s="39" t="s">
        <v>10</v>
      </c>
      <c r="C28" s="39"/>
      <c r="D28" s="45" t="s">
        <v>10</v>
      </c>
      <c r="E28" s="39" t="s">
        <v>10</v>
      </c>
      <c r="F28" s="39"/>
      <c r="G28" s="42">
        <f t="shared" si="1"/>
        <v>0</v>
      </c>
      <c r="H28" s="42">
        <f t="shared" si="13"/>
        <v>0</v>
      </c>
      <c r="I28" s="39"/>
      <c r="J28" s="39" t="s">
        <v>13</v>
      </c>
      <c r="K28" s="39" t="s">
        <v>10</v>
      </c>
      <c r="L28" s="39"/>
    </row>
    <row r="29" spans="1:12" ht="21" customHeight="1" x14ac:dyDescent="0.25">
      <c r="A29" s="39" t="str">
        <f t="shared" si="0"/>
        <v>Е4</v>
      </c>
      <c r="B29" s="39" t="s">
        <v>11</v>
      </c>
      <c r="C29" s="39"/>
      <c r="D29" s="45" t="s">
        <v>11</v>
      </c>
      <c r="E29" s="39" t="s">
        <v>11</v>
      </c>
      <c r="F29" s="39">
        <f>I29/60</f>
        <v>0</v>
      </c>
      <c r="G29" s="42">
        <f t="shared" si="1"/>
        <v>0</v>
      </c>
      <c r="H29" s="42">
        <f t="shared" si="13"/>
        <v>0</v>
      </c>
      <c r="I29" s="39"/>
      <c r="J29" s="39" t="s">
        <v>13</v>
      </c>
      <c r="K29" s="39" t="s">
        <v>11</v>
      </c>
      <c r="L29" s="39"/>
    </row>
    <row r="30" spans="1:12" ht="39.75" customHeight="1" x14ac:dyDescent="0.25">
      <c r="A30" s="32" t="str">
        <f>E30</f>
        <v>B01</v>
      </c>
      <c r="B30" s="33"/>
      <c r="C30" s="32"/>
      <c r="D30" s="34"/>
      <c r="E30" s="33" t="s">
        <v>230</v>
      </c>
      <c r="F30" s="35"/>
      <c r="G30" s="35"/>
      <c r="H30" s="36"/>
      <c r="I30" s="37">
        <v>1</v>
      </c>
      <c r="J30" s="38" t="s">
        <v>7</v>
      </c>
      <c r="K30" s="33" t="s">
        <v>9</v>
      </c>
      <c r="L30" s="37"/>
    </row>
    <row r="31" spans="1:12" ht="21" customHeight="1" x14ac:dyDescent="0.25">
      <c r="A31" s="39" t="str">
        <f>A30</f>
        <v>B01</v>
      </c>
      <c r="B31" s="40" t="s">
        <v>8</v>
      </c>
      <c r="C31" s="39"/>
      <c r="D31" s="41"/>
      <c r="E31" s="39"/>
      <c r="F31" s="40"/>
      <c r="G31" s="42">
        <f>F31</f>
        <v>0</v>
      </c>
      <c r="H31" s="42">
        <f>I31*G31</f>
        <v>0</v>
      </c>
      <c r="I31" s="43">
        <v>1</v>
      </c>
      <c r="J31" s="44" t="s">
        <v>13</v>
      </c>
      <c r="K31" s="40" t="s">
        <v>16</v>
      </c>
      <c r="L31" s="43"/>
    </row>
    <row r="32" spans="1:12" ht="21" customHeight="1" x14ac:dyDescent="0.25">
      <c r="A32" s="39" t="str">
        <f t="shared" ref="A32:A37" si="14">A31</f>
        <v>B01</v>
      </c>
      <c r="B32" s="40" t="s">
        <v>61</v>
      </c>
      <c r="C32" s="39"/>
      <c r="D32" s="41" t="s">
        <v>231</v>
      </c>
      <c r="E32" s="39" t="s">
        <v>232</v>
      </c>
      <c r="F32" s="40">
        <v>11813</v>
      </c>
      <c r="G32" s="42">
        <f>F32*0.6</f>
        <v>7087.8</v>
      </c>
      <c r="H32" s="42">
        <f>G32*I32</f>
        <v>21263.4</v>
      </c>
      <c r="I32" s="43">
        <v>3</v>
      </c>
      <c r="J32" s="44" t="s">
        <v>13</v>
      </c>
      <c r="K32" s="40" t="s">
        <v>17</v>
      </c>
      <c r="L32" s="43"/>
    </row>
    <row r="33" spans="1:12" ht="21" customHeight="1" x14ac:dyDescent="0.25">
      <c r="A33" s="39" t="str">
        <f t="shared" si="14"/>
        <v>B01</v>
      </c>
      <c r="B33" s="40" t="s">
        <v>267</v>
      </c>
      <c r="C33" s="39"/>
      <c r="D33" s="41" t="s">
        <v>233</v>
      </c>
      <c r="E33" s="39" t="s">
        <v>234</v>
      </c>
      <c r="F33" s="40">
        <v>29944</v>
      </c>
      <c r="G33" s="42">
        <f t="shared" ref="G33" si="15">F33*0.6</f>
        <v>17966.399999999998</v>
      </c>
      <c r="H33" s="42">
        <f t="shared" ref="H33" si="16">G33*I33</f>
        <v>17966.399999999998</v>
      </c>
      <c r="I33" s="43">
        <v>1</v>
      </c>
      <c r="J33" s="44" t="s">
        <v>13</v>
      </c>
      <c r="K33" s="40" t="s">
        <v>17</v>
      </c>
      <c r="L33" s="43"/>
    </row>
    <row r="34" spans="1:12" ht="21" customHeight="1" x14ac:dyDescent="0.25">
      <c r="A34" s="39" t="str">
        <f t="shared" si="14"/>
        <v>B01</v>
      </c>
      <c r="B34" s="40" t="s">
        <v>267</v>
      </c>
      <c r="C34" s="39"/>
      <c r="D34" s="41" t="s">
        <v>235</v>
      </c>
      <c r="E34" s="39" t="s">
        <v>236</v>
      </c>
      <c r="F34" s="40">
        <v>19922</v>
      </c>
      <c r="G34" s="42">
        <f>F34*0.6</f>
        <v>11953.199999999999</v>
      </c>
      <c r="H34" s="42">
        <f>G34*I34</f>
        <v>23906.399999999998</v>
      </c>
      <c r="I34" s="43">
        <v>2</v>
      </c>
      <c r="J34" s="44" t="s">
        <v>13</v>
      </c>
      <c r="K34" s="40" t="s">
        <v>17</v>
      </c>
      <c r="L34" s="43"/>
    </row>
    <row r="35" spans="1:12" ht="21" customHeight="1" x14ac:dyDescent="0.25">
      <c r="A35" s="39" t="str">
        <f t="shared" si="14"/>
        <v>B01</v>
      </c>
      <c r="B35" s="40" t="s">
        <v>12</v>
      </c>
      <c r="C35" s="39"/>
      <c r="D35" s="41" t="s">
        <v>41</v>
      </c>
      <c r="E35" s="39" t="s">
        <v>42</v>
      </c>
      <c r="F35" s="40">
        <v>2337</v>
      </c>
      <c r="G35" s="42">
        <f>F35*0.6</f>
        <v>1402.2</v>
      </c>
      <c r="H35" s="42">
        <f>G35*I35</f>
        <v>11217.6</v>
      </c>
      <c r="I35" s="43">
        <v>8</v>
      </c>
      <c r="J35" s="44" t="s">
        <v>13</v>
      </c>
      <c r="K35" s="40" t="s">
        <v>17</v>
      </c>
      <c r="L35" s="43"/>
    </row>
    <row r="36" spans="1:12" ht="24" customHeight="1" x14ac:dyDescent="0.25">
      <c r="A36" s="39" t="str">
        <f>A34</f>
        <v>B01</v>
      </c>
      <c r="B36" s="39" t="s">
        <v>10</v>
      </c>
      <c r="C36" s="39"/>
      <c r="D36" s="45" t="s">
        <v>10</v>
      </c>
      <c r="E36" s="39" t="s">
        <v>10</v>
      </c>
      <c r="F36" s="39"/>
      <c r="G36" s="42">
        <f t="shared" ref="G36:G37" si="17">F36*0.6</f>
        <v>0</v>
      </c>
      <c r="H36" s="42">
        <f t="shared" ref="H36:H37" si="18">G36*I36</f>
        <v>0</v>
      </c>
      <c r="I36" s="39"/>
      <c r="J36" s="39" t="s">
        <v>13</v>
      </c>
      <c r="K36" s="39" t="s">
        <v>10</v>
      </c>
      <c r="L36" s="39"/>
    </row>
    <row r="37" spans="1:12" ht="21" customHeight="1" x14ac:dyDescent="0.25">
      <c r="A37" s="39" t="str">
        <f t="shared" si="14"/>
        <v>B01</v>
      </c>
      <c r="B37" s="39" t="s">
        <v>11</v>
      </c>
      <c r="C37" s="39"/>
      <c r="D37" s="45" t="s">
        <v>11</v>
      </c>
      <c r="E37" s="39" t="s">
        <v>11</v>
      </c>
      <c r="F37" s="39">
        <f>I37/60</f>
        <v>0</v>
      </c>
      <c r="G37" s="42">
        <f t="shared" si="17"/>
        <v>0</v>
      </c>
      <c r="H37" s="42">
        <f t="shared" si="18"/>
        <v>0</v>
      </c>
      <c r="I37" s="39"/>
      <c r="J37" s="39" t="s">
        <v>13</v>
      </c>
      <c r="K37" s="39" t="s">
        <v>11</v>
      </c>
      <c r="L37" s="39"/>
    </row>
    <row r="38" spans="1:12" ht="39.75" customHeight="1" x14ac:dyDescent="0.25">
      <c r="A38" s="32" t="str">
        <f>E38</f>
        <v>B1</v>
      </c>
      <c r="B38" s="33"/>
      <c r="C38" s="32"/>
      <c r="D38" s="34"/>
      <c r="E38" s="33" t="s">
        <v>237</v>
      </c>
      <c r="F38" s="35"/>
      <c r="G38" s="35"/>
      <c r="H38" s="36"/>
      <c r="I38" s="37">
        <v>1</v>
      </c>
      <c r="J38" s="38" t="s">
        <v>7</v>
      </c>
      <c r="K38" s="33" t="s">
        <v>9</v>
      </c>
      <c r="L38" s="37"/>
    </row>
    <row r="39" spans="1:12" ht="21" customHeight="1" x14ac:dyDescent="0.25">
      <c r="A39" s="39" t="str">
        <f>A38</f>
        <v>B1</v>
      </c>
      <c r="B39" s="40" t="s">
        <v>8</v>
      </c>
      <c r="C39" s="39"/>
      <c r="D39" s="41"/>
      <c r="E39" s="39"/>
      <c r="F39" s="40"/>
      <c r="G39" s="42">
        <f>F39</f>
        <v>0</v>
      </c>
      <c r="H39" s="42">
        <f>I39*G39</f>
        <v>0</v>
      </c>
      <c r="I39" s="43">
        <v>1</v>
      </c>
      <c r="J39" s="44" t="s">
        <v>13</v>
      </c>
      <c r="K39" s="40" t="s">
        <v>16</v>
      </c>
      <c r="L39" s="43"/>
    </row>
    <row r="40" spans="1:12" ht="21" customHeight="1" x14ac:dyDescent="0.25">
      <c r="A40" s="39" t="str">
        <f t="shared" ref="A40:A44" si="19">A39</f>
        <v>B1</v>
      </c>
      <c r="B40" s="40" t="s">
        <v>61</v>
      </c>
      <c r="C40" s="39"/>
      <c r="D40" s="41" t="s">
        <v>231</v>
      </c>
      <c r="E40" s="39" t="s">
        <v>232</v>
      </c>
      <c r="F40" s="40">
        <v>11813</v>
      </c>
      <c r="G40" s="42">
        <f>F40*0.6</f>
        <v>7087.8</v>
      </c>
      <c r="H40" s="42">
        <f>G40*I40</f>
        <v>21263.4</v>
      </c>
      <c r="I40" s="43">
        <v>3</v>
      </c>
      <c r="J40" s="44" t="s">
        <v>13</v>
      </c>
      <c r="K40" s="40" t="s">
        <v>17</v>
      </c>
      <c r="L40" s="43"/>
    </row>
    <row r="41" spans="1:12" ht="21" customHeight="1" x14ac:dyDescent="0.25">
      <c r="A41" s="39" t="str">
        <f t="shared" si="19"/>
        <v>B1</v>
      </c>
      <c r="B41" s="40" t="s">
        <v>267</v>
      </c>
      <c r="C41" s="39"/>
      <c r="D41" s="41" t="s">
        <v>235</v>
      </c>
      <c r="E41" s="39" t="s">
        <v>236</v>
      </c>
      <c r="F41" s="40">
        <v>19922</v>
      </c>
      <c r="G41" s="42">
        <f>F41*0.6</f>
        <v>11953.199999999999</v>
      </c>
      <c r="H41" s="42">
        <f>G41*I41</f>
        <v>35859.599999999999</v>
      </c>
      <c r="I41" s="43">
        <v>3</v>
      </c>
      <c r="J41" s="44" t="s">
        <v>13</v>
      </c>
      <c r="K41" s="40" t="s">
        <v>17</v>
      </c>
      <c r="L41" s="43"/>
    </row>
    <row r="42" spans="1:12" ht="21" customHeight="1" x14ac:dyDescent="0.25">
      <c r="A42" s="39" t="str">
        <f t="shared" si="19"/>
        <v>B1</v>
      </c>
      <c r="B42" s="40" t="s">
        <v>12</v>
      </c>
      <c r="C42" s="39"/>
      <c r="D42" s="41" t="s">
        <v>41</v>
      </c>
      <c r="E42" s="39" t="s">
        <v>42</v>
      </c>
      <c r="F42" s="40">
        <v>2337</v>
      </c>
      <c r="G42" s="42">
        <f>F42*0.6</f>
        <v>1402.2</v>
      </c>
      <c r="H42" s="42">
        <f>G42*I42</f>
        <v>12619.800000000001</v>
      </c>
      <c r="I42" s="43">
        <v>9</v>
      </c>
      <c r="J42" s="44" t="s">
        <v>13</v>
      </c>
      <c r="K42" s="40" t="s">
        <v>17</v>
      </c>
      <c r="L42" s="43"/>
    </row>
    <row r="43" spans="1:12" ht="24" customHeight="1" x14ac:dyDescent="0.25">
      <c r="A43" s="39" t="str">
        <f t="shared" si="19"/>
        <v>B1</v>
      </c>
      <c r="B43" s="39" t="s">
        <v>10</v>
      </c>
      <c r="C43" s="39"/>
      <c r="D43" s="45" t="s">
        <v>10</v>
      </c>
      <c r="E43" s="39" t="s">
        <v>10</v>
      </c>
      <c r="F43" s="39"/>
      <c r="G43" s="42">
        <f t="shared" ref="G43:G44" si="20">F43*0.6</f>
        <v>0</v>
      </c>
      <c r="H43" s="42">
        <f t="shared" ref="H43:H44" si="21">G43*I43</f>
        <v>0</v>
      </c>
      <c r="I43" s="39"/>
      <c r="J43" s="39" t="s">
        <v>13</v>
      </c>
      <c r="K43" s="39" t="s">
        <v>10</v>
      </c>
      <c r="L43" s="39"/>
    </row>
    <row r="44" spans="1:12" ht="21" customHeight="1" x14ac:dyDescent="0.25">
      <c r="A44" s="39" t="str">
        <f t="shared" si="19"/>
        <v>B1</v>
      </c>
      <c r="B44" s="39" t="s">
        <v>11</v>
      </c>
      <c r="C44" s="39"/>
      <c r="D44" s="45" t="s">
        <v>11</v>
      </c>
      <c r="E44" s="39" t="s">
        <v>11</v>
      </c>
      <c r="F44" s="39">
        <f>I44/60</f>
        <v>0</v>
      </c>
      <c r="G44" s="42">
        <f t="shared" si="20"/>
        <v>0</v>
      </c>
      <c r="H44" s="42">
        <f t="shared" si="21"/>
        <v>0</v>
      </c>
      <c r="I44" s="39"/>
      <c r="J44" s="39" t="s">
        <v>13</v>
      </c>
      <c r="K44" s="39" t="s">
        <v>11</v>
      </c>
      <c r="L44" s="39"/>
    </row>
    <row r="45" spans="1:12" ht="39.75" customHeight="1" x14ac:dyDescent="0.25">
      <c r="A45" s="32" t="str">
        <f>E45</f>
        <v>B2</v>
      </c>
      <c r="B45" s="33"/>
      <c r="C45" s="32"/>
      <c r="D45" s="34"/>
      <c r="E45" s="33" t="s">
        <v>238</v>
      </c>
      <c r="F45" s="35"/>
      <c r="G45" s="35"/>
      <c r="H45" s="36"/>
      <c r="I45" s="37">
        <v>1</v>
      </c>
      <c r="J45" s="38" t="s">
        <v>7</v>
      </c>
      <c r="K45" s="33" t="s">
        <v>9</v>
      </c>
      <c r="L45" s="37"/>
    </row>
    <row r="46" spans="1:12" ht="21" customHeight="1" x14ac:dyDescent="0.25">
      <c r="A46" s="39" t="str">
        <f>A45</f>
        <v>B2</v>
      </c>
      <c r="B46" s="40" t="s">
        <v>8</v>
      </c>
      <c r="C46" s="39"/>
      <c r="D46" s="41"/>
      <c r="E46" s="39"/>
      <c r="F46" s="40"/>
      <c r="G46" s="42">
        <f>F46</f>
        <v>0</v>
      </c>
      <c r="H46" s="42">
        <f>I46*G46</f>
        <v>0</v>
      </c>
      <c r="I46" s="43">
        <v>1</v>
      </c>
      <c r="J46" s="44" t="s">
        <v>13</v>
      </c>
      <c r="K46" s="40" t="s">
        <v>16</v>
      </c>
      <c r="L46" s="43"/>
    </row>
    <row r="47" spans="1:12" ht="21" customHeight="1" x14ac:dyDescent="0.25">
      <c r="A47" s="39" t="str">
        <f t="shared" ref="A47:A52" si="22">A46</f>
        <v>B2</v>
      </c>
      <c r="B47" s="40" t="s">
        <v>61</v>
      </c>
      <c r="C47" s="39"/>
      <c r="D47" s="41" t="s">
        <v>231</v>
      </c>
      <c r="E47" s="39" t="s">
        <v>232</v>
      </c>
      <c r="F47" s="40">
        <v>11813</v>
      </c>
      <c r="G47" s="42">
        <f>F47*0.6</f>
        <v>7087.8</v>
      </c>
      <c r="H47" s="42">
        <f>G47*I47</f>
        <v>21263.4</v>
      </c>
      <c r="I47" s="43">
        <v>3</v>
      </c>
      <c r="J47" s="44" t="s">
        <v>13</v>
      </c>
      <c r="K47" s="40" t="s">
        <v>17</v>
      </c>
      <c r="L47" s="43"/>
    </row>
    <row r="48" spans="1:12" ht="21" customHeight="1" x14ac:dyDescent="0.25">
      <c r="A48" s="39" t="str">
        <f t="shared" si="22"/>
        <v>B2</v>
      </c>
      <c r="B48" s="40" t="s">
        <v>267</v>
      </c>
      <c r="C48" s="39"/>
      <c r="D48" s="41" t="s">
        <v>235</v>
      </c>
      <c r="E48" s="39" t="s">
        <v>236</v>
      </c>
      <c r="F48" s="40">
        <v>19922</v>
      </c>
      <c r="G48" s="42">
        <f>F48*0.6</f>
        <v>11953.199999999999</v>
      </c>
      <c r="H48" s="42">
        <f>G48*I48</f>
        <v>35859.599999999999</v>
      </c>
      <c r="I48" s="43">
        <v>3</v>
      </c>
      <c r="J48" s="44" t="s">
        <v>13</v>
      </c>
      <c r="K48" s="40" t="s">
        <v>17</v>
      </c>
      <c r="L48" s="43"/>
    </row>
    <row r="49" spans="1:12" ht="21" customHeight="1" x14ac:dyDescent="0.25">
      <c r="A49" s="39" t="str">
        <f t="shared" si="22"/>
        <v>B2</v>
      </c>
      <c r="B49" s="40" t="s">
        <v>12</v>
      </c>
      <c r="C49" s="39"/>
      <c r="D49" s="41" t="s">
        <v>41</v>
      </c>
      <c r="E49" s="39" t="s">
        <v>42</v>
      </c>
      <c r="F49" s="40">
        <v>2337</v>
      </c>
      <c r="G49" s="42">
        <f>F49*0.6</f>
        <v>1402.2</v>
      </c>
      <c r="H49" s="42">
        <f>G49*I49</f>
        <v>1402.2</v>
      </c>
      <c r="I49" s="43">
        <v>1</v>
      </c>
      <c r="J49" s="44" t="s">
        <v>13</v>
      </c>
      <c r="K49" s="40" t="s">
        <v>17</v>
      </c>
      <c r="L49" s="43"/>
    </row>
    <row r="50" spans="1:12" ht="21" customHeight="1" x14ac:dyDescent="0.25">
      <c r="A50" s="39" t="str">
        <f t="shared" ref="A50" si="23">A49</f>
        <v>B2</v>
      </c>
      <c r="B50" s="40" t="s">
        <v>12</v>
      </c>
      <c r="C50" s="39"/>
      <c r="D50" s="41" t="s">
        <v>239</v>
      </c>
      <c r="E50" s="39" t="s">
        <v>240</v>
      </c>
      <c r="F50" s="40">
        <v>2447</v>
      </c>
      <c r="G50" s="42">
        <f>F50*0.6</f>
        <v>1468.2</v>
      </c>
      <c r="H50" s="42">
        <f>G50*I50</f>
        <v>20554.8</v>
      </c>
      <c r="I50" s="43">
        <v>14</v>
      </c>
      <c r="J50" s="44" t="s">
        <v>13</v>
      </c>
      <c r="K50" s="40" t="s">
        <v>17</v>
      </c>
      <c r="L50" s="43"/>
    </row>
    <row r="51" spans="1:12" ht="24" customHeight="1" x14ac:dyDescent="0.25">
      <c r="A51" s="39" t="str">
        <f>A49</f>
        <v>B2</v>
      </c>
      <c r="B51" s="39" t="s">
        <v>10</v>
      </c>
      <c r="C51" s="39"/>
      <c r="D51" s="45" t="s">
        <v>10</v>
      </c>
      <c r="E51" s="39" t="s">
        <v>10</v>
      </c>
      <c r="F51" s="39"/>
      <c r="G51" s="42">
        <f t="shared" ref="G51:G52" si="24">F51*0.6</f>
        <v>0</v>
      </c>
      <c r="H51" s="42">
        <f t="shared" ref="H51:H52" si="25">G51*I51</f>
        <v>0</v>
      </c>
      <c r="I51" s="39"/>
      <c r="J51" s="39" t="s">
        <v>13</v>
      </c>
      <c r="K51" s="39" t="s">
        <v>10</v>
      </c>
      <c r="L51" s="39"/>
    </row>
    <row r="52" spans="1:12" ht="21" customHeight="1" x14ac:dyDescent="0.25">
      <c r="A52" s="39" t="str">
        <f t="shared" si="22"/>
        <v>B2</v>
      </c>
      <c r="B52" s="39" t="s">
        <v>11</v>
      </c>
      <c r="C52" s="39"/>
      <c r="D52" s="45" t="s">
        <v>11</v>
      </c>
      <c r="E52" s="39" t="s">
        <v>11</v>
      </c>
      <c r="F52" s="39">
        <f>I52/60</f>
        <v>0</v>
      </c>
      <c r="G52" s="42">
        <f t="shared" si="24"/>
        <v>0</v>
      </c>
      <c r="H52" s="42">
        <f t="shared" si="25"/>
        <v>0</v>
      </c>
      <c r="I52" s="39"/>
      <c r="J52" s="39" t="s">
        <v>13</v>
      </c>
      <c r="K52" s="39" t="s">
        <v>11</v>
      </c>
      <c r="L52" s="39"/>
    </row>
    <row r="53" spans="1:12" ht="39.75" customHeight="1" x14ac:dyDescent="0.25">
      <c r="A53" s="32" t="str">
        <f>E53</f>
        <v>B3</v>
      </c>
      <c r="B53" s="33"/>
      <c r="C53" s="32"/>
      <c r="D53" s="34"/>
      <c r="E53" s="33" t="s">
        <v>241</v>
      </c>
      <c r="F53" s="35"/>
      <c r="G53" s="35"/>
      <c r="H53" s="36"/>
      <c r="I53" s="37">
        <v>1</v>
      </c>
      <c r="J53" s="38" t="s">
        <v>7</v>
      </c>
      <c r="K53" s="33" t="s">
        <v>9</v>
      </c>
      <c r="L53" s="37"/>
    </row>
    <row r="54" spans="1:12" ht="21" customHeight="1" x14ac:dyDescent="0.25">
      <c r="A54" s="39" t="str">
        <f>A53</f>
        <v>B3</v>
      </c>
      <c r="B54" s="40" t="s">
        <v>8</v>
      </c>
      <c r="C54" s="39"/>
      <c r="D54" s="41"/>
      <c r="E54" s="39"/>
      <c r="F54" s="40"/>
      <c r="G54" s="42">
        <f>F54</f>
        <v>0</v>
      </c>
      <c r="H54" s="42">
        <f>I54*G54</f>
        <v>0</v>
      </c>
      <c r="I54" s="43">
        <v>1</v>
      </c>
      <c r="J54" s="44" t="s">
        <v>13</v>
      </c>
      <c r="K54" s="40" t="s">
        <v>16</v>
      </c>
      <c r="L54" s="43"/>
    </row>
    <row r="55" spans="1:12" ht="21" customHeight="1" x14ac:dyDescent="0.25">
      <c r="A55" s="39" t="str">
        <f>A53</f>
        <v>B3</v>
      </c>
      <c r="B55" s="40" t="s">
        <v>61</v>
      </c>
      <c r="C55" s="39"/>
      <c r="D55" s="41" t="s">
        <v>231</v>
      </c>
      <c r="E55" s="39" t="s">
        <v>232</v>
      </c>
      <c r="F55" s="40">
        <v>11813</v>
      </c>
      <c r="G55" s="42">
        <f>F55*0.6</f>
        <v>7087.8</v>
      </c>
      <c r="H55" s="42">
        <f>G55*I55</f>
        <v>7087.8</v>
      </c>
      <c r="I55" s="43">
        <v>1</v>
      </c>
      <c r="J55" s="44" t="s">
        <v>13</v>
      </c>
      <c r="K55" s="40" t="s">
        <v>17</v>
      </c>
      <c r="L55" s="43"/>
    </row>
    <row r="56" spans="1:12" ht="21" customHeight="1" x14ac:dyDescent="0.25">
      <c r="A56" s="39" t="str">
        <f>A54</f>
        <v>B3</v>
      </c>
      <c r="B56" s="40" t="s">
        <v>61</v>
      </c>
      <c r="C56" s="39"/>
      <c r="D56" s="41" t="s">
        <v>242</v>
      </c>
      <c r="E56" s="39" t="s">
        <v>243</v>
      </c>
      <c r="F56" s="40">
        <v>6347</v>
      </c>
      <c r="G56" s="42">
        <f>F56*0.6</f>
        <v>3808.2</v>
      </c>
      <c r="H56" s="42">
        <f>G56*I56</f>
        <v>3808.2</v>
      </c>
      <c r="I56" s="43">
        <v>1</v>
      </c>
      <c r="J56" s="44" t="s">
        <v>13</v>
      </c>
      <c r="K56" s="40" t="s">
        <v>17</v>
      </c>
      <c r="L56" s="43"/>
    </row>
    <row r="57" spans="1:12" ht="21" customHeight="1" x14ac:dyDescent="0.25">
      <c r="A57" s="39" t="str">
        <f t="shared" ref="A57:A58" si="26">A56</f>
        <v>B3</v>
      </c>
      <c r="B57" s="40" t="s">
        <v>267</v>
      </c>
      <c r="C57" s="39"/>
      <c r="D57" s="41" t="s">
        <v>235</v>
      </c>
      <c r="E57" s="39" t="s">
        <v>236</v>
      </c>
      <c r="F57" s="40">
        <v>19922</v>
      </c>
      <c r="G57" s="42">
        <f>F57*0.6</f>
        <v>11953.199999999999</v>
      </c>
      <c r="H57" s="42">
        <f>G57*I57</f>
        <v>23906.399999999998</v>
      </c>
      <c r="I57" s="43">
        <v>2</v>
      </c>
      <c r="J57" s="44" t="s">
        <v>13</v>
      </c>
      <c r="K57" s="40" t="s">
        <v>17</v>
      </c>
      <c r="L57" s="43"/>
    </row>
    <row r="58" spans="1:12" ht="21" customHeight="1" x14ac:dyDescent="0.25">
      <c r="A58" s="39" t="str">
        <f t="shared" si="26"/>
        <v>B3</v>
      </c>
      <c r="B58" s="40" t="s">
        <v>12</v>
      </c>
      <c r="C58" s="39"/>
      <c r="D58" s="41" t="s">
        <v>41</v>
      </c>
      <c r="E58" s="39" t="s">
        <v>42</v>
      </c>
      <c r="F58" s="40">
        <v>2337</v>
      </c>
      <c r="G58" s="42">
        <f>F58*0.6</f>
        <v>1402.2</v>
      </c>
      <c r="H58" s="42">
        <f>G58*I58</f>
        <v>5608.8</v>
      </c>
      <c r="I58" s="43">
        <v>4</v>
      </c>
      <c r="J58" s="44" t="s">
        <v>13</v>
      </c>
      <c r="K58" s="40" t="s">
        <v>17</v>
      </c>
      <c r="L58" s="43"/>
    </row>
    <row r="59" spans="1:12" ht="24" customHeight="1" x14ac:dyDescent="0.25">
      <c r="A59" s="39" t="str">
        <f>A58</f>
        <v>B3</v>
      </c>
      <c r="B59" s="39" t="s">
        <v>10</v>
      </c>
      <c r="C59" s="39"/>
      <c r="D59" s="45" t="s">
        <v>10</v>
      </c>
      <c r="E59" s="39" t="s">
        <v>10</v>
      </c>
      <c r="F59" s="39"/>
      <c r="G59" s="42">
        <f t="shared" ref="G59:G60" si="27">F59*0.6</f>
        <v>0</v>
      </c>
      <c r="H59" s="42">
        <f t="shared" ref="H59:H60" si="28">G59*I59</f>
        <v>0</v>
      </c>
      <c r="I59" s="39"/>
      <c r="J59" s="39" t="s">
        <v>13</v>
      </c>
      <c r="K59" s="39" t="s">
        <v>10</v>
      </c>
      <c r="L59" s="39"/>
    </row>
    <row r="60" spans="1:12" ht="21" customHeight="1" x14ac:dyDescent="0.25">
      <c r="A60" s="39" t="str">
        <f t="shared" ref="A60" si="29">A59</f>
        <v>B3</v>
      </c>
      <c r="B60" s="39" t="s">
        <v>11</v>
      </c>
      <c r="C60" s="39"/>
      <c r="D60" s="45" t="s">
        <v>11</v>
      </c>
      <c r="E60" s="39" t="s">
        <v>11</v>
      </c>
      <c r="F60" s="39">
        <f>I60/60</f>
        <v>0</v>
      </c>
      <c r="G60" s="42">
        <f t="shared" si="27"/>
        <v>0</v>
      </c>
      <c r="H60" s="42">
        <f t="shared" si="28"/>
        <v>0</v>
      </c>
      <c r="I60" s="39"/>
      <c r="J60" s="39" t="s">
        <v>13</v>
      </c>
      <c r="K60" s="39" t="s">
        <v>11</v>
      </c>
      <c r="L60" s="39"/>
    </row>
    <row r="61" spans="1:12" ht="39.75" customHeight="1" x14ac:dyDescent="0.25">
      <c r="A61" s="32" t="str">
        <f>E61</f>
        <v>B4</v>
      </c>
      <c r="B61" s="33"/>
      <c r="C61" s="32"/>
      <c r="D61" s="34"/>
      <c r="E61" s="33" t="s">
        <v>244</v>
      </c>
      <c r="F61" s="35"/>
      <c r="G61" s="35"/>
      <c r="H61" s="36"/>
      <c r="I61" s="37">
        <v>1</v>
      </c>
      <c r="J61" s="38" t="s">
        <v>7</v>
      </c>
      <c r="K61" s="33" t="s">
        <v>9</v>
      </c>
      <c r="L61" s="37"/>
    </row>
    <row r="62" spans="1:12" ht="21" customHeight="1" x14ac:dyDescent="0.25">
      <c r="A62" s="39" t="str">
        <f>A61</f>
        <v>B4</v>
      </c>
      <c r="B62" s="40" t="s">
        <v>8</v>
      </c>
      <c r="C62" s="39"/>
      <c r="D62" s="41"/>
      <c r="E62" s="39"/>
      <c r="F62" s="40"/>
      <c r="G62" s="42">
        <f>F62</f>
        <v>0</v>
      </c>
      <c r="H62" s="42">
        <f>I62*G62</f>
        <v>0</v>
      </c>
      <c r="I62" s="43">
        <v>1</v>
      </c>
      <c r="J62" s="44" t="s">
        <v>13</v>
      </c>
      <c r="K62" s="40" t="s">
        <v>16</v>
      </c>
      <c r="L62" s="43"/>
    </row>
    <row r="63" spans="1:12" ht="21" customHeight="1" x14ac:dyDescent="0.25">
      <c r="A63" s="39" t="str">
        <f>A61</f>
        <v>B4</v>
      </c>
      <c r="B63" s="40" t="s">
        <v>61</v>
      </c>
      <c r="C63" s="39"/>
      <c r="D63" s="41" t="s">
        <v>231</v>
      </c>
      <c r="E63" s="39" t="s">
        <v>232</v>
      </c>
      <c r="F63" s="40">
        <v>11813</v>
      </c>
      <c r="G63" s="42">
        <f>F63*0.6</f>
        <v>7087.8</v>
      </c>
      <c r="H63" s="42">
        <f>G63*I63</f>
        <v>7087.8</v>
      </c>
      <c r="I63" s="43">
        <v>1</v>
      </c>
      <c r="J63" s="44" t="s">
        <v>13</v>
      </c>
      <c r="K63" s="40" t="s">
        <v>17</v>
      </c>
      <c r="L63" s="43"/>
    </row>
    <row r="64" spans="1:12" ht="21" customHeight="1" x14ac:dyDescent="0.25">
      <c r="A64" s="39" t="str">
        <f t="shared" ref="A64" si="30">A63</f>
        <v>B4</v>
      </c>
      <c r="B64" s="40" t="s">
        <v>12</v>
      </c>
      <c r="C64" s="39"/>
      <c r="D64" s="41" t="s">
        <v>239</v>
      </c>
      <c r="E64" s="39" t="s">
        <v>240</v>
      </c>
      <c r="F64" s="40">
        <v>2447</v>
      </c>
      <c r="G64" s="42">
        <f>F64*0.6</f>
        <v>1468.2</v>
      </c>
      <c r="H64" s="42">
        <f>G64*I64</f>
        <v>4404.6000000000004</v>
      </c>
      <c r="I64" s="43">
        <v>3</v>
      </c>
      <c r="J64" s="44" t="s">
        <v>13</v>
      </c>
      <c r="K64" s="40" t="s">
        <v>17</v>
      </c>
      <c r="L64" s="43"/>
    </row>
    <row r="65" spans="1:12" ht="21" customHeight="1" x14ac:dyDescent="0.25">
      <c r="A65" s="39" t="str">
        <f t="shared" ref="A65" si="31">A64</f>
        <v>B4</v>
      </c>
      <c r="B65" s="40" t="s">
        <v>12</v>
      </c>
      <c r="C65" s="39"/>
      <c r="D65" s="41" t="s">
        <v>245</v>
      </c>
      <c r="E65" s="39" t="s">
        <v>246</v>
      </c>
      <c r="F65" s="40">
        <v>2629</v>
      </c>
      <c r="G65" s="42">
        <f>F65*0.6</f>
        <v>1577.3999999999999</v>
      </c>
      <c r="H65" s="42">
        <f>G65*I65</f>
        <v>6309.5999999999995</v>
      </c>
      <c r="I65" s="43">
        <v>4</v>
      </c>
      <c r="J65" s="44" t="s">
        <v>13</v>
      </c>
      <c r="K65" s="40" t="s">
        <v>17</v>
      </c>
      <c r="L65" s="43"/>
    </row>
    <row r="66" spans="1:12" ht="24" customHeight="1" x14ac:dyDescent="0.25">
      <c r="A66" s="39" t="str">
        <f>A64</f>
        <v>B4</v>
      </c>
      <c r="B66" s="39" t="s">
        <v>10</v>
      </c>
      <c r="C66" s="39"/>
      <c r="D66" s="45" t="s">
        <v>10</v>
      </c>
      <c r="E66" s="39" t="s">
        <v>10</v>
      </c>
      <c r="F66" s="39"/>
      <c r="G66" s="42">
        <f t="shared" ref="G66:G67" si="32">F66*0.6</f>
        <v>0</v>
      </c>
      <c r="H66" s="42">
        <f t="shared" ref="H66:H67" si="33">G66*I66</f>
        <v>0</v>
      </c>
      <c r="I66" s="39"/>
      <c r="J66" s="39" t="s">
        <v>13</v>
      </c>
      <c r="K66" s="39" t="s">
        <v>10</v>
      </c>
      <c r="L66" s="39"/>
    </row>
    <row r="67" spans="1:12" ht="21" customHeight="1" x14ac:dyDescent="0.25">
      <c r="A67" s="39" t="str">
        <f t="shared" ref="A67" si="34">A66</f>
        <v>B4</v>
      </c>
      <c r="B67" s="39" t="s">
        <v>11</v>
      </c>
      <c r="C67" s="39"/>
      <c r="D67" s="45" t="s">
        <v>11</v>
      </c>
      <c r="E67" s="39" t="s">
        <v>11</v>
      </c>
      <c r="F67" s="39">
        <f>I67/60</f>
        <v>0</v>
      </c>
      <c r="G67" s="42">
        <f t="shared" si="32"/>
        <v>0</v>
      </c>
      <c r="H67" s="42">
        <f t="shared" si="33"/>
        <v>0</v>
      </c>
      <c r="I67" s="39"/>
      <c r="J67" s="39" t="s">
        <v>13</v>
      </c>
      <c r="K67" s="39" t="s">
        <v>11</v>
      </c>
      <c r="L67" s="39"/>
    </row>
    <row r="68" spans="1:12" ht="39.75" customHeight="1" x14ac:dyDescent="0.25">
      <c r="A68" s="32" t="str">
        <f>E68</f>
        <v>B5</v>
      </c>
      <c r="B68" s="33"/>
      <c r="C68" s="32"/>
      <c r="D68" s="34"/>
      <c r="E68" s="33" t="s">
        <v>247</v>
      </c>
      <c r="F68" s="35"/>
      <c r="G68" s="35"/>
      <c r="H68" s="36"/>
      <c r="I68" s="37">
        <v>1</v>
      </c>
      <c r="J68" s="38" t="s">
        <v>7</v>
      </c>
      <c r="K68" s="33" t="s">
        <v>9</v>
      </c>
      <c r="L68" s="37"/>
    </row>
    <row r="69" spans="1:12" ht="21" customHeight="1" x14ac:dyDescent="0.25">
      <c r="A69" s="39" t="str">
        <f>A68</f>
        <v>B5</v>
      </c>
      <c r="B69" s="40" t="s">
        <v>8</v>
      </c>
      <c r="C69" s="39"/>
      <c r="D69" s="41"/>
      <c r="E69" s="39"/>
      <c r="F69" s="40"/>
      <c r="G69" s="42">
        <f>F69</f>
        <v>0</v>
      </c>
      <c r="H69" s="42">
        <f>I69*G69</f>
        <v>0</v>
      </c>
      <c r="I69" s="43">
        <v>1</v>
      </c>
      <c r="J69" s="44" t="s">
        <v>13</v>
      </c>
      <c r="K69" s="40" t="s">
        <v>16</v>
      </c>
      <c r="L69" s="43"/>
    </row>
    <row r="70" spans="1:12" ht="21" customHeight="1" x14ac:dyDescent="0.25">
      <c r="A70" s="39" t="str">
        <f>A68</f>
        <v>B5</v>
      </c>
      <c r="B70" s="40" t="s">
        <v>61</v>
      </c>
      <c r="C70" s="39"/>
      <c r="D70" s="41" t="s">
        <v>231</v>
      </c>
      <c r="E70" s="39" t="s">
        <v>232</v>
      </c>
      <c r="F70" s="40">
        <v>11813</v>
      </c>
      <c r="G70" s="42">
        <f>F70*0.6</f>
        <v>7087.8</v>
      </c>
      <c r="H70" s="42">
        <f>G70*I70</f>
        <v>14175.6</v>
      </c>
      <c r="I70" s="43">
        <v>2</v>
      </c>
      <c r="J70" s="44" t="s">
        <v>13</v>
      </c>
      <c r="K70" s="40" t="s">
        <v>17</v>
      </c>
      <c r="L70" s="43"/>
    </row>
    <row r="71" spans="1:12" ht="21" customHeight="1" x14ac:dyDescent="0.25">
      <c r="A71" s="39" t="str">
        <f t="shared" ref="A71" si="35">A69</f>
        <v>B5</v>
      </c>
      <c r="B71" s="40" t="s">
        <v>61</v>
      </c>
      <c r="C71" s="39"/>
      <c r="D71" s="41" t="s">
        <v>250</v>
      </c>
      <c r="E71" s="39" t="s">
        <v>251</v>
      </c>
      <c r="F71" s="40">
        <v>5934</v>
      </c>
      <c r="G71" s="42">
        <f>F71*0.6</f>
        <v>3560.4</v>
      </c>
      <c r="H71" s="42">
        <f>G71*I71</f>
        <v>32043.600000000002</v>
      </c>
      <c r="I71" s="43">
        <v>9</v>
      </c>
      <c r="J71" s="44" t="s">
        <v>13</v>
      </c>
      <c r="K71" s="40" t="s">
        <v>17</v>
      </c>
      <c r="L71" s="43"/>
    </row>
    <row r="72" spans="1:12" ht="21" customHeight="1" x14ac:dyDescent="0.25">
      <c r="A72" s="39" t="str">
        <f t="shared" ref="A72" si="36">A70</f>
        <v>B5</v>
      </c>
      <c r="B72" s="40" t="s">
        <v>12</v>
      </c>
      <c r="C72" s="39"/>
      <c r="D72" s="41" t="s">
        <v>41</v>
      </c>
      <c r="E72" s="39" t="s">
        <v>42</v>
      </c>
      <c r="F72" s="40">
        <v>2337</v>
      </c>
      <c r="G72" s="42">
        <f>F72*0.6</f>
        <v>1402.2</v>
      </c>
      <c r="H72" s="42">
        <f>G72*I72</f>
        <v>1402.2</v>
      </c>
      <c r="I72" s="43">
        <v>1</v>
      </c>
      <c r="J72" s="44" t="s">
        <v>13</v>
      </c>
      <c r="K72" s="40" t="s">
        <v>17</v>
      </c>
      <c r="L72" s="43"/>
    </row>
    <row r="73" spans="1:12" ht="21" customHeight="1" x14ac:dyDescent="0.25">
      <c r="A73" s="39" t="str">
        <f>A70</f>
        <v>B5</v>
      </c>
      <c r="B73" s="40" t="s">
        <v>12</v>
      </c>
      <c r="C73" s="39"/>
      <c r="D73" s="41" t="s">
        <v>248</v>
      </c>
      <c r="E73" s="39" t="s">
        <v>249</v>
      </c>
      <c r="F73" s="40">
        <v>2561</v>
      </c>
      <c r="G73" s="42">
        <f>F73*0.6</f>
        <v>1536.6</v>
      </c>
      <c r="H73" s="42">
        <f>G73*I73</f>
        <v>10756.199999999999</v>
      </c>
      <c r="I73" s="43">
        <v>7</v>
      </c>
      <c r="J73" s="44" t="s">
        <v>13</v>
      </c>
      <c r="K73" s="40" t="s">
        <v>17</v>
      </c>
      <c r="L73" s="43"/>
    </row>
    <row r="74" spans="1:12" ht="21" customHeight="1" x14ac:dyDescent="0.25">
      <c r="A74" s="39" t="str">
        <f t="shared" ref="A74" si="37">A73</f>
        <v>B5</v>
      </c>
      <c r="B74" s="40" t="s">
        <v>12</v>
      </c>
      <c r="C74" s="39"/>
      <c r="D74" s="41" t="s">
        <v>245</v>
      </c>
      <c r="E74" s="39" t="s">
        <v>246</v>
      </c>
      <c r="F74" s="40">
        <v>2629</v>
      </c>
      <c r="G74" s="42">
        <f>F74*0.6</f>
        <v>1577.3999999999999</v>
      </c>
      <c r="H74" s="42">
        <f>G74*I74</f>
        <v>1577.3999999999999</v>
      </c>
      <c r="I74" s="43">
        <v>1</v>
      </c>
      <c r="J74" s="44" t="s">
        <v>13</v>
      </c>
      <c r="K74" s="40" t="s">
        <v>17</v>
      </c>
      <c r="L74" s="43"/>
    </row>
    <row r="75" spans="1:12" ht="24" customHeight="1" x14ac:dyDescent="0.25">
      <c r="A75" s="39" t="str">
        <f>A73</f>
        <v>B5</v>
      </c>
      <c r="B75" s="39" t="s">
        <v>10</v>
      </c>
      <c r="C75" s="39"/>
      <c r="D75" s="45" t="s">
        <v>10</v>
      </c>
      <c r="E75" s="39" t="s">
        <v>10</v>
      </c>
      <c r="F75" s="39"/>
      <c r="G75" s="42">
        <f t="shared" ref="G75:G76" si="38">F75*0.6</f>
        <v>0</v>
      </c>
      <c r="H75" s="42">
        <f t="shared" ref="H75:H76" si="39">G75*I75</f>
        <v>0</v>
      </c>
      <c r="I75" s="39"/>
      <c r="J75" s="39" t="s">
        <v>13</v>
      </c>
      <c r="K75" s="39" t="s">
        <v>10</v>
      </c>
      <c r="L75" s="39"/>
    </row>
    <row r="76" spans="1:12" ht="21" customHeight="1" x14ac:dyDescent="0.25">
      <c r="A76" s="39" t="str">
        <f t="shared" ref="A76" si="40">A75</f>
        <v>B5</v>
      </c>
      <c r="B76" s="39" t="s">
        <v>11</v>
      </c>
      <c r="C76" s="39"/>
      <c r="D76" s="45" t="s">
        <v>11</v>
      </c>
      <c r="E76" s="39" t="s">
        <v>11</v>
      </c>
      <c r="F76" s="39">
        <f>I76/60</f>
        <v>0</v>
      </c>
      <c r="G76" s="42">
        <f t="shared" si="38"/>
        <v>0</v>
      </c>
      <c r="H76" s="42">
        <f t="shared" si="39"/>
        <v>0</v>
      </c>
      <c r="I76" s="39"/>
      <c r="J76" s="39" t="s">
        <v>13</v>
      </c>
      <c r="K76" s="39" t="s">
        <v>11</v>
      </c>
      <c r="L76" s="39"/>
    </row>
    <row r="77" spans="1:12" ht="39.75" customHeight="1" x14ac:dyDescent="0.25">
      <c r="A77" s="32" t="str">
        <f>E77</f>
        <v>B6</v>
      </c>
      <c r="B77" s="33"/>
      <c r="C77" s="32"/>
      <c r="D77" s="34"/>
      <c r="E77" s="33" t="s">
        <v>252</v>
      </c>
      <c r="F77" s="35"/>
      <c r="G77" s="35"/>
      <c r="H77" s="36"/>
      <c r="I77" s="37">
        <v>1</v>
      </c>
      <c r="J77" s="38" t="s">
        <v>7</v>
      </c>
      <c r="K77" s="33" t="s">
        <v>9</v>
      </c>
      <c r="L77" s="37"/>
    </row>
    <row r="78" spans="1:12" ht="21" customHeight="1" x14ac:dyDescent="0.25">
      <c r="A78" s="39" t="str">
        <f>A77</f>
        <v>B6</v>
      </c>
      <c r="B78" s="40" t="s">
        <v>8</v>
      </c>
      <c r="C78" s="39"/>
      <c r="D78" s="41"/>
      <c r="E78" s="39"/>
      <c r="F78" s="40"/>
      <c r="G78" s="42">
        <f>F78</f>
        <v>0</v>
      </c>
      <c r="H78" s="42">
        <f>I78*G78</f>
        <v>0</v>
      </c>
      <c r="I78" s="43">
        <v>1</v>
      </c>
      <c r="J78" s="44" t="s">
        <v>13</v>
      </c>
      <c r="K78" s="40" t="s">
        <v>16</v>
      </c>
      <c r="L78" s="43"/>
    </row>
    <row r="79" spans="1:12" ht="21" customHeight="1" x14ac:dyDescent="0.25">
      <c r="A79" s="39" t="str">
        <f t="shared" ref="A79:A81" si="41">A78</f>
        <v>B6</v>
      </c>
      <c r="B79" s="40" t="s">
        <v>61</v>
      </c>
      <c r="C79" s="39"/>
      <c r="D79" s="41" t="s">
        <v>250</v>
      </c>
      <c r="E79" s="39" t="s">
        <v>251</v>
      </c>
      <c r="F79" s="40">
        <v>5934</v>
      </c>
      <c r="G79" s="42">
        <f>F79*0.6</f>
        <v>3560.4</v>
      </c>
      <c r="H79" s="42">
        <f>G79*I79</f>
        <v>49845.599999999999</v>
      </c>
      <c r="I79" s="43">
        <v>14</v>
      </c>
      <c r="J79" s="44" t="s">
        <v>13</v>
      </c>
      <c r="K79" s="40" t="s">
        <v>17</v>
      </c>
      <c r="L79" s="43"/>
    </row>
    <row r="80" spans="1:12" ht="24" customHeight="1" x14ac:dyDescent="0.25">
      <c r="A80" s="39" t="str">
        <f t="shared" si="41"/>
        <v>B6</v>
      </c>
      <c r="B80" s="39" t="s">
        <v>10</v>
      </c>
      <c r="C80" s="39"/>
      <c r="D80" s="45" t="s">
        <v>10</v>
      </c>
      <c r="E80" s="39" t="s">
        <v>10</v>
      </c>
      <c r="F80" s="39"/>
      <c r="G80" s="42">
        <f t="shared" ref="G80:G81" si="42">F80*0.6</f>
        <v>0</v>
      </c>
      <c r="H80" s="42">
        <f t="shared" ref="H80:H81" si="43">G80*I80</f>
        <v>0</v>
      </c>
      <c r="I80" s="39"/>
      <c r="J80" s="39" t="s">
        <v>13</v>
      </c>
      <c r="K80" s="39" t="s">
        <v>10</v>
      </c>
      <c r="L80" s="39"/>
    </row>
    <row r="81" spans="1:12" ht="21" customHeight="1" x14ac:dyDescent="0.25">
      <c r="A81" s="39" t="str">
        <f t="shared" si="41"/>
        <v>B6</v>
      </c>
      <c r="B81" s="39" t="s">
        <v>11</v>
      </c>
      <c r="C81" s="39"/>
      <c r="D81" s="45" t="s">
        <v>11</v>
      </c>
      <c r="E81" s="39" t="s">
        <v>11</v>
      </c>
      <c r="F81" s="39">
        <f>I81/60</f>
        <v>0</v>
      </c>
      <c r="G81" s="42">
        <f t="shared" si="42"/>
        <v>0</v>
      </c>
      <c r="H81" s="42">
        <f t="shared" si="43"/>
        <v>0</v>
      </c>
      <c r="I81" s="39"/>
      <c r="J81" s="39" t="s">
        <v>13</v>
      </c>
      <c r="K81" s="39" t="s">
        <v>11</v>
      </c>
      <c r="L81" s="39"/>
    </row>
    <row r="82" spans="1:12" ht="39.75" customHeight="1" x14ac:dyDescent="0.25">
      <c r="A82" s="32" t="str">
        <f>E82</f>
        <v>B7</v>
      </c>
      <c r="B82" s="33"/>
      <c r="C82" s="32"/>
      <c r="D82" s="34"/>
      <c r="E82" s="33" t="s">
        <v>253</v>
      </c>
      <c r="F82" s="35"/>
      <c r="G82" s="35"/>
      <c r="H82" s="36"/>
      <c r="I82" s="37">
        <v>1</v>
      </c>
      <c r="J82" s="38" t="s">
        <v>7</v>
      </c>
      <c r="K82" s="33" t="s">
        <v>9</v>
      </c>
      <c r="L82" s="37"/>
    </row>
    <row r="83" spans="1:12" ht="21" customHeight="1" x14ac:dyDescent="0.25">
      <c r="A83" s="39" t="str">
        <f>A82</f>
        <v>B7</v>
      </c>
      <c r="B83" s="40" t="s">
        <v>8</v>
      </c>
      <c r="C83" s="39"/>
      <c r="D83" s="41"/>
      <c r="E83" s="39"/>
      <c r="F83" s="40"/>
      <c r="G83" s="42">
        <f>F83</f>
        <v>0</v>
      </c>
      <c r="H83" s="42">
        <f>I83*G83</f>
        <v>0</v>
      </c>
      <c r="I83" s="43">
        <v>1</v>
      </c>
      <c r="J83" s="44" t="s">
        <v>13</v>
      </c>
      <c r="K83" s="40" t="s">
        <v>16</v>
      </c>
      <c r="L83" s="43"/>
    </row>
    <row r="84" spans="1:12" ht="21" customHeight="1" x14ac:dyDescent="0.25">
      <c r="A84" s="39" t="str">
        <f t="shared" ref="A84:A86" si="44">A83</f>
        <v>B7</v>
      </c>
      <c r="B84" s="40" t="s">
        <v>61</v>
      </c>
      <c r="C84" s="39"/>
      <c r="D84" s="41" t="s">
        <v>336</v>
      </c>
      <c r="E84" s="39" t="s">
        <v>337</v>
      </c>
      <c r="F84" s="40">
        <v>5280</v>
      </c>
      <c r="G84" s="42">
        <f>F84*0.6</f>
        <v>3168</v>
      </c>
      <c r="H84" s="42">
        <f>G84*I84</f>
        <v>22176</v>
      </c>
      <c r="I84" s="43">
        <v>7</v>
      </c>
      <c r="J84" s="44" t="s">
        <v>13</v>
      </c>
      <c r="K84" s="40" t="s">
        <v>17</v>
      </c>
      <c r="L84" s="43"/>
    </row>
    <row r="85" spans="1:12" ht="24" customHeight="1" x14ac:dyDescent="0.25">
      <c r="A85" s="39" t="str">
        <f t="shared" si="44"/>
        <v>B7</v>
      </c>
      <c r="B85" s="39" t="s">
        <v>10</v>
      </c>
      <c r="C85" s="39"/>
      <c r="D85" s="45" t="s">
        <v>10</v>
      </c>
      <c r="E85" s="39" t="s">
        <v>10</v>
      </c>
      <c r="F85" s="39"/>
      <c r="G85" s="42">
        <f t="shared" ref="G85:G86" si="45">F85*0.6</f>
        <v>0</v>
      </c>
      <c r="H85" s="42">
        <f t="shared" ref="H85:H86" si="46">G85*I85</f>
        <v>0</v>
      </c>
      <c r="I85" s="39"/>
      <c r="J85" s="39" t="s">
        <v>13</v>
      </c>
      <c r="K85" s="39" t="s">
        <v>10</v>
      </c>
      <c r="L85" s="39"/>
    </row>
    <row r="86" spans="1:12" ht="21" customHeight="1" x14ac:dyDescent="0.25">
      <c r="A86" s="39" t="str">
        <f t="shared" si="44"/>
        <v>B7</v>
      </c>
      <c r="B86" s="39" t="s">
        <v>11</v>
      </c>
      <c r="C86" s="39"/>
      <c r="D86" s="45" t="s">
        <v>11</v>
      </c>
      <c r="E86" s="39" t="s">
        <v>11</v>
      </c>
      <c r="F86" s="39">
        <f>I86/60</f>
        <v>0</v>
      </c>
      <c r="G86" s="42">
        <f t="shared" si="45"/>
        <v>0</v>
      </c>
      <c r="H86" s="42">
        <f t="shared" si="46"/>
        <v>0</v>
      </c>
      <c r="I86" s="39"/>
      <c r="J86" s="39" t="s">
        <v>13</v>
      </c>
      <c r="K86" s="39" t="s">
        <v>11</v>
      </c>
      <c r="L86" s="39"/>
    </row>
    <row r="87" spans="1:12" ht="39.75" customHeight="1" x14ac:dyDescent="0.25">
      <c r="A87" s="32" t="str">
        <f>E87</f>
        <v>B8</v>
      </c>
      <c r="B87" s="33"/>
      <c r="C87" s="32"/>
      <c r="D87" s="34"/>
      <c r="E87" s="33" t="s">
        <v>254</v>
      </c>
      <c r="F87" s="35"/>
      <c r="G87" s="35"/>
      <c r="H87" s="36"/>
      <c r="I87" s="37">
        <v>1</v>
      </c>
      <c r="J87" s="38" t="s">
        <v>7</v>
      </c>
      <c r="K87" s="33" t="s">
        <v>9</v>
      </c>
      <c r="L87" s="37"/>
    </row>
    <row r="88" spans="1:12" ht="21" customHeight="1" x14ac:dyDescent="0.25">
      <c r="A88" s="39" t="str">
        <f>A87</f>
        <v>B8</v>
      </c>
      <c r="B88" s="40" t="s">
        <v>8</v>
      </c>
      <c r="C88" s="39"/>
      <c r="D88" s="41"/>
      <c r="E88" s="39"/>
      <c r="F88" s="40"/>
      <c r="G88" s="42">
        <f>F88</f>
        <v>0</v>
      </c>
      <c r="H88" s="42">
        <f>I88*G88</f>
        <v>0</v>
      </c>
      <c r="I88" s="43">
        <v>1</v>
      </c>
      <c r="J88" s="44" t="s">
        <v>13</v>
      </c>
      <c r="K88" s="40" t="s">
        <v>16</v>
      </c>
      <c r="L88" s="43"/>
    </row>
    <row r="89" spans="1:12" ht="21" customHeight="1" x14ac:dyDescent="0.25">
      <c r="A89" s="39" t="str">
        <f>A87</f>
        <v>B8</v>
      </c>
      <c r="B89" s="40" t="s">
        <v>333</v>
      </c>
      <c r="C89" s="39"/>
      <c r="D89" s="41" t="s">
        <v>257</v>
      </c>
      <c r="E89" s="39" t="s">
        <v>258</v>
      </c>
      <c r="F89" s="40">
        <v>14698</v>
      </c>
      <c r="G89" s="42">
        <f t="shared" ref="G89:G95" si="47">F89*0.6</f>
        <v>8818.7999999999993</v>
      </c>
      <c r="H89" s="42">
        <f t="shared" ref="H89:H95" si="48">G89*I89</f>
        <v>26456.399999999998</v>
      </c>
      <c r="I89" s="43">
        <v>3</v>
      </c>
      <c r="J89" s="44" t="s">
        <v>13</v>
      </c>
      <c r="K89" s="40" t="s">
        <v>17</v>
      </c>
      <c r="L89" s="43"/>
    </row>
    <row r="90" spans="1:12" ht="21" customHeight="1" x14ac:dyDescent="0.25">
      <c r="A90" s="39" t="str">
        <f>A87</f>
        <v>B8</v>
      </c>
      <c r="B90" s="40" t="s">
        <v>271</v>
      </c>
      <c r="C90" s="39"/>
      <c r="D90" s="41">
        <v>285448</v>
      </c>
      <c r="E90" s="39" t="s">
        <v>259</v>
      </c>
      <c r="F90" s="40">
        <v>1565</v>
      </c>
      <c r="G90" s="42">
        <f t="shared" si="47"/>
        <v>939</v>
      </c>
      <c r="H90" s="42">
        <f t="shared" si="48"/>
        <v>2817</v>
      </c>
      <c r="I90" s="43">
        <v>3</v>
      </c>
      <c r="J90" s="44" t="s">
        <v>13</v>
      </c>
      <c r="K90" s="40" t="s">
        <v>17</v>
      </c>
      <c r="L90" s="43"/>
    </row>
    <row r="91" spans="1:12" ht="21" customHeight="1" x14ac:dyDescent="0.25">
      <c r="A91" s="39" t="str">
        <f>A88</f>
        <v>B8</v>
      </c>
      <c r="B91" s="40" t="s">
        <v>12</v>
      </c>
      <c r="C91" s="39"/>
      <c r="D91" s="41" t="s">
        <v>188</v>
      </c>
      <c r="E91" s="39" t="s">
        <v>189</v>
      </c>
      <c r="F91" s="40">
        <v>2807</v>
      </c>
      <c r="G91" s="42">
        <f t="shared" si="47"/>
        <v>1684.2</v>
      </c>
      <c r="H91" s="42">
        <f t="shared" si="48"/>
        <v>3368.4</v>
      </c>
      <c r="I91" s="43">
        <v>2</v>
      </c>
      <c r="J91" s="44" t="s">
        <v>13</v>
      </c>
      <c r="K91" s="40" t="s">
        <v>17</v>
      </c>
      <c r="L91" s="43"/>
    </row>
    <row r="92" spans="1:12" ht="21" customHeight="1" x14ac:dyDescent="0.25">
      <c r="A92" s="39" t="str">
        <f>A89</f>
        <v>B8</v>
      </c>
      <c r="B92" s="40" t="s">
        <v>12</v>
      </c>
      <c r="C92" s="39"/>
      <c r="D92" s="41" t="s">
        <v>18</v>
      </c>
      <c r="E92" s="39" t="s">
        <v>19</v>
      </c>
      <c r="F92" s="40">
        <v>783</v>
      </c>
      <c r="G92" s="42">
        <f t="shared" si="47"/>
        <v>469.79999999999995</v>
      </c>
      <c r="H92" s="42">
        <f t="shared" si="48"/>
        <v>469.79999999999995</v>
      </c>
      <c r="I92" s="43">
        <v>1</v>
      </c>
      <c r="J92" s="44" t="s">
        <v>13</v>
      </c>
      <c r="K92" s="40" t="s">
        <v>17</v>
      </c>
      <c r="L92" s="43"/>
    </row>
    <row r="93" spans="1:12" ht="21" customHeight="1" x14ac:dyDescent="0.25">
      <c r="A93" s="39" t="str">
        <f>A89</f>
        <v>B8</v>
      </c>
      <c r="B93" s="40" t="s">
        <v>12</v>
      </c>
      <c r="C93" s="39"/>
      <c r="D93" s="41" t="s">
        <v>33</v>
      </c>
      <c r="E93" s="39" t="s">
        <v>34</v>
      </c>
      <c r="F93" s="40">
        <v>783</v>
      </c>
      <c r="G93" s="42">
        <f t="shared" si="47"/>
        <v>469.79999999999995</v>
      </c>
      <c r="H93" s="42">
        <f t="shared" si="48"/>
        <v>2349</v>
      </c>
      <c r="I93" s="43">
        <v>5</v>
      </c>
      <c r="J93" s="44" t="s">
        <v>13</v>
      </c>
      <c r="K93" s="40" t="s">
        <v>17</v>
      </c>
      <c r="L93" s="43"/>
    </row>
    <row r="94" spans="1:12" ht="21" customHeight="1" x14ac:dyDescent="0.25">
      <c r="A94" s="39" t="str">
        <f t="shared" ref="A94" si="49">A93</f>
        <v>B8</v>
      </c>
      <c r="B94" s="40" t="s">
        <v>12</v>
      </c>
      <c r="C94" s="39"/>
      <c r="D94" s="41" t="s">
        <v>255</v>
      </c>
      <c r="E94" s="39" t="s">
        <v>256</v>
      </c>
      <c r="F94" s="40">
        <v>897</v>
      </c>
      <c r="G94" s="42">
        <f t="shared" si="47"/>
        <v>538.19999999999993</v>
      </c>
      <c r="H94" s="42">
        <f t="shared" si="48"/>
        <v>538.19999999999993</v>
      </c>
      <c r="I94" s="43">
        <v>1</v>
      </c>
      <c r="J94" s="44" t="s">
        <v>13</v>
      </c>
      <c r="K94" s="40" t="s">
        <v>17</v>
      </c>
      <c r="L94" s="43"/>
    </row>
    <row r="95" spans="1:12" ht="21" customHeight="1" x14ac:dyDescent="0.25">
      <c r="A95" s="39" t="str">
        <f t="shared" ref="A95" si="50">A94</f>
        <v>B8</v>
      </c>
      <c r="B95" s="40" t="s">
        <v>12</v>
      </c>
      <c r="C95" s="39"/>
      <c r="D95" s="41" t="s">
        <v>37</v>
      </c>
      <c r="E95" s="39" t="s">
        <v>38</v>
      </c>
      <c r="F95" s="40">
        <v>975</v>
      </c>
      <c r="G95" s="42">
        <f t="shared" si="47"/>
        <v>585</v>
      </c>
      <c r="H95" s="42">
        <f t="shared" si="48"/>
        <v>585</v>
      </c>
      <c r="I95" s="43">
        <v>1</v>
      </c>
      <c r="J95" s="44" t="s">
        <v>13</v>
      </c>
      <c r="K95" s="40" t="s">
        <v>17</v>
      </c>
      <c r="L95" s="43"/>
    </row>
    <row r="96" spans="1:12" ht="24" customHeight="1" x14ac:dyDescent="0.25">
      <c r="A96" s="39" t="str">
        <f>A93</f>
        <v>B8</v>
      </c>
      <c r="B96" s="39" t="s">
        <v>10</v>
      </c>
      <c r="C96" s="39"/>
      <c r="D96" s="45" t="s">
        <v>10</v>
      </c>
      <c r="E96" s="39" t="s">
        <v>10</v>
      </c>
      <c r="F96" s="39"/>
      <c r="G96" s="42">
        <f t="shared" ref="G96:G97" si="51">F96*0.6</f>
        <v>0</v>
      </c>
      <c r="H96" s="42">
        <f t="shared" ref="H96:H97" si="52">G96*I96</f>
        <v>0</v>
      </c>
      <c r="I96" s="39"/>
      <c r="J96" s="39" t="s">
        <v>13</v>
      </c>
      <c r="K96" s="39" t="s">
        <v>10</v>
      </c>
      <c r="L96" s="39"/>
    </row>
    <row r="97" spans="1:12" ht="21" customHeight="1" x14ac:dyDescent="0.25">
      <c r="A97" s="39" t="str">
        <f t="shared" ref="A97" si="53">A96</f>
        <v>B8</v>
      </c>
      <c r="B97" s="39" t="s">
        <v>11</v>
      </c>
      <c r="C97" s="39"/>
      <c r="D97" s="45" t="s">
        <v>11</v>
      </c>
      <c r="E97" s="39" t="s">
        <v>11</v>
      </c>
      <c r="F97" s="39">
        <f>I97/60</f>
        <v>0</v>
      </c>
      <c r="G97" s="42">
        <f t="shared" si="51"/>
        <v>0</v>
      </c>
      <c r="H97" s="42">
        <f t="shared" si="52"/>
        <v>0</v>
      </c>
      <c r="I97" s="39"/>
      <c r="J97" s="39" t="s">
        <v>13</v>
      </c>
      <c r="K97" s="39" t="s">
        <v>11</v>
      </c>
      <c r="L97" s="39"/>
    </row>
  </sheetData>
  <autoFilter ref="A1:L97" xr:uid="{0E2C231C-0991-4FBE-BD8E-9CD4D9BF51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C275-0B21-4EDE-AE62-43B8747508D7}">
  <dimension ref="A1:L98"/>
  <sheetViews>
    <sheetView topLeftCell="A13" zoomScale="115" zoomScaleNormal="115" workbookViewId="0">
      <selection activeCell="K26" sqref="K26"/>
    </sheetView>
  </sheetViews>
  <sheetFormatPr defaultRowHeight="15" x14ac:dyDescent="0.25"/>
  <cols>
    <col min="1" max="1" width="36.42578125" customWidth="1"/>
    <col min="4" max="4" width="13.140625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9.75" customHeight="1" x14ac:dyDescent="0.25">
      <c r="A1" s="28" t="s">
        <v>2</v>
      </c>
      <c r="B1" s="28" t="s">
        <v>0</v>
      </c>
      <c r="C1" s="28" t="s">
        <v>156</v>
      </c>
      <c r="D1" s="29" t="s">
        <v>1</v>
      </c>
      <c r="E1" s="28" t="s">
        <v>14</v>
      </c>
      <c r="F1" s="28" t="s">
        <v>3</v>
      </c>
      <c r="G1" s="28" t="s">
        <v>3</v>
      </c>
      <c r="H1" s="30" t="s">
        <v>6</v>
      </c>
      <c r="I1" s="31" t="s">
        <v>15</v>
      </c>
      <c r="J1" s="31" t="s">
        <v>4</v>
      </c>
      <c r="K1" s="31" t="s">
        <v>5</v>
      </c>
      <c r="L1" s="31"/>
    </row>
    <row r="2" spans="1:12" ht="39.75" customHeight="1" x14ac:dyDescent="0.25">
      <c r="A2" s="32" t="str">
        <f>E2</f>
        <v>Е4</v>
      </c>
      <c r="B2" s="33"/>
      <c r="C2" s="32"/>
      <c r="D2" s="34"/>
      <c r="E2" s="33" t="s">
        <v>227</v>
      </c>
      <c r="F2" s="35"/>
      <c r="G2" s="35"/>
      <c r="H2" s="36"/>
      <c r="I2" s="37">
        <v>1</v>
      </c>
      <c r="J2" s="38" t="s">
        <v>7</v>
      </c>
      <c r="K2" s="33" t="s">
        <v>9</v>
      </c>
      <c r="L2" s="37"/>
    </row>
    <row r="3" spans="1:12" ht="21" customHeight="1" x14ac:dyDescent="0.25">
      <c r="A3" s="39" t="str">
        <f>A2</f>
        <v>Е4</v>
      </c>
      <c r="B3" s="40" t="s">
        <v>8</v>
      </c>
      <c r="C3" s="39"/>
      <c r="D3" s="41"/>
      <c r="E3" s="39"/>
      <c r="F3" s="40"/>
      <c r="G3" s="42">
        <f>F3*0.6</f>
        <v>0</v>
      </c>
      <c r="H3" s="42">
        <f>I3*G3</f>
        <v>0</v>
      </c>
      <c r="I3" s="43">
        <v>1</v>
      </c>
      <c r="J3" s="44" t="s">
        <v>13</v>
      </c>
      <c r="K3" s="40" t="s">
        <v>16</v>
      </c>
      <c r="L3" s="43"/>
    </row>
    <row r="4" spans="1:12" ht="25.5" customHeight="1" x14ac:dyDescent="0.25">
      <c r="A4" s="39" t="str">
        <f t="shared" ref="A4:A30" si="0">A3</f>
        <v>Е4</v>
      </c>
      <c r="B4" s="40" t="s">
        <v>20</v>
      </c>
      <c r="C4" s="39"/>
      <c r="D4" s="41" t="s">
        <v>272</v>
      </c>
      <c r="E4" s="39" t="s">
        <v>273</v>
      </c>
      <c r="F4" s="51">
        <v>51667</v>
      </c>
      <c r="G4" s="42">
        <f t="shared" ref="G4:G30" si="1">F4*0.6</f>
        <v>31000.199999999997</v>
      </c>
      <c r="H4" s="42">
        <f>G4*I4</f>
        <v>62000.399999999994</v>
      </c>
      <c r="I4" s="43">
        <v>2</v>
      </c>
      <c r="J4" s="44" t="s">
        <v>13</v>
      </c>
      <c r="K4" s="40" t="s">
        <v>332</v>
      </c>
      <c r="L4" s="43"/>
    </row>
    <row r="5" spans="1:12" ht="21" customHeight="1" x14ac:dyDescent="0.25">
      <c r="A5" s="39" t="str">
        <f t="shared" si="0"/>
        <v>Е4</v>
      </c>
      <c r="B5" s="40" t="s">
        <v>192</v>
      </c>
      <c r="C5" s="39"/>
      <c r="D5" s="41"/>
      <c r="E5" s="39" t="s">
        <v>195</v>
      </c>
      <c r="F5" s="40"/>
      <c r="G5" s="42">
        <f t="shared" si="1"/>
        <v>0</v>
      </c>
      <c r="H5" s="42">
        <f t="shared" ref="H5:H23" si="2">G5*I5</f>
        <v>0</v>
      </c>
      <c r="I5" s="43">
        <v>6</v>
      </c>
      <c r="J5" s="44" t="s">
        <v>13</v>
      </c>
      <c r="K5" s="40" t="s">
        <v>191</v>
      </c>
      <c r="L5" s="43"/>
    </row>
    <row r="6" spans="1:12" ht="21" customHeight="1" x14ac:dyDescent="0.25">
      <c r="A6" s="39" t="str">
        <f t="shared" si="0"/>
        <v>Е4</v>
      </c>
      <c r="B6" s="40" t="s">
        <v>194</v>
      </c>
      <c r="C6" s="39"/>
      <c r="D6" s="41" t="s">
        <v>196</v>
      </c>
      <c r="E6" s="39" t="s">
        <v>197</v>
      </c>
      <c r="F6" s="40">
        <v>63263</v>
      </c>
      <c r="G6" s="42">
        <f t="shared" si="1"/>
        <v>37957.799999999996</v>
      </c>
      <c r="H6" s="42">
        <f>G6*I6</f>
        <v>37957.799999999996</v>
      </c>
      <c r="I6" s="43">
        <v>1</v>
      </c>
      <c r="J6" s="44" t="s">
        <v>13</v>
      </c>
      <c r="K6" s="40" t="s">
        <v>332</v>
      </c>
      <c r="L6" s="43"/>
    </row>
    <row r="7" spans="1:12" ht="21" customHeight="1" x14ac:dyDescent="0.25">
      <c r="A7" s="39" t="str">
        <f t="shared" si="0"/>
        <v>Е4</v>
      </c>
      <c r="B7" s="40" t="s">
        <v>264</v>
      </c>
      <c r="C7" s="39"/>
      <c r="D7" s="41" t="s">
        <v>305</v>
      </c>
      <c r="E7" s="39" t="s">
        <v>304</v>
      </c>
      <c r="F7" s="51">
        <v>4155</v>
      </c>
      <c r="G7" s="42">
        <f t="shared" si="1"/>
        <v>2493</v>
      </c>
      <c r="H7" s="42">
        <f t="shared" ref="H7:H9" si="3">G7*I7</f>
        <v>4986</v>
      </c>
      <c r="I7" s="43">
        <v>2</v>
      </c>
      <c r="J7" s="44" t="s">
        <v>13</v>
      </c>
      <c r="K7" s="40" t="s">
        <v>332</v>
      </c>
      <c r="L7" s="43"/>
    </row>
    <row r="8" spans="1:12" ht="21" customHeight="1" x14ac:dyDescent="0.25">
      <c r="A8" s="39" t="str">
        <f t="shared" si="0"/>
        <v>Е4</v>
      </c>
      <c r="B8" s="40" t="s">
        <v>264</v>
      </c>
      <c r="C8" s="39"/>
      <c r="D8" s="45" t="s">
        <v>303</v>
      </c>
      <c r="E8" s="39" t="s">
        <v>302</v>
      </c>
      <c r="F8" s="45">
        <v>3671</v>
      </c>
      <c r="G8" s="42">
        <f t="shared" si="1"/>
        <v>2202.6</v>
      </c>
      <c r="H8" s="42">
        <f t="shared" si="3"/>
        <v>4405.2</v>
      </c>
      <c r="I8" s="43">
        <v>2</v>
      </c>
      <c r="J8" s="44" t="s">
        <v>13</v>
      </c>
      <c r="K8" s="40" t="s">
        <v>332</v>
      </c>
      <c r="L8" s="43"/>
    </row>
    <row r="9" spans="1:12" ht="21" customHeight="1" x14ac:dyDescent="0.25">
      <c r="A9" s="39" t="str">
        <f t="shared" si="0"/>
        <v>Е4</v>
      </c>
      <c r="B9" s="40" t="s">
        <v>264</v>
      </c>
      <c r="C9" s="39"/>
      <c r="D9" s="45" t="s">
        <v>307</v>
      </c>
      <c r="E9" s="39" t="s">
        <v>306</v>
      </c>
      <c r="F9" s="45">
        <v>4155</v>
      </c>
      <c r="G9" s="42">
        <f t="shared" si="1"/>
        <v>2493</v>
      </c>
      <c r="H9" s="42">
        <f t="shared" si="3"/>
        <v>2493</v>
      </c>
      <c r="I9" s="43">
        <v>1</v>
      </c>
      <c r="J9" s="44" t="s">
        <v>13</v>
      </c>
      <c r="K9" s="40" t="s">
        <v>332</v>
      </c>
      <c r="L9" s="43"/>
    </row>
    <row r="10" spans="1:12" ht="24" customHeight="1" x14ac:dyDescent="0.25">
      <c r="A10" s="39" t="str">
        <f t="shared" si="0"/>
        <v>Е4</v>
      </c>
      <c r="B10" s="39" t="s">
        <v>12</v>
      </c>
      <c r="C10" s="39"/>
      <c r="D10" s="45" t="s">
        <v>275</v>
      </c>
      <c r="E10" s="39" t="s">
        <v>274</v>
      </c>
      <c r="F10" s="45">
        <v>24683</v>
      </c>
      <c r="G10" s="42">
        <f t="shared" si="1"/>
        <v>14809.8</v>
      </c>
      <c r="H10" s="42">
        <f t="shared" si="2"/>
        <v>14809.8</v>
      </c>
      <c r="I10" s="39">
        <v>1</v>
      </c>
      <c r="J10" s="39" t="s">
        <v>13</v>
      </c>
      <c r="K10" s="40" t="s">
        <v>332</v>
      </c>
      <c r="L10" s="39"/>
    </row>
    <row r="11" spans="1:12" ht="24" customHeight="1" x14ac:dyDescent="0.25">
      <c r="A11" s="39" t="str">
        <f t="shared" si="0"/>
        <v>Е4</v>
      </c>
      <c r="B11" s="39" t="s">
        <v>271</v>
      </c>
      <c r="C11" s="39"/>
      <c r="D11" s="45" t="s">
        <v>301</v>
      </c>
      <c r="E11" s="39" t="s">
        <v>300</v>
      </c>
      <c r="F11" s="45">
        <v>37140</v>
      </c>
      <c r="G11" s="42">
        <f t="shared" si="1"/>
        <v>22284</v>
      </c>
      <c r="H11" s="42">
        <f t="shared" si="2"/>
        <v>22284</v>
      </c>
      <c r="I11" s="39">
        <v>1</v>
      </c>
      <c r="J11" s="39" t="s">
        <v>13</v>
      </c>
      <c r="K11" s="40" t="s">
        <v>332</v>
      </c>
      <c r="L11" s="39"/>
    </row>
    <row r="12" spans="1:12" ht="24" customHeight="1" x14ac:dyDescent="0.25">
      <c r="A12" s="39" t="str">
        <f t="shared" si="0"/>
        <v>Е4</v>
      </c>
      <c r="B12" s="39" t="s">
        <v>12</v>
      </c>
      <c r="C12" s="39"/>
      <c r="D12" s="45" t="s">
        <v>323</v>
      </c>
      <c r="E12" s="39" t="s">
        <v>322</v>
      </c>
      <c r="F12" s="45">
        <v>43217</v>
      </c>
      <c r="G12" s="42">
        <f t="shared" si="1"/>
        <v>25930.2</v>
      </c>
      <c r="H12" s="42">
        <f t="shared" si="2"/>
        <v>25930.2</v>
      </c>
      <c r="I12" s="39">
        <v>1</v>
      </c>
      <c r="J12" s="39" t="s">
        <v>13</v>
      </c>
      <c r="K12" s="40" t="s">
        <v>332</v>
      </c>
      <c r="L12" s="39"/>
    </row>
    <row r="13" spans="1:12" ht="24" customHeight="1" x14ac:dyDescent="0.25">
      <c r="A13" s="39" t="str">
        <f t="shared" si="0"/>
        <v>Е4</v>
      </c>
      <c r="B13" s="39" t="s">
        <v>12</v>
      </c>
      <c r="C13" s="39"/>
      <c r="D13" s="45" t="s">
        <v>327</v>
      </c>
      <c r="E13" s="39" t="s">
        <v>326</v>
      </c>
      <c r="F13" s="45">
        <v>2888</v>
      </c>
      <c r="G13" s="42">
        <f t="shared" si="1"/>
        <v>1732.8</v>
      </c>
      <c r="H13" s="42">
        <f t="shared" si="2"/>
        <v>3465.6</v>
      </c>
      <c r="I13" s="39">
        <v>2</v>
      </c>
      <c r="J13" s="39" t="s">
        <v>13</v>
      </c>
      <c r="K13" s="40" t="s">
        <v>332</v>
      </c>
      <c r="L13" s="39"/>
    </row>
    <row r="14" spans="1:12" ht="21" customHeight="1" x14ac:dyDescent="0.25">
      <c r="A14" s="39" t="str">
        <f t="shared" si="0"/>
        <v>Е4</v>
      </c>
      <c r="B14" s="39" t="s">
        <v>12</v>
      </c>
      <c r="C14" s="39"/>
      <c r="D14" s="41" t="s">
        <v>325</v>
      </c>
      <c r="E14" s="39" t="s">
        <v>324</v>
      </c>
      <c r="F14" s="51">
        <v>10292</v>
      </c>
      <c r="G14" s="42">
        <f t="shared" si="1"/>
        <v>6175.2</v>
      </c>
      <c r="H14" s="42">
        <f t="shared" si="2"/>
        <v>6175.2</v>
      </c>
      <c r="I14" s="43">
        <v>1</v>
      </c>
      <c r="J14" s="44" t="s">
        <v>190</v>
      </c>
      <c r="K14" s="40" t="s">
        <v>332</v>
      </c>
      <c r="L14" s="43"/>
    </row>
    <row r="15" spans="1:12" ht="21" customHeight="1" x14ac:dyDescent="0.25">
      <c r="A15" s="39" t="str">
        <f t="shared" si="0"/>
        <v>Е4</v>
      </c>
      <c r="B15" s="39" t="s">
        <v>12</v>
      </c>
      <c r="C15" s="39"/>
      <c r="D15" s="41" t="s">
        <v>319</v>
      </c>
      <c r="E15" s="39" t="s">
        <v>318</v>
      </c>
      <c r="F15" s="51">
        <v>39393</v>
      </c>
      <c r="G15" s="42">
        <f t="shared" si="1"/>
        <v>23635.8</v>
      </c>
      <c r="H15" s="42">
        <f t="shared" si="2"/>
        <v>23635.8</v>
      </c>
      <c r="I15" s="43">
        <v>1</v>
      </c>
      <c r="J15" s="44" t="s">
        <v>190</v>
      </c>
      <c r="K15" s="40" t="s">
        <v>332</v>
      </c>
      <c r="L15" s="43"/>
    </row>
    <row r="16" spans="1:12" ht="21" customHeight="1" x14ac:dyDescent="0.25">
      <c r="A16" s="39" t="str">
        <f t="shared" si="0"/>
        <v>Е4</v>
      </c>
      <c r="B16" s="39" t="s">
        <v>12</v>
      </c>
      <c r="C16" s="39"/>
      <c r="D16" s="41" t="s">
        <v>321</v>
      </c>
      <c r="E16" s="39" t="s">
        <v>320</v>
      </c>
      <c r="F16" s="51">
        <v>22304</v>
      </c>
      <c r="G16" s="42">
        <f t="shared" si="1"/>
        <v>13382.4</v>
      </c>
      <c r="H16" s="42">
        <f t="shared" si="2"/>
        <v>26764.799999999999</v>
      </c>
      <c r="I16" s="43">
        <v>2</v>
      </c>
      <c r="J16" s="44" t="s">
        <v>190</v>
      </c>
      <c r="K16" s="40" t="s">
        <v>332</v>
      </c>
      <c r="L16" s="43"/>
    </row>
    <row r="17" spans="1:12" ht="21" customHeight="1" x14ac:dyDescent="0.25">
      <c r="A17" s="39" t="str">
        <f>A15</f>
        <v>Е4</v>
      </c>
      <c r="B17" s="39" t="s">
        <v>12</v>
      </c>
      <c r="C17" s="39"/>
      <c r="D17" s="41" t="s">
        <v>329</v>
      </c>
      <c r="E17" s="39" t="s">
        <v>328</v>
      </c>
      <c r="F17" s="51">
        <v>10728</v>
      </c>
      <c r="G17" s="42">
        <f t="shared" ref="G17" si="4">F17*0.6</f>
        <v>6436.8</v>
      </c>
      <c r="H17" s="42">
        <f t="shared" ref="H17" si="5">G17*I17</f>
        <v>38620.800000000003</v>
      </c>
      <c r="I17" s="43">
        <v>6</v>
      </c>
      <c r="J17" s="44" t="s">
        <v>190</v>
      </c>
      <c r="K17" s="40" t="s">
        <v>332</v>
      </c>
      <c r="L17" s="43"/>
    </row>
    <row r="18" spans="1:12" ht="21" customHeight="1" x14ac:dyDescent="0.25">
      <c r="A18" s="39" t="str">
        <f>A16</f>
        <v>Е4</v>
      </c>
      <c r="B18" s="39" t="s">
        <v>12</v>
      </c>
      <c r="C18" s="39"/>
      <c r="D18" s="41" t="s">
        <v>331</v>
      </c>
      <c r="E18" s="39" t="s">
        <v>330</v>
      </c>
      <c r="F18" s="51">
        <v>2888</v>
      </c>
      <c r="G18" s="42">
        <f t="shared" si="1"/>
        <v>1732.8</v>
      </c>
      <c r="H18" s="42">
        <f t="shared" si="2"/>
        <v>3465.6</v>
      </c>
      <c r="I18" s="43">
        <v>2</v>
      </c>
      <c r="J18" s="44" t="s">
        <v>190</v>
      </c>
      <c r="K18" s="40" t="s">
        <v>332</v>
      </c>
      <c r="L18" s="43"/>
    </row>
    <row r="19" spans="1:12" ht="21" customHeight="1" x14ac:dyDescent="0.25">
      <c r="A19" s="39" t="str">
        <f t="shared" si="0"/>
        <v>Е4</v>
      </c>
      <c r="B19" s="39" t="s">
        <v>12</v>
      </c>
      <c r="C19" s="39"/>
      <c r="D19" s="41" t="s">
        <v>317</v>
      </c>
      <c r="E19" s="39" t="s">
        <v>316</v>
      </c>
      <c r="F19" s="51">
        <v>40993</v>
      </c>
      <c r="G19" s="42">
        <f t="shared" si="1"/>
        <v>24595.8</v>
      </c>
      <c r="H19" s="42">
        <f t="shared" si="2"/>
        <v>24595.8</v>
      </c>
      <c r="I19" s="43">
        <v>1</v>
      </c>
      <c r="J19" s="44" t="s">
        <v>190</v>
      </c>
      <c r="K19" s="40" t="s">
        <v>332</v>
      </c>
      <c r="L19" s="43"/>
    </row>
    <row r="20" spans="1:12" ht="21" customHeight="1" x14ac:dyDescent="0.25">
      <c r="A20" s="39" t="str">
        <f t="shared" si="0"/>
        <v>Е4</v>
      </c>
      <c r="B20" s="39" t="s">
        <v>12</v>
      </c>
      <c r="C20" s="39"/>
      <c r="D20" s="45" t="s">
        <v>291</v>
      </c>
      <c r="E20" s="39" t="s">
        <v>290</v>
      </c>
      <c r="F20" s="45">
        <v>2218</v>
      </c>
      <c r="G20" s="42">
        <f t="shared" si="1"/>
        <v>1330.8</v>
      </c>
      <c r="H20" s="42">
        <f t="shared" si="2"/>
        <v>1330.8</v>
      </c>
      <c r="I20" s="39">
        <v>1</v>
      </c>
      <c r="J20" s="39" t="s">
        <v>13</v>
      </c>
      <c r="K20" s="40" t="s">
        <v>332</v>
      </c>
      <c r="L20" s="39"/>
    </row>
    <row r="21" spans="1:12" ht="29.25" customHeight="1" x14ac:dyDescent="0.25">
      <c r="A21" s="39" t="str">
        <f t="shared" si="0"/>
        <v>Е4</v>
      </c>
      <c r="B21" s="39" t="s">
        <v>266</v>
      </c>
      <c r="C21" s="39"/>
      <c r="D21" s="45" t="s">
        <v>215</v>
      </c>
      <c r="E21" s="39" t="s">
        <v>216</v>
      </c>
      <c r="F21" s="39">
        <v>33208</v>
      </c>
      <c r="G21" s="42">
        <f t="shared" si="1"/>
        <v>19924.8</v>
      </c>
      <c r="H21" s="42">
        <f t="shared" si="2"/>
        <v>19924.8</v>
      </c>
      <c r="I21" s="39">
        <v>1</v>
      </c>
      <c r="J21" s="39" t="s">
        <v>13</v>
      </c>
      <c r="K21" s="40" t="s">
        <v>332</v>
      </c>
      <c r="L21" s="39"/>
    </row>
    <row r="22" spans="1:12" ht="21" customHeight="1" x14ac:dyDescent="0.25">
      <c r="A22" s="39" t="str">
        <f t="shared" si="0"/>
        <v>Е4</v>
      </c>
      <c r="B22" s="39" t="s">
        <v>12</v>
      </c>
      <c r="C22" s="39"/>
      <c r="D22" s="45" t="s">
        <v>277</v>
      </c>
      <c r="E22" s="39" t="s">
        <v>276</v>
      </c>
      <c r="F22" s="45">
        <v>18647</v>
      </c>
      <c r="G22" s="42">
        <f t="shared" si="1"/>
        <v>11188.199999999999</v>
      </c>
      <c r="H22" s="42">
        <f t="shared" si="2"/>
        <v>11188.199999999999</v>
      </c>
      <c r="I22" s="39">
        <v>1</v>
      </c>
      <c r="J22" s="39" t="s">
        <v>13</v>
      </c>
      <c r="K22" s="40" t="s">
        <v>332</v>
      </c>
      <c r="L22" s="39"/>
    </row>
    <row r="23" spans="1:12" ht="30" customHeight="1" x14ac:dyDescent="0.25">
      <c r="A23" s="39" t="str">
        <f t="shared" si="0"/>
        <v>Е4</v>
      </c>
      <c r="B23" s="46" t="s">
        <v>29</v>
      </c>
      <c r="C23" s="47"/>
      <c r="D23" s="47" t="s">
        <v>217</v>
      </c>
      <c r="E23" s="48" t="s">
        <v>77</v>
      </c>
      <c r="F23" s="50">
        <v>12515</v>
      </c>
      <c r="G23" s="42">
        <f t="shared" si="1"/>
        <v>7509</v>
      </c>
      <c r="H23" s="42">
        <f t="shared" si="2"/>
        <v>7509</v>
      </c>
      <c r="I23" s="47">
        <v>1</v>
      </c>
      <c r="J23" s="49"/>
      <c r="K23" s="40" t="s">
        <v>17</v>
      </c>
      <c r="L23" s="47"/>
    </row>
    <row r="24" spans="1:12" ht="21" customHeight="1" x14ac:dyDescent="0.25">
      <c r="A24" s="39" t="str">
        <f t="shared" si="0"/>
        <v>Е4</v>
      </c>
      <c r="B24" s="40" t="s">
        <v>267</v>
      </c>
      <c r="C24" s="39"/>
      <c r="D24" s="41" t="s">
        <v>299</v>
      </c>
      <c r="E24" s="39" t="s">
        <v>298</v>
      </c>
      <c r="F24" s="51">
        <v>15665</v>
      </c>
      <c r="G24" s="42">
        <f t="shared" si="1"/>
        <v>9399</v>
      </c>
      <c r="H24" s="42">
        <f>G24*I24</f>
        <v>9399</v>
      </c>
      <c r="I24" s="43">
        <v>1</v>
      </c>
      <c r="J24" s="44" t="s">
        <v>13</v>
      </c>
      <c r="K24" s="40" t="s">
        <v>332</v>
      </c>
      <c r="L24" s="43"/>
    </row>
    <row r="25" spans="1:12" ht="21" customHeight="1" x14ac:dyDescent="0.25">
      <c r="A25" s="39" t="str">
        <f t="shared" si="0"/>
        <v>Е4</v>
      </c>
      <c r="B25" s="40" t="s">
        <v>24</v>
      </c>
      <c r="C25" s="39"/>
      <c r="D25" s="41"/>
      <c r="E25" s="39" t="s">
        <v>222</v>
      </c>
      <c r="F25" s="40"/>
      <c r="G25" s="42">
        <f t="shared" si="1"/>
        <v>0</v>
      </c>
      <c r="H25" s="42">
        <f t="shared" ref="H25" si="6">G25*I25</f>
        <v>0</v>
      </c>
      <c r="I25" s="43">
        <v>2</v>
      </c>
      <c r="J25" s="44" t="s">
        <v>13</v>
      </c>
      <c r="K25" s="40" t="s">
        <v>191</v>
      </c>
      <c r="L25" s="43"/>
    </row>
    <row r="26" spans="1:12" ht="42" customHeight="1" x14ac:dyDescent="0.25">
      <c r="A26" s="39" t="str">
        <f t="shared" si="0"/>
        <v>Е4</v>
      </c>
      <c r="B26" s="40" t="s">
        <v>268</v>
      </c>
      <c r="C26" s="39"/>
      <c r="D26" s="41" t="s">
        <v>335</v>
      </c>
      <c r="E26" s="39" t="s">
        <v>334</v>
      </c>
      <c r="F26" s="51">
        <v>8906</v>
      </c>
      <c r="G26" s="42">
        <f t="shared" si="1"/>
        <v>5343.5999999999995</v>
      </c>
      <c r="H26" s="42">
        <f>G26*I26</f>
        <v>5343.5999999999995</v>
      </c>
      <c r="I26" s="43">
        <v>1</v>
      </c>
      <c r="J26" s="44" t="s">
        <v>13</v>
      </c>
      <c r="K26" s="40" t="s">
        <v>17</v>
      </c>
      <c r="L26" s="43"/>
    </row>
    <row r="27" spans="1:12" ht="21" customHeight="1" x14ac:dyDescent="0.25">
      <c r="A27" s="39" t="str">
        <f t="shared" si="0"/>
        <v>Е4</v>
      </c>
      <c r="B27" s="40" t="s">
        <v>267</v>
      </c>
      <c r="C27" s="39"/>
      <c r="D27" s="41" t="s">
        <v>297</v>
      </c>
      <c r="E27" s="39" t="s">
        <v>296</v>
      </c>
      <c r="F27" s="51">
        <v>17840</v>
      </c>
      <c r="G27" s="42">
        <f t="shared" si="1"/>
        <v>10704</v>
      </c>
      <c r="H27" s="42">
        <f>G27*I27</f>
        <v>10704</v>
      </c>
      <c r="I27" s="43">
        <v>1</v>
      </c>
      <c r="J27" s="44" t="s">
        <v>13</v>
      </c>
      <c r="K27" s="40" t="s">
        <v>332</v>
      </c>
      <c r="L27" s="43"/>
    </row>
    <row r="28" spans="1:12" ht="21" customHeight="1" x14ac:dyDescent="0.25">
      <c r="A28" s="39" t="str">
        <f t="shared" si="0"/>
        <v>Е4</v>
      </c>
      <c r="B28" s="40" t="s">
        <v>193</v>
      </c>
      <c r="C28" s="39"/>
      <c r="D28" s="41" t="s">
        <v>228</v>
      </c>
      <c r="E28" s="39" t="s">
        <v>229</v>
      </c>
      <c r="F28" s="40">
        <v>3340</v>
      </c>
      <c r="G28" s="42">
        <f t="shared" si="1"/>
        <v>2004</v>
      </c>
      <c r="H28" s="42">
        <f t="shared" ref="H28:H30" si="7">G28*I28</f>
        <v>4008</v>
      </c>
      <c r="I28" s="43">
        <v>2</v>
      </c>
      <c r="J28" s="44" t="s">
        <v>13</v>
      </c>
      <c r="K28" s="40" t="s">
        <v>191</v>
      </c>
      <c r="L28" s="43"/>
    </row>
    <row r="29" spans="1:12" ht="24" customHeight="1" x14ac:dyDescent="0.25">
      <c r="A29" s="39" t="str">
        <f t="shared" si="0"/>
        <v>Е4</v>
      </c>
      <c r="B29" s="39" t="s">
        <v>10</v>
      </c>
      <c r="C29" s="39"/>
      <c r="D29" s="45" t="s">
        <v>10</v>
      </c>
      <c r="E29" s="39" t="s">
        <v>10</v>
      </c>
      <c r="F29" s="39"/>
      <c r="G29" s="42">
        <f t="shared" si="1"/>
        <v>0</v>
      </c>
      <c r="H29" s="42">
        <f t="shared" si="7"/>
        <v>0</v>
      </c>
      <c r="I29" s="39"/>
      <c r="J29" s="39" t="s">
        <v>13</v>
      </c>
      <c r="K29" s="39" t="s">
        <v>10</v>
      </c>
      <c r="L29" s="39"/>
    </row>
    <row r="30" spans="1:12" ht="21" customHeight="1" x14ac:dyDescent="0.25">
      <c r="A30" s="39" t="str">
        <f t="shared" si="0"/>
        <v>Е4</v>
      </c>
      <c r="B30" s="39" t="s">
        <v>11</v>
      </c>
      <c r="C30" s="39"/>
      <c r="D30" s="45" t="s">
        <v>11</v>
      </c>
      <c r="E30" s="39" t="s">
        <v>11</v>
      </c>
      <c r="F30" s="39">
        <f>I30/60</f>
        <v>0</v>
      </c>
      <c r="G30" s="42">
        <f t="shared" si="1"/>
        <v>0</v>
      </c>
      <c r="H30" s="42">
        <f t="shared" si="7"/>
        <v>0</v>
      </c>
      <c r="I30" s="39"/>
      <c r="J30" s="39" t="s">
        <v>13</v>
      </c>
      <c r="K30" s="39" t="s">
        <v>11</v>
      </c>
      <c r="L30" s="39"/>
    </row>
    <row r="31" spans="1:12" ht="39.75" customHeight="1" x14ac:dyDescent="0.25">
      <c r="A31" s="32" t="str">
        <f>E31</f>
        <v>B01</v>
      </c>
      <c r="B31" s="33"/>
      <c r="C31" s="32"/>
      <c r="D31" s="34"/>
      <c r="E31" s="33" t="s">
        <v>230</v>
      </c>
      <c r="F31" s="35"/>
      <c r="G31" s="35"/>
      <c r="H31" s="36"/>
      <c r="I31" s="37">
        <v>1</v>
      </c>
      <c r="J31" s="38" t="s">
        <v>7</v>
      </c>
      <c r="K31" s="33" t="s">
        <v>9</v>
      </c>
      <c r="L31" s="37"/>
    </row>
    <row r="32" spans="1:12" ht="21" customHeight="1" x14ac:dyDescent="0.25">
      <c r="A32" s="39" t="str">
        <f>A31</f>
        <v>B01</v>
      </c>
      <c r="B32" s="40" t="s">
        <v>8</v>
      </c>
      <c r="C32" s="39"/>
      <c r="D32" s="41"/>
      <c r="E32" s="39"/>
      <c r="F32" s="40"/>
      <c r="G32" s="42">
        <f>F32</f>
        <v>0</v>
      </c>
      <c r="H32" s="42">
        <f>I32*G32</f>
        <v>0</v>
      </c>
      <c r="I32" s="43">
        <v>1</v>
      </c>
      <c r="J32" s="44" t="s">
        <v>13</v>
      </c>
      <c r="K32" s="40" t="s">
        <v>16</v>
      </c>
      <c r="L32" s="43"/>
    </row>
    <row r="33" spans="1:12" ht="21" customHeight="1" x14ac:dyDescent="0.25">
      <c r="A33" s="39" t="str">
        <f t="shared" ref="A33:A38" si="8">A32</f>
        <v>B01</v>
      </c>
      <c r="B33" s="40" t="s">
        <v>61</v>
      </c>
      <c r="C33" s="39"/>
      <c r="D33" s="41" t="s">
        <v>231</v>
      </c>
      <c r="E33" s="39" t="s">
        <v>232</v>
      </c>
      <c r="F33" s="40">
        <v>11813</v>
      </c>
      <c r="G33" s="42">
        <f>F33*0.6</f>
        <v>7087.8</v>
      </c>
      <c r="H33" s="42">
        <f>G33*I33</f>
        <v>21263.4</v>
      </c>
      <c r="I33" s="43">
        <v>3</v>
      </c>
      <c r="J33" s="44" t="s">
        <v>13</v>
      </c>
      <c r="K33" s="40" t="s">
        <v>17</v>
      </c>
      <c r="L33" s="43"/>
    </row>
    <row r="34" spans="1:12" ht="21" customHeight="1" x14ac:dyDescent="0.25">
      <c r="A34" s="39" t="str">
        <f t="shared" si="8"/>
        <v>B01</v>
      </c>
      <c r="B34" s="40" t="s">
        <v>267</v>
      </c>
      <c r="C34" s="39"/>
      <c r="D34" s="41" t="s">
        <v>309</v>
      </c>
      <c r="E34" s="39" t="s">
        <v>308</v>
      </c>
      <c r="F34" s="51">
        <v>32634</v>
      </c>
      <c r="G34" s="42">
        <f t="shared" ref="G34" si="9">F34*0.6</f>
        <v>19580.399999999998</v>
      </c>
      <c r="H34" s="42">
        <f t="shared" ref="H34" si="10">G34*I34</f>
        <v>19580.399999999998</v>
      </c>
      <c r="I34" s="43">
        <v>1</v>
      </c>
      <c r="J34" s="44" t="s">
        <v>13</v>
      </c>
      <c r="K34" s="40" t="s">
        <v>332</v>
      </c>
      <c r="L34" s="43"/>
    </row>
    <row r="35" spans="1:12" ht="21" customHeight="1" x14ac:dyDescent="0.25">
      <c r="A35" s="39" t="str">
        <f t="shared" si="8"/>
        <v>B01</v>
      </c>
      <c r="B35" s="40" t="s">
        <v>267</v>
      </c>
      <c r="C35" s="39"/>
      <c r="D35" s="41" t="s">
        <v>311</v>
      </c>
      <c r="E35" s="39" t="s">
        <v>310</v>
      </c>
      <c r="F35" s="40">
        <v>24949</v>
      </c>
      <c r="G35" s="42">
        <f>F35*0.6</f>
        <v>14969.4</v>
      </c>
      <c r="H35" s="42">
        <f>G35*I35</f>
        <v>29938.799999999999</v>
      </c>
      <c r="I35" s="43">
        <v>2</v>
      </c>
      <c r="J35" s="44" t="s">
        <v>13</v>
      </c>
      <c r="K35" s="40" t="s">
        <v>332</v>
      </c>
      <c r="L35" s="43"/>
    </row>
    <row r="36" spans="1:12" ht="21" customHeight="1" x14ac:dyDescent="0.25">
      <c r="A36" s="39" t="str">
        <f t="shared" si="8"/>
        <v>B01</v>
      </c>
      <c r="B36" s="40" t="s">
        <v>12</v>
      </c>
      <c r="C36" s="39"/>
      <c r="D36" s="41" t="s">
        <v>289</v>
      </c>
      <c r="E36" s="39" t="s">
        <v>288</v>
      </c>
      <c r="F36" s="51">
        <v>6385</v>
      </c>
      <c r="G36" s="42">
        <f>F36*0.6</f>
        <v>3831</v>
      </c>
      <c r="H36" s="42">
        <f>G36*I36</f>
        <v>30648</v>
      </c>
      <c r="I36" s="43">
        <v>8</v>
      </c>
      <c r="J36" s="44" t="s">
        <v>13</v>
      </c>
      <c r="K36" s="40" t="s">
        <v>332</v>
      </c>
      <c r="L36" s="43"/>
    </row>
    <row r="37" spans="1:12" ht="24" customHeight="1" x14ac:dyDescent="0.25">
      <c r="A37" s="39" t="str">
        <f>A35</f>
        <v>B01</v>
      </c>
      <c r="B37" s="39" t="s">
        <v>10</v>
      </c>
      <c r="C37" s="39"/>
      <c r="D37" s="45" t="s">
        <v>10</v>
      </c>
      <c r="E37" s="39" t="s">
        <v>10</v>
      </c>
      <c r="F37" s="39"/>
      <c r="G37" s="42">
        <f t="shared" ref="G37:G38" si="11">F37*0.6</f>
        <v>0</v>
      </c>
      <c r="H37" s="42">
        <f t="shared" ref="H37:H38" si="12">G37*I37</f>
        <v>0</v>
      </c>
      <c r="I37" s="39"/>
      <c r="J37" s="39" t="s">
        <v>13</v>
      </c>
      <c r="K37" s="39" t="s">
        <v>10</v>
      </c>
      <c r="L37" s="39"/>
    </row>
    <row r="38" spans="1:12" ht="21" customHeight="1" x14ac:dyDescent="0.25">
      <c r="A38" s="39" t="str">
        <f t="shared" si="8"/>
        <v>B01</v>
      </c>
      <c r="B38" s="39" t="s">
        <v>11</v>
      </c>
      <c r="C38" s="39"/>
      <c r="D38" s="45" t="s">
        <v>11</v>
      </c>
      <c r="E38" s="39" t="s">
        <v>11</v>
      </c>
      <c r="F38" s="39">
        <f>I38/60</f>
        <v>0</v>
      </c>
      <c r="G38" s="42">
        <f t="shared" si="11"/>
        <v>0</v>
      </c>
      <c r="H38" s="42">
        <f t="shared" si="12"/>
        <v>0</v>
      </c>
      <c r="I38" s="39"/>
      <c r="J38" s="39" t="s">
        <v>13</v>
      </c>
      <c r="K38" s="39" t="s">
        <v>11</v>
      </c>
      <c r="L38" s="39"/>
    </row>
    <row r="39" spans="1:12" ht="39.75" customHeight="1" x14ac:dyDescent="0.25">
      <c r="A39" s="32" t="str">
        <f>E39</f>
        <v>B1</v>
      </c>
      <c r="B39" s="33"/>
      <c r="C39" s="32"/>
      <c r="D39" s="34"/>
      <c r="E39" s="33" t="s">
        <v>237</v>
      </c>
      <c r="F39" s="35"/>
      <c r="G39" s="35"/>
      <c r="H39" s="36"/>
      <c r="I39" s="37">
        <v>1</v>
      </c>
      <c r="J39" s="38" t="s">
        <v>7</v>
      </c>
      <c r="K39" s="33" t="s">
        <v>9</v>
      </c>
      <c r="L39" s="37"/>
    </row>
    <row r="40" spans="1:12" ht="21" customHeight="1" x14ac:dyDescent="0.25">
      <c r="A40" s="39" t="str">
        <f>A39</f>
        <v>B1</v>
      </c>
      <c r="B40" s="40" t="s">
        <v>8</v>
      </c>
      <c r="C40" s="39"/>
      <c r="D40" s="41"/>
      <c r="E40" s="39"/>
      <c r="F40" s="40"/>
      <c r="G40" s="42">
        <f>F40</f>
        <v>0</v>
      </c>
      <c r="H40" s="42">
        <f>I40*G40</f>
        <v>0</v>
      </c>
      <c r="I40" s="43">
        <v>1</v>
      </c>
      <c r="J40" s="44" t="s">
        <v>13</v>
      </c>
      <c r="K40" s="40" t="s">
        <v>16</v>
      </c>
      <c r="L40" s="43"/>
    </row>
    <row r="41" spans="1:12" ht="21" customHeight="1" x14ac:dyDescent="0.25">
      <c r="A41" s="39" t="str">
        <f t="shared" ref="A41:A45" si="13">A40</f>
        <v>B1</v>
      </c>
      <c r="B41" s="40" t="s">
        <v>61</v>
      </c>
      <c r="C41" s="39"/>
      <c r="D41" s="41" t="s">
        <v>231</v>
      </c>
      <c r="E41" s="39" t="s">
        <v>232</v>
      </c>
      <c r="F41" s="40">
        <v>11813</v>
      </c>
      <c r="G41" s="42">
        <f>F41*0.6</f>
        <v>7087.8</v>
      </c>
      <c r="H41" s="42">
        <f>G41*I41</f>
        <v>21263.4</v>
      </c>
      <c r="I41" s="43">
        <v>3</v>
      </c>
      <c r="J41" s="44" t="s">
        <v>13</v>
      </c>
      <c r="K41" s="40" t="s">
        <v>17</v>
      </c>
      <c r="L41" s="43"/>
    </row>
    <row r="42" spans="1:12" ht="21" customHeight="1" x14ac:dyDescent="0.25">
      <c r="A42" s="39" t="str">
        <f t="shared" si="13"/>
        <v>B1</v>
      </c>
      <c r="B42" s="40" t="s">
        <v>267</v>
      </c>
      <c r="C42" s="39"/>
      <c r="D42" s="41" t="s">
        <v>311</v>
      </c>
      <c r="E42" s="39" t="s">
        <v>310</v>
      </c>
      <c r="F42" s="40">
        <v>24949</v>
      </c>
      <c r="G42" s="42">
        <f>F42*0.6</f>
        <v>14969.4</v>
      </c>
      <c r="H42" s="42">
        <f>G42*I42</f>
        <v>29938.799999999999</v>
      </c>
      <c r="I42" s="43">
        <v>2</v>
      </c>
      <c r="J42" s="44" t="s">
        <v>13</v>
      </c>
      <c r="K42" s="40" t="s">
        <v>332</v>
      </c>
      <c r="L42" s="43"/>
    </row>
    <row r="43" spans="1:12" ht="21" customHeight="1" x14ac:dyDescent="0.25">
      <c r="A43" s="39" t="str">
        <f t="shared" si="13"/>
        <v>B1</v>
      </c>
      <c r="B43" s="40" t="s">
        <v>12</v>
      </c>
      <c r="C43" s="39"/>
      <c r="D43" s="41" t="s">
        <v>289</v>
      </c>
      <c r="E43" s="39" t="s">
        <v>288</v>
      </c>
      <c r="F43" s="51">
        <v>6385</v>
      </c>
      <c r="G43" s="42">
        <f>F43*0.6</f>
        <v>3831</v>
      </c>
      <c r="H43" s="42">
        <f>G43*I43</f>
        <v>30648</v>
      </c>
      <c r="I43" s="43">
        <v>8</v>
      </c>
      <c r="J43" s="44" t="s">
        <v>13</v>
      </c>
      <c r="K43" s="40" t="s">
        <v>332</v>
      </c>
      <c r="L43" s="43"/>
    </row>
    <row r="44" spans="1:12" ht="24" customHeight="1" x14ac:dyDescent="0.25">
      <c r="A44" s="39" t="str">
        <f t="shared" si="13"/>
        <v>B1</v>
      </c>
      <c r="B44" s="39" t="s">
        <v>10</v>
      </c>
      <c r="C44" s="39"/>
      <c r="D44" s="45" t="s">
        <v>10</v>
      </c>
      <c r="E44" s="39" t="s">
        <v>10</v>
      </c>
      <c r="F44" s="39"/>
      <c r="G44" s="42">
        <f t="shared" ref="G44:G45" si="14">F44*0.6</f>
        <v>0</v>
      </c>
      <c r="H44" s="42">
        <f t="shared" ref="H44:H45" si="15">G44*I44</f>
        <v>0</v>
      </c>
      <c r="I44" s="39"/>
      <c r="J44" s="39" t="s">
        <v>13</v>
      </c>
      <c r="K44" s="39" t="s">
        <v>10</v>
      </c>
      <c r="L44" s="39"/>
    </row>
    <row r="45" spans="1:12" ht="21" customHeight="1" x14ac:dyDescent="0.25">
      <c r="A45" s="39" t="str">
        <f t="shared" si="13"/>
        <v>B1</v>
      </c>
      <c r="B45" s="39" t="s">
        <v>11</v>
      </c>
      <c r="C45" s="39"/>
      <c r="D45" s="45" t="s">
        <v>11</v>
      </c>
      <c r="E45" s="39" t="s">
        <v>11</v>
      </c>
      <c r="F45" s="39">
        <f>I45/60</f>
        <v>0</v>
      </c>
      <c r="G45" s="42">
        <f t="shared" si="14"/>
        <v>0</v>
      </c>
      <c r="H45" s="42">
        <f t="shared" si="15"/>
        <v>0</v>
      </c>
      <c r="I45" s="39"/>
      <c r="J45" s="39" t="s">
        <v>13</v>
      </c>
      <c r="K45" s="39" t="s">
        <v>11</v>
      </c>
      <c r="L45" s="39"/>
    </row>
    <row r="46" spans="1:12" ht="39.75" customHeight="1" x14ac:dyDescent="0.25">
      <c r="A46" s="32" t="str">
        <f>E46</f>
        <v>B2</v>
      </c>
      <c r="B46" s="33"/>
      <c r="C46" s="32"/>
      <c r="D46" s="34"/>
      <c r="E46" s="33" t="s">
        <v>238</v>
      </c>
      <c r="F46" s="35"/>
      <c r="G46" s="35"/>
      <c r="H46" s="36"/>
      <c r="I46" s="37">
        <v>1</v>
      </c>
      <c r="J46" s="38" t="s">
        <v>7</v>
      </c>
      <c r="K46" s="33" t="s">
        <v>9</v>
      </c>
      <c r="L46" s="37"/>
    </row>
    <row r="47" spans="1:12" ht="21" customHeight="1" x14ac:dyDescent="0.25">
      <c r="A47" s="39" t="str">
        <f>A46</f>
        <v>B2</v>
      </c>
      <c r="B47" s="40" t="s">
        <v>8</v>
      </c>
      <c r="C47" s="39"/>
      <c r="D47" s="41"/>
      <c r="E47" s="39"/>
      <c r="F47" s="40"/>
      <c r="G47" s="42">
        <f>F47</f>
        <v>0</v>
      </c>
      <c r="H47" s="42">
        <f>I47*G47</f>
        <v>0</v>
      </c>
      <c r="I47" s="43">
        <v>1</v>
      </c>
      <c r="J47" s="44" t="s">
        <v>13</v>
      </c>
      <c r="K47" s="40" t="s">
        <v>16</v>
      </c>
      <c r="L47" s="43"/>
    </row>
    <row r="48" spans="1:12" ht="21" customHeight="1" x14ac:dyDescent="0.25">
      <c r="A48" s="39" t="str">
        <f t="shared" ref="A48:A53" si="16">A47</f>
        <v>B2</v>
      </c>
      <c r="B48" s="40" t="s">
        <v>61</v>
      </c>
      <c r="C48" s="39"/>
      <c r="D48" s="41" t="s">
        <v>231</v>
      </c>
      <c r="E48" s="39" t="s">
        <v>232</v>
      </c>
      <c r="F48" s="40">
        <v>11813</v>
      </c>
      <c r="G48" s="42">
        <f>F48*0.6</f>
        <v>7087.8</v>
      </c>
      <c r="H48" s="42">
        <f>G48*I48</f>
        <v>21263.4</v>
      </c>
      <c r="I48" s="43">
        <v>3</v>
      </c>
      <c r="J48" s="44" t="s">
        <v>13</v>
      </c>
      <c r="K48" s="40" t="s">
        <v>17</v>
      </c>
      <c r="L48" s="43"/>
    </row>
    <row r="49" spans="1:12" ht="21" customHeight="1" x14ac:dyDescent="0.25">
      <c r="A49" s="39" t="str">
        <f t="shared" si="16"/>
        <v>B2</v>
      </c>
      <c r="B49" s="40" t="s">
        <v>267</v>
      </c>
      <c r="C49" s="39"/>
      <c r="D49" s="41" t="s">
        <v>311</v>
      </c>
      <c r="E49" s="39" t="s">
        <v>310</v>
      </c>
      <c r="F49" s="40">
        <v>24949</v>
      </c>
      <c r="G49" s="42">
        <f>F49*0.6</f>
        <v>14969.4</v>
      </c>
      <c r="H49" s="42">
        <f>G49*I49</f>
        <v>29938.799999999999</v>
      </c>
      <c r="I49" s="43">
        <v>2</v>
      </c>
      <c r="J49" s="44" t="s">
        <v>13</v>
      </c>
      <c r="K49" s="40" t="s">
        <v>332</v>
      </c>
      <c r="L49" s="43"/>
    </row>
    <row r="50" spans="1:12" ht="21" customHeight="1" x14ac:dyDescent="0.25">
      <c r="A50" s="39" t="str">
        <f t="shared" si="16"/>
        <v>B2</v>
      </c>
      <c r="B50" s="40" t="s">
        <v>12</v>
      </c>
      <c r="C50" s="39"/>
      <c r="D50" s="41" t="s">
        <v>289</v>
      </c>
      <c r="E50" s="39" t="s">
        <v>288</v>
      </c>
      <c r="F50" s="51">
        <v>6385</v>
      </c>
      <c r="G50" s="42">
        <f>F50*0.6</f>
        <v>3831</v>
      </c>
      <c r="H50" s="42">
        <f>G50*I50</f>
        <v>30648</v>
      </c>
      <c r="I50" s="43">
        <v>8</v>
      </c>
      <c r="J50" s="44" t="s">
        <v>13</v>
      </c>
      <c r="K50" s="40" t="s">
        <v>332</v>
      </c>
      <c r="L50" s="43"/>
    </row>
    <row r="51" spans="1:12" ht="21" customHeight="1" x14ac:dyDescent="0.25">
      <c r="A51" s="39" t="str">
        <f t="shared" si="16"/>
        <v>B2</v>
      </c>
      <c r="B51" s="40" t="s">
        <v>12</v>
      </c>
      <c r="C51" s="39"/>
      <c r="D51" s="41" t="s">
        <v>287</v>
      </c>
      <c r="E51" s="39" t="s">
        <v>286</v>
      </c>
      <c r="F51" s="51">
        <v>6231</v>
      </c>
      <c r="G51" s="42">
        <f>F51*0.6</f>
        <v>3738.6</v>
      </c>
      <c r="H51" s="42">
        <f>G51*I51</f>
        <v>11215.8</v>
      </c>
      <c r="I51" s="43">
        <v>3</v>
      </c>
      <c r="J51" s="44" t="s">
        <v>13</v>
      </c>
      <c r="K51" s="40" t="s">
        <v>332</v>
      </c>
      <c r="L51" s="43"/>
    </row>
    <row r="52" spans="1:12" ht="24" customHeight="1" x14ac:dyDescent="0.25">
      <c r="A52" s="39" t="str">
        <f>A50</f>
        <v>B2</v>
      </c>
      <c r="B52" s="39" t="s">
        <v>10</v>
      </c>
      <c r="C52" s="39"/>
      <c r="D52" s="45" t="s">
        <v>10</v>
      </c>
      <c r="E52" s="39" t="s">
        <v>10</v>
      </c>
      <c r="F52" s="39"/>
      <c r="G52" s="42">
        <f t="shared" ref="G52:G53" si="17">F52*0.6</f>
        <v>0</v>
      </c>
      <c r="H52" s="42">
        <f t="shared" ref="H52:H53" si="18">G52*I52</f>
        <v>0</v>
      </c>
      <c r="I52" s="39"/>
      <c r="J52" s="39" t="s">
        <v>13</v>
      </c>
      <c r="K52" s="39" t="s">
        <v>10</v>
      </c>
      <c r="L52" s="39"/>
    </row>
    <row r="53" spans="1:12" ht="21" customHeight="1" x14ac:dyDescent="0.25">
      <c r="A53" s="39" t="str">
        <f t="shared" si="16"/>
        <v>B2</v>
      </c>
      <c r="B53" s="39" t="s">
        <v>11</v>
      </c>
      <c r="C53" s="39"/>
      <c r="D53" s="45" t="s">
        <v>11</v>
      </c>
      <c r="E53" s="39" t="s">
        <v>11</v>
      </c>
      <c r="F53" s="39">
        <f>I53/60</f>
        <v>0</v>
      </c>
      <c r="G53" s="42">
        <f t="shared" si="17"/>
        <v>0</v>
      </c>
      <c r="H53" s="42">
        <f t="shared" si="18"/>
        <v>0</v>
      </c>
      <c r="I53" s="39"/>
      <c r="J53" s="39" t="s">
        <v>13</v>
      </c>
      <c r="K53" s="39" t="s">
        <v>11</v>
      </c>
      <c r="L53" s="39"/>
    </row>
    <row r="54" spans="1:12" ht="39.75" customHeight="1" x14ac:dyDescent="0.25">
      <c r="A54" s="32" t="str">
        <f>E54</f>
        <v>B3</v>
      </c>
      <c r="B54" s="33"/>
      <c r="C54" s="32"/>
      <c r="D54" s="34"/>
      <c r="E54" s="33" t="s">
        <v>241</v>
      </c>
      <c r="F54" s="35"/>
      <c r="G54" s="35"/>
      <c r="H54" s="36"/>
      <c r="I54" s="37">
        <v>1</v>
      </c>
      <c r="J54" s="38" t="s">
        <v>7</v>
      </c>
      <c r="K54" s="33" t="s">
        <v>9</v>
      </c>
      <c r="L54" s="37"/>
    </row>
    <row r="55" spans="1:12" ht="21" customHeight="1" x14ac:dyDescent="0.25">
      <c r="A55" s="39" t="str">
        <f>A54</f>
        <v>B3</v>
      </c>
      <c r="B55" s="40" t="s">
        <v>8</v>
      </c>
      <c r="C55" s="39"/>
      <c r="D55" s="41"/>
      <c r="E55" s="39"/>
      <c r="F55" s="40"/>
      <c r="G55" s="42">
        <f>F55</f>
        <v>0</v>
      </c>
      <c r="H55" s="42">
        <f>I55*G55</f>
        <v>0</v>
      </c>
      <c r="I55" s="43">
        <v>1</v>
      </c>
      <c r="J55" s="44" t="s">
        <v>13</v>
      </c>
      <c r="K55" s="40" t="s">
        <v>16</v>
      </c>
      <c r="L55" s="43"/>
    </row>
    <row r="56" spans="1:12" ht="21" customHeight="1" x14ac:dyDescent="0.25">
      <c r="A56" s="39" t="str">
        <f>A54</f>
        <v>B3</v>
      </c>
      <c r="B56" s="40" t="s">
        <v>61</v>
      </c>
      <c r="C56" s="39"/>
      <c r="D56" s="41" t="s">
        <v>231</v>
      </c>
      <c r="E56" s="39" t="s">
        <v>232</v>
      </c>
      <c r="F56" s="40">
        <v>11813</v>
      </c>
      <c r="G56" s="42">
        <f>F56*0.6</f>
        <v>7087.8</v>
      </c>
      <c r="H56" s="42">
        <f>G56*I56</f>
        <v>7087.8</v>
      </c>
      <c r="I56" s="43">
        <v>1</v>
      </c>
      <c r="J56" s="44" t="s">
        <v>13</v>
      </c>
      <c r="K56" s="40" t="s">
        <v>17</v>
      </c>
      <c r="L56" s="43"/>
    </row>
    <row r="57" spans="1:12" ht="21" customHeight="1" x14ac:dyDescent="0.25">
      <c r="A57" s="39" t="str">
        <f>A55</f>
        <v>B3</v>
      </c>
      <c r="B57" s="40" t="s">
        <v>61</v>
      </c>
      <c r="C57" s="39"/>
      <c r="D57" s="41" t="s">
        <v>242</v>
      </c>
      <c r="E57" s="39" t="s">
        <v>243</v>
      </c>
      <c r="F57" s="40">
        <v>6347</v>
      </c>
      <c r="G57" s="42">
        <f>F57*0.6</f>
        <v>3808.2</v>
      </c>
      <c r="H57" s="42">
        <f>G57*I57</f>
        <v>3808.2</v>
      </c>
      <c r="I57" s="43">
        <v>1</v>
      </c>
      <c r="J57" s="44" t="s">
        <v>13</v>
      </c>
      <c r="K57" s="40" t="s">
        <v>17</v>
      </c>
      <c r="L57" s="43"/>
    </row>
    <row r="58" spans="1:12" ht="21" customHeight="1" x14ac:dyDescent="0.25">
      <c r="A58" s="39" t="str">
        <f t="shared" ref="A58" si="19">A57</f>
        <v>B3</v>
      </c>
      <c r="B58" s="40" t="s">
        <v>267</v>
      </c>
      <c r="C58" s="39"/>
      <c r="D58" s="41" t="s">
        <v>311</v>
      </c>
      <c r="E58" s="39" t="s">
        <v>310</v>
      </c>
      <c r="F58" s="40">
        <v>24949</v>
      </c>
      <c r="G58" s="42">
        <f>F58*0.6</f>
        <v>14969.4</v>
      </c>
      <c r="H58" s="42">
        <f>G58*I58</f>
        <v>29938.799999999999</v>
      </c>
      <c r="I58" s="43">
        <v>2</v>
      </c>
      <c r="J58" s="44" t="s">
        <v>13</v>
      </c>
      <c r="K58" s="40" t="s">
        <v>332</v>
      </c>
      <c r="L58" s="43"/>
    </row>
    <row r="59" spans="1:12" ht="21" customHeight="1" x14ac:dyDescent="0.25">
      <c r="A59" s="39" t="str">
        <f t="shared" ref="A59" si="20">A58</f>
        <v>B3</v>
      </c>
      <c r="B59" s="40" t="s">
        <v>12</v>
      </c>
      <c r="C59" s="39"/>
      <c r="D59" s="41" t="s">
        <v>289</v>
      </c>
      <c r="E59" s="39" t="s">
        <v>288</v>
      </c>
      <c r="F59" s="51">
        <v>6385</v>
      </c>
      <c r="G59" s="42">
        <f>F59*0.6</f>
        <v>3831</v>
      </c>
      <c r="H59" s="42">
        <f>G59*I59</f>
        <v>30648</v>
      </c>
      <c r="I59" s="43">
        <v>8</v>
      </c>
      <c r="J59" s="44" t="s">
        <v>13</v>
      </c>
      <c r="K59" s="40" t="s">
        <v>332</v>
      </c>
      <c r="L59" s="43"/>
    </row>
    <row r="60" spans="1:12" ht="24" customHeight="1" x14ac:dyDescent="0.25">
      <c r="A60" s="39" t="str">
        <f>A59</f>
        <v>B3</v>
      </c>
      <c r="B60" s="39" t="s">
        <v>10</v>
      </c>
      <c r="C60" s="39"/>
      <c r="D60" s="45" t="s">
        <v>10</v>
      </c>
      <c r="E60" s="39" t="s">
        <v>10</v>
      </c>
      <c r="F60" s="39"/>
      <c r="G60" s="42">
        <f t="shared" ref="G60:G61" si="21">F60*0.6</f>
        <v>0</v>
      </c>
      <c r="H60" s="42">
        <f t="shared" ref="H60:H61" si="22">G60*I60</f>
        <v>0</v>
      </c>
      <c r="I60" s="39"/>
      <c r="J60" s="39" t="s">
        <v>13</v>
      </c>
      <c r="K60" s="39" t="s">
        <v>10</v>
      </c>
      <c r="L60" s="39"/>
    </row>
    <row r="61" spans="1:12" ht="21" customHeight="1" x14ac:dyDescent="0.25">
      <c r="A61" s="39" t="str">
        <f t="shared" ref="A61" si="23">A60</f>
        <v>B3</v>
      </c>
      <c r="B61" s="39" t="s">
        <v>11</v>
      </c>
      <c r="C61" s="39"/>
      <c r="D61" s="45" t="s">
        <v>11</v>
      </c>
      <c r="E61" s="39" t="s">
        <v>11</v>
      </c>
      <c r="F61" s="39">
        <f>I61/60</f>
        <v>0</v>
      </c>
      <c r="G61" s="42">
        <f t="shared" si="21"/>
        <v>0</v>
      </c>
      <c r="H61" s="42">
        <f t="shared" si="22"/>
        <v>0</v>
      </c>
      <c r="I61" s="39"/>
      <c r="J61" s="39" t="s">
        <v>13</v>
      </c>
      <c r="K61" s="39" t="s">
        <v>11</v>
      </c>
      <c r="L61" s="39"/>
    </row>
    <row r="62" spans="1:12" ht="39.75" customHeight="1" x14ac:dyDescent="0.25">
      <c r="A62" s="32" t="str">
        <f>E62</f>
        <v>B4</v>
      </c>
      <c r="B62" s="33"/>
      <c r="C62" s="32"/>
      <c r="D62" s="34"/>
      <c r="E62" s="33" t="s">
        <v>244</v>
      </c>
      <c r="F62" s="35"/>
      <c r="G62" s="35"/>
      <c r="H62" s="36"/>
      <c r="I62" s="37">
        <v>1</v>
      </c>
      <c r="J62" s="38" t="s">
        <v>7</v>
      </c>
      <c r="K62" s="33" t="s">
        <v>9</v>
      </c>
      <c r="L62" s="37"/>
    </row>
    <row r="63" spans="1:12" ht="21" customHeight="1" x14ac:dyDescent="0.25">
      <c r="A63" s="39" t="str">
        <f>A62</f>
        <v>B4</v>
      </c>
      <c r="B63" s="40" t="s">
        <v>8</v>
      </c>
      <c r="C63" s="39"/>
      <c r="D63" s="41"/>
      <c r="E63" s="39"/>
      <c r="F63" s="40"/>
      <c r="G63" s="42">
        <f>F63</f>
        <v>0</v>
      </c>
      <c r="H63" s="42">
        <f>I63*G63</f>
        <v>0</v>
      </c>
      <c r="I63" s="43">
        <v>1</v>
      </c>
      <c r="J63" s="44" t="s">
        <v>13</v>
      </c>
      <c r="K63" s="40" t="s">
        <v>16</v>
      </c>
      <c r="L63" s="43"/>
    </row>
    <row r="64" spans="1:12" ht="21" customHeight="1" x14ac:dyDescent="0.25">
      <c r="A64" s="39" t="str">
        <f>A62</f>
        <v>B4</v>
      </c>
      <c r="B64" s="40" t="s">
        <v>61</v>
      </c>
      <c r="C64" s="39"/>
      <c r="D64" s="41" t="s">
        <v>231</v>
      </c>
      <c r="E64" s="39" t="s">
        <v>232</v>
      </c>
      <c r="F64" s="40">
        <v>11813</v>
      </c>
      <c r="G64" s="42">
        <f>F64*0.6</f>
        <v>7087.8</v>
      </c>
      <c r="H64" s="42">
        <f>G64*I64</f>
        <v>7087.8</v>
      </c>
      <c r="I64" s="43">
        <v>1</v>
      </c>
      <c r="J64" s="44" t="s">
        <v>13</v>
      </c>
      <c r="K64" s="40" t="s">
        <v>17</v>
      </c>
      <c r="L64" s="43"/>
    </row>
    <row r="65" spans="1:12" ht="21" customHeight="1" x14ac:dyDescent="0.25">
      <c r="A65" s="39" t="str">
        <f t="shared" ref="A65:A66" si="24">A64</f>
        <v>B4</v>
      </c>
      <c r="B65" s="40" t="s">
        <v>12</v>
      </c>
      <c r="C65" s="39"/>
      <c r="D65" s="41" t="s">
        <v>287</v>
      </c>
      <c r="E65" s="39" t="s">
        <v>286</v>
      </c>
      <c r="F65" s="51">
        <v>6231</v>
      </c>
      <c r="G65" s="42">
        <f>F65*0.6</f>
        <v>3738.6</v>
      </c>
      <c r="H65" s="42">
        <f>G65*I65</f>
        <v>11215.8</v>
      </c>
      <c r="I65" s="43">
        <v>3</v>
      </c>
      <c r="J65" s="44" t="s">
        <v>13</v>
      </c>
      <c r="K65" s="40" t="s">
        <v>332</v>
      </c>
      <c r="L65" s="43"/>
    </row>
    <row r="66" spans="1:12" ht="21" customHeight="1" x14ac:dyDescent="0.25">
      <c r="A66" s="39" t="str">
        <f t="shared" si="24"/>
        <v>B4</v>
      </c>
      <c r="B66" s="40" t="s">
        <v>12</v>
      </c>
      <c r="C66" s="39"/>
      <c r="D66" s="41" t="s">
        <v>245</v>
      </c>
      <c r="E66" s="39" t="s">
        <v>246</v>
      </c>
      <c r="F66" s="40">
        <v>2629</v>
      </c>
      <c r="G66" s="42">
        <f>F66*0.6</f>
        <v>1577.3999999999999</v>
      </c>
      <c r="H66" s="42">
        <f>G66*I66</f>
        <v>6309.5999999999995</v>
      </c>
      <c r="I66" s="43">
        <v>4</v>
      </c>
      <c r="J66" s="44" t="s">
        <v>13</v>
      </c>
      <c r="K66" s="40" t="s">
        <v>17</v>
      </c>
      <c r="L66" s="43"/>
    </row>
    <row r="67" spans="1:12" ht="24" customHeight="1" x14ac:dyDescent="0.25">
      <c r="A67" s="39" t="str">
        <f>A65</f>
        <v>B4</v>
      </c>
      <c r="B67" s="39" t="s">
        <v>10</v>
      </c>
      <c r="C67" s="39"/>
      <c r="D67" s="45" t="s">
        <v>10</v>
      </c>
      <c r="E67" s="39" t="s">
        <v>10</v>
      </c>
      <c r="F67" s="39"/>
      <c r="G67" s="42">
        <f t="shared" ref="G67:G68" si="25">F67*0.6</f>
        <v>0</v>
      </c>
      <c r="H67" s="42">
        <f t="shared" ref="H67:H68" si="26">G67*I67</f>
        <v>0</v>
      </c>
      <c r="I67" s="39"/>
      <c r="J67" s="39" t="s">
        <v>13</v>
      </c>
      <c r="K67" s="39" t="s">
        <v>10</v>
      </c>
      <c r="L67" s="39"/>
    </row>
    <row r="68" spans="1:12" ht="21" customHeight="1" x14ac:dyDescent="0.25">
      <c r="A68" s="39" t="str">
        <f t="shared" ref="A68" si="27">A67</f>
        <v>B4</v>
      </c>
      <c r="B68" s="39" t="s">
        <v>11</v>
      </c>
      <c r="C68" s="39"/>
      <c r="D68" s="45" t="s">
        <v>11</v>
      </c>
      <c r="E68" s="39" t="s">
        <v>11</v>
      </c>
      <c r="F68" s="39">
        <f>I68/60</f>
        <v>0</v>
      </c>
      <c r="G68" s="42">
        <f t="shared" si="25"/>
        <v>0</v>
      </c>
      <c r="H68" s="42">
        <f t="shared" si="26"/>
        <v>0</v>
      </c>
      <c r="I68" s="39"/>
      <c r="J68" s="39" t="s">
        <v>13</v>
      </c>
      <c r="K68" s="39" t="s">
        <v>11</v>
      </c>
      <c r="L68" s="39"/>
    </row>
    <row r="69" spans="1:12" ht="39.75" customHeight="1" x14ac:dyDescent="0.25">
      <c r="A69" s="32" t="str">
        <f>E69</f>
        <v>B5</v>
      </c>
      <c r="B69" s="33"/>
      <c r="C69" s="32"/>
      <c r="D69" s="34"/>
      <c r="E69" s="33" t="s">
        <v>247</v>
      </c>
      <c r="F69" s="35"/>
      <c r="G69" s="35"/>
      <c r="H69" s="36"/>
      <c r="I69" s="37">
        <v>1</v>
      </c>
      <c r="J69" s="38" t="s">
        <v>7</v>
      </c>
      <c r="K69" s="33" t="s">
        <v>9</v>
      </c>
      <c r="L69" s="37"/>
    </row>
    <row r="70" spans="1:12" ht="21" customHeight="1" x14ac:dyDescent="0.25">
      <c r="A70" s="39" t="str">
        <f>A69</f>
        <v>B5</v>
      </c>
      <c r="B70" s="40" t="s">
        <v>8</v>
      </c>
      <c r="C70" s="39"/>
      <c r="D70" s="41"/>
      <c r="E70" s="39"/>
      <c r="F70" s="40"/>
      <c r="G70" s="42">
        <f>F70</f>
        <v>0</v>
      </c>
      <c r="H70" s="42">
        <f>I70*G70</f>
        <v>0</v>
      </c>
      <c r="I70" s="43">
        <v>1</v>
      </c>
      <c r="J70" s="44" t="s">
        <v>13</v>
      </c>
      <c r="K70" s="40" t="s">
        <v>16</v>
      </c>
      <c r="L70" s="43"/>
    </row>
    <row r="71" spans="1:12" ht="21" customHeight="1" x14ac:dyDescent="0.25">
      <c r="A71" s="39" t="str">
        <f>A69</f>
        <v>B5</v>
      </c>
      <c r="B71" s="40" t="s">
        <v>61</v>
      </c>
      <c r="C71" s="39"/>
      <c r="D71" s="41" t="s">
        <v>231</v>
      </c>
      <c r="E71" s="39" t="s">
        <v>232</v>
      </c>
      <c r="F71" s="40">
        <v>11813</v>
      </c>
      <c r="G71" s="42">
        <f>F71*0.6</f>
        <v>7087.8</v>
      </c>
      <c r="H71" s="42">
        <f>G71*I71</f>
        <v>14175.6</v>
      </c>
      <c r="I71" s="43">
        <v>2</v>
      </c>
      <c r="J71" s="44" t="s">
        <v>13</v>
      </c>
      <c r="K71" s="40" t="s">
        <v>17</v>
      </c>
      <c r="L71" s="43"/>
    </row>
    <row r="72" spans="1:12" ht="21" customHeight="1" x14ac:dyDescent="0.25">
      <c r="A72" s="39" t="str">
        <f t="shared" ref="A72:A73" si="28">A71</f>
        <v>B5</v>
      </c>
      <c r="B72" s="40" t="s">
        <v>61</v>
      </c>
      <c r="C72" s="39"/>
      <c r="D72" s="41" t="s">
        <v>285</v>
      </c>
      <c r="E72" s="39" t="s">
        <v>284</v>
      </c>
      <c r="F72" s="51">
        <v>17366</v>
      </c>
      <c r="G72" s="42">
        <f>F72*0.6</f>
        <v>10419.6</v>
      </c>
      <c r="H72" s="42">
        <f>G72*I72</f>
        <v>145874.4</v>
      </c>
      <c r="I72" s="43">
        <v>14</v>
      </c>
      <c r="J72" s="44" t="s">
        <v>13</v>
      </c>
      <c r="K72" s="40" t="s">
        <v>17</v>
      </c>
      <c r="L72" s="43"/>
    </row>
    <row r="73" spans="1:12" ht="21" customHeight="1" x14ac:dyDescent="0.25">
      <c r="A73" s="39" t="str">
        <f t="shared" si="28"/>
        <v>B5</v>
      </c>
      <c r="B73" s="40" t="s">
        <v>12</v>
      </c>
      <c r="C73" s="39"/>
      <c r="D73" s="41" t="s">
        <v>289</v>
      </c>
      <c r="E73" s="39" t="s">
        <v>288</v>
      </c>
      <c r="F73" s="51">
        <v>6385</v>
      </c>
      <c r="G73" s="42">
        <f>F73*0.6</f>
        <v>3831</v>
      </c>
      <c r="H73" s="42">
        <f>G73*I73</f>
        <v>30648</v>
      </c>
      <c r="I73" s="43">
        <v>8</v>
      </c>
      <c r="J73" s="44" t="s">
        <v>13</v>
      </c>
      <c r="K73" s="40" t="s">
        <v>332</v>
      </c>
      <c r="L73" s="43"/>
    </row>
    <row r="74" spans="1:12" ht="21" customHeight="1" x14ac:dyDescent="0.25">
      <c r="A74" s="39" t="str">
        <f>A71</f>
        <v>B5</v>
      </c>
      <c r="B74" s="40" t="s">
        <v>12</v>
      </c>
      <c r="C74" s="39"/>
      <c r="D74" s="41" t="s">
        <v>248</v>
      </c>
      <c r="E74" s="39" t="s">
        <v>249</v>
      </c>
      <c r="F74" s="40">
        <v>2561</v>
      </c>
      <c r="G74" s="42">
        <f>F74*0.6</f>
        <v>1536.6</v>
      </c>
      <c r="H74" s="42">
        <f>G74*I74</f>
        <v>10756.199999999999</v>
      </c>
      <c r="I74" s="43">
        <v>7</v>
      </c>
      <c r="J74" s="44" t="s">
        <v>13</v>
      </c>
      <c r="K74" s="40" t="s">
        <v>17</v>
      </c>
      <c r="L74" s="43"/>
    </row>
    <row r="75" spans="1:12" ht="21" customHeight="1" x14ac:dyDescent="0.25">
      <c r="A75" s="39" t="str">
        <f t="shared" ref="A75" si="29">A74</f>
        <v>B5</v>
      </c>
      <c r="B75" s="40" t="s">
        <v>12</v>
      </c>
      <c r="C75" s="39"/>
      <c r="D75" s="41" t="s">
        <v>245</v>
      </c>
      <c r="E75" s="39" t="s">
        <v>246</v>
      </c>
      <c r="F75" s="40">
        <v>2629</v>
      </c>
      <c r="G75" s="42">
        <f>F75*0.6</f>
        <v>1577.3999999999999</v>
      </c>
      <c r="H75" s="42">
        <f>G75*I75</f>
        <v>1577.3999999999999</v>
      </c>
      <c r="I75" s="43">
        <v>1</v>
      </c>
      <c r="J75" s="44" t="s">
        <v>13</v>
      </c>
      <c r="K75" s="40" t="s">
        <v>17</v>
      </c>
      <c r="L75" s="43"/>
    </row>
    <row r="76" spans="1:12" ht="24" customHeight="1" x14ac:dyDescent="0.25">
      <c r="A76" s="39" t="str">
        <f>A74</f>
        <v>B5</v>
      </c>
      <c r="B76" s="39" t="s">
        <v>10</v>
      </c>
      <c r="C76" s="39"/>
      <c r="D76" s="45" t="s">
        <v>10</v>
      </c>
      <c r="E76" s="39" t="s">
        <v>10</v>
      </c>
      <c r="F76" s="39"/>
      <c r="G76" s="42">
        <f t="shared" ref="G76:G77" si="30">F76*0.6</f>
        <v>0</v>
      </c>
      <c r="H76" s="42">
        <f t="shared" ref="H76:H77" si="31">G76*I76</f>
        <v>0</v>
      </c>
      <c r="I76" s="39"/>
      <c r="J76" s="39" t="s">
        <v>13</v>
      </c>
      <c r="K76" s="39" t="s">
        <v>10</v>
      </c>
      <c r="L76" s="39"/>
    </row>
    <row r="77" spans="1:12" ht="21" customHeight="1" x14ac:dyDescent="0.25">
      <c r="A77" s="39" t="str">
        <f t="shared" ref="A77" si="32">A76</f>
        <v>B5</v>
      </c>
      <c r="B77" s="39" t="s">
        <v>11</v>
      </c>
      <c r="C77" s="39"/>
      <c r="D77" s="45" t="s">
        <v>11</v>
      </c>
      <c r="E77" s="39" t="s">
        <v>11</v>
      </c>
      <c r="F77" s="39">
        <f>I77/60</f>
        <v>0</v>
      </c>
      <c r="G77" s="42">
        <f t="shared" si="30"/>
        <v>0</v>
      </c>
      <c r="H77" s="42">
        <f t="shared" si="31"/>
        <v>0</v>
      </c>
      <c r="I77" s="39"/>
      <c r="J77" s="39" t="s">
        <v>13</v>
      </c>
      <c r="K77" s="39" t="s">
        <v>11</v>
      </c>
      <c r="L77" s="39"/>
    </row>
    <row r="78" spans="1:12" ht="39.75" customHeight="1" x14ac:dyDescent="0.25">
      <c r="A78" s="32" t="str">
        <f>E78</f>
        <v>B6</v>
      </c>
      <c r="B78" s="33"/>
      <c r="C78" s="32"/>
      <c r="D78" s="34"/>
      <c r="E78" s="33" t="s">
        <v>252</v>
      </c>
      <c r="F78" s="35"/>
      <c r="G78" s="35"/>
      <c r="H78" s="36"/>
      <c r="I78" s="37">
        <v>1</v>
      </c>
      <c r="J78" s="38" t="s">
        <v>7</v>
      </c>
      <c r="K78" s="33" t="s">
        <v>9</v>
      </c>
      <c r="L78" s="37"/>
    </row>
    <row r="79" spans="1:12" ht="21" customHeight="1" x14ac:dyDescent="0.25">
      <c r="A79" s="39" t="str">
        <f>A78</f>
        <v>B6</v>
      </c>
      <c r="B79" s="40" t="s">
        <v>8</v>
      </c>
      <c r="C79" s="39"/>
      <c r="D79" s="41"/>
      <c r="E79" s="39"/>
      <c r="F79" s="40"/>
      <c r="G79" s="42">
        <f>F79</f>
        <v>0</v>
      </c>
      <c r="H79" s="42">
        <f>I79*G79</f>
        <v>0</v>
      </c>
      <c r="I79" s="43">
        <v>1</v>
      </c>
      <c r="J79" s="44" t="s">
        <v>13</v>
      </c>
      <c r="K79" s="40" t="s">
        <v>16</v>
      </c>
      <c r="L79" s="43"/>
    </row>
    <row r="80" spans="1:12" ht="21" customHeight="1" x14ac:dyDescent="0.25">
      <c r="A80" s="39" t="str">
        <f t="shared" ref="A80:A82" si="33">A79</f>
        <v>B6</v>
      </c>
      <c r="B80" s="40" t="s">
        <v>61</v>
      </c>
      <c r="C80" s="39"/>
      <c r="D80" s="41" t="s">
        <v>285</v>
      </c>
      <c r="E80" s="39" t="s">
        <v>284</v>
      </c>
      <c r="F80" s="51">
        <v>17366</v>
      </c>
      <c r="G80" s="42">
        <f>F80*0.6</f>
        <v>10419.6</v>
      </c>
      <c r="H80" s="42">
        <f>G80*I80</f>
        <v>145874.4</v>
      </c>
      <c r="I80" s="43">
        <v>14</v>
      </c>
      <c r="J80" s="44" t="s">
        <v>13</v>
      </c>
      <c r="K80" s="40" t="s">
        <v>17</v>
      </c>
      <c r="L80" s="43"/>
    </row>
    <row r="81" spans="1:12" ht="24" customHeight="1" x14ac:dyDescent="0.25">
      <c r="A81" s="39" t="str">
        <f t="shared" si="33"/>
        <v>B6</v>
      </c>
      <c r="B81" s="39" t="s">
        <v>10</v>
      </c>
      <c r="C81" s="39"/>
      <c r="D81" s="45" t="s">
        <v>10</v>
      </c>
      <c r="E81" s="39" t="s">
        <v>10</v>
      </c>
      <c r="F81" s="39"/>
      <c r="G81" s="42">
        <f t="shared" ref="G81:G82" si="34">F81*0.6</f>
        <v>0</v>
      </c>
      <c r="H81" s="42">
        <f t="shared" ref="H81:H82" si="35">G81*I81</f>
        <v>0</v>
      </c>
      <c r="I81" s="39"/>
      <c r="J81" s="39" t="s">
        <v>13</v>
      </c>
      <c r="K81" s="39" t="s">
        <v>10</v>
      </c>
      <c r="L81" s="39"/>
    </row>
    <row r="82" spans="1:12" ht="21" customHeight="1" x14ac:dyDescent="0.25">
      <c r="A82" s="39" t="str">
        <f t="shared" si="33"/>
        <v>B6</v>
      </c>
      <c r="B82" s="39" t="s">
        <v>11</v>
      </c>
      <c r="C82" s="39"/>
      <c r="D82" s="45" t="s">
        <v>11</v>
      </c>
      <c r="E82" s="39" t="s">
        <v>11</v>
      </c>
      <c r="F82" s="39">
        <f>I82/60</f>
        <v>0</v>
      </c>
      <c r="G82" s="42">
        <f t="shared" si="34"/>
        <v>0</v>
      </c>
      <c r="H82" s="42">
        <f t="shared" si="35"/>
        <v>0</v>
      </c>
      <c r="I82" s="39"/>
      <c r="J82" s="39" t="s">
        <v>13</v>
      </c>
      <c r="K82" s="39" t="s">
        <v>11</v>
      </c>
      <c r="L82" s="39"/>
    </row>
    <row r="83" spans="1:12" ht="39.75" customHeight="1" x14ac:dyDescent="0.25">
      <c r="A83" s="32" t="str">
        <f>E83</f>
        <v>B7</v>
      </c>
      <c r="B83" s="33"/>
      <c r="C83" s="32"/>
      <c r="D83" s="34"/>
      <c r="E83" s="33" t="s">
        <v>253</v>
      </c>
      <c r="F83" s="35"/>
      <c r="G83" s="35"/>
      <c r="H83" s="36"/>
      <c r="I83" s="37">
        <v>1</v>
      </c>
      <c r="J83" s="38" t="s">
        <v>7</v>
      </c>
      <c r="K83" s="33" t="s">
        <v>9</v>
      </c>
      <c r="L83" s="37"/>
    </row>
    <row r="84" spans="1:12" ht="21" customHeight="1" x14ac:dyDescent="0.25">
      <c r="A84" s="39" t="str">
        <f>A83</f>
        <v>B7</v>
      </c>
      <c r="B84" s="40" t="s">
        <v>8</v>
      </c>
      <c r="C84" s="39"/>
      <c r="D84" s="41"/>
      <c r="E84" s="39"/>
      <c r="F84" s="40"/>
      <c r="G84" s="42">
        <f>F84</f>
        <v>0</v>
      </c>
      <c r="H84" s="42">
        <f>I84*G84</f>
        <v>0</v>
      </c>
      <c r="I84" s="43">
        <v>1</v>
      </c>
      <c r="J84" s="44" t="s">
        <v>13</v>
      </c>
      <c r="K84" s="40" t="s">
        <v>16</v>
      </c>
      <c r="L84" s="43"/>
    </row>
    <row r="85" spans="1:12" ht="21" customHeight="1" x14ac:dyDescent="0.25">
      <c r="A85" s="39" t="str">
        <f t="shared" ref="A85:A87" si="36">A84</f>
        <v>B7</v>
      </c>
      <c r="B85" s="40" t="s">
        <v>61</v>
      </c>
      <c r="C85" s="39"/>
      <c r="D85" s="41" t="s">
        <v>283</v>
      </c>
      <c r="E85" s="39" t="s">
        <v>282</v>
      </c>
      <c r="F85" s="51">
        <v>19492</v>
      </c>
      <c r="G85" s="42">
        <f>F85*0.6</f>
        <v>11695.199999999999</v>
      </c>
      <c r="H85" s="42">
        <f>G85*I85</f>
        <v>81866.399999999994</v>
      </c>
      <c r="I85" s="43">
        <v>7</v>
      </c>
      <c r="J85" s="44" t="s">
        <v>13</v>
      </c>
      <c r="K85" s="40" t="s">
        <v>17</v>
      </c>
      <c r="L85" s="43"/>
    </row>
    <row r="86" spans="1:12" ht="24" customHeight="1" x14ac:dyDescent="0.25">
      <c r="A86" s="39" t="str">
        <f t="shared" si="36"/>
        <v>B7</v>
      </c>
      <c r="B86" s="39" t="s">
        <v>10</v>
      </c>
      <c r="C86" s="39"/>
      <c r="D86" s="45" t="s">
        <v>10</v>
      </c>
      <c r="E86" s="39" t="s">
        <v>10</v>
      </c>
      <c r="F86" s="39"/>
      <c r="G86" s="42">
        <f t="shared" ref="G86:G87" si="37">F86*0.6</f>
        <v>0</v>
      </c>
      <c r="H86" s="42">
        <f t="shared" ref="H86:H87" si="38">G86*I86</f>
        <v>0</v>
      </c>
      <c r="I86" s="39"/>
      <c r="J86" s="39" t="s">
        <v>13</v>
      </c>
      <c r="K86" s="39" t="s">
        <v>10</v>
      </c>
      <c r="L86" s="39"/>
    </row>
    <row r="87" spans="1:12" ht="21" customHeight="1" x14ac:dyDescent="0.25">
      <c r="A87" s="39" t="str">
        <f t="shared" si="36"/>
        <v>B7</v>
      </c>
      <c r="B87" s="39" t="s">
        <v>11</v>
      </c>
      <c r="C87" s="39"/>
      <c r="D87" s="45" t="s">
        <v>11</v>
      </c>
      <c r="E87" s="39" t="s">
        <v>11</v>
      </c>
      <c r="F87" s="39">
        <f>I87/60</f>
        <v>0</v>
      </c>
      <c r="G87" s="42">
        <f t="shared" si="37"/>
        <v>0</v>
      </c>
      <c r="H87" s="42">
        <f t="shared" si="38"/>
        <v>0</v>
      </c>
      <c r="I87" s="39"/>
      <c r="J87" s="39" t="s">
        <v>13</v>
      </c>
      <c r="K87" s="39" t="s">
        <v>11</v>
      </c>
      <c r="L87" s="39"/>
    </row>
    <row r="88" spans="1:12" ht="39.75" customHeight="1" x14ac:dyDescent="0.25">
      <c r="A88" s="32" t="str">
        <f>E88</f>
        <v>B8</v>
      </c>
      <c r="B88" s="33"/>
      <c r="C88" s="32"/>
      <c r="D88" s="34"/>
      <c r="E88" s="33" t="s">
        <v>254</v>
      </c>
      <c r="F88" s="35"/>
      <c r="G88" s="35"/>
      <c r="H88" s="36"/>
      <c r="I88" s="37">
        <v>1</v>
      </c>
      <c r="J88" s="38" t="s">
        <v>7</v>
      </c>
      <c r="K88" s="33" t="s">
        <v>9</v>
      </c>
      <c r="L88" s="37"/>
    </row>
    <row r="89" spans="1:12" ht="21" customHeight="1" x14ac:dyDescent="0.25">
      <c r="A89" s="39" t="str">
        <f>A88</f>
        <v>B8</v>
      </c>
      <c r="B89" s="40" t="s">
        <v>8</v>
      </c>
      <c r="C89" s="39"/>
      <c r="D89" s="41"/>
      <c r="E89" s="39"/>
      <c r="F89" s="40"/>
      <c r="G89" s="42">
        <f>F89</f>
        <v>0</v>
      </c>
      <c r="H89" s="42">
        <f>I89*G89</f>
        <v>0</v>
      </c>
      <c r="I89" s="43">
        <v>1</v>
      </c>
      <c r="J89" s="44" t="s">
        <v>13</v>
      </c>
      <c r="K89" s="40" t="s">
        <v>16</v>
      </c>
      <c r="L89" s="43"/>
    </row>
    <row r="90" spans="1:12" ht="21" customHeight="1" x14ac:dyDescent="0.25">
      <c r="A90" s="39" t="str">
        <f>A88</f>
        <v>B8</v>
      </c>
      <c r="B90" s="40" t="s">
        <v>333</v>
      </c>
      <c r="C90" s="39"/>
      <c r="D90" s="41" t="s">
        <v>281</v>
      </c>
      <c r="E90" s="39" t="s">
        <v>280</v>
      </c>
      <c r="F90" s="51">
        <v>43422</v>
      </c>
      <c r="G90" s="42">
        <f t="shared" ref="G90:G98" si="39">F90*0.6</f>
        <v>26053.200000000001</v>
      </c>
      <c r="H90" s="42">
        <f t="shared" ref="H90:H98" si="40">G90*I90</f>
        <v>78159.600000000006</v>
      </c>
      <c r="I90" s="43">
        <v>3</v>
      </c>
      <c r="J90" s="44" t="s">
        <v>13</v>
      </c>
      <c r="K90" s="40" t="s">
        <v>332</v>
      </c>
      <c r="L90" s="43"/>
    </row>
    <row r="91" spans="1:12" ht="21" customHeight="1" x14ac:dyDescent="0.25">
      <c r="A91" s="39" t="str">
        <f>A88</f>
        <v>B8</v>
      </c>
      <c r="B91" s="40" t="s">
        <v>271</v>
      </c>
      <c r="C91" s="39"/>
      <c r="D91" s="41" t="s">
        <v>313</v>
      </c>
      <c r="E91" s="39" t="s">
        <v>312</v>
      </c>
      <c r="F91" s="51">
        <v>5060</v>
      </c>
      <c r="G91" s="42">
        <f t="shared" si="39"/>
        <v>3036</v>
      </c>
      <c r="H91" s="42">
        <f t="shared" si="40"/>
        <v>9108</v>
      </c>
      <c r="I91" s="43">
        <v>3</v>
      </c>
      <c r="J91" s="44" t="s">
        <v>13</v>
      </c>
      <c r="K91" s="40" t="s">
        <v>332</v>
      </c>
      <c r="L91" s="43"/>
    </row>
    <row r="92" spans="1:12" ht="21" customHeight="1" x14ac:dyDescent="0.25">
      <c r="A92" s="39" t="str">
        <f>A89</f>
        <v>B8</v>
      </c>
      <c r="B92" s="40" t="s">
        <v>12</v>
      </c>
      <c r="C92" s="39"/>
      <c r="D92" s="41" t="s">
        <v>315</v>
      </c>
      <c r="E92" s="39" t="s">
        <v>314</v>
      </c>
      <c r="F92" s="51">
        <v>7460</v>
      </c>
      <c r="G92" s="42">
        <f t="shared" si="39"/>
        <v>4476</v>
      </c>
      <c r="H92" s="42">
        <f t="shared" si="40"/>
        <v>8952</v>
      </c>
      <c r="I92" s="43">
        <v>2</v>
      </c>
      <c r="J92" s="44" t="s">
        <v>13</v>
      </c>
      <c r="K92" s="40" t="s">
        <v>332</v>
      </c>
      <c r="L92" s="43"/>
    </row>
    <row r="93" spans="1:12" ht="21" customHeight="1" x14ac:dyDescent="0.25">
      <c r="A93" s="39" t="str">
        <f>A90</f>
        <v>B8</v>
      </c>
      <c r="B93" s="40" t="s">
        <v>12</v>
      </c>
      <c r="C93" s="39"/>
      <c r="D93" s="41" t="s">
        <v>293</v>
      </c>
      <c r="E93" s="39" t="s">
        <v>292</v>
      </c>
      <c r="F93" s="51">
        <v>1865</v>
      </c>
      <c r="G93" s="42">
        <f t="shared" si="39"/>
        <v>1119</v>
      </c>
      <c r="H93" s="42">
        <f t="shared" si="40"/>
        <v>1119</v>
      </c>
      <c r="I93" s="43">
        <v>1</v>
      </c>
      <c r="J93" s="44" t="s">
        <v>13</v>
      </c>
      <c r="K93" s="40" t="s">
        <v>332</v>
      </c>
      <c r="L93" s="43"/>
    </row>
    <row r="94" spans="1:12" ht="21" customHeight="1" x14ac:dyDescent="0.25">
      <c r="A94" s="39" t="str">
        <f>A90</f>
        <v>B8</v>
      </c>
      <c r="B94" s="40" t="s">
        <v>12</v>
      </c>
      <c r="C94" s="39"/>
      <c r="D94" s="41" t="s">
        <v>295</v>
      </c>
      <c r="E94" s="39" t="s">
        <v>294</v>
      </c>
      <c r="F94" s="51">
        <v>1925</v>
      </c>
      <c r="G94" s="42">
        <f t="shared" si="39"/>
        <v>1155</v>
      </c>
      <c r="H94" s="42">
        <f t="shared" si="40"/>
        <v>5775</v>
      </c>
      <c r="I94" s="43">
        <v>5</v>
      </c>
      <c r="J94" s="44" t="s">
        <v>13</v>
      </c>
      <c r="K94" s="40" t="s">
        <v>332</v>
      </c>
      <c r="L94" s="43"/>
    </row>
    <row r="95" spans="1:12" ht="21" customHeight="1" x14ac:dyDescent="0.25">
      <c r="A95" s="39" t="str">
        <f t="shared" ref="A95:A96" si="41">A94</f>
        <v>B8</v>
      </c>
      <c r="B95" s="40" t="s">
        <v>12</v>
      </c>
      <c r="C95" s="39"/>
      <c r="D95" s="41" t="s">
        <v>255</v>
      </c>
      <c r="E95" s="39" t="s">
        <v>256</v>
      </c>
      <c r="F95" s="40">
        <v>897</v>
      </c>
      <c r="G95" s="42">
        <f t="shared" si="39"/>
        <v>538.19999999999993</v>
      </c>
      <c r="H95" s="42">
        <f t="shared" si="40"/>
        <v>538.19999999999993</v>
      </c>
      <c r="I95" s="43">
        <v>1</v>
      </c>
      <c r="J95" s="44" t="s">
        <v>13</v>
      </c>
      <c r="K95" s="40" t="s">
        <v>17</v>
      </c>
      <c r="L95" s="43"/>
    </row>
    <row r="96" spans="1:12" ht="21" customHeight="1" x14ac:dyDescent="0.25">
      <c r="A96" s="39" t="str">
        <f t="shared" si="41"/>
        <v>B8</v>
      </c>
      <c r="B96" s="39" t="s">
        <v>12</v>
      </c>
      <c r="C96" s="39"/>
      <c r="D96" s="45" t="s">
        <v>279</v>
      </c>
      <c r="E96" s="39" t="s">
        <v>278</v>
      </c>
      <c r="F96" s="45">
        <v>8057</v>
      </c>
      <c r="G96" s="42">
        <f t="shared" si="39"/>
        <v>4834.2</v>
      </c>
      <c r="H96" s="42">
        <f t="shared" si="40"/>
        <v>4834.2</v>
      </c>
      <c r="I96" s="39">
        <v>1</v>
      </c>
      <c r="J96" s="39" t="s">
        <v>13</v>
      </c>
      <c r="K96" s="40" t="s">
        <v>332</v>
      </c>
      <c r="L96" s="39"/>
    </row>
    <row r="97" spans="1:12" ht="24" customHeight="1" x14ac:dyDescent="0.25">
      <c r="A97" s="39" t="str">
        <f>A94</f>
        <v>B8</v>
      </c>
      <c r="B97" s="39" t="s">
        <v>10</v>
      </c>
      <c r="C97" s="39"/>
      <c r="D97" s="45" t="s">
        <v>10</v>
      </c>
      <c r="E97" s="39" t="s">
        <v>10</v>
      </c>
      <c r="F97" s="39"/>
      <c r="G97" s="42">
        <f t="shared" si="39"/>
        <v>0</v>
      </c>
      <c r="H97" s="42">
        <f t="shared" si="40"/>
        <v>0</v>
      </c>
      <c r="I97" s="39"/>
      <c r="J97" s="39" t="s">
        <v>13</v>
      </c>
      <c r="K97" s="39" t="s">
        <v>10</v>
      </c>
      <c r="L97" s="39"/>
    </row>
    <row r="98" spans="1:12" ht="21" customHeight="1" x14ac:dyDescent="0.25">
      <c r="A98" s="39" t="str">
        <f t="shared" ref="A98" si="42">A97</f>
        <v>B8</v>
      </c>
      <c r="B98" s="39" t="s">
        <v>11</v>
      </c>
      <c r="C98" s="39"/>
      <c r="D98" s="45" t="s">
        <v>11</v>
      </c>
      <c r="E98" s="39" t="s">
        <v>11</v>
      </c>
      <c r="F98" s="39">
        <f>I98/60</f>
        <v>0</v>
      </c>
      <c r="G98" s="42">
        <f t="shared" si="39"/>
        <v>0</v>
      </c>
      <c r="H98" s="42">
        <f t="shared" si="40"/>
        <v>0</v>
      </c>
      <c r="I98" s="39"/>
      <c r="J98" s="39" t="s">
        <v>13</v>
      </c>
      <c r="K98" s="39" t="s">
        <v>11</v>
      </c>
      <c r="L9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fiyat calismasi burda</vt:lpstr>
      <vt:lpstr>chint</vt:lpstr>
      <vt:lpstr>schneider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2026-06-02T12:26:41Z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