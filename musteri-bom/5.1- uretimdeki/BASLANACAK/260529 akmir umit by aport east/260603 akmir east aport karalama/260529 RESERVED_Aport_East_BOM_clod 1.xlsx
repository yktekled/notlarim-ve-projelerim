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9 akmir umit by aport east\"/>
    </mc:Choice>
  </mc:AlternateContent>
  <xr:revisionPtr revIDLastSave="0" documentId="13_ncr:1_{6BC8CDED-E9C9-488F-B14A-E6E4F85144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HINT_BOM" sheetId="1" r:id="rId1"/>
    <sheet name="SCHNEIDER_BOM" sheetId="2" r:id="rId2"/>
    <sheet name="КАРŞILAŞTIRMA" sheetId="3" r:id="rId3"/>
  </sheets>
  <definedNames>
    <definedName name="_xlnm._FilterDatabase" localSheetId="0" hidden="1">CHINT_BOM!$A$3:$K$54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K7" i="1"/>
</calcChain>
</file>

<file path=xl/sharedStrings.xml><?xml version="1.0" encoding="utf-8"?>
<sst xmlns="http://schemas.openxmlformats.org/spreadsheetml/2006/main" count="699" uniqueCount="219">
  <si>
    <t>⚡ CHINT BOM — RESERVED ALMATY — APORT EAST | Разводящий щит «R»</t>
  </si>
  <si>
    <t>Күні / Дата: 29.05.2026 | EUR/₸ = 548 | КДС / НДС: 12% | CHINT: тізім×0.60</t>
  </si>
  <si>
    <t>№</t>
  </si>
  <si>
    <t>Бөлім</t>
  </si>
  <si>
    <t>Тип</t>
  </si>
  <si>
    <t>Наименование / Атауы</t>
  </si>
  <si>
    <t>Артикул</t>
  </si>
  <si>
    <t>Марка</t>
  </si>
  <si>
    <t>Ед.</t>
  </si>
  <si>
    <t>Кол.</t>
  </si>
  <si>
    <t>Тізім ₸ (CHINT)</t>
  </si>
  <si>
    <t>Нетто ₸/шт</t>
  </si>
  <si>
    <t>∑ ₸</t>
  </si>
  <si>
    <t xml:space="preserve">  ▶  ANA GİRİŞ</t>
  </si>
  <si>
    <t>01</t>
  </si>
  <si>
    <t>ANA GİRİŞ</t>
  </si>
  <si>
    <t>MCCB</t>
  </si>
  <si>
    <t>ГЗҚ 200A/3P 36кА — Q0 (негізгі ажыратқыш/главный ввод)</t>
  </si>
  <si>
    <t>NXM-250S/3P 200A</t>
  </si>
  <si>
    <t>CHINT</t>
  </si>
  <si>
    <t>шт</t>
  </si>
  <si>
    <t>02</t>
  </si>
  <si>
    <t>CT</t>
  </si>
  <si>
    <t>Акым трансф-ры 200A/5A, 5VA, Кл.1 (есепке алу/учёт)</t>
  </si>
  <si>
    <t>CT 200/5A 5VA Cl1</t>
  </si>
  <si>
    <t>03</t>
  </si>
  <si>
    <t>METER</t>
  </si>
  <si>
    <t>F&amp;F LE-03MQ-CT энергоесептегіш (ModBus, CT ×3)</t>
  </si>
  <si>
    <t>F&amp;F LE-03MQ-CT</t>
  </si>
  <si>
    <t>F&amp;F</t>
  </si>
  <si>
    <t>04</t>
  </si>
  <si>
    <t>F&amp;F LE-03MW энергоесептегіш (тікелей, жарық+климат)</t>
  </si>
  <si>
    <t>F&amp;F LE-03MW</t>
  </si>
  <si>
    <t xml:space="preserve">  ▶  КВ ШАЛТЕР</t>
  </si>
  <si>
    <t>05</t>
  </si>
  <si>
    <t>КВ ШАЛТЕР</t>
  </si>
  <si>
    <t>MCB-4P</t>
  </si>
  <si>
    <t>ҚА KW1 63A/4P — жалюзи + склад (шатер+склад)</t>
  </si>
  <si>
    <t>NXB-63 4P C63A</t>
  </si>
  <si>
    <t>06</t>
  </si>
  <si>
    <t>ҚА KW2 63A/4P — нар.блок Jz1,Jz2 (2×13кВт)</t>
  </si>
  <si>
    <t>07</t>
  </si>
  <si>
    <t>ҚА KW3 63A/4P — ішкі блоктар JW (indoor VRV)</t>
  </si>
  <si>
    <t xml:space="preserve">  ▶  КОНТАКТОР</t>
  </si>
  <si>
    <t>08</t>
  </si>
  <si>
    <t>КОНТАКТОР</t>
  </si>
  <si>
    <t>CK-63</t>
  </si>
  <si>
    <t>Контактор K01 63A/3P 230VAC (сату залы жарығы/гл.освещение)</t>
  </si>
  <si>
    <t>NC1-6310 AC230V</t>
  </si>
  <si>
    <t>09</t>
  </si>
  <si>
    <t>CK-40</t>
  </si>
  <si>
    <t>Контактор K02, K03 40A/3P 230VAC (2 дана)</t>
  </si>
  <si>
    <t>NC1-4010 AC230V</t>
  </si>
  <si>
    <t>10</t>
  </si>
  <si>
    <t>Контактор K1÷K6 40A/3P 230VAC (6 дана — жарық шиналары)</t>
  </si>
  <si>
    <t>11</t>
  </si>
  <si>
    <t>CK-40-2P</t>
  </si>
  <si>
    <t>Контактор K7 40A/2P 230VAC (витрина OW4)</t>
  </si>
  <si>
    <t>NC1-4001 AC230V</t>
  </si>
  <si>
    <t xml:space="preserve">  ▶  F&amp;F ЖҮЙЕСІ</t>
  </si>
  <si>
    <t>12</t>
  </si>
  <si>
    <t>F&amp;F ЖҮЙЕСІ</t>
  </si>
  <si>
    <t>TIMER</t>
  </si>
  <si>
    <t>F&amp;F PCZ-528.4 уақыт реле (логотип + витрина жарығы)</t>
  </si>
  <si>
    <t>F&amp;F PCZ-528.4</t>
  </si>
  <si>
    <t>13</t>
  </si>
  <si>
    <t>RS485</t>
  </si>
  <si>
    <t>F&amp;F MT-SAT-2-ETH (RS485→Ethernet, Modbus collector)</t>
  </si>
  <si>
    <t>F&amp;F MT-SAT-2-ETH</t>
  </si>
  <si>
    <t>14</t>
  </si>
  <si>
    <t>PSU24</t>
  </si>
  <si>
    <t>F&amp;F ZI-21 24VDC/0.5A (RS485 шинасы қоректендіру)</t>
  </si>
  <si>
    <t>F&amp;F ZI-21</t>
  </si>
  <si>
    <t>15</t>
  </si>
  <si>
    <t>TERM</t>
  </si>
  <si>
    <t>F&amp;F LT-04 шина терминаторы (2 дана)</t>
  </si>
  <si>
    <t>F&amp;F LT-04</t>
  </si>
  <si>
    <t>16</t>
  </si>
  <si>
    <t>TSENS</t>
  </si>
  <si>
    <t>F&amp;F MB-DS-2 температура датчигі модулі (2 сенсор)</t>
  </si>
  <si>
    <t>F&amp;F MB-DS-2</t>
  </si>
  <si>
    <t>17</t>
  </si>
  <si>
    <t>TRANSF</t>
  </si>
  <si>
    <t>Басқару трансформаторы 230/24VAC 40VA</t>
  </si>
  <si>
    <t>—</t>
  </si>
  <si>
    <t>TEKSAN/ÇEŞİTLİ</t>
  </si>
  <si>
    <t xml:space="preserve">  ▶  ЖАРЫҚ МАҚ.</t>
  </si>
  <si>
    <t>18</t>
  </si>
  <si>
    <t>ЖАРЫҚ МАҚ.</t>
  </si>
  <si>
    <t>MCB-1P</t>
  </si>
  <si>
    <t>ҚА 1P C2A — телеметрия, RS485 (R50÷R54, 5 дана)</t>
  </si>
  <si>
    <t>NB1-63 1P C2A</t>
  </si>
  <si>
    <t>19</t>
  </si>
  <si>
    <t>ҚА 1P C6A — кіші жарық, логотип (18 дана)</t>
  </si>
  <si>
    <t>NB1-63 1P C6A</t>
  </si>
  <si>
    <t>20</t>
  </si>
  <si>
    <t>ҚА 1P C10A — сату залы жарығы (22 дана)</t>
  </si>
  <si>
    <t>NB1-63 1P C10A</t>
  </si>
  <si>
    <t>21</t>
  </si>
  <si>
    <t>ҚА 1P C16A — жарық шинасы, кіреберіс (20 дана)</t>
  </si>
  <si>
    <t>NB1-63 1P C16A</t>
  </si>
  <si>
    <t xml:space="preserve">  ▶  РОЗЕТКА МАҚ.</t>
  </si>
  <si>
    <t>22</t>
  </si>
  <si>
    <t>РОЗЕТКА МАҚ.</t>
  </si>
  <si>
    <t>RCBO</t>
  </si>
  <si>
    <t>ДиФА 1P+N C16A 30мА — сату залы розетка (14 дана)</t>
  </si>
  <si>
    <t>NB1L-40 1P+N C16A 30мА</t>
  </si>
  <si>
    <t>23</t>
  </si>
  <si>
    <t>ДиФА 1P+N C16A 30мА — касса 1÷4 розетка (8 дана)</t>
  </si>
  <si>
    <t>24</t>
  </si>
  <si>
    <t>ДиФА 1P+N C20A 30мА — склад розетка (5 дана)</t>
  </si>
  <si>
    <t>NB1L-40 1P+N C20A 30мА</t>
  </si>
  <si>
    <t>25</t>
  </si>
  <si>
    <t>MCB-2P</t>
  </si>
  <si>
    <t>ҚА 2P C20A — HD, DW5.5 (3 дана)</t>
  </si>
  <si>
    <t>NB1-63 2P C20A</t>
  </si>
  <si>
    <t>26</t>
  </si>
  <si>
    <t>ҚА 2P C25A — SS1, SS2 авариялық жарық (2 дана)</t>
  </si>
  <si>
    <t>NB1-63 2P C25A</t>
  </si>
  <si>
    <t>27</t>
  </si>
  <si>
    <t>UPS</t>
  </si>
  <si>
    <t>UPS 3kVA — марканы/бағасын нақтылау (KONTROL!)</t>
  </si>
  <si>
    <t>KONTROL</t>
  </si>
  <si>
    <t xml:space="preserve">  ▶  КЛИМАТ МАҚ.</t>
  </si>
  <si>
    <t>28</t>
  </si>
  <si>
    <t>КЛИМАТ МАҚ.</t>
  </si>
  <si>
    <t>ҚА 1P C10A — ішкі блок JW, конденсат (8 дана)</t>
  </si>
  <si>
    <t>29</t>
  </si>
  <si>
    <t>ҚА 1P C6A — FD/ЖМД, Aw1/Aw2, Ew1/Ew2 (6 дана)</t>
  </si>
  <si>
    <t>30</t>
  </si>
  <si>
    <t>ҚА 1P C16A — A1÷A8 қауіпсіздік кіреберіс (8 дана)</t>
  </si>
  <si>
    <t xml:space="preserve">  ▶  ВИТРИНА МАҚ.</t>
  </si>
  <si>
    <t>31</t>
  </si>
  <si>
    <t>ВИТРИНА МАҚ.</t>
  </si>
  <si>
    <t>ҚА 1P C6A — OZ1÷OZ3 витрина/нар.жарық (8 дана)</t>
  </si>
  <si>
    <t>32</t>
  </si>
  <si>
    <t>ҚА 1P C10A — мониторинг, WiFi, R70÷R76 (8 дана)</t>
  </si>
  <si>
    <t xml:space="preserve">  ▶  АКСЕССУАР</t>
  </si>
  <si>
    <t>33</t>
  </si>
  <si>
    <t>АКСЕССУАР</t>
  </si>
  <si>
    <t>TB</t>
  </si>
  <si>
    <t>Клемма CTS 2.5мм² (байланыс, 150 дана)</t>
  </si>
  <si>
    <t>CTS 2.5</t>
  </si>
  <si>
    <t>34</t>
  </si>
  <si>
    <t>TB-PE</t>
  </si>
  <si>
    <t>Клемма PE 2.5мм² (жерге тіркеу, 30 дана)</t>
  </si>
  <si>
    <t>CTS 2.5 PE</t>
  </si>
  <si>
    <t>35</t>
  </si>
  <si>
    <t>DIN</t>
  </si>
  <si>
    <t>DIN рейкасы TH35, 2м (12 дана)</t>
  </si>
  <si>
    <t>TH35 2м</t>
  </si>
  <si>
    <t>36</t>
  </si>
  <si>
    <t>DUCT</t>
  </si>
  <si>
    <t>Кабель каналы 40×40мм (50м)</t>
  </si>
  <si>
    <t>KK 40×40</t>
  </si>
  <si>
    <t>м</t>
  </si>
  <si>
    <t>37</t>
  </si>
  <si>
    <t>Кабель каналы 60×40мм (30м)</t>
  </si>
  <si>
    <t>KK 60×40</t>
  </si>
  <si>
    <t>38</t>
  </si>
  <si>
    <t>MAT</t>
  </si>
  <si>
    <t>Монтаж материал (наконечники, маркеры, стяжки, болтер)</t>
  </si>
  <si>
    <t>Комплект</t>
  </si>
  <si>
    <t>лот</t>
  </si>
  <si>
    <t xml:space="preserve">  ▶  КОРПУС</t>
  </si>
  <si>
    <t>39</t>
  </si>
  <si>
    <t>КОРПУС</t>
  </si>
  <si>
    <t>KORPUS</t>
  </si>
  <si>
    <t>Пано корпусы ЩМП 1200×1600×300мм IP31 (TEKSAN)</t>
  </si>
  <si>
    <t>TEKSAN 1200×1600×300</t>
  </si>
  <si>
    <t xml:space="preserve">  ▶  ЖИНАҚТАУ</t>
  </si>
  <si>
    <t>40</t>
  </si>
  <si>
    <t>ЖИНАҚТАУ</t>
  </si>
  <si>
    <t>LBR</t>
  </si>
  <si>
    <t>Пано жинақтау жұмысы / сборка панели (120 сағат)</t>
  </si>
  <si>
    <t>сағат</t>
  </si>
  <si>
    <t>БӨЛІМ ҚОРЫТЫНДЫЛАРЫ / ИТОГИ ПО РАЗДЕЛАМ:</t>
  </si>
  <si>
    <t>БАРЛЫҒЫ (без КДС):</t>
  </si>
  <si>
    <t>КДС / НДС 12%:</t>
  </si>
  <si>
    <t>ЖАЛПЫ СУММА (с КДС):</t>
  </si>
  <si>
    <t>≈ 2,207 EUR   (548 ₸/EUR)   |   Жарамдылық / Действительно: 30 күн/дней</t>
  </si>
  <si>
    <t>⚡ SCHNEIDER BOM — RESERVED ALMATY — APORT EAST | Разводящий щит «R»</t>
  </si>
  <si>
    <t>Күні / Дата: 29.05.2026 | EUR/₸ = 548 | КДС / НДС: 12% | Schneider: EUR×0.60×548₸</t>
  </si>
  <si>
    <t>Тізім EUR</t>
  </si>
  <si>
    <t>LV431630 NSX250F TM200D 3P F</t>
  </si>
  <si>
    <t>SCHNEIDER</t>
  </si>
  <si>
    <t>IMT31200 CT 200/5A 5VA Cl1</t>
  </si>
  <si>
    <t>A9N24463 iC60N 4P C63A</t>
  </si>
  <si>
    <t>LC1D63M7 63A/3P 220VAC</t>
  </si>
  <si>
    <t>LC1D40M7 40A/3P 220VAC</t>
  </si>
  <si>
    <t>LC1D40B7 40A/2P 24VAC</t>
  </si>
  <si>
    <t>ABT7PDU040B Schneider 40VA</t>
  </si>
  <si>
    <t>A9N21502 iC60N 1P C2A</t>
  </si>
  <si>
    <t>A9N21506 iC60N 1P C6A</t>
  </si>
  <si>
    <t>A9N21510 iC60N 1P C10A</t>
  </si>
  <si>
    <t>A9N21516 iC60N 1P C16A</t>
  </si>
  <si>
    <t>A9D31616 iDPN N Vigi C16A 30mA</t>
  </si>
  <si>
    <t>A9D31620 iDPN N Vigi C20A 30mA</t>
  </si>
  <si>
    <t>A9N22220 iC60N 2P C20A</t>
  </si>
  <si>
    <t>A9N22225 iC60N 2P C25A</t>
  </si>
  <si>
    <t>NSYTRV25</t>
  </si>
  <si>
    <t>NSYTRV25GY</t>
  </si>
  <si>
    <t>≈ 4,887 EUR   (548 ₸/EUR)   |   Жарамдылық / Действительно: 30 күн/дней</t>
  </si>
  <si>
    <t>CHINT vs SCHNEIDER — Салыстырмалы кесте / Сравнительная таблица</t>
  </si>
  <si>
    <t>Наименование</t>
  </si>
  <si>
    <t>CHINT нетто/шт ₸</t>
  </si>
  <si>
    <t>CHINT ∑ ₸</t>
  </si>
  <si>
    <t>SCHNEIDER нетто/шт ₸</t>
  </si>
  <si>
    <t>SCHNEIDER ∑ ₸</t>
  </si>
  <si>
    <t>НЕТТО (без КДС):</t>
  </si>
  <si>
    <t>КДС 12%:</t>
  </si>
  <si>
    <t>ЖАЛПЫ / ИТОГО (с КДС):</t>
  </si>
  <si>
    <t>CHINT: 1,209,227 ₸ ≈ 2,207 EUR  |  SCHNEIDER: 2,677,882 ₸ ≈ 4,887 EUR  |  Айырмашылық / Разница: +1,468,655 ₸ (+121.5%)</t>
  </si>
  <si>
    <t>multimetr</t>
  </si>
  <si>
    <t>EMM04</t>
  </si>
  <si>
    <t>EMM-04 Multimetreler</t>
  </si>
  <si>
    <t>entes</t>
  </si>
  <si>
    <t>shont rele</t>
  </si>
  <si>
    <t xml:space="preserve">200a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</si>
</sst>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  <charset val="204"/>
    </font>
    <font>
      <i/>
      <sz val="8"/>
      <color rgb="FFCCCCCC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10"/>
      <color rgb="FFFFFFFF"/>
      <name val="Arial"/>
      <family val="2"/>
      <charset val="204"/>
    </font>
    <font>
      <sz val="9"/>
      <color rgb="FF555555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9"/>
      <color rgb="FF1F3864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color rgb="FF555555"/>
      <name val="Arial"/>
      <family val="2"/>
      <charset val="204"/>
    </font>
    <font>
      <sz val="9"/>
      <color rgb="FFCC0000"/>
      <name val="Arial"/>
      <family val="2"/>
      <charset val="204"/>
    </font>
    <font>
      <b/>
      <sz val="9"/>
      <color rgb="FFCC0000"/>
      <name val="Arial"/>
      <family val="2"/>
      <charset val="204"/>
    </font>
    <font>
      <b/>
      <sz val="11"/>
      <color rgb="FFFFFFFF"/>
      <name val="Arial"/>
      <family val="2"/>
      <charset val="204"/>
    </font>
    <font>
      <b/>
      <sz val="11"/>
      <color rgb="FFDDDDDD"/>
      <name val="Arial"/>
      <family val="2"/>
      <charset val="204"/>
    </font>
    <font>
      <b/>
      <sz val="13"/>
      <color rgb="FFFFFFFF"/>
      <name val="Arial"/>
      <family val="2"/>
      <charset val="204"/>
    </font>
    <font>
      <b/>
      <sz val="14"/>
      <color rgb="FF38BDF8"/>
      <name val="Arial"/>
      <family val="2"/>
      <charset val="204"/>
    </font>
    <font>
      <i/>
      <sz val="8"/>
      <color rgb="FF888888"/>
      <name val="Arial"/>
      <family val="2"/>
      <charset val="204"/>
    </font>
    <font>
      <b/>
      <sz val="9"/>
      <color rgb="FF006400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sz val="9"/>
      <color rgb="FF1F3864"/>
      <name val="Arial"/>
      <family val="2"/>
      <charset val="204"/>
    </font>
    <font>
      <sz val="9"/>
      <color rgb="FF005A2B"/>
      <name val="Arial"/>
      <family val="2"/>
      <charset val="204"/>
    </font>
    <font>
      <b/>
      <sz val="9"/>
      <color rgb="FF005A2B"/>
      <name val="Arial"/>
      <family val="2"/>
      <charset val="204"/>
    </font>
    <font>
      <b/>
      <sz val="11"/>
      <color rgb="FF87CEEB"/>
      <name val="Arial"/>
      <family val="2"/>
      <charset val="204"/>
    </font>
    <font>
      <b/>
      <sz val="11"/>
      <color rgb="FF90EE90"/>
      <name val="Arial"/>
      <family val="2"/>
      <charset val="204"/>
    </font>
    <font>
      <b/>
      <i/>
      <sz val="9"/>
      <color rgb="FFFFD700"/>
      <name val="Arial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A2A2A"/>
      </patternFill>
    </fill>
    <fill>
      <patternFill patternType="solid">
        <fgColor rgb="FF222222"/>
      </patternFill>
    </fill>
    <fill>
      <patternFill patternType="solid">
        <fgColor rgb="FF1C3A6E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1A4A2E"/>
      </patternFill>
    </fill>
    <fill>
      <patternFill patternType="solid">
        <fgColor rgb="FF4A1C6E"/>
      </patternFill>
    </fill>
    <fill>
      <patternFill patternType="solid">
        <fgColor rgb="FF6E3A1C"/>
      </patternFill>
    </fill>
    <fill>
      <patternFill patternType="solid">
        <fgColor rgb="FF1C4A4A"/>
      </patternFill>
    </fill>
    <fill>
      <patternFill patternType="solid">
        <fgColor rgb="FF3A4A1C"/>
      </patternFill>
    </fill>
    <fill>
      <patternFill patternType="solid">
        <fgColor rgb="FFFFF3CD"/>
      </patternFill>
    </fill>
    <fill>
      <patternFill patternType="solid">
        <fgColor rgb="FF1C2A4A"/>
      </patternFill>
    </fill>
    <fill>
      <patternFill patternType="solid">
        <fgColor rgb="FF3A1C4A"/>
      </patternFill>
    </fill>
    <fill>
      <patternFill patternType="solid">
        <fgColor rgb="FF3C3C3C"/>
      </patternFill>
    </fill>
    <fill>
      <patternFill patternType="solid">
        <fgColor rgb="FF2A1C1C"/>
      </patternFill>
    </fill>
    <fill>
      <patternFill patternType="solid">
        <fgColor rgb="FF1C3C1C"/>
      </patternFill>
    </fill>
    <fill>
      <patternFill patternType="solid">
        <fgColor rgb="FF3A6E22"/>
      </patternFill>
    </fill>
    <fill>
      <patternFill patternType="solid">
        <fgColor rgb="FF4A2E22"/>
      </patternFill>
    </fill>
    <fill>
      <patternFill patternType="solid">
        <fgColor rgb="FF1C6E22"/>
      </patternFill>
    </fill>
    <fill>
      <patternFill patternType="solid">
        <fgColor rgb="FF3A1C22"/>
      </patternFill>
    </fill>
    <fill>
      <patternFill patternType="solid">
        <fgColor rgb="FF4A4A22"/>
      </patternFill>
    </fill>
    <fill>
      <patternFill patternType="solid">
        <fgColor rgb="FF4A1C22"/>
      </patternFill>
    </fill>
    <fill>
      <patternFill patternType="solid">
        <fgColor rgb="FF2A4A22"/>
      </patternFill>
    </fill>
    <fill>
      <patternFill patternType="solid">
        <fgColor rgb="FF1C4A22"/>
      </patternFill>
    </fill>
    <fill>
      <patternFill patternType="solid">
        <fgColor rgb="FF3C3C22"/>
      </patternFill>
    </fill>
    <fill>
      <patternFill patternType="solid">
        <fgColor rgb="FF1C1C22"/>
      </patternFill>
    </fill>
    <fill>
      <patternFill patternType="solid">
        <fgColor rgb="FF3C1C22"/>
      </patternFill>
    </fill>
    <fill>
      <patternFill patternType="solid">
        <fgColor rgb="FF1A2A3E"/>
      </patternFill>
    </fill>
    <fill>
      <patternFill patternType="solid">
        <fgColor rgb="FF0F2030"/>
      </patternFill>
    </fill>
    <fill>
      <patternFill patternType="solid">
        <fgColor rgb="FF005A2B"/>
      </patternFill>
    </fill>
    <fill>
      <patternFill patternType="solid">
        <fgColor rgb="FF111111"/>
      </patternFill>
    </fill>
    <fill>
      <patternFill patternType="solid">
        <fgColor rgb="FF1A1A2E"/>
      </patternFill>
    </fill>
    <fill>
      <patternFill patternType="solid">
        <fgColor rgb="FF0A0A1A"/>
      </patternFill>
    </fill>
  </fills>
  <borders count="3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/>
    </xf>
    <xf numFmtId="1" fontId="6" fillId="6" borderId="2" xfId="0" applyNumberFormat="1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right" vertical="center"/>
    </xf>
    <xf numFmtId="3" fontId="6" fillId="6" borderId="2" xfId="0" applyNumberFormat="1" applyFont="1" applyFill="1" applyBorder="1" applyAlignment="1">
      <alignment horizontal="right" vertical="center"/>
    </xf>
    <xf numFmtId="3" fontId="8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/>
    </xf>
    <xf numFmtId="1" fontId="6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right" vertical="center"/>
    </xf>
    <xf numFmtId="3" fontId="6" fillId="7" borderId="2" xfId="0" applyNumberFormat="1" applyFont="1" applyFill="1" applyBorder="1" applyAlignment="1">
      <alignment horizontal="right" vertical="center"/>
    </xf>
    <xf numFmtId="3" fontId="8" fillId="7" borderId="2" xfId="0" applyNumberFormat="1" applyFont="1" applyFill="1" applyBorder="1" applyAlignment="1">
      <alignment horizontal="right" vertical="center"/>
    </xf>
    <xf numFmtId="0" fontId="9" fillId="6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left" vertical="center"/>
    </xf>
    <xf numFmtId="0" fontId="5" fillId="13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 wrapText="1"/>
    </xf>
    <xf numFmtId="0" fontId="9" fillId="13" borderId="2" xfId="0" applyFont="1" applyFill="1" applyBorder="1" applyAlignment="1">
      <alignment horizontal="left" vertical="center"/>
    </xf>
    <xf numFmtId="1" fontId="6" fillId="13" borderId="2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right" vertical="center"/>
    </xf>
    <xf numFmtId="0" fontId="10" fillId="13" borderId="2" xfId="0" applyFont="1" applyFill="1" applyBorder="1" applyAlignment="1">
      <alignment horizontal="right" vertical="center"/>
    </xf>
    <xf numFmtId="0" fontId="11" fillId="13" borderId="2" xfId="0" applyFont="1" applyFill="1" applyBorder="1" applyAlignment="1">
      <alignment horizontal="right" vertical="center"/>
    </xf>
    <xf numFmtId="3" fontId="6" fillId="13" borderId="2" xfId="0" applyNumberFormat="1" applyFont="1" applyFill="1" applyBorder="1" applyAlignment="1">
      <alignment horizontal="right" vertical="center"/>
    </xf>
    <xf numFmtId="3" fontId="8" fillId="13" borderId="2" xfId="0" applyNumberFormat="1" applyFont="1" applyFill="1" applyBorder="1" applyAlignment="1">
      <alignment horizontal="right" vertical="center"/>
    </xf>
    <xf numFmtId="0" fontId="0" fillId="19" borderId="2" xfId="0" applyFill="1" applyBorder="1"/>
    <xf numFmtId="0" fontId="8" fillId="19" borderId="2" xfId="0" applyFont="1" applyFill="1" applyBorder="1" applyAlignment="1">
      <alignment horizontal="left" vertical="center"/>
    </xf>
    <xf numFmtId="3" fontId="8" fillId="19" borderId="2" xfId="0" applyNumberFormat="1" applyFont="1" applyFill="1" applyBorder="1" applyAlignment="1">
      <alignment horizontal="right" vertical="center"/>
    </xf>
    <xf numFmtId="0" fontId="0" fillId="20" borderId="2" xfId="0" applyFill="1" applyBorder="1"/>
    <xf numFmtId="0" fontId="8" fillId="20" borderId="2" xfId="0" applyFont="1" applyFill="1" applyBorder="1" applyAlignment="1">
      <alignment horizontal="left" vertical="center"/>
    </xf>
    <xf numFmtId="3" fontId="8" fillId="20" borderId="2" xfId="0" applyNumberFormat="1" applyFont="1" applyFill="1" applyBorder="1" applyAlignment="1">
      <alignment horizontal="right" vertical="center"/>
    </xf>
    <xf numFmtId="0" fontId="0" fillId="21" borderId="2" xfId="0" applyFill="1" applyBorder="1"/>
    <xf numFmtId="0" fontId="8" fillId="21" borderId="2" xfId="0" applyFont="1" applyFill="1" applyBorder="1" applyAlignment="1">
      <alignment horizontal="left" vertical="center"/>
    </xf>
    <xf numFmtId="3" fontId="8" fillId="21" borderId="2" xfId="0" applyNumberFormat="1" applyFont="1" applyFill="1" applyBorder="1" applyAlignment="1">
      <alignment horizontal="right" vertical="center"/>
    </xf>
    <xf numFmtId="0" fontId="0" fillId="22" borderId="2" xfId="0" applyFill="1" applyBorder="1"/>
    <xf numFmtId="0" fontId="8" fillId="22" borderId="2" xfId="0" applyFont="1" applyFill="1" applyBorder="1" applyAlignment="1">
      <alignment horizontal="left" vertical="center"/>
    </xf>
    <xf numFmtId="3" fontId="8" fillId="22" borderId="2" xfId="0" applyNumberFormat="1" applyFont="1" applyFill="1" applyBorder="1" applyAlignment="1">
      <alignment horizontal="right" vertical="center"/>
    </xf>
    <xf numFmtId="0" fontId="0" fillId="23" borderId="2" xfId="0" applyFill="1" applyBorder="1"/>
    <xf numFmtId="0" fontId="8" fillId="23" borderId="2" xfId="0" applyFont="1" applyFill="1" applyBorder="1" applyAlignment="1">
      <alignment horizontal="left" vertical="center"/>
    </xf>
    <xf numFmtId="3" fontId="8" fillId="23" borderId="2" xfId="0" applyNumberFormat="1" applyFont="1" applyFill="1" applyBorder="1" applyAlignment="1">
      <alignment horizontal="right" vertical="center"/>
    </xf>
    <xf numFmtId="0" fontId="0" fillId="24" borderId="2" xfId="0" applyFill="1" applyBorder="1"/>
    <xf numFmtId="0" fontId="8" fillId="24" borderId="2" xfId="0" applyFont="1" applyFill="1" applyBorder="1" applyAlignment="1">
      <alignment horizontal="left" vertical="center"/>
    </xf>
    <xf numFmtId="3" fontId="8" fillId="24" borderId="2" xfId="0" applyNumberFormat="1" applyFont="1" applyFill="1" applyBorder="1" applyAlignment="1">
      <alignment horizontal="right" vertical="center"/>
    </xf>
    <xf numFmtId="0" fontId="0" fillId="25" borderId="2" xfId="0" applyFill="1" applyBorder="1"/>
    <xf numFmtId="0" fontId="8" fillId="25" borderId="2" xfId="0" applyFont="1" applyFill="1" applyBorder="1" applyAlignment="1">
      <alignment horizontal="left" vertical="center"/>
    </xf>
    <xf numFmtId="3" fontId="8" fillId="25" borderId="2" xfId="0" applyNumberFormat="1" applyFont="1" applyFill="1" applyBorder="1" applyAlignment="1">
      <alignment horizontal="right" vertical="center"/>
    </xf>
    <xf numFmtId="0" fontId="0" fillId="26" borderId="2" xfId="0" applyFill="1" applyBorder="1"/>
    <xf numFmtId="0" fontId="8" fillId="26" borderId="2" xfId="0" applyFont="1" applyFill="1" applyBorder="1" applyAlignment="1">
      <alignment horizontal="left" vertical="center"/>
    </xf>
    <xf numFmtId="3" fontId="8" fillId="26" borderId="2" xfId="0" applyNumberFormat="1" applyFont="1" applyFill="1" applyBorder="1" applyAlignment="1">
      <alignment horizontal="right" vertical="center"/>
    </xf>
    <xf numFmtId="0" fontId="0" fillId="27" borderId="2" xfId="0" applyFill="1" applyBorder="1"/>
    <xf numFmtId="0" fontId="8" fillId="27" borderId="2" xfId="0" applyFont="1" applyFill="1" applyBorder="1" applyAlignment="1">
      <alignment horizontal="left" vertical="center"/>
    </xf>
    <xf numFmtId="3" fontId="8" fillId="27" borderId="2" xfId="0" applyNumberFormat="1" applyFont="1" applyFill="1" applyBorder="1" applyAlignment="1">
      <alignment horizontal="right" vertical="center"/>
    </xf>
    <xf numFmtId="0" fontId="0" fillId="28" borderId="2" xfId="0" applyFill="1" applyBorder="1"/>
    <xf numFmtId="0" fontId="8" fillId="28" borderId="2" xfId="0" applyFont="1" applyFill="1" applyBorder="1" applyAlignment="1">
      <alignment horizontal="left" vertical="center"/>
    </xf>
    <xf numFmtId="3" fontId="8" fillId="28" borderId="2" xfId="0" applyNumberFormat="1" applyFont="1" applyFill="1" applyBorder="1" applyAlignment="1">
      <alignment horizontal="right" vertical="center"/>
    </xf>
    <xf numFmtId="0" fontId="0" fillId="29" borderId="2" xfId="0" applyFill="1" applyBorder="1"/>
    <xf numFmtId="0" fontId="8" fillId="29" borderId="2" xfId="0" applyFont="1" applyFill="1" applyBorder="1" applyAlignment="1">
      <alignment horizontal="left" vertical="center"/>
    </xf>
    <xf numFmtId="3" fontId="8" fillId="29" borderId="2" xfId="0" applyNumberFormat="1" applyFont="1" applyFill="1" applyBorder="1" applyAlignment="1">
      <alignment horizontal="right" vertical="center"/>
    </xf>
    <xf numFmtId="3" fontId="1" fillId="5" borderId="1" xfId="0" applyNumberFormat="1" applyFont="1" applyFill="1" applyBorder="1" applyAlignment="1">
      <alignment horizontal="right" vertical="center"/>
    </xf>
    <xf numFmtId="3" fontId="13" fillId="30" borderId="1" xfId="0" applyNumberFormat="1" applyFont="1" applyFill="1" applyBorder="1" applyAlignment="1">
      <alignment horizontal="right" vertical="center"/>
    </xf>
    <xf numFmtId="3" fontId="15" fillId="31" borderId="1" xfId="0" applyNumberFormat="1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left" vertical="center"/>
    </xf>
    <xf numFmtId="0" fontId="17" fillId="7" borderId="2" xfId="0" applyFont="1" applyFill="1" applyBorder="1" applyAlignment="1">
      <alignment horizontal="left" vertical="center"/>
    </xf>
    <xf numFmtId="0" fontId="18" fillId="7" borderId="2" xfId="0" applyFont="1" applyFill="1" applyBorder="1" applyAlignment="1">
      <alignment horizontal="left" vertical="center" wrapText="1"/>
    </xf>
    <xf numFmtId="1" fontId="19" fillId="7" borderId="2" xfId="0" applyNumberFormat="1" applyFont="1" applyFill="1" applyBorder="1" applyAlignment="1">
      <alignment horizontal="center" vertical="center"/>
    </xf>
    <xf numFmtId="3" fontId="20" fillId="7" borderId="2" xfId="0" applyNumberFormat="1" applyFont="1" applyFill="1" applyBorder="1" applyAlignment="1">
      <alignment horizontal="right" vertical="center"/>
    </xf>
    <xf numFmtId="3" fontId="7" fillId="7" borderId="2" xfId="0" applyNumberFormat="1" applyFont="1" applyFill="1" applyBorder="1" applyAlignment="1">
      <alignment horizontal="right" vertical="center"/>
    </xf>
    <xf numFmtId="3" fontId="21" fillId="7" borderId="2" xfId="0" applyNumberFormat="1" applyFont="1" applyFill="1" applyBorder="1" applyAlignment="1">
      <alignment horizontal="right" vertical="center"/>
    </xf>
    <xf numFmtId="3" fontId="22" fillId="7" borderId="2" xfId="0" applyNumberFormat="1" applyFont="1" applyFill="1" applyBorder="1" applyAlignment="1">
      <alignment horizontal="right" vertical="center"/>
    </xf>
    <xf numFmtId="0" fontId="18" fillId="6" borderId="2" xfId="0" applyFont="1" applyFill="1" applyBorder="1" applyAlignment="1">
      <alignment horizontal="left" vertical="center" wrapText="1"/>
    </xf>
    <xf numFmtId="1" fontId="19" fillId="6" borderId="2" xfId="0" applyNumberFormat="1" applyFont="1" applyFill="1" applyBorder="1" applyAlignment="1">
      <alignment horizontal="center" vertical="center"/>
    </xf>
    <xf numFmtId="3" fontId="20" fillId="6" borderId="2" xfId="0" applyNumberFormat="1" applyFont="1" applyFill="1" applyBorder="1" applyAlignment="1">
      <alignment horizontal="right" vertical="center"/>
    </xf>
    <xf numFmtId="3" fontId="7" fillId="6" borderId="2" xfId="0" applyNumberFormat="1" applyFont="1" applyFill="1" applyBorder="1" applyAlignment="1">
      <alignment horizontal="right" vertical="center"/>
    </xf>
    <xf numFmtId="3" fontId="21" fillId="6" borderId="2" xfId="0" applyNumberFormat="1" applyFont="1" applyFill="1" applyBorder="1" applyAlignment="1">
      <alignment horizontal="right" vertical="center"/>
    </xf>
    <xf numFmtId="3" fontId="22" fillId="6" borderId="2" xfId="0" applyNumberFormat="1" applyFont="1" applyFill="1" applyBorder="1" applyAlignment="1">
      <alignment horizontal="right" vertical="center"/>
    </xf>
    <xf numFmtId="0" fontId="10" fillId="7" borderId="2" xfId="0" applyFont="1" applyFill="1" applyBorder="1" applyAlignment="1">
      <alignment horizontal="right" vertical="center"/>
    </xf>
    <xf numFmtId="0" fontId="11" fillId="7" borderId="2" xfId="0" applyFont="1" applyFill="1" applyBorder="1" applyAlignment="1">
      <alignment horizontal="right" vertical="center"/>
    </xf>
    <xf numFmtId="0" fontId="4" fillId="34" borderId="1" xfId="0" applyFont="1" applyFill="1" applyBorder="1" applyAlignment="1">
      <alignment horizontal="right" vertical="center"/>
    </xf>
    <xf numFmtId="0" fontId="0" fillId="34" borderId="1" xfId="0" applyFill="1" applyBorder="1"/>
    <xf numFmtId="3" fontId="23" fillId="34" borderId="1" xfId="0" applyNumberFormat="1" applyFont="1" applyFill="1" applyBorder="1" applyAlignment="1">
      <alignment horizontal="right" vertical="center"/>
    </xf>
    <xf numFmtId="3" fontId="24" fillId="34" borderId="1" xfId="0" applyNumberFormat="1" applyFont="1" applyFill="1" applyBorder="1" applyAlignment="1">
      <alignment horizontal="right" vertical="center"/>
    </xf>
    <xf numFmtId="0" fontId="1" fillId="32" borderId="0" xfId="0" applyFont="1" applyFill="1" applyAlignment="1">
      <alignment horizontal="center" vertical="center"/>
    </xf>
    <xf numFmtId="0" fontId="0" fillId="0" borderId="0" xfId="0"/>
    <xf numFmtId="0" fontId="4" fillId="14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14" fillId="31" borderId="1" xfId="0" applyFont="1" applyFill="1" applyBorder="1" applyAlignment="1">
      <alignment horizontal="right" vertical="center"/>
    </xf>
    <xf numFmtId="0" fontId="0" fillId="0" borderId="1" xfId="0" applyBorder="1"/>
    <xf numFmtId="0" fontId="16" fillId="7" borderId="0" xfId="0" applyFont="1" applyFill="1" applyAlignment="1">
      <alignment horizontal="right" vertical="center"/>
    </xf>
    <xf numFmtId="0" fontId="4" fillId="30" borderId="1" xfId="0" applyFont="1" applyFill="1" applyBorder="1" applyAlignment="1">
      <alignment horizontal="right" vertical="center"/>
    </xf>
    <xf numFmtId="0" fontId="4" fillId="11" borderId="2" xfId="0" applyFont="1" applyFill="1" applyBorder="1" applyAlignment="1">
      <alignment horizontal="left" vertical="center"/>
    </xf>
    <xf numFmtId="0" fontId="4" fillId="15" borderId="2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17" borderId="2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right" vertical="center"/>
    </xf>
    <xf numFmtId="0" fontId="4" fillId="9" borderId="2" xfId="0" applyFont="1" applyFill="1" applyBorder="1" applyAlignment="1">
      <alignment horizontal="left" vertical="center"/>
    </xf>
    <xf numFmtId="0" fontId="4" fillId="16" borderId="2" xfId="0" applyFont="1" applyFill="1" applyBorder="1" applyAlignment="1">
      <alignment horizontal="left" vertical="center"/>
    </xf>
    <xf numFmtId="0" fontId="4" fillId="18" borderId="2" xfId="0" applyFont="1" applyFill="1" applyBorder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10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1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33" borderId="0" xfId="0" applyFont="1" applyFill="1" applyAlignment="1">
      <alignment horizontal="center" vertical="center"/>
    </xf>
    <xf numFmtId="0" fontId="25" fillId="3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="130" zoomScaleNormal="130" workbookViewId="0">
      <pane xSplit="2" ySplit="3" topLeftCell="C24" activePane="bottomRight" state="frozen"/>
      <selection pane="topRight"/>
      <selection pane="bottomLeft"/>
      <selection pane="bottomRight" activeCell="D34" sqref="D34"/>
    </sheetView>
  </sheetViews>
  <sheetFormatPr defaultRowHeight="15" x14ac:dyDescent="0.25"/>
  <cols>
    <col min="1" max="1" width="5" customWidth="1"/>
    <col min="2" max="2" width="18" customWidth="1"/>
    <col min="3" max="3" width="9" customWidth="1"/>
    <col min="4" max="4" width="63.140625" customWidth="1"/>
    <col min="5" max="5" width="22" customWidth="1"/>
    <col min="6" max="6" width="20.7109375" customWidth="1"/>
    <col min="7" max="8" width="7" customWidth="1"/>
    <col min="9" max="9" width="13" customWidth="1"/>
    <col min="10" max="10" width="14" customWidth="1"/>
    <col min="11" max="11" width="18.28515625" customWidth="1"/>
  </cols>
  <sheetData>
    <row r="1" spans="1:11" ht="21.95" customHeight="1" x14ac:dyDescent="0.25">
      <c r="A1" s="103" t="s">
        <v>0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</row>
    <row r="2" spans="1:11" ht="12" customHeight="1" thickBot="1" x14ac:dyDescent="0.3">
      <c r="A2" s="93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</row>
    <row r="3" spans="1:11" ht="27.95" customHeight="1" thickBo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5.95" customHeight="1" x14ac:dyDescent="0.25">
      <c r="A4" s="101" t="s">
        <v>13</v>
      </c>
      <c r="B4" s="84"/>
      <c r="C4" s="84"/>
      <c r="D4" s="84"/>
      <c r="E4" s="84"/>
      <c r="F4" s="84"/>
      <c r="G4" s="84"/>
      <c r="H4" s="84"/>
      <c r="I4" s="84"/>
      <c r="J4" s="84"/>
      <c r="K4" s="84"/>
    </row>
    <row r="5" spans="1:11" ht="14.1" customHeight="1" x14ac:dyDescent="0.25">
      <c r="A5" s="2" t="s">
        <v>14</v>
      </c>
      <c r="B5" s="2" t="s">
        <v>15</v>
      </c>
      <c r="C5" s="2" t="s">
        <v>16</v>
      </c>
      <c r="D5" s="3" t="s">
        <v>17</v>
      </c>
      <c r="E5" s="4" t="s">
        <v>18</v>
      </c>
      <c r="F5" s="2" t="s">
        <v>19</v>
      </c>
      <c r="G5" s="2" t="s">
        <v>20</v>
      </c>
      <c r="H5" s="5">
        <v>1</v>
      </c>
      <c r="I5" s="6">
        <v>68500</v>
      </c>
      <c r="J5" s="7">
        <v>41100</v>
      </c>
      <c r="K5" s="8">
        <v>41100</v>
      </c>
    </row>
    <row r="6" spans="1:11" ht="14.1" customHeight="1" x14ac:dyDescent="0.25">
      <c r="A6" s="2" t="s">
        <v>14</v>
      </c>
      <c r="B6" s="2" t="s">
        <v>15</v>
      </c>
      <c r="C6" s="2" t="s">
        <v>217</v>
      </c>
      <c r="D6" s="3" t="s">
        <v>218</v>
      </c>
      <c r="E6" s="4" t="s">
        <v>18</v>
      </c>
      <c r="F6" s="2" t="s">
        <v>19</v>
      </c>
      <c r="G6" s="2" t="s">
        <v>20</v>
      </c>
      <c r="H6" s="5">
        <v>1</v>
      </c>
      <c r="I6" s="6">
        <v>68500</v>
      </c>
      <c r="J6" s="7">
        <v>41100</v>
      </c>
      <c r="K6" s="8">
        <v>41100</v>
      </c>
    </row>
    <row r="7" spans="1:11" ht="14.1" customHeight="1" x14ac:dyDescent="0.25">
      <c r="A7" s="9" t="s">
        <v>21</v>
      </c>
      <c r="B7" s="9" t="s">
        <v>15</v>
      </c>
      <c r="C7" s="9" t="s">
        <v>22</v>
      </c>
      <c r="D7" s="10" t="s">
        <v>23</v>
      </c>
      <c r="E7" s="11" t="s">
        <v>24</v>
      </c>
      <c r="F7" s="9" t="s">
        <v>19</v>
      </c>
      <c r="G7" s="9" t="s">
        <v>20</v>
      </c>
      <c r="H7" s="12">
        <v>6</v>
      </c>
      <c r="I7" s="13">
        <v>8500</v>
      </c>
      <c r="J7" s="14">
        <v>5100</v>
      </c>
      <c r="K7" s="15">
        <f>J7*H7</f>
        <v>30600</v>
      </c>
    </row>
    <row r="8" spans="1:11" ht="14.1" customHeight="1" x14ac:dyDescent="0.25">
      <c r="A8" s="2" t="s">
        <v>25</v>
      </c>
      <c r="B8" s="2" t="s">
        <v>15</v>
      </c>
      <c r="C8" s="2" t="s">
        <v>213</v>
      </c>
      <c r="D8" s="3" t="s">
        <v>215</v>
      </c>
      <c r="E8" s="2" t="s">
        <v>214</v>
      </c>
      <c r="F8" s="2" t="s">
        <v>216</v>
      </c>
      <c r="G8" s="2" t="s">
        <v>20</v>
      </c>
      <c r="H8" s="5">
        <v>1</v>
      </c>
      <c r="I8" s="6">
        <v>26000</v>
      </c>
      <c r="J8" s="7">
        <v>26000</v>
      </c>
      <c r="K8" s="15">
        <f>J8*H8</f>
        <v>26000</v>
      </c>
    </row>
    <row r="9" spans="1:11" ht="15.95" customHeight="1" x14ac:dyDescent="0.25">
      <c r="A9" s="86" t="s">
        <v>33</v>
      </c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14.1" customHeight="1" x14ac:dyDescent="0.25">
      <c r="A10" s="2" t="s">
        <v>34</v>
      </c>
      <c r="B10" s="2" t="s">
        <v>35</v>
      </c>
      <c r="C10" s="2" t="s">
        <v>36</v>
      </c>
      <c r="D10" s="3" t="s">
        <v>37</v>
      </c>
      <c r="E10" s="4" t="s">
        <v>38</v>
      </c>
      <c r="F10" s="2" t="s">
        <v>19</v>
      </c>
      <c r="G10" s="2" t="s">
        <v>20</v>
      </c>
      <c r="H10" s="5">
        <v>1</v>
      </c>
      <c r="I10" s="6">
        <v>8800</v>
      </c>
      <c r="J10" s="7">
        <v>5280</v>
      </c>
      <c r="K10" s="8">
        <v>5280</v>
      </c>
    </row>
    <row r="11" spans="1:11" ht="14.1" customHeight="1" x14ac:dyDescent="0.25">
      <c r="A11" s="9" t="s">
        <v>39</v>
      </c>
      <c r="B11" s="9" t="s">
        <v>35</v>
      </c>
      <c r="C11" s="9" t="s">
        <v>36</v>
      </c>
      <c r="D11" s="10" t="s">
        <v>40</v>
      </c>
      <c r="E11" s="11" t="s">
        <v>38</v>
      </c>
      <c r="F11" s="9" t="s">
        <v>19</v>
      </c>
      <c r="G11" s="9" t="s">
        <v>20</v>
      </c>
      <c r="H11" s="12">
        <v>1</v>
      </c>
      <c r="I11" s="13">
        <v>8800</v>
      </c>
      <c r="J11" s="14">
        <v>5280</v>
      </c>
      <c r="K11" s="15">
        <v>5280</v>
      </c>
    </row>
    <row r="12" spans="1:11" ht="14.1" customHeight="1" x14ac:dyDescent="0.25">
      <c r="A12" s="2" t="s">
        <v>41</v>
      </c>
      <c r="B12" s="2" t="s">
        <v>35</v>
      </c>
      <c r="C12" s="2" t="s">
        <v>36</v>
      </c>
      <c r="D12" s="3" t="s">
        <v>42</v>
      </c>
      <c r="E12" s="4" t="s">
        <v>38</v>
      </c>
      <c r="F12" s="2" t="s">
        <v>19</v>
      </c>
      <c r="G12" s="2" t="s">
        <v>20</v>
      </c>
      <c r="H12" s="5">
        <v>1</v>
      </c>
      <c r="I12" s="6">
        <v>8800</v>
      </c>
      <c r="J12" s="7">
        <v>5280</v>
      </c>
      <c r="K12" s="8">
        <v>5280</v>
      </c>
    </row>
    <row r="13" spans="1:11" ht="15.95" customHeight="1" x14ac:dyDescent="0.25">
      <c r="A13" s="96" t="s">
        <v>43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</row>
    <row r="14" spans="1:11" ht="14.1" customHeight="1" x14ac:dyDescent="0.25">
      <c r="A14" s="9" t="s">
        <v>44</v>
      </c>
      <c r="B14" s="9" t="s">
        <v>45</v>
      </c>
      <c r="C14" s="9" t="s">
        <v>46</v>
      </c>
      <c r="D14" s="10" t="s">
        <v>47</v>
      </c>
      <c r="E14" s="11" t="s">
        <v>48</v>
      </c>
      <c r="F14" s="9" t="s">
        <v>19</v>
      </c>
      <c r="G14" s="9" t="s">
        <v>20</v>
      </c>
      <c r="H14" s="12">
        <v>1</v>
      </c>
      <c r="I14" s="13">
        <v>15800</v>
      </c>
      <c r="J14" s="14">
        <v>9480</v>
      </c>
      <c r="K14" s="15">
        <v>9480</v>
      </c>
    </row>
    <row r="15" spans="1:11" ht="14.1" customHeight="1" x14ac:dyDescent="0.25">
      <c r="A15" s="2" t="s">
        <v>49</v>
      </c>
      <c r="B15" s="2" t="s">
        <v>45</v>
      </c>
      <c r="C15" s="2" t="s">
        <v>50</v>
      </c>
      <c r="D15" s="3" t="s">
        <v>51</v>
      </c>
      <c r="E15" s="4" t="s">
        <v>52</v>
      </c>
      <c r="F15" s="2" t="s">
        <v>19</v>
      </c>
      <c r="G15" s="2" t="s">
        <v>20</v>
      </c>
      <c r="H15" s="5">
        <v>2</v>
      </c>
      <c r="I15" s="6">
        <v>9200</v>
      </c>
      <c r="J15" s="7">
        <v>5520</v>
      </c>
      <c r="K15" s="8">
        <v>11040</v>
      </c>
    </row>
    <row r="16" spans="1:11" ht="14.1" customHeight="1" x14ac:dyDescent="0.25">
      <c r="A16" s="9" t="s">
        <v>53</v>
      </c>
      <c r="B16" s="9" t="s">
        <v>45</v>
      </c>
      <c r="C16" s="9" t="s">
        <v>50</v>
      </c>
      <c r="D16" s="10" t="s">
        <v>54</v>
      </c>
      <c r="E16" s="11" t="s">
        <v>52</v>
      </c>
      <c r="F16" s="9" t="s">
        <v>19</v>
      </c>
      <c r="G16" s="9" t="s">
        <v>20</v>
      </c>
      <c r="H16" s="12">
        <v>6</v>
      </c>
      <c r="I16" s="13">
        <v>9200</v>
      </c>
      <c r="J16" s="14">
        <v>5520</v>
      </c>
      <c r="K16" s="15">
        <v>33120</v>
      </c>
    </row>
    <row r="17" spans="1:11" ht="14.1" customHeight="1" x14ac:dyDescent="0.25">
      <c r="A17" s="2" t="s">
        <v>55</v>
      </c>
      <c r="B17" s="2" t="s">
        <v>45</v>
      </c>
      <c r="C17" s="2" t="s">
        <v>56</v>
      </c>
      <c r="D17" s="3" t="s">
        <v>57</v>
      </c>
      <c r="E17" s="4" t="s">
        <v>58</v>
      </c>
      <c r="F17" s="2" t="s">
        <v>19</v>
      </c>
      <c r="G17" s="2" t="s">
        <v>20</v>
      </c>
      <c r="H17" s="5">
        <v>1</v>
      </c>
      <c r="I17" s="6">
        <v>7500</v>
      </c>
      <c r="J17" s="7">
        <v>4500</v>
      </c>
      <c r="K17" s="8">
        <v>4500</v>
      </c>
    </row>
    <row r="18" spans="1:11" ht="15.95" customHeight="1" x14ac:dyDescent="0.25">
      <c r="A18" s="100" t="s">
        <v>59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</row>
    <row r="19" spans="1:11" ht="14.1" customHeight="1" x14ac:dyDescent="0.25">
      <c r="A19" s="9" t="s">
        <v>60</v>
      </c>
      <c r="B19" s="9" t="s">
        <v>61</v>
      </c>
      <c r="C19" s="9" t="s">
        <v>62</v>
      </c>
      <c r="D19" s="10" t="s">
        <v>63</v>
      </c>
      <c r="E19" s="17" t="s">
        <v>64</v>
      </c>
      <c r="F19" s="9" t="s">
        <v>29</v>
      </c>
      <c r="G19" s="9" t="s">
        <v>20</v>
      </c>
      <c r="H19" s="12">
        <v>2</v>
      </c>
      <c r="I19" s="13">
        <v>18500</v>
      </c>
      <c r="J19" s="14">
        <v>11100</v>
      </c>
      <c r="K19" s="15">
        <v>22200</v>
      </c>
    </row>
    <row r="20" spans="1:11" ht="14.1" customHeight="1" x14ac:dyDescent="0.25">
      <c r="A20" s="2" t="s">
        <v>65</v>
      </c>
      <c r="B20" s="2" t="s">
        <v>61</v>
      </c>
      <c r="C20" s="2" t="s">
        <v>66</v>
      </c>
      <c r="D20" s="3" t="s">
        <v>67</v>
      </c>
      <c r="E20" s="16" t="s">
        <v>68</v>
      </c>
      <c r="F20" s="2" t="s">
        <v>29</v>
      </c>
      <c r="G20" s="2" t="s">
        <v>20</v>
      </c>
      <c r="H20" s="5">
        <v>1</v>
      </c>
      <c r="I20" s="6">
        <v>28000</v>
      </c>
      <c r="J20" s="7">
        <v>16800</v>
      </c>
      <c r="K20" s="8">
        <v>16800</v>
      </c>
    </row>
    <row r="21" spans="1:11" ht="14.1" customHeight="1" x14ac:dyDescent="0.25">
      <c r="A21" s="9" t="s">
        <v>69</v>
      </c>
      <c r="B21" s="9" t="s">
        <v>61</v>
      </c>
      <c r="C21" s="9" t="s">
        <v>70</v>
      </c>
      <c r="D21" s="10" t="s">
        <v>71</v>
      </c>
      <c r="E21" s="17" t="s">
        <v>72</v>
      </c>
      <c r="F21" s="9" t="s">
        <v>29</v>
      </c>
      <c r="G21" s="9" t="s">
        <v>20</v>
      </c>
      <c r="H21" s="12">
        <v>1</v>
      </c>
      <c r="I21" s="13">
        <v>8500</v>
      </c>
      <c r="J21" s="14">
        <v>5100</v>
      </c>
      <c r="K21" s="15">
        <v>5100</v>
      </c>
    </row>
    <row r="22" spans="1:11" ht="14.1" customHeight="1" x14ac:dyDescent="0.25">
      <c r="A22" s="2" t="s">
        <v>73</v>
      </c>
      <c r="B22" s="2" t="s">
        <v>61</v>
      </c>
      <c r="C22" s="2" t="s">
        <v>74</v>
      </c>
      <c r="D22" s="3" t="s">
        <v>75</v>
      </c>
      <c r="E22" s="16" t="s">
        <v>76</v>
      </c>
      <c r="F22" s="2" t="s">
        <v>29</v>
      </c>
      <c r="G22" s="2" t="s">
        <v>20</v>
      </c>
      <c r="H22" s="5">
        <v>2</v>
      </c>
      <c r="I22" s="6">
        <v>3500</v>
      </c>
      <c r="J22" s="7">
        <v>2100</v>
      </c>
      <c r="K22" s="8">
        <v>4200</v>
      </c>
    </row>
    <row r="23" spans="1:11" ht="14.1" customHeight="1" x14ac:dyDescent="0.25">
      <c r="A23" s="9" t="s">
        <v>77</v>
      </c>
      <c r="B23" s="9" t="s">
        <v>61</v>
      </c>
      <c r="C23" s="9" t="s">
        <v>78</v>
      </c>
      <c r="D23" s="10" t="s">
        <v>79</v>
      </c>
      <c r="E23" s="17" t="s">
        <v>80</v>
      </c>
      <c r="F23" s="9" t="s">
        <v>29</v>
      </c>
      <c r="G23" s="9" t="s">
        <v>20</v>
      </c>
      <c r="H23" s="12">
        <v>1</v>
      </c>
      <c r="I23" s="13">
        <v>12500</v>
      </c>
      <c r="J23" s="14">
        <v>7500</v>
      </c>
      <c r="K23" s="15">
        <v>7500</v>
      </c>
    </row>
    <row r="24" spans="1:11" ht="14.1" customHeight="1" x14ac:dyDescent="0.25">
      <c r="A24" s="2" t="s">
        <v>81</v>
      </c>
      <c r="B24" s="2" t="s">
        <v>61</v>
      </c>
      <c r="C24" s="2" t="s">
        <v>82</v>
      </c>
      <c r="D24" s="3" t="s">
        <v>83</v>
      </c>
      <c r="E24" s="16" t="s">
        <v>84</v>
      </c>
      <c r="F24" s="2" t="s">
        <v>85</v>
      </c>
      <c r="G24" s="2" t="s">
        <v>20</v>
      </c>
      <c r="H24" s="5">
        <v>1</v>
      </c>
      <c r="I24" s="6">
        <v>6800</v>
      </c>
      <c r="J24" s="7">
        <v>4080</v>
      </c>
      <c r="K24" s="8">
        <v>4080</v>
      </c>
    </row>
    <row r="25" spans="1:11" ht="15.95" customHeight="1" x14ac:dyDescent="0.25">
      <c r="A25" s="91" t="s">
        <v>86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</row>
    <row r="26" spans="1:11" ht="14.1" customHeight="1" x14ac:dyDescent="0.25">
      <c r="A26" s="9" t="s">
        <v>87</v>
      </c>
      <c r="B26" s="9" t="s">
        <v>88</v>
      </c>
      <c r="C26" s="9" t="s">
        <v>89</v>
      </c>
      <c r="D26" s="10" t="s">
        <v>90</v>
      </c>
      <c r="E26" s="11" t="s">
        <v>91</v>
      </c>
      <c r="F26" s="9" t="s">
        <v>19</v>
      </c>
      <c r="G26" s="9" t="s">
        <v>20</v>
      </c>
      <c r="H26" s="12">
        <v>5</v>
      </c>
      <c r="I26" s="13">
        <v>2700</v>
      </c>
      <c r="J26" s="14">
        <v>1620</v>
      </c>
      <c r="K26" s="15">
        <v>8100</v>
      </c>
    </row>
    <row r="27" spans="1:11" ht="14.1" customHeight="1" x14ac:dyDescent="0.25">
      <c r="A27" s="2" t="s">
        <v>92</v>
      </c>
      <c r="B27" s="2" t="s">
        <v>88</v>
      </c>
      <c r="C27" s="2" t="s">
        <v>89</v>
      </c>
      <c r="D27" s="3" t="s">
        <v>93</v>
      </c>
      <c r="E27" s="4" t="s">
        <v>94</v>
      </c>
      <c r="F27" s="2" t="s">
        <v>19</v>
      </c>
      <c r="G27" s="2" t="s">
        <v>20</v>
      </c>
      <c r="H27" s="5">
        <v>18</v>
      </c>
      <c r="I27" s="6">
        <v>2700</v>
      </c>
      <c r="J27" s="7">
        <v>1620</v>
      </c>
      <c r="K27" s="8">
        <v>29160</v>
      </c>
    </row>
    <row r="28" spans="1:11" ht="14.1" customHeight="1" x14ac:dyDescent="0.25">
      <c r="A28" s="9" t="s">
        <v>95</v>
      </c>
      <c r="B28" s="9" t="s">
        <v>88</v>
      </c>
      <c r="C28" s="9" t="s">
        <v>89</v>
      </c>
      <c r="D28" s="10" t="s">
        <v>96</v>
      </c>
      <c r="E28" s="11" t="s">
        <v>97</v>
      </c>
      <c r="F28" s="9" t="s">
        <v>19</v>
      </c>
      <c r="G28" s="9" t="s">
        <v>20</v>
      </c>
      <c r="H28" s="12">
        <v>22</v>
      </c>
      <c r="I28" s="13">
        <v>2718</v>
      </c>
      <c r="J28" s="14">
        <v>1631</v>
      </c>
      <c r="K28" s="15">
        <v>35882</v>
      </c>
    </row>
    <row r="29" spans="1:11" ht="14.1" customHeight="1" x14ac:dyDescent="0.25">
      <c r="A29" s="2" t="s">
        <v>98</v>
      </c>
      <c r="B29" s="2" t="s">
        <v>88</v>
      </c>
      <c r="C29" s="2" t="s">
        <v>89</v>
      </c>
      <c r="D29" s="3" t="s">
        <v>99</v>
      </c>
      <c r="E29" s="4" t="s">
        <v>100</v>
      </c>
      <c r="F29" s="2" t="s">
        <v>19</v>
      </c>
      <c r="G29" s="2" t="s">
        <v>20</v>
      </c>
      <c r="H29" s="5">
        <v>20</v>
      </c>
      <c r="I29" s="6">
        <v>2718</v>
      </c>
      <c r="J29" s="7">
        <v>1631</v>
      </c>
      <c r="K29" s="8">
        <v>32620</v>
      </c>
    </row>
    <row r="30" spans="1:11" ht="15.95" customHeight="1" x14ac:dyDescent="0.25">
      <c r="A30" s="102" t="s">
        <v>101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</row>
    <row r="31" spans="1:11" ht="14.1" customHeight="1" x14ac:dyDescent="0.25">
      <c r="A31" s="9" t="s">
        <v>102</v>
      </c>
      <c r="B31" s="9" t="s">
        <v>103</v>
      </c>
      <c r="C31" s="9" t="s">
        <v>104</v>
      </c>
      <c r="D31" s="10" t="s">
        <v>105</v>
      </c>
      <c r="E31" s="11" t="s">
        <v>106</v>
      </c>
      <c r="F31" s="9" t="s">
        <v>19</v>
      </c>
      <c r="G31" s="9" t="s">
        <v>20</v>
      </c>
      <c r="H31" s="12">
        <v>14</v>
      </c>
      <c r="I31" s="13">
        <v>13662</v>
      </c>
      <c r="J31" s="14">
        <v>8197</v>
      </c>
      <c r="K31" s="15">
        <v>114758</v>
      </c>
    </row>
    <row r="32" spans="1:11" ht="14.1" customHeight="1" x14ac:dyDescent="0.25">
      <c r="A32" s="2" t="s">
        <v>107</v>
      </c>
      <c r="B32" s="2" t="s">
        <v>103</v>
      </c>
      <c r="C32" s="2" t="s">
        <v>104</v>
      </c>
      <c r="D32" s="3" t="s">
        <v>108</v>
      </c>
      <c r="E32" s="4" t="s">
        <v>106</v>
      </c>
      <c r="F32" s="2" t="s">
        <v>19</v>
      </c>
      <c r="G32" s="2" t="s">
        <v>20</v>
      </c>
      <c r="H32" s="5">
        <v>8</v>
      </c>
      <c r="I32" s="6">
        <v>13662</v>
      </c>
      <c r="J32" s="7">
        <v>8197</v>
      </c>
      <c r="K32" s="8">
        <v>65576</v>
      </c>
    </row>
    <row r="33" spans="1:11" ht="14.1" customHeight="1" x14ac:dyDescent="0.25">
      <c r="A33" s="9" t="s">
        <v>109</v>
      </c>
      <c r="B33" s="9" t="s">
        <v>103</v>
      </c>
      <c r="C33" s="9" t="s">
        <v>104</v>
      </c>
      <c r="D33" s="10" t="s">
        <v>110</v>
      </c>
      <c r="E33" s="11" t="s">
        <v>111</v>
      </c>
      <c r="F33" s="9" t="s">
        <v>19</v>
      </c>
      <c r="G33" s="9" t="s">
        <v>20</v>
      </c>
      <c r="H33" s="12">
        <v>5</v>
      </c>
      <c r="I33" s="13">
        <v>13782</v>
      </c>
      <c r="J33" s="14">
        <v>8269</v>
      </c>
      <c r="K33" s="15">
        <v>41345</v>
      </c>
    </row>
    <row r="34" spans="1:11" ht="14.1" customHeight="1" x14ac:dyDescent="0.25">
      <c r="A34" s="2" t="s">
        <v>112</v>
      </c>
      <c r="B34" s="2" t="s">
        <v>103</v>
      </c>
      <c r="C34" s="2" t="s">
        <v>113</v>
      </c>
      <c r="D34" s="3" t="s">
        <v>114</v>
      </c>
      <c r="E34" s="4" t="s">
        <v>115</v>
      </c>
      <c r="F34" s="2" t="s">
        <v>19</v>
      </c>
      <c r="G34" s="2" t="s">
        <v>20</v>
      </c>
      <c r="H34" s="5">
        <v>3</v>
      </c>
      <c r="I34" s="6">
        <v>6890</v>
      </c>
      <c r="J34" s="7">
        <v>4134</v>
      </c>
      <c r="K34" s="8">
        <v>12402</v>
      </c>
    </row>
    <row r="35" spans="1:11" ht="14.1" customHeight="1" x14ac:dyDescent="0.25">
      <c r="A35" s="9" t="s">
        <v>116</v>
      </c>
      <c r="B35" s="9" t="s">
        <v>103</v>
      </c>
      <c r="C35" s="9" t="s">
        <v>113</v>
      </c>
      <c r="D35" s="10" t="s">
        <v>117</v>
      </c>
      <c r="E35" s="11" t="s">
        <v>118</v>
      </c>
      <c r="F35" s="9" t="s">
        <v>19</v>
      </c>
      <c r="G35" s="9" t="s">
        <v>20</v>
      </c>
      <c r="H35" s="12">
        <v>2</v>
      </c>
      <c r="I35" s="13">
        <v>7200</v>
      </c>
      <c r="J35" s="14">
        <v>4320</v>
      </c>
      <c r="K35" s="15">
        <v>8640</v>
      </c>
    </row>
    <row r="36" spans="1:11" ht="14.1" customHeight="1" x14ac:dyDescent="0.25">
      <c r="A36" s="18" t="s">
        <v>119</v>
      </c>
      <c r="B36" s="18" t="s">
        <v>103</v>
      </c>
      <c r="C36" s="18" t="s">
        <v>120</v>
      </c>
      <c r="D36" s="19" t="s">
        <v>121</v>
      </c>
      <c r="E36" s="20" t="s">
        <v>84</v>
      </c>
      <c r="F36" s="18" t="s">
        <v>85</v>
      </c>
      <c r="G36" s="18" t="s">
        <v>20</v>
      </c>
      <c r="H36" s="21">
        <v>1</v>
      </c>
      <c r="I36" s="22">
        <v>0</v>
      </c>
      <c r="J36" s="23" t="s">
        <v>122</v>
      </c>
      <c r="K36" s="24" t="s">
        <v>122</v>
      </c>
    </row>
    <row r="37" spans="1:11" ht="15.95" customHeight="1" x14ac:dyDescent="0.25">
      <c r="A37" s="85" t="s">
        <v>123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</row>
    <row r="38" spans="1:11" ht="14.1" customHeight="1" x14ac:dyDescent="0.25">
      <c r="A38" s="9" t="s">
        <v>124</v>
      </c>
      <c r="B38" s="9" t="s">
        <v>125</v>
      </c>
      <c r="C38" s="9" t="s">
        <v>89</v>
      </c>
      <c r="D38" s="10" t="s">
        <v>126</v>
      </c>
      <c r="E38" s="11" t="s">
        <v>97</v>
      </c>
      <c r="F38" s="9" t="s">
        <v>19</v>
      </c>
      <c r="G38" s="9" t="s">
        <v>20</v>
      </c>
      <c r="H38" s="12">
        <v>8</v>
      </c>
      <c r="I38" s="13">
        <v>2718</v>
      </c>
      <c r="J38" s="14">
        <v>1631</v>
      </c>
      <c r="K38" s="15">
        <v>13048</v>
      </c>
    </row>
    <row r="39" spans="1:11" ht="14.1" customHeight="1" x14ac:dyDescent="0.25">
      <c r="A39" s="2" t="s">
        <v>127</v>
      </c>
      <c r="B39" s="2" t="s">
        <v>125</v>
      </c>
      <c r="C39" s="2" t="s">
        <v>89</v>
      </c>
      <c r="D39" s="3" t="s">
        <v>128</v>
      </c>
      <c r="E39" s="4" t="s">
        <v>94</v>
      </c>
      <c r="F39" s="2" t="s">
        <v>19</v>
      </c>
      <c r="G39" s="2" t="s">
        <v>20</v>
      </c>
      <c r="H39" s="5">
        <v>6</v>
      </c>
      <c r="I39" s="6">
        <v>2700</v>
      </c>
      <c r="J39" s="7">
        <v>1620</v>
      </c>
      <c r="K39" s="8">
        <v>9720</v>
      </c>
    </row>
    <row r="40" spans="1:11" ht="14.1" customHeight="1" x14ac:dyDescent="0.25">
      <c r="A40" s="9" t="s">
        <v>129</v>
      </c>
      <c r="B40" s="9" t="s">
        <v>125</v>
      </c>
      <c r="C40" s="9" t="s">
        <v>89</v>
      </c>
      <c r="D40" s="10" t="s">
        <v>130</v>
      </c>
      <c r="E40" s="11" t="s">
        <v>100</v>
      </c>
      <c r="F40" s="9" t="s">
        <v>19</v>
      </c>
      <c r="G40" s="9" t="s">
        <v>20</v>
      </c>
      <c r="H40" s="12">
        <v>8</v>
      </c>
      <c r="I40" s="13">
        <v>2718</v>
      </c>
      <c r="J40" s="14">
        <v>1631</v>
      </c>
      <c r="K40" s="15">
        <v>13048</v>
      </c>
    </row>
    <row r="41" spans="1:11" ht="15.95" customHeight="1" x14ac:dyDescent="0.25">
      <c r="A41" s="92" t="s">
        <v>131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</row>
    <row r="42" spans="1:11" ht="14.1" customHeight="1" x14ac:dyDescent="0.25">
      <c r="A42" s="2" t="s">
        <v>132</v>
      </c>
      <c r="B42" s="2" t="s">
        <v>133</v>
      </c>
      <c r="C42" s="2" t="s">
        <v>89</v>
      </c>
      <c r="D42" s="3" t="s">
        <v>134</v>
      </c>
      <c r="E42" s="4" t="s">
        <v>94</v>
      </c>
      <c r="F42" s="2" t="s">
        <v>19</v>
      </c>
      <c r="G42" s="2" t="s">
        <v>20</v>
      </c>
      <c r="H42" s="5">
        <v>8</v>
      </c>
      <c r="I42" s="6">
        <v>2700</v>
      </c>
      <c r="J42" s="7">
        <v>1620</v>
      </c>
      <c r="K42" s="8">
        <v>12960</v>
      </c>
    </row>
    <row r="43" spans="1:11" ht="14.1" customHeight="1" x14ac:dyDescent="0.25">
      <c r="A43" s="9" t="s">
        <v>135</v>
      </c>
      <c r="B43" s="9" t="s">
        <v>133</v>
      </c>
      <c r="C43" s="9" t="s">
        <v>89</v>
      </c>
      <c r="D43" s="10" t="s">
        <v>136</v>
      </c>
      <c r="E43" s="11" t="s">
        <v>97</v>
      </c>
      <c r="F43" s="9" t="s">
        <v>19</v>
      </c>
      <c r="G43" s="9" t="s">
        <v>20</v>
      </c>
      <c r="H43" s="12">
        <v>8</v>
      </c>
      <c r="I43" s="13">
        <v>2718</v>
      </c>
      <c r="J43" s="14">
        <v>1631</v>
      </c>
      <c r="K43" s="15">
        <v>13048</v>
      </c>
    </row>
    <row r="44" spans="1:11" ht="15.95" customHeight="1" x14ac:dyDescent="0.25">
      <c r="A44" s="97" t="s">
        <v>137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</row>
    <row r="45" spans="1:11" ht="14.1" customHeight="1" x14ac:dyDescent="0.25">
      <c r="A45" s="2" t="s">
        <v>138</v>
      </c>
      <c r="B45" s="2" t="s">
        <v>139</v>
      </c>
      <c r="C45" s="2" t="s">
        <v>140</v>
      </c>
      <c r="D45" s="3" t="s">
        <v>141</v>
      </c>
      <c r="E45" s="16" t="s">
        <v>142</v>
      </c>
      <c r="F45" s="2" t="s">
        <v>85</v>
      </c>
      <c r="G45" s="2" t="s">
        <v>20</v>
      </c>
      <c r="H45" s="5">
        <v>150</v>
      </c>
      <c r="I45" s="6">
        <v>380</v>
      </c>
      <c r="J45" s="7">
        <v>228</v>
      </c>
      <c r="K45" s="8">
        <v>34200</v>
      </c>
    </row>
    <row r="46" spans="1:11" ht="14.1" customHeight="1" x14ac:dyDescent="0.25">
      <c r="A46" s="9" t="s">
        <v>143</v>
      </c>
      <c r="B46" s="9" t="s">
        <v>139</v>
      </c>
      <c r="C46" s="9" t="s">
        <v>144</v>
      </c>
      <c r="D46" s="10" t="s">
        <v>145</v>
      </c>
      <c r="E46" s="17" t="s">
        <v>146</v>
      </c>
      <c r="F46" s="9" t="s">
        <v>85</v>
      </c>
      <c r="G46" s="9" t="s">
        <v>20</v>
      </c>
      <c r="H46" s="12">
        <v>30</v>
      </c>
      <c r="I46" s="13">
        <v>420</v>
      </c>
      <c r="J46" s="14">
        <v>252</v>
      </c>
      <c r="K46" s="15">
        <v>7560</v>
      </c>
    </row>
    <row r="47" spans="1:11" ht="14.1" customHeight="1" x14ac:dyDescent="0.25">
      <c r="A47" s="2" t="s">
        <v>147</v>
      </c>
      <c r="B47" s="2" t="s">
        <v>139</v>
      </c>
      <c r="C47" s="2" t="s">
        <v>148</v>
      </c>
      <c r="D47" s="3" t="s">
        <v>149</v>
      </c>
      <c r="E47" s="16" t="s">
        <v>150</v>
      </c>
      <c r="F47" s="2" t="s">
        <v>85</v>
      </c>
      <c r="G47" s="2" t="s">
        <v>20</v>
      </c>
      <c r="H47" s="5">
        <v>12</v>
      </c>
      <c r="I47" s="6">
        <v>1200</v>
      </c>
      <c r="J47" s="7">
        <v>720</v>
      </c>
      <c r="K47" s="8">
        <v>8640</v>
      </c>
    </row>
    <row r="48" spans="1:11" ht="14.1" customHeight="1" x14ac:dyDescent="0.25">
      <c r="A48" s="9" t="s">
        <v>151</v>
      </c>
      <c r="B48" s="9" t="s">
        <v>139</v>
      </c>
      <c r="C48" s="9" t="s">
        <v>152</v>
      </c>
      <c r="D48" s="10" t="s">
        <v>153</v>
      </c>
      <c r="E48" s="17" t="s">
        <v>154</v>
      </c>
      <c r="F48" s="9" t="s">
        <v>85</v>
      </c>
      <c r="G48" s="9" t="s">
        <v>155</v>
      </c>
      <c r="H48" s="12">
        <v>50</v>
      </c>
      <c r="I48" s="13">
        <v>850</v>
      </c>
      <c r="J48" s="14">
        <v>510</v>
      </c>
      <c r="K48" s="15">
        <v>25500</v>
      </c>
    </row>
    <row r="49" spans="1:11" ht="14.1" customHeight="1" x14ac:dyDescent="0.25">
      <c r="A49" s="2" t="s">
        <v>156</v>
      </c>
      <c r="B49" s="2" t="s">
        <v>139</v>
      </c>
      <c r="C49" s="2" t="s">
        <v>152</v>
      </c>
      <c r="D49" s="3" t="s">
        <v>157</v>
      </c>
      <c r="E49" s="16" t="s">
        <v>158</v>
      </c>
      <c r="F49" s="2" t="s">
        <v>85</v>
      </c>
      <c r="G49" s="2" t="s">
        <v>155</v>
      </c>
      <c r="H49" s="5">
        <v>30</v>
      </c>
      <c r="I49" s="6">
        <v>1100</v>
      </c>
      <c r="J49" s="7">
        <v>660</v>
      </c>
      <c r="K49" s="8">
        <v>19800</v>
      </c>
    </row>
    <row r="50" spans="1:11" ht="14.1" customHeight="1" x14ac:dyDescent="0.25">
      <c r="A50" s="18" t="s">
        <v>159</v>
      </c>
      <c r="B50" s="18" t="s">
        <v>139</v>
      </c>
      <c r="C50" s="18" t="s">
        <v>160</v>
      </c>
      <c r="D50" s="19" t="s">
        <v>161</v>
      </c>
      <c r="E50" s="20" t="s">
        <v>162</v>
      </c>
      <c r="F50" s="18" t="s">
        <v>85</v>
      </c>
      <c r="G50" s="18" t="s">
        <v>163</v>
      </c>
      <c r="H50" s="21">
        <v>1</v>
      </c>
      <c r="I50" s="22">
        <v>55000</v>
      </c>
      <c r="J50" s="25">
        <v>33000</v>
      </c>
      <c r="K50" s="26">
        <v>33000</v>
      </c>
    </row>
    <row r="51" spans="1:11" ht="15.95" customHeight="1" x14ac:dyDescent="0.25">
      <c r="A51" s="94" t="s">
        <v>164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</row>
    <row r="52" spans="1:11" ht="14.1" customHeight="1" x14ac:dyDescent="0.25">
      <c r="A52" s="18" t="s">
        <v>165</v>
      </c>
      <c r="B52" s="18" t="s">
        <v>166</v>
      </c>
      <c r="C52" s="18" t="s">
        <v>167</v>
      </c>
      <c r="D52" s="19" t="s">
        <v>168</v>
      </c>
      <c r="E52" s="20" t="s">
        <v>169</v>
      </c>
      <c r="F52" s="18" t="s">
        <v>85</v>
      </c>
      <c r="G52" s="18" t="s">
        <v>20</v>
      </c>
      <c r="H52" s="21">
        <v>1</v>
      </c>
      <c r="I52" s="22">
        <v>85000</v>
      </c>
      <c r="J52" s="25">
        <v>51000</v>
      </c>
      <c r="K52" s="26">
        <v>51000</v>
      </c>
    </row>
    <row r="53" spans="1:11" ht="15.95" customHeight="1" x14ac:dyDescent="0.25">
      <c r="A53" s="98" t="s">
        <v>170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</row>
    <row r="54" spans="1:11" ht="14.1" customHeight="1" x14ac:dyDescent="0.25">
      <c r="A54" s="9" t="s">
        <v>171</v>
      </c>
      <c r="B54" s="9" t="s">
        <v>172</v>
      </c>
      <c r="C54" s="9" t="s">
        <v>173</v>
      </c>
      <c r="D54" s="10" t="s">
        <v>174</v>
      </c>
      <c r="E54" s="17" t="s">
        <v>84</v>
      </c>
      <c r="F54" s="9" t="s">
        <v>85</v>
      </c>
      <c r="G54" s="9" t="s">
        <v>175</v>
      </c>
      <c r="H54" s="12">
        <v>120</v>
      </c>
      <c r="I54" s="13">
        <v>3500</v>
      </c>
      <c r="J54" s="14">
        <v>2100</v>
      </c>
      <c r="K54" s="15">
        <v>252000</v>
      </c>
    </row>
    <row r="56" spans="1:11" ht="14.1" customHeight="1" x14ac:dyDescent="0.25">
      <c r="A56" s="99" t="s">
        <v>176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</row>
    <row r="57" spans="1:11" ht="14.1" customHeight="1" x14ac:dyDescent="0.25">
      <c r="A57" s="27"/>
      <c r="B57" s="28" t="s">
        <v>15</v>
      </c>
      <c r="C57" s="27"/>
      <c r="D57" s="27"/>
      <c r="E57" s="27"/>
      <c r="F57" s="27"/>
      <c r="G57" s="27"/>
      <c r="H57" s="27"/>
      <c r="I57" s="27"/>
      <c r="J57" s="27"/>
      <c r="K57" s="29">
        <v>103800</v>
      </c>
    </row>
    <row r="58" spans="1:11" ht="14.1" customHeight="1" x14ac:dyDescent="0.25">
      <c r="A58" s="30"/>
      <c r="B58" s="31" t="s">
        <v>35</v>
      </c>
      <c r="C58" s="30"/>
      <c r="D58" s="30"/>
      <c r="E58" s="30"/>
      <c r="F58" s="30"/>
      <c r="G58" s="30"/>
      <c r="H58" s="30"/>
      <c r="I58" s="30"/>
      <c r="J58" s="30"/>
      <c r="K58" s="32">
        <v>15840</v>
      </c>
    </row>
    <row r="59" spans="1:11" ht="14.1" customHeight="1" x14ac:dyDescent="0.25">
      <c r="A59" s="33"/>
      <c r="B59" s="34" t="s">
        <v>45</v>
      </c>
      <c r="C59" s="33"/>
      <c r="D59" s="33"/>
      <c r="E59" s="33"/>
      <c r="F59" s="33"/>
      <c r="G59" s="33"/>
      <c r="H59" s="33"/>
      <c r="I59" s="33"/>
      <c r="J59" s="33"/>
      <c r="K59" s="35">
        <v>58140</v>
      </c>
    </row>
    <row r="60" spans="1:11" ht="14.1" customHeight="1" x14ac:dyDescent="0.25">
      <c r="A60" s="36"/>
      <c r="B60" s="37" t="s">
        <v>61</v>
      </c>
      <c r="C60" s="36"/>
      <c r="D60" s="36"/>
      <c r="E60" s="36"/>
      <c r="F60" s="36"/>
      <c r="G60" s="36"/>
      <c r="H60" s="36"/>
      <c r="I60" s="36"/>
      <c r="J60" s="36"/>
      <c r="K60" s="38">
        <v>59880</v>
      </c>
    </row>
    <row r="61" spans="1:11" ht="14.1" customHeight="1" x14ac:dyDescent="0.25">
      <c r="A61" s="39"/>
      <c r="B61" s="40" t="s">
        <v>88</v>
      </c>
      <c r="C61" s="39"/>
      <c r="D61" s="39"/>
      <c r="E61" s="39"/>
      <c r="F61" s="39"/>
      <c r="G61" s="39"/>
      <c r="H61" s="39"/>
      <c r="I61" s="39"/>
      <c r="J61" s="39"/>
      <c r="K61" s="41">
        <v>105762</v>
      </c>
    </row>
    <row r="62" spans="1:11" ht="14.1" customHeight="1" x14ac:dyDescent="0.25">
      <c r="A62" s="42"/>
      <c r="B62" s="43" t="s">
        <v>103</v>
      </c>
      <c r="C62" s="42"/>
      <c r="D62" s="42"/>
      <c r="E62" s="42"/>
      <c r="F62" s="42"/>
      <c r="G62" s="42"/>
      <c r="H62" s="42"/>
      <c r="I62" s="42"/>
      <c r="J62" s="42"/>
      <c r="K62" s="44">
        <v>242721</v>
      </c>
    </row>
    <row r="63" spans="1:11" ht="14.1" customHeight="1" x14ac:dyDescent="0.25">
      <c r="A63" s="45"/>
      <c r="B63" s="46" t="s">
        <v>125</v>
      </c>
      <c r="C63" s="45"/>
      <c r="D63" s="45"/>
      <c r="E63" s="45"/>
      <c r="F63" s="45"/>
      <c r="G63" s="45"/>
      <c r="H63" s="45"/>
      <c r="I63" s="45"/>
      <c r="J63" s="45"/>
      <c r="K63" s="47">
        <v>35816</v>
      </c>
    </row>
    <row r="64" spans="1:11" ht="14.1" customHeight="1" x14ac:dyDescent="0.25">
      <c r="A64" s="48"/>
      <c r="B64" s="49" t="s">
        <v>133</v>
      </c>
      <c r="C64" s="48"/>
      <c r="D64" s="48"/>
      <c r="E64" s="48"/>
      <c r="F64" s="48"/>
      <c r="G64" s="48"/>
      <c r="H64" s="48"/>
      <c r="I64" s="48"/>
      <c r="J64" s="48"/>
      <c r="K64" s="50">
        <v>26008</v>
      </c>
    </row>
    <row r="65" spans="1:11" ht="14.1" customHeight="1" x14ac:dyDescent="0.25">
      <c r="A65" s="51"/>
      <c r="B65" s="52" t="s">
        <v>139</v>
      </c>
      <c r="C65" s="51"/>
      <c r="D65" s="51"/>
      <c r="E65" s="51"/>
      <c r="F65" s="51"/>
      <c r="G65" s="51"/>
      <c r="H65" s="51"/>
      <c r="I65" s="51"/>
      <c r="J65" s="51"/>
      <c r="K65" s="53">
        <v>128700</v>
      </c>
    </row>
    <row r="66" spans="1:11" ht="14.1" customHeight="1" x14ac:dyDescent="0.25">
      <c r="A66" s="54"/>
      <c r="B66" s="55" t="s">
        <v>166</v>
      </c>
      <c r="C66" s="54"/>
      <c r="D66" s="54"/>
      <c r="E66" s="54"/>
      <c r="F66" s="54"/>
      <c r="G66" s="54"/>
      <c r="H66" s="54"/>
      <c r="I66" s="54"/>
      <c r="J66" s="54"/>
      <c r="K66" s="56">
        <v>51000</v>
      </c>
    </row>
    <row r="67" spans="1:11" ht="14.1" customHeight="1" x14ac:dyDescent="0.25">
      <c r="A67" s="57"/>
      <c r="B67" s="58" t="s">
        <v>172</v>
      </c>
      <c r="C67" s="57"/>
      <c r="D67" s="57"/>
      <c r="E67" s="57"/>
      <c r="F67" s="57"/>
      <c r="G67" s="57"/>
      <c r="H67" s="57"/>
      <c r="I67" s="57"/>
      <c r="J67" s="57"/>
      <c r="K67" s="59">
        <v>252000</v>
      </c>
    </row>
    <row r="69" spans="1:11" ht="20.100000000000001" customHeight="1" x14ac:dyDescent="0.25">
      <c r="A69" s="95" t="s">
        <v>177</v>
      </c>
      <c r="B69" s="88"/>
      <c r="C69" s="88"/>
      <c r="D69" s="88"/>
      <c r="E69" s="88"/>
      <c r="F69" s="88"/>
      <c r="G69" s="88"/>
      <c r="H69" s="88"/>
      <c r="I69" s="88"/>
      <c r="J69" s="88"/>
      <c r="K69" s="60">
        <v>1079667</v>
      </c>
    </row>
    <row r="70" spans="1:11" ht="20.100000000000001" customHeight="1" x14ac:dyDescent="0.25">
      <c r="A70" s="90" t="s">
        <v>178</v>
      </c>
      <c r="B70" s="88"/>
      <c r="C70" s="88"/>
      <c r="D70" s="88"/>
      <c r="E70" s="88"/>
      <c r="F70" s="88"/>
      <c r="G70" s="88"/>
      <c r="H70" s="88"/>
      <c r="I70" s="88"/>
      <c r="J70" s="88"/>
      <c r="K70" s="61">
        <v>129560</v>
      </c>
    </row>
    <row r="71" spans="1:11" ht="20.100000000000001" customHeight="1" x14ac:dyDescent="0.25">
      <c r="A71" s="87" t="s">
        <v>179</v>
      </c>
      <c r="B71" s="88"/>
      <c r="C71" s="88"/>
      <c r="D71" s="88"/>
      <c r="E71" s="88"/>
      <c r="F71" s="88"/>
      <c r="G71" s="88"/>
      <c r="H71" s="88"/>
      <c r="I71" s="88"/>
      <c r="J71" s="88"/>
      <c r="K71" s="62">
        <v>1209227</v>
      </c>
    </row>
    <row r="72" spans="1:11" ht="12" customHeight="1" x14ac:dyDescent="0.25">
      <c r="A72" s="89" t="s">
        <v>180</v>
      </c>
      <c r="B72" s="84"/>
      <c r="C72" s="84"/>
      <c r="D72" s="84"/>
      <c r="E72" s="84"/>
      <c r="F72" s="84"/>
      <c r="G72" s="84"/>
      <c r="H72" s="84"/>
      <c r="I72" s="84"/>
      <c r="J72" s="84"/>
      <c r="K72" s="84"/>
    </row>
  </sheetData>
  <autoFilter ref="A3:K54" xr:uid="{00000000-0001-0000-0000-000000000000}"/>
  <mergeCells count="18">
    <mergeCell ref="A4:K4"/>
    <mergeCell ref="A30:K30"/>
    <mergeCell ref="A1:K1"/>
    <mergeCell ref="A37:K37"/>
    <mergeCell ref="A9:K9"/>
    <mergeCell ref="A71:J71"/>
    <mergeCell ref="A72:K72"/>
    <mergeCell ref="A70:J70"/>
    <mergeCell ref="A25:K25"/>
    <mergeCell ref="A41:K41"/>
    <mergeCell ref="A2:K2"/>
    <mergeCell ref="A51:K51"/>
    <mergeCell ref="A69:J69"/>
    <mergeCell ref="A13:K13"/>
    <mergeCell ref="A44:K44"/>
    <mergeCell ref="A53:K53"/>
    <mergeCell ref="A56:K56"/>
    <mergeCell ref="A18:K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zoomScale="130" zoomScaleNormal="130" workbookViewId="0">
      <pane xSplit="2" ySplit="3" topLeftCell="C39" activePane="bottomRight" state="frozen"/>
      <selection pane="topRight"/>
      <selection pane="bottomLeft"/>
      <selection pane="bottomRight" activeCell="B62" sqref="B62"/>
    </sheetView>
  </sheetViews>
  <sheetFormatPr defaultRowHeight="15" x14ac:dyDescent="0.25"/>
  <cols>
    <col min="1" max="1" width="5" customWidth="1"/>
    <col min="2" max="2" width="18" customWidth="1"/>
    <col min="3" max="3" width="9" customWidth="1"/>
    <col min="4" max="4" width="46" customWidth="1"/>
    <col min="5" max="5" width="22" customWidth="1"/>
    <col min="6" max="6" width="10" customWidth="1"/>
    <col min="7" max="8" width="7" customWidth="1"/>
    <col min="9" max="9" width="13" customWidth="1"/>
    <col min="10" max="10" width="14" customWidth="1"/>
    <col min="11" max="11" width="18" customWidth="1"/>
  </cols>
  <sheetData>
    <row r="1" spans="1:11" ht="21.95" customHeight="1" x14ac:dyDescent="0.25">
      <c r="A1" s="83" t="s">
        <v>181</v>
      </c>
      <c r="B1" s="84"/>
      <c r="C1" s="84"/>
      <c r="D1" s="84"/>
      <c r="E1" s="84"/>
      <c r="F1" s="84"/>
      <c r="G1" s="84"/>
      <c r="H1" s="84"/>
      <c r="I1" s="84"/>
      <c r="J1" s="84"/>
      <c r="K1" s="84"/>
    </row>
    <row r="2" spans="1:11" ht="12" customHeight="1" x14ac:dyDescent="0.25">
      <c r="A2" s="93" t="s">
        <v>182</v>
      </c>
      <c r="B2" s="84"/>
      <c r="C2" s="84"/>
      <c r="D2" s="84"/>
      <c r="E2" s="84"/>
      <c r="F2" s="84"/>
      <c r="G2" s="84"/>
      <c r="H2" s="84"/>
      <c r="I2" s="84"/>
      <c r="J2" s="84"/>
      <c r="K2" s="84"/>
    </row>
    <row r="3" spans="1:11" ht="27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183</v>
      </c>
      <c r="J3" s="1" t="s">
        <v>11</v>
      </c>
      <c r="K3" s="1" t="s">
        <v>12</v>
      </c>
    </row>
    <row r="4" spans="1:11" ht="15.95" customHeight="1" x14ac:dyDescent="0.25">
      <c r="A4" s="101" t="s">
        <v>13</v>
      </c>
      <c r="B4" s="84"/>
      <c r="C4" s="84"/>
      <c r="D4" s="84"/>
      <c r="E4" s="84"/>
      <c r="F4" s="84"/>
      <c r="G4" s="84"/>
      <c r="H4" s="84"/>
      <c r="I4" s="84"/>
      <c r="J4" s="84"/>
      <c r="K4" s="84"/>
    </row>
    <row r="5" spans="1:11" ht="14.1" customHeight="1" x14ac:dyDescent="0.25">
      <c r="A5" s="2" t="s">
        <v>14</v>
      </c>
      <c r="B5" s="2" t="s">
        <v>15</v>
      </c>
      <c r="C5" s="2" t="s">
        <v>16</v>
      </c>
      <c r="D5" s="3" t="s">
        <v>17</v>
      </c>
      <c r="E5" s="63" t="s">
        <v>184</v>
      </c>
      <c r="F5" s="2" t="s">
        <v>185</v>
      </c>
      <c r="G5" s="2" t="s">
        <v>20</v>
      </c>
      <c r="H5" s="5">
        <v>1</v>
      </c>
      <c r="I5" s="6">
        <v>850</v>
      </c>
      <c r="J5" s="7">
        <v>279480</v>
      </c>
      <c r="K5" s="8">
        <v>279480</v>
      </c>
    </row>
    <row r="6" spans="1:11" ht="14.1" customHeight="1" x14ac:dyDescent="0.25">
      <c r="A6" s="9" t="s">
        <v>21</v>
      </c>
      <c r="B6" s="9" t="s">
        <v>15</v>
      </c>
      <c r="C6" s="9" t="s">
        <v>22</v>
      </c>
      <c r="D6" s="10" t="s">
        <v>23</v>
      </c>
      <c r="E6" s="64" t="s">
        <v>186</v>
      </c>
      <c r="F6" s="9" t="s">
        <v>185</v>
      </c>
      <c r="G6" s="9" t="s">
        <v>20</v>
      </c>
      <c r="H6" s="12">
        <v>3</v>
      </c>
      <c r="I6" s="13">
        <v>85</v>
      </c>
      <c r="J6" s="14">
        <v>27948</v>
      </c>
      <c r="K6" s="15">
        <v>83844</v>
      </c>
    </row>
    <row r="7" spans="1:11" ht="14.1" customHeight="1" x14ac:dyDescent="0.25">
      <c r="A7" s="2" t="s">
        <v>25</v>
      </c>
      <c r="B7" s="2" t="s">
        <v>15</v>
      </c>
      <c r="C7" s="2" t="s">
        <v>26</v>
      </c>
      <c r="D7" s="3" t="s">
        <v>27</v>
      </c>
      <c r="E7" s="16" t="s">
        <v>28</v>
      </c>
      <c r="F7" s="2" t="s">
        <v>29</v>
      </c>
      <c r="G7" s="2" t="s">
        <v>20</v>
      </c>
      <c r="H7" s="5">
        <v>1</v>
      </c>
      <c r="I7" s="6">
        <v>0</v>
      </c>
      <c r="J7" s="7">
        <v>21000</v>
      </c>
      <c r="K7" s="8">
        <v>21000</v>
      </c>
    </row>
    <row r="8" spans="1:11" ht="14.1" customHeight="1" x14ac:dyDescent="0.25">
      <c r="A8" s="9" t="s">
        <v>30</v>
      </c>
      <c r="B8" s="9" t="s">
        <v>15</v>
      </c>
      <c r="C8" s="9" t="s">
        <v>26</v>
      </c>
      <c r="D8" s="10" t="s">
        <v>31</v>
      </c>
      <c r="E8" s="17" t="s">
        <v>32</v>
      </c>
      <c r="F8" s="9" t="s">
        <v>29</v>
      </c>
      <c r="G8" s="9" t="s">
        <v>20</v>
      </c>
      <c r="H8" s="12">
        <v>2</v>
      </c>
      <c r="I8" s="13">
        <v>0</v>
      </c>
      <c r="J8" s="14">
        <v>13200</v>
      </c>
      <c r="K8" s="15">
        <v>26400</v>
      </c>
    </row>
    <row r="9" spans="1:11" ht="15.95" customHeight="1" x14ac:dyDescent="0.25">
      <c r="A9" s="86" t="s">
        <v>33</v>
      </c>
      <c r="B9" s="84"/>
      <c r="C9" s="84"/>
      <c r="D9" s="84"/>
      <c r="E9" s="84"/>
      <c r="F9" s="84"/>
      <c r="G9" s="84"/>
      <c r="H9" s="84"/>
      <c r="I9" s="84"/>
      <c r="J9" s="84"/>
      <c r="K9" s="84"/>
    </row>
    <row r="10" spans="1:11" ht="14.1" customHeight="1" x14ac:dyDescent="0.25">
      <c r="A10" s="2" t="s">
        <v>34</v>
      </c>
      <c r="B10" s="2" t="s">
        <v>35</v>
      </c>
      <c r="C10" s="2" t="s">
        <v>36</v>
      </c>
      <c r="D10" s="3" t="s">
        <v>37</v>
      </c>
      <c r="E10" s="63" t="s">
        <v>187</v>
      </c>
      <c r="F10" s="2" t="s">
        <v>185</v>
      </c>
      <c r="G10" s="2" t="s">
        <v>20</v>
      </c>
      <c r="H10" s="5">
        <v>1</v>
      </c>
      <c r="I10" s="6">
        <v>88</v>
      </c>
      <c r="J10" s="7">
        <v>28934</v>
      </c>
      <c r="K10" s="8">
        <v>28934</v>
      </c>
    </row>
    <row r="11" spans="1:11" ht="14.1" customHeight="1" x14ac:dyDescent="0.25">
      <c r="A11" s="9" t="s">
        <v>39</v>
      </c>
      <c r="B11" s="9" t="s">
        <v>35</v>
      </c>
      <c r="C11" s="9" t="s">
        <v>36</v>
      </c>
      <c r="D11" s="10" t="s">
        <v>40</v>
      </c>
      <c r="E11" s="64" t="s">
        <v>187</v>
      </c>
      <c r="F11" s="9" t="s">
        <v>185</v>
      </c>
      <c r="G11" s="9" t="s">
        <v>20</v>
      </c>
      <c r="H11" s="12">
        <v>1</v>
      </c>
      <c r="I11" s="13">
        <v>88</v>
      </c>
      <c r="J11" s="14">
        <v>28934</v>
      </c>
      <c r="K11" s="15">
        <v>28934</v>
      </c>
    </row>
    <row r="12" spans="1:11" ht="14.1" customHeight="1" x14ac:dyDescent="0.25">
      <c r="A12" s="2" t="s">
        <v>41</v>
      </c>
      <c r="B12" s="2" t="s">
        <v>35</v>
      </c>
      <c r="C12" s="2" t="s">
        <v>36</v>
      </c>
      <c r="D12" s="3" t="s">
        <v>42</v>
      </c>
      <c r="E12" s="63" t="s">
        <v>187</v>
      </c>
      <c r="F12" s="2" t="s">
        <v>185</v>
      </c>
      <c r="G12" s="2" t="s">
        <v>20</v>
      </c>
      <c r="H12" s="5">
        <v>1</v>
      </c>
      <c r="I12" s="6">
        <v>88</v>
      </c>
      <c r="J12" s="7">
        <v>28934</v>
      </c>
      <c r="K12" s="8">
        <v>28934</v>
      </c>
    </row>
    <row r="13" spans="1:11" ht="15.95" customHeight="1" x14ac:dyDescent="0.25">
      <c r="A13" s="96" t="s">
        <v>43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</row>
    <row r="14" spans="1:11" ht="14.1" customHeight="1" x14ac:dyDescent="0.25">
      <c r="A14" s="9" t="s">
        <v>44</v>
      </c>
      <c r="B14" s="9" t="s">
        <v>45</v>
      </c>
      <c r="C14" s="9" t="s">
        <v>46</v>
      </c>
      <c r="D14" s="10" t="s">
        <v>47</v>
      </c>
      <c r="E14" s="64" t="s">
        <v>188</v>
      </c>
      <c r="F14" s="9" t="s">
        <v>185</v>
      </c>
      <c r="G14" s="9" t="s">
        <v>20</v>
      </c>
      <c r="H14" s="12">
        <v>1</v>
      </c>
      <c r="I14" s="13">
        <v>148</v>
      </c>
      <c r="J14" s="14">
        <v>48662</v>
      </c>
      <c r="K14" s="15">
        <v>48662</v>
      </c>
    </row>
    <row r="15" spans="1:11" ht="14.1" customHeight="1" x14ac:dyDescent="0.25">
      <c r="A15" s="2" t="s">
        <v>49</v>
      </c>
      <c r="B15" s="2" t="s">
        <v>45</v>
      </c>
      <c r="C15" s="2" t="s">
        <v>50</v>
      </c>
      <c r="D15" s="3" t="s">
        <v>51</v>
      </c>
      <c r="E15" s="63" t="s">
        <v>189</v>
      </c>
      <c r="F15" s="2" t="s">
        <v>185</v>
      </c>
      <c r="G15" s="2" t="s">
        <v>20</v>
      </c>
      <c r="H15" s="5">
        <v>2</v>
      </c>
      <c r="I15" s="6">
        <v>78</v>
      </c>
      <c r="J15" s="7">
        <v>25646</v>
      </c>
      <c r="K15" s="8">
        <v>51292</v>
      </c>
    </row>
    <row r="16" spans="1:11" ht="14.1" customHeight="1" x14ac:dyDescent="0.25">
      <c r="A16" s="9" t="s">
        <v>53</v>
      </c>
      <c r="B16" s="9" t="s">
        <v>45</v>
      </c>
      <c r="C16" s="9" t="s">
        <v>50</v>
      </c>
      <c r="D16" s="10" t="s">
        <v>54</v>
      </c>
      <c r="E16" s="64" t="s">
        <v>189</v>
      </c>
      <c r="F16" s="9" t="s">
        <v>185</v>
      </c>
      <c r="G16" s="9" t="s">
        <v>20</v>
      </c>
      <c r="H16" s="12">
        <v>6</v>
      </c>
      <c r="I16" s="13">
        <v>78</v>
      </c>
      <c r="J16" s="14">
        <v>25646</v>
      </c>
      <c r="K16" s="15">
        <v>153876</v>
      </c>
    </row>
    <row r="17" spans="1:11" ht="14.1" customHeight="1" x14ac:dyDescent="0.25">
      <c r="A17" s="2" t="s">
        <v>55</v>
      </c>
      <c r="B17" s="2" t="s">
        <v>45</v>
      </c>
      <c r="C17" s="2" t="s">
        <v>56</v>
      </c>
      <c r="D17" s="3" t="s">
        <v>57</v>
      </c>
      <c r="E17" s="63" t="s">
        <v>190</v>
      </c>
      <c r="F17" s="2" t="s">
        <v>185</v>
      </c>
      <c r="G17" s="2" t="s">
        <v>20</v>
      </c>
      <c r="H17" s="5">
        <v>1</v>
      </c>
      <c r="I17" s="6">
        <v>70</v>
      </c>
      <c r="J17" s="7">
        <v>23016</v>
      </c>
      <c r="K17" s="8">
        <v>23016</v>
      </c>
    </row>
    <row r="18" spans="1:11" ht="15.95" customHeight="1" x14ac:dyDescent="0.25">
      <c r="A18" s="100" t="s">
        <v>59</v>
      </c>
      <c r="B18" s="84"/>
      <c r="C18" s="84"/>
      <c r="D18" s="84"/>
      <c r="E18" s="84"/>
      <c r="F18" s="84"/>
      <c r="G18" s="84"/>
      <c r="H18" s="84"/>
      <c r="I18" s="84"/>
      <c r="J18" s="84"/>
      <c r="K18" s="84"/>
    </row>
    <row r="19" spans="1:11" ht="14.1" customHeight="1" x14ac:dyDescent="0.25">
      <c r="A19" s="9" t="s">
        <v>60</v>
      </c>
      <c r="B19" s="9" t="s">
        <v>61</v>
      </c>
      <c r="C19" s="9" t="s">
        <v>62</v>
      </c>
      <c r="D19" s="10" t="s">
        <v>63</v>
      </c>
      <c r="E19" s="17" t="s">
        <v>64</v>
      </c>
      <c r="F19" s="9" t="s">
        <v>29</v>
      </c>
      <c r="G19" s="9" t="s">
        <v>20</v>
      </c>
      <c r="H19" s="12">
        <v>2</v>
      </c>
      <c r="I19" s="13">
        <v>0</v>
      </c>
      <c r="J19" s="14">
        <v>11100</v>
      </c>
      <c r="K19" s="15">
        <v>22200</v>
      </c>
    </row>
    <row r="20" spans="1:11" ht="14.1" customHeight="1" x14ac:dyDescent="0.25">
      <c r="A20" s="2" t="s">
        <v>65</v>
      </c>
      <c r="B20" s="2" t="s">
        <v>61</v>
      </c>
      <c r="C20" s="2" t="s">
        <v>66</v>
      </c>
      <c r="D20" s="3" t="s">
        <v>67</v>
      </c>
      <c r="E20" s="16" t="s">
        <v>68</v>
      </c>
      <c r="F20" s="2" t="s">
        <v>29</v>
      </c>
      <c r="G20" s="2" t="s">
        <v>20</v>
      </c>
      <c r="H20" s="5">
        <v>1</v>
      </c>
      <c r="I20" s="6">
        <v>0</v>
      </c>
      <c r="J20" s="7">
        <v>16800</v>
      </c>
      <c r="K20" s="8">
        <v>16800</v>
      </c>
    </row>
    <row r="21" spans="1:11" ht="14.1" customHeight="1" x14ac:dyDescent="0.25">
      <c r="A21" s="9" t="s">
        <v>69</v>
      </c>
      <c r="B21" s="9" t="s">
        <v>61</v>
      </c>
      <c r="C21" s="9" t="s">
        <v>70</v>
      </c>
      <c r="D21" s="10" t="s">
        <v>71</v>
      </c>
      <c r="E21" s="17" t="s">
        <v>72</v>
      </c>
      <c r="F21" s="9" t="s">
        <v>29</v>
      </c>
      <c r="G21" s="9" t="s">
        <v>20</v>
      </c>
      <c r="H21" s="12">
        <v>1</v>
      </c>
      <c r="I21" s="13">
        <v>0</v>
      </c>
      <c r="J21" s="14">
        <v>5100</v>
      </c>
      <c r="K21" s="15">
        <v>5100</v>
      </c>
    </row>
    <row r="22" spans="1:11" ht="14.1" customHeight="1" x14ac:dyDescent="0.25">
      <c r="A22" s="2" t="s">
        <v>73</v>
      </c>
      <c r="B22" s="2" t="s">
        <v>61</v>
      </c>
      <c r="C22" s="2" t="s">
        <v>74</v>
      </c>
      <c r="D22" s="3" t="s">
        <v>75</v>
      </c>
      <c r="E22" s="16" t="s">
        <v>76</v>
      </c>
      <c r="F22" s="2" t="s">
        <v>29</v>
      </c>
      <c r="G22" s="2" t="s">
        <v>20</v>
      </c>
      <c r="H22" s="5">
        <v>2</v>
      </c>
      <c r="I22" s="6">
        <v>0</v>
      </c>
      <c r="J22" s="7">
        <v>2100</v>
      </c>
      <c r="K22" s="8">
        <v>4200</v>
      </c>
    </row>
    <row r="23" spans="1:11" ht="14.1" customHeight="1" x14ac:dyDescent="0.25">
      <c r="A23" s="9" t="s">
        <v>77</v>
      </c>
      <c r="B23" s="9" t="s">
        <v>61</v>
      </c>
      <c r="C23" s="9" t="s">
        <v>78</v>
      </c>
      <c r="D23" s="10" t="s">
        <v>79</v>
      </c>
      <c r="E23" s="17" t="s">
        <v>80</v>
      </c>
      <c r="F23" s="9" t="s">
        <v>29</v>
      </c>
      <c r="G23" s="9" t="s">
        <v>20</v>
      </c>
      <c r="H23" s="12">
        <v>1</v>
      </c>
      <c r="I23" s="13">
        <v>0</v>
      </c>
      <c r="J23" s="14">
        <v>7500</v>
      </c>
      <c r="K23" s="15">
        <v>7500</v>
      </c>
    </row>
    <row r="24" spans="1:11" ht="14.1" customHeight="1" x14ac:dyDescent="0.25">
      <c r="A24" s="2" t="s">
        <v>81</v>
      </c>
      <c r="B24" s="2" t="s">
        <v>61</v>
      </c>
      <c r="C24" s="2" t="s">
        <v>82</v>
      </c>
      <c r="D24" s="3" t="s">
        <v>83</v>
      </c>
      <c r="E24" s="16" t="s">
        <v>191</v>
      </c>
      <c r="F24" s="2" t="s">
        <v>85</v>
      </c>
      <c r="G24" s="2" t="s">
        <v>20</v>
      </c>
      <c r="H24" s="5">
        <v>1</v>
      </c>
      <c r="I24" s="6">
        <v>38</v>
      </c>
      <c r="J24" s="7">
        <v>12494</v>
      </c>
      <c r="K24" s="8">
        <v>12494</v>
      </c>
    </row>
    <row r="25" spans="1:11" ht="15.95" customHeight="1" x14ac:dyDescent="0.25">
      <c r="A25" s="91" t="s">
        <v>86</v>
      </c>
      <c r="B25" s="84"/>
      <c r="C25" s="84"/>
      <c r="D25" s="84"/>
      <c r="E25" s="84"/>
      <c r="F25" s="84"/>
      <c r="G25" s="84"/>
      <c r="H25" s="84"/>
      <c r="I25" s="84"/>
      <c r="J25" s="84"/>
      <c r="K25" s="84"/>
    </row>
    <row r="26" spans="1:11" ht="14.1" customHeight="1" x14ac:dyDescent="0.25">
      <c r="A26" s="9" t="s">
        <v>87</v>
      </c>
      <c r="B26" s="9" t="s">
        <v>88</v>
      </c>
      <c r="C26" s="9" t="s">
        <v>89</v>
      </c>
      <c r="D26" s="10" t="s">
        <v>90</v>
      </c>
      <c r="E26" s="64" t="s">
        <v>192</v>
      </c>
      <c r="F26" s="9" t="s">
        <v>185</v>
      </c>
      <c r="G26" s="9" t="s">
        <v>20</v>
      </c>
      <c r="H26" s="12">
        <v>5</v>
      </c>
      <c r="I26" s="13">
        <v>11.5</v>
      </c>
      <c r="J26" s="14">
        <v>3781</v>
      </c>
      <c r="K26" s="15">
        <v>18905</v>
      </c>
    </row>
    <row r="27" spans="1:11" ht="14.1" customHeight="1" x14ac:dyDescent="0.25">
      <c r="A27" s="2" t="s">
        <v>92</v>
      </c>
      <c r="B27" s="2" t="s">
        <v>88</v>
      </c>
      <c r="C27" s="2" t="s">
        <v>89</v>
      </c>
      <c r="D27" s="3" t="s">
        <v>93</v>
      </c>
      <c r="E27" s="63" t="s">
        <v>193</v>
      </c>
      <c r="F27" s="2" t="s">
        <v>185</v>
      </c>
      <c r="G27" s="2" t="s">
        <v>20</v>
      </c>
      <c r="H27" s="5">
        <v>18</v>
      </c>
      <c r="I27" s="6">
        <v>12.2</v>
      </c>
      <c r="J27" s="7">
        <v>4011</v>
      </c>
      <c r="K27" s="8">
        <v>72198</v>
      </c>
    </row>
    <row r="28" spans="1:11" ht="14.1" customHeight="1" x14ac:dyDescent="0.25">
      <c r="A28" s="9" t="s">
        <v>95</v>
      </c>
      <c r="B28" s="9" t="s">
        <v>88</v>
      </c>
      <c r="C28" s="9" t="s">
        <v>89</v>
      </c>
      <c r="D28" s="10" t="s">
        <v>96</v>
      </c>
      <c r="E28" s="64" t="s">
        <v>194</v>
      </c>
      <c r="F28" s="9" t="s">
        <v>185</v>
      </c>
      <c r="G28" s="9" t="s">
        <v>20</v>
      </c>
      <c r="H28" s="12">
        <v>22</v>
      </c>
      <c r="I28" s="13">
        <v>12.9</v>
      </c>
      <c r="J28" s="14">
        <v>4242</v>
      </c>
      <c r="K28" s="15">
        <v>93324</v>
      </c>
    </row>
    <row r="29" spans="1:11" ht="14.1" customHeight="1" x14ac:dyDescent="0.25">
      <c r="A29" s="2" t="s">
        <v>98</v>
      </c>
      <c r="B29" s="2" t="s">
        <v>88</v>
      </c>
      <c r="C29" s="2" t="s">
        <v>89</v>
      </c>
      <c r="D29" s="3" t="s">
        <v>99</v>
      </c>
      <c r="E29" s="63" t="s">
        <v>195</v>
      </c>
      <c r="F29" s="2" t="s">
        <v>185</v>
      </c>
      <c r="G29" s="2" t="s">
        <v>20</v>
      </c>
      <c r="H29" s="5">
        <v>20</v>
      </c>
      <c r="I29" s="6">
        <v>12.9</v>
      </c>
      <c r="J29" s="7">
        <v>4242</v>
      </c>
      <c r="K29" s="8">
        <v>84840</v>
      </c>
    </row>
    <row r="30" spans="1:11" ht="15.95" customHeight="1" x14ac:dyDescent="0.25">
      <c r="A30" s="102" t="s">
        <v>101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</row>
    <row r="31" spans="1:11" ht="14.1" customHeight="1" x14ac:dyDescent="0.25">
      <c r="A31" s="9" t="s">
        <v>102</v>
      </c>
      <c r="B31" s="9" t="s">
        <v>103</v>
      </c>
      <c r="C31" s="9" t="s">
        <v>104</v>
      </c>
      <c r="D31" s="10" t="s">
        <v>105</v>
      </c>
      <c r="E31" s="64" t="s">
        <v>196</v>
      </c>
      <c r="F31" s="9" t="s">
        <v>185</v>
      </c>
      <c r="G31" s="9" t="s">
        <v>20</v>
      </c>
      <c r="H31" s="12">
        <v>14</v>
      </c>
      <c r="I31" s="13">
        <v>62</v>
      </c>
      <c r="J31" s="14">
        <v>20386</v>
      </c>
      <c r="K31" s="15">
        <v>285404</v>
      </c>
    </row>
    <row r="32" spans="1:11" ht="14.1" customHeight="1" x14ac:dyDescent="0.25">
      <c r="A32" s="2" t="s">
        <v>107</v>
      </c>
      <c r="B32" s="2" t="s">
        <v>103</v>
      </c>
      <c r="C32" s="2" t="s">
        <v>104</v>
      </c>
      <c r="D32" s="3" t="s">
        <v>108</v>
      </c>
      <c r="E32" s="63" t="s">
        <v>196</v>
      </c>
      <c r="F32" s="2" t="s">
        <v>185</v>
      </c>
      <c r="G32" s="2" t="s">
        <v>20</v>
      </c>
      <c r="H32" s="5">
        <v>8</v>
      </c>
      <c r="I32" s="6">
        <v>62</v>
      </c>
      <c r="J32" s="7">
        <v>20386</v>
      </c>
      <c r="K32" s="8">
        <v>163088</v>
      </c>
    </row>
    <row r="33" spans="1:11" ht="14.1" customHeight="1" x14ac:dyDescent="0.25">
      <c r="A33" s="9" t="s">
        <v>109</v>
      </c>
      <c r="B33" s="9" t="s">
        <v>103</v>
      </c>
      <c r="C33" s="9" t="s">
        <v>104</v>
      </c>
      <c r="D33" s="10" t="s">
        <v>110</v>
      </c>
      <c r="E33" s="64" t="s">
        <v>197</v>
      </c>
      <c r="F33" s="9" t="s">
        <v>185</v>
      </c>
      <c r="G33" s="9" t="s">
        <v>20</v>
      </c>
      <c r="H33" s="12">
        <v>5</v>
      </c>
      <c r="I33" s="13">
        <v>65</v>
      </c>
      <c r="J33" s="14">
        <v>21372</v>
      </c>
      <c r="K33" s="15">
        <v>106860</v>
      </c>
    </row>
    <row r="34" spans="1:11" ht="14.1" customHeight="1" x14ac:dyDescent="0.25">
      <c r="A34" s="2" t="s">
        <v>112</v>
      </c>
      <c r="B34" s="2" t="s">
        <v>103</v>
      </c>
      <c r="C34" s="2" t="s">
        <v>113</v>
      </c>
      <c r="D34" s="3" t="s">
        <v>114</v>
      </c>
      <c r="E34" s="63" t="s">
        <v>198</v>
      </c>
      <c r="F34" s="2" t="s">
        <v>185</v>
      </c>
      <c r="G34" s="2" t="s">
        <v>20</v>
      </c>
      <c r="H34" s="5">
        <v>3</v>
      </c>
      <c r="I34" s="6">
        <v>28.5</v>
      </c>
      <c r="J34" s="7">
        <v>9371</v>
      </c>
      <c r="K34" s="8">
        <v>28113</v>
      </c>
    </row>
    <row r="35" spans="1:11" ht="14.1" customHeight="1" x14ac:dyDescent="0.25">
      <c r="A35" s="9" t="s">
        <v>116</v>
      </c>
      <c r="B35" s="9" t="s">
        <v>103</v>
      </c>
      <c r="C35" s="9" t="s">
        <v>113</v>
      </c>
      <c r="D35" s="10" t="s">
        <v>117</v>
      </c>
      <c r="E35" s="64" t="s">
        <v>199</v>
      </c>
      <c r="F35" s="9" t="s">
        <v>185</v>
      </c>
      <c r="G35" s="9" t="s">
        <v>20</v>
      </c>
      <c r="H35" s="12">
        <v>2</v>
      </c>
      <c r="I35" s="13">
        <v>32</v>
      </c>
      <c r="J35" s="14">
        <v>10522</v>
      </c>
      <c r="K35" s="15">
        <v>21044</v>
      </c>
    </row>
    <row r="36" spans="1:11" ht="14.1" customHeight="1" x14ac:dyDescent="0.25">
      <c r="A36" s="18" t="s">
        <v>119</v>
      </c>
      <c r="B36" s="18" t="s">
        <v>103</v>
      </c>
      <c r="C36" s="18" t="s">
        <v>120</v>
      </c>
      <c r="D36" s="19" t="s">
        <v>121</v>
      </c>
      <c r="E36" s="20" t="s">
        <v>84</v>
      </c>
      <c r="F36" s="18" t="s">
        <v>85</v>
      </c>
      <c r="G36" s="18" t="s">
        <v>20</v>
      </c>
      <c r="H36" s="21">
        <v>1</v>
      </c>
      <c r="I36" s="22">
        <v>0</v>
      </c>
      <c r="J36" s="23" t="s">
        <v>122</v>
      </c>
      <c r="K36" s="24" t="s">
        <v>122</v>
      </c>
    </row>
    <row r="37" spans="1:11" ht="15.95" customHeight="1" x14ac:dyDescent="0.25">
      <c r="A37" s="85" t="s">
        <v>123</v>
      </c>
      <c r="B37" s="84"/>
      <c r="C37" s="84"/>
      <c r="D37" s="84"/>
      <c r="E37" s="84"/>
      <c r="F37" s="84"/>
      <c r="G37" s="84"/>
      <c r="H37" s="84"/>
      <c r="I37" s="84"/>
      <c r="J37" s="84"/>
      <c r="K37" s="84"/>
    </row>
    <row r="38" spans="1:11" ht="14.1" customHeight="1" x14ac:dyDescent="0.25">
      <c r="A38" s="9" t="s">
        <v>124</v>
      </c>
      <c r="B38" s="9" t="s">
        <v>125</v>
      </c>
      <c r="C38" s="9" t="s">
        <v>89</v>
      </c>
      <c r="D38" s="10" t="s">
        <v>126</v>
      </c>
      <c r="E38" s="64" t="s">
        <v>194</v>
      </c>
      <c r="F38" s="9" t="s">
        <v>185</v>
      </c>
      <c r="G38" s="9" t="s">
        <v>20</v>
      </c>
      <c r="H38" s="12">
        <v>8</v>
      </c>
      <c r="I38" s="13">
        <v>12.9</v>
      </c>
      <c r="J38" s="14">
        <v>4242</v>
      </c>
      <c r="K38" s="15">
        <v>33936</v>
      </c>
    </row>
    <row r="39" spans="1:11" ht="14.1" customHeight="1" x14ac:dyDescent="0.25">
      <c r="A39" s="2" t="s">
        <v>127</v>
      </c>
      <c r="B39" s="2" t="s">
        <v>125</v>
      </c>
      <c r="C39" s="2" t="s">
        <v>89</v>
      </c>
      <c r="D39" s="3" t="s">
        <v>128</v>
      </c>
      <c r="E39" s="63" t="s">
        <v>193</v>
      </c>
      <c r="F39" s="2" t="s">
        <v>185</v>
      </c>
      <c r="G39" s="2" t="s">
        <v>20</v>
      </c>
      <c r="H39" s="5">
        <v>6</v>
      </c>
      <c r="I39" s="6">
        <v>12.2</v>
      </c>
      <c r="J39" s="7">
        <v>4011</v>
      </c>
      <c r="K39" s="8">
        <v>24066</v>
      </c>
    </row>
    <row r="40" spans="1:11" ht="14.1" customHeight="1" x14ac:dyDescent="0.25">
      <c r="A40" s="9" t="s">
        <v>129</v>
      </c>
      <c r="B40" s="9" t="s">
        <v>125</v>
      </c>
      <c r="C40" s="9" t="s">
        <v>89</v>
      </c>
      <c r="D40" s="10" t="s">
        <v>130</v>
      </c>
      <c r="E40" s="64" t="s">
        <v>195</v>
      </c>
      <c r="F40" s="9" t="s">
        <v>185</v>
      </c>
      <c r="G40" s="9" t="s">
        <v>20</v>
      </c>
      <c r="H40" s="12">
        <v>8</v>
      </c>
      <c r="I40" s="13">
        <v>12.9</v>
      </c>
      <c r="J40" s="14">
        <v>4242</v>
      </c>
      <c r="K40" s="15">
        <v>33936</v>
      </c>
    </row>
    <row r="41" spans="1:11" ht="15.95" customHeight="1" x14ac:dyDescent="0.25">
      <c r="A41" s="92" t="s">
        <v>131</v>
      </c>
      <c r="B41" s="84"/>
      <c r="C41" s="84"/>
      <c r="D41" s="84"/>
      <c r="E41" s="84"/>
      <c r="F41" s="84"/>
      <c r="G41" s="84"/>
      <c r="H41" s="84"/>
      <c r="I41" s="84"/>
      <c r="J41" s="84"/>
      <c r="K41" s="84"/>
    </row>
    <row r="42" spans="1:11" ht="14.1" customHeight="1" x14ac:dyDescent="0.25">
      <c r="A42" s="2" t="s">
        <v>132</v>
      </c>
      <c r="B42" s="2" t="s">
        <v>133</v>
      </c>
      <c r="C42" s="2" t="s">
        <v>89</v>
      </c>
      <c r="D42" s="3" t="s">
        <v>134</v>
      </c>
      <c r="E42" s="63" t="s">
        <v>193</v>
      </c>
      <c r="F42" s="2" t="s">
        <v>185</v>
      </c>
      <c r="G42" s="2" t="s">
        <v>20</v>
      </c>
      <c r="H42" s="5">
        <v>8</v>
      </c>
      <c r="I42" s="6">
        <v>12.2</v>
      </c>
      <c r="J42" s="7">
        <v>4011</v>
      </c>
      <c r="K42" s="8">
        <v>32088</v>
      </c>
    </row>
    <row r="43" spans="1:11" ht="14.1" customHeight="1" x14ac:dyDescent="0.25">
      <c r="A43" s="9" t="s">
        <v>135</v>
      </c>
      <c r="B43" s="9" t="s">
        <v>133</v>
      </c>
      <c r="C43" s="9" t="s">
        <v>89</v>
      </c>
      <c r="D43" s="10" t="s">
        <v>136</v>
      </c>
      <c r="E43" s="64" t="s">
        <v>194</v>
      </c>
      <c r="F43" s="9" t="s">
        <v>185</v>
      </c>
      <c r="G43" s="9" t="s">
        <v>20</v>
      </c>
      <c r="H43" s="12">
        <v>8</v>
      </c>
      <c r="I43" s="13">
        <v>12.9</v>
      </c>
      <c r="J43" s="14">
        <v>4242</v>
      </c>
      <c r="K43" s="15">
        <v>33936</v>
      </c>
    </row>
    <row r="44" spans="1:11" ht="15.95" customHeight="1" x14ac:dyDescent="0.25">
      <c r="A44" s="97" t="s">
        <v>137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</row>
    <row r="45" spans="1:11" ht="14.1" customHeight="1" x14ac:dyDescent="0.25">
      <c r="A45" s="2" t="s">
        <v>138</v>
      </c>
      <c r="B45" s="2" t="s">
        <v>139</v>
      </c>
      <c r="C45" s="2" t="s">
        <v>140</v>
      </c>
      <c r="D45" s="3" t="s">
        <v>141</v>
      </c>
      <c r="E45" s="16" t="s">
        <v>200</v>
      </c>
      <c r="F45" s="2" t="s">
        <v>85</v>
      </c>
      <c r="G45" s="2" t="s">
        <v>20</v>
      </c>
      <c r="H45" s="5">
        <v>150</v>
      </c>
      <c r="I45" s="6">
        <v>1.2</v>
      </c>
      <c r="J45" s="7">
        <v>395</v>
      </c>
      <c r="K45" s="8">
        <v>59250</v>
      </c>
    </row>
    <row r="46" spans="1:11" ht="14.1" customHeight="1" x14ac:dyDescent="0.25">
      <c r="A46" s="9" t="s">
        <v>143</v>
      </c>
      <c r="B46" s="9" t="s">
        <v>139</v>
      </c>
      <c r="C46" s="9" t="s">
        <v>144</v>
      </c>
      <c r="D46" s="10" t="s">
        <v>145</v>
      </c>
      <c r="E46" s="17" t="s">
        <v>201</v>
      </c>
      <c r="F46" s="9" t="s">
        <v>85</v>
      </c>
      <c r="G46" s="9" t="s">
        <v>20</v>
      </c>
      <c r="H46" s="12">
        <v>30</v>
      </c>
      <c r="I46" s="13">
        <v>1.4</v>
      </c>
      <c r="J46" s="14">
        <v>460</v>
      </c>
      <c r="K46" s="15">
        <v>13800</v>
      </c>
    </row>
    <row r="47" spans="1:11" ht="14.1" customHeight="1" x14ac:dyDescent="0.25">
      <c r="A47" s="2" t="s">
        <v>147</v>
      </c>
      <c r="B47" s="2" t="s">
        <v>139</v>
      </c>
      <c r="C47" s="2" t="s">
        <v>148</v>
      </c>
      <c r="D47" s="3" t="s">
        <v>149</v>
      </c>
      <c r="E47" s="16" t="s">
        <v>150</v>
      </c>
      <c r="F47" s="2" t="s">
        <v>85</v>
      </c>
      <c r="G47" s="2" t="s">
        <v>20</v>
      </c>
      <c r="H47" s="5">
        <v>12</v>
      </c>
      <c r="I47" s="6">
        <v>3.5</v>
      </c>
      <c r="J47" s="7">
        <v>1151</v>
      </c>
      <c r="K47" s="8">
        <v>13812</v>
      </c>
    </row>
    <row r="48" spans="1:11" ht="14.1" customHeight="1" x14ac:dyDescent="0.25">
      <c r="A48" s="9" t="s">
        <v>151</v>
      </c>
      <c r="B48" s="9" t="s">
        <v>139</v>
      </c>
      <c r="C48" s="9" t="s">
        <v>152</v>
      </c>
      <c r="D48" s="10" t="s">
        <v>153</v>
      </c>
      <c r="E48" s="17" t="s">
        <v>154</v>
      </c>
      <c r="F48" s="9" t="s">
        <v>85</v>
      </c>
      <c r="G48" s="9" t="s">
        <v>155</v>
      </c>
      <c r="H48" s="12">
        <v>50</v>
      </c>
      <c r="I48" s="13">
        <v>3</v>
      </c>
      <c r="J48" s="14">
        <v>986</v>
      </c>
      <c r="K48" s="15">
        <v>49300</v>
      </c>
    </row>
    <row r="49" spans="1:11" ht="14.1" customHeight="1" x14ac:dyDescent="0.25">
      <c r="A49" s="2" t="s">
        <v>156</v>
      </c>
      <c r="B49" s="2" t="s">
        <v>139</v>
      </c>
      <c r="C49" s="2" t="s">
        <v>152</v>
      </c>
      <c r="D49" s="3" t="s">
        <v>157</v>
      </c>
      <c r="E49" s="16" t="s">
        <v>158</v>
      </c>
      <c r="F49" s="2" t="s">
        <v>85</v>
      </c>
      <c r="G49" s="2" t="s">
        <v>155</v>
      </c>
      <c r="H49" s="5">
        <v>30</v>
      </c>
      <c r="I49" s="6">
        <v>4.5</v>
      </c>
      <c r="J49" s="7">
        <v>1480</v>
      </c>
      <c r="K49" s="8">
        <v>44400</v>
      </c>
    </row>
    <row r="50" spans="1:11" ht="14.1" customHeight="1" x14ac:dyDescent="0.25">
      <c r="A50" s="18" t="s">
        <v>159</v>
      </c>
      <c r="B50" s="18" t="s">
        <v>139</v>
      </c>
      <c r="C50" s="18" t="s">
        <v>160</v>
      </c>
      <c r="D50" s="19" t="s">
        <v>161</v>
      </c>
      <c r="E50" s="20" t="s">
        <v>162</v>
      </c>
      <c r="F50" s="18" t="s">
        <v>85</v>
      </c>
      <c r="G50" s="18" t="s">
        <v>163</v>
      </c>
      <c r="H50" s="21">
        <v>1</v>
      </c>
      <c r="I50" s="22">
        <v>0</v>
      </c>
      <c r="J50" s="25">
        <v>33000</v>
      </c>
      <c r="K50" s="26">
        <v>33000</v>
      </c>
    </row>
    <row r="51" spans="1:11" ht="15.95" customHeight="1" x14ac:dyDescent="0.25">
      <c r="A51" s="94" t="s">
        <v>164</v>
      </c>
      <c r="B51" s="84"/>
      <c r="C51" s="84"/>
      <c r="D51" s="84"/>
      <c r="E51" s="84"/>
      <c r="F51" s="84"/>
      <c r="G51" s="84"/>
      <c r="H51" s="84"/>
      <c r="I51" s="84"/>
      <c r="J51" s="84"/>
      <c r="K51" s="84"/>
    </row>
    <row r="52" spans="1:11" ht="14.1" customHeight="1" x14ac:dyDescent="0.25">
      <c r="A52" s="18" t="s">
        <v>165</v>
      </c>
      <c r="B52" s="18" t="s">
        <v>166</v>
      </c>
      <c r="C52" s="18" t="s">
        <v>167</v>
      </c>
      <c r="D52" s="19" t="s">
        <v>168</v>
      </c>
      <c r="E52" s="20" t="s">
        <v>169</v>
      </c>
      <c r="F52" s="18" t="s">
        <v>85</v>
      </c>
      <c r="G52" s="18" t="s">
        <v>20</v>
      </c>
      <c r="H52" s="21">
        <v>1</v>
      </c>
      <c r="I52" s="22">
        <v>0</v>
      </c>
      <c r="J52" s="25">
        <v>51000</v>
      </c>
      <c r="K52" s="26">
        <v>51000</v>
      </c>
    </row>
    <row r="53" spans="1:11" ht="15.95" customHeight="1" x14ac:dyDescent="0.25">
      <c r="A53" s="98" t="s">
        <v>170</v>
      </c>
      <c r="B53" s="84"/>
      <c r="C53" s="84"/>
      <c r="D53" s="84"/>
      <c r="E53" s="84"/>
      <c r="F53" s="84"/>
      <c r="G53" s="84"/>
      <c r="H53" s="84"/>
      <c r="I53" s="84"/>
      <c r="J53" s="84"/>
      <c r="K53" s="84"/>
    </row>
    <row r="54" spans="1:11" ht="14.1" customHeight="1" x14ac:dyDescent="0.25">
      <c r="A54" s="9" t="s">
        <v>171</v>
      </c>
      <c r="B54" s="9" t="s">
        <v>172</v>
      </c>
      <c r="C54" s="9" t="s">
        <v>173</v>
      </c>
      <c r="D54" s="10" t="s">
        <v>174</v>
      </c>
      <c r="E54" s="17" t="s">
        <v>84</v>
      </c>
      <c r="F54" s="9" t="s">
        <v>85</v>
      </c>
      <c r="G54" s="9" t="s">
        <v>175</v>
      </c>
      <c r="H54" s="12">
        <v>120</v>
      </c>
      <c r="I54" s="13">
        <v>0</v>
      </c>
      <c r="J54" s="14">
        <v>2100</v>
      </c>
      <c r="K54" s="15">
        <v>252000</v>
      </c>
    </row>
    <row r="56" spans="1:11" ht="14.1" customHeight="1" x14ac:dyDescent="0.25">
      <c r="A56" s="99" t="s">
        <v>176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</row>
    <row r="57" spans="1:11" ht="14.1" customHeight="1" x14ac:dyDescent="0.25">
      <c r="A57" s="27"/>
      <c r="B57" s="28" t="s">
        <v>15</v>
      </c>
      <c r="C57" s="27"/>
      <c r="D57" s="27"/>
      <c r="E57" s="27"/>
      <c r="F57" s="27"/>
      <c r="G57" s="27"/>
      <c r="H57" s="27"/>
      <c r="I57" s="27"/>
      <c r="J57" s="27"/>
      <c r="K57" s="29">
        <v>410724</v>
      </c>
    </row>
    <row r="58" spans="1:11" ht="14.1" customHeight="1" x14ac:dyDescent="0.25">
      <c r="A58" s="30"/>
      <c r="B58" s="31" t="s">
        <v>35</v>
      </c>
      <c r="C58" s="30"/>
      <c r="D58" s="30"/>
      <c r="E58" s="30"/>
      <c r="F58" s="30"/>
      <c r="G58" s="30"/>
      <c r="H58" s="30"/>
      <c r="I58" s="30"/>
      <c r="J58" s="30"/>
      <c r="K58" s="32">
        <v>86802</v>
      </c>
    </row>
    <row r="59" spans="1:11" ht="14.1" customHeight="1" x14ac:dyDescent="0.25">
      <c r="A59" s="33"/>
      <c r="B59" s="34" t="s">
        <v>45</v>
      </c>
      <c r="C59" s="33"/>
      <c r="D59" s="33"/>
      <c r="E59" s="33"/>
      <c r="F59" s="33"/>
      <c r="G59" s="33"/>
      <c r="H59" s="33"/>
      <c r="I59" s="33"/>
      <c r="J59" s="33"/>
      <c r="K59" s="35">
        <v>276846</v>
      </c>
    </row>
    <row r="60" spans="1:11" ht="14.1" customHeight="1" x14ac:dyDescent="0.25">
      <c r="A60" s="36"/>
      <c r="B60" s="37" t="s">
        <v>61</v>
      </c>
      <c r="C60" s="36"/>
      <c r="D60" s="36"/>
      <c r="E60" s="36"/>
      <c r="F60" s="36"/>
      <c r="G60" s="36"/>
      <c r="H60" s="36"/>
      <c r="I60" s="36"/>
      <c r="J60" s="36"/>
      <c r="K60" s="38">
        <v>68294</v>
      </c>
    </row>
    <row r="61" spans="1:11" ht="14.1" customHeight="1" x14ac:dyDescent="0.25">
      <c r="A61" s="39"/>
      <c r="B61" s="40" t="s">
        <v>88</v>
      </c>
      <c r="C61" s="39"/>
      <c r="D61" s="39"/>
      <c r="E61" s="39"/>
      <c r="F61" s="39"/>
      <c r="G61" s="39"/>
      <c r="H61" s="39"/>
      <c r="I61" s="39"/>
      <c r="J61" s="39"/>
      <c r="K61" s="41">
        <v>269267</v>
      </c>
    </row>
    <row r="62" spans="1:11" ht="14.1" customHeight="1" x14ac:dyDescent="0.25">
      <c r="A62" s="42"/>
      <c r="B62" s="43" t="s">
        <v>103</v>
      </c>
      <c r="C62" s="42"/>
      <c r="D62" s="42"/>
      <c r="E62" s="42"/>
      <c r="F62" s="42"/>
      <c r="G62" s="42"/>
      <c r="H62" s="42"/>
      <c r="I62" s="42"/>
      <c r="J62" s="42"/>
      <c r="K62" s="44">
        <v>604509</v>
      </c>
    </row>
    <row r="63" spans="1:11" ht="14.1" customHeight="1" x14ac:dyDescent="0.25">
      <c r="A63" s="45"/>
      <c r="B63" s="46" t="s">
        <v>125</v>
      </c>
      <c r="C63" s="45"/>
      <c r="D63" s="45"/>
      <c r="E63" s="45"/>
      <c r="F63" s="45"/>
      <c r="G63" s="45"/>
      <c r="H63" s="45"/>
      <c r="I63" s="45"/>
      <c r="J63" s="45"/>
      <c r="K63" s="47">
        <v>91938</v>
      </c>
    </row>
    <row r="64" spans="1:11" ht="14.1" customHeight="1" x14ac:dyDescent="0.25">
      <c r="A64" s="48"/>
      <c r="B64" s="49" t="s">
        <v>133</v>
      </c>
      <c r="C64" s="48"/>
      <c r="D64" s="48"/>
      <c r="E64" s="48"/>
      <c r="F64" s="48"/>
      <c r="G64" s="48"/>
      <c r="H64" s="48"/>
      <c r="I64" s="48"/>
      <c r="J64" s="48"/>
      <c r="K64" s="50">
        <v>66024</v>
      </c>
    </row>
    <row r="65" spans="1:11" ht="14.1" customHeight="1" x14ac:dyDescent="0.25">
      <c r="A65" s="51"/>
      <c r="B65" s="52" t="s">
        <v>139</v>
      </c>
      <c r="C65" s="51"/>
      <c r="D65" s="51"/>
      <c r="E65" s="51"/>
      <c r="F65" s="51"/>
      <c r="G65" s="51"/>
      <c r="H65" s="51"/>
      <c r="I65" s="51"/>
      <c r="J65" s="51"/>
      <c r="K65" s="53">
        <v>213562</v>
      </c>
    </row>
    <row r="66" spans="1:11" ht="14.1" customHeight="1" x14ac:dyDescent="0.25">
      <c r="A66" s="54"/>
      <c r="B66" s="55" t="s">
        <v>166</v>
      </c>
      <c r="C66" s="54"/>
      <c r="D66" s="54"/>
      <c r="E66" s="54"/>
      <c r="F66" s="54"/>
      <c r="G66" s="54"/>
      <c r="H66" s="54"/>
      <c r="I66" s="54"/>
      <c r="J66" s="54"/>
      <c r="K66" s="56">
        <v>51000</v>
      </c>
    </row>
    <row r="67" spans="1:11" ht="14.1" customHeight="1" x14ac:dyDescent="0.25">
      <c r="A67" s="57"/>
      <c r="B67" s="58" t="s">
        <v>172</v>
      </c>
      <c r="C67" s="57"/>
      <c r="D67" s="57"/>
      <c r="E67" s="57"/>
      <c r="F67" s="57"/>
      <c r="G67" s="57"/>
      <c r="H67" s="57"/>
      <c r="I67" s="57"/>
      <c r="J67" s="57"/>
      <c r="K67" s="59">
        <v>252000</v>
      </c>
    </row>
    <row r="69" spans="1:11" ht="20.100000000000001" customHeight="1" x14ac:dyDescent="0.25">
      <c r="A69" s="95" t="s">
        <v>177</v>
      </c>
      <c r="B69" s="88"/>
      <c r="C69" s="88"/>
      <c r="D69" s="88"/>
      <c r="E69" s="88"/>
      <c r="F69" s="88"/>
      <c r="G69" s="88"/>
      <c r="H69" s="88"/>
      <c r="I69" s="88"/>
      <c r="J69" s="88"/>
      <c r="K69" s="60">
        <v>2390966</v>
      </c>
    </row>
    <row r="70" spans="1:11" ht="20.100000000000001" customHeight="1" x14ac:dyDescent="0.25">
      <c r="A70" s="90" t="s">
        <v>178</v>
      </c>
      <c r="B70" s="88"/>
      <c r="C70" s="88"/>
      <c r="D70" s="88"/>
      <c r="E70" s="88"/>
      <c r="F70" s="88"/>
      <c r="G70" s="88"/>
      <c r="H70" s="88"/>
      <c r="I70" s="88"/>
      <c r="J70" s="88"/>
      <c r="K70" s="61">
        <v>286916</v>
      </c>
    </row>
    <row r="71" spans="1:11" ht="20.100000000000001" customHeight="1" x14ac:dyDescent="0.25">
      <c r="A71" s="87" t="s">
        <v>179</v>
      </c>
      <c r="B71" s="88"/>
      <c r="C71" s="88"/>
      <c r="D71" s="88"/>
      <c r="E71" s="88"/>
      <c r="F71" s="88"/>
      <c r="G71" s="88"/>
      <c r="H71" s="88"/>
      <c r="I71" s="88"/>
      <c r="J71" s="88"/>
      <c r="K71" s="62">
        <v>2677882</v>
      </c>
    </row>
    <row r="72" spans="1:11" ht="12" customHeight="1" x14ac:dyDescent="0.25">
      <c r="A72" s="89" t="s">
        <v>202</v>
      </c>
      <c r="B72" s="84"/>
      <c r="C72" s="84"/>
      <c r="D72" s="84"/>
      <c r="E72" s="84"/>
      <c r="F72" s="84"/>
      <c r="G72" s="84"/>
      <c r="H72" s="84"/>
      <c r="I72" s="84"/>
      <c r="J72" s="84"/>
      <c r="K72" s="84"/>
    </row>
  </sheetData>
  <mergeCells count="18">
    <mergeCell ref="A4:K4"/>
    <mergeCell ref="A30:K30"/>
    <mergeCell ref="A1:K1"/>
    <mergeCell ref="A37:K37"/>
    <mergeCell ref="A9:K9"/>
    <mergeCell ref="A71:J71"/>
    <mergeCell ref="A72:K72"/>
    <mergeCell ref="A70:J70"/>
    <mergeCell ref="A25:K25"/>
    <mergeCell ref="A41:K41"/>
    <mergeCell ref="A2:K2"/>
    <mergeCell ref="A51:K51"/>
    <mergeCell ref="A69:J69"/>
    <mergeCell ref="A13:K13"/>
    <mergeCell ref="A44:K44"/>
    <mergeCell ref="A53:K53"/>
    <mergeCell ref="A56:K56"/>
    <mergeCell ref="A18:K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6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5" customWidth="1"/>
    <col min="2" max="2" width="12" customWidth="1"/>
    <col min="3" max="6" width="14" customWidth="1"/>
  </cols>
  <sheetData>
    <row r="1" spans="1:6" ht="21.95" customHeight="1" x14ac:dyDescent="0.25">
      <c r="A1" s="104" t="s">
        <v>203</v>
      </c>
      <c r="B1" s="84"/>
      <c r="C1" s="84"/>
      <c r="D1" s="84"/>
      <c r="E1" s="84"/>
      <c r="F1" s="84"/>
    </row>
    <row r="2" spans="1:6" ht="27.95" customHeight="1" x14ac:dyDescent="0.25">
      <c r="A2" s="1" t="s">
        <v>204</v>
      </c>
      <c r="B2" s="1" t="s">
        <v>9</v>
      </c>
      <c r="C2" s="1" t="s">
        <v>205</v>
      </c>
      <c r="D2" s="1" t="s">
        <v>206</v>
      </c>
      <c r="E2" s="1" t="s">
        <v>207</v>
      </c>
      <c r="F2" s="1" t="s">
        <v>208</v>
      </c>
    </row>
    <row r="3" spans="1:6" ht="14.1" customHeight="1" x14ac:dyDescent="0.25">
      <c r="A3" s="65" t="s">
        <v>17</v>
      </c>
      <c r="B3" s="66">
        <v>1</v>
      </c>
      <c r="C3" s="67">
        <v>41100</v>
      </c>
      <c r="D3" s="68">
        <v>41100</v>
      </c>
      <c r="E3" s="69">
        <v>279480</v>
      </c>
      <c r="F3" s="70">
        <v>279480</v>
      </c>
    </row>
    <row r="4" spans="1:6" ht="14.1" customHeight="1" x14ac:dyDescent="0.25">
      <c r="A4" s="71" t="s">
        <v>23</v>
      </c>
      <c r="B4" s="72">
        <v>3</v>
      </c>
      <c r="C4" s="73">
        <v>5100</v>
      </c>
      <c r="D4" s="74">
        <v>15300</v>
      </c>
      <c r="E4" s="75">
        <v>27948</v>
      </c>
      <c r="F4" s="76">
        <v>83844</v>
      </c>
    </row>
    <row r="5" spans="1:6" ht="14.1" customHeight="1" x14ac:dyDescent="0.25">
      <c r="A5" s="65" t="s">
        <v>27</v>
      </c>
      <c r="B5" s="66">
        <v>1</v>
      </c>
      <c r="C5" s="67">
        <v>21000</v>
      </c>
      <c r="D5" s="68">
        <v>21000</v>
      </c>
      <c r="E5" s="69">
        <v>21000</v>
      </c>
      <c r="F5" s="70">
        <v>21000</v>
      </c>
    </row>
    <row r="6" spans="1:6" ht="14.1" customHeight="1" x14ac:dyDescent="0.25">
      <c r="A6" s="71" t="s">
        <v>31</v>
      </c>
      <c r="B6" s="72">
        <v>2</v>
      </c>
      <c r="C6" s="73">
        <v>13200</v>
      </c>
      <c r="D6" s="74">
        <v>26400</v>
      </c>
      <c r="E6" s="75">
        <v>13200</v>
      </c>
      <c r="F6" s="76">
        <v>26400</v>
      </c>
    </row>
    <row r="7" spans="1:6" ht="14.1" customHeight="1" x14ac:dyDescent="0.25">
      <c r="A7" s="65" t="s">
        <v>37</v>
      </c>
      <c r="B7" s="66">
        <v>1</v>
      </c>
      <c r="C7" s="67">
        <v>5280</v>
      </c>
      <c r="D7" s="68">
        <v>5280</v>
      </c>
      <c r="E7" s="69">
        <v>28934</v>
      </c>
      <c r="F7" s="70">
        <v>28934</v>
      </c>
    </row>
    <row r="8" spans="1:6" ht="14.1" customHeight="1" x14ac:dyDescent="0.25">
      <c r="A8" s="71" t="s">
        <v>40</v>
      </c>
      <c r="B8" s="72">
        <v>1</v>
      </c>
      <c r="C8" s="73">
        <v>5280</v>
      </c>
      <c r="D8" s="74">
        <v>5280</v>
      </c>
      <c r="E8" s="75">
        <v>28934</v>
      </c>
      <c r="F8" s="76">
        <v>28934</v>
      </c>
    </row>
    <row r="9" spans="1:6" ht="14.1" customHeight="1" x14ac:dyDescent="0.25">
      <c r="A9" s="65" t="s">
        <v>42</v>
      </c>
      <c r="B9" s="66">
        <v>1</v>
      </c>
      <c r="C9" s="67">
        <v>5280</v>
      </c>
      <c r="D9" s="68">
        <v>5280</v>
      </c>
      <c r="E9" s="69">
        <v>28934</v>
      </c>
      <c r="F9" s="70">
        <v>28934</v>
      </c>
    </row>
    <row r="10" spans="1:6" ht="14.1" customHeight="1" x14ac:dyDescent="0.25">
      <c r="A10" s="71" t="s">
        <v>47</v>
      </c>
      <c r="B10" s="72">
        <v>1</v>
      </c>
      <c r="C10" s="73">
        <v>9480</v>
      </c>
      <c r="D10" s="74">
        <v>9480</v>
      </c>
      <c r="E10" s="75">
        <v>48662</v>
      </c>
      <c r="F10" s="76">
        <v>48662</v>
      </c>
    </row>
    <row r="11" spans="1:6" ht="14.1" customHeight="1" x14ac:dyDescent="0.25">
      <c r="A11" s="65" t="s">
        <v>51</v>
      </c>
      <c r="B11" s="66">
        <v>2</v>
      </c>
      <c r="C11" s="67">
        <v>5520</v>
      </c>
      <c r="D11" s="68">
        <v>11040</v>
      </c>
      <c r="E11" s="69">
        <v>25646</v>
      </c>
      <c r="F11" s="70">
        <v>51292</v>
      </c>
    </row>
    <row r="12" spans="1:6" ht="14.1" customHeight="1" x14ac:dyDescent="0.25">
      <c r="A12" s="71" t="s">
        <v>54</v>
      </c>
      <c r="B12" s="72">
        <v>6</v>
      </c>
      <c r="C12" s="73">
        <v>5520</v>
      </c>
      <c r="D12" s="74">
        <v>33120</v>
      </c>
      <c r="E12" s="75">
        <v>25646</v>
      </c>
      <c r="F12" s="76">
        <v>153876</v>
      </c>
    </row>
    <row r="13" spans="1:6" ht="14.1" customHeight="1" x14ac:dyDescent="0.25">
      <c r="A13" s="65" t="s">
        <v>57</v>
      </c>
      <c r="B13" s="66">
        <v>1</v>
      </c>
      <c r="C13" s="67">
        <v>4500</v>
      </c>
      <c r="D13" s="68">
        <v>4500</v>
      </c>
      <c r="E13" s="69">
        <v>23016</v>
      </c>
      <c r="F13" s="70">
        <v>23016</v>
      </c>
    </row>
    <row r="14" spans="1:6" ht="14.1" customHeight="1" x14ac:dyDescent="0.25">
      <c r="A14" s="71" t="s">
        <v>63</v>
      </c>
      <c r="B14" s="72">
        <v>2</v>
      </c>
      <c r="C14" s="73">
        <v>11100</v>
      </c>
      <c r="D14" s="74">
        <v>22200</v>
      </c>
      <c r="E14" s="75">
        <v>11100</v>
      </c>
      <c r="F14" s="76">
        <v>22200</v>
      </c>
    </row>
    <row r="15" spans="1:6" ht="14.1" customHeight="1" x14ac:dyDescent="0.25">
      <c r="A15" s="65" t="s">
        <v>67</v>
      </c>
      <c r="B15" s="66">
        <v>1</v>
      </c>
      <c r="C15" s="67">
        <v>16800</v>
      </c>
      <c r="D15" s="68">
        <v>16800</v>
      </c>
      <c r="E15" s="69">
        <v>16800</v>
      </c>
      <c r="F15" s="70">
        <v>16800</v>
      </c>
    </row>
    <row r="16" spans="1:6" ht="14.1" customHeight="1" x14ac:dyDescent="0.25">
      <c r="A16" s="71" t="s">
        <v>71</v>
      </c>
      <c r="B16" s="72">
        <v>1</v>
      </c>
      <c r="C16" s="73">
        <v>5100</v>
      </c>
      <c r="D16" s="74">
        <v>5100</v>
      </c>
      <c r="E16" s="75">
        <v>5100</v>
      </c>
      <c r="F16" s="76">
        <v>5100</v>
      </c>
    </row>
    <row r="17" spans="1:6" ht="14.1" customHeight="1" x14ac:dyDescent="0.25">
      <c r="A17" s="65" t="s">
        <v>75</v>
      </c>
      <c r="B17" s="66">
        <v>2</v>
      </c>
      <c r="C17" s="67">
        <v>2100</v>
      </c>
      <c r="D17" s="68">
        <v>4200</v>
      </c>
      <c r="E17" s="69">
        <v>2100</v>
      </c>
      <c r="F17" s="70">
        <v>4200</v>
      </c>
    </row>
    <row r="18" spans="1:6" ht="14.1" customHeight="1" x14ac:dyDescent="0.25">
      <c r="A18" s="71" t="s">
        <v>79</v>
      </c>
      <c r="B18" s="72">
        <v>1</v>
      </c>
      <c r="C18" s="73">
        <v>7500</v>
      </c>
      <c r="D18" s="74">
        <v>7500</v>
      </c>
      <c r="E18" s="75">
        <v>7500</v>
      </c>
      <c r="F18" s="76">
        <v>7500</v>
      </c>
    </row>
    <row r="19" spans="1:6" ht="14.1" customHeight="1" x14ac:dyDescent="0.25">
      <c r="A19" s="65" t="s">
        <v>83</v>
      </c>
      <c r="B19" s="66">
        <v>1</v>
      </c>
      <c r="C19" s="67">
        <v>4080</v>
      </c>
      <c r="D19" s="68">
        <v>4080</v>
      </c>
      <c r="E19" s="69">
        <v>12494</v>
      </c>
      <c r="F19" s="70">
        <v>12494</v>
      </c>
    </row>
    <row r="20" spans="1:6" ht="14.1" customHeight="1" x14ac:dyDescent="0.25">
      <c r="A20" s="71" t="s">
        <v>90</v>
      </c>
      <c r="B20" s="72">
        <v>5</v>
      </c>
      <c r="C20" s="73">
        <v>1620</v>
      </c>
      <c r="D20" s="74">
        <v>8100</v>
      </c>
      <c r="E20" s="75">
        <v>3781</v>
      </c>
      <c r="F20" s="76">
        <v>18905</v>
      </c>
    </row>
    <row r="21" spans="1:6" ht="14.1" customHeight="1" x14ac:dyDescent="0.25">
      <c r="A21" s="65" t="s">
        <v>93</v>
      </c>
      <c r="B21" s="66">
        <v>18</v>
      </c>
      <c r="C21" s="67">
        <v>1620</v>
      </c>
      <c r="D21" s="68">
        <v>29160</v>
      </c>
      <c r="E21" s="69">
        <v>4011</v>
      </c>
      <c r="F21" s="70">
        <v>72198</v>
      </c>
    </row>
    <row r="22" spans="1:6" ht="14.1" customHeight="1" x14ac:dyDescent="0.25">
      <c r="A22" s="71" t="s">
        <v>96</v>
      </c>
      <c r="B22" s="72">
        <v>22</v>
      </c>
      <c r="C22" s="73">
        <v>1631</v>
      </c>
      <c r="D22" s="74">
        <v>35882</v>
      </c>
      <c r="E22" s="75">
        <v>4242</v>
      </c>
      <c r="F22" s="76">
        <v>93324</v>
      </c>
    </row>
    <row r="23" spans="1:6" ht="14.1" customHeight="1" x14ac:dyDescent="0.25">
      <c r="A23" s="65" t="s">
        <v>99</v>
      </c>
      <c r="B23" s="66">
        <v>20</v>
      </c>
      <c r="C23" s="67">
        <v>1631</v>
      </c>
      <c r="D23" s="68">
        <v>32620</v>
      </c>
      <c r="E23" s="69">
        <v>4242</v>
      </c>
      <c r="F23" s="70">
        <v>84840</v>
      </c>
    </row>
    <row r="24" spans="1:6" ht="14.1" customHeight="1" x14ac:dyDescent="0.25">
      <c r="A24" s="71" t="s">
        <v>105</v>
      </c>
      <c r="B24" s="72">
        <v>14</v>
      </c>
      <c r="C24" s="73">
        <v>8197</v>
      </c>
      <c r="D24" s="74">
        <v>114758</v>
      </c>
      <c r="E24" s="75">
        <v>20386</v>
      </c>
      <c r="F24" s="76">
        <v>285404</v>
      </c>
    </row>
    <row r="25" spans="1:6" ht="14.1" customHeight="1" x14ac:dyDescent="0.25">
      <c r="A25" s="65" t="s">
        <v>108</v>
      </c>
      <c r="B25" s="66">
        <v>8</v>
      </c>
      <c r="C25" s="67">
        <v>8197</v>
      </c>
      <c r="D25" s="68">
        <v>65576</v>
      </c>
      <c r="E25" s="69">
        <v>20386</v>
      </c>
      <c r="F25" s="70">
        <v>163088</v>
      </c>
    </row>
    <row r="26" spans="1:6" ht="14.1" customHeight="1" x14ac:dyDescent="0.25">
      <c r="A26" s="71" t="s">
        <v>110</v>
      </c>
      <c r="B26" s="72">
        <v>5</v>
      </c>
      <c r="C26" s="73">
        <v>8269</v>
      </c>
      <c r="D26" s="74">
        <v>41345</v>
      </c>
      <c r="E26" s="75">
        <v>21372</v>
      </c>
      <c r="F26" s="76">
        <v>106860</v>
      </c>
    </row>
    <row r="27" spans="1:6" ht="14.1" customHeight="1" x14ac:dyDescent="0.25">
      <c r="A27" s="65" t="s">
        <v>114</v>
      </c>
      <c r="B27" s="66">
        <v>3</v>
      </c>
      <c r="C27" s="67">
        <v>4134</v>
      </c>
      <c r="D27" s="68">
        <v>12402</v>
      </c>
      <c r="E27" s="69">
        <v>9371</v>
      </c>
      <c r="F27" s="70">
        <v>28113</v>
      </c>
    </row>
    <row r="28" spans="1:6" ht="14.1" customHeight="1" x14ac:dyDescent="0.25">
      <c r="A28" s="71" t="s">
        <v>117</v>
      </c>
      <c r="B28" s="72">
        <v>2</v>
      </c>
      <c r="C28" s="73">
        <v>4320</v>
      </c>
      <c r="D28" s="74">
        <v>8640</v>
      </c>
      <c r="E28" s="75">
        <v>10522</v>
      </c>
      <c r="F28" s="76">
        <v>21044</v>
      </c>
    </row>
    <row r="29" spans="1:6" ht="14.1" customHeight="1" x14ac:dyDescent="0.25">
      <c r="A29" s="65" t="s">
        <v>121</v>
      </c>
      <c r="B29" s="66">
        <v>1</v>
      </c>
      <c r="C29" s="77" t="s">
        <v>122</v>
      </c>
      <c r="D29" s="78" t="s">
        <v>122</v>
      </c>
      <c r="E29" s="77" t="s">
        <v>122</v>
      </c>
      <c r="F29" s="78" t="s">
        <v>122</v>
      </c>
    </row>
    <row r="30" spans="1:6" ht="14.1" customHeight="1" x14ac:dyDescent="0.25">
      <c r="A30" s="71" t="s">
        <v>126</v>
      </c>
      <c r="B30" s="72">
        <v>8</v>
      </c>
      <c r="C30" s="73">
        <v>1631</v>
      </c>
      <c r="D30" s="74">
        <v>13048</v>
      </c>
      <c r="E30" s="75">
        <v>4242</v>
      </c>
      <c r="F30" s="76">
        <v>33936</v>
      </c>
    </row>
    <row r="31" spans="1:6" ht="14.1" customHeight="1" x14ac:dyDescent="0.25">
      <c r="A31" s="65" t="s">
        <v>128</v>
      </c>
      <c r="B31" s="66">
        <v>6</v>
      </c>
      <c r="C31" s="67">
        <v>1620</v>
      </c>
      <c r="D31" s="68">
        <v>9720</v>
      </c>
      <c r="E31" s="69">
        <v>4011</v>
      </c>
      <c r="F31" s="70">
        <v>24066</v>
      </c>
    </row>
    <row r="32" spans="1:6" ht="14.1" customHeight="1" x14ac:dyDescent="0.25">
      <c r="A32" s="71" t="s">
        <v>130</v>
      </c>
      <c r="B32" s="72">
        <v>8</v>
      </c>
      <c r="C32" s="73">
        <v>1631</v>
      </c>
      <c r="D32" s="74">
        <v>13048</v>
      </c>
      <c r="E32" s="75">
        <v>4242</v>
      </c>
      <c r="F32" s="76">
        <v>33936</v>
      </c>
    </row>
    <row r="33" spans="1:6" ht="14.1" customHeight="1" x14ac:dyDescent="0.25">
      <c r="A33" s="65" t="s">
        <v>134</v>
      </c>
      <c r="B33" s="66">
        <v>8</v>
      </c>
      <c r="C33" s="67">
        <v>1620</v>
      </c>
      <c r="D33" s="68">
        <v>12960</v>
      </c>
      <c r="E33" s="69">
        <v>4011</v>
      </c>
      <c r="F33" s="70">
        <v>32088</v>
      </c>
    </row>
    <row r="34" spans="1:6" ht="14.1" customHeight="1" x14ac:dyDescent="0.25">
      <c r="A34" s="71" t="s">
        <v>136</v>
      </c>
      <c r="B34" s="72">
        <v>8</v>
      </c>
      <c r="C34" s="73">
        <v>1631</v>
      </c>
      <c r="D34" s="74">
        <v>13048</v>
      </c>
      <c r="E34" s="75">
        <v>4242</v>
      </c>
      <c r="F34" s="76">
        <v>33936</v>
      </c>
    </row>
    <row r="35" spans="1:6" ht="14.1" customHeight="1" x14ac:dyDescent="0.25">
      <c r="A35" s="65" t="s">
        <v>141</v>
      </c>
      <c r="B35" s="66">
        <v>150</v>
      </c>
      <c r="C35" s="67">
        <v>228</v>
      </c>
      <c r="D35" s="68">
        <v>34200</v>
      </c>
      <c r="E35" s="69">
        <v>395</v>
      </c>
      <c r="F35" s="70">
        <v>59250</v>
      </c>
    </row>
    <row r="36" spans="1:6" ht="14.1" customHeight="1" x14ac:dyDescent="0.25">
      <c r="A36" s="71" t="s">
        <v>145</v>
      </c>
      <c r="B36" s="72">
        <v>30</v>
      </c>
      <c r="C36" s="73">
        <v>252</v>
      </c>
      <c r="D36" s="74">
        <v>7560</v>
      </c>
      <c r="E36" s="75">
        <v>460</v>
      </c>
      <c r="F36" s="76">
        <v>13800</v>
      </c>
    </row>
    <row r="37" spans="1:6" ht="14.1" customHeight="1" x14ac:dyDescent="0.25">
      <c r="A37" s="65" t="s">
        <v>149</v>
      </c>
      <c r="B37" s="66">
        <v>12</v>
      </c>
      <c r="C37" s="67">
        <v>720</v>
      </c>
      <c r="D37" s="68">
        <v>8640</v>
      </c>
      <c r="E37" s="69">
        <v>1151</v>
      </c>
      <c r="F37" s="70">
        <v>13812</v>
      </c>
    </row>
    <row r="38" spans="1:6" ht="14.1" customHeight="1" x14ac:dyDescent="0.25">
      <c r="A38" s="71" t="s">
        <v>153</v>
      </c>
      <c r="B38" s="72">
        <v>50</v>
      </c>
      <c r="C38" s="73">
        <v>510</v>
      </c>
      <c r="D38" s="74">
        <v>25500</v>
      </c>
      <c r="E38" s="75">
        <v>986</v>
      </c>
      <c r="F38" s="76">
        <v>49300</v>
      </c>
    </row>
    <row r="39" spans="1:6" ht="14.1" customHeight="1" x14ac:dyDescent="0.25">
      <c r="A39" s="65" t="s">
        <v>157</v>
      </c>
      <c r="B39" s="66">
        <v>30</v>
      </c>
      <c r="C39" s="67">
        <v>660</v>
      </c>
      <c r="D39" s="68">
        <v>19800</v>
      </c>
      <c r="E39" s="69">
        <v>1480</v>
      </c>
      <c r="F39" s="70">
        <v>44400</v>
      </c>
    </row>
    <row r="40" spans="1:6" ht="14.1" customHeight="1" x14ac:dyDescent="0.25">
      <c r="A40" s="71" t="s">
        <v>161</v>
      </c>
      <c r="B40" s="72">
        <v>1</v>
      </c>
      <c r="C40" s="73">
        <v>33000</v>
      </c>
      <c r="D40" s="74">
        <v>33000</v>
      </c>
      <c r="E40" s="75">
        <v>33000</v>
      </c>
      <c r="F40" s="76">
        <v>33000</v>
      </c>
    </row>
    <row r="41" spans="1:6" ht="14.1" customHeight="1" x14ac:dyDescent="0.25">
      <c r="A41" s="65" t="s">
        <v>168</v>
      </c>
      <c r="B41" s="66">
        <v>1</v>
      </c>
      <c r="C41" s="67">
        <v>51000</v>
      </c>
      <c r="D41" s="68">
        <v>51000</v>
      </c>
      <c r="E41" s="69">
        <v>51000</v>
      </c>
      <c r="F41" s="70">
        <v>51000</v>
      </c>
    </row>
    <row r="42" spans="1:6" ht="14.1" customHeight="1" x14ac:dyDescent="0.25">
      <c r="A42" s="71" t="s">
        <v>174</v>
      </c>
      <c r="B42" s="72">
        <v>120</v>
      </c>
      <c r="C42" s="73">
        <v>2100</v>
      </c>
      <c r="D42" s="74">
        <v>252000</v>
      </c>
      <c r="E42" s="75">
        <v>2100</v>
      </c>
      <c r="F42" s="76">
        <v>252000</v>
      </c>
    </row>
    <row r="43" spans="1:6" ht="20.100000000000001" customHeight="1" x14ac:dyDescent="0.25">
      <c r="A43" s="79" t="s">
        <v>209</v>
      </c>
      <c r="B43" s="80"/>
      <c r="C43" s="80"/>
      <c r="D43" s="81">
        <v>1079667</v>
      </c>
      <c r="E43" s="80"/>
      <c r="F43" s="82">
        <v>2390966</v>
      </c>
    </row>
    <row r="44" spans="1:6" ht="20.100000000000001" customHeight="1" x14ac:dyDescent="0.25">
      <c r="A44" s="79" t="s">
        <v>210</v>
      </c>
      <c r="B44" s="80"/>
      <c r="C44" s="80"/>
      <c r="D44" s="81">
        <v>129560</v>
      </c>
      <c r="E44" s="80"/>
      <c r="F44" s="82">
        <v>286916</v>
      </c>
    </row>
    <row r="45" spans="1:6" ht="20.100000000000001" customHeight="1" x14ac:dyDescent="0.25">
      <c r="A45" s="79" t="s">
        <v>211</v>
      </c>
      <c r="B45" s="80"/>
      <c r="C45" s="80"/>
      <c r="D45" s="81">
        <v>1209227</v>
      </c>
      <c r="E45" s="80"/>
      <c r="F45" s="82">
        <v>2677882</v>
      </c>
    </row>
    <row r="46" spans="1:6" ht="15.95" customHeight="1" x14ac:dyDescent="0.25">
      <c r="A46" s="105" t="s">
        <v>212</v>
      </c>
      <c r="B46" s="84"/>
      <c r="C46" s="84"/>
      <c r="D46" s="84"/>
      <c r="E46" s="84"/>
      <c r="F46" s="84"/>
    </row>
  </sheetData>
  <mergeCells count="2">
    <mergeCell ref="A1:F1"/>
    <mergeCell ref="A46:F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CHINT_BOM</vt:lpstr>
      <vt:lpstr>SCHNEIDER_BOM</vt:lpstr>
      <vt:lpstr>КАРŞILAŞTIRMA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2026-05-29T09:52:03Z</dcterms:created>
  <dcterms:modified xsi:type="dcterms:W3CDTF">2026-06-02T11:39:13Z</dcterms:modified>
</cp:coreProperties>
</file>