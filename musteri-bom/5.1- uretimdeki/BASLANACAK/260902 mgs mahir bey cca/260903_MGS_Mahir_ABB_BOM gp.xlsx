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a429618da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76a33c283e349e5"/>
    <x:sheet xmlns:r="http://schemas.openxmlformats.org/officeDocument/2006/relationships" name="KONTROL" sheetId="2" r:id="R855fb502d8e54fc7"/>
    <x:sheet xmlns:r="http://schemas.openxmlformats.org/officeDocument/2006/relationships" name="KAYNAK" sheetId="3" r:id="Re6725884a632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General"/>
  </x:numFmts>
  <x:fonts count="11">
    <x:font>
      <x:sz val="11"/>
      <x:name val="Carlito"/>
    </x:font>
    <x:font>
      <x:b/>
      <x:sz val="16"/>
      <x:color rgb="FFFFFFFF"/>
      <x:name val="Arial"/>
    </x:font>
    <x:font>
      <x:sz val="11"/>
      <x:color rgb="FF1F1F1F"/>
      <x:name val="Arial"/>
    </x:font>
    <x:font>
      <x:i/>
      <x:sz val="10"/>
      <x:color rgb="FF404040"/>
      <x:name val="Arial"/>
    </x:font>
    <x:font>
      <x:b/>
      <x:sz val="11"/>
      <x:color rgb="FFFFFFFF"/>
      <x:name val="Arial"/>
    </x:font>
    <x:font>
      <x:sz val="10"/>
      <x:color rgb="FF222222"/>
      <x:name val="Arial"/>
    </x:font>
    <x:font>
      <x:b/>
      <x:sz val="11"/>
      <x:color rgb="FF1F1F1F"/>
      <x:name val="Arial"/>
    </x:font>
    <x:font>
      <x:b/>
      <x:sz val="10"/>
      <x:color rgb="FF1F1F1F"/>
      <x:name val="Arial"/>
    </x:font>
    <x:font>
      <x:b/>
      <x:sz val="15"/>
      <x:color rgb="FFFFFFFF"/>
      <x:name val="Arial"/>
    </x:font>
    <x:font>
      <x:b/>
      <x:sz val="11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200" fontId="5" fillId="6" borderId="1" xfId="0" applyNumberFormat="1" applyFont="1" applyFill="1" applyBorder="1" applyAlignment="1">
      <x:alignment horizontal="right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horizontal="right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200" fontId="6" fillId="6" borderId="1" xfId="0" applyNumberFormat="1" applyFont="1" applyFill="1" applyBorder="1" applyAlignment="1">
      <x:alignment horizontal="right" vertical="center"/>
    </x:xf>
    <x:xf numFmtId="201" fontId="6" fillId="6" borderId="1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31162989e4233" /><Relationship Type="http://schemas.openxmlformats.org/officeDocument/2006/relationships/theme" Target="/xl/theme/theme1.xml" Id="R3bf90c53cd2d4733" /><Relationship Type="http://schemas.openxmlformats.org/officeDocument/2006/relationships/sharedStrings" Target="/xl/sharedStrings.xml" Id="R68e23f5bf0d4475d" /><Relationship Type="http://schemas.openxmlformats.org/officeDocument/2006/relationships/worksheet" Target="/xl/worksheets/sheet1.xml" Id="Re76a33c283e349e5" /><Relationship Type="http://schemas.openxmlformats.org/officeDocument/2006/relationships/worksheet" Target="/xl/worksheets/sheet2.xml" Id="R855fb502d8e54fc7" /><Relationship Type="http://schemas.openxmlformats.org/officeDocument/2006/relationships/worksheet" Target="/xl/worksheets/sheet3.xml" Id="Re6725884a632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22" hidden="0" customWidth="1"/>
    <x:col min="5" max="5" width="58" hidden="0" customWidth="1"/>
    <x:col min="6" max="6" width="15" hidden="0" customWidth="1"/>
    <x:col min="7" max="7" width="17" hidden="0" customWidth="1"/>
    <x:col min="8" max="8" width="17" hidden="0" customWidth="1"/>
    <x:col min="9" max="9" width="10" hidden="0" customWidth="1"/>
    <x:col min="10" max="10" width="11" hidden="0" customWidth="1"/>
    <x:col min="11" max="11" width="20" hidden="0" customWidth="1"/>
    <x:col min="12" max="12" width="48" hidden="0" customWidth="1"/>
  </x:cols>
  <x:sheetData>
    <x:row r="1" ht="30" customHeight="1">
      <x:c r="A1" s="5" t="str">
        <x:v>260903 MGS MAHİR BEY · COSTA COFFEE ALMATY · ABB BOM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Kaynak: 10 E D 01 CCA PANEL SINGLE LINE DIAGRAM.dwfx · Drawing No: E D 01 · 07.07.2026 · Domestic – Ground Floor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24" customHeight="1">
      <x:c r="A3" s="18" t="str">
        <x:v>Tek hat ana kaynaktır. Fiyat hücreleri bilerek boş bırakıldı; net fiyat girildiğinde satır ve pano toplamları otomatik hesaplanır. İç malzemeler 1 pano içindir.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34" customHeight="1">
      <x:c r="A4" s="26" t="str">
        <x:v>ROW</x:v>
      </x:c>
      <x:c r="B4" s="26" t="str">
        <x:v>Наименование1</x:v>
      </x:c>
      <x:c r="C4" s="26" t="str">
        <x:v>Тип</x:v>
      </x:c>
      <x:c r="D4" s="26" t="str">
        <x:v>Артикул</x:v>
      </x:c>
      <x:c r="E4" s="26" t="str">
        <x:v>Номенклатура</x:v>
      </x:c>
      <x:c r="F4" s="26" t="str">
        <x:v>Цена (прайс)</x:v>
      </x:c>
      <x:c r="G4" s="26" t="str">
        <x:v>Цена нетто KZT</x:v>
      </x:c>
      <x:c r="H4" s="26" t="str">
        <x:v>Сумма KZT</x:v>
      </x:c>
      <x:c r="I4" s="26" t="str">
        <x:v>Кол-во</x:v>
      </x:c>
      <x:c r="J4" s="26" t="str">
        <x:v>Ед.изм.</x:v>
      </x:c>
      <x:c r="K4" s="26" t="str">
        <x:v>Завод</x:v>
      </x:c>
      <x:c r="L4" s="26" t="str">
        <x:v>Статус / контроль</x:v>
      </x:c>
    </x:row>
    <x:row r="5" ht="40" customHeight="1">
      <x:c r="A5" s="58" t="n">
        <x:v>1</x:v>
      </x:c>
      <x:c r="B5" s="59" t="str">
        <x:v>COSTA-LSP</x:v>
      </x:c>
      <x:c r="C5" s="59" t="str">
        <x:v>PANO</x:v>
      </x:c>
      <x:c r="D5" s="59" t="str"/>
      <x:c r="E5" s="60" t="str">
        <x:v>COSTA-LSP — Lighting distribution board; ABB şaltlı; 3F+N+PE, 400/230 V; In=80 A; sayaç + SPD + aydınlatma/priz + UPS besleme/by-pass</x:v>
      </x:c>
      <x:c r="F5" s="61"/>
      <x:c r="G5" s="61"/>
      <x:c r="H5" s="61" t="str">
        <x:f>IF(COUNT(H6:H46)=0,"",SUM(H6:H46))</x:f>
      </x:c>
      <x:c r="I5" s="62" t="n">
        <x:v>1</x:v>
      </x:c>
      <x:c r="J5" s="58" t="str">
        <x:v>компл.</x:v>
      </x:c>
      <x:c r="K5" s="58" t="str">
        <x:v>TEKLED</x:v>
      </x:c>
      <x:c r="L5" s="60" t="str">
        <x:v>Pano komplekt satırı. İç malzemeler 1 pano içindir.</x:v>
      </x:c>
    </x:row>
    <x:row r="6" ht="42" customHeight="1">
      <x:c r="A6" s="46" t="n">
        <x:v>2</x:v>
      </x:c>
      <x:c r="B6" s="33" t="str">
        <x:v>COSTA-LSP</x:v>
      </x:c>
      <x:c r="C6" s="33" t="str">
        <x:v>korpus</x:v>
      </x:c>
      <x:c r="D6" s="33" t="str">
        <x:v>TEKLED-CUSTOM</x:v>
      </x:c>
      <x:c r="E6" s="36" t="str">
        <x:v>Dikili tip metal korpus, 2000×1600×400 mm; 2 bölüm × 800 mm; montaj plakalı, kapılı; iç ortam</x:v>
      </x:c>
      <x:c r="F6" s="40"/>
      <x:c r="G6" s="40"/>
      <x:c r="H6" s="40" t="str">
        <x:f>IF(OR(G6="",I6=""),"",G6*I6)</x:f>
      </x:c>
      <x:c r="I6" s="44" t="n">
        <x:v>1</x:v>
      </x:c>
      <x:c r="J6" s="46" t="str">
        <x:v>шт.</x:v>
      </x:c>
      <x:c r="K6" s="46" t="str">
        <x:v>TEKLED</x:v>
      </x:c>
      <x:c r="L6" s="70" t="str">
        <x:v>KONTROL: DWFX pano görünüşünden H=2000, toplam W=1600 (2×800), D=400 okundu. IP sınıfı üretim öncesi teyit.</x:v>
      </x:c>
    </x:row>
    <x:row r="7" ht="24" customHeight="1">
      <x:c r="A7" s="46" t="n">
        <x:v>3</x:v>
      </x:c>
      <x:c r="B7" s="33" t="str">
        <x:v>COSTA-LSP</x:v>
      </x:c>
      <x:c r="C7" s="33" t="str">
        <x:v>TMŞ</x:v>
      </x:c>
      <x:c r="D7" s="33" t="str">
        <x:v>1SDA067415R1</x:v>
      </x:c>
      <x:c r="E7" s="36" t="str">
        <x:v>ABB Tmax XT1N 160 TMD — 3P, 80 A, 36 kA; ana şalter</x:v>
      </x:c>
      <x:c r="F7" s="40"/>
      <x:c r="G7" s="40"/>
      <x:c r="H7" s="40" t="str">
        <x:f>IF(OR(G7="",I7=""),"",G7*I7)</x:f>
      </x:c>
      <x:c r="I7" s="44" t="n">
        <x:v>1</x:v>
      </x:c>
      <x:c r="J7" s="46" t="str">
        <x:v>шт.</x:v>
      </x:c>
      <x:c r="K7" s="46" t="str">
        <x:v>ABB</x:v>
      </x:c>
      <x:c r="L7" s="36" t="str">
        <x:v>Şema: 3×80 A. 80 A ana giriş için MCCB seçildi.</x:v>
      </x:c>
    </x:row>
    <x:row r="8" ht="24" customHeight="1">
      <x:c r="A8" s="46" t="n">
        <x:v>4</x:v>
      </x:c>
      <x:c r="B8" s="33" t="str">
        <x:v>COSTA-LSP</x:v>
      </x:c>
      <x:c r="C8" s="33" t="str">
        <x:v>sigorta yuvası</x:v>
      </x:c>
      <x:c r="D8" s="33" t="str">
        <x:v>2CSM204753R1801</x:v>
      </x:c>
      <x:c r="E8" s="36" t="str">
        <x:v>ABB E93/32 — 3P, 32 A, 10.3×38 mm sigorta yuvası; sayaç gerilim devresi</x:v>
      </x:c>
      <x:c r="F8" s="40"/>
      <x:c r="G8" s="40"/>
      <x:c r="H8" s="40" t="str">
        <x:f>IF(OR(G8="",I8=""),"",G8*I8)</x:f>
      </x:c>
      <x:c r="I8" s="44" t="n">
        <x:v>1</x:v>
      </x:c>
      <x:c r="J8" s="46" t="str">
        <x:v>шт.</x:v>
      </x:c>
      <x:c r="K8" s="46" t="str">
        <x:v>ABB</x:v>
      </x:c>
      <x:c r="L8" s="36" t="str">
        <x:v>Şema: 3(6)A — sayaç gerilim koruması.</x:v>
      </x:c>
    </x:row>
    <x:row r="9" ht="24" customHeight="1">
      <x:c r="A9" s="46" t="n">
        <x:v>5</x:v>
      </x:c>
      <x:c r="B9" s="33" t="str">
        <x:v>COSTA-LSP</x:v>
      </x:c>
      <x:c r="C9" s="33" t="str">
        <x:v>sigorta</x:v>
      </x:c>
      <x:c r="D9" s="33" t="str">
        <x:v>2CSM256363R1801</x:v>
      </x:c>
      <x:c r="E9" s="36" t="str">
        <x:v>ABB E9F10 GG6 — gG, 6 A, 10.3×38 mm; sayaç gerilim devresi</x:v>
      </x:c>
      <x:c r="F9" s="40"/>
      <x:c r="G9" s="40"/>
      <x:c r="H9" s="40" t="str">
        <x:f>IF(OR(G9="",I9=""),"",G9*I9)</x:f>
      </x:c>
      <x:c r="I9" s="44" t="n">
        <x:v>3</x:v>
      </x:c>
      <x:c r="J9" s="46" t="str">
        <x:v>шт.</x:v>
      </x:c>
      <x:c r="K9" s="46" t="str">
        <x:v>ABB</x:v>
      </x:c>
      <x:c r="L9" s="36" t="str">
        <x:v>Şema: 3(6)A.</x:v>
      </x:c>
    </x:row>
    <x:row r="10" ht="24" customHeight="1">
      <x:c r="A10" s="46" t="n">
        <x:v>6</x:v>
      </x:c>
      <x:c r="B10" s="33" t="str">
        <x:v>COSTA-LSP</x:v>
      </x:c>
      <x:c r="C10" s="33" t="str">
        <x:v>tt</x:v>
      </x:c>
      <x:c r="D10" s="33" t="str">
        <x:v>2CSG111110R1141</x:v>
      </x:c>
      <x:c r="E10" s="36" t="str">
        <x:v>ABB CTA/80 — akım trafosu 80/5 A, sınıf 0.5, 5 VA</x:v>
      </x:c>
      <x:c r="F10" s="40"/>
      <x:c r="G10" s="40"/>
      <x:c r="H10" s="40" t="str">
        <x:f>IF(OR(G10="",I10=""),"",G10*I10)</x:f>
      </x:c>
      <x:c r="I10" s="44" t="n">
        <x:v>3</x:v>
      </x:c>
      <x:c r="J10" s="46" t="str">
        <x:v>шт.</x:v>
      </x:c>
      <x:c r="K10" s="46" t="str">
        <x:v>ABB</x:v>
      </x:c>
      <x:c r="L10" s="36" t="str">
        <x:v>Şema: 80/5 A, 3 faz.</x:v>
      </x:c>
    </x:row>
    <x:row r="11" ht="42" customHeight="1">
      <x:c r="A11" s="46" t="n">
        <x:v>7</x:v>
      </x:c>
      <x:c r="B11" s="33" t="str">
        <x:v>COSTA-LSP</x:v>
      </x:c>
      <x:c r="C11" s="33" t="str">
        <x:v>sayac</x:v>
      </x:c>
      <x:c r="D11" s="33" t="str">
        <x:v>2CMA100178R1000</x:v>
      </x:c>
      <x:c r="E11" s="36" t="str">
        <x:v>ABB B24 112-100 — 3 faz CT bağlı enerji sayacı, 1/5(6) A, RS-485 Modbus</x:v>
      </x:c>
      <x:c r="F11" s="40"/>
      <x:c r="G11" s="40"/>
      <x:c r="H11" s="40" t="str">
        <x:f>IF(OR(G11="",I11=""),"",G11*I11)</x:f>
      </x:c>
      <x:c r="I11" s="44" t="n">
        <x:v>1</x:v>
      </x:c>
      <x:c r="J11" s="46" t="str">
        <x:v>шт.</x:v>
      </x:c>
      <x:c r="K11" s="46" t="str">
        <x:v>ABB</x:v>
      </x:c>
      <x:c r="L11" s="70" t="str">
        <x:v>KONTROL: şema CT=80/5 A gösteriyor; sayaç haberleşme/ölçüm fonksiyonu müşteri şartıyla teyit.</x:v>
      </x:c>
    </x:row>
    <x:row r="12" ht="24" customHeight="1">
      <x:c r="A12" s="46" t="n">
        <x:v>8</x:v>
      </x:c>
      <x:c r="B12" s="33" t="str">
        <x:v>COSTA-LSP</x:v>
      </x:c>
      <x:c r="C12" s="33" t="str">
        <x:v>sigorta yuvası</x:v>
      </x:c>
      <x:c r="D12" s="33" t="str">
        <x:v>2CSM204753R1801</x:v>
      </x:c>
      <x:c r="E12" s="36" t="str">
        <x:v>ABB E93/32 — 3P, 32 A, 10.3×38 mm sigorta yuvası; faz gösterge devresi</x:v>
      </x:c>
      <x:c r="F12" s="40"/>
      <x:c r="G12" s="40"/>
      <x:c r="H12" s="40" t="str">
        <x:f>IF(OR(G12="",I12=""),"",G12*I12)</x:f>
      </x:c>
      <x:c r="I12" s="44" t="n">
        <x:v>1</x:v>
      </x:c>
      <x:c r="J12" s="46" t="str">
        <x:v>шт.</x:v>
      </x:c>
      <x:c r="K12" s="46" t="str">
        <x:v>ABB</x:v>
      </x:c>
      <x:c r="L12" s="36" t="str">
        <x:v>Şema: ikinci 3(6)A grubu.</x:v>
      </x:c>
    </x:row>
    <x:row r="13" ht="24" customHeight="1">
      <x:c r="A13" s="46" t="n">
        <x:v>9</x:v>
      </x:c>
      <x:c r="B13" s="33" t="str">
        <x:v>COSTA-LSP</x:v>
      </x:c>
      <x:c r="C13" s="33" t="str">
        <x:v>sigorta</x:v>
      </x:c>
      <x:c r="D13" s="33" t="str">
        <x:v>2CSM256363R1801</x:v>
      </x:c>
      <x:c r="E13" s="36" t="str">
        <x:v>ABB E9F10 GG6 — gG, 6 A, 10.3×38 mm; faz gösterge devresi</x:v>
      </x:c>
      <x:c r="F13" s="40"/>
      <x:c r="G13" s="40"/>
      <x:c r="H13" s="40" t="str">
        <x:f>IF(OR(G13="",I13=""),"",G13*I13)</x:f>
      </x:c>
      <x:c r="I13" s="44" t="n">
        <x:v>3</x:v>
      </x:c>
      <x:c r="J13" s="46" t="str">
        <x:v>шт.</x:v>
      </x:c>
      <x:c r="K13" s="46" t="str">
        <x:v>ABB</x:v>
      </x:c>
      <x:c r="L13" s="36" t="str">
        <x:v>Şema: 3(6)A.</x:v>
      </x:c>
    </x:row>
    <x:row r="14" ht="24" customHeight="1">
      <x:c r="A14" s="46" t="n">
        <x:v>10</x:v>
      </x:c>
      <x:c r="B14" s="33" t="str">
        <x:v>COSTA-LSP</x:v>
      </x:c>
      <x:c r="C14" s="33" t="str">
        <x:v>sinyal lambası</x:v>
      </x:c>
      <x:c r="D14" s="33" t="str">
        <x:v>2CCA703402R0001</x:v>
      </x:c>
      <x:c r="E14" s="36" t="str">
        <x:v>ABB E219-D — yeşil LED faz var lambası, 115–250 V AC</x:v>
      </x:c>
      <x:c r="F14" s="40"/>
      <x:c r="G14" s="40"/>
      <x:c r="H14" s="40" t="str">
        <x:f>IF(OR(G14="",I14=""),"",G14*I14)</x:f>
      </x:c>
      <x:c r="I14" s="44" t="n">
        <x:v>3</x:v>
      </x:c>
      <x:c r="J14" s="46" t="str">
        <x:v>шт.</x:v>
      </x:c>
      <x:c r="K14" s="46" t="str">
        <x:v>ABB</x:v>
      </x:c>
      <x:c r="L14" s="70" t="str">
        <x:v>Şema: x3 faz göstergesi; panel ön görünüşünde 3 adet.</x:v>
      </x:c>
    </x:row>
    <x:row r="15" ht="24" customHeight="1">
      <x:c r="A15" s="46" t="n">
        <x:v>11</x:v>
      </x:c>
      <x:c r="B15" s="33" t="str">
        <x:v>COSTA-LSP</x:v>
      </x:c>
      <x:c r="C15" s="33" t="str">
        <x:v>sigorta yuvası</x:v>
      </x:c>
      <x:c r="D15" s="33" t="str">
        <x:v>2CSM277502R1801</x:v>
      </x:c>
      <x:c r="E15" s="36" t="str">
        <x:v>ABB E93/125 — 3P, 125 A, 22×58 mm sigorta yuvası; SPD yedek koruması</x:v>
      </x:c>
      <x:c r="F15" s="40"/>
      <x:c r="G15" s="40"/>
      <x:c r="H15" s="40" t="str">
        <x:f>IF(OR(G15="",I15=""),"",G15*I15)</x:f>
      </x:c>
      <x:c r="I15" s="44" t="n">
        <x:v>1</x:v>
      </x:c>
      <x:c r="J15" s="46" t="str">
        <x:v>шт.</x:v>
      </x:c>
      <x:c r="K15" s="46" t="str">
        <x:v>ABB</x:v>
      </x:c>
      <x:c r="L15" s="36" t="str">
        <x:v>Şema: 3(125)A; ABB SPD seçim tablosu ile uyumlu.</x:v>
      </x:c>
    </x:row>
    <x:row r="16" ht="24" customHeight="1">
      <x:c r="A16" s="46" t="n">
        <x:v>12</x:v>
      </x:c>
      <x:c r="B16" s="33" t="str">
        <x:v>COSTA-LSP</x:v>
      </x:c>
      <x:c r="C16" s="33" t="str">
        <x:v>sigorta</x:v>
      </x:c>
      <x:c r="D16" s="33" t="str">
        <x:v>2CSM258343R1801</x:v>
      </x:c>
      <x:c r="E16" s="36" t="str">
        <x:v>ABB E9F22 GG125 — gG, 125 A, 22×58 mm; SPD yedek koruma sigortası</x:v>
      </x:c>
      <x:c r="F16" s="40"/>
      <x:c r="G16" s="40"/>
      <x:c r="H16" s="40" t="str">
        <x:f>IF(OR(G16="",I16=""),"",G16*I16)</x:f>
      </x:c>
      <x:c r="I16" s="44" t="n">
        <x:v>3</x:v>
      </x:c>
      <x:c r="J16" s="46" t="str">
        <x:v>шт.</x:v>
      </x:c>
      <x:c r="K16" s="46" t="str">
        <x:v>ABB</x:v>
      </x:c>
      <x:c r="L16" s="36" t="str">
        <x:v>Şema: 3(125)A.</x:v>
      </x:c>
    </x:row>
    <x:row r="17" ht="42" customHeight="1">
      <x:c r="A17" s="46" t="n">
        <x:v>13</x:v>
      </x:c>
      <x:c r="B17" s="33" t="str">
        <x:v>COSTA-LSP</x:v>
      </x:c>
      <x:c r="C17" s="33" t="str">
        <x:v>UZİP</x:v>
      </x:c>
      <x:c r="D17" s="33" t="str">
        <x:v>2CTB815101R4500</x:v>
      </x:c>
      <x:c r="E17" s="36" t="str">
        <x:v>ABB OVR T1+2 3N 25-255 TS — Tip 1+2, 3P+N, Iimp 25 kA/pol; PF 50 kA (B+C) karşılığı</x:v>
      </x:c>
      <x:c r="F17" s="40"/>
      <x:c r="G17" s="40"/>
      <x:c r="H17" s="40" t="str">
        <x:f>IF(OR(G17="",I17=""),"",G17*I17)</x:f>
      </x:c>
      <x:c r="I17" s="44" t="n">
        <x:v>1</x:v>
      </x:c>
      <x:c r="J17" s="46" t="str">
        <x:v>шт.</x:v>
      </x:c>
      <x:c r="K17" s="46" t="str">
        <x:v>ABB</x:v>
      </x:c>
      <x:c r="L17" s="36" t="str">
        <x:v>KONTROL: şema PF 50kA (B+C). TNS/TT 3P+N kabul edildi; saha topraklama sistemi teyit.</x:v>
      </x:c>
    </x:row>
    <x:row r="18" ht="24" customHeight="1">
      <x:c r="A18" s="46" t="n">
        <x:v>14</x:v>
      </x:c>
      <x:c r="B18" s="33" t="str">
        <x:v>COSTA-LSP</x:v>
      </x:c>
      <x:c r="C18" s="33" t="str">
        <x:v>OTO</x:v>
      </x:c>
      <x:c r="D18" s="33" t="str">
        <x:v>2CDS253001R0164</x:v>
      </x:c>
      <x:c r="E18" s="36" t="str">
        <x:v>ABB S203-C16 — 3P, C16 A, 6 kA</x:v>
      </x:c>
      <x:c r="F18" s="40"/>
      <x:c r="G18" s="40"/>
      <x:c r="H18" s="40" t="str">
        <x:f>IF(OR(G18="",I18=""),"",G18*I18)</x:f>
      </x:c>
      <x:c r="I18" s="44" t="n">
        <x:v>2</x:v>
      </x:c>
      <x:c r="J18" s="46" t="str">
        <x:v>шт.</x:v>
      </x:c>
      <x:c r="K18" s="46" t="str">
        <x:v>ABB</x:v>
      </x:c>
      <x:c r="L18" s="36" t="str">
        <x:v>Şema: 1 adet aydınlatma grubu beslemesi + 1 adet 3 fazlı tüketici devresi.</x:v>
      </x:c>
    </x:row>
    <x:row r="19" ht="24" customHeight="1">
      <x:c r="A19" s="46" t="n">
        <x:v>15</x:v>
      </x:c>
      <x:c r="B19" s="33" t="str">
        <x:v>COSTA-LSP</x:v>
      </x:c>
      <x:c r="C19" s="33" t="str">
        <x:v>УЗО</x:v>
      </x:c>
      <x:c r="D19" s="33" t="str">
        <x:v>2CSF204101R1250</x:v>
      </x:c>
      <x:c r="E19" s="36" t="str">
        <x:v>ABB F204 A-25/0.03 — 4P, 25 A, 30 mA, Tip A</x:v>
      </x:c>
      <x:c r="F19" s="40"/>
      <x:c r="G19" s="40"/>
      <x:c r="H19" s="40" t="str">
        <x:f>IF(OR(G19="",I19=""),"",G19*I19)</x:f>
      </x:c>
      <x:c r="I19" s="44" t="n">
        <x:v>2</x:v>
      </x:c>
      <x:c r="J19" s="46" t="str">
        <x:v>шт.</x:v>
      </x:c>
      <x:c r="K19" s="46" t="str">
        <x:v>ABB</x:v>
      </x:c>
      <x:c r="L19" s="36" t="str">
        <x:v>Şema: 4P-25A 30mA ×2. Tip A seçildi.</x:v>
      </x:c>
    </x:row>
    <x:row r="20" ht="24" customHeight="1">
      <x:c r="A20" s="46" t="n">
        <x:v>16</x:v>
      </x:c>
      <x:c r="B20" s="33" t="str">
        <x:v>COSTA-LSP</x:v>
      </x:c>
      <x:c r="C20" s="33" t="str">
        <x:v>OTO</x:v>
      </x:c>
      <x:c r="D20" s="33" t="str">
        <x:v>2CDS251001R0105</x:v>
      </x:c>
      <x:c r="E20" s="36" t="str">
        <x:v>ABB S201-B10 — 1P, B10 A, 6 kA; aydınlatma çıkışları</x:v>
      </x:c>
      <x:c r="F20" s="40"/>
      <x:c r="G20" s="40"/>
      <x:c r="H20" s="40" t="str">
        <x:f>IF(OR(G20="",I20=""),"",G20*I20)</x:f>
      </x:c>
      <x:c r="I20" s="44" t="n">
        <x:v>6</x:v>
      </x:c>
      <x:c r="J20" s="46" t="str">
        <x:v>шт.</x:v>
      </x:c>
      <x:c r="K20" s="46" t="str">
        <x:v>ABB</x:v>
      </x:c>
      <x:c r="L20" s="36" t="str">
        <x:v>Şema: B/1×10A ×6.</x:v>
      </x:c>
    </x:row>
    <x:row r="21" ht="42" customHeight="1">
      <x:c r="A21" s="46" t="n">
        <x:v>17</x:v>
      </x:c>
      <x:c r="B21" s="33" t="str">
        <x:v>COSTA-LSP</x:v>
      </x:c>
      <x:c r="C21" s="33" t="str">
        <x:v>selector</x:v>
      </x:c>
      <x:c r="D21" s="33" t="str">
        <x:v>1SFA619200R1016</x:v>
      </x:c>
      <x:c r="E21" s="36" t="str">
        <x:v>ABB C2SS1-10B-10 — 2 konum sabit seçici, siyah, 1NO, 22 mm</x:v>
      </x:c>
      <x:c r="F21" s="40"/>
      <x:c r="G21" s="40"/>
      <x:c r="H21" s="40" t="str">
        <x:f>IF(OR(G21="",I21=""),"",G21*I21)</x:f>
      </x:c>
      <x:c r="I21" s="44" t="n">
        <x:v>4</x:v>
      </x:c>
      <x:c r="J21" s="46" t="str">
        <x:v>шт.</x:v>
      </x:c>
      <x:c r="K21" s="46" t="str">
        <x:v>ABB</x:v>
      </x:c>
      <x:c r="L21" s="70" t="str">
        <x:v>KONTROL: ilk 4 aydınlatma devresinde ve kapı görünüşünde 4 kumanda elemanı okunuyor; etiket/fonksiyon teyit.</x:v>
      </x:c>
    </x:row>
    <x:row r="22" ht="24" customHeight="1">
      <x:c r="A22" s="46" t="n">
        <x:v>18</x:v>
      </x:c>
      <x:c r="B22" s="33" t="str">
        <x:v>COSTA-LSP</x:v>
      </x:c>
      <x:c r="C22" s="33" t="str">
        <x:v>OTO</x:v>
      </x:c>
      <x:c r="D22" s="33" t="str">
        <x:v>2CDS251001R0164</x:v>
      </x:c>
      <x:c r="E22" s="36" t="str">
        <x:v>ABB S201-C16 — 1P, C16 A, 6 kA; priz/ekipman çıkışları</x:v>
      </x:c>
      <x:c r="F22" s="40"/>
      <x:c r="G22" s="40"/>
      <x:c r="H22" s="40" t="str">
        <x:f>IF(OR(G22="",I22=""),"",G22*I22)</x:f>
      </x:c>
      <x:c r="I22" s="44" t="n">
        <x:v>23</x:v>
      </x:c>
      <x:c r="J22" s="46" t="str">
        <x:v>шт.</x:v>
      </x:c>
      <x:c r="K22" s="46" t="str">
        <x:v>ABB</x:v>
      </x:c>
      <x:c r="L22" s="36" t="str">
        <x:v>Şemadan bağımsız sayım: 23 adet.</x:v>
      </x:c>
    </x:row>
    <x:row r="23" ht="24" customHeight="1">
      <x:c r="A23" s="46" t="n">
        <x:v>19</x:v>
      </x:c>
      <x:c r="B23" s="33" t="str">
        <x:v>COSTA-LSP</x:v>
      </x:c>
      <x:c r="C23" s="33" t="str">
        <x:v>OTO</x:v>
      </x:c>
      <x:c r="D23" s="33" t="str">
        <x:v>2CDS251001R0204</x:v>
      </x:c>
      <x:c r="E23" s="36" t="str">
        <x:v>ABB S201-C20 — 1P, C20 A, 6 kA; ekipman çıkışları</x:v>
      </x:c>
      <x:c r="F23" s="40"/>
      <x:c r="G23" s="40"/>
      <x:c r="H23" s="40" t="str">
        <x:f>IF(OR(G23="",I23=""),"",G23*I23)</x:f>
      </x:c>
      <x:c r="I23" s="44" t="n">
        <x:v>3</x:v>
      </x:c>
      <x:c r="J23" s="46" t="str">
        <x:v>шт.</x:v>
      </x:c>
      <x:c r="K23" s="46" t="str">
        <x:v>ABB</x:v>
      </x:c>
      <x:c r="L23" s="36" t="str">
        <x:v>Şemadan bağımsız sayım: 3 adet.</x:v>
      </x:c>
    </x:row>
    <x:row r="24" ht="24" customHeight="1">
      <x:c r="A24" s="46" t="n">
        <x:v>20</x:v>
      </x:c>
      <x:c r="B24" s="33" t="str">
        <x:v>COSTA-LSP</x:v>
      </x:c>
      <x:c r="C24" s="33" t="str">
        <x:v>OTO</x:v>
      </x:c>
      <x:c r="D24" s="33" t="str">
        <x:v>2CDS251001R0254</x:v>
      </x:c>
      <x:c r="E24" s="36" t="str">
        <x:v>ABB S201-C25 — 1P, C25 A, 6 kA; ekipman çıkışları</x:v>
      </x:c>
      <x:c r="F24" s="40"/>
      <x:c r="G24" s="40"/>
      <x:c r="H24" s="40" t="str">
        <x:f>IF(OR(G24="",I24=""),"",G24*I24)</x:f>
      </x:c>
      <x:c r="I24" s="44" t="n">
        <x:v>2</x:v>
      </x:c>
      <x:c r="J24" s="46" t="str">
        <x:v>шт.</x:v>
      </x:c>
      <x:c r="K24" s="46" t="str">
        <x:v>ABB</x:v>
      </x:c>
      <x:c r="L24" s="36" t="str">
        <x:v>Şemadan bağımsız sayım: 2 adet.</x:v>
      </x:c>
    </x:row>
    <x:row r="25" ht="42" customHeight="1">
      <x:c r="A25" s="46" t="n">
        <x:v>21</x:v>
      </x:c>
      <x:c r="B25" s="33" t="str">
        <x:v>COSTA-LSP</x:v>
      </x:c>
      <x:c r="C25" s="33" t="str">
        <x:v>OTO</x:v>
      </x:c>
      <x:c r="D25" s="33" t="str">
        <x:v>2CDS251001R0324</x:v>
      </x:c>
      <x:c r="E25" s="36" t="str">
        <x:v>ABB S201-C32 — 1P, C32 A, 6 kA; UPS giriş + by-pass hatları</x:v>
      </x:c>
      <x:c r="F25" s="40"/>
      <x:c r="G25" s="40"/>
      <x:c r="H25" s="40" t="str">
        <x:f>IF(OR(G25="",I25=""),"",G25*I25)</x:f>
      </x:c>
      <x:c r="I25" s="44" t="n">
        <x:v>2</x:v>
      </x:c>
      <x:c r="J25" s="46" t="str">
        <x:v>шт.</x:v>
      </x:c>
      <x:c r="K25" s="46" t="str">
        <x:v>ABB</x:v>
      </x:c>
      <x:c r="L25" s="36" t="str">
        <x:v>Şema: UPS besleme ve Bay-Pass için C/1×32A ×2; ayrı change-over cihazı çizilmemiş.</x:v>
      </x:c>
    </x:row>
    <x:row r="26" ht="24" customHeight="1">
      <x:c r="A26" s="46" t="n">
        <x:v>22</x:v>
      </x:c>
      <x:c r="B26" s="33" t="str">
        <x:v>COSTA-LSP</x:v>
      </x:c>
      <x:c r="C26" s="33" t="str">
        <x:v>УЗО</x:v>
      </x:c>
      <x:c r="D26" s="33" t="str">
        <x:v>2CSF202101R1250</x:v>
      </x:c>
      <x:c r="E26" s="36" t="str">
        <x:v>ABB F202 A-25/0.03 — 2P, 25 A, 30 mA, Tip A; priz/ekipman çıkışları</x:v>
      </x:c>
      <x:c r="F26" s="40"/>
      <x:c r="G26" s="40"/>
      <x:c r="H26" s="40" t="str">
        <x:f>IF(OR(G26="",I26=""),"",G26*I26)</x:f>
      </x:c>
      <x:c r="I26" s="44" t="n">
        <x:v>28</x:v>
      </x:c>
      <x:c r="J26" s="46" t="str">
        <x:v>шт.</x:v>
      </x:c>
      <x:c r="K26" s="46" t="str">
        <x:v>ABB</x:v>
      </x:c>
      <x:c r="L26" s="36" t="str">
        <x:v>Şemadan bağımsız sayım: 28 adet. Tip A seçildi.</x:v>
      </x:c>
    </x:row>
    <x:row r="27" ht="42" customHeight="1">
      <x:c r="A27" s="46" t="n">
        <x:v>23</x:v>
      </x:c>
      <x:c r="B27" s="33" t="str">
        <x:v>COSTA-LSP</x:v>
      </x:c>
      <x:c r="C27" s="33" t="str">
        <x:v>UPS</x:v>
      </x:c>
      <x:c r="D27" s="33" t="str">
        <x:v>KONTROL</x:v>
      </x:c>
      <x:c r="E27" s="36" t="str">
        <x:v>UPS 5 kVA, 1F/1F, 220 V — harici ekipman / ayrı tedarik</x:v>
      </x:c>
      <x:c r="F27" s="40"/>
      <x:c r="G27" s="40"/>
      <x:c r="H27" s="40" t="str">
        <x:f>IF(OR(G27="",I27=""),"",G27*I27)</x:f>
      </x:c>
      <x:c r="I27" s="44" t="n">
        <x:v>1</x:v>
      </x:c>
      <x:c r="J27" s="46" t="str">
        <x:v>шт.</x:v>
      </x:c>
      <x:c r="K27" s="46" t="str">
        <x:v>MÜŞTERİ / AYRI TEDARİK</x:v>
      </x:c>
      <x:c r="L27" s="70" t="str">
        <x:v>Şemada 5 kVA UPS 1PH/1PH 220V gösterilmiş; marka/model verilmemiş. Pano şalt fiyatına dahil edilmemeli.</x:v>
      </x:c>
    </x:row>
    <x:row r="28" ht="24" customHeight="1">
      <x:c r="A28" s="46" t="n">
        <x:v>24</x:v>
      </x:c>
      <x:c r="B28" s="33" t="str">
        <x:v>COSTA-LSP</x:v>
      </x:c>
      <x:c r="C28" s="33" t="str">
        <x:v>busbar</x:v>
      </x:c>
      <x:c r="D28" s="33" t="str"/>
      <x:c r="E28" s="36" t="str">
        <x:v>L1 bakır bara — Cu 3×20 mm; 80 A ana şaltere göre tam kesit</x:v>
      </x:c>
      <x:c r="F28" s="40"/>
      <x:c r="G28" s="40"/>
      <x:c r="H28" s="40" t="str">
        <x:f>IF(OR(G28="",I28=""),"",G28*I28)</x:f>
      </x:c>
      <x:c r="I28" s="44" t="n">
        <x:v>1.6</x:v>
      </x:c>
      <x:c r="J28" s="46" t="str">
        <x:v>м</x:v>
      </x:c>
      <x:c r="K28" s="46" t="str">
        <x:v>TEKLED</x:v>
      </x:c>
      <x:c r="L28" s="36" t="str">
        <x:v>ÖN METRAJ: 2×800 mm pano boyunca; yerleşim sonrası kesin metraj.</x:v>
      </x:c>
    </x:row>
    <x:row r="29" ht="24" customHeight="1">
      <x:c r="A29" s="46" t="n">
        <x:v>25</x:v>
      </x:c>
      <x:c r="B29" s="33" t="str">
        <x:v>COSTA-LSP</x:v>
      </x:c>
      <x:c r="C29" s="33" t="str">
        <x:v>busbar</x:v>
      </x:c>
      <x:c r="D29" s="33" t="str"/>
      <x:c r="E29" s="36" t="str">
        <x:v>L2 bakır bara — Cu 3×20 mm; 80 A ana şaltere göre tam kesit</x:v>
      </x:c>
      <x:c r="F29" s="40"/>
      <x:c r="G29" s="40"/>
      <x:c r="H29" s="40" t="str">
        <x:f>IF(OR(G29="",I29=""),"",G29*I29)</x:f>
      </x:c>
      <x:c r="I29" s="44" t="n">
        <x:v>1.6</x:v>
      </x:c>
      <x:c r="J29" s="46" t="str">
        <x:v>м</x:v>
      </x:c>
      <x:c r="K29" s="46" t="str">
        <x:v>TEKLED</x:v>
      </x:c>
      <x:c r="L29" s="36" t="str">
        <x:v>ÖN METRAJ: 2×800 mm pano boyunca; yerleşim sonrası kesin metraj.</x:v>
      </x:c>
    </x:row>
    <x:row r="30" ht="24" customHeight="1">
      <x:c r="A30" s="46" t="n">
        <x:v>26</x:v>
      </x:c>
      <x:c r="B30" s="33" t="str">
        <x:v>COSTA-LSP</x:v>
      </x:c>
      <x:c r="C30" s="33" t="str">
        <x:v>busbar</x:v>
      </x:c>
      <x:c r="D30" s="33" t="str"/>
      <x:c r="E30" s="36" t="str">
        <x:v>L3 bakır bara — Cu 3×20 mm; 80 A ana şaltere göre tam kesit</x:v>
      </x:c>
      <x:c r="F30" s="40"/>
      <x:c r="G30" s="40"/>
      <x:c r="H30" s="40" t="str">
        <x:f>IF(OR(G30="",I30=""),"",G30*I30)</x:f>
      </x:c>
      <x:c r="I30" s="44" t="n">
        <x:v>1.6</x:v>
      </x:c>
      <x:c r="J30" s="46" t="str">
        <x:v>м</x:v>
      </x:c>
      <x:c r="K30" s="46" t="str">
        <x:v>TEKLED</x:v>
      </x:c>
      <x:c r="L30" s="36" t="str">
        <x:v>ÖN METRAJ: 2×800 mm pano boyunca; yerleşim sonrası kesin metraj.</x:v>
      </x:c>
    </x:row>
    <x:row r="31" ht="24" customHeight="1">
      <x:c r="A31" s="46" t="n">
        <x:v>27</x:v>
      </x:c>
      <x:c r="B31" s="33" t="str">
        <x:v>COSTA-LSP</x:v>
      </x:c>
      <x:c r="C31" s="33" t="str">
        <x:v>N bara</x:v>
      </x:c>
      <x:c r="D31" s="33" t="str"/>
      <x:c r="E31" s="36" t="str">
        <x:v>N bakır bara — Cu 3×20 mm; 80 A ana şaltere göre tam kesit</x:v>
      </x:c>
      <x:c r="F31" s="40"/>
      <x:c r="G31" s="40"/>
      <x:c r="H31" s="40" t="str">
        <x:f>IF(OR(G31="",I31=""),"",G31*I31)</x:f>
      </x:c>
      <x:c r="I31" s="44" t="n">
        <x:v>1.6</x:v>
      </x:c>
      <x:c r="J31" s="46" t="str">
        <x:v>м</x:v>
      </x:c>
      <x:c r="K31" s="46" t="str">
        <x:v>TEKLED</x:v>
      </x:c>
      <x:c r="L31" s="36" t="str">
        <x:v>ÖN METRAJ: 2×800 mm pano boyunca; yerleşim sonrası kesin metraj.</x:v>
      </x:c>
    </x:row>
    <x:row r="32" ht="24" customHeight="1">
      <x:c r="A32" s="46" t="n">
        <x:v>28</x:v>
      </x:c>
      <x:c r="B32" s="33" t="str">
        <x:v>COSTA-LSP</x:v>
      </x:c>
      <x:c r="C32" s="33" t="str">
        <x:v>PE bara</x:v>
      </x:c>
      <x:c r="D32" s="33" t="str"/>
      <x:c r="E32" s="36" t="str">
        <x:v>PE bakır bara — Cu 3×20 mm; 80 A ana şaltere göre tam kesit</x:v>
      </x:c>
      <x:c r="F32" s="40"/>
      <x:c r="G32" s="40"/>
      <x:c r="H32" s="40" t="str">
        <x:f>IF(OR(G32="",I32=""),"",G32*I32)</x:f>
      </x:c>
      <x:c r="I32" s="44" t="n">
        <x:v>1.6</x:v>
      </x:c>
      <x:c r="J32" s="46" t="str">
        <x:v>м</x:v>
      </x:c>
      <x:c r="K32" s="46" t="str">
        <x:v>TEKLED</x:v>
      </x:c>
      <x:c r="L32" s="36" t="str">
        <x:v>ÖN METRAJ: 2×800 mm pano boyunca; yerleşim sonrası kesin metraj.</x:v>
      </x:c>
    </x:row>
    <x:row r="33" ht="24" customHeight="1">
      <x:c r="A33" s="46" t="n">
        <x:v>29</x:v>
      </x:c>
      <x:c r="B33" s="33" t="str">
        <x:v>COSTA-LSP</x:v>
      </x:c>
      <x:c r="C33" s="33" t="str">
        <x:v>klemens</x:v>
      </x:c>
      <x:c r="D33" s="33" t="str"/>
      <x:c r="E33" s="36" t="str">
        <x:v>CT kısa devre/test klemens seti — 3 faz akım trafosu + sayaç için</x:v>
      </x:c>
      <x:c r="F33" s="40"/>
      <x:c r="G33" s="40"/>
      <x:c r="H33" s="40" t="str">
        <x:f>IF(OR(G33="",I33=""),"",G33*I33)</x:f>
      </x:c>
      <x:c r="I33" s="44" t="n">
        <x:v>1</x:v>
      </x:c>
      <x:c r="J33" s="46" t="str">
        <x:v>набор</x:v>
      </x:c>
      <x:c r="K33" s="46" t="str">
        <x:v>KLEMSAN / muadil</x:v>
      </x:c>
      <x:c r="L33" s="36" t="str">
        <x:v>Sayaç bakım/test güvenliği için.</x:v>
      </x:c>
    </x:row>
    <x:row r="34" ht="24" customHeight="1">
      <x:c r="A34" s="46" t="n">
        <x:v>30</x:v>
      </x:c>
      <x:c r="B34" s="33" t="str">
        <x:v>COSTA-LSP</x:v>
      </x:c>
      <x:c r="C34" s="33" t="str">
        <x:v>klemens</x:v>
      </x:c>
      <x:c r="D34" s="33" t="str"/>
      <x:c r="E34" s="36" t="str">
        <x:v>Geçiş klemensi 2.5–4 mm² — faz çıkışları</x:v>
      </x:c>
      <x:c r="F34" s="40"/>
      <x:c r="G34" s="40"/>
      <x:c r="H34" s="40" t="str">
        <x:f>IF(OR(G34="",I34=""),"",G34*I34)</x:f>
      </x:c>
      <x:c r="I34" s="44" t="n">
        <x:v>40</x:v>
      </x:c>
      <x:c r="J34" s="46" t="str">
        <x:v>шт.</x:v>
      </x:c>
      <x:c r="K34" s="46" t="str">
        <x:v>KLEMSAN</x:v>
      </x:c>
      <x:c r="L34" s="36" t="str">
        <x:v>ÖN METRAJ: 35+ çıkış ve yedek.</x:v>
      </x:c>
    </x:row>
    <x:row r="35" ht="24" customHeight="1">
      <x:c r="A35" s="46" t="n">
        <x:v>31</x:v>
      </x:c>
      <x:c r="B35" s="33" t="str">
        <x:v>COSTA-LSP</x:v>
      </x:c>
      <x:c r="C35" s="33" t="str">
        <x:v>klemens N</x:v>
      </x:c>
      <x:c r="D35" s="33" t="str"/>
      <x:c r="E35" s="36" t="str">
        <x:v>Mavi geçiş klemensi 2.5–4 mm² — nötr çıkışları</x:v>
      </x:c>
      <x:c r="F35" s="40"/>
      <x:c r="G35" s="40"/>
      <x:c r="H35" s="40" t="str">
        <x:f>IF(OR(G35="",I35=""),"",G35*I35)</x:f>
      </x:c>
      <x:c r="I35" s="44" t="n">
        <x:v>40</x:v>
      </x:c>
      <x:c r="J35" s="46" t="str">
        <x:v>шт.</x:v>
      </x:c>
      <x:c r="K35" s="46" t="str">
        <x:v>KLEMSAN</x:v>
      </x:c>
      <x:c r="L35" s="36" t="str">
        <x:v>ÖN METRAJ.</x:v>
      </x:c>
    </x:row>
    <x:row r="36" ht="24" customHeight="1">
      <x:c r="A36" s="46" t="n">
        <x:v>32</x:v>
      </x:c>
      <x:c r="B36" s="33" t="str">
        <x:v>COSTA-LSP</x:v>
      </x:c>
      <x:c r="C36" s="33" t="str">
        <x:v>klemens PE</x:v>
      </x:c>
      <x:c r="D36" s="33" t="str"/>
      <x:c r="E36" s="36" t="str">
        <x:v>Sarı-yeşil PE klemensi 2.5–4 mm²</x:v>
      </x:c>
      <x:c r="F36" s="40"/>
      <x:c r="G36" s="40"/>
      <x:c r="H36" s="40" t="str">
        <x:f>IF(OR(G36="",I36=""),"",G36*I36)</x:f>
      </x:c>
      <x:c r="I36" s="44" t="n">
        <x:v>40</x:v>
      </x:c>
      <x:c r="J36" s="46" t="str">
        <x:v>шт.</x:v>
      </x:c>
      <x:c r="K36" s="46" t="str">
        <x:v>KLEMSAN</x:v>
      </x:c>
      <x:c r="L36" s="36" t="str">
        <x:v>ÖN METRAJ.</x:v>
      </x:c>
    </x:row>
    <x:row r="37" ht="24" customHeight="1">
      <x:c r="A37" s="46" t="n">
        <x:v>33</x:v>
      </x:c>
      <x:c r="B37" s="33" t="str">
        <x:v>COSTA-LSP</x:v>
      </x:c>
      <x:c r="C37" s="33" t="str">
        <x:v>DIN рейка</x:v>
      </x:c>
      <x:c r="D37" s="33" t="str"/>
      <x:c r="E37" s="36" t="str">
        <x:v>DIN ray TS35×7.5 mm, delikli</x:v>
      </x:c>
      <x:c r="F37" s="40"/>
      <x:c r="G37" s="40"/>
      <x:c r="H37" s="40" t="str">
        <x:f>IF(OR(G37="",I37=""),"",G37*I37)</x:f>
      </x:c>
      <x:c r="I37" s="44" t="n">
        <x:v>8</x:v>
      </x:c>
      <x:c r="J37" s="46" t="str">
        <x:v>м</x:v>
      </x:c>
      <x:c r="K37" s="46" t="str">
        <x:v>EKT / ONKA</x:v>
      </x:c>
      <x:c r="L37" s="36" t="str">
        <x:v>ÖN METRAJ: yerleşim sonrası kesinleştir.</x:v>
      </x:c>
    </x:row>
    <x:row r="38" ht="24" customHeight="1">
      <x:c r="A38" s="46" t="n">
        <x:v>34</x:v>
      </x:c>
      <x:c r="B38" s="33" t="str">
        <x:v>COSTA-LSP</x:v>
      </x:c>
      <x:c r="C38" s="33" t="str">
        <x:v>кабельный канал</x:v>
      </x:c>
      <x:c r="D38" s="33" t="str"/>
      <x:c r="E38" s="36" t="str">
        <x:v>Delikli kablo kanalı 60×80 / 40×60 mm, kapaklı</x:v>
      </x:c>
      <x:c r="F38" s="40"/>
      <x:c r="G38" s="40"/>
      <x:c r="H38" s="40" t="str">
        <x:f>IF(OR(G38="",I38=""),"",G38*I38)</x:f>
      </x:c>
      <x:c r="I38" s="44" t="n">
        <x:v>16</x:v>
      </x:c>
      <x:c r="J38" s="46" t="str">
        <x:v>м</x:v>
      </x:c>
      <x:c r="K38" s="46" t="str">
        <x:v>ONKA / EKT</x:v>
      </x:c>
      <x:c r="L38" s="36" t="str">
        <x:v>ÖN METRAJ: 2 bölümlü 2000×1600 pano için.</x:v>
      </x:c>
    </x:row>
    <x:row r="39" ht="24" customHeight="1">
      <x:c r="A39" s="46" t="n">
        <x:v>35</x:v>
      </x:c>
      <x:c r="B39" s="33" t="str">
        <x:v>COSTA-LSP</x:v>
      </x:c>
      <x:c r="C39" s="33" t="str">
        <x:v>iç kablo</x:v>
      </x:c>
      <x:c r="D39" s="33" t="str"/>
      <x:c r="E39" s="36" t="str">
        <x:v>H07V-K / NYAF Cu 25 mm² — ana devre ve bara bağlantıları</x:v>
      </x:c>
      <x:c r="F39" s="40"/>
      <x:c r="G39" s="40"/>
      <x:c r="H39" s="40" t="str">
        <x:f>IF(OR(G39="",I39=""),"",G39*I39)</x:f>
      </x:c>
      <x:c r="I39" s="44" t="n">
        <x:v>20</x:v>
      </x:c>
      <x:c r="J39" s="46" t="str">
        <x:v>м</x:v>
      </x:c>
      <x:c r="K39" s="46" t="str">
        <x:v>HARMONY</x:v>
      </x:c>
      <x:c r="L39" s="36" t="str">
        <x:v>ÖN METRAJ; giriş kablo kesiti ve terminal yapısına göre teyit.</x:v>
      </x:c>
    </x:row>
    <x:row r="40" ht="24" customHeight="1">
      <x:c r="A40" s="46" t="n">
        <x:v>36</x:v>
      </x:c>
      <x:c r="B40" s="33" t="str">
        <x:v>COSTA-LSP</x:v>
      </x:c>
      <x:c r="C40" s="33" t="str">
        <x:v>iç kablo</x:v>
      </x:c>
      <x:c r="D40" s="33" t="str"/>
      <x:c r="E40" s="36" t="str">
        <x:v>H07V-K / NYAF Cu 6 mm² — C32 / 3P C16 devre bağlantıları</x:v>
      </x:c>
      <x:c r="F40" s="40"/>
      <x:c r="G40" s="40"/>
      <x:c r="H40" s="40" t="str">
        <x:f>IF(OR(G40="",I40=""),"",G40*I40)</x:f>
      </x:c>
      <x:c r="I40" s="44" t="n">
        <x:v>40</x:v>
      </x:c>
      <x:c r="J40" s="46" t="str">
        <x:v>м</x:v>
      </x:c>
      <x:c r="K40" s="46" t="str">
        <x:v>HARMONY</x:v>
      </x:c>
      <x:c r="L40" s="70" t="str">
        <x:v>ÖN METRAJ.</x:v>
      </x:c>
    </x:row>
    <x:row r="41" ht="24" customHeight="1">
      <x:c r="A41" s="46" t="n">
        <x:v>37</x:v>
      </x:c>
      <x:c r="B41" s="33" t="str">
        <x:v>COSTA-LSP</x:v>
      </x:c>
      <x:c r="C41" s="33" t="str">
        <x:v>iç kablo</x:v>
      </x:c>
      <x:c r="D41" s="33" t="str"/>
      <x:c r="E41" s="36" t="str">
        <x:v>H07V-K / NYAF Cu 2.5 mm² — çıkış ve kumanda bağlantıları</x:v>
      </x:c>
      <x:c r="F41" s="40"/>
      <x:c r="G41" s="40"/>
      <x:c r="H41" s="40" t="str">
        <x:f>IF(OR(G41="",I41=""),"",G41*I41)</x:f>
      </x:c>
      <x:c r="I41" s="44" t="n">
        <x:v>150</x:v>
      </x:c>
      <x:c r="J41" s="46" t="str">
        <x:v>м</x:v>
      </x:c>
      <x:c r="K41" s="46" t="str">
        <x:v>HARMONY</x:v>
      </x:c>
      <x:c r="L41" s="36" t="str">
        <x:v>ÖN METRAJ.</x:v>
      </x:c>
    </x:row>
    <x:row r="42" ht="24" customHeight="1">
      <x:c r="A42" s="46" t="n">
        <x:v>38</x:v>
      </x:c>
      <x:c r="B42" s="33" t="str">
        <x:v>COSTA-LSP</x:v>
      </x:c>
      <x:c r="C42" s="33" t="str">
        <x:v>kablo ucu</x:v>
      </x:c>
      <x:c r="D42" s="33" t="str"/>
      <x:c r="E42" s="36" t="str">
        <x:v>Yüksük, pabuç, ısı makaron ve kablo bağı seti</x:v>
      </x:c>
      <x:c r="F42" s="40"/>
      <x:c r="G42" s="40"/>
      <x:c r="H42" s="40" t="str">
        <x:f>IF(OR(G42="",I42=""),"",G42*I42)</x:f>
      </x:c>
      <x:c r="I42" s="44" t="n">
        <x:v>1</x:v>
      </x:c>
      <x:c r="J42" s="46" t="str">
        <x:v>набор</x:v>
      </x:c>
      <x:c r="K42" s="46" t="str">
        <x:v>EKT / KLEMSAN</x:v>
      </x:c>
      <x:c r="L42" s="36" t="str">
        <x:v>25 / 6 / 2.5 mm² kablolama için.</x:v>
      </x:c>
    </x:row>
    <x:row r="43" ht="24" customHeight="1">
      <x:c r="A43" s="46" t="n">
        <x:v>39</x:v>
      </x:c>
      <x:c r="B43" s="33" t="str">
        <x:v>COSTA-LSP</x:v>
      </x:c>
      <x:c r="C43" s="33" t="str">
        <x:v>etiket</x:v>
      </x:c>
      <x:c r="D43" s="33" t="str"/>
      <x:c r="E43" s="36" t="str">
        <x:v>Pano, cihaz, devre, klemens ve tehlike etiket seti</x:v>
      </x:c>
      <x:c r="F43" s="40"/>
      <x:c r="G43" s="40"/>
      <x:c r="H43" s="40" t="str">
        <x:f>IF(OR(G43="",I43=""),"",G43*I43)</x:f>
      </x:c>
      <x:c r="I43" s="44" t="n">
        <x:v>1</x:v>
      </x:c>
      <x:c r="J43" s="46" t="str">
        <x:v>набор</x:v>
      </x:c>
      <x:c r="K43" s="46" t="str">
        <x:v>TEKLED</x:v>
      </x:c>
      <x:c r="L43" s="36" t="str">
        <x:v>COSTA-LSP ve devre kodları.</x:v>
      </x:c>
    </x:row>
    <x:row r="44" ht="24" customHeight="1">
      <x:c r="A44" s="46" t="n">
        <x:v>40</x:v>
      </x:c>
      <x:c r="B44" s="33" t="str">
        <x:v>COSTA-LSP</x:v>
      </x:c>
      <x:c r="C44" s="33" t="str">
        <x:v>kablo girişi</x:v>
      </x:c>
      <x:c r="D44" s="33" t="str"/>
      <x:c r="E44" s="36" t="str">
        <x:v>Rakor / kablo giriş plakası seti — giriş/çıkış kablolarına göre</x:v>
      </x:c>
      <x:c r="F44" s="40"/>
      <x:c r="G44" s="40"/>
      <x:c r="H44" s="40" t="str">
        <x:f>IF(OR(G44="",I44=""),"",G44*I44)</x:f>
      </x:c>
      <x:c r="I44" s="44" t="n">
        <x:v>1</x:v>
      </x:c>
      <x:c r="J44" s="46" t="str">
        <x:v>набор</x:v>
      </x:c>
      <x:c r="K44" s="46" t="str">
        <x:v>EKT / TEKLED</x:v>
      </x:c>
      <x:c r="L44" s="36" t="str">
        <x:v>KONTROL: saha kablo çaplarına göre kesinleştir.</x:v>
      </x:c>
    </x:row>
    <x:row r="45" ht="42" customHeight="1">
      <x:c r="A45" s="46" t="n">
        <x:v>41</x:v>
      </x:c>
      <x:c r="B45" s="33" t="str">
        <x:v>COSTA-LSP</x:v>
      </x:c>
      <x:c r="C45" s="33" t="str">
        <x:v>Монтажный материал</x:v>
      </x:c>
      <x:c r="D45" s="33" t="str"/>
      <x:c r="E45" s="36" t="str">
        <x:v>Vida, somun, pul, kablo bağı, spiral, izolatör, köprü, destek ve genel montaj sarfı</x:v>
      </x:c>
      <x:c r="F45" s="40"/>
      <x:c r="G45" s="40"/>
      <x:c r="H45" s="40" t="str">
        <x:f>IF(OR(G45="",I45=""),"",G45*I45)</x:f>
      </x:c>
      <x:c r="I45" s="44" t="n">
        <x:v>1</x:v>
      </x:c>
      <x:c r="J45" s="46" t="str">
        <x:v>набор</x:v>
      </x:c>
      <x:c r="K45" s="46" t="str">
        <x:v>EKT / ONKA / KLEMSAN</x:v>
      </x:c>
      <x:c r="L45" s="36" t="str">
        <x:v>Bir pano için.</x:v>
      </x:c>
    </x:row>
    <x:row r="46" ht="42" customHeight="1">
      <x:c r="A46" s="46" t="n">
        <x:v>42</x:v>
      </x:c>
      <x:c r="B46" s="33" t="str">
        <x:v>COSTA-LSP</x:v>
      </x:c>
      <x:c r="C46" s="33" t="str">
        <x:v>Монтажные работы</x:v>
      </x:c>
      <x:c r="D46" s="33" t="str"/>
      <x:c r="E46" s="36" t="str">
        <x:v>Mekanik montaj, ABB cihaz montajı, bara/kablaj, etiketleme, torklama ve rutin test</x:v>
      </x:c>
      <x:c r="F46" s="40"/>
      <x:c r="G46" s="40"/>
      <x:c r="H46" s="40" t="str">
        <x:f>IF(OR(G46="",I46=""),"",G46*I46)</x:f>
      </x:c>
      <x:c r="I46" s="44" t="n">
        <x:v>1</x:v>
      </x:c>
      <x:c r="J46" s="46" t="str">
        <x:v>работа</x:v>
      </x:c>
      <x:c r="K46" s="46" t="str">
        <x:v>TEKLED</x:v>
      </x:c>
      <x:c r="L46" s="36" t="str">
        <x:v>IEC 61439 rutin kontrol kayıtları dahil.</x:v>
      </x:c>
    </x:row>
    <x:row r="47" ht="40" customHeight="1">
      <x:c r="A47" s="58" t="n">
        <x:v>43</x:v>
      </x:c>
      <x:c r="B47" s="59" t="str">
        <x:v>UP</x:v>
      </x:c>
      <x:c r="C47" s="59" t="str">
        <x:v>PANO</x:v>
      </x:c>
      <x:c r="D47" s="59" t="str"/>
      <x:c r="E47" s="60" t="str">
        <x:v>UP — UPS distribution board; ABB şaltlı; 1F+N+PE, 230 V; giriş C32; 4 çıkış</x:v>
      </x:c>
      <x:c r="F47" s="61"/>
      <x:c r="G47" s="61"/>
      <x:c r="H47" s="61" t="str">
        <x:f>IF(COUNT(H48:H63)=0,"",SUM(H48:H63))</x:f>
      </x:c>
      <x:c r="I47" s="62" t="n">
        <x:v>1</x:v>
      </x:c>
      <x:c r="J47" s="58" t="str">
        <x:v>компл.</x:v>
      </x:c>
      <x:c r="K47" s="58" t="str">
        <x:v>TEKLED</x:v>
      </x:c>
      <x:c r="L47" s="60" t="str">
        <x:v>Pano komplekt satırı. İç malzemeler 1 pano içindir.</x:v>
      </x:c>
    </x:row>
    <x:row r="48" ht="42" customHeight="1">
      <x:c r="A48" s="46" t="n">
        <x:v>44</x:v>
      </x:c>
      <x:c r="B48" s="33" t="str">
        <x:v>UP</x:v>
      </x:c>
      <x:c r="C48" s="33" t="str">
        <x:v>korpus</x:v>
      </x:c>
      <x:c r="D48" s="33" t="str">
        <x:v>ENTEGRE-BOLUM</x:v>
      </x:c>
      <x:c r="E48" s="36" t="str">
        <x:v>COSTA-LSP korpusu içinde ayrılmış UPS dağıtım bölümü; ayrı korpus şemada gösterilmemiş</x:v>
      </x:c>
      <x:c r="F48" s="40"/>
      <x:c r="G48" s="40"/>
      <x:c r="H48" s="40" t="str">
        <x:f>IF(OR(G48="",I48=""),"",G48*I48)</x:f>
      </x:c>
      <x:c r="I48" s="44" t="n">
        <x:v>1</x:v>
      </x:c>
      <x:c r="J48" s="46" t="str">
        <x:v>секция</x:v>
      </x:c>
      <x:c r="K48" s="46" t="str">
        <x:v>TEKLED</x:v>
      </x:c>
      <x:c r="L48" s="70" t="str">
        <x:v>KONTROL: ayrı UP korpusu çizimde yok. Ayrı pano istenirse ölçü yerleşimden sonra seçilecek.</x:v>
      </x:c>
    </x:row>
    <x:row r="49" ht="24" customHeight="1">
      <x:c r="A49" s="46" t="n">
        <x:v>45</x:v>
      </x:c>
      <x:c r="B49" s="33" t="str">
        <x:v>UP</x:v>
      </x:c>
      <x:c r="C49" s="33" t="str">
        <x:v>OTO</x:v>
      </x:c>
      <x:c r="D49" s="33" t="str">
        <x:v>2CDS251001R0324</x:v>
      </x:c>
      <x:c r="E49" s="36" t="str">
        <x:v>ABB S201-C32 — 1P, C32 A, 6 kA; UPS çıkışı / UP ana giriş</x:v>
      </x:c>
      <x:c r="F49" s="40"/>
      <x:c r="G49" s="40"/>
      <x:c r="H49" s="40" t="str">
        <x:f>IF(OR(G49="",I49=""),"",G49*I49)</x:f>
      </x:c>
      <x:c r="I49" s="44" t="n">
        <x:v>1</x:v>
      </x:c>
      <x:c r="J49" s="46" t="str">
        <x:v>шт.</x:v>
      </x:c>
      <x:c r="K49" s="46" t="str">
        <x:v>ABB</x:v>
      </x:c>
      <x:c r="L49" s="36" t="str">
        <x:v>Şema: C/1×32A.</x:v>
      </x:c>
    </x:row>
    <x:row r="50" ht="24" customHeight="1">
      <x:c r="A50" s="46" t="n">
        <x:v>46</x:v>
      </x:c>
      <x:c r="B50" s="33" t="str">
        <x:v>UP</x:v>
      </x:c>
      <x:c r="C50" s="33" t="str">
        <x:v>OTO</x:v>
      </x:c>
      <x:c r="D50" s="33" t="str">
        <x:v>2CDS251001R0164</x:v>
      </x:c>
      <x:c r="E50" s="36" t="str">
        <x:v>ABB S201-C16 — 1P, C16 A, 6 kA; UPS çıkış devreleri</x:v>
      </x:c>
      <x:c r="F50" s="40"/>
      <x:c r="G50" s="40"/>
      <x:c r="H50" s="40" t="str">
        <x:f>IF(OR(G50="",I50=""),"",G50*I50)</x:f>
      </x:c>
      <x:c r="I50" s="44" t="n">
        <x:v>4</x:v>
      </x:c>
      <x:c r="J50" s="46" t="str">
        <x:v>шт.</x:v>
      </x:c>
      <x:c r="K50" s="46" t="str">
        <x:v>ABB</x:v>
      </x:c>
      <x:c r="L50" s="36" t="str">
        <x:v>Şema: C/1×16A ×4.</x:v>
      </x:c>
    </x:row>
    <x:row r="51" ht="24" customHeight="1">
      <x:c r="A51" s="46" t="n">
        <x:v>47</x:v>
      </x:c>
      <x:c r="B51" s="33" t="str">
        <x:v>UP</x:v>
      </x:c>
      <x:c r="C51" s="33" t="str">
        <x:v>УЗО</x:v>
      </x:c>
      <x:c r="D51" s="33" t="str">
        <x:v>2CSF202101R1250</x:v>
      </x:c>
      <x:c r="E51" s="36" t="str">
        <x:v>ABB F202 A-25/0.03 — 2P, 25 A, 30 mA, Tip A</x:v>
      </x:c>
      <x:c r="F51" s="40"/>
      <x:c r="G51" s="40"/>
      <x:c r="H51" s="40" t="str">
        <x:f>IF(OR(G51="",I51=""),"",G51*I51)</x:f>
      </x:c>
      <x:c r="I51" s="44" t="n">
        <x:v>4</x:v>
      </x:c>
      <x:c r="J51" s="46" t="str">
        <x:v>шт.</x:v>
      </x:c>
      <x:c r="K51" s="46" t="str">
        <x:v>ABB</x:v>
      </x:c>
      <x:c r="L51" s="36" t="str">
        <x:v>Şema: 2P-25A 30mA ×4.</x:v>
      </x:c>
    </x:row>
    <x:row r="52" ht="24" customHeight="1">
      <x:c r="A52" s="46" t="n">
        <x:v>48</x:v>
      </x:c>
      <x:c r="B52" s="33" t="str">
        <x:v>UP</x:v>
      </x:c>
      <x:c r="C52" s="33" t="str">
        <x:v>N bara</x:v>
      </x:c>
      <x:c r="D52" s="33" t="str"/>
      <x:c r="E52" s="36" t="str">
        <x:v>İzole nötr barası, min. 10 bağlantı</x:v>
      </x:c>
      <x:c r="F52" s="40"/>
      <x:c r="G52" s="40"/>
      <x:c r="H52" s="40" t="str">
        <x:f>IF(OR(G52="",I52=""),"",G52*I52)</x:f>
      </x:c>
      <x:c r="I52" s="44" t="n">
        <x:v>1</x:v>
      </x:c>
      <x:c r="J52" s="46" t="str">
        <x:v>шт.</x:v>
      </x:c>
      <x:c r="K52" s="46" t="str">
        <x:v>EKT / KLEMSAN</x:v>
      </x:c>
      <x:c r="L52" s="36" t="str">
        <x:v>4 çıkış + giriş için.</x:v>
      </x:c>
    </x:row>
    <x:row r="53" ht="24" customHeight="1">
      <x:c r="A53" s="46" t="n">
        <x:v>49</x:v>
      </x:c>
      <x:c r="B53" s="33" t="str">
        <x:v>UP</x:v>
      </x:c>
      <x:c r="C53" s="33" t="str">
        <x:v>PE bara</x:v>
      </x:c>
      <x:c r="D53" s="33" t="str"/>
      <x:c r="E53" s="36" t="str">
        <x:v>Topraklama barası, min. 10 bağlantı</x:v>
      </x:c>
      <x:c r="F53" s="40"/>
      <x:c r="G53" s="40"/>
      <x:c r="H53" s="40" t="str">
        <x:f>IF(OR(G53="",I53=""),"",G53*I53)</x:f>
      </x:c>
      <x:c r="I53" s="44" t="n">
        <x:v>1</x:v>
      </x:c>
      <x:c r="J53" s="46" t="str">
        <x:v>шт.</x:v>
      </x:c>
      <x:c r="K53" s="46" t="str">
        <x:v>EKT / KLEMSAN</x:v>
      </x:c>
      <x:c r="L53" s="36" t="str">
        <x:v>4 çıkış + giriş için.</x:v>
      </x:c>
    </x:row>
    <x:row r="54" ht="24" customHeight="1">
      <x:c r="A54" s="46" t="n">
        <x:v>50</x:v>
      </x:c>
      <x:c r="B54" s="33" t="str">
        <x:v>UP</x:v>
      </x:c>
      <x:c r="C54" s="33" t="str">
        <x:v>klemens</x:v>
      </x:c>
      <x:c r="D54" s="33" t="str"/>
      <x:c r="E54" s="36" t="str">
        <x:v>Geçiş klemensi 2.5–4 mm² — faz çıkışları</x:v>
      </x:c>
      <x:c r="F54" s="40"/>
      <x:c r="G54" s="40"/>
      <x:c r="H54" s="40" t="str">
        <x:f>IF(OR(G54="",I54=""),"",G54*I54)</x:f>
      </x:c>
      <x:c r="I54" s="44" t="n">
        <x:v>4</x:v>
      </x:c>
      <x:c r="J54" s="46" t="str">
        <x:v>шт.</x:v>
      </x:c>
      <x:c r="K54" s="46" t="str">
        <x:v>KLEMSAN</x:v>
      </x:c>
      <x:c r="L54" s="36" t="str">
        <x:v>4 çıkış.</x:v>
      </x:c>
    </x:row>
    <x:row r="55" ht="24" customHeight="1">
      <x:c r="A55" s="46" t="n">
        <x:v>51</x:v>
      </x:c>
      <x:c r="B55" s="33" t="str">
        <x:v>UP</x:v>
      </x:c>
      <x:c r="C55" s="33" t="str">
        <x:v>klemens N</x:v>
      </x:c>
      <x:c r="D55" s="33" t="str"/>
      <x:c r="E55" s="36" t="str">
        <x:v>Mavi geçiş klemensi 2.5–4 mm²</x:v>
      </x:c>
      <x:c r="F55" s="40"/>
      <x:c r="G55" s="40"/>
      <x:c r="H55" s="40" t="str">
        <x:f>IF(OR(G55="",I55=""),"",G55*I55)</x:f>
      </x:c>
      <x:c r="I55" s="44" t="n">
        <x:v>4</x:v>
      </x:c>
      <x:c r="J55" s="46" t="str">
        <x:v>шт.</x:v>
      </x:c>
      <x:c r="K55" s="46" t="str">
        <x:v>KLEMSAN</x:v>
      </x:c>
      <x:c r="L55" s="36" t="str">
        <x:v>4 çıkış.</x:v>
      </x:c>
    </x:row>
    <x:row r="56" ht="24" customHeight="1">
      <x:c r="A56" s="46" t="n">
        <x:v>52</x:v>
      </x:c>
      <x:c r="B56" s="33" t="str">
        <x:v>UP</x:v>
      </x:c>
      <x:c r="C56" s="33" t="str">
        <x:v>klemens PE</x:v>
      </x:c>
      <x:c r="D56" s="33" t="str"/>
      <x:c r="E56" s="36" t="str">
        <x:v>Sarı-yeşil PE klemensi 2.5–4 mm²</x:v>
      </x:c>
      <x:c r="F56" s="40"/>
      <x:c r="G56" s="40"/>
      <x:c r="H56" s="40" t="str">
        <x:f>IF(OR(G56="",I56=""),"",G56*I56)</x:f>
      </x:c>
      <x:c r="I56" s="44" t="n">
        <x:v>4</x:v>
      </x:c>
      <x:c r="J56" s="46" t="str">
        <x:v>шт.</x:v>
      </x:c>
      <x:c r="K56" s="46" t="str">
        <x:v>KLEMSAN</x:v>
      </x:c>
      <x:c r="L56" s="36" t="str">
        <x:v>4 çıkış.</x:v>
      </x:c>
    </x:row>
    <x:row r="57" ht="24" customHeight="1">
      <x:c r="A57" s="46" t="n">
        <x:v>53</x:v>
      </x:c>
      <x:c r="B57" s="33" t="str">
        <x:v>UP</x:v>
      </x:c>
      <x:c r="C57" s="33" t="str">
        <x:v>DIN рейка</x:v>
      </x:c>
      <x:c r="D57" s="33" t="str"/>
      <x:c r="E57" s="36" t="str">
        <x:v>DIN ray TS35×7.5 mm, delikli</x:v>
      </x:c>
      <x:c r="F57" s="40"/>
      <x:c r="G57" s="40"/>
      <x:c r="H57" s="40" t="str">
        <x:f>IF(OR(G57="",I57=""),"",G57*I57)</x:f>
      </x:c>
      <x:c r="I57" s="44" t="n">
        <x:v>1.5</x:v>
      </x:c>
      <x:c r="J57" s="46" t="str">
        <x:v>м</x:v>
      </x:c>
      <x:c r="K57" s="46" t="str">
        <x:v>EKT / ONKA</x:v>
      </x:c>
      <x:c r="L57" s="36" t="str">
        <x:v>ÖN METRAJ.</x:v>
      </x:c>
    </x:row>
    <x:row r="58" ht="24" customHeight="1">
      <x:c r="A58" s="46" t="n">
        <x:v>54</x:v>
      </x:c>
      <x:c r="B58" s="33" t="str">
        <x:v>UP</x:v>
      </x:c>
      <x:c r="C58" s="33" t="str">
        <x:v>кабельный канал</x:v>
      </x:c>
      <x:c r="D58" s="33" t="str"/>
      <x:c r="E58" s="36" t="str">
        <x:v>Delikli kablo kanalı 40×60 mm, kapaklı</x:v>
      </x:c>
      <x:c r="F58" s="40"/>
      <x:c r="G58" s="40"/>
      <x:c r="H58" s="40" t="str">
        <x:f>IF(OR(G58="",I58=""),"",G58*I58)</x:f>
      </x:c>
      <x:c r="I58" s="44" t="n">
        <x:v>2</x:v>
      </x:c>
      <x:c r="J58" s="46" t="str">
        <x:v>м</x:v>
      </x:c>
      <x:c r="K58" s="46" t="str">
        <x:v>ONKA / EKT</x:v>
      </x:c>
      <x:c r="L58" s="36" t="str">
        <x:v>ÖN METRAJ.</x:v>
      </x:c>
    </x:row>
    <x:row r="59" ht="24" customHeight="1">
      <x:c r="A59" s="46" t="n">
        <x:v>55</x:v>
      </x:c>
      <x:c r="B59" s="33" t="str">
        <x:v>UP</x:v>
      </x:c>
      <x:c r="C59" s="33" t="str">
        <x:v>iç kablo</x:v>
      </x:c>
      <x:c r="D59" s="33" t="str"/>
      <x:c r="E59" s="36" t="str">
        <x:v>H07V-K / NYAF Cu 6 mm² — C32 ana besleme</x:v>
      </x:c>
      <x:c r="F59" s="40"/>
      <x:c r="G59" s="40"/>
      <x:c r="H59" s="40" t="str">
        <x:f>IF(OR(G59="",I59=""),"",G59*I59)</x:f>
      </x:c>
      <x:c r="I59" s="44" t="n">
        <x:v>8</x:v>
      </x:c>
      <x:c r="J59" s="46" t="str">
        <x:v>м</x:v>
      </x:c>
      <x:c r="K59" s="46" t="str">
        <x:v>HARMONY</x:v>
      </x:c>
      <x:c r="L59" s="36" t="str">
        <x:v>ÖN METRAJ.</x:v>
      </x:c>
    </x:row>
    <x:row r="60" ht="24" customHeight="1">
      <x:c r="A60" s="46" t="n">
        <x:v>56</x:v>
      </x:c>
      <x:c r="B60" s="33" t="str">
        <x:v>UP</x:v>
      </x:c>
      <x:c r="C60" s="33" t="str">
        <x:v>iç kablo</x:v>
      </x:c>
      <x:c r="D60" s="33" t="str"/>
      <x:c r="E60" s="36" t="str">
        <x:v>H07V-K / NYAF Cu 2.5 mm² — 4 çıkış devresi</x:v>
      </x:c>
      <x:c r="F60" s="40"/>
      <x:c r="G60" s="40"/>
      <x:c r="H60" s="40" t="str">
        <x:f>IF(OR(G60="",I60=""),"",G60*I60)</x:f>
      </x:c>
      <x:c r="I60" s="44" t="n">
        <x:v>20</x:v>
      </x:c>
      <x:c r="J60" s="46" t="str">
        <x:v>м</x:v>
      </x:c>
      <x:c r="K60" s="46" t="str">
        <x:v>HARMONY</x:v>
      </x:c>
      <x:c r="L60" s="36" t="str">
        <x:v>ÖN METRAJ.</x:v>
      </x:c>
    </x:row>
    <x:row r="61" ht="24" customHeight="1">
      <x:c r="A61" s="46" t="n">
        <x:v>57</x:v>
      </x:c>
      <x:c r="B61" s="33" t="str">
        <x:v>UP</x:v>
      </x:c>
      <x:c r="C61" s="33" t="str">
        <x:v>etiket</x:v>
      </x:c>
      <x:c r="D61" s="33" t="str"/>
      <x:c r="E61" s="36" t="str">
        <x:v>UP pano, cihaz, devre ve klemens etiket seti</x:v>
      </x:c>
      <x:c r="F61" s="40"/>
      <x:c r="G61" s="40"/>
      <x:c r="H61" s="40" t="str">
        <x:f>IF(OR(G61="",I61=""),"",G61*I61)</x:f>
      </x:c>
      <x:c r="I61" s="44" t="n">
        <x:v>1</x:v>
      </x:c>
      <x:c r="J61" s="46" t="str">
        <x:v>набор</x:v>
      </x:c>
      <x:c r="K61" s="46" t="str">
        <x:v>TEKLED</x:v>
      </x:c>
      <x:c r="L61" s="36" t="str"/>
    </x:row>
    <x:row r="62" ht="24" customHeight="1">
      <x:c r="A62" s="46" t="n">
        <x:v>58</x:v>
      </x:c>
      <x:c r="B62" s="33" t="str">
        <x:v>UP</x:v>
      </x:c>
      <x:c r="C62" s="33" t="str">
        <x:v>Монтажный материал</x:v>
      </x:c>
      <x:c r="D62" s="33" t="str"/>
      <x:c r="E62" s="36" t="str">
        <x:v>Vida, somun, pul, kablo bağı, spiral ve genel montaj sarfı</x:v>
      </x:c>
      <x:c r="F62" s="40"/>
      <x:c r="G62" s="40"/>
      <x:c r="H62" s="40" t="str">
        <x:f>IF(OR(G62="",I62=""),"",G62*I62)</x:f>
      </x:c>
      <x:c r="I62" s="44" t="n">
        <x:v>1</x:v>
      </x:c>
      <x:c r="J62" s="46" t="str">
        <x:v>набор</x:v>
      </x:c>
      <x:c r="K62" s="46" t="str">
        <x:v>EKT / ONKA / KLEMSAN</x:v>
      </x:c>
      <x:c r="L62" s="36" t="str">
        <x:v>Bir pano için.</x:v>
      </x:c>
    </x:row>
    <x:row r="63" ht="24" customHeight="1">
      <x:c r="A63" s="46" t="n">
        <x:v>59</x:v>
      </x:c>
      <x:c r="B63" s="33" t="str">
        <x:v>UP</x:v>
      </x:c>
      <x:c r="C63" s="33" t="str">
        <x:v>Монтажные работы</x:v>
      </x:c>
      <x:c r="D63" s="33" t="str"/>
      <x:c r="E63" s="36" t="str">
        <x:v>Mekanik montaj, ABB cihaz montajı, iç kablolama, etiketleme ve rutin test</x:v>
      </x:c>
      <x:c r="F63" s="40"/>
      <x:c r="G63" s="40"/>
      <x:c r="H63" s="40" t="str">
        <x:f>IF(OR(G63="",I63=""),"",G63*I63)</x:f>
      </x:c>
      <x:c r="I63" s="44" t="n">
        <x:v>1</x:v>
      </x:c>
      <x:c r="J63" s="46" t="str">
        <x:v>работа</x:v>
      </x:c>
      <x:c r="K63" s="46" t="str">
        <x:v>TEKLED</x:v>
      </x:c>
      <x:c r="L63" s="36" t="str">
        <x:v>IEC 61439 rutin kontrol kayıtları dahil.</x:v>
      </x:c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3" hidden="0" customWidth="1"/>
    <x:col min="5" max="5" width="13" hidden="0" customWidth="1"/>
    <x:col min="6" max="6" width="12" hidden="0" customWidth="1"/>
  </x:cols>
  <x:sheetData>
    <x:row r="1" ht="28" customHeight="1">
      <x:c r="A1" s="74" t="str">
        <x:v>BAĞIMSIZ BOM KONTROLÜ · ŞEMA SAYIMI ↔ BOM</x:v>
      </x:c>
      <x:c r="B1" s="74"/>
      <x:c r="C1" s="74"/>
      <x:c r="D1" s="74"/>
      <x:c r="E1" s="74"/>
      <x:c r="F1" s="74"/>
    </x:row>
    <x:row r="3">
      <x:c r="A3" s="79" t="str">
        <x:v>Pano</x:v>
      </x:c>
      <x:c r="B3" s="79" t="str">
        <x:v>Kontrol kalemi</x:v>
      </x:c>
      <x:c r="C3" s="79" t="str">
        <x:v>Ürün kodu</x:v>
      </x:c>
      <x:c r="D3" s="79" t="str">
        <x:v>Şema adedi</x:v>
      </x:c>
      <x:c r="E3" s="79" t="str">
        <x:v>BOM adedi</x:v>
      </x:c>
      <x:c r="F3" s="79" t="str">
        <x:v>Sonuç</x:v>
      </x:c>
    </x:row>
    <x:row r="4">
      <x:c r="A4" s="33" t="str">
        <x:v>COSTA-LSP</x:v>
      </x:c>
      <x:c r="B4" s="36" t="str">
        <x:v>Ana MCCB 3P 80A</x:v>
      </x:c>
      <x:c r="C4" s="33" t="str">
        <x:v>1SDA067415R1</x:v>
      </x:c>
      <x:c r="D4" s="46" t="n">
        <x:v>1</x:v>
      </x:c>
      <x:c r="E4" s="46" t="n">
        <x:f>SUMIFS(BOM!$I$5:$I$63,BOM!$B$5:$B$63,A4,BOM!$D$5:$D$63,C4)</x:f>
        <x:v>1</x:v>
      </x:c>
      <x:c r="F4" s="46" t="str">
        <x:f>IF(D4=E4,"OK","HATA")</x:f>
        <x:v>OK</x:v>
      </x:c>
    </x:row>
    <x:row r="5">
      <x:c r="A5" s="33" t="str">
        <x:v>COSTA-LSP</x:v>
      </x:c>
      <x:c r="B5" s="36" t="str">
        <x:v>3P C16 MCB</x:v>
      </x:c>
      <x:c r="C5" s="33" t="str">
        <x:v>2CDS253001R0164</x:v>
      </x:c>
      <x:c r="D5" s="46" t="n">
        <x:v>2</x:v>
      </x:c>
      <x:c r="E5" s="46" t="n">
        <x:f>SUMIFS(BOM!$I$5:$I$63,BOM!$B$5:$B$63,A5,BOM!$D$5:$D$63,C5)</x:f>
        <x:v>2</x:v>
      </x:c>
      <x:c r="F5" s="46" t="str">
        <x:f>IF(D5=E5,"OK","HATA")</x:f>
        <x:v>OK</x:v>
      </x:c>
    </x:row>
    <x:row r="6">
      <x:c r="A6" s="33" t="str">
        <x:v>COSTA-LSP</x:v>
      </x:c>
      <x:c r="B6" s="36" t="str">
        <x:v>1P B10 MCB</x:v>
      </x:c>
      <x:c r="C6" s="33" t="str">
        <x:v>2CDS251001R0105</x:v>
      </x:c>
      <x:c r="D6" s="46" t="n">
        <x:v>6</x:v>
      </x:c>
      <x:c r="E6" s="46" t="n">
        <x:f>SUMIFS(BOM!$I$5:$I$63,BOM!$B$5:$B$63,A6,BOM!$D$5:$D$63,C6)</x:f>
        <x:v>6</x:v>
      </x:c>
      <x:c r="F6" s="46" t="str">
        <x:f>IF(D6=E6,"OK","HATA")</x:f>
        <x:v>OK</x:v>
      </x:c>
    </x:row>
    <x:row r="7">
      <x:c r="A7" s="33" t="str">
        <x:v>COSTA-LSP</x:v>
      </x:c>
      <x:c r="B7" s="36" t="str">
        <x:v>1P C16 MCB</x:v>
      </x:c>
      <x:c r="C7" s="33" t="str">
        <x:v>2CDS251001R0164</x:v>
      </x:c>
      <x:c r="D7" s="46" t="n">
        <x:v>23</x:v>
      </x:c>
      <x:c r="E7" s="46" t="n">
        <x:f>SUMIFS(BOM!$I$5:$I$63,BOM!$B$5:$B$63,A7,BOM!$D$5:$D$63,C7)</x:f>
        <x:v>23</x:v>
      </x:c>
      <x:c r="F7" s="46" t="str">
        <x:f>IF(D7=E7,"OK","HATA")</x:f>
        <x:v>OK</x:v>
      </x:c>
    </x:row>
    <x:row r="8">
      <x:c r="A8" s="33" t="str">
        <x:v>COSTA-LSP</x:v>
      </x:c>
      <x:c r="B8" s="36" t="str">
        <x:v>1P C20 MCB</x:v>
      </x:c>
      <x:c r="C8" s="33" t="str">
        <x:v>2CDS251001R0204</x:v>
      </x:c>
      <x:c r="D8" s="46" t="n">
        <x:v>3</x:v>
      </x:c>
      <x:c r="E8" s="46" t="n">
        <x:f>SUMIFS(BOM!$I$5:$I$63,BOM!$B$5:$B$63,A8,BOM!$D$5:$D$63,C8)</x:f>
        <x:v>3</x:v>
      </x:c>
      <x:c r="F8" s="46" t="str">
        <x:f>IF(D8=E8,"OK","HATA")</x:f>
        <x:v>OK</x:v>
      </x:c>
    </x:row>
    <x:row r="9">
      <x:c r="A9" s="33" t="str">
        <x:v>COSTA-LSP</x:v>
      </x:c>
      <x:c r="B9" s="36" t="str">
        <x:v>1P C25 MCB</x:v>
      </x:c>
      <x:c r="C9" s="33" t="str">
        <x:v>2CDS251001R0254</x:v>
      </x:c>
      <x:c r="D9" s="46" t="n">
        <x:v>2</x:v>
      </x:c>
      <x:c r="E9" s="46" t="n">
        <x:f>SUMIFS(BOM!$I$5:$I$63,BOM!$B$5:$B$63,A9,BOM!$D$5:$D$63,C9)</x:f>
        <x:v>2</x:v>
      </x:c>
      <x:c r="F9" s="46" t="str">
        <x:f>IF(D9=E9,"OK","HATA")</x:f>
        <x:v>OK</x:v>
      </x:c>
    </x:row>
    <x:row r="10">
      <x:c r="A10" s="33" t="str">
        <x:v>COSTA-LSP</x:v>
      </x:c>
      <x:c r="B10" s="36" t="str">
        <x:v>1P C32 MCB (UPS + bypass)</x:v>
      </x:c>
      <x:c r="C10" s="33" t="str">
        <x:v>2CDS251001R0324</x:v>
      </x:c>
      <x:c r="D10" s="46" t="n">
        <x:v>2</x:v>
      </x:c>
      <x:c r="E10" s="46" t="n">
        <x:f>SUMIFS(BOM!$I$5:$I$63,BOM!$B$5:$B$63,A10,BOM!$D$5:$D$63,C10)</x:f>
        <x:v>2</x:v>
      </x:c>
      <x:c r="F10" s="46" t="str">
        <x:f>IF(D10=E10,"OK","HATA")</x:f>
        <x:v>OK</x:v>
      </x:c>
    </x:row>
    <x:row r="11">
      <x:c r="A11" s="33" t="str">
        <x:v>COSTA-LSP</x:v>
      </x:c>
      <x:c r="B11" s="36" t="str">
        <x:v>RCCB 2P 25A 30mA</x:v>
      </x:c>
      <x:c r="C11" s="33" t="str">
        <x:v>2CSF202101R1250</x:v>
      </x:c>
      <x:c r="D11" s="46" t="n">
        <x:v>28</x:v>
      </x:c>
      <x:c r="E11" s="46" t="n">
        <x:f>SUMIFS(BOM!$I$5:$I$63,BOM!$B$5:$B$63,A11,BOM!$D$5:$D$63,C11)</x:f>
        <x:v>28</x:v>
      </x:c>
      <x:c r="F11" s="46" t="str">
        <x:f>IF(D11=E11,"OK","HATA")</x:f>
        <x:v>OK</x:v>
      </x:c>
    </x:row>
    <x:row r="12">
      <x:c r="A12" s="33" t="str">
        <x:v>COSTA-LSP</x:v>
      </x:c>
      <x:c r="B12" s="36" t="str">
        <x:v>RCCB 4P 25A 30mA</x:v>
      </x:c>
      <x:c r="C12" s="33" t="str">
        <x:v>2CSF204101R1250</x:v>
      </x:c>
      <x:c r="D12" s="46" t="n">
        <x:v>2</x:v>
      </x:c>
      <x:c r="E12" s="46" t="n">
        <x:f>SUMIFS(BOM!$I$5:$I$63,BOM!$B$5:$B$63,A12,BOM!$D$5:$D$63,C12)</x:f>
        <x:v>2</x:v>
      </x:c>
      <x:c r="F12" s="46" t="str">
        <x:f>IF(D12=E12,"OK","HATA")</x:f>
        <x:v>OK</x:v>
      </x:c>
    </x:row>
    <x:row r="13">
      <x:c r="A13" s="33" t="str">
        <x:v>COSTA-LSP</x:v>
      </x:c>
      <x:c r="B13" s="36" t="str">
        <x:v>E93/32 3P fuse holder</x:v>
      </x:c>
      <x:c r="C13" s="33" t="str">
        <x:v>2CSM204753R1801</x:v>
      </x:c>
      <x:c r="D13" s="46" t="n">
        <x:v>2</x:v>
      </x:c>
      <x:c r="E13" s="46" t="n">
        <x:f>SUMIFS(BOM!$I$5:$I$63,BOM!$B$5:$B$63,A13,BOM!$D$5:$D$63,C13)</x:f>
        <x:v>2</x:v>
      </x:c>
      <x:c r="F13" s="46" t="str">
        <x:f>IF(D13=E13,"OK","HATA")</x:f>
        <x:v>OK</x:v>
      </x:c>
    </x:row>
    <x:row r="14">
      <x:c r="A14" s="33" t="str">
        <x:v>COSTA-LSP</x:v>
      </x:c>
      <x:c r="B14" s="36" t="str">
        <x:v>6A gG fuse links</x:v>
      </x:c>
      <x:c r="C14" s="33" t="str">
        <x:v>2CSM256363R1801</x:v>
      </x:c>
      <x:c r="D14" s="46" t="n">
        <x:v>6</x:v>
      </x:c>
      <x:c r="E14" s="46" t="n">
        <x:f>SUMIFS(BOM!$I$5:$I$63,BOM!$B$5:$B$63,A14,BOM!$D$5:$D$63,C14)</x:f>
        <x:v>6</x:v>
      </x:c>
      <x:c r="F14" s="46" t="str">
        <x:f>IF(D14=E14,"OK","HATA")</x:f>
        <x:v>OK</x:v>
      </x:c>
    </x:row>
    <x:row r="15">
      <x:c r="A15" s="33" t="str">
        <x:v>COSTA-LSP</x:v>
      </x:c>
      <x:c r="B15" s="36" t="str">
        <x:v>CT 80/5A</x:v>
      </x:c>
      <x:c r="C15" s="33" t="str">
        <x:v>2CSG111110R1141</x:v>
      </x:c>
      <x:c r="D15" s="46" t="n">
        <x:v>3</x:v>
      </x:c>
      <x:c r="E15" s="46" t="n">
        <x:f>SUMIFS(BOM!$I$5:$I$63,BOM!$B$5:$B$63,A15,BOM!$D$5:$D$63,C15)</x:f>
        <x:v>3</x:v>
      </x:c>
      <x:c r="F15" s="46" t="str">
        <x:f>IF(D15=E15,"OK","HATA")</x:f>
        <x:v>OK</x:v>
      </x:c>
    </x:row>
    <x:row r="16">
      <x:c r="A16" s="33" t="str">
        <x:v>COSTA-LSP</x:v>
      </x:c>
      <x:c r="B16" s="36" t="str">
        <x:v>Energy meter</x:v>
      </x:c>
      <x:c r="C16" s="33" t="str">
        <x:v>2CMA100178R1000</x:v>
      </x:c>
      <x:c r="D16" s="46" t="n">
        <x:v>1</x:v>
      </x:c>
      <x:c r="E16" s="46" t="n">
        <x:f>SUMIFS(BOM!$I$5:$I$63,BOM!$B$5:$B$63,A16,BOM!$D$5:$D$63,C16)</x:f>
        <x:v>1</x:v>
      </x:c>
      <x:c r="F16" s="46" t="str">
        <x:f>IF(D16=E16,"OK","HATA")</x:f>
        <x:v>OK</x:v>
      </x:c>
    </x:row>
    <x:row r="17">
      <x:c r="A17" s="33" t="str">
        <x:v>COSTA-LSP</x:v>
      </x:c>
      <x:c r="B17" s="36" t="str">
        <x:v>Phase lamps</x:v>
      </x:c>
      <x:c r="C17" s="33" t="str">
        <x:v>2CCA703402R0001</x:v>
      </x:c>
      <x:c r="D17" s="46" t="n">
        <x:v>3</x:v>
      </x:c>
      <x:c r="E17" s="46" t="n">
        <x:f>SUMIFS(BOM!$I$5:$I$63,BOM!$B$5:$B$63,A17,BOM!$D$5:$D$63,C17)</x:f>
        <x:v>3</x:v>
      </x:c>
      <x:c r="F17" s="46" t="str">
        <x:f>IF(D17=E17,"OK","HATA")</x:f>
        <x:v>OK</x:v>
      </x:c>
    </x:row>
    <x:row r="18">
      <x:c r="A18" s="33" t="str">
        <x:v>COSTA-LSP</x:v>
      </x:c>
      <x:c r="B18" s="36" t="str">
        <x:v>SPD fuse holder 125A</x:v>
      </x:c>
      <x:c r="C18" s="33" t="str">
        <x:v>2CSM277502R1801</x:v>
      </x:c>
      <x:c r="D18" s="46" t="n">
        <x:v>1</x:v>
      </x:c>
      <x:c r="E18" s="46" t="n">
        <x:f>SUMIFS(BOM!$I$5:$I$63,BOM!$B$5:$B$63,A18,BOM!$D$5:$D$63,C18)</x:f>
        <x:v>1</x:v>
      </x:c>
      <x:c r="F18" s="46" t="str">
        <x:f>IF(D18=E18,"OK","HATA")</x:f>
        <x:v>OK</x:v>
      </x:c>
    </x:row>
    <x:row r="19">
      <x:c r="A19" s="33" t="str">
        <x:v>COSTA-LSP</x:v>
      </x:c>
      <x:c r="B19" s="36" t="str">
        <x:v>SPD fuse links 125A</x:v>
      </x:c>
      <x:c r="C19" s="33" t="str">
        <x:v>2CSM258343R1801</x:v>
      </x:c>
      <x:c r="D19" s="46" t="n">
        <x:v>3</x:v>
      </x:c>
      <x:c r="E19" s="46" t="n">
        <x:f>SUMIFS(BOM!$I$5:$I$63,BOM!$B$5:$B$63,A19,BOM!$D$5:$D$63,C19)</x:f>
        <x:v>3</x:v>
      </x:c>
      <x:c r="F19" s="46" t="str">
        <x:f>IF(D19=E19,"OK","HATA")</x:f>
        <x:v>OK</x:v>
      </x:c>
    </x:row>
    <x:row r="20">
      <x:c r="A20" s="33" t="str">
        <x:v>COSTA-LSP</x:v>
      </x:c>
      <x:c r="B20" s="36" t="str">
        <x:v>SPD Type 1+2 3N</x:v>
      </x:c>
      <x:c r="C20" s="33" t="str">
        <x:v>2CTB815101R4500</x:v>
      </x:c>
      <x:c r="D20" s="46" t="n">
        <x:v>1</x:v>
      </x:c>
      <x:c r="E20" s="46" t="n">
        <x:f>SUMIFS(BOM!$I$5:$I$63,BOM!$B$5:$B$63,A20,BOM!$D$5:$D$63,C20)</x:f>
        <x:v>1</x:v>
      </x:c>
      <x:c r="F20" s="46" t="str">
        <x:f>IF(D20=E20,"OK","HATA")</x:f>
        <x:v>OK</x:v>
      </x:c>
    </x:row>
    <x:row r="21">
      <x:c r="A21" s="33" t="str">
        <x:v>COSTA-LSP</x:v>
      </x:c>
      <x:c r="B21" s="36" t="str">
        <x:v>Door selector switch</x:v>
      </x:c>
      <x:c r="C21" s="33" t="str">
        <x:v>1SFA619200R1016</x:v>
      </x:c>
      <x:c r="D21" s="46" t="n">
        <x:v>4</x:v>
      </x:c>
      <x:c r="E21" s="46" t="n">
        <x:f>SUMIFS(BOM!$I$5:$I$63,BOM!$B$5:$B$63,A21,BOM!$D$5:$D$63,C21)</x:f>
        <x:v>4</x:v>
      </x:c>
      <x:c r="F21" s="46" t="str">
        <x:f>IF(D21=E21,"OK","HATA")</x:f>
        <x:v>OK</x:v>
      </x:c>
    </x:row>
    <x:row r="22">
      <x:c r="A22" s="33" t="str">
        <x:v>UP</x:v>
      </x:c>
      <x:c r="B22" s="36" t="str">
        <x:v>1P C32 main MCB</x:v>
      </x:c>
      <x:c r="C22" s="33" t="str">
        <x:v>2CDS251001R0324</x:v>
      </x:c>
      <x:c r="D22" s="46" t="n">
        <x:v>1</x:v>
      </x:c>
      <x:c r="E22" s="46" t="n">
        <x:f>SUMIFS(BOM!$I$5:$I$63,BOM!$B$5:$B$63,A22,BOM!$D$5:$D$63,C22)</x:f>
        <x:v>1</x:v>
      </x:c>
      <x:c r="F22" s="46" t="str">
        <x:f>IF(D22=E22,"OK","HATA")</x:f>
        <x:v>OK</x:v>
      </x:c>
    </x:row>
    <x:row r="23">
      <x:c r="A23" s="33" t="str">
        <x:v>UP</x:v>
      </x:c>
      <x:c r="B23" s="36" t="str">
        <x:v>1P C16 outgoing MCB</x:v>
      </x:c>
      <x:c r="C23" s="33" t="str">
        <x:v>2CDS251001R0164</x:v>
      </x:c>
      <x:c r="D23" s="46" t="n">
        <x:v>4</x:v>
      </x:c>
      <x:c r="E23" s="46" t="n">
        <x:f>SUMIFS(BOM!$I$5:$I$63,BOM!$B$5:$B$63,A23,BOM!$D$5:$D$63,C23)</x:f>
        <x:v>4</x:v>
      </x:c>
      <x:c r="F23" s="46" t="str">
        <x:f>IF(D23=E23,"OK","HATA")</x:f>
        <x:v>OK</x:v>
      </x:c>
    </x:row>
    <x:row r="24">
      <x:c r="A24" s="33" t="str">
        <x:v>UP</x:v>
      </x:c>
      <x:c r="B24" s="36" t="str">
        <x:v>RCCB 2P 25A 30mA</x:v>
      </x:c>
      <x:c r="C24" s="33" t="str">
        <x:v>2CSF202101R1250</x:v>
      </x:c>
      <x:c r="D24" s="46" t="n">
        <x:v>4</x:v>
      </x:c>
      <x:c r="E24" s="46" t="n">
        <x:f>SUMIFS(BOM!$I$5:$I$63,BOM!$B$5:$B$63,A24,BOM!$D$5:$D$63,C24)</x:f>
        <x:v>4</x:v>
      </x:c>
      <x:c r="F24" s="46" t="str">
        <x:f>IF(D24=E24,"OK","HATA")</x:f>
        <x:v>OK</x:v>
      </x:c>
    </x:row>
    <x:row r="27">
      <x:c r="A27" s="82" t="str">
        <x:v>KRİTİK KONTROL / KARAR NOTLARI</x:v>
      </x:c>
      <x:c r="B27" s="82"/>
      <x:c r="C27" s="82"/>
      <x:c r="D27" s="82"/>
      <x:c r="E27" s="82"/>
      <x:c r="F27" s="82"/>
    </x:row>
    <x:row r="28" ht="34" customHeight="1">
      <x:c r="A28" s="86" t="str">
        <x:v>1) Tek hat şeması ana kaynak kabul edildi. COSTA-LSP şemasında 29 priz/ekipman kolu: 28 adet 1F + 1 adet 3F olarak sayıldı.</x:v>
      </x:c>
      <x:c r="B28" s="86"/>
      <x:c r="C28" s="86"/>
      <x:c r="D28" s="86"/>
      <x:c r="E28" s="86"/>
      <x:c r="F28" s="86"/>
    </x:row>
    <x:row r="29" ht="34" customHeight="1">
      <x:c r="A29" s="86" t="str">
        <x:v>2) COSTA-LSP toplam çıkış koruması: 6×B10 aydınlatma + 23×C16 + 3×C20 + 2×C25 + 1×3P C16; ayrıca 2×C32 UPS/bypass ve aydınlatma grubu için 1×3P C16 upstream.</x:v>
      </x:c>
      <x:c r="B29" s="86"/>
      <x:c r="C29" s="86"/>
      <x:c r="D29" s="86"/>
      <x:c r="E29" s="86"/>
      <x:c r="F29" s="86"/>
    </x:row>
    <x:row r="30" ht="34" customHeight="1">
      <x:c r="A30" s="86" t="str">
        <x:v>3) 2P 25A/30mA RCCB = 28 adet; 4P 25A/30mA RCCB = 2 adet. RCCB tipi şemada açık okunmadığı için ABB Tip A seçildi.</x:v>
      </x:c>
      <x:c r="B30" s="86"/>
      <x:c r="C30" s="86"/>
      <x:c r="D30" s="86"/>
      <x:c r="E30" s="86"/>
      <x:c r="F30" s="86"/>
    </x:row>
    <x:row r="31" ht="34" customHeight="1">
      <x:c r="A31" s="86" t="str">
        <x:v>4) Ana giriş 3×80A için ABB Tmax XT1N 80A MCCB seçildi. Proje kısa devre hesabı verilmedi; 36kA seçimi güvenli taraftadır.</x:v>
      </x:c>
      <x:c r="B31" s="86"/>
      <x:c r="C31" s="86"/>
      <x:c r="D31" s="86"/>
      <x:c r="E31" s="86"/>
      <x:c r="F31" s="86"/>
    </x:row>
    <x:row r="32" ht="34" customHeight="1">
      <x:c r="A32" s="86" t="str">
        <x:v>5) PF 50kA (B+C) için ABB Type 1+2 3P+N SPD ve projede gösterilen 3×125A gG yedek koruma birlikte BOM'a alındı.</x:v>
      </x:c>
      <x:c r="B32" s="86"/>
      <x:c r="C32" s="86"/>
      <x:c r="D32" s="86"/>
      <x:c r="E32" s="86"/>
      <x:c r="F32" s="86"/>
    </x:row>
    <x:row r="33" ht="34" customHeight="1">
      <x:c r="A33" s="86" t="str">
        <x:v>6) Şemada iki ayrı 3(6)A grubu görülüyor: sayaç gerilim devresi ve faz gösterge devresi olarak yorumlandı.</x:v>
      </x:c>
      <x:c r="B33" s="86"/>
      <x:c r="C33" s="86"/>
      <x:c r="D33" s="86"/>
      <x:c r="E33" s="86"/>
      <x:c r="F33" s="86"/>
    </x:row>
    <x:row r="34" ht="34" customHeight="1">
      <x:c r="A34" s="86" t="str">
        <x:v>7) Panel görünüşü 2000(H)×1600(W)×400(D) mm, 2×800 mm bölüm olarak okunuyor. IP sınıfı DWFX'te net okunmadığı için üretim öncesi teyit zorunlu.</x:v>
      </x:c>
      <x:c r="B34" s="86"/>
      <x:c r="C34" s="86"/>
      <x:c r="D34" s="86"/>
      <x:c r="E34" s="86"/>
      <x:c r="F34" s="86"/>
    </x:row>
    <x:row r="35" ht="34" customHeight="1">
      <x:c r="A35" s="86" t="str">
        <x:v>8) UP ayrı korpus olarak çizilmemiş; COSTA-LSP içinde ayrılmış bölüm kabul edildi. Ayrı pano istenirse korpus yeniden seçilecek.</x:v>
      </x:c>
      <x:c r="B35" s="86"/>
      <x:c r="C35" s="86"/>
      <x:c r="D35" s="86"/>
      <x:c r="E35" s="86"/>
      <x:c r="F35" s="86"/>
    </x:row>
    <x:row r="36" ht="34" customHeight="1">
      <x:c r="A36" s="86" t="str">
        <x:v>9) UPS 5kVA 1F/1F 220V harici ekipmandır; marka/model çizimde yok, pano şalt fiyatına dahil edilmemelidir.</x:v>
      </x:c>
      <x:c r="B36" s="86"/>
      <x:c r="C36" s="86"/>
      <x:c r="D36" s="86"/>
      <x:c r="E36" s="86"/>
      <x:c r="F36" s="86"/>
    </x:row>
    <x:row r="37" ht="34" customHeight="1">
      <x:c r="A37" s="86" t="str">
        <x:v>10) DIN ray, kanal, iç kablo, klemens ve bara metrajları üretim yerleşimi yapılmadan önce metrajdır; yerleşim onayında kesinleştirilmelidir.</x:v>
      </x:c>
      <x:c r="B37" s="86"/>
      <x:c r="C37" s="86"/>
      <x:c r="D37" s="86"/>
      <x:c r="E37" s="86"/>
      <x:c r="F37" s="86"/>
    </x:row>
  </x:sheetData>
  <x:mergeCells>
    <x:mergeCell ref="A1:F1"/>
    <x:mergeCell ref="A27:F27"/>
    <x:mergeCell ref="A28:F28"/>
    <x:mergeCell ref="A29:F29"/>
    <x:mergeCell ref="A30:F30"/>
    <x:mergeCell ref="A31:F31"/>
    <x:mergeCell ref="A32:F32"/>
    <x:mergeCell ref="A33:F33"/>
    <x:mergeCell ref="A34:F34"/>
    <x:mergeCell ref="A35:F35"/>
    <x:mergeCell ref="A36:F36"/>
    <x:mergeCell ref="A37:F37"/>
  </x:mergeCells>
  <x:conditionalFormatting sqref="F4:F24">
    <x:cfRule type="expression" dxfId="0" priority="1">
      <x:formula>F4="HATA"</x:formula>
    </x:cfRule>
    <x:cfRule type="expression" dxfId="1" priority="2">
      <x:formula>F4="OK"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2" hidden="0" customWidth="1"/>
    <x:col min="4" max="4" width="42" hidden="0" customWidth="1"/>
  </x:cols>
  <x:sheetData>
    <x:row r="1">
      <x:c r="A1" s="73" t="str">
        <x:v>KAYNAKLAR · ABB ÜRÜN DOĞRULAMA</x:v>
      </x:c>
      <x:c r="B1" s="73"/>
      <x:c r="C1" s="73"/>
      <x:c r="D1" s="73"/>
    </x:row>
    <x:row r="3">
      <x:c r="A3" s="78" t="str">
        <x:v>Kaynak</x:v>
      </x:c>
      <x:c r="B3" s="78" t="str">
        <x:v>Kapsam</x:v>
      </x:c>
      <x:c r="C3" s="78" t="str">
        <x:v>Dosya / URL</x:v>
      </x:c>
      <x:c r="D3" s="78" t="str">
        <x:v>Not</x:v>
      </x:c>
    </x:row>
    <x:row r="4" ht="40" customHeight="1">
      <x:c r="A4" s="86" t="str">
        <x:v>PROJE</x:v>
      </x:c>
      <x:c r="B4" s="86" t="str">
        <x:v>Tek hat + pano görünüşü</x:v>
      </x:c>
      <x:c r="C4" s="86" t="str">
        <x:v>10 E D 01 CCA PANEL SINGLE LINE DIAGRAM.dwfx</x:v>
      </x:c>
      <x:c r="D4" s="86" t="str">
        <x:v>COSTA COFFEE – ALMATY · Drawing E D 01 · 07.07.2026</x:v>
      </x:c>
    </x:row>
    <x:row r="5" ht="40" customHeight="1">
      <x:c r="A5" s="86" t="str">
        <x:v>ABB</x:v>
      </x:c>
      <x:c r="B5" s="86" t="str">
        <x:v>Current transformers</x:v>
      </x:c>
      <x:c r="C5" s="86" t="str">
        <x:v>https://new.abb.com/low-voltage/products/system-pro-m/energy-efficiency-devices/current-transformers</x:v>
      </x:c>
      <x:c r="D5" s="86" t="str">
        <x:v>CTA/80 80/5A ailesi</x:v>
      </x:c>
    </x:row>
    <x:row r="6" ht="40" customHeight="1">
      <x:c r="A6" s="86" t="str">
        <x:v>ABB</x:v>
      </x:c>
      <x:c r="B6" s="86" t="str">
        <x:v>CTA order codes</x:v>
      </x:c>
      <x:c r="C6" s="86" t="str">
        <x:v>https://library.e.abb.com/public/d76adde8f1b45f8cc1257c9a004ee362/2CSC446012B0201.pdf</x:v>
      </x:c>
      <x:c r="D6" s="86" t="str">
        <x:v>CTA/80 = 2CSG111110R1141</x:v>
      </x:c>
    </x:row>
    <x:row r="7" ht="40" customHeight="1">
      <x:c r="A7" s="86" t="str">
        <x:v>ABB</x:v>
      </x:c>
      <x:c r="B7" s="86" t="str">
        <x:v>Surge protection</x:v>
      </x:c>
      <x:c r="C7" s="86" t="str">
        <x:v>https://library.e.abb.com/public/76853add5aef4b12bfc837ddd12659f2/1TXH000375C0201_Main%20catalog_Surge%20and%20lightning%20protection%20solutions_EN.pdf</x:v>
      </x:c>
      <x:c r="D7" s="86" t="str">
        <x:v>OVR T1+2 3N 25-255 TS = 2CTB815101R4500</x:v>
      </x:c>
    </x:row>
    <x:row r="8" ht="40" customHeight="1">
      <x:c r="A8" s="86" t="str">
        <x:v>ABB</x:v>
      </x:c>
      <x:c r="B8" s="86" t="str">
        <x:v>Fuse holders</x:v>
      </x:c>
      <x:c r="C8" s="86" t="str">
        <x:v>https://new.abb.com/low-voltage/products/system-pro-m/protection-and-safety-devices/fuse-holders/e-90</x:v>
      </x:c>
      <x:c r="D8" s="86" t="str">
        <x:v>E90 32A / 125A fuse holders</x:v>
      </x:c>
    </x:row>
    <x:row r="9" ht="40" customHeight="1">
      <x:c r="A9" s="86" t="str">
        <x:v>ABB</x:v>
      </x:c>
      <x:c r="B9" s="86" t="str">
        <x:v>Energy meters</x:v>
      </x:c>
      <x:c r="C9" s="86" t="str">
        <x:v>https://new.abb.com/low-voltage/products/system-pro-m/energy-efficiency-devices/energy-meters</x:v>
      </x:c>
      <x:c r="D9" s="86" t="str">
        <x:v>B24 CT-connected meter family</x:v>
      </x:c>
    </x:row>
    <x:row r="10" ht="40" customHeight="1">
      <x:c r="A10" s="86" t="str">
        <x:v>ABB</x:v>
      </x:c>
      <x:c r="B10" s="86" t="str">
        <x:v>Pilot devices</x:v>
      </x:c>
      <x:c r="C10" s="86" t="str">
        <x:v>https://new.abb.com/low-voltage/products/pilot-devices</x:v>
      </x:c>
      <x:c r="D10" s="86" t="str">
        <x:v>C2SS selector / pilot devices</x:v>
      </x:c>
    </x:row>
    <x:row r="11" ht="40" customHeight="1">
      <x:c r="A11" s="86" t="str">
        <x:v>ABB</x:v>
      </x:c>
      <x:c r="B11" s="86" t="str">
        <x:v>S200 MCB family</x:v>
      </x:c>
      <x:c r="C11" s="86" t="str">
        <x:v>https://new.abb.com/low-voltage/products/system-pro-m/compact-and-comfort/mcb</x:v>
      </x:c>
      <x:c r="D11" s="86" t="str">
        <x:v>S201/S203 branch breakers</x:v>
      </x:c>
    </x:row>
    <x:row r="12" ht="40" customHeight="1">
      <x:c r="A12" s="86" t="str">
        <x:v>ABB</x:v>
      </x:c>
      <x:c r="B12" s="86" t="str">
        <x:v>F200 RCCB family</x:v>
      </x:c>
      <x:c r="C12" s="86" t="str">
        <x:v>https://new.abb.com/low-voltage/products/system-pro-m/compact-and-comfort/residual-current-devices/rccb</x:v>
      </x:c>
      <x:c r="D12" s="86" t="str">
        <x:v>F202/F204 Type A RCCBs</x:v>
      </x:c>
    </x:row>
  </x:sheetData>
  <x:mergeCells>
    <x:mergeCell ref="A1:D1"/>
  </x:mergeCells>
  <x:pageMargins left="0.7" right="0.7" top="0.75" bottom="0.75" header="0.3" footer="0.3"/>
</x:worksheet>
</file>