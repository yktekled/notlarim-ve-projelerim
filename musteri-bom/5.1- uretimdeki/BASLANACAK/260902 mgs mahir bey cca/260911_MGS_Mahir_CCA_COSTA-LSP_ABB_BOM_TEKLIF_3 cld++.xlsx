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2 mgs mahir bey cca\"/>
    </mc:Choice>
  </mc:AlternateContent>
  <xr:revisionPtr revIDLastSave="0" documentId="13_ncr:1_{98405D84-E100-46B0-9456-EBC4C4C34188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KURALLAR" sheetId="1" r:id="rId1"/>
    <sheet name="FIYAT" sheetId="2" r:id="rId2"/>
    <sheet name="BOM" sheetId="3" r:id="rId3"/>
    <sheet name="OZET" sheetId="4" r:id="rId4"/>
    <sheet name="TEKLIF" sheetId="5" r:id="rId5"/>
  </sheets>
  <definedNames>
    <definedName name="_xlnm._FilterDatabase" localSheetId="2" hidden="1">BOM!$A$1:$S$43</definedName>
    <definedName name="_xlnm._FilterDatabase" localSheetId="1" hidden="1">FIYAT!$A$1:$R$34</definedName>
    <definedName name="ALUM_KG_KZT">KURALLAR!$B$122</definedName>
    <definedName name="BAKIR_KG_KZT">KURALLAR!$B$121</definedName>
    <definedName name="BARA_BOY_M">KURALLAR!$B$93</definedName>
    <definedName name="BARA_DERATING">KURALLAR!$B$88</definedName>
    <definedName name="BARA_FIRE">KURALLAR!$B$89</definedName>
    <definedName name="BARA_KOPRU_M">KURALLAR!$B$92</definedName>
    <definedName name="BARA_N_ORANI">KURALLAR!$B$90</definedName>
    <definedName name="BARA_PE_ORANI">KURALLAR!$B$91</definedName>
    <definedName name="DINRAY_FIRE">KURALLAR!$B$97</definedName>
    <definedName name="DURUM_LIST">KURALLAR!$J$125:$J$134</definedName>
    <definedName name="FIYAT_ACK">FIYAT!$D$2:$D$34</definedName>
    <definedName name="FIYAT_ART">FIYAT!$R$2:$R$34</definedName>
    <definedName name="FIYAT_KOD">FIYAT!$C$2:$C$34</definedName>
    <definedName name="FIYAT_LISTE">FIYAT!$E$2:$E$34</definedName>
    <definedName name="FIYAT_MARKA">FIYAT!$J$2:$J$34</definedName>
    <definedName name="FIYAT_MODUL">FIYAT!$Q$2:$Q$34</definedName>
    <definedName name="FIYAT_NET">FIYAT!$F$2:$F$34</definedName>
    <definedName name="GARANTI">KURALLAR!$B$115</definedName>
    <definedName name="ISCILIK_CARPANI">KURALLAR!$B$36</definedName>
    <definedName name="ISCILIK_DK_UCRETI">KURALLAR!$B$35</definedName>
    <definedName name="ISCILIK_SAAT_UCRETI">KURALLAR!$B$34</definedName>
    <definedName name="ISKONTO">KURALLAR!$B$110</definedName>
    <definedName name="KABLO_FIRE">KURALLAR!$B$94</definedName>
    <definedName name="KABLO_M_MCCB">KURALLAR!$B$96</definedName>
    <definedName name="KABLO_M_MODULER">KURALLAR!$B$95</definedName>
    <definedName name="KANAL_FIRE">KURALLAR!$B$98</definedName>
    <definedName name="KAR_ORANI">KURALLAR!$B$109</definedName>
    <definedName name="KLEMENS_YEDEK">KURALLAR!$B$99</definedName>
    <definedName name="KORPUS_GENISLIK_TOPLAM_MM">KURALLAR!$B$104</definedName>
    <definedName name="KORPUS_KULLANILABILIR_ORAN">KURALLAR!$B$103</definedName>
    <definedName name="KORPUS_YUKSEKLIK_MM">KURALLAR!$B$105</definedName>
    <definedName name="KUR_AD">KURALLAR!$A$6:$A$9</definedName>
    <definedName name="KUR_DEG">KURALLAR!$B$6:$B$9</definedName>
    <definedName name="MARKA_AD">KURALLAR!$A$14:$A$29</definedName>
    <definedName name="MARKA_KAT">KURALLAR!$E$14:$E$29</definedName>
    <definedName name="MARKA_PARA">KURALLAR!$B$14:$B$29</definedName>
    <definedName name="MARKA_TIP">KURALLAR!$F$14:$F$29</definedName>
    <definedName name="MODUL_GENISLIK_MM">KURALLAR!$B$101</definedName>
    <definedName name="NDS_ORANI">KURALLAR!$B$111</definedName>
    <definedName name="NORM_AD">KURALLAR!$A$41:$A$75</definedName>
    <definedName name="NORM_DK">KURALLAR!$B$41:$B$75</definedName>
    <definedName name="ODEME_SARTI">KURALLAR!$B$114</definedName>
    <definedName name="SIRA_YUKSEKLIK_MM">KURALLAR!$B$102</definedName>
    <definedName name="TARAK_MOD_ADET">KURALLAR!$B$100</definedName>
    <definedName name="TEKLIF_GECERLILIK">KURALLAR!$B$112</definedName>
    <definedName name="TEST_ETIKET_CARPANI">KURALLAR!$B$37</definedName>
    <definedName name="URETIM_SURESI">KURALLAR!$B$113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5" l="1"/>
  <c r="B21" i="5"/>
  <c r="B20" i="5"/>
  <c r="B3" i="5"/>
  <c r="Q2" i="4"/>
  <c r="P2" i="4"/>
  <c r="O2" i="4"/>
  <c r="A6" i="4" s="1"/>
  <c r="I2" i="4"/>
  <c r="C2" i="4"/>
  <c r="C12" i="5" s="1"/>
  <c r="K43" i="3"/>
  <c r="E43" i="3"/>
  <c r="B43" i="3" s="1"/>
  <c r="D43" i="3"/>
  <c r="R42" i="3"/>
  <c r="R41" i="3"/>
  <c r="R40" i="3"/>
  <c r="S39" i="3"/>
  <c r="K39" i="3"/>
  <c r="F39" i="3"/>
  <c r="E39" i="3"/>
  <c r="B39" i="3" s="1"/>
  <c r="D39" i="3"/>
  <c r="S38" i="3"/>
  <c r="R38" i="3"/>
  <c r="K38" i="3"/>
  <c r="F38" i="3"/>
  <c r="E38" i="3"/>
  <c r="B38" i="3" s="1"/>
  <c r="D38" i="3"/>
  <c r="K37" i="3"/>
  <c r="I37" i="3"/>
  <c r="G27" i="2" s="1"/>
  <c r="F37" i="3"/>
  <c r="E37" i="3"/>
  <c r="B37" i="3" s="1"/>
  <c r="D37" i="3"/>
  <c r="K36" i="3"/>
  <c r="I36" i="3"/>
  <c r="S36" i="3" s="1"/>
  <c r="F36" i="3"/>
  <c r="E36" i="3"/>
  <c r="B36" i="3" s="1"/>
  <c r="D36" i="3"/>
  <c r="S35" i="3"/>
  <c r="K35" i="3"/>
  <c r="I35" i="3"/>
  <c r="F35" i="3"/>
  <c r="E35" i="3"/>
  <c r="B35" i="3" s="1"/>
  <c r="D35" i="3"/>
  <c r="K34" i="3"/>
  <c r="F34" i="3"/>
  <c r="E34" i="3"/>
  <c r="B34" i="3" s="1"/>
  <c r="D34" i="3"/>
  <c r="K33" i="3"/>
  <c r="F33" i="3"/>
  <c r="E33" i="3"/>
  <c r="B33" i="3" s="1"/>
  <c r="D33" i="3"/>
  <c r="K32" i="3"/>
  <c r="I32" i="3"/>
  <c r="S32" i="3" s="1"/>
  <c r="F32" i="3"/>
  <c r="E32" i="3"/>
  <c r="B32" i="3" s="1"/>
  <c r="D32" i="3"/>
  <c r="K31" i="3"/>
  <c r="I31" i="3"/>
  <c r="R31" i="3" s="1"/>
  <c r="F31" i="3"/>
  <c r="E31" i="3"/>
  <c r="B31" i="3" s="1"/>
  <c r="D31" i="3"/>
  <c r="K30" i="3"/>
  <c r="I30" i="3"/>
  <c r="F30" i="3"/>
  <c r="E30" i="3"/>
  <c r="B30" i="3" s="1"/>
  <c r="D30" i="3"/>
  <c r="S29" i="3"/>
  <c r="K29" i="3"/>
  <c r="F29" i="3"/>
  <c r="E29" i="3"/>
  <c r="B29" i="3" s="1"/>
  <c r="D29" i="3"/>
  <c r="S28" i="3"/>
  <c r="K28" i="3"/>
  <c r="F28" i="3"/>
  <c r="E28" i="3"/>
  <c r="B28" i="3" s="1"/>
  <c r="D28" i="3"/>
  <c r="S27" i="3"/>
  <c r="R27" i="3"/>
  <c r="K27" i="3"/>
  <c r="F27" i="3"/>
  <c r="E27" i="3"/>
  <c r="B27" i="3" s="1"/>
  <c r="D27" i="3"/>
  <c r="S26" i="3"/>
  <c r="K26" i="3"/>
  <c r="I26" i="3"/>
  <c r="F26" i="3"/>
  <c r="E26" i="3"/>
  <c r="B26" i="3" s="1"/>
  <c r="D26" i="3"/>
  <c r="K25" i="3"/>
  <c r="I25" i="3"/>
  <c r="G28" i="2" s="1"/>
  <c r="F25" i="3"/>
  <c r="E25" i="3"/>
  <c r="B25" i="3" s="1"/>
  <c r="D25" i="3"/>
  <c r="S24" i="3"/>
  <c r="K24" i="3"/>
  <c r="F24" i="3"/>
  <c r="E24" i="3"/>
  <c r="B24" i="3" s="1"/>
  <c r="D24" i="3"/>
  <c r="S23" i="3"/>
  <c r="R23" i="3"/>
  <c r="K23" i="3"/>
  <c r="F23" i="3"/>
  <c r="E23" i="3"/>
  <c r="B23" i="3" s="1"/>
  <c r="D23" i="3"/>
  <c r="S22" i="3"/>
  <c r="R22" i="3"/>
  <c r="K22" i="3"/>
  <c r="F22" i="3"/>
  <c r="E22" i="3"/>
  <c r="B22" i="3" s="1"/>
  <c r="D22" i="3"/>
  <c r="S21" i="3"/>
  <c r="R21" i="3"/>
  <c r="K21" i="3"/>
  <c r="F21" i="3"/>
  <c r="E21" i="3"/>
  <c r="B21" i="3" s="1"/>
  <c r="D21" i="3"/>
  <c r="S20" i="3"/>
  <c r="R20" i="3"/>
  <c r="K20" i="3"/>
  <c r="F20" i="3"/>
  <c r="E20" i="3"/>
  <c r="B20" i="3" s="1"/>
  <c r="D20" i="3"/>
  <c r="S19" i="3"/>
  <c r="R19" i="3"/>
  <c r="K19" i="3"/>
  <c r="F19" i="3"/>
  <c r="E19" i="3"/>
  <c r="B19" i="3" s="1"/>
  <c r="D19" i="3"/>
  <c r="S18" i="3"/>
  <c r="R18" i="3"/>
  <c r="K18" i="3"/>
  <c r="F18" i="3"/>
  <c r="E18" i="3"/>
  <c r="B18" i="3" s="1"/>
  <c r="D18" i="3"/>
  <c r="S17" i="3"/>
  <c r="R17" i="3"/>
  <c r="K17" i="3"/>
  <c r="F17" i="3"/>
  <c r="E17" i="3"/>
  <c r="B17" i="3" s="1"/>
  <c r="D17" i="3"/>
  <c r="S16" i="3"/>
  <c r="R16" i="3"/>
  <c r="K16" i="3"/>
  <c r="F16" i="3"/>
  <c r="E16" i="3"/>
  <c r="B16" i="3" s="1"/>
  <c r="D16" i="3"/>
  <c r="S15" i="3"/>
  <c r="R15" i="3"/>
  <c r="K15" i="3"/>
  <c r="F15" i="3"/>
  <c r="E15" i="3"/>
  <c r="B15" i="3" s="1"/>
  <c r="D15" i="3"/>
  <c r="S14" i="3"/>
  <c r="R14" i="3"/>
  <c r="K14" i="3"/>
  <c r="F14" i="3"/>
  <c r="E14" i="3"/>
  <c r="B14" i="3" s="1"/>
  <c r="D14" i="3"/>
  <c r="S13" i="3"/>
  <c r="K13" i="3"/>
  <c r="F13" i="3"/>
  <c r="E13" i="3"/>
  <c r="B13" i="3" s="1"/>
  <c r="D13" i="3"/>
  <c r="S12" i="3"/>
  <c r="R12" i="3"/>
  <c r="K12" i="3"/>
  <c r="F12" i="3"/>
  <c r="E12" i="3"/>
  <c r="B12" i="3" s="1"/>
  <c r="D12" i="3"/>
  <c r="S11" i="3"/>
  <c r="R11" i="3"/>
  <c r="K11" i="3"/>
  <c r="F11" i="3"/>
  <c r="E11" i="3"/>
  <c r="B11" i="3" s="1"/>
  <c r="D11" i="3"/>
  <c r="S10" i="3"/>
  <c r="R10" i="3"/>
  <c r="K10" i="3"/>
  <c r="F10" i="3"/>
  <c r="B10" i="3"/>
  <c r="S9" i="3"/>
  <c r="K9" i="3"/>
  <c r="F9" i="3"/>
  <c r="E9" i="3"/>
  <c r="B9" i="3" s="1"/>
  <c r="D9" i="3"/>
  <c r="S8" i="3"/>
  <c r="K8" i="3"/>
  <c r="F8" i="3"/>
  <c r="E8" i="3"/>
  <c r="B8" i="3" s="1"/>
  <c r="D8" i="3"/>
  <c r="S7" i="3"/>
  <c r="R7" i="3"/>
  <c r="K7" i="3"/>
  <c r="F7" i="3"/>
  <c r="E7" i="3"/>
  <c r="B7" i="3" s="1"/>
  <c r="D7" i="3"/>
  <c r="S6" i="3"/>
  <c r="K6" i="3"/>
  <c r="F6" i="3"/>
  <c r="E6" i="3"/>
  <c r="B6" i="3" s="1"/>
  <c r="D6" i="3"/>
  <c r="S5" i="3"/>
  <c r="R5" i="3"/>
  <c r="K5" i="3"/>
  <c r="F5" i="3"/>
  <c r="E5" i="3"/>
  <c r="B5" i="3" s="1"/>
  <c r="D5" i="3"/>
  <c r="S4" i="3"/>
  <c r="R4" i="3"/>
  <c r="K4" i="3"/>
  <c r="F4" i="3"/>
  <c r="E4" i="3"/>
  <c r="B4" i="3" s="1"/>
  <c r="D4" i="3"/>
  <c r="S3" i="3"/>
  <c r="R3" i="3"/>
  <c r="K3" i="3"/>
  <c r="F3" i="3"/>
  <c r="E3" i="3"/>
  <c r="B3" i="3" s="1"/>
  <c r="D3" i="3"/>
  <c r="P34" i="2"/>
  <c r="E34" i="2"/>
  <c r="F34" i="2" s="1"/>
  <c r="P33" i="2"/>
  <c r="K33" i="2"/>
  <c r="I33" i="2"/>
  <c r="G33" i="2"/>
  <c r="F33" i="2"/>
  <c r="G39" i="3" s="1"/>
  <c r="H39" i="3" s="1"/>
  <c r="L39" i="3" s="1"/>
  <c r="P32" i="2"/>
  <c r="K32" i="2"/>
  <c r="I32" i="2"/>
  <c r="G32" i="2"/>
  <c r="F32" i="2"/>
  <c r="G29" i="3" s="1"/>
  <c r="H29" i="3" s="1"/>
  <c r="L29" i="3" s="1"/>
  <c r="P31" i="2"/>
  <c r="K31" i="2"/>
  <c r="I31" i="2"/>
  <c r="F31" i="2" s="1"/>
  <c r="H31" i="2" s="1"/>
  <c r="G31" i="2"/>
  <c r="P30" i="2"/>
  <c r="I30" i="2"/>
  <c r="G30" i="2"/>
  <c r="P29" i="2"/>
  <c r="I29" i="2"/>
  <c r="G29" i="2"/>
  <c r="P28" i="2"/>
  <c r="I28" i="2"/>
  <c r="F28" i="2"/>
  <c r="G25" i="3" s="1"/>
  <c r="H25" i="3" s="1"/>
  <c r="L25" i="3" s="1"/>
  <c r="P27" i="2"/>
  <c r="I27" i="2"/>
  <c r="P26" i="2"/>
  <c r="I26" i="2"/>
  <c r="F26" i="2" s="1"/>
  <c r="P25" i="2"/>
  <c r="I25" i="2"/>
  <c r="P24" i="2"/>
  <c r="I24" i="2"/>
  <c r="P23" i="2"/>
  <c r="I23" i="2"/>
  <c r="G23" i="2"/>
  <c r="P22" i="2"/>
  <c r="I22" i="2"/>
  <c r="F22" i="2" s="1"/>
  <c r="P21" i="2"/>
  <c r="K21" i="2"/>
  <c r="I21" i="2"/>
  <c r="G21" i="2"/>
  <c r="F21" i="2"/>
  <c r="H21" i="2" s="1"/>
  <c r="P20" i="2"/>
  <c r="I20" i="2"/>
  <c r="F20" i="2" s="1"/>
  <c r="G18" i="3" s="1"/>
  <c r="H18" i="3" s="1"/>
  <c r="L18" i="3" s="1"/>
  <c r="G20" i="2"/>
  <c r="P19" i="2"/>
  <c r="I19" i="2"/>
  <c r="G19" i="2"/>
  <c r="P18" i="2"/>
  <c r="I18" i="2"/>
  <c r="F18" i="2" s="1"/>
  <c r="G18" i="2"/>
  <c r="P17" i="2"/>
  <c r="I17" i="2"/>
  <c r="G17" i="2"/>
  <c r="P16" i="2"/>
  <c r="I16" i="2"/>
  <c r="F16" i="2" s="1"/>
  <c r="G21" i="3" s="1"/>
  <c r="H21" i="3" s="1"/>
  <c r="L21" i="3" s="1"/>
  <c r="G16" i="2"/>
  <c r="P15" i="2"/>
  <c r="I15" i="2"/>
  <c r="G15" i="2"/>
  <c r="P14" i="2"/>
  <c r="I14" i="2"/>
  <c r="F14" i="2" s="1"/>
  <c r="G19" i="3" s="1"/>
  <c r="H19" i="3" s="1"/>
  <c r="L19" i="3" s="1"/>
  <c r="G14" i="2"/>
  <c r="P13" i="2"/>
  <c r="I13" i="2"/>
  <c r="G13" i="2"/>
  <c r="P12" i="2"/>
  <c r="I12" i="2"/>
  <c r="F12" i="2" s="1"/>
  <c r="G15" i="3" s="1"/>
  <c r="H15" i="3" s="1"/>
  <c r="L15" i="3" s="1"/>
  <c r="G12" i="2"/>
  <c r="P11" i="2"/>
  <c r="K11" i="2"/>
  <c r="I11" i="2"/>
  <c r="F11" i="2" s="1"/>
  <c r="G14" i="3" s="1"/>
  <c r="H14" i="3" s="1"/>
  <c r="L14" i="3" s="1"/>
  <c r="G11" i="2"/>
  <c r="P10" i="2"/>
  <c r="I10" i="2"/>
  <c r="F10" i="2" s="1"/>
  <c r="G10" i="2"/>
  <c r="P9" i="2"/>
  <c r="I9" i="2"/>
  <c r="F9" i="2" s="1"/>
  <c r="G12" i="3" s="1"/>
  <c r="H12" i="3" s="1"/>
  <c r="L12" i="3" s="1"/>
  <c r="G9" i="2"/>
  <c r="P8" i="2"/>
  <c r="I8" i="2"/>
  <c r="F8" i="2" s="1"/>
  <c r="G11" i="3" s="1"/>
  <c r="H11" i="3" s="1"/>
  <c r="L11" i="3" s="1"/>
  <c r="G8" i="2"/>
  <c r="P7" i="2"/>
  <c r="I7" i="2"/>
  <c r="F7" i="2" s="1"/>
  <c r="G7" i="2"/>
  <c r="P6" i="2"/>
  <c r="K6" i="2"/>
  <c r="I6" i="2"/>
  <c r="F6" i="2" s="1"/>
  <c r="G9" i="3" s="1"/>
  <c r="H9" i="3" s="1"/>
  <c r="L9" i="3" s="1"/>
  <c r="G6" i="2"/>
  <c r="P5" i="2"/>
  <c r="I5" i="2"/>
  <c r="F5" i="2" s="1"/>
  <c r="G8" i="3" s="1"/>
  <c r="H8" i="3" s="1"/>
  <c r="L8" i="3" s="1"/>
  <c r="G5" i="2"/>
  <c r="P4" i="2"/>
  <c r="I4" i="2"/>
  <c r="G4" i="2"/>
  <c r="F4" i="2"/>
  <c r="G5" i="3" s="1"/>
  <c r="H5" i="3" s="1"/>
  <c r="L5" i="3" s="1"/>
  <c r="P3" i="2"/>
  <c r="I3" i="2"/>
  <c r="G3" i="2"/>
  <c r="P2" i="2"/>
  <c r="I2" i="2"/>
  <c r="F2" i="2" s="1"/>
  <c r="G3" i="3" s="1"/>
  <c r="H3" i="3" s="1"/>
  <c r="G2" i="2"/>
  <c r="B122" i="1"/>
  <c r="B121" i="1"/>
  <c r="B120" i="1"/>
  <c r="B35" i="1"/>
  <c r="E29" i="1"/>
  <c r="E28" i="1"/>
  <c r="E27" i="1"/>
  <c r="E26" i="1"/>
  <c r="E25" i="1"/>
  <c r="K27" i="2" s="1"/>
  <c r="E24" i="1"/>
  <c r="K2" i="2" s="1"/>
  <c r="E23" i="1"/>
  <c r="E22" i="1"/>
  <c r="K29" i="2" s="1"/>
  <c r="E21" i="1"/>
  <c r="E20" i="1"/>
  <c r="E19" i="1"/>
  <c r="E18" i="1"/>
  <c r="E17" i="1"/>
  <c r="K22" i="2" s="1"/>
  <c r="E16" i="1"/>
  <c r="E15" i="1"/>
  <c r="K3" i="2" s="1"/>
  <c r="E14" i="1"/>
  <c r="K19" i="2" s="1"/>
  <c r="G24" i="3" l="1"/>
  <c r="H24" i="3" s="1"/>
  <c r="L24" i="3" s="1"/>
  <c r="H5" i="2"/>
  <c r="I33" i="3"/>
  <c r="G25" i="2" s="1"/>
  <c r="S31" i="3"/>
  <c r="H9" i="2"/>
  <c r="G26" i="2"/>
  <c r="H26" i="2" s="1"/>
  <c r="H7" i="2"/>
  <c r="H10" i="2"/>
  <c r="R32" i="3"/>
  <c r="H18" i="2"/>
  <c r="L3" i="3"/>
  <c r="G43" i="3"/>
  <c r="S33" i="3"/>
  <c r="F24" i="2"/>
  <c r="G13" i="3"/>
  <c r="H13" i="3" s="1"/>
  <c r="L13" i="3" s="1"/>
  <c r="G24" i="2"/>
  <c r="H2" i="2"/>
  <c r="H8" i="2"/>
  <c r="H12" i="2"/>
  <c r="H14" i="2"/>
  <c r="H20" i="2"/>
  <c r="H28" i="2"/>
  <c r="H32" i="2"/>
  <c r="G7" i="3"/>
  <c r="H7" i="3" s="1"/>
  <c r="L7" i="3" s="1"/>
  <c r="G23" i="3"/>
  <c r="H23" i="3" s="1"/>
  <c r="L23" i="3" s="1"/>
  <c r="S25" i="3"/>
  <c r="R30" i="3"/>
  <c r="H6" i="2"/>
  <c r="L2" i="4"/>
  <c r="K4" i="2"/>
  <c r="K8" i="2"/>
  <c r="K10" i="2"/>
  <c r="K12" i="2"/>
  <c r="K14" i="2"/>
  <c r="K16" i="2"/>
  <c r="K18" i="2"/>
  <c r="K20" i="2"/>
  <c r="K24" i="2"/>
  <c r="K26" i="2"/>
  <c r="K28" i="2"/>
  <c r="K30" i="2"/>
  <c r="I34" i="2"/>
  <c r="G28" i="3"/>
  <c r="H28" i="3" s="1"/>
  <c r="L28" i="3" s="1"/>
  <c r="S30" i="3"/>
  <c r="H4" i="2"/>
  <c r="K34" i="2"/>
  <c r="G6" i="3"/>
  <c r="H6" i="3" s="1"/>
  <c r="L6" i="3" s="1"/>
  <c r="G34" i="3"/>
  <c r="R37" i="3"/>
  <c r="G36" i="3"/>
  <c r="H36" i="3" s="1"/>
  <c r="L36" i="3" s="1"/>
  <c r="H16" i="2"/>
  <c r="F13" i="2"/>
  <c r="F15" i="2"/>
  <c r="F17" i="2"/>
  <c r="F19" i="2"/>
  <c r="F23" i="2"/>
  <c r="F25" i="2"/>
  <c r="F27" i="2"/>
  <c r="F29" i="2"/>
  <c r="G10" i="3"/>
  <c r="H10" i="3" s="1"/>
  <c r="L10" i="3" s="1"/>
  <c r="R36" i="3"/>
  <c r="S37" i="3"/>
  <c r="F30" i="2"/>
  <c r="F3" i="2"/>
  <c r="H11" i="2"/>
  <c r="H33" i="2"/>
  <c r="G26" i="3"/>
  <c r="H26" i="3" s="1"/>
  <c r="L26" i="3" s="1"/>
  <c r="F43" i="3"/>
  <c r="O3" i="4"/>
  <c r="K5" i="2"/>
  <c r="K7" i="2"/>
  <c r="K9" i="2"/>
  <c r="K13" i="2"/>
  <c r="K15" i="2"/>
  <c r="K17" i="2"/>
  <c r="K23" i="2"/>
  <c r="K25" i="2"/>
  <c r="I34" i="3" l="1"/>
  <c r="S34" i="3" s="1"/>
  <c r="H2" i="4" s="1"/>
  <c r="J2" i="4" s="1"/>
  <c r="K2" i="4" s="1"/>
  <c r="I43" i="3"/>
  <c r="S43" i="3" s="1"/>
  <c r="G30" i="3"/>
  <c r="H30" i="3" s="1"/>
  <c r="L30" i="3" s="1"/>
  <c r="G31" i="3"/>
  <c r="H31" i="3" s="1"/>
  <c r="L31" i="3" s="1"/>
  <c r="G32" i="3"/>
  <c r="H32" i="3" s="1"/>
  <c r="L32" i="3" s="1"/>
  <c r="H24" i="2"/>
  <c r="H13" i="2"/>
  <c r="G17" i="3"/>
  <c r="H17" i="3" s="1"/>
  <c r="L17" i="3" s="1"/>
  <c r="G38" i="3"/>
  <c r="H38" i="3" s="1"/>
  <c r="L38" i="3" s="1"/>
  <c r="H30" i="2"/>
  <c r="H29" i="2"/>
  <c r="G27" i="3"/>
  <c r="H27" i="3" s="1"/>
  <c r="L27" i="3" s="1"/>
  <c r="H25" i="2"/>
  <c r="G33" i="3"/>
  <c r="H33" i="3" s="1"/>
  <c r="L33" i="3" s="1"/>
  <c r="G37" i="3"/>
  <c r="H37" i="3" s="1"/>
  <c r="L37" i="3" s="1"/>
  <c r="H27" i="2"/>
  <c r="H23" i="2"/>
  <c r="G35" i="3"/>
  <c r="H35" i="3" s="1"/>
  <c r="L35" i="3" s="1"/>
  <c r="H19" i="2"/>
  <c r="G16" i="3"/>
  <c r="H16" i="3" s="1"/>
  <c r="L16" i="3" s="1"/>
  <c r="H17" i="2"/>
  <c r="G22" i="3"/>
  <c r="H22" i="3" s="1"/>
  <c r="L22" i="3" s="1"/>
  <c r="G4" i="3"/>
  <c r="H4" i="3" s="1"/>
  <c r="H3" i="2"/>
  <c r="G20" i="3"/>
  <c r="H20" i="3" s="1"/>
  <c r="L20" i="3" s="1"/>
  <c r="H15" i="2"/>
  <c r="H34" i="3" l="1"/>
  <c r="L34" i="3" s="1"/>
  <c r="G22" i="2"/>
  <c r="H22" i="2" s="1"/>
  <c r="H43" i="3"/>
  <c r="L43" i="3" s="1"/>
  <c r="G34" i="2"/>
  <c r="H34" i="2" s="1"/>
  <c r="L4" i="3"/>
  <c r="D2" i="4"/>
  <c r="H44" i="3" l="1"/>
  <c r="L44" i="3"/>
  <c r="E2" i="4"/>
  <c r="E3" i="4" s="1"/>
  <c r="D3" i="4"/>
  <c r="F2" i="4" l="1"/>
  <c r="E12" i="5" s="1"/>
  <c r="F12" i="5" s="1"/>
  <c r="F14" i="5" s="1"/>
  <c r="G2" i="4" l="1"/>
  <c r="G3" i="4" s="1"/>
  <c r="F15" i="5"/>
  <c r="F16" i="5" s="1"/>
  <c r="F17" i="5" l="1"/>
  <c r="F18" i="5" s="1"/>
</calcChain>
</file>

<file path=xl/sharedStrings.xml><?xml version="1.0" encoding="utf-8"?>
<sst xmlns="http://schemas.openxmlformats.org/spreadsheetml/2006/main" count="1073" uniqueCount="551">
  <si>
    <t>KURALLAR — TEK GERÇEK KAYNAK</t>
  </si>
  <si>
    <t>260911 MGS Mahir Bey — CCA / Almaty Costa Coffee — COSTA-LSP panosu — ABB BOM (motor v16)</t>
  </si>
  <si>
    <t>BLOK 1 — KUR TABLOSU</t>
  </si>
  <si>
    <t>PARA</t>
  </si>
  <si>
    <t>KZT</t>
  </si>
  <si>
    <t>TARIH</t>
  </si>
  <si>
    <t>USD</t>
  </si>
  <si>
    <t>2026-08-27</t>
  </si>
  <si>
    <t>EUR</t>
  </si>
  <si>
    <t>TRY</t>
  </si>
  <si>
    <t>NOT:</t>
  </si>
  <si>
    <t>KUR VARSAYIM — bu oturumda güncel kur verilmedi; birlesik.csv kurulumunda kullanılan son bilinen kur taşındı. Teklif öncesi güncelleyin.</t>
  </si>
  <si>
    <t>BLOK 2 — MARKA KURAL TABLOSU</t>
  </si>
  <si>
    <t>MARKA</t>
  </si>
  <si>
    <t>KATSAYI1</t>
  </si>
  <si>
    <t>KATSAYI2</t>
  </si>
  <si>
    <t>TOPLAM</t>
  </si>
  <si>
    <t>GIRDI_TIPI</t>
  </si>
  <si>
    <t>NOT</t>
  </si>
  <si>
    <t>ABB</t>
  </si>
  <si>
    <t>LISTE</t>
  </si>
  <si>
    <t>standart (System pro M, E-serisi vb.)</t>
  </si>
  <si>
    <t>ABB-ACIK</t>
  </si>
  <si>
    <t>ayar sahalı / açık tip (Tmax XT vb.)</t>
  </si>
  <si>
    <t>SCHNEIDER</t>
  </si>
  <si>
    <t>CHINT</t>
  </si>
  <si>
    <t>CNC</t>
  </si>
  <si>
    <t>liste 2025-02-04, güvenilmez</t>
  </si>
  <si>
    <t>LEGRAND</t>
  </si>
  <si>
    <t>teyitsiz</t>
  </si>
  <si>
    <t>IEK</t>
  </si>
  <si>
    <t>EKF</t>
  </si>
  <si>
    <t>referans, fiyat yasak</t>
  </si>
  <si>
    <t>EKT</t>
  </si>
  <si>
    <t>jenerik malzeme (klemens/kanal/aksesuar)</t>
  </si>
  <si>
    <t>SAIMAN</t>
  </si>
  <si>
    <t>KAZTEK</t>
  </si>
  <si>
    <t>korpus</t>
  </si>
  <si>
    <t>HARMONY</t>
  </si>
  <si>
    <t>pano içi kablo — liste tarihi bilinmiyor, TEYİT ET</t>
  </si>
  <si>
    <t>BAKIR-BARA</t>
  </si>
  <si>
    <t>NET</t>
  </si>
  <si>
    <t>kg fiyatından hesaplanır</t>
  </si>
  <si>
    <t>ALUM-BARA</t>
  </si>
  <si>
    <t>MUADIL-NET</t>
  </si>
  <si>
    <t>ISCILIK</t>
  </si>
  <si>
    <t>YENİ MARKA: tablonun sonuna satır ekle, başka yere dokunma.</t>
  </si>
  <si>
    <t>BLOK 3 — İŞÇİLİK NORMLARI (kalıcı, satır satır, değiştirilebilir — sarı)</t>
  </si>
  <si>
    <t>ISCILIK_SAAT_UCRETI (KZT/saat)</t>
  </si>
  <si>
    <t>ISCILIK_DK_UCRETI (KZT/dk, =saat/60)</t>
  </si>
  <si>
    <t>ISCILIK_CARPANI</t>
  </si>
  <si>
    <t>TEST_ETIKET_CARPANI</t>
  </si>
  <si>
    <t>VARSAYIM: saat ücreti ve çarpanlar örnek/öngörülen değerdir — atölye ölçümüyle güncelleyin.</t>
  </si>
  <si>
    <t>NORM ANAHTARI</t>
  </si>
  <si>
    <t>dk/birim (SARI — değiştirilebilir)</t>
  </si>
  <si>
    <t>AÇIKLAMA</t>
  </si>
  <si>
    <t>MCB_1P</t>
  </si>
  <si>
    <t>1P MCB/oto — adet</t>
  </si>
  <si>
    <t>MCB_2P</t>
  </si>
  <si>
    <t>2P MCB/oto — adet</t>
  </si>
  <si>
    <t>MCB_3P</t>
  </si>
  <si>
    <t>3P MCB/oto — adet</t>
  </si>
  <si>
    <t>MCB_4P</t>
  </si>
  <si>
    <t>4P MCB/oto — adet</t>
  </si>
  <si>
    <t>DIF_1PN</t>
  </si>
  <si>
    <t>Dif.avt./АВДТ 1P+N — adet</t>
  </si>
  <si>
    <t>DIF_3PN</t>
  </si>
  <si>
    <t>Dif.avt./АВДТ 3P+N — adet</t>
  </si>
  <si>
    <t>UZO_2P</t>
  </si>
  <si>
    <t>2P RCD/УЗО — adet</t>
  </si>
  <si>
    <t>UZO_4P</t>
  </si>
  <si>
    <t>4P RCD/УЗО — adet</t>
  </si>
  <si>
    <t>MCCB_KUCUK</t>
  </si>
  <si>
    <t>MCCB ≤250A — adet</t>
  </si>
  <si>
    <t>MCCB_BUYUK</t>
  </si>
  <si>
    <t>MCCB 315-630A / açık tip — adet</t>
  </si>
  <si>
    <t>MCCB_ANA</t>
  </si>
  <si>
    <t>Ana giriş MCCB/ayarlı açık tip şalter — adet</t>
  </si>
  <si>
    <t>SIGORTA_YUVASI</t>
  </si>
  <si>
    <t>Sigorta yuvası — adet</t>
  </si>
  <si>
    <t>SAYAC_AT</t>
  </si>
  <si>
    <t>Sayaç + akım trafosu seti — adet (komple)</t>
  </si>
  <si>
    <t>OPN_SPD</t>
  </si>
  <si>
    <t>Parafudr/SPD — adet</t>
  </si>
  <si>
    <t>KONTAKTOR</t>
  </si>
  <si>
    <t>Kontaktör — adet</t>
  </si>
  <si>
    <t>TERMIK</t>
  </si>
  <si>
    <t>Termik röle — adet</t>
  </si>
  <si>
    <t>ROLE</t>
  </si>
  <si>
    <t>Ara röle/impuls röle — adet</t>
  </si>
  <si>
    <t>ZAMAN_ROLESI</t>
  </si>
  <si>
    <t>Zaman rölesi — adet</t>
  </si>
  <si>
    <t>LAMBA_BUTON</t>
  </si>
  <si>
    <t>Sinyal lambası / buton / selektör — adet</t>
  </si>
  <si>
    <t>KLEMENS</t>
  </si>
  <si>
    <t>Klemens (faz/N/PE) — adet</t>
  </si>
  <si>
    <t>TARAK_BARA</t>
  </si>
  <si>
    <t>Tarak/pin bara (loobar) — adet</t>
  </si>
  <si>
    <t>BARA_M</t>
  </si>
  <si>
    <t>Bakır/alüminyum bara montajı — dk/m</t>
  </si>
  <si>
    <t>IZOLATOR_BARA</t>
  </si>
  <si>
    <t>Bara izolatörü — adet</t>
  </si>
  <si>
    <t>CIVATA_TAKIMI</t>
  </si>
  <si>
    <t>Bara bağlantı cıvata takımı — adet</t>
  </si>
  <si>
    <t>DINRAY_M</t>
  </si>
  <si>
    <t>DIN ray montajı — dk/m</t>
  </si>
  <si>
    <t>KANAL_M</t>
  </si>
  <si>
    <t>Kablo kanalı montajı — dk/m</t>
  </si>
  <si>
    <t>KABLO_IC_M</t>
  </si>
  <si>
    <t>Pano içi kablo döşeme — dk/m</t>
  </si>
  <si>
    <t>PABUC_YUKSUK</t>
  </si>
  <si>
    <t>Pabuç/yüksük sıkma — adet</t>
  </si>
  <si>
    <t>KORPUS_KUCUK</t>
  </si>
  <si>
    <t>Korpus montajı, küçük — adet</t>
  </si>
  <si>
    <t>KORPUS_ORTA</t>
  </si>
  <si>
    <t>Korpus montajı, orta — adet</t>
  </si>
  <si>
    <t>KORPUS_AYAKLI</t>
  </si>
  <si>
    <t>Korpus montajı, ayaklı/büyük duvar tipi — adet</t>
  </si>
  <si>
    <t>ETIKET_SET</t>
  </si>
  <si>
    <t>Etiketleme (pano+devre+klemens) — set</t>
  </si>
  <si>
    <t>SABIT_HAZIRLIK</t>
  </si>
  <si>
    <t>Sabit — hazırlık/proje okuma (pano başına)</t>
  </si>
  <si>
    <t>SABIT_TEST</t>
  </si>
  <si>
    <t>Sabit — rutin test IEC 61439 (pano başına)</t>
  </si>
  <si>
    <t>SABIT_AMBALAJ</t>
  </si>
  <si>
    <t>Sabit — ambalaj/sevkiyat hazırlığı (pano başına)</t>
  </si>
  <si>
    <t>Bu tablo YSF-HICH BOM motorunun kalıcı taban ayarıdır (v16) — her yeni proje bu normlardan başlar; sadece sarı hücreler değişir.</t>
  </si>
  <si>
    <t>BLOK 4 — FİYAT LİSTESİ YAŞ DENETİMİ</t>
  </si>
  <si>
    <t>Marka</t>
  </si>
  <si>
    <t>Dosya</t>
  </si>
  <si>
    <t>Tarih</t>
  </si>
  <si>
    <t>Yaş(ay)</t>
  </si>
  <si>
    <t>Durum</t>
  </si>
  <si>
    <t>260602_ABB_Elektrifikasyon_Fiyat_Listesi_2025_Kasim.pdf</t>
  </si>
  <si>
    <t>2025-11-01</t>
  </si>
  <si>
    <t>ok (≤12 ay)</t>
  </si>
  <si>
    <t>2607_15_Kaztek_pano_fiyat_listesi.XLSX</t>
  </si>
  <si>
    <t>2026-07-15</t>
  </si>
  <si>
    <t>260827_chint_price.xlsx</t>
  </si>
  <si>
    <t>(devralındı — önceki liste)</t>
  </si>
  <si>
    <t>2025-06-12</t>
  </si>
  <si>
    <t>GÜNCELLE (12-18 ay)</t>
  </si>
  <si>
    <t>Harmony_Кабель_Прайс_лист.pdf</t>
  </si>
  <si>
    <t>bilinmiyor</t>
  </si>
  <si>
    <t>UYARI — tarih bilinmiyor, TEYİT ET</t>
  </si>
  <si>
    <t>BLOK 6 — OTOMATİK TAMAMLAMA PARAMETRELERİ (sarı)</t>
  </si>
  <si>
    <t>BARA_DERATING</t>
  </si>
  <si>
    <t>BARA_FIRE</t>
  </si>
  <si>
    <t>BARA_N_ORANI</t>
  </si>
  <si>
    <t>BARA_PE_ORANI</t>
  </si>
  <si>
    <t>BARA_KOPRU_M</t>
  </si>
  <si>
    <t>BARA_BOY_M</t>
  </si>
  <si>
    <t>KABLO_FIRE</t>
  </si>
  <si>
    <t>KABLO_M_MODULER</t>
  </si>
  <si>
    <t>KABLO_M_MCCB</t>
  </si>
  <si>
    <t>DINRAY_FIRE</t>
  </si>
  <si>
    <t>KANAL_FIRE</t>
  </si>
  <si>
    <t>KLEMENS_YEDEK</t>
  </si>
  <si>
    <t>TARAK_MOD_ADET</t>
  </si>
  <si>
    <t>MODUL_GENISLIK_MM</t>
  </si>
  <si>
    <t>SIRA_YUKSEKLIK_MM</t>
  </si>
  <si>
    <t>KORPUS_KULLANILABILIR_ORAN</t>
  </si>
  <si>
    <t>KORPUS_GENISLIK_TOPLAM_MM (COSTA-LSP, 2x800)</t>
  </si>
  <si>
    <t>KORPUS_YUKSEKLIK_MM (COSTA-LSP)</t>
  </si>
  <si>
    <t>KUMANDA_MCB_TIP</t>
  </si>
  <si>
    <t>1P 6A C 4.5kA</t>
  </si>
  <si>
    <t>BLOK 7 — TİCARİ (sarı)</t>
  </si>
  <si>
    <t>KAR_ORANI</t>
  </si>
  <si>
    <t>ISKONTO</t>
  </si>
  <si>
    <t>NDS_ORANI</t>
  </si>
  <si>
    <t>TEKLIF_GECERLILIK (gün)</t>
  </si>
  <si>
    <t>URETIM_SURESI (iş günü)</t>
  </si>
  <si>
    <t>ODEME_SARTI</t>
  </si>
  <si>
    <t>%50 peşin, %50 teslimde</t>
  </si>
  <si>
    <t>GARANTI</t>
  </si>
  <si>
    <t>12 ay üretim hatalarına karşı</t>
  </si>
  <si>
    <t>BLOK 8 — METAL FİYATI (sarı) — bu projede bara kullanılmadı (ana şalter ≤125A, kablo köprü)</t>
  </si>
  <si>
    <t>BAKIR_KG_USD</t>
  </si>
  <si>
    <t>ALUM_KG_USD</t>
  </si>
  <si>
    <t>USD_KZT (BLOK1'den)</t>
  </si>
  <si>
    <t>BAKIR_KG_KZT</t>
  </si>
  <si>
    <t>ALUM_KG_KZT</t>
  </si>
  <si>
    <t>DURUM_LIST</t>
  </si>
  <si>
    <t>OK</t>
  </si>
  <si>
    <t>FIYAT_YOK</t>
  </si>
  <si>
    <t>MUADIL</t>
  </si>
  <si>
    <t>MUADIL_ONAY</t>
  </si>
  <si>
    <t>CIHAZ_BELIRSIZ</t>
  </si>
  <si>
    <t>VARSAYIM</t>
  </si>
  <si>
    <t>KAPSAM_DISI</t>
  </si>
  <si>
    <t>KONTROL</t>
  </si>
  <si>
    <t>OKUNAMADI</t>
  </si>
  <si>
    <t>FIYAT_ESKI</t>
  </si>
  <si>
    <t>BLOK 5 — RİSK KAYDI (TAM LİSTE, 6 BLOK)</t>
  </si>
  <si>
    <t>1) FİYAT YOK</t>
  </si>
  <si>
    <t>Satır</t>
  </si>
  <si>
    <t>Pano</t>
  </si>
  <si>
    <t>Artikül</t>
  </si>
  <si>
    <t>DURUM</t>
  </si>
  <si>
    <t>Not</t>
  </si>
  <si>
    <t>Aksiyon</t>
  </si>
  <si>
    <t>BOM9</t>
  </si>
  <si>
    <t>COSTA-LSP</t>
  </si>
  <si>
    <t>TT-ABB-80-5-YOK</t>
  </si>
  <si>
    <t>80/5A CT yok; ABB'de en yakın 1SEP408149R0001 160/5A EUR284.10, ana şaltere (80A) göre aşırı büyük</t>
  </si>
  <si>
    <t>CHINT/Mercury 100/5A CT ile fiyatlandır</t>
  </si>
  <si>
    <t>BOM14</t>
  </si>
  <si>
    <t>SPD-2CTB815101R4500-YOK</t>
  </si>
  <si>
    <t>OVR T1+2 3N 25-255 TS kodu ABB Kasım-2025 listesinde doğrulandı, satış fiyatı yok</t>
  </si>
  <si>
    <t>ABB'den güncel fiyat teyidi</t>
  </si>
  <si>
    <t>BOM28</t>
  </si>
  <si>
    <t>TERM-N-BARA</t>
  </si>
  <si>
    <t>İzoleli nötr barası — KAZTEK/EKT kataloğunda özel kod yok</t>
  </si>
  <si>
    <t>saha tedarikçisinden fiyat al</t>
  </si>
  <si>
    <t>BOM29</t>
  </si>
  <si>
    <t>TERM-PE-BARA</t>
  </si>
  <si>
    <t>ГЗШ + izolatör seti — KAZTEK/EKT kataloğunda özel kod yok</t>
  </si>
  <si>
    <t>BOM39</t>
  </si>
  <si>
    <t>MONTAJ-MALZEME</t>
  </si>
  <si>
    <t>toplu montaj sarf seti — granüler kalemler (ör. EKT 240100089) var, set fiyatı yok</t>
  </si>
  <si>
    <t>saha teklifine göre fiyat gir</t>
  </si>
  <si>
    <t>2) CİHAZ BELİRSİZ</t>
  </si>
  <si>
    <t>—</t>
  </si>
  <si>
    <t>yok</t>
  </si>
  <si>
    <t>3) MUADİL KULLANILDI</t>
  </si>
  <si>
    <t>BOM16</t>
  </si>
  <si>
    <t>ABB-FH204A25-MUADIL</t>
  </si>
  <si>
    <t>istenen 2CSF204101R1250 (F204 A-25/0,03) listede yok; FH204 A-25/0,03 (2CSF204102R1250) kullanıldı, gövde ölçüsü farklı</t>
  </si>
  <si>
    <t>MÜHENDİS ONAYI GEREKLİ</t>
  </si>
  <si>
    <t>BOM23</t>
  </si>
  <si>
    <t>ABB-FH202A25-MUADIL</t>
  </si>
  <si>
    <t>istenen 2CSF202101R1250 (F202 A-25/0,03) listede yok; FH202 A-25/0,03 (2CSF202102R1250) kullanıldı (x32), gövde ölçüsü farklı</t>
  </si>
  <si>
    <t>4) VARSAYIM</t>
  </si>
  <si>
    <t>BOM3</t>
  </si>
  <si>
    <t>KAZTEK-719-15684</t>
  </si>
  <si>
    <t>korpus 2x(2000x800x400mm+10cm baza) IP31 — DWFX görünüşünden H=2000,toplam W=1600 okundu, tam ölçü eşleşmesi yok</t>
  </si>
  <si>
    <t>imalat öncesi ölçü teyidi</t>
  </si>
  <si>
    <t>BOM18</t>
  </si>
  <si>
    <t>ABB-1SFA619200R1016</t>
  </si>
  <si>
    <t>kapı üzeri aydınlatma grubu seçici anahtarı x4 (L1-L4), panel kapı görünüşünden okundu</t>
  </si>
  <si>
    <t>etiket/fonksiyon sahada teyit</t>
  </si>
  <si>
    <t>BOM25-26</t>
  </si>
  <si>
    <t>HARMONY-PV2LS25</t>
  </si>
  <si>
    <t>kablo köprü Cu 25mm²: faz 1,32m + PE 0,33m — In=80A≤125A eşiği, BARA_KOPRU_M(0,30m)×kutup×KABLO_FIRE(1,10)</t>
  </si>
  <si>
    <t>otomatik hesap, aksiyon yok</t>
  </si>
  <si>
    <t>BOM27</t>
  </si>
  <si>
    <t>EKT-260100142</t>
  </si>
  <si>
    <t>pabuç 16mm² x8 — kablo köprü uçları (4 iletken x 2 uç)</t>
  </si>
  <si>
    <t>BOM30-32</t>
  </si>
  <si>
    <t>EKT-32421DEK</t>
  </si>
  <si>
    <t>klemens 188 adet (faz 97 + nötr 44 + PE 47) ×KLEMENS_YEDEK(1,10)</t>
  </si>
  <si>
    <t>BOM33</t>
  </si>
  <si>
    <t>EKT-YZN11DF-003-K03</t>
  </si>
  <si>
    <t>DIN ray uç plakası + stoper x10 set — her ~20 klemens için 1 set</t>
  </si>
  <si>
    <t>BOM34</t>
  </si>
  <si>
    <t>CHINT-570003</t>
  </si>
  <si>
    <t>DIN TH35 ~2,8m — toplam modül genişliği×18mm/modül×DINRAY_FIRE(1,10)</t>
  </si>
  <si>
    <t>BOM35</t>
  </si>
  <si>
    <t>EKT-280100335</t>
  </si>
  <si>
    <t>kablo kanalı 60x40mm 16m — ön metraj, kesin yerleşim imalatta netleşir</t>
  </si>
  <si>
    <t>imalat sonrası metraj teyidi</t>
  </si>
  <si>
    <t>BOM36-37</t>
  </si>
  <si>
    <t>HARMONY-PV1LS025 / PV1LS06</t>
  </si>
  <si>
    <t>pano içi kablo 2,5mm² ~111m + 6mm² ~5,3m — KABLO_M_MODULER/KABLO_M_MCCB×KABLO_FIRE</t>
  </si>
  <si>
    <t>5) KAPSAM DIŞI</t>
  </si>
  <si>
    <t>BOM24</t>
  </si>
  <si>
    <t>UPS-5KVA-HARIC</t>
  </si>
  <si>
    <t>UPS 5kVA 1F/1F 220V x1 — şemada gösterilmiş, marka/model verilmemiş, müşteri/ayrı tedarik</t>
  </si>
  <si>
    <t>pano fiyatına dahil değil, gerçek adetle kaldı</t>
  </si>
  <si>
    <t>6) VERİ NOTU</t>
  </si>
  <si>
    <t>ABB fiyat listesi</t>
  </si>
  <si>
    <t>260602 ABB Elektrifikasyon Fiyat Listesi, Kasım 2025 — yaş 9,8 ay (≤12 ay, güncel)</t>
  </si>
  <si>
    <t>CHINT/EKT/KAZTEK</t>
  </si>
  <si>
    <t>birlesik.csv tek fiyat kaynağı — KAZTEK 2607_15 (15.07.2026), CHINT 260827</t>
  </si>
  <si>
    <t>BARA/metal fiyatı</t>
  </si>
  <si>
    <t>kullanılmadı — In=80A≤125A kablo köprü kuralı uygulandı</t>
  </si>
  <si>
    <t>okunamayan bölge</t>
  </si>
  <si>
    <t>motor v16</t>
  </si>
  <si>
    <t>kolon yapısı 260909_Almaty_GermesHayat_CHINT_BOM_YSF_v15 referans alınarak yeniden düzenlendi; işçilik normları artık BLOK3'te satır satır, değiştirilebilir; risk kaydı sohbete değil buraya yazılır</t>
  </si>
  <si>
    <t>SIRA</t>
  </si>
  <si>
    <t>TIP</t>
  </si>
  <si>
    <t>ARTIKUL</t>
  </si>
  <si>
    <t>ACIKLAMA</t>
  </si>
  <si>
    <t>LISTE_FIYAT</t>
  </si>
  <si>
    <t>NET_KZT</t>
  </si>
  <si>
    <t>TOPLAM_ADET</t>
  </si>
  <si>
    <t>TOPLAM_TUTAR</t>
  </si>
  <si>
    <t>KATSAYI</t>
  </si>
  <si>
    <t>BIRIM</t>
  </si>
  <si>
    <t>KAYNAK</t>
  </si>
  <si>
    <t>PANO(LAR)</t>
  </si>
  <si>
    <t>MODUL</t>
  </si>
  <si>
    <t>KOD (SISTEM ANAHTARI - DOKUNMA)</t>
  </si>
  <si>
    <t>adet</t>
  </si>
  <si>
    <t>Kaztek resmi liste (2607 15 Kaztek pano fiyat listesi.XLSX) ARTIKUL 719-15684</t>
  </si>
  <si>
    <t>2 bölümlü pano; H=2000 toplam W=1600(2x800) D=400 — DWFX pano görünüşünden okundu</t>
  </si>
  <si>
    <t>TMŞ</t>
  </si>
  <si>
    <t>1SDA067415R1</t>
  </si>
  <si>
    <t>ABB Tmax XT1N 160 TMD — 3P In=80A 36kA (ana giriş şalteri, ayar sahalı)</t>
  </si>
  <si>
    <t>260602 ABB Elektrifikasyon Fiyat Listesi Kasım-2025</t>
  </si>
  <si>
    <t>Şema: 3x80A ana giriş</t>
  </si>
  <si>
    <t>ABB-1SDA067415R1</t>
  </si>
  <si>
    <t>sigorta yuvası</t>
  </si>
  <si>
    <t>2CSM204753R1801</t>
  </si>
  <si>
    <t>ABB E93/32 — 3P sigorta yuvası 10.3x38mm</t>
  </si>
  <si>
    <t>Sayaç gerilim + faz gösterge devresi için 2 adet gerekir</t>
  </si>
  <si>
    <t>ABB-2CSM204753R1801</t>
  </si>
  <si>
    <t>sigorta</t>
  </si>
  <si>
    <t>2CSM256363R1801</t>
  </si>
  <si>
    <t>ABB E9F10 GG6 — gG 6A sigorta 10.3x38mm</t>
  </si>
  <si>
    <t>Şema: 3(6)A x2 grup = 6 adet</t>
  </si>
  <si>
    <t>ABB-2CSM256363R1801</t>
  </si>
  <si>
    <t>tt</t>
  </si>
  <si>
    <t>ABB listesinde 80/5A CT yok; en yakın ABB 1SEP408149R0001 (160/5A, EUR284.10) 80A ana şaltere göre AŞIRI BÜYÜK. CHINT/Mercury 100/5A CT önerilir.</t>
  </si>
  <si>
    <t>sayac</t>
  </si>
  <si>
    <t>Şema CT=80/5A gösteriyor; haberleşme fonksiyonu müşteri şartıyla teyit edilmeli</t>
  </si>
  <si>
    <t>ABB-2CMA100178R1000</t>
  </si>
  <si>
    <t>lamb</t>
  </si>
  <si>
    <t>2CCA703402R0001</t>
  </si>
  <si>
    <t>ABB E219-D — yeşil LED faz var lambası 115-250VAC, 22mm</t>
  </si>
  <si>
    <t>3 faz göstergesi</t>
  </si>
  <si>
    <t>ABB-2CCA703402R0001</t>
  </si>
  <si>
    <t>2CSM277502R1801</t>
  </si>
  <si>
    <t>ABB E93/125 — 3P sigorta yuvası 22x58mm</t>
  </si>
  <si>
    <t>SPD yedek koruması</t>
  </si>
  <si>
    <t>ABB-2CSM277502R1801</t>
  </si>
  <si>
    <t>2CSM258343R1801</t>
  </si>
  <si>
    <t>ABB E9F22 GG125 — gG 125A sigorta 22x58mm</t>
  </si>
  <si>
    <t>Şema: 3(125)A</t>
  </si>
  <si>
    <t>ABB-2CSM258343R1801</t>
  </si>
  <si>
    <t>opn</t>
  </si>
  <si>
    <t>260602 ABB Elektrifikasyon Fiyat Listesi Kasım-2025, sf.36</t>
  </si>
  <si>
    <t>Kod doğrulandı, satış fiyatı bu liste ekstresinde yok. TNS/TT 3P+N kabul edildi.</t>
  </si>
  <si>
    <t>oto</t>
  </si>
  <si>
    <t>2CDS253001R0164</t>
  </si>
  <si>
    <t>ABB S203-C16 — 3P, C16A, 6kA</t>
  </si>
  <si>
    <t>1 adet aydınlatma grubu beslemesi + 1 adet 3 fazlı ekipman (kahve makinesi) devresi</t>
  </si>
  <si>
    <t>ABB-2CDS253001R0164</t>
  </si>
  <si>
    <t>2CDS251001R0105</t>
  </si>
  <si>
    <t>ABB S201-B10 — 1P, B10A, 6kA (aydınlatma çıkışları)</t>
  </si>
  <si>
    <t>Şema: B/1x10A x6 (L1-L6)</t>
  </si>
  <si>
    <t>ABB-2CDS251001R0105</t>
  </si>
  <si>
    <t>2CDS251001R0164</t>
  </si>
  <si>
    <t>ABB S201-C16 — 1P, C16A, 6kA (priz/ekipman çıkışları)</t>
  </si>
  <si>
    <t>Şemadan bağımsız sayım</t>
  </si>
  <si>
    <t>ABB-2CDS251001R0164</t>
  </si>
  <si>
    <t>2CDS251001R0204</t>
  </si>
  <si>
    <t>ABB S201-C20 — 1P, C20A, 6kA (ekipman çıkışları)</t>
  </si>
  <si>
    <t>Bulaşık makinesi / filtre kahve makinesi / su ısıtıcı çıkışları</t>
  </si>
  <si>
    <t>ABB-2CDS251001R0204</t>
  </si>
  <si>
    <t>2CDS251001R0254</t>
  </si>
  <si>
    <t>ABB S201-C25 — 1P, C25A, 6kA (mercyhet soket çıkışları)</t>
  </si>
  <si>
    <t>ABB-2CDS251001R0254</t>
  </si>
  <si>
    <t>2CDS251001R0324</t>
  </si>
  <si>
    <t>ABB S201-C32 — 1P, C32A, 6kA (UPS giriş + by-pass)</t>
  </si>
  <si>
    <t>ABB-2CDS251001R0324</t>
  </si>
  <si>
    <t>УЗО</t>
  </si>
  <si>
    <t>2CSF202102R1250</t>
  </si>
  <si>
    <t>ABB FH202 A-25/0.03 — 2P, 25A, 30mA, Tip A (F202 A-25/0.03 muadili)</t>
  </si>
  <si>
    <t>İstenen 2CSF202101R1250 listede yok; FH gövde serisi aynı marka/anma değer/koruma tipi ama farklı kutu ölçüsü — MÜHENDİS ONAYI GEREKLİ</t>
  </si>
  <si>
    <t>2CSF204102R1250</t>
  </si>
  <si>
    <t>ABB FH204 A-25/0.03 — 4P, 25A, 30mA, Tip A (F204 A-25/0.03 muadili)</t>
  </si>
  <si>
    <t>İstenen 2CSF204101R1250 listede yok; FH gövde serisi — MÜHENDİS ONAYI GEREKLİ</t>
  </si>
  <si>
    <t>selector</t>
  </si>
  <si>
    <t>1SFA619200R1016</t>
  </si>
  <si>
    <t>ABB C2SS1-10B-10 — 2 konum sabit seçici, siyah, 1NA, 22mm</t>
  </si>
  <si>
    <t>Kapı üzeri aydınlatma grubu kumandası x4</t>
  </si>
  <si>
    <t>UPS</t>
  </si>
  <si>
    <t>UPS 5 kVA, 1F/1F, 220V (harici ekipman)</t>
  </si>
  <si>
    <t>Şemada gösterilmiş, marka/model verilmemiş; müşteri/ayrı tedarik, pano fiyatına dahil edilmedi</t>
  </si>
  <si>
    <t>DIN</t>
  </si>
  <si>
    <t>570003</t>
  </si>
  <si>
    <t>DIN rayı TS35x7.5mm delikli (1m)</t>
  </si>
  <si>
    <t>m</t>
  </si>
  <si>
    <t>кабельный канал</t>
  </si>
  <si>
    <t>birlesik.csv (EKT 250612)</t>
  </si>
  <si>
    <t>klemens</t>
  </si>
  <si>
    <t>32421DEK</t>
  </si>
  <si>
    <t>Geçiş klemensi 2.5-4mm² (ЗН101-2-24A-08)</t>
  </si>
  <si>
    <t>Faz/N/PE hepsi için aynı gövde — renk kodu montajda ayrılır</t>
  </si>
  <si>
    <t>klemens aksesuar</t>
  </si>
  <si>
    <t>YZN11DF-003-K03</t>
  </si>
  <si>
    <t>DIN ray uç plakası + stoper seti</t>
  </si>
  <si>
    <t>iç kablo</t>
  </si>
  <si>
    <t>PV1(LS)-2.5</t>
  </si>
  <si>
    <t>H07V-K / ПВ1(LS) Cu 1x2.5mm² — pano içi kablo</t>
  </si>
  <si>
    <t>Liste tarihi bilinmiyor — TEYİT ET</t>
  </si>
  <si>
    <t>HARMONY-PV1LS025</t>
  </si>
  <si>
    <t>PV1(LS)-6</t>
  </si>
  <si>
    <t>H07V-K / ПВ1(LS) Cu 1x6mm² — pano içi kablo (C32 devreleri)</t>
  </si>
  <si>
    <t>HARMONY-PV1LS06</t>
  </si>
  <si>
    <t>PV2(LS)-25</t>
  </si>
  <si>
    <t>H07V-K / ПВ2(LS) Cu 1x25mm² — kablo köprü (ana giriş bağlantısı)</t>
  </si>
  <si>
    <t>≤125A ana şalter — bara yerine kablo köprü (proje kuralı)</t>
  </si>
  <si>
    <t>pabuc</t>
  </si>
  <si>
    <t>260100142</t>
  </si>
  <si>
    <t>Kablo pabucu 16mm² (МЛ 16-6-6)</t>
  </si>
  <si>
    <t>Ana giriş kablo köprü uçları</t>
  </si>
  <si>
    <t>etiket</t>
  </si>
  <si>
    <t>311100733</t>
  </si>
  <si>
    <t>Etiket seti — metal marka bandı (100 adet/paket)</t>
  </si>
  <si>
    <t>набор</t>
  </si>
  <si>
    <t>EKT-311100733-ETIKET</t>
  </si>
  <si>
    <t>N bara</t>
  </si>
  <si>
    <t>KAZTEK/EKT kataloğunda özel kod bulunamadı, saha tedarikçisinden fiyat alınmalı</t>
  </si>
  <si>
    <t>PE bara</t>
  </si>
  <si>
    <t>монтажный материал</t>
  </si>
  <si>
    <t>Montaj sarf malzemesi (vida, kablo bağı, spiral, destek, dübel-homut)</t>
  </si>
  <si>
    <t>Granüler kalemler mevcut (ör. EKT 240100089 dübel-homut) ama toplu set fiyatı saha teklifine göre girilmeli</t>
  </si>
  <si>
    <t>Iscilik</t>
  </si>
  <si>
    <t>Montaj/kablaj/etiketleme/test işçiliği (dakika bazlı)</t>
  </si>
  <si>
    <t>dk</t>
  </si>
  <si>
    <t>KURALLAR BLOK3</t>
  </si>
  <si>
    <t>Dakika ücreti KURALLAR BLOK3'ten okunur; toplam dakika BOM işçilik satırından SUMIF ile gelir</t>
  </si>
  <si>
    <t>ISCILIK-DK</t>
  </si>
  <si>
    <t>ROW</t>
  </si>
  <si>
    <t>Наименование1</t>
  </si>
  <si>
    <t>Тип</t>
  </si>
  <si>
    <t>Артикул</t>
  </si>
  <si>
    <t>Номенклатура</t>
  </si>
  <si>
    <t>Цена</t>
  </si>
  <si>
    <t>net</t>
  </si>
  <si>
    <t>H(G×I)</t>
  </si>
  <si>
    <t>Qty</t>
  </si>
  <si>
    <t>Ед.изм</t>
  </si>
  <si>
    <t>Завод</t>
  </si>
  <si>
    <t>tutar</t>
  </si>
  <si>
    <t>ANAHTAR (sistem - dokunma)</t>
  </si>
  <si>
    <t>NORM_ANAHTAR (sistem)</t>
  </si>
  <si>
    <t>ISCILIK_DK (satır, hesap)</t>
  </si>
  <si>
    <t>MODUL (hesap)</t>
  </si>
  <si>
    <t>компл.</t>
  </si>
  <si>
    <t>COSTA-LSP — Lighting distribution board + UPS dağıtım bölümü (aynı korpus içinde); ABB şaltlı; 3F+N+PE, 400/230V; In=80A; sayaç+SPD+aydınlatma/priz/UPS çıkışları. Kaynak: 10 E D 01 CCA PANEL SINGLE LINE DIAGRAM.dwfx (Drawing No: E D 01, 07.07.2026, Domestic-Ground Floor, SISTEMA).</t>
  </si>
  <si>
    <t>DWFX şema + devre cetveli</t>
  </si>
  <si>
    <t>шт</t>
  </si>
  <si>
    <t>Korpus 2 bölüm x (2000x800x400mm+10cm baza) IP31 — DWFX pano görünüşünden H=2000, toplam W=1600(2x800), D=400 okundu; KAZTEK kataloğunda tam ölçü eşleşmesi bulunamadı, en yakın 719-15684 (2000x800x400) x2 seçildi.</t>
  </si>
  <si>
    <t>DWFX pano görünüşü + KAZTEK katalog</t>
  </si>
  <si>
    <t>Şema: 3x80A ana giriş şalteri.</t>
  </si>
  <si>
    <t>DWFX şema</t>
  </si>
  <si>
    <t>Sayaç gerilim ölçü devresi 3(6)A koruması.</t>
  </si>
  <si>
    <t>3 faz gerilim ölçü sigortası.</t>
  </si>
  <si>
    <t>Faz gösterge lambası devresi 3(6)A koruması.</t>
  </si>
  <si>
    <t>3 faz gösterge sigortası.</t>
  </si>
  <si>
    <t>Sayaç ölçü akım trafosu, şema: 80/5A x3 faz. ABB'de bu ölçüde ürün yok — bkz. FIYAT notu.</t>
  </si>
  <si>
    <t>sinyal lambası</t>
  </si>
  <si>
    <t>3 faz var göstergesi.</t>
  </si>
  <si>
    <t>SPD yedek koruması 3(125)A.</t>
  </si>
  <si>
    <t>SPD yedek koruma sigortası.</t>
  </si>
  <si>
    <t>UZİP</t>
  </si>
  <si>
    <t>Şema: PF 50kA (B+C) Tip1+2 SPD. Kod doğrulandı, fiyat listede yok — bkz. FIYAT notu. TNS/TT 3P+N kabul edildi, saha topraklama sistemi teyit edilmeli.</t>
  </si>
  <si>
    <t>1 adet aydınlatma grubu beslemesi (L1-L6 önü) + 1 adet 3 fazlı ekipman (kahve makinesi P16) devresi.</t>
  </si>
  <si>
    <t>4P 25A/30mA grup RCD x2 (aydınlatma grubu + 3 fazlı ekipman grubu). MUADIL: istenen F204 A-25/0.03 (2CSF204101R1250) listede yok, FH204 A-25/0.03 (2CSF204102R1250) kullanıldı — MÜHENDİS ONAYI GEREKLİ.</t>
  </si>
  <si>
    <t>Aydınlatma çıkışları L1-L6 (Spot Light x2, Costa Linear Logo, Sigboard, Spare x2), B/1x10A.</t>
  </si>
  <si>
    <t>Kapı üzeri aydınlatma grubu kumanda seçicisi x4 (L1-L4). Panel kapı görünüşünden okundu, etiket/fonksiyon sahada teyit edilmeli.</t>
  </si>
  <si>
    <t>DWFX pano görünüşü</t>
  </si>
  <si>
    <t>Priz/ekipman çıkışları C16A — devre cetveli P serisi (spare/led screen/blender/grinder/fridge/bar refrigerator/service socket vb.) 23 adet + UPS çıkış dağıtımı (UP) 4 adet = 27.</t>
  </si>
  <si>
    <t>DWFX devre cetveli</t>
  </si>
  <si>
    <t>Dishwasher / Filter coffee machine / Water heater soket çıkışları C20A.</t>
  </si>
  <si>
    <t>Merchyet soket çıkışları x2 (P1, P11) C25A.</t>
  </si>
  <si>
    <t>UPS giriş + by-pass hatları C32A. Ayrı bir change-over/ATS cihazı şemada çizilmemiş.</t>
  </si>
  <si>
    <t>2P 25A/30mA grup RCD x32 (priz/ekipman çıkışları 28 adet + UPS dağıtımı UP 4 adet). MUADIL: istenen F202 A-25/0.03 (2CSF202101R1250) listede yok, FH202 A-25/0.03 (2CSF202102R1250) kullanıldı — MÜHENDİS ONAYI GEREKLİ.</t>
  </si>
  <si>
    <t>UPS 5kVA 1F/1F 220V — şemada gösterilmiş, marka/model verilmemiş; müşteri/ayrı tedarik, pano fiyatına dahil edilmedi.</t>
  </si>
  <si>
    <t>kablo köprü</t>
  </si>
  <si>
    <t>м</t>
  </si>
  <si>
    <t>otomatik hesap: ana şalter In=80A ≤125A → bara yerine kablo köprü (proje kuralı). Metraj = BARA_KOPRU_M(0,30m)×4 kutup(L1,L2,L3,N)×KABLO_FIRE(1,10).</t>
  </si>
  <si>
    <t>otomatik hesap</t>
  </si>
  <si>
    <t>kablo köprü PE</t>
  </si>
  <si>
    <t>otomatik hesap: PE köprü metrajı = BARA_KOPRU_M(0,30m)×1×KABLO_FIRE(1,10).</t>
  </si>
  <si>
    <t>otomatik hesap: kablo köprü uçları — 4 iletken x 2 uç = 8 adet pabuç.</t>
  </si>
  <si>
    <t>İzoleli nötr barası, min. 12 bağlantı (her panoda zorunlu).</t>
  </si>
  <si>
    <t>Topraklama barası (ГЗШ) + izolatör, min. 12 bağlantı (her panoda zorunlu).</t>
  </si>
  <si>
    <t>otomatik hesap: 1P devre 2 klemens + 3P devre 4 klemens, toplam devre sayısına göre, ×KLEMENS_YEDEK(1,10).</t>
  </si>
  <si>
    <t>klemens N</t>
  </si>
  <si>
    <t>otomatik hesap: 1P+N devre başına 1 nötr klemens (mavi) ×KLEMENS_YEDEK.</t>
  </si>
  <si>
    <t>klemens PE</t>
  </si>
  <si>
    <t>otomatik hesap: devre başına 1 PE klemensi (sarı-yeşil) ×KLEMENS_YEDEK.</t>
  </si>
  <si>
    <t>otomatik hesap: uç plakası+stoper, her ~20 klemens için 1 set.</t>
  </si>
  <si>
    <t>DIN рейка</t>
  </si>
  <si>
    <t>otomatik hesap: toplam modül genişliği (FIYAT!MODUL × BOM adedi, SUM) × 18mm/modül, ×DINRAY_FIRE(1,10, klemens rayı payı dahil).</t>
  </si>
  <si>
    <t>ÖN METRAJ: 2 bölümlü 2000x1600 pano için ~16m (yerleşim sonrası kesinleştirilecek).</t>
  </si>
  <si>
    <t>ÖN METRAJ (VARSAYIM)</t>
  </si>
  <si>
    <t>otomatik hesap: 2.5mm² pano içi kablo — 1P+N devreler (B10+C16+C20+C25) ×2 iletken + 3P grup devresi (S203) ×4 iletken, ×KABLO_M_MODULER(1,2m)×KABLO_FIRE(1,10).</t>
  </si>
  <si>
    <t>otomatik hesap: 6mm² pano içi kablo — UPS C32 devreleri ×2 iletken, ×KABLO_M_MODULER×KABLO_FIRE.</t>
  </si>
  <si>
    <t>Pano, cihaz, devre ve klemens etiket seti (COSTA-LSP kodları).</t>
  </si>
  <si>
    <t>Vida, somun, pul, kablo bağı, spiral, destek — bir pano için.</t>
  </si>
  <si>
    <t>Hazırlık / proje okuma (sabit)</t>
  </si>
  <si>
    <t>işçilik-sabit</t>
  </si>
  <si>
    <t>pano</t>
  </si>
  <si>
    <t>Sabit norm (KURALLAR BLOK3).</t>
  </si>
  <si>
    <t>Rutin test (IEC 61439, sabit)</t>
  </si>
  <si>
    <t>Ambalaj / sevkiyat hazırlığı (sabit)</t>
  </si>
  <si>
    <t>Toplam işçilik dakikası = Σ(satır dakikaları, KURALLAR BLOK3 norm tablosu) × ISCILIK_CARPANI. Tutar = dakika × ISCILIK_DK_UCRETI (KURALLAR BLOK3). Bir norm değeri değişirse bu satır otomatik güncellenir.</t>
  </si>
  <si>
    <t>Toplam COSTA-LSP</t>
  </si>
  <si>
    <t>PANO</t>
  </si>
  <si>
    <t>ADET</t>
  </si>
  <si>
    <t>MALZEME</t>
  </si>
  <si>
    <t>KAPASITE</t>
  </si>
  <si>
    <t>DOLULUK%</t>
  </si>
  <si>
    <t>YEDEK%</t>
  </si>
  <si>
    <t>BARA m</t>
  </si>
  <si>
    <t>BARA kg</t>
  </si>
  <si>
    <t>BARA TUTARI</t>
  </si>
  <si>
    <t>FIYAT_YOK adedi</t>
  </si>
  <si>
    <t>MUADIL adedi</t>
  </si>
  <si>
    <t>VARSAYIM adedi</t>
  </si>
  <si>
    <t>GENEL TOPLAM</t>
  </si>
  <si>
    <t>DURUM DAMGASI</t>
  </si>
  <si>
    <t>TEKLİF NO</t>
  </si>
  <si>
    <t>260911-MGS-CCA-001</t>
  </si>
  <si>
    <t>TARİH</t>
  </si>
  <si>
    <t>11.09.2026</t>
  </si>
  <si>
    <t>GEÇERLİLİK</t>
  </si>
  <si>
    <t>MÜŞTERİ</t>
  </si>
  <si>
    <t>MGS Mahir Bey</t>
  </si>
  <si>
    <t>PROJE</t>
  </si>
  <si>
    <t>CCA — Almaty Costa Coffee (Domestic, Ground Floor)</t>
  </si>
  <si>
    <t>ADRES</t>
  </si>
  <si>
    <t>Almaty, Kazakistan</t>
  </si>
  <si>
    <t>PARA BİRİMİ</t>
  </si>
  <si>
    <t>№</t>
  </si>
  <si>
    <t>Наименование</t>
  </si>
  <si>
    <t>Кол-во</t>
  </si>
  <si>
    <t>Цена за ед.</t>
  </si>
  <si>
    <t>Сумма</t>
  </si>
  <si>
    <t>COSTA-LSP — Aydınlatma + priz/ekipman + UPS dağıtım panosu. ABB şaltlı, 3F+N+PE, 400/230V, In=80A, IP31, RAL7035. Sayaç + SPD (Tip1+2) + 6 aydınlatma + 34 priz/ekipman çıkışı + UPS giriş/by-pass/dağıtım dahil.</t>
  </si>
  <si>
    <t>Итого</t>
  </si>
  <si>
    <t>Скидка (ISKONTO)</t>
  </si>
  <si>
    <t>Итого со скидкой</t>
  </si>
  <si>
    <t>НДС (NDS_ORANI)</t>
  </si>
  <si>
    <t>Всего с НДС</t>
  </si>
  <si>
    <t>Срok изготовления</t>
  </si>
  <si>
    <t>Условия оплаты</t>
  </si>
  <si>
    <t>Гарантия</t>
  </si>
  <si>
    <t>719-15696</t>
  </si>
  <si>
    <t>Shit 2000x800x450+100mm</t>
  </si>
  <si>
    <t>270300099_</t>
  </si>
  <si>
    <t xml:space="preserve">              Трансформатор тока ТТИ-А  100/5А  5ВА  класс 0,5  IEK</t>
  </si>
  <si>
    <t>ekt</t>
  </si>
  <si>
    <t>260602 ABB Elektrifikasyon Fiyat Listesi Kasım-2026</t>
  </si>
  <si>
    <t>59A382</t>
  </si>
  <si>
    <t>PROTEC T1 3+1 LH TIP1+2</t>
  </si>
  <si>
    <t>IB</t>
  </si>
  <si>
    <t>ДАЛА СА4-Э720 R TX OP P П RS1 Д W (3x220/380V 5-100A)</t>
  </si>
  <si>
    <t>270300200_</t>
  </si>
  <si>
    <t xml:space="preserve">                Кабель-канал перф.  60х40 ИМПАКТ IEK (24)</t>
  </si>
  <si>
    <t>3 faz CT bağlı enerji sayacı, PLC</t>
  </si>
  <si>
    <t>635-03004</t>
  </si>
  <si>
    <t>Трансформатор тока нулевой последовательности CT-80 (TEKLED ELECTRIC)</t>
  </si>
  <si>
    <t>toroid</t>
  </si>
  <si>
    <t>720-03100</t>
  </si>
  <si>
    <t>Реле тока утечки ELR 110V/240V (TEKLED ELECTRIC)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</si>
</sst>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#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3"/>
      <name val="Cambria"/>
      <family val="1"/>
      <charset val="204"/>
    </font>
    <font>
      <b/>
      <sz val="11"/>
      <name val="Cambria"/>
      <family val="1"/>
      <charset val="204"/>
    </font>
    <font>
      <i/>
      <sz val="9"/>
      <name val="Cambria"/>
      <family val="1"/>
      <charset val="204"/>
    </font>
    <font>
      <i/>
      <sz val="9"/>
      <color rgb="FFCC6600"/>
      <name val="Cambria"/>
      <family val="1"/>
      <charset val="204"/>
    </font>
    <font>
      <i/>
      <sz val="9"/>
      <color rgb="FF1F6B1F"/>
      <name val="Cambria"/>
      <family val="1"/>
      <charset val="204"/>
    </font>
    <font>
      <b/>
      <sz val="12"/>
      <name val="Cambria"/>
      <family val="1"/>
      <charset val="204"/>
    </font>
    <font>
      <sz val="11"/>
      <color rgb="FFCC0000"/>
      <name val="Cambria"/>
      <family val="1"/>
      <charset val="204"/>
    </font>
    <font>
      <b/>
      <sz val="11"/>
      <color rgb="FFCC0000"/>
      <name val="Cambria"/>
      <family val="1"/>
      <charset val="204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7EE"/>
        <bgColor rgb="FFC6E0B4"/>
      </patternFill>
    </fill>
    <fill>
      <patternFill patternType="solid">
        <fgColor rgb="FFFFC000"/>
        <bgColor rgb="FFFF9900"/>
      </patternFill>
    </fill>
    <fill>
      <patternFill patternType="solid">
        <fgColor rgb="FFC6E0B4"/>
        <bgColor rgb="FFBDD7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4" borderId="0" xfId="0" applyFill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2" fillId="0" borderId="0" xfId="0" applyNumberFormat="1" applyFont="1"/>
    <xf numFmtId="0" fontId="8" fillId="0" borderId="0" xfId="0" applyFont="1"/>
    <xf numFmtId="0" fontId="0" fillId="0" borderId="0" xfId="0" applyAlignment="1">
      <alignment vertical="top" wrapText="1"/>
    </xf>
    <xf numFmtId="4" fontId="2" fillId="0" borderId="0" xfId="0" applyNumberFormat="1" applyFont="1"/>
    <xf numFmtId="0" fontId="2" fillId="3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4" fontId="0" fillId="5" borderId="1" xfId="0" applyNumberFormat="1" applyFill="1" applyBorder="1"/>
    <xf numFmtId="3" fontId="0" fillId="5" borderId="1" xfId="0" applyNumberFormat="1" applyFill="1" applyBorder="1"/>
    <xf numFmtId="164" fontId="0" fillId="5" borderId="1" xfId="0" applyNumberFormat="1" applyFill="1" applyBorder="1"/>
    <xf numFmtId="0" fontId="0" fillId="0" borderId="1" xfId="0" applyBorder="1"/>
    <xf numFmtId="0" fontId="0" fillId="2" borderId="1" xfId="0" applyFill="1" applyBorder="1"/>
    <xf numFmtId="4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0" fontId="7" fillId="0" borderId="1" xfId="0" applyFont="1" applyBorder="1"/>
    <xf numFmtId="0" fontId="7" fillId="2" borderId="1" xfId="0" applyFont="1" applyFill="1" applyBorder="1"/>
    <xf numFmtId="4" fontId="7" fillId="0" borderId="1" xfId="0" applyNumberFormat="1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0" fontId="0" fillId="4" borderId="1" xfId="0" applyFill="1" applyBorder="1"/>
    <xf numFmtId="3" fontId="2" fillId="5" borderId="1" xfId="0" applyNumberFormat="1" applyFont="1" applyFill="1" applyBorder="1"/>
    <xf numFmtId="4" fontId="0" fillId="2" borderId="1" xfId="0" applyNumberFormat="1" applyFill="1" applyBorder="1"/>
    <xf numFmtId="4" fontId="7" fillId="2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6B1F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"/>
  <sheetViews>
    <sheetView showGridLines="0" topLeftCell="A90" zoomScaleNormal="100" workbookViewId="0">
      <selection activeCell="B114" sqref="B114"/>
    </sheetView>
  </sheetViews>
  <sheetFormatPr defaultColWidth="8.7109375" defaultRowHeight="15" x14ac:dyDescent="0.25"/>
  <cols>
    <col min="1" max="1" width="10" customWidth="1"/>
    <col min="2" max="2" width="12" customWidth="1"/>
    <col min="3" max="3" width="26" customWidth="1"/>
    <col min="4" max="4" width="14" customWidth="1"/>
    <col min="5" max="5" width="55" customWidth="1"/>
    <col min="6" max="6" width="32" customWidth="1"/>
  </cols>
  <sheetData>
    <row r="1" spans="1:7" ht="16.5" x14ac:dyDescent="0.25">
      <c r="A1" s="1" t="s">
        <v>0</v>
      </c>
    </row>
    <row r="2" spans="1:7" x14ac:dyDescent="0.25">
      <c r="A2" t="s">
        <v>1</v>
      </c>
    </row>
    <row r="4" spans="1:7" x14ac:dyDescent="0.25">
      <c r="A4" s="2" t="s">
        <v>2</v>
      </c>
    </row>
    <row r="5" spans="1:7" x14ac:dyDescent="0.25">
      <c r="A5" t="s">
        <v>3</v>
      </c>
      <c r="B5" t="s">
        <v>4</v>
      </c>
      <c r="C5" t="s">
        <v>5</v>
      </c>
    </row>
    <row r="6" spans="1:7" x14ac:dyDescent="0.25">
      <c r="A6" t="s">
        <v>4</v>
      </c>
      <c r="B6" s="3">
        <v>1</v>
      </c>
    </row>
    <row r="7" spans="1:7" x14ac:dyDescent="0.25">
      <c r="A7" t="s">
        <v>6</v>
      </c>
      <c r="B7" s="3">
        <v>505</v>
      </c>
      <c r="C7" t="s">
        <v>7</v>
      </c>
    </row>
    <row r="8" spans="1:7" x14ac:dyDescent="0.25">
      <c r="A8" t="s">
        <v>8</v>
      </c>
      <c r="B8" s="3">
        <v>585</v>
      </c>
      <c r="C8" t="s">
        <v>7</v>
      </c>
    </row>
    <row r="9" spans="1:7" x14ac:dyDescent="0.25">
      <c r="A9" t="s">
        <v>9</v>
      </c>
      <c r="B9" s="3">
        <v>13.5</v>
      </c>
      <c r="C9" t="s">
        <v>7</v>
      </c>
    </row>
    <row r="10" spans="1:7" x14ac:dyDescent="0.25">
      <c r="A10" t="s">
        <v>10</v>
      </c>
      <c r="B10" t="s">
        <v>11</v>
      </c>
    </row>
    <row r="12" spans="1:7" x14ac:dyDescent="0.25">
      <c r="A12" s="2" t="s">
        <v>12</v>
      </c>
    </row>
    <row r="13" spans="1:7" x14ac:dyDescent="0.25">
      <c r="A13" s="4" t="s">
        <v>13</v>
      </c>
      <c r="B13" s="4" t="s">
        <v>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</row>
    <row r="14" spans="1:7" x14ac:dyDescent="0.25">
      <c r="A14" t="s">
        <v>19</v>
      </c>
      <c r="B14" t="s">
        <v>8</v>
      </c>
      <c r="C14" s="3">
        <v>1.35</v>
      </c>
      <c r="D14" s="3">
        <v>0.3</v>
      </c>
      <c r="E14">
        <f t="shared" ref="E14:E29" si="0">C14*D14</f>
        <v>0.40500000000000003</v>
      </c>
      <c r="F14" t="s">
        <v>20</v>
      </c>
      <c r="G14" t="s">
        <v>21</v>
      </c>
    </row>
    <row r="15" spans="1:7" x14ac:dyDescent="0.25">
      <c r="A15" t="s">
        <v>22</v>
      </c>
      <c r="B15" t="s">
        <v>8</v>
      </c>
      <c r="C15" s="3">
        <v>1.35</v>
      </c>
      <c r="D15" s="3">
        <v>0.23</v>
      </c>
      <c r="E15">
        <f t="shared" si="0"/>
        <v>0.31050000000000005</v>
      </c>
      <c r="F15" t="s">
        <v>20</v>
      </c>
      <c r="G15" t="s">
        <v>23</v>
      </c>
    </row>
    <row r="16" spans="1:7" x14ac:dyDescent="0.25">
      <c r="A16" t="s">
        <v>24</v>
      </c>
      <c r="B16" t="s">
        <v>8</v>
      </c>
      <c r="C16" s="3">
        <v>0.6</v>
      </c>
      <c r="D16" s="3">
        <v>1</v>
      </c>
      <c r="E16">
        <f t="shared" si="0"/>
        <v>0.6</v>
      </c>
      <c r="F16" t="s">
        <v>20</v>
      </c>
    </row>
    <row r="17" spans="1:7" x14ac:dyDescent="0.25">
      <c r="A17" t="s">
        <v>25</v>
      </c>
      <c r="B17" t="s">
        <v>4</v>
      </c>
      <c r="C17" s="3">
        <v>0.6</v>
      </c>
      <c r="D17" s="3">
        <v>1</v>
      </c>
      <c r="E17">
        <f t="shared" si="0"/>
        <v>0.6</v>
      </c>
      <c r="F17" t="s">
        <v>20</v>
      </c>
    </row>
    <row r="18" spans="1:7" x14ac:dyDescent="0.25">
      <c r="A18" t="s">
        <v>26</v>
      </c>
      <c r="B18" t="s">
        <v>4</v>
      </c>
      <c r="C18" s="3">
        <v>0.55000000000000004</v>
      </c>
      <c r="D18" s="3">
        <v>1</v>
      </c>
      <c r="E18">
        <f t="shared" si="0"/>
        <v>0.55000000000000004</v>
      </c>
      <c r="F18" t="s">
        <v>20</v>
      </c>
      <c r="G18" t="s">
        <v>27</v>
      </c>
    </row>
    <row r="19" spans="1:7" x14ac:dyDescent="0.25">
      <c r="A19" t="s">
        <v>28</v>
      </c>
      <c r="B19" t="s">
        <v>9</v>
      </c>
      <c r="C19" s="3">
        <v>0.5</v>
      </c>
      <c r="D19" s="3">
        <v>1</v>
      </c>
      <c r="E19">
        <f t="shared" si="0"/>
        <v>0.5</v>
      </c>
      <c r="F19" t="s">
        <v>20</v>
      </c>
      <c r="G19" t="s">
        <v>29</v>
      </c>
    </row>
    <row r="20" spans="1:7" x14ac:dyDescent="0.25">
      <c r="A20" t="s">
        <v>30</v>
      </c>
      <c r="B20" t="s">
        <v>4</v>
      </c>
      <c r="C20" s="3">
        <v>1</v>
      </c>
      <c r="D20" s="3">
        <v>1</v>
      </c>
      <c r="E20">
        <f t="shared" si="0"/>
        <v>1</v>
      </c>
      <c r="F20" t="s">
        <v>20</v>
      </c>
    </row>
    <row r="21" spans="1:7" x14ac:dyDescent="0.25">
      <c r="A21" t="s">
        <v>31</v>
      </c>
      <c r="B21" t="s">
        <v>4</v>
      </c>
      <c r="C21" s="3">
        <v>1</v>
      </c>
      <c r="D21" s="3">
        <v>1</v>
      </c>
      <c r="E21">
        <f t="shared" si="0"/>
        <v>1</v>
      </c>
      <c r="F21" t="s">
        <v>20</v>
      </c>
      <c r="G21" t="s">
        <v>32</v>
      </c>
    </row>
    <row r="22" spans="1:7" x14ac:dyDescent="0.25">
      <c r="A22" t="s">
        <v>33</v>
      </c>
      <c r="B22" t="s">
        <v>4</v>
      </c>
      <c r="C22" s="3">
        <v>1</v>
      </c>
      <c r="D22" s="3">
        <v>1</v>
      </c>
      <c r="E22">
        <f t="shared" si="0"/>
        <v>1</v>
      </c>
      <c r="F22" t="s">
        <v>20</v>
      </c>
      <c r="G22" t="s">
        <v>34</v>
      </c>
    </row>
    <row r="23" spans="1:7" x14ac:dyDescent="0.25">
      <c r="A23" t="s">
        <v>35</v>
      </c>
      <c r="B23" t="s">
        <v>4</v>
      </c>
      <c r="C23" s="3">
        <v>1</v>
      </c>
      <c r="D23" s="3">
        <v>1</v>
      </c>
      <c r="E23">
        <f t="shared" si="0"/>
        <v>1</v>
      </c>
      <c r="F23" t="s">
        <v>20</v>
      </c>
    </row>
    <row r="24" spans="1:7" x14ac:dyDescent="0.25">
      <c r="A24" t="s">
        <v>36</v>
      </c>
      <c r="B24" t="s">
        <v>4</v>
      </c>
      <c r="C24" s="3">
        <v>0.6</v>
      </c>
      <c r="D24" s="3">
        <v>1</v>
      </c>
      <c r="E24">
        <f t="shared" si="0"/>
        <v>0.6</v>
      </c>
      <c r="F24" t="s">
        <v>20</v>
      </c>
      <c r="G24" t="s">
        <v>37</v>
      </c>
    </row>
    <row r="25" spans="1:7" x14ac:dyDescent="0.25">
      <c r="A25" t="s">
        <v>38</v>
      </c>
      <c r="B25" t="s">
        <v>4</v>
      </c>
      <c r="C25" s="3">
        <v>1</v>
      </c>
      <c r="D25" s="3">
        <v>1</v>
      </c>
      <c r="E25">
        <f t="shared" si="0"/>
        <v>1</v>
      </c>
      <c r="F25" t="s">
        <v>20</v>
      </c>
      <c r="G25" t="s">
        <v>39</v>
      </c>
    </row>
    <row r="26" spans="1:7" x14ac:dyDescent="0.25">
      <c r="A26" t="s">
        <v>40</v>
      </c>
      <c r="B26" t="s">
        <v>4</v>
      </c>
      <c r="C26" s="3">
        <v>1</v>
      </c>
      <c r="D26" s="3">
        <v>1</v>
      </c>
      <c r="E26">
        <f t="shared" si="0"/>
        <v>1</v>
      </c>
      <c r="F26" t="s">
        <v>41</v>
      </c>
      <c r="G26" t="s">
        <v>42</v>
      </c>
    </row>
    <row r="27" spans="1:7" x14ac:dyDescent="0.25">
      <c r="A27" t="s">
        <v>43</v>
      </c>
      <c r="B27" t="s">
        <v>4</v>
      </c>
      <c r="C27" s="3">
        <v>1</v>
      </c>
      <c r="D27" s="3">
        <v>1</v>
      </c>
      <c r="E27">
        <f t="shared" si="0"/>
        <v>1</v>
      </c>
      <c r="F27" t="s">
        <v>41</v>
      </c>
      <c r="G27" t="s">
        <v>42</v>
      </c>
    </row>
    <row r="28" spans="1:7" x14ac:dyDescent="0.25">
      <c r="A28" t="s">
        <v>44</v>
      </c>
      <c r="B28" t="s">
        <v>4</v>
      </c>
      <c r="C28" s="3">
        <v>1</v>
      </c>
      <c r="D28" s="3">
        <v>1</v>
      </c>
      <c r="E28">
        <f t="shared" si="0"/>
        <v>1</v>
      </c>
      <c r="F28" t="s">
        <v>41</v>
      </c>
    </row>
    <row r="29" spans="1:7" x14ac:dyDescent="0.25">
      <c r="A29" t="s">
        <v>45</v>
      </c>
      <c r="B29" t="s">
        <v>4</v>
      </c>
      <c r="C29" s="3">
        <v>1</v>
      </c>
      <c r="D29" s="3">
        <v>1</v>
      </c>
      <c r="E29">
        <f t="shared" si="0"/>
        <v>1</v>
      </c>
      <c r="F29" t="s">
        <v>41</v>
      </c>
    </row>
    <row r="31" spans="1:7" x14ac:dyDescent="0.25">
      <c r="A31" s="5" t="s">
        <v>46</v>
      </c>
    </row>
    <row r="33" spans="1:3" x14ac:dyDescent="0.25">
      <c r="A33" s="2" t="s">
        <v>47</v>
      </c>
    </row>
    <row r="34" spans="1:3" x14ac:dyDescent="0.25">
      <c r="A34" t="s">
        <v>48</v>
      </c>
      <c r="B34" s="3">
        <v>3500</v>
      </c>
    </row>
    <row r="35" spans="1:3" x14ac:dyDescent="0.25">
      <c r="A35" t="s">
        <v>49</v>
      </c>
      <c r="B35">
        <f>B34/60</f>
        <v>58.333333333333336</v>
      </c>
    </row>
    <row r="36" spans="1:3" x14ac:dyDescent="0.25">
      <c r="A36" t="s">
        <v>50</v>
      </c>
      <c r="B36" s="3">
        <v>1</v>
      </c>
    </row>
    <row r="37" spans="1:3" x14ac:dyDescent="0.25">
      <c r="A37" t="s">
        <v>51</v>
      </c>
      <c r="B37" s="3">
        <v>1.1499999999999999</v>
      </c>
    </row>
    <row r="38" spans="1:3" x14ac:dyDescent="0.25">
      <c r="A38" s="6" t="s">
        <v>52</v>
      </c>
    </row>
    <row r="40" spans="1:3" x14ac:dyDescent="0.25">
      <c r="A40" s="4" t="s">
        <v>53</v>
      </c>
      <c r="B40" s="4" t="s">
        <v>54</v>
      </c>
      <c r="C40" s="4" t="s">
        <v>55</v>
      </c>
    </row>
    <row r="41" spans="1:3" x14ac:dyDescent="0.25">
      <c r="A41" t="s">
        <v>56</v>
      </c>
      <c r="B41" s="3">
        <v>10</v>
      </c>
      <c r="C41" t="s">
        <v>57</v>
      </c>
    </row>
    <row r="42" spans="1:3" x14ac:dyDescent="0.25">
      <c r="A42" t="s">
        <v>58</v>
      </c>
      <c r="B42" s="3">
        <v>14</v>
      </c>
      <c r="C42" t="s">
        <v>59</v>
      </c>
    </row>
    <row r="43" spans="1:3" x14ac:dyDescent="0.25">
      <c r="A43" t="s">
        <v>60</v>
      </c>
      <c r="B43" s="3">
        <v>18</v>
      </c>
      <c r="C43" t="s">
        <v>61</v>
      </c>
    </row>
    <row r="44" spans="1:3" x14ac:dyDescent="0.25">
      <c r="A44" t="s">
        <v>62</v>
      </c>
      <c r="B44" s="3">
        <v>22</v>
      </c>
      <c r="C44" t="s">
        <v>63</v>
      </c>
    </row>
    <row r="45" spans="1:3" x14ac:dyDescent="0.25">
      <c r="A45" t="s">
        <v>64</v>
      </c>
      <c r="B45" s="3">
        <v>15</v>
      </c>
      <c r="C45" t="s">
        <v>65</v>
      </c>
    </row>
    <row r="46" spans="1:3" x14ac:dyDescent="0.25">
      <c r="A46" t="s">
        <v>66</v>
      </c>
      <c r="B46" s="3">
        <v>25</v>
      </c>
      <c r="C46" t="s">
        <v>67</v>
      </c>
    </row>
    <row r="47" spans="1:3" x14ac:dyDescent="0.25">
      <c r="A47" t="s">
        <v>68</v>
      </c>
      <c r="B47" s="3">
        <v>12</v>
      </c>
      <c r="C47" t="s">
        <v>69</v>
      </c>
    </row>
    <row r="48" spans="1:3" x14ac:dyDescent="0.25">
      <c r="A48" t="s">
        <v>70</v>
      </c>
      <c r="B48" s="3">
        <v>20</v>
      </c>
      <c r="C48" t="s">
        <v>71</v>
      </c>
    </row>
    <row r="49" spans="1:3" x14ac:dyDescent="0.25">
      <c r="A49" t="s">
        <v>72</v>
      </c>
      <c r="B49" s="3">
        <v>60</v>
      </c>
      <c r="C49" t="s">
        <v>73</v>
      </c>
    </row>
    <row r="50" spans="1:3" x14ac:dyDescent="0.25">
      <c r="A50" t="s">
        <v>74</v>
      </c>
      <c r="B50" s="3">
        <v>90</v>
      </c>
      <c r="C50" t="s">
        <v>75</v>
      </c>
    </row>
    <row r="51" spans="1:3" x14ac:dyDescent="0.25">
      <c r="A51" t="s">
        <v>76</v>
      </c>
      <c r="B51" s="3">
        <v>90</v>
      </c>
      <c r="C51" t="s">
        <v>77</v>
      </c>
    </row>
    <row r="52" spans="1:3" x14ac:dyDescent="0.25">
      <c r="A52" t="s">
        <v>78</v>
      </c>
      <c r="B52" s="3">
        <v>20</v>
      </c>
      <c r="C52" t="s">
        <v>79</v>
      </c>
    </row>
    <row r="53" spans="1:3" x14ac:dyDescent="0.25">
      <c r="A53" t="s">
        <v>80</v>
      </c>
      <c r="B53" s="3">
        <v>90</v>
      </c>
      <c r="C53" t="s">
        <v>81</v>
      </c>
    </row>
    <row r="54" spans="1:3" x14ac:dyDescent="0.25">
      <c r="A54" t="s">
        <v>82</v>
      </c>
      <c r="B54" s="3">
        <v>15</v>
      </c>
      <c r="C54" t="s">
        <v>83</v>
      </c>
    </row>
    <row r="55" spans="1:3" x14ac:dyDescent="0.25">
      <c r="A55" t="s">
        <v>84</v>
      </c>
      <c r="B55" s="3">
        <v>30</v>
      </c>
      <c r="C55" t="s">
        <v>85</v>
      </c>
    </row>
    <row r="56" spans="1:3" x14ac:dyDescent="0.25">
      <c r="A56" t="s">
        <v>86</v>
      </c>
      <c r="B56" s="3">
        <v>15</v>
      </c>
      <c r="C56" t="s">
        <v>87</v>
      </c>
    </row>
    <row r="57" spans="1:3" x14ac:dyDescent="0.25">
      <c r="A57" t="s">
        <v>88</v>
      </c>
      <c r="B57" s="3">
        <v>10</v>
      </c>
      <c r="C57" t="s">
        <v>89</v>
      </c>
    </row>
    <row r="58" spans="1:3" x14ac:dyDescent="0.25">
      <c r="A58" t="s">
        <v>90</v>
      </c>
      <c r="B58" s="3">
        <v>10</v>
      </c>
      <c r="C58" t="s">
        <v>91</v>
      </c>
    </row>
    <row r="59" spans="1:3" x14ac:dyDescent="0.25">
      <c r="A59" t="s">
        <v>92</v>
      </c>
      <c r="B59" s="3">
        <v>8</v>
      </c>
      <c r="C59" t="s">
        <v>93</v>
      </c>
    </row>
    <row r="60" spans="1:3" x14ac:dyDescent="0.25">
      <c r="A60" t="s">
        <v>94</v>
      </c>
      <c r="B60" s="3">
        <v>4</v>
      </c>
      <c r="C60" t="s">
        <v>95</v>
      </c>
    </row>
    <row r="61" spans="1:3" x14ac:dyDescent="0.25">
      <c r="A61" t="s">
        <v>96</v>
      </c>
      <c r="B61" s="3">
        <v>10</v>
      </c>
      <c r="C61" t="s">
        <v>97</v>
      </c>
    </row>
    <row r="62" spans="1:3" x14ac:dyDescent="0.25">
      <c r="A62" t="s">
        <v>98</v>
      </c>
      <c r="B62" s="3">
        <v>45</v>
      </c>
      <c r="C62" t="s">
        <v>99</v>
      </c>
    </row>
    <row r="63" spans="1:3" x14ac:dyDescent="0.25">
      <c r="A63" t="s">
        <v>100</v>
      </c>
      <c r="B63" s="3">
        <v>5</v>
      </c>
      <c r="C63" t="s">
        <v>101</v>
      </c>
    </row>
    <row r="64" spans="1:3" x14ac:dyDescent="0.25">
      <c r="A64" t="s">
        <v>102</v>
      </c>
      <c r="B64" s="3">
        <v>3</v>
      </c>
      <c r="C64" t="s">
        <v>103</v>
      </c>
    </row>
    <row r="65" spans="1:5" x14ac:dyDescent="0.25">
      <c r="A65" t="s">
        <v>104</v>
      </c>
      <c r="B65" s="3">
        <v>5</v>
      </c>
      <c r="C65" t="s">
        <v>105</v>
      </c>
    </row>
    <row r="66" spans="1:5" x14ac:dyDescent="0.25">
      <c r="A66" t="s">
        <v>106</v>
      </c>
      <c r="B66" s="3">
        <v>5</v>
      </c>
      <c r="C66" t="s">
        <v>107</v>
      </c>
    </row>
    <row r="67" spans="1:5" x14ac:dyDescent="0.25">
      <c r="A67" t="s">
        <v>108</v>
      </c>
      <c r="B67" s="3">
        <v>3</v>
      </c>
      <c r="C67" t="s">
        <v>109</v>
      </c>
    </row>
    <row r="68" spans="1:5" x14ac:dyDescent="0.25">
      <c r="A68" t="s">
        <v>110</v>
      </c>
      <c r="B68" s="3">
        <v>3</v>
      </c>
      <c r="C68" t="s">
        <v>111</v>
      </c>
    </row>
    <row r="69" spans="1:5" x14ac:dyDescent="0.25">
      <c r="A69" t="s">
        <v>112</v>
      </c>
      <c r="B69" s="3">
        <v>30</v>
      </c>
      <c r="C69" t="s">
        <v>113</v>
      </c>
    </row>
    <row r="70" spans="1:5" x14ac:dyDescent="0.25">
      <c r="A70" t="s">
        <v>114</v>
      </c>
      <c r="B70" s="3">
        <v>45</v>
      </c>
      <c r="C70" t="s">
        <v>115</v>
      </c>
    </row>
    <row r="71" spans="1:5" x14ac:dyDescent="0.25">
      <c r="A71" t="s">
        <v>116</v>
      </c>
      <c r="B71" s="3">
        <v>90</v>
      </c>
      <c r="C71" t="s">
        <v>117</v>
      </c>
    </row>
    <row r="72" spans="1:5" x14ac:dyDescent="0.25">
      <c r="A72" t="s">
        <v>118</v>
      </c>
      <c r="B72" s="3">
        <v>60</v>
      </c>
      <c r="C72" t="s">
        <v>119</v>
      </c>
    </row>
    <row r="73" spans="1:5" x14ac:dyDescent="0.25">
      <c r="A73" t="s">
        <v>120</v>
      </c>
      <c r="B73" s="3">
        <v>60</v>
      </c>
      <c r="C73" t="s">
        <v>121</v>
      </c>
    </row>
    <row r="74" spans="1:5" x14ac:dyDescent="0.25">
      <c r="A74" t="s">
        <v>122</v>
      </c>
      <c r="B74" s="3">
        <v>90</v>
      </c>
      <c r="C74" t="s">
        <v>123</v>
      </c>
    </row>
    <row r="75" spans="1:5" x14ac:dyDescent="0.25">
      <c r="A75" t="s">
        <v>124</v>
      </c>
      <c r="B75" s="3">
        <v>45</v>
      </c>
      <c r="C75" t="s">
        <v>125</v>
      </c>
    </row>
    <row r="77" spans="1:5" x14ac:dyDescent="0.25">
      <c r="A77" s="7" t="s">
        <v>126</v>
      </c>
    </row>
    <row r="79" spans="1:5" x14ac:dyDescent="0.25">
      <c r="A79" s="2" t="s">
        <v>127</v>
      </c>
    </row>
    <row r="80" spans="1:5" x14ac:dyDescent="0.25">
      <c r="A80" s="4" t="s">
        <v>128</v>
      </c>
      <c r="B80" s="4" t="s">
        <v>129</v>
      </c>
      <c r="C80" s="4" t="s">
        <v>130</v>
      </c>
      <c r="D80" s="4" t="s">
        <v>131</v>
      </c>
      <c r="E80" s="4" t="s">
        <v>132</v>
      </c>
    </row>
    <row r="81" spans="1:5" x14ac:dyDescent="0.25">
      <c r="A81" t="s">
        <v>19</v>
      </c>
      <c r="B81" t="s">
        <v>133</v>
      </c>
      <c r="C81" t="s">
        <v>134</v>
      </c>
      <c r="D81">
        <v>9.8000000000000007</v>
      </c>
      <c r="E81" t="s">
        <v>135</v>
      </c>
    </row>
    <row r="82" spans="1:5" x14ac:dyDescent="0.25">
      <c r="A82" t="s">
        <v>36</v>
      </c>
      <c r="B82" t="s">
        <v>136</v>
      </c>
      <c r="C82" t="s">
        <v>137</v>
      </c>
      <c r="D82">
        <v>1.4</v>
      </c>
      <c r="E82" t="s">
        <v>135</v>
      </c>
    </row>
    <row r="83" spans="1:5" x14ac:dyDescent="0.25">
      <c r="A83" t="s">
        <v>25</v>
      </c>
      <c r="B83" t="s">
        <v>138</v>
      </c>
      <c r="C83" t="s">
        <v>7</v>
      </c>
      <c r="D83">
        <v>0.4</v>
      </c>
      <c r="E83" t="s">
        <v>135</v>
      </c>
    </row>
    <row r="84" spans="1:5" x14ac:dyDescent="0.25">
      <c r="A84" t="s">
        <v>33</v>
      </c>
      <c r="B84" t="s">
        <v>139</v>
      </c>
      <c r="C84" t="s">
        <v>140</v>
      </c>
      <c r="D84">
        <v>15</v>
      </c>
      <c r="E84" t="s">
        <v>141</v>
      </c>
    </row>
    <row r="85" spans="1:5" x14ac:dyDescent="0.25">
      <c r="A85" t="s">
        <v>38</v>
      </c>
      <c r="B85" t="s">
        <v>142</v>
      </c>
      <c r="C85" t="s">
        <v>143</v>
      </c>
      <c r="E85" t="s">
        <v>144</v>
      </c>
    </row>
    <row r="87" spans="1:5" x14ac:dyDescent="0.25">
      <c r="A87" s="2" t="s">
        <v>145</v>
      </c>
    </row>
    <row r="88" spans="1:5" x14ac:dyDescent="0.25">
      <c r="A88" t="s">
        <v>146</v>
      </c>
      <c r="B88" s="3">
        <v>0.85</v>
      </c>
    </row>
    <row r="89" spans="1:5" x14ac:dyDescent="0.25">
      <c r="A89" t="s">
        <v>147</v>
      </c>
      <c r="B89" s="3">
        <v>1.1499999999999999</v>
      </c>
    </row>
    <row r="90" spans="1:5" x14ac:dyDescent="0.25">
      <c r="A90" t="s">
        <v>148</v>
      </c>
      <c r="B90" s="3">
        <v>1</v>
      </c>
    </row>
    <row r="91" spans="1:5" x14ac:dyDescent="0.25">
      <c r="A91" t="s">
        <v>149</v>
      </c>
      <c r="B91" s="3">
        <v>0.5</v>
      </c>
    </row>
    <row r="92" spans="1:5" x14ac:dyDescent="0.25">
      <c r="A92" t="s">
        <v>150</v>
      </c>
      <c r="B92" s="3">
        <v>0.3</v>
      </c>
    </row>
    <row r="93" spans="1:5" x14ac:dyDescent="0.25">
      <c r="A93" t="s">
        <v>151</v>
      </c>
      <c r="B93" s="3">
        <v>4</v>
      </c>
    </row>
    <row r="94" spans="1:5" x14ac:dyDescent="0.25">
      <c r="A94" t="s">
        <v>152</v>
      </c>
      <c r="B94" s="3">
        <v>1.1000000000000001</v>
      </c>
    </row>
    <row r="95" spans="1:5" x14ac:dyDescent="0.25">
      <c r="A95" t="s">
        <v>153</v>
      </c>
      <c r="B95" s="3">
        <v>1.2</v>
      </c>
    </row>
    <row r="96" spans="1:5" x14ac:dyDescent="0.25">
      <c r="A96" t="s">
        <v>154</v>
      </c>
      <c r="B96" s="3">
        <v>0.8</v>
      </c>
    </row>
    <row r="97" spans="1:2" x14ac:dyDescent="0.25">
      <c r="A97" t="s">
        <v>155</v>
      </c>
      <c r="B97" s="3">
        <v>1.1000000000000001</v>
      </c>
    </row>
    <row r="98" spans="1:2" x14ac:dyDescent="0.25">
      <c r="A98" t="s">
        <v>156</v>
      </c>
      <c r="B98" s="3">
        <v>1.1000000000000001</v>
      </c>
    </row>
    <row r="99" spans="1:2" x14ac:dyDescent="0.25">
      <c r="A99" t="s">
        <v>157</v>
      </c>
      <c r="B99" s="3">
        <v>1.1000000000000001</v>
      </c>
    </row>
    <row r="100" spans="1:2" x14ac:dyDescent="0.25">
      <c r="A100" t="s">
        <v>158</v>
      </c>
      <c r="B100" s="3">
        <v>12</v>
      </c>
    </row>
    <row r="101" spans="1:2" x14ac:dyDescent="0.25">
      <c r="A101" t="s">
        <v>159</v>
      </c>
      <c r="B101" s="3">
        <v>18</v>
      </c>
    </row>
    <row r="102" spans="1:2" x14ac:dyDescent="0.25">
      <c r="A102" t="s">
        <v>160</v>
      </c>
      <c r="B102" s="3">
        <v>150</v>
      </c>
    </row>
    <row r="103" spans="1:2" x14ac:dyDescent="0.25">
      <c r="A103" t="s">
        <v>161</v>
      </c>
      <c r="B103" s="3">
        <v>0.7</v>
      </c>
    </row>
    <row r="104" spans="1:2" x14ac:dyDescent="0.25">
      <c r="A104" t="s">
        <v>162</v>
      </c>
      <c r="B104" s="3">
        <v>1600</v>
      </c>
    </row>
    <row r="105" spans="1:2" x14ac:dyDescent="0.25">
      <c r="A105" t="s">
        <v>163</v>
      </c>
      <c r="B105" s="3">
        <v>2000</v>
      </c>
    </row>
    <row r="106" spans="1:2" x14ac:dyDescent="0.25">
      <c r="A106" t="s">
        <v>164</v>
      </c>
      <c r="B106" s="3" t="s">
        <v>165</v>
      </c>
    </row>
    <row r="108" spans="1:2" x14ac:dyDescent="0.25">
      <c r="A108" s="2" t="s">
        <v>166</v>
      </c>
    </row>
    <row r="109" spans="1:2" x14ac:dyDescent="0.25">
      <c r="A109" t="s">
        <v>167</v>
      </c>
      <c r="B109" s="3">
        <v>0.25</v>
      </c>
    </row>
    <row r="110" spans="1:2" x14ac:dyDescent="0.25">
      <c r="A110" t="s">
        <v>168</v>
      </c>
      <c r="B110" s="3">
        <v>0</v>
      </c>
    </row>
    <row r="111" spans="1:2" x14ac:dyDescent="0.25">
      <c r="A111" t="s">
        <v>169</v>
      </c>
      <c r="B111" s="3">
        <v>0.16</v>
      </c>
    </row>
    <row r="112" spans="1:2" x14ac:dyDescent="0.25">
      <c r="A112" t="s">
        <v>170</v>
      </c>
      <c r="B112" s="3">
        <v>15</v>
      </c>
    </row>
    <row r="113" spans="1:10" x14ac:dyDescent="0.25">
      <c r="A113" t="s">
        <v>171</v>
      </c>
      <c r="B113" s="3">
        <v>25</v>
      </c>
    </row>
    <row r="114" spans="1:10" x14ac:dyDescent="0.25">
      <c r="A114" t="s">
        <v>172</v>
      </c>
      <c r="B114" s="3" t="s">
        <v>173</v>
      </c>
    </row>
    <row r="115" spans="1:10" x14ac:dyDescent="0.25">
      <c r="A115" t="s">
        <v>174</v>
      </c>
      <c r="B115" s="3" t="s">
        <v>175</v>
      </c>
    </row>
    <row r="117" spans="1:10" x14ac:dyDescent="0.25">
      <c r="A117" s="2" t="s">
        <v>176</v>
      </c>
    </row>
    <row r="118" spans="1:10" x14ac:dyDescent="0.25">
      <c r="A118" t="s">
        <v>177</v>
      </c>
      <c r="B118" s="3">
        <v>14.45</v>
      </c>
    </row>
    <row r="119" spans="1:10" x14ac:dyDescent="0.25">
      <c r="A119" t="s">
        <v>178</v>
      </c>
      <c r="B119" s="3">
        <v>8.1999999999999993</v>
      </c>
    </row>
    <row r="120" spans="1:10" x14ac:dyDescent="0.25">
      <c r="A120" t="s">
        <v>179</v>
      </c>
      <c r="B120">
        <f>B7</f>
        <v>505</v>
      </c>
    </row>
    <row r="121" spans="1:10" x14ac:dyDescent="0.25">
      <c r="A121" t="s">
        <v>180</v>
      </c>
      <c r="B121">
        <f>B119*B120</f>
        <v>4141</v>
      </c>
    </row>
    <row r="122" spans="1:10" x14ac:dyDescent="0.25">
      <c r="A122" t="s">
        <v>181</v>
      </c>
      <c r="B122">
        <f>B119*B121</f>
        <v>33956.199999999997</v>
      </c>
    </row>
    <row r="124" spans="1:10" x14ac:dyDescent="0.25">
      <c r="J124" s="2" t="s">
        <v>182</v>
      </c>
    </row>
    <row r="125" spans="1:10" x14ac:dyDescent="0.25">
      <c r="J125" t="s">
        <v>183</v>
      </c>
    </row>
    <row r="126" spans="1:10" x14ac:dyDescent="0.25">
      <c r="J126" t="s">
        <v>184</v>
      </c>
    </row>
    <row r="127" spans="1:10" x14ac:dyDescent="0.25">
      <c r="J127" t="s">
        <v>185</v>
      </c>
    </row>
    <row r="128" spans="1:10" x14ac:dyDescent="0.25">
      <c r="J128" t="s">
        <v>186</v>
      </c>
    </row>
    <row r="129" spans="1:10" x14ac:dyDescent="0.25">
      <c r="J129" t="s">
        <v>187</v>
      </c>
    </row>
    <row r="130" spans="1:10" x14ac:dyDescent="0.25">
      <c r="J130" t="s">
        <v>188</v>
      </c>
    </row>
    <row r="131" spans="1:10" x14ac:dyDescent="0.25">
      <c r="J131" t="s">
        <v>189</v>
      </c>
    </row>
    <row r="132" spans="1:10" x14ac:dyDescent="0.25">
      <c r="J132" t="s">
        <v>190</v>
      </c>
    </row>
    <row r="133" spans="1:10" x14ac:dyDescent="0.25">
      <c r="J133" t="s">
        <v>191</v>
      </c>
    </row>
    <row r="134" spans="1:10" x14ac:dyDescent="0.25">
      <c r="J134" t="s">
        <v>192</v>
      </c>
    </row>
    <row r="136" spans="1:10" ht="15.75" x14ac:dyDescent="0.25">
      <c r="A136" s="8" t="s">
        <v>193</v>
      </c>
    </row>
    <row r="137" spans="1:10" x14ac:dyDescent="0.25">
      <c r="A137" s="2" t="s">
        <v>194</v>
      </c>
    </row>
    <row r="138" spans="1:10" x14ac:dyDescent="0.25">
      <c r="A138" s="4" t="s">
        <v>195</v>
      </c>
      <c r="B138" s="4" t="s">
        <v>196</v>
      </c>
      <c r="C138" s="4" t="s">
        <v>197</v>
      </c>
      <c r="D138" s="4" t="s">
        <v>198</v>
      </c>
      <c r="E138" s="4" t="s">
        <v>199</v>
      </c>
      <c r="F138" s="4" t="s">
        <v>200</v>
      </c>
    </row>
    <row r="139" spans="1:10" x14ac:dyDescent="0.25">
      <c r="A139" s="9" t="s">
        <v>201</v>
      </c>
      <c r="B139" s="9" t="s">
        <v>202</v>
      </c>
      <c r="C139" s="9" t="s">
        <v>203</v>
      </c>
      <c r="D139" s="9" t="s">
        <v>184</v>
      </c>
      <c r="E139" s="9" t="s">
        <v>204</v>
      </c>
      <c r="F139" s="9" t="s">
        <v>205</v>
      </c>
    </row>
    <row r="140" spans="1:10" x14ac:dyDescent="0.25">
      <c r="A140" s="9" t="s">
        <v>206</v>
      </c>
      <c r="B140" s="9" t="s">
        <v>202</v>
      </c>
      <c r="C140" s="9" t="s">
        <v>207</v>
      </c>
      <c r="D140" s="9" t="s">
        <v>184</v>
      </c>
      <c r="E140" s="9" t="s">
        <v>208</v>
      </c>
      <c r="F140" s="9" t="s">
        <v>209</v>
      </c>
    </row>
    <row r="141" spans="1:10" x14ac:dyDescent="0.25">
      <c r="A141" s="9" t="s">
        <v>210</v>
      </c>
      <c r="B141" s="9" t="s">
        <v>202</v>
      </c>
      <c r="C141" s="9" t="s">
        <v>211</v>
      </c>
      <c r="D141" s="9" t="s">
        <v>184</v>
      </c>
      <c r="E141" s="9" t="s">
        <v>212</v>
      </c>
      <c r="F141" s="9" t="s">
        <v>213</v>
      </c>
    </row>
    <row r="142" spans="1:10" x14ac:dyDescent="0.25">
      <c r="A142" s="9" t="s">
        <v>214</v>
      </c>
      <c r="B142" s="9" t="s">
        <v>202</v>
      </c>
      <c r="C142" s="9" t="s">
        <v>215</v>
      </c>
      <c r="D142" s="9" t="s">
        <v>184</v>
      </c>
      <c r="E142" s="9" t="s">
        <v>216</v>
      </c>
      <c r="F142" s="9" t="s">
        <v>213</v>
      </c>
    </row>
    <row r="143" spans="1:10" x14ac:dyDescent="0.25">
      <c r="A143" s="9" t="s">
        <v>217</v>
      </c>
      <c r="B143" s="9" t="s">
        <v>202</v>
      </c>
      <c r="C143" s="9" t="s">
        <v>218</v>
      </c>
      <c r="D143" s="9" t="s">
        <v>184</v>
      </c>
      <c r="E143" s="9" t="s">
        <v>219</v>
      </c>
      <c r="F143" s="9" t="s">
        <v>220</v>
      </c>
    </row>
    <row r="145" spans="1:6" x14ac:dyDescent="0.25">
      <c r="A145" s="2" t="s">
        <v>221</v>
      </c>
    </row>
    <row r="146" spans="1:6" x14ac:dyDescent="0.25">
      <c r="A146" s="4" t="s">
        <v>195</v>
      </c>
      <c r="B146" s="4" t="s">
        <v>196</v>
      </c>
      <c r="C146" s="4" t="s">
        <v>197</v>
      </c>
      <c r="D146" s="4" t="s">
        <v>198</v>
      </c>
      <c r="E146" s="4" t="s">
        <v>199</v>
      </c>
      <c r="F146" s="4" t="s">
        <v>200</v>
      </c>
    </row>
    <row r="147" spans="1:6" x14ac:dyDescent="0.25">
      <c r="A147" t="s">
        <v>222</v>
      </c>
      <c r="B147" t="s">
        <v>202</v>
      </c>
      <c r="C147" t="s">
        <v>222</v>
      </c>
      <c r="D147" t="s">
        <v>222</v>
      </c>
      <c r="E147" t="s">
        <v>223</v>
      </c>
      <c r="F147" t="s">
        <v>222</v>
      </c>
    </row>
    <row r="149" spans="1:6" x14ac:dyDescent="0.25">
      <c r="A149" s="2" t="s">
        <v>224</v>
      </c>
    </row>
    <row r="150" spans="1:6" x14ac:dyDescent="0.25">
      <c r="A150" s="4" t="s">
        <v>195</v>
      </c>
      <c r="B150" s="4" t="s">
        <v>196</v>
      </c>
      <c r="C150" s="4" t="s">
        <v>197</v>
      </c>
      <c r="D150" s="4" t="s">
        <v>198</v>
      </c>
      <c r="E150" s="4" t="s">
        <v>199</v>
      </c>
      <c r="F150" s="4" t="s">
        <v>200</v>
      </c>
    </row>
    <row r="151" spans="1:6" x14ac:dyDescent="0.25">
      <c r="A151" s="10" t="s">
        <v>225</v>
      </c>
      <c r="B151" s="10" t="s">
        <v>202</v>
      </c>
      <c r="C151" s="10" t="s">
        <v>226</v>
      </c>
      <c r="D151" s="10" t="s">
        <v>186</v>
      </c>
      <c r="E151" s="10" t="s">
        <v>227</v>
      </c>
      <c r="F151" s="10" t="s">
        <v>228</v>
      </c>
    </row>
    <row r="152" spans="1:6" x14ac:dyDescent="0.25">
      <c r="A152" s="10" t="s">
        <v>229</v>
      </c>
      <c r="B152" s="10" t="s">
        <v>202</v>
      </c>
      <c r="C152" s="10" t="s">
        <v>230</v>
      </c>
      <c r="D152" s="10" t="s">
        <v>186</v>
      </c>
      <c r="E152" s="10" t="s">
        <v>231</v>
      </c>
      <c r="F152" s="10" t="s">
        <v>228</v>
      </c>
    </row>
    <row r="154" spans="1:6" x14ac:dyDescent="0.25">
      <c r="A154" s="2" t="s">
        <v>232</v>
      </c>
    </row>
    <row r="155" spans="1:6" x14ac:dyDescent="0.25">
      <c r="A155" s="4" t="s">
        <v>195</v>
      </c>
      <c r="B155" s="4" t="s">
        <v>196</v>
      </c>
      <c r="C155" s="4" t="s">
        <v>197</v>
      </c>
      <c r="D155" s="4" t="s">
        <v>198</v>
      </c>
      <c r="E155" s="4" t="s">
        <v>199</v>
      </c>
      <c r="F155" s="4" t="s">
        <v>200</v>
      </c>
    </row>
    <row r="156" spans="1:6" x14ac:dyDescent="0.25">
      <c r="A156" s="3" t="s">
        <v>233</v>
      </c>
      <c r="B156" s="3" t="s">
        <v>202</v>
      </c>
      <c r="C156" s="3" t="s">
        <v>234</v>
      </c>
      <c r="D156" s="3" t="s">
        <v>188</v>
      </c>
      <c r="E156" s="3" t="s">
        <v>235</v>
      </c>
      <c r="F156" s="3" t="s">
        <v>236</v>
      </c>
    </row>
    <row r="157" spans="1:6" x14ac:dyDescent="0.25">
      <c r="A157" s="3" t="s">
        <v>237</v>
      </c>
      <c r="B157" s="3" t="s">
        <v>202</v>
      </c>
      <c r="C157" s="3" t="s">
        <v>238</v>
      </c>
      <c r="D157" s="3" t="s">
        <v>188</v>
      </c>
      <c r="E157" s="3" t="s">
        <v>239</v>
      </c>
      <c r="F157" s="3" t="s">
        <v>240</v>
      </c>
    </row>
    <row r="158" spans="1:6" x14ac:dyDescent="0.25">
      <c r="A158" s="3" t="s">
        <v>241</v>
      </c>
      <c r="B158" s="3" t="s">
        <v>202</v>
      </c>
      <c r="C158" s="3" t="s">
        <v>242</v>
      </c>
      <c r="D158" s="3" t="s">
        <v>188</v>
      </c>
      <c r="E158" s="3" t="s">
        <v>243</v>
      </c>
      <c r="F158" s="3" t="s">
        <v>244</v>
      </c>
    </row>
    <row r="159" spans="1:6" x14ac:dyDescent="0.25">
      <c r="A159" s="3" t="s">
        <v>245</v>
      </c>
      <c r="B159" s="3" t="s">
        <v>202</v>
      </c>
      <c r="C159" s="3" t="s">
        <v>246</v>
      </c>
      <c r="D159" s="3" t="s">
        <v>188</v>
      </c>
      <c r="E159" s="3" t="s">
        <v>247</v>
      </c>
      <c r="F159" s="3" t="s">
        <v>244</v>
      </c>
    </row>
    <row r="160" spans="1:6" x14ac:dyDescent="0.25">
      <c r="A160" s="3" t="s">
        <v>248</v>
      </c>
      <c r="B160" s="3" t="s">
        <v>202</v>
      </c>
      <c r="C160" s="3" t="s">
        <v>249</v>
      </c>
      <c r="D160" s="3" t="s">
        <v>188</v>
      </c>
      <c r="E160" s="3" t="s">
        <v>250</v>
      </c>
      <c r="F160" s="3" t="s">
        <v>244</v>
      </c>
    </row>
    <row r="161" spans="1:6" x14ac:dyDescent="0.25">
      <c r="A161" s="3" t="s">
        <v>251</v>
      </c>
      <c r="B161" s="3" t="s">
        <v>202</v>
      </c>
      <c r="C161" s="3" t="s">
        <v>252</v>
      </c>
      <c r="D161" s="3" t="s">
        <v>188</v>
      </c>
      <c r="E161" s="3" t="s">
        <v>253</v>
      </c>
      <c r="F161" s="3" t="s">
        <v>244</v>
      </c>
    </row>
    <row r="162" spans="1:6" x14ac:dyDescent="0.25">
      <c r="A162" s="3" t="s">
        <v>254</v>
      </c>
      <c r="B162" s="3" t="s">
        <v>202</v>
      </c>
      <c r="C162" s="3" t="s">
        <v>255</v>
      </c>
      <c r="D162" s="3" t="s">
        <v>188</v>
      </c>
      <c r="E162" s="3" t="s">
        <v>256</v>
      </c>
      <c r="F162" s="3" t="s">
        <v>244</v>
      </c>
    </row>
    <row r="163" spans="1:6" x14ac:dyDescent="0.25">
      <c r="A163" s="3" t="s">
        <v>257</v>
      </c>
      <c r="B163" s="3" t="s">
        <v>202</v>
      </c>
      <c r="C163" s="3" t="s">
        <v>258</v>
      </c>
      <c r="D163" s="3" t="s">
        <v>188</v>
      </c>
      <c r="E163" s="3" t="s">
        <v>259</v>
      </c>
      <c r="F163" s="3" t="s">
        <v>260</v>
      </c>
    </row>
    <row r="164" spans="1:6" x14ac:dyDescent="0.25">
      <c r="A164" s="3" t="s">
        <v>261</v>
      </c>
      <c r="B164" s="3" t="s">
        <v>202</v>
      </c>
      <c r="C164" s="3" t="s">
        <v>262</v>
      </c>
      <c r="D164" s="3" t="s">
        <v>188</v>
      </c>
      <c r="E164" s="3" t="s">
        <v>263</v>
      </c>
      <c r="F164" s="3" t="s">
        <v>244</v>
      </c>
    </row>
    <row r="166" spans="1:6" x14ac:dyDescent="0.25">
      <c r="A166" s="2" t="s">
        <v>264</v>
      </c>
    </row>
    <row r="167" spans="1:6" x14ac:dyDescent="0.25">
      <c r="A167" s="4" t="s">
        <v>195</v>
      </c>
      <c r="B167" s="4" t="s">
        <v>196</v>
      </c>
      <c r="C167" s="4" t="s">
        <v>197</v>
      </c>
      <c r="D167" s="4" t="s">
        <v>198</v>
      </c>
      <c r="E167" s="4" t="s">
        <v>199</v>
      </c>
      <c r="F167" s="4" t="s">
        <v>200</v>
      </c>
    </row>
    <row r="168" spans="1:6" x14ac:dyDescent="0.25">
      <c r="A168" t="s">
        <v>265</v>
      </c>
      <c r="B168" t="s">
        <v>202</v>
      </c>
      <c r="C168" t="s">
        <v>266</v>
      </c>
      <c r="D168" t="s">
        <v>189</v>
      </c>
      <c r="E168" t="s">
        <v>267</v>
      </c>
      <c r="F168" t="s">
        <v>268</v>
      </c>
    </row>
    <row r="170" spans="1:6" x14ac:dyDescent="0.25">
      <c r="A170" s="2" t="s">
        <v>269</v>
      </c>
    </row>
    <row r="171" spans="1:6" x14ac:dyDescent="0.25">
      <c r="A171" s="4" t="s">
        <v>195</v>
      </c>
      <c r="B171" s="4" t="s">
        <v>196</v>
      </c>
      <c r="C171" s="4" t="s">
        <v>197</v>
      </c>
      <c r="D171" s="4" t="s">
        <v>198</v>
      </c>
      <c r="E171" s="4" t="s">
        <v>199</v>
      </c>
      <c r="F171" s="4" t="s">
        <v>200</v>
      </c>
    </row>
    <row r="172" spans="1:6" x14ac:dyDescent="0.25">
      <c r="A172" t="s">
        <v>222</v>
      </c>
      <c r="B172" t="s">
        <v>202</v>
      </c>
      <c r="C172" t="s">
        <v>270</v>
      </c>
      <c r="D172" t="s">
        <v>183</v>
      </c>
      <c r="E172" t="s">
        <v>271</v>
      </c>
      <c r="F172" t="s">
        <v>222</v>
      </c>
    </row>
    <row r="173" spans="1:6" x14ac:dyDescent="0.25">
      <c r="A173" t="s">
        <v>222</v>
      </c>
      <c r="B173" t="s">
        <v>202</v>
      </c>
      <c r="C173" t="s">
        <v>272</v>
      </c>
      <c r="D173" t="s">
        <v>183</v>
      </c>
      <c r="E173" t="s">
        <v>273</v>
      </c>
      <c r="F173" t="s">
        <v>222</v>
      </c>
    </row>
    <row r="174" spans="1:6" x14ac:dyDescent="0.25">
      <c r="A174" t="s">
        <v>222</v>
      </c>
      <c r="B174" t="s">
        <v>202</v>
      </c>
      <c r="C174" t="s">
        <v>274</v>
      </c>
      <c r="D174" t="s">
        <v>183</v>
      </c>
      <c r="E174" t="s">
        <v>275</v>
      </c>
      <c r="F174" t="s">
        <v>222</v>
      </c>
    </row>
    <row r="175" spans="1:6" x14ac:dyDescent="0.25">
      <c r="A175" t="s">
        <v>222</v>
      </c>
      <c r="B175" t="s">
        <v>202</v>
      </c>
      <c r="C175" t="s">
        <v>276</v>
      </c>
      <c r="D175" t="s">
        <v>183</v>
      </c>
      <c r="E175" t="s">
        <v>223</v>
      </c>
      <c r="F175" t="s">
        <v>222</v>
      </c>
    </row>
    <row r="176" spans="1:6" x14ac:dyDescent="0.25">
      <c r="A176" t="s">
        <v>222</v>
      </c>
      <c r="B176" t="s">
        <v>202</v>
      </c>
      <c r="C176" t="s">
        <v>277</v>
      </c>
      <c r="D176" t="s">
        <v>183</v>
      </c>
      <c r="E176" t="s">
        <v>278</v>
      </c>
      <c r="F176" t="s">
        <v>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showGridLines="0" zoomScaleNormal="100" workbookViewId="0">
      <pane ySplit="1" topLeftCell="A2" activePane="bottomLeft" state="frozen"/>
      <selection pane="bottomLeft" activeCell="J31" sqref="J31:J32"/>
    </sheetView>
  </sheetViews>
  <sheetFormatPr defaultColWidth="8.7109375" defaultRowHeight="15" x14ac:dyDescent="0.25"/>
  <cols>
    <col min="1" max="1" width="6" customWidth="1"/>
    <col min="2" max="2" width="16" customWidth="1"/>
    <col min="3" max="3" width="18" customWidth="1"/>
    <col min="4" max="4" width="55" customWidth="1"/>
    <col min="5" max="6" width="12" customWidth="1"/>
    <col min="7" max="7" width="11" customWidth="1"/>
    <col min="8" max="8" width="13" customWidth="1"/>
    <col min="9" max="9" width="7" customWidth="1"/>
    <col min="10" max="10" width="12" customWidth="1"/>
    <col min="11" max="11" width="9" customWidth="1"/>
    <col min="12" max="12" width="8" customWidth="1"/>
    <col min="13" max="13" width="30" customWidth="1"/>
    <col min="14" max="14" width="13" customWidth="1"/>
    <col min="15" max="15" width="55" customWidth="1"/>
    <col min="16" max="16" width="12" customWidth="1"/>
    <col min="17" max="17" width="8" customWidth="1"/>
    <col min="18" max="18" width="26" customWidth="1"/>
  </cols>
  <sheetData>
    <row r="1" spans="1:18" x14ac:dyDescent="0.25">
      <c r="A1" s="19" t="s">
        <v>279</v>
      </c>
      <c r="B1" s="19" t="s">
        <v>280</v>
      </c>
      <c r="C1" s="19" t="s">
        <v>281</v>
      </c>
      <c r="D1" s="19" t="s">
        <v>282</v>
      </c>
      <c r="E1" s="19" t="s">
        <v>283</v>
      </c>
      <c r="F1" s="19" t="s">
        <v>284</v>
      </c>
      <c r="G1" s="19" t="s">
        <v>285</v>
      </c>
      <c r="H1" s="19" t="s">
        <v>286</v>
      </c>
      <c r="I1" s="19" t="s">
        <v>3</v>
      </c>
      <c r="J1" s="19" t="s">
        <v>13</v>
      </c>
      <c r="K1" s="19" t="s">
        <v>287</v>
      </c>
      <c r="L1" s="19" t="s">
        <v>288</v>
      </c>
      <c r="M1" s="19" t="s">
        <v>289</v>
      </c>
      <c r="N1" s="19" t="s">
        <v>198</v>
      </c>
      <c r="O1" s="19" t="s">
        <v>18</v>
      </c>
      <c r="P1" s="19" t="s">
        <v>290</v>
      </c>
      <c r="Q1" s="19" t="s">
        <v>291</v>
      </c>
      <c r="R1" s="19" t="s">
        <v>292</v>
      </c>
    </row>
    <row r="2" spans="1:18" x14ac:dyDescent="0.25">
      <c r="A2" s="25">
        <v>1</v>
      </c>
      <c r="B2" s="25" t="s">
        <v>37</v>
      </c>
      <c r="C2" s="25" t="s">
        <v>533</v>
      </c>
      <c r="D2" s="25" t="s">
        <v>534</v>
      </c>
      <c r="E2" s="37">
        <v>172785</v>
      </c>
      <c r="F2" s="28">
        <f t="shared" ref="F2:F34" si="0">IF($E2="","",IF(INDEX(MARKA_TIP,MATCH($J2,MARKA_AD,0))="NET",$E2,$E2*INDEX(MARKA_KAT,MATCH($J2,MARKA_AD,0))*INDEX(KUR_DEG,MATCH($I2,KUR_AD,0))))</f>
        <v>103671</v>
      </c>
      <c r="G2" s="25">
        <f>SUMIF(BOM!$P:$P,$R2,BOM!$I:$I)</f>
        <v>1</v>
      </c>
      <c r="H2" s="28">
        <f t="shared" ref="H2:H34" si="1">IF($F2="","",$F2*$G2)</f>
        <v>103671</v>
      </c>
      <c r="I2" s="25" t="str">
        <f t="shared" ref="I2:I34" si="2">IF($E2="","",INDEX(MARKA_PARA,MATCH($J2,MARKA_AD,0)))</f>
        <v>KZT</v>
      </c>
      <c r="J2" s="25" t="s">
        <v>36</v>
      </c>
      <c r="K2" s="25">
        <f t="shared" ref="K2:K34" si="3">IF($E2="","",INDEX(MARKA_KAT,MATCH($J2,MARKA_AD,0)))</f>
        <v>0.6</v>
      </c>
      <c r="L2" s="25" t="s">
        <v>293</v>
      </c>
      <c r="M2" s="25" t="s">
        <v>294</v>
      </c>
      <c r="N2" s="26" t="s">
        <v>188</v>
      </c>
      <c r="O2" s="25" t="s">
        <v>295</v>
      </c>
      <c r="P2" s="25" t="str">
        <f>IF(COUNTIF(BOM!$P$3:$P$42,$R2)&gt;0,"COSTA-LSP","")</f>
        <v>COSTA-LSP</v>
      </c>
      <c r="Q2" s="25">
        <v>0</v>
      </c>
      <c r="R2" s="25" t="s">
        <v>234</v>
      </c>
    </row>
    <row r="3" spans="1:18" x14ac:dyDescent="0.25">
      <c r="A3" s="25">
        <v>2</v>
      </c>
      <c r="B3" s="25" t="s">
        <v>296</v>
      </c>
      <c r="C3" s="25" t="s">
        <v>297</v>
      </c>
      <c r="D3" s="25" t="s">
        <v>298</v>
      </c>
      <c r="E3" s="37">
        <v>246.1</v>
      </c>
      <c r="F3" s="28">
        <f t="shared" si="0"/>
        <v>44702.219250000009</v>
      </c>
      <c r="G3" s="25">
        <f>SUMIF(BOM!$P:$P,$R3,BOM!$I:$I)</f>
        <v>1</v>
      </c>
      <c r="H3" s="28">
        <f t="shared" si="1"/>
        <v>44702.219250000009</v>
      </c>
      <c r="I3" s="25" t="str">
        <f t="shared" si="2"/>
        <v>EUR</v>
      </c>
      <c r="J3" s="25" t="s">
        <v>22</v>
      </c>
      <c r="K3" s="25">
        <f t="shared" si="3"/>
        <v>0.31050000000000005</v>
      </c>
      <c r="L3" s="25" t="s">
        <v>293</v>
      </c>
      <c r="M3" s="25" t="s">
        <v>299</v>
      </c>
      <c r="N3" s="25" t="s">
        <v>183</v>
      </c>
      <c r="O3" s="25" t="s">
        <v>300</v>
      </c>
      <c r="P3" s="25" t="str">
        <f>IF(COUNTIF(BOM!$P$3:$P$42,$R3)&gt;0,"COSTA-LSP","")</f>
        <v>COSTA-LSP</v>
      </c>
      <c r="Q3" s="25">
        <v>3</v>
      </c>
      <c r="R3" s="25" t="s">
        <v>301</v>
      </c>
    </row>
    <row r="4" spans="1:18" x14ac:dyDescent="0.25">
      <c r="A4" s="25">
        <v>3</v>
      </c>
      <c r="B4" s="25" t="s">
        <v>302</v>
      </c>
      <c r="C4" s="25" t="s">
        <v>303</v>
      </c>
      <c r="D4" s="25" t="s">
        <v>304</v>
      </c>
      <c r="E4" s="37">
        <v>24.89</v>
      </c>
      <c r="F4" s="28">
        <f t="shared" si="0"/>
        <v>5897.0632500000002</v>
      </c>
      <c r="G4" s="25">
        <f>SUMIF(BOM!$P:$P,$R4,BOM!$I:$I)</f>
        <v>2</v>
      </c>
      <c r="H4" s="28">
        <f t="shared" si="1"/>
        <v>11794.1265</v>
      </c>
      <c r="I4" s="25" t="str">
        <f t="shared" si="2"/>
        <v>EUR</v>
      </c>
      <c r="J4" s="25" t="s">
        <v>19</v>
      </c>
      <c r="K4" s="25">
        <f t="shared" si="3"/>
        <v>0.40500000000000003</v>
      </c>
      <c r="L4" s="25" t="s">
        <v>293</v>
      </c>
      <c r="M4" s="25" t="s">
        <v>299</v>
      </c>
      <c r="N4" s="25" t="s">
        <v>183</v>
      </c>
      <c r="O4" s="25" t="s">
        <v>305</v>
      </c>
      <c r="P4" s="25" t="str">
        <f>IF(COUNTIF(BOM!$P$3:$P$42,$R4)&gt;0,"COSTA-LSP","")</f>
        <v>COSTA-LSP</v>
      </c>
      <c r="Q4" s="25">
        <v>3</v>
      </c>
      <c r="R4" s="25" t="s">
        <v>306</v>
      </c>
    </row>
    <row r="5" spans="1:18" x14ac:dyDescent="0.25">
      <c r="A5" s="25">
        <v>4</v>
      </c>
      <c r="B5" s="25" t="s">
        <v>307</v>
      </c>
      <c r="C5" s="25" t="s">
        <v>308</v>
      </c>
      <c r="D5" s="25" t="s">
        <v>309</v>
      </c>
      <c r="E5" s="37">
        <v>3.81</v>
      </c>
      <c r="F5" s="28">
        <f t="shared" si="0"/>
        <v>902.68425000000002</v>
      </c>
      <c r="G5" s="25">
        <f>SUMIF(BOM!$P:$P,$R5,BOM!$I:$I)</f>
        <v>6</v>
      </c>
      <c r="H5" s="28">
        <f t="shared" si="1"/>
        <v>5416.1054999999997</v>
      </c>
      <c r="I5" s="25" t="str">
        <f t="shared" si="2"/>
        <v>EUR</v>
      </c>
      <c r="J5" s="25" t="s">
        <v>19</v>
      </c>
      <c r="K5" s="25">
        <f t="shared" si="3"/>
        <v>0.40500000000000003</v>
      </c>
      <c r="L5" s="25" t="s">
        <v>293</v>
      </c>
      <c r="M5" s="25" t="s">
        <v>299</v>
      </c>
      <c r="N5" s="25" t="s">
        <v>183</v>
      </c>
      <c r="O5" s="25" t="s">
        <v>310</v>
      </c>
      <c r="P5" s="25" t="str">
        <f>IF(COUNTIF(BOM!$P$3:$P$42,$R5)&gt;0,"COSTA-LSP","")</f>
        <v>COSTA-LSP</v>
      </c>
      <c r="Q5" s="25">
        <v>0</v>
      </c>
      <c r="R5" s="25" t="s">
        <v>311</v>
      </c>
    </row>
    <row r="6" spans="1:18" x14ac:dyDescent="0.25">
      <c r="A6" s="30">
        <v>5</v>
      </c>
      <c r="B6" s="30" t="s">
        <v>312</v>
      </c>
      <c r="C6" s="30" t="s">
        <v>535</v>
      </c>
      <c r="D6" s="30" t="s">
        <v>536</v>
      </c>
      <c r="E6" s="38">
        <v>5300</v>
      </c>
      <c r="F6" s="33">
        <f t="shared" si="0"/>
        <v>5300</v>
      </c>
      <c r="G6" s="30">
        <f>SUMIF(BOM!$P:$P,$R6,BOM!$I:$I)</f>
        <v>3</v>
      </c>
      <c r="H6" s="33">
        <f t="shared" si="1"/>
        <v>15900</v>
      </c>
      <c r="I6" s="30" t="str">
        <f t="shared" si="2"/>
        <v>KZT</v>
      </c>
      <c r="J6" s="30" t="s">
        <v>537</v>
      </c>
      <c r="K6" s="30">
        <f t="shared" si="3"/>
        <v>1</v>
      </c>
      <c r="L6" s="30" t="s">
        <v>293</v>
      </c>
      <c r="M6" s="25" t="s">
        <v>538</v>
      </c>
      <c r="N6" s="30" t="s">
        <v>184</v>
      </c>
      <c r="O6" s="30" t="s">
        <v>313</v>
      </c>
      <c r="P6" s="30" t="str">
        <f>IF(COUNTIF(BOM!$P$3:$P$42,$R6)&gt;0,"COSTA-LSP","")</f>
        <v>COSTA-LSP</v>
      </c>
      <c r="Q6" s="30">
        <v>0</v>
      </c>
      <c r="R6" s="30" t="s">
        <v>203</v>
      </c>
    </row>
    <row r="7" spans="1:18" x14ac:dyDescent="0.25">
      <c r="A7" s="25">
        <v>6</v>
      </c>
      <c r="B7" s="25" t="s">
        <v>314</v>
      </c>
      <c r="C7" s="25" t="s">
        <v>541</v>
      </c>
      <c r="D7" s="25" t="s">
        <v>542</v>
      </c>
      <c r="E7" s="37">
        <v>98000</v>
      </c>
      <c r="F7" s="28">
        <f t="shared" si="0"/>
        <v>98000</v>
      </c>
      <c r="G7" s="25">
        <f>SUMIF(BOM!$P:$P,$R7,BOM!$I:$I)</f>
        <v>1</v>
      </c>
      <c r="H7" s="28">
        <f t="shared" si="1"/>
        <v>98000</v>
      </c>
      <c r="I7" s="25" t="str">
        <f t="shared" si="2"/>
        <v>KZT</v>
      </c>
      <c r="J7" s="25" t="s">
        <v>35</v>
      </c>
      <c r="K7" s="25">
        <f t="shared" si="3"/>
        <v>1</v>
      </c>
      <c r="L7" s="25" t="s">
        <v>293</v>
      </c>
      <c r="M7" s="25" t="s">
        <v>299</v>
      </c>
      <c r="N7" s="25" t="s">
        <v>183</v>
      </c>
      <c r="O7" s="25" t="s">
        <v>315</v>
      </c>
      <c r="P7" s="25" t="str">
        <f>IF(COUNTIF(BOM!$P$3:$P$42,$R7)&gt;0,"COSTA-LSP","")</f>
        <v>COSTA-LSP</v>
      </c>
      <c r="Q7" s="25">
        <v>8</v>
      </c>
      <c r="R7" s="25" t="s">
        <v>316</v>
      </c>
    </row>
    <row r="8" spans="1:18" x14ac:dyDescent="0.25">
      <c r="A8" s="25">
        <v>7</v>
      </c>
      <c r="B8" s="25" t="s">
        <v>317</v>
      </c>
      <c r="C8" s="25" t="s">
        <v>318</v>
      </c>
      <c r="D8" s="25" t="s">
        <v>319</v>
      </c>
      <c r="E8" s="37">
        <v>20.81</v>
      </c>
      <c r="F8" s="28">
        <f t="shared" si="0"/>
        <v>4930.4092500000006</v>
      </c>
      <c r="G8" s="25">
        <f>SUMIF(BOM!$P:$P,$R8,BOM!$I:$I)</f>
        <v>3</v>
      </c>
      <c r="H8" s="28">
        <f t="shared" si="1"/>
        <v>14791.227750000002</v>
      </c>
      <c r="I8" s="25" t="str">
        <f t="shared" si="2"/>
        <v>EUR</v>
      </c>
      <c r="J8" s="25" t="s">
        <v>19</v>
      </c>
      <c r="K8" s="25">
        <f t="shared" si="3"/>
        <v>0.40500000000000003</v>
      </c>
      <c r="L8" s="25" t="s">
        <v>293</v>
      </c>
      <c r="M8" s="25" t="s">
        <v>299</v>
      </c>
      <c r="N8" s="25" t="s">
        <v>183</v>
      </c>
      <c r="O8" s="25" t="s">
        <v>320</v>
      </c>
      <c r="P8" s="25" t="str">
        <f>IF(COUNTIF(BOM!$P$3:$P$42,$R8)&gt;0,"COSTA-LSP","")</f>
        <v>COSTA-LSP</v>
      </c>
      <c r="Q8" s="25">
        <v>0</v>
      </c>
      <c r="R8" s="25" t="s">
        <v>321</v>
      </c>
    </row>
    <row r="9" spans="1:18" x14ac:dyDescent="0.25">
      <c r="A9" s="25">
        <v>8</v>
      </c>
      <c r="B9" s="25" t="s">
        <v>302</v>
      </c>
      <c r="C9" s="25" t="s">
        <v>322</v>
      </c>
      <c r="D9" s="25" t="s">
        <v>323</v>
      </c>
      <c r="E9" s="37">
        <v>214.7</v>
      </c>
      <c r="F9" s="28">
        <f t="shared" si="0"/>
        <v>50867.797500000001</v>
      </c>
      <c r="G9" s="25">
        <f>SUMIF(BOM!$P:$P,$R9,BOM!$I:$I)</f>
        <v>1</v>
      </c>
      <c r="H9" s="28">
        <f t="shared" si="1"/>
        <v>50867.797500000001</v>
      </c>
      <c r="I9" s="25" t="str">
        <f t="shared" si="2"/>
        <v>EUR</v>
      </c>
      <c r="J9" s="25" t="s">
        <v>19</v>
      </c>
      <c r="K9" s="25">
        <f t="shared" si="3"/>
        <v>0.40500000000000003</v>
      </c>
      <c r="L9" s="25" t="s">
        <v>293</v>
      </c>
      <c r="M9" s="25" t="s">
        <v>299</v>
      </c>
      <c r="N9" s="25" t="s">
        <v>183</v>
      </c>
      <c r="O9" s="25" t="s">
        <v>324</v>
      </c>
      <c r="P9" s="25" t="str">
        <f>IF(COUNTIF(BOM!$P$3:$P$42,$R9)&gt;0,"COSTA-LSP","")</f>
        <v>COSTA-LSP</v>
      </c>
      <c r="Q9" s="25">
        <v>6</v>
      </c>
      <c r="R9" s="25" t="s">
        <v>325</v>
      </c>
    </row>
    <row r="10" spans="1:18" x14ac:dyDescent="0.25">
      <c r="A10" s="25">
        <v>9</v>
      </c>
      <c r="B10" s="25" t="s">
        <v>307</v>
      </c>
      <c r="C10" s="25" t="s">
        <v>326</v>
      </c>
      <c r="D10" s="25" t="s">
        <v>327</v>
      </c>
      <c r="E10" s="37">
        <v>15.62</v>
      </c>
      <c r="F10" s="28">
        <f t="shared" si="0"/>
        <v>3700.7685000000001</v>
      </c>
      <c r="G10" s="25">
        <f>SUMIF(BOM!$P:$P,$R10,BOM!$I:$I)</f>
        <v>3</v>
      </c>
      <c r="H10" s="28">
        <f t="shared" si="1"/>
        <v>11102.3055</v>
      </c>
      <c r="I10" s="25" t="str">
        <f t="shared" si="2"/>
        <v>EUR</v>
      </c>
      <c r="J10" s="25" t="s">
        <v>19</v>
      </c>
      <c r="K10" s="25">
        <f t="shared" si="3"/>
        <v>0.40500000000000003</v>
      </c>
      <c r="L10" s="25" t="s">
        <v>293</v>
      </c>
      <c r="M10" s="25" t="s">
        <v>299</v>
      </c>
      <c r="N10" s="25" t="s">
        <v>183</v>
      </c>
      <c r="O10" s="25" t="s">
        <v>328</v>
      </c>
      <c r="P10" s="25" t="str">
        <f>IF(COUNTIF(BOM!$P$3:$P$42,$R10)&gt;0,"COSTA-LSP","")</f>
        <v>COSTA-LSP</v>
      </c>
      <c r="Q10" s="25">
        <v>0</v>
      </c>
      <c r="R10" s="25" t="s">
        <v>329</v>
      </c>
    </row>
    <row r="11" spans="1:18" x14ac:dyDescent="0.25">
      <c r="A11" s="30">
        <v>10</v>
      </c>
      <c r="B11" s="30" t="s">
        <v>330</v>
      </c>
      <c r="C11" s="30" t="s">
        <v>539</v>
      </c>
      <c r="D11" s="30" t="s">
        <v>540</v>
      </c>
      <c r="E11" s="38">
        <v>69000</v>
      </c>
      <c r="F11" s="33">
        <f t="shared" si="0"/>
        <v>69000</v>
      </c>
      <c r="G11" s="30">
        <f>SUMIF(BOM!$P:$P,$R11,BOM!$I:$I)</f>
        <v>1</v>
      </c>
      <c r="H11" s="33">
        <f t="shared" si="1"/>
        <v>69000</v>
      </c>
      <c r="I11" s="30" t="str">
        <f t="shared" si="2"/>
        <v>KZT</v>
      </c>
      <c r="J11" s="30" t="s">
        <v>537</v>
      </c>
      <c r="K11" s="30">
        <f t="shared" si="3"/>
        <v>1</v>
      </c>
      <c r="L11" s="30" t="s">
        <v>293</v>
      </c>
      <c r="M11" s="30" t="s">
        <v>331</v>
      </c>
      <c r="N11" s="30" t="s">
        <v>184</v>
      </c>
      <c r="O11" s="30" t="s">
        <v>332</v>
      </c>
      <c r="P11" s="30" t="str">
        <f>IF(COUNTIF(BOM!$P$3:$P$42,$R11)&gt;0,"COSTA-LSP","")</f>
        <v>COSTA-LSP</v>
      </c>
      <c r="Q11" s="30">
        <v>4</v>
      </c>
      <c r="R11" s="30" t="s">
        <v>207</v>
      </c>
    </row>
    <row r="12" spans="1:18" x14ac:dyDescent="0.25">
      <c r="A12" s="25">
        <v>11</v>
      </c>
      <c r="B12" s="25" t="s">
        <v>333</v>
      </c>
      <c r="C12" s="25" t="s">
        <v>334</v>
      </c>
      <c r="D12" s="25" t="s">
        <v>335</v>
      </c>
      <c r="E12" s="37">
        <v>48.51</v>
      </c>
      <c r="F12" s="28">
        <f t="shared" si="0"/>
        <v>11493.231750000001</v>
      </c>
      <c r="G12" s="25">
        <f>SUMIF(BOM!$P:$P,$R12,BOM!$I:$I)</f>
        <v>2</v>
      </c>
      <c r="H12" s="28">
        <f t="shared" si="1"/>
        <v>22986.463500000002</v>
      </c>
      <c r="I12" s="25" t="str">
        <f t="shared" si="2"/>
        <v>EUR</v>
      </c>
      <c r="J12" s="25" t="s">
        <v>19</v>
      </c>
      <c r="K12" s="25">
        <f t="shared" si="3"/>
        <v>0.40500000000000003</v>
      </c>
      <c r="L12" s="25" t="s">
        <v>293</v>
      </c>
      <c r="M12" s="25" t="s">
        <v>299</v>
      </c>
      <c r="N12" s="25" t="s">
        <v>183</v>
      </c>
      <c r="O12" s="25" t="s">
        <v>336</v>
      </c>
      <c r="P12" s="25" t="str">
        <f>IF(COUNTIF(BOM!$P$3:$P$42,$R12)&gt;0,"COSTA-LSP","")</f>
        <v>COSTA-LSP</v>
      </c>
      <c r="Q12" s="25">
        <v>3</v>
      </c>
      <c r="R12" s="25" t="s">
        <v>337</v>
      </c>
    </row>
    <row r="13" spans="1:18" x14ac:dyDescent="0.25">
      <c r="A13" s="25">
        <v>12</v>
      </c>
      <c r="B13" s="25" t="s">
        <v>333</v>
      </c>
      <c r="C13" s="25" t="s">
        <v>338</v>
      </c>
      <c r="D13" s="25" t="s">
        <v>339</v>
      </c>
      <c r="E13" s="37">
        <v>9.7799999999999994</v>
      </c>
      <c r="F13" s="28">
        <f t="shared" si="0"/>
        <v>2317.1264999999999</v>
      </c>
      <c r="G13" s="25">
        <f>SUMIF(BOM!$P:$P,$R13,BOM!$I:$I)</f>
        <v>6</v>
      </c>
      <c r="H13" s="28">
        <f t="shared" si="1"/>
        <v>13902.758999999998</v>
      </c>
      <c r="I13" s="25" t="str">
        <f t="shared" si="2"/>
        <v>EUR</v>
      </c>
      <c r="J13" s="25" t="s">
        <v>19</v>
      </c>
      <c r="K13" s="25">
        <f t="shared" si="3"/>
        <v>0.40500000000000003</v>
      </c>
      <c r="L13" s="25" t="s">
        <v>293</v>
      </c>
      <c r="M13" s="25" t="s">
        <v>299</v>
      </c>
      <c r="N13" s="25" t="s">
        <v>183</v>
      </c>
      <c r="O13" s="25" t="s">
        <v>340</v>
      </c>
      <c r="P13" s="25" t="str">
        <f>IF(COUNTIF(BOM!$P$3:$P$42,$R13)&gt;0,"COSTA-LSP","")</f>
        <v>COSTA-LSP</v>
      </c>
      <c r="Q13" s="25">
        <v>1</v>
      </c>
      <c r="R13" s="25" t="s">
        <v>341</v>
      </c>
    </row>
    <row r="14" spans="1:18" x14ac:dyDescent="0.25">
      <c r="A14" s="25">
        <v>13</v>
      </c>
      <c r="B14" s="25" t="s">
        <v>333</v>
      </c>
      <c r="C14" s="25" t="s">
        <v>342</v>
      </c>
      <c r="D14" s="25" t="s">
        <v>343</v>
      </c>
      <c r="E14" s="37">
        <v>10.77</v>
      </c>
      <c r="F14" s="28">
        <f t="shared" si="0"/>
        <v>2551.6822500000003</v>
      </c>
      <c r="G14" s="25">
        <f>SUMIF(BOM!$P:$P,$R14,BOM!$I:$I)</f>
        <v>27</v>
      </c>
      <c r="H14" s="28">
        <f t="shared" si="1"/>
        <v>68895.420750000005</v>
      </c>
      <c r="I14" s="25" t="str">
        <f t="shared" si="2"/>
        <v>EUR</v>
      </c>
      <c r="J14" s="25" t="s">
        <v>19</v>
      </c>
      <c r="K14" s="25">
        <f t="shared" si="3"/>
        <v>0.40500000000000003</v>
      </c>
      <c r="L14" s="25" t="s">
        <v>293</v>
      </c>
      <c r="M14" s="25" t="s">
        <v>299</v>
      </c>
      <c r="N14" s="25" t="s">
        <v>183</v>
      </c>
      <c r="O14" s="25" t="s">
        <v>344</v>
      </c>
      <c r="P14" s="25" t="str">
        <f>IF(COUNTIF(BOM!$P$3:$P$42,$R14)&gt;0,"COSTA-LSP","")</f>
        <v>COSTA-LSP</v>
      </c>
      <c r="Q14" s="25">
        <v>1</v>
      </c>
      <c r="R14" s="25" t="s">
        <v>345</v>
      </c>
    </row>
    <row r="15" spans="1:18" x14ac:dyDescent="0.25">
      <c r="A15" s="25">
        <v>14</v>
      </c>
      <c r="B15" s="25" t="s">
        <v>333</v>
      </c>
      <c r="C15" s="25" t="s">
        <v>346</v>
      </c>
      <c r="D15" s="25" t="s">
        <v>347</v>
      </c>
      <c r="E15" s="37">
        <v>10.77</v>
      </c>
      <c r="F15" s="28">
        <f t="shared" si="0"/>
        <v>2551.6822500000003</v>
      </c>
      <c r="G15" s="25">
        <f>SUMIF(BOM!$P:$P,$R15,BOM!$I:$I)</f>
        <v>3</v>
      </c>
      <c r="H15" s="28">
        <f t="shared" si="1"/>
        <v>7655.0467500000013</v>
      </c>
      <c r="I15" s="25" t="str">
        <f t="shared" si="2"/>
        <v>EUR</v>
      </c>
      <c r="J15" s="25" t="s">
        <v>19</v>
      </c>
      <c r="K15" s="25">
        <f t="shared" si="3"/>
        <v>0.40500000000000003</v>
      </c>
      <c r="L15" s="25" t="s">
        <v>293</v>
      </c>
      <c r="M15" s="25" t="s">
        <v>299</v>
      </c>
      <c r="N15" s="25" t="s">
        <v>183</v>
      </c>
      <c r="O15" s="25" t="s">
        <v>348</v>
      </c>
      <c r="P15" s="25" t="str">
        <f>IF(COUNTIF(BOM!$P$3:$P$42,$R15)&gt;0,"COSTA-LSP","")</f>
        <v>COSTA-LSP</v>
      </c>
      <c r="Q15" s="25">
        <v>1</v>
      </c>
      <c r="R15" s="25" t="s">
        <v>349</v>
      </c>
    </row>
    <row r="16" spans="1:18" x14ac:dyDescent="0.25">
      <c r="A16" s="25">
        <v>15</v>
      </c>
      <c r="B16" s="25" t="s">
        <v>333</v>
      </c>
      <c r="C16" s="25" t="s">
        <v>350</v>
      </c>
      <c r="D16" s="25" t="s">
        <v>351</v>
      </c>
      <c r="E16" s="37">
        <v>10.77</v>
      </c>
      <c r="F16" s="28">
        <f t="shared" si="0"/>
        <v>2551.6822500000003</v>
      </c>
      <c r="G16" s="25">
        <f>SUMIF(BOM!$P:$P,$R16,BOM!$I:$I)</f>
        <v>2</v>
      </c>
      <c r="H16" s="28">
        <f t="shared" si="1"/>
        <v>5103.3645000000006</v>
      </c>
      <c r="I16" s="25" t="str">
        <f t="shared" si="2"/>
        <v>EUR</v>
      </c>
      <c r="J16" s="25" t="s">
        <v>19</v>
      </c>
      <c r="K16" s="25">
        <f t="shared" si="3"/>
        <v>0.40500000000000003</v>
      </c>
      <c r="L16" s="25" t="s">
        <v>293</v>
      </c>
      <c r="M16" s="25" t="s">
        <v>299</v>
      </c>
      <c r="N16" s="25" t="s">
        <v>183</v>
      </c>
      <c r="O16" s="25"/>
      <c r="P16" s="25" t="str">
        <f>IF(COUNTIF(BOM!$P$3:$P$42,$R16)&gt;0,"COSTA-LSP","")</f>
        <v>COSTA-LSP</v>
      </c>
      <c r="Q16" s="25">
        <v>1</v>
      </c>
      <c r="R16" s="25" t="s">
        <v>352</v>
      </c>
    </row>
    <row r="17" spans="1:18" x14ac:dyDescent="0.25">
      <c r="A17" s="25">
        <v>16</v>
      </c>
      <c r="B17" s="25" t="s">
        <v>333</v>
      </c>
      <c r="C17" s="25" t="s">
        <v>353</v>
      </c>
      <c r="D17" s="25" t="s">
        <v>354</v>
      </c>
      <c r="E17" s="37">
        <v>13.46</v>
      </c>
      <c r="F17" s="28">
        <f t="shared" si="0"/>
        <v>3189.0105000000003</v>
      </c>
      <c r="G17" s="25">
        <f>SUMIF(BOM!$P:$P,$R17,BOM!$I:$I)</f>
        <v>2</v>
      </c>
      <c r="H17" s="28">
        <f t="shared" si="1"/>
        <v>6378.0210000000006</v>
      </c>
      <c r="I17" s="25" t="str">
        <f t="shared" si="2"/>
        <v>EUR</v>
      </c>
      <c r="J17" s="25" t="s">
        <v>19</v>
      </c>
      <c r="K17" s="25">
        <f t="shared" si="3"/>
        <v>0.40500000000000003</v>
      </c>
      <c r="L17" s="25" t="s">
        <v>293</v>
      </c>
      <c r="M17" s="25" t="s">
        <v>299</v>
      </c>
      <c r="N17" s="25" t="s">
        <v>183</v>
      </c>
      <c r="O17" s="25"/>
      <c r="P17" s="25" t="str">
        <f>IF(COUNTIF(BOM!$P$3:$P$42,$R17)&gt;0,"COSTA-LSP","")</f>
        <v>COSTA-LSP</v>
      </c>
      <c r="Q17" s="25">
        <v>1</v>
      </c>
      <c r="R17" s="25" t="s">
        <v>355</v>
      </c>
    </row>
    <row r="18" spans="1:18" x14ac:dyDescent="0.25">
      <c r="A18" s="25">
        <v>17</v>
      </c>
      <c r="B18" s="25" t="s">
        <v>356</v>
      </c>
      <c r="C18" s="25" t="s">
        <v>357</v>
      </c>
      <c r="D18" s="25" t="s">
        <v>358</v>
      </c>
      <c r="E18" s="37">
        <v>63.22</v>
      </c>
      <c r="F18" s="28">
        <f t="shared" si="0"/>
        <v>14978.398500000001</v>
      </c>
      <c r="G18" s="25">
        <f>SUMIF(BOM!$P:$P,$R18,BOM!$I:$I)</f>
        <v>32</v>
      </c>
      <c r="H18" s="28">
        <f t="shared" si="1"/>
        <v>479308.75200000004</v>
      </c>
      <c r="I18" s="25" t="str">
        <f t="shared" si="2"/>
        <v>EUR</v>
      </c>
      <c r="J18" s="25" t="s">
        <v>19</v>
      </c>
      <c r="K18" s="25">
        <f t="shared" si="3"/>
        <v>0.40500000000000003</v>
      </c>
      <c r="L18" s="25" t="s">
        <v>293</v>
      </c>
      <c r="M18" s="25" t="s">
        <v>299</v>
      </c>
      <c r="N18" s="35" t="s">
        <v>186</v>
      </c>
      <c r="O18" s="25" t="s">
        <v>359</v>
      </c>
      <c r="P18" s="25" t="str">
        <f>IF(COUNTIF(BOM!$P$3:$P$42,$R18)&gt;0,"COSTA-LSP","")</f>
        <v>COSTA-LSP</v>
      </c>
      <c r="Q18" s="25">
        <v>2</v>
      </c>
      <c r="R18" s="25" t="s">
        <v>230</v>
      </c>
    </row>
    <row r="19" spans="1:18" x14ac:dyDescent="0.25">
      <c r="A19" s="25">
        <v>18</v>
      </c>
      <c r="B19" s="25" t="s">
        <v>356</v>
      </c>
      <c r="C19" s="25" t="s">
        <v>360</v>
      </c>
      <c r="D19" s="25" t="s">
        <v>361</v>
      </c>
      <c r="E19" s="37">
        <v>82.14</v>
      </c>
      <c r="F19" s="28">
        <f t="shared" si="0"/>
        <v>19461.019499999999</v>
      </c>
      <c r="G19" s="25">
        <f>SUMIF(BOM!$P:$P,$R19,BOM!$I:$I)</f>
        <v>2</v>
      </c>
      <c r="H19" s="28">
        <f t="shared" si="1"/>
        <v>38922.038999999997</v>
      </c>
      <c r="I19" s="25" t="str">
        <f t="shared" si="2"/>
        <v>EUR</v>
      </c>
      <c r="J19" s="25" t="s">
        <v>19</v>
      </c>
      <c r="K19" s="25">
        <f t="shared" si="3"/>
        <v>0.40500000000000003</v>
      </c>
      <c r="L19" s="25" t="s">
        <v>293</v>
      </c>
      <c r="M19" s="25" t="s">
        <v>299</v>
      </c>
      <c r="N19" s="35" t="s">
        <v>186</v>
      </c>
      <c r="O19" s="25" t="s">
        <v>362</v>
      </c>
      <c r="P19" s="25" t="str">
        <f>IF(COUNTIF(BOM!$P$3:$P$42,$R19)&gt;0,"COSTA-LSP","")</f>
        <v>COSTA-LSP</v>
      </c>
      <c r="Q19" s="25">
        <v>4</v>
      </c>
      <c r="R19" s="25" t="s">
        <v>226</v>
      </c>
    </row>
    <row r="20" spans="1:18" x14ac:dyDescent="0.25">
      <c r="A20" s="25">
        <v>19</v>
      </c>
      <c r="B20" s="25" t="s">
        <v>363</v>
      </c>
      <c r="C20" s="25" t="s">
        <v>364</v>
      </c>
      <c r="D20" s="25" t="s">
        <v>365</v>
      </c>
      <c r="E20" s="37">
        <v>9.02</v>
      </c>
      <c r="F20" s="28">
        <f t="shared" si="0"/>
        <v>2137.0635000000002</v>
      </c>
      <c r="G20" s="25">
        <f>SUMIF(BOM!$P:$P,$R20,BOM!$I:$I)</f>
        <v>4</v>
      </c>
      <c r="H20" s="28">
        <f t="shared" si="1"/>
        <v>8548.2540000000008</v>
      </c>
      <c r="I20" s="25" t="str">
        <f t="shared" si="2"/>
        <v>EUR</v>
      </c>
      <c r="J20" s="25" t="s">
        <v>19</v>
      </c>
      <c r="K20" s="25">
        <f t="shared" si="3"/>
        <v>0.40500000000000003</v>
      </c>
      <c r="L20" s="25" t="s">
        <v>293</v>
      </c>
      <c r="M20" s="25" t="s">
        <v>299</v>
      </c>
      <c r="N20" s="25" t="s">
        <v>183</v>
      </c>
      <c r="O20" s="25" t="s">
        <v>366</v>
      </c>
      <c r="P20" s="25" t="str">
        <f>IF(COUNTIF(BOM!$P$3:$P$42,$R20)&gt;0,"COSTA-LSP","")</f>
        <v>COSTA-LSP</v>
      </c>
      <c r="Q20" s="25">
        <v>0</v>
      </c>
      <c r="R20" s="25" t="s">
        <v>238</v>
      </c>
    </row>
    <row r="21" spans="1:18" x14ac:dyDescent="0.25">
      <c r="A21" s="25">
        <v>20</v>
      </c>
      <c r="B21" s="25" t="s">
        <v>367</v>
      </c>
      <c r="C21" s="25"/>
      <c r="D21" s="25" t="s">
        <v>368</v>
      </c>
      <c r="E21" s="37"/>
      <c r="F21" s="28" t="str">
        <f t="shared" si="0"/>
        <v/>
      </c>
      <c r="G21" s="25">
        <f>SUMIF(BOM!$P:$P,$R21,BOM!$I:$I)</f>
        <v>1</v>
      </c>
      <c r="H21" s="28" t="str">
        <f t="shared" si="1"/>
        <v/>
      </c>
      <c r="I21" s="25" t="str">
        <f t="shared" si="2"/>
        <v/>
      </c>
      <c r="J21" s="25" t="s">
        <v>44</v>
      </c>
      <c r="K21" s="25" t="str">
        <f t="shared" si="3"/>
        <v/>
      </c>
      <c r="L21" s="25" t="s">
        <v>293</v>
      </c>
      <c r="M21" s="25" t="s">
        <v>222</v>
      </c>
      <c r="N21" s="25" t="s">
        <v>189</v>
      </c>
      <c r="O21" s="25" t="s">
        <v>369</v>
      </c>
      <c r="P21" s="25" t="str">
        <f>IF(COUNTIF(BOM!$P$3:$P$42,$R21)&gt;0,"COSTA-LSP","")</f>
        <v>COSTA-LSP</v>
      </c>
      <c r="Q21" s="25">
        <v>0</v>
      </c>
      <c r="R21" s="25" t="s">
        <v>266</v>
      </c>
    </row>
    <row r="22" spans="1:18" x14ac:dyDescent="0.25">
      <c r="A22" s="25">
        <v>21</v>
      </c>
      <c r="B22" s="25" t="s">
        <v>370</v>
      </c>
      <c r="C22" s="25" t="s">
        <v>371</v>
      </c>
      <c r="D22" s="25" t="s">
        <v>372</v>
      </c>
      <c r="E22" s="37">
        <v>869</v>
      </c>
      <c r="F22" s="28">
        <f t="shared" si="0"/>
        <v>521.4</v>
      </c>
      <c r="G22" s="25">
        <f>SUMIF(BOM!$P:$P,$R22,BOM!$I:$I)</f>
        <v>2.87</v>
      </c>
      <c r="H22" s="28">
        <f t="shared" si="1"/>
        <v>1496.4179999999999</v>
      </c>
      <c r="I22" s="25" t="str">
        <f t="shared" si="2"/>
        <v>KZT</v>
      </c>
      <c r="J22" s="25" t="s">
        <v>25</v>
      </c>
      <c r="K22" s="25">
        <f t="shared" si="3"/>
        <v>0.6</v>
      </c>
      <c r="L22" s="25" t="s">
        <v>373</v>
      </c>
      <c r="M22" s="25" t="s">
        <v>138</v>
      </c>
      <c r="N22" s="25" t="s">
        <v>183</v>
      </c>
      <c r="O22" s="25"/>
      <c r="P22" s="25" t="str">
        <f>IF(COUNTIF(BOM!$P$3:$P$42,$R22)&gt;0,"COSTA-LSP","")</f>
        <v>COSTA-LSP</v>
      </c>
      <c r="Q22" s="25">
        <v>0</v>
      </c>
      <c r="R22" s="25" t="s">
        <v>255</v>
      </c>
    </row>
    <row r="23" spans="1:18" x14ac:dyDescent="0.25">
      <c r="A23" s="25">
        <v>22</v>
      </c>
      <c r="B23" s="25" t="s">
        <v>374</v>
      </c>
      <c r="C23" s="25" t="s">
        <v>543</v>
      </c>
      <c r="D23" s="25" t="s">
        <v>544</v>
      </c>
      <c r="E23" s="37">
        <v>1980</v>
      </c>
      <c r="F23" s="28">
        <f t="shared" si="0"/>
        <v>1980</v>
      </c>
      <c r="G23" s="25">
        <f>SUMIF(BOM!$P:$P,$R23,BOM!$I:$I)</f>
        <v>16</v>
      </c>
      <c r="H23" s="28">
        <f t="shared" si="1"/>
        <v>31680</v>
      </c>
      <c r="I23" s="25" t="str">
        <f t="shared" si="2"/>
        <v>KZT</v>
      </c>
      <c r="J23" s="25" t="s">
        <v>33</v>
      </c>
      <c r="K23" s="25">
        <f t="shared" si="3"/>
        <v>1</v>
      </c>
      <c r="L23" s="25" t="s">
        <v>373</v>
      </c>
      <c r="M23" s="25" t="s">
        <v>375</v>
      </c>
      <c r="N23" s="25" t="s">
        <v>183</v>
      </c>
      <c r="O23" s="25"/>
      <c r="P23" s="25" t="str">
        <f>IF(COUNTIF(BOM!$P$3:$P$42,$R23)&gt;0,"COSTA-LSP","")</f>
        <v>COSTA-LSP</v>
      </c>
      <c r="Q23" s="25">
        <v>0</v>
      </c>
      <c r="R23" s="25" t="s">
        <v>258</v>
      </c>
    </row>
    <row r="24" spans="1:18" x14ac:dyDescent="0.25">
      <c r="A24" s="25">
        <v>23</v>
      </c>
      <c r="B24" s="25" t="s">
        <v>376</v>
      </c>
      <c r="C24" s="25" t="s">
        <v>377</v>
      </c>
      <c r="D24" s="25" t="s">
        <v>378</v>
      </c>
      <c r="E24" s="37">
        <v>117</v>
      </c>
      <c r="F24" s="28">
        <f t="shared" si="0"/>
        <v>117</v>
      </c>
      <c r="G24" s="25">
        <f>SUMIF(BOM!$P:$P,$R24,BOM!$I:$I)</f>
        <v>188</v>
      </c>
      <c r="H24" s="28">
        <f t="shared" si="1"/>
        <v>21996</v>
      </c>
      <c r="I24" s="25" t="str">
        <f t="shared" si="2"/>
        <v>KZT</v>
      </c>
      <c r="J24" s="25" t="s">
        <v>33</v>
      </c>
      <c r="K24" s="25">
        <f t="shared" si="3"/>
        <v>1</v>
      </c>
      <c r="L24" s="25" t="s">
        <v>293</v>
      </c>
      <c r="M24" s="25" t="s">
        <v>375</v>
      </c>
      <c r="N24" s="25" t="s">
        <v>183</v>
      </c>
      <c r="O24" s="25" t="s">
        <v>379</v>
      </c>
      <c r="P24" s="25" t="str">
        <f>IF(COUNTIF(BOM!$P$3:$P$42,$R24)&gt;0,"COSTA-LSP","")</f>
        <v>COSTA-LSP</v>
      </c>
      <c r="Q24" s="25">
        <v>0</v>
      </c>
      <c r="R24" s="25" t="s">
        <v>249</v>
      </c>
    </row>
    <row r="25" spans="1:18" x14ac:dyDescent="0.25">
      <c r="A25" s="25">
        <v>24</v>
      </c>
      <c r="B25" s="25" t="s">
        <v>380</v>
      </c>
      <c r="C25" s="25" t="s">
        <v>381</v>
      </c>
      <c r="D25" s="25" t="s">
        <v>382</v>
      </c>
      <c r="E25" s="37">
        <v>106</v>
      </c>
      <c r="F25" s="28">
        <f t="shared" si="0"/>
        <v>106</v>
      </c>
      <c r="G25" s="25">
        <f>SUMIF(BOM!$P:$P,$R25,BOM!$I:$I)</f>
        <v>10</v>
      </c>
      <c r="H25" s="28">
        <f t="shared" si="1"/>
        <v>1060</v>
      </c>
      <c r="I25" s="25" t="str">
        <f t="shared" si="2"/>
        <v>KZT</v>
      </c>
      <c r="J25" s="25" t="s">
        <v>33</v>
      </c>
      <c r="K25" s="25">
        <f t="shared" si="3"/>
        <v>1</v>
      </c>
      <c r="L25" s="25" t="s">
        <v>293</v>
      </c>
      <c r="M25" s="25" t="s">
        <v>375</v>
      </c>
      <c r="N25" s="25" t="s">
        <v>183</v>
      </c>
      <c r="O25" s="25"/>
      <c r="P25" s="25" t="str">
        <f>IF(COUNTIF(BOM!$P$3:$P$42,$R25)&gt;0,"COSTA-LSP","")</f>
        <v>COSTA-LSP</v>
      </c>
      <c r="Q25" s="25">
        <v>0</v>
      </c>
      <c r="R25" s="25" t="s">
        <v>252</v>
      </c>
    </row>
    <row r="26" spans="1:18" x14ac:dyDescent="0.25">
      <c r="A26" s="25">
        <v>25</v>
      </c>
      <c r="B26" s="25" t="s">
        <v>383</v>
      </c>
      <c r="C26" s="25" t="s">
        <v>384</v>
      </c>
      <c r="D26" s="25" t="s">
        <v>385</v>
      </c>
      <c r="E26" s="37">
        <v>176</v>
      </c>
      <c r="F26" s="28">
        <f t="shared" si="0"/>
        <v>176</v>
      </c>
      <c r="G26" s="25">
        <f>SUMIF(BOM!$P:$P,$R26,BOM!$I:$I)</f>
        <v>110.9</v>
      </c>
      <c r="H26" s="28">
        <f t="shared" si="1"/>
        <v>19518.400000000001</v>
      </c>
      <c r="I26" s="25" t="str">
        <f t="shared" si="2"/>
        <v>KZT</v>
      </c>
      <c r="J26" s="25" t="s">
        <v>38</v>
      </c>
      <c r="K26" s="25">
        <f t="shared" si="3"/>
        <v>1</v>
      </c>
      <c r="L26" s="25" t="s">
        <v>373</v>
      </c>
      <c r="M26" s="25" t="s">
        <v>142</v>
      </c>
      <c r="N26" s="25" t="s">
        <v>183</v>
      </c>
      <c r="O26" s="25" t="s">
        <v>386</v>
      </c>
      <c r="P26" s="25" t="str">
        <f>IF(COUNTIF(BOM!$P$3:$P$42,$R26)&gt;0,"COSTA-LSP","")</f>
        <v>COSTA-LSP</v>
      </c>
      <c r="Q26" s="25">
        <v>0</v>
      </c>
      <c r="R26" s="25" t="s">
        <v>387</v>
      </c>
    </row>
    <row r="27" spans="1:18" x14ac:dyDescent="0.25">
      <c r="A27" s="25">
        <v>26</v>
      </c>
      <c r="B27" s="25" t="s">
        <v>383</v>
      </c>
      <c r="C27" s="25" t="s">
        <v>388</v>
      </c>
      <c r="D27" s="25" t="s">
        <v>389</v>
      </c>
      <c r="E27" s="37">
        <v>423</v>
      </c>
      <c r="F27" s="28">
        <f t="shared" si="0"/>
        <v>423</v>
      </c>
      <c r="G27" s="25">
        <f>SUMIF(BOM!$P:$P,$R27,BOM!$I:$I)</f>
        <v>5.3</v>
      </c>
      <c r="H27" s="28">
        <f t="shared" si="1"/>
        <v>2241.9</v>
      </c>
      <c r="I27" s="25" t="str">
        <f t="shared" si="2"/>
        <v>KZT</v>
      </c>
      <c r="J27" s="25" t="s">
        <v>38</v>
      </c>
      <c r="K27" s="25">
        <f t="shared" si="3"/>
        <v>1</v>
      </c>
      <c r="L27" s="25" t="s">
        <v>373</v>
      </c>
      <c r="M27" s="25" t="s">
        <v>142</v>
      </c>
      <c r="N27" s="25" t="s">
        <v>183</v>
      </c>
      <c r="O27" s="25" t="s">
        <v>386</v>
      </c>
      <c r="P27" s="25" t="str">
        <f>IF(COUNTIF(BOM!$P$3:$P$42,$R27)&gt;0,"COSTA-LSP","")</f>
        <v>COSTA-LSP</v>
      </c>
      <c r="Q27" s="25">
        <v>0</v>
      </c>
      <c r="R27" s="25" t="s">
        <v>390</v>
      </c>
    </row>
    <row r="28" spans="1:18" x14ac:dyDescent="0.25">
      <c r="A28" s="25">
        <v>27</v>
      </c>
      <c r="B28" s="25" t="s">
        <v>383</v>
      </c>
      <c r="C28" s="25" t="s">
        <v>391</v>
      </c>
      <c r="D28" s="25" t="s">
        <v>392</v>
      </c>
      <c r="E28" s="37">
        <v>1765</v>
      </c>
      <c r="F28" s="28">
        <f t="shared" si="0"/>
        <v>1765</v>
      </c>
      <c r="G28" s="25">
        <f>SUMIF(BOM!$P:$P,$R28,BOM!$I:$I)</f>
        <v>1.6500000000000001</v>
      </c>
      <c r="H28" s="28">
        <f t="shared" si="1"/>
        <v>2912.2500000000005</v>
      </c>
      <c r="I28" s="25" t="str">
        <f t="shared" si="2"/>
        <v>KZT</v>
      </c>
      <c r="J28" s="25" t="s">
        <v>38</v>
      </c>
      <c r="K28" s="25">
        <f t="shared" si="3"/>
        <v>1</v>
      </c>
      <c r="L28" s="25" t="s">
        <v>373</v>
      </c>
      <c r="M28" s="25" t="s">
        <v>142</v>
      </c>
      <c r="N28" s="25" t="s">
        <v>183</v>
      </c>
      <c r="O28" s="25" t="s">
        <v>393</v>
      </c>
      <c r="P28" s="25" t="str">
        <f>IF(COUNTIF(BOM!$P$3:$P$42,$R28)&gt;0,"COSTA-LSP","")</f>
        <v>COSTA-LSP</v>
      </c>
      <c r="Q28" s="25">
        <v>0</v>
      </c>
      <c r="R28" s="25" t="s">
        <v>242</v>
      </c>
    </row>
    <row r="29" spans="1:18" x14ac:dyDescent="0.25">
      <c r="A29" s="25">
        <v>28</v>
      </c>
      <c r="B29" s="25" t="s">
        <v>394</v>
      </c>
      <c r="C29" s="25" t="s">
        <v>395</v>
      </c>
      <c r="D29" s="25" t="s">
        <v>396</v>
      </c>
      <c r="E29" s="37">
        <v>180</v>
      </c>
      <c r="F29" s="28">
        <f t="shared" si="0"/>
        <v>180</v>
      </c>
      <c r="G29" s="25">
        <f>SUMIF(BOM!$P:$P,$R29,BOM!$I:$I)</f>
        <v>8</v>
      </c>
      <c r="H29" s="28">
        <f t="shared" si="1"/>
        <v>1440</v>
      </c>
      <c r="I29" s="25" t="str">
        <f t="shared" si="2"/>
        <v>KZT</v>
      </c>
      <c r="J29" s="25" t="s">
        <v>33</v>
      </c>
      <c r="K29" s="25">
        <f t="shared" si="3"/>
        <v>1</v>
      </c>
      <c r="L29" s="25" t="s">
        <v>293</v>
      </c>
      <c r="M29" s="25" t="s">
        <v>375</v>
      </c>
      <c r="N29" s="25" t="s">
        <v>183</v>
      </c>
      <c r="O29" s="25" t="s">
        <v>397</v>
      </c>
      <c r="P29" s="25" t="str">
        <f>IF(COUNTIF(BOM!$P$3:$P$42,$R29)&gt;0,"COSTA-LSP","")</f>
        <v>COSTA-LSP</v>
      </c>
      <c r="Q29" s="25">
        <v>0</v>
      </c>
      <c r="R29" s="25" t="s">
        <v>246</v>
      </c>
    </row>
    <row r="30" spans="1:18" x14ac:dyDescent="0.25">
      <c r="A30" s="25">
        <v>29</v>
      </c>
      <c r="B30" s="25" t="s">
        <v>398</v>
      </c>
      <c r="C30" s="25" t="s">
        <v>399</v>
      </c>
      <c r="D30" s="25" t="s">
        <v>400</v>
      </c>
      <c r="E30" s="37">
        <v>6910</v>
      </c>
      <c r="F30" s="28">
        <f t="shared" si="0"/>
        <v>6910</v>
      </c>
      <c r="G30" s="25">
        <f>SUMIF(BOM!$P:$P,$R30,BOM!$I:$I)</f>
        <v>1</v>
      </c>
      <c r="H30" s="28">
        <f t="shared" si="1"/>
        <v>6910</v>
      </c>
      <c r="I30" s="25" t="str">
        <f t="shared" si="2"/>
        <v>KZT</v>
      </c>
      <c r="J30" s="25" t="s">
        <v>33</v>
      </c>
      <c r="K30" s="25">
        <f t="shared" si="3"/>
        <v>1</v>
      </c>
      <c r="L30" s="25" t="s">
        <v>401</v>
      </c>
      <c r="M30" s="25" t="s">
        <v>375</v>
      </c>
      <c r="N30" s="25" t="s">
        <v>183</v>
      </c>
      <c r="O30" s="25"/>
      <c r="P30" s="25" t="str">
        <f>IF(COUNTIF(BOM!$P$3:$P$42,$R30)&gt;0,"COSTA-LSP","")</f>
        <v>COSTA-LSP</v>
      </c>
      <c r="Q30" s="25">
        <v>0</v>
      </c>
      <c r="R30" s="25" t="s">
        <v>402</v>
      </c>
    </row>
    <row r="31" spans="1:18" x14ac:dyDescent="0.25">
      <c r="A31" s="30">
        <v>30</v>
      </c>
      <c r="B31" s="30" t="s">
        <v>548</v>
      </c>
      <c r="C31" s="30" t="s">
        <v>546</v>
      </c>
      <c r="D31" s="30" t="s">
        <v>547</v>
      </c>
      <c r="E31" s="38">
        <v>12950</v>
      </c>
      <c r="F31" s="33">
        <f t="shared" si="0"/>
        <v>7770</v>
      </c>
      <c r="G31" s="30">
        <f>SUMIF(BOM!$P:$P,$R31,BOM!$I:$I)</f>
        <v>1</v>
      </c>
      <c r="H31" s="33">
        <f t="shared" si="1"/>
        <v>7770</v>
      </c>
      <c r="I31" s="30" t="str">
        <f t="shared" si="2"/>
        <v>KZT</v>
      </c>
      <c r="J31" s="25" t="s">
        <v>25</v>
      </c>
      <c r="K31" s="30">
        <f t="shared" si="3"/>
        <v>0.6</v>
      </c>
      <c r="L31" s="30" t="s">
        <v>293</v>
      </c>
      <c r="M31" s="30" t="s">
        <v>222</v>
      </c>
      <c r="N31" s="30" t="s">
        <v>184</v>
      </c>
      <c r="O31" s="30" t="s">
        <v>404</v>
      </c>
      <c r="P31" s="30" t="str">
        <f>IF(COUNTIF(BOM!$P$3:$P$42,$R31)&gt;0,"COSTA-LSP","")</f>
        <v>COSTA-LSP</v>
      </c>
      <c r="Q31" s="30">
        <v>0</v>
      </c>
      <c r="R31" s="30" t="s">
        <v>211</v>
      </c>
    </row>
    <row r="32" spans="1:18" x14ac:dyDescent="0.25">
      <c r="A32" s="30">
        <v>31</v>
      </c>
      <c r="B32" s="30" t="s">
        <v>405</v>
      </c>
      <c r="C32" s="30" t="s">
        <v>549</v>
      </c>
      <c r="D32" s="30" t="s">
        <v>550</v>
      </c>
      <c r="E32" s="38">
        <v>25900</v>
      </c>
      <c r="F32" s="33">
        <f t="shared" si="0"/>
        <v>15540</v>
      </c>
      <c r="G32" s="30">
        <f>SUMIF(BOM!$P:$P,$R32,BOM!$I:$I)</f>
        <v>1</v>
      </c>
      <c r="H32" s="33">
        <f t="shared" si="1"/>
        <v>15540</v>
      </c>
      <c r="I32" s="30" t="str">
        <f t="shared" si="2"/>
        <v>KZT</v>
      </c>
      <c r="J32" s="25" t="s">
        <v>25</v>
      </c>
      <c r="K32" s="30">
        <f t="shared" si="3"/>
        <v>0.6</v>
      </c>
      <c r="L32" s="30" t="s">
        <v>293</v>
      </c>
      <c r="M32" s="30" t="s">
        <v>222</v>
      </c>
      <c r="N32" s="30" t="s">
        <v>184</v>
      </c>
      <c r="O32" s="30" t="s">
        <v>404</v>
      </c>
      <c r="P32" s="30" t="str">
        <f>IF(COUNTIF(BOM!$P$3:$P$42,$R32)&gt;0,"COSTA-LSP","")</f>
        <v>COSTA-LSP</v>
      </c>
      <c r="Q32" s="30">
        <v>0</v>
      </c>
      <c r="R32" s="30" t="s">
        <v>215</v>
      </c>
    </row>
    <row r="33" spans="1:18" x14ac:dyDescent="0.25">
      <c r="A33" s="30">
        <v>32</v>
      </c>
      <c r="B33" s="30" t="s">
        <v>406</v>
      </c>
      <c r="C33" s="30"/>
      <c r="D33" s="30" t="s">
        <v>407</v>
      </c>
      <c r="E33" s="38"/>
      <c r="F33" s="33" t="str">
        <f t="shared" si="0"/>
        <v/>
      </c>
      <c r="G33" s="30">
        <f>SUMIF(BOM!$P:$P,$R33,BOM!$I:$I)</f>
        <v>1</v>
      </c>
      <c r="H33" s="33" t="str">
        <f t="shared" si="1"/>
        <v/>
      </c>
      <c r="I33" s="30" t="str">
        <f t="shared" si="2"/>
        <v/>
      </c>
      <c r="J33" s="30" t="s">
        <v>44</v>
      </c>
      <c r="K33" s="30" t="str">
        <f t="shared" si="3"/>
        <v/>
      </c>
      <c r="L33" s="30" t="s">
        <v>401</v>
      </c>
      <c r="M33" s="30" t="s">
        <v>222</v>
      </c>
      <c r="N33" s="30" t="s">
        <v>184</v>
      </c>
      <c r="O33" s="30" t="s">
        <v>408</v>
      </c>
      <c r="P33" s="30" t="str">
        <f>IF(COUNTIF(BOM!$P$3:$P$42,$R33)&gt;0,"COSTA-LSP","")</f>
        <v>COSTA-LSP</v>
      </c>
      <c r="Q33" s="30">
        <v>0</v>
      </c>
      <c r="R33" s="30" t="s">
        <v>218</v>
      </c>
    </row>
    <row r="34" spans="1:18" x14ac:dyDescent="0.25">
      <c r="A34" s="25">
        <v>33</v>
      </c>
      <c r="B34" s="25" t="s">
        <v>409</v>
      </c>
      <c r="C34" s="25"/>
      <c r="D34" s="25" t="s">
        <v>410</v>
      </c>
      <c r="E34" s="37">
        <f>KURALLAR!$B$35</f>
        <v>58.333333333333336</v>
      </c>
      <c r="F34" s="28">
        <f t="shared" si="0"/>
        <v>58.333333333333336</v>
      </c>
      <c r="G34" s="25">
        <f>SUMIF(BOM!$P:$P,$R34,BOM!$I:$I)</f>
        <v>2640.6</v>
      </c>
      <c r="H34" s="28">
        <f t="shared" si="1"/>
        <v>154035</v>
      </c>
      <c r="I34" s="25" t="str">
        <f t="shared" si="2"/>
        <v>KZT</v>
      </c>
      <c r="J34" s="25" t="s">
        <v>45</v>
      </c>
      <c r="K34" s="25">
        <f t="shared" si="3"/>
        <v>1</v>
      </c>
      <c r="L34" s="25" t="s">
        <v>411</v>
      </c>
      <c r="M34" s="25" t="s">
        <v>412</v>
      </c>
      <c r="N34" s="25" t="s">
        <v>183</v>
      </c>
      <c r="O34" s="25" t="s">
        <v>413</v>
      </c>
      <c r="P34" s="25" t="str">
        <f>IF(COUNTIF(BOM!$P$3:$P$42,$R34)&gt;0,"COSTA-LSP","")</f>
        <v/>
      </c>
      <c r="Q34" s="25">
        <v>0</v>
      </c>
      <c r="R34" s="25" t="s">
        <v>414</v>
      </c>
    </row>
  </sheetData>
  <autoFilter ref="A1:R34" xr:uid="{00000000-0009-0000-0000-000001000000}"/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4"/>
  <sheetViews>
    <sheetView showGridLines="0" topLeftCell="B1" zoomScaleNormal="100" workbookViewId="0">
      <pane ySplit="1" topLeftCell="A14" activePane="bottomLeft" state="frozen"/>
      <selection pane="bottomLeft" activeCell="H25" sqref="H25:H38"/>
    </sheetView>
  </sheetViews>
  <sheetFormatPr defaultColWidth="8.7109375" defaultRowHeight="15" x14ac:dyDescent="0.25"/>
  <cols>
    <col min="1" max="1" width="5" customWidth="1"/>
    <col min="2" max="2" width="34" customWidth="1"/>
    <col min="3" max="3" width="16" customWidth="1"/>
    <col min="4" max="4" width="22" customWidth="1"/>
    <col min="5" max="5" width="44" customWidth="1"/>
    <col min="6" max="6" width="11.28515625" customWidth="1"/>
    <col min="7" max="7" width="11" customWidth="1"/>
    <col min="8" max="8" width="12" customWidth="1"/>
    <col min="9" max="10" width="9" customWidth="1"/>
    <col min="11" max="11" width="10" customWidth="1"/>
    <col min="12" max="12" width="12" customWidth="1"/>
    <col min="13" max="13" width="13" customWidth="1"/>
    <col min="14" max="14" width="60" customWidth="1"/>
    <col min="15" max="15" width="20" customWidth="1"/>
    <col min="16" max="16" width="26" customWidth="1"/>
    <col min="17" max="17" width="15" customWidth="1"/>
    <col min="18" max="18" width="11" customWidth="1"/>
    <col min="19" max="19" width="9" customWidth="1"/>
  </cols>
  <sheetData>
    <row r="1" spans="1:19" s="40" customFormat="1" ht="36" customHeight="1" x14ac:dyDescent="0.25">
      <c r="A1" s="39" t="s">
        <v>415</v>
      </c>
      <c r="B1" s="39" t="s">
        <v>416</v>
      </c>
      <c r="C1" s="39" t="s">
        <v>417</v>
      </c>
      <c r="D1" s="39" t="s">
        <v>418</v>
      </c>
      <c r="E1" s="39" t="s">
        <v>419</v>
      </c>
      <c r="F1" s="39" t="s">
        <v>420</v>
      </c>
      <c r="G1" s="39" t="s">
        <v>421</v>
      </c>
      <c r="H1" s="39" t="s">
        <v>422</v>
      </c>
      <c r="I1" s="39" t="s">
        <v>423</v>
      </c>
      <c r="J1" s="39" t="s">
        <v>424</v>
      </c>
      <c r="K1" s="39" t="s">
        <v>425</v>
      </c>
      <c r="L1" s="39" t="s">
        <v>426</v>
      </c>
      <c r="M1" s="39" t="s">
        <v>198</v>
      </c>
      <c r="N1" s="39" t="s">
        <v>18</v>
      </c>
      <c r="O1" s="39" t="s">
        <v>289</v>
      </c>
      <c r="P1" s="39" t="s">
        <v>427</v>
      </c>
      <c r="Q1" s="39" t="s">
        <v>428</v>
      </c>
      <c r="R1" s="39" t="s">
        <v>429</v>
      </c>
      <c r="S1" s="39" t="s">
        <v>430</v>
      </c>
    </row>
    <row r="2" spans="1:19" x14ac:dyDescent="0.25">
      <c r="A2" s="20">
        <v>1</v>
      </c>
      <c r="B2" s="21" t="s">
        <v>202</v>
      </c>
      <c r="C2" s="20"/>
      <c r="D2" s="20"/>
      <c r="E2" s="20" t="s">
        <v>202</v>
      </c>
      <c r="F2" s="22"/>
      <c r="G2" s="23"/>
      <c r="H2" s="23"/>
      <c r="I2" s="24">
        <v>1</v>
      </c>
      <c r="J2" s="20" t="s">
        <v>431</v>
      </c>
      <c r="K2" s="20"/>
      <c r="L2" s="23"/>
      <c r="M2" s="20" t="s">
        <v>183</v>
      </c>
      <c r="N2" s="20" t="s">
        <v>432</v>
      </c>
      <c r="O2" s="20" t="s">
        <v>433</v>
      </c>
      <c r="P2" s="20"/>
      <c r="Q2" s="20"/>
      <c r="R2" s="20"/>
      <c r="S2" s="20"/>
    </row>
    <row r="3" spans="1:19" x14ac:dyDescent="0.25">
      <c r="A3" s="25">
        <v>2</v>
      </c>
      <c r="B3" s="26" t="str">
        <f t="shared" ref="B3:B39" si="0">E3</f>
        <v>Shit 2000x800x450+100mm</v>
      </c>
      <c r="C3" s="25" t="s">
        <v>37</v>
      </c>
      <c r="D3" s="25" t="str">
        <f t="shared" ref="D3:D39" si="1">IF($P3="","",INDEX(FIYAT_KOD,MATCH($P3,FIYAT_ART,0)))</f>
        <v>719-15696</v>
      </c>
      <c r="E3" s="25" t="str">
        <f t="shared" ref="E3:E39" si="2">IF($P3="","",INDEX(FIYAT_ACK,MATCH($P3,FIYAT_ART,0)))</f>
        <v>Shit 2000x800x450+100mm</v>
      </c>
      <c r="F3" s="27">
        <f t="shared" ref="F3:F39" si="3">IF($P3="","",INDEX(FIYAT_LISTE,MATCH($P3,FIYAT_ART,0)))</f>
        <v>172785</v>
      </c>
      <c r="G3" s="28">
        <f t="shared" ref="G3:G39" si="4">IF($P3="","",INDEX(FIYAT_NET,MATCH($P3,FIYAT_ART,0)))</f>
        <v>103671</v>
      </c>
      <c r="H3" s="28">
        <f t="shared" ref="H3:H39" si="5">IF(OR($G3="",$I3=""),"",$G3*$I3)</f>
        <v>103671</v>
      </c>
      <c r="I3" s="29">
        <v>1</v>
      </c>
      <c r="J3" s="25" t="s">
        <v>434</v>
      </c>
      <c r="K3" s="25" t="str">
        <f t="shared" ref="K3:K39" si="6">IF($P3="","",INDEX(FIYAT_MARKA,MATCH($P3,FIYAT_ART,0)))</f>
        <v>KAZTEK</v>
      </c>
      <c r="L3" s="28">
        <f t="shared" ref="L3:L39" si="7">IF($H3="","",$H3)</f>
        <v>103671</v>
      </c>
      <c r="M3" s="26" t="s">
        <v>188</v>
      </c>
      <c r="N3" s="25" t="s">
        <v>435</v>
      </c>
      <c r="O3" s="25" t="s">
        <v>436</v>
      </c>
      <c r="P3" s="25" t="s">
        <v>234</v>
      </c>
      <c r="Q3" s="25" t="s">
        <v>116</v>
      </c>
      <c r="R3" s="25">
        <f>IF(OR($Q3="",$I3=""),"",$I3*IFERROR(INDEX(NORM_DK,MATCH($Q3,NORM_AD,0)),0))</f>
        <v>90</v>
      </c>
      <c r="S3" s="25">
        <f t="shared" ref="S3:S39" si="8">IF($P3="",0,$I3*IFERROR(INDEX(FIYAT_MODUL,MATCH($P3,FIYAT_ART,0)),0))</f>
        <v>0</v>
      </c>
    </row>
    <row r="4" spans="1:19" x14ac:dyDescent="0.25">
      <c r="A4" s="25">
        <v>3</v>
      </c>
      <c r="B4" s="26" t="str">
        <f t="shared" si="0"/>
        <v>ABB Tmax XT1N 160 TMD — 3P In=80A 36kA (ana giriş şalteri, ayar sahalı)</v>
      </c>
      <c r="C4" s="25" t="s">
        <v>296</v>
      </c>
      <c r="D4" s="25" t="str">
        <f t="shared" si="1"/>
        <v>1SDA067415R1</v>
      </c>
      <c r="E4" s="25" t="str">
        <f t="shared" si="2"/>
        <v>ABB Tmax XT1N 160 TMD — 3P In=80A 36kA (ana giriş şalteri, ayar sahalı)</v>
      </c>
      <c r="F4" s="27">
        <f t="shared" si="3"/>
        <v>246.1</v>
      </c>
      <c r="G4" s="28">
        <f t="shared" si="4"/>
        <v>44702.219250000009</v>
      </c>
      <c r="H4" s="28">
        <f t="shared" si="5"/>
        <v>44702.219250000009</v>
      </c>
      <c r="I4" s="29">
        <v>1</v>
      </c>
      <c r="J4" s="25" t="s">
        <v>434</v>
      </c>
      <c r="K4" s="25" t="str">
        <f t="shared" si="6"/>
        <v>ABB-ACIK</v>
      </c>
      <c r="L4" s="28">
        <f t="shared" si="7"/>
        <v>44702.219250000009</v>
      </c>
      <c r="M4" s="25" t="s">
        <v>183</v>
      </c>
      <c r="N4" s="25" t="s">
        <v>437</v>
      </c>
      <c r="O4" s="25" t="s">
        <v>438</v>
      </c>
      <c r="P4" s="25" t="s">
        <v>301</v>
      </c>
      <c r="Q4" s="25" t="s">
        <v>76</v>
      </c>
      <c r="R4" s="25">
        <f>IF(OR($Q4="",$I4=""),"",$I4*IFERROR(INDEX(NORM_DK,MATCH($Q4,NORM_AD,0)),0))</f>
        <v>90</v>
      </c>
      <c r="S4" s="25">
        <f t="shared" si="8"/>
        <v>3</v>
      </c>
    </row>
    <row r="5" spans="1:19" x14ac:dyDescent="0.25">
      <c r="A5" s="25">
        <v>4</v>
      </c>
      <c r="B5" s="26" t="str">
        <f t="shared" si="0"/>
        <v>ABB E93/32 — 3P sigorta yuvası 10.3x38mm</v>
      </c>
      <c r="C5" s="25" t="s">
        <v>302</v>
      </c>
      <c r="D5" s="25" t="str">
        <f t="shared" si="1"/>
        <v>2CSM204753R1801</v>
      </c>
      <c r="E5" s="25" t="str">
        <f t="shared" si="2"/>
        <v>ABB E93/32 — 3P sigorta yuvası 10.3x38mm</v>
      </c>
      <c r="F5" s="27">
        <f t="shared" si="3"/>
        <v>24.89</v>
      </c>
      <c r="G5" s="28">
        <f t="shared" si="4"/>
        <v>5897.0632500000002</v>
      </c>
      <c r="H5" s="28">
        <f t="shared" si="5"/>
        <v>5897.0632500000002</v>
      </c>
      <c r="I5" s="29">
        <v>1</v>
      </c>
      <c r="J5" s="25" t="s">
        <v>434</v>
      </c>
      <c r="K5" s="25" t="str">
        <f t="shared" si="6"/>
        <v>ABB</v>
      </c>
      <c r="L5" s="28">
        <f t="shared" si="7"/>
        <v>5897.0632500000002</v>
      </c>
      <c r="M5" s="25" t="s">
        <v>183</v>
      </c>
      <c r="N5" s="25" t="s">
        <v>439</v>
      </c>
      <c r="O5" s="25" t="s">
        <v>438</v>
      </c>
      <c r="P5" s="25" t="s">
        <v>306</v>
      </c>
      <c r="Q5" s="25" t="s">
        <v>78</v>
      </c>
      <c r="R5" s="25">
        <f>IF(OR($Q5="",$I5=""),"",$I5*IFERROR(INDEX(NORM_DK,MATCH($Q5,NORM_AD,0)),0))</f>
        <v>20</v>
      </c>
      <c r="S5" s="25">
        <f t="shared" si="8"/>
        <v>3</v>
      </c>
    </row>
    <row r="6" spans="1:19" x14ac:dyDescent="0.25">
      <c r="A6" s="25">
        <v>5</v>
      </c>
      <c r="B6" s="26" t="str">
        <f t="shared" si="0"/>
        <v>ABB E9F10 GG6 — gG 6A sigorta 10.3x38mm</v>
      </c>
      <c r="C6" s="25" t="s">
        <v>307</v>
      </c>
      <c r="D6" s="25" t="str">
        <f t="shared" si="1"/>
        <v>2CSM256363R1801</v>
      </c>
      <c r="E6" s="25" t="str">
        <f t="shared" si="2"/>
        <v>ABB E9F10 GG6 — gG 6A sigorta 10.3x38mm</v>
      </c>
      <c r="F6" s="27">
        <f t="shared" si="3"/>
        <v>3.81</v>
      </c>
      <c r="G6" s="28">
        <f t="shared" si="4"/>
        <v>902.68425000000002</v>
      </c>
      <c r="H6" s="28">
        <f t="shared" si="5"/>
        <v>2708.0527499999998</v>
      </c>
      <c r="I6" s="29">
        <v>3</v>
      </c>
      <c r="J6" s="25" t="s">
        <v>434</v>
      </c>
      <c r="K6" s="25" t="str">
        <f t="shared" si="6"/>
        <v>ABB</v>
      </c>
      <c r="L6" s="28">
        <f t="shared" si="7"/>
        <v>2708.0527499999998</v>
      </c>
      <c r="M6" s="25" t="s">
        <v>183</v>
      </c>
      <c r="N6" s="25" t="s">
        <v>440</v>
      </c>
      <c r="O6" s="25" t="s">
        <v>438</v>
      </c>
      <c r="P6" s="25" t="s">
        <v>311</v>
      </c>
      <c r="Q6" s="25"/>
      <c r="R6" s="25"/>
      <c r="S6" s="25">
        <f t="shared" si="8"/>
        <v>0</v>
      </c>
    </row>
    <row r="7" spans="1:19" x14ac:dyDescent="0.25">
      <c r="A7" s="25">
        <v>6</v>
      </c>
      <c r="B7" s="26" t="str">
        <f t="shared" si="0"/>
        <v>ABB E93/32 — 3P sigorta yuvası 10.3x38mm</v>
      </c>
      <c r="C7" s="25" t="s">
        <v>302</v>
      </c>
      <c r="D7" s="25" t="str">
        <f t="shared" si="1"/>
        <v>2CSM204753R1801</v>
      </c>
      <c r="E7" s="25" t="str">
        <f t="shared" si="2"/>
        <v>ABB E93/32 — 3P sigorta yuvası 10.3x38mm</v>
      </c>
      <c r="F7" s="27">
        <f t="shared" si="3"/>
        <v>24.89</v>
      </c>
      <c r="G7" s="28">
        <f t="shared" si="4"/>
        <v>5897.0632500000002</v>
      </c>
      <c r="H7" s="28">
        <f t="shared" si="5"/>
        <v>5897.0632500000002</v>
      </c>
      <c r="I7" s="29">
        <v>1</v>
      </c>
      <c r="J7" s="25" t="s">
        <v>434</v>
      </c>
      <c r="K7" s="25" t="str">
        <f t="shared" si="6"/>
        <v>ABB</v>
      </c>
      <c r="L7" s="28">
        <f t="shared" si="7"/>
        <v>5897.0632500000002</v>
      </c>
      <c r="M7" s="25" t="s">
        <v>183</v>
      </c>
      <c r="N7" s="25" t="s">
        <v>441</v>
      </c>
      <c r="O7" s="25" t="s">
        <v>438</v>
      </c>
      <c r="P7" s="25" t="s">
        <v>306</v>
      </c>
      <c r="Q7" s="25" t="s">
        <v>78</v>
      </c>
      <c r="R7" s="25">
        <f>IF(OR($Q7="",$I7=""),"",$I7*IFERROR(INDEX(NORM_DK,MATCH($Q7,NORM_AD,0)),0))</f>
        <v>20</v>
      </c>
      <c r="S7" s="25">
        <f t="shared" si="8"/>
        <v>3</v>
      </c>
    </row>
    <row r="8" spans="1:19" x14ac:dyDescent="0.25">
      <c r="A8" s="25">
        <v>7</v>
      </c>
      <c r="B8" s="26" t="str">
        <f t="shared" si="0"/>
        <v>ABB E9F10 GG6 — gG 6A sigorta 10.3x38mm</v>
      </c>
      <c r="C8" s="25" t="s">
        <v>307</v>
      </c>
      <c r="D8" s="25" t="str">
        <f t="shared" si="1"/>
        <v>2CSM256363R1801</v>
      </c>
      <c r="E8" s="25" t="str">
        <f t="shared" si="2"/>
        <v>ABB E9F10 GG6 — gG 6A sigorta 10.3x38mm</v>
      </c>
      <c r="F8" s="27">
        <f t="shared" si="3"/>
        <v>3.81</v>
      </c>
      <c r="G8" s="28">
        <f t="shared" si="4"/>
        <v>902.68425000000002</v>
      </c>
      <c r="H8" s="28">
        <f t="shared" si="5"/>
        <v>2708.0527499999998</v>
      </c>
      <c r="I8" s="29">
        <v>3</v>
      </c>
      <c r="J8" s="25" t="s">
        <v>434</v>
      </c>
      <c r="K8" s="25" t="str">
        <f t="shared" si="6"/>
        <v>ABB</v>
      </c>
      <c r="L8" s="28">
        <f t="shared" si="7"/>
        <v>2708.0527499999998</v>
      </c>
      <c r="M8" s="25" t="s">
        <v>183</v>
      </c>
      <c r="N8" s="25" t="s">
        <v>442</v>
      </c>
      <c r="O8" s="25" t="s">
        <v>438</v>
      </c>
      <c r="P8" s="25" t="s">
        <v>311</v>
      </c>
      <c r="Q8" s="25"/>
      <c r="R8" s="25"/>
      <c r="S8" s="25">
        <f t="shared" si="8"/>
        <v>0</v>
      </c>
    </row>
    <row r="9" spans="1:19" x14ac:dyDescent="0.25">
      <c r="A9" s="30">
        <v>8</v>
      </c>
      <c r="B9" s="31" t="str">
        <f t="shared" si="0"/>
        <v xml:space="preserve">              Трансформатор тока ТТИ-А  100/5А  5ВА  класс 0,5  IEK</v>
      </c>
      <c r="C9" s="30" t="s">
        <v>312</v>
      </c>
      <c r="D9" s="30" t="str">
        <f t="shared" si="1"/>
        <v>270300099_</v>
      </c>
      <c r="E9" s="30" t="str">
        <f t="shared" si="2"/>
        <v xml:space="preserve">              Трансформатор тока ТТИ-А  100/5А  5ВА  класс 0,5  IEK</v>
      </c>
      <c r="F9" s="32">
        <f t="shared" si="3"/>
        <v>5300</v>
      </c>
      <c r="G9" s="33">
        <f t="shared" si="4"/>
        <v>5300</v>
      </c>
      <c r="H9" s="33">
        <f t="shared" si="5"/>
        <v>15900</v>
      </c>
      <c r="I9" s="34">
        <v>3</v>
      </c>
      <c r="J9" s="30" t="s">
        <v>434</v>
      </c>
      <c r="K9" s="30" t="str">
        <f t="shared" si="6"/>
        <v>ekt</v>
      </c>
      <c r="L9" s="33">
        <f t="shared" si="7"/>
        <v>15900</v>
      </c>
      <c r="M9" s="30" t="s">
        <v>184</v>
      </c>
      <c r="N9" s="30" t="s">
        <v>443</v>
      </c>
      <c r="O9" s="30" t="s">
        <v>438</v>
      </c>
      <c r="P9" s="30" t="s">
        <v>203</v>
      </c>
      <c r="Q9" s="30"/>
      <c r="R9" s="30"/>
      <c r="S9" s="30">
        <f t="shared" si="8"/>
        <v>0</v>
      </c>
    </row>
    <row r="10" spans="1:19" x14ac:dyDescent="0.25">
      <c r="A10" s="25">
        <v>9</v>
      </c>
      <c r="B10" s="26" t="str">
        <f t="shared" si="0"/>
        <v>ДАЛА СА4-Э720 R TX OP P П RS1 Д W (3x220/380V 5-100A)</v>
      </c>
      <c r="C10" s="25" t="s">
        <v>314</v>
      </c>
      <c r="D10" s="25" t="s">
        <v>541</v>
      </c>
      <c r="E10" s="25" t="s">
        <v>542</v>
      </c>
      <c r="F10" s="27">
        <f t="shared" si="3"/>
        <v>98000</v>
      </c>
      <c r="G10" s="28">
        <f t="shared" si="4"/>
        <v>98000</v>
      </c>
      <c r="H10" s="28">
        <f t="shared" si="5"/>
        <v>98000</v>
      </c>
      <c r="I10" s="29">
        <v>1</v>
      </c>
      <c r="J10" s="25" t="s">
        <v>434</v>
      </c>
      <c r="K10" s="25" t="str">
        <f t="shared" si="6"/>
        <v>SAIMAN</v>
      </c>
      <c r="L10" s="28">
        <f t="shared" si="7"/>
        <v>98000</v>
      </c>
      <c r="M10" s="25" t="s">
        <v>183</v>
      </c>
      <c r="N10" s="25" t="s">
        <v>545</v>
      </c>
      <c r="O10" s="25" t="s">
        <v>438</v>
      </c>
      <c r="P10" s="25" t="s">
        <v>316</v>
      </c>
      <c r="Q10" s="25" t="s">
        <v>80</v>
      </c>
      <c r="R10" s="25">
        <f>IF(OR($Q10="",$I10=""),"",$I10*IFERROR(INDEX(NORM_DK,MATCH($Q10,NORM_AD,0)),0))</f>
        <v>90</v>
      </c>
      <c r="S10" s="25">
        <f t="shared" si="8"/>
        <v>8</v>
      </c>
    </row>
    <row r="11" spans="1:19" x14ac:dyDescent="0.25">
      <c r="A11" s="25">
        <v>10</v>
      </c>
      <c r="B11" s="26" t="str">
        <f t="shared" si="0"/>
        <v>ABB E219-D — yeşil LED faz var lambası 115-250VAC, 22mm</v>
      </c>
      <c r="C11" s="25" t="s">
        <v>444</v>
      </c>
      <c r="D11" s="25" t="str">
        <f t="shared" si="1"/>
        <v>2CCA703402R0001</v>
      </c>
      <c r="E11" s="25" t="str">
        <f t="shared" si="2"/>
        <v>ABB E219-D — yeşil LED faz var lambası 115-250VAC, 22mm</v>
      </c>
      <c r="F11" s="27">
        <f t="shared" si="3"/>
        <v>20.81</v>
      </c>
      <c r="G11" s="28">
        <f t="shared" si="4"/>
        <v>4930.4092500000006</v>
      </c>
      <c r="H11" s="28">
        <f t="shared" si="5"/>
        <v>14791.227750000002</v>
      </c>
      <c r="I11" s="29">
        <v>3</v>
      </c>
      <c r="J11" s="25" t="s">
        <v>434</v>
      </c>
      <c r="K11" s="25" t="str">
        <f t="shared" si="6"/>
        <v>ABB</v>
      </c>
      <c r="L11" s="28">
        <f t="shared" si="7"/>
        <v>14791.227750000002</v>
      </c>
      <c r="M11" s="25" t="s">
        <v>183</v>
      </c>
      <c r="N11" s="25" t="s">
        <v>445</v>
      </c>
      <c r="O11" s="25" t="s">
        <v>438</v>
      </c>
      <c r="P11" s="25" t="s">
        <v>321</v>
      </c>
      <c r="Q11" s="25" t="s">
        <v>92</v>
      </c>
      <c r="R11" s="25">
        <f>IF(OR($Q11="",$I11=""),"",$I11*IFERROR(INDEX(NORM_DK,MATCH($Q11,NORM_AD,0)),0))</f>
        <v>24</v>
      </c>
      <c r="S11" s="25">
        <f t="shared" si="8"/>
        <v>0</v>
      </c>
    </row>
    <row r="12" spans="1:19" x14ac:dyDescent="0.25">
      <c r="A12" s="25">
        <v>11</v>
      </c>
      <c r="B12" s="26" t="str">
        <f t="shared" si="0"/>
        <v>ABB E93/125 — 3P sigorta yuvası 22x58mm</v>
      </c>
      <c r="C12" s="25" t="s">
        <v>302</v>
      </c>
      <c r="D12" s="25" t="str">
        <f t="shared" si="1"/>
        <v>2CSM277502R1801</v>
      </c>
      <c r="E12" s="25" t="str">
        <f t="shared" si="2"/>
        <v>ABB E93/125 — 3P sigorta yuvası 22x58mm</v>
      </c>
      <c r="F12" s="27">
        <f t="shared" si="3"/>
        <v>214.7</v>
      </c>
      <c r="G12" s="28">
        <f t="shared" si="4"/>
        <v>50867.797500000001</v>
      </c>
      <c r="H12" s="28">
        <f t="shared" si="5"/>
        <v>50867.797500000001</v>
      </c>
      <c r="I12" s="29">
        <v>1</v>
      </c>
      <c r="J12" s="25" t="s">
        <v>434</v>
      </c>
      <c r="K12" s="25" t="str">
        <f t="shared" si="6"/>
        <v>ABB</v>
      </c>
      <c r="L12" s="28">
        <f t="shared" si="7"/>
        <v>50867.797500000001</v>
      </c>
      <c r="M12" s="25" t="s">
        <v>183</v>
      </c>
      <c r="N12" s="25" t="s">
        <v>446</v>
      </c>
      <c r="O12" s="25" t="s">
        <v>438</v>
      </c>
      <c r="P12" s="25" t="s">
        <v>325</v>
      </c>
      <c r="Q12" s="25" t="s">
        <v>78</v>
      </c>
      <c r="R12" s="25">
        <f>IF(OR($Q12="",$I12=""),"",$I12*IFERROR(INDEX(NORM_DK,MATCH($Q12,NORM_AD,0)),0))</f>
        <v>20</v>
      </c>
      <c r="S12" s="25">
        <f t="shared" si="8"/>
        <v>6</v>
      </c>
    </row>
    <row r="13" spans="1:19" x14ac:dyDescent="0.25">
      <c r="A13" s="25">
        <v>12</v>
      </c>
      <c r="B13" s="26" t="str">
        <f t="shared" si="0"/>
        <v>ABB E9F22 GG125 — gG 125A sigorta 22x58mm</v>
      </c>
      <c r="C13" s="25" t="s">
        <v>307</v>
      </c>
      <c r="D13" s="25" t="str">
        <f t="shared" si="1"/>
        <v>2CSM258343R1801</v>
      </c>
      <c r="E13" s="25" t="str">
        <f t="shared" si="2"/>
        <v>ABB E9F22 GG125 — gG 125A sigorta 22x58mm</v>
      </c>
      <c r="F13" s="27">
        <f t="shared" si="3"/>
        <v>15.62</v>
      </c>
      <c r="G13" s="28">
        <f t="shared" si="4"/>
        <v>3700.7685000000001</v>
      </c>
      <c r="H13" s="28">
        <f t="shared" si="5"/>
        <v>11102.3055</v>
      </c>
      <c r="I13" s="29">
        <v>3</v>
      </c>
      <c r="J13" s="25" t="s">
        <v>434</v>
      </c>
      <c r="K13" s="25" t="str">
        <f t="shared" si="6"/>
        <v>ABB</v>
      </c>
      <c r="L13" s="28">
        <f t="shared" si="7"/>
        <v>11102.3055</v>
      </c>
      <c r="M13" s="25" t="s">
        <v>183</v>
      </c>
      <c r="N13" s="25" t="s">
        <v>447</v>
      </c>
      <c r="O13" s="25" t="s">
        <v>438</v>
      </c>
      <c r="P13" s="25" t="s">
        <v>329</v>
      </c>
      <c r="Q13" s="25"/>
      <c r="R13" s="25"/>
      <c r="S13" s="25">
        <f t="shared" si="8"/>
        <v>0</v>
      </c>
    </row>
    <row r="14" spans="1:19" x14ac:dyDescent="0.25">
      <c r="A14" s="30">
        <v>13</v>
      </c>
      <c r="B14" s="31" t="str">
        <f t="shared" si="0"/>
        <v>PROTEC T1 3+1 LH TIP1+2</v>
      </c>
      <c r="C14" s="30" t="s">
        <v>448</v>
      </c>
      <c r="D14" s="30" t="str">
        <f t="shared" si="1"/>
        <v>59A382</v>
      </c>
      <c r="E14" s="30" t="str">
        <f t="shared" si="2"/>
        <v>PROTEC T1 3+1 LH TIP1+2</v>
      </c>
      <c r="F14" s="32">
        <f t="shared" si="3"/>
        <v>69000</v>
      </c>
      <c r="G14" s="33">
        <f t="shared" si="4"/>
        <v>69000</v>
      </c>
      <c r="H14" s="33">
        <f t="shared" si="5"/>
        <v>69000</v>
      </c>
      <c r="I14" s="34">
        <v>1</v>
      </c>
      <c r="J14" s="30" t="s">
        <v>434</v>
      </c>
      <c r="K14" s="30" t="str">
        <f t="shared" si="6"/>
        <v>ekt</v>
      </c>
      <c r="L14" s="33">
        <f t="shared" si="7"/>
        <v>69000</v>
      </c>
      <c r="M14" s="30" t="s">
        <v>184</v>
      </c>
      <c r="N14" s="30" t="s">
        <v>449</v>
      </c>
      <c r="O14" s="30" t="s">
        <v>438</v>
      </c>
      <c r="P14" s="30" t="s">
        <v>207</v>
      </c>
      <c r="Q14" s="30" t="s">
        <v>82</v>
      </c>
      <c r="R14" s="30">
        <f t="shared" ref="R14:R23" si="9">IF(OR($Q14="",$I14=""),"",$I14*IFERROR(INDEX(NORM_DK,MATCH($Q14,NORM_AD,0)),0))</f>
        <v>15</v>
      </c>
      <c r="S14" s="30">
        <f t="shared" si="8"/>
        <v>4</v>
      </c>
    </row>
    <row r="15" spans="1:19" x14ac:dyDescent="0.25">
      <c r="A15" s="25">
        <v>14</v>
      </c>
      <c r="B15" s="26" t="str">
        <f t="shared" si="0"/>
        <v>ABB S203-C16 — 3P, C16A, 6kA</v>
      </c>
      <c r="C15" s="25" t="s">
        <v>333</v>
      </c>
      <c r="D15" s="25" t="str">
        <f t="shared" si="1"/>
        <v>2CDS253001R0164</v>
      </c>
      <c r="E15" s="25" t="str">
        <f t="shared" si="2"/>
        <v>ABB S203-C16 — 3P, C16A, 6kA</v>
      </c>
      <c r="F15" s="27">
        <f t="shared" si="3"/>
        <v>48.51</v>
      </c>
      <c r="G15" s="28">
        <f t="shared" si="4"/>
        <v>11493.231750000001</v>
      </c>
      <c r="H15" s="28">
        <f t="shared" si="5"/>
        <v>22986.463500000002</v>
      </c>
      <c r="I15" s="29">
        <v>2</v>
      </c>
      <c r="J15" s="25" t="s">
        <v>434</v>
      </c>
      <c r="K15" s="25" t="str">
        <f t="shared" si="6"/>
        <v>ABB</v>
      </c>
      <c r="L15" s="28">
        <f t="shared" si="7"/>
        <v>22986.463500000002</v>
      </c>
      <c r="M15" s="25" t="s">
        <v>183</v>
      </c>
      <c r="N15" s="25" t="s">
        <v>450</v>
      </c>
      <c r="O15" s="25" t="s">
        <v>433</v>
      </c>
      <c r="P15" s="25" t="s">
        <v>337</v>
      </c>
      <c r="Q15" s="25" t="s">
        <v>60</v>
      </c>
      <c r="R15" s="25">
        <f t="shared" si="9"/>
        <v>36</v>
      </c>
      <c r="S15" s="25">
        <f t="shared" si="8"/>
        <v>6</v>
      </c>
    </row>
    <row r="16" spans="1:19" x14ac:dyDescent="0.25">
      <c r="A16" s="25">
        <v>15</v>
      </c>
      <c r="B16" s="26" t="str">
        <f t="shared" si="0"/>
        <v>ABB FH204 A-25/0.03 — 4P, 25A, 30mA, Tip A (F204 A-25/0.03 muadili)</v>
      </c>
      <c r="C16" s="25" t="s">
        <v>356</v>
      </c>
      <c r="D16" s="25" t="str">
        <f t="shared" si="1"/>
        <v>2CSF204102R1250</v>
      </c>
      <c r="E16" s="25" t="str">
        <f t="shared" si="2"/>
        <v>ABB FH204 A-25/0.03 — 4P, 25A, 30mA, Tip A (F204 A-25/0.03 muadili)</v>
      </c>
      <c r="F16" s="27">
        <f t="shared" si="3"/>
        <v>82.14</v>
      </c>
      <c r="G16" s="28">
        <f t="shared" si="4"/>
        <v>19461.019499999999</v>
      </c>
      <c r="H16" s="28">
        <f t="shared" si="5"/>
        <v>38922.038999999997</v>
      </c>
      <c r="I16" s="29">
        <v>2</v>
      </c>
      <c r="J16" s="25" t="s">
        <v>434</v>
      </c>
      <c r="K16" s="25" t="str">
        <f t="shared" si="6"/>
        <v>ABB</v>
      </c>
      <c r="L16" s="28">
        <f t="shared" si="7"/>
        <v>38922.038999999997</v>
      </c>
      <c r="M16" s="35" t="s">
        <v>186</v>
      </c>
      <c r="N16" s="25" t="s">
        <v>451</v>
      </c>
      <c r="O16" s="25" t="s">
        <v>433</v>
      </c>
      <c r="P16" s="25" t="s">
        <v>226</v>
      </c>
      <c r="Q16" s="25" t="s">
        <v>70</v>
      </c>
      <c r="R16" s="25">
        <f t="shared" si="9"/>
        <v>40</v>
      </c>
      <c r="S16" s="25">
        <f t="shared" si="8"/>
        <v>8</v>
      </c>
    </row>
    <row r="17" spans="1:19" x14ac:dyDescent="0.25">
      <c r="A17" s="25">
        <v>16</v>
      </c>
      <c r="B17" s="26" t="str">
        <f t="shared" si="0"/>
        <v>ABB S201-B10 — 1P, B10A, 6kA (aydınlatma çıkışları)</v>
      </c>
      <c r="C17" s="25" t="s">
        <v>333</v>
      </c>
      <c r="D17" s="25" t="str">
        <f t="shared" si="1"/>
        <v>2CDS251001R0105</v>
      </c>
      <c r="E17" s="25" t="str">
        <f t="shared" si="2"/>
        <v>ABB S201-B10 — 1P, B10A, 6kA (aydınlatma çıkışları)</v>
      </c>
      <c r="F17" s="27">
        <f t="shared" si="3"/>
        <v>9.7799999999999994</v>
      </c>
      <c r="G17" s="28">
        <f t="shared" si="4"/>
        <v>2317.1264999999999</v>
      </c>
      <c r="H17" s="28">
        <f t="shared" si="5"/>
        <v>13902.758999999998</v>
      </c>
      <c r="I17" s="29">
        <v>6</v>
      </c>
      <c r="J17" s="25" t="s">
        <v>434</v>
      </c>
      <c r="K17" s="25" t="str">
        <f t="shared" si="6"/>
        <v>ABB</v>
      </c>
      <c r="L17" s="28">
        <f t="shared" si="7"/>
        <v>13902.758999999998</v>
      </c>
      <c r="M17" s="25" t="s">
        <v>183</v>
      </c>
      <c r="N17" s="25" t="s">
        <v>452</v>
      </c>
      <c r="O17" s="25" t="s">
        <v>433</v>
      </c>
      <c r="P17" s="25" t="s">
        <v>341</v>
      </c>
      <c r="Q17" s="25" t="s">
        <v>56</v>
      </c>
      <c r="R17" s="25">
        <f t="shared" si="9"/>
        <v>60</v>
      </c>
      <c r="S17" s="25">
        <f t="shared" si="8"/>
        <v>6</v>
      </c>
    </row>
    <row r="18" spans="1:19" x14ac:dyDescent="0.25">
      <c r="A18" s="25">
        <v>17</v>
      </c>
      <c r="B18" s="26" t="str">
        <f t="shared" si="0"/>
        <v>ABB C2SS1-10B-10 — 2 konum sabit seçici, siyah, 1NA, 22mm</v>
      </c>
      <c r="C18" s="25" t="s">
        <v>363</v>
      </c>
      <c r="D18" s="25" t="str">
        <f t="shared" si="1"/>
        <v>1SFA619200R1016</v>
      </c>
      <c r="E18" s="25" t="str">
        <f t="shared" si="2"/>
        <v>ABB C2SS1-10B-10 — 2 konum sabit seçici, siyah, 1NA, 22mm</v>
      </c>
      <c r="F18" s="27">
        <f t="shared" si="3"/>
        <v>9.02</v>
      </c>
      <c r="G18" s="28">
        <f t="shared" si="4"/>
        <v>2137.0635000000002</v>
      </c>
      <c r="H18" s="28">
        <f t="shared" si="5"/>
        <v>8548.2540000000008</v>
      </c>
      <c r="I18" s="29">
        <v>4</v>
      </c>
      <c r="J18" s="25" t="s">
        <v>434</v>
      </c>
      <c r="K18" s="25" t="str">
        <f t="shared" si="6"/>
        <v>ABB</v>
      </c>
      <c r="L18" s="28">
        <f t="shared" si="7"/>
        <v>8548.2540000000008</v>
      </c>
      <c r="M18" s="26" t="s">
        <v>188</v>
      </c>
      <c r="N18" s="25" t="s">
        <v>453</v>
      </c>
      <c r="O18" s="25" t="s">
        <v>454</v>
      </c>
      <c r="P18" s="25" t="s">
        <v>238</v>
      </c>
      <c r="Q18" s="25" t="s">
        <v>92</v>
      </c>
      <c r="R18" s="25">
        <f t="shared" si="9"/>
        <v>32</v>
      </c>
      <c r="S18" s="25">
        <f t="shared" si="8"/>
        <v>0</v>
      </c>
    </row>
    <row r="19" spans="1:19" x14ac:dyDescent="0.25">
      <c r="A19" s="25">
        <v>18</v>
      </c>
      <c r="B19" s="26" t="str">
        <f t="shared" si="0"/>
        <v>ABB S201-C16 — 1P, C16A, 6kA (priz/ekipman çıkışları)</v>
      </c>
      <c r="C19" s="25" t="s">
        <v>333</v>
      </c>
      <c r="D19" s="25" t="str">
        <f t="shared" si="1"/>
        <v>2CDS251001R0164</v>
      </c>
      <c r="E19" s="25" t="str">
        <f t="shared" si="2"/>
        <v>ABB S201-C16 — 1P, C16A, 6kA (priz/ekipman çıkışları)</v>
      </c>
      <c r="F19" s="27">
        <f t="shared" si="3"/>
        <v>10.77</v>
      </c>
      <c r="G19" s="28">
        <f t="shared" si="4"/>
        <v>2551.6822500000003</v>
      </c>
      <c r="H19" s="28">
        <f t="shared" si="5"/>
        <v>68895.420750000005</v>
      </c>
      <c r="I19" s="29">
        <v>27</v>
      </c>
      <c r="J19" s="25" t="s">
        <v>434</v>
      </c>
      <c r="K19" s="25" t="str">
        <f t="shared" si="6"/>
        <v>ABB</v>
      </c>
      <c r="L19" s="28">
        <f t="shared" si="7"/>
        <v>68895.420750000005</v>
      </c>
      <c r="M19" s="25" t="s">
        <v>183</v>
      </c>
      <c r="N19" s="25" t="s">
        <v>455</v>
      </c>
      <c r="O19" s="25" t="s">
        <v>456</v>
      </c>
      <c r="P19" s="25" t="s">
        <v>345</v>
      </c>
      <c r="Q19" s="25" t="s">
        <v>56</v>
      </c>
      <c r="R19" s="25">
        <f t="shared" si="9"/>
        <v>270</v>
      </c>
      <c r="S19" s="25">
        <f t="shared" si="8"/>
        <v>27</v>
      </c>
    </row>
    <row r="20" spans="1:19" x14ac:dyDescent="0.25">
      <c r="A20" s="25">
        <v>19</v>
      </c>
      <c r="B20" s="26" t="str">
        <f t="shared" si="0"/>
        <v>ABB S201-C20 — 1P, C20A, 6kA (ekipman çıkışları)</v>
      </c>
      <c r="C20" s="25" t="s">
        <v>333</v>
      </c>
      <c r="D20" s="25" t="str">
        <f t="shared" si="1"/>
        <v>2CDS251001R0204</v>
      </c>
      <c r="E20" s="25" t="str">
        <f t="shared" si="2"/>
        <v>ABB S201-C20 — 1P, C20A, 6kA (ekipman çıkışları)</v>
      </c>
      <c r="F20" s="27">
        <f t="shared" si="3"/>
        <v>10.77</v>
      </c>
      <c r="G20" s="28">
        <f t="shared" si="4"/>
        <v>2551.6822500000003</v>
      </c>
      <c r="H20" s="28">
        <f t="shared" si="5"/>
        <v>7655.0467500000013</v>
      </c>
      <c r="I20" s="29">
        <v>3</v>
      </c>
      <c r="J20" s="25" t="s">
        <v>434</v>
      </c>
      <c r="K20" s="25" t="str">
        <f t="shared" si="6"/>
        <v>ABB</v>
      </c>
      <c r="L20" s="28">
        <f t="shared" si="7"/>
        <v>7655.0467500000013</v>
      </c>
      <c r="M20" s="25" t="s">
        <v>183</v>
      </c>
      <c r="N20" s="25" t="s">
        <v>457</v>
      </c>
      <c r="O20" s="25" t="s">
        <v>456</v>
      </c>
      <c r="P20" s="25" t="s">
        <v>349</v>
      </c>
      <c r="Q20" s="25" t="s">
        <v>56</v>
      </c>
      <c r="R20" s="25">
        <f t="shared" si="9"/>
        <v>30</v>
      </c>
      <c r="S20" s="25">
        <f t="shared" si="8"/>
        <v>3</v>
      </c>
    </row>
    <row r="21" spans="1:19" x14ac:dyDescent="0.25">
      <c r="A21" s="25">
        <v>20</v>
      </c>
      <c r="B21" s="26" t="str">
        <f t="shared" si="0"/>
        <v>ABB S201-C25 — 1P, C25A, 6kA (mercyhet soket çıkışları)</v>
      </c>
      <c r="C21" s="25" t="s">
        <v>333</v>
      </c>
      <c r="D21" s="25" t="str">
        <f t="shared" si="1"/>
        <v>2CDS251001R0254</v>
      </c>
      <c r="E21" s="25" t="str">
        <f t="shared" si="2"/>
        <v>ABB S201-C25 — 1P, C25A, 6kA (mercyhet soket çıkışları)</v>
      </c>
      <c r="F21" s="27">
        <f t="shared" si="3"/>
        <v>10.77</v>
      </c>
      <c r="G21" s="28">
        <f t="shared" si="4"/>
        <v>2551.6822500000003</v>
      </c>
      <c r="H21" s="28">
        <f t="shared" si="5"/>
        <v>5103.3645000000006</v>
      </c>
      <c r="I21" s="29">
        <v>2</v>
      </c>
      <c r="J21" s="25" t="s">
        <v>434</v>
      </c>
      <c r="K21" s="25" t="str">
        <f t="shared" si="6"/>
        <v>ABB</v>
      </c>
      <c r="L21" s="28">
        <f t="shared" si="7"/>
        <v>5103.3645000000006</v>
      </c>
      <c r="M21" s="25" t="s">
        <v>183</v>
      </c>
      <c r="N21" s="25" t="s">
        <v>458</v>
      </c>
      <c r="O21" s="25" t="s">
        <v>456</v>
      </c>
      <c r="P21" s="25" t="s">
        <v>352</v>
      </c>
      <c r="Q21" s="25" t="s">
        <v>56</v>
      </c>
      <c r="R21" s="25">
        <f t="shared" si="9"/>
        <v>20</v>
      </c>
      <c r="S21" s="25">
        <f t="shared" si="8"/>
        <v>2</v>
      </c>
    </row>
    <row r="22" spans="1:19" x14ac:dyDescent="0.25">
      <c r="A22" s="25">
        <v>21</v>
      </c>
      <c r="B22" s="26" t="str">
        <f t="shared" si="0"/>
        <v>ABB S201-C32 — 1P, C32A, 6kA (UPS giriş + by-pass)</v>
      </c>
      <c r="C22" s="25" t="s">
        <v>333</v>
      </c>
      <c r="D22" s="25" t="str">
        <f t="shared" si="1"/>
        <v>2CDS251001R0324</v>
      </c>
      <c r="E22" s="25" t="str">
        <f t="shared" si="2"/>
        <v>ABB S201-C32 — 1P, C32A, 6kA (UPS giriş + by-pass)</v>
      </c>
      <c r="F22" s="27">
        <f t="shared" si="3"/>
        <v>13.46</v>
      </c>
      <c r="G22" s="28">
        <f t="shared" si="4"/>
        <v>3189.0105000000003</v>
      </c>
      <c r="H22" s="28">
        <f t="shared" si="5"/>
        <v>6378.0210000000006</v>
      </c>
      <c r="I22" s="29">
        <v>2</v>
      </c>
      <c r="J22" s="25" t="s">
        <v>434</v>
      </c>
      <c r="K22" s="25" t="str">
        <f t="shared" si="6"/>
        <v>ABB</v>
      </c>
      <c r="L22" s="28">
        <f t="shared" si="7"/>
        <v>6378.0210000000006</v>
      </c>
      <c r="M22" s="25" t="s">
        <v>183</v>
      </c>
      <c r="N22" s="25" t="s">
        <v>459</v>
      </c>
      <c r="O22" s="25" t="s">
        <v>456</v>
      </c>
      <c r="P22" s="25" t="s">
        <v>355</v>
      </c>
      <c r="Q22" s="25" t="s">
        <v>56</v>
      </c>
      <c r="R22" s="25">
        <f t="shared" si="9"/>
        <v>20</v>
      </c>
      <c r="S22" s="25">
        <f t="shared" si="8"/>
        <v>2</v>
      </c>
    </row>
    <row r="23" spans="1:19" x14ac:dyDescent="0.25">
      <c r="A23" s="25">
        <v>22</v>
      </c>
      <c r="B23" s="26" t="str">
        <f t="shared" si="0"/>
        <v>ABB FH202 A-25/0.03 — 2P, 25A, 30mA, Tip A (F202 A-25/0.03 muadili)</v>
      </c>
      <c r="C23" s="25" t="s">
        <v>356</v>
      </c>
      <c r="D23" s="25" t="str">
        <f t="shared" si="1"/>
        <v>2CSF202102R1250</v>
      </c>
      <c r="E23" s="25" t="str">
        <f t="shared" si="2"/>
        <v>ABB FH202 A-25/0.03 — 2P, 25A, 30mA, Tip A (F202 A-25/0.03 muadili)</v>
      </c>
      <c r="F23" s="27">
        <f t="shared" si="3"/>
        <v>63.22</v>
      </c>
      <c r="G23" s="28">
        <f t="shared" si="4"/>
        <v>14978.398500000001</v>
      </c>
      <c r="H23" s="28">
        <f t="shared" si="5"/>
        <v>479308.75200000004</v>
      </c>
      <c r="I23" s="29">
        <v>32</v>
      </c>
      <c r="J23" s="25" t="s">
        <v>434</v>
      </c>
      <c r="K23" s="25" t="str">
        <f t="shared" si="6"/>
        <v>ABB</v>
      </c>
      <c r="L23" s="28">
        <f t="shared" si="7"/>
        <v>479308.75200000004</v>
      </c>
      <c r="M23" s="35" t="s">
        <v>186</v>
      </c>
      <c r="N23" s="25" t="s">
        <v>460</v>
      </c>
      <c r="O23" s="25" t="s">
        <v>456</v>
      </c>
      <c r="P23" s="25" t="s">
        <v>230</v>
      </c>
      <c r="Q23" s="25" t="s">
        <v>68</v>
      </c>
      <c r="R23" s="25">
        <f t="shared" si="9"/>
        <v>384</v>
      </c>
      <c r="S23" s="25">
        <f t="shared" si="8"/>
        <v>64</v>
      </c>
    </row>
    <row r="24" spans="1:19" x14ac:dyDescent="0.25">
      <c r="A24" s="25">
        <v>23</v>
      </c>
      <c r="B24" s="26" t="str">
        <f t="shared" si="0"/>
        <v>UPS 5 kVA, 1F/1F, 220V (harici ekipman)</v>
      </c>
      <c r="C24" s="25" t="s">
        <v>367</v>
      </c>
      <c r="D24" s="25">
        <f t="shared" si="1"/>
        <v>0</v>
      </c>
      <c r="E24" s="25" t="str">
        <f t="shared" si="2"/>
        <v>UPS 5 kVA, 1F/1F, 220V (harici ekipman)</v>
      </c>
      <c r="F24" s="27">
        <f t="shared" si="3"/>
        <v>0</v>
      </c>
      <c r="G24" s="28" t="str">
        <f t="shared" si="4"/>
        <v/>
      </c>
      <c r="H24" s="28" t="str">
        <f t="shared" si="5"/>
        <v/>
      </c>
      <c r="I24" s="29">
        <v>1</v>
      </c>
      <c r="J24" s="25" t="s">
        <v>434</v>
      </c>
      <c r="K24" s="25" t="str">
        <f t="shared" si="6"/>
        <v>MUADIL-NET</v>
      </c>
      <c r="L24" s="28" t="str">
        <f t="shared" si="7"/>
        <v/>
      </c>
      <c r="M24" s="25" t="s">
        <v>189</v>
      </c>
      <c r="N24" s="25" t="s">
        <v>461</v>
      </c>
      <c r="O24" s="25" t="s">
        <v>438</v>
      </c>
      <c r="P24" s="25" t="s">
        <v>266</v>
      </c>
      <c r="Q24" s="25"/>
      <c r="R24" s="25"/>
      <c r="S24" s="25">
        <f t="shared" si="8"/>
        <v>0</v>
      </c>
    </row>
    <row r="25" spans="1:19" x14ac:dyDescent="0.25">
      <c r="A25" s="25">
        <v>24</v>
      </c>
      <c r="B25" s="26" t="str">
        <f t="shared" si="0"/>
        <v>H07V-K / ПВ2(LS) Cu 1x25mm² — kablo köprü (ana giriş bağlantısı)</v>
      </c>
      <c r="C25" s="25" t="s">
        <v>462</v>
      </c>
      <c r="D25" s="25" t="str">
        <f t="shared" si="1"/>
        <v>PV2(LS)-25</v>
      </c>
      <c r="E25" s="25" t="str">
        <f t="shared" si="2"/>
        <v>H07V-K / ПВ2(LS) Cu 1x25mm² — kablo köprü (ana giriş bağlantısı)</v>
      </c>
      <c r="F25" s="27">
        <f t="shared" si="3"/>
        <v>1765</v>
      </c>
      <c r="G25" s="28">
        <f t="shared" si="4"/>
        <v>1765</v>
      </c>
      <c r="H25" s="28">
        <f t="shared" si="5"/>
        <v>2329.8000000000002</v>
      </c>
      <c r="I25" s="29">
        <f>ROUND(KURALLAR!$B$92*4*KURALLAR!$B$94,2)</f>
        <v>1.32</v>
      </c>
      <c r="J25" s="25" t="s">
        <v>463</v>
      </c>
      <c r="K25" s="25" t="str">
        <f t="shared" si="6"/>
        <v>HARMONY</v>
      </c>
      <c r="L25" s="28">
        <f t="shared" si="7"/>
        <v>2329.8000000000002</v>
      </c>
      <c r="M25" s="26" t="s">
        <v>188</v>
      </c>
      <c r="N25" s="25" t="s">
        <v>464</v>
      </c>
      <c r="O25" s="25" t="s">
        <v>465</v>
      </c>
      <c r="P25" s="25" t="s">
        <v>242</v>
      </c>
      <c r="Q25" s="25"/>
      <c r="R25" s="25"/>
      <c r="S25" s="25">
        <f t="shared" si="8"/>
        <v>0</v>
      </c>
    </row>
    <row r="26" spans="1:19" x14ac:dyDescent="0.25">
      <c r="A26" s="25">
        <v>25</v>
      </c>
      <c r="B26" s="26" t="str">
        <f t="shared" si="0"/>
        <v>H07V-K / ПВ2(LS) Cu 1x25mm² — kablo köprü (ana giriş bağlantısı)</v>
      </c>
      <c r="C26" s="25" t="s">
        <v>466</v>
      </c>
      <c r="D26" s="25" t="str">
        <f t="shared" si="1"/>
        <v>PV2(LS)-25</v>
      </c>
      <c r="E26" s="25" t="str">
        <f t="shared" si="2"/>
        <v>H07V-K / ПВ2(LS) Cu 1x25mm² — kablo köprü (ana giriş bağlantısı)</v>
      </c>
      <c r="F26" s="27">
        <f t="shared" si="3"/>
        <v>1765</v>
      </c>
      <c r="G26" s="28">
        <f t="shared" si="4"/>
        <v>1765</v>
      </c>
      <c r="H26" s="28">
        <f t="shared" si="5"/>
        <v>582.45000000000005</v>
      </c>
      <c r="I26" s="29">
        <f>ROUND(KURALLAR!$B$92*1*KURALLAR!$B$94,2)</f>
        <v>0.33</v>
      </c>
      <c r="J26" s="25" t="s">
        <v>463</v>
      </c>
      <c r="K26" s="25" t="str">
        <f t="shared" si="6"/>
        <v>HARMONY</v>
      </c>
      <c r="L26" s="28">
        <f t="shared" si="7"/>
        <v>582.45000000000005</v>
      </c>
      <c r="M26" s="26" t="s">
        <v>188</v>
      </c>
      <c r="N26" s="25" t="s">
        <v>467</v>
      </c>
      <c r="O26" s="25" t="s">
        <v>465</v>
      </c>
      <c r="P26" s="25" t="s">
        <v>242</v>
      </c>
      <c r="Q26" s="25"/>
      <c r="R26" s="25"/>
      <c r="S26" s="25">
        <f t="shared" si="8"/>
        <v>0</v>
      </c>
    </row>
    <row r="27" spans="1:19" x14ac:dyDescent="0.25">
      <c r="A27" s="25">
        <v>26</v>
      </c>
      <c r="B27" s="26" t="str">
        <f t="shared" si="0"/>
        <v>Kablo pabucu 16mm² (МЛ 16-6-6)</v>
      </c>
      <c r="C27" s="25" t="s">
        <v>394</v>
      </c>
      <c r="D27" s="25" t="str">
        <f t="shared" si="1"/>
        <v>260100142</v>
      </c>
      <c r="E27" s="25" t="str">
        <f t="shared" si="2"/>
        <v>Kablo pabucu 16mm² (МЛ 16-6-6)</v>
      </c>
      <c r="F27" s="27">
        <f t="shared" si="3"/>
        <v>180</v>
      </c>
      <c r="G27" s="28">
        <f t="shared" si="4"/>
        <v>180</v>
      </c>
      <c r="H27" s="28">
        <f t="shared" si="5"/>
        <v>1440</v>
      </c>
      <c r="I27" s="29">
        <v>8</v>
      </c>
      <c r="J27" s="25" t="s">
        <v>434</v>
      </c>
      <c r="K27" s="25" t="str">
        <f t="shared" si="6"/>
        <v>EKT</v>
      </c>
      <c r="L27" s="28">
        <f t="shared" si="7"/>
        <v>1440</v>
      </c>
      <c r="M27" s="26" t="s">
        <v>188</v>
      </c>
      <c r="N27" s="25" t="s">
        <v>468</v>
      </c>
      <c r="O27" s="25" t="s">
        <v>465</v>
      </c>
      <c r="P27" s="25" t="s">
        <v>246</v>
      </c>
      <c r="Q27" s="25" t="s">
        <v>110</v>
      </c>
      <c r="R27" s="25">
        <f>IF(OR($Q27="",$I27=""),"",$I27*IFERROR(INDEX(NORM_DK,MATCH($Q27,NORM_AD,0)),0))</f>
        <v>24</v>
      </c>
      <c r="S27" s="25">
        <f t="shared" si="8"/>
        <v>0</v>
      </c>
    </row>
    <row r="28" spans="1:19" x14ac:dyDescent="0.25">
      <c r="A28" s="30">
        <v>27</v>
      </c>
      <c r="B28" s="31" t="str">
        <f t="shared" si="0"/>
        <v>Трансформатор тока нулевой последовательности CT-80 (TEKLED ELECTRIC)</v>
      </c>
      <c r="C28" s="30" t="s">
        <v>403</v>
      </c>
      <c r="D28" s="30" t="str">
        <f t="shared" si="1"/>
        <v>635-03004</v>
      </c>
      <c r="E28" s="30" t="str">
        <f t="shared" si="2"/>
        <v>Трансформатор тока нулевой последовательности CT-80 (TEKLED ELECTRIC)</v>
      </c>
      <c r="F28" s="32">
        <f t="shared" si="3"/>
        <v>12950</v>
      </c>
      <c r="G28" s="33">
        <f t="shared" si="4"/>
        <v>7770</v>
      </c>
      <c r="H28" s="33">
        <f t="shared" si="5"/>
        <v>7770</v>
      </c>
      <c r="I28" s="34">
        <v>1</v>
      </c>
      <c r="J28" s="30" t="s">
        <v>434</v>
      </c>
      <c r="K28" s="30" t="str">
        <f t="shared" si="6"/>
        <v>CHINT</v>
      </c>
      <c r="L28" s="33">
        <f t="shared" si="7"/>
        <v>7770</v>
      </c>
      <c r="M28" s="30" t="s">
        <v>184</v>
      </c>
      <c r="N28" s="30" t="s">
        <v>469</v>
      </c>
      <c r="O28" s="30" t="s">
        <v>465</v>
      </c>
      <c r="P28" s="30" t="s">
        <v>211</v>
      </c>
      <c r="Q28" s="30"/>
      <c r="R28" s="30"/>
      <c r="S28" s="30">
        <f t="shared" si="8"/>
        <v>0</v>
      </c>
    </row>
    <row r="29" spans="1:19" x14ac:dyDescent="0.25">
      <c r="A29" s="30">
        <v>28</v>
      </c>
      <c r="B29" s="31" t="str">
        <f t="shared" si="0"/>
        <v>Реле тока утечки ELR 110V/240V (TEKLED ELECTRIC)</v>
      </c>
      <c r="C29" s="30" t="s">
        <v>405</v>
      </c>
      <c r="D29" s="30" t="str">
        <f t="shared" si="1"/>
        <v>720-03100</v>
      </c>
      <c r="E29" s="30" t="str">
        <f t="shared" si="2"/>
        <v>Реле тока утечки ELR 110V/240V (TEKLED ELECTRIC)</v>
      </c>
      <c r="F29" s="32">
        <f t="shared" si="3"/>
        <v>25900</v>
      </c>
      <c r="G29" s="33">
        <f t="shared" si="4"/>
        <v>15540</v>
      </c>
      <c r="H29" s="33">
        <f t="shared" si="5"/>
        <v>15540</v>
      </c>
      <c r="I29" s="34">
        <v>1</v>
      </c>
      <c r="J29" s="30" t="s">
        <v>434</v>
      </c>
      <c r="K29" s="30" t="str">
        <f t="shared" si="6"/>
        <v>CHINT</v>
      </c>
      <c r="L29" s="33">
        <f t="shared" si="7"/>
        <v>15540</v>
      </c>
      <c r="M29" s="30" t="s">
        <v>184</v>
      </c>
      <c r="N29" s="30" t="s">
        <v>470</v>
      </c>
      <c r="O29" s="30" t="s">
        <v>465</v>
      </c>
      <c r="P29" s="30" t="s">
        <v>215</v>
      </c>
      <c r="Q29" s="30"/>
      <c r="R29" s="30"/>
      <c r="S29" s="30">
        <f t="shared" si="8"/>
        <v>0</v>
      </c>
    </row>
    <row r="30" spans="1:19" x14ac:dyDescent="0.25">
      <c r="A30" s="25">
        <v>29</v>
      </c>
      <c r="B30" s="26" t="str">
        <f t="shared" si="0"/>
        <v>Geçiş klemensi 2.5-4mm² (ЗН101-2-24A-08)</v>
      </c>
      <c r="C30" s="25" t="s">
        <v>376</v>
      </c>
      <c r="D30" s="25" t="str">
        <f t="shared" si="1"/>
        <v>32421DEK</v>
      </c>
      <c r="E30" s="25" t="str">
        <f t="shared" si="2"/>
        <v>Geçiş klemensi 2.5-4mm² (ЗН101-2-24A-08)</v>
      </c>
      <c r="F30" s="27">
        <f t="shared" si="3"/>
        <v>117</v>
      </c>
      <c r="G30" s="28">
        <f t="shared" si="4"/>
        <v>117</v>
      </c>
      <c r="H30" s="28">
        <f t="shared" si="5"/>
        <v>11349</v>
      </c>
      <c r="I30" s="29">
        <f>ROUNDUP((($I$17+$I$19+$I$20+$I$21+$I$22)*2+$I$15*4)*KURALLAR!$B$99,0)</f>
        <v>97</v>
      </c>
      <c r="J30" s="25" t="s">
        <v>434</v>
      </c>
      <c r="K30" s="25" t="str">
        <f t="shared" si="6"/>
        <v>EKT</v>
      </c>
      <c r="L30" s="28">
        <f t="shared" si="7"/>
        <v>11349</v>
      </c>
      <c r="M30" s="26" t="s">
        <v>188</v>
      </c>
      <c r="N30" s="25" t="s">
        <v>471</v>
      </c>
      <c r="O30" s="25" t="s">
        <v>465</v>
      </c>
      <c r="P30" s="25" t="s">
        <v>249</v>
      </c>
      <c r="Q30" s="25" t="s">
        <v>94</v>
      </c>
      <c r="R30" s="25">
        <f>IF(OR($Q30="",$I30=""),"",$I30*IFERROR(INDEX(NORM_DK,MATCH($Q30,NORM_AD,0)),0))</f>
        <v>388</v>
      </c>
      <c r="S30" s="25">
        <f t="shared" si="8"/>
        <v>0</v>
      </c>
    </row>
    <row r="31" spans="1:19" x14ac:dyDescent="0.25">
      <c r="A31" s="25">
        <v>30</v>
      </c>
      <c r="B31" s="26" t="str">
        <f t="shared" si="0"/>
        <v>Geçiş klemensi 2.5-4mm² (ЗН101-2-24A-08)</v>
      </c>
      <c r="C31" s="25" t="s">
        <v>472</v>
      </c>
      <c r="D31" s="25" t="str">
        <f t="shared" si="1"/>
        <v>32421DEK</v>
      </c>
      <c r="E31" s="25" t="str">
        <f t="shared" si="2"/>
        <v>Geçiş klemensi 2.5-4mm² (ЗН101-2-24A-08)</v>
      </c>
      <c r="F31" s="27">
        <f t="shared" si="3"/>
        <v>117</v>
      </c>
      <c r="G31" s="28">
        <f t="shared" si="4"/>
        <v>117</v>
      </c>
      <c r="H31" s="28">
        <f t="shared" si="5"/>
        <v>5148</v>
      </c>
      <c r="I31" s="29">
        <f>ROUNDUP(($I$17+$I$19+$I$20+$I$21+$I$22)*1*KURALLAR!$B$99,0)</f>
        <v>44</v>
      </c>
      <c r="J31" s="25" t="s">
        <v>434</v>
      </c>
      <c r="K31" s="25" t="str">
        <f t="shared" si="6"/>
        <v>EKT</v>
      </c>
      <c r="L31" s="28">
        <f t="shared" si="7"/>
        <v>5148</v>
      </c>
      <c r="M31" s="26" t="s">
        <v>188</v>
      </c>
      <c r="N31" s="25" t="s">
        <v>473</v>
      </c>
      <c r="O31" s="25" t="s">
        <v>465</v>
      </c>
      <c r="P31" s="25" t="s">
        <v>249</v>
      </c>
      <c r="Q31" s="25" t="s">
        <v>94</v>
      </c>
      <c r="R31" s="25">
        <f>IF(OR($Q31="",$I31=""),"",$I31*IFERROR(INDEX(NORM_DK,MATCH($Q31,NORM_AD,0)),0))</f>
        <v>176</v>
      </c>
      <c r="S31" s="25">
        <f t="shared" si="8"/>
        <v>0</v>
      </c>
    </row>
    <row r="32" spans="1:19" x14ac:dyDescent="0.25">
      <c r="A32" s="25">
        <v>31</v>
      </c>
      <c r="B32" s="26" t="str">
        <f t="shared" si="0"/>
        <v>Geçiş klemensi 2.5-4mm² (ЗН101-2-24A-08)</v>
      </c>
      <c r="C32" s="25" t="s">
        <v>474</v>
      </c>
      <c r="D32" s="25" t="str">
        <f t="shared" si="1"/>
        <v>32421DEK</v>
      </c>
      <c r="E32" s="25" t="str">
        <f t="shared" si="2"/>
        <v>Geçiş klemensi 2.5-4mm² (ЗН101-2-24A-08)</v>
      </c>
      <c r="F32" s="27">
        <f t="shared" si="3"/>
        <v>117</v>
      </c>
      <c r="G32" s="28">
        <f t="shared" si="4"/>
        <v>117</v>
      </c>
      <c r="H32" s="28">
        <f t="shared" si="5"/>
        <v>5499</v>
      </c>
      <c r="I32" s="29">
        <f>ROUNDUP((($I$17+$I$19+$I$20+$I$21+$I$22)+$I$15)*1*KURALLAR!$B$99,0)</f>
        <v>47</v>
      </c>
      <c r="J32" s="25" t="s">
        <v>434</v>
      </c>
      <c r="K32" s="25" t="str">
        <f t="shared" si="6"/>
        <v>EKT</v>
      </c>
      <c r="L32" s="28">
        <f t="shared" si="7"/>
        <v>5499</v>
      </c>
      <c r="M32" s="26" t="s">
        <v>188</v>
      </c>
      <c r="N32" s="25" t="s">
        <v>475</v>
      </c>
      <c r="O32" s="25" t="s">
        <v>465</v>
      </c>
      <c r="P32" s="25" t="s">
        <v>249</v>
      </c>
      <c r="Q32" s="25" t="s">
        <v>94</v>
      </c>
      <c r="R32" s="25">
        <f>IF(OR($Q32="",$I32=""),"",$I32*IFERROR(INDEX(NORM_DK,MATCH($Q32,NORM_AD,0)),0))</f>
        <v>188</v>
      </c>
      <c r="S32" s="25">
        <f t="shared" si="8"/>
        <v>0</v>
      </c>
    </row>
    <row r="33" spans="1:19" x14ac:dyDescent="0.25">
      <c r="A33" s="25">
        <v>32</v>
      </c>
      <c r="B33" s="26" t="str">
        <f t="shared" si="0"/>
        <v>DIN ray uç plakası + stoper seti</v>
      </c>
      <c r="C33" s="25" t="s">
        <v>380</v>
      </c>
      <c r="D33" s="25" t="str">
        <f t="shared" si="1"/>
        <v>YZN11DF-003-K03</v>
      </c>
      <c r="E33" s="25" t="str">
        <f t="shared" si="2"/>
        <v>DIN ray uç plakası + stoper seti</v>
      </c>
      <c r="F33" s="27">
        <f t="shared" si="3"/>
        <v>106</v>
      </c>
      <c r="G33" s="28">
        <f t="shared" si="4"/>
        <v>106</v>
      </c>
      <c r="H33" s="28">
        <f t="shared" si="5"/>
        <v>1060</v>
      </c>
      <c r="I33" s="29">
        <f>ROUNDUP(($I$30+$I$31+$I$32)/20,0)</f>
        <v>10</v>
      </c>
      <c r="J33" s="25" t="s">
        <v>434</v>
      </c>
      <c r="K33" s="25" t="str">
        <f t="shared" si="6"/>
        <v>EKT</v>
      </c>
      <c r="L33" s="28">
        <f t="shared" si="7"/>
        <v>1060</v>
      </c>
      <c r="M33" s="26" t="s">
        <v>188</v>
      </c>
      <c r="N33" s="25" t="s">
        <v>476</v>
      </c>
      <c r="O33" s="25" t="s">
        <v>465</v>
      </c>
      <c r="P33" s="25" t="s">
        <v>252</v>
      </c>
      <c r="Q33" s="25"/>
      <c r="R33" s="25"/>
      <c r="S33" s="25">
        <f t="shared" si="8"/>
        <v>0</v>
      </c>
    </row>
    <row r="34" spans="1:19" x14ac:dyDescent="0.25">
      <c r="A34" s="25">
        <v>33</v>
      </c>
      <c r="B34" s="26" t="str">
        <f t="shared" si="0"/>
        <v>DIN rayı TS35x7.5mm delikli (1m)</v>
      </c>
      <c r="C34" s="25" t="s">
        <v>477</v>
      </c>
      <c r="D34" s="25" t="str">
        <f t="shared" si="1"/>
        <v>570003</v>
      </c>
      <c r="E34" s="25" t="str">
        <f t="shared" si="2"/>
        <v>DIN rayı TS35x7.5mm delikli (1m)</v>
      </c>
      <c r="F34" s="27">
        <f t="shared" si="3"/>
        <v>869</v>
      </c>
      <c r="G34" s="28">
        <f t="shared" si="4"/>
        <v>521.4</v>
      </c>
      <c r="H34" s="28">
        <f t="shared" si="5"/>
        <v>1496.4179999999999</v>
      </c>
      <c r="I34" s="29">
        <f>ROUND((SUM($S$3:$S$32)*18/1000)*KURALLAR!$B$97,2)</f>
        <v>2.87</v>
      </c>
      <c r="J34" s="25" t="s">
        <v>463</v>
      </c>
      <c r="K34" s="25" t="str">
        <f t="shared" si="6"/>
        <v>CHINT</v>
      </c>
      <c r="L34" s="28">
        <f t="shared" si="7"/>
        <v>1496.4179999999999</v>
      </c>
      <c r="M34" s="26" t="s">
        <v>188</v>
      </c>
      <c r="N34" s="25" t="s">
        <v>478</v>
      </c>
      <c r="O34" s="25" t="s">
        <v>465</v>
      </c>
      <c r="P34" s="25" t="s">
        <v>255</v>
      </c>
      <c r="Q34" s="25"/>
      <c r="R34" s="25"/>
      <c r="S34" s="25">
        <f t="shared" si="8"/>
        <v>0</v>
      </c>
    </row>
    <row r="35" spans="1:19" x14ac:dyDescent="0.25">
      <c r="A35" s="25">
        <v>34</v>
      </c>
      <c r="B35" s="26" t="str">
        <f t="shared" si="0"/>
        <v xml:space="preserve">                Кабель-канал перф.  60х40 ИМПАКТ IEK (24)</v>
      </c>
      <c r="C35" s="25" t="s">
        <v>374</v>
      </c>
      <c r="D35" s="25" t="str">
        <f t="shared" si="1"/>
        <v>270300200_</v>
      </c>
      <c r="E35" s="25" t="str">
        <f t="shared" si="2"/>
        <v xml:space="preserve">                Кабель-канал перф.  60х40 ИМПАКТ IEK (24)</v>
      </c>
      <c r="F35" s="27">
        <f t="shared" si="3"/>
        <v>1980</v>
      </c>
      <c r="G35" s="28">
        <f t="shared" si="4"/>
        <v>1980</v>
      </c>
      <c r="H35" s="28">
        <f t="shared" si="5"/>
        <v>31680</v>
      </c>
      <c r="I35" s="29">
        <f>ROUND(16*KURALLAR!$B$98/1.1,1)</f>
        <v>16</v>
      </c>
      <c r="J35" s="25" t="s">
        <v>463</v>
      </c>
      <c r="K35" s="25" t="str">
        <f t="shared" si="6"/>
        <v>EKT</v>
      </c>
      <c r="L35" s="28">
        <f t="shared" si="7"/>
        <v>31680</v>
      </c>
      <c r="M35" s="26" t="s">
        <v>188</v>
      </c>
      <c r="N35" s="25" t="s">
        <v>479</v>
      </c>
      <c r="O35" s="25" t="s">
        <v>480</v>
      </c>
      <c r="P35" s="25" t="s">
        <v>258</v>
      </c>
      <c r="Q35" s="25"/>
      <c r="R35" s="25"/>
      <c r="S35" s="25">
        <f t="shared" si="8"/>
        <v>0</v>
      </c>
    </row>
    <row r="36" spans="1:19" x14ac:dyDescent="0.25">
      <c r="A36" s="25">
        <v>35</v>
      </c>
      <c r="B36" s="26" t="str">
        <f t="shared" si="0"/>
        <v>H07V-K / ПВ1(LS) Cu 1x2.5mm² — pano içi kablo</v>
      </c>
      <c r="C36" s="25" t="s">
        <v>383</v>
      </c>
      <c r="D36" s="25" t="str">
        <f t="shared" si="1"/>
        <v>PV1(LS)-2.5</v>
      </c>
      <c r="E36" s="25" t="str">
        <f t="shared" si="2"/>
        <v>H07V-K / ПВ1(LS) Cu 1x2.5mm² — pano içi kablo</v>
      </c>
      <c r="F36" s="27">
        <f t="shared" si="3"/>
        <v>176</v>
      </c>
      <c r="G36" s="28">
        <f t="shared" si="4"/>
        <v>176</v>
      </c>
      <c r="H36" s="28">
        <f t="shared" si="5"/>
        <v>19518.400000000001</v>
      </c>
      <c r="I36" s="29">
        <f>ROUND((($I$17+$I$19+$I$20+$I$21)*2+$I$15*4)*KURALLAR!$B$95*KURALLAR!$B$94,1)</f>
        <v>110.9</v>
      </c>
      <c r="J36" s="25" t="s">
        <v>463</v>
      </c>
      <c r="K36" s="25" t="str">
        <f t="shared" si="6"/>
        <v>HARMONY</v>
      </c>
      <c r="L36" s="28">
        <f t="shared" si="7"/>
        <v>19518.400000000001</v>
      </c>
      <c r="M36" s="26" t="s">
        <v>188</v>
      </c>
      <c r="N36" s="25" t="s">
        <v>481</v>
      </c>
      <c r="O36" s="25" t="s">
        <v>465</v>
      </c>
      <c r="P36" s="25" t="s">
        <v>387</v>
      </c>
      <c r="Q36" s="25" t="s">
        <v>108</v>
      </c>
      <c r="R36" s="25">
        <f>IF(OR($Q36="",$I36=""),"",$I36*IFERROR(INDEX(NORM_DK,MATCH($Q36,NORM_AD,0)),0))</f>
        <v>332.70000000000005</v>
      </c>
      <c r="S36" s="25">
        <f t="shared" si="8"/>
        <v>0</v>
      </c>
    </row>
    <row r="37" spans="1:19" x14ac:dyDescent="0.25">
      <c r="A37" s="25">
        <v>36</v>
      </c>
      <c r="B37" s="26" t="str">
        <f t="shared" si="0"/>
        <v>H07V-K / ПВ1(LS) Cu 1x6mm² — pano içi kablo (C32 devreleri)</v>
      </c>
      <c r="C37" s="25" t="s">
        <v>383</v>
      </c>
      <c r="D37" s="25" t="str">
        <f t="shared" si="1"/>
        <v>PV1(LS)-6</v>
      </c>
      <c r="E37" s="25" t="str">
        <f t="shared" si="2"/>
        <v>H07V-K / ПВ1(LS) Cu 1x6mm² — pano içi kablo (C32 devreleri)</v>
      </c>
      <c r="F37" s="27">
        <f t="shared" si="3"/>
        <v>423</v>
      </c>
      <c r="G37" s="28">
        <f t="shared" si="4"/>
        <v>423</v>
      </c>
      <c r="H37" s="28">
        <f t="shared" si="5"/>
        <v>2241.9</v>
      </c>
      <c r="I37" s="29">
        <f>ROUND(($I$22*2)*KURALLAR!$B$95*KURALLAR!$B$94,1)</f>
        <v>5.3</v>
      </c>
      <c r="J37" s="25" t="s">
        <v>463</v>
      </c>
      <c r="K37" s="25" t="str">
        <f t="shared" si="6"/>
        <v>HARMONY</v>
      </c>
      <c r="L37" s="28">
        <f t="shared" si="7"/>
        <v>2241.9</v>
      </c>
      <c r="M37" s="26" t="s">
        <v>188</v>
      </c>
      <c r="N37" s="25" t="s">
        <v>482</v>
      </c>
      <c r="O37" s="25" t="s">
        <v>465</v>
      </c>
      <c r="P37" s="25" t="s">
        <v>390</v>
      </c>
      <c r="Q37" s="25" t="s">
        <v>108</v>
      </c>
      <c r="R37" s="25">
        <f>IF(OR($Q37="",$I37=""),"",$I37*IFERROR(INDEX(NORM_DK,MATCH($Q37,NORM_AD,0)),0))</f>
        <v>15.899999999999999</v>
      </c>
      <c r="S37" s="25">
        <f t="shared" si="8"/>
        <v>0</v>
      </c>
    </row>
    <row r="38" spans="1:19" x14ac:dyDescent="0.25">
      <c r="A38" s="25">
        <v>37</v>
      </c>
      <c r="B38" s="26" t="str">
        <f t="shared" si="0"/>
        <v>Etiket seti — metal marka bandı (100 adet/paket)</v>
      </c>
      <c r="C38" s="25" t="s">
        <v>398</v>
      </c>
      <c r="D38" s="25" t="str">
        <f t="shared" si="1"/>
        <v>311100733</v>
      </c>
      <c r="E38" s="25" t="str">
        <f t="shared" si="2"/>
        <v>Etiket seti — metal marka bandı (100 adet/paket)</v>
      </c>
      <c r="F38" s="27">
        <f t="shared" si="3"/>
        <v>6910</v>
      </c>
      <c r="G38" s="28">
        <f t="shared" si="4"/>
        <v>6910</v>
      </c>
      <c r="H38" s="28">
        <f t="shared" si="5"/>
        <v>6910</v>
      </c>
      <c r="I38" s="29">
        <v>1</v>
      </c>
      <c r="J38" s="25" t="s">
        <v>401</v>
      </c>
      <c r="K38" s="25" t="str">
        <f t="shared" si="6"/>
        <v>EKT</v>
      </c>
      <c r="L38" s="28">
        <f t="shared" si="7"/>
        <v>6910</v>
      </c>
      <c r="M38" s="25" t="s">
        <v>183</v>
      </c>
      <c r="N38" s="25" t="s">
        <v>483</v>
      </c>
      <c r="O38" s="25" t="s">
        <v>465</v>
      </c>
      <c r="P38" s="25" t="s">
        <v>402</v>
      </c>
      <c r="Q38" s="25" t="s">
        <v>118</v>
      </c>
      <c r="R38" s="25">
        <f>IF(OR($Q38="",$I38=""),"",$I38*IFERROR(INDEX(NORM_DK,MATCH($Q38,NORM_AD,0)),0))</f>
        <v>60</v>
      </c>
      <c r="S38" s="25">
        <f t="shared" si="8"/>
        <v>0</v>
      </c>
    </row>
    <row r="39" spans="1:19" x14ac:dyDescent="0.25">
      <c r="A39" s="30">
        <v>38</v>
      </c>
      <c r="B39" s="31" t="str">
        <f t="shared" si="0"/>
        <v>Montaj sarf malzemesi (vida, kablo bağı, spiral, destek, dübel-homut)</v>
      </c>
      <c r="C39" s="30" t="s">
        <v>406</v>
      </c>
      <c r="D39" s="30">
        <f t="shared" si="1"/>
        <v>0</v>
      </c>
      <c r="E39" s="30" t="str">
        <f t="shared" si="2"/>
        <v>Montaj sarf malzemesi (vida, kablo bağı, spiral, destek, dübel-homut)</v>
      </c>
      <c r="F39" s="32">
        <f t="shared" si="3"/>
        <v>0</v>
      </c>
      <c r="G39" s="33" t="str">
        <f t="shared" si="4"/>
        <v/>
      </c>
      <c r="H39" s="33" t="str">
        <f t="shared" si="5"/>
        <v/>
      </c>
      <c r="I39" s="34">
        <v>1</v>
      </c>
      <c r="J39" s="30" t="s">
        <v>401</v>
      </c>
      <c r="K39" s="30" t="str">
        <f t="shared" si="6"/>
        <v>MUADIL-NET</v>
      </c>
      <c r="L39" s="33" t="str">
        <f t="shared" si="7"/>
        <v/>
      </c>
      <c r="M39" s="30" t="s">
        <v>184</v>
      </c>
      <c r="N39" s="30" t="s">
        <v>484</v>
      </c>
      <c r="O39" s="30" t="s">
        <v>465</v>
      </c>
      <c r="P39" s="30" t="s">
        <v>218</v>
      </c>
      <c r="Q39" s="30"/>
      <c r="R39" s="30"/>
      <c r="S39" s="30">
        <f t="shared" si="8"/>
        <v>0</v>
      </c>
    </row>
    <row r="40" spans="1:19" x14ac:dyDescent="0.25">
      <c r="A40" s="25">
        <v>39</v>
      </c>
      <c r="B40" s="25" t="s">
        <v>485</v>
      </c>
      <c r="C40" s="25" t="s">
        <v>486</v>
      </c>
      <c r="D40" s="25"/>
      <c r="E40" s="25"/>
      <c r="F40" s="27"/>
      <c r="G40" s="28"/>
      <c r="H40" s="28"/>
      <c r="I40" s="29">
        <v>1</v>
      </c>
      <c r="J40" s="25" t="s">
        <v>487</v>
      </c>
      <c r="K40" s="25"/>
      <c r="L40" s="28"/>
      <c r="M40" s="25" t="s">
        <v>183</v>
      </c>
      <c r="N40" s="25" t="s">
        <v>488</v>
      </c>
      <c r="O40" s="25" t="s">
        <v>465</v>
      </c>
      <c r="P40" s="25"/>
      <c r="Q40" s="25" t="s">
        <v>120</v>
      </c>
      <c r="R40" s="25">
        <f>$I40*INDEX(NORM_DK,MATCH($Q40,NORM_AD,0))</f>
        <v>60</v>
      </c>
      <c r="S40" s="25"/>
    </row>
    <row r="41" spans="1:19" x14ac:dyDescent="0.25">
      <c r="A41" s="25">
        <v>40</v>
      </c>
      <c r="B41" s="25" t="s">
        <v>489</v>
      </c>
      <c r="C41" s="25" t="s">
        <v>486</v>
      </c>
      <c r="D41" s="25"/>
      <c r="E41" s="25"/>
      <c r="F41" s="27"/>
      <c r="G41" s="28"/>
      <c r="H41" s="28"/>
      <c r="I41" s="29">
        <v>1</v>
      </c>
      <c r="J41" s="25" t="s">
        <v>487</v>
      </c>
      <c r="K41" s="25"/>
      <c r="L41" s="28"/>
      <c r="M41" s="25" t="s">
        <v>183</v>
      </c>
      <c r="N41" s="25" t="s">
        <v>488</v>
      </c>
      <c r="O41" s="25" t="s">
        <v>465</v>
      </c>
      <c r="P41" s="25"/>
      <c r="Q41" s="25" t="s">
        <v>122</v>
      </c>
      <c r="R41" s="25">
        <f>$I41*INDEX(NORM_DK,MATCH($Q41,NORM_AD,0))</f>
        <v>90</v>
      </c>
      <c r="S41" s="25"/>
    </row>
    <row r="42" spans="1:19" x14ac:dyDescent="0.25">
      <c r="A42" s="25">
        <v>41</v>
      </c>
      <c r="B42" s="25" t="s">
        <v>490</v>
      </c>
      <c r="C42" s="25" t="s">
        <v>486</v>
      </c>
      <c r="D42" s="25"/>
      <c r="E42" s="25"/>
      <c r="F42" s="27"/>
      <c r="G42" s="28"/>
      <c r="H42" s="28"/>
      <c r="I42" s="29">
        <v>1</v>
      </c>
      <c r="J42" s="25" t="s">
        <v>487</v>
      </c>
      <c r="K42" s="25"/>
      <c r="L42" s="28"/>
      <c r="M42" s="25" t="s">
        <v>183</v>
      </c>
      <c r="N42" s="25" t="s">
        <v>488</v>
      </c>
      <c r="O42" s="25" t="s">
        <v>465</v>
      </c>
      <c r="P42" s="25"/>
      <c r="Q42" s="25" t="s">
        <v>124</v>
      </c>
      <c r="R42" s="25">
        <f>$I42*INDEX(NORM_DK,MATCH($Q42,NORM_AD,0))</f>
        <v>45</v>
      </c>
      <c r="S42" s="25"/>
    </row>
    <row r="43" spans="1:19" x14ac:dyDescent="0.25">
      <c r="A43" s="25">
        <v>42</v>
      </c>
      <c r="B43" s="26" t="str">
        <f>E43</f>
        <v>Montaj/kablaj/etiketleme/test işçiliği (dakika bazlı)</v>
      </c>
      <c r="C43" s="25" t="s">
        <v>409</v>
      </c>
      <c r="D43" s="25">
        <f>IF($P43="","",INDEX(FIYAT_KOD,MATCH($P43,FIYAT_ART,0)))</f>
        <v>0</v>
      </c>
      <c r="E43" s="25" t="str">
        <f>IF($P43="","",INDEX(FIYAT_ACK,MATCH($P43,FIYAT_ART,0)))</f>
        <v>Montaj/kablaj/etiketleme/test işçiliği (dakika bazlı)</v>
      </c>
      <c r="F43" s="27">
        <f>IF($P43="","",INDEX(FIYAT_LISTE,MATCH($P43,FIYAT_ART,0)))</f>
        <v>58.333333333333336</v>
      </c>
      <c r="G43" s="28">
        <f>IF($P43="","",INDEX(FIYAT_NET,MATCH($P43,FIYAT_ART,0)))</f>
        <v>58.333333333333336</v>
      </c>
      <c r="H43" s="28">
        <f>IF(OR($G43="",$I43=""),"",$G43*$I43)</f>
        <v>154035</v>
      </c>
      <c r="I43" s="29">
        <f>ROUND(SUM($R$3:$R$42)*KURALLAR!$B$36,1)</f>
        <v>2640.6</v>
      </c>
      <c r="J43" s="25" t="s">
        <v>411</v>
      </c>
      <c r="K43" s="25" t="str">
        <f>IF($P43="","",INDEX(FIYAT_MARKA,MATCH($P43,FIYAT_ART,0)))</f>
        <v>ISCILIK</v>
      </c>
      <c r="L43" s="28">
        <f>IF($H43="","",$H43)</f>
        <v>154035</v>
      </c>
      <c r="M43" s="25" t="s">
        <v>183</v>
      </c>
      <c r="N43" s="25" t="s">
        <v>491</v>
      </c>
      <c r="O43" s="25" t="s">
        <v>465</v>
      </c>
      <c r="P43" s="25" t="s">
        <v>414</v>
      </c>
      <c r="Q43" s="25"/>
      <c r="R43" s="25"/>
      <c r="S43" s="25">
        <f>IF($P43="",0,$I43*IFERROR(INDEX(FIYAT_MODUL,MATCH($P43,FIYAT_ART,0)),0))</f>
        <v>0</v>
      </c>
    </row>
    <row r="44" spans="1:19" x14ac:dyDescent="0.25">
      <c r="A44" s="20"/>
      <c r="B44" s="21" t="s">
        <v>492</v>
      </c>
      <c r="C44" s="20"/>
      <c r="D44" s="20"/>
      <c r="E44" s="20"/>
      <c r="F44" s="22"/>
      <c r="G44" s="23"/>
      <c r="H44" s="36">
        <f>SUBTOTAL(9,H2:H43)</f>
        <v>1343544.8705</v>
      </c>
      <c r="I44" s="24"/>
      <c r="J44" s="20"/>
      <c r="K44" s="20"/>
      <c r="L44" s="36">
        <f>SUBTOTAL(9,L2:L43)</f>
        <v>1343544.8705</v>
      </c>
      <c r="M44" s="20"/>
      <c r="N44" s="20"/>
      <c r="O44" s="20"/>
      <c r="P44" s="20"/>
      <c r="Q44" s="20"/>
      <c r="R44" s="20"/>
      <c r="S44" s="20"/>
    </row>
  </sheetData>
  <autoFilter ref="A1:S4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showGridLines="0" zoomScaleNormal="100" workbookViewId="0">
      <pane ySplit="1" topLeftCell="A2" activePane="bottomLeft" state="frozen"/>
      <selection pane="bottomLeft" activeCell="I2" sqref="I2"/>
    </sheetView>
  </sheetViews>
  <sheetFormatPr defaultColWidth="8.7109375" defaultRowHeight="15" x14ac:dyDescent="0.25"/>
  <cols>
    <col min="1" max="1" width="8" customWidth="1"/>
    <col min="2" max="2" width="14" customWidth="1"/>
    <col min="3" max="3" width="8" customWidth="1"/>
    <col min="4" max="4" width="14" customWidth="1"/>
    <col min="5" max="6" width="12" customWidth="1"/>
    <col min="7" max="7" width="14" customWidth="1"/>
    <col min="8" max="8" width="9" customWidth="1"/>
    <col min="9" max="10" width="10" customWidth="1"/>
    <col min="11" max="13" width="9" customWidth="1"/>
    <col min="14" max="14" width="12" customWidth="1"/>
    <col min="15" max="15" width="13" customWidth="1"/>
    <col min="16" max="16" width="12" customWidth="1"/>
    <col min="17" max="17" width="14" customWidth="1"/>
  </cols>
  <sheetData>
    <row r="1" spans="1:17" x14ac:dyDescent="0.25">
      <c r="A1" s="4" t="s">
        <v>279</v>
      </c>
      <c r="B1" s="4" t="s">
        <v>493</v>
      </c>
      <c r="C1" s="4" t="s">
        <v>494</v>
      </c>
      <c r="D1" s="4" t="s">
        <v>495</v>
      </c>
      <c r="E1" s="4" t="s">
        <v>45</v>
      </c>
      <c r="F1" s="4" t="s">
        <v>288</v>
      </c>
      <c r="G1" s="4" t="s">
        <v>16</v>
      </c>
      <c r="H1" s="4" t="s">
        <v>291</v>
      </c>
      <c r="I1" s="4" t="s">
        <v>496</v>
      </c>
      <c r="J1" s="4" t="s">
        <v>497</v>
      </c>
      <c r="K1" s="4" t="s">
        <v>498</v>
      </c>
      <c r="L1" s="4" t="s">
        <v>499</v>
      </c>
      <c r="M1" s="4" t="s">
        <v>500</v>
      </c>
      <c r="N1" s="4" t="s">
        <v>501</v>
      </c>
      <c r="O1" s="4" t="s">
        <v>502</v>
      </c>
      <c r="P1" s="4" t="s">
        <v>503</v>
      </c>
      <c r="Q1" s="4" t="s">
        <v>504</v>
      </c>
    </row>
    <row r="2" spans="1:17" x14ac:dyDescent="0.25">
      <c r="A2">
        <v>1</v>
      </c>
      <c r="B2" t="s">
        <v>202</v>
      </c>
      <c r="C2" s="13">
        <f>BOM!I2</f>
        <v>1</v>
      </c>
      <c r="D2" s="11">
        <f>SUMIF(BOM!$C$3:$C$42,"&lt;&gt;Iscilik",BOM!$H$3:$H$42)</f>
        <v>1189509.8705</v>
      </c>
      <c r="E2" s="11">
        <f>SUMIF(BOM!$C$3:$C$43,"Iscilik",BOM!$H$3:$H$43)</f>
        <v>154035</v>
      </c>
      <c r="F2" s="11">
        <f>D2+E2</f>
        <v>1343544.8705</v>
      </c>
      <c r="G2" s="11">
        <f>F2*C2</f>
        <v>1343544.8705</v>
      </c>
      <c r="H2">
        <f>SUM(BOM!S3:S42)</f>
        <v>145</v>
      </c>
      <c r="I2">
        <f>FLOOR(KURALLAR!$B$104/KURALLAR!$B$101,1)*FLOOR((KURALLAR!$B$105*KURALLAR!$B$103)/KURALLAR!$B$102,1)</f>
        <v>792</v>
      </c>
      <c r="J2" s="14">
        <f>IF(I2=0,"",H2/I2)</f>
        <v>0.18308080808080809</v>
      </c>
      <c r="K2" s="14">
        <f>IF(I2=0,"",1-J2)</f>
        <v>0.81691919191919193</v>
      </c>
      <c r="L2">
        <f>BOM!I25+BOM!I26</f>
        <v>1.6500000000000001</v>
      </c>
      <c r="M2">
        <v>0</v>
      </c>
      <c r="N2">
        <v>0</v>
      </c>
      <c r="O2">
        <f>COUNTIF(BOM!$M$3:$M$42,"FIYAT_YOK")</f>
        <v>5</v>
      </c>
      <c r="P2">
        <f>COUNTIF(BOM!$M$3:$M$42,"MUADIL_ONAY")+COUNTIF(BOM!$M$3:$M$42,"MUADIL")</f>
        <v>2</v>
      </c>
      <c r="Q2">
        <f>COUNTIF(BOM!$M$3:$M$42,"VARSAYIM")</f>
        <v>13</v>
      </c>
    </row>
    <row r="3" spans="1:17" x14ac:dyDescent="0.25">
      <c r="B3" s="2" t="s">
        <v>505</v>
      </c>
      <c r="D3" s="15">
        <f>SUM(D2:D2)</f>
        <v>1189509.8705</v>
      </c>
      <c r="E3" s="15">
        <f>SUM(E2:E2)</f>
        <v>154035</v>
      </c>
      <c r="F3" s="11"/>
      <c r="G3" s="15">
        <f>SUM(G2:G2)</f>
        <v>1343544.8705</v>
      </c>
      <c r="O3" s="2">
        <f>SUM(O2:O2)</f>
        <v>5</v>
      </c>
    </row>
    <row r="5" spans="1:17" x14ac:dyDescent="0.25">
      <c r="A5" s="2" t="s">
        <v>506</v>
      </c>
    </row>
    <row r="6" spans="1:17" ht="16.5" x14ac:dyDescent="0.25">
      <c r="A6" s="1" t="str">
        <f>IF(SUM(O2:O2)&gt;0,"TEKLİFE HAZIR DEĞİL",IF(SUM(P2:P2)+SUM(Q2:Q2)&gt;0,"ŞARTLI","TEKLİFE HAZIR"))</f>
        <v>TEKLİFE HAZIR DEĞİL</v>
      </c>
    </row>
  </sheetData>
  <conditionalFormatting sqref="J2">
    <cfRule type="cellIs" dxfId="2" priority="2" operator="greaterThan">
      <formula>0.8</formula>
    </cfRule>
  </conditionalFormatting>
  <conditionalFormatting sqref="K2">
    <cfRule type="cellIs" dxfId="1" priority="3" operator="lessThan">
      <formula>0.2</formula>
    </cfRule>
  </conditionalFormatting>
  <conditionalFormatting sqref="O2">
    <cfRule type="cellIs" dxfId="0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showGridLines="0" tabSelected="1" zoomScaleNormal="100" workbookViewId="0">
      <selection activeCell="B20" sqref="B20"/>
    </sheetView>
  </sheetViews>
  <sheetFormatPr defaultColWidth="8.7109375" defaultRowHeight="15" x14ac:dyDescent="0.25"/>
  <cols>
    <col min="1" max="1" width="6" customWidth="1"/>
    <col min="2" max="2" width="70" customWidth="1"/>
    <col min="3" max="3" width="9" customWidth="1"/>
    <col min="4" max="4" width="10" customWidth="1"/>
    <col min="5" max="6" width="16" customWidth="1"/>
  </cols>
  <sheetData>
    <row r="1" spans="1:6" x14ac:dyDescent="0.25">
      <c r="A1" s="2" t="s">
        <v>507</v>
      </c>
      <c r="B1" t="s">
        <v>508</v>
      </c>
    </row>
    <row r="2" spans="1:6" x14ac:dyDescent="0.25">
      <c r="A2" s="2" t="s">
        <v>509</v>
      </c>
      <c r="B2" t="s">
        <v>510</v>
      </c>
    </row>
    <row r="3" spans="1:6" x14ac:dyDescent="0.25">
      <c r="A3" s="2" t="s">
        <v>511</v>
      </c>
      <c r="B3" t="str">
        <f>KURALLAR!$B$112&amp;" gün"</f>
        <v>15 gün</v>
      </c>
    </row>
    <row r="4" spans="1:6" x14ac:dyDescent="0.25">
      <c r="A4" s="2" t="s">
        <v>512</v>
      </c>
      <c r="B4" t="s">
        <v>513</v>
      </c>
    </row>
    <row r="5" spans="1:6" x14ac:dyDescent="0.25">
      <c r="A5" s="2" t="s">
        <v>514</v>
      </c>
      <c r="B5" t="s">
        <v>515</v>
      </c>
    </row>
    <row r="6" spans="1:6" x14ac:dyDescent="0.25">
      <c r="A6" s="2" t="s">
        <v>516</v>
      </c>
      <c r="B6" t="s">
        <v>517</v>
      </c>
    </row>
    <row r="7" spans="1:6" x14ac:dyDescent="0.25">
      <c r="A7" s="2" t="s">
        <v>518</v>
      </c>
      <c r="B7" t="s">
        <v>4</v>
      </c>
    </row>
    <row r="9" spans="1:6" x14ac:dyDescent="0.25">
      <c r="A9" s="16"/>
    </row>
    <row r="11" spans="1:6" x14ac:dyDescent="0.25">
      <c r="A11" s="4" t="s">
        <v>519</v>
      </c>
      <c r="B11" s="4" t="s">
        <v>520</v>
      </c>
      <c r="C11" s="4" t="s">
        <v>521</v>
      </c>
      <c r="D11" s="4" t="s">
        <v>424</v>
      </c>
      <c r="E11" s="4" t="s">
        <v>522</v>
      </c>
      <c r="F11" s="4" t="s">
        <v>523</v>
      </c>
    </row>
    <row r="12" spans="1:6" ht="60" customHeight="1" x14ac:dyDescent="0.25">
      <c r="A12">
        <v>1</v>
      </c>
      <c r="B12" s="17" t="s">
        <v>524</v>
      </c>
      <c r="C12" s="13">
        <f>OZET!C2</f>
        <v>1</v>
      </c>
      <c r="D12" t="s">
        <v>431</v>
      </c>
      <c r="E12" s="12">
        <f>IF(OZET!F2="","",OZET!F2*(1+KURALLAR!$B$109))</f>
        <v>1679431.088125</v>
      </c>
      <c r="F12" s="12">
        <f>$E12*$C12</f>
        <v>1679431.088125</v>
      </c>
    </row>
    <row r="14" spans="1:6" x14ac:dyDescent="0.25">
      <c r="E14" s="18" t="s">
        <v>525</v>
      </c>
      <c r="F14" s="18">
        <f>SUM(F12:F12)</f>
        <v>1679431.088125</v>
      </c>
    </row>
    <row r="15" spans="1:6" x14ac:dyDescent="0.25">
      <c r="E15" s="18" t="s">
        <v>526</v>
      </c>
      <c r="F15" s="18">
        <f>F14*KURALLAR!$B$110</f>
        <v>0</v>
      </c>
    </row>
    <row r="16" spans="1:6" x14ac:dyDescent="0.25">
      <c r="E16" s="18" t="s">
        <v>527</v>
      </c>
      <c r="F16" s="18">
        <f>F14-F15</f>
        <v>1679431.088125</v>
      </c>
    </row>
    <row r="17" spans="1:6" x14ac:dyDescent="0.25">
      <c r="E17" s="18" t="s">
        <v>528</v>
      </c>
      <c r="F17" s="18">
        <f>F16*KURALLAR!$B$111</f>
        <v>268708.97409999999</v>
      </c>
    </row>
    <row r="18" spans="1:6" x14ac:dyDescent="0.25">
      <c r="E18" s="18" t="s">
        <v>529</v>
      </c>
      <c r="F18" s="18">
        <f>F16+F17</f>
        <v>1948140.062225</v>
      </c>
    </row>
    <row r="20" spans="1:6" x14ac:dyDescent="0.25">
      <c r="A20" t="s">
        <v>530</v>
      </c>
      <c r="B20" t="str">
        <f>KURALLAR!$B$113&amp;" iş günü"</f>
        <v>25 iş günü</v>
      </c>
    </row>
    <row r="21" spans="1:6" x14ac:dyDescent="0.25">
      <c r="A21" t="s">
        <v>531</v>
      </c>
      <c r="B21" t="str">
        <f>KURALLAR!$B$114</f>
        <v>%50 peşin, %50 teslimde</v>
      </c>
    </row>
    <row r="22" spans="1:6" x14ac:dyDescent="0.25">
      <c r="A22" t="s">
        <v>532</v>
      </c>
      <c r="B22" t="str">
        <f>KURALLAR!$B$115</f>
        <v>12 ay üretim hatalarına karşı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47</vt:i4>
      </vt:variant>
    </vt:vector>
  </HeadingPairs>
  <TitlesOfParts>
    <vt:vector size="52" baseType="lpstr">
      <vt:lpstr>KURALLAR</vt:lpstr>
      <vt:lpstr>FIYAT</vt:lpstr>
      <vt:lpstr>BOM</vt:lpstr>
      <vt:lpstr>OZET</vt:lpstr>
      <vt:lpstr>TEKLIF</vt:lpstr>
      <vt:lpstr>ALUM_KG_KZT</vt:lpstr>
      <vt:lpstr>BAKIR_KG_KZT</vt:lpstr>
      <vt:lpstr>BARA_BOY_M</vt:lpstr>
      <vt:lpstr>BARA_DERATING</vt:lpstr>
      <vt:lpstr>BARA_FIRE</vt:lpstr>
      <vt:lpstr>BARA_KOPRU_M</vt:lpstr>
      <vt:lpstr>BARA_N_ORANI</vt:lpstr>
      <vt:lpstr>BARA_PE_ORANI</vt:lpstr>
      <vt:lpstr>DINRAY_FIRE</vt:lpstr>
      <vt:lpstr>DURUM_LIST</vt:lpstr>
      <vt:lpstr>FIYAT_ACK</vt:lpstr>
      <vt:lpstr>FIYAT_ART</vt:lpstr>
      <vt:lpstr>FIYAT_KOD</vt:lpstr>
      <vt:lpstr>FIYAT_LISTE</vt:lpstr>
      <vt:lpstr>FIYAT_MARKA</vt:lpstr>
      <vt:lpstr>FIYAT_MODUL</vt:lpstr>
      <vt:lpstr>FIYAT_NET</vt:lpstr>
      <vt:lpstr>GARANTI</vt:lpstr>
      <vt:lpstr>ISCILIK_CARPANI</vt:lpstr>
      <vt:lpstr>ISCILIK_DK_UCRETI</vt:lpstr>
      <vt:lpstr>ISCILIK_SAAT_UCRETI</vt:lpstr>
      <vt:lpstr>ISKONTO</vt:lpstr>
      <vt:lpstr>KABLO_FIRE</vt:lpstr>
      <vt:lpstr>KABLO_M_MCCB</vt:lpstr>
      <vt:lpstr>KABLO_M_MODULER</vt:lpstr>
      <vt:lpstr>KANAL_FIRE</vt:lpstr>
      <vt:lpstr>KAR_ORANI</vt:lpstr>
      <vt:lpstr>KLEMENS_YEDEK</vt:lpstr>
      <vt:lpstr>KORPUS_GENISLIK_TOPLAM_MM</vt:lpstr>
      <vt:lpstr>KORPUS_KULLANILABILIR_ORAN</vt:lpstr>
      <vt:lpstr>KORPUS_YUKSEKLIK_MM</vt:lpstr>
      <vt:lpstr>KUR_AD</vt:lpstr>
      <vt:lpstr>KUR_DEG</vt:lpstr>
      <vt:lpstr>MARKA_AD</vt:lpstr>
      <vt:lpstr>MARKA_KAT</vt:lpstr>
      <vt:lpstr>MARKA_PARA</vt:lpstr>
      <vt:lpstr>MARKA_TIP</vt:lpstr>
      <vt:lpstr>MODUL_GENISLIK_MM</vt:lpstr>
      <vt:lpstr>NDS_ORANI</vt:lpstr>
      <vt:lpstr>NORM_AD</vt:lpstr>
      <vt:lpstr>NORM_DK</vt:lpstr>
      <vt:lpstr>ODEME_SARTI</vt:lpstr>
      <vt:lpstr>SIRA_YUKSEKLIK_MM</vt:lpstr>
      <vt:lpstr>TARAK_MOD_ADET</vt:lpstr>
      <vt:lpstr>TEKLIF_GECERLILIK</vt:lpstr>
      <vt:lpstr>TEST_ETIKET_CARPANI</vt:lpstr>
      <vt:lpstr>URETIM_SURESI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2026-09-11T11:34:10Z</dcterms:created>
  <dcterms:modified xsi:type="dcterms:W3CDTF">2026-09-14T09:49:25Z</dcterms:modified>
  <dc:language>en-US</dc:language>
</cp:coreProperties>
</file>