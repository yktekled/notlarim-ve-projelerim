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2 mgs mahir bey cca\"/>
    </mc:Choice>
  </mc:AlternateContent>
  <xr:revisionPtr revIDLastSave="0" documentId="13_ncr:1_{FE89D04E-946B-4D21-8FC5-00A534A0ABF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5" r:id="rId1"/>
  </sheets>
  <definedNames>
    <definedName name="ALUM_KG_KZT">#REF!</definedName>
    <definedName name="BAKIR_KG_KZT">#REF!</definedName>
    <definedName name="BARA_BOY_M">#REF!</definedName>
    <definedName name="BARA_DERATING">#REF!</definedName>
    <definedName name="BARA_FIRE">#REF!</definedName>
    <definedName name="BARA_KOPRU_M">#REF!</definedName>
    <definedName name="BARA_N_ORANI">#REF!</definedName>
    <definedName name="BARA_PE_ORANI">#REF!</definedName>
    <definedName name="DINRAY_FIRE">#REF!</definedName>
    <definedName name="DURUM_LIST">#REF!</definedName>
    <definedName name="FIYAT_ACK">#REF!</definedName>
    <definedName name="FIYAT_ART">#REF!</definedName>
    <definedName name="FIYAT_KOD">#REF!</definedName>
    <definedName name="FIYAT_LISTE">#REF!</definedName>
    <definedName name="FIYAT_MARKA">#REF!</definedName>
    <definedName name="FIYAT_MODUL">#REF!</definedName>
    <definedName name="FIYAT_NET">#REF!</definedName>
    <definedName name="GARANTI">#REF!</definedName>
    <definedName name="ISCILIK_CARPANI">#REF!</definedName>
    <definedName name="ISCILIK_DK_UCRETI">#REF!</definedName>
    <definedName name="ISCILIK_SAAT_UCRETI">#REF!</definedName>
    <definedName name="ISKONTO">#REF!</definedName>
    <definedName name="KABLO_FIRE">#REF!</definedName>
    <definedName name="KABLO_M_MCCB">#REF!</definedName>
    <definedName name="KABLO_M_MODULER">#REF!</definedName>
    <definedName name="KANAL_FIRE">#REF!</definedName>
    <definedName name="KAR_ORANI">#REF!</definedName>
    <definedName name="KLEMENS_YEDEK">#REF!</definedName>
    <definedName name="KORPUS_GENISLIK_TOPLAM_MM">#REF!</definedName>
    <definedName name="KORPUS_KULLANILABILIR_ORAN">#REF!</definedName>
    <definedName name="KORPUS_YUKSEKLIK_MM">#REF!</definedName>
    <definedName name="KUR_AD">#REF!</definedName>
    <definedName name="KUR_DEG">#REF!</definedName>
    <definedName name="MARKA_AD">#REF!</definedName>
    <definedName name="MARKA_KAT">#REF!</definedName>
    <definedName name="MARKA_PARA">#REF!</definedName>
    <definedName name="MARKA_TIP">#REF!</definedName>
    <definedName name="MODUL_GENISLIK_MM">#REF!</definedName>
    <definedName name="NDS_ORANI">#REF!</definedName>
    <definedName name="NORM_AD">#REF!</definedName>
    <definedName name="NORM_DK">#REF!</definedName>
    <definedName name="ODEME_SARTI">#REF!</definedName>
    <definedName name="SIRA_YUKSEKLIK_MM">#REF!</definedName>
    <definedName name="TARAK_MOD_ADET">#REF!</definedName>
    <definedName name="TEKLIF_GECERLILIK">#REF!</definedName>
    <definedName name="TEST_ETIKET_CARPANI">#REF!</definedName>
    <definedName name="URETIM_SURES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5" l="1"/>
  <c r="F12" i="5" l="1"/>
  <c r="F14" i="5" s="1"/>
</calcChain>
</file>

<file path=xl/sharedStrings.xml><?xml version="1.0" encoding="utf-8"?>
<sst xmlns="http://schemas.openxmlformats.org/spreadsheetml/2006/main" count="24" uniqueCount="24">
  <si>
    <t>KZT</t>
  </si>
  <si>
    <t>Ед.изм</t>
  </si>
  <si>
    <t>компл.</t>
  </si>
  <si>
    <t>TEKLİF NO</t>
  </si>
  <si>
    <t>260911-MGS-CCA-001</t>
  </si>
  <si>
    <t>TARİH</t>
  </si>
  <si>
    <t>11.09.2026</t>
  </si>
  <si>
    <t>GEÇERLİLİK</t>
  </si>
  <si>
    <t>MÜŞTERİ</t>
  </si>
  <si>
    <t>MGS Mahir Bey</t>
  </si>
  <si>
    <t>PROJE</t>
  </si>
  <si>
    <t>CCA — Almaty Costa Coffee (Domestic, Ground Floor)</t>
  </si>
  <si>
    <t>ADRES</t>
  </si>
  <si>
    <t>Almaty, Kazakistan</t>
  </si>
  <si>
    <t>PARA BİRİMİ</t>
  </si>
  <si>
    <t>№</t>
  </si>
  <si>
    <t>Наименование</t>
  </si>
  <si>
    <t>Кол-во</t>
  </si>
  <si>
    <t>Цена за ед.</t>
  </si>
  <si>
    <t>Сумма</t>
  </si>
  <si>
    <t>Итого</t>
  </si>
  <si>
    <t>НДС (NDS_ORANI)</t>
  </si>
  <si>
    <t>Всего с НДС</t>
  </si>
  <si>
    <t>COSTA-LSP — ЩОС-ИБП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</si>
</sst>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"/>
  </numFmts>
  <fonts count="3" x14ac:knownFonts="1">
    <font>
      <sz val="11"/>
      <color theme="1"/>
      <name val="Calibri"/>
      <family val="2"/>
      <charset val="1"/>
    </font>
    <font>
      <b/>
      <sz val="11"/>
      <name val="Cambria"/>
      <family val="1"/>
      <charset val="204"/>
    </font>
    <font>
      <b/>
      <sz val="11"/>
      <color rgb="FFCC0000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C6E0B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4" fontId="1" fillId="0" borderId="0" xfId="0" applyNumberFormat="1" applyFont="1"/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6B1F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showGridLines="0" tabSelected="1" zoomScaleNormal="100" workbookViewId="0">
      <selection activeCell="F17" sqref="F17"/>
    </sheetView>
  </sheetViews>
  <sheetFormatPr defaultColWidth="8.7109375" defaultRowHeight="15" x14ac:dyDescent="0.25"/>
  <cols>
    <col min="1" max="1" width="6" customWidth="1"/>
    <col min="2" max="2" width="70" customWidth="1"/>
    <col min="3" max="3" width="9" customWidth="1"/>
    <col min="4" max="4" width="10" customWidth="1"/>
    <col min="5" max="6" width="16" customWidth="1"/>
  </cols>
  <sheetData>
    <row r="1" spans="1:6" x14ac:dyDescent="0.25">
      <c r="A1" s="1" t="s">
        <v>3</v>
      </c>
      <c r="B1" t="s">
        <v>4</v>
      </c>
    </row>
    <row r="2" spans="1:6" x14ac:dyDescent="0.25">
      <c r="A2" s="1" t="s">
        <v>5</v>
      </c>
      <c r="B2" t="s">
        <v>6</v>
      </c>
    </row>
    <row r="3" spans="1:6" x14ac:dyDescent="0.25">
      <c r="A3" s="1" t="s">
        <v>7</v>
      </c>
    </row>
    <row r="4" spans="1:6" x14ac:dyDescent="0.25">
      <c r="A4" s="1" t="s">
        <v>8</v>
      </c>
      <c r="B4" t="s">
        <v>9</v>
      </c>
    </row>
    <row r="5" spans="1:6" x14ac:dyDescent="0.25">
      <c r="A5" s="1" t="s">
        <v>10</v>
      </c>
      <c r="B5" t="s">
        <v>11</v>
      </c>
    </row>
    <row r="6" spans="1:6" x14ac:dyDescent="0.25">
      <c r="A6" s="1" t="s">
        <v>12</v>
      </c>
      <c r="B6" t="s">
        <v>13</v>
      </c>
    </row>
    <row r="7" spans="1:6" x14ac:dyDescent="0.25">
      <c r="A7" s="1" t="s">
        <v>14</v>
      </c>
      <c r="B7" t="s">
        <v>0</v>
      </c>
    </row>
    <row r="9" spans="1:6" x14ac:dyDescent="0.25">
      <c r="A9" s="3"/>
    </row>
    <row r="11" spans="1:6" x14ac:dyDescent="0.25">
      <c r="A11" s="2" t="s">
        <v>15</v>
      </c>
      <c r="B11" s="2" t="s">
        <v>16</v>
      </c>
      <c r="C11" s="2" t="s">
        <v>17</v>
      </c>
      <c r="D11" s="2" t="s">
        <v>1</v>
      </c>
      <c r="E11" s="2" t="s">
        <v>18</v>
      </c>
      <c r="F11" s="2" t="s">
        <v>19</v>
      </c>
    </row>
    <row r="12" spans="1:6" ht="60" customHeight="1" x14ac:dyDescent="0.25">
      <c r="A12" s="5">
        <v>1</v>
      </c>
      <c r="B12" s="6" t="s">
        <v>23</v>
      </c>
      <c r="C12" s="7">
        <v>1</v>
      </c>
      <c r="D12" s="8" t="s">
        <v>2</v>
      </c>
      <c r="E12" s="9">
        <v>1679431.088125</v>
      </c>
      <c r="F12" s="9">
        <f>$E12*$C12</f>
        <v>1679431.088125</v>
      </c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E14" s="4" t="s">
        <v>20</v>
      </c>
      <c r="F14" s="4">
        <f>SUM(F12:F12)</f>
        <v>1679431.088125</v>
      </c>
    </row>
    <row r="15" spans="1:6" x14ac:dyDescent="0.25">
      <c r="E15" s="4" t="s">
        <v>21</v>
      </c>
      <c r="F15" s="4">
        <v>268708.97409999999</v>
      </c>
    </row>
    <row r="16" spans="1:6" x14ac:dyDescent="0.25">
      <c r="E16" s="4" t="s">
        <v>22</v>
      </c>
      <c r="F16" s="4">
        <f>F14+F15</f>
        <v>1948140.062225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2026-09-11T11:34:10Z</dcterms:created>
  <dcterms:modified xsi:type="dcterms:W3CDTF">2026-09-14T11:19:37Z</dcterms:modified>
  <dc:language>en-US</dc:language>
</cp:coreProperties>
</file>