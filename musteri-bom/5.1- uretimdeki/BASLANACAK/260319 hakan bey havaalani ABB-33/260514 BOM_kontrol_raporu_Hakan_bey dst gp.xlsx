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4-fiyat verilen\almata\260319 hakan bey havaalani ABB-33\"/>
    </mc:Choice>
  </mc:AlternateContent>
  <xr:revisionPtr revIDLastSave="0" documentId="13_ncr:1_{4D2F04C5-3F8E-4ACF-9F82-F04DDF8FCEB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Kontrol Ozeti" sheetId="1" r:id="rId1"/>
    <sheet name="Hata_Listesi" sheetId="2" r:id="rId2"/>
    <sheet name="Pano_Olcu_Kontrol" sheetId="3" r:id="rId3"/>
    <sheet name="Cihaz_Kontro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<sst xmlns="http://schemas.openxmlformats.org/spreadsheetml/2006/main" count="204" uniqueCount="125">
  <si>
    <t>Kontrol Raporu</t>
  </si>
  <si>
    <t>260327 Hakan bey havaalani.xlsx / ГРЩ &amp;Other panels_R01-Model.pdf / Hakan bey pano çizimleri PDF</t>
  </si>
  <si>
    <t>Tarih</t>
  </si>
  <si>
    <t>2026-05-14 04:45</t>
  </si>
  <si>
    <t>Durum</t>
  </si>
  <si>
    <t>BOM teklif için bu haliyle kullanılmamalı. Önce aşağıdaki kritik farklar düzeltilmeli.</t>
  </si>
  <si>
    <t>Kritik hata sayısı</t>
  </si>
  <si>
    <t>Yüksek önem hata sayısı</t>
  </si>
  <si>
    <t>Not</t>
  </si>
  <si>
    <t>Kontrol tekhat şeması ve pano tasarım PDF'leri baz alınarak yapıldı. Fiyat doğruluğu ayrıca güncel fiyat listeleriyle teyit edilmelidir.</t>
  </si>
  <si>
    <t>No</t>
  </si>
  <si>
    <t>Seviye</t>
  </si>
  <si>
    <t>Pano</t>
  </si>
  <si>
    <t>Kalem</t>
  </si>
  <si>
    <t>Excel BOM'daki durum</t>
  </si>
  <si>
    <t>PDF / Tekhat'taki durum</t>
  </si>
  <si>
    <t>Aksiyon</t>
  </si>
  <si>
    <t>KRITIK</t>
  </si>
  <si>
    <t>Tüm liste</t>
  </si>
  <si>
    <t>Pano sayısı / fiyat özeti</t>
  </si>
  <si>
    <t>Ana sayfada 17 bölüm var: ГРЩ + grsh datitim1 + grsh datitim2 + diğer panolar. 2.fiyat sayfası da grsh datitim1/2'yi ayrı комплект olarak yazıyor.</t>
  </si>
  <si>
    <t>Pano çizimlerinde ayrı 'grsh datitim1' ve 'grsh datitim2' panel adı yok; bunlar ГРЩ iç kabinleri ise ayrı комплект olmamalı.</t>
  </si>
  <si>
    <t>grsh datitim1/2 ayrı pano ise proje adı/dizayn sayfası eklenmeli; değilse ГРЩ içine birleştirilmeli ve 2.fiyat'tan çıkarılmalı.</t>
  </si>
  <si>
    <t>ГРЩ</t>
  </si>
  <si>
    <t>Korpus toplam genişlik</t>
  </si>
  <si>
    <t>BOM: ГРЩ 2000x(800+800+800+800)x700 + grsh datitim1 800 + grsh datitim2 800 = toplam 4800 mm gibi görünüyor.</t>
  </si>
  <si>
    <t>Pano çizimi: 2000x600x600x800x800x600x600+700+10 cm baza IP54; toplam genişlik 4000 mm.</t>
  </si>
  <si>
    <t>ГРЩ korpus satırları yeniden yazılmalı: 600+600+800+800+600+600 düzenine göre.</t>
  </si>
  <si>
    <t>Ana giriş şalterleri QF1.1/QF1.2</t>
  </si>
  <si>
    <t>Excel: XT7S M 1000 Ekip Dip LS/I In1000A 3p, adet 2.</t>
  </si>
  <si>
    <t>Tekhat: QF1.1 ve QF1.2 üzerinde 1250A / 1000A yazıyor.</t>
  </si>
  <si>
    <t>1000A frame değil 1250A frame + 1000A ayar istenmiş olabilir. ABB kodu teyit edilip değiştirilmeli.</t>
  </si>
  <si>
    <t>ATS-2 / jeneratör şalterleri</t>
  </si>
  <si>
    <t>Excel: T6N 630 TMA In=630A, adet 3.</t>
  </si>
  <si>
    <t>Tekhat: QF2.20, QF3.1, QF3.2 için 800A / 630A yazıyor.</t>
  </si>
  <si>
    <t>630A frame yerine 800A frame + 630A ayar gerekebilir. Bu üç şalter tekrar seçilmeli.</t>
  </si>
  <si>
    <t>ЩOP panoları</t>
  </si>
  <si>
    <t>Korpus ölçüsü</t>
  </si>
  <si>
    <t>BOM: 1000x650x300 IP54 tip korpus kullanılmış.</t>
  </si>
  <si>
    <t>Çizim: her ЩOP paneli 1200x600x250 IP54.</t>
  </si>
  <si>
    <t>6 adet ЩOP panelinde korpus ölçüsünü 1200x600x250 yap.</t>
  </si>
  <si>
    <t>QF1.1 kontrol otomatiği</t>
  </si>
  <si>
    <t>Kutup/eğri</t>
  </si>
  <si>
    <t>BOM birçok panoda SH201-C6, yani 1P C6 kullanıyor.</t>
  </si>
  <si>
    <t>Tekhatlarda QF1.1 genelde 3P-B6A olarak çizilmiş.</t>
  </si>
  <si>
    <t>1P C6 yerine 3P B6 seçimi kontrol edilmeli; proje tekhatı baz alınacaksa tüm ilgili panolarda düzeltilmeli.</t>
  </si>
  <si>
    <t>YUKSEK</t>
  </si>
  <si>
    <t>Н-ЩO-1</t>
  </si>
  <si>
    <t>BOM: 1000x650x300 IP54.</t>
  </si>
  <si>
    <t>Çizim: 1000x500x250 IP54.</t>
  </si>
  <si>
    <t>Korpus ölçüsünü tasarıma göre değiştir.</t>
  </si>
  <si>
    <t>ЩC-1,5</t>
  </si>
  <si>
    <t>Çizim: 1200x600x250 IP54.</t>
  </si>
  <si>
    <t>ЩC-1,1 / 1,2 / 1,3 / 3,1 / 3,2</t>
  </si>
  <si>
    <t>BOM: 800x650x250 IP54.</t>
  </si>
  <si>
    <t>5 panelde korpus ölçüsünü tasarıma göre değiştir.</t>
  </si>
  <si>
    <t>ЩC-1,4</t>
  </si>
  <si>
    <t>ЩOP-3.2</t>
  </si>
  <si>
    <t>QF işareti</t>
  </si>
  <si>
    <t>Tekhatta QF0.1 3P-B6A görünüyor; diğer ЩOP panolarında QF1.1 yazıyor.</t>
  </si>
  <si>
    <t>Bu muhtemelen çizim notasyonu/revizyon farkı.</t>
  </si>
  <si>
    <t>BOM'a geçmeden önce QF numarası standardize edilmeli.</t>
  </si>
  <si>
    <t>ORTA</t>
  </si>
  <si>
    <t>Tüm panolar</t>
  </si>
  <si>
    <t>Sinyal lamba satırı</t>
  </si>
  <si>
    <t>BOM'da CL2-523R (r,g,y) olarak tek kodla adet yazılmış.</t>
  </si>
  <si>
    <t>Kırmızı/yeşil/sarı lambaların ayrı kodları olabilir.</t>
  </si>
  <si>
    <t>Stok ve satınalma için renkleri ayrı satır yapman daha güvenli.</t>
  </si>
  <si>
    <t>Klemens adetleri</t>
  </si>
  <si>
    <t>BOM standart 40/10/2 klemens kullanıyor.</t>
  </si>
  <si>
    <t>Tekhat kablo/çıkış sayısına göre gerçek klemens hesabı yapılmamış görünüyor.</t>
  </si>
  <si>
    <t>Klemensleri grup/sinyal/güç çıkış adedine göre yeniden say.</t>
  </si>
  <si>
    <t>Excel BOM korpus</t>
  </si>
  <si>
    <t>Tasarım PDF korpus</t>
  </si>
  <si>
    <t>2000x(800+800+800+800)x700 + ayrıca 2x 2000x800x700</t>
  </si>
  <si>
    <t>2000x600x600x800x800x600x600 + 700 derinlik + 10 cm baza IP54</t>
  </si>
  <si>
    <t>HATALI / NETLESTIR</t>
  </si>
  <si>
    <t>ЩOP-1.1</t>
  </si>
  <si>
    <t>1000x650x300 IP54</t>
  </si>
  <si>
    <t>1200x600x250 IP54</t>
  </si>
  <si>
    <t>HATALI</t>
  </si>
  <si>
    <t>ЩOP-1.2</t>
  </si>
  <si>
    <t>ЩOP-2.1</t>
  </si>
  <si>
    <t>ЩOP-2.2</t>
  </si>
  <si>
    <t>ЩOP-3.1</t>
  </si>
  <si>
    <t>1000x500x250 IP54</t>
  </si>
  <si>
    <t>ЩC-1,1</t>
  </si>
  <si>
    <t>800x650x250 IP54</t>
  </si>
  <si>
    <t>ЩC-1,2</t>
  </si>
  <si>
    <t>ЩC-1,3</t>
  </si>
  <si>
    <t>ЩC-3,1</t>
  </si>
  <si>
    <t>ЩC-3,2</t>
  </si>
  <si>
    <t>Pano / grup</t>
  </si>
  <si>
    <t>Cihaz</t>
  </si>
  <si>
    <t>Excel BOM</t>
  </si>
  <si>
    <t>Tekhat / PDF</t>
  </si>
  <si>
    <t>Sonuç</t>
  </si>
  <si>
    <t>QF1.1 / QF1.2 ana giriş</t>
  </si>
  <si>
    <t>XT7S M 1000 In1000A, 2 adet</t>
  </si>
  <si>
    <t>1250A / 1000A, 2 adet</t>
  </si>
  <si>
    <t>Frame rating kontrol edilmeli</t>
  </si>
  <si>
    <t>QF2.20 / QF3.1 / QF3.2 ATS-2</t>
  </si>
  <si>
    <t>T6N 630 In630A, 3 adet</t>
  </si>
  <si>
    <t>800A / 630A, 3 adet</t>
  </si>
  <si>
    <t>QF0 ana şalter</t>
  </si>
  <si>
    <t>XT1N 160 In100A, 1 adet</t>
  </si>
  <si>
    <t>3P-C100A</t>
  </si>
  <si>
    <t>Mantık uygun, marka/model eşleşmesi kabul edilebilir</t>
  </si>
  <si>
    <t>QF1.1 kontrol</t>
  </si>
  <si>
    <t>SH201-C6, 1 adet</t>
  </si>
  <si>
    <t>3P-B6A</t>
  </si>
  <si>
    <t>HATALI: 1P C6 yerine 3P B6 kontrol edilecek</t>
  </si>
  <si>
    <t>ЩC soğutma panoları</t>
  </si>
  <si>
    <t>ЩC-1,1/1,2/1,3/3,1/3,2</t>
  </si>
  <si>
    <t>Çıkış otomatikleri</t>
  </si>
  <si>
    <t>3P C32 x6, 1P C32 x5, 1P C25 x1</t>
  </si>
  <si>
    <t>Tekhatta aynı grup görünüyor</t>
  </si>
  <si>
    <t>Cihaz sayısı genel olarak uyumlu</t>
  </si>
  <si>
    <t>3P C50 x3, 3P C40 x1, 3P C32 x3, 3P C25 x2, 1P C32 x1, 1P C25 x2, 1P C16 x1</t>
  </si>
  <si>
    <t>Tekhatla genel olarak uyumlu</t>
  </si>
  <si>
    <t>Korpus ve QF1.1 hariç sayım uyumlu</t>
  </si>
  <si>
    <t>Kontaktör / kumanda</t>
  </si>
  <si>
    <t>ESB63-40N x3, selector x3</t>
  </si>
  <si>
    <t>Tekhatta 3x63A ve 3 adet P/K grubu görünüyor</t>
  </si>
  <si>
    <t>Genel mantık uyumlu, kontaktör tipi 63A gereksinimine göre teyit edilmeli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</si>
</sst>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25"/>
  <cols>
    <col min="1" max="1" width="22" customWidth="1"/>
    <col min="2" max="2" width="90" customWidth="1"/>
  </cols>
  <sheetData>
    <row r="1" spans="1:2" ht="15" customHeight="1">
      <c r="A1" s="2" t="s">
        <v>0</v>
      </c>
      <c r="B1" s="2" t="s">
        <v>1</v>
      </c>
    </row>
    <row r="2" spans="1:2" ht="15" customHeight="1">
      <c r="A2" s="1" t="s">
        <v>2</v>
      </c>
      <c r="B2" s="1" t="s">
        <v>3</v>
      </c>
    </row>
    <row r="3" spans="1:2" ht="15" customHeight="1">
      <c r="A3" s="1" t="s">
        <v>4</v>
      </c>
      <c r="B3" s="1" t="s">
        <v>5</v>
      </c>
    </row>
    <row r="4" spans="1:2" ht="15" customHeight="1">
      <c r="A4" s="1" t="s">
        <v>6</v>
      </c>
      <c r="B4" s="1">
        <v>6</v>
      </c>
    </row>
    <row r="5" spans="1:2" ht="15" customHeight="1">
      <c r="A5" s="1" t="s">
        <v>7</v>
      </c>
      <c r="B5" s="1">
        <v>7</v>
      </c>
    </row>
    <row r="6" spans="1:2" ht="15" customHeight="1">
      <c r="A6" s="1" t="s">
        <v>8</v>
      </c>
      <c r="B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E28" sqref="E28"/>
    </sheetView>
  </sheetViews>
  <sheetFormatPr defaultRowHeight="14.25"/>
  <cols>
    <col min="1" max="1" width="5" customWidth="1"/>
    <col min="2" max="2" width="12" customWidth="1"/>
    <col min="3" max="3" width="18" customWidth="1"/>
    <col min="4" max="4" width="22" customWidth="1"/>
    <col min="5" max="5" width="58.625" customWidth="1"/>
    <col min="6" max="7" width="45" customWidth="1"/>
  </cols>
  <sheetData>
    <row r="1" spans="1:7" ht="15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15" customHeight="1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</row>
    <row r="3" spans="1:7" ht="15" customHeight="1">
      <c r="A3" s="1">
        <v>2</v>
      </c>
      <c r="B3" s="1" t="s">
        <v>17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</row>
    <row r="4" spans="1:7" ht="15" customHeight="1">
      <c r="A4" s="1">
        <v>3</v>
      </c>
      <c r="B4" s="1" t="s">
        <v>17</v>
      </c>
      <c r="C4" s="1" t="s">
        <v>23</v>
      </c>
      <c r="D4" s="1" t="s">
        <v>28</v>
      </c>
      <c r="E4" s="1" t="s">
        <v>29</v>
      </c>
      <c r="F4" s="1" t="s">
        <v>30</v>
      </c>
      <c r="G4" s="1" t="s">
        <v>31</v>
      </c>
    </row>
    <row r="5" spans="1:7" ht="15" customHeight="1">
      <c r="A5" s="1">
        <v>4</v>
      </c>
      <c r="B5" s="1" t="s">
        <v>17</v>
      </c>
      <c r="C5" s="1" t="s">
        <v>23</v>
      </c>
      <c r="D5" s="1" t="s">
        <v>32</v>
      </c>
      <c r="E5" s="1" t="s">
        <v>33</v>
      </c>
      <c r="F5" s="1" t="s">
        <v>34</v>
      </c>
      <c r="G5" s="1" t="s">
        <v>35</v>
      </c>
    </row>
    <row r="6" spans="1:7" ht="15" customHeight="1">
      <c r="A6" s="1">
        <v>5</v>
      </c>
      <c r="B6" s="1" t="s">
        <v>17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r="7" spans="1:7" ht="15" customHeight="1">
      <c r="A7" s="1">
        <v>6</v>
      </c>
      <c r="B7" s="1" t="s">
        <v>17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</row>
    <row r="8" spans="1:7" ht="15" customHeight="1">
      <c r="A8" s="1">
        <v>7</v>
      </c>
      <c r="B8" s="1" t="s">
        <v>46</v>
      </c>
      <c r="C8" s="1" t="s">
        <v>47</v>
      </c>
      <c r="D8" s="1" t="s">
        <v>37</v>
      </c>
      <c r="E8" s="1" t="s">
        <v>48</v>
      </c>
      <c r="F8" s="1" t="s">
        <v>49</v>
      </c>
      <c r="G8" s="1" t="s">
        <v>50</v>
      </c>
    </row>
    <row r="9" spans="1:7" ht="15" customHeight="1">
      <c r="A9" s="1">
        <v>8</v>
      </c>
      <c r="B9" s="1" t="s">
        <v>46</v>
      </c>
      <c r="C9" s="1" t="s">
        <v>51</v>
      </c>
      <c r="D9" s="1" t="s">
        <v>37</v>
      </c>
      <c r="E9" s="1" t="s">
        <v>48</v>
      </c>
      <c r="F9" s="1" t="s">
        <v>52</v>
      </c>
      <c r="G9" s="1" t="s">
        <v>50</v>
      </c>
    </row>
    <row r="10" spans="1:7" ht="15" customHeight="1">
      <c r="A10" s="1">
        <v>9</v>
      </c>
      <c r="B10" s="1" t="s">
        <v>46</v>
      </c>
      <c r="C10" s="1" t="s">
        <v>53</v>
      </c>
      <c r="D10" s="1" t="s">
        <v>37</v>
      </c>
      <c r="E10" s="1" t="s">
        <v>54</v>
      </c>
      <c r="F10" s="1" t="s">
        <v>49</v>
      </c>
      <c r="G10" s="1" t="s">
        <v>55</v>
      </c>
    </row>
    <row r="11" spans="1:7" ht="15" customHeight="1">
      <c r="A11" s="1">
        <v>10</v>
      </c>
      <c r="B11" s="1" t="s">
        <v>46</v>
      </c>
      <c r="C11" s="1" t="s">
        <v>56</v>
      </c>
      <c r="D11" s="1" t="s">
        <v>37</v>
      </c>
      <c r="E11" s="1" t="s">
        <v>48</v>
      </c>
      <c r="F11" s="1" t="s">
        <v>49</v>
      </c>
      <c r="G11" s="1" t="s">
        <v>50</v>
      </c>
    </row>
    <row r="12" spans="1:7" ht="15" customHeight="1">
      <c r="A12" s="1">
        <v>11</v>
      </c>
      <c r="B12" s="1" t="s">
        <v>46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</row>
    <row r="13" spans="1:7" ht="15" customHeight="1">
      <c r="A13" s="1">
        <v>12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</row>
    <row r="14" spans="1:7" ht="15" customHeight="1">
      <c r="A14" s="1">
        <v>13</v>
      </c>
      <c r="B14" s="1" t="s">
        <v>62</v>
      </c>
      <c r="C14" s="1" t="s">
        <v>63</v>
      </c>
      <c r="D14" s="1" t="s">
        <v>68</v>
      </c>
      <c r="E14" s="1" t="s">
        <v>69</v>
      </c>
      <c r="F14" s="1" t="s">
        <v>70</v>
      </c>
      <c r="G14" s="1" t="s">
        <v>71</v>
      </c>
    </row>
  </sheetData>
  <conditionalFormatting sqref="B2:B14">
    <cfRule type="expression" dxfId="4" priority="1">
      <formula>B2="KRITIK"</formula>
    </cfRule>
    <cfRule type="expression" dxfId="3" priority="2">
      <formula>B2="YUKSEK"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25"/>
  <cols>
    <col min="1" max="1" width="16" customWidth="1"/>
    <col min="2" max="3" width="45" customWidth="1"/>
    <col min="4" max="4" width="18" customWidth="1"/>
  </cols>
  <sheetData>
    <row r="1" spans="1:4" ht="15" customHeight="1">
      <c r="A1" s="2" t="s">
        <v>12</v>
      </c>
      <c r="B1" s="2" t="s">
        <v>72</v>
      </c>
      <c r="C1" s="2" t="s">
        <v>73</v>
      </c>
      <c r="D1" s="2" t="s">
        <v>4</v>
      </c>
    </row>
    <row r="2" spans="1:4" ht="15" customHeight="1">
      <c r="A2" s="1" t="s">
        <v>23</v>
      </c>
      <c r="B2" s="1" t="s">
        <v>74</v>
      </c>
      <c r="C2" s="1" t="s">
        <v>75</v>
      </c>
      <c r="D2" s="1" t="s">
        <v>76</v>
      </c>
    </row>
    <row r="3" spans="1:4" ht="15" customHeight="1">
      <c r="A3" s="1" t="s">
        <v>77</v>
      </c>
      <c r="B3" s="1" t="s">
        <v>78</v>
      </c>
      <c r="C3" s="1" t="s">
        <v>79</v>
      </c>
      <c r="D3" s="1" t="s">
        <v>80</v>
      </c>
    </row>
    <row r="4" spans="1:4" ht="15" customHeight="1">
      <c r="A4" s="1" t="s">
        <v>81</v>
      </c>
      <c r="B4" s="1" t="s">
        <v>78</v>
      </c>
      <c r="C4" s="1" t="s">
        <v>79</v>
      </c>
      <c r="D4" s="1" t="s">
        <v>80</v>
      </c>
    </row>
    <row r="5" spans="1:4" ht="15" customHeight="1">
      <c r="A5" s="1" t="s">
        <v>82</v>
      </c>
      <c r="B5" s="1" t="s">
        <v>78</v>
      </c>
      <c r="C5" s="1" t="s">
        <v>79</v>
      </c>
      <c r="D5" s="1" t="s">
        <v>80</v>
      </c>
    </row>
    <row r="6" spans="1:4" ht="15" customHeight="1">
      <c r="A6" s="1" t="s">
        <v>83</v>
      </c>
      <c r="B6" s="1" t="s">
        <v>78</v>
      </c>
      <c r="C6" s="1" t="s">
        <v>79</v>
      </c>
      <c r="D6" s="1" t="s">
        <v>80</v>
      </c>
    </row>
    <row r="7" spans="1:4" ht="15" customHeight="1">
      <c r="A7" s="1" t="s">
        <v>84</v>
      </c>
      <c r="B7" s="1" t="s">
        <v>78</v>
      </c>
      <c r="C7" s="1" t="s">
        <v>79</v>
      </c>
      <c r="D7" s="1" t="s">
        <v>80</v>
      </c>
    </row>
    <row r="8" spans="1:4" ht="15" customHeight="1">
      <c r="A8" s="1" t="s">
        <v>57</v>
      </c>
      <c r="B8" s="1" t="s">
        <v>78</v>
      </c>
      <c r="C8" s="1" t="s">
        <v>79</v>
      </c>
      <c r="D8" s="1" t="s">
        <v>80</v>
      </c>
    </row>
    <row r="9" spans="1:4" ht="15" customHeight="1">
      <c r="A9" s="1" t="s">
        <v>47</v>
      </c>
      <c r="B9" s="1" t="s">
        <v>78</v>
      </c>
      <c r="C9" s="1" t="s">
        <v>85</v>
      </c>
      <c r="D9" s="1" t="s">
        <v>80</v>
      </c>
    </row>
    <row r="10" spans="1:4" ht="15" customHeight="1">
      <c r="A10" s="1" t="s">
        <v>51</v>
      </c>
      <c r="B10" s="1" t="s">
        <v>78</v>
      </c>
      <c r="C10" s="1" t="s">
        <v>79</v>
      </c>
      <c r="D10" s="1" t="s">
        <v>80</v>
      </c>
    </row>
    <row r="11" spans="1:4" ht="15" customHeight="1">
      <c r="A11" s="1" t="s">
        <v>86</v>
      </c>
      <c r="B11" s="1" t="s">
        <v>87</v>
      </c>
      <c r="C11" s="1" t="s">
        <v>85</v>
      </c>
      <c r="D11" s="1" t="s">
        <v>80</v>
      </c>
    </row>
    <row r="12" spans="1:4" ht="15" customHeight="1">
      <c r="A12" s="1" t="s">
        <v>88</v>
      </c>
      <c r="B12" s="1" t="s">
        <v>87</v>
      </c>
      <c r="C12" s="1" t="s">
        <v>85</v>
      </c>
      <c r="D12" s="1" t="s">
        <v>80</v>
      </c>
    </row>
    <row r="13" spans="1:4" ht="15" customHeight="1">
      <c r="A13" s="1" t="s">
        <v>89</v>
      </c>
      <c r="B13" s="1" t="s">
        <v>87</v>
      </c>
      <c r="C13" s="1" t="s">
        <v>85</v>
      </c>
      <c r="D13" s="1" t="s">
        <v>80</v>
      </c>
    </row>
    <row r="14" spans="1:4" ht="15" customHeight="1">
      <c r="A14" s="1" t="s">
        <v>56</v>
      </c>
      <c r="B14" s="1" t="s">
        <v>78</v>
      </c>
      <c r="C14" s="1" t="s">
        <v>85</v>
      </c>
      <c r="D14" s="1" t="s">
        <v>80</v>
      </c>
    </row>
    <row r="15" spans="1:4" ht="15" customHeight="1">
      <c r="A15" s="1" t="s">
        <v>90</v>
      </c>
      <c r="B15" s="1" t="s">
        <v>87</v>
      </c>
      <c r="C15" s="1" t="s">
        <v>85</v>
      </c>
      <c r="D15" s="1" t="s">
        <v>80</v>
      </c>
    </row>
    <row r="16" spans="1:4" ht="15" customHeight="1">
      <c r="A16" s="1" t="s">
        <v>91</v>
      </c>
      <c r="B16" s="1" t="s">
        <v>87</v>
      </c>
      <c r="C16" s="1" t="s">
        <v>85</v>
      </c>
      <c r="D16" s="1" t="s">
        <v>80</v>
      </c>
    </row>
  </sheetData>
  <conditionalFormatting sqref="D2:D16">
    <cfRule type="expression" dxfId="2" priority="1">
      <formula>D2="HATALI"</formula>
    </cfRule>
    <cfRule type="expression" dxfId="1" priority="2">
      <formula>D2="HATALI / NETLESTIR"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D9" sqref="D9"/>
    </sheetView>
  </sheetViews>
  <sheetFormatPr defaultRowHeight="14.25"/>
  <cols>
    <col min="1" max="1" width="25" customWidth="1"/>
    <col min="2" max="2" width="24" customWidth="1"/>
    <col min="3" max="4" width="38" customWidth="1"/>
    <col min="5" max="5" width="35" customWidth="1"/>
  </cols>
  <sheetData>
    <row r="1" spans="1:5" ht="15" customHeight="1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</row>
    <row r="2" spans="1:5" ht="15" customHeight="1">
      <c r="A2" s="1" t="s">
        <v>23</v>
      </c>
      <c r="B2" s="1" t="s">
        <v>97</v>
      </c>
      <c r="C2" s="1" t="s">
        <v>98</v>
      </c>
      <c r="D2" s="1" t="s">
        <v>99</v>
      </c>
      <c r="E2" s="1" t="s">
        <v>100</v>
      </c>
    </row>
    <row r="3" spans="1:5" ht="15" customHeight="1">
      <c r="A3" s="1" t="s">
        <v>23</v>
      </c>
      <c r="B3" s="1" t="s">
        <v>101</v>
      </c>
      <c r="C3" s="1" t="s">
        <v>102</v>
      </c>
      <c r="D3" s="1" t="s">
        <v>103</v>
      </c>
      <c r="E3" s="1" t="s">
        <v>100</v>
      </c>
    </row>
    <row r="4" spans="1:5" ht="15" customHeight="1">
      <c r="A4" s="1" t="s">
        <v>36</v>
      </c>
      <c r="B4" s="1" t="s">
        <v>104</v>
      </c>
      <c r="C4" s="1" t="s">
        <v>105</v>
      </c>
      <c r="D4" s="1" t="s">
        <v>106</v>
      </c>
      <c r="E4" s="1" t="s">
        <v>107</v>
      </c>
    </row>
    <row r="5" spans="1:5" ht="15" customHeight="1">
      <c r="A5" s="1" t="s">
        <v>36</v>
      </c>
      <c r="B5" s="1" t="s">
        <v>108</v>
      </c>
      <c r="C5" s="1" t="s">
        <v>109</v>
      </c>
      <c r="D5" s="1" t="s">
        <v>110</v>
      </c>
      <c r="E5" s="1" t="s">
        <v>111</v>
      </c>
    </row>
    <row r="6" spans="1:5" ht="15" customHeight="1">
      <c r="A6" s="1" t="s">
        <v>112</v>
      </c>
      <c r="B6" s="1" t="s">
        <v>108</v>
      </c>
      <c r="C6" s="1" t="s">
        <v>109</v>
      </c>
      <c r="D6" s="1" t="s">
        <v>110</v>
      </c>
      <c r="E6" s="1" t="s">
        <v>111</v>
      </c>
    </row>
    <row r="7" spans="1:5" ht="15" customHeight="1">
      <c r="A7" s="1" t="s">
        <v>113</v>
      </c>
      <c r="B7" s="1" t="s">
        <v>114</v>
      </c>
      <c r="C7" s="1" t="s">
        <v>115</v>
      </c>
      <c r="D7" s="1" t="s">
        <v>116</v>
      </c>
      <c r="E7" s="1" t="s">
        <v>117</v>
      </c>
    </row>
    <row r="8" spans="1:5" ht="15" customHeight="1">
      <c r="A8" s="1" t="s">
        <v>51</v>
      </c>
      <c r="B8" s="1" t="s">
        <v>114</v>
      </c>
      <c r="C8" s="1" t="s">
        <v>118</v>
      </c>
      <c r="D8" s="1" t="s">
        <v>119</v>
      </c>
      <c r="E8" s="1" t="s">
        <v>120</v>
      </c>
    </row>
    <row r="9" spans="1:5" ht="15" customHeight="1">
      <c r="A9" s="1" t="s">
        <v>47</v>
      </c>
      <c r="B9" s="1" t="s">
        <v>121</v>
      </c>
      <c r="C9" s="1" t="s">
        <v>122</v>
      </c>
      <c r="D9" s="1" t="s">
        <v>123</v>
      </c>
      <c r="E9" s="1" t="s">
        <v>124</v>
      </c>
    </row>
  </sheetData>
  <conditionalFormatting sqref="E2:E9">
    <cfRule type="expression" dxfId="0" priority="1">
      <formula>LEFT(E2,6)="HATALI"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Kontrol Ozeti</vt:lpstr>
      <vt:lpstr>Hata_Listesi</vt:lpstr>
      <vt:lpstr>Pano_Olcu_Kontrol</vt:lpstr>
      <vt:lpstr>Cihaz_Kontrol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2026-05-14T07:21:53Z</dcterms:modified>
</cp:coreProperties>
</file>